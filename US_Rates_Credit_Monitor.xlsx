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Dashboard" sheetId="2" state="visible" r:id="rId2"/>
    <sheet xmlns:r="http://schemas.openxmlformats.org/officeDocument/2006/relationships" name="Curve" sheetId="3" state="visible" r:id="rId3"/>
    <sheet xmlns:r="http://schemas.openxmlformats.org/officeDocument/2006/relationships" name="Slopes" sheetId="4" state="visible" r:id="rId4"/>
    <sheet xmlns:r="http://schemas.openxmlformats.org/officeDocument/2006/relationships" name="Policy" sheetId="5" state="visible" r:id="rId5"/>
    <sheet xmlns:r="http://schemas.openxmlformats.org/officeDocument/2006/relationships" name="Liquidity" sheetId="6" state="visible" r:id="rId6"/>
    <sheet xmlns:r="http://schemas.openxmlformats.org/officeDocument/2006/relationships" name="Nodes" sheetId="7" state="visible" r:id="rId7"/>
    <sheet xmlns:r="http://schemas.openxmlformats.org/officeDocument/2006/relationships" name="Credit" sheetId="8" state="visible" r:id="rId8"/>
    <sheet xmlns:r="http://schemas.openxmlformats.org/officeDocument/2006/relationships" name="Credit_TR" sheetId="9" state="visible" r:id="rId9"/>
    <sheet xmlns:r="http://schemas.openxmlformats.org/officeDocument/2006/relationships" name="EM_Link" sheetId="10" state="visible" r:id="rId10"/>
    <sheet xmlns:r="http://schemas.openxmlformats.org/officeDocument/2006/relationships" name="Tickers" sheetId="11" state="visible" r:id="rId11"/>
    <sheet xmlns:r="http://schemas.openxmlformats.org/officeDocument/2006/relationships" name="HIST_D" sheetId="12" state="visible" r:id="rId12"/>
    <sheet xmlns:r="http://schemas.openxmlformats.org/officeDocument/2006/relationships" name="HIST_M" sheetId="13" state="visible" r:id="rId13"/>
  </sheets>
  <definedNames/>
  <calcPr calcId="124519" fullCalcOnLoad="1"/>
</workbook>
</file>

<file path=xl/styles.xml><?xml version="1.0" encoding="utf-8"?>
<styleSheet xmlns="http://schemas.openxmlformats.org/spreadsheetml/2006/main">
  <numFmts count="9">
    <numFmt numFmtId="164" formatCode="dd-mmm-yy"/>
    <numFmt numFmtId="165" formatCode="#,##0.0"/>
    <numFmt numFmtId="166" formatCode="+#,##0;-#,##0;&quot;-&quot;"/>
    <numFmt numFmtId="167" formatCode="0.0%"/>
    <numFmt numFmtId="168" formatCode="#,##0;(#,##0);&quot;-&quot;"/>
    <numFmt numFmtId="169" formatCode="0.000"/>
    <numFmt numFmtId="170" formatCode="yyyy-mm-dd"/>
    <numFmt numFmtId="171" formatCode="+#,##0.0;-#,##0.0;&quot;-&quot;"/>
    <numFmt numFmtId="172" formatCode="0.00&quot;x&quot;"/>
  </numFmts>
  <fonts count="16">
    <font>
      <name val="Calibri"/>
      <family val="2"/>
      <color theme="1"/>
      <sz val="11"/>
      <scheme val="minor"/>
    </font>
    <font>
      <name val="Arial"/>
      <b val="1"/>
      <color rgb="001A1A1A"/>
      <sz val="16"/>
    </font>
    <font>
      <name val="Arial"/>
      <i val="1"/>
      <color rgb="00595959"/>
      <sz val="10"/>
    </font>
    <font>
      <name val="Arial"/>
      <b val="1"/>
      <color rgb="00FFFFFF"/>
      <sz val="11"/>
    </font>
    <font>
      <name val="Arial"/>
      <color rgb="001A1A1A"/>
      <sz val="10"/>
    </font>
    <font>
      <name val="Arial"/>
      <color rgb="000000FF"/>
      <sz val="10"/>
    </font>
    <font>
      <name val="Arial"/>
      <i val="1"/>
      <color rgb="00595959"/>
      <sz val="9"/>
    </font>
    <font>
      <name val="Arial"/>
      <b val="1"/>
      <color rgb="00FFFFFF"/>
      <sz val="9"/>
    </font>
    <font>
      <name val="Arial"/>
      <color rgb="007030A0"/>
      <sz val="10"/>
    </font>
    <font>
      <name val="Arial"/>
      <color rgb="00008000"/>
      <sz val="10"/>
    </font>
    <font>
      <name val="Arial"/>
      <b val="1"/>
      <color rgb="001A1A1A"/>
      <sz val="10"/>
    </font>
    <font>
      <name val="Arial"/>
      <b val="1"/>
      <color rgb="00595959"/>
      <sz val="9"/>
    </font>
    <font>
      <name val="Arial"/>
      <color rgb="00595959"/>
      <sz val="9"/>
    </font>
    <font>
      <name val="Arial"/>
      <b val="1"/>
      <color rgb="00E60000"/>
      <sz val="9"/>
    </font>
    <font>
      <name val="Arial"/>
      <b val="1"/>
      <color rgb="00008000"/>
      <sz val="9"/>
    </font>
    <font>
      <name val="Arial"/>
      <color rgb="001A1A1A"/>
      <sz val="9"/>
    </font>
  </fonts>
  <fills count="6">
    <fill>
      <patternFill/>
    </fill>
    <fill>
      <patternFill patternType="gray125"/>
    </fill>
    <fill>
      <patternFill patternType="solid">
        <fgColor rgb="00E60000"/>
      </patternFill>
    </fill>
    <fill>
      <patternFill patternType="solid">
        <fgColor rgb="00FFF2CC"/>
      </patternFill>
    </fill>
    <fill>
      <patternFill patternType="solid">
        <fgColor rgb="0040404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2" borderId="0" pivotButton="0" quotePrefix="0" xfId="0"/>
    <xf numFmtId="0" fontId="7" fillId="4" borderId="1" applyAlignment="1" pivotButton="0" quotePrefix="0" xfId="0">
      <alignment horizontal="center" vertical="center"/>
    </xf>
    <xf numFmtId="0" fontId="4" fillId="0" borderId="0" pivotButton="0" quotePrefix="0" xfId="0"/>
    <xf numFmtId="164" fontId="5" fillId="3" borderId="1" applyAlignment="1" pivotButton="0" quotePrefix="0" xfId="0">
      <alignment horizontal="center" vertical="center"/>
    </xf>
    <xf numFmtId="0" fontId="4" fillId="0" borderId="1" pivotButton="0" quotePrefix="0" xfId="0"/>
    <xf numFmtId="3" fontId="5" fillId="3" borderId="1" applyAlignment="1" pivotButton="0" quotePrefix="0" xfId="0">
      <alignment horizontal="center" vertical="center"/>
    </xf>
    <xf numFmtId="0" fontId="6" fillId="0" borderId="0" pivotButton="0" quotePrefix="0" xfId="0"/>
    <xf numFmtId="165" fontId="5" fillId="3" borderId="1" applyAlignment="1" pivotButton="0" quotePrefix="0" xfId="0">
      <alignment horizontal="center" vertical="center"/>
    </xf>
    <xf numFmtId="2" fontId="5" fillId="3" borderId="1" applyAlignment="1" pivotButton="0" quotePrefix="0" xfId="0">
      <alignment horizontal="center" vertical="center"/>
    </xf>
    <xf numFmtId="3" fontId="4" fillId="0" borderId="1" applyAlignment="1" pivotButton="0" quotePrefix="0" xfId="0">
      <alignment horizontal="center" vertical="center"/>
    </xf>
    <xf numFmtId="0" fontId="5" fillId="3" borderId="1" pivotButton="0" quotePrefix="0" xfId="0"/>
    <xf numFmtId="0" fontId="8" fillId="0" borderId="1" pivotButton="0" quotePrefix="0" xfId="0"/>
    <xf numFmtId="0" fontId="9" fillId="0" borderId="1" pivotButton="0" quotePrefix="0" xfId="0"/>
    <xf numFmtId="0" fontId="6" fillId="0" borderId="1" pivotButton="0" quotePrefix="0" xfId="0"/>
    <xf numFmtId="0" fontId="10" fillId="0" borderId="0" pivotButton="0" quotePrefix="0" xfId="0"/>
    <xf numFmtId="0" fontId="4" fillId="0" borderId="0" applyAlignment="1" pivotButton="0" quotePrefix="0" xfId="0">
      <alignment vertical="top" wrapText="1"/>
    </xf>
    <xf numFmtId="0" fontId="7" fillId="4" borderId="1" applyAlignment="1" pivotButton="0" quotePrefix="0" xfId="0">
      <alignment horizontal="center" vertical="center" wrapText="1"/>
    </xf>
    <xf numFmtId="0" fontId="10" fillId="0" borderId="1" pivotButton="0" quotePrefix="0" xfId="0"/>
    <xf numFmtId="2" fontId="9" fillId="0" borderId="1" applyAlignment="1" pivotButton="0" quotePrefix="0" xfId="0">
      <alignment horizontal="center" vertical="center"/>
    </xf>
    <xf numFmtId="166" fontId="4" fillId="0" borderId="1" applyAlignment="1" pivotButton="0" quotePrefix="0" xfId="0">
      <alignment horizontal="center" vertical="center"/>
    </xf>
    <xf numFmtId="167" fontId="4" fillId="0" borderId="1" applyAlignment="1" pivotButton="0" quotePrefix="0" xfId="0">
      <alignment horizontal="center" vertical="center"/>
    </xf>
    <xf numFmtId="2" fontId="4" fillId="0" borderId="1" applyAlignment="1" pivotButton="0" quotePrefix="0" xfId="0">
      <alignment horizontal="center" vertical="center"/>
    </xf>
    <xf numFmtId="168" fontId="9" fillId="0" borderId="1" applyAlignment="1" pivotButton="0" quotePrefix="0" xfId="0">
      <alignment horizontal="center" vertical="center"/>
    </xf>
    <xf numFmtId="0" fontId="6" fillId="0" borderId="1" applyAlignment="1" pivotButton="0" quotePrefix="0" xfId="0">
      <alignment horizontal="center" vertical="center"/>
    </xf>
    <xf numFmtId="4" fontId="9" fillId="0" borderId="1" applyAlignment="1" pivotButton="0" quotePrefix="0" xfId="0">
      <alignment horizontal="center" vertical="center"/>
    </xf>
    <xf numFmtId="166" fontId="9" fillId="0" borderId="1" applyAlignment="1" pivotButton="0" quotePrefix="0" xfId="0">
      <alignment horizontal="center" vertical="center"/>
    </xf>
    <xf numFmtId="0" fontId="10" fillId="0" borderId="1" applyAlignment="1" pivotButton="0" quotePrefix="0" xfId="0">
      <alignment horizontal="center" vertical="center"/>
    </xf>
    <xf numFmtId="165" fontId="9" fillId="0" borderId="1" applyAlignment="1" pivotButton="0" quotePrefix="0" xfId="0">
      <alignment horizontal="center" vertical="center"/>
    </xf>
    <xf numFmtId="167" fontId="9" fillId="0" borderId="1" applyAlignment="1" pivotButton="0" quotePrefix="0" xfId="0">
      <alignment horizontal="center" vertical="center"/>
    </xf>
    <xf numFmtId="172" fontId="9" fillId="0" borderId="1" applyAlignment="1" pivotButton="0" quotePrefix="0" xfId="0">
      <alignment horizontal="center" vertical="center"/>
    </xf>
    <xf numFmtId="171" fontId="4" fillId="0" borderId="1" applyAlignment="1" pivotButton="0" quotePrefix="0" xfId="0">
      <alignment horizontal="center" vertical="center"/>
    </xf>
    <xf numFmtId="10" fontId="9" fillId="0" borderId="1" applyAlignment="1" pivotButton="0" quotePrefix="0" xfId="0">
      <alignment horizontal="center" vertical="center"/>
    </xf>
    <xf numFmtId="10" fontId="4" fillId="0" borderId="1" applyAlignment="1" pivotButton="0" quotePrefix="0" xfId="0">
      <alignment horizontal="center" vertical="center"/>
    </xf>
    <xf numFmtId="3" fontId="9" fillId="0" borderId="1" applyAlignment="1" pivotButton="0" quotePrefix="0" xfId="0">
      <alignment horizontal="center" vertical="center"/>
    </xf>
    <xf numFmtId="4" fontId="5" fillId="3" borderId="1" applyAlignment="1" pivotButton="0" quotePrefix="0" xfId="0">
      <alignment horizontal="center" vertical="center"/>
    </xf>
    <xf numFmtId="4" fontId="4" fillId="0" borderId="1" applyAlignment="1" pivotButton="0" quotePrefix="0" xfId="0">
      <alignment horizontal="center" vertical="center"/>
    </xf>
    <xf numFmtId="168" fontId="4" fillId="0" borderId="1" applyAlignment="1" pivotButton="0" quotePrefix="0" xfId="0">
      <alignment horizontal="center" vertical="center"/>
    </xf>
    <xf numFmtId="0" fontId="0" fillId="0" borderId="4" pivotButton="0" quotePrefix="0" xfId="0"/>
    <xf numFmtId="0" fontId="0" fillId="0" borderId="5" pivotButton="0" quotePrefix="0" xfId="0"/>
    <xf numFmtId="0" fontId="5" fillId="3" borderId="1" applyAlignment="1" pivotButton="0" quotePrefix="0" xfId="0">
      <alignment horizontal="center" vertical="center"/>
    </xf>
    <xf numFmtId="2" fontId="8" fillId="0" borderId="1" applyAlignment="1" pivotButton="0" quotePrefix="0" xfId="0">
      <alignment horizontal="center" vertical="center"/>
    </xf>
    <xf numFmtId="2" fontId="10" fillId="0" borderId="1" applyAlignment="1" pivotButton="0" quotePrefix="0" xfId="0">
      <alignment horizontal="center" vertical="center"/>
    </xf>
    <xf numFmtId="0" fontId="11" fillId="0" borderId="1" applyAlignment="1" pivotButton="0" quotePrefix="0" xfId="0">
      <alignment horizontal="center" vertical="center"/>
    </xf>
    <xf numFmtId="166" fontId="10" fillId="0" borderId="1" applyAlignment="1" pivotButton="0" quotePrefix="0" xfId="0">
      <alignment horizontal="center" vertical="center"/>
    </xf>
    <xf numFmtId="0" fontId="4" fillId="0" borderId="1" applyAlignment="1" pivotButton="0" quotePrefix="0" xfId="0">
      <alignment horizontal="center" vertical="center"/>
    </xf>
    <xf numFmtId="17" fontId="8" fillId="0" borderId="1" applyAlignment="1" pivotButton="0" quotePrefix="0" xfId="0">
      <alignment horizontal="center" vertical="center"/>
    </xf>
    <xf numFmtId="169" fontId="8" fillId="0" borderId="1" applyAlignment="1" pivotButton="0" quotePrefix="0" xfId="0">
      <alignment horizontal="center" vertical="center"/>
    </xf>
    <xf numFmtId="3" fontId="12" fillId="0" borderId="1" applyAlignment="1" pivotButton="0" quotePrefix="0" xfId="0">
      <alignment horizontal="center" vertical="center"/>
    </xf>
    <xf numFmtId="4" fontId="10" fillId="0" borderId="1" applyAlignment="1" pivotButton="0" quotePrefix="0" xfId="0">
      <alignment horizontal="center" vertical="center"/>
    </xf>
    <xf numFmtId="0" fontId="13" fillId="0" borderId="1" applyAlignment="1" pivotButton="0" quotePrefix="0" xfId="0">
      <alignment horizontal="center" vertical="center"/>
    </xf>
    <xf numFmtId="166" fontId="6" fillId="0" borderId="1" applyAlignment="1" pivotButton="0" quotePrefix="0" xfId="0">
      <alignment horizontal="center" vertical="center"/>
    </xf>
    <xf numFmtId="0" fontId="6" fillId="0" borderId="0" applyAlignment="1" pivotButton="0" quotePrefix="0" xfId="0">
      <alignment vertical="top" wrapText="1"/>
    </xf>
    <xf numFmtId="3" fontId="8" fillId="0" borderId="1" applyAlignment="1" pivotButton="0" quotePrefix="0" xfId="0">
      <alignment horizontal="center" vertical="center"/>
    </xf>
    <xf numFmtId="3" fontId="10" fillId="0" borderId="1" applyAlignment="1" pivotButton="0" quotePrefix="0" xfId="0">
      <alignment horizontal="center" vertical="center"/>
    </xf>
    <xf numFmtId="165" fontId="4" fillId="0" borderId="1" applyAlignment="1" pivotButton="0" quotePrefix="0" xfId="0">
      <alignment horizontal="center" vertical="center"/>
    </xf>
    <xf numFmtId="167" fontId="5" fillId="3" borderId="1" applyAlignment="1" pivotButton="0" quotePrefix="0" xfId="0">
      <alignment horizontal="center" vertical="center"/>
    </xf>
    <xf numFmtId="169" fontId="4" fillId="0" borderId="1" applyAlignment="1" pivotButton="0" quotePrefix="0" xfId="0">
      <alignment horizontal="center" vertical="center"/>
    </xf>
    <xf numFmtId="165" fontId="8" fillId="0" borderId="1" applyAlignment="1" pivotButton="0" quotePrefix="0" xfId="0">
      <alignment horizontal="center" vertical="center"/>
    </xf>
    <xf numFmtId="165" fontId="10" fillId="0" borderId="1" applyAlignment="1" pivotButton="0" quotePrefix="0" xfId="0">
      <alignment horizontal="center" vertical="center"/>
    </xf>
    <xf numFmtId="172" fontId="4" fillId="0" borderId="1" applyAlignment="1" pivotButton="0" quotePrefix="0" xfId="0">
      <alignment horizontal="center" vertical="center"/>
    </xf>
    <xf numFmtId="169" fontId="9" fillId="0" borderId="1" applyAlignment="1" pivotButton="0" quotePrefix="0" xfId="0">
      <alignment horizontal="center" vertical="center"/>
    </xf>
    <xf numFmtId="4" fontId="8" fillId="0" borderId="1" applyAlignment="1" pivotButton="0" quotePrefix="0" xfId="0">
      <alignment horizontal="center" vertical="center"/>
    </xf>
    <xf numFmtId="10" fontId="10" fillId="0" borderId="1" applyAlignment="1" pivotButton="0" quotePrefix="0" xfId="0">
      <alignment horizontal="center" vertical="center"/>
    </xf>
    <xf numFmtId="0" fontId="11" fillId="0" borderId="1" pivotButton="0" quotePrefix="0" xfId="0"/>
    <xf numFmtId="166" fontId="7" fillId="4" borderId="1" applyAlignment="1" pivotButton="0" quotePrefix="0" xfId="0">
      <alignment horizontal="center" vertical="center"/>
    </xf>
    <xf numFmtId="168" fontId="5" fillId="3" borderId="1" applyAlignment="1" pivotButton="0" quotePrefix="0" xfId="0">
      <alignment horizontal="center" vertical="center"/>
    </xf>
    <xf numFmtId="0" fontId="11" fillId="0" borderId="0" pivotButton="0" quotePrefix="0" xfId="0"/>
    <xf numFmtId="166" fontId="5" fillId="3" borderId="1" applyAlignment="1" pivotButton="0" quotePrefix="0" xfId="0">
      <alignment horizontal="center" vertical="center"/>
    </xf>
    <xf numFmtId="0" fontId="12" fillId="0" borderId="1" pivotButton="0" quotePrefix="0" xfId="0"/>
    <xf numFmtId="0" fontId="14" fillId="0" borderId="1" applyAlignment="1" pivotButton="0" quotePrefix="0" xfId="0">
      <alignment horizontal="center" vertical="center"/>
    </xf>
    <xf numFmtId="0" fontId="12" fillId="0" borderId="1" applyAlignment="1" pivotButton="0" quotePrefix="0" xfId="0">
      <alignment horizontal="center" vertical="center"/>
    </xf>
    <xf numFmtId="0" fontId="12" fillId="5" borderId="1" pivotButton="0" quotePrefix="0" xfId="0"/>
    <xf numFmtId="0" fontId="4" fillId="5" borderId="1" pivotButton="0" quotePrefix="0" xfId="0"/>
    <xf numFmtId="0" fontId="7" fillId="2" borderId="1" applyAlignment="1" pivotButton="0" quotePrefix="0" xfId="0">
      <alignment horizontal="center" vertical="center"/>
    </xf>
    <xf numFmtId="0" fontId="9" fillId="0" borderId="1" applyAlignment="1" pivotButton="0" quotePrefix="0" xfId="0">
      <alignment horizontal="center" vertical="center"/>
    </xf>
    <xf numFmtId="164" fontId="8" fillId="0" borderId="0" pivotButton="0" quotePrefix="0" xfId="0"/>
    <xf numFmtId="169" fontId="8" fillId="0" borderId="0" pivotButton="0" quotePrefix="0" xfId="0"/>
    <xf numFmtId="169" fontId="15" fillId="0" borderId="0" pivotButton="0" quotePrefix="0" xfId="0"/>
    <xf numFmtId="165" fontId="15"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04040"/>
    <outlinePr summaryBelow="1" summaryRight="1"/>
    <pageSetUpPr/>
  </sheetPr>
  <dimension ref="A1:H48"/>
  <sheetViews>
    <sheetView showGridLines="0" workbookViewId="0">
      <selection activeCell="A1" sqref="A1"/>
    </sheetView>
  </sheetViews>
  <sheetFormatPr baseColWidth="8" defaultRowHeight="15"/>
  <cols>
    <col width="46" customWidth="1" min="1" max="1"/>
    <col width="16" customWidth="1" min="2" max="2"/>
    <col width="3" customWidth="1" min="3" max="3"/>
    <col width="2" customWidth="1" min="4" max="4"/>
    <col width="38" customWidth="1" min="5" max="5"/>
    <col width="16" customWidth="1" min="6" max="6"/>
    <col width="2" customWidth="1" min="7" max="7"/>
    <col width="60" customWidth="1" min="8" max="8"/>
  </cols>
  <sheetData>
    <row r="1">
      <c r="A1" s="1" t="inlineStr">
        <is>
          <t>US RATES &amp; CREDIT MONITOR</t>
        </is>
      </c>
    </row>
    <row r="2">
      <c r="A2" s="2" t="inlineStr">
        <is>
          <t>Bloomberg-linked. Every cell is a formula; nothing is pasted as a value. Built for A. Rojas, UBS CIO Americas.</t>
        </is>
      </c>
    </row>
    <row r="4" ht="18" customHeight="1">
      <c r="A4" s="3" t="inlineStr">
        <is>
          <t>SETTINGS  —  every data pull and every calculation on every tab points at these cells</t>
        </is>
      </c>
      <c r="B4" s="4" t="n"/>
      <c r="C4" s="4" t="n"/>
      <c r="D4" s="4" t="n"/>
      <c r="E4" s="4" t="n"/>
      <c r="F4" s="4" t="n"/>
      <c r="G4" s="4" t="n"/>
      <c r="H4" s="4" t="n"/>
    </row>
    <row r="5">
      <c r="E5" s="5" t="inlineStr">
        <is>
          <t>Horizon</t>
        </is>
      </c>
      <c r="F5" s="5" t="inlineStr">
        <is>
          <t>Obs back (rows)</t>
        </is>
      </c>
    </row>
    <row r="6">
      <c r="A6" s="6" t="inlineStr">
        <is>
          <t>History start — daily block</t>
        </is>
      </c>
      <c r="B6" s="7">
        <f>EDATE(TODAY(),-126)</f>
        <v/>
      </c>
      <c r="E6" s="8" t="inlineStr">
        <is>
          <t>1D</t>
        </is>
      </c>
      <c r="F6" s="9" t="n">
        <v>2</v>
      </c>
      <c r="H6" s="10" t="inlineStr">
        <is>
          <t>10.5y buffer so the 10y window is always full</t>
        </is>
      </c>
    </row>
    <row r="7">
      <c r="A7" s="6" t="inlineStr">
        <is>
          <t>History end</t>
        </is>
      </c>
      <c r="B7" s="7">
        <f>TODAY()</f>
        <v/>
      </c>
      <c r="E7" s="8" t="inlineStr">
        <is>
          <t>1W</t>
        </is>
      </c>
      <c r="F7" s="9" t="n">
        <v>6</v>
      </c>
      <c r="H7" s="10" t="inlineStr">
        <is>
          <t>BDH end date</t>
        </is>
      </c>
    </row>
    <row r="8">
      <c r="A8" s="6" t="inlineStr">
        <is>
          <t>History start — monthly block</t>
        </is>
      </c>
      <c r="B8" s="7">
        <f>EDATE(TODAY(),-301)</f>
        <v/>
      </c>
      <c r="E8" s="8" t="inlineStr">
        <is>
          <t>1M</t>
        </is>
      </c>
      <c r="F8" s="9" t="n">
        <v>23</v>
      </c>
      <c r="H8" s="10" t="inlineStr">
        <is>
          <t>25y of month-ends for deep percentiles</t>
        </is>
      </c>
    </row>
    <row r="9">
      <c r="A9" s="6" t="inlineStr">
        <is>
          <t>Daily observations pulled</t>
        </is>
      </c>
      <c r="B9" s="9" t="n">
        <v>2610</v>
      </c>
      <c r="E9" s="8" t="inlineStr">
        <is>
          <t>3M</t>
        </is>
      </c>
      <c r="F9" s="9" t="n">
        <v>66</v>
      </c>
      <c r="H9" s="10" t="inlineStr">
        <is>
          <t>weekdays; block is HIST_D rows 8:2617</t>
        </is>
      </c>
    </row>
    <row r="10">
      <c r="A10" s="6" t="inlineStr">
        <is>
          <t>Monthly observations pulled</t>
        </is>
      </c>
      <c r="B10" s="9" t="n">
        <v>301</v>
      </c>
      <c r="E10" s="8" t="inlineStr">
        <is>
          <t>6M</t>
        </is>
      </c>
      <c r="F10" s="9" t="n">
        <v>131</v>
      </c>
      <c r="H10" s="10" t="inlineStr">
        <is>
          <t>month-ends; block is HIST_M rows 8:308</t>
        </is>
      </c>
    </row>
    <row r="11">
      <c r="A11" s="6" t="inlineStr">
        <is>
          <t>bp per 1%</t>
        </is>
      </c>
      <c r="B11" s="9" t="n">
        <v>100</v>
      </c>
      <c r="E11" s="8" t="inlineStr">
        <is>
          <t>1Y</t>
        </is>
      </c>
      <c r="F11" s="9" t="n">
        <v>262</v>
      </c>
      <c r="H11" s="10" t="inlineStr">
        <is>
          <t>scaling constant used by every change column</t>
        </is>
      </c>
    </row>
    <row r="12">
      <c r="A12" s="6" t="inlineStr">
        <is>
          <t>Total-return horizon (years)</t>
        </is>
      </c>
      <c r="B12" s="11" t="n">
        <v>1</v>
      </c>
      <c r="E12" s="8" t="inlineStr">
        <is>
          <t>2Y</t>
        </is>
      </c>
      <c r="F12" s="9" t="n">
        <v>523</v>
      </c>
      <c r="H12" s="10" t="inlineStr">
        <is>
          <t>used on Credit_TR and the rates TR grid</t>
        </is>
      </c>
    </row>
    <row r="13">
      <c r="A13" s="6" t="inlineStr">
        <is>
          <t>Cash hurdle (%)</t>
        </is>
      </c>
      <c r="B13" s="12" t="n">
        <v>4.5</v>
      </c>
      <c r="E13" s="8" t="inlineStr">
        <is>
          <t>3Y</t>
        </is>
      </c>
      <c r="F13" s="9" t="n">
        <v>784</v>
      </c>
      <c r="H13" s="10" t="inlineStr">
        <is>
          <t>your stated hurdle for 'EM still attractive vs cash'</t>
        </is>
      </c>
    </row>
    <row r="14">
      <c r="A14" s="6" t="inlineStr">
        <is>
          <t>Coupon frequency (per year)</t>
        </is>
      </c>
      <c r="B14" s="9" t="n">
        <v>2</v>
      </c>
      <c r="E14" s="8" t="inlineStr">
        <is>
          <t>5Y</t>
        </is>
      </c>
      <c r="F14" s="9" t="n">
        <v>1305</v>
      </c>
      <c r="H14" s="10" t="inlineStr">
        <is>
          <t>semi-annual UST convention</t>
        </is>
      </c>
    </row>
    <row r="15">
      <c r="A15" s="6" t="inlineStr">
        <is>
          <t>Point-in-time: 1W ago date</t>
        </is>
      </c>
      <c r="B15" s="7">
        <f>WORKDAY(TODAY(),-5)</f>
        <v/>
      </c>
      <c r="E15" s="8" t="inlineStr">
        <is>
          <t>10Y</t>
        </is>
      </c>
      <c r="F15" s="9" t="n">
        <v>2610</v>
      </c>
      <c r="H15" s="10" t="inlineStr">
        <is>
          <t>used by single-point BDH pulls (futures strip)</t>
        </is>
      </c>
    </row>
    <row r="16">
      <c r="A16" s="6" t="inlineStr">
        <is>
          <t>Point-in-time: 1M ago date</t>
        </is>
      </c>
      <c r="B16" s="7">
        <f>WORKDAY(TODAY(),-22)</f>
        <v/>
      </c>
      <c r="E16" s="8" t="inlineStr">
        <is>
          <t>YTD — row of last obs of prior year</t>
        </is>
      </c>
      <c r="F16" s="13">
        <f>MATCH(DATE(YEAR(TODAY()),1,1),HIST_D!$A$8:$A$2617,-1)+1</f>
        <v/>
      </c>
      <c r="H16" s="10" t="inlineStr">
        <is>
          <t>same</t>
        </is>
      </c>
    </row>
    <row r="17">
      <c r="A17" s="6" t="inlineStr">
        <is>
          <t>Point-in-time: prior year-end</t>
        </is>
      </c>
      <c r="B17" s="7">
        <f>DATE(YEAR(TODAY())-1,12,31)</f>
        <v/>
      </c>
      <c r="E17" s="10" t="inlineStr">
        <is>
          <t>Row 1 = today. Row n = n-1 weekdays ago (Days=W, Fill=P holds the calendar even on holidays).</t>
        </is>
      </c>
      <c r="H17" s="10" t="inlineStr">
        <is>
          <t>same</t>
        </is>
      </c>
    </row>
    <row r="19" ht="18" customHeight="1">
      <c r="A19" s="3" t="inlineStr">
        <is>
          <t>HOW TO REFRESH</t>
        </is>
      </c>
      <c r="B19" s="4" t="n"/>
      <c r="C19" s="4" t="n"/>
      <c r="D19" s="4" t="n"/>
      <c r="E19" s="4" t="n"/>
      <c r="F19" s="4" t="n"/>
      <c r="G19" s="4" t="n"/>
      <c r="H19" s="4" t="n"/>
    </row>
    <row r="20">
      <c r="A20" s="6" t="inlineStr">
        <is>
          <t>1.  Open on a Bloomberg terminal with the Excel add-in loaded. Everything recalculates on open (fullCalcOnLoad is set).</t>
        </is>
      </c>
    </row>
    <row r="21">
      <c r="A21" s="6" t="inlineStr">
        <is>
          <t>2.  If a history column shows only one number instead of a full column, you are on pre-dynamic-array Excel: select the block and re-enter the BDH with Ctrl+Shift+Enter.</t>
        </is>
      </c>
    </row>
    <row r="22">
      <c r="A22" s="6" t="inlineStr">
        <is>
          <t>3.  To change any ticker, edit it ONCE on the Tickers tab. Every pull and every downstream calculation reads the ticker from there.</t>
        </is>
      </c>
    </row>
    <row r="23">
      <c r="A23" s="6" t="inlineStr">
        <is>
          <t>4.  To change a lookback window, edit the 'Obs back' table above. Nothing else needs touching.</t>
        </is>
      </c>
    </row>
    <row r="24">
      <c r="A24" s="6" t="inlineStr">
        <is>
          <t>5.  Yellow cells are the only ones you should ever type in.</t>
        </is>
      </c>
    </row>
    <row r="27" ht="18" customHeight="1">
      <c r="A27" s="3" t="inlineStr">
        <is>
          <t>COLOUR LEGEND</t>
        </is>
      </c>
      <c r="B27" s="4" t="n"/>
      <c r="C27" s="4" t="n"/>
      <c r="D27" s="4" t="n"/>
      <c r="E27" s="4" t="n"/>
      <c r="F27" s="4" t="n"/>
      <c r="G27" s="4" t="n"/>
      <c r="H27" s="4" t="n"/>
    </row>
    <row r="28">
      <c r="A28" s="14" t="inlineStr">
        <is>
          <t>Yellow fill, blue text</t>
        </is>
      </c>
      <c r="E28" s="6" t="inlineStr">
        <is>
          <t>Hardcoded input or scenario lever — yours to change</t>
        </is>
      </c>
    </row>
    <row r="29">
      <c r="A29" s="15" t="inlineStr">
        <is>
          <t>Purple text</t>
        </is>
      </c>
      <c r="E29" s="6" t="inlineStr">
        <is>
          <t>Live Bloomberg pull (BDH / BDP)</t>
        </is>
      </c>
    </row>
    <row r="30">
      <c r="A30" s="16" t="inlineStr">
        <is>
          <t>Green text</t>
        </is>
      </c>
      <c r="E30" s="6" t="inlineStr">
        <is>
          <t>Link to another tab in this workbook</t>
        </is>
      </c>
    </row>
    <row r="31">
      <c r="A31" s="8" t="inlineStr">
        <is>
          <t>Black text</t>
        </is>
      </c>
      <c r="E31" s="6" t="inlineStr">
        <is>
          <t>Calculation from cells in this workbook</t>
        </is>
      </c>
    </row>
    <row r="32">
      <c r="A32" s="17" t="inlineStr">
        <is>
          <t>Grey italic</t>
        </is>
      </c>
      <c r="E32" s="6" t="inlineStr">
        <is>
          <t>Note, source, or method caveat</t>
        </is>
      </c>
    </row>
    <row r="34" ht="18" customHeight="1">
      <c r="A34" s="3" t="inlineStr">
        <is>
          <t>HOW THE NUMBERS ARE BUILT  —  so you can audit any cell in one step</t>
        </is>
      </c>
      <c r="B34" s="4" t="n"/>
      <c r="C34" s="4" t="n"/>
      <c r="D34" s="4" t="n"/>
      <c r="E34" s="4" t="n"/>
      <c r="F34" s="4" t="n"/>
      <c r="G34" s="4" t="n"/>
      <c r="H34" s="4" t="n"/>
    </row>
    <row r="35" ht="42" customHeight="1">
      <c r="A35" s="18" t="inlineStr">
        <is>
          <t>History</t>
        </is>
      </c>
      <c r="E35" s="19" t="inlineStr">
        <is>
          <t>HIST_D holds a 10y weekday block, newest first (Sort=D). HIST_M holds 25y of month-ends. Every level, change, percentile and z-score on every other tab is INDEX() into those two blocks — no duplicate pulls.</t>
        </is>
      </c>
    </row>
    <row r="36" ht="42" customHeight="1">
      <c r="A36" s="18" t="inlineStr">
        <is>
          <t>Changes</t>
        </is>
      </c>
      <c r="E36" s="19" t="inlineStr">
        <is>
          <t>Change over horizon h  =  (row 1 − row h) × 100, where h comes from the 'Obs back' table. Yields and OAS therefore always change in bp.</t>
        </is>
      </c>
    </row>
    <row r="37" ht="42" customHeight="1">
      <c r="A37" s="18" t="inlineStr">
        <is>
          <t>Percentiles</t>
        </is>
      </c>
      <c r="E37" s="19" t="inlineStr">
        <is>
          <t>PERCENTRANK over the first N rows of the block, N from the same table. 0% = tightest/lowest ever in that window, 100% = widest/highest.</t>
        </is>
      </c>
    </row>
    <row r="38" ht="42" customHeight="1">
      <c r="A38" s="18" t="inlineStr">
        <is>
          <t>4y and 15y UST</t>
        </is>
      </c>
      <c r="E38" s="19" t="inlineStr">
        <is>
          <t>There is no clean cash-Treasury generic at 4y or 15y. Both are built as: linear interpolation of the neighbouring UST nodes PLUS the curvature the SOFR OIS curve actually shows at that tenor (OIS4 minus the linear interp of OIS3/OIS5). That is a real market-observed shape, not a straight line. The components are shown so you can see the adjustment.</t>
        </is>
      </c>
    </row>
    <row r="39" ht="42" customHeight="1">
      <c r="A39" s="18" t="inlineStr">
        <is>
          <t>Forwards</t>
        </is>
      </c>
      <c r="E39" s="19" t="inlineStr">
        <is>
          <t>Bootstrapped from spot par yields as compounded ratios, e.g. 5y5y = ((1+y10)^10 / (1+y5)^5)^(1/5) − 1. Par-yield approximation; fine for monitoring, not for pricing.</t>
        </is>
      </c>
    </row>
    <row r="40" ht="42" customHeight="1">
      <c r="A40" s="18" t="inlineStr">
        <is>
          <t>Duration / DV01</t>
        </is>
      </c>
      <c r="E40" s="19" t="inlineStr">
        <is>
          <t>Exact par-bond algebra, semi-annual: Dmod = (1 − (1+y/2)^(−2n)) / (y/2) / 2. No table lookups, no hardcoded durations.</t>
        </is>
      </c>
    </row>
    <row r="41" ht="42" customHeight="1">
      <c r="A41" s="18" t="inlineStr">
        <is>
          <t>Rates total return</t>
        </is>
      </c>
      <c r="E41" s="19" t="inlineStr">
        <is>
          <t>Full repricing, not a duration approximation. The bond is priced off the annuity formula at the horizon yield with (n − horizon) years left, plus coupons received. Convexity is therefore captured exactly.</t>
        </is>
      </c>
    </row>
    <row r="42" ht="42" customHeight="1">
      <c r="A42" s="18" t="inlineStr">
        <is>
          <t>Credit total return</t>
        </is>
      </c>
      <c r="E42" s="19" t="inlineStr">
        <is>
          <t>Carry (yield-to-worst × horizon) + roll + (−OAD × Δrate) + (−spread duration × Δspread) − credit loss. Each leg is its own visible cell.</t>
        </is>
      </c>
    </row>
    <row r="43" ht="42" customHeight="1">
      <c r="A43" s="18" t="inlineStr">
        <is>
          <t>Why the legs stay separate</t>
        </is>
      </c>
      <c r="E43" s="19" t="inlineStr">
        <is>
          <t>The EM USD case rests on the Treasury leg providing ballast. Rate and spread P&amp;L are never merged into one number anywhere in this workbook.</t>
        </is>
      </c>
    </row>
    <row r="45" ht="18" customHeight="1">
      <c r="A45" s="3" t="inlineStr">
        <is>
          <t>TICKER CONFIDENCE  —  read this before you trust a number</t>
        </is>
      </c>
      <c r="B45" s="4" t="n"/>
      <c r="C45" s="4" t="n"/>
      <c r="D45" s="4" t="n"/>
      <c r="E45" s="4" t="n"/>
      <c r="F45" s="4" t="n"/>
      <c r="G45" s="4" t="n"/>
      <c r="H45" s="4" t="n"/>
    </row>
    <row r="46" ht="32" customHeight="1">
      <c r="A46" s="19" t="inlineStr">
        <is>
          <t>Tickers on the Tickers tab are flagged High or Verify. High = standard Bloomberg security I would defend. Verify = the concept is right but the exact ticker or field should be confirmed in SECF / FLDS before you quote the number to anyone.</t>
        </is>
      </c>
    </row>
    <row r="47" ht="32" customHeight="1">
      <c r="A47" s="19" t="inlineStr">
        <is>
          <t>Rather than substitute a modelled proxy for anything I could not confirm, the cell is left pointing at a named ticker with the flag on it. A Verify row that returns an error is telling you the truth: fix the ticker on the Tickers tab and the whole workbook follows.</t>
        </is>
      </c>
    </row>
    <row r="48" ht="32" customHeight="1">
      <c r="A48" s="19" t="inlineStr">
        <is>
          <t>Where a field may not exist on an index security (index duration, index yield-to-worst), the cell is IFERROR(live pull, your fallback input) and the column beside it prints LIVE or FALLBACK so you always know which one you are looking at.</t>
        </is>
      </c>
    </row>
  </sheetData>
  <mergeCells count="12">
    <mergeCell ref="A48:H48"/>
    <mergeCell ref="E40:H40"/>
    <mergeCell ref="E39:H39"/>
    <mergeCell ref="E43:H43"/>
    <mergeCell ref="E35:H35"/>
    <mergeCell ref="E38:H38"/>
    <mergeCell ref="A47:H47"/>
    <mergeCell ref="E41:H41"/>
    <mergeCell ref="A46:H46"/>
    <mergeCell ref="E42:H42"/>
    <mergeCell ref="E37:H37"/>
    <mergeCell ref="E36:H36"/>
  </mergeCells>
  <pageMargins left="0.75" right="0.75" top="1" bottom="1" header="0.5" footer="0.5"/>
</worksheet>
</file>

<file path=xl/worksheets/sheet2.xml><?xml version="1.0" encoding="utf-8"?>
<worksheet xmlns="http://schemas.openxmlformats.org/spreadsheetml/2006/main">
  <sheetPr>
    <tabColor rgb="00E60000"/>
    <outlinePr summaryBelow="1" summaryRight="1"/>
    <pageSetUpPr/>
  </sheetPr>
  <dimension ref="A1:L5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40" customWidth="1" min="12" max="12"/>
  </cols>
  <sheetData>
    <row r="1">
      <c r="A1" s="1" t="inlineStr">
        <is>
          <t>US RATES &amp; CREDIT — THE BOARD</t>
        </is>
      </c>
    </row>
    <row r="2">
      <c r="A2" s="2">
        <f>("As of "&amp;TEXT(TODAY(),"dd mmm yyyy")&amp;" · every figure below is a link; nothing here is typed in")</f>
        <v/>
      </c>
    </row>
    <row r="4" ht="18" customHeight="1">
      <c r="A4" s="3" t="inlineStr">
        <is>
          <t>RATES</t>
        </is>
      </c>
      <c r="B4" s="4" t="n"/>
      <c r="C4" s="4" t="n"/>
      <c r="D4" s="4" t="n"/>
      <c r="E4" s="4" t="n"/>
      <c r="F4" s="4" t="n"/>
      <c r="G4" s="4" t="n"/>
      <c r="H4" s="4" t="n"/>
      <c r="I4" s="4" t="n"/>
      <c r="J4" s="4" t="n"/>
      <c r="K4" s="4" t="n"/>
      <c r="L4" s="4" t="n"/>
    </row>
    <row r="5" ht="28" customHeight="1">
      <c r="A5" s="20" t="inlineStr"/>
      <c r="B5" s="20" t="inlineStr">
        <is>
          <t>Level</t>
        </is>
      </c>
      <c r="C5" s="20" t="inlineStr">
        <is>
          <t>1D</t>
        </is>
      </c>
      <c r="D5" s="20" t="inlineStr">
        <is>
          <t>1W</t>
        </is>
      </c>
      <c r="E5" s="20" t="inlineStr">
        <is>
          <t>1M</t>
        </is>
      </c>
      <c r="F5" s="20" t="inlineStr">
        <is>
          <t>YTD</t>
        </is>
      </c>
      <c r="G5" s="20" t="inlineStr">
        <is>
          <t>1Y</t>
        </is>
      </c>
      <c r="H5" s="20" t="inlineStr">
        <is>
          <t>%ile 1y</t>
        </is>
      </c>
      <c r="I5" s="20" t="inlineStr">
        <is>
          <t>%ile 5y</t>
        </is>
      </c>
      <c r="J5" s="20" t="inlineStr">
        <is>
          <t>%ile 25y</t>
        </is>
      </c>
      <c r="K5" s="20" t="inlineStr">
        <is>
          <t>z (5y)</t>
        </is>
      </c>
      <c r="L5" s="20" t="inlineStr">
        <is>
          <t>Note</t>
        </is>
      </c>
    </row>
    <row r="6">
      <c r="A6" s="21" t="inlineStr">
        <is>
          <t>UST 2Y</t>
        </is>
      </c>
      <c r="B6" s="22">
        <f>INDEX(HIST_D!$F$8:$F$2617,1)</f>
        <v/>
      </c>
      <c r="C6" s="23">
        <f>IFERROR((INDEX(HIST_D!$F$8:$F$2617,1)-INDEX(HIST_D!$F$8:$F$2617,Control!$F$6))*Control!$B$11,"")</f>
        <v/>
      </c>
      <c r="D6" s="23">
        <f>IFERROR((INDEX(HIST_D!$F$8:$F$2617,1)-INDEX(HIST_D!$F$8:$F$2617,Control!$F$7))*Control!$B$11,"")</f>
        <v/>
      </c>
      <c r="E6" s="23">
        <f>IFERROR((INDEX(HIST_D!$F$8:$F$2617,1)-INDEX(HIST_D!$F$8:$F$2617,Control!$F$8))*Control!$B$11,"")</f>
        <v/>
      </c>
      <c r="F6" s="23">
        <f>IFERROR((INDEX(HIST_D!$F$8:$F$2617,1)-INDEX(HIST_D!$F$8:$F$2617,Control!$F$16))*Control!$B$11,"")</f>
        <v/>
      </c>
      <c r="G6" s="23">
        <f>IFERROR((INDEX(HIST_D!$F$8:$F$2617,1)-INDEX(HIST_D!$F$8:$F$2617,Control!$F$11))*Control!$B$11,"")</f>
        <v/>
      </c>
      <c r="H6" s="24">
        <f>IFERROR(PERCENTRANK(HIST_D!$F$8:INDEX(HIST_D!$F$8:$F$2617,Control!$F$11),INDEX(HIST_D!$F$8:$F$2617,1)),"")</f>
        <v/>
      </c>
      <c r="I6" s="24">
        <f>IFERROR(PERCENTRANK(HIST_D!$F$8:INDEX(HIST_D!$F$8:$F$2617,Control!$F$14),INDEX(HIST_D!$F$8:$F$2617,1)),"")</f>
        <v/>
      </c>
      <c r="J6" s="24">
        <f>IFERROR(PERCENTRANK(HIST_M!$B$8:$B$308,INDEX(HIST_D!$F$8:$F$2617,1)),"")</f>
        <v/>
      </c>
      <c r="K6" s="25">
        <f>IFERROR((INDEX(HIST_D!$F$8:$F$2617,1)-AVERAGE(HIST_D!$F$8:INDEX(HIST_D!$F$8:$F$2617,Control!$F$14)))/STDEV(HIST_D!$F$8:INDEX(HIST_D!$F$8:$F$2617,Control!$F$14)),"")</f>
        <v/>
      </c>
    </row>
    <row r="7">
      <c r="A7" s="21" t="inlineStr">
        <is>
          <t>UST 5Y</t>
        </is>
      </c>
      <c r="B7" s="22">
        <f>INDEX(HIST_D!$H$8:$H$2617,1)</f>
        <v/>
      </c>
      <c r="C7" s="23">
        <f>IFERROR((INDEX(HIST_D!$H$8:$H$2617,1)-INDEX(HIST_D!$H$8:$H$2617,Control!$F$6))*Control!$B$11,"")</f>
        <v/>
      </c>
      <c r="D7" s="23">
        <f>IFERROR((INDEX(HIST_D!$H$8:$H$2617,1)-INDEX(HIST_D!$H$8:$H$2617,Control!$F$7))*Control!$B$11,"")</f>
        <v/>
      </c>
      <c r="E7" s="23">
        <f>IFERROR((INDEX(HIST_D!$H$8:$H$2617,1)-INDEX(HIST_D!$H$8:$H$2617,Control!$F$8))*Control!$B$11,"")</f>
        <v/>
      </c>
      <c r="F7" s="23">
        <f>IFERROR((INDEX(HIST_D!$H$8:$H$2617,1)-INDEX(HIST_D!$H$8:$H$2617,Control!$F$16))*Control!$B$11,"")</f>
        <v/>
      </c>
      <c r="G7" s="23">
        <f>IFERROR((INDEX(HIST_D!$H$8:$H$2617,1)-INDEX(HIST_D!$H$8:$H$2617,Control!$F$11))*Control!$B$11,"")</f>
        <v/>
      </c>
      <c r="H7" s="24">
        <f>IFERROR(PERCENTRANK(HIST_D!$H$8:INDEX(HIST_D!$H$8:$H$2617,Control!$F$11),INDEX(HIST_D!$H$8:$H$2617,1)),"")</f>
        <v/>
      </c>
      <c r="I7" s="24">
        <f>IFERROR(PERCENTRANK(HIST_D!$H$8:INDEX(HIST_D!$H$8:$H$2617,Control!$F$14),INDEX(HIST_D!$H$8:$H$2617,1)),"")</f>
        <v/>
      </c>
      <c r="J7" s="24">
        <f>IFERROR(PERCENTRANK(HIST_M!$C$8:$C$308,INDEX(HIST_D!$H$8:$H$2617,1)),"")</f>
        <v/>
      </c>
      <c r="K7" s="25">
        <f>IFERROR((INDEX(HIST_D!$H$8:$H$2617,1)-AVERAGE(HIST_D!$H$8:INDEX(HIST_D!$H$8:$H$2617,Control!$F$14)))/STDEV(HIST_D!$H$8:INDEX(HIST_D!$H$8:$H$2617,Control!$F$14)),"")</f>
        <v/>
      </c>
    </row>
    <row r="8">
      <c r="A8" s="21" t="inlineStr">
        <is>
          <t>UST 10Y</t>
        </is>
      </c>
      <c r="B8" s="22">
        <f>INDEX(HIST_D!$J$8:$J$2617,1)</f>
        <v/>
      </c>
      <c r="C8" s="23">
        <f>IFERROR((INDEX(HIST_D!$J$8:$J$2617,1)-INDEX(HIST_D!$J$8:$J$2617,Control!$F$6))*Control!$B$11,"")</f>
        <v/>
      </c>
      <c r="D8" s="23">
        <f>IFERROR((INDEX(HIST_D!$J$8:$J$2617,1)-INDEX(HIST_D!$J$8:$J$2617,Control!$F$7))*Control!$B$11,"")</f>
        <v/>
      </c>
      <c r="E8" s="23">
        <f>IFERROR((INDEX(HIST_D!$J$8:$J$2617,1)-INDEX(HIST_D!$J$8:$J$2617,Control!$F$8))*Control!$B$11,"")</f>
        <v/>
      </c>
      <c r="F8" s="23">
        <f>IFERROR((INDEX(HIST_D!$J$8:$J$2617,1)-INDEX(HIST_D!$J$8:$J$2617,Control!$F$16))*Control!$B$11,"")</f>
        <v/>
      </c>
      <c r="G8" s="23">
        <f>IFERROR((INDEX(HIST_D!$J$8:$J$2617,1)-INDEX(HIST_D!$J$8:$J$2617,Control!$F$11))*Control!$B$11,"")</f>
        <v/>
      </c>
      <c r="H8" s="24">
        <f>IFERROR(PERCENTRANK(HIST_D!$J$8:INDEX(HIST_D!$J$8:$J$2617,Control!$F$11),INDEX(HIST_D!$J$8:$J$2617,1)),"")</f>
        <v/>
      </c>
      <c r="I8" s="24">
        <f>IFERROR(PERCENTRANK(HIST_D!$J$8:INDEX(HIST_D!$J$8:$J$2617,Control!$F$14),INDEX(HIST_D!$J$8:$J$2617,1)),"")</f>
        <v/>
      </c>
      <c r="J8" s="24">
        <f>IFERROR(PERCENTRANK(HIST_M!$D$8:$D$308,INDEX(HIST_D!$J$8:$J$2617,1)),"")</f>
        <v/>
      </c>
      <c r="K8" s="25">
        <f>IFERROR((INDEX(HIST_D!$J$8:$J$2617,1)-AVERAGE(HIST_D!$J$8:INDEX(HIST_D!$J$8:$J$2617,Control!$F$14)))/STDEV(HIST_D!$J$8:INDEX(HIST_D!$J$8:$J$2617,Control!$F$14)),"")</f>
        <v/>
      </c>
    </row>
    <row r="9">
      <c r="A9" s="21" t="inlineStr">
        <is>
          <t>UST 30Y</t>
        </is>
      </c>
      <c r="B9" s="22">
        <f>INDEX(HIST_D!$L$8:$L$2617,1)</f>
        <v/>
      </c>
      <c r="C9" s="23">
        <f>IFERROR((INDEX(HIST_D!$L$8:$L$2617,1)-INDEX(HIST_D!$L$8:$L$2617,Control!$F$6))*Control!$B$11,"")</f>
        <v/>
      </c>
      <c r="D9" s="23">
        <f>IFERROR((INDEX(HIST_D!$L$8:$L$2617,1)-INDEX(HIST_D!$L$8:$L$2617,Control!$F$7))*Control!$B$11,"")</f>
        <v/>
      </c>
      <c r="E9" s="23">
        <f>IFERROR((INDEX(HIST_D!$L$8:$L$2617,1)-INDEX(HIST_D!$L$8:$L$2617,Control!$F$8))*Control!$B$11,"")</f>
        <v/>
      </c>
      <c r="F9" s="23">
        <f>IFERROR((INDEX(HIST_D!$L$8:$L$2617,1)-INDEX(HIST_D!$L$8:$L$2617,Control!$F$16))*Control!$B$11,"")</f>
        <v/>
      </c>
      <c r="G9" s="23">
        <f>IFERROR((INDEX(HIST_D!$L$8:$L$2617,1)-INDEX(HIST_D!$L$8:$L$2617,Control!$F$11))*Control!$B$11,"")</f>
        <v/>
      </c>
      <c r="H9" s="24">
        <f>IFERROR(PERCENTRANK(HIST_D!$L$8:INDEX(HIST_D!$L$8:$L$2617,Control!$F$11),INDEX(HIST_D!$L$8:$L$2617,1)),"")</f>
        <v/>
      </c>
      <c r="I9" s="24">
        <f>IFERROR(PERCENTRANK(HIST_D!$L$8:INDEX(HIST_D!$L$8:$L$2617,Control!$F$14),INDEX(HIST_D!$L$8:$L$2617,1)),"")</f>
        <v/>
      </c>
      <c r="J9" s="24">
        <f>IFERROR(PERCENTRANK(HIST_M!$E$8:$E$308,INDEX(HIST_D!$L$8:$L$2617,1)),"")</f>
        <v/>
      </c>
      <c r="K9" s="25">
        <f>IFERROR((INDEX(HIST_D!$L$8:$L$2617,1)-AVERAGE(HIST_D!$L$8:INDEX(HIST_D!$L$8:$L$2617,Control!$F$14)))/STDEV(HIST_D!$L$8:INDEX(HIST_D!$L$8:$L$2617,Control!$F$14)),"")</f>
        <v/>
      </c>
    </row>
    <row r="10">
      <c r="A10" s="21" t="inlineStr">
        <is>
          <t>2s10s</t>
        </is>
      </c>
      <c r="B10" s="26">
        <f>INDEX(HIST_D!$AV$8:$AV$2617,1)</f>
        <v/>
      </c>
      <c r="C10" s="23">
        <f>IFERROR((INDEX(HIST_D!$AV$8:$AV$2617,1)-INDEX(HIST_D!$AV$8:$AV$2617,Control!$F$6))*1,"")</f>
        <v/>
      </c>
      <c r="D10" s="23">
        <f>IFERROR((INDEX(HIST_D!$AV$8:$AV$2617,1)-INDEX(HIST_D!$AV$8:$AV$2617,Control!$F$7))*1,"")</f>
        <v/>
      </c>
      <c r="E10" s="23">
        <f>IFERROR((INDEX(HIST_D!$AV$8:$AV$2617,1)-INDEX(HIST_D!$AV$8:$AV$2617,Control!$F$8))*1,"")</f>
        <v/>
      </c>
      <c r="F10" s="23">
        <f>IFERROR((INDEX(HIST_D!$AV$8:$AV$2617,1)-INDEX(HIST_D!$AV$8:$AV$2617,Control!$F$16))*1,"")</f>
        <v/>
      </c>
      <c r="G10" s="23">
        <f>IFERROR((INDEX(HIST_D!$AV$8:$AV$2617,1)-INDEX(HIST_D!$AV$8:$AV$2617,Control!$F$11))*1,"")</f>
        <v/>
      </c>
      <c r="H10" s="24">
        <f>IFERROR(PERCENTRANK(HIST_D!$AV$8:INDEX(HIST_D!$AV$8:$AV$2617,Control!$F$11),INDEX(HIST_D!$AV$8:$AV$2617,1)),"")</f>
        <v/>
      </c>
      <c r="I10" s="24">
        <f>IFERROR(PERCENTRANK(HIST_D!$AV$8:INDEX(HIST_D!$AV$8:$AV$2617,Control!$F$14),INDEX(HIST_D!$AV$8:$AV$2617,1)),"")</f>
        <v/>
      </c>
      <c r="J10" s="24">
        <f>IFERROR(PERCENTRANK(HIST_M!$J$8:$J$308,INDEX(HIST_D!$AV$8:$AV$2617,1)),"")</f>
        <v/>
      </c>
      <c r="K10" s="25">
        <f>IFERROR((INDEX(HIST_D!$AV$8:$AV$2617,1)-AVERAGE(HIST_D!$AV$8:INDEX(HIST_D!$AV$8:$AV$2617,Control!$F$14)))/STDEV(HIST_D!$AV$8:INDEX(HIST_D!$AV$8:$AV$2617,Control!$F$14)),"")</f>
        <v/>
      </c>
    </row>
    <row r="11">
      <c r="A11" s="21" t="inlineStr">
        <is>
          <t>5s30s</t>
        </is>
      </c>
      <c r="B11" s="26">
        <f>INDEX(HIST_D!$AY$8:$AY$2617,1)</f>
        <v/>
      </c>
      <c r="C11" s="23">
        <f>IFERROR((INDEX(HIST_D!$AY$8:$AY$2617,1)-INDEX(HIST_D!$AY$8:$AY$2617,Control!$F$6))*1,"")</f>
        <v/>
      </c>
      <c r="D11" s="23">
        <f>IFERROR((INDEX(HIST_D!$AY$8:$AY$2617,1)-INDEX(HIST_D!$AY$8:$AY$2617,Control!$F$7))*1,"")</f>
        <v/>
      </c>
      <c r="E11" s="23">
        <f>IFERROR((INDEX(HIST_D!$AY$8:$AY$2617,1)-INDEX(HIST_D!$AY$8:$AY$2617,Control!$F$8))*1,"")</f>
        <v/>
      </c>
      <c r="F11" s="23">
        <f>IFERROR((INDEX(HIST_D!$AY$8:$AY$2617,1)-INDEX(HIST_D!$AY$8:$AY$2617,Control!$F$16))*1,"")</f>
        <v/>
      </c>
      <c r="G11" s="23">
        <f>IFERROR((INDEX(HIST_D!$AY$8:$AY$2617,1)-INDEX(HIST_D!$AY$8:$AY$2617,Control!$F$11))*1,"")</f>
        <v/>
      </c>
      <c r="H11" s="24">
        <f>IFERROR(PERCENTRANK(HIST_D!$AY$8:INDEX(HIST_D!$AY$8:$AY$2617,Control!$F$11),INDEX(HIST_D!$AY$8:$AY$2617,1)),"")</f>
        <v/>
      </c>
      <c r="I11" s="24">
        <f>IFERROR(PERCENTRANK(HIST_D!$AY$8:INDEX(HIST_D!$AY$8:$AY$2617,Control!$F$14),INDEX(HIST_D!$AY$8:$AY$2617,1)),"")</f>
        <v/>
      </c>
      <c r="J11" s="24">
        <f>IFERROR(PERCENTRANK(HIST_M!$L$8:$L$308,INDEX(HIST_D!$AY$8:$AY$2617,1)),"")</f>
        <v/>
      </c>
      <c r="K11" s="25">
        <f>IFERROR((INDEX(HIST_D!$AY$8:$AY$2617,1)-AVERAGE(HIST_D!$AY$8:INDEX(HIST_D!$AY$8:$AY$2617,Control!$F$14)))/STDEV(HIST_D!$AY$8:INDEX(HIST_D!$AY$8:$AY$2617,Control!$F$14)),"")</f>
        <v/>
      </c>
    </row>
    <row r="12">
      <c r="A12" s="21" t="inlineStr">
        <is>
          <t>10Y real yield</t>
        </is>
      </c>
      <c r="B12" s="22">
        <f>INDEX(HIST_D!$X$8:$X$2617,1)</f>
        <v/>
      </c>
      <c r="C12" s="23">
        <f>IFERROR((INDEX(HIST_D!$X$8:$X$2617,1)-INDEX(HIST_D!$X$8:$X$2617,Control!$F$6))*Control!$B$11,"")</f>
        <v/>
      </c>
      <c r="D12" s="23">
        <f>IFERROR((INDEX(HIST_D!$X$8:$X$2617,1)-INDEX(HIST_D!$X$8:$X$2617,Control!$F$7))*Control!$B$11,"")</f>
        <v/>
      </c>
      <c r="E12" s="23">
        <f>IFERROR((INDEX(HIST_D!$X$8:$X$2617,1)-INDEX(HIST_D!$X$8:$X$2617,Control!$F$8))*Control!$B$11,"")</f>
        <v/>
      </c>
      <c r="F12" s="23">
        <f>IFERROR((INDEX(HIST_D!$X$8:$X$2617,1)-INDEX(HIST_D!$X$8:$X$2617,Control!$F$16))*Control!$B$11,"")</f>
        <v/>
      </c>
      <c r="G12" s="23">
        <f>IFERROR((INDEX(HIST_D!$X$8:$X$2617,1)-INDEX(HIST_D!$X$8:$X$2617,Control!$F$11))*Control!$B$11,"")</f>
        <v/>
      </c>
      <c r="H12" s="24">
        <f>IFERROR(PERCENTRANK(HIST_D!$X$8:INDEX(HIST_D!$X$8:$X$2617,Control!$F$11),INDEX(HIST_D!$X$8:$X$2617,1)),"")</f>
        <v/>
      </c>
      <c r="I12" s="24">
        <f>IFERROR(PERCENTRANK(HIST_D!$X$8:INDEX(HIST_D!$X$8:$X$2617,Control!$F$14),INDEX(HIST_D!$X$8:$X$2617,1)),"")</f>
        <v/>
      </c>
      <c r="J12" s="24" t="inlineStr"/>
      <c r="K12" s="25">
        <f>IFERROR((INDEX(HIST_D!$X$8:$X$2617,1)-AVERAGE(HIST_D!$X$8:INDEX(HIST_D!$X$8:$X$2617,Control!$F$14)))/STDEV(HIST_D!$X$8:INDEX(HIST_D!$X$8:$X$2617,Control!$F$14)),"")</f>
        <v/>
      </c>
    </row>
    <row r="13">
      <c r="A13" s="21" t="inlineStr">
        <is>
          <t>10Y breakeven</t>
        </is>
      </c>
      <c r="B13" s="22">
        <f>INDEX(HIST_D!$Z$8:$Z$2617,1)</f>
        <v/>
      </c>
      <c r="C13" s="23">
        <f>IFERROR((INDEX(HIST_D!$Z$8:$Z$2617,1)-INDEX(HIST_D!$Z$8:$Z$2617,Control!$F$6))*Control!$B$11,"")</f>
        <v/>
      </c>
      <c r="D13" s="23">
        <f>IFERROR((INDEX(HIST_D!$Z$8:$Z$2617,1)-INDEX(HIST_D!$Z$8:$Z$2617,Control!$F$7))*Control!$B$11,"")</f>
        <v/>
      </c>
      <c r="E13" s="23">
        <f>IFERROR((INDEX(HIST_D!$Z$8:$Z$2617,1)-INDEX(HIST_D!$Z$8:$Z$2617,Control!$F$8))*Control!$B$11,"")</f>
        <v/>
      </c>
      <c r="F13" s="23">
        <f>IFERROR((INDEX(HIST_D!$Z$8:$Z$2617,1)-INDEX(HIST_D!$Z$8:$Z$2617,Control!$F$16))*Control!$B$11,"")</f>
        <v/>
      </c>
      <c r="G13" s="23">
        <f>IFERROR((INDEX(HIST_D!$Z$8:$Z$2617,1)-INDEX(HIST_D!$Z$8:$Z$2617,Control!$F$11))*Control!$B$11,"")</f>
        <v/>
      </c>
      <c r="H13" s="24">
        <f>IFERROR(PERCENTRANK(HIST_D!$Z$8:INDEX(HIST_D!$Z$8:$Z$2617,Control!$F$11),INDEX(HIST_D!$Z$8:$Z$2617,1)),"")</f>
        <v/>
      </c>
      <c r="I13" s="24">
        <f>IFERROR(PERCENTRANK(HIST_D!$Z$8:INDEX(HIST_D!$Z$8:$Z$2617,Control!$F$14),INDEX(HIST_D!$Z$8:$Z$2617,1)),"")</f>
        <v/>
      </c>
      <c r="J13" s="24" t="inlineStr"/>
      <c r="K13" s="25">
        <f>IFERROR((INDEX(HIST_D!$Z$8:$Z$2617,1)-AVERAGE(HIST_D!$Z$8:INDEX(HIST_D!$Z$8:$Z$2617,Control!$F$14)))/STDEV(HIST_D!$Z$8:INDEX(HIST_D!$Z$8:$Z$2617,Control!$F$14)),"")</f>
        <v/>
      </c>
    </row>
    <row r="14">
      <c r="A14" s="21" t="inlineStr">
        <is>
          <t>MOVE</t>
        </is>
      </c>
      <c r="B14" s="26">
        <f>INDEX(HIST_D!$AB$8:$AB$2617,1)</f>
        <v/>
      </c>
      <c r="C14" s="23">
        <f>IFERROR((INDEX(HIST_D!$AB$8:$AB$2617,1)-INDEX(HIST_D!$AB$8:$AB$2617,Control!$F$6))*1,"")</f>
        <v/>
      </c>
      <c r="D14" s="23">
        <f>IFERROR((INDEX(HIST_D!$AB$8:$AB$2617,1)-INDEX(HIST_D!$AB$8:$AB$2617,Control!$F$7))*1,"")</f>
        <v/>
      </c>
      <c r="E14" s="23">
        <f>IFERROR((INDEX(HIST_D!$AB$8:$AB$2617,1)-INDEX(HIST_D!$AB$8:$AB$2617,Control!$F$8))*1,"")</f>
        <v/>
      </c>
      <c r="F14" s="23">
        <f>IFERROR((INDEX(HIST_D!$AB$8:$AB$2617,1)-INDEX(HIST_D!$AB$8:$AB$2617,Control!$F$16))*1,"")</f>
        <v/>
      </c>
      <c r="G14" s="23">
        <f>IFERROR((INDEX(HIST_D!$AB$8:$AB$2617,1)-INDEX(HIST_D!$AB$8:$AB$2617,Control!$F$11))*1,"")</f>
        <v/>
      </c>
      <c r="H14" s="24">
        <f>IFERROR(PERCENTRANK(HIST_D!$AB$8:INDEX(HIST_D!$AB$8:$AB$2617,Control!$F$11),INDEX(HIST_D!$AB$8:$AB$2617,1)),"")</f>
        <v/>
      </c>
      <c r="I14" s="24">
        <f>IFERROR(PERCENTRANK(HIST_D!$AB$8:INDEX(HIST_D!$AB$8:$AB$2617,Control!$F$14),INDEX(HIST_D!$AB$8:$AB$2617,1)),"")</f>
        <v/>
      </c>
      <c r="J14" s="24">
        <f>IFERROR(PERCENTRANK(HIST_M!$I$8:$I$308,INDEX(HIST_D!$AB$8:$AB$2617,1)),"")</f>
        <v/>
      </c>
      <c r="K14" s="25">
        <f>IFERROR((INDEX(HIST_D!$AB$8:$AB$2617,1)-AVERAGE(HIST_D!$AB$8:INDEX(HIST_D!$AB$8:$AB$2617,Control!$F$14)))/STDEV(HIST_D!$AB$8:INDEX(HIST_D!$AB$8:$AB$2617,Control!$F$14)),"")</f>
        <v/>
      </c>
    </row>
    <row r="16" ht="18" customHeight="1">
      <c r="A16" s="3" t="inlineStr">
        <is>
          <t>POLICY</t>
        </is>
      </c>
      <c r="B16" s="4" t="n"/>
      <c r="C16" s="4" t="n"/>
      <c r="D16" s="4" t="n"/>
      <c r="E16" s="4" t="n"/>
      <c r="F16" s="4" t="n"/>
      <c r="G16" s="4" t="n"/>
      <c r="H16" s="4" t="n"/>
      <c r="I16" s="4" t="n"/>
      <c r="J16" s="4" t="n"/>
      <c r="K16" s="4" t="n"/>
      <c r="L16" s="4" t="n"/>
    </row>
    <row r="17" ht="28" customHeight="1">
      <c r="A17" s="20" t="inlineStr"/>
      <c r="B17" s="20" t="inlineStr">
        <is>
          <t>Value</t>
        </is>
      </c>
      <c r="C17" s="20" t="inlineStr">
        <is>
          <t>Unit</t>
        </is>
      </c>
      <c r="D17" s="20" t="inlineStr">
        <is>
          <t>Note</t>
        </is>
      </c>
      <c r="E17" s="20" t="inlineStr"/>
      <c r="F17" s="20" t="inlineStr"/>
      <c r="G17" s="20" t="inlineStr"/>
      <c r="H17" s="20" t="inlineStr"/>
      <c r="I17" s="20" t="inlineStr"/>
      <c r="J17" s="20" t="inlineStr"/>
      <c r="K17" s="20" t="inlineStr"/>
      <c r="L17" s="20" t="inlineStr"/>
    </row>
    <row r="18">
      <c r="A18" s="21" t="inlineStr">
        <is>
          <t>Spot EFFR</t>
        </is>
      </c>
      <c r="B18" s="22">
        <f>Policy!$F$9</f>
        <v/>
      </c>
      <c r="C18" s="27" t="inlineStr">
        <is>
          <t>%</t>
        </is>
      </c>
      <c r="D18" s="10" t="inlineStr">
        <is>
          <t>live</t>
        </is>
      </c>
    </row>
    <row r="19">
      <c r="A19" s="21" t="inlineStr">
        <is>
          <t>Market terminal (strip trough)</t>
        </is>
      </c>
      <c r="B19" s="22">
        <f>Policy!$E$36</f>
        <v/>
      </c>
      <c r="C19" s="27" t="inlineStr">
        <is>
          <t>%</t>
        </is>
      </c>
      <c r="D19" s="10" t="inlineStr">
        <is>
          <t>lowest implied month-average on the FF strip</t>
        </is>
      </c>
    </row>
    <row r="20">
      <c r="A20" s="21" t="inlineStr">
        <is>
          <t>Cuts priced to the trough</t>
        </is>
      </c>
      <c r="B20" s="28">
        <f>Policy!$G$36</f>
        <v/>
      </c>
      <c r="C20" s="27" t="inlineStr">
        <is>
          <t># of 25bp</t>
        </is>
      </c>
      <c r="D20" s="10" t="inlineStr"/>
    </row>
    <row r="21">
      <c r="A21" s="21" t="inlineStr">
        <is>
          <t>Cuts priced 12m out</t>
        </is>
      </c>
      <c r="B21" s="28">
        <f>Policy!$G$28</f>
        <v/>
      </c>
      <c r="C21" s="27" t="inlineStr">
        <is>
          <t># of 25bp</t>
        </is>
      </c>
      <c r="D21" s="10" t="inlineStr">
        <is>
          <t>FF12 contract vs spot EFFR</t>
        </is>
      </c>
    </row>
    <row r="22">
      <c r="A22" s="21" t="inlineStr">
        <is>
          <t>OIS 1y1y</t>
        </is>
      </c>
      <c r="B22" s="22">
        <f>IFERROR(((1+INDEX(HIST_D!$N$8:$N$2617,1)/100)^2/(1+INDEX(HIST_D!$M$8:$M$2617,1)/100))*100-100,"")</f>
        <v/>
      </c>
      <c r="C22" s="27" t="inlineStr">
        <is>
          <t>%</t>
        </is>
      </c>
      <c r="D22" s="10" t="inlineStr">
        <is>
          <t>policy 12–24m out</t>
        </is>
      </c>
    </row>
    <row r="23">
      <c r="A23" s="21" t="inlineStr">
        <is>
          <t>OIS 5y5y</t>
        </is>
      </c>
      <c r="B23" s="22">
        <f>IFERROR(((1+INDEX(HIST_D!$S$8:$S$2617,1)/100)^10/(1+INDEX(HIST_D!$Q$8:$Q$2617,1)/100)^5)^(1/5)*100-100,"")</f>
        <v/>
      </c>
      <c r="C23" s="27" t="inlineStr">
        <is>
          <t>%</t>
        </is>
      </c>
      <c r="D23" s="10" t="inlineStr">
        <is>
          <t>long-run anchor</t>
        </is>
      </c>
    </row>
    <row r="25" ht="18" customHeight="1">
      <c r="A25" s="3" t="inlineStr">
        <is>
          <t>FUNDING &amp; LIQUIDITY</t>
        </is>
      </c>
      <c r="B25" s="4" t="n"/>
      <c r="C25" s="4" t="n"/>
      <c r="D25" s="4" t="n"/>
      <c r="E25" s="4" t="n"/>
      <c r="F25" s="4" t="n"/>
      <c r="G25" s="4" t="n"/>
      <c r="H25" s="4" t="n"/>
      <c r="I25" s="4" t="n"/>
      <c r="J25" s="4" t="n"/>
      <c r="K25" s="4" t="n"/>
      <c r="L25" s="4" t="n"/>
    </row>
    <row r="26" ht="28" customHeight="1">
      <c r="A26" s="20" t="inlineStr"/>
      <c r="B26" s="20" t="inlineStr">
        <is>
          <t>Value</t>
        </is>
      </c>
      <c r="C26" s="20" t="inlineStr">
        <is>
          <t>Unit</t>
        </is>
      </c>
      <c r="D26" s="20" t="inlineStr">
        <is>
          <t>Status</t>
        </is>
      </c>
      <c r="E26" s="20" t="inlineStr">
        <is>
          <t>Note</t>
        </is>
      </c>
      <c r="F26" s="20" t="inlineStr"/>
      <c r="G26" s="20" t="inlineStr"/>
      <c r="H26" s="20" t="inlineStr"/>
      <c r="I26" s="20" t="inlineStr"/>
      <c r="J26" s="20" t="inlineStr"/>
      <c r="K26" s="20" t="inlineStr"/>
      <c r="L26" s="20" t="inlineStr"/>
    </row>
    <row r="27">
      <c r="A27" s="21" t="inlineStr">
        <is>
          <t>SOFR − IORB</t>
        </is>
      </c>
      <c r="B27" s="29">
        <f>Liquidity!$B$44</f>
        <v/>
      </c>
      <c r="C27" s="27" t="inlineStr">
        <is>
          <t>bp</t>
        </is>
      </c>
      <c r="D27" s="30">
        <f>IF($B27&gt;5,"TIGHT","OK")</f>
        <v/>
      </c>
      <c r="E27" s="10" t="inlineStr">
        <is>
          <t>the scarcity tell</t>
        </is>
      </c>
    </row>
    <row r="28">
      <c r="A28" s="21" t="inlineStr">
        <is>
          <t>ON RRP volume</t>
        </is>
      </c>
      <c r="B28" s="31">
        <f>INDEX(HIST_D!$AP$8:$AP$2617,1)</f>
        <v/>
      </c>
      <c r="C28" s="27" t="inlineStr">
        <is>
          <t>$bn</t>
        </is>
      </c>
      <c r="D28" s="30">
        <f>IF($B28&lt;50,"BUFFER GONE","OK")</f>
        <v/>
      </c>
      <c r="E28" s="10" t="inlineStr">
        <is>
          <t>below ~$50bn every drain hits reserves</t>
        </is>
      </c>
    </row>
    <row r="29">
      <c r="A29" s="21" t="inlineStr">
        <is>
          <t>MOVE percentile (3y)</t>
        </is>
      </c>
      <c r="B29" s="32">
        <f>IFERROR(PERCENTRANK(HIST_D!$AB$8:INDEX(HIST_D!$AB$8:$AB$2617,Control!$F$13),INDEX(HIST_D!$AB$8:$AB$2617,1)),"")</f>
        <v/>
      </c>
      <c r="C29" s="27" t="inlineStr">
        <is>
          <t>%ile</t>
        </is>
      </c>
      <c r="D29" s="30">
        <f>IF($B29&gt;0.8,"STRESSED","OK")</f>
        <v/>
      </c>
      <c r="E29" s="10" t="inlineStr">
        <is>
          <t>the transmission channel into EM</t>
        </is>
      </c>
    </row>
    <row r="30">
      <c r="A30" s="21" t="inlineStr">
        <is>
          <t>Swap spread 10Y</t>
        </is>
      </c>
      <c r="B30" s="26">
        <f>INDEX(HIST_D!$BE$8:$BE$2617,1)</f>
        <v/>
      </c>
      <c r="C30" s="27" t="inlineStr">
        <is>
          <t>bp</t>
        </is>
      </c>
      <c r="D30" s="30">
        <f>IF(IFERROR((INDEX(HIST_D!$BE$8:$BE$2617,1)-AVERAGE(HIST_D!$BE$8:INDEX(HIST_D!$BE$8:$BE$2617,Control!$F$14)))/STDEV(HIST_D!$BE$8:INDEX(HIST_D!$BE$8:$BE$2617,Control!$F$14)),"")&lt;-1.5,"BALANCE SHEET SCARCE","OK")</f>
        <v/>
      </c>
      <c r="E30" s="10" t="inlineStr">
        <is>
          <t>dealer capacity</t>
        </is>
      </c>
    </row>
    <row r="32" ht="18" customHeight="1">
      <c r="A32" s="3" t="inlineStr">
        <is>
          <t>CREDIT</t>
        </is>
      </c>
      <c r="B32" s="4" t="n"/>
      <c r="C32" s="4" t="n"/>
      <c r="D32" s="4" t="n"/>
      <c r="E32" s="4" t="n"/>
      <c r="F32" s="4" t="n"/>
      <c r="G32" s="4" t="n"/>
      <c r="H32" s="4" t="n"/>
      <c r="I32" s="4" t="n"/>
      <c r="J32" s="4" t="n"/>
      <c r="K32" s="4" t="n"/>
      <c r="L32" s="4" t="n"/>
    </row>
    <row r="33" ht="28" customHeight="1">
      <c r="A33" s="20" t="inlineStr"/>
      <c r="B33" s="20" t="inlineStr">
        <is>
          <t>Level</t>
        </is>
      </c>
      <c r="C33" s="20" t="inlineStr">
        <is>
          <t>1D</t>
        </is>
      </c>
      <c r="D33" s="20" t="inlineStr">
        <is>
          <t>1W</t>
        </is>
      </c>
      <c r="E33" s="20" t="inlineStr">
        <is>
          <t>1M</t>
        </is>
      </c>
      <c r="F33" s="20" t="inlineStr">
        <is>
          <t>YTD</t>
        </is>
      </c>
      <c r="G33" s="20" t="inlineStr">
        <is>
          <t>1Y</t>
        </is>
      </c>
      <c r="H33" s="20" t="inlineStr">
        <is>
          <t>%ile 1y</t>
        </is>
      </c>
      <c r="I33" s="20" t="inlineStr">
        <is>
          <t>%ile 5y</t>
        </is>
      </c>
      <c r="J33" s="20" t="inlineStr">
        <is>
          <t>%ile 25y</t>
        </is>
      </c>
      <c r="K33" s="20" t="inlineStr">
        <is>
          <t>z (5y)</t>
        </is>
      </c>
      <c r="L33" s="20" t="inlineStr">
        <is>
          <t>Note</t>
        </is>
      </c>
    </row>
    <row r="34">
      <c r="A34" s="21" t="inlineStr">
        <is>
          <t>US IG OAS</t>
        </is>
      </c>
      <c r="B34" s="26">
        <f>INDEX(HIST_D!$AF$8:$AF$2617,1)</f>
        <v/>
      </c>
      <c r="C34" s="23">
        <f>IFERROR((INDEX(HIST_D!$AF$8:$AF$2617,1)-INDEX(HIST_D!$AF$8:$AF$2617,Control!$F$6))*1,"")</f>
        <v/>
      </c>
      <c r="D34" s="23">
        <f>IFERROR((INDEX(HIST_D!$AF$8:$AF$2617,1)-INDEX(HIST_D!$AF$8:$AF$2617,Control!$F$7))*1,"")</f>
        <v/>
      </c>
      <c r="E34" s="23">
        <f>IFERROR((INDEX(HIST_D!$AF$8:$AF$2617,1)-INDEX(HIST_D!$AF$8:$AF$2617,Control!$F$8))*1,"")</f>
        <v/>
      </c>
      <c r="F34" s="23">
        <f>IFERROR((INDEX(HIST_D!$AF$8:$AF$2617,1)-INDEX(HIST_D!$AF$8:$AF$2617,Control!$F$16))*1,"")</f>
        <v/>
      </c>
      <c r="G34" s="23">
        <f>IFERROR((INDEX(HIST_D!$AF$8:$AF$2617,1)-INDEX(HIST_D!$AF$8:$AF$2617,Control!$F$11))*1,"")</f>
        <v/>
      </c>
      <c r="H34" s="24">
        <f>IFERROR(PERCENTRANK(HIST_D!$AF$8:INDEX(HIST_D!$AF$8:$AF$2617,Control!$F$11),INDEX(HIST_D!$AF$8:$AF$2617,1)),"")</f>
        <v/>
      </c>
      <c r="I34" s="24">
        <f>IFERROR(PERCENTRANK(HIST_D!$AF$8:INDEX(HIST_D!$AF$8:$AF$2617,Control!$F$14),INDEX(HIST_D!$AF$8:$AF$2617,1)),"")</f>
        <v/>
      </c>
      <c r="J34" s="24">
        <f>IFERROR(PERCENTRANK(HIST_M!$F$8:$F$308,INDEX(HIST_D!$AF$8:$AF$2617,1)),"")</f>
        <v/>
      </c>
      <c r="K34" s="25">
        <f>IFERROR((INDEX(HIST_D!$AF$8:$AF$2617,1)-AVERAGE(HIST_D!$AF$8:INDEX(HIST_D!$AF$8:$AF$2617,Control!$F$14)))/STDEV(HIST_D!$AF$8:INDEX(HIST_D!$AF$8:$AF$2617,Control!$F$14)),"")</f>
        <v/>
      </c>
    </row>
    <row r="35">
      <c r="A35" s="21" t="inlineStr">
        <is>
          <t>US HY OAS</t>
        </is>
      </c>
      <c r="B35" s="26">
        <f>INDEX(HIST_D!$AG$8:$AG$2617,1)</f>
        <v/>
      </c>
      <c r="C35" s="23">
        <f>IFERROR((INDEX(HIST_D!$AG$8:$AG$2617,1)-INDEX(HIST_D!$AG$8:$AG$2617,Control!$F$6))*1,"")</f>
        <v/>
      </c>
      <c r="D35" s="23">
        <f>IFERROR((INDEX(HIST_D!$AG$8:$AG$2617,1)-INDEX(HIST_D!$AG$8:$AG$2617,Control!$F$7))*1,"")</f>
        <v/>
      </c>
      <c r="E35" s="23">
        <f>IFERROR((INDEX(HIST_D!$AG$8:$AG$2617,1)-INDEX(HIST_D!$AG$8:$AG$2617,Control!$F$8))*1,"")</f>
        <v/>
      </c>
      <c r="F35" s="23">
        <f>IFERROR((INDEX(HIST_D!$AG$8:$AG$2617,1)-INDEX(HIST_D!$AG$8:$AG$2617,Control!$F$16))*1,"")</f>
        <v/>
      </c>
      <c r="G35" s="23">
        <f>IFERROR((INDEX(HIST_D!$AG$8:$AG$2617,1)-INDEX(HIST_D!$AG$8:$AG$2617,Control!$F$11))*1,"")</f>
        <v/>
      </c>
      <c r="H35" s="24">
        <f>IFERROR(PERCENTRANK(HIST_D!$AG$8:INDEX(HIST_D!$AG$8:$AG$2617,Control!$F$11),INDEX(HIST_D!$AG$8:$AG$2617,1)),"")</f>
        <v/>
      </c>
      <c r="I35" s="24">
        <f>IFERROR(PERCENTRANK(HIST_D!$AG$8:INDEX(HIST_D!$AG$8:$AG$2617,Control!$F$14),INDEX(HIST_D!$AG$8:$AG$2617,1)),"")</f>
        <v/>
      </c>
      <c r="J35" s="24">
        <f>IFERROR(PERCENTRANK(HIST_M!$G$8:$G$308,INDEX(HIST_D!$AG$8:$AG$2617,1)),"")</f>
        <v/>
      </c>
      <c r="K35" s="25">
        <f>IFERROR((INDEX(HIST_D!$AG$8:$AG$2617,1)-AVERAGE(HIST_D!$AG$8:INDEX(HIST_D!$AG$8:$AG$2617,Control!$F$14)))/STDEV(HIST_D!$AG$8:INDEX(HIST_D!$AG$8:$AG$2617,Control!$F$14)),"")</f>
        <v/>
      </c>
    </row>
    <row r="36">
      <c r="A36" s="21" t="inlineStr">
        <is>
          <t>HY − IG</t>
        </is>
      </c>
      <c r="B36" s="26">
        <f>INDEX(HIST_D!$BG$8:$BG$2617,1)</f>
        <v/>
      </c>
      <c r="C36" s="23">
        <f>IFERROR((INDEX(HIST_D!$BG$8:$BG$2617,1)-INDEX(HIST_D!$BG$8:$BG$2617,Control!$F$6))*1,"")</f>
        <v/>
      </c>
      <c r="D36" s="23">
        <f>IFERROR((INDEX(HIST_D!$BG$8:$BG$2617,1)-INDEX(HIST_D!$BG$8:$BG$2617,Control!$F$7))*1,"")</f>
        <v/>
      </c>
      <c r="E36" s="23">
        <f>IFERROR((INDEX(HIST_D!$BG$8:$BG$2617,1)-INDEX(HIST_D!$BG$8:$BG$2617,Control!$F$8))*1,"")</f>
        <v/>
      </c>
      <c r="F36" s="23">
        <f>IFERROR((INDEX(HIST_D!$BG$8:$BG$2617,1)-INDEX(HIST_D!$BG$8:$BG$2617,Control!$F$16))*1,"")</f>
        <v/>
      </c>
      <c r="G36" s="23">
        <f>IFERROR((INDEX(HIST_D!$BG$8:$BG$2617,1)-INDEX(HIST_D!$BG$8:$BG$2617,Control!$F$11))*1,"")</f>
        <v/>
      </c>
      <c r="H36" s="24">
        <f>IFERROR(PERCENTRANK(HIST_D!$BG$8:INDEX(HIST_D!$BG$8:$BG$2617,Control!$F$11),INDEX(HIST_D!$BG$8:$BG$2617,1)),"")</f>
        <v/>
      </c>
      <c r="I36" s="24">
        <f>IFERROR(PERCENTRANK(HIST_D!$BG$8:INDEX(HIST_D!$BG$8:$BG$2617,Control!$F$14),INDEX(HIST_D!$BG$8:$BG$2617,1)),"")</f>
        <v/>
      </c>
      <c r="J36" s="24">
        <f>IFERROR(PERCENTRANK(HIST_M!$N$8:$N$308,INDEX(HIST_D!$BG$8:$BG$2617,1)),"")</f>
        <v/>
      </c>
      <c r="K36" s="25">
        <f>IFERROR((INDEX(HIST_D!$BG$8:$BG$2617,1)-AVERAGE(HIST_D!$BG$8:INDEX(HIST_D!$BG$8:$BG$2617,Control!$F$14)))/STDEV(HIST_D!$BG$8:INDEX(HIST_D!$BG$8:$BG$2617,Control!$F$14)),"")</f>
        <v/>
      </c>
    </row>
    <row r="37">
      <c r="A37" s="21" t="inlineStr">
        <is>
          <t>HY / IG</t>
        </is>
      </c>
      <c r="B37" s="33">
        <f>INDEX(HIST_D!$BH$8:$BH$2617,1)</f>
        <v/>
      </c>
      <c r="C37" s="34">
        <f>IFERROR((INDEX(HIST_D!$BH$8:$BH$2617,1)-INDEX(HIST_D!$BH$8:$BH$2617,Control!$F$6))*1,"")</f>
        <v/>
      </c>
      <c r="D37" s="34">
        <f>IFERROR((INDEX(HIST_D!$BH$8:$BH$2617,1)-INDEX(HIST_D!$BH$8:$BH$2617,Control!$F$7))*1,"")</f>
        <v/>
      </c>
      <c r="E37" s="34">
        <f>IFERROR((INDEX(HIST_D!$BH$8:$BH$2617,1)-INDEX(HIST_D!$BH$8:$BH$2617,Control!$F$8))*1,"")</f>
        <v/>
      </c>
      <c r="F37" s="34">
        <f>IFERROR((INDEX(HIST_D!$BH$8:$BH$2617,1)-INDEX(HIST_D!$BH$8:$BH$2617,Control!$F$16))*1,"")</f>
        <v/>
      </c>
      <c r="G37" s="34">
        <f>IFERROR((INDEX(HIST_D!$BH$8:$BH$2617,1)-INDEX(HIST_D!$BH$8:$BH$2617,Control!$F$11))*1,"")</f>
        <v/>
      </c>
      <c r="H37" s="24">
        <f>IFERROR(PERCENTRANK(HIST_D!$BH$8:INDEX(HIST_D!$BH$8:$BH$2617,Control!$F$11),INDEX(HIST_D!$BH$8:$BH$2617,1)),"")</f>
        <v/>
      </c>
      <c r="I37" s="24">
        <f>IFERROR(PERCENTRANK(HIST_D!$BH$8:INDEX(HIST_D!$BH$8:$BH$2617,Control!$F$14),INDEX(HIST_D!$BH$8:$BH$2617,1)),"")</f>
        <v/>
      </c>
      <c r="J37" s="24">
        <f>IFERROR(PERCENTRANK(HIST_M!$O$8:$O$308,INDEX(HIST_D!$BH$8:$BH$2617,1)),"")</f>
        <v/>
      </c>
      <c r="K37" s="25">
        <f>IFERROR((INDEX(HIST_D!$BH$8:$BH$2617,1)-AVERAGE(HIST_D!$BH$8:INDEX(HIST_D!$BH$8:$BH$2617,Control!$F$14)))/STDEV(HIST_D!$BH$8:INDEX(HIST_D!$BH$8:$BH$2617,Control!$F$14)),"")</f>
        <v/>
      </c>
    </row>
    <row r="39" ht="28" customHeight="1">
      <c r="A39" s="20" t="inlineStr"/>
      <c r="B39" s="20" t="inlineStr">
        <is>
          <t>12m TR, ceteris paribus</t>
        </is>
      </c>
      <c r="C39" s="20" t="inlineStr">
        <is>
          <t>vs cash hurdle</t>
        </is>
      </c>
      <c r="D39" s="20" t="inlineStr">
        <is>
          <t>bp widening to break even</t>
        </is>
      </c>
      <c r="E39" s="20" t="inlineStr">
        <is>
          <t>bp to the 5y median</t>
        </is>
      </c>
      <c r="F39" s="20" t="inlineStr"/>
      <c r="G39" s="20" t="inlineStr"/>
      <c r="H39" s="20" t="inlineStr"/>
      <c r="I39" s="20" t="inlineStr"/>
      <c r="J39" s="20" t="inlineStr"/>
      <c r="K39" s="20" t="inlineStr"/>
      <c r="L39" s="20" t="inlineStr"/>
    </row>
    <row r="40">
      <c r="A40" s="21" t="inlineStr">
        <is>
          <t>US IG</t>
        </is>
      </c>
      <c r="B40" s="35">
        <f>Credit_TR!$B$19</f>
        <v/>
      </c>
      <c r="C40" s="36">
        <f>Credit_TR!$B$19-Control!$B$13/100</f>
        <v/>
      </c>
      <c r="D40" s="37">
        <f>Credit_TR!$B$21</f>
        <v/>
      </c>
      <c r="E40" s="23">
        <f>IFERROR(PERCENTILE(HIST_D!$AF$8:INDEX(HIST_D!$AF$8:$AF$2617,Control!$F$14),0.5)-INDEX(HIST_D!$AF$8:$AF$2617,1),"")</f>
        <v/>
      </c>
    </row>
    <row r="41">
      <c r="A41" s="21" t="inlineStr">
        <is>
          <t>US HY</t>
        </is>
      </c>
      <c r="B41" s="35">
        <f>Credit_TR!$C$19</f>
        <v/>
      </c>
      <c r="C41" s="36">
        <f>Credit_TR!$C$19-Control!$B$13/100</f>
        <v/>
      </c>
      <c r="D41" s="37">
        <f>Credit_TR!$C$21</f>
        <v/>
      </c>
      <c r="E41" s="23">
        <f>IFERROR(PERCENTILE(HIST_D!$AG$8:INDEX(HIST_D!$AG$8:$AG$2617,Control!$F$14),0.5)-INDEX(HIST_D!$AG$8:$AG$2617,1),"")</f>
        <v/>
      </c>
    </row>
    <row r="42">
      <c r="A42" s="21" t="inlineStr">
        <is>
          <t>EM USD Agg</t>
        </is>
      </c>
      <c r="B42" s="35">
        <f>Credit_TR!$D$19</f>
        <v/>
      </c>
      <c r="C42" s="36">
        <f>Credit_TR!$D$19-Control!$B$13/100</f>
        <v/>
      </c>
      <c r="D42" s="37">
        <f>Credit_TR!$D$21</f>
        <v/>
      </c>
      <c r="E42" s="23">
        <f>IFERROR(PERCENTILE(HIST_D!$AJ$8:INDEX(HIST_D!$AJ$8:$AJ$2617,Control!$F$14),0.5)-INDEX(HIST_D!$AJ$8:$AJ$2617,1),"")</f>
        <v/>
      </c>
    </row>
    <row r="43">
      <c r="A43" s="10" t="inlineStr">
        <is>
          <t>Breakeven column is on Credit_TR; the widening-to-median column says how far a normalisation would actually be.</t>
        </is>
      </c>
    </row>
    <row r="45" ht="18" customHeight="1">
      <c r="A45" s="3" t="inlineStr">
        <is>
          <t>EM READ-THROUGH</t>
        </is>
      </c>
      <c r="B45" s="4" t="n"/>
      <c r="C45" s="4" t="n"/>
      <c r="D45" s="4" t="n"/>
      <c r="E45" s="4" t="n"/>
      <c r="F45" s="4" t="n"/>
      <c r="G45" s="4" t="n"/>
      <c r="H45" s="4" t="n"/>
      <c r="I45" s="4" t="n"/>
      <c r="J45" s="4" t="n"/>
      <c r="K45" s="4" t="n"/>
      <c r="L45" s="4" t="n"/>
    </row>
    <row r="46" ht="28" customHeight="1">
      <c r="A46" s="20" t="inlineStr"/>
      <c r="B46" s="20" t="inlineStr">
        <is>
          <t>Value</t>
        </is>
      </c>
      <c r="C46" s="20" t="inlineStr">
        <is>
          <t>Unit</t>
        </is>
      </c>
      <c r="D46" s="20" t="inlineStr">
        <is>
          <t>Note</t>
        </is>
      </c>
      <c r="E46" s="20" t="inlineStr"/>
      <c r="F46" s="20" t="inlineStr"/>
      <c r="G46" s="20" t="inlineStr"/>
      <c r="H46" s="20" t="inlineStr"/>
      <c r="I46" s="20" t="inlineStr"/>
      <c r="J46" s="20" t="inlineStr"/>
      <c r="K46" s="20" t="inlineStr"/>
      <c r="L46" s="20" t="inlineStr"/>
    </row>
    <row r="47">
      <c r="A47" s="21" t="inlineStr">
        <is>
          <t>EMBIGD stripped spread</t>
        </is>
      </c>
      <c r="B47" s="26">
        <f>EM_Link!$B$6</f>
        <v/>
      </c>
      <c r="C47" s="27" t="inlineStr">
        <is>
          <t>bp</t>
        </is>
      </c>
      <c r="D47" s="10" t="inlineStr">
        <is>
          <t>your tracker, not Bloomberg</t>
        </is>
      </c>
    </row>
    <row r="48">
      <c r="A48" s="21" t="inlineStr">
        <is>
          <t>EM / HY ratio</t>
        </is>
      </c>
      <c r="B48" s="28">
        <f>INDEX(HIST_D!$BJ$8:$BJ$2617,1)</f>
        <v/>
      </c>
      <c r="C48" s="27" t="inlineStr">
        <is>
          <t>x</t>
        </is>
      </c>
      <c r="D48" s="10" t="inlineStr">
        <is>
          <t>cross-market value</t>
        </is>
      </c>
    </row>
    <row r="49">
      <c r="A49" s="21" t="inlineStr">
        <is>
          <t>EM / HY percentile (5y)</t>
        </is>
      </c>
      <c r="B49" s="28">
        <f>IFERROR(PERCENTRANK(HIST_D!$BJ$8:INDEX(HIST_D!$BJ$8:$BJ$2617,Control!$F$14),INDEX(HIST_D!$BJ$8:$BJ$2617,1)),"")</f>
        <v/>
      </c>
      <c r="C49" s="27" t="inlineStr">
        <is>
          <t>%ile</t>
        </is>
      </c>
      <c r="D49" s="10" t="inlineStr"/>
    </row>
    <row r="50">
      <c r="A50" s="21" t="inlineStr">
        <is>
          <t>Beta: Δ EM OAS to Δ UST 10Y (1y)</t>
        </is>
      </c>
      <c r="B50" s="28">
        <f>IFERROR(SLOPE(HIST_D!$BP$8:INDEX(HIST_D!$BP$8:$BP$2617,Control!$F$11),HIST_D!$BL$8:INDEX(HIST_D!$BL$8:$BL$2617,Control!$F$11)),"")</f>
        <v/>
      </c>
      <c r="C50" s="27" t="inlineStr">
        <is>
          <t>x</t>
        </is>
      </c>
      <c r="D50" s="10" t="inlineStr">
        <is>
          <t>negative = ballast intact</t>
        </is>
      </c>
    </row>
    <row r="51">
      <c r="A51" s="21" t="inlineStr">
        <is>
          <t>EMBIGD 12m TR — your base case</t>
        </is>
      </c>
      <c r="B51" s="35">
        <f>EM_Link!$G$56</f>
        <v/>
      </c>
      <c r="C51" s="27" t="inlineStr">
        <is>
          <t>%</t>
        </is>
      </c>
      <c r="D51" s="10" t="inlineStr"/>
    </row>
    <row r="52">
      <c r="A52" s="21" t="inlineStr">
        <is>
          <t>… vs cash hurdle</t>
        </is>
      </c>
      <c r="B52" s="35">
        <f>EM_Link!$G$56-Control!$B$13/100</f>
        <v/>
      </c>
      <c r="C52" s="27" t="inlineStr">
        <is>
          <t>%</t>
        </is>
      </c>
      <c r="D52" s="10" t="inlineStr"/>
    </row>
    <row r="54" ht="18" customHeight="1">
      <c r="A54" s="3" t="inlineStr">
        <is>
          <t>READING THE BOARD</t>
        </is>
      </c>
      <c r="B54" s="4" t="n"/>
      <c r="C54" s="4" t="n"/>
      <c r="D54" s="4" t="n"/>
      <c r="E54" s="4" t="n"/>
      <c r="F54" s="4" t="n"/>
      <c r="G54" s="4" t="n"/>
      <c r="H54" s="4" t="n"/>
      <c r="I54" s="4" t="n"/>
      <c r="J54" s="4" t="n"/>
      <c r="K54" s="4" t="n"/>
      <c r="L54" s="4" t="n"/>
    </row>
    <row r="55" ht="30" customHeight="1">
      <c r="A55" s="19">
        <f>"Curve: 2s10s at "&amp;TEXT(INDEX(HIST_D!$AV$8:$AV$2617,1),"0")&amp;"bp, the "&amp;TEXT(IFERROR(PERCENTRANK(HIST_D!$AV$8:INDEX(HIST_D!$AV$8:$AV$2617,Control!$F$14),INDEX(HIST_D!$AV$8:$AV$2617,1)),""),"0%")&amp;" percentile of the last five years. "&amp;IF(INDEX(HIST_D!$AV$8:$AV$2617,1)&lt;0,"Still inverted.",IF(INDEX(HIST_D!$AV$8:$AV$2617,1)&lt;50,"Flat.","Steep."))</f>
        <v/>
      </c>
    </row>
    <row r="56" ht="30" customHeight="1">
      <c r="A56" s="19">
        <f>"Policy: the strip prices "&amp;TEXT(Policy!$G$36,"0.0")&amp;" cuts to the trough and "&amp;TEXT(Policy!$G$28,"0.0")&amp;" inside twelve months."</f>
        <v/>
      </c>
    </row>
    <row r="57" ht="30" customHeight="1">
      <c r="A57" s="19">
        <f>"Credit: IG at "&amp;TEXT(INDEX(HIST_D!$AF$8:$AF$2617,1),"0")&amp;"bp ("&amp;TEXT(IFERROR(PERCENTRANK(HIST_D!$AF$8:INDEX(HIST_D!$AF$8:$AF$2617,Control!$F$14),INDEX(HIST_D!$AF$8:$AF$2617,1)),""),"0%")&amp;" of its 5y range), HY at "&amp;TEXT(INDEX(HIST_D!$AG$8:$AG$2617,1),"0")&amp;"bp ("&amp;TEXT(IFERROR(PERCENTRANK(HIST_D!$AG$8:INDEX(HIST_D!$AG$8:$AG$2617,Control!$F$14),INDEX(HIST_D!$AG$8:$AG$2617,1)),""),"0%")&amp;" of its 5y range). "&amp;IF(IFERROR(PERCENTRANK(HIST_D!$AG$8:INDEX(HIST_D!$AG$8:$AG$2617,Control!$F$14),INDEX(HIST_D!$AG$8:$AG$2617,1)),"")&lt;0.15,"There is very little room left in the spread leg.","")</f>
        <v/>
      </c>
    </row>
    <row r="58" ht="30" customHeight="1">
      <c r="A58" s="19">
        <f>"EM: paid "&amp;TEXT(INDEX(HIST_D!$BJ$8:$BJ$2617,1),"0.00")&amp;"x US HY. The one-year beta of EM spreads to UST yields is "&amp;TEXT(IFERROR(SLOPE(HIST_D!$BP$8:INDEX(HIST_D!$BP$8:$BP$2617,Control!$F$11),HIST_D!$BL$8:INDEX(HIST_D!$BL$8:$BL$2617,Control!$F$11)),0),"0.00")&amp;"; negative means the Treasury leg is still doing the ballast job the EM USD case depends on."</f>
        <v/>
      </c>
    </row>
  </sheetData>
  <mergeCells count="4">
    <mergeCell ref="A57:L57"/>
    <mergeCell ref="A58:L58"/>
    <mergeCell ref="A55:L55"/>
    <mergeCell ref="A56:L56"/>
  </mergeCells>
  <conditionalFormatting sqref="H6:J14">
    <cfRule type="colorScale" priority="1">
      <colorScale>
        <cfvo type="num" val="0"/>
        <cfvo type="num" val="0.5"/>
        <cfvo type="num" val="1"/>
        <color rgb="0063BE7B"/>
        <color rgb="00FFEB84"/>
        <color rgb="00F8696B"/>
      </colorScale>
    </cfRule>
  </conditionalFormatting>
  <conditionalFormatting sqref="K6:K14">
    <cfRule type="colorScale" priority="2">
      <colorScale>
        <cfvo type="num" val="-2"/>
        <cfvo type="num" val="0"/>
        <cfvo type="num" val="2"/>
        <color rgb="0063BE7B"/>
        <color rgb="00FFFFFF"/>
        <color rgb="00F8696B"/>
      </colorScale>
    </cfRule>
  </conditionalFormatting>
  <conditionalFormatting sqref="H34:J37">
    <cfRule type="colorScale" priority="3">
      <colorScale>
        <cfvo type="num" val="0"/>
        <cfvo type="num" val="0.5"/>
        <cfvo type="num" val="1"/>
        <color rgb="0063BE7B"/>
        <color rgb="00FFEB84"/>
        <color rgb="00F8696B"/>
      </colorScale>
    </cfRule>
  </conditionalFormatting>
  <conditionalFormatting sqref="K34:K37">
    <cfRule type="colorScale" priority="4">
      <colorScale>
        <cfvo type="num" val="-2"/>
        <cfvo type="num" val="0"/>
        <cfvo type="num" val="2"/>
        <color rgb="0063BE7B"/>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7"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8" customWidth="1" min="20" max="20"/>
    <col width="11" customWidth="1" min="21" max="21"/>
    <col width="11" customWidth="1" min="22" max="22"/>
    <col width="10" customWidth="1" min="23" max="23"/>
    <col width="12" customWidth="1" min="24" max="24"/>
    <col width="12" customWidth="1" min="25" max="25"/>
    <col width="12" customWidth="1" min="26" max="26"/>
  </cols>
  <sheetData>
    <row r="1">
      <c r="A1" s="1" t="inlineStr">
        <is>
          <t>US TREASURY CURVE — every node</t>
        </is>
      </c>
    </row>
    <row r="2">
      <c r="A2" s="2" t="inlineStr">
        <is>
          <t>Levels, changes, distribution and carry/roll economics for each node. Changes in bp. Percentiles: 0% = lowest yield in the window, 100% = highest.</t>
        </is>
      </c>
    </row>
    <row r="4" ht="18" customHeight="1">
      <c r="A4" s="3" t="inlineStr">
        <is>
          <t>US TREASURY PAR YIELDS</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28" customHeight="1">
      <c r="A5" s="20" t="inlineStr">
        <is>
          <t>Instrument</t>
        </is>
      </c>
      <c r="B5" s="20" t="inlineStr">
        <is>
          <t>Source</t>
        </is>
      </c>
      <c r="C5" s="20" t="inlineStr">
        <is>
          <t>Unit</t>
        </is>
      </c>
      <c r="D5" s="20" t="inlineStr">
        <is>
          <t>Level</t>
        </is>
      </c>
      <c r="E5" s="20" t="inlineStr">
        <is>
          <t>1D</t>
        </is>
      </c>
      <c r="F5" s="20" t="inlineStr">
        <is>
          <t>1W</t>
        </is>
      </c>
      <c r="G5" s="20" t="inlineStr">
        <is>
          <t>1M</t>
        </is>
      </c>
      <c r="H5" s="20" t="inlineStr">
        <is>
          <t>3M</t>
        </is>
      </c>
      <c r="I5" s="20" t="inlineStr">
        <is>
          <t>6M</t>
        </is>
      </c>
      <c r="J5" s="20" t="inlineStr">
        <is>
          <t>YTD</t>
        </is>
      </c>
      <c r="K5" s="20" t="inlineStr">
        <is>
          <t>1Y</t>
        </is>
      </c>
      <c r="L5" s="20" t="inlineStr">
        <is>
          <t>1y min</t>
        </is>
      </c>
      <c r="M5" s="20" t="inlineStr">
        <is>
          <t>1y max</t>
        </is>
      </c>
      <c r="N5" s="20" t="inlineStr">
        <is>
          <t>%ile 1y</t>
        </is>
      </c>
      <c r="O5" s="20" t="inlineStr">
        <is>
          <t>%ile 3y</t>
        </is>
      </c>
      <c r="P5" s="20" t="inlineStr">
        <is>
          <t>%ile 5y</t>
        </is>
      </c>
      <c r="Q5" s="20" t="inlineStr">
        <is>
          <t>%ile 10y</t>
        </is>
      </c>
      <c r="R5" s="20" t="inlineStr">
        <is>
          <t>%ile 25y</t>
        </is>
      </c>
      <c r="S5" s="20" t="inlineStr">
        <is>
          <t>z (5y)</t>
        </is>
      </c>
      <c r="T5" s="20" t="inlineStr">
        <is>
          <t>Yrs</t>
        </is>
      </c>
      <c r="U5" s="20" t="inlineStr">
        <is>
          <t>y at n−1yr</t>
        </is>
      </c>
      <c r="V5" s="20" t="inlineStr">
        <is>
          <t>Roll-down</t>
        </is>
      </c>
      <c r="W5" s="20" t="inlineStr">
        <is>
          <t>Mod dur</t>
        </is>
      </c>
      <c r="X5" s="20" t="inlineStr">
        <is>
          <t>DV01 $/1mm</t>
        </is>
      </c>
      <c r="Y5" s="20" t="inlineStr">
        <is>
          <t>12m TR @ unch curve</t>
        </is>
      </c>
      <c r="Z5" s="20" t="inlineStr">
        <is>
          <t>B/E yield rise</t>
        </is>
      </c>
    </row>
    <row r="6">
      <c r="A6" s="8" t="inlineStr">
        <is>
          <t>UST 1M</t>
        </is>
      </c>
      <c r="B6" s="16">
        <f>Tickers!$C$6</f>
        <v/>
      </c>
      <c r="C6" s="27" t="inlineStr">
        <is>
          <t>%</t>
        </is>
      </c>
      <c r="D6" s="22">
        <f>INDEX(HIST_D!$B$8:$B$2617,1)</f>
        <v/>
      </c>
      <c r="E6" s="23">
        <f>IFERROR((INDEX(HIST_D!$B$8:$B$2617,1)-INDEX(HIST_D!$B$8:$B$2617,Control!$F$6))*Control!$B$11,"")</f>
        <v/>
      </c>
      <c r="F6" s="23">
        <f>IFERROR((INDEX(HIST_D!$B$8:$B$2617,1)-INDEX(HIST_D!$B$8:$B$2617,Control!$F$7))*Control!$B$11,"")</f>
        <v/>
      </c>
      <c r="G6" s="23">
        <f>IFERROR((INDEX(HIST_D!$B$8:$B$2617,1)-INDEX(HIST_D!$B$8:$B$2617,Control!$F$8))*Control!$B$11,"")</f>
        <v/>
      </c>
      <c r="H6" s="23">
        <f>IFERROR((INDEX(HIST_D!$B$8:$B$2617,1)-INDEX(HIST_D!$B$8:$B$2617,Control!$F$9))*Control!$B$11,"")</f>
        <v/>
      </c>
      <c r="I6" s="23">
        <f>IFERROR((INDEX(HIST_D!$B$8:$B$2617,1)-INDEX(HIST_D!$B$8:$B$2617,Control!$F$10))*Control!$B$11,"")</f>
        <v/>
      </c>
      <c r="J6" s="23">
        <f>IFERROR((INDEX(HIST_D!$B$8:$B$2617,1)-INDEX(HIST_D!$B$8:$B$2617,Control!$F$16))*Control!$B$11,"")</f>
        <v/>
      </c>
      <c r="K6" s="23">
        <f>IFERROR((INDEX(HIST_D!$B$8:$B$2617,1)-INDEX(HIST_D!$B$8:$B$2617,Control!$F$11))*Control!$B$11,"")</f>
        <v/>
      </c>
      <c r="L6" s="25">
        <f>IFERROR(MIN(HIST_D!$B$8:INDEX(HIST_D!$B$8:$B$2617,Control!$F$11)),"")</f>
        <v/>
      </c>
      <c r="M6" s="25">
        <f>IFERROR(MAX(HIST_D!$B$8:INDEX(HIST_D!$B$8:$B$2617,Control!$F$11)),"")</f>
        <v/>
      </c>
      <c r="N6" s="24">
        <f>IFERROR(PERCENTRANK(HIST_D!$B$8:INDEX(HIST_D!$B$8:$B$2617,Control!$F$11),INDEX(HIST_D!$B$8:$B$2617,1)),"")</f>
        <v/>
      </c>
      <c r="O6" s="24">
        <f>IFERROR(PERCENTRANK(HIST_D!$B$8:INDEX(HIST_D!$B$8:$B$2617,Control!$F$13),INDEX(HIST_D!$B$8:$B$2617,1)),"")</f>
        <v/>
      </c>
      <c r="P6" s="24">
        <f>IFERROR(PERCENTRANK(HIST_D!$B$8:INDEX(HIST_D!$B$8:$B$2617,Control!$F$14),INDEX(HIST_D!$B$8:$B$2617,1)),"")</f>
        <v/>
      </c>
      <c r="Q6" s="24">
        <f>IFERROR(PERCENTRANK(HIST_D!$B$8:INDEX(HIST_D!$B$8:$B$2617,Control!$F$15),INDEX(HIST_D!$B$8:$B$2617,1)),"")</f>
        <v/>
      </c>
      <c r="R6" s="27" t="inlineStr"/>
      <c r="S6" s="25">
        <f>IFERROR((INDEX(HIST_D!$B$8:$B$2617,1)-AVERAGE(HIST_D!$B$8:INDEX(HIST_D!$B$8:$B$2617,Control!$F$14)))/STDEV(HIST_D!$B$8:INDEX(HIST_D!$B$8:$B$2617,Control!$F$14)),"")</f>
        <v/>
      </c>
      <c r="T6" s="38" t="n">
        <v>0.08333333333333333</v>
      </c>
      <c r="U6" s="25">
        <f>IF(MAX($T6-Control!$B$12,0.0833)&lt;=INDEX($T$6:$T$18,1),INDEX($D$6:$D$18,1),IF(MAX($T6-Control!$B$12,0.0833)&gt;=INDEX($T$6:$T$18,COUNT($T$6:$T$18)),INDEX($D$6:$D$18,COUNT($T$6:$T$18)),INDEX($D$6:$D$18,MATCH(MAX($T6-Control!$B$12,0.0833),$T$6:$T$18,1))+(MAX($T6-Control!$B$12,0.0833)-INDEX($T$6:$T$18,MATCH(MAX($T6-Control!$B$12,0.0833),$T$6:$T$18,1)))/(INDEX($T$6:$T$18,MATCH(MAX($T6-Control!$B$12,0.0833),$T$6:$T$18,1)+1)-INDEX($T$6:$T$18,MATCH(MAX($T6-Control!$B$12,0.0833),$T$6:$T$18,1)))*(INDEX($D$6:$D$18,MATCH(MAX($T6-Control!$B$12,0.0833),$T$6:$T$18,1)+1)-INDEX($D$6:$D$18,MATCH(MAX($T6-Control!$B$12,0.0833),$T$6:$T$18,1)))))</f>
        <v/>
      </c>
      <c r="V6" s="23">
        <f>IF($T6&lt;=Control!$B$12,"",($D6-$U6)*Control!$B$11)</f>
        <v/>
      </c>
      <c r="W6" s="39">
        <f>IFERROR((1-(1+$D6/100/Control!$B$14)^(-Control!$B$14*($T6)))/($D6/100/Control!$B$14)/Control!$B$14,"")</f>
        <v/>
      </c>
      <c r="X6" s="13">
        <f>IFERROR($W6*100*1000000/10000,"")</f>
        <v/>
      </c>
      <c r="Y6" s="36">
        <f>IF($T6&lt;=Control!$B$12,$D6*Control!$B$12/100,IFERROR((IFERROR(($D6/Control!$B$14)*(1-(1+$U6/100/Control!$B$14)^(-Control!$B$14*($T6-Control!$B$12)))/($U6/100/Control!$B$14)+100*(1+$U6/100/Control!$B$14)^(-Control!$B$14*($T6-Control!$B$12)),"")+$D6*Control!$B$12-100)/100,""))</f>
        <v/>
      </c>
      <c r="Z6" s="23">
        <f>IF($T6&lt;=Control!$B$12,"n/a",IFERROR($Y6*100/IFERROR((1-(1+$U6/100/Control!$B$14)^(-Control!$B$14*($T6-Control!$B$12)))/($U6/100/Control!$B$14)/Control!$B$14,"")*Control!$B$11,""))</f>
        <v/>
      </c>
    </row>
    <row r="7">
      <c r="A7" s="8" t="inlineStr">
        <is>
          <t>UST 3M</t>
        </is>
      </c>
      <c r="B7" s="16">
        <f>Tickers!$C$7</f>
        <v/>
      </c>
      <c r="C7" s="27" t="inlineStr">
        <is>
          <t>%</t>
        </is>
      </c>
      <c r="D7" s="22">
        <f>INDEX(HIST_D!$C$8:$C$2617,1)</f>
        <v/>
      </c>
      <c r="E7" s="23">
        <f>IFERROR((INDEX(HIST_D!$C$8:$C$2617,1)-INDEX(HIST_D!$C$8:$C$2617,Control!$F$6))*Control!$B$11,"")</f>
        <v/>
      </c>
      <c r="F7" s="23">
        <f>IFERROR((INDEX(HIST_D!$C$8:$C$2617,1)-INDEX(HIST_D!$C$8:$C$2617,Control!$F$7))*Control!$B$11,"")</f>
        <v/>
      </c>
      <c r="G7" s="23">
        <f>IFERROR((INDEX(HIST_D!$C$8:$C$2617,1)-INDEX(HIST_D!$C$8:$C$2617,Control!$F$8))*Control!$B$11,"")</f>
        <v/>
      </c>
      <c r="H7" s="23">
        <f>IFERROR((INDEX(HIST_D!$C$8:$C$2617,1)-INDEX(HIST_D!$C$8:$C$2617,Control!$F$9))*Control!$B$11,"")</f>
        <v/>
      </c>
      <c r="I7" s="23">
        <f>IFERROR((INDEX(HIST_D!$C$8:$C$2617,1)-INDEX(HIST_D!$C$8:$C$2617,Control!$F$10))*Control!$B$11,"")</f>
        <v/>
      </c>
      <c r="J7" s="23">
        <f>IFERROR((INDEX(HIST_D!$C$8:$C$2617,1)-INDEX(HIST_D!$C$8:$C$2617,Control!$F$16))*Control!$B$11,"")</f>
        <v/>
      </c>
      <c r="K7" s="23">
        <f>IFERROR((INDEX(HIST_D!$C$8:$C$2617,1)-INDEX(HIST_D!$C$8:$C$2617,Control!$F$11))*Control!$B$11,"")</f>
        <v/>
      </c>
      <c r="L7" s="25">
        <f>IFERROR(MIN(HIST_D!$C$8:INDEX(HIST_D!$C$8:$C$2617,Control!$F$11)),"")</f>
        <v/>
      </c>
      <c r="M7" s="25">
        <f>IFERROR(MAX(HIST_D!$C$8:INDEX(HIST_D!$C$8:$C$2617,Control!$F$11)),"")</f>
        <v/>
      </c>
      <c r="N7" s="24">
        <f>IFERROR(PERCENTRANK(HIST_D!$C$8:INDEX(HIST_D!$C$8:$C$2617,Control!$F$11),INDEX(HIST_D!$C$8:$C$2617,1)),"")</f>
        <v/>
      </c>
      <c r="O7" s="24">
        <f>IFERROR(PERCENTRANK(HIST_D!$C$8:INDEX(HIST_D!$C$8:$C$2617,Control!$F$13),INDEX(HIST_D!$C$8:$C$2617,1)),"")</f>
        <v/>
      </c>
      <c r="P7" s="24">
        <f>IFERROR(PERCENTRANK(HIST_D!$C$8:INDEX(HIST_D!$C$8:$C$2617,Control!$F$14),INDEX(HIST_D!$C$8:$C$2617,1)),"")</f>
        <v/>
      </c>
      <c r="Q7" s="24">
        <f>IFERROR(PERCENTRANK(HIST_D!$C$8:INDEX(HIST_D!$C$8:$C$2617,Control!$F$15),INDEX(HIST_D!$C$8:$C$2617,1)),"")</f>
        <v/>
      </c>
      <c r="R7" s="27" t="inlineStr"/>
      <c r="S7" s="25">
        <f>IFERROR((INDEX(HIST_D!$C$8:$C$2617,1)-AVERAGE(HIST_D!$C$8:INDEX(HIST_D!$C$8:$C$2617,Control!$F$14)))/STDEV(HIST_D!$C$8:INDEX(HIST_D!$C$8:$C$2617,Control!$F$14)),"")</f>
        <v/>
      </c>
      <c r="T7" s="38" t="n">
        <v>0.25</v>
      </c>
      <c r="U7" s="25">
        <f>IF(MAX($T7-Control!$B$12,0.0833)&lt;=INDEX($T$6:$T$18,1),INDEX($D$6:$D$18,1),IF(MAX($T7-Control!$B$12,0.0833)&gt;=INDEX($T$6:$T$18,COUNT($T$6:$T$18)),INDEX($D$6:$D$18,COUNT($T$6:$T$18)),INDEX($D$6:$D$18,MATCH(MAX($T7-Control!$B$12,0.0833),$T$6:$T$18,1))+(MAX($T7-Control!$B$12,0.0833)-INDEX($T$6:$T$18,MATCH(MAX($T7-Control!$B$12,0.0833),$T$6:$T$18,1)))/(INDEX($T$6:$T$18,MATCH(MAX($T7-Control!$B$12,0.0833),$T$6:$T$18,1)+1)-INDEX($T$6:$T$18,MATCH(MAX($T7-Control!$B$12,0.0833),$T$6:$T$18,1)))*(INDEX($D$6:$D$18,MATCH(MAX($T7-Control!$B$12,0.0833),$T$6:$T$18,1)+1)-INDEX($D$6:$D$18,MATCH(MAX($T7-Control!$B$12,0.0833),$T$6:$T$18,1)))))</f>
        <v/>
      </c>
      <c r="V7" s="23">
        <f>IF($T7&lt;=Control!$B$12,"",($D7-$U7)*Control!$B$11)</f>
        <v/>
      </c>
      <c r="W7" s="39">
        <f>IFERROR((1-(1+$D7/100/Control!$B$14)^(-Control!$B$14*($T7)))/($D7/100/Control!$B$14)/Control!$B$14,"")</f>
        <v/>
      </c>
      <c r="X7" s="13">
        <f>IFERROR($W7*100*1000000/10000,"")</f>
        <v/>
      </c>
      <c r="Y7" s="36">
        <f>IF($T7&lt;=Control!$B$12,$D7*Control!$B$12/100,IFERROR((IFERROR(($D7/Control!$B$14)*(1-(1+$U7/100/Control!$B$14)^(-Control!$B$14*($T7-Control!$B$12)))/($U7/100/Control!$B$14)+100*(1+$U7/100/Control!$B$14)^(-Control!$B$14*($T7-Control!$B$12)),"")+$D7*Control!$B$12-100)/100,""))</f>
        <v/>
      </c>
      <c r="Z7" s="23">
        <f>IF($T7&lt;=Control!$B$12,"n/a",IFERROR($Y7*100/IFERROR((1-(1+$U7/100/Control!$B$14)^(-Control!$B$14*($T7-Control!$B$12)))/($U7/100/Control!$B$14)/Control!$B$14,"")*Control!$B$11,""))</f>
        <v/>
      </c>
    </row>
    <row r="8">
      <c r="A8" s="8" t="inlineStr">
        <is>
          <t>UST 6M</t>
        </is>
      </c>
      <c r="B8" s="16">
        <f>Tickers!$C$8</f>
        <v/>
      </c>
      <c r="C8" s="27" t="inlineStr">
        <is>
          <t>%</t>
        </is>
      </c>
      <c r="D8" s="22">
        <f>INDEX(HIST_D!$D$8:$D$2617,1)</f>
        <v/>
      </c>
      <c r="E8" s="23">
        <f>IFERROR((INDEX(HIST_D!$D$8:$D$2617,1)-INDEX(HIST_D!$D$8:$D$2617,Control!$F$6))*Control!$B$11,"")</f>
        <v/>
      </c>
      <c r="F8" s="23">
        <f>IFERROR((INDEX(HIST_D!$D$8:$D$2617,1)-INDEX(HIST_D!$D$8:$D$2617,Control!$F$7))*Control!$B$11,"")</f>
        <v/>
      </c>
      <c r="G8" s="23">
        <f>IFERROR((INDEX(HIST_D!$D$8:$D$2617,1)-INDEX(HIST_D!$D$8:$D$2617,Control!$F$8))*Control!$B$11,"")</f>
        <v/>
      </c>
      <c r="H8" s="23">
        <f>IFERROR((INDEX(HIST_D!$D$8:$D$2617,1)-INDEX(HIST_D!$D$8:$D$2617,Control!$F$9))*Control!$B$11,"")</f>
        <v/>
      </c>
      <c r="I8" s="23">
        <f>IFERROR((INDEX(HIST_D!$D$8:$D$2617,1)-INDEX(HIST_D!$D$8:$D$2617,Control!$F$10))*Control!$B$11,"")</f>
        <v/>
      </c>
      <c r="J8" s="23">
        <f>IFERROR((INDEX(HIST_D!$D$8:$D$2617,1)-INDEX(HIST_D!$D$8:$D$2617,Control!$F$16))*Control!$B$11,"")</f>
        <v/>
      </c>
      <c r="K8" s="23">
        <f>IFERROR((INDEX(HIST_D!$D$8:$D$2617,1)-INDEX(HIST_D!$D$8:$D$2617,Control!$F$11))*Control!$B$11,"")</f>
        <v/>
      </c>
      <c r="L8" s="25">
        <f>IFERROR(MIN(HIST_D!$D$8:INDEX(HIST_D!$D$8:$D$2617,Control!$F$11)),"")</f>
        <v/>
      </c>
      <c r="M8" s="25">
        <f>IFERROR(MAX(HIST_D!$D$8:INDEX(HIST_D!$D$8:$D$2617,Control!$F$11)),"")</f>
        <v/>
      </c>
      <c r="N8" s="24">
        <f>IFERROR(PERCENTRANK(HIST_D!$D$8:INDEX(HIST_D!$D$8:$D$2617,Control!$F$11),INDEX(HIST_D!$D$8:$D$2617,1)),"")</f>
        <v/>
      </c>
      <c r="O8" s="24">
        <f>IFERROR(PERCENTRANK(HIST_D!$D$8:INDEX(HIST_D!$D$8:$D$2617,Control!$F$13),INDEX(HIST_D!$D$8:$D$2617,1)),"")</f>
        <v/>
      </c>
      <c r="P8" s="24">
        <f>IFERROR(PERCENTRANK(HIST_D!$D$8:INDEX(HIST_D!$D$8:$D$2617,Control!$F$14),INDEX(HIST_D!$D$8:$D$2617,1)),"")</f>
        <v/>
      </c>
      <c r="Q8" s="24">
        <f>IFERROR(PERCENTRANK(HIST_D!$D$8:INDEX(HIST_D!$D$8:$D$2617,Control!$F$15),INDEX(HIST_D!$D$8:$D$2617,1)),"")</f>
        <v/>
      </c>
      <c r="R8" s="27" t="inlineStr"/>
      <c r="S8" s="25">
        <f>IFERROR((INDEX(HIST_D!$D$8:$D$2617,1)-AVERAGE(HIST_D!$D$8:INDEX(HIST_D!$D$8:$D$2617,Control!$F$14)))/STDEV(HIST_D!$D$8:INDEX(HIST_D!$D$8:$D$2617,Control!$F$14)),"")</f>
        <v/>
      </c>
      <c r="T8" s="38" t="n">
        <v>0.5</v>
      </c>
      <c r="U8" s="25">
        <f>IF(MAX($T8-Control!$B$12,0.0833)&lt;=INDEX($T$6:$T$18,1),INDEX($D$6:$D$18,1),IF(MAX($T8-Control!$B$12,0.0833)&gt;=INDEX($T$6:$T$18,COUNT($T$6:$T$18)),INDEX($D$6:$D$18,COUNT($T$6:$T$18)),INDEX($D$6:$D$18,MATCH(MAX($T8-Control!$B$12,0.0833),$T$6:$T$18,1))+(MAX($T8-Control!$B$12,0.0833)-INDEX($T$6:$T$18,MATCH(MAX($T8-Control!$B$12,0.0833),$T$6:$T$18,1)))/(INDEX($T$6:$T$18,MATCH(MAX($T8-Control!$B$12,0.0833),$T$6:$T$18,1)+1)-INDEX($T$6:$T$18,MATCH(MAX($T8-Control!$B$12,0.0833),$T$6:$T$18,1)))*(INDEX($D$6:$D$18,MATCH(MAX($T8-Control!$B$12,0.0833),$T$6:$T$18,1)+1)-INDEX($D$6:$D$18,MATCH(MAX($T8-Control!$B$12,0.0833),$T$6:$T$18,1)))))</f>
        <v/>
      </c>
      <c r="V8" s="23">
        <f>IF($T8&lt;=Control!$B$12,"",($D8-$U8)*Control!$B$11)</f>
        <v/>
      </c>
      <c r="W8" s="39">
        <f>IFERROR((1-(1+$D8/100/Control!$B$14)^(-Control!$B$14*($T8)))/($D8/100/Control!$B$14)/Control!$B$14,"")</f>
        <v/>
      </c>
      <c r="X8" s="13">
        <f>IFERROR($W8*100*1000000/10000,"")</f>
        <v/>
      </c>
      <c r="Y8" s="36">
        <f>IF($T8&lt;=Control!$B$12,$D8*Control!$B$12/100,IFERROR((IFERROR(($D8/Control!$B$14)*(1-(1+$U8/100/Control!$B$14)^(-Control!$B$14*($T8-Control!$B$12)))/($U8/100/Control!$B$14)+100*(1+$U8/100/Control!$B$14)^(-Control!$B$14*($T8-Control!$B$12)),"")+$D8*Control!$B$12-100)/100,""))</f>
        <v/>
      </c>
      <c r="Z8" s="23">
        <f>IF($T8&lt;=Control!$B$12,"n/a",IFERROR($Y8*100/IFERROR((1-(1+$U8/100/Control!$B$14)^(-Control!$B$14*($T8-Control!$B$12)))/($U8/100/Control!$B$14)/Control!$B$14,"")*Control!$B$11,""))</f>
        <v/>
      </c>
    </row>
    <row r="9">
      <c r="A9" s="8" t="inlineStr">
        <is>
          <t>UST 1Y</t>
        </is>
      </c>
      <c r="B9" s="16">
        <f>Tickers!$C$9</f>
        <v/>
      </c>
      <c r="C9" s="27" t="inlineStr">
        <is>
          <t>%</t>
        </is>
      </c>
      <c r="D9" s="22">
        <f>INDEX(HIST_D!$E$8:$E$2617,1)</f>
        <v/>
      </c>
      <c r="E9" s="23">
        <f>IFERROR((INDEX(HIST_D!$E$8:$E$2617,1)-INDEX(HIST_D!$E$8:$E$2617,Control!$F$6))*Control!$B$11,"")</f>
        <v/>
      </c>
      <c r="F9" s="23">
        <f>IFERROR((INDEX(HIST_D!$E$8:$E$2617,1)-INDEX(HIST_D!$E$8:$E$2617,Control!$F$7))*Control!$B$11,"")</f>
        <v/>
      </c>
      <c r="G9" s="23">
        <f>IFERROR((INDEX(HIST_D!$E$8:$E$2617,1)-INDEX(HIST_D!$E$8:$E$2617,Control!$F$8))*Control!$B$11,"")</f>
        <v/>
      </c>
      <c r="H9" s="23">
        <f>IFERROR((INDEX(HIST_D!$E$8:$E$2617,1)-INDEX(HIST_D!$E$8:$E$2617,Control!$F$9))*Control!$B$11,"")</f>
        <v/>
      </c>
      <c r="I9" s="23">
        <f>IFERROR((INDEX(HIST_D!$E$8:$E$2617,1)-INDEX(HIST_D!$E$8:$E$2617,Control!$F$10))*Control!$B$11,"")</f>
        <v/>
      </c>
      <c r="J9" s="23">
        <f>IFERROR((INDEX(HIST_D!$E$8:$E$2617,1)-INDEX(HIST_D!$E$8:$E$2617,Control!$F$16))*Control!$B$11,"")</f>
        <v/>
      </c>
      <c r="K9" s="23">
        <f>IFERROR((INDEX(HIST_D!$E$8:$E$2617,1)-INDEX(HIST_D!$E$8:$E$2617,Control!$F$11))*Control!$B$11,"")</f>
        <v/>
      </c>
      <c r="L9" s="25">
        <f>IFERROR(MIN(HIST_D!$E$8:INDEX(HIST_D!$E$8:$E$2617,Control!$F$11)),"")</f>
        <v/>
      </c>
      <c r="M9" s="25">
        <f>IFERROR(MAX(HIST_D!$E$8:INDEX(HIST_D!$E$8:$E$2617,Control!$F$11)),"")</f>
        <v/>
      </c>
      <c r="N9" s="24">
        <f>IFERROR(PERCENTRANK(HIST_D!$E$8:INDEX(HIST_D!$E$8:$E$2617,Control!$F$11),INDEX(HIST_D!$E$8:$E$2617,1)),"")</f>
        <v/>
      </c>
      <c r="O9" s="24">
        <f>IFERROR(PERCENTRANK(HIST_D!$E$8:INDEX(HIST_D!$E$8:$E$2617,Control!$F$13),INDEX(HIST_D!$E$8:$E$2617,1)),"")</f>
        <v/>
      </c>
      <c r="P9" s="24">
        <f>IFERROR(PERCENTRANK(HIST_D!$E$8:INDEX(HIST_D!$E$8:$E$2617,Control!$F$14),INDEX(HIST_D!$E$8:$E$2617,1)),"")</f>
        <v/>
      </c>
      <c r="Q9" s="24">
        <f>IFERROR(PERCENTRANK(HIST_D!$E$8:INDEX(HIST_D!$E$8:$E$2617,Control!$F$15),INDEX(HIST_D!$E$8:$E$2617,1)),"")</f>
        <v/>
      </c>
      <c r="R9" s="27" t="inlineStr"/>
      <c r="S9" s="25">
        <f>IFERROR((INDEX(HIST_D!$E$8:$E$2617,1)-AVERAGE(HIST_D!$E$8:INDEX(HIST_D!$E$8:$E$2617,Control!$F$14)))/STDEV(HIST_D!$E$8:INDEX(HIST_D!$E$8:$E$2617,Control!$F$14)),"")</f>
        <v/>
      </c>
      <c r="T9" s="38" t="n">
        <v>1</v>
      </c>
      <c r="U9" s="25">
        <f>IF(MAX($T9-Control!$B$12,0.0833)&lt;=INDEX($T$6:$T$18,1),INDEX($D$6:$D$18,1),IF(MAX($T9-Control!$B$12,0.0833)&gt;=INDEX($T$6:$T$18,COUNT($T$6:$T$18)),INDEX($D$6:$D$18,COUNT($T$6:$T$18)),INDEX($D$6:$D$18,MATCH(MAX($T9-Control!$B$12,0.0833),$T$6:$T$18,1))+(MAX($T9-Control!$B$12,0.0833)-INDEX($T$6:$T$18,MATCH(MAX($T9-Control!$B$12,0.0833),$T$6:$T$18,1)))/(INDEX($T$6:$T$18,MATCH(MAX($T9-Control!$B$12,0.0833),$T$6:$T$18,1)+1)-INDEX($T$6:$T$18,MATCH(MAX($T9-Control!$B$12,0.0833),$T$6:$T$18,1)))*(INDEX($D$6:$D$18,MATCH(MAX($T9-Control!$B$12,0.0833),$T$6:$T$18,1)+1)-INDEX($D$6:$D$18,MATCH(MAX($T9-Control!$B$12,0.0833),$T$6:$T$18,1)))))</f>
        <v/>
      </c>
      <c r="V9" s="23">
        <f>IF($T9&lt;=Control!$B$12,"",($D9-$U9)*Control!$B$11)</f>
        <v/>
      </c>
      <c r="W9" s="39">
        <f>IFERROR((1-(1+$D9/100/Control!$B$14)^(-Control!$B$14*($T9)))/($D9/100/Control!$B$14)/Control!$B$14,"")</f>
        <v/>
      </c>
      <c r="X9" s="13">
        <f>IFERROR($W9*100*1000000/10000,"")</f>
        <v/>
      </c>
      <c r="Y9" s="36">
        <f>IF($T9&lt;=Control!$B$12,$D9*Control!$B$12/100,IFERROR((IFERROR(($D9/Control!$B$14)*(1-(1+$U9/100/Control!$B$14)^(-Control!$B$14*($T9-Control!$B$12)))/($U9/100/Control!$B$14)+100*(1+$U9/100/Control!$B$14)^(-Control!$B$14*($T9-Control!$B$12)),"")+$D9*Control!$B$12-100)/100,""))</f>
        <v/>
      </c>
      <c r="Z9" s="23">
        <f>IF($T9&lt;=Control!$B$12,"n/a",IFERROR($Y9*100/IFERROR((1-(1+$U9/100/Control!$B$14)^(-Control!$B$14*($T9-Control!$B$12)))/($U9/100/Control!$B$14)/Control!$B$14,"")*Control!$B$11,""))</f>
        <v/>
      </c>
    </row>
    <row r="10">
      <c r="A10" s="21" t="inlineStr">
        <is>
          <t>UST 2Y</t>
        </is>
      </c>
      <c r="B10" s="16">
        <f>Tickers!$C$10</f>
        <v/>
      </c>
      <c r="C10" s="27" t="inlineStr">
        <is>
          <t>%</t>
        </is>
      </c>
      <c r="D10" s="22">
        <f>INDEX(HIST_D!$F$8:$F$2617,1)</f>
        <v/>
      </c>
      <c r="E10" s="23">
        <f>IFERROR((INDEX(HIST_D!$F$8:$F$2617,1)-INDEX(HIST_D!$F$8:$F$2617,Control!$F$6))*Control!$B$11,"")</f>
        <v/>
      </c>
      <c r="F10" s="23">
        <f>IFERROR((INDEX(HIST_D!$F$8:$F$2617,1)-INDEX(HIST_D!$F$8:$F$2617,Control!$F$7))*Control!$B$11,"")</f>
        <v/>
      </c>
      <c r="G10" s="23">
        <f>IFERROR((INDEX(HIST_D!$F$8:$F$2617,1)-INDEX(HIST_D!$F$8:$F$2617,Control!$F$8))*Control!$B$11,"")</f>
        <v/>
      </c>
      <c r="H10" s="23">
        <f>IFERROR((INDEX(HIST_D!$F$8:$F$2617,1)-INDEX(HIST_D!$F$8:$F$2617,Control!$F$9))*Control!$B$11,"")</f>
        <v/>
      </c>
      <c r="I10" s="23">
        <f>IFERROR((INDEX(HIST_D!$F$8:$F$2617,1)-INDEX(HIST_D!$F$8:$F$2617,Control!$F$10))*Control!$B$11,"")</f>
        <v/>
      </c>
      <c r="J10" s="23">
        <f>IFERROR((INDEX(HIST_D!$F$8:$F$2617,1)-INDEX(HIST_D!$F$8:$F$2617,Control!$F$16))*Control!$B$11,"")</f>
        <v/>
      </c>
      <c r="K10" s="23">
        <f>IFERROR((INDEX(HIST_D!$F$8:$F$2617,1)-INDEX(HIST_D!$F$8:$F$2617,Control!$F$11))*Control!$B$11,"")</f>
        <v/>
      </c>
      <c r="L10" s="25">
        <f>IFERROR(MIN(HIST_D!$F$8:INDEX(HIST_D!$F$8:$F$2617,Control!$F$11)),"")</f>
        <v/>
      </c>
      <c r="M10" s="25">
        <f>IFERROR(MAX(HIST_D!$F$8:INDEX(HIST_D!$F$8:$F$2617,Control!$F$11)),"")</f>
        <v/>
      </c>
      <c r="N10" s="24">
        <f>IFERROR(PERCENTRANK(HIST_D!$F$8:INDEX(HIST_D!$F$8:$F$2617,Control!$F$11),INDEX(HIST_D!$F$8:$F$2617,1)),"")</f>
        <v/>
      </c>
      <c r="O10" s="24">
        <f>IFERROR(PERCENTRANK(HIST_D!$F$8:INDEX(HIST_D!$F$8:$F$2617,Control!$F$13),INDEX(HIST_D!$F$8:$F$2617,1)),"")</f>
        <v/>
      </c>
      <c r="P10" s="24">
        <f>IFERROR(PERCENTRANK(HIST_D!$F$8:INDEX(HIST_D!$F$8:$F$2617,Control!$F$14),INDEX(HIST_D!$F$8:$F$2617,1)),"")</f>
        <v/>
      </c>
      <c r="Q10" s="24">
        <f>IFERROR(PERCENTRANK(HIST_D!$F$8:INDEX(HIST_D!$F$8:$F$2617,Control!$F$15),INDEX(HIST_D!$F$8:$F$2617,1)),"")</f>
        <v/>
      </c>
      <c r="R10" s="24">
        <f>IFERROR(PERCENTRANK(HIST_M!$B$8:$B$308,INDEX(HIST_D!$F$8:$F$2617,1)),"")</f>
        <v/>
      </c>
      <c r="S10" s="25">
        <f>IFERROR((INDEX(HIST_D!$F$8:$F$2617,1)-AVERAGE(HIST_D!$F$8:INDEX(HIST_D!$F$8:$F$2617,Control!$F$14)))/STDEV(HIST_D!$F$8:INDEX(HIST_D!$F$8:$F$2617,Control!$F$14)),"")</f>
        <v/>
      </c>
      <c r="T10" s="38" t="n">
        <v>2</v>
      </c>
      <c r="U10" s="25">
        <f>IF(MAX($T10-Control!$B$12,0.0833)&lt;=INDEX($T$6:$T$18,1),INDEX($D$6:$D$18,1),IF(MAX($T10-Control!$B$12,0.0833)&gt;=INDEX($T$6:$T$18,COUNT($T$6:$T$18)),INDEX($D$6:$D$18,COUNT($T$6:$T$18)),INDEX($D$6:$D$18,MATCH(MAX($T10-Control!$B$12,0.0833),$T$6:$T$18,1))+(MAX($T10-Control!$B$12,0.0833)-INDEX($T$6:$T$18,MATCH(MAX($T10-Control!$B$12,0.0833),$T$6:$T$18,1)))/(INDEX($T$6:$T$18,MATCH(MAX($T10-Control!$B$12,0.0833),$T$6:$T$18,1)+1)-INDEX($T$6:$T$18,MATCH(MAX($T10-Control!$B$12,0.0833),$T$6:$T$18,1)))*(INDEX($D$6:$D$18,MATCH(MAX($T10-Control!$B$12,0.0833),$T$6:$T$18,1)+1)-INDEX($D$6:$D$18,MATCH(MAX($T10-Control!$B$12,0.0833),$T$6:$T$18,1)))))</f>
        <v/>
      </c>
      <c r="V10" s="23">
        <f>IF($T10&lt;=Control!$B$12,"",($D10-$U10)*Control!$B$11)</f>
        <v/>
      </c>
      <c r="W10" s="39">
        <f>IFERROR((1-(1+$D10/100/Control!$B$14)^(-Control!$B$14*($T10)))/($D10/100/Control!$B$14)/Control!$B$14,"")</f>
        <v/>
      </c>
      <c r="X10" s="13">
        <f>IFERROR($W10*100*1000000/10000,"")</f>
        <v/>
      </c>
      <c r="Y10" s="36">
        <f>IF($T10&lt;=Control!$B$12,$D10*Control!$B$12/100,IFERROR((IFERROR(($D10/Control!$B$14)*(1-(1+$U10/100/Control!$B$14)^(-Control!$B$14*($T10-Control!$B$12)))/($U10/100/Control!$B$14)+100*(1+$U10/100/Control!$B$14)^(-Control!$B$14*($T10-Control!$B$12)),"")+$D10*Control!$B$12-100)/100,""))</f>
        <v/>
      </c>
      <c r="Z10" s="23">
        <f>IF($T10&lt;=Control!$B$12,"n/a",IFERROR($Y10*100/IFERROR((1-(1+$U10/100/Control!$B$14)^(-Control!$B$14*($T10-Control!$B$12)))/($U10/100/Control!$B$14)/Control!$B$14,"")*Control!$B$11,""))</f>
        <v/>
      </c>
    </row>
    <row r="11">
      <c r="A11" s="8" t="inlineStr">
        <is>
          <t>UST 3Y</t>
        </is>
      </c>
      <c r="B11" s="16">
        <f>Tickers!$C$11</f>
        <v/>
      </c>
      <c r="C11" s="27" t="inlineStr">
        <is>
          <t>%</t>
        </is>
      </c>
      <c r="D11" s="22">
        <f>INDEX(HIST_D!$G$8:$G$2617,1)</f>
        <v/>
      </c>
      <c r="E11" s="23">
        <f>IFERROR((INDEX(HIST_D!$G$8:$G$2617,1)-INDEX(HIST_D!$G$8:$G$2617,Control!$F$6))*Control!$B$11,"")</f>
        <v/>
      </c>
      <c r="F11" s="23">
        <f>IFERROR((INDEX(HIST_D!$G$8:$G$2617,1)-INDEX(HIST_D!$G$8:$G$2617,Control!$F$7))*Control!$B$11,"")</f>
        <v/>
      </c>
      <c r="G11" s="23">
        <f>IFERROR((INDEX(HIST_D!$G$8:$G$2617,1)-INDEX(HIST_D!$G$8:$G$2617,Control!$F$8))*Control!$B$11,"")</f>
        <v/>
      </c>
      <c r="H11" s="23">
        <f>IFERROR((INDEX(HIST_D!$G$8:$G$2617,1)-INDEX(HIST_D!$G$8:$G$2617,Control!$F$9))*Control!$B$11,"")</f>
        <v/>
      </c>
      <c r="I11" s="23">
        <f>IFERROR((INDEX(HIST_D!$G$8:$G$2617,1)-INDEX(HIST_D!$G$8:$G$2617,Control!$F$10))*Control!$B$11,"")</f>
        <v/>
      </c>
      <c r="J11" s="23">
        <f>IFERROR((INDEX(HIST_D!$G$8:$G$2617,1)-INDEX(HIST_D!$G$8:$G$2617,Control!$F$16))*Control!$B$11,"")</f>
        <v/>
      </c>
      <c r="K11" s="23">
        <f>IFERROR((INDEX(HIST_D!$G$8:$G$2617,1)-INDEX(HIST_D!$G$8:$G$2617,Control!$F$11))*Control!$B$11,"")</f>
        <v/>
      </c>
      <c r="L11" s="25">
        <f>IFERROR(MIN(HIST_D!$G$8:INDEX(HIST_D!$G$8:$G$2617,Control!$F$11)),"")</f>
        <v/>
      </c>
      <c r="M11" s="25">
        <f>IFERROR(MAX(HIST_D!$G$8:INDEX(HIST_D!$G$8:$G$2617,Control!$F$11)),"")</f>
        <v/>
      </c>
      <c r="N11" s="24">
        <f>IFERROR(PERCENTRANK(HIST_D!$G$8:INDEX(HIST_D!$G$8:$G$2617,Control!$F$11),INDEX(HIST_D!$G$8:$G$2617,1)),"")</f>
        <v/>
      </c>
      <c r="O11" s="24">
        <f>IFERROR(PERCENTRANK(HIST_D!$G$8:INDEX(HIST_D!$G$8:$G$2617,Control!$F$13),INDEX(HIST_D!$G$8:$G$2617,1)),"")</f>
        <v/>
      </c>
      <c r="P11" s="24">
        <f>IFERROR(PERCENTRANK(HIST_D!$G$8:INDEX(HIST_D!$G$8:$G$2617,Control!$F$14),INDEX(HIST_D!$G$8:$G$2617,1)),"")</f>
        <v/>
      </c>
      <c r="Q11" s="24">
        <f>IFERROR(PERCENTRANK(HIST_D!$G$8:INDEX(HIST_D!$G$8:$G$2617,Control!$F$15),INDEX(HIST_D!$G$8:$G$2617,1)),"")</f>
        <v/>
      </c>
      <c r="R11" s="27" t="inlineStr"/>
      <c r="S11" s="25">
        <f>IFERROR((INDEX(HIST_D!$G$8:$G$2617,1)-AVERAGE(HIST_D!$G$8:INDEX(HIST_D!$G$8:$G$2617,Control!$F$14)))/STDEV(HIST_D!$G$8:INDEX(HIST_D!$G$8:$G$2617,Control!$F$14)),"")</f>
        <v/>
      </c>
      <c r="T11" s="38" t="n">
        <v>3</v>
      </c>
      <c r="U11" s="25">
        <f>IF(MAX($T11-Control!$B$12,0.0833)&lt;=INDEX($T$6:$T$18,1),INDEX($D$6:$D$18,1),IF(MAX($T11-Control!$B$12,0.0833)&gt;=INDEX($T$6:$T$18,COUNT($T$6:$T$18)),INDEX($D$6:$D$18,COUNT($T$6:$T$18)),INDEX($D$6:$D$18,MATCH(MAX($T11-Control!$B$12,0.0833),$T$6:$T$18,1))+(MAX($T11-Control!$B$12,0.0833)-INDEX($T$6:$T$18,MATCH(MAX($T11-Control!$B$12,0.0833),$T$6:$T$18,1)))/(INDEX($T$6:$T$18,MATCH(MAX($T11-Control!$B$12,0.0833),$T$6:$T$18,1)+1)-INDEX($T$6:$T$18,MATCH(MAX($T11-Control!$B$12,0.0833),$T$6:$T$18,1)))*(INDEX($D$6:$D$18,MATCH(MAX($T11-Control!$B$12,0.0833),$T$6:$T$18,1)+1)-INDEX($D$6:$D$18,MATCH(MAX($T11-Control!$B$12,0.0833),$T$6:$T$18,1)))))</f>
        <v/>
      </c>
      <c r="V11" s="23">
        <f>IF($T11&lt;=Control!$B$12,"",($D11-$U11)*Control!$B$11)</f>
        <v/>
      </c>
      <c r="W11" s="39">
        <f>IFERROR((1-(1+$D11/100/Control!$B$14)^(-Control!$B$14*($T11)))/($D11/100/Control!$B$14)/Control!$B$14,"")</f>
        <v/>
      </c>
      <c r="X11" s="13">
        <f>IFERROR($W11*100*1000000/10000,"")</f>
        <v/>
      </c>
      <c r="Y11" s="36">
        <f>IF($T11&lt;=Control!$B$12,$D11*Control!$B$12/100,IFERROR((IFERROR(($D11/Control!$B$14)*(1-(1+$U11/100/Control!$B$14)^(-Control!$B$14*($T11-Control!$B$12)))/($U11/100/Control!$B$14)+100*(1+$U11/100/Control!$B$14)^(-Control!$B$14*($T11-Control!$B$12)),"")+$D11*Control!$B$12-100)/100,""))</f>
        <v/>
      </c>
      <c r="Z11" s="23">
        <f>IF($T11&lt;=Control!$B$12,"n/a",IFERROR($Y11*100/IFERROR((1-(1+$U11/100/Control!$B$14)^(-Control!$B$14*($T11-Control!$B$12)))/($U11/100/Control!$B$14)/Control!$B$14,"")*Control!$B$11,""))</f>
        <v/>
      </c>
    </row>
    <row r="12">
      <c r="A12" s="8" t="inlineStr">
        <is>
          <t>UST 4Y</t>
        </is>
      </c>
      <c r="B12" s="17" t="inlineStr">
        <is>
          <t>derived on HIST_D</t>
        </is>
      </c>
      <c r="C12" s="27" t="inlineStr">
        <is>
          <t>%</t>
        </is>
      </c>
      <c r="D12" s="22">
        <f>INDEX(HIST_D!$AR$8:$AR$2617,1)</f>
        <v/>
      </c>
      <c r="E12" s="23">
        <f>IFERROR((INDEX(HIST_D!$AR$8:$AR$2617,1)-INDEX(HIST_D!$AR$8:$AR$2617,Control!$F$6))*Control!$B$11,"")</f>
        <v/>
      </c>
      <c r="F12" s="23">
        <f>IFERROR((INDEX(HIST_D!$AR$8:$AR$2617,1)-INDEX(HIST_D!$AR$8:$AR$2617,Control!$F$7))*Control!$B$11,"")</f>
        <v/>
      </c>
      <c r="G12" s="23">
        <f>IFERROR((INDEX(HIST_D!$AR$8:$AR$2617,1)-INDEX(HIST_D!$AR$8:$AR$2617,Control!$F$8))*Control!$B$11,"")</f>
        <v/>
      </c>
      <c r="H12" s="23">
        <f>IFERROR((INDEX(HIST_D!$AR$8:$AR$2617,1)-INDEX(HIST_D!$AR$8:$AR$2617,Control!$F$9))*Control!$B$11,"")</f>
        <v/>
      </c>
      <c r="I12" s="23">
        <f>IFERROR((INDEX(HIST_D!$AR$8:$AR$2617,1)-INDEX(HIST_D!$AR$8:$AR$2617,Control!$F$10))*Control!$B$11,"")</f>
        <v/>
      </c>
      <c r="J12" s="23">
        <f>IFERROR((INDEX(HIST_D!$AR$8:$AR$2617,1)-INDEX(HIST_D!$AR$8:$AR$2617,Control!$F$16))*Control!$B$11,"")</f>
        <v/>
      </c>
      <c r="K12" s="23">
        <f>IFERROR((INDEX(HIST_D!$AR$8:$AR$2617,1)-INDEX(HIST_D!$AR$8:$AR$2617,Control!$F$11))*Control!$B$11,"")</f>
        <v/>
      </c>
      <c r="L12" s="25">
        <f>IFERROR(MIN(HIST_D!$AR$8:INDEX(HIST_D!$AR$8:$AR$2617,Control!$F$11)),"")</f>
        <v/>
      </c>
      <c r="M12" s="25">
        <f>IFERROR(MAX(HIST_D!$AR$8:INDEX(HIST_D!$AR$8:$AR$2617,Control!$F$11)),"")</f>
        <v/>
      </c>
      <c r="N12" s="24">
        <f>IFERROR(PERCENTRANK(HIST_D!$AR$8:INDEX(HIST_D!$AR$8:$AR$2617,Control!$F$11),INDEX(HIST_D!$AR$8:$AR$2617,1)),"")</f>
        <v/>
      </c>
      <c r="O12" s="24">
        <f>IFERROR(PERCENTRANK(HIST_D!$AR$8:INDEX(HIST_D!$AR$8:$AR$2617,Control!$F$13),INDEX(HIST_D!$AR$8:$AR$2617,1)),"")</f>
        <v/>
      </c>
      <c r="P12" s="24">
        <f>IFERROR(PERCENTRANK(HIST_D!$AR$8:INDEX(HIST_D!$AR$8:$AR$2617,Control!$F$14),INDEX(HIST_D!$AR$8:$AR$2617,1)),"")</f>
        <v/>
      </c>
      <c r="Q12" s="24">
        <f>IFERROR(PERCENTRANK(HIST_D!$AR$8:INDEX(HIST_D!$AR$8:$AR$2617,Control!$F$15),INDEX(HIST_D!$AR$8:$AR$2617,1)),"")</f>
        <v/>
      </c>
      <c r="R12" s="27" t="inlineStr"/>
      <c r="S12" s="25">
        <f>IFERROR((INDEX(HIST_D!$AR$8:$AR$2617,1)-AVERAGE(HIST_D!$AR$8:INDEX(HIST_D!$AR$8:$AR$2617,Control!$F$14)))/STDEV(HIST_D!$AR$8:INDEX(HIST_D!$AR$8:$AR$2617,Control!$F$14)),"")</f>
        <v/>
      </c>
      <c r="T12" s="38" t="n">
        <v>4</v>
      </c>
      <c r="U12" s="25">
        <f>IF(MAX($T12-Control!$B$12,0.0833)&lt;=INDEX($T$6:$T$18,1),INDEX($D$6:$D$18,1),IF(MAX($T12-Control!$B$12,0.0833)&gt;=INDEX($T$6:$T$18,COUNT($T$6:$T$18)),INDEX($D$6:$D$18,COUNT($T$6:$T$18)),INDEX($D$6:$D$18,MATCH(MAX($T12-Control!$B$12,0.0833),$T$6:$T$18,1))+(MAX($T12-Control!$B$12,0.0833)-INDEX($T$6:$T$18,MATCH(MAX($T12-Control!$B$12,0.0833),$T$6:$T$18,1)))/(INDEX($T$6:$T$18,MATCH(MAX($T12-Control!$B$12,0.0833),$T$6:$T$18,1)+1)-INDEX($T$6:$T$18,MATCH(MAX($T12-Control!$B$12,0.0833),$T$6:$T$18,1)))*(INDEX($D$6:$D$18,MATCH(MAX($T12-Control!$B$12,0.0833),$T$6:$T$18,1)+1)-INDEX($D$6:$D$18,MATCH(MAX($T12-Control!$B$12,0.0833),$T$6:$T$18,1)))))</f>
        <v/>
      </c>
      <c r="V12" s="23">
        <f>IF($T12&lt;=Control!$B$12,"",($D12-$U12)*Control!$B$11)</f>
        <v/>
      </c>
      <c r="W12" s="39">
        <f>IFERROR((1-(1+$D12/100/Control!$B$14)^(-Control!$B$14*($T12)))/($D12/100/Control!$B$14)/Control!$B$14,"")</f>
        <v/>
      </c>
      <c r="X12" s="13">
        <f>IFERROR($W12*100*1000000/10000,"")</f>
        <v/>
      </c>
      <c r="Y12" s="36">
        <f>IF($T12&lt;=Control!$B$12,$D12*Control!$B$12/100,IFERROR((IFERROR(($D12/Control!$B$14)*(1-(1+$U12/100/Control!$B$14)^(-Control!$B$14*($T12-Control!$B$12)))/($U12/100/Control!$B$14)+100*(1+$U12/100/Control!$B$14)^(-Control!$B$14*($T12-Control!$B$12)),"")+$D12*Control!$B$12-100)/100,""))</f>
        <v/>
      </c>
      <c r="Z12" s="23">
        <f>IF($T12&lt;=Control!$B$12,"n/a",IFERROR($Y12*100/IFERROR((1-(1+$U12/100/Control!$B$14)^(-Control!$B$14*($T12-Control!$B$12)))/($U12/100/Control!$B$14)/Control!$B$14,"")*Control!$B$11,""))</f>
        <v/>
      </c>
    </row>
    <row r="13">
      <c r="A13" s="21" t="inlineStr">
        <is>
          <t>UST 5Y</t>
        </is>
      </c>
      <c r="B13" s="16">
        <f>Tickers!$C$12</f>
        <v/>
      </c>
      <c r="C13" s="27" t="inlineStr">
        <is>
          <t>%</t>
        </is>
      </c>
      <c r="D13" s="22">
        <f>INDEX(HIST_D!$H$8:$H$2617,1)</f>
        <v/>
      </c>
      <c r="E13" s="23">
        <f>IFERROR((INDEX(HIST_D!$H$8:$H$2617,1)-INDEX(HIST_D!$H$8:$H$2617,Control!$F$6))*Control!$B$11,"")</f>
        <v/>
      </c>
      <c r="F13" s="23">
        <f>IFERROR((INDEX(HIST_D!$H$8:$H$2617,1)-INDEX(HIST_D!$H$8:$H$2617,Control!$F$7))*Control!$B$11,"")</f>
        <v/>
      </c>
      <c r="G13" s="23">
        <f>IFERROR((INDEX(HIST_D!$H$8:$H$2617,1)-INDEX(HIST_D!$H$8:$H$2617,Control!$F$8))*Control!$B$11,"")</f>
        <v/>
      </c>
      <c r="H13" s="23">
        <f>IFERROR((INDEX(HIST_D!$H$8:$H$2617,1)-INDEX(HIST_D!$H$8:$H$2617,Control!$F$9))*Control!$B$11,"")</f>
        <v/>
      </c>
      <c r="I13" s="23">
        <f>IFERROR((INDEX(HIST_D!$H$8:$H$2617,1)-INDEX(HIST_D!$H$8:$H$2617,Control!$F$10))*Control!$B$11,"")</f>
        <v/>
      </c>
      <c r="J13" s="23">
        <f>IFERROR((INDEX(HIST_D!$H$8:$H$2617,1)-INDEX(HIST_D!$H$8:$H$2617,Control!$F$16))*Control!$B$11,"")</f>
        <v/>
      </c>
      <c r="K13" s="23">
        <f>IFERROR((INDEX(HIST_D!$H$8:$H$2617,1)-INDEX(HIST_D!$H$8:$H$2617,Control!$F$11))*Control!$B$11,"")</f>
        <v/>
      </c>
      <c r="L13" s="25">
        <f>IFERROR(MIN(HIST_D!$H$8:INDEX(HIST_D!$H$8:$H$2617,Control!$F$11)),"")</f>
        <v/>
      </c>
      <c r="M13" s="25">
        <f>IFERROR(MAX(HIST_D!$H$8:INDEX(HIST_D!$H$8:$H$2617,Control!$F$11)),"")</f>
        <v/>
      </c>
      <c r="N13" s="24">
        <f>IFERROR(PERCENTRANK(HIST_D!$H$8:INDEX(HIST_D!$H$8:$H$2617,Control!$F$11),INDEX(HIST_D!$H$8:$H$2617,1)),"")</f>
        <v/>
      </c>
      <c r="O13" s="24">
        <f>IFERROR(PERCENTRANK(HIST_D!$H$8:INDEX(HIST_D!$H$8:$H$2617,Control!$F$13),INDEX(HIST_D!$H$8:$H$2617,1)),"")</f>
        <v/>
      </c>
      <c r="P13" s="24">
        <f>IFERROR(PERCENTRANK(HIST_D!$H$8:INDEX(HIST_D!$H$8:$H$2617,Control!$F$14),INDEX(HIST_D!$H$8:$H$2617,1)),"")</f>
        <v/>
      </c>
      <c r="Q13" s="24">
        <f>IFERROR(PERCENTRANK(HIST_D!$H$8:INDEX(HIST_D!$H$8:$H$2617,Control!$F$15),INDEX(HIST_D!$H$8:$H$2617,1)),"")</f>
        <v/>
      </c>
      <c r="R13" s="24">
        <f>IFERROR(PERCENTRANK(HIST_M!$C$8:$C$308,INDEX(HIST_D!$H$8:$H$2617,1)),"")</f>
        <v/>
      </c>
      <c r="S13" s="25">
        <f>IFERROR((INDEX(HIST_D!$H$8:$H$2617,1)-AVERAGE(HIST_D!$H$8:INDEX(HIST_D!$H$8:$H$2617,Control!$F$14)))/STDEV(HIST_D!$H$8:INDEX(HIST_D!$H$8:$H$2617,Control!$F$14)),"")</f>
        <v/>
      </c>
      <c r="T13" s="38" t="n">
        <v>5</v>
      </c>
      <c r="U13" s="25">
        <f>IF(MAX($T13-Control!$B$12,0.0833)&lt;=INDEX($T$6:$T$18,1),INDEX($D$6:$D$18,1),IF(MAX($T13-Control!$B$12,0.0833)&gt;=INDEX($T$6:$T$18,COUNT($T$6:$T$18)),INDEX($D$6:$D$18,COUNT($T$6:$T$18)),INDEX($D$6:$D$18,MATCH(MAX($T13-Control!$B$12,0.0833),$T$6:$T$18,1))+(MAX($T13-Control!$B$12,0.0833)-INDEX($T$6:$T$18,MATCH(MAX($T13-Control!$B$12,0.0833),$T$6:$T$18,1)))/(INDEX($T$6:$T$18,MATCH(MAX($T13-Control!$B$12,0.0833),$T$6:$T$18,1)+1)-INDEX($T$6:$T$18,MATCH(MAX($T13-Control!$B$12,0.0833),$T$6:$T$18,1)))*(INDEX($D$6:$D$18,MATCH(MAX($T13-Control!$B$12,0.0833),$T$6:$T$18,1)+1)-INDEX($D$6:$D$18,MATCH(MAX($T13-Control!$B$12,0.0833),$T$6:$T$18,1)))))</f>
        <v/>
      </c>
      <c r="V13" s="23">
        <f>IF($T13&lt;=Control!$B$12,"",($D13-$U13)*Control!$B$11)</f>
        <v/>
      </c>
      <c r="W13" s="39">
        <f>IFERROR((1-(1+$D13/100/Control!$B$14)^(-Control!$B$14*($T13)))/($D13/100/Control!$B$14)/Control!$B$14,"")</f>
        <v/>
      </c>
      <c r="X13" s="13">
        <f>IFERROR($W13*100*1000000/10000,"")</f>
        <v/>
      </c>
      <c r="Y13" s="36">
        <f>IF($T13&lt;=Control!$B$12,$D13*Control!$B$12/100,IFERROR((IFERROR(($D13/Control!$B$14)*(1-(1+$U13/100/Control!$B$14)^(-Control!$B$14*($T13-Control!$B$12)))/($U13/100/Control!$B$14)+100*(1+$U13/100/Control!$B$14)^(-Control!$B$14*($T13-Control!$B$12)),"")+$D13*Control!$B$12-100)/100,""))</f>
        <v/>
      </c>
      <c r="Z13" s="23">
        <f>IF($T13&lt;=Control!$B$12,"n/a",IFERROR($Y13*100/IFERROR((1-(1+$U13/100/Control!$B$14)^(-Control!$B$14*($T13-Control!$B$12)))/($U13/100/Control!$B$14)/Control!$B$14,"")*Control!$B$11,""))</f>
        <v/>
      </c>
    </row>
    <row r="14">
      <c r="A14" s="8" t="inlineStr">
        <is>
          <t>UST 7Y</t>
        </is>
      </c>
      <c r="B14" s="16">
        <f>Tickers!$C$13</f>
        <v/>
      </c>
      <c r="C14" s="27" t="inlineStr">
        <is>
          <t>%</t>
        </is>
      </c>
      <c r="D14" s="22">
        <f>INDEX(HIST_D!$I$8:$I$2617,1)</f>
        <v/>
      </c>
      <c r="E14" s="23">
        <f>IFERROR((INDEX(HIST_D!$I$8:$I$2617,1)-INDEX(HIST_D!$I$8:$I$2617,Control!$F$6))*Control!$B$11,"")</f>
        <v/>
      </c>
      <c r="F14" s="23">
        <f>IFERROR((INDEX(HIST_D!$I$8:$I$2617,1)-INDEX(HIST_D!$I$8:$I$2617,Control!$F$7))*Control!$B$11,"")</f>
        <v/>
      </c>
      <c r="G14" s="23">
        <f>IFERROR((INDEX(HIST_D!$I$8:$I$2617,1)-INDEX(HIST_D!$I$8:$I$2617,Control!$F$8))*Control!$B$11,"")</f>
        <v/>
      </c>
      <c r="H14" s="23">
        <f>IFERROR((INDEX(HIST_D!$I$8:$I$2617,1)-INDEX(HIST_D!$I$8:$I$2617,Control!$F$9))*Control!$B$11,"")</f>
        <v/>
      </c>
      <c r="I14" s="23">
        <f>IFERROR((INDEX(HIST_D!$I$8:$I$2617,1)-INDEX(HIST_D!$I$8:$I$2617,Control!$F$10))*Control!$B$11,"")</f>
        <v/>
      </c>
      <c r="J14" s="23">
        <f>IFERROR((INDEX(HIST_D!$I$8:$I$2617,1)-INDEX(HIST_D!$I$8:$I$2617,Control!$F$16))*Control!$B$11,"")</f>
        <v/>
      </c>
      <c r="K14" s="23">
        <f>IFERROR((INDEX(HIST_D!$I$8:$I$2617,1)-INDEX(HIST_D!$I$8:$I$2617,Control!$F$11))*Control!$B$11,"")</f>
        <v/>
      </c>
      <c r="L14" s="25">
        <f>IFERROR(MIN(HIST_D!$I$8:INDEX(HIST_D!$I$8:$I$2617,Control!$F$11)),"")</f>
        <v/>
      </c>
      <c r="M14" s="25">
        <f>IFERROR(MAX(HIST_D!$I$8:INDEX(HIST_D!$I$8:$I$2617,Control!$F$11)),"")</f>
        <v/>
      </c>
      <c r="N14" s="24">
        <f>IFERROR(PERCENTRANK(HIST_D!$I$8:INDEX(HIST_D!$I$8:$I$2617,Control!$F$11),INDEX(HIST_D!$I$8:$I$2617,1)),"")</f>
        <v/>
      </c>
      <c r="O14" s="24">
        <f>IFERROR(PERCENTRANK(HIST_D!$I$8:INDEX(HIST_D!$I$8:$I$2617,Control!$F$13),INDEX(HIST_D!$I$8:$I$2617,1)),"")</f>
        <v/>
      </c>
      <c r="P14" s="24">
        <f>IFERROR(PERCENTRANK(HIST_D!$I$8:INDEX(HIST_D!$I$8:$I$2617,Control!$F$14),INDEX(HIST_D!$I$8:$I$2617,1)),"")</f>
        <v/>
      </c>
      <c r="Q14" s="24">
        <f>IFERROR(PERCENTRANK(HIST_D!$I$8:INDEX(HIST_D!$I$8:$I$2617,Control!$F$15),INDEX(HIST_D!$I$8:$I$2617,1)),"")</f>
        <v/>
      </c>
      <c r="R14" s="27" t="inlineStr"/>
      <c r="S14" s="25">
        <f>IFERROR((INDEX(HIST_D!$I$8:$I$2617,1)-AVERAGE(HIST_D!$I$8:INDEX(HIST_D!$I$8:$I$2617,Control!$F$14)))/STDEV(HIST_D!$I$8:INDEX(HIST_D!$I$8:$I$2617,Control!$F$14)),"")</f>
        <v/>
      </c>
      <c r="T14" s="38" t="n">
        <v>7</v>
      </c>
      <c r="U14" s="25">
        <f>IF(MAX($T14-Control!$B$12,0.0833)&lt;=INDEX($T$6:$T$18,1),INDEX($D$6:$D$18,1),IF(MAX($T14-Control!$B$12,0.0833)&gt;=INDEX($T$6:$T$18,COUNT($T$6:$T$18)),INDEX($D$6:$D$18,COUNT($T$6:$T$18)),INDEX($D$6:$D$18,MATCH(MAX($T14-Control!$B$12,0.0833),$T$6:$T$18,1))+(MAX($T14-Control!$B$12,0.0833)-INDEX($T$6:$T$18,MATCH(MAX($T14-Control!$B$12,0.0833),$T$6:$T$18,1)))/(INDEX($T$6:$T$18,MATCH(MAX($T14-Control!$B$12,0.0833),$T$6:$T$18,1)+1)-INDEX($T$6:$T$18,MATCH(MAX($T14-Control!$B$12,0.0833),$T$6:$T$18,1)))*(INDEX($D$6:$D$18,MATCH(MAX($T14-Control!$B$12,0.0833),$T$6:$T$18,1)+1)-INDEX($D$6:$D$18,MATCH(MAX($T14-Control!$B$12,0.0833),$T$6:$T$18,1)))))</f>
        <v/>
      </c>
      <c r="V14" s="23">
        <f>IF($T14&lt;=Control!$B$12,"",($D14-$U14)*Control!$B$11)</f>
        <v/>
      </c>
      <c r="W14" s="39">
        <f>IFERROR((1-(1+$D14/100/Control!$B$14)^(-Control!$B$14*($T14)))/($D14/100/Control!$B$14)/Control!$B$14,"")</f>
        <v/>
      </c>
      <c r="X14" s="13">
        <f>IFERROR($W14*100*1000000/10000,"")</f>
        <v/>
      </c>
      <c r="Y14" s="36">
        <f>IF($T14&lt;=Control!$B$12,$D14*Control!$B$12/100,IFERROR((IFERROR(($D14/Control!$B$14)*(1-(1+$U14/100/Control!$B$14)^(-Control!$B$14*($T14-Control!$B$12)))/($U14/100/Control!$B$14)+100*(1+$U14/100/Control!$B$14)^(-Control!$B$14*($T14-Control!$B$12)),"")+$D14*Control!$B$12-100)/100,""))</f>
        <v/>
      </c>
      <c r="Z14" s="23">
        <f>IF($T14&lt;=Control!$B$12,"n/a",IFERROR($Y14*100/IFERROR((1-(1+$U14/100/Control!$B$14)^(-Control!$B$14*($T14-Control!$B$12)))/($U14/100/Control!$B$14)/Control!$B$14,"")*Control!$B$11,""))</f>
        <v/>
      </c>
    </row>
    <row r="15">
      <c r="A15" s="21" t="inlineStr">
        <is>
          <t>UST 10Y</t>
        </is>
      </c>
      <c r="B15" s="16">
        <f>Tickers!$C$14</f>
        <v/>
      </c>
      <c r="C15" s="27" t="inlineStr">
        <is>
          <t>%</t>
        </is>
      </c>
      <c r="D15" s="22">
        <f>INDEX(HIST_D!$J$8:$J$2617,1)</f>
        <v/>
      </c>
      <c r="E15" s="23">
        <f>IFERROR((INDEX(HIST_D!$J$8:$J$2617,1)-INDEX(HIST_D!$J$8:$J$2617,Control!$F$6))*Control!$B$11,"")</f>
        <v/>
      </c>
      <c r="F15" s="23">
        <f>IFERROR((INDEX(HIST_D!$J$8:$J$2617,1)-INDEX(HIST_D!$J$8:$J$2617,Control!$F$7))*Control!$B$11,"")</f>
        <v/>
      </c>
      <c r="G15" s="23">
        <f>IFERROR((INDEX(HIST_D!$J$8:$J$2617,1)-INDEX(HIST_D!$J$8:$J$2617,Control!$F$8))*Control!$B$11,"")</f>
        <v/>
      </c>
      <c r="H15" s="23">
        <f>IFERROR((INDEX(HIST_D!$J$8:$J$2617,1)-INDEX(HIST_D!$J$8:$J$2617,Control!$F$9))*Control!$B$11,"")</f>
        <v/>
      </c>
      <c r="I15" s="23">
        <f>IFERROR((INDEX(HIST_D!$J$8:$J$2617,1)-INDEX(HIST_D!$J$8:$J$2617,Control!$F$10))*Control!$B$11,"")</f>
        <v/>
      </c>
      <c r="J15" s="23">
        <f>IFERROR((INDEX(HIST_D!$J$8:$J$2617,1)-INDEX(HIST_D!$J$8:$J$2617,Control!$F$16))*Control!$B$11,"")</f>
        <v/>
      </c>
      <c r="K15" s="23">
        <f>IFERROR((INDEX(HIST_D!$J$8:$J$2617,1)-INDEX(HIST_D!$J$8:$J$2617,Control!$F$11))*Control!$B$11,"")</f>
        <v/>
      </c>
      <c r="L15" s="25">
        <f>IFERROR(MIN(HIST_D!$J$8:INDEX(HIST_D!$J$8:$J$2617,Control!$F$11)),"")</f>
        <v/>
      </c>
      <c r="M15" s="25">
        <f>IFERROR(MAX(HIST_D!$J$8:INDEX(HIST_D!$J$8:$J$2617,Control!$F$11)),"")</f>
        <v/>
      </c>
      <c r="N15" s="24">
        <f>IFERROR(PERCENTRANK(HIST_D!$J$8:INDEX(HIST_D!$J$8:$J$2617,Control!$F$11),INDEX(HIST_D!$J$8:$J$2617,1)),"")</f>
        <v/>
      </c>
      <c r="O15" s="24">
        <f>IFERROR(PERCENTRANK(HIST_D!$J$8:INDEX(HIST_D!$J$8:$J$2617,Control!$F$13),INDEX(HIST_D!$J$8:$J$2617,1)),"")</f>
        <v/>
      </c>
      <c r="P15" s="24">
        <f>IFERROR(PERCENTRANK(HIST_D!$J$8:INDEX(HIST_D!$J$8:$J$2617,Control!$F$14),INDEX(HIST_D!$J$8:$J$2617,1)),"")</f>
        <v/>
      </c>
      <c r="Q15" s="24">
        <f>IFERROR(PERCENTRANK(HIST_D!$J$8:INDEX(HIST_D!$J$8:$J$2617,Control!$F$15),INDEX(HIST_D!$J$8:$J$2617,1)),"")</f>
        <v/>
      </c>
      <c r="R15" s="24">
        <f>IFERROR(PERCENTRANK(HIST_M!$D$8:$D$308,INDEX(HIST_D!$J$8:$J$2617,1)),"")</f>
        <v/>
      </c>
      <c r="S15" s="25">
        <f>IFERROR((INDEX(HIST_D!$J$8:$J$2617,1)-AVERAGE(HIST_D!$J$8:INDEX(HIST_D!$J$8:$J$2617,Control!$F$14)))/STDEV(HIST_D!$J$8:INDEX(HIST_D!$J$8:$J$2617,Control!$F$14)),"")</f>
        <v/>
      </c>
      <c r="T15" s="38" t="n">
        <v>10</v>
      </c>
      <c r="U15" s="25">
        <f>IF(MAX($T15-Control!$B$12,0.0833)&lt;=INDEX($T$6:$T$18,1),INDEX($D$6:$D$18,1),IF(MAX($T15-Control!$B$12,0.0833)&gt;=INDEX($T$6:$T$18,COUNT($T$6:$T$18)),INDEX($D$6:$D$18,COUNT($T$6:$T$18)),INDEX($D$6:$D$18,MATCH(MAX($T15-Control!$B$12,0.0833),$T$6:$T$18,1))+(MAX($T15-Control!$B$12,0.0833)-INDEX($T$6:$T$18,MATCH(MAX($T15-Control!$B$12,0.0833),$T$6:$T$18,1)))/(INDEX($T$6:$T$18,MATCH(MAX($T15-Control!$B$12,0.0833),$T$6:$T$18,1)+1)-INDEX($T$6:$T$18,MATCH(MAX($T15-Control!$B$12,0.0833),$T$6:$T$18,1)))*(INDEX($D$6:$D$18,MATCH(MAX($T15-Control!$B$12,0.0833),$T$6:$T$18,1)+1)-INDEX($D$6:$D$18,MATCH(MAX($T15-Control!$B$12,0.0833),$T$6:$T$18,1)))))</f>
        <v/>
      </c>
      <c r="V15" s="23">
        <f>IF($T15&lt;=Control!$B$12,"",($D15-$U15)*Control!$B$11)</f>
        <v/>
      </c>
      <c r="W15" s="39">
        <f>IFERROR((1-(1+$D15/100/Control!$B$14)^(-Control!$B$14*($T15)))/($D15/100/Control!$B$14)/Control!$B$14,"")</f>
        <v/>
      </c>
      <c r="X15" s="13">
        <f>IFERROR($W15*100*1000000/10000,"")</f>
        <v/>
      </c>
      <c r="Y15" s="36">
        <f>IF($T15&lt;=Control!$B$12,$D15*Control!$B$12/100,IFERROR((IFERROR(($D15/Control!$B$14)*(1-(1+$U15/100/Control!$B$14)^(-Control!$B$14*($T15-Control!$B$12)))/($U15/100/Control!$B$14)+100*(1+$U15/100/Control!$B$14)^(-Control!$B$14*($T15-Control!$B$12)),"")+$D15*Control!$B$12-100)/100,""))</f>
        <v/>
      </c>
      <c r="Z15" s="23">
        <f>IF($T15&lt;=Control!$B$12,"n/a",IFERROR($Y15*100/IFERROR((1-(1+$U15/100/Control!$B$14)^(-Control!$B$14*($T15-Control!$B$12)))/($U15/100/Control!$B$14)/Control!$B$14,"")*Control!$B$11,""))</f>
        <v/>
      </c>
    </row>
    <row r="16">
      <c r="A16" s="8" t="inlineStr">
        <is>
          <t>UST 15Y</t>
        </is>
      </c>
      <c r="B16" s="17" t="inlineStr">
        <is>
          <t>derived on HIST_D</t>
        </is>
      </c>
      <c r="C16" s="27" t="inlineStr">
        <is>
          <t>%</t>
        </is>
      </c>
      <c r="D16" s="22">
        <f>INDEX(HIST_D!$AS$8:$AS$2617,1)</f>
        <v/>
      </c>
      <c r="E16" s="23">
        <f>IFERROR((INDEX(HIST_D!$AS$8:$AS$2617,1)-INDEX(HIST_D!$AS$8:$AS$2617,Control!$F$6))*Control!$B$11,"")</f>
        <v/>
      </c>
      <c r="F16" s="23">
        <f>IFERROR((INDEX(HIST_D!$AS$8:$AS$2617,1)-INDEX(HIST_D!$AS$8:$AS$2617,Control!$F$7))*Control!$B$11,"")</f>
        <v/>
      </c>
      <c r="G16" s="23">
        <f>IFERROR((INDEX(HIST_D!$AS$8:$AS$2617,1)-INDEX(HIST_D!$AS$8:$AS$2617,Control!$F$8))*Control!$B$11,"")</f>
        <v/>
      </c>
      <c r="H16" s="23">
        <f>IFERROR((INDEX(HIST_D!$AS$8:$AS$2617,1)-INDEX(HIST_D!$AS$8:$AS$2617,Control!$F$9))*Control!$B$11,"")</f>
        <v/>
      </c>
      <c r="I16" s="23">
        <f>IFERROR((INDEX(HIST_D!$AS$8:$AS$2617,1)-INDEX(HIST_D!$AS$8:$AS$2617,Control!$F$10))*Control!$B$11,"")</f>
        <v/>
      </c>
      <c r="J16" s="23">
        <f>IFERROR((INDEX(HIST_D!$AS$8:$AS$2617,1)-INDEX(HIST_D!$AS$8:$AS$2617,Control!$F$16))*Control!$B$11,"")</f>
        <v/>
      </c>
      <c r="K16" s="23">
        <f>IFERROR((INDEX(HIST_D!$AS$8:$AS$2617,1)-INDEX(HIST_D!$AS$8:$AS$2617,Control!$F$11))*Control!$B$11,"")</f>
        <v/>
      </c>
      <c r="L16" s="25">
        <f>IFERROR(MIN(HIST_D!$AS$8:INDEX(HIST_D!$AS$8:$AS$2617,Control!$F$11)),"")</f>
        <v/>
      </c>
      <c r="M16" s="25">
        <f>IFERROR(MAX(HIST_D!$AS$8:INDEX(HIST_D!$AS$8:$AS$2617,Control!$F$11)),"")</f>
        <v/>
      </c>
      <c r="N16" s="24">
        <f>IFERROR(PERCENTRANK(HIST_D!$AS$8:INDEX(HIST_D!$AS$8:$AS$2617,Control!$F$11),INDEX(HIST_D!$AS$8:$AS$2617,1)),"")</f>
        <v/>
      </c>
      <c r="O16" s="24">
        <f>IFERROR(PERCENTRANK(HIST_D!$AS$8:INDEX(HIST_D!$AS$8:$AS$2617,Control!$F$13),INDEX(HIST_D!$AS$8:$AS$2617,1)),"")</f>
        <v/>
      </c>
      <c r="P16" s="24">
        <f>IFERROR(PERCENTRANK(HIST_D!$AS$8:INDEX(HIST_D!$AS$8:$AS$2617,Control!$F$14),INDEX(HIST_D!$AS$8:$AS$2617,1)),"")</f>
        <v/>
      </c>
      <c r="Q16" s="24">
        <f>IFERROR(PERCENTRANK(HIST_D!$AS$8:INDEX(HIST_D!$AS$8:$AS$2617,Control!$F$15),INDEX(HIST_D!$AS$8:$AS$2617,1)),"")</f>
        <v/>
      </c>
      <c r="R16" s="27" t="inlineStr"/>
      <c r="S16" s="25">
        <f>IFERROR((INDEX(HIST_D!$AS$8:$AS$2617,1)-AVERAGE(HIST_D!$AS$8:INDEX(HIST_D!$AS$8:$AS$2617,Control!$F$14)))/STDEV(HIST_D!$AS$8:INDEX(HIST_D!$AS$8:$AS$2617,Control!$F$14)),"")</f>
        <v/>
      </c>
      <c r="T16" s="38" t="n">
        <v>15</v>
      </c>
      <c r="U16" s="25">
        <f>IF(MAX($T16-Control!$B$12,0.0833)&lt;=INDEX($T$6:$T$18,1),INDEX($D$6:$D$18,1),IF(MAX($T16-Control!$B$12,0.0833)&gt;=INDEX($T$6:$T$18,COUNT($T$6:$T$18)),INDEX($D$6:$D$18,COUNT($T$6:$T$18)),INDEX($D$6:$D$18,MATCH(MAX($T16-Control!$B$12,0.0833),$T$6:$T$18,1))+(MAX($T16-Control!$B$12,0.0833)-INDEX($T$6:$T$18,MATCH(MAX($T16-Control!$B$12,0.0833),$T$6:$T$18,1)))/(INDEX($T$6:$T$18,MATCH(MAX($T16-Control!$B$12,0.0833),$T$6:$T$18,1)+1)-INDEX($T$6:$T$18,MATCH(MAX($T16-Control!$B$12,0.0833),$T$6:$T$18,1)))*(INDEX($D$6:$D$18,MATCH(MAX($T16-Control!$B$12,0.0833),$T$6:$T$18,1)+1)-INDEX($D$6:$D$18,MATCH(MAX($T16-Control!$B$12,0.0833),$T$6:$T$18,1)))))</f>
        <v/>
      </c>
      <c r="V16" s="23">
        <f>IF($T16&lt;=Control!$B$12,"",($D16-$U16)*Control!$B$11)</f>
        <v/>
      </c>
      <c r="W16" s="39">
        <f>IFERROR((1-(1+$D16/100/Control!$B$14)^(-Control!$B$14*($T16)))/($D16/100/Control!$B$14)/Control!$B$14,"")</f>
        <v/>
      </c>
      <c r="X16" s="13">
        <f>IFERROR($W16*100*1000000/10000,"")</f>
        <v/>
      </c>
      <c r="Y16" s="36">
        <f>IF($T16&lt;=Control!$B$12,$D16*Control!$B$12/100,IFERROR((IFERROR(($D16/Control!$B$14)*(1-(1+$U16/100/Control!$B$14)^(-Control!$B$14*($T16-Control!$B$12)))/($U16/100/Control!$B$14)+100*(1+$U16/100/Control!$B$14)^(-Control!$B$14*($T16-Control!$B$12)),"")+$D16*Control!$B$12-100)/100,""))</f>
        <v/>
      </c>
      <c r="Z16" s="23">
        <f>IF($T16&lt;=Control!$B$12,"n/a",IFERROR($Y16*100/IFERROR((1-(1+$U16/100/Control!$B$14)^(-Control!$B$14*($T16-Control!$B$12)))/($U16/100/Control!$B$14)/Control!$B$14,"")*Control!$B$11,""))</f>
        <v/>
      </c>
    </row>
    <row r="17">
      <c r="A17" s="8" t="inlineStr">
        <is>
          <t>UST 20Y</t>
        </is>
      </c>
      <c r="B17" s="16">
        <f>Tickers!$C$15</f>
        <v/>
      </c>
      <c r="C17" s="27" t="inlineStr">
        <is>
          <t>%</t>
        </is>
      </c>
      <c r="D17" s="22">
        <f>INDEX(HIST_D!$K$8:$K$2617,1)</f>
        <v/>
      </c>
      <c r="E17" s="23">
        <f>IFERROR((INDEX(HIST_D!$K$8:$K$2617,1)-INDEX(HIST_D!$K$8:$K$2617,Control!$F$6))*Control!$B$11,"")</f>
        <v/>
      </c>
      <c r="F17" s="23">
        <f>IFERROR((INDEX(HIST_D!$K$8:$K$2617,1)-INDEX(HIST_D!$K$8:$K$2617,Control!$F$7))*Control!$B$11,"")</f>
        <v/>
      </c>
      <c r="G17" s="23">
        <f>IFERROR((INDEX(HIST_D!$K$8:$K$2617,1)-INDEX(HIST_D!$K$8:$K$2617,Control!$F$8))*Control!$B$11,"")</f>
        <v/>
      </c>
      <c r="H17" s="23">
        <f>IFERROR((INDEX(HIST_D!$K$8:$K$2617,1)-INDEX(HIST_D!$K$8:$K$2617,Control!$F$9))*Control!$B$11,"")</f>
        <v/>
      </c>
      <c r="I17" s="23">
        <f>IFERROR((INDEX(HIST_D!$K$8:$K$2617,1)-INDEX(HIST_D!$K$8:$K$2617,Control!$F$10))*Control!$B$11,"")</f>
        <v/>
      </c>
      <c r="J17" s="23">
        <f>IFERROR((INDEX(HIST_D!$K$8:$K$2617,1)-INDEX(HIST_D!$K$8:$K$2617,Control!$F$16))*Control!$B$11,"")</f>
        <v/>
      </c>
      <c r="K17" s="23">
        <f>IFERROR((INDEX(HIST_D!$K$8:$K$2617,1)-INDEX(HIST_D!$K$8:$K$2617,Control!$F$11))*Control!$B$11,"")</f>
        <v/>
      </c>
      <c r="L17" s="25">
        <f>IFERROR(MIN(HIST_D!$K$8:INDEX(HIST_D!$K$8:$K$2617,Control!$F$11)),"")</f>
        <v/>
      </c>
      <c r="M17" s="25">
        <f>IFERROR(MAX(HIST_D!$K$8:INDEX(HIST_D!$K$8:$K$2617,Control!$F$11)),"")</f>
        <v/>
      </c>
      <c r="N17" s="24">
        <f>IFERROR(PERCENTRANK(HIST_D!$K$8:INDEX(HIST_D!$K$8:$K$2617,Control!$F$11),INDEX(HIST_D!$K$8:$K$2617,1)),"")</f>
        <v/>
      </c>
      <c r="O17" s="24">
        <f>IFERROR(PERCENTRANK(HIST_D!$K$8:INDEX(HIST_D!$K$8:$K$2617,Control!$F$13),INDEX(HIST_D!$K$8:$K$2617,1)),"")</f>
        <v/>
      </c>
      <c r="P17" s="24">
        <f>IFERROR(PERCENTRANK(HIST_D!$K$8:INDEX(HIST_D!$K$8:$K$2617,Control!$F$14),INDEX(HIST_D!$K$8:$K$2617,1)),"")</f>
        <v/>
      </c>
      <c r="Q17" s="24">
        <f>IFERROR(PERCENTRANK(HIST_D!$K$8:INDEX(HIST_D!$K$8:$K$2617,Control!$F$15),INDEX(HIST_D!$K$8:$K$2617,1)),"")</f>
        <v/>
      </c>
      <c r="R17" s="27" t="inlineStr"/>
      <c r="S17" s="25">
        <f>IFERROR((INDEX(HIST_D!$K$8:$K$2617,1)-AVERAGE(HIST_D!$K$8:INDEX(HIST_D!$K$8:$K$2617,Control!$F$14)))/STDEV(HIST_D!$K$8:INDEX(HIST_D!$K$8:$K$2617,Control!$F$14)),"")</f>
        <v/>
      </c>
      <c r="T17" s="38" t="n">
        <v>20</v>
      </c>
      <c r="U17" s="25">
        <f>IF(MAX($T17-Control!$B$12,0.0833)&lt;=INDEX($T$6:$T$18,1),INDEX($D$6:$D$18,1),IF(MAX($T17-Control!$B$12,0.0833)&gt;=INDEX($T$6:$T$18,COUNT($T$6:$T$18)),INDEX($D$6:$D$18,COUNT($T$6:$T$18)),INDEX($D$6:$D$18,MATCH(MAX($T17-Control!$B$12,0.0833),$T$6:$T$18,1))+(MAX($T17-Control!$B$12,0.0833)-INDEX($T$6:$T$18,MATCH(MAX($T17-Control!$B$12,0.0833),$T$6:$T$18,1)))/(INDEX($T$6:$T$18,MATCH(MAX($T17-Control!$B$12,0.0833),$T$6:$T$18,1)+1)-INDEX($T$6:$T$18,MATCH(MAX($T17-Control!$B$12,0.0833),$T$6:$T$18,1)))*(INDEX($D$6:$D$18,MATCH(MAX($T17-Control!$B$12,0.0833),$T$6:$T$18,1)+1)-INDEX($D$6:$D$18,MATCH(MAX($T17-Control!$B$12,0.0833),$T$6:$T$18,1)))))</f>
        <v/>
      </c>
      <c r="V17" s="23">
        <f>IF($T17&lt;=Control!$B$12,"",($D17-$U17)*Control!$B$11)</f>
        <v/>
      </c>
      <c r="W17" s="39">
        <f>IFERROR((1-(1+$D17/100/Control!$B$14)^(-Control!$B$14*($T17)))/($D17/100/Control!$B$14)/Control!$B$14,"")</f>
        <v/>
      </c>
      <c r="X17" s="13">
        <f>IFERROR($W17*100*1000000/10000,"")</f>
        <v/>
      </c>
      <c r="Y17" s="36">
        <f>IF($T17&lt;=Control!$B$12,$D17*Control!$B$12/100,IFERROR((IFERROR(($D17/Control!$B$14)*(1-(1+$U17/100/Control!$B$14)^(-Control!$B$14*($T17-Control!$B$12)))/($U17/100/Control!$B$14)+100*(1+$U17/100/Control!$B$14)^(-Control!$B$14*($T17-Control!$B$12)),"")+$D17*Control!$B$12-100)/100,""))</f>
        <v/>
      </c>
      <c r="Z17" s="23">
        <f>IF($T17&lt;=Control!$B$12,"n/a",IFERROR($Y17*100/IFERROR((1-(1+$U17/100/Control!$B$14)^(-Control!$B$14*($T17-Control!$B$12)))/($U17/100/Control!$B$14)/Control!$B$14,"")*Control!$B$11,""))</f>
        <v/>
      </c>
    </row>
    <row r="18">
      <c r="A18" s="21" t="inlineStr">
        <is>
          <t>UST 30Y</t>
        </is>
      </c>
      <c r="B18" s="16">
        <f>Tickers!$C$16</f>
        <v/>
      </c>
      <c r="C18" s="27" t="inlineStr">
        <is>
          <t>%</t>
        </is>
      </c>
      <c r="D18" s="22">
        <f>INDEX(HIST_D!$L$8:$L$2617,1)</f>
        <v/>
      </c>
      <c r="E18" s="23">
        <f>IFERROR((INDEX(HIST_D!$L$8:$L$2617,1)-INDEX(HIST_D!$L$8:$L$2617,Control!$F$6))*Control!$B$11,"")</f>
        <v/>
      </c>
      <c r="F18" s="23">
        <f>IFERROR((INDEX(HIST_D!$L$8:$L$2617,1)-INDEX(HIST_D!$L$8:$L$2617,Control!$F$7))*Control!$B$11,"")</f>
        <v/>
      </c>
      <c r="G18" s="23">
        <f>IFERROR((INDEX(HIST_D!$L$8:$L$2617,1)-INDEX(HIST_D!$L$8:$L$2617,Control!$F$8))*Control!$B$11,"")</f>
        <v/>
      </c>
      <c r="H18" s="23">
        <f>IFERROR((INDEX(HIST_D!$L$8:$L$2617,1)-INDEX(HIST_D!$L$8:$L$2617,Control!$F$9))*Control!$B$11,"")</f>
        <v/>
      </c>
      <c r="I18" s="23">
        <f>IFERROR((INDEX(HIST_D!$L$8:$L$2617,1)-INDEX(HIST_D!$L$8:$L$2617,Control!$F$10))*Control!$B$11,"")</f>
        <v/>
      </c>
      <c r="J18" s="23">
        <f>IFERROR((INDEX(HIST_D!$L$8:$L$2617,1)-INDEX(HIST_D!$L$8:$L$2617,Control!$F$16))*Control!$B$11,"")</f>
        <v/>
      </c>
      <c r="K18" s="23">
        <f>IFERROR((INDEX(HIST_D!$L$8:$L$2617,1)-INDEX(HIST_D!$L$8:$L$2617,Control!$F$11))*Control!$B$11,"")</f>
        <v/>
      </c>
      <c r="L18" s="25">
        <f>IFERROR(MIN(HIST_D!$L$8:INDEX(HIST_D!$L$8:$L$2617,Control!$F$11)),"")</f>
        <v/>
      </c>
      <c r="M18" s="25">
        <f>IFERROR(MAX(HIST_D!$L$8:INDEX(HIST_D!$L$8:$L$2617,Control!$F$11)),"")</f>
        <v/>
      </c>
      <c r="N18" s="24">
        <f>IFERROR(PERCENTRANK(HIST_D!$L$8:INDEX(HIST_D!$L$8:$L$2617,Control!$F$11),INDEX(HIST_D!$L$8:$L$2617,1)),"")</f>
        <v/>
      </c>
      <c r="O18" s="24">
        <f>IFERROR(PERCENTRANK(HIST_D!$L$8:INDEX(HIST_D!$L$8:$L$2617,Control!$F$13),INDEX(HIST_D!$L$8:$L$2617,1)),"")</f>
        <v/>
      </c>
      <c r="P18" s="24">
        <f>IFERROR(PERCENTRANK(HIST_D!$L$8:INDEX(HIST_D!$L$8:$L$2617,Control!$F$14),INDEX(HIST_D!$L$8:$L$2617,1)),"")</f>
        <v/>
      </c>
      <c r="Q18" s="24">
        <f>IFERROR(PERCENTRANK(HIST_D!$L$8:INDEX(HIST_D!$L$8:$L$2617,Control!$F$15),INDEX(HIST_D!$L$8:$L$2617,1)),"")</f>
        <v/>
      </c>
      <c r="R18" s="24">
        <f>IFERROR(PERCENTRANK(HIST_M!$E$8:$E$308,INDEX(HIST_D!$L$8:$L$2617,1)),"")</f>
        <v/>
      </c>
      <c r="S18" s="25">
        <f>IFERROR((INDEX(HIST_D!$L$8:$L$2617,1)-AVERAGE(HIST_D!$L$8:INDEX(HIST_D!$L$8:$L$2617,Control!$F$14)))/STDEV(HIST_D!$L$8:INDEX(HIST_D!$L$8:$L$2617,Control!$F$14)),"")</f>
        <v/>
      </c>
      <c r="T18" s="38" t="n">
        <v>30</v>
      </c>
      <c r="U18" s="25">
        <f>IF(MAX($T18-Control!$B$12,0.0833)&lt;=INDEX($T$6:$T$18,1),INDEX($D$6:$D$18,1),IF(MAX($T18-Control!$B$12,0.0833)&gt;=INDEX($T$6:$T$18,COUNT($T$6:$T$18)),INDEX($D$6:$D$18,COUNT($T$6:$T$18)),INDEX($D$6:$D$18,MATCH(MAX($T18-Control!$B$12,0.0833),$T$6:$T$18,1))+(MAX($T18-Control!$B$12,0.0833)-INDEX($T$6:$T$18,MATCH(MAX($T18-Control!$B$12,0.0833),$T$6:$T$18,1)))/(INDEX($T$6:$T$18,MATCH(MAX($T18-Control!$B$12,0.0833),$T$6:$T$18,1)+1)-INDEX($T$6:$T$18,MATCH(MAX($T18-Control!$B$12,0.0833),$T$6:$T$18,1)))*(INDEX($D$6:$D$18,MATCH(MAX($T18-Control!$B$12,0.0833),$T$6:$T$18,1)+1)-INDEX($D$6:$D$18,MATCH(MAX($T18-Control!$B$12,0.0833),$T$6:$T$18,1)))))</f>
        <v/>
      </c>
      <c r="V18" s="23">
        <f>IF($T18&lt;=Control!$B$12,"",($D18-$U18)*Control!$B$11)</f>
        <v/>
      </c>
      <c r="W18" s="39">
        <f>IFERROR((1-(1+$D18/100/Control!$B$14)^(-Control!$B$14*($T18)))/($D18/100/Control!$B$14)/Control!$B$14,"")</f>
        <v/>
      </c>
      <c r="X18" s="13">
        <f>IFERROR($W18*100*1000000/10000,"")</f>
        <v/>
      </c>
      <c r="Y18" s="36">
        <f>IF($T18&lt;=Control!$B$12,$D18*Control!$B$12/100,IFERROR((IFERROR(($D18/Control!$B$14)*(1-(1+$U18/100/Control!$B$14)^(-Control!$B$14*($T18-Control!$B$12)))/($U18/100/Control!$B$14)+100*(1+$U18/100/Control!$B$14)^(-Control!$B$14*($T18-Control!$B$12)),"")+$D18*Control!$B$12-100)/100,""))</f>
        <v/>
      </c>
      <c r="Z18" s="23">
        <f>IF($T18&lt;=Control!$B$12,"n/a",IFERROR($Y18*100/IFERROR((1-(1+$U18/100/Control!$B$14)^(-Control!$B$14*($T18-Control!$B$12)))/($U18/100/Control!$B$14)/Control!$B$14,"")*Control!$B$11,""))</f>
        <v/>
      </c>
    </row>
    <row r="19">
      <c r="A19" s="10" t="inlineStr">
        <is>
          <t>4Y and 15Y are built, not quoted — see the construction audit at the bottom of this tab. Roll-down assumes the curve is unchanged and the bond ages by the horizon on Control. 12m TR is a full repricing (annuity + redemption), so it carries convexity exactly; coupon reinvestment is ignored.</t>
        </is>
      </c>
    </row>
    <row r="21" ht="18" customHeight="1">
      <c r="A21" s="3" t="inlineStr">
        <is>
          <t>SOFR OIS CURVE  (the 4Y and 15Y nodes the cash curve does not quote)</t>
        </is>
      </c>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8" customHeight="1">
      <c r="A22" s="20" t="inlineStr">
        <is>
          <t>Instrument</t>
        </is>
      </c>
      <c r="B22" s="20" t="inlineStr">
        <is>
          <t>Source</t>
        </is>
      </c>
      <c r="C22" s="20" t="inlineStr">
        <is>
          <t>Unit</t>
        </is>
      </c>
      <c r="D22" s="20" t="inlineStr">
        <is>
          <t>Level</t>
        </is>
      </c>
      <c r="E22" s="20" t="inlineStr">
        <is>
          <t>1D</t>
        </is>
      </c>
      <c r="F22" s="20" t="inlineStr">
        <is>
          <t>1W</t>
        </is>
      </c>
      <c r="G22" s="20" t="inlineStr">
        <is>
          <t>1M</t>
        </is>
      </c>
      <c r="H22" s="20" t="inlineStr">
        <is>
          <t>3M</t>
        </is>
      </c>
      <c r="I22" s="20" t="inlineStr">
        <is>
          <t>6M</t>
        </is>
      </c>
      <c r="J22" s="20" t="inlineStr">
        <is>
          <t>YTD</t>
        </is>
      </c>
      <c r="K22" s="20" t="inlineStr">
        <is>
          <t>1Y</t>
        </is>
      </c>
      <c r="L22" s="20" t="inlineStr">
        <is>
          <t>1y min</t>
        </is>
      </c>
      <c r="M22" s="20" t="inlineStr">
        <is>
          <t>1y max</t>
        </is>
      </c>
      <c r="N22" s="20" t="inlineStr">
        <is>
          <t>%ile 1y</t>
        </is>
      </c>
      <c r="O22" s="20" t="inlineStr">
        <is>
          <t>%ile 3y</t>
        </is>
      </c>
      <c r="P22" s="20" t="inlineStr">
        <is>
          <t>%ile 5y</t>
        </is>
      </c>
      <c r="Q22" s="20" t="inlineStr">
        <is>
          <t>%ile 10y</t>
        </is>
      </c>
      <c r="R22" s="20" t="inlineStr">
        <is>
          <t>%ile 25y</t>
        </is>
      </c>
      <c r="S22" s="20" t="inlineStr">
        <is>
          <t>z (5y)</t>
        </is>
      </c>
    </row>
    <row r="23">
      <c r="A23" s="8" t="inlineStr">
        <is>
          <t>SOFR OIS 1Y</t>
        </is>
      </c>
      <c r="B23" s="16">
        <f>Tickers!$C$17</f>
        <v/>
      </c>
      <c r="C23" s="27" t="inlineStr">
        <is>
          <t>%</t>
        </is>
      </c>
      <c r="D23" s="22">
        <f>INDEX(HIST_D!$M$8:$M$2617,1)</f>
        <v/>
      </c>
      <c r="E23" s="23">
        <f>IFERROR((INDEX(HIST_D!$M$8:$M$2617,1)-INDEX(HIST_D!$M$8:$M$2617,Control!$F$6))*Control!$B$11,"")</f>
        <v/>
      </c>
      <c r="F23" s="23">
        <f>IFERROR((INDEX(HIST_D!$M$8:$M$2617,1)-INDEX(HIST_D!$M$8:$M$2617,Control!$F$7))*Control!$B$11,"")</f>
        <v/>
      </c>
      <c r="G23" s="23">
        <f>IFERROR((INDEX(HIST_D!$M$8:$M$2617,1)-INDEX(HIST_D!$M$8:$M$2617,Control!$F$8))*Control!$B$11,"")</f>
        <v/>
      </c>
      <c r="H23" s="23">
        <f>IFERROR((INDEX(HIST_D!$M$8:$M$2617,1)-INDEX(HIST_D!$M$8:$M$2617,Control!$F$9))*Control!$B$11,"")</f>
        <v/>
      </c>
      <c r="I23" s="23">
        <f>IFERROR((INDEX(HIST_D!$M$8:$M$2617,1)-INDEX(HIST_D!$M$8:$M$2617,Control!$F$10))*Control!$B$11,"")</f>
        <v/>
      </c>
      <c r="J23" s="23">
        <f>IFERROR((INDEX(HIST_D!$M$8:$M$2617,1)-INDEX(HIST_D!$M$8:$M$2617,Control!$F$16))*Control!$B$11,"")</f>
        <v/>
      </c>
      <c r="K23" s="23">
        <f>IFERROR((INDEX(HIST_D!$M$8:$M$2617,1)-INDEX(HIST_D!$M$8:$M$2617,Control!$F$11))*Control!$B$11,"")</f>
        <v/>
      </c>
      <c r="L23" s="25">
        <f>IFERROR(MIN(HIST_D!$M$8:INDEX(HIST_D!$M$8:$M$2617,Control!$F$11)),"")</f>
        <v/>
      </c>
      <c r="M23" s="25">
        <f>IFERROR(MAX(HIST_D!$M$8:INDEX(HIST_D!$M$8:$M$2617,Control!$F$11)),"")</f>
        <v/>
      </c>
      <c r="N23" s="24">
        <f>IFERROR(PERCENTRANK(HIST_D!$M$8:INDEX(HIST_D!$M$8:$M$2617,Control!$F$11),INDEX(HIST_D!$M$8:$M$2617,1)),"")</f>
        <v/>
      </c>
      <c r="O23" s="24">
        <f>IFERROR(PERCENTRANK(HIST_D!$M$8:INDEX(HIST_D!$M$8:$M$2617,Control!$F$13),INDEX(HIST_D!$M$8:$M$2617,1)),"")</f>
        <v/>
      </c>
      <c r="P23" s="24">
        <f>IFERROR(PERCENTRANK(HIST_D!$M$8:INDEX(HIST_D!$M$8:$M$2617,Control!$F$14),INDEX(HIST_D!$M$8:$M$2617,1)),"")</f>
        <v/>
      </c>
      <c r="Q23" s="24">
        <f>IFERROR(PERCENTRANK(HIST_D!$M$8:INDEX(HIST_D!$M$8:$M$2617,Control!$F$15),INDEX(HIST_D!$M$8:$M$2617,1)),"")</f>
        <v/>
      </c>
      <c r="R23" s="27" t="inlineStr"/>
      <c r="S23" s="25">
        <f>IFERROR((INDEX(HIST_D!$M$8:$M$2617,1)-AVERAGE(HIST_D!$M$8:INDEX(HIST_D!$M$8:$M$2617,Control!$F$14)))/STDEV(HIST_D!$M$8:INDEX(HIST_D!$M$8:$M$2617,Control!$F$14)),"")</f>
        <v/>
      </c>
    </row>
    <row r="24">
      <c r="A24" s="8" t="inlineStr">
        <is>
          <t>SOFR OIS 2Y</t>
        </is>
      </c>
      <c r="B24" s="16">
        <f>Tickers!$C$18</f>
        <v/>
      </c>
      <c r="C24" s="27" t="inlineStr">
        <is>
          <t>%</t>
        </is>
      </c>
      <c r="D24" s="22">
        <f>INDEX(HIST_D!$N$8:$N$2617,1)</f>
        <v/>
      </c>
      <c r="E24" s="23">
        <f>IFERROR((INDEX(HIST_D!$N$8:$N$2617,1)-INDEX(HIST_D!$N$8:$N$2617,Control!$F$6))*Control!$B$11,"")</f>
        <v/>
      </c>
      <c r="F24" s="23">
        <f>IFERROR((INDEX(HIST_D!$N$8:$N$2617,1)-INDEX(HIST_D!$N$8:$N$2617,Control!$F$7))*Control!$B$11,"")</f>
        <v/>
      </c>
      <c r="G24" s="23">
        <f>IFERROR((INDEX(HIST_D!$N$8:$N$2617,1)-INDEX(HIST_D!$N$8:$N$2617,Control!$F$8))*Control!$B$11,"")</f>
        <v/>
      </c>
      <c r="H24" s="23">
        <f>IFERROR((INDEX(HIST_D!$N$8:$N$2617,1)-INDEX(HIST_D!$N$8:$N$2617,Control!$F$9))*Control!$B$11,"")</f>
        <v/>
      </c>
      <c r="I24" s="23">
        <f>IFERROR((INDEX(HIST_D!$N$8:$N$2617,1)-INDEX(HIST_D!$N$8:$N$2617,Control!$F$10))*Control!$B$11,"")</f>
        <v/>
      </c>
      <c r="J24" s="23">
        <f>IFERROR((INDEX(HIST_D!$N$8:$N$2617,1)-INDEX(HIST_D!$N$8:$N$2617,Control!$F$16))*Control!$B$11,"")</f>
        <v/>
      </c>
      <c r="K24" s="23">
        <f>IFERROR((INDEX(HIST_D!$N$8:$N$2617,1)-INDEX(HIST_D!$N$8:$N$2617,Control!$F$11))*Control!$B$11,"")</f>
        <v/>
      </c>
      <c r="L24" s="25">
        <f>IFERROR(MIN(HIST_D!$N$8:INDEX(HIST_D!$N$8:$N$2617,Control!$F$11)),"")</f>
        <v/>
      </c>
      <c r="M24" s="25">
        <f>IFERROR(MAX(HIST_D!$N$8:INDEX(HIST_D!$N$8:$N$2617,Control!$F$11)),"")</f>
        <v/>
      </c>
      <c r="N24" s="24">
        <f>IFERROR(PERCENTRANK(HIST_D!$N$8:INDEX(HIST_D!$N$8:$N$2617,Control!$F$11),INDEX(HIST_D!$N$8:$N$2617,1)),"")</f>
        <v/>
      </c>
      <c r="O24" s="24">
        <f>IFERROR(PERCENTRANK(HIST_D!$N$8:INDEX(HIST_D!$N$8:$N$2617,Control!$F$13),INDEX(HIST_D!$N$8:$N$2617,1)),"")</f>
        <v/>
      </c>
      <c r="P24" s="24">
        <f>IFERROR(PERCENTRANK(HIST_D!$N$8:INDEX(HIST_D!$N$8:$N$2617,Control!$F$14),INDEX(HIST_D!$N$8:$N$2617,1)),"")</f>
        <v/>
      </c>
      <c r="Q24" s="24">
        <f>IFERROR(PERCENTRANK(HIST_D!$N$8:INDEX(HIST_D!$N$8:$N$2617,Control!$F$15),INDEX(HIST_D!$N$8:$N$2617,1)),"")</f>
        <v/>
      </c>
      <c r="R24" s="27" t="inlineStr"/>
      <c r="S24" s="25">
        <f>IFERROR((INDEX(HIST_D!$N$8:$N$2617,1)-AVERAGE(HIST_D!$N$8:INDEX(HIST_D!$N$8:$N$2617,Control!$F$14)))/STDEV(HIST_D!$N$8:INDEX(HIST_D!$N$8:$N$2617,Control!$F$14)),"")</f>
        <v/>
      </c>
    </row>
    <row r="25">
      <c r="A25" s="8" t="inlineStr">
        <is>
          <t>SOFR OIS 3Y</t>
        </is>
      </c>
      <c r="B25" s="16">
        <f>Tickers!$C$19</f>
        <v/>
      </c>
      <c r="C25" s="27" t="inlineStr">
        <is>
          <t>%</t>
        </is>
      </c>
      <c r="D25" s="22">
        <f>INDEX(HIST_D!$O$8:$O$2617,1)</f>
        <v/>
      </c>
      <c r="E25" s="23">
        <f>IFERROR((INDEX(HIST_D!$O$8:$O$2617,1)-INDEX(HIST_D!$O$8:$O$2617,Control!$F$6))*Control!$B$11,"")</f>
        <v/>
      </c>
      <c r="F25" s="23">
        <f>IFERROR((INDEX(HIST_D!$O$8:$O$2617,1)-INDEX(HIST_D!$O$8:$O$2617,Control!$F$7))*Control!$B$11,"")</f>
        <v/>
      </c>
      <c r="G25" s="23">
        <f>IFERROR((INDEX(HIST_D!$O$8:$O$2617,1)-INDEX(HIST_D!$O$8:$O$2617,Control!$F$8))*Control!$B$11,"")</f>
        <v/>
      </c>
      <c r="H25" s="23">
        <f>IFERROR((INDEX(HIST_D!$O$8:$O$2617,1)-INDEX(HIST_D!$O$8:$O$2617,Control!$F$9))*Control!$B$11,"")</f>
        <v/>
      </c>
      <c r="I25" s="23">
        <f>IFERROR((INDEX(HIST_D!$O$8:$O$2617,1)-INDEX(HIST_D!$O$8:$O$2617,Control!$F$10))*Control!$B$11,"")</f>
        <v/>
      </c>
      <c r="J25" s="23">
        <f>IFERROR((INDEX(HIST_D!$O$8:$O$2617,1)-INDEX(HIST_D!$O$8:$O$2617,Control!$F$16))*Control!$B$11,"")</f>
        <v/>
      </c>
      <c r="K25" s="23">
        <f>IFERROR((INDEX(HIST_D!$O$8:$O$2617,1)-INDEX(HIST_D!$O$8:$O$2617,Control!$F$11))*Control!$B$11,"")</f>
        <v/>
      </c>
      <c r="L25" s="25">
        <f>IFERROR(MIN(HIST_D!$O$8:INDEX(HIST_D!$O$8:$O$2617,Control!$F$11)),"")</f>
        <v/>
      </c>
      <c r="M25" s="25">
        <f>IFERROR(MAX(HIST_D!$O$8:INDEX(HIST_D!$O$8:$O$2617,Control!$F$11)),"")</f>
        <v/>
      </c>
      <c r="N25" s="24">
        <f>IFERROR(PERCENTRANK(HIST_D!$O$8:INDEX(HIST_D!$O$8:$O$2617,Control!$F$11),INDEX(HIST_D!$O$8:$O$2617,1)),"")</f>
        <v/>
      </c>
      <c r="O25" s="24">
        <f>IFERROR(PERCENTRANK(HIST_D!$O$8:INDEX(HIST_D!$O$8:$O$2617,Control!$F$13),INDEX(HIST_D!$O$8:$O$2617,1)),"")</f>
        <v/>
      </c>
      <c r="P25" s="24">
        <f>IFERROR(PERCENTRANK(HIST_D!$O$8:INDEX(HIST_D!$O$8:$O$2617,Control!$F$14),INDEX(HIST_D!$O$8:$O$2617,1)),"")</f>
        <v/>
      </c>
      <c r="Q25" s="24">
        <f>IFERROR(PERCENTRANK(HIST_D!$O$8:INDEX(HIST_D!$O$8:$O$2617,Control!$F$15),INDEX(HIST_D!$O$8:$O$2617,1)),"")</f>
        <v/>
      </c>
      <c r="R25" s="27" t="inlineStr"/>
      <c r="S25" s="25">
        <f>IFERROR((INDEX(HIST_D!$O$8:$O$2617,1)-AVERAGE(HIST_D!$O$8:INDEX(HIST_D!$O$8:$O$2617,Control!$F$14)))/STDEV(HIST_D!$O$8:INDEX(HIST_D!$O$8:$O$2617,Control!$F$14)),"")</f>
        <v/>
      </c>
    </row>
    <row r="26">
      <c r="A26" s="8" t="inlineStr">
        <is>
          <t>SOFR OIS 4Y</t>
        </is>
      </c>
      <c r="B26" s="16">
        <f>Tickers!$C$20</f>
        <v/>
      </c>
      <c r="C26" s="27" t="inlineStr">
        <is>
          <t>%</t>
        </is>
      </c>
      <c r="D26" s="22">
        <f>INDEX(HIST_D!$P$8:$P$2617,1)</f>
        <v/>
      </c>
      <c r="E26" s="23">
        <f>IFERROR((INDEX(HIST_D!$P$8:$P$2617,1)-INDEX(HIST_D!$P$8:$P$2617,Control!$F$6))*Control!$B$11,"")</f>
        <v/>
      </c>
      <c r="F26" s="23">
        <f>IFERROR((INDEX(HIST_D!$P$8:$P$2617,1)-INDEX(HIST_D!$P$8:$P$2617,Control!$F$7))*Control!$B$11,"")</f>
        <v/>
      </c>
      <c r="G26" s="23">
        <f>IFERROR((INDEX(HIST_D!$P$8:$P$2617,1)-INDEX(HIST_D!$P$8:$P$2617,Control!$F$8))*Control!$B$11,"")</f>
        <v/>
      </c>
      <c r="H26" s="23">
        <f>IFERROR((INDEX(HIST_D!$P$8:$P$2617,1)-INDEX(HIST_D!$P$8:$P$2617,Control!$F$9))*Control!$B$11,"")</f>
        <v/>
      </c>
      <c r="I26" s="23">
        <f>IFERROR((INDEX(HIST_D!$P$8:$P$2617,1)-INDEX(HIST_D!$P$8:$P$2617,Control!$F$10))*Control!$B$11,"")</f>
        <v/>
      </c>
      <c r="J26" s="23">
        <f>IFERROR((INDEX(HIST_D!$P$8:$P$2617,1)-INDEX(HIST_D!$P$8:$P$2617,Control!$F$16))*Control!$B$11,"")</f>
        <v/>
      </c>
      <c r="K26" s="23">
        <f>IFERROR((INDEX(HIST_D!$P$8:$P$2617,1)-INDEX(HIST_D!$P$8:$P$2617,Control!$F$11))*Control!$B$11,"")</f>
        <v/>
      </c>
      <c r="L26" s="25">
        <f>IFERROR(MIN(HIST_D!$P$8:INDEX(HIST_D!$P$8:$P$2617,Control!$F$11)),"")</f>
        <v/>
      </c>
      <c r="M26" s="25">
        <f>IFERROR(MAX(HIST_D!$P$8:INDEX(HIST_D!$P$8:$P$2617,Control!$F$11)),"")</f>
        <v/>
      </c>
      <c r="N26" s="24">
        <f>IFERROR(PERCENTRANK(HIST_D!$P$8:INDEX(HIST_D!$P$8:$P$2617,Control!$F$11),INDEX(HIST_D!$P$8:$P$2617,1)),"")</f>
        <v/>
      </c>
      <c r="O26" s="24">
        <f>IFERROR(PERCENTRANK(HIST_D!$P$8:INDEX(HIST_D!$P$8:$P$2617,Control!$F$13),INDEX(HIST_D!$P$8:$P$2617,1)),"")</f>
        <v/>
      </c>
      <c r="P26" s="24">
        <f>IFERROR(PERCENTRANK(HIST_D!$P$8:INDEX(HIST_D!$P$8:$P$2617,Control!$F$14),INDEX(HIST_D!$P$8:$P$2617,1)),"")</f>
        <v/>
      </c>
      <c r="Q26" s="24">
        <f>IFERROR(PERCENTRANK(HIST_D!$P$8:INDEX(HIST_D!$P$8:$P$2617,Control!$F$15),INDEX(HIST_D!$P$8:$P$2617,1)),"")</f>
        <v/>
      </c>
      <c r="R26" s="27" t="inlineStr"/>
      <c r="S26" s="25">
        <f>IFERROR((INDEX(HIST_D!$P$8:$P$2617,1)-AVERAGE(HIST_D!$P$8:INDEX(HIST_D!$P$8:$P$2617,Control!$F$14)))/STDEV(HIST_D!$P$8:INDEX(HIST_D!$P$8:$P$2617,Control!$F$14)),"")</f>
        <v/>
      </c>
    </row>
    <row r="27">
      <c r="A27" s="8" t="inlineStr">
        <is>
          <t>SOFR OIS 5Y</t>
        </is>
      </c>
      <c r="B27" s="16">
        <f>Tickers!$C$21</f>
        <v/>
      </c>
      <c r="C27" s="27" t="inlineStr">
        <is>
          <t>%</t>
        </is>
      </c>
      <c r="D27" s="22">
        <f>INDEX(HIST_D!$Q$8:$Q$2617,1)</f>
        <v/>
      </c>
      <c r="E27" s="23">
        <f>IFERROR((INDEX(HIST_D!$Q$8:$Q$2617,1)-INDEX(HIST_D!$Q$8:$Q$2617,Control!$F$6))*Control!$B$11,"")</f>
        <v/>
      </c>
      <c r="F27" s="23">
        <f>IFERROR((INDEX(HIST_D!$Q$8:$Q$2617,1)-INDEX(HIST_D!$Q$8:$Q$2617,Control!$F$7))*Control!$B$11,"")</f>
        <v/>
      </c>
      <c r="G27" s="23">
        <f>IFERROR((INDEX(HIST_D!$Q$8:$Q$2617,1)-INDEX(HIST_D!$Q$8:$Q$2617,Control!$F$8))*Control!$B$11,"")</f>
        <v/>
      </c>
      <c r="H27" s="23">
        <f>IFERROR((INDEX(HIST_D!$Q$8:$Q$2617,1)-INDEX(HIST_D!$Q$8:$Q$2617,Control!$F$9))*Control!$B$11,"")</f>
        <v/>
      </c>
      <c r="I27" s="23">
        <f>IFERROR((INDEX(HIST_D!$Q$8:$Q$2617,1)-INDEX(HIST_D!$Q$8:$Q$2617,Control!$F$10))*Control!$B$11,"")</f>
        <v/>
      </c>
      <c r="J27" s="23">
        <f>IFERROR((INDEX(HIST_D!$Q$8:$Q$2617,1)-INDEX(HIST_D!$Q$8:$Q$2617,Control!$F$16))*Control!$B$11,"")</f>
        <v/>
      </c>
      <c r="K27" s="23">
        <f>IFERROR((INDEX(HIST_D!$Q$8:$Q$2617,1)-INDEX(HIST_D!$Q$8:$Q$2617,Control!$F$11))*Control!$B$11,"")</f>
        <v/>
      </c>
      <c r="L27" s="25">
        <f>IFERROR(MIN(HIST_D!$Q$8:INDEX(HIST_D!$Q$8:$Q$2617,Control!$F$11)),"")</f>
        <v/>
      </c>
      <c r="M27" s="25">
        <f>IFERROR(MAX(HIST_D!$Q$8:INDEX(HIST_D!$Q$8:$Q$2617,Control!$F$11)),"")</f>
        <v/>
      </c>
      <c r="N27" s="24">
        <f>IFERROR(PERCENTRANK(HIST_D!$Q$8:INDEX(HIST_D!$Q$8:$Q$2617,Control!$F$11),INDEX(HIST_D!$Q$8:$Q$2617,1)),"")</f>
        <v/>
      </c>
      <c r="O27" s="24">
        <f>IFERROR(PERCENTRANK(HIST_D!$Q$8:INDEX(HIST_D!$Q$8:$Q$2617,Control!$F$13),INDEX(HIST_D!$Q$8:$Q$2617,1)),"")</f>
        <v/>
      </c>
      <c r="P27" s="24">
        <f>IFERROR(PERCENTRANK(HIST_D!$Q$8:INDEX(HIST_D!$Q$8:$Q$2617,Control!$F$14),INDEX(HIST_D!$Q$8:$Q$2617,1)),"")</f>
        <v/>
      </c>
      <c r="Q27" s="24">
        <f>IFERROR(PERCENTRANK(HIST_D!$Q$8:INDEX(HIST_D!$Q$8:$Q$2617,Control!$F$15),INDEX(HIST_D!$Q$8:$Q$2617,1)),"")</f>
        <v/>
      </c>
      <c r="R27" s="27" t="inlineStr"/>
      <c r="S27" s="25">
        <f>IFERROR((INDEX(HIST_D!$Q$8:$Q$2617,1)-AVERAGE(HIST_D!$Q$8:INDEX(HIST_D!$Q$8:$Q$2617,Control!$F$14)))/STDEV(HIST_D!$Q$8:INDEX(HIST_D!$Q$8:$Q$2617,Control!$F$14)),"")</f>
        <v/>
      </c>
    </row>
    <row r="28">
      <c r="A28" s="8" t="inlineStr">
        <is>
          <t>SOFR OIS 7Y</t>
        </is>
      </c>
      <c r="B28" s="16">
        <f>Tickers!$C$22</f>
        <v/>
      </c>
      <c r="C28" s="27" t="inlineStr">
        <is>
          <t>%</t>
        </is>
      </c>
      <c r="D28" s="22">
        <f>INDEX(HIST_D!$R$8:$R$2617,1)</f>
        <v/>
      </c>
      <c r="E28" s="23">
        <f>IFERROR((INDEX(HIST_D!$R$8:$R$2617,1)-INDEX(HIST_D!$R$8:$R$2617,Control!$F$6))*Control!$B$11,"")</f>
        <v/>
      </c>
      <c r="F28" s="23">
        <f>IFERROR((INDEX(HIST_D!$R$8:$R$2617,1)-INDEX(HIST_D!$R$8:$R$2617,Control!$F$7))*Control!$B$11,"")</f>
        <v/>
      </c>
      <c r="G28" s="23">
        <f>IFERROR((INDEX(HIST_D!$R$8:$R$2617,1)-INDEX(HIST_D!$R$8:$R$2617,Control!$F$8))*Control!$B$11,"")</f>
        <v/>
      </c>
      <c r="H28" s="23">
        <f>IFERROR((INDEX(HIST_D!$R$8:$R$2617,1)-INDEX(HIST_D!$R$8:$R$2617,Control!$F$9))*Control!$B$11,"")</f>
        <v/>
      </c>
      <c r="I28" s="23">
        <f>IFERROR((INDEX(HIST_D!$R$8:$R$2617,1)-INDEX(HIST_D!$R$8:$R$2617,Control!$F$10))*Control!$B$11,"")</f>
        <v/>
      </c>
      <c r="J28" s="23">
        <f>IFERROR((INDEX(HIST_D!$R$8:$R$2617,1)-INDEX(HIST_D!$R$8:$R$2617,Control!$F$16))*Control!$B$11,"")</f>
        <v/>
      </c>
      <c r="K28" s="23">
        <f>IFERROR((INDEX(HIST_D!$R$8:$R$2617,1)-INDEX(HIST_D!$R$8:$R$2617,Control!$F$11))*Control!$B$11,"")</f>
        <v/>
      </c>
      <c r="L28" s="25">
        <f>IFERROR(MIN(HIST_D!$R$8:INDEX(HIST_D!$R$8:$R$2617,Control!$F$11)),"")</f>
        <v/>
      </c>
      <c r="M28" s="25">
        <f>IFERROR(MAX(HIST_D!$R$8:INDEX(HIST_D!$R$8:$R$2617,Control!$F$11)),"")</f>
        <v/>
      </c>
      <c r="N28" s="24">
        <f>IFERROR(PERCENTRANK(HIST_D!$R$8:INDEX(HIST_D!$R$8:$R$2617,Control!$F$11),INDEX(HIST_D!$R$8:$R$2617,1)),"")</f>
        <v/>
      </c>
      <c r="O28" s="24">
        <f>IFERROR(PERCENTRANK(HIST_D!$R$8:INDEX(HIST_D!$R$8:$R$2617,Control!$F$13),INDEX(HIST_D!$R$8:$R$2617,1)),"")</f>
        <v/>
      </c>
      <c r="P28" s="24">
        <f>IFERROR(PERCENTRANK(HIST_D!$R$8:INDEX(HIST_D!$R$8:$R$2617,Control!$F$14),INDEX(HIST_D!$R$8:$R$2617,1)),"")</f>
        <v/>
      </c>
      <c r="Q28" s="24">
        <f>IFERROR(PERCENTRANK(HIST_D!$R$8:INDEX(HIST_D!$R$8:$R$2617,Control!$F$15),INDEX(HIST_D!$R$8:$R$2617,1)),"")</f>
        <v/>
      </c>
      <c r="R28" s="27" t="inlineStr"/>
      <c r="S28" s="25">
        <f>IFERROR((INDEX(HIST_D!$R$8:$R$2617,1)-AVERAGE(HIST_D!$R$8:INDEX(HIST_D!$R$8:$R$2617,Control!$F$14)))/STDEV(HIST_D!$R$8:INDEX(HIST_D!$R$8:$R$2617,Control!$F$14)),"")</f>
        <v/>
      </c>
    </row>
    <row r="29">
      <c r="A29" s="8" t="inlineStr">
        <is>
          <t>SOFR OIS 10Y</t>
        </is>
      </c>
      <c r="B29" s="16">
        <f>Tickers!$C$23</f>
        <v/>
      </c>
      <c r="C29" s="27" t="inlineStr">
        <is>
          <t>%</t>
        </is>
      </c>
      <c r="D29" s="22">
        <f>INDEX(HIST_D!$S$8:$S$2617,1)</f>
        <v/>
      </c>
      <c r="E29" s="23">
        <f>IFERROR((INDEX(HIST_D!$S$8:$S$2617,1)-INDEX(HIST_D!$S$8:$S$2617,Control!$F$6))*Control!$B$11,"")</f>
        <v/>
      </c>
      <c r="F29" s="23">
        <f>IFERROR((INDEX(HIST_D!$S$8:$S$2617,1)-INDEX(HIST_D!$S$8:$S$2617,Control!$F$7))*Control!$B$11,"")</f>
        <v/>
      </c>
      <c r="G29" s="23">
        <f>IFERROR((INDEX(HIST_D!$S$8:$S$2617,1)-INDEX(HIST_D!$S$8:$S$2617,Control!$F$8))*Control!$B$11,"")</f>
        <v/>
      </c>
      <c r="H29" s="23">
        <f>IFERROR((INDEX(HIST_D!$S$8:$S$2617,1)-INDEX(HIST_D!$S$8:$S$2617,Control!$F$9))*Control!$B$11,"")</f>
        <v/>
      </c>
      <c r="I29" s="23">
        <f>IFERROR((INDEX(HIST_D!$S$8:$S$2617,1)-INDEX(HIST_D!$S$8:$S$2617,Control!$F$10))*Control!$B$11,"")</f>
        <v/>
      </c>
      <c r="J29" s="23">
        <f>IFERROR((INDEX(HIST_D!$S$8:$S$2617,1)-INDEX(HIST_D!$S$8:$S$2617,Control!$F$16))*Control!$B$11,"")</f>
        <v/>
      </c>
      <c r="K29" s="23">
        <f>IFERROR((INDEX(HIST_D!$S$8:$S$2617,1)-INDEX(HIST_D!$S$8:$S$2617,Control!$F$11))*Control!$B$11,"")</f>
        <v/>
      </c>
      <c r="L29" s="25">
        <f>IFERROR(MIN(HIST_D!$S$8:INDEX(HIST_D!$S$8:$S$2617,Control!$F$11)),"")</f>
        <v/>
      </c>
      <c r="M29" s="25">
        <f>IFERROR(MAX(HIST_D!$S$8:INDEX(HIST_D!$S$8:$S$2617,Control!$F$11)),"")</f>
        <v/>
      </c>
      <c r="N29" s="24">
        <f>IFERROR(PERCENTRANK(HIST_D!$S$8:INDEX(HIST_D!$S$8:$S$2617,Control!$F$11),INDEX(HIST_D!$S$8:$S$2617,1)),"")</f>
        <v/>
      </c>
      <c r="O29" s="24">
        <f>IFERROR(PERCENTRANK(HIST_D!$S$8:INDEX(HIST_D!$S$8:$S$2617,Control!$F$13),INDEX(HIST_D!$S$8:$S$2617,1)),"")</f>
        <v/>
      </c>
      <c r="P29" s="24">
        <f>IFERROR(PERCENTRANK(HIST_D!$S$8:INDEX(HIST_D!$S$8:$S$2617,Control!$F$14),INDEX(HIST_D!$S$8:$S$2617,1)),"")</f>
        <v/>
      </c>
      <c r="Q29" s="24">
        <f>IFERROR(PERCENTRANK(HIST_D!$S$8:INDEX(HIST_D!$S$8:$S$2617,Control!$F$15),INDEX(HIST_D!$S$8:$S$2617,1)),"")</f>
        <v/>
      </c>
      <c r="R29" s="27" t="inlineStr"/>
      <c r="S29" s="25">
        <f>IFERROR((INDEX(HIST_D!$S$8:$S$2617,1)-AVERAGE(HIST_D!$S$8:INDEX(HIST_D!$S$8:$S$2617,Control!$F$14)))/STDEV(HIST_D!$S$8:INDEX(HIST_D!$S$8:$S$2617,Control!$F$14)),"")</f>
        <v/>
      </c>
    </row>
    <row r="30">
      <c r="A30" s="8" t="inlineStr">
        <is>
          <t>SOFR OIS 15Y</t>
        </is>
      </c>
      <c r="B30" s="16">
        <f>Tickers!$C$24</f>
        <v/>
      </c>
      <c r="C30" s="27" t="inlineStr">
        <is>
          <t>%</t>
        </is>
      </c>
      <c r="D30" s="22">
        <f>INDEX(HIST_D!$T$8:$T$2617,1)</f>
        <v/>
      </c>
      <c r="E30" s="23">
        <f>IFERROR((INDEX(HIST_D!$T$8:$T$2617,1)-INDEX(HIST_D!$T$8:$T$2617,Control!$F$6))*Control!$B$11,"")</f>
        <v/>
      </c>
      <c r="F30" s="23">
        <f>IFERROR((INDEX(HIST_D!$T$8:$T$2617,1)-INDEX(HIST_D!$T$8:$T$2617,Control!$F$7))*Control!$B$11,"")</f>
        <v/>
      </c>
      <c r="G30" s="23">
        <f>IFERROR((INDEX(HIST_D!$T$8:$T$2617,1)-INDEX(HIST_D!$T$8:$T$2617,Control!$F$8))*Control!$B$11,"")</f>
        <v/>
      </c>
      <c r="H30" s="23">
        <f>IFERROR((INDEX(HIST_D!$T$8:$T$2617,1)-INDEX(HIST_D!$T$8:$T$2617,Control!$F$9))*Control!$B$11,"")</f>
        <v/>
      </c>
      <c r="I30" s="23">
        <f>IFERROR((INDEX(HIST_D!$T$8:$T$2617,1)-INDEX(HIST_D!$T$8:$T$2617,Control!$F$10))*Control!$B$11,"")</f>
        <v/>
      </c>
      <c r="J30" s="23">
        <f>IFERROR((INDEX(HIST_D!$T$8:$T$2617,1)-INDEX(HIST_D!$T$8:$T$2617,Control!$F$16))*Control!$B$11,"")</f>
        <v/>
      </c>
      <c r="K30" s="23">
        <f>IFERROR((INDEX(HIST_D!$T$8:$T$2617,1)-INDEX(HIST_D!$T$8:$T$2617,Control!$F$11))*Control!$B$11,"")</f>
        <v/>
      </c>
      <c r="L30" s="25">
        <f>IFERROR(MIN(HIST_D!$T$8:INDEX(HIST_D!$T$8:$T$2617,Control!$F$11)),"")</f>
        <v/>
      </c>
      <c r="M30" s="25">
        <f>IFERROR(MAX(HIST_D!$T$8:INDEX(HIST_D!$T$8:$T$2617,Control!$F$11)),"")</f>
        <v/>
      </c>
      <c r="N30" s="24">
        <f>IFERROR(PERCENTRANK(HIST_D!$T$8:INDEX(HIST_D!$T$8:$T$2617,Control!$F$11),INDEX(HIST_D!$T$8:$T$2617,1)),"")</f>
        <v/>
      </c>
      <c r="O30" s="24">
        <f>IFERROR(PERCENTRANK(HIST_D!$T$8:INDEX(HIST_D!$T$8:$T$2617,Control!$F$13),INDEX(HIST_D!$T$8:$T$2617,1)),"")</f>
        <v/>
      </c>
      <c r="P30" s="24">
        <f>IFERROR(PERCENTRANK(HIST_D!$T$8:INDEX(HIST_D!$T$8:$T$2617,Control!$F$14),INDEX(HIST_D!$T$8:$T$2617,1)),"")</f>
        <v/>
      </c>
      <c r="Q30" s="24">
        <f>IFERROR(PERCENTRANK(HIST_D!$T$8:INDEX(HIST_D!$T$8:$T$2617,Control!$F$15),INDEX(HIST_D!$T$8:$T$2617,1)),"")</f>
        <v/>
      </c>
      <c r="R30" s="27" t="inlineStr"/>
      <c r="S30" s="25">
        <f>IFERROR((INDEX(HIST_D!$T$8:$T$2617,1)-AVERAGE(HIST_D!$T$8:INDEX(HIST_D!$T$8:$T$2617,Control!$F$14)))/STDEV(HIST_D!$T$8:INDEX(HIST_D!$T$8:$T$2617,Control!$F$14)),"")</f>
        <v/>
      </c>
    </row>
    <row r="31">
      <c r="A31" s="8" t="inlineStr">
        <is>
          <t>SOFR OIS 20Y</t>
        </is>
      </c>
      <c r="B31" s="16">
        <f>Tickers!$C$25</f>
        <v/>
      </c>
      <c r="C31" s="27" t="inlineStr">
        <is>
          <t>%</t>
        </is>
      </c>
      <c r="D31" s="22">
        <f>INDEX(HIST_D!$U$8:$U$2617,1)</f>
        <v/>
      </c>
      <c r="E31" s="23">
        <f>IFERROR((INDEX(HIST_D!$U$8:$U$2617,1)-INDEX(HIST_D!$U$8:$U$2617,Control!$F$6))*Control!$B$11,"")</f>
        <v/>
      </c>
      <c r="F31" s="23">
        <f>IFERROR((INDEX(HIST_D!$U$8:$U$2617,1)-INDEX(HIST_D!$U$8:$U$2617,Control!$F$7))*Control!$B$11,"")</f>
        <v/>
      </c>
      <c r="G31" s="23">
        <f>IFERROR((INDEX(HIST_D!$U$8:$U$2617,1)-INDEX(HIST_D!$U$8:$U$2617,Control!$F$8))*Control!$B$11,"")</f>
        <v/>
      </c>
      <c r="H31" s="23">
        <f>IFERROR((INDEX(HIST_D!$U$8:$U$2617,1)-INDEX(HIST_D!$U$8:$U$2617,Control!$F$9))*Control!$B$11,"")</f>
        <v/>
      </c>
      <c r="I31" s="23">
        <f>IFERROR((INDEX(HIST_D!$U$8:$U$2617,1)-INDEX(HIST_D!$U$8:$U$2617,Control!$F$10))*Control!$B$11,"")</f>
        <v/>
      </c>
      <c r="J31" s="23">
        <f>IFERROR((INDEX(HIST_D!$U$8:$U$2617,1)-INDEX(HIST_D!$U$8:$U$2617,Control!$F$16))*Control!$B$11,"")</f>
        <v/>
      </c>
      <c r="K31" s="23">
        <f>IFERROR((INDEX(HIST_D!$U$8:$U$2617,1)-INDEX(HIST_D!$U$8:$U$2617,Control!$F$11))*Control!$B$11,"")</f>
        <v/>
      </c>
      <c r="L31" s="25">
        <f>IFERROR(MIN(HIST_D!$U$8:INDEX(HIST_D!$U$8:$U$2617,Control!$F$11)),"")</f>
        <v/>
      </c>
      <c r="M31" s="25">
        <f>IFERROR(MAX(HIST_D!$U$8:INDEX(HIST_D!$U$8:$U$2617,Control!$F$11)),"")</f>
        <v/>
      </c>
      <c r="N31" s="24">
        <f>IFERROR(PERCENTRANK(HIST_D!$U$8:INDEX(HIST_D!$U$8:$U$2617,Control!$F$11),INDEX(HIST_D!$U$8:$U$2617,1)),"")</f>
        <v/>
      </c>
      <c r="O31" s="24">
        <f>IFERROR(PERCENTRANK(HIST_D!$U$8:INDEX(HIST_D!$U$8:$U$2617,Control!$F$13),INDEX(HIST_D!$U$8:$U$2617,1)),"")</f>
        <v/>
      </c>
      <c r="P31" s="24">
        <f>IFERROR(PERCENTRANK(HIST_D!$U$8:INDEX(HIST_D!$U$8:$U$2617,Control!$F$14),INDEX(HIST_D!$U$8:$U$2617,1)),"")</f>
        <v/>
      </c>
      <c r="Q31" s="24">
        <f>IFERROR(PERCENTRANK(HIST_D!$U$8:INDEX(HIST_D!$U$8:$U$2617,Control!$F$15),INDEX(HIST_D!$U$8:$U$2617,1)),"")</f>
        <v/>
      </c>
      <c r="R31" s="27" t="inlineStr"/>
      <c r="S31" s="25">
        <f>IFERROR((INDEX(HIST_D!$U$8:$U$2617,1)-AVERAGE(HIST_D!$U$8:INDEX(HIST_D!$U$8:$U$2617,Control!$F$14)))/STDEV(HIST_D!$U$8:INDEX(HIST_D!$U$8:$U$2617,Control!$F$14)),"")</f>
        <v/>
      </c>
    </row>
    <row r="32">
      <c r="A32" s="8" t="inlineStr">
        <is>
          <t>SOFR OIS 30Y</t>
        </is>
      </c>
      <c r="B32" s="16">
        <f>Tickers!$C$26</f>
        <v/>
      </c>
      <c r="C32" s="27" t="inlineStr">
        <is>
          <t>%</t>
        </is>
      </c>
      <c r="D32" s="22">
        <f>INDEX(HIST_D!$V$8:$V$2617,1)</f>
        <v/>
      </c>
      <c r="E32" s="23">
        <f>IFERROR((INDEX(HIST_D!$V$8:$V$2617,1)-INDEX(HIST_D!$V$8:$V$2617,Control!$F$6))*Control!$B$11,"")</f>
        <v/>
      </c>
      <c r="F32" s="23">
        <f>IFERROR((INDEX(HIST_D!$V$8:$V$2617,1)-INDEX(HIST_D!$V$8:$V$2617,Control!$F$7))*Control!$B$11,"")</f>
        <v/>
      </c>
      <c r="G32" s="23">
        <f>IFERROR((INDEX(HIST_D!$V$8:$V$2617,1)-INDEX(HIST_D!$V$8:$V$2617,Control!$F$8))*Control!$B$11,"")</f>
        <v/>
      </c>
      <c r="H32" s="23">
        <f>IFERROR((INDEX(HIST_D!$V$8:$V$2617,1)-INDEX(HIST_D!$V$8:$V$2617,Control!$F$9))*Control!$B$11,"")</f>
        <v/>
      </c>
      <c r="I32" s="23">
        <f>IFERROR((INDEX(HIST_D!$V$8:$V$2617,1)-INDEX(HIST_D!$V$8:$V$2617,Control!$F$10))*Control!$B$11,"")</f>
        <v/>
      </c>
      <c r="J32" s="23">
        <f>IFERROR((INDEX(HIST_D!$V$8:$V$2617,1)-INDEX(HIST_D!$V$8:$V$2617,Control!$F$16))*Control!$B$11,"")</f>
        <v/>
      </c>
      <c r="K32" s="23">
        <f>IFERROR((INDEX(HIST_D!$V$8:$V$2617,1)-INDEX(HIST_D!$V$8:$V$2617,Control!$F$11))*Control!$B$11,"")</f>
        <v/>
      </c>
      <c r="L32" s="25">
        <f>IFERROR(MIN(HIST_D!$V$8:INDEX(HIST_D!$V$8:$V$2617,Control!$F$11)),"")</f>
        <v/>
      </c>
      <c r="M32" s="25">
        <f>IFERROR(MAX(HIST_D!$V$8:INDEX(HIST_D!$V$8:$V$2617,Control!$F$11)),"")</f>
        <v/>
      </c>
      <c r="N32" s="24">
        <f>IFERROR(PERCENTRANK(HIST_D!$V$8:INDEX(HIST_D!$V$8:$V$2617,Control!$F$11),INDEX(HIST_D!$V$8:$V$2617,1)),"")</f>
        <v/>
      </c>
      <c r="O32" s="24">
        <f>IFERROR(PERCENTRANK(HIST_D!$V$8:INDEX(HIST_D!$V$8:$V$2617,Control!$F$13),INDEX(HIST_D!$V$8:$V$2617,1)),"")</f>
        <v/>
      </c>
      <c r="P32" s="24">
        <f>IFERROR(PERCENTRANK(HIST_D!$V$8:INDEX(HIST_D!$V$8:$V$2617,Control!$F$14),INDEX(HIST_D!$V$8:$V$2617,1)),"")</f>
        <v/>
      </c>
      <c r="Q32" s="24">
        <f>IFERROR(PERCENTRANK(HIST_D!$V$8:INDEX(HIST_D!$V$8:$V$2617,Control!$F$15),INDEX(HIST_D!$V$8:$V$2617,1)),"")</f>
        <v/>
      </c>
      <c r="R32" s="27" t="inlineStr"/>
      <c r="S32" s="25">
        <f>IFERROR((INDEX(HIST_D!$V$8:$V$2617,1)-AVERAGE(HIST_D!$V$8:INDEX(HIST_D!$V$8:$V$2617,Control!$F$14)))/STDEV(HIST_D!$V$8:INDEX(HIST_D!$V$8:$V$2617,Control!$F$14)),"")</f>
        <v/>
      </c>
    </row>
    <row r="34" ht="18" customHeight="1">
      <c r="A34" s="3" t="inlineStr">
        <is>
          <t>SWAP SPREADS  (OIS − UST; the balance-sheet / collateral premium at each node)</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28" customHeight="1">
      <c r="A35" s="20" t="inlineStr">
        <is>
          <t>Instrument</t>
        </is>
      </c>
      <c r="B35" s="20" t="inlineStr">
        <is>
          <t>Source</t>
        </is>
      </c>
      <c r="C35" s="20" t="inlineStr">
        <is>
          <t>Unit</t>
        </is>
      </c>
      <c r="D35" s="20" t="inlineStr">
        <is>
          <t>Level</t>
        </is>
      </c>
      <c r="E35" s="20" t="inlineStr">
        <is>
          <t>1D</t>
        </is>
      </c>
      <c r="F35" s="20" t="inlineStr">
        <is>
          <t>1W</t>
        </is>
      </c>
      <c r="G35" s="20" t="inlineStr">
        <is>
          <t>1M</t>
        </is>
      </c>
      <c r="H35" s="20" t="inlineStr">
        <is>
          <t>3M</t>
        </is>
      </c>
      <c r="I35" s="20" t="inlineStr">
        <is>
          <t>6M</t>
        </is>
      </c>
      <c r="J35" s="20" t="inlineStr">
        <is>
          <t>YTD</t>
        </is>
      </c>
      <c r="K35" s="20" t="inlineStr">
        <is>
          <t>1Y</t>
        </is>
      </c>
      <c r="L35" s="20" t="inlineStr">
        <is>
          <t>1y min</t>
        </is>
      </c>
      <c r="M35" s="20" t="inlineStr">
        <is>
          <t>1y max</t>
        </is>
      </c>
      <c r="N35" s="20" t="inlineStr">
        <is>
          <t>%ile 1y</t>
        </is>
      </c>
      <c r="O35" s="20" t="inlineStr">
        <is>
          <t>%ile 3y</t>
        </is>
      </c>
      <c r="P35" s="20" t="inlineStr">
        <is>
          <t>%ile 5y</t>
        </is>
      </c>
      <c r="Q35" s="20" t="inlineStr">
        <is>
          <t>%ile 10y</t>
        </is>
      </c>
      <c r="R35" s="20" t="inlineStr">
        <is>
          <t>%ile 25y</t>
        </is>
      </c>
      <c r="S35" s="20" t="inlineStr">
        <is>
          <t>z (5y)</t>
        </is>
      </c>
    </row>
    <row r="36">
      <c r="A36" s="8" t="inlineStr">
        <is>
          <t>Swap spread 2Y</t>
        </is>
      </c>
      <c r="B36" s="17" t="inlineStr">
        <is>
          <t>derived on HIST_D</t>
        </is>
      </c>
      <c r="C36" s="27" t="inlineStr">
        <is>
          <t>bp</t>
        </is>
      </c>
      <c r="D36" s="26">
        <f>INDEX(HIST_D!$BC$8:$BC$2617,1)</f>
        <v/>
      </c>
      <c r="E36" s="23">
        <f>IFERROR((INDEX(HIST_D!$BC$8:$BC$2617,1)-INDEX(HIST_D!$BC$8:$BC$2617,Control!$F$6))*1,"")</f>
        <v/>
      </c>
      <c r="F36" s="23">
        <f>IFERROR((INDEX(HIST_D!$BC$8:$BC$2617,1)-INDEX(HIST_D!$BC$8:$BC$2617,Control!$F$7))*1,"")</f>
        <v/>
      </c>
      <c r="G36" s="23">
        <f>IFERROR((INDEX(HIST_D!$BC$8:$BC$2617,1)-INDEX(HIST_D!$BC$8:$BC$2617,Control!$F$8))*1,"")</f>
        <v/>
      </c>
      <c r="H36" s="23">
        <f>IFERROR((INDEX(HIST_D!$BC$8:$BC$2617,1)-INDEX(HIST_D!$BC$8:$BC$2617,Control!$F$9))*1,"")</f>
        <v/>
      </c>
      <c r="I36" s="23">
        <f>IFERROR((INDEX(HIST_D!$BC$8:$BC$2617,1)-INDEX(HIST_D!$BC$8:$BC$2617,Control!$F$10))*1,"")</f>
        <v/>
      </c>
      <c r="J36" s="23">
        <f>IFERROR((INDEX(HIST_D!$BC$8:$BC$2617,1)-INDEX(HIST_D!$BC$8:$BC$2617,Control!$F$16))*1,"")</f>
        <v/>
      </c>
      <c r="K36" s="23">
        <f>IFERROR((INDEX(HIST_D!$BC$8:$BC$2617,1)-INDEX(HIST_D!$BC$8:$BC$2617,Control!$F$11))*1,"")</f>
        <v/>
      </c>
      <c r="L36" s="40">
        <f>IFERROR(MIN(HIST_D!$BC$8:INDEX(HIST_D!$BC$8:$BC$2617,Control!$F$11)),"")</f>
        <v/>
      </c>
      <c r="M36" s="40">
        <f>IFERROR(MAX(HIST_D!$BC$8:INDEX(HIST_D!$BC$8:$BC$2617,Control!$F$11)),"")</f>
        <v/>
      </c>
      <c r="N36" s="24">
        <f>IFERROR(PERCENTRANK(HIST_D!$BC$8:INDEX(HIST_D!$BC$8:$BC$2617,Control!$F$11),INDEX(HIST_D!$BC$8:$BC$2617,1)),"")</f>
        <v/>
      </c>
      <c r="O36" s="24">
        <f>IFERROR(PERCENTRANK(HIST_D!$BC$8:INDEX(HIST_D!$BC$8:$BC$2617,Control!$F$13),INDEX(HIST_D!$BC$8:$BC$2617,1)),"")</f>
        <v/>
      </c>
      <c r="P36" s="24">
        <f>IFERROR(PERCENTRANK(HIST_D!$BC$8:INDEX(HIST_D!$BC$8:$BC$2617,Control!$F$14),INDEX(HIST_D!$BC$8:$BC$2617,1)),"")</f>
        <v/>
      </c>
      <c r="Q36" s="24">
        <f>IFERROR(PERCENTRANK(HIST_D!$BC$8:INDEX(HIST_D!$BC$8:$BC$2617,Control!$F$15),INDEX(HIST_D!$BC$8:$BC$2617,1)),"")</f>
        <v/>
      </c>
      <c r="R36" s="27" t="inlineStr"/>
      <c r="S36" s="25">
        <f>IFERROR((INDEX(HIST_D!$BC$8:$BC$2617,1)-AVERAGE(HIST_D!$BC$8:INDEX(HIST_D!$BC$8:$BC$2617,Control!$F$14)))/STDEV(HIST_D!$BC$8:INDEX(HIST_D!$BC$8:$BC$2617,Control!$F$14)),"")</f>
        <v/>
      </c>
    </row>
    <row r="37">
      <c r="A37" s="8" t="inlineStr">
        <is>
          <t>Swap spread 5Y</t>
        </is>
      </c>
      <c r="B37" s="17" t="inlineStr">
        <is>
          <t>derived on HIST_D</t>
        </is>
      </c>
      <c r="C37" s="27" t="inlineStr">
        <is>
          <t>bp</t>
        </is>
      </c>
      <c r="D37" s="26">
        <f>INDEX(HIST_D!$BD$8:$BD$2617,1)</f>
        <v/>
      </c>
      <c r="E37" s="23">
        <f>IFERROR((INDEX(HIST_D!$BD$8:$BD$2617,1)-INDEX(HIST_D!$BD$8:$BD$2617,Control!$F$6))*1,"")</f>
        <v/>
      </c>
      <c r="F37" s="23">
        <f>IFERROR((INDEX(HIST_D!$BD$8:$BD$2617,1)-INDEX(HIST_D!$BD$8:$BD$2617,Control!$F$7))*1,"")</f>
        <v/>
      </c>
      <c r="G37" s="23">
        <f>IFERROR((INDEX(HIST_D!$BD$8:$BD$2617,1)-INDEX(HIST_D!$BD$8:$BD$2617,Control!$F$8))*1,"")</f>
        <v/>
      </c>
      <c r="H37" s="23">
        <f>IFERROR((INDEX(HIST_D!$BD$8:$BD$2617,1)-INDEX(HIST_D!$BD$8:$BD$2617,Control!$F$9))*1,"")</f>
        <v/>
      </c>
      <c r="I37" s="23">
        <f>IFERROR((INDEX(HIST_D!$BD$8:$BD$2617,1)-INDEX(HIST_D!$BD$8:$BD$2617,Control!$F$10))*1,"")</f>
        <v/>
      </c>
      <c r="J37" s="23">
        <f>IFERROR((INDEX(HIST_D!$BD$8:$BD$2617,1)-INDEX(HIST_D!$BD$8:$BD$2617,Control!$F$16))*1,"")</f>
        <v/>
      </c>
      <c r="K37" s="23">
        <f>IFERROR((INDEX(HIST_D!$BD$8:$BD$2617,1)-INDEX(HIST_D!$BD$8:$BD$2617,Control!$F$11))*1,"")</f>
        <v/>
      </c>
      <c r="L37" s="40">
        <f>IFERROR(MIN(HIST_D!$BD$8:INDEX(HIST_D!$BD$8:$BD$2617,Control!$F$11)),"")</f>
        <v/>
      </c>
      <c r="M37" s="40">
        <f>IFERROR(MAX(HIST_D!$BD$8:INDEX(HIST_D!$BD$8:$BD$2617,Control!$F$11)),"")</f>
        <v/>
      </c>
      <c r="N37" s="24">
        <f>IFERROR(PERCENTRANK(HIST_D!$BD$8:INDEX(HIST_D!$BD$8:$BD$2617,Control!$F$11),INDEX(HIST_D!$BD$8:$BD$2617,1)),"")</f>
        <v/>
      </c>
      <c r="O37" s="24">
        <f>IFERROR(PERCENTRANK(HIST_D!$BD$8:INDEX(HIST_D!$BD$8:$BD$2617,Control!$F$13),INDEX(HIST_D!$BD$8:$BD$2617,1)),"")</f>
        <v/>
      </c>
      <c r="P37" s="24">
        <f>IFERROR(PERCENTRANK(HIST_D!$BD$8:INDEX(HIST_D!$BD$8:$BD$2617,Control!$F$14),INDEX(HIST_D!$BD$8:$BD$2617,1)),"")</f>
        <v/>
      </c>
      <c r="Q37" s="24">
        <f>IFERROR(PERCENTRANK(HIST_D!$BD$8:INDEX(HIST_D!$BD$8:$BD$2617,Control!$F$15),INDEX(HIST_D!$BD$8:$BD$2617,1)),"")</f>
        <v/>
      </c>
      <c r="R37" s="27" t="inlineStr"/>
      <c r="S37" s="25">
        <f>IFERROR((INDEX(HIST_D!$BD$8:$BD$2617,1)-AVERAGE(HIST_D!$BD$8:INDEX(HIST_D!$BD$8:$BD$2617,Control!$F$14)))/STDEV(HIST_D!$BD$8:INDEX(HIST_D!$BD$8:$BD$2617,Control!$F$14)),"")</f>
        <v/>
      </c>
    </row>
    <row r="38">
      <c r="A38" s="8" t="inlineStr">
        <is>
          <t>Swap spread 10Y</t>
        </is>
      </c>
      <c r="B38" s="17" t="inlineStr">
        <is>
          <t>derived on HIST_D</t>
        </is>
      </c>
      <c r="C38" s="27" t="inlineStr">
        <is>
          <t>bp</t>
        </is>
      </c>
      <c r="D38" s="26">
        <f>INDEX(HIST_D!$BE$8:$BE$2617,1)</f>
        <v/>
      </c>
      <c r="E38" s="23">
        <f>IFERROR((INDEX(HIST_D!$BE$8:$BE$2617,1)-INDEX(HIST_D!$BE$8:$BE$2617,Control!$F$6))*1,"")</f>
        <v/>
      </c>
      <c r="F38" s="23">
        <f>IFERROR((INDEX(HIST_D!$BE$8:$BE$2617,1)-INDEX(HIST_D!$BE$8:$BE$2617,Control!$F$7))*1,"")</f>
        <v/>
      </c>
      <c r="G38" s="23">
        <f>IFERROR((INDEX(HIST_D!$BE$8:$BE$2617,1)-INDEX(HIST_D!$BE$8:$BE$2617,Control!$F$8))*1,"")</f>
        <v/>
      </c>
      <c r="H38" s="23">
        <f>IFERROR((INDEX(HIST_D!$BE$8:$BE$2617,1)-INDEX(HIST_D!$BE$8:$BE$2617,Control!$F$9))*1,"")</f>
        <v/>
      </c>
      <c r="I38" s="23">
        <f>IFERROR((INDEX(HIST_D!$BE$8:$BE$2617,1)-INDEX(HIST_D!$BE$8:$BE$2617,Control!$F$10))*1,"")</f>
        <v/>
      </c>
      <c r="J38" s="23">
        <f>IFERROR((INDEX(HIST_D!$BE$8:$BE$2617,1)-INDEX(HIST_D!$BE$8:$BE$2617,Control!$F$16))*1,"")</f>
        <v/>
      </c>
      <c r="K38" s="23">
        <f>IFERROR((INDEX(HIST_D!$BE$8:$BE$2617,1)-INDEX(HIST_D!$BE$8:$BE$2617,Control!$F$11))*1,"")</f>
        <v/>
      </c>
      <c r="L38" s="40">
        <f>IFERROR(MIN(HIST_D!$BE$8:INDEX(HIST_D!$BE$8:$BE$2617,Control!$F$11)),"")</f>
        <v/>
      </c>
      <c r="M38" s="40">
        <f>IFERROR(MAX(HIST_D!$BE$8:INDEX(HIST_D!$BE$8:$BE$2617,Control!$F$11)),"")</f>
        <v/>
      </c>
      <c r="N38" s="24">
        <f>IFERROR(PERCENTRANK(HIST_D!$BE$8:INDEX(HIST_D!$BE$8:$BE$2617,Control!$F$11),INDEX(HIST_D!$BE$8:$BE$2617,1)),"")</f>
        <v/>
      </c>
      <c r="O38" s="24">
        <f>IFERROR(PERCENTRANK(HIST_D!$BE$8:INDEX(HIST_D!$BE$8:$BE$2617,Control!$F$13),INDEX(HIST_D!$BE$8:$BE$2617,1)),"")</f>
        <v/>
      </c>
      <c r="P38" s="24">
        <f>IFERROR(PERCENTRANK(HIST_D!$BE$8:INDEX(HIST_D!$BE$8:$BE$2617,Control!$F$14),INDEX(HIST_D!$BE$8:$BE$2617,1)),"")</f>
        <v/>
      </c>
      <c r="Q38" s="24">
        <f>IFERROR(PERCENTRANK(HIST_D!$BE$8:INDEX(HIST_D!$BE$8:$BE$2617,Control!$F$15),INDEX(HIST_D!$BE$8:$BE$2617,1)),"")</f>
        <v/>
      </c>
      <c r="R38" s="27" t="inlineStr"/>
      <c r="S38" s="25">
        <f>IFERROR((INDEX(HIST_D!$BE$8:$BE$2617,1)-AVERAGE(HIST_D!$BE$8:INDEX(HIST_D!$BE$8:$BE$2617,Control!$F$14)))/STDEV(HIST_D!$BE$8:INDEX(HIST_D!$BE$8:$BE$2617,Control!$F$14)),"")</f>
        <v/>
      </c>
    </row>
    <row r="39">
      <c r="A39" s="8" t="inlineStr">
        <is>
          <t>Swap spread 30Y</t>
        </is>
      </c>
      <c r="B39" s="17" t="inlineStr">
        <is>
          <t>derived on HIST_D</t>
        </is>
      </c>
      <c r="C39" s="27" t="inlineStr">
        <is>
          <t>bp</t>
        </is>
      </c>
      <c r="D39" s="26">
        <f>INDEX(HIST_D!$BF$8:$BF$2617,1)</f>
        <v/>
      </c>
      <c r="E39" s="23">
        <f>IFERROR((INDEX(HIST_D!$BF$8:$BF$2617,1)-INDEX(HIST_D!$BF$8:$BF$2617,Control!$F$6))*1,"")</f>
        <v/>
      </c>
      <c r="F39" s="23">
        <f>IFERROR((INDEX(HIST_D!$BF$8:$BF$2617,1)-INDEX(HIST_D!$BF$8:$BF$2617,Control!$F$7))*1,"")</f>
        <v/>
      </c>
      <c r="G39" s="23">
        <f>IFERROR((INDEX(HIST_D!$BF$8:$BF$2617,1)-INDEX(HIST_D!$BF$8:$BF$2617,Control!$F$8))*1,"")</f>
        <v/>
      </c>
      <c r="H39" s="23">
        <f>IFERROR((INDEX(HIST_D!$BF$8:$BF$2617,1)-INDEX(HIST_D!$BF$8:$BF$2617,Control!$F$9))*1,"")</f>
        <v/>
      </c>
      <c r="I39" s="23">
        <f>IFERROR((INDEX(HIST_D!$BF$8:$BF$2617,1)-INDEX(HIST_D!$BF$8:$BF$2617,Control!$F$10))*1,"")</f>
        <v/>
      </c>
      <c r="J39" s="23">
        <f>IFERROR((INDEX(HIST_D!$BF$8:$BF$2617,1)-INDEX(HIST_D!$BF$8:$BF$2617,Control!$F$16))*1,"")</f>
        <v/>
      </c>
      <c r="K39" s="23">
        <f>IFERROR((INDEX(HIST_D!$BF$8:$BF$2617,1)-INDEX(HIST_D!$BF$8:$BF$2617,Control!$F$11))*1,"")</f>
        <v/>
      </c>
      <c r="L39" s="40">
        <f>IFERROR(MIN(HIST_D!$BF$8:INDEX(HIST_D!$BF$8:$BF$2617,Control!$F$11)),"")</f>
        <v/>
      </c>
      <c r="M39" s="40">
        <f>IFERROR(MAX(HIST_D!$BF$8:INDEX(HIST_D!$BF$8:$BF$2617,Control!$F$11)),"")</f>
        <v/>
      </c>
      <c r="N39" s="24">
        <f>IFERROR(PERCENTRANK(HIST_D!$BF$8:INDEX(HIST_D!$BF$8:$BF$2617,Control!$F$11),INDEX(HIST_D!$BF$8:$BF$2617,1)),"")</f>
        <v/>
      </c>
      <c r="O39" s="24">
        <f>IFERROR(PERCENTRANK(HIST_D!$BF$8:INDEX(HIST_D!$BF$8:$BF$2617,Control!$F$13),INDEX(HIST_D!$BF$8:$BF$2617,1)),"")</f>
        <v/>
      </c>
      <c r="P39" s="24">
        <f>IFERROR(PERCENTRANK(HIST_D!$BF$8:INDEX(HIST_D!$BF$8:$BF$2617,Control!$F$14),INDEX(HIST_D!$BF$8:$BF$2617,1)),"")</f>
        <v/>
      </c>
      <c r="Q39" s="24">
        <f>IFERROR(PERCENTRANK(HIST_D!$BF$8:INDEX(HIST_D!$BF$8:$BF$2617,Control!$F$15),INDEX(HIST_D!$BF$8:$BF$2617,1)),"")</f>
        <v/>
      </c>
      <c r="R39" s="27" t="inlineStr"/>
      <c r="S39" s="25">
        <f>IFERROR((INDEX(HIST_D!$BF$8:$BF$2617,1)-AVERAGE(HIST_D!$BF$8:INDEX(HIST_D!$BF$8:$BF$2617,Control!$F$14)))/STDEV(HIST_D!$BF$8:INDEX(HIST_D!$BF$8:$BF$2617,Control!$F$14)),"")</f>
        <v/>
      </c>
    </row>
    <row r="40">
      <c r="A40" s="10" t="inlineStr">
        <is>
          <t>Negative and widening (more negative) swap spreads = the market paying up for balance sheet / dealers full of Treasuries. This is the cleanest single read on Treasury market capacity, and it is why it sits next to the liquidity tab.</t>
        </is>
      </c>
    </row>
    <row r="42" ht="18" customHeight="1">
      <c r="A42" s="3" t="inlineStr">
        <is>
          <t>REAL YIELDS, BREAKEVENS AND TERM PREMIUM</t>
        </is>
      </c>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8" customHeight="1">
      <c r="A43" s="20" t="inlineStr">
        <is>
          <t>Instrument</t>
        </is>
      </c>
      <c r="B43" s="20" t="inlineStr">
        <is>
          <t>Source</t>
        </is>
      </c>
      <c r="C43" s="20" t="inlineStr">
        <is>
          <t>Unit</t>
        </is>
      </c>
      <c r="D43" s="20" t="inlineStr">
        <is>
          <t>Level</t>
        </is>
      </c>
      <c r="E43" s="20" t="inlineStr">
        <is>
          <t>1D</t>
        </is>
      </c>
      <c r="F43" s="20" t="inlineStr">
        <is>
          <t>1W</t>
        </is>
      </c>
      <c r="G43" s="20" t="inlineStr">
        <is>
          <t>1M</t>
        </is>
      </c>
      <c r="H43" s="20" t="inlineStr">
        <is>
          <t>3M</t>
        </is>
      </c>
      <c r="I43" s="20" t="inlineStr">
        <is>
          <t>6M</t>
        </is>
      </c>
      <c r="J43" s="20" t="inlineStr">
        <is>
          <t>YTD</t>
        </is>
      </c>
      <c r="K43" s="20" t="inlineStr">
        <is>
          <t>1Y</t>
        </is>
      </c>
      <c r="L43" s="20" t="inlineStr">
        <is>
          <t>1y min</t>
        </is>
      </c>
      <c r="M43" s="20" t="inlineStr">
        <is>
          <t>1y max</t>
        </is>
      </c>
      <c r="N43" s="20" t="inlineStr">
        <is>
          <t>%ile 1y</t>
        </is>
      </c>
      <c r="O43" s="20" t="inlineStr">
        <is>
          <t>%ile 3y</t>
        </is>
      </c>
      <c r="P43" s="20" t="inlineStr">
        <is>
          <t>%ile 5y</t>
        </is>
      </c>
      <c r="Q43" s="20" t="inlineStr">
        <is>
          <t>%ile 10y</t>
        </is>
      </c>
      <c r="R43" s="20" t="inlineStr">
        <is>
          <t>%ile 25y</t>
        </is>
      </c>
      <c r="S43" s="20" t="inlineStr">
        <is>
          <t>z (5y)</t>
        </is>
      </c>
    </row>
    <row r="44">
      <c r="A44" s="8" t="inlineStr">
        <is>
          <t>TIPS real 5Y</t>
        </is>
      </c>
      <c r="B44" s="16">
        <f>Tickers!$C$27</f>
        <v/>
      </c>
      <c r="C44" s="27" t="inlineStr">
        <is>
          <t>%</t>
        </is>
      </c>
      <c r="D44" s="22">
        <f>INDEX(HIST_D!$W$8:$W$2617,1)</f>
        <v/>
      </c>
      <c r="E44" s="23">
        <f>IFERROR((INDEX(HIST_D!$W$8:$W$2617,1)-INDEX(HIST_D!$W$8:$W$2617,Control!$F$6))*Control!$B$11,"")</f>
        <v/>
      </c>
      <c r="F44" s="23">
        <f>IFERROR((INDEX(HIST_D!$W$8:$W$2617,1)-INDEX(HIST_D!$W$8:$W$2617,Control!$F$7))*Control!$B$11,"")</f>
        <v/>
      </c>
      <c r="G44" s="23">
        <f>IFERROR((INDEX(HIST_D!$W$8:$W$2617,1)-INDEX(HIST_D!$W$8:$W$2617,Control!$F$8))*Control!$B$11,"")</f>
        <v/>
      </c>
      <c r="H44" s="23">
        <f>IFERROR((INDEX(HIST_D!$W$8:$W$2617,1)-INDEX(HIST_D!$W$8:$W$2617,Control!$F$9))*Control!$B$11,"")</f>
        <v/>
      </c>
      <c r="I44" s="23">
        <f>IFERROR((INDEX(HIST_D!$W$8:$W$2617,1)-INDEX(HIST_D!$W$8:$W$2617,Control!$F$10))*Control!$B$11,"")</f>
        <v/>
      </c>
      <c r="J44" s="23">
        <f>IFERROR((INDEX(HIST_D!$W$8:$W$2617,1)-INDEX(HIST_D!$W$8:$W$2617,Control!$F$16))*Control!$B$11,"")</f>
        <v/>
      </c>
      <c r="K44" s="23">
        <f>IFERROR((INDEX(HIST_D!$W$8:$W$2617,1)-INDEX(HIST_D!$W$8:$W$2617,Control!$F$11))*Control!$B$11,"")</f>
        <v/>
      </c>
      <c r="L44" s="25">
        <f>IFERROR(MIN(HIST_D!$W$8:INDEX(HIST_D!$W$8:$W$2617,Control!$F$11)),"")</f>
        <v/>
      </c>
      <c r="M44" s="25">
        <f>IFERROR(MAX(HIST_D!$W$8:INDEX(HIST_D!$W$8:$W$2617,Control!$F$11)),"")</f>
        <v/>
      </c>
      <c r="N44" s="24">
        <f>IFERROR(PERCENTRANK(HIST_D!$W$8:INDEX(HIST_D!$W$8:$W$2617,Control!$F$11),INDEX(HIST_D!$W$8:$W$2617,1)),"")</f>
        <v/>
      </c>
      <c r="O44" s="24">
        <f>IFERROR(PERCENTRANK(HIST_D!$W$8:INDEX(HIST_D!$W$8:$W$2617,Control!$F$13),INDEX(HIST_D!$W$8:$W$2617,1)),"")</f>
        <v/>
      </c>
      <c r="P44" s="24">
        <f>IFERROR(PERCENTRANK(HIST_D!$W$8:INDEX(HIST_D!$W$8:$W$2617,Control!$F$14),INDEX(HIST_D!$W$8:$W$2617,1)),"")</f>
        <v/>
      </c>
      <c r="Q44" s="24">
        <f>IFERROR(PERCENTRANK(HIST_D!$W$8:INDEX(HIST_D!$W$8:$W$2617,Control!$F$15),INDEX(HIST_D!$W$8:$W$2617,1)),"")</f>
        <v/>
      </c>
      <c r="R44" s="27" t="inlineStr"/>
      <c r="S44" s="25">
        <f>IFERROR((INDEX(HIST_D!$W$8:$W$2617,1)-AVERAGE(HIST_D!$W$8:INDEX(HIST_D!$W$8:$W$2617,Control!$F$14)))/STDEV(HIST_D!$W$8:INDEX(HIST_D!$W$8:$W$2617,Control!$F$14)),"")</f>
        <v/>
      </c>
    </row>
    <row r="45">
      <c r="A45" s="8" t="inlineStr">
        <is>
          <t>TIPS real 10Y</t>
        </is>
      </c>
      <c r="B45" s="16">
        <f>Tickers!$C$28</f>
        <v/>
      </c>
      <c r="C45" s="27" t="inlineStr">
        <is>
          <t>%</t>
        </is>
      </c>
      <c r="D45" s="22">
        <f>INDEX(HIST_D!$X$8:$X$2617,1)</f>
        <v/>
      </c>
      <c r="E45" s="23">
        <f>IFERROR((INDEX(HIST_D!$X$8:$X$2617,1)-INDEX(HIST_D!$X$8:$X$2617,Control!$F$6))*Control!$B$11,"")</f>
        <v/>
      </c>
      <c r="F45" s="23">
        <f>IFERROR((INDEX(HIST_D!$X$8:$X$2617,1)-INDEX(HIST_D!$X$8:$X$2617,Control!$F$7))*Control!$B$11,"")</f>
        <v/>
      </c>
      <c r="G45" s="23">
        <f>IFERROR((INDEX(HIST_D!$X$8:$X$2617,1)-INDEX(HIST_D!$X$8:$X$2617,Control!$F$8))*Control!$B$11,"")</f>
        <v/>
      </c>
      <c r="H45" s="23">
        <f>IFERROR((INDEX(HIST_D!$X$8:$X$2617,1)-INDEX(HIST_D!$X$8:$X$2617,Control!$F$9))*Control!$B$11,"")</f>
        <v/>
      </c>
      <c r="I45" s="23">
        <f>IFERROR((INDEX(HIST_D!$X$8:$X$2617,1)-INDEX(HIST_D!$X$8:$X$2617,Control!$F$10))*Control!$B$11,"")</f>
        <v/>
      </c>
      <c r="J45" s="23">
        <f>IFERROR((INDEX(HIST_D!$X$8:$X$2617,1)-INDEX(HIST_D!$X$8:$X$2617,Control!$F$16))*Control!$B$11,"")</f>
        <v/>
      </c>
      <c r="K45" s="23">
        <f>IFERROR((INDEX(HIST_D!$X$8:$X$2617,1)-INDEX(HIST_D!$X$8:$X$2617,Control!$F$11))*Control!$B$11,"")</f>
        <v/>
      </c>
      <c r="L45" s="25">
        <f>IFERROR(MIN(HIST_D!$X$8:INDEX(HIST_D!$X$8:$X$2617,Control!$F$11)),"")</f>
        <v/>
      </c>
      <c r="M45" s="25">
        <f>IFERROR(MAX(HIST_D!$X$8:INDEX(HIST_D!$X$8:$X$2617,Control!$F$11)),"")</f>
        <v/>
      </c>
      <c r="N45" s="24">
        <f>IFERROR(PERCENTRANK(HIST_D!$X$8:INDEX(HIST_D!$X$8:$X$2617,Control!$F$11),INDEX(HIST_D!$X$8:$X$2617,1)),"")</f>
        <v/>
      </c>
      <c r="O45" s="24">
        <f>IFERROR(PERCENTRANK(HIST_D!$X$8:INDEX(HIST_D!$X$8:$X$2617,Control!$F$13),INDEX(HIST_D!$X$8:$X$2617,1)),"")</f>
        <v/>
      </c>
      <c r="P45" s="24">
        <f>IFERROR(PERCENTRANK(HIST_D!$X$8:INDEX(HIST_D!$X$8:$X$2617,Control!$F$14),INDEX(HIST_D!$X$8:$X$2617,1)),"")</f>
        <v/>
      </c>
      <c r="Q45" s="24">
        <f>IFERROR(PERCENTRANK(HIST_D!$X$8:INDEX(HIST_D!$X$8:$X$2617,Control!$F$15),INDEX(HIST_D!$X$8:$X$2617,1)),"")</f>
        <v/>
      </c>
      <c r="R45" s="27" t="inlineStr"/>
      <c r="S45" s="25">
        <f>IFERROR((INDEX(HIST_D!$X$8:$X$2617,1)-AVERAGE(HIST_D!$X$8:INDEX(HIST_D!$X$8:$X$2617,Control!$F$14)))/STDEV(HIST_D!$X$8:INDEX(HIST_D!$X$8:$X$2617,Control!$F$14)),"")</f>
        <v/>
      </c>
    </row>
    <row r="46">
      <c r="A46" s="8" t="inlineStr">
        <is>
          <t>Breakeven 5Y</t>
        </is>
      </c>
      <c r="B46" s="16">
        <f>Tickers!$C$29</f>
        <v/>
      </c>
      <c r="C46" s="27" t="inlineStr">
        <is>
          <t>%</t>
        </is>
      </c>
      <c r="D46" s="22">
        <f>INDEX(HIST_D!$Y$8:$Y$2617,1)</f>
        <v/>
      </c>
      <c r="E46" s="23">
        <f>IFERROR((INDEX(HIST_D!$Y$8:$Y$2617,1)-INDEX(HIST_D!$Y$8:$Y$2617,Control!$F$6))*Control!$B$11,"")</f>
        <v/>
      </c>
      <c r="F46" s="23">
        <f>IFERROR((INDEX(HIST_D!$Y$8:$Y$2617,1)-INDEX(HIST_D!$Y$8:$Y$2617,Control!$F$7))*Control!$B$11,"")</f>
        <v/>
      </c>
      <c r="G46" s="23">
        <f>IFERROR((INDEX(HIST_D!$Y$8:$Y$2617,1)-INDEX(HIST_D!$Y$8:$Y$2617,Control!$F$8))*Control!$B$11,"")</f>
        <v/>
      </c>
      <c r="H46" s="23">
        <f>IFERROR((INDEX(HIST_D!$Y$8:$Y$2617,1)-INDEX(HIST_D!$Y$8:$Y$2617,Control!$F$9))*Control!$B$11,"")</f>
        <v/>
      </c>
      <c r="I46" s="23">
        <f>IFERROR((INDEX(HIST_D!$Y$8:$Y$2617,1)-INDEX(HIST_D!$Y$8:$Y$2617,Control!$F$10))*Control!$B$11,"")</f>
        <v/>
      </c>
      <c r="J46" s="23">
        <f>IFERROR((INDEX(HIST_D!$Y$8:$Y$2617,1)-INDEX(HIST_D!$Y$8:$Y$2617,Control!$F$16))*Control!$B$11,"")</f>
        <v/>
      </c>
      <c r="K46" s="23">
        <f>IFERROR((INDEX(HIST_D!$Y$8:$Y$2617,1)-INDEX(HIST_D!$Y$8:$Y$2617,Control!$F$11))*Control!$B$11,"")</f>
        <v/>
      </c>
      <c r="L46" s="25">
        <f>IFERROR(MIN(HIST_D!$Y$8:INDEX(HIST_D!$Y$8:$Y$2617,Control!$F$11)),"")</f>
        <v/>
      </c>
      <c r="M46" s="25">
        <f>IFERROR(MAX(HIST_D!$Y$8:INDEX(HIST_D!$Y$8:$Y$2617,Control!$F$11)),"")</f>
        <v/>
      </c>
      <c r="N46" s="24">
        <f>IFERROR(PERCENTRANK(HIST_D!$Y$8:INDEX(HIST_D!$Y$8:$Y$2617,Control!$F$11),INDEX(HIST_D!$Y$8:$Y$2617,1)),"")</f>
        <v/>
      </c>
      <c r="O46" s="24">
        <f>IFERROR(PERCENTRANK(HIST_D!$Y$8:INDEX(HIST_D!$Y$8:$Y$2617,Control!$F$13),INDEX(HIST_D!$Y$8:$Y$2617,1)),"")</f>
        <v/>
      </c>
      <c r="P46" s="24">
        <f>IFERROR(PERCENTRANK(HIST_D!$Y$8:INDEX(HIST_D!$Y$8:$Y$2617,Control!$F$14),INDEX(HIST_D!$Y$8:$Y$2617,1)),"")</f>
        <v/>
      </c>
      <c r="Q46" s="24">
        <f>IFERROR(PERCENTRANK(HIST_D!$Y$8:INDEX(HIST_D!$Y$8:$Y$2617,Control!$F$15),INDEX(HIST_D!$Y$8:$Y$2617,1)),"")</f>
        <v/>
      </c>
      <c r="R46" s="27" t="inlineStr"/>
      <c r="S46" s="25">
        <f>IFERROR((INDEX(HIST_D!$Y$8:$Y$2617,1)-AVERAGE(HIST_D!$Y$8:INDEX(HIST_D!$Y$8:$Y$2617,Control!$F$14)))/STDEV(HIST_D!$Y$8:INDEX(HIST_D!$Y$8:$Y$2617,Control!$F$14)),"")</f>
        <v/>
      </c>
    </row>
    <row r="47">
      <c r="A47" s="8" t="inlineStr">
        <is>
          <t>Breakeven 10Y</t>
        </is>
      </c>
      <c r="B47" s="16">
        <f>Tickers!$C$30</f>
        <v/>
      </c>
      <c r="C47" s="27" t="inlineStr">
        <is>
          <t>%</t>
        </is>
      </c>
      <c r="D47" s="22">
        <f>INDEX(HIST_D!$Z$8:$Z$2617,1)</f>
        <v/>
      </c>
      <c r="E47" s="23">
        <f>IFERROR((INDEX(HIST_D!$Z$8:$Z$2617,1)-INDEX(HIST_D!$Z$8:$Z$2617,Control!$F$6))*Control!$B$11,"")</f>
        <v/>
      </c>
      <c r="F47" s="23">
        <f>IFERROR((INDEX(HIST_D!$Z$8:$Z$2617,1)-INDEX(HIST_D!$Z$8:$Z$2617,Control!$F$7))*Control!$B$11,"")</f>
        <v/>
      </c>
      <c r="G47" s="23">
        <f>IFERROR((INDEX(HIST_D!$Z$8:$Z$2617,1)-INDEX(HIST_D!$Z$8:$Z$2617,Control!$F$8))*Control!$B$11,"")</f>
        <v/>
      </c>
      <c r="H47" s="23">
        <f>IFERROR((INDEX(HIST_D!$Z$8:$Z$2617,1)-INDEX(HIST_D!$Z$8:$Z$2617,Control!$F$9))*Control!$B$11,"")</f>
        <v/>
      </c>
      <c r="I47" s="23">
        <f>IFERROR((INDEX(HIST_D!$Z$8:$Z$2617,1)-INDEX(HIST_D!$Z$8:$Z$2617,Control!$F$10))*Control!$B$11,"")</f>
        <v/>
      </c>
      <c r="J47" s="23">
        <f>IFERROR((INDEX(HIST_D!$Z$8:$Z$2617,1)-INDEX(HIST_D!$Z$8:$Z$2617,Control!$F$16))*Control!$B$11,"")</f>
        <v/>
      </c>
      <c r="K47" s="23">
        <f>IFERROR((INDEX(HIST_D!$Z$8:$Z$2617,1)-INDEX(HIST_D!$Z$8:$Z$2617,Control!$F$11))*Control!$B$11,"")</f>
        <v/>
      </c>
      <c r="L47" s="25">
        <f>IFERROR(MIN(HIST_D!$Z$8:INDEX(HIST_D!$Z$8:$Z$2617,Control!$F$11)),"")</f>
        <v/>
      </c>
      <c r="M47" s="25">
        <f>IFERROR(MAX(HIST_D!$Z$8:INDEX(HIST_D!$Z$8:$Z$2617,Control!$F$11)),"")</f>
        <v/>
      </c>
      <c r="N47" s="24">
        <f>IFERROR(PERCENTRANK(HIST_D!$Z$8:INDEX(HIST_D!$Z$8:$Z$2617,Control!$F$11),INDEX(HIST_D!$Z$8:$Z$2617,1)),"")</f>
        <v/>
      </c>
      <c r="O47" s="24">
        <f>IFERROR(PERCENTRANK(HIST_D!$Z$8:INDEX(HIST_D!$Z$8:$Z$2617,Control!$F$13),INDEX(HIST_D!$Z$8:$Z$2617,1)),"")</f>
        <v/>
      </c>
      <c r="P47" s="24">
        <f>IFERROR(PERCENTRANK(HIST_D!$Z$8:INDEX(HIST_D!$Z$8:$Z$2617,Control!$F$14),INDEX(HIST_D!$Z$8:$Z$2617,1)),"")</f>
        <v/>
      </c>
      <c r="Q47" s="24">
        <f>IFERROR(PERCENTRANK(HIST_D!$Z$8:INDEX(HIST_D!$Z$8:$Z$2617,Control!$F$15),INDEX(HIST_D!$Z$8:$Z$2617,1)),"")</f>
        <v/>
      </c>
      <c r="R47" s="27" t="inlineStr"/>
      <c r="S47" s="25">
        <f>IFERROR((INDEX(HIST_D!$Z$8:$Z$2617,1)-AVERAGE(HIST_D!$Z$8:INDEX(HIST_D!$Z$8:$Z$2617,Control!$F$14)))/STDEV(HIST_D!$Z$8:INDEX(HIST_D!$Z$8:$Z$2617,Control!$F$14)),"")</f>
        <v/>
      </c>
    </row>
    <row r="48">
      <c r="A48" s="8" t="inlineStr">
        <is>
          <t>ACM term premium 10Y</t>
        </is>
      </c>
      <c r="B48" s="16">
        <f>Tickers!$C$31</f>
        <v/>
      </c>
      <c r="C48" s="27" t="inlineStr">
        <is>
          <t>%</t>
        </is>
      </c>
      <c r="D48" s="22">
        <f>INDEX(HIST_D!$AA$8:$AA$2617,1)</f>
        <v/>
      </c>
      <c r="E48" s="23">
        <f>IFERROR((INDEX(HIST_D!$AA$8:$AA$2617,1)-INDEX(HIST_D!$AA$8:$AA$2617,Control!$F$6))*Control!$B$11,"")</f>
        <v/>
      </c>
      <c r="F48" s="23">
        <f>IFERROR((INDEX(HIST_D!$AA$8:$AA$2617,1)-INDEX(HIST_D!$AA$8:$AA$2617,Control!$F$7))*Control!$B$11,"")</f>
        <v/>
      </c>
      <c r="G48" s="23">
        <f>IFERROR((INDEX(HIST_D!$AA$8:$AA$2617,1)-INDEX(HIST_D!$AA$8:$AA$2617,Control!$F$8))*Control!$B$11,"")</f>
        <v/>
      </c>
      <c r="H48" s="23">
        <f>IFERROR((INDEX(HIST_D!$AA$8:$AA$2617,1)-INDEX(HIST_D!$AA$8:$AA$2617,Control!$F$9))*Control!$B$11,"")</f>
        <v/>
      </c>
      <c r="I48" s="23">
        <f>IFERROR((INDEX(HIST_D!$AA$8:$AA$2617,1)-INDEX(HIST_D!$AA$8:$AA$2617,Control!$F$10))*Control!$B$11,"")</f>
        <v/>
      </c>
      <c r="J48" s="23">
        <f>IFERROR((INDEX(HIST_D!$AA$8:$AA$2617,1)-INDEX(HIST_D!$AA$8:$AA$2617,Control!$F$16))*Control!$B$11,"")</f>
        <v/>
      </c>
      <c r="K48" s="23">
        <f>IFERROR((INDEX(HIST_D!$AA$8:$AA$2617,1)-INDEX(HIST_D!$AA$8:$AA$2617,Control!$F$11))*Control!$B$11,"")</f>
        <v/>
      </c>
      <c r="L48" s="25">
        <f>IFERROR(MIN(HIST_D!$AA$8:INDEX(HIST_D!$AA$8:$AA$2617,Control!$F$11)),"")</f>
        <v/>
      </c>
      <c r="M48" s="25">
        <f>IFERROR(MAX(HIST_D!$AA$8:INDEX(HIST_D!$AA$8:$AA$2617,Control!$F$11)),"")</f>
        <v/>
      </c>
      <c r="N48" s="24">
        <f>IFERROR(PERCENTRANK(HIST_D!$AA$8:INDEX(HIST_D!$AA$8:$AA$2617,Control!$F$11),INDEX(HIST_D!$AA$8:$AA$2617,1)),"")</f>
        <v/>
      </c>
      <c r="O48" s="24">
        <f>IFERROR(PERCENTRANK(HIST_D!$AA$8:INDEX(HIST_D!$AA$8:$AA$2617,Control!$F$13),INDEX(HIST_D!$AA$8:$AA$2617,1)),"")</f>
        <v/>
      </c>
      <c r="P48" s="24">
        <f>IFERROR(PERCENTRANK(HIST_D!$AA$8:INDEX(HIST_D!$AA$8:$AA$2617,Control!$F$14),INDEX(HIST_D!$AA$8:$AA$2617,1)),"")</f>
        <v/>
      </c>
      <c r="Q48" s="24">
        <f>IFERROR(PERCENTRANK(HIST_D!$AA$8:INDEX(HIST_D!$AA$8:$AA$2617,Control!$F$15),INDEX(HIST_D!$AA$8:$AA$2617,1)),"")</f>
        <v/>
      </c>
      <c r="R48" s="27" t="inlineStr"/>
      <c r="S48" s="25">
        <f>IFERROR((INDEX(HIST_D!$AA$8:$AA$2617,1)-AVERAGE(HIST_D!$AA$8:INDEX(HIST_D!$AA$8:$AA$2617,Control!$F$14)))/STDEV(HIST_D!$AA$8:INDEX(HIST_D!$AA$8:$AA$2617,Control!$F$14)),"")</f>
        <v/>
      </c>
    </row>
    <row r="50" ht="18" customHeight="1">
      <c r="A50" s="3" t="inlineStr">
        <is>
          <t>FORWARDS  (bootstrapped from the spot par curve above)</t>
        </is>
      </c>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28" customHeight="1">
      <c r="A51" s="20" t="inlineStr">
        <is>
          <t>Forward</t>
        </is>
      </c>
      <c r="B51" s="20" t="inlineStr">
        <is>
          <t>Built from</t>
        </is>
      </c>
      <c r="C51" s="20" t="inlineStr">
        <is>
          <t>Level (%)</t>
        </is>
      </c>
      <c r="D51" s="20" t="inlineStr">
        <is>
          <t>Spot at the same tenor (%)</t>
        </is>
      </c>
      <c r="E51" s="20" t="inlineStr">
        <is>
          <t>Fwd − spot (bp)</t>
        </is>
      </c>
      <c r="F51" s="20" t="inlineStr">
        <is>
          <t>What it is telling you</t>
        </is>
      </c>
      <c r="G51" s="20" t="inlineStr"/>
      <c r="H51" s="20" t="inlineStr"/>
      <c r="I51" s="20" t="inlineStr"/>
    </row>
    <row r="52">
      <c r="A52" s="21" t="inlineStr">
        <is>
          <t>1y1y</t>
        </is>
      </c>
      <c r="B52" s="17" t="inlineStr">
        <is>
          <t>UST 1Y &amp; UST 2Y</t>
        </is>
      </c>
      <c r="C52" s="25">
        <f>IFERROR(((1+INDEX(HIST_D!$F$8:$F$2617,1)/100)^2/(1+INDEX(HIST_D!$E$8:$E$2617,1)/100)^1)^(1/1)*100-100,"")</f>
        <v/>
      </c>
      <c r="D52" s="22">
        <f>INDEX(HIST_D!$F$8:$F$2617,1)</f>
        <v/>
      </c>
      <c r="E52" s="23">
        <f>($C52-$D52)*Control!$B$11</f>
        <v/>
      </c>
      <c r="F52" s="17" t="inlineStr">
        <is>
          <t>where the market puts policy in 12–24 months</t>
        </is>
      </c>
    </row>
    <row r="53">
      <c r="A53" s="21" t="inlineStr">
        <is>
          <t>2y1y</t>
        </is>
      </c>
      <c r="B53" s="17" t="inlineStr">
        <is>
          <t>UST 2Y &amp; UST 3Y</t>
        </is>
      </c>
      <c r="C53" s="25">
        <f>IFERROR(((1+INDEX(HIST_D!$G$8:$G$2617,1)/100)^3/(1+INDEX(HIST_D!$F$8:$F$2617,1)/100)^2)^(1/1)*100-100,"")</f>
        <v/>
      </c>
      <c r="D53" s="22">
        <f>INDEX(HIST_D!$G$8:$G$2617,1)</f>
        <v/>
      </c>
      <c r="E53" s="23">
        <f>($C53-$D53)*Control!$B$11</f>
        <v/>
      </c>
      <c r="F53" s="17" t="inlineStr">
        <is>
          <t>the third year of the path — usually the trough/terminal read</t>
        </is>
      </c>
    </row>
    <row r="54">
      <c r="A54" s="21" t="inlineStr">
        <is>
          <t>1y2y</t>
        </is>
      </c>
      <c r="B54" s="17" t="inlineStr">
        <is>
          <t>UST 1Y &amp; UST 3Y</t>
        </is>
      </c>
      <c r="C54" s="25">
        <f>IFERROR(((1+INDEX(HIST_D!$G$8:$G$2617,1)/100)^3/(1+INDEX(HIST_D!$E$8:$E$2617,1)/100)^1)^(1/2)*100-100,"")</f>
        <v/>
      </c>
      <c r="D54" s="22">
        <f>INDEX(HIST_D!$G$8:$G$2617,1)</f>
        <v/>
      </c>
      <c r="E54" s="23">
        <f>($C54-$D54)*Control!$B$11</f>
        <v/>
      </c>
      <c r="F54" s="17" t="inlineStr">
        <is>
          <t>2-year rate, one year forward</t>
        </is>
      </c>
    </row>
    <row r="55">
      <c r="A55" s="21" t="inlineStr">
        <is>
          <t>2y3y</t>
        </is>
      </c>
      <c r="B55" s="17" t="inlineStr">
        <is>
          <t>UST 2Y &amp; UST 5Y</t>
        </is>
      </c>
      <c r="C55" s="25">
        <f>IFERROR(((1+INDEX(HIST_D!$H$8:$H$2617,1)/100)^5/(1+INDEX(HIST_D!$F$8:$F$2617,1)/100)^2)^(1/3)*100-100,"")</f>
        <v/>
      </c>
      <c r="D55" s="22">
        <f>INDEX(HIST_D!$H$8:$H$2617,1)</f>
        <v/>
      </c>
      <c r="E55" s="23">
        <f>($C55-$D55)*Control!$B$11</f>
        <v/>
      </c>
      <c r="F55" s="17" t="inlineStr">
        <is>
          <t>belly forward — the classic 2s5s carry trade reference</t>
        </is>
      </c>
    </row>
    <row r="56">
      <c r="A56" s="21" t="inlineStr">
        <is>
          <t>5y5y</t>
        </is>
      </c>
      <c r="B56" s="17" t="inlineStr">
        <is>
          <t>UST 5Y &amp; UST 10Y</t>
        </is>
      </c>
      <c r="C56" s="25">
        <f>IFERROR(((1+INDEX(HIST_D!$J$8:$J$2617,1)/100)^10/(1+INDEX(HIST_D!$H$8:$H$2617,1)/100)^5)^(1/5)*100-100,"")</f>
        <v/>
      </c>
      <c r="D56" s="22">
        <f>INDEX(HIST_D!$J$8:$J$2617,1)</f>
        <v/>
      </c>
      <c r="E56" s="23">
        <f>($C56-$D56)*Control!$B$11</f>
        <v/>
      </c>
      <c r="F56" s="17" t="inlineStr">
        <is>
          <t>the market's long-run nominal anchor; compare with 2.0% + term premium</t>
        </is>
      </c>
    </row>
    <row r="57">
      <c r="A57" s="21" t="inlineStr">
        <is>
          <t>10y20y</t>
        </is>
      </c>
      <c r="B57" s="17" t="inlineStr">
        <is>
          <t>UST 10Y &amp; UST 30Y</t>
        </is>
      </c>
      <c r="C57" s="25">
        <f>IFERROR(((1+INDEX(HIST_D!$L$8:$L$2617,1)/100)^30/(1+INDEX(HIST_D!$J$8:$J$2617,1)/100)^10)^(1/20)*100-100,"")</f>
        <v/>
      </c>
      <c r="D57" s="22">
        <f>INDEX(HIST_D!$L$8:$L$2617,1)</f>
        <v/>
      </c>
      <c r="E57" s="23">
        <f>($C57-$D57)*Control!$B$11</f>
        <v/>
      </c>
      <c r="F57" s="17" t="inlineStr">
        <is>
          <t>long-end forward; where duration buyers are being paid</t>
        </is>
      </c>
    </row>
    <row r="58">
      <c r="A58" s="21" t="inlineStr">
        <is>
          <t>OIS 1y1y</t>
        </is>
      </c>
      <c r="B58" s="17" t="inlineStr">
        <is>
          <t>SOFR OIS 1Y &amp; SOFR OIS 2Y</t>
        </is>
      </c>
      <c r="C58" s="25">
        <f>IFERROR(((1+INDEX(HIST_D!$N$8:$N$2617,1)/100)^2/(1+INDEX(HIST_D!$M$8:$M$2617,1)/100)^1)^(1/1)*100-100,"")</f>
        <v/>
      </c>
      <c r="D58" s="22">
        <f>INDEX(HIST_D!$N$8:$N$2617,1)</f>
        <v/>
      </c>
      <c r="E58" s="23">
        <f>($C58-$D58)*Control!$B$11</f>
        <v/>
      </c>
      <c r="F58" s="17" t="inlineStr">
        <is>
          <t>same as above without the cash-Treasury premium</t>
        </is>
      </c>
    </row>
    <row r="59">
      <c r="A59" s="21" t="inlineStr">
        <is>
          <t>OIS 5y5y</t>
        </is>
      </c>
      <c r="B59" s="17" t="inlineStr">
        <is>
          <t>SOFR OIS 5Y &amp; SOFR OIS 10Y</t>
        </is>
      </c>
      <c r="C59" s="25">
        <f>IFERROR(((1+INDEX(HIST_D!$S$8:$S$2617,1)/100)^10/(1+INDEX(HIST_D!$Q$8:$Q$2617,1)/100)^5)^(1/5)*100-100,"")</f>
        <v/>
      </c>
      <c r="D59" s="22">
        <f>INDEX(HIST_D!$S$8:$S$2617,1)</f>
        <v/>
      </c>
      <c r="E59" s="23">
        <f>($C59-$D59)*Control!$B$11</f>
        <v/>
      </c>
      <c r="F59" s="17" t="inlineStr">
        <is>
          <t>cleanest long-run policy anchor</t>
        </is>
      </c>
    </row>
    <row r="60">
      <c r="A60" s="10" t="inlineStr">
        <is>
          <t>Par-yield compounding, not a zero-coupon bootstrap. Good to ~1–2bp for monitoring; do not price off it.</t>
        </is>
      </c>
    </row>
    <row r="62" ht="18" customHeight="1">
      <c r="A62" s="3" t="inlineStr">
        <is>
          <t>CONSTRUCTION AUDIT — how the 4Y and 15Y nodes are built</t>
        </is>
      </c>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28" customHeight="1">
      <c r="A63" s="20" t="inlineStr">
        <is>
          <t>Node</t>
        </is>
      </c>
      <c r="B63" s="20" t="inlineStr">
        <is>
          <t>Linear interp of cash neighbours</t>
        </is>
      </c>
      <c r="C63" s="20" t="inlineStr">
        <is>
          <t>OIS at the tenor</t>
        </is>
      </c>
      <c r="D63" s="20" t="inlineStr">
        <is>
          <t>Linear interp of OIS neighbours</t>
        </is>
      </c>
      <c r="E63" s="20" t="inlineStr">
        <is>
          <t>Curvature adjustment (bp)</t>
        </is>
      </c>
      <c r="F63" s="20" t="inlineStr">
        <is>
          <t>Built level (%)</t>
        </is>
      </c>
      <c r="G63" s="20" t="inlineStr">
        <is>
          <t>Cross-check: OIS − built UST (bp)</t>
        </is>
      </c>
      <c r="H63" s="20" t="inlineStr"/>
      <c r="I63" s="20" t="inlineStr"/>
    </row>
    <row r="64">
      <c r="A64" s="21" t="inlineStr">
        <is>
          <t>UST 4Y</t>
        </is>
      </c>
      <c r="B64" s="25">
        <f>(INDEX(HIST_D!$G$8:$G$2617,1)+INDEX(HIST_D!$H$8:$H$2617,1))/2</f>
        <v/>
      </c>
      <c r="C64" s="22">
        <f>INDEX(HIST_D!$P$8:$P$2617,1)</f>
        <v/>
      </c>
      <c r="D64" s="25">
        <f>(INDEX(HIST_D!$O$8:$O$2617,1)+INDEX(HIST_D!$Q$8:$Q$2617,1))/2</f>
        <v/>
      </c>
      <c r="E64" s="23">
        <f>($C64-$D64)*Control!$B$11</f>
        <v/>
      </c>
      <c r="F64" s="22">
        <f>INDEX(HIST_D!$AR$8:$AR$2617,1)</f>
        <v/>
      </c>
      <c r="G64" s="23">
        <f>($C64-$F64)*Control!$B$11</f>
        <v/>
      </c>
    </row>
    <row r="65">
      <c r="A65" s="21" t="inlineStr">
        <is>
          <t>UST 15Y</t>
        </is>
      </c>
      <c r="B65" s="25">
        <f>(INDEX(HIST_D!$J$8:$J$2617,1)+INDEX(HIST_D!$K$8:$K$2617,1))/2</f>
        <v/>
      </c>
      <c r="C65" s="22">
        <f>INDEX(HIST_D!$T$8:$T$2617,1)</f>
        <v/>
      </c>
      <c r="D65" s="25">
        <f>(INDEX(HIST_D!$S$8:$S$2617,1)+INDEX(HIST_D!$U$8:$U$2617,1))/2</f>
        <v/>
      </c>
      <c r="E65" s="23">
        <f>($C65-$D65)*Control!$B$11</f>
        <v/>
      </c>
      <c r="F65" s="22">
        <f>INDEX(HIST_D!$AS$8:$AS$2617,1)</f>
        <v/>
      </c>
      <c r="G65" s="23">
        <f>($C65-$F65)*Control!$B$11</f>
        <v/>
      </c>
    </row>
    <row r="66">
      <c r="A66" s="10" t="inlineStr">
        <is>
          <t>Built level = linear interpolation of the neighbouring cash nodes PLUS the curvature the OIS curve actually shows at that tenor. A straight line would understate the belly at 4Y and overstate it at 15Y. If you would rather trade an actual bond there, use the off-the-run comparators on the Nodes tab — those are quoted securities.</t>
        </is>
      </c>
    </row>
  </sheetData>
  <conditionalFormatting sqref="N6:R18">
    <cfRule type="colorScale" priority="1">
      <colorScale>
        <cfvo type="num" val="0"/>
        <cfvo type="num" val="0.5"/>
        <cfvo type="num" val="1"/>
        <color rgb="0063BE7B"/>
        <color rgb="00FFEB84"/>
        <color rgb="00F8696B"/>
      </colorScale>
    </cfRule>
  </conditionalFormatting>
  <conditionalFormatting sqref="S6:S18">
    <cfRule type="colorScale" priority="2">
      <colorScale>
        <cfvo type="num" val="-2"/>
        <cfvo type="num" val="0"/>
        <cfvo type="num" val="2"/>
        <color rgb="0063BE7B"/>
        <color rgb="00FFFFFF"/>
        <color rgb="00F8696B"/>
      </colorScale>
    </cfRule>
  </conditionalFormatting>
  <conditionalFormatting sqref="N23:R32">
    <cfRule type="colorScale" priority="3">
      <colorScale>
        <cfvo type="num" val="0"/>
        <cfvo type="num" val="0.5"/>
        <cfvo type="num" val="1"/>
        <color rgb="0063BE7B"/>
        <color rgb="00FFEB84"/>
        <color rgb="00F8696B"/>
      </colorScale>
    </cfRule>
  </conditionalFormatting>
  <conditionalFormatting sqref="S23:S32">
    <cfRule type="colorScale" priority="4">
      <colorScale>
        <cfvo type="num" val="-2"/>
        <cfvo type="num" val="0"/>
        <cfvo type="num" val="2"/>
        <color rgb="0063BE7B"/>
        <color rgb="00FFFFFF"/>
        <color rgb="00F8696B"/>
      </colorScale>
    </cfRule>
  </conditionalFormatting>
  <conditionalFormatting sqref="N36:R39">
    <cfRule type="colorScale" priority="5">
      <colorScale>
        <cfvo type="num" val="0"/>
        <cfvo type="num" val="0.5"/>
        <cfvo type="num" val="1"/>
        <color rgb="0063BE7B"/>
        <color rgb="00FFEB84"/>
        <color rgb="00F8696B"/>
      </colorScale>
    </cfRule>
  </conditionalFormatting>
  <conditionalFormatting sqref="S36:S39">
    <cfRule type="colorScale" priority="6">
      <colorScale>
        <cfvo type="num" val="-2"/>
        <cfvo type="num" val="0"/>
        <cfvo type="num" val="2"/>
        <color rgb="0063BE7B"/>
        <color rgb="00FFFFFF"/>
        <color rgb="00F8696B"/>
      </colorScale>
    </cfRule>
  </conditionalFormatting>
  <conditionalFormatting sqref="N44:R48">
    <cfRule type="colorScale" priority="7">
      <colorScale>
        <cfvo type="num" val="0"/>
        <cfvo type="num" val="0.5"/>
        <cfvo type="num" val="1"/>
        <color rgb="0063BE7B"/>
        <color rgb="00FFEB84"/>
        <color rgb="00F8696B"/>
      </colorScale>
    </cfRule>
  </conditionalFormatting>
  <conditionalFormatting sqref="S44:S48">
    <cfRule type="colorScale" priority="8">
      <colorScale>
        <cfvo type="num" val="-2"/>
        <cfvo type="num" val="0"/>
        <cfvo type="num" val="2"/>
        <color rgb="0063BE7B"/>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3"/>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7"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4" customWidth="1" min="20" max="20"/>
    <col width="14" customWidth="1" min="21" max="21"/>
    <col width="14" customWidth="1" min="22" max="22"/>
    <col width="30" customWidth="1" min="23" max="23"/>
  </cols>
  <sheetData>
    <row r="1">
      <c r="A1" s="1" t="inlineStr">
        <is>
          <t>CURVE SHAPE — slopes, flies, swap spreads</t>
        </is>
      </c>
    </row>
    <row r="2">
      <c r="A2" s="2" t="inlineStr">
        <is>
          <t>All stored in bp on HIST_D, so the percentiles and z-scores below are percentiles of the SPREAD itself, not of its legs.</t>
        </is>
      </c>
    </row>
    <row r="4" ht="18" customHeight="1">
      <c r="A4" s="3" t="inlineStr">
        <is>
          <t>SLOPES</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28" customHeight="1">
      <c r="A5" s="20" t="inlineStr">
        <is>
          <t>Instrument</t>
        </is>
      </c>
      <c r="B5" s="20" t="inlineStr">
        <is>
          <t>Source</t>
        </is>
      </c>
      <c r="C5" s="20" t="inlineStr">
        <is>
          <t>Unit</t>
        </is>
      </c>
      <c r="D5" s="20" t="inlineStr">
        <is>
          <t>Level</t>
        </is>
      </c>
      <c r="E5" s="20" t="inlineStr">
        <is>
          <t>1D</t>
        </is>
      </c>
      <c r="F5" s="20" t="inlineStr">
        <is>
          <t>1W</t>
        </is>
      </c>
      <c r="G5" s="20" t="inlineStr">
        <is>
          <t>1M</t>
        </is>
      </c>
      <c r="H5" s="20" t="inlineStr">
        <is>
          <t>3M</t>
        </is>
      </c>
      <c r="I5" s="20" t="inlineStr">
        <is>
          <t>6M</t>
        </is>
      </c>
      <c r="J5" s="20" t="inlineStr">
        <is>
          <t>YTD</t>
        </is>
      </c>
      <c r="K5" s="20" t="inlineStr">
        <is>
          <t>1Y</t>
        </is>
      </c>
      <c r="L5" s="20" t="inlineStr">
        <is>
          <t>1y min</t>
        </is>
      </c>
      <c r="M5" s="20" t="inlineStr">
        <is>
          <t>1y max</t>
        </is>
      </c>
      <c r="N5" s="20" t="inlineStr">
        <is>
          <t>%ile 1y</t>
        </is>
      </c>
      <c r="O5" s="20" t="inlineStr">
        <is>
          <t>%ile 3y</t>
        </is>
      </c>
      <c r="P5" s="20" t="inlineStr">
        <is>
          <t>%ile 5y</t>
        </is>
      </c>
      <c r="Q5" s="20" t="inlineStr">
        <is>
          <t>%ile 10y</t>
        </is>
      </c>
      <c r="R5" s="20" t="inlineStr">
        <is>
          <t>%ile 25y</t>
        </is>
      </c>
      <c r="S5" s="20" t="inlineStr">
        <is>
          <t>z (5y)</t>
        </is>
      </c>
    </row>
    <row r="6">
      <c r="A6" s="8" t="inlineStr">
        <is>
          <t>3m10y</t>
        </is>
      </c>
      <c r="B6" s="17" t="inlineStr">
        <is>
          <t>derived on HIST_D</t>
        </is>
      </c>
      <c r="C6" s="27" t="inlineStr">
        <is>
          <t>bp</t>
        </is>
      </c>
      <c r="D6" s="26">
        <f>INDEX(HIST_D!$AT$8:$AT$2617,1)</f>
        <v/>
      </c>
      <c r="E6" s="23">
        <f>IFERROR((INDEX(HIST_D!$AT$8:$AT$2617,1)-INDEX(HIST_D!$AT$8:$AT$2617,Control!$F$6))*1,"")</f>
        <v/>
      </c>
      <c r="F6" s="23">
        <f>IFERROR((INDEX(HIST_D!$AT$8:$AT$2617,1)-INDEX(HIST_D!$AT$8:$AT$2617,Control!$F$7))*1,"")</f>
        <v/>
      </c>
      <c r="G6" s="23">
        <f>IFERROR((INDEX(HIST_D!$AT$8:$AT$2617,1)-INDEX(HIST_D!$AT$8:$AT$2617,Control!$F$8))*1,"")</f>
        <v/>
      </c>
      <c r="H6" s="23">
        <f>IFERROR((INDEX(HIST_D!$AT$8:$AT$2617,1)-INDEX(HIST_D!$AT$8:$AT$2617,Control!$F$9))*1,"")</f>
        <v/>
      </c>
      <c r="I6" s="23">
        <f>IFERROR((INDEX(HIST_D!$AT$8:$AT$2617,1)-INDEX(HIST_D!$AT$8:$AT$2617,Control!$F$10))*1,"")</f>
        <v/>
      </c>
      <c r="J6" s="23">
        <f>IFERROR((INDEX(HIST_D!$AT$8:$AT$2617,1)-INDEX(HIST_D!$AT$8:$AT$2617,Control!$F$16))*1,"")</f>
        <v/>
      </c>
      <c r="K6" s="23">
        <f>IFERROR((INDEX(HIST_D!$AT$8:$AT$2617,1)-INDEX(HIST_D!$AT$8:$AT$2617,Control!$F$11))*1,"")</f>
        <v/>
      </c>
      <c r="L6" s="40">
        <f>IFERROR(MIN(HIST_D!$AT$8:INDEX(HIST_D!$AT$8:$AT$2617,Control!$F$11)),"")</f>
        <v/>
      </c>
      <c r="M6" s="40">
        <f>IFERROR(MAX(HIST_D!$AT$8:INDEX(HIST_D!$AT$8:$AT$2617,Control!$F$11)),"")</f>
        <v/>
      </c>
      <c r="N6" s="24">
        <f>IFERROR(PERCENTRANK(HIST_D!$AT$8:INDEX(HIST_D!$AT$8:$AT$2617,Control!$F$11),INDEX(HIST_D!$AT$8:$AT$2617,1)),"")</f>
        <v/>
      </c>
      <c r="O6" s="24">
        <f>IFERROR(PERCENTRANK(HIST_D!$AT$8:INDEX(HIST_D!$AT$8:$AT$2617,Control!$F$13),INDEX(HIST_D!$AT$8:$AT$2617,1)),"")</f>
        <v/>
      </c>
      <c r="P6" s="24">
        <f>IFERROR(PERCENTRANK(HIST_D!$AT$8:INDEX(HIST_D!$AT$8:$AT$2617,Control!$F$14),INDEX(HIST_D!$AT$8:$AT$2617,1)),"")</f>
        <v/>
      </c>
      <c r="Q6" s="24">
        <f>IFERROR(PERCENTRANK(HIST_D!$AT$8:INDEX(HIST_D!$AT$8:$AT$2617,Control!$F$15),INDEX(HIST_D!$AT$8:$AT$2617,1)),"")</f>
        <v/>
      </c>
      <c r="R6" s="27" t="inlineStr"/>
      <c r="S6" s="25">
        <f>IFERROR((INDEX(HIST_D!$AT$8:$AT$2617,1)-AVERAGE(HIST_D!$AT$8:INDEX(HIST_D!$AT$8:$AT$2617,Control!$F$14)))/STDEV(HIST_D!$AT$8:INDEX(HIST_D!$AT$8:$AT$2617,Control!$F$14)),"")</f>
        <v/>
      </c>
    </row>
    <row r="7">
      <c r="A7" s="8" t="inlineStr">
        <is>
          <t>2s5s</t>
        </is>
      </c>
      <c r="B7" s="17" t="inlineStr">
        <is>
          <t>derived on HIST_D</t>
        </is>
      </c>
      <c r="C7" s="27" t="inlineStr">
        <is>
          <t>bp</t>
        </is>
      </c>
      <c r="D7" s="26">
        <f>INDEX(HIST_D!$AU$8:$AU$2617,1)</f>
        <v/>
      </c>
      <c r="E7" s="23">
        <f>IFERROR((INDEX(HIST_D!$AU$8:$AU$2617,1)-INDEX(HIST_D!$AU$8:$AU$2617,Control!$F$6))*1,"")</f>
        <v/>
      </c>
      <c r="F7" s="23">
        <f>IFERROR((INDEX(HIST_D!$AU$8:$AU$2617,1)-INDEX(HIST_D!$AU$8:$AU$2617,Control!$F$7))*1,"")</f>
        <v/>
      </c>
      <c r="G7" s="23">
        <f>IFERROR((INDEX(HIST_D!$AU$8:$AU$2617,1)-INDEX(HIST_D!$AU$8:$AU$2617,Control!$F$8))*1,"")</f>
        <v/>
      </c>
      <c r="H7" s="23">
        <f>IFERROR((INDEX(HIST_D!$AU$8:$AU$2617,1)-INDEX(HIST_D!$AU$8:$AU$2617,Control!$F$9))*1,"")</f>
        <v/>
      </c>
      <c r="I7" s="23">
        <f>IFERROR((INDEX(HIST_D!$AU$8:$AU$2617,1)-INDEX(HIST_D!$AU$8:$AU$2617,Control!$F$10))*1,"")</f>
        <v/>
      </c>
      <c r="J7" s="23">
        <f>IFERROR((INDEX(HIST_D!$AU$8:$AU$2617,1)-INDEX(HIST_D!$AU$8:$AU$2617,Control!$F$16))*1,"")</f>
        <v/>
      </c>
      <c r="K7" s="23">
        <f>IFERROR((INDEX(HIST_D!$AU$8:$AU$2617,1)-INDEX(HIST_D!$AU$8:$AU$2617,Control!$F$11))*1,"")</f>
        <v/>
      </c>
      <c r="L7" s="40">
        <f>IFERROR(MIN(HIST_D!$AU$8:INDEX(HIST_D!$AU$8:$AU$2617,Control!$F$11)),"")</f>
        <v/>
      </c>
      <c r="M7" s="40">
        <f>IFERROR(MAX(HIST_D!$AU$8:INDEX(HIST_D!$AU$8:$AU$2617,Control!$F$11)),"")</f>
        <v/>
      </c>
      <c r="N7" s="24">
        <f>IFERROR(PERCENTRANK(HIST_D!$AU$8:INDEX(HIST_D!$AU$8:$AU$2617,Control!$F$11),INDEX(HIST_D!$AU$8:$AU$2617,1)),"")</f>
        <v/>
      </c>
      <c r="O7" s="24">
        <f>IFERROR(PERCENTRANK(HIST_D!$AU$8:INDEX(HIST_D!$AU$8:$AU$2617,Control!$F$13),INDEX(HIST_D!$AU$8:$AU$2617,1)),"")</f>
        <v/>
      </c>
      <c r="P7" s="24">
        <f>IFERROR(PERCENTRANK(HIST_D!$AU$8:INDEX(HIST_D!$AU$8:$AU$2617,Control!$F$14),INDEX(HIST_D!$AU$8:$AU$2617,1)),"")</f>
        <v/>
      </c>
      <c r="Q7" s="24">
        <f>IFERROR(PERCENTRANK(HIST_D!$AU$8:INDEX(HIST_D!$AU$8:$AU$2617,Control!$F$15),INDEX(HIST_D!$AU$8:$AU$2617,1)),"")</f>
        <v/>
      </c>
      <c r="R7" s="27" t="inlineStr"/>
      <c r="S7" s="25">
        <f>IFERROR((INDEX(HIST_D!$AU$8:$AU$2617,1)-AVERAGE(HIST_D!$AU$8:INDEX(HIST_D!$AU$8:$AU$2617,Control!$F$14)))/STDEV(HIST_D!$AU$8:INDEX(HIST_D!$AU$8:$AU$2617,Control!$F$14)),"")</f>
        <v/>
      </c>
    </row>
    <row r="8">
      <c r="A8" s="21" t="inlineStr">
        <is>
          <t>2s10s</t>
        </is>
      </c>
      <c r="B8" s="17" t="inlineStr">
        <is>
          <t>derived on HIST_D</t>
        </is>
      </c>
      <c r="C8" s="27" t="inlineStr">
        <is>
          <t>bp</t>
        </is>
      </c>
      <c r="D8" s="26">
        <f>INDEX(HIST_D!$AV$8:$AV$2617,1)</f>
        <v/>
      </c>
      <c r="E8" s="23">
        <f>IFERROR((INDEX(HIST_D!$AV$8:$AV$2617,1)-INDEX(HIST_D!$AV$8:$AV$2617,Control!$F$6))*1,"")</f>
        <v/>
      </c>
      <c r="F8" s="23">
        <f>IFERROR((INDEX(HIST_D!$AV$8:$AV$2617,1)-INDEX(HIST_D!$AV$8:$AV$2617,Control!$F$7))*1,"")</f>
        <v/>
      </c>
      <c r="G8" s="23">
        <f>IFERROR((INDEX(HIST_D!$AV$8:$AV$2617,1)-INDEX(HIST_D!$AV$8:$AV$2617,Control!$F$8))*1,"")</f>
        <v/>
      </c>
      <c r="H8" s="23">
        <f>IFERROR((INDEX(HIST_D!$AV$8:$AV$2617,1)-INDEX(HIST_D!$AV$8:$AV$2617,Control!$F$9))*1,"")</f>
        <v/>
      </c>
      <c r="I8" s="23">
        <f>IFERROR((INDEX(HIST_D!$AV$8:$AV$2617,1)-INDEX(HIST_D!$AV$8:$AV$2617,Control!$F$10))*1,"")</f>
        <v/>
      </c>
      <c r="J8" s="23">
        <f>IFERROR((INDEX(HIST_D!$AV$8:$AV$2617,1)-INDEX(HIST_D!$AV$8:$AV$2617,Control!$F$16))*1,"")</f>
        <v/>
      </c>
      <c r="K8" s="23">
        <f>IFERROR((INDEX(HIST_D!$AV$8:$AV$2617,1)-INDEX(HIST_D!$AV$8:$AV$2617,Control!$F$11))*1,"")</f>
        <v/>
      </c>
      <c r="L8" s="40">
        <f>IFERROR(MIN(HIST_D!$AV$8:INDEX(HIST_D!$AV$8:$AV$2617,Control!$F$11)),"")</f>
        <v/>
      </c>
      <c r="M8" s="40">
        <f>IFERROR(MAX(HIST_D!$AV$8:INDEX(HIST_D!$AV$8:$AV$2617,Control!$F$11)),"")</f>
        <v/>
      </c>
      <c r="N8" s="24">
        <f>IFERROR(PERCENTRANK(HIST_D!$AV$8:INDEX(HIST_D!$AV$8:$AV$2617,Control!$F$11),INDEX(HIST_D!$AV$8:$AV$2617,1)),"")</f>
        <v/>
      </c>
      <c r="O8" s="24">
        <f>IFERROR(PERCENTRANK(HIST_D!$AV$8:INDEX(HIST_D!$AV$8:$AV$2617,Control!$F$13),INDEX(HIST_D!$AV$8:$AV$2617,1)),"")</f>
        <v/>
      </c>
      <c r="P8" s="24">
        <f>IFERROR(PERCENTRANK(HIST_D!$AV$8:INDEX(HIST_D!$AV$8:$AV$2617,Control!$F$14),INDEX(HIST_D!$AV$8:$AV$2617,1)),"")</f>
        <v/>
      </c>
      <c r="Q8" s="24">
        <f>IFERROR(PERCENTRANK(HIST_D!$AV$8:INDEX(HIST_D!$AV$8:$AV$2617,Control!$F$15),INDEX(HIST_D!$AV$8:$AV$2617,1)),"")</f>
        <v/>
      </c>
      <c r="R8" s="24">
        <f>IFERROR(PERCENTRANK(HIST_M!$J$8:$J$308,INDEX(HIST_D!$AV$8:$AV$2617,1)),"")</f>
        <v/>
      </c>
      <c r="S8" s="25">
        <f>IFERROR((INDEX(HIST_D!$AV$8:$AV$2617,1)-AVERAGE(HIST_D!$AV$8:INDEX(HIST_D!$AV$8:$AV$2617,Control!$F$14)))/STDEV(HIST_D!$AV$8:INDEX(HIST_D!$AV$8:$AV$2617,Control!$F$14)),"")</f>
        <v/>
      </c>
    </row>
    <row r="9">
      <c r="A9" s="8" t="inlineStr">
        <is>
          <t>2s30s</t>
        </is>
      </c>
      <c r="B9" s="17" t="inlineStr">
        <is>
          <t>derived on HIST_D</t>
        </is>
      </c>
      <c r="C9" s="27" t="inlineStr">
        <is>
          <t>bp</t>
        </is>
      </c>
      <c r="D9" s="26">
        <f>INDEX(HIST_D!$AW$8:$AW$2617,1)</f>
        <v/>
      </c>
      <c r="E9" s="23">
        <f>IFERROR((INDEX(HIST_D!$AW$8:$AW$2617,1)-INDEX(HIST_D!$AW$8:$AW$2617,Control!$F$6))*1,"")</f>
        <v/>
      </c>
      <c r="F9" s="23">
        <f>IFERROR((INDEX(HIST_D!$AW$8:$AW$2617,1)-INDEX(HIST_D!$AW$8:$AW$2617,Control!$F$7))*1,"")</f>
        <v/>
      </c>
      <c r="G9" s="23">
        <f>IFERROR((INDEX(HIST_D!$AW$8:$AW$2617,1)-INDEX(HIST_D!$AW$8:$AW$2617,Control!$F$8))*1,"")</f>
        <v/>
      </c>
      <c r="H9" s="23">
        <f>IFERROR((INDEX(HIST_D!$AW$8:$AW$2617,1)-INDEX(HIST_D!$AW$8:$AW$2617,Control!$F$9))*1,"")</f>
        <v/>
      </c>
      <c r="I9" s="23">
        <f>IFERROR((INDEX(HIST_D!$AW$8:$AW$2617,1)-INDEX(HIST_D!$AW$8:$AW$2617,Control!$F$10))*1,"")</f>
        <v/>
      </c>
      <c r="J9" s="23">
        <f>IFERROR((INDEX(HIST_D!$AW$8:$AW$2617,1)-INDEX(HIST_D!$AW$8:$AW$2617,Control!$F$16))*1,"")</f>
        <v/>
      </c>
      <c r="K9" s="23">
        <f>IFERROR((INDEX(HIST_D!$AW$8:$AW$2617,1)-INDEX(HIST_D!$AW$8:$AW$2617,Control!$F$11))*1,"")</f>
        <v/>
      </c>
      <c r="L9" s="40">
        <f>IFERROR(MIN(HIST_D!$AW$8:INDEX(HIST_D!$AW$8:$AW$2617,Control!$F$11)),"")</f>
        <v/>
      </c>
      <c r="M9" s="40">
        <f>IFERROR(MAX(HIST_D!$AW$8:INDEX(HIST_D!$AW$8:$AW$2617,Control!$F$11)),"")</f>
        <v/>
      </c>
      <c r="N9" s="24">
        <f>IFERROR(PERCENTRANK(HIST_D!$AW$8:INDEX(HIST_D!$AW$8:$AW$2617,Control!$F$11),INDEX(HIST_D!$AW$8:$AW$2617,1)),"")</f>
        <v/>
      </c>
      <c r="O9" s="24">
        <f>IFERROR(PERCENTRANK(HIST_D!$AW$8:INDEX(HIST_D!$AW$8:$AW$2617,Control!$F$13),INDEX(HIST_D!$AW$8:$AW$2617,1)),"")</f>
        <v/>
      </c>
      <c r="P9" s="24">
        <f>IFERROR(PERCENTRANK(HIST_D!$AW$8:INDEX(HIST_D!$AW$8:$AW$2617,Control!$F$14),INDEX(HIST_D!$AW$8:$AW$2617,1)),"")</f>
        <v/>
      </c>
      <c r="Q9" s="24">
        <f>IFERROR(PERCENTRANK(HIST_D!$AW$8:INDEX(HIST_D!$AW$8:$AW$2617,Control!$F$15),INDEX(HIST_D!$AW$8:$AW$2617,1)),"")</f>
        <v/>
      </c>
      <c r="R9" s="24">
        <f>IFERROR(PERCENTRANK(HIST_M!$K$8:$K$308,INDEX(HIST_D!$AW$8:$AW$2617,1)),"")</f>
        <v/>
      </c>
      <c r="S9" s="25">
        <f>IFERROR((INDEX(HIST_D!$AW$8:$AW$2617,1)-AVERAGE(HIST_D!$AW$8:INDEX(HIST_D!$AW$8:$AW$2617,Control!$F$14)))/STDEV(HIST_D!$AW$8:INDEX(HIST_D!$AW$8:$AW$2617,Control!$F$14)),"")</f>
        <v/>
      </c>
    </row>
    <row r="10">
      <c r="A10" s="8" t="inlineStr">
        <is>
          <t>5s10s</t>
        </is>
      </c>
      <c r="B10" s="17" t="inlineStr">
        <is>
          <t>derived on HIST_D</t>
        </is>
      </c>
      <c r="C10" s="27" t="inlineStr">
        <is>
          <t>bp</t>
        </is>
      </c>
      <c r="D10" s="26">
        <f>INDEX(HIST_D!$AX$8:$AX$2617,1)</f>
        <v/>
      </c>
      <c r="E10" s="23">
        <f>IFERROR((INDEX(HIST_D!$AX$8:$AX$2617,1)-INDEX(HIST_D!$AX$8:$AX$2617,Control!$F$6))*1,"")</f>
        <v/>
      </c>
      <c r="F10" s="23">
        <f>IFERROR((INDEX(HIST_D!$AX$8:$AX$2617,1)-INDEX(HIST_D!$AX$8:$AX$2617,Control!$F$7))*1,"")</f>
        <v/>
      </c>
      <c r="G10" s="23">
        <f>IFERROR((INDEX(HIST_D!$AX$8:$AX$2617,1)-INDEX(HIST_D!$AX$8:$AX$2617,Control!$F$8))*1,"")</f>
        <v/>
      </c>
      <c r="H10" s="23">
        <f>IFERROR((INDEX(HIST_D!$AX$8:$AX$2617,1)-INDEX(HIST_D!$AX$8:$AX$2617,Control!$F$9))*1,"")</f>
        <v/>
      </c>
      <c r="I10" s="23">
        <f>IFERROR((INDEX(HIST_D!$AX$8:$AX$2617,1)-INDEX(HIST_D!$AX$8:$AX$2617,Control!$F$10))*1,"")</f>
        <v/>
      </c>
      <c r="J10" s="23">
        <f>IFERROR((INDEX(HIST_D!$AX$8:$AX$2617,1)-INDEX(HIST_D!$AX$8:$AX$2617,Control!$F$16))*1,"")</f>
        <v/>
      </c>
      <c r="K10" s="23">
        <f>IFERROR((INDEX(HIST_D!$AX$8:$AX$2617,1)-INDEX(HIST_D!$AX$8:$AX$2617,Control!$F$11))*1,"")</f>
        <v/>
      </c>
      <c r="L10" s="40">
        <f>IFERROR(MIN(HIST_D!$AX$8:INDEX(HIST_D!$AX$8:$AX$2617,Control!$F$11)),"")</f>
        <v/>
      </c>
      <c r="M10" s="40">
        <f>IFERROR(MAX(HIST_D!$AX$8:INDEX(HIST_D!$AX$8:$AX$2617,Control!$F$11)),"")</f>
        <v/>
      </c>
      <c r="N10" s="24">
        <f>IFERROR(PERCENTRANK(HIST_D!$AX$8:INDEX(HIST_D!$AX$8:$AX$2617,Control!$F$11),INDEX(HIST_D!$AX$8:$AX$2617,1)),"")</f>
        <v/>
      </c>
      <c r="O10" s="24">
        <f>IFERROR(PERCENTRANK(HIST_D!$AX$8:INDEX(HIST_D!$AX$8:$AX$2617,Control!$F$13),INDEX(HIST_D!$AX$8:$AX$2617,1)),"")</f>
        <v/>
      </c>
      <c r="P10" s="24">
        <f>IFERROR(PERCENTRANK(HIST_D!$AX$8:INDEX(HIST_D!$AX$8:$AX$2617,Control!$F$14),INDEX(HIST_D!$AX$8:$AX$2617,1)),"")</f>
        <v/>
      </c>
      <c r="Q10" s="24">
        <f>IFERROR(PERCENTRANK(HIST_D!$AX$8:INDEX(HIST_D!$AX$8:$AX$2617,Control!$F$15),INDEX(HIST_D!$AX$8:$AX$2617,1)),"")</f>
        <v/>
      </c>
      <c r="R10" s="27" t="inlineStr"/>
      <c r="S10" s="25">
        <f>IFERROR((INDEX(HIST_D!$AX$8:$AX$2617,1)-AVERAGE(HIST_D!$AX$8:INDEX(HIST_D!$AX$8:$AX$2617,Control!$F$14)))/STDEV(HIST_D!$AX$8:INDEX(HIST_D!$AX$8:$AX$2617,Control!$F$14)),"")</f>
        <v/>
      </c>
    </row>
    <row r="11">
      <c r="A11" s="21" t="inlineStr">
        <is>
          <t>5s30s</t>
        </is>
      </c>
      <c r="B11" s="17" t="inlineStr">
        <is>
          <t>derived on HIST_D</t>
        </is>
      </c>
      <c r="C11" s="27" t="inlineStr">
        <is>
          <t>bp</t>
        </is>
      </c>
      <c r="D11" s="26">
        <f>INDEX(HIST_D!$AY$8:$AY$2617,1)</f>
        <v/>
      </c>
      <c r="E11" s="23">
        <f>IFERROR((INDEX(HIST_D!$AY$8:$AY$2617,1)-INDEX(HIST_D!$AY$8:$AY$2617,Control!$F$6))*1,"")</f>
        <v/>
      </c>
      <c r="F11" s="23">
        <f>IFERROR((INDEX(HIST_D!$AY$8:$AY$2617,1)-INDEX(HIST_D!$AY$8:$AY$2617,Control!$F$7))*1,"")</f>
        <v/>
      </c>
      <c r="G11" s="23">
        <f>IFERROR((INDEX(HIST_D!$AY$8:$AY$2617,1)-INDEX(HIST_D!$AY$8:$AY$2617,Control!$F$8))*1,"")</f>
        <v/>
      </c>
      <c r="H11" s="23">
        <f>IFERROR((INDEX(HIST_D!$AY$8:$AY$2617,1)-INDEX(HIST_D!$AY$8:$AY$2617,Control!$F$9))*1,"")</f>
        <v/>
      </c>
      <c r="I11" s="23">
        <f>IFERROR((INDEX(HIST_D!$AY$8:$AY$2617,1)-INDEX(HIST_D!$AY$8:$AY$2617,Control!$F$10))*1,"")</f>
        <v/>
      </c>
      <c r="J11" s="23">
        <f>IFERROR((INDEX(HIST_D!$AY$8:$AY$2617,1)-INDEX(HIST_D!$AY$8:$AY$2617,Control!$F$16))*1,"")</f>
        <v/>
      </c>
      <c r="K11" s="23">
        <f>IFERROR((INDEX(HIST_D!$AY$8:$AY$2617,1)-INDEX(HIST_D!$AY$8:$AY$2617,Control!$F$11))*1,"")</f>
        <v/>
      </c>
      <c r="L11" s="40">
        <f>IFERROR(MIN(HIST_D!$AY$8:INDEX(HIST_D!$AY$8:$AY$2617,Control!$F$11)),"")</f>
        <v/>
      </c>
      <c r="M11" s="40">
        <f>IFERROR(MAX(HIST_D!$AY$8:INDEX(HIST_D!$AY$8:$AY$2617,Control!$F$11)),"")</f>
        <v/>
      </c>
      <c r="N11" s="24">
        <f>IFERROR(PERCENTRANK(HIST_D!$AY$8:INDEX(HIST_D!$AY$8:$AY$2617,Control!$F$11),INDEX(HIST_D!$AY$8:$AY$2617,1)),"")</f>
        <v/>
      </c>
      <c r="O11" s="24">
        <f>IFERROR(PERCENTRANK(HIST_D!$AY$8:INDEX(HIST_D!$AY$8:$AY$2617,Control!$F$13),INDEX(HIST_D!$AY$8:$AY$2617,1)),"")</f>
        <v/>
      </c>
      <c r="P11" s="24">
        <f>IFERROR(PERCENTRANK(HIST_D!$AY$8:INDEX(HIST_D!$AY$8:$AY$2617,Control!$F$14),INDEX(HIST_D!$AY$8:$AY$2617,1)),"")</f>
        <v/>
      </c>
      <c r="Q11" s="24">
        <f>IFERROR(PERCENTRANK(HIST_D!$AY$8:INDEX(HIST_D!$AY$8:$AY$2617,Control!$F$15),INDEX(HIST_D!$AY$8:$AY$2617,1)),"")</f>
        <v/>
      </c>
      <c r="R11" s="24">
        <f>IFERROR(PERCENTRANK(HIST_M!$L$8:$L$308,INDEX(HIST_D!$AY$8:$AY$2617,1)),"")</f>
        <v/>
      </c>
      <c r="S11" s="25">
        <f>IFERROR((INDEX(HIST_D!$AY$8:$AY$2617,1)-AVERAGE(HIST_D!$AY$8:INDEX(HIST_D!$AY$8:$AY$2617,Control!$F$14)))/STDEV(HIST_D!$AY$8:INDEX(HIST_D!$AY$8:$AY$2617,Control!$F$14)),"")</f>
        <v/>
      </c>
    </row>
    <row r="12">
      <c r="A12" s="8" t="inlineStr">
        <is>
          <t>10s30s</t>
        </is>
      </c>
      <c r="B12" s="17" t="inlineStr">
        <is>
          <t>derived on HIST_D</t>
        </is>
      </c>
      <c r="C12" s="27" t="inlineStr">
        <is>
          <t>bp</t>
        </is>
      </c>
      <c r="D12" s="26">
        <f>INDEX(HIST_D!$AZ$8:$AZ$2617,1)</f>
        <v/>
      </c>
      <c r="E12" s="23">
        <f>IFERROR((INDEX(HIST_D!$AZ$8:$AZ$2617,1)-INDEX(HIST_D!$AZ$8:$AZ$2617,Control!$F$6))*1,"")</f>
        <v/>
      </c>
      <c r="F12" s="23">
        <f>IFERROR((INDEX(HIST_D!$AZ$8:$AZ$2617,1)-INDEX(HIST_D!$AZ$8:$AZ$2617,Control!$F$7))*1,"")</f>
        <v/>
      </c>
      <c r="G12" s="23">
        <f>IFERROR((INDEX(HIST_D!$AZ$8:$AZ$2617,1)-INDEX(HIST_D!$AZ$8:$AZ$2617,Control!$F$8))*1,"")</f>
        <v/>
      </c>
      <c r="H12" s="23">
        <f>IFERROR((INDEX(HIST_D!$AZ$8:$AZ$2617,1)-INDEX(HIST_D!$AZ$8:$AZ$2617,Control!$F$9))*1,"")</f>
        <v/>
      </c>
      <c r="I12" s="23">
        <f>IFERROR((INDEX(HIST_D!$AZ$8:$AZ$2617,1)-INDEX(HIST_D!$AZ$8:$AZ$2617,Control!$F$10))*1,"")</f>
        <v/>
      </c>
      <c r="J12" s="23">
        <f>IFERROR((INDEX(HIST_D!$AZ$8:$AZ$2617,1)-INDEX(HIST_D!$AZ$8:$AZ$2617,Control!$F$16))*1,"")</f>
        <v/>
      </c>
      <c r="K12" s="23">
        <f>IFERROR((INDEX(HIST_D!$AZ$8:$AZ$2617,1)-INDEX(HIST_D!$AZ$8:$AZ$2617,Control!$F$11))*1,"")</f>
        <v/>
      </c>
      <c r="L12" s="40">
        <f>IFERROR(MIN(HIST_D!$AZ$8:INDEX(HIST_D!$AZ$8:$AZ$2617,Control!$F$11)),"")</f>
        <v/>
      </c>
      <c r="M12" s="40">
        <f>IFERROR(MAX(HIST_D!$AZ$8:INDEX(HIST_D!$AZ$8:$AZ$2617,Control!$F$11)),"")</f>
        <v/>
      </c>
      <c r="N12" s="24">
        <f>IFERROR(PERCENTRANK(HIST_D!$AZ$8:INDEX(HIST_D!$AZ$8:$AZ$2617,Control!$F$11),INDEX(HIST_D!$AZ$8:$AZ$2617,1)),"")</f>
        <v/>
      </c>
      <c r="O12" s="24">
        <f>IFERROR(PERCENTRANK(HIST_D!$AZ$8:INDEX(HIST_D!$AZ$8:$AZ$2617,Control!$F$13),INDEX(HIST_D!$AZ$8:$AZ$2617,1)),"")</f>
        <v/>
      </c>
      <c r="P12" s="24">
        <f>IFERROR(PERCENTRANK(HIST_D!$AZ$8:INDEX(HIST_D!$AZ$8:$AZ$2617,Control!$F$14),INDEX(HIST_D!$AZ$8:$AZ$2617,1)),"")</f>
        <v/>
      </c>
      <c r="Q12" s="24">
        <f>IFERROR(PERCENTRANK(HIST_D!$AZ$8:INDEX(HIST_D!$AZ$8:$AZ$2617,Control!$F$15),INDEX(HIST_D!$AZ$8:$AZ$2617,1)),"")</f>
        <v/>
      </c>
      <c r="R12" s="24">
        <f>IFERROR(PERCENTRANK(HIST_M!$M$8:$M$308,INDEX(HIST_D!$AZ$8:$AZ$2617,1)),"")</f>
        <v/>
      </c>
      <c r="S12" s="25">
        <f>IFERROR((INDEX(HIST_D!$AZ$8:$AZ$2617,1)-AVERAGE(HIST_D!$AZ$8:INDEX(HIST_D!$AZ$8:$AZ$2617,Control!$F$14)))/STDEV(HIST_D!$AZ$8:INDEX(HIST_D!$AZ$8:$AZ$2617,Control!$F$14)),"")</f>
        <v/>
      </c>
    </row>
    <row r="14" ht="18" customHeight="1">
      <c r="A14" s="3" t="inlineStr">
        <is>
          <t>BUTTERFLIES  (2 × belly − wings; positive = belly cheap)</t>
        </is>
      </c>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8" customHeight="1">
      <c r="A15" s="20" t="inlineStr">
        <is>
          <t>Instrument</t>
        </is>
      </c>
      <c r="B15" s="20" t="inlineStr">
        <is>
          <t>Source</t>
        </is>
      </c>
      <c r="C15" s="20" t="inlineStr">
        <is>
          <t>Unit</t>
        </is>
      </c>
      <c r="D15" s="20" t="inlineStr">
        <is>
          <t>Level</t>
        </is>
      </c>
      <c r="E15" s="20" t="inlineStr">
        <is>
          <t>1D</t>
        </is>
      </c>
      <c r="F15" s="20" t="inlineStr">
        <is>
          <t>1W</t>
        </is>
      </c>
      <c r="G15" s="20" t="inlineStr">
        <is>
          <t>1M</t>
        </is>
      </c>
      <c r="H15" s="20" t="inlineStr">
        <is>
          <t>3M</t>
        </is>
      </c>
      <c r="I15" s="20" t="inlineStr">
        <is>
          <t>6M</t>
        </is>
      </c>
      <c r="J15" s="20" t="inlineStr">
        <is>
          <t>YTD</t>
        </is>
      </c>
      <c r="K15" s="20" t="inlineStr">
        <is>
          <t>1Y</t>
        </is>
      </c>
      <c r="L15" s="20" t="inlineStr">
        <is>
          <t>1y min</t>
        </is>
      </c>
      <c r="M15" s="20" t="inlineStr">
        <is>
          <t>1y max</t>
        </is>
      </c>
      <c r="N15" s="20" t="inlineStr">
        <is>
          <t>%ile 1y</t>
        </is>
      </c>
      <c r="O15" s="20" t="inlineStr">
        <is>
          <t>%ile 3y</t>
        </is>
      </c>
      <c r="P15" s="20" t="inlineStr">
        <is>
          <t>%ile 5y</t>
        </is>
      </c>
      <c r="Q15" s="20" t="inlineStr">
        <is>
          <t>%ile 10y</t>
        </is>
      </c>
      <c r="R15" s="20" t="inlineStr">
        <is>
          <t>%ile 25y</t>
        </is>
      </c>
      <c r="S15" s="20" t="inlineStr">
        <is>
          <t>z (5y)</t>
        </is>
      </c>
    </row>
    <row r="16">
      <c r="A16" s="8" t="inlineStr">
        <is>
          <t>2s5s10s</t>
        </is>
      </c>
      <c r="B16" s="17" t="inlineStr">
        <is>
          <t>derived on HIST_D</t>
        </is>
      </c>
      <c r="C16" s="27" t="inlineStr">
        <is>
          <t>bp</t>
        </is>
      </c>
      <c r="D16" s="26">
        <f>INDEX(HIST_D!$BA$8:$BA$2617,1)</f>
        <v/>
      </c>
      <c r="E16" s="23">
        <f>IFERROR((INDEX(HIST_D!$BA$8:$BA$2617,1)-INDEX(HIST_D!$BA$8:$BA$2617,Control!$F$6))*1,"")</f>
        <v/>
      </c>
      <c r="F16" s="23">
        <f>IFERROR((INDEX(HIST_D!$BA$8:$BA$2617,1)-INDEX(HIST_D!$BA$8:$BA$2617,Control!$F$7))*1,"")</f>
        <v/>
      </c>
      <c r="G16" s="23">
        <f>IFERROR((INDEX(HIST_D!$BA$8:$BA$2617,1)-INDEX(HIST_D!$BA$8:$BA$2617,Control!$F$8))*1,"")</f>
        <v/>
      </c>
      <c r="H16" s="23">
        <f>IFERROR((INDEX(HIST_D!$BA$8:$BA$2617,1)-INDEX(HIST_D!$BA$8:$BA$2617,Control!$F$9))*1,"")</f>
        <v/>
      </c>
      <c r="I16" s="23">
        <f>IFERROR((INDEX(HIST_D!$BA$8:$BA$2617,1)-INDEX(HIST_D!$BA$8:$BA$2617,Control!$F$10))*1,"")</f>
        <v/>
      </c>
      <c r="J16" s="23">
        <f>IFERROR((INDEX(HIST_D!$BA$8:$BA$2617,1)-INDEX(HIST_D!$BA$8:$BA$2617,Control!$F$16))*1,"")</f>
        <v/>
      </c>
      <c r="K16" s="23">
        <f>IFERROR((INDEX(HIST_D!$BA$8:$BA$2617,1)-INDEX(HIST_D!$BA$8:$BA$2617,Control!$F$11))*1,"")</f>
        <v/>
      </c>
      <c r="L16" s="40">
        <f>IFERROR(MIN(HIST_D!$BA$8:INDEX(HIST_D!$BA$8:$BA$2617,Control!$F$11)),"")</f>
        <v/>
      </c>
      <c r="M16" s="40">
        <f>IFERROR(MAX(HIST_D!$BA$8:INDEX(HIST_D!$BA$8:$BA$2617,Control!$F$11)),"")</f>
        <v/>
      </c>
      <c r="N16" s="24">
        <f>IFERROR(PERCENTRANK(HIST_D!$BA$8:INDEX(HIST_D!$BA$8:$BA$2617,Control!$F$11),INDEX(HIST_D!$BA$8:$BA$2617,1)),"")</f>
        <v/>
      </c>
      <c r="O16" s="24">
        <f>IFERROR(PERCENTRANK(HIST_D!$BA$8:INDEX(HIST_D!$BA$8:$BA$2617,Control!$F$13),INDEX(HIST_D!$BA$8:$BA$2617,1)),"")</f>
        <v/>
      </c>
      <c r="P16" s="24">
        <f>IFERROR(PERCENTRANK(HIST_D!$BA$8:INDEX(HIST_D!$BA$8:$BA$2617,Control!$F$14),INDEX(HIST_D!$BA$8:$BA$2617,1)),"")</f>
        <v/>
      </c>
      <c r="Q16" s="24">
        <f>IFERROR(PERCENTRANK(HIST_D!$BA$8:INDEX(HIST_D!$BA$8:$BA$2617,Control!$F$15),INDEX(HIST_D!$BA$8:$BA$2617,1)),"")</f>
        <v/>
      </c>
      <c r="R16" s="27" t="inlineStr"/>
      <c r="S16" s="25">
        <f>IFERROR((INDEX(HIST_D!$BA$8:$BA$2617,1)-AVERAGE(HIST_D!$BA$8:INDEX(HIST_D!$BA$8:$BA$2617,Control!$F$14)))/STDEV(HIST_D!$BA$8:INDEX(HIST_D!$BA$8:$BA$2617,Control!$F$14)),"")</f>
        <v/>
      </c>
    </row>
    <row r="17">
      <c r="A17" s="8" t="inlineStr">
        <is>
          <t>5s10s30s</t>
        </is>
      </c>
      <c r="B17" s="17" t="inlineStr">
        <is>
          <t>derived on HIST_D</t>
        </is>
      </c>
      <c r="C17" s="27" t="inlineStr">
        <is>
          <t>bp</t>
        </is>
      </c>
      <c r="D17" s="26">
        <f>INDEX(HIST_D!$BB$8:$BB$2617,1)</f>
        <v/>
      </c>
      <c r="E17" s="23">
        <f>IFERROR((INDEX(HIST_D!$BB$8:$BB$2617,1)-INDEX(HIST_D!$BB$8:$BB$2617,Control!$F$6))*1,"")</f>
        <v/>
      </c>
      <c r="F17" s="23">
        <f>IFERROR((INDEX(HIST_D!$BB$8:$BB$2617,1)-INDEX(HIST_D!$BB$8:$BB$2617,Control!$F$7))*1,"")</f>
        <v/>
      </c>
      <c r="G17" s="23">
        <f>IFERROR((INDEX(HIST_D!$BB$8:$BB$2617,1)-INDEX(HIST_D!$BB$8:$BB$2617,Control!$F$8))*1,"")</f>
        <v/>
      </c>
      <c r="H17" s="23">
        <f>IFERROR((INDEX(HIST_D!$BB$8:$BB$2617,1)-INDEX(HIST_D!$BB$8:$BB$2617,Control!$F$9))*1,"")</f>
        <v/>
      </c>
      <c r="I17" s="23">
        <f>IFERROR((INDEX(HIST_D!$BB$8:$BB$2617,1)-INDEX(HIST_D!$BB$8:$BB$2617,Control!$F$10))*1,"")</f>
        <v/>
      </c>
      <c r="J17" s="23">
        <f>IFERROR((INDEX(HIST_D!$BB$8:$BB$2617,1)-INDEX(HIST_D!$BB$8:$BB$2617,Control!$F$16))*1,"")</f>
        <v/>
      </c>
      <c r="K17" s="23">
        <f>IFERROR((INDEX(HIST_D!$BB$8:$BB$2617,1)-INDEX(HIST_D!$BB$8:$BB$2617,Control!$F$11))*1,"")</f>
        <v/>
      </c>
      <c r="L17" s="40">
        <f>IFERROR(MIN(HIST_D!$BB$8:INDEX(HIST_D!$BB$8:$BB$2617,Control!$F$11)),"")</f>
        <v/>
      </c>
      <c r="M17" s="40">
        <f>IFERROR(MAX(HIST_D!$BB$8:INDEX(HIST_D!$BB$8:$BB$2617,Control!$F$11)),"")</f>
        <v/>
      </c>
      <c r="N17" s="24">
        <f>IFERROR(PERCENTRANK(HIST_D!$BB$8:INDEX(HIST_D!$BB$8:$BB$2617,Control!$F$11),INDEX(HIST_D!$BB$8:$BB$2617,1)),"")</f>
        <v/>
      </c>
      <c r="O17" s="24">
        <f>IFERROR(PERCENTRANK(HIST_D!$BB$8:INDEX(HIST_D!$BB$8:$BB$2617,Control!$F$13),INDEX(HIST_D!$BB$8:$BB$2617,1)),"")</f>
        <v/>
      </c>
      <c r="P17" s="24">
        <f>IFERROR(PERCENTRANK(HIST_D!$BB$8:INDEX(HIST_D!$BB$8:$BB$2617,Control!$F$14),INDEX(HIST_D!$BB$8:$BB$2617,1)),"")</f>
        <v/>
      </c>
      <c r="Q17" s="24">
        <f>IFERROR(PERCENTRANK(HIST_D!$BB$8:INDEX(HIST_D!$BB$8:$BB$2617,Control!$F$15),INDEX(HIST_D!$BB$8:$BB$2617,1)),"")</f>
        <v/>
      </c>
      <c r="R17" s="27" t="inlineStr"/>
      <c r="S17" s="25">
        <f>IFERROR((INDEX(HIST_D!$BB$8:$BB$2617,1)-AVERAGE(HIST_D!$BB$8:INDEX(HIST_D!$BB$8:$BB$2617,Control!$F$14)))/STDEV(HIST_D!$BB$8:INDEX(HIST_D!$BB$8:$BB$2617,Control!$F$14)),"")</f>
        <v/>
      </c>
    </row>
    <row r="19" ht="18" customHeight="1">
      <c r="A19" s="3" t="inlineStr">
        <is>
          <t>SWAP SPREADS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28" customHeight="1">
      <c r="A20" s="20" t="inlineStr">
        <is>
          <t>Instrument</t>
        </is>
      </c>
      <c r="B20" s="20" t="inlineStr">
        <is>
          <t>Source</t>
        </is>
      </c>
      <c r="C20" s="20" t="inlineStr">
        <is>
          <t>Unit</t>
        </is>
      </c>
      <c r="D20" s="20" t="inlineStr">
        <is>
          <t>Level</t>
        </is>
      </c>
      <c r="E20" s="20" t="inlineStr">
        <is>
          <t>1D</t>
        </is>
      </c>
      <c r="F20" s="20" t="inlineStr">
        <is>
          <t>1W</t>
        </is>
      </c>
      <c r="G20" s="20" t="inlineStr">
        <is>
          <t>1M</t>
        </is>
      </c>
      <c r="H20" s="20" t="inlineStr">
        <is>
          <t>3M</t>
        </is>
      </c>
      <c r="I20" s="20" t="inlineStr">
        <is>
          <t>6M</t>
        </is>
      </c>
      <c r="J20" s="20" t="inlineStr">
        <is>
          <t>YTD</t>
        </is>
      </c>
      <c r="K20" s="20" t="inlineStr">
        <is>
          <t>1Y</t>
        </is>
      </c>
      <c r="L20" s="20" t="inlineStr">
        <is>
          <t>1y min</t>
        </is>
      </c>
      <c r="M20" s="20" t="inlineStr">
        <is>
          <t>1y max</t>
        </is>
      </c>
      <c r="N20" s="20" t="inlineStr">
        <is>
          <t>%ile 1y</t>
        </is>
      </c>
      <c r="O20" s="20" t="inlineStr">
        <is>
          <t>%ile 3y</t>
        </is>
      </c>
      <c r="P20" s="20" t="inlineStr">
        <is>
          <t>%ile 5y</t>
        </is>
      </c>
      <c r="Q20" s="20" t="inlineStr">
        <is>
          <t>%ile 10y</t>
        </is>
      </c>
      <c r="R20" s="20" t="inlineStr">
        <is>
          <t>%ile 25y</t>
        </is>
      </c>
      <c r="S20" s="20" t="inlineStr">
        <is>
          <t>z (5y)</t>
        </is>
      </c>
    </row>
    <row r="21">
      <c r="A21" s="8" t="inlineStr">
        <is>
          <t>Swap spread 2Y</t>
        </is>
      </c>
      <c r="B21" s="17" t="inlineStr">
        <is>
          <t>derived on HIST_D</t>
        </is>
      </c>
      <c r="C21" s="27" t="inlineStr">
        <is>
          <t>bp</t>
        </is>
      </c>
      <c r="D21" s="26">
        <f>INDEX(HIST_D!$BC$8:$BC$2617,1)</f>
        <v/>
      </c>
      <c r="E21" s="23">
        <f>IFERROR((INDEX(HIST_D!$BC$8:$BC$2617,1)-INDEX(HIST_D!$BC$8:$BC$2617,Control!$F$6))*1,"")</f>
        <v/>
      </c>
      <c r="F21" s="23">
        <f>IFERROR((INDEX(HIST_D!$BC$8:$BC$2617,1)-INDEX(HIST_D!$BC$8:$BC$2617,Control!$F$7))*1,"")</f>
        <v/>
      </c>
      <c r="G21" s="23">
        <f>IFERROR((INDEX(HIST_D!$BC$8:$BC$2617,1)-INDEX(HIST_D!$BC$8:$BC$2617,Control!$F$8))*1,"")</f>
        <v/>
      </c>
      <c r="H21" s="23">
        <f>IFERROR((INDEX(HIST_D!$BC$8:$BC$2617,1)-INDEX(HIST_D!$BC$8:$BC$2617,Control!$F$9))*1,"")</f>
        <v/>
      </c>
      <c r="I21" s="23">
        <f>IFERROR((INDEX(HIST_D!$BC$8:$BC$2617,1)-INDEX(HIST_D!$BC$8:$BC$2617,Control!$F$10))*1,"")</f>
        <v/>
      </c>
      <c r="J21" s="23">
        <f>IFERROR((INDEX(HIST_D!$BC$8:$BC$2617,1)-INDEX(HIST_D!$BC$8:$BC$2617,Control!$F$16))*1,"")</f>
        <v/>
      </c>
      <c r="K21" s="23">
        <f>IFERROR((INDEX(HIST_D!$BC$8:$BC$2617,1)-INDEX(HIST_D!$BC$8:$BC$2617,Control!$F$11))*1,"")</f>
        <v/>
      </c>
      <c r="L21" s="40">
        <f>IFERROR(MIN(HIST_D!$BC$8:INDEX(HIST_D!$BC$8:$BC$2617,Control!$F$11)),"")</f>
        <v/>
      </c>
      <c r="M21" s="40">
        <f>IFERROR(MAX(HIST_D!$BC$8:INDEX(HIST_D!$BC$8:$BC$2617,Control!$F$11)),"")</f>
        <v/>
      </c>
      <c r="N21" s="24">
        <f>IFERROR(PERCENTRANK(HIST_D!$BC$8:INDEX(HIST_D!$BC$8:$BC$2617,Control!$F$11),INDEX(HIST_D!$BC$8:$BC$2617,1)),"")</f>
        <v/>
      </c>
      <c r="O21" s="24">
        <f>IFERROR(PERCENTRANK(HIST_D!$BC$8:INDEX(HIST_D!$BC$8:$BC$2617,Control!$F$13),INDEX(HIST_D!$BC$8:$BC$2617,1)),"")</f>
        <v/>
      </c>
      <c r="P21" s="24">
        <f>IFERROR(PERCENTRANK(HIST_D!$BC$8:INDEX(HIST_D!$BC$8:$BC$2617,Control!$F$14),INDEX(HIST_D!$BC$8:$BC$2617,1)),"")</f>
        <v/>
      </c>
      <c r="Q21" s="24">
        <f>IFERROR(PERCENTRANK(HIST_D!$BC$8:INDEX(HIST_D!$BC$8:$BC$2617,Control!$F$15),INDEX(HIST_D!$BC$8:$BC$2617,1)),"")</f>
        <v/>
      </c>
      <c r="R21" s="27" t="inlineStr"/>
      <c r="S21" s="25">
        <f>IFERROR((INDEX(HIST_D!$BC$8:$BC$2617,1)-AVERAGE(HIST_D!$BC$8:INDEX(HIST_D!$BC$8:$BC$2617,Control!$F$14)))/STDEV(HIST_D!$BC$8:INDEX(HIST_D!$BC$8:$BC$2617,Control!$F$14)),"")</f>
        <v/>
      </c>
    </row>
    <row r="22">
      <c r="A22" s="8" t="inlineStr">
        <is>
          <t>Swap spread 5Y</t>
        </is>
      </c>
      <c r="B22" s="17" t="inlineStr">
        <is>
          <t>derived on HIST_D</t>
        </is>
      </c>
      <c r="C22" s="27" t="inlineStr">
        <is>
          <t>bp</t>
        </is>
      </c>
      <c r="D22" s="26">
        <f>INDEX(HIST_D!$BD$8:$BD$2617,1)</f>
        <v/>
      </c>
      <c r="E22" s="23">
        <f>IFERROR((INDEX(HIST_D!$BD$8:$BD$2617,1)-INDEX(HIST_D!$BD$8:$BD$2617,Control!$F$6))*1,"")</f>
        <v/>
      </c>
      <c r="F22" s="23">
        <f>IFERROR((INDEX(HIST_D!$BD$8:$BD$2617,1)-INDEX(HIST_D!$BD$8:$BD$2617,Control!$F$7))*1,"")</f>
        <v/>
      </c>
      <c r="G22" s="23">
        <f>IFERROR((INDEX(HIST_D!$BD$8:$BD$2617,1)-INDEX(HIST_D!$BD$8:$BD$2617,Control!$F$8))*1,"")</f>
        <v/>
      </c>
      <c r="H22" s="23">
        <f>IFERROR((INDEX(HIST_D!$BD$8:$BD$2617,1)-INDEX(HIST_D!$BD$8:$BD$2617,Control!$F$9))*1,"")</f>
        <v/>
      </c>
      <c r="I22" s="23">
        <f>IFERROR((INDEX(HIST_D!$BD$8:$BD$2617,1)-INDEX(HIST_D!$BD$8:$BD$2617,Control!$F$10))*1,"")</f>
        <v/>
      </c>
      <c r="J22" s="23">
        <f>IFERROR((INDEX(HIST_D!$BD$8:$BD$2617,1)-INDEX(HIST_D!$BD$8:$BD$2617,Control!$F$16))*1,"")</f>
        <v/>
      </c>
      <c r="K22" s="23">
        <f>IFERROR((INDEX(HIST_D!$BD$8:$BD$2617,1)-INDEX(HIST_D!$BD$8:$BD$2617,Control!$F$11))*1,"")</f>
        <v/>
      </c>
      <c r="L22" s="40">
        <f>IFERROR(MIN(HIST_D!$BD$8:INDEX(HIST_D!$BD$8:$BD$2617,Control!$F$11)),"")</f>
        <v/>
      </c>
      <c r="M22" s="40">
        <f>IFERROR(MAX(HIST_D!$BD$8:INDEX(HIST_D!$BD$8:$BD$2617,Control!$F$11)),"")</f>
        <v/>
      </c>
      <c r="N22" s="24">
        <f>IFERROR(PERCENTRANK(HIST_D!$BD$8:INDEX(HIST_D!$BD$8:$BD$2617,Control!$F$11),INDEX(HIST_D!$BD$8:$BD$2617,1)),"")</f>
        <v/>
      </c>
      <c r="O22" s="24">
        <f>IFERROR(PERCENTRANK(HIST_D!$BD$8:INDEX(HIST_D!$BD$8:$BD$2617,Control!$F$13),INDEX(HIST_D!$BD$8:$BD$2617,1)),"")</f>
        <v/>
      </c>
      <c r="P22" s="24">
        <f>IFERROR(PERCENTRANK(HIST_D!$BD$8:INDEX(HIST_D!$BD$8:$BD$2617,Control!$F$14),INDEX(HIST_D!$BD$8:$BD$2617,1)),"")</f>
        <v/>
      </c>
      <c r="Q22" s="24">
        <f>IFERROR(PERCENTRANK(HIST_D!$BD$8:INDEX(HIST_D!$BD$8:$BD$2617,Control!$F$15),INDEX(HIST_D!$BD$8:$BD$2617,1)),"")</f>
        <v/>
      </c>
      <c r="R22" s="27" t="inlineStr"/>
      <c r="S22" s="25">
        <f>IFERROR((INDEX(HIST_D!$BD$8:$BD$2617,1)-AVERAGE(HIST_D!$BD$8:INDEX(HIST_D!$BD$8:$BD$2617,Control!$F$14)))/STDEV(HIST_D!$BD$8:INDEX(HIST_D!$BD$8:$BD$2617,Control!$F$14)),"")</f>
        <v/>
      </c>
    </row>
    <row r="23">
      <c r="A23" s="8" t="inlineStr">
        <is>
          <t>Swap spread 10Y</t>
        </is>
      </c>
      <c r="B23" s="17" t="inlineStr">
        <is>
          <t>derived on HIST_D</t>
        </is>
      </c>
      <c r="C23" s="27" t="inlineStr">
        <is>
          <t>bp</t>
        </is>
      </c>
      <c r="D23" s="26">
        <f>INDEX(HIST_D!$BE$8:$BE$2617,1)</f>
        <v/>
      </c>
      <c r="E23" s="23">
        <f>IFERROR((INDEX(HIST_D!$BE$8:$BE$2617,1)-INDEX(HIST_D!$BE$8:$BE$2617,Control!$F$6))*1,"")</f>
        <v/>
      </c>
      <c r="F23" s="23">
        <f>IFERROR((INDEX(HIST_D!$BE$8:$BE$2617,1)-INDEX(HIST_D!$BE$8:$BE$2617,Control!$F$7))*1,"")</f>
        <v/>
      </c>
      <c r="G23" s="23">
        <f>IFERROR((INDEX(HIST_D!$BE$8:$BE$2617,1)-INDEX(HIST_D!$BE$8:$BE$2617,Control!$F$8))*1,"")</f>
        <v/>
      </c>
      <c r="H23" s="23">
        <f>IFERROR((INDEX(HIST_D!$BE$8:$BE$2617,1)-INDEX(HIST_D!$BE$8:$BE$2617,Control!$F$9))*1,"")</f>
        <v/>
      </c>
      <c r="I23" s="23">
        <f>IFERROR((INDEX(HIST_D!$BE$8:$BE$2617,1)-INDEX(HIST_D!$BE$8:$BE$2617,Control!$F$10))*1,"")</f>
        <v/>
      </c>
      <c r="J23" s="23">
        <f>IFERROR((INDEX(HIST_D!$BE$8:$BE$2617,1)-INDEX(HIST_D!$BE$8:$BE$2617,Control!$F$16))*1,"")</f>
        <v/>
      </c>
      <c r="K23" s="23">
        <f>IFERROR((INDEX(HIST_D!$BE$8:$BE$2617,1)-INDEX(HIST_D!$BE$8:$BE$2617,Control!$F$11))*1,"")</f>
        <v/>
      </c>
      <c r="L23" s="40">
        <f>IFERROR(MIN(HIST_D!$BE$8:INDEX(HIST_D!$BE$8:$BE$2617,Control!$F$11)),"")</f>
        <v/>
      </c>
      <c r="M23" s="40">
        <f>IFERROR(MAX(HIST_D!$BE$8:INDEX(HIST_D!$BE$8:$BE$2617,Control!$F$11)),"")</f>
        <v/>
      </c>
      <c r="N23" s="24">
        <f>IFERROR(PERCENTRANK(HIST_D!$BE$8:INDEX(HIST_D!$BE$8:$BE$2617,Control!$F$11),INDEX(HIST_D!$BE$8:$BE$2617,1)),"")</f>
        <v/>
      </c>
      <c r="O23" s="24">
        <f>IFERROR(PERCENTRANK(HIST_D!$BE$8:INDEX(HIST_D!$BE$8:$BE$2617,Control!$F$13),INDEX(HIST_D!$BE$8:$BE$2617,1)),"")</f>
        <v/>
      </c>
      <c r="P23" s="24">
        <f>IFERROR(PERCENTRANK(HIST_D!$BE$8:INDEX(HIST_D!$BE$8:$BE$2617,Control!$F$14),INDEX(HIST_D!$BE$8:$BE$2617,1)),"")</f>
        <v/>
      </c>
      <c r="Q23" s="24">
        <f>IFERROR(PERCENTRANK(HIST_D!$BE$8:INDEX(HIST_D!$BE$8:$BE$2617,Control!$F$15),INDEX(HIST_D!$BE$8:$BE$2617,1)),"")</f>
        <v/>
      </c>
      <c r="R23" s="27" t="inlineStr"/>
      <c r="S23" s="25">
        <f>IFERROR((INDEX(HIST_D!$BE$8:$BE$2617,1)-AVERAGE(HIST_D!$BE$8:INDEX(HIST_D!$BE$8:$BE$2617,Control!$F$14)))/STDEV(HIST_D!$BE$8:INDEX(HIST_D!$BE$8:$BE$2617,Control!$F$14)),"")</f>
        <v/>
      </c>
    </row>
    <row r="24">
      <c r="A24" s="8" t="inlineStr">
        <is>
          <t>Swap spread 30Y</t>
        </is>
      </c>
      <c r="B24" s="17" t="inlineStr">
        <is>
          <t>derived on HIST_D</t>
        </is>
      </c>
      <c r="C24" s="27" t="inlineStr">
        <is>
          <t>bp</t>
        </is>
      </c>
      <c r="D24" s="26">
        <f>INDEX(HIST_D!$BF$8:$BF$2617,1)</f>
        <v/>
      </c>
      <c r="E24" s="23">
        <f>IFERROR((INDEX(HIST_D!$BF$8:$BF$2617,1)-INDEX(HIST_D!$BF$8:$BF$2617,Control!$F$6))*1,"")</f>
        <v/>
      </c>
      <c r="F24" s="23">
        <f>IFERROR((INDEX(HIST_D!$BF$8:$BF$2617,1)-INDEX(HIST_D!$BF$8:$BF$2617,Control!$F$7))*1,"")</f>
        <v/>
      </c>
      <c r="G24" s="23">
        <f>IFERROR((INDEX(HIST_D!$BF$8:$BF$2617,1)-INDEX(HIST_D!$BF$8:$BF$2617,Control!$F$8))*1,"")</f>
        <v/>
      </c>
      <c r="H24" s="23">
        <f>IFERROR((INDEX(HIST_D!$BF$8:$BF$2617,1)-INDEX(HIST_D!$BF$8:$BF$2617,Control!$F$9))*1,"")</f>
        <v/>
      </c>
      <c r="I24" s="23">
        <f>IFERROR((INDEX(HIST_D!$BF$8:$BF$2617,1)-INDEX(HIST_D!$BF$8:$BF$2617,Control!$F$10))*1,"")</f>
        <v/>
      </c>
      <c r="J24" s="23">
        <f>IFERROR((INDEX(HIST_D!$BF$8:$BF$2617,1)-INDEX(HIST_D!$BF$8:$BF$2617,Control!$F$16))*1,"")</f>
        <v/>
      </c>
      <c r="K24" s="23">
        <f>IFERROR((INDEX(HIST_D!$BF$8:$BF$2617,1)-INDEX(HIST_D!$BF$8:$BF$2617,Control!$F$11))*1,"")</f>
        <v/>
      </c>
      <c r="L24" s="40">
        <f>IFERROR(MIN(HIST_D!$BF$8:INDEX(HIST_D!$BF$8:$BF$2617,Control!$F$11)),"")</f>
        <v/>
      </c>
      <c r="M24" s="40">
        <f>IFERROR(MAX(HIST_D!$BF$8:INDEX(HIST_D!$BF$8:$BF$2617,Control!$F$11)),"")</f>
        <v/>
      </c>
      <c r="N24" s="24">
        <f>IFERROR(PERCENTRANK(HIST_D!$BF$8:INDEX(HIST_D!$BF$8:$BF$2617,Control!$F$11),INDEX(HIST_D!$BF$8:$BF$2617,1)),"")</f>
        <v/>
      </c>
      <c r="O24" s="24">
        <f>IFERROR(PERCENTRANK(HIST_D!$BF$8:INDEX(HIST_D!$BF$8:$BF$2617,Control!$F$13),INDEX(HIST_D!$BF$8:$BF$2617,1)),"")</f>
        <v/>
      </c>
      <c r="P24" s="24">
        <f>IFERROR(PERCENTRANK(HIST_D!$BF$8:INDEX(HIST_D!$BF$8:$BF$2617,Control!$F$14),INDEX(HIST_D!$BF$8:$BF$2617,1)),"")</f>
        <v/>
      </c>
      <c r="Q24" s="24">
        <f>IFERROR(PERCENTRANK(HIST_D!$BF$8:INDEX(HIST_D!$BF$8:$BF$2617,Control!$F$15),INDEX(HIST_D!$BF$8:$BF$2617,1)),"")</f>
        <v/>
      </c>
      <c r="R24" s="27" t="inlineStr"/>
      <c r="S24" s="25">
        <f>IFERROR((INDEX(HIST_D!$BF$8:$BF$2617,1)-AVERAGE(HIST_D!$BF$8:INDEX(HIST_D!$BF$8:$BF$2617,Control!$F$14)))/STDEV(HIST_D!$BF$8:INDEX(HIST_D!$BF$8:$BF$2617,Control!$F$14)),"")</f>
        <v/>
      </c>
    </row>
    <row r="27" ht="18" customHeight="1">
      <c r="A27" s="3" t="inlineStr">
        <is>
          <t>CURVE REGIME — what kind of move was it?</t>
        </is>
      </c>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8" customHeight="1">
      <c r="A28" s="20" t="inlineStr">
        <is>
          <t>Window</t>
        </is>
      </c>
      <c r="B28" s="20" t="inlineStr">
        <is>
          <t>Δ 10Y (bp)</t>
        </is>
      </c>
      <c r="C28" s="20" t="inlineStr">
        <is>
          <t>Δ 2s10s (bp)</t>
        </is>
      </c>
      <c r="D28" s="20" t="inlineStr">
        <is>
          <t>Regime</t>
        </is>
      </c>
      <c r="E28" s="20" t="inlineStr">
        <is>
          <t>What it usually means for EM USD</t>
        </is>
      </c>
      <c r="F28" s="20" t="inlineStr"/>
      <c r="G28" s="20" t="inlineStr"/>
      <c r="H28" s="20" t="inlineStr"/>
      <c r="I28" s="20" t="inlineStr"/>
    </row>
    <row r="29">
      <c r="A29" s="30" t="inlineStr">
        <is>
          <t>1W</t>
        </is>
      </c>
      <c r="B29" s="23">
        <f>(INDEX(HIST_D!$J$8:$J$2617,1)-INDEX(HIST_D!$J$8:$J$2617,Control!$F$7))*Control!$B$11</f>
        <v/>
      </c>
      <c r="C29" s="23">
        <f>INDEX(HIST_D!$AV$8:$AV$2617,1)-INDEX(HIST_D!$AV$8:$AV$2617,Control!$F$7)</f>
        <v/>
      </c>
      <c r="D29" s="30">
        <f>IF($B29&lt;0,IF($C29&gt;0,"Bull steepening","Bull flattening"),IF($C29&gt;0,"Bear steepening","Bear flattening"))</f>
        <v/>
      </c>
      <c r="E29" s="17">
        <f>IF($B29&lt;0,IF($C29&gt;0,"Front-end rallying on cuts. Historically the best EM USD backdrop: duration works and spreads usually follow.","Growth scare pricing. Duration helps, spreads normally widen; net EM return depends on beta, check the EM_Link tab."),IF($C29&gt;0,"Term premium / supply-led. The Treasury leg stops being ballast — this is the regime that hurts EM total returns most.","Hawkish repricing. Carry survives, duration hurts; short-dated EM outperforms."))</f>
        <v/>
      </c>
      <c r="F29" s="41" t="n"/>
      <c r="G29" s="41" t="n"/>
      <c r="H29" s="41" t="n"/>
      <c r="I29" s="41" t="n"/>
      <c r="J29" s="41" t="n"/>
      <c r="K29" s="41" t="n"/>
      <c r="L29" s="41" t="n"/>
      <c r="M29" s="42" t="n"/>
    </row>
    <row r="30">
      <c r="A30" s="30" t="inlineStr">
        <is>
          <t>1M</t>
        </is>
      </c>
      <c r="B30" s="23">
        <f>(INDEX(HIST_D!$J$8:$J$2617,1)-INDEX(HIST_D!$J$8:$J$2617,Control!$F$8))*Control!$B$11</f>
        <v/>
      </c>
      <c r="C30" s="23">
        <f>INDEX(HIST_D!$AV$8:$AV$2617,1)-INDEX(HIST_D!$AV$8:$AV$2617,Control!$F$8)</f>
        <v/>
      </c>
      <c r="D30" s="30">
        <f>IF($B30&lt;0,IF($C30&gt;0,"Bull steepening","Bull flattening"),IF($C30&gt;0,"Bear steepening","Bear flattening"))</f>
        <v/>
      </c>
      <c r="E30" s="17">
        <f>IF($B30&lt;0,IF($C30&gt;0,"Front-end rallying on cuts. Historically the best EM USD backdrop: duration works and spreads usually follow.","Growth scare pricing. Duration helps, spreads normally widen; net EM return depends on beta, check the EM_Link tab."),IF($C30&gt;0,"Term premium / supply-led. The Treasury leg stops being ballast — this is the regime that hurts EM total returns most.","Hawkish repricing. Carry survives, duration hurts; short-dated EM outperforms."))</f>
        <v/>
      </c>
      <c r="F30" s="41" t="n"/>
      <c r="G30" s="41" t="n"/>
      <c r="H30" s="41" t="n"/>
      <c r="I30" s="41" t="n"/>
      <c r="J30" s="41" t="n"/>
      <c r="K30" s="41" t="n"/>
      <c r="L30" s="41" t="n"/>
      <c r="M30" s="42" t="n"/>
    </row>
    <row r="31">
      <c r="A31" s="30" t="inlineStr">
        <is>
          <t>3M</t>
        </is>
      </c>
      <c r="B31" s="23">
        <f>(INDEX(HIST_D!$J$8:$J$2617,1)-INDEX(HIST_D!$J$8:$J$2617,Control!$F$9))*Control!$B$11</f>
        <v/>
      </c>
      <c r="C31" s="23">
        <f>INDEX(HIST_D!$AV$8:$AV$2617,1)-INDEX(HIST_D!$AV$8:$AV$2617,Control!$F$9)</f>
        <v/>
      </c>
      <c r="D31" s="30">
        <f>IF($B31&lt;0,IF($C31&gt;0,"Bull steepening","Bull flattening"),IF($C31&gt;0,"Bear steepening","Bear flattening"))</f>
        <v/>
      </c>
      <c r="E31" s="17">
        <f>IF($B31&lt;0,IF($C31&gt;0,"Front-end rallying on cuts. Historically the best EM USD backdrop: duration works and spreads usually follow.","Growth scare pricing. Duration helps, spreads normally widen; net EM return depends on beta, check the EM_Link tab."),IF($C31&gt;0,"Term premium / supply-led. The Treasury leg stops being ballast — this is the regime that hurts EM total returns most.","Hawkish repricing. Carry survives, duration hurts; short-dated EM outperforms."))</f>
        <v/>
      </c>
      <c r="F31" s="41" t="n"/>
      <c r="G31" s="41" t="n"/>
      <c r="H31" s="41" t="n"/>
      <c r="I31" s="41" t="n"/>
      <c r="J31" s="41" t="n"/>
      <c r="K31" s="41" t="n"/>
      <c r="L31" s="41" t="n"/>
      <c r="M31" s="42" t="n"/>
    </row>
    <row r="32">
      <c r="A32" s="30" t="inlineStr">
        <is>
          <t>6M</t>
        </is>
      </c>
      <c r="B32" s="23">
        <f>(INDEX(HIST_D!$J$8:$J$2617,1)-INDEX(HIST_D!$J$8:$J$2617,Control!$F$10))*Control!$B$11</f>
        <v/>
      </c>
      <c r="C32" s="23">
        <f>INDEX(HIST_D!$AV$8:$AV$2617,1)-INDEX(HIST_D!$AV$8:$AV$2617,Control!$F$10)</f>
        <v/>
      </c>
      <c r="D32" s="30">
        <f>IF($B32&lt;0,IF($C32&gt;0,"Bull steepening","Bull flattening"),IF($C32&gt;0,"Bear steepening","Bear flattening"))</f>
        <v/>
      </c>
      <c r="E32" s="17">
        <f>IF($B32&lt;0,IF($C32&gt;0,"Front-end rallying on cuts. Historically the best EM USD backdrop: duration works and spreads usually follow.","Growth scare pricing. Duration helps, spreads normally widen; net EM return depends on beta, check the EM_Link tab."),IF($C32&gt;0,"Term premium / supply-led. The Treasury leg stops being ballast — this is the regime that hurts EM total returns most.","Hawkish repricing. Carry survives, duration hurts; short-dated EM outperforms."))</f>
        <v/>
      </c>
      <c r="F32" s="41" t="n"/>
      <c r="G32" s="41" t="n"/>
      <c r="H32" s="41" t="n"/>
      <c r="I32" s="41" t="n"/>
      <c r="J32" s="41" t="n"/>
      <c r="K32" s="41" t="n"/>
      <c r="L32" s="41" t="n"/>
      <c r="M32" s="42" t="n"/>
    </row>
    <row r="33">
      <c r="A33" s="30" t="inlineStr">
        <is>
          <t>1Y</t>
        </is>
      </c>
      <c r="B33" s="23">
        <f>(INDEX(HIST_D!$J$8:$J$2617,1)-INDEX(HIST_D!$J$8:$J$2617,Control!$F$11))*Control!$B$11</f>
        <v/>
      </c>
      <c r="C33" s="23">
        <f>INDEX(HIST_D!$AV$8:$AV$2617,1)-INDEX(HIST_D!$AV$8:$AV$2617,Control!$F$11)</f>
        <v/>
      </c>
      <c r="D33" s="30">
        <f>IF($B33&lt;0,IF($C33&gt;0,"Bull steepening","Bull flattening"),IF($C33&gt;0,"Bear steepening","Bear flattening"))</f>
        <v/>
      </c>
      <c r="E33" s="17">
        <f>IF($B33&lt;0,IF($C33&gt;0,"Front-end rallying on cuts. Historically the best EM USD backdrop: duration works and spreads usually follow.","Growth scare pricing. Duration helps, spreads normally widen; net EM return depends on beta, check the EM_Link tab."),IF($C33&gt;0,"Term premium / supply-led. The Treasury leg stops being ballast — this is the regime that hurts EM total returns most.","Hawkish repricing. Carry survives, duration hurts; short-dated EM outperforms."))</f>
        <v/>
      </c>
      <c r="F33" s="41" t="n"/>
      <c r="G33" s="41" t="n"/>
      <c r="H33" s="41" t="n"/>
      <c r="I33" s="41" t="n"/>
      <c r="J33" s="41" t="n"/>
      <c r="K33" s="41" t="n"/>
      <c r="L33" s="41" t="n"/>
      <c r="M33" s="42" t="n"/>
    </row>
  </sheetData>
  <mergeCells count="5">
    <mergeCell ref="E29:M29"/>
    <mergeCell ref="E32:M32"/>
    <mergeCell ref="E33:M33"/>
    <mergeCell ref="E31:M31"/>
    <mergeCell ref="E30:M30"/>
  </mergeCells>
  <conditionalFormatting sqref="N6:R12">
    <cfRule type="colorScale" priority="1">
      <colorScale>
        <cfvo type="num" val="0"/>
        <cfvo type="num" val="0.5"/>
        <cfvo type="num" val="1"/>
        <color rgb="0063BE7B"/>
        <color rgb="00FFEB84"/>
        <color rgb="00F8696B"/>
      </colorScale>
    </cfRule>
  </conditionalFormatting>
  <conditionalFormatting sqref="S6:S12">
    <cfRule type="colorScale" priority="2">
      <colorScale>
        <cfvo type="num" val="-2"/>
        <cfvo type="num" val="0"/>
        <cfvo type="num" val="2"/>
        <color rgb="0063BE7B"/>
        <color rgb="00FFFFFF"/>
        <color rgb="00F8696B"/>
      </colorScale>
    </cfRule>
  </conditionalFormatting>
  <conditionalFormatting sqref="N16:R17">
    <cfRule type="colorScale" priority="3">
      <colorScale>
        <cfvo type="num" val="0"/>
        <cfvo type="num" val="0.5"/>
        <cfvo type="num" val="1"/>
        <color rgb="0063BE7B"/>
        <color rgb="00FFEB84"/>
        <color rgb="00F8696B"/>
      </colorScale>
    </cfRule>
  </conditionalFormatting>
  <conditionalFormatting sqref="S16:S17">
    <cfRule type="colorScale" priority="4">
      <colorScale>
        <cfvo type="num" val="-2"/>
        <cfvo type="num" val="0"/>
        <cfvo type="num" val="2"/>
        <color rgb="0063BE7B"/>
        <color rgb="00FFFFFF"/>
        <color rgb="00F8696B"/>
      </colorScale>
    </cfRule>
  </conditionalFormatting>
  <conditionalFormatting sqref="N21:R24">
    <cfRule type="colorScale" priority="5">
      <colorScale>
        <cfvo type="num" val="0"/>
        <cfvo type="num" val="0.5"/>
        <cfvo type="num" val="1"/>
        <color rgb="0063BE7B"/>
        <color rgb="00FFEB84"/>
        <color rgb="00F8696B"/>
      </colorScale>
    </cfRule>
  </conditionalFormatting>
  <conditionalFormatting sqref="S21:S24">
    <cfRule type="colorScale" priority="6">
      <colorScale>
        <cfvo type="num" val="-2"/>
        <cfvo type="num" val="0"/>
        <cfvo type="num" val="2"/>
        <color rgb="0063BE7B"/>
        <color rgb="00FFFFFF"/>
        <color rgb="00F869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60" customWidth="1" min="13" max="13"/>
  </cols>
  <sheetData>
    <row r="1">
      <c r="A1" s="1" t="inlineStr">
        <is>
          <t>IMPLIED POLICY RATE</t>
        </is>
      </c>
    </row>
    <row r="2">
      <c r="A2" s="2" t="inlineStr">
        <is>
          <t>Fed funds futures are month-AVERAGE effective funds contracts. The meeting block below does the calendar split properly rather than reading the strip as if each contract were a meeting.</t>
        </is>
      </c>
    </row>
    <row r="4" ht="18" customHeight="1">
      <c r="A4" s="3" t="inlineStr">
        <is>
          <t>SPOT ANCHORS</t>
        </is>
      </c>
      <c r="B4" s="4" t="n"/>
      <c r="C4" s="4" t="n"/>
      <c r="D4" s="4" t="n"/>
      <c r="E4" s="4" t="n"/>
      <c r="F4" s="4" t="n"/>
      <c r="G4" s="4" t="n"/>
      <c r="H4" s="4" t="n"/>
      <c r="I4" s="4" t="n"/>
      <c r="J4" s="4" t="n"/>
      <c r="K4" s="4" t="n"/>
      <c r="L4" s="4" t="n"/>
      <c r="M4" s="4" t="n"/>
    </row>
    <row r="5" ht="28" customHeight="1">
      <c r="A5" s="20" t="inlineStr">
        <is>
          <t>Item</t>
        </is>
      </c>
      <c r="B5" s="20" t="inlineStr">
        <is>
          <t>Bloomberg ticker</t>
        </is>
      </c>
      <c r="C5" s="20" t="inlineStr">
        <is>
          <t>Field</t>
        </is>
      </c>
      <c r="D5" s="20" t="inlineStr">
        <is>
          <t>Live pull</t>
        </is>
      </c>
      <c r="E5" s="20" t="inlineStr">
        <is>
          <t>Your fallback</t>
        </is>
      </c>
      <c r="F5" s="20" t="inlineStr">
        <is>
          <t>Used</t>
        </is>
      </c>
      <c r="G5" s="20" t="inlineStr">
        <is>
          <t>Status</t>
        </is>
      </c>
      <c r="H5" s="20" t="inlineStr">
        <is>
          <t>Unit</t>
        </is>
      </c>
      <c r="I5" s="20" t="inlineStr">
        <is>
          <t>Note</t>
        </is>
      </c>
    </row>
    <row r="6">
      <c r="A6" s="8" t="inlineStr">
        <is>
          <t>Fed funds target — upper</t>
        </is>
      </c>
      <c r="B6" s="14" t="inlineStr">
        <is>
          <t>FDTR Index</t>
        </is>
      </c>
      <c r="C6" s="43" t="inlineStr">
        <is>
          <t>PX_LAST</t>
        </is>
      </c>
      <c r="D6" s="44">
        <f>IFERROR(BDP($B6,$C6),"")</f>
        <v/>
      </c>
      <c r="E6" s="12" t="n">
        <v>4.25</v>
      </c>
      <c r="F6" s="45">
        <f>IF(ISNUMBER($D6),$D6,$E6)</f>
        <v/>
      </c>
      <c r="G6" s="46">
        <f>IF(ISNUMBER($D6),"LIVE","FALLBACK")</f>
        <v/>
      </c>
      <c r="H6" s="27" t="inlineStr">
        <is>
          <t>%</t>
        </is>
      </c>
      <c r="I6" s="17" t="inlineStr">
        <is>
          <t>target band top</t>
        </is>
      </c>
    </row>
    <row r="7">
      <c r="A7" s="8" t="inlineStr">
        <is>
          <t>Fed funds target — lower</t>
        </is>
      </c>
      <c r="B7" s="14" t="inlineStr">
        <is>
          <t>FDTRFTRL Index</t>
        </is>
      </c>
      <c r="C7" s="43" t="inlineStr">
        <is>
          <t>PX_LAST</t>
        </is>
      </c>
      <c r="D7" s="44">
        <f>IFERROR(BDP($B7,$C7),"")</f>
        <v/>
      </c>
      <c r="E7" s="12" t="n">
        <v>4</v>
      </c>
      <c r="F7" s="45">
        <f>IF(ISNUMBER($D7),$D7,$E7)</f>
        <v/>
      </c>
      <c r="G7" s="46">
        <f>IF(ISNUMBER($D7),"LIVE","FALLBACK")</f>
        <v/>
      </c>
      <c r="H7" s="27" t="inlineStr">
        <is>
          <t>%</t>
        </is>
      </c>
      <c r="I7" s="17" t="inlineStr">
        <is>
          <t>VERIFY ticker in SECF</t>
        </is>
      </c>
    </row>
    <row r="8">
      <c r="A8" s="8" t="inlineStr">
        <is>
          <t>Interest on reserve balances</t>
        </is>
      </c>
      <c r="B8" s="14" t="inlineStr">
        <is>
          <t>IORB Index</t>
        </is>
      </c>
      <c r="C8" s="43" t="inlineStr">
        <is>
          <t>PX_LAST</t>
        </is>
      </c>
      <c r="D8" s="44">
        <f>IFERROR(BDP($B8,$C8),"")</f>
        <v/>
      </c>
      <c r="E8" s="12" t="n">
        <v>4.15</v>
      </c>
      <c r="F8" s="45">
        <f>IF(ISNUMBER($D8),$D8,$E8)</f>
        <v/>
      </c>
      <c r="G8" s="46">
        <f>IF(ISNUMBER($D8),"LIVE","FALLBACK")</f>
        <v/>
      </c>
      <c r="H8" s="27" t="inlineStr">
        <is>
          <t>%</t>
        </is>
      </c>
      <c r="I8" s="17" t="inlineStr">
        <is>
          <t>VERIFY ticker in SECF</t>
        </is>
      </c>
    </row>
    <row r="9">
      <c r="A9" s="8" t="inlineStr">
        <is>
          <t>EFFR</t>
        </is>
      </c>
      <c r="B9" s="14" t="inlineStr">
        <is>
          <t>FEDL01 Index</t>
        </is>
      </c>
      <c r="C9" s="43" t="inlineStr">
        <is>
          <t>PX_LAST</t>
        </is>
      </c>
      <c r="D9" s="44">
        <f>IFERROR(BDP($B9,$C9),"")</f>
        <v/>
      </c>
      <c r="E9" s="12" t="n">
        <v>4.08</v>
      </c>
      <c r="F9" s="45">
        <f>IF(ISNUMBER($D9),$D9,$E9)</f>
        <v/>
      </c>
      <c r="G9" s="46">
        <f>IF(ISNUMBER($D9),"LIVE","FALLBACK")</f>
        <v/>
      </c>
      <c r="H9" s="27" t="inlineStr">
        <is>
          <t>%</t>
        </is>
      </c>
      <c r="I9" s="17" t="inlineStr">
        <is>
          <t>also on HIST_D as EFFR</t>
        </is>
      </c>
    </row>
    <row r="10">
      <c r="A10" s="8" t="inlineStr">
        <is>
          <t>SOFR</t>
        </is>
      </c>
      <c r="B10" s="14" t="inlineStr">
        <is>
          <t>SOFRRATE Index</t>
        </is>
      </c>
      <c r="C10" s="43" t="inlineStr">
        <is>
          <t>PX_LAST</t>
        </is>
      </c>
      <c r="D10" s="44">
        <f>IFERROR(BDP($B10,$C10),"")</f>
        <v/>
      </c>
      <c r="E10" s="12" t="n">
        <v>4.1</v>
      </c>
      <c r="F10" s="45">
        <f>IF(ISNUMBER($D10),$D10,$E10)</f>
        <v/>
      </c>
      <c r="G10" s="46">
        <f>IF(ISNUMBER($D10),"LIVE","FALLBACK")</f>
        <v/>
      </c>
      <c r="H10" s="27" t="inlineStr">
        <is>
          <t>%</t>
        </is>
      </c>
      <c r="I10" s="17" t="inlineStr">
        <is>
          <t>also on HIST_D as SOFR</t>
        </is>
      </c>
    </row>
    <row r="11">
      <c r="A11" s="21" t="inlineStr">
        <is>
          <t>Target midpoint</t>
        </is>
      </c>
      <c r="F11" s="45">
        <f>AVERAGE($F$6,$F$7)</f>
        <v/>
      </c>
    </row>
    <row r="12">
      <c r="A12" s="8" t="inlineStr">
        <is>
          <t>EFFR − IORB (bp)</t>
        </is>
      </c>
      <c r="F12" s="47">
        <f>($F$9-$F$8)*Control!$B$11</f>
        <v/>
      </c>
      <c r="I12" s="10" t="inlineStr">
        <is>
          <t>Positive and rising = reserves getting scarce. This is the single most useful funding tell.</t>
        </is>
      </c>
    </row>
    <row r="13">
      <c r="A13" s="8" t="inlineStr">
        <is>
          <t>SOFR − IORB (bp)</t>
        </is>
      </c>
      <c r="F13" s="47">
        <f>($F$10-$F$8)*Control!$B$11</f>
        <v/>
      </c>
      <c r="I13" s="10" t="inlineStr">
        <is>
          <t>Repo pressure. Sustained above IORB means collateral is heavy and balance sheet is scarce.</t>
        </is>
      </c>
    </row>
    <row r="15" ht="18" customHeight="1">
      <c r="A15" s="3" t="inlineStr">
        <is>
          <t>FED FUNDS FUTURES STRIP</t>
        </is>
      </c>
      <c r="B15" s="4" t="n"/>
      <c r="C15" s="4" t="n"/>
      <c r="D15" s="4" t="n"/>
      <c r="E15" s="4" t="n"/>
      <c r="F15" s="4" t="n"/>
      <c r="G15" s="4" t="n"/>
      <c r="H15" s="4" t="n"/>
      <c r="I15" s="4" t="n"/>
      <c r="J15" s="4" t="n"/>
      <c r="K15" s="4" t="n"/>
      <c r="L15" s="4" t="n"/>
      <c r="M15" s="4" t="n"/>
    </row>
    <row r="16" ht="28" customHeight="1">
      <c r="A16" s="20" t="inlineStr">
        <is>
          <t>#</t>
        </is>
      </c>
      <c r="B16" s="20" t="inlineStr">
        <is>
          <t>Ticker</t>
        </is>
      </c>
      <c r="C16" s="20" t="inlineStr">
        <is>
          <t>Contract month</t>
        </is>
      </c>
      <c r="D16" s="20" t="inlineStr">
        <is>
          <t>Price</t>
        </is>
      </c>
      <c r="E16" s="20" t="inlineStr">
        <is>
          <t>Implied avg EFFR (%)</t>
        </is>
      </c>
      <c r="F16" s="20" t="inlineStr">
        <is>
          <t>vs spot EFFR (bp)</t>
        </is>
      </c>
      <c r="G16" s="20" t="inlineStr">
        <is>
          <t>Cuts priced (25bp, + = easing)</t>
        </is>
      </c>
      <c r="H16" s="20" t="inlineStr">
        <is>
          <t>Price 1W ago</t>
        </is>
      </c>
      <c r="I16" s="20" t="inlineStr">
        <is>
          <t>Δ 1W (bp)</t>
        </is>
      </c>
      <c r="J16" s="20" t="inlineStr">
        <is>
          <t>Price 1M ago</t>
        </is>
      </c>
      <c r="K16" s="20" t="inlineStr">
        <is>
          <t>Δ 1M (bp)</t>
        </is>
      </c>
      <c r="L16" s="20" t="inlineStr">
        <is>
          <t>Month key</t>
        </is>
      </c>
      <c r="M16" s="20" t="inlineStr">
        <is>
          <t>Note</t>
        </is>
      </c>
    </row>
    <row r="17">
      <c r="A17" s="9" t="n">
        <v>1</v>
      </c>
      <c r="B17" s="48">
        <f>"FF"&amp;$A17&amp;" Comdty"</f>
        <v/>
      </c>
      <c r="C17" s="49">
        <f>IFERROR(BDP($B17,"LAST_TRADEABLE_DT"),"")</f>
        <v/>
      </c>
      <c r="D17" s="50">
        <f>IFERROR(BDP($B17,"PX_LAST"),"")</f>
        <v/>
      </c>
      <c r="E17" s="25">
        <f>IFERROR(100-$D17,"")</f>
        <v/>
      </c>
      <c r="F17" s="23">
        <f>IFERROR(($E17-'Policy'!$F$9)*Control!$B$11,"")</f>
        <v/>
      </c>
      <c r="G17" s="39">
        <f>IFERROR(('Policy'!$F$9-$E17)/0.25,"")</f>
        <v/>
      </c>
      <c r="H17" s="50">
        <f>IFERROR(BDH($B17,"PX_LAST",Control!$B$15,Control!$B$15),"")</f>
        <v/>
      </c>
      <c r="I17" s="23">
        <f>IFERROR(($H17-$D17)*Control!$B$11,"")</f>
        <v/>
      </c>
      <c r="J17" s="50">
        <f>IFERROR(BDH($B17,"PX_LAST",Control!$B$16,Control!$B$16),"")</f>
        <v/>
      </c>
      <c r="K17" s="23">
        <f>IFERROR(($J17-$D17)*Control!$B$11,"")</f>
        <v/>
      </c>
      <c r="L17" s="51">
        <f>IFERROR(YEAR($C17)*12+MONTH($C17),"")</f>
        <v/>
      </c>
    </row>
    <row r="18">
      <c r="A18" s="9" t="n">
        <v>2</v>
      </c>
      <c r="B18" s="48">
        <f>"FF"&amp;$A18&amp;" Comdty"</f>
        <v/>
      </c>
      <c r="C18" s="49">
        <f>IFERROR(BDP($B18,"LAST_TRADEABLE_DT"),"")</f>
        <v/>
      </c>
      <c r="D18" s="50">
        <f>IFERROR(BDP($B18,"PX_LAST"),"")</f>
        <v/>
      </c>
      <c r="E18" s="25">
        <f>IFERROR(100-$D18,"")</f>
        <v/>
      </c>
      <c r="F18" s="23">
        <f>IFERROR(($E18-'Policy'!$F$9)*Control!$B$11,"")</f>
        <v/>
      </c>
      <c r="G18" s="39">
        <f>IFERROR(('Policy'!$F$9-$E18)/0.25,"")</f>
        <v/>
      </c>
      <c r="H18" s="50">
        <f>IFERROR(BDH($B18,"PX_LAST",Control!$B$15,Control!$B$15),"")</f>
        <v/>
      </c>
      <c r="I18" s="23">
        <f>IFERROR(($H18-$D18)*Control!$B$11,"")</f>
        <v/>
      </c>
      <c r="J18" s="50">
        <f>IFERROR(BDH($B18,"PX_LAST",Control!$B$16,Control!$B$16),"")</f>
        <v/>
      </c>
      <c r="K18" s="23">
        <f>IFERROR(($J18-$D18)*Control!$B$11,"")</f>
        <v/>
      </c>
      <c r="L18" s="51">
        <f>IFERROR(YEAR($C18)*12+MONTH($C18),"")</f>
        <v/>
      </c>
    </row>
    <row r="19">
      <c r="A19" s="9" t="n">
        <v>3</v>
      </c>
      <c r="B19" s="48">
        <f>"FF"&amp;$A19&amp;" Comdty"</f>
        <v/>
      </c>
      <c r="C19" s="49">
        <f>IFERROR(BDP($B19,"LAST_TRADEABLE_DT"),"")</f>
        <v/>
      </c>
      <c r="D19" s="50">
        <f>IFERROR(BDP($B19,"PX_LAST"),"")</f>
        <v/>
      </c>
      <c r="E19" s="25">
        <f>IFERROR(100-$D19,"")</f>
        <v/>
      </c>
      <c r="F19" s="23">
        <f>IFERROR(($E19-'Policy'!$F$9)*Control!$B$11,"")</f>
        <v/>
      </c>
      <c r="G19" s="39">
        <f>IFERROR(('Policy'!$F$9-$E19)/0.25,"")</f>
        <v/>
      </c>
      <c r="H19" s="50">
        <f>IFERROR(BDH($B19,"PX_LAST",Control!$B$15,Control!$B$15),"")</f>
        <v/>
      </c>
      <c r="I19" s="23">
        <f>IFERROR(($H19-$D19)*Control!$B$11,"")</f>
        <v/>
      </c>
      <c r="J19" s="50">
        <f>IFERROR(BDH($B19,"PX_LAST",Control!$B$16,Control!$B$16),"")</f>
        <v/>
      </c>
      <c r="K19" s="23">
        <f>IFERROR(($J19-$D19)*Control!$B$11,"")</f>
        <v/>
      </c>
      <c r="L19" s="51">
        <f>IFERROR(YEAR($C19)*12+MONTH($C19),"")</f>
        <v/>
      </c>
    </row>
    <row r="20">
      <c r="A20" s="9" t="n">
        <v>4</v>
      </c>
      <c r="B20" s="48">
        <f>"FF"&amp;$A20&amp;" Comdty"</f>
        <v/>
      </c>
      <c r="C20" s="49">
        <f>IFERROR(BDP($B20,"LAST_TRADEABLE_DT"),"")</f>
        <v/>
      </c>
      <c r="D20" s="50">
        <f>IFERROR(BDP($B20,"PX_LAST"),"")</f>
        <v/>
      </c>
      <c r="E20" s="25">
        <f>IFERROR(100-$D20,"")</f>
        <v/>
      </c>
      <c r="F20" s="23">
        <f>IFERROR(($E20-'Policy'!$F$9)*Control!$B$11,"")</f>
        <v/>
      </c>
      <c r="G20" s="39">
        <f>IFERROR(('Policy'!$F$9-$E20)/0.25,"")</f>
        <v/>
      </c>
      <c r="H20" s="50">
        <f>IFERROR(BDH($B20,"PX_LAST",Control!$B$15,Control!$B$15),"")</f>
        <v/>
      </c>
      <c r="I20" s="23">
        <f>IFERROR(($H20-$D20)*Control!$B$11,"")</f>
        <v/>
      </c>
      <c r="J20" s="50">
        <f>IFERROR(BDH($B20,"PX_LAST",Control!$B$16,Control!$B$16),"")</f>
        <v/>
      </c>
      <c r="K20" s="23">
        <f>IFERROR(($J20-$D20)*Control!$B$11,"")</f>
        <v/>
      </c>
      <c r="L20" s="51">
        <f>IFERROR(YEAR($C20)*12+MONTH($C20),"")</f>
        <v/>
      </c>
    </row>
    <row r="21">
      <c r="A21" s="9" t="n">
        <v>5</v>
      </c>
      <c r="B21" s="48">
        <f>"FF"&amp;$A21&amp;" Comdty"</f>
        <v/>
      </c>
      <c r="C21" s="49">
        <f>IFERROR(BDP($B21,"LAST_TRADEABLE_DT"),"")</f>
        <v/>
      </c>
      <c r="D21" s="50">
        <f>IFERROR(BDP($B21,"PX_LAST"),"")</f>
        <v/>
      </c>
      <c r="E21" s="25">
        <f>IFERROR(100-$D21,"")</f>
        <v/>
      </c>
      <c r="F21" s="23">
        <f>IFERROR(($E21-'Policy'!$F$9)*Control!$B$11,"")</f>
        <v/>
      </c>
      <c r="G21" s="39">
        <f>IFERROR(('Policy'!$F$9-$E21)/0.25,"")</f>
        <v/>
      </c>
      <c r="H21" s="50">
        <f>IFERROR(BDH($B21,"PX_LAST",Control!$B$15,Control!$B$15),"")</f>
        <v/>
      </c>
      <c r="I21" s="23">
        <f>IFERROR(($H21-$D21)*Control!$B$11,"")</f>
        <v/>
      </c>
      <c r="J21" s="50">
        <f>IFERROR(BDH($B21,"PX_LAST",Control!$B$16,Control!$B$16),"")</f>
        <v/>
      </c>
      <c r="K21" s="23">
        <f>IFERROR(($J21-$D21)*Control!$B$11,"")</f>
        <v/>
      </c>
      <c r="L21" s="51">
        <f>IFERROR(YEAR($C21)*12+MONTH($C21),"")</f>
        <v/>
      </c>
    </row>
    <row r="22">
      <c r="A22" s="9" t="n">
        <v>6</v>
      </c>
      <c r="B22" s="48">
        <f>"FF"&amp;$A22&amp;" Comdty"</f>
        <v/>
      </c>
      <c r="C22" s="49">
        <f>IFERROR(BDP($B22,"LAST_TRADEABLE_DT"),"")</f>
        <v/>
      </c>
      <c r="D22" s="50">
        <f>IFERROR(BDP($B22,"PX_LAST"),"")</f>
        <v/>
      </c>
      <c r="E22" s="25">
        <f>IFERROR(100-$D22,"")</f>
        <v/>
      </c>
      <c r="F22" s="23">
        <f>IFERROR(($E22-'Policy'!$F$9)*Control!$B$11,"")</f>
        <v/>
      </c>
      <c r="G22" s="39">
        <f>IFERROR(('Policy'!$F$9-$E22)/0.25,"")</f>
        <v/>
      </c>
      <c r="H22" s="50">
        <f>IFERROR(BDH($B22,"PX_LAST",Control!$B$15,Control!$B$15),"")</f>
        <v/>
      </c>
      <c r="I22" s="23">
        <f>IFERROR(($H22-$D22)*Control!$B$11,"")</f>
        <v/>
      </c>
      <c r="J22" s="50">
        <f>IFERROR(BDH($B22,"PX_LAST",Control!$B$16,Control!$B$16),"")</f>
        <v/>
      </c>
      <c r="K22" s="23">
        <f>IFERROR(($J22-$D22)*Control!$B$11,"")</f>
        <v/>
      </c>
      <c r="L22" s="51">
        <f>IFERROR(YEAR($C22)*12+MONTH($C22),"")</f>
        <v/>
      </c>
    </row>
    <row r="23">
      <c r="A23" s="9" t="n">
        <v>7</v>
      </c>
      <c r="B23" s="48">
        <f>"FF"&amp;$A23&amp;" Comdty"</f>
        <v/>
      </c>
      <c r="C23" s="49">
        <f>IFERROR(BDP($B23,"LAST_TRADEABLE_DT"),"")</f>
        <v/>
      </c>
      <c r="D23" s="50">
        <f>IFERROR(BDP($B23,"PX_LAST"),"")</f>
        <v/>
      </c>
      <c r="E23" s="25">
        <f>IFERROR(100-$D23,"")</f>
        <v/>
      </c>
      <c r="F23" s="23">
        <f>IFERROR(($E23-'Policy'!$F$9)*Control!$B$11,"")</f>
        <v/>
      </c>
      <c r="G23" s="39">
        <f>IFERROR(('Policy'!$F$9-$E23)/0.25,"")</f>
        <v/>
      </c>
      <c r="H23" s="50">
        <f>IFERROR(BDH($B23,"PX_LAST",Control!$B$15,Control!$B$15),"")</f>
        <v/>
      </c>
      <c r="I23" s="23">
        <f>IFERROR(($H23-$D23)*Control!$B$11,"")</f>
        <v/>
      </c>
      <c r="J23" s="50">
        <f>IFERROR(BDH($B23,"PX_LAST",Control!$B$16,Control!$B$16),"")</f>
        <v/>
      </c>
      <c r="K23" s="23">
        <f>IFERROR(($J23-$D23)*Control!$B$11,"")</f>
        <v/>
      </c>
      <c r="L23" s="51">
        <f>IFERROR(YEAR($C23)*12+MONTH($C23),"")</f>
        <v/>
      </c>
    </row>
    <row r="24">
      <c r="A24" s="9" t="n">
        <v>8</v>
      </c>
      <c r="B24" s="48">
        <f>"FF"&amp;$A24&amp;" Comdty"</f>
        <v/>
      </c>
      <c r="C24" s="49">
        <f>IFERROR(BDP($B24,"LAST_TRADEABLE_DT"),"")</f>
        <v/>
      </c>
      <c r="D24" s="50">
        <f>IFERROR(BDP($B24,"PX_LAST"),"")</f>
        <v/>
      </c>
      <c r="E24" s="25">
        <f>IFERROR(100-$D24,"")</f>
        <v/>
      </c>
      <c r="F24" s="23">
        <f>IFERROR(($E24-'Policy'!$F$9)*Control!$B$11,"")</f>
        <v/>
      </c>
      <c r="G24" s="39">
        <f>IFERROR(('Policy'!$F$9-$E24)/0.25,"")</f>
        <v/>
      </c>
      <c r="H24" s="50">
        <f>IFERROR(BDH($B24,"PX_LAST",Control!$B$15,Control!$B$15),"")</f>
        <v/>
      </c>
      <c r="I24" s="23">
        <f>IFERROR(($H24-$D24)*Control!$B$11,"")</f>
        <v/>
      </c>
      <c r="J24" s="50">
        <f>IFERROR(BDH($B24,"PX_LAST",Control!$B$16,Control!$B$16),"")</f>
        <v/>
      </c>
      <c r="K24" s="23">
        <f>IFERROR(($J24-$D24)*Control!$B$11,"")</f>
        <v/>
      </c>
      <c r="L24" s="51">
        <f>IFERROR(YEAR($C24)*12+MONTH($C24),"")</f>
        <v/>
      </c>
    </row>
    <row r="25">
      <c r="A25" s="9" t="n">
        <v>9</v>
      </c>
      <c r="B25" s="48">
        <f>"FF"&amp;$A25&amp;" Comdty"</f>
        <v/>
      </c>
      <c r="C25" s="49">
        <f>IFERROR(BDP($B25,"LAST_TRADEABLE_DT"),"")</f>
        <v/>
      </c>
      <c r="D25" s="50">
        <f>IFERROR(BDP($B25,"PX_LAST"),"")</f>
        <v/>
      </c>
      <c r="E25" s="25">
        <f>IFERROR(100-$D25,"")</f>
        <v/>
      </c>
      <c r="F25" s="23">
        <f>IFERROR(($E25-'Policy'!$F$9)*Control!$B$11,"")</f>
        <v/>
      </c>
      <c r="G25" s="39">
        <f>IFERROR(('Policy'!$F$9-$E25)/0.25,"")</f>
        <v/>
      </c>
      <c r="H25" s="50">
        <f>IFERROR(BDH($B25,"PX_LAST",Control!$B$15,Control!$B$15),"")</f>
        <v/>
      </c>
      <c r="I25" s="23">
        <f>IFERROR(($H25-$D25)*Control!$B$11,"")</f>
        <v/>
      </c>
      <c r="J25" s="50">
        <f>IFERROR(BDH($B25,"PX_LAST",Control!$B$16,Control!$B$16),"")</f>
        <v/>
      </c>
      <c r="K25" s="23">
        <f>IFERROR(($J25-$D25)*Control!$B$11,"")</f>
        <v/>
      </c>
      <c r="L25" s="51">
        <f>IFERROR(YEAR($C25)*12+MONTH($C25),"")</f>
        <v/>
      </c>
    </row>
    <row r="26">
      <c r="A26" s="9" t="n">
        <v>10</v>
      </c>
      <c r="B26" s="48">
        <f>"FF"&amp;$A26&amp;" Comdty"</f>
        <v/>
      </c>
      <c r="C26" s="49">
        <f>IFERROR(BDP($B26,"LAST_TRADEABLE_DT"),"")</f>
        <v/>
      </c>
      <c r="D26" s="50">
        <f>IFERROR(BDP($B26,"PX_LAST"),"")</f>
        <v/>
      </c>
      <c r="E26" s="25">
        <f>IFERROR(100-$D26,"")</f>
        <v/>
      </c>
      <c r="F26" s="23">
        <f>IFERROR(($E26-'Policy'!$F$9)*Control!$B$11,"")</f>
        <v/>
      </c>
      <c r="G26" s="39">
        <f>IFERROR(('Policy'!$F$9-$E26)/0.25,"")</f>
        <v/>
      </c>
      <c r="H26" s="50">
        <f>IFERROR(BDH($B26,"PX_LAST",Control!$B$15,Control!$B$15),"")</f>
        <v/>
      </c>
      <c r="I26" s="23">
        <f>IFERROR(($H26-$D26)*Control!$B$11,"")</f>
        <v/>
      </c>
      <c r="J26" s="50">
        <f>IFERROR(BDH($B26,"PX_LAST",Control!$B$16,Control!$B$16),"")</f>
        <v/>
      </c>
      <c r="K26" s="23">
        <f>IFERROR(($J26-$D26)*Control!$B$11,"")</f>
        <v/>
      </c>
      <c r="L26" s="51">
        <f>IFERROR(YEAR($C26)*12+MONTH($C26),"")</f>
        <v/>
      </c>
    </row>
    <row r="27">
      <c r="A27" s="9" t="n">
        <v>11</v>
      </c>
      <c r="B27" s="48">
        <f>"FF"&amp;$A27&amp;" Comdty"</f>
        <v/>
      </c>
      <c r="C27" s="49">
        <f>IFERROR(BDP($B27,"LAST_TRADEABLE_DT"),"")</f>
        <v/>
      </c>
      <c r="D27" s="50">
        <f>IFERROR(BDP($B27,"PX_LAST"),"")</f>
        <v/>
      </c>
      <c r="E27" s="25">
        <f>IFERROR(100-$D27,"")</f>
        <v/>
      </c>
      <c r="F27" s="23">
        <f>IFERROR(($E27-'Policy'!$F$9)*Control!$B$11,"")</f>
        <v/>
      </c>
      <c r="G27" s="39">
        <f>IFERROR(('Policy'!$F$9-$E27)/0.25,"")</f>
        <v/>
      </c>
      <c r="H27" s="50">
        <f>IFERROR(BDH($B27,"PX_LAST",Control!$B$15,Control!$B$15),"")</f>
        <v/>
      </c>
      <c r="I27" s="23">
        <f>IFERROR(($H27-$D27)*Control!$B$11,"")</f>
        <v/>
      </c>
      <c r="J27" s="50">
        <f>IFERROR(BDH($B27,"PX_LAST",Control!$B$16,Control!$B$16),"")</f>
        <v/>
      </c>
      <c r="K27" s="23">
        <f>IFERROR(($J27-$D27)*Control!$B$11,"")</f>
        <v/>
      </c>
      <c r="L27" s="51">
        <f>IFERROR(YEAR($C27)*12+MONTH($C27),"")</f>
        <v/>
      </c>
    </row>
    <row r="28">
      <c r="A28" s="9" t="n">
        <v>12</v>
      </c>
      <c r="B28" s="48">
        <f>"FF"&amp;$A28&amp;" Comdty"</f>
        <v/>
      </c>
      <c r="C28" s="49">
        <f>IFERROR(BDP($B28,"LAST_TRADEABLE_DT"),"")</f>
        <v/>
      </c>
      <c r="D28" s="50">
        <f>IFERROR(BDP($B28,"PX_LAST"),"")</f>
        <v/>
      </c>
      <c r="E28" s="25">
        <f>IFERROR(100-$D28,"")</f>
        <v/>
      </c>
      <c r="F28" s="23">
        <f>IFERROR(($E28-'Policy'!$F$9)*Control!$B$11,"")</f>
        <v/>
      </c>
      <c r="G28" s="39">
        <f>IFERROR(('Policy'!$F$9-$E28)/0.25,"")</f>
        <v/>
      </c>
      <c r="H28" s="50">
        <f>IFERROR(BDH($B28,"PX_LAST",Control!$B$15,Control!$B$15),"")</f>
        <v/>
      </c>
      <c r="I28" s="23">
        <f>IFERROR(($H28-$D28)*Control!$B$11,"")</f>
        <v/>
      </c>
      <c r="J28" s="50">
        <f>IFERROR(BDH($B28,"PX_LAST",Control!$B$16,Control!$B$16),"")</f>
        <v/>
      </c>
      <c r="K28" s="23">
        <f>IFERROR(($J28-$D28)*Control!$B$11,"")</f>
        <v/>
      </c>
      <c r="L28" s="51">
        <f>IFERROR(YEAR($C28)*12+MONTH($C28),"")</f>
        <v/>
      </c>
    </row>
    <row r="29">
      <c r="A29" s="9" t="n">
        <v>13</v>
      </c>
      <c r="B29" s="48">
        <f>"FF"&amp;$A29&amp;" Comdty"</f>
        <v/>
      </c>
      <c r="C29" s="49">
        <f>IFERROR(BDP($B29,"LAST_TRADEABLE_DT"),"")</f>
        <v/>
      </c>
      <c r="D29" s="50">
        <f>IFERROR(BDP($B29,"PX_LAST"),"")</f>
        <v/>
      </c>
      <c r="E29" s="25">
        <f>IFERROR(100-$D29,"")</f>
        <v/>
      </c>
      <c r="F29" s="23">
        <f>IFERROR(($E29-'Policy'!$F$9)*Control!$B$11,"")</f>
        <v/>
      </c>
      <c r="G29" s="39">
        <f>IFERROR(('Policy'!$F$9-$E29)/0.25,"")</f>
        <v/>
      </c>
      <c r="H29" s="50">
        <f>IFERROR(BDH($B29,"PX_LAST",Control!$B$15,Control!$B$15),"")</f>
        <v/>
      </c>
      <c r="I29" s="23">
        <f>IFERROR(($H29-$D29)*Control!$B$11,"")</f>
        <v/>
      </c>
      <c r="J29" s="50">
        <f>IFERROR(BDH($B29,"PX_LAST",Control!$B$16,Control!$B$16),"")</f>
        <v/>
      </c>
      <c r="K29" s="23">
        <f>IFERROR(($J29-$D29)*Control!$B$11,"")</f>
        <v/>
      </c>
      <c r="L29" s="51">
        <f>IFERROR(YEAR($C29)*12+MONTH($C29),"")</f>
        <v/>
      </c>
    </row>
    <row r="30">
      <c r="A30" s="9" t="n">
        <v>14</v>
      </c>
      <c r="B30" s="48">
        <f>"FF"&amp;$A30&amp;" Comdty"</f>
        <v/>
      </c>
      <c r="C30" s="49">
        <f>IFERROR(BDP($B30,"LAST_TRADEABLE_DT"),"")</f>
        <v/>
      </c>
      <c r="D30" s="50">
        <f>IFERROR(BDP($B30,"PX_LAST"),"")</f>
        <v/>
      </c>
      <c r="E30" s="25">
        <f>IFERROR(100-$D30,"")</f>
        <v/>
      </c>
      <c r="F30" s="23">
        <f>IFERROR(($E30-'Policy'!$F$9)*Control!$B$11,"")</f>
        <v/>
      </c>
      <c r="G30" s="39">
        <f>IFERROR(('Policy'!$F$9-$E30)/0.25,"")</f>
        <v/>
      </c>
      <c r="H30" s="50">
        <f>IFERROR(BDH($B30,"PX_LAST",Control!$B$15,Control!$B$15),"")</f>
        <v/>
      </c>
      <c r="I30" s="23">
        <f>IFERROR(($H30-$D30)*Control!$B$11,"")</f>
        <v/>
      </c>
      <c r="J30" s="50">
        <f>IFERROR(BDH($B30,"PX_LAST",Control!$B$16,Control!$B$16),"")</f>
        <v/>
      </c>
      <c r="K30" s="23">
        <f>IFERROR(($J30-$D30)*Control!$B$11,"")</f>
        <v/>
      </c>
      <c r="L30" s="51">
        <f>IFERROR(YEAR($C30)*12+MONTH($C30),"")</f>
        <v/>
      </c>
    </row>
    <row r="31">
      <c r="A31" s="9" t="n">
        <v>15</v>
      </c>
      <c r="B31" s="48">
        <f>"FF"&amp;$A31&amp;" Comdty"</f>
        <v/>
      </c>
      <c r="C31" s="49">
        <f>IFERROR(BDP($B31,"LAST_TRADEABLE_DT"),"")</f>
        <v/>
      </c>
      <c r="D31" s="50">
        <f>IFERROR(BDP($B31,"PX_LAST"),"")</f>
        <v/>
      </c>
      <c r="E31" s="25">
        <f>IFERROR(100-$D31,"")</f>
        <v/>
      </c>
      <c r="F31" s="23">
        <f>IFERROR(($E31-'Policy'!$F$9)*Control!$B$11,"")</f>
        <v/>
      </c>
      <c r="G31" s="39">
        <f>IFERROR(('Policy'!$F$9-$E31)/0.25,"")</f>
        <v/>
      </c>
      <c r="H31" s="50">
        <f>IFERROR(BDH($B31,"PX_LAST",Control!$B$15,Control!$B$15),"")</f>
        <v/>
      </c>
      <c r="I31" s="23">
        <f>IFERROR(($H31-$D31)*Control!$B$11,"")</f>
        <v/>
      </c>
      <c r="J31" s="50">
        <f>IFERROR(BDH($B31,"PX_LAST",Control!$B$16,Control!$B$16),"")</f>
        <v/>
      </c>
      <c r="K31" s="23">
        <f>IFERROR(($J31-$D31)*Control!$B$11,"")</f>
        <v/>
      </c>
      <c r="L31" s="51">
        <f>IFERROR(YEAR($C31)*12+MONTH($C31),"")</f>
        <v/>
      </c>
    </row>
    <row r="32">
      <c r="A32" s="9" t="n">
        <v>16</v>
      </c>
      <c r="B32" s="48">
        <f>"FF"&amp;$A32&amp;" Comdty"</f>
        <v/>
      </c>
      <c r="C32" s="49">
        <f>IFERROR(BDP($B32,"LAST_TRADEABLE_DT"),"")</f>
        <v/>
      </c>
      <c r="D32" s="50">
        <f>IFERROR(BDP($B32,"PX_LAST"),"")</f>
        <v/>
      </c>
      <c r="E32" s="25">
        <f>IFERROR(100-$D32,"")</f>
        <v/>
      </c>
      <c r="F32" s="23">
        <f>IFERROR(($E32-'Policy'!$F$9)*Control!$B$11,"")</f>
        <v/>
      </c>
      <c r="G32" s="39">
        <f>IFERROR(('Policy'!$F$9-$E32)/0.25,"")</f>
        <v/>
      </c>
      <c r="H32" s="50">
        <f>IFERROR(BDH($B32,"PX_LAST",Control!$B$15,Control!$B$15),"")</f>
        <v/>
      </c>
      <c r="I32" s="23">
        <f>IFERROR(($H32-$D32)*Control!$B$11,"")</f>
        <v/>
      </c>
      <c r="J32" s="50">
        <f>IFERROR(BDH($B32,"PX_LAST",Control!$B$16,Control!$B$16),"")</f>
        <v/>
      </c>
      <c r="K32" s="23">
        <f>IFERROR(($J32-$D32)*Control!$B$11,"")</f>
        <v/>
      </c>
      <c r="L32" s="51">
        <f>IFERROR(YEAR($C32)*12+MONTH($C32),"")</f>
        <v/>
      </c>
    </row>
    <row r="33">
      <c r="A33" s="9" t="n">
        <v>17</v>
      </c>
      <c r="B33" s="48">
        <f>"FF"&amp;$A33&amp;" Comdty"</f>
        <v/>
      </c>
      <c r="C33" s="49">
        <f>IFERROR(BDP($B33,"LAST_TRADEABLE_DT"),"")</f>
        <v/>
      </c>
      <c r="D33" s="50">
        <f>IFERROR(BDP($B33,"PX_LAST"),"")</f>
        <v/>
      </c>
      <c r="E33" s="25">
        <f>IFERROR(100-$D33,"")</f>
        <v/>
      </c>
      <c r="F33" s="23">
        <f>IFERROR(($E33-'Policy'!$F$9)*Control!$B$11,"")</f>
        <v/>
      </c>
      <c r="G33" s="39">
        <f>IFERROR(('Policy'!$F$9-$E33)/0.25,"")</f>
        <v/>
      </c>
      <c r="H33" s="50">
        <f>IFERROR(BDH($B33,"PX_LAST",Control!$B$15,Control!$B$15),"")</f>
        <v/>
      </c>
      <c r="I33" s="23">
        <f>IFERROR(($H33-$D33)*Control!$B$11,"")</f>
        <v/>
      </c>
      <c r="J33" s="50">
        <f>IFERROR(BDH($B33,"PX_LAST",Control!$B$16,Control!$B$16),"")</f>
        <v/>
      </c>
      <c r="K33" s="23">
        <f>IFERROR(($J33-$D33)*Control!$B$11,"")</f>
        <v/>
      </c>
      <c r="L33" s="51">
        <f>IFERROR(YEAR($C33)*12+MONTH($C33),"")</f>
        <v/>
      </c>
    </row>
    <row r="34">
      <c r="A34" s="9" t="n">
        <v>18</v>
      </c>
      <c r="B34" s="48">
        <f>"FF"&amp;$A34&amp;" Comdty"</f>
        <v/>
      </c>
      <c r="C34" s="49">
        <f>IFERROR(BDP($B34,"LAST_TRADEABLE_DT"),"")</f>
        <v/>
      </c>
      <c r="D34" s="50">
        <f>IFERROR(BDP($B34,"PX_LAST"),"")</f>
        <v/>
      </c>
      <c r="E34" s="25">
        <f>IFERROR(100-$D34,"")</f>
        <v/>
      </c>
      <c r="F34" s="23">
        <f>IFERROR(($E34-'Policy'!$F$9)*Control!$B$11,"")</f>
        <v/>
      </c>
      <c r="G34" s="39">
        <f>IFERROR(('Policy'!$F$9-$E34)/0.25,"")</f>
        <v/>
      </c>
      <c r="H34" s="50">
        <f>IFERROR(BDH($B34,"PX_LAST",Control!$B$15,Control!$B$15),"")</f>
        <v/>
      </c>
      <c r="I34" s="23">
        <f>IFERROR(($H34-$D34)*Control!$B$11,"")</f>
        <v/>
      </c>
      <c r="J34" s="50">
        <f>IFERROR(BDH($B34,"PX_LAST",Control!$B$16,Control!$B$16),"")</f>
        <v/>
      </c>
      <c r="K34" s="23">
        <f>IFERROR(($J34-$D34)*Control!$B$11,"")</f>
        <v/>
      </c>
      <c r="L34" s="51">
        <f>IFERROR(YEAR($C34)*12+MONTH($C34),"")</f>
        <v/>
      </c>
    </row>
    <row r="35">
      <c r="A35" s="10" t="inlineStr">
        <is>
          <t>Δ 1W/1M are in implied-RATE bp (a lower price = a higher implied rate), so a positive number means the market repriced HAWKISH.</t>
        </is>
      </c>
    </row>
    <row r="36">
      <c r="A36" s="18" t="inlineStr">
        <is>
          <t>Market trough (lowest implied avg rate on the strip)</t>
        </is>
      </c>
      <c r="E36" s="45">
        <f>IFERROR(MIN($E$17:$E$34),"")</f>
        <v/>
      </c>
      <c r="F36" s="47">
        <f>IFERROR(($E36-'Policy'!$F$9)*Control!$B$11,"")</f>
        <v/>
      </c>
      <c r="G36" s="52">
        <f>IFERROR(('Policy'!$F$9-$E36)/0.25,"")</f>
        <v/>
      </c>
    </row>
    <row r="38" ht="18" customHeight="1">
      <c r="A38" s="3" t="inlineStr">
        <is>
          <t>MEETING-BY-MEETING IMPLIED PATH  (proper intra-month split)</t>
        </is>
      </c>
      <c r="B38" s="4" t="n"/>
      <c r="C38" s="4" t="n"/>
      <c r="D38" s="4" t="n"/>
      <c r="E38" s="4" t="n"/>
      <c r="F38" s="4" t="n"/>
      <c r="G38" s="4" t="n"/>
      <c r="H38" s="4" t="n"/>
      <c r="I38" s="4" t="n"/>
      <c r="J38" s="4" t="n"/>
      <c r="K38" s="4" t="n"/>
      <c r="L38" s="4" t="n"/>
      <c r="M38" s="4" t="n"/>
    </row>
    <row r="39" ht="28" customHeight="1">
      <c r="A39" s="20" t="inlineStr">
        <is>
          <t>FOMC date</t>
        </is>
      </c>
      <c r="B39" s="20" t="inlineStr">
        <is>
          <t>Status</t>
        </is>
      </c>
      <c r="C39" s="20" t="inlineStr">
        <is>
          <t>Days in month</t>
        </is>
      </c>
      <c r="D39" s="20" t="inlineStr">
        <is>
          <t>Meeting day</t>
        </is>
      </c>
      <c r="E39" s="20" t="inlineStr">
        <is>
          <t>FF avg — meeting month (%)</t>
        </is>
      </c>
      <c r="F39" s="20" t="inlineStr">
        <is>
          <t>FF avg — prior month (%)</t>
        </is>
      </c>
      <c r="G39" s="20" t="inlineStr">
        <is>
          <t>FF avg — next month (%)</t>
        </is>
      </c>
      <c r="H39" s="20" t="inlineStr">
        <is>
          <t>Rate after meeting, exact split (%)</t>
        </is>
      </c>
      <c r="I39" s="20" t="inlineStr">
        <is>
          <t>Move priced (bp)</t>
        </is>
      </c>
      <c r="J39" s="20" t="inlineStr">
        <is>
          <t>Cumulative vs spot (bp)</t>
        </is>
      </c>
      <c r="K39" s="20" t="inlineStr">
        <is>
          <t>Cumulative cuts (25bp, + = easing)</t>
        </is>
      </c>
      <c r="L39" s="20" t="inlineStr">
        <is>
          <t>Split − next-month read (bp)</t>
        </is>
      </c>
      <c r="M39" s="20" t="inlineStr">
        <is>
          <t>Month key</t>
        </is>
      </c>
    </row>
    <row r="40">
      <c r="A40" s="7" t="n">
        <v>46281</v>
      </c>
      <c r="B40" s="53" t="inlineStr">
        <is>
          <t>PLACEHOLDER</t>
        </is>
      </c>
      <c r="C40" s="13">
        <f>DAY(EOMONTH($A40,0))</f>
        <v/>
      </c>
      <c r="D40" s="13">
        <f>DAY($A40)</f>
        <v/>
      </c>
      <c r="E40" s="25">
        <f>IFERROR(INDEX($E$17:$E$34,MATCH((YEAR($A40)*12+MONTH($A40)),$L$17:$L$34,0)),"")</f>
        <v/>
      </c>
      <c r="F40" s="25">
        <f>IFERROR(INDEX($E$17:$E$34,MATCH((YEAR($A40)*12+MONTH($A40))-1,$L$17:$L$34,0)),'Policy'!$F$9)</f>
        <v/>
      </c>
      <c r="G40" s="45">
        <f>IFERROR(INDEX($E$17:$E$34,MATCH((YEAR($A40)*12+MONTH($A40))+1,$L$17:$L$34,0)),"")</f>
        <v/>
      </c>
      <c r="H40" s="25">
        <f>IFERROR(($E40*$C40-$F40*($D40-1))/($C40-$D40+1),"")</f>
        <v/>
      </c>
      <c r="I40" s="47">
        <f>IFERROR(($G40-$F40)*Control!$B$11,"")</f>
        <v/>
      </c>
      <c r="J40" s="23">
        <f>IFERROR(($G40-'Policy'!$F$9)*Control!$B$11,"")</f>
        <v/>
      </c>
      <c r="K40" s="39">
        <f>IFERROR(('Policy'!$F$9-$G40)/0.25,"")</f>
        <v/>
      </c>
      <c r="L40" s="54">
        <f>IFERROR(($H40-$G40)*Control!$B$11,"")</f>
        <v/>
      </c>
      <c r="M40" s="51">
        <f>(YEAR($A40)*12+MONTH($A40))</f>
        <v/>
      </c>
    </row>
    <row r="41">
      <c r="A41" s="7" t="n">
        <v>46323</v>
      </c>
      <c r="B41" s="53" t="inlineStr">
        <is>
          <t>PLACEHOLDER</t>
        </is>
      </c>
      <c r="C41" s="13">
        <f>DAY(EOMONTH($A41,0))</f>
        <v/>
      </c>
      <c r="D41" s="13">
        <f>DAY($A41)</f>
        <v/>
      </c>
      <c r="E41" s="25">
        <f>IFERROR(INDEX($E$17:$E$34,MATCH((YEAR($A41)*12+MONTH($A41)),$L$17:$L$34,0)),"")</f>
        <v/>
      </c>
      <c r="F41" s="25">
        <f>IFERROR(INDEX($E$17:$E$34,MATCH((YEAR($A41)*12+MONTH($A41))-1,$L$17:$L$34,0)),'Policy'!$F$9)</f>
        <v/>
      </c>
      <c r="G41" s="45">
        <f>IFERROR(INDEX($E$17:$E$34,MATCH((YEAR($A41)*12+MONTH($A41))+1,$L$17:$L$34,0)),"")</f>
        <v/>
      </c>
      <c r="H41" s="25">
        <f>IFERROR(($E41*$C41-$F41*($D41-1))/($C41-$D41+1),"")</f>
        <v/>
      </c>
      <c r="I41" s="47">
        <f>IFERROR(($G41-$F41)*Control!$B$11,"")</f>
        <v/>
      </c>
      <c r="J41" s="23">
        <f>IFERROR(($G41-'Policy'!$F$9)*Control!$B$11,"")</f>
        <v/>
      </c>
      <c r="K41" s="39">
        <f>IFERROR(('Policy'!$F$9-$G41)/0.25,"")</f>
        <v/>
      </c>
      <c r="L41" s="54">
        <f>IFERROR(($H41-$G41)*Control!$B$11,"")</f>
        <v/>
      </c>
      <c r="M41" s="51">
        <f>(YEAR($A41)*12+MONTH($A41))</f>
        <v/>
      </c>
    </row>
    <row r="42">
      <c r="A42" s="7" t="n">
        <v>46365</v>
      </c>
      <c r="B42" s="53" t="inlineStr">
        <is>
          <t>PLACEHOLDER</t>
        </is>
      </c>
      <c r="C42" s="13">
        <f>DAY(EOMONTH($A42,0))</f>
        <v/>
      </c>
      <c r="D42" s="13">
        <f>DAY($A42)</f>
        <v/>
      </c>
      <c r="E42" s="25">
        <f>IFERROR(INDEX($E$17:$E$34,MATCH((YEAR($A42)*12+MONTH($A42)),$L$17:$L$34,0)),"")</f>
        <v/>
      </c>
      <c r="F42" s="25">
        <f>IFERROR(INDEX($E$17:$E$34,MATCH((YEAR($A42)*12+MONTH($A42))-1,$L$17:$L$34,0)),'Policy'!$F$9)</f>
        <v/>
      </c>
      <c r="G42" s="45">
        <f>IFERROR(INDEX($E$17:$E$34,MATCH((YEAR($A42)*12+MONTH($A42))+1,$L$17:$L$34,0)),"")</f>
        <v/>
      </c>
      <c r="H42" s="25">
        <f>IFERROR(($E42*$C42-$F42*($D42-1))/($C42-$D42+1),"")</f>
        <v/>
      </c>
      <c r="I42" s="47">
        <f>IFERROR(($G42-$F42)*Control!$B$11,"")</f>
        <v/>
      </c>
      <c r="J42" s="23">
        <f>IFERROR(($G42-'Policy'!$F$9)*Control!$B$11,"")</f>
        <v/>
      </c>
      <c r="K42" s="39">
        <f>IFERROR(('Policy'!$F$9-$G42)/0.25,"")</f>
        <v/>
      </c>
      <c r="L42" s="54">
        <f>IFERROR(($H42-$G42)*Control!$B$11,"")</f>
        <v/>
      </c>
      <c r="M42" s="51">
        <f>(YEAR($A42)*12+MONTH($A42))</f>
        <v/>
      </c>
    </row>
    <row r="43">
      <c r="A43" s="7" t="n">
        <v>46414</v>
      </c>
      <c r="B43" s="53" t="inlineStr">
        <is>
          <t>PLACEHOLDER</t>
        </is>
      </c>
      <c r="C43" s="13">
        <f>DAY(EOMONTH($A43,0))</f>
        <v/>
      </c>
      <c r="D43" s="13">
        <f>DAY($A43)</f>
        <v/>
      </c>
      <c r="E43" s="25">
        <f>IFERROR(INDEX($E$17:$E$34,MATCH((YEAR($A43)*12+MONTH($A43)),$L$17:$L$34,0)),"")</f>
        <v/>
      </c>
      <c r="F43" s="25">
        <f>IFERROR(INDEX($E$17:$E$34,MATCH((YEAR($A43)*12+MONTH($A43))-1,$L$17:$L$34,0)),'Policy'!$F$9)</f>
        <v/>
      </c>
      <c r="G43" s="45">
        <f>IFERROR(INDEX($E$17:$E$34,MATCH((YEAR($A43)*12+MONTH($A43))+1,$L$17:$L$34,0)),"")</f>
        <v/>
      </c>
      <c r="H43" s="25">
        <f>IFERROR(($E43*$C43-$F43*($D43-1))/($C43-$D43+1),"")</f>
        <v/>
      </c>
      <c r="I43" s="47">
        <f>IFERROR(($G43-$F43)*Control!$B$11,"")</f>
        <v/>
      </c>
      <c r="J43" s="23">
        <f>IFERROR(($G43-'Policy'!$F$9)*Control!$B$11,"")</f>
        <v/>
      </c>
      <c r="K43" s="39">
        <f>IFERROR(('Policy'!$F$9-$G43)/0.25,"")</f>
        <v/>
      </c>
      <c r="L43" s="54">
        <f>IFERROR(($H43-$G43)*Control!$B$11,"")</f>
        <v/>
      </c>
      <c r="M43" s="51">
        <f>(YEAR($A43)*12+MONTH($A43))</f>
        <v/>
      </c>
    </row>
    <row r="44">
      <c r="A44" s="7" t="n">
        <v>46463</v>
      </c>
      <c r="B44" s="53" t="inlineStr">
        <is>
          <t>PLACEHOLDER</t>
        </is>
      </c>
      <c r="C44" s="13">
        <f>DAY(EOMONTH($A44,0))</f>
        <v/>
      </c>
      <c r="D44" s="13">
        <f>DAY($A44)</f>
        <v/>
      </c>
      <c r="E44" s="25">
        <f>IFERROR(INDEX($E$17:$E$34,MATCH((YEAR($A44)*12+MONTH($A44)),$L$17:$L$34,0)),"")</f>
        <v/>
      </c>
      <c r="F44" s="25">
        <f>IFERROR(INDEX($E$17:$E$34,MATCH((YEAR($A44)*12+MONTH($A44))-1,$L$17:$L$34,0)),'Policy'!$F$9)</f>
        <v/>
      </c>
      <c r="G44" s="45">
        <f>IFERROR(INDEX($E$17:$E$34,MATCH((YEAR($A44)*12+MONTH($A44))+1,$L$17:$L$34,0)),"")</f>
        <v/>
      </c>
      <c r="H44" s="25">
        <f>IFERROR(($E44*$C44-$F44*($D44-1))/($C44-$D44+1),"")</f>
        <v/>
      </c>
      <c r="I44" s="47">
        <f>IFERROR(($G44-$F44)*Control!$B$11,"")</f>
        <v/>
      </c>
      <c r="J44" s="23">
        <f>IFERROR(($G44-'Policy'!$F$9)*Control!$B$11,"")</f>
        <v/>
      </c>
      <c r="K44" s="39">
        <f>IFERROR(('Policy'!$F$9-$G44)/0.25,"")</f>
        <v/>
      </c>
      <c r="L44" s="54">
        <f>IFERROR(($H44-$G44)*Control!$B$11,"")</f>
        <v/>
      </c>
      <c r="M44" s="51">
        <f>(YEAR($A44)*12+MONTH($A44))</f>
        <v/>
      </c>
    </row>
    <row r="45">
      <c r="A45" s="7" t="n">
        <v>46505</v>
      </c>
      <c r="B45" s="53" t="inlineStr">
        <is>
          <t>PLACEHOLDER</t>
        </is>
      </c>
      <c r="C45" s="13">
        <f>DAY(EOMONTH($A45,0))</f>
        <v/>
      </c>
      <c r="D45" s="13">
        <f>DAY($A45)</f>
        <v/>
      </c>
      <c r="E45" s="25">
        <f>IFERROR(INDEX($E$17:$E$34,MATCH((YEAR($A45)*12+MONTH($A45)),$L$17:$L$34,0)),"")</f>
        <v/>
      </c>
      <c r="F45" s="25">
        <f>IFERROR(INDEX($E$17:$E$34,MATCH((YEAR($A45)*12+MONTH($A45))-1,$L$17:$L$34,0)),'Policy'!$F$9)</f>
        <v/>
      </c>
      <c r="G45" s="45">
        <f>IFERROR(INDEX($E$17:$E$34,MATCH((YEAR($A45)*12+MONTH($A45))+1,$L$17:$L$34,0)),"")</f>
        <v/>
      </c>
      <c r="H45" s="25">
        <f>IFERROR(($E45*$C45-$F45*($D45-1))/($C45-$D45+1),"")</f>
        <v/>
      </c>
      <c r="I45" s="47">
        <f>IFERROR(($G45-$F45)*Control!$B$11,"")</f>
        <v/>
      </c>
      <c r="J45" s="23">
        <f>IFERROR(($G45-'Policy'!$F$9)*Control!$B$11,"")</f>
        <v/>
      </c>
      <c r="K45" s="39">
        <f>IFERROR(('Policy'!$F$9-$G45)/0.25,"")</f>
        <v/>
      </c>
      <c r="L45" s="54">
        <f>IFERROR(($H45-$G45)*Control!$B$11,"")</f>
        <v/>
      </c>
      <c r="M45" s="51">
        <f>(YEAR($A45)*12+MONTH($A45))</f>
        <v/>
      </c>
    </row>
    <row r="46">
      <c r="A46" s="7" t="n">
        <v>46554</v>
      </c>
      <c r="B46" s="53" t="inlineStr">
        <is>
          <t>PLACEHOLDER</t>
        </is>
      </c>
      <c r="C46" s="13">
        <f>DAY(EOMONTH($A46,0))</f>
        <v/>
      </c>
      <c r="D46" s="13">
        <f>DAY($A46)</f>
        <v/>
      </c>
      <c r="E46" s="25">
        <f>IFERROR(INDEX($E$17:$E$34,MATCH((YEAR($A46)*12+MONTH($A46)),$L$17:$L$34,0)),"")</f>
        <v/>
      </c>
      <c r="F46" s="25">
        <f>IFERROR(INDEX($E$17:$E$34,MATCH((YEAR($A46)*12+MONTH($A46))-1,$L$17:$L$34,0)),'Policy'!$F$9)</f>
        <v/>
      </c>
      <c r="G46" s="45">
        <f>IFERROR(INDEX($E$17:$E$34,MATCH((YEAR($A46)*12+MONTH($A46))+1,$L$17:$L$34,0)),"")</f>
        <v/>
      </c>
      <c r="H46" s="25">
        <f>IFERROR(($E46*$C46-$F46*($D46-1))/($C46-$D46+1),"")</f>
        <v/>
      </c>
      <c r="I46" s="47">
        <f>IFERROR(($G46-$F46)*Control!$B$11,"")</f>
        <v/>
      </c>
      <c r="J46" s="23">
        <f>IFERROR(($G46-'Policy'!$F$9)*Control!$B$11,"")</f>
        <v/>
      </c>
      <c r="K46" s="39">
        <f>IFERROR(('Policy'!$F$9-$G46)/0.25,"")</f>
        <v/>
      </c>
      <c r="L46" s="54">
        <f>IFERROR(($H46-$G46)*Control!$B$11,"")</f>
        <v/>
      </c>
      <c r="M46" s="51">
        <f>(YEAR($A46)*12+MONTH($A46))</f>
        <v/>
      </c>
    </row>
    <row r="47">
      <c r="A47" s="7" t="n">
        <v>46596</v>
      </c>
      <c r="B47" s="53" t="inlineStr">
        <is>
          <t>PLACEHOLDER</t>
        </is>
      </c>
      <c r="C47" s="13">
        <f>DAY(EOMONTH($A47,0))</f>
        <v/>
      </c>
      <c r="D47" s="13">
        <f>DAY($A47)</f>
        <v/>
      </c>
      <c r="E47" s="25">
        <f>IFERROR(INDEX($E$17:$E$34,MATCH((YEAR($A47)*12+MONTH($A47)),$L$17:$L$34,0)),"")</f>
        <v/>
      </c>
      <c r="F47" s="25">
        <f>IFERROR(INDEX($E$17:$E$34,MATCH((YEAR($A47)*12+MONTH($A47))-1,$L$17:$L$34,0)),'Policy'!$F$9)</f>
        <v/>
      </c>
      <c r="G47" s="45">
        <f>IFERROR(INDEX($E$17:$E$34,MATCH((YEAR($A47)*12+MONTH($A47))+1,$L$17:$L$34,0)),"")</f>
        <v/>
      </c>
      <c r="H47" s="25">
        <f>IFERROR(($E47*$C47-$F47*($D47-1))/($C47-$D47+1),"")</f>
        <v/>
      </c>
      <c r="I47" s="47">
        <f>IFERROR(($G47-$F47)*Control!$B$11,"")</f>
        <v/>
      </c>
      <c r="J47" s="23">
        <f>IFERROR(($G47-'Policy'!$F$9)*Control!$B$11,"")</f>
        <v/>
      </c>
      <c r="K47" s="39">
        <f>IFERROR(('Policy'!$F$9-$G47)/0.25,"")</f>
        <v/>
      </c>
      <c r="L47" s="54">
        <f>IFERROR(($H47-$G47)*Control!$B$11,"")</f>
        <v/>
      </c>
      <c r="M47" s="51">
        <f>(YEAR($A47)*12+MONTH($A47))</f>
        <v/>
      </c>
    </row>
    <row r="48">
      <c r="A48" s="7" t="n">
        <v>46652</v>
      </c>
      <c r="B48" s="53" t="inlineStr">
        <is>
          <t>PLACEHOLDER</t>
        </is>
      </c>
      <c r="C48" s="13">
        <f>DAY(EOMONTH($A48,0))</f>
        <v/>
      </c>
      <c r="D48" s="13">
        <f>DAY($A48)</f>
        <v/>
      </c>
      <c r="E48" s="25">
        <f>IFERROR(INDEX($E$17:$E$34,MATCH((YEAR($A48)*12+MONTH($A48)),$L$17:$L$34,0)),"")</f>
        <v/>
      </c>
      <c r="F48" s="25">
        <f>IFERROR(INDEX($E$17:$E$34,MATCH((YEAR($A48)*12+MONTH($A48))-1,$L$17:$L$34,0)),'Policy'!$F$9)</f>
        <v/>
      </c>
      <c r="G48" s="45">
        <f>IFERROR(INDEX($E$17:$E$34,MATCH((YEAR($A48)*12+MONTH($A48))+1,$L$17:$L$34,0)),"")</f>
        <v/>
      </c>
      <c r="H48" s="25">
        <f>IFERROR(($E48*$C48-$F48*($D48-1))/($C48-$D48+1),"")</f>
        <v/>
      </c>
      <c r="I48" s="47">
        <f>IFERROR(($G48-$F48)*Control!$B$11,"")</f>
        <v/>
      </c>
      <c r="J48" s="23">
        <f>IFERROR(($G48-'Policy'!$F$9)*Control!$B$11,"")</f>
        <v/>
      </c>
      <c r="K48" s="39">
        <f>IFERROR(('Policy'!$F$9-$G48)/0.25,"")</f>
        <v/>
      </c>
      <c r="L48" s="54">
        <f>IFERROR(($H48-$G48)*Control!$B$11,"")</f>
        <v/>
      </c>
      <c r="M48" s="51">
        <f>(YEAR($A48)*12+MONTH($A48))</f>
        <v/>
      </c>
    </row>
    <row r="49">
      <c r="A49" s="7" t="n">
        <v>46694</v>
      </c>
      <c r="B49" s="53" t="inlineStr">
        <is>
          <t>PLACEHOLDER</t>
        </is>
      </c>
      <c r="C49" s="13">
        <f>DAY(EOMONTH($A49,0))</f>
        <v/>
      </c>
      <c r="D49" s="13">
        <f>DAY($A49)</f>
        <v/>
      </c>
      <c r="E49" s="25">
        <f>IFERROR(INDEX($E$17:$E$34,MATCH((YEAR($A49)*12+MONTH($A49)),$L$17:$L$34,0)),"")</f>
        <v/>
      </c>
      <c r="F49" s="25">
        <f>IFERROR(INDEX($E$17:$E$34,MATCH((YEAR($A49)*12+MONTH($A49))-1,$L$17:$L$34,0)),'Policy'!$F$9)</f>
        <v/>
      </c>
      <c r="G49" s="45">
        <f>IFERROR(INDEX($E$17:$E$34,MATCH((YEAR($A49)*12+MONTH($A49))+1,$L$17:$L$34,0)),"")</f>
        <v/>
      </c>
      <c r="H49" s="25">
        <f>IFERROR(($E49*$C49-$F49*($D49-1))/($C49-$D49+1),"")</f>
        <v/>
      </c>
      <c r="I49" s="47">
        <f>IFERROR(($G49-$F49)*Control!$B$11,"")</f>
        <v/>
      </c>
      <c r="J49" s="23">
        <f>IFERROR(($G49-'Policy'!$F$9)*Control!$B$11,"")</f>
        <v/>
      </c>
      <c r="K49" s="39">
        <f>IFERROR(('Policy'!$F$9-$G49)/0.25,"")</f>
        <v/>
      </c>
      <c r="L49" s="54">
        <f>IFERROR(($H49-$G49)*Control!$B$11,"")</f>
        <v/>
      </c>
      <c r="M49" s="51">
        <f>(YEAR($A49)*12+MONTH($A49))</f>
        <v/>
      </c>
    </row>
    <row r="50">
      <c r="A50" s="7" t="n">
        <v>46736</v>
      </c>
      <c r="B50" s="53" t="inlineStr">
        <is>
          <t>PLACEHOLDER</t>
        </is>
      </c>
      <c r="C50" s="13">
        <f>DAY(EOMONTH($A50,0))</f>
        <v/>
      </c>
      <c r="D50" s="13">
        <f>DAY($A50)</f>
        <v/>
      </c>
      <c r="E50" s="25">
        <f>IFERROR(INDEX($E$17:$E$34,MATCH((YEAR($A50)*12+MONTH($A50)),$L$17:$L$34,0)),"")</f>
        <v/>
      </c>
      <c r="F50" s="25">
        <f>IFERROR(INDEX($E$17:$E$34,MATCH((YEAR($A50)*12+MONTH($A50))-1,$L$17:$L$34,0)),'Policy'!$F$9)</f>
        <v/>
      </c>
      <c r="G50" s="45">
        <f>IFERROR(INDEX($E$17:$E$34,MATCH((YEAR($A50)*12+MONTH($A50))+1,$L$17:$L$34,0)),"")</f>
        <v/>
      </c>
      <c r="H50" s="25">
        <f>IFERROR(($E50*$C50-$F50*($D50-1))/($C50-$D50+1),"")</f>
        <v/>
      </c>
      <c r="I50" s="47">
        <f>IFERROR(($G50-$F50)*Control!$B$11,"")</f>
        <v/>
      </c>
      <c r="J50" s="23">
        <f>IFERROR(($G50-'Policy'!$F$9)*Control!$B$11,"")</f>
        <v/>
      </c>
      <c r="K50" s="39">
        <f>IFERROR(('Policy'!$F$9-$G50)/0.25,"")</f>
        <v/>
      </c>
      <c r="L50" s="54">
        <f>IFERROR(($H50-$G50)*Control!$B$11,"")</f>
        <v/>
      </c>
      <c r="M50" s="51">
        <f>(YEAR($A50)*12+MONTH($A50))</f>
        <v/>
      </c>
    </row>
    <row r="51" ht="32" customHeight="1">
      <c r="A51" s="55" t="inlineStr">
        <is>
          <t>FOMC dates above are PLACEHOLDERS following the usual eight-meeting pattern. Replace column A from the Fed's published calendar (FOMC &lt;GO&gt;) before quoting anything from this block — everything to the right is live and follows column A.</t>
        </is>
      </c>
    </row>
    <row r="52" ht="32" customHeight="1">
      <c r="A52" s="55" t="inlineStr">
        <is>
          <t>Method. A fed funds contract settles on the AVERAGE effective rate over its calendar month, so no single contract is a meeting. Column G reads the rate straight off the first full month after the meeting — stable, and the number to use. Column H is the exact intra-month algebra instead: if a meeting falls on day d of a D-day month, avg = r_before×(d−1)/D + r_after×(D−d+1)/D, solved for r_after. Column L is the gap between the two.</t>
        </is>
      </c>
    </row>
    <row r="53" ht="32" customHeight="1">
      <c r="A53" s="55" t="inlineStr">
        <is>
          <t>Read column L as a noise check, not as a second opinion. A few bp is the usual month-shape effect (and the fact that a decision is effective the day AFTER the meeting). Twenty bp or more means one contract in the strip is stale or the meeting date in column A is wrong.</t>
        </is>
      </c>
    </row>
    <row r="54" ht="32" customHeight="1">
      <c r="A54" s="55" t="inlineStr">
        <is>
          <t>Where a meeting month sits beyond the end of the strip, columns E–H return blank. Lengthen the strip above if you need a longer path.</t>
        </is>
      </c>
    </row>
    <row r="56" ht="18" customHeight="1">
      <c r="A56" s="3" t="inlineStr">
        <is>
          <t>MARKET vs HOUSE</t>
        </is>
      </c>
      <c r="B56" s="4" t="n"/>
      <c r="C56" s="4" t="n"/>
      <c r="D56" s="4" t="n"/>
      <c r="E56" s="4" t="n"/>
      <c r="F56" s="4" t="n"/>
      <c r="G56" s="4" t="n"/>
      <c r="H56" s="4" t="n"/>
      <c r="I56" s="4" t="n"/>
      <c r="J56" s="4" t="n"/>
      <c r="K56" s="4" t="n"/>
      <c r="L56" s="4" t="n"/>
      <c r="M56" s="4" t="n"/>
    </row>
    <row r="57" ht="28" customHeight="1">
      <c r="A57" s="20" t="inlineStr"/>
      <c r="B57" s="20" t="inlineStr">
        <is>
          <t>Level (%)</t>
        </is>
      </c>
      <c r="C57" s="20" t="inlineStr">
        <is>
          <t>vs market (bp)</t>
        </is>
      </c>
      <c r="D57" s="20" t="inlineStr">
        <is>
          <t>Note</t>
        </is>
      </c>
      <c r="E57" s="20" t="inlineStr"/>
      <c r="F57" s="20" t="inlineStr"/>
      <c r="G57" s="20" t="inlineStr"/>
      <c r="H57" s="20" t="inlineStr"/>
      <c r="I57" s="20" t="inlineStr"/>
      <c r="J57" s="20" t="inlineStr"/>
      <c r="K57" s="20" t="inlineStr"/>
      <c r="L57" s="20" t="inlineStr"/>
      <c r="M57" s="20" t="inlineStr"/>
    </row>
    <row r="58">
      <c r="A58" s="8" t="inlineStr">
        <is>
          <t>Market terminal (strip trough)</t>
        </is>
      </c>
      <c r="B58" s="25">
        <f>IFERROR(MIN($E$17:$E$34),"")</f>
        <v/>
      </c>
      <c r="D58" s="17" t="inlineStr">
        <is>
          <t>from the futures strip above</t>
        </is>
      </c>
    </row>
    <row r="59">
      <c r="A59" s="8" t="inlineStr">
        <is>
          <t>Your terminal view</t>
        </is>
      </c>
      <c r="B59" s="12" t="n">
        <v>3.25</v>
      </c>
      <c r="C59" s="23">
        <f>IFERROR(($B59-$B$58)*Control!$B$11,"")</f>
        <v/>
      </c>
      <c r="D59" s="17" t="inlineStr">
        <is>
          <t>yours — type it</t>
        </is>
      </c>
    </row>
    <row r="60">
      <c r="A60" s="8" t="inlineStr">
        <is>
          <t>UBS house terminal view</t>
        </is>
      </c>
      <c r="B60" s="12" t="n">
        <v>3.5</v>
      </c>
      <c r="C60" s="23">
        <f>IFERROR(($B60-$B$58)*Control!$B$11,"")</f>
        <v/>
      </c>
      <c r="D60" s="17" t="inlineStr">
        <is>
          <t>house — type it</t>
        </is>
      </c>
    </row>
    <row r="61">
      <c r="A61" s="8" t="inlineStr">
        <is>
          <t>Spot EFFR</t>
        </is>
      </c>
      <c r="B61" s="25">
        <f>'Policy'!$F$9</f>
        <v/>
      </c>
      <c r="C61" s="23">
        <f>IFERROR(($B61-$B$58)*Control!$B$11,"")</f>
        <v/>
      </c>
      <c r="D61" s="17" t="inlineStr"/>
    </row>
  </sheetData>
  <mergeCells count="4">
    <mergeCell ref="A53:M53"/>
    <mergeCell ref="A54:M54"/>
    <mergeCell ref="A51:M51"/>
    <mergeCell ref="A52:M5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4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2" customWidth="1" min="1" max="1"/>
    <col width="26" customWidth="1" min="2" max="2"/>
    <col width="18" customWidth="1" min="3" max="3"/>
    <col width="13" customWidth="1" min="4" max="4"/>
    <col width="13" customWidth="1" min="5" max="5"/>
    <col width="13" customWidth="1" min="6" max="6"/>
    <col width="12" customWidth="1" min="7" max="7"/>
    <col width="8" customWidth="1" min="8" max="8"/>
    <col width="62"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c r="A1" s="1" t="inlineStr">
        <is>
          <t>FUNDING &amp; LIQUIDITY</t>
        </is>
      </c>
    </row>
    <row r="2">
      <c r="A2" s="2" t="inlineStr">
        <is>
          <t>Two questions: is cash getting scarce (funding block), and is the Treasury market able to absorb risk (market-capacity block).</t>
        </is>
      </c>
    </row>
    <row r="4" ht="18" customHeight="1">
      <c r="A4" s="3" t="inlineStr">
        <is>
          <t>FUNDING RATES vs THE CORRIDOR</t>
        </is>
      </c>
      <c r="B4" s="4" t="n"/>
      <c r="C4" s="4" t="n"/>
      <c r="D4" s="4" t="n"/>
      <c r="E4" s="4" t="n"/>
      <c r="F4" s="4" t="n"/>
      <c r="G4" s="4" t="n"/>
      <c r="H4" s="4" t="n"/>
      <c r="I4" s="4" t="n"/>
      <c r="J4" s="4" t="n"/>
      <c r="K4" s="4" t="n"/>
      <c r="L4" s="4" t="n"/>
      <c r="M4" s="4" t="n"/>
    </row>
    <row r="5" ht="28" customHeight="1">
      <c r="A5" s="20" t="inlineStr">
        <is>
          <t>Item</t>
        </is>
      </c>
      <c r="B5" s="20" t="inlineStr">
        <is>
          <t>Bloomberg ticker</t>
        </is>
      </c>
      <c r="C5" s="20" t="inlineStr">
        <is>
          <t>Field</t>
        </is>
      </c>
      <c r="D5" s="20" t="inlineStr">
        <is>
          <t>Live pull</t>
        </is>
      </c>
      <c r="E5" s="20" t="inlineStr">
        <is>
          <t>Your fallback</t>
        </is>
      </c>
      <c r="F5" s="20" t="inlineStr">
        <is>
          <t>Used</t>
        </is>
      </c>
      <c r="G5" s="20" t="inlineStr">
        <is>
          <t>Status</t>
        </is>
      </c>
      <c r="H5" s="20" t="inlineStr">
        <is>
          <t>Unit</t>
        </is>
      </c>
      <c r="I5" s="20" t="inlineStr">
        <is>
          <t>Note</t>
        </is>
      </c>
    </row>
    <row r="6">
      <c r="A6" s="8" t="inlineStr">
        <is>
          <t>SOFR</t>
        </is>
      </c>
      <c r="B6" s="14" t="inlineStr">
        <is>
          <t>SOFRRATE Index</t>
        </is>
      </c>
      <c r="C6" s="43" t="inlineStr">
        <is>
          <t>PX_LAST</t>
        </is>
      </c>
      <c r="D6" s="44">
        <f>IFERROR(BDP($B6,$C6),"")</f>
        <v/>
      </c>
      <c r="E6" s="12" t="n">
        <v>4.1</v>
      </c>
      <c r="F6" s="45">
        <f>IF(ISNUMBER($D6),$D6,$E6)</f>
        <v/>
      </c>
      <c r="G6" s="46">
        <f>IF(ISNUMBER($D6),"LIVE","FALLBACK")</f>
        <v/>
      </c>
      <c r="H6" s="27" t="inlineStr">
        <is>
          <t>%</t>
        </is>
      </c>
      <c r="I6" s="17" t="inlineStr">
        <is>
          <t>secured, the benchmark</t>
        </is>
      </c>
    </row>
    <row r="7">
      <c r="A7" s="8" t="inlineStr">
        <is>
          <t>SOFR 99th percentile</t>
        </is>
      </c>
      <c r="B7" s="14" t="inlineStr">
        <is>
          <t>SOFR99 Index</t>
        </is>
      </c>
      <c r="C7" s="43" t="inlineStr">
        <is>
          <t>PX_LAST</t>
        </is>
      </c>
      <c r="D7" s="44">
        <f>IFERROR(BDP($B7,$C7),"")</f>
        <v/>
      </c>
      <c r="E7" s="12" t="n">
        <v>4.2</v>
      </c>
      <c r="F7" s="45">
        <f>IF(ISNUMBER($D7),$D7,$E7)</f>
        <v/>
      </c>
      <c r="G7" s="46">
        <f>IF(ISNUMBER($D7),"LIVE","FALLBACK")</f>
        <v/>
      </c>
      <c r="H7" s="27" t="inlineStr">
        <is>
          <t>%</t>
        </is>
      </c>
      <c r="I7" s="17" t="inlineStr">
        <is>
          <t>VERIFY — tail prints are the early warning</t>
        </is>
      </c>
    </row>
    <row r="8">
      <c r="A8" s="8" t="inlineStr">
        <is>
          <t>Broad general collateral (BGCR)</t>
        </is>
      </c>
      <c r="B8" s="14" t="inlineStr">
        <is>
          <t>BGCRATE Index</t>
        </is>
      </c>
      <c r="C8" s="43" t="inlineStr">
        <is>
          <t>PX_LAST</t>
        </is>
      </c>
      <c r="D8" s="44">
        <f>IFERROR(BDP($B8,$C8),"")</f>
        <v/>
      </c>
      <c r="E8" s="12" t="n">
        <v>4.09</v>
      </c>
      <c r="F8" s="45">
        <f>IF(ISNUMBER($D8),$D8,$E8)</f>
        <v/>
      </c>
      <c r="G8" s="46">
        <f>IF(ISNUMBER($D8),"LIVE","FALLBACK")</f>
        <v/>
      </c>
      <c r="H8" s="27" t="inlineStr">
        <is>
          <t>%</t>
        </is>
      </c>
      <c r="I8" s="17" t="inlineStr">
        <is>
          <t>VERIFY</t>
        </is>
      </c>
    </row>
    <row r="9">
      <c r="A9" s="8" t="inlineStr">
        <is>
          <t>Tri-party general collateral (TGCR)</t>
        </is>
      </c>
      <c r="B9" s="14" t="inlineStr">
        <is>
          <t>TGCRATE Index</t>
        </is>
      </c>
      <c r="C9" s="43" t="inlineStr">
        <is>
          <t>PX_LAST</t>
        </is>
      </c>
      <c r="D9" s="44">
        <f>IFERROR(BDP($B9,$C9),"")</f>
        <v/>
      </c>
      <c r="E9" s="12" t="n">
        <v>4.08</v>
      </c>
      <c r="F9" s="45">
        <f>IF(ISNUMBER($D9),$D9,$E9)</f>
        <v/>
      </c>
      <c r="G9" s="46">
        <f>IF(ISNUMBER($D9),"LIVE","FALLBACK")</f>
        <v/>
      </c>
      <c r="H9" s="27" t="inlineStr">
        <is>
          <t>%</t>
        </is>
      </c>
      <c r="I9" s="17" t="inlineStr">
        <is>
          <t>VERIFY</t>
        </is>
      </c>
    </row>
    <row r="10">
      <c r="A10" s="8" t="inlineStr">
        <is>
          <t>EFFR</t>
        </is>
      </c>
      <c r="B10" s="14" t="inlineStr">
        <is>
          <t>FEDL01 Index</t>
        </is>
      </c>
      <c r="C10" s="43" t="inlineStr">
        <is>
          <t>PX_LAST</t>
        </is>
      </c>
      <c r="D10" s="44">
        <f>IFERROR(BDP($B10,$C10),"")</f>
        <v/>
      </c>
      <c r="E10" s="12" t="n">
        <v>4.08</v>
      </c>
      <c r="F10" s="45">
        <f>IF(ISNUMBER($D10),$D10,$E10)</f>
        <v/>
      </c>
      <c r="G10" s="46">
        <f>IF(ISNUMBER($D10),"LIVE","FALLBACK")</f>
        <v/>
      </c>
      <c r="H10" s="27" t="inlineStr">
        <is>
          <t>%</t>
        </is>
      </c>
      <c r="I10" s="17" t="inlineStr">
        <is>
          <t>unsecured</t>
        </is>
      </c>
    </row>
    <row r="11">
      <c r="A11" s="8" t="inlineStr">
        <is>
          <t>OBFR</t>
        </is>
      </c>
      <c r="B11" s="14" t="inlineStr">
        <is>
          <t>OBFR01 Index</t>
        </is>
      </c>
      <c r="C11" s="43" t="inlineStr">
        <is>
          <t>PX_LAST</t>
        </is>
      </c>
      <c r="D11" s="44">
        <f>IFERROR(BDP($B11,$C11),"")</f>
        <v/>
      </c>
      <c r="E11" s="12" t="n">
        <v>4.08</v>
      </c>
      <c r="F11" s="45">
        <f>IF(ISNUMBER($D11),$D11,$E11)</f>
        <v/>
      </c>
      <c r="G11" s="46">
        <f>IF(ISNUMBER($D11),"LIVE","FALLBACK")</f>
        <v/>
      </c>
      <c r="H11" s="27" t="inlineStr">
        <is>
          <t>%</t>
        </is>
      </c>
      <c r="I11" s="17" t="inlineStr">
        <is>
          <t>VERIFY — broader unsecured</t>
        </is>
      </c>
    </row>
    <row r="12">
      <c r="A12" s="8" t="inlineStr">
        <is>
          <t>Interest on reserve balances</t>
        </is>
      </c>
      <c r="B12" s="14" t="inlineStr">
        <is>
          <t>IORB Index</t>
        </is>
      </c>
      <c r="C12" s="43" t="inlineStr">
        <is>
          <t>PX_LAST</t>
        </is>
      </c>
      <c r="D12" s="44">
        <f>IFERROR(BDP($B12,$C12),"")</f>
        <v/>
      </c>
      <c r="E12" s="12" t="n">
        <v>4.15</v>
      </c>
      <c r="F12" s="45">
        <f>IF(ISNUMBER($D12),$D12,$E12)</f>
        <v/>
      </c>
      <c r="G12" s="46">
        <f>IF(ISNUMBER($D12),"LIVE","FALLBACK")</f>
        <v/>
      </c>
      <c r="H12" s="27" t="inlineStr">
        <is>
          <t>%</t>
        </is>
      </c>
      <c r="I12" s="17" t="inlineStr">
        <is>
          <t>VERIFY — the ceiling that matters</t>
        </is>
      </c>
    </row>
    <row r="13">
      <c r="A13" s="8" t="inlineStr">
        <is>
          <t>ON RRP offering rate</t>
        </is>
      </c>
      <c r="B13" s="14" t="inlineStr">
        <is>
          <t>RRPRATE Index</t>
        </is>
      </c>
      <c r="C13" s="43" t="inlineStr">
        <is>
          <t>PX_LAST</t>
        </is>
      </c>
      <c r="D13" s="44">
        <f>IFERROR(BDP($B13,$C13),"")</f>
        <v/>
      </c>
      <c r="E13" s="12" t="n">
        <v>4</v>
      </c>
      <c r="F13" s="45">
        <f>IF(ISNUMBER($D13),$D13,$E13)</f>
        <v/>
      </c>
      <c r="G13" s="46">
        <f>IF(ISNUMBER($D13),"LIVE","FALLBACK")</f>
        <v/>
      </c>
      <c r="H13" s="27" t="inlineStr">
        <is>
          <t>%</t>
        </is>
      </c>
      <c r="I13" s="17" t="inlineStr">
        <is>
          <t>VERIFY — the floor</t>
        </is>
      </c>
    </row>
    <row r="15">
      <c r="A15" s="8" t="inlineStr">
        <is>
          <t>SOFR − IORB (bp)</t>
        </is>
      </c>
      <c r="F15" s="47">
        <f>($F$6-$F$12)*Control!$B$11</f>
        <v/>
      </c>
      <c r="I15" s="17" t="inlineStr">
        <is>
          <t>the cleanest scarcity signal; persistent positives are the story</t>
        </is>
      </c>
    </row>
    <row r="16">
      <c r="A16" s="8" t="inlineStr">
        <is>
          <t>EFFR − IORB (bp)</t>
        </is>
      </c>
      <c r="F16" s="47">
        <f>($F$10-$F$12)*Control!$B$11</f>
        <v/>
      </c>
      <c r="I16" s="17" t="inlineStr">
        <is>
          <t>unsecured side of the same question</t>
        </is>
      </c>
    </row>
    <row r="17">
      <c r="A17" s="8" t="inlineStr">
        <is>
          <t>SOFR − ON RRP (bp)</t>
        </is>
      </c>
      <c r="F17" s="47">
        <f>($F$6-$F$13)*Control!$B$11</f>
        <v/>
      </c>
      <c r="I17" s="17" t="inlineStr">
        <is>
          <t>how far repo sits above the floor</t>
        </is>
      </c>
    </row>
    <row r="18">
      <c r="A18" s="8" t="inlineStr">
        <is>
          <t>SOFR − EFFR (bp)</t>
        </is>
      </c>
      <c r="F18" s="47">
        <f>($F$6-$F$10)*Control!$B$11</f>
        <v/>
      </c>
      <c r="I18" s="17" t="inlineStr">
        <is>
          <t>secured vs unsecured; widens when collateral is heavy</t>
        </is>
      </c>
    </row>
    <row r="20" ht="18" customHeight="1">
      <c r="A20" s="3" t="inlineStr">
        <is>
          <t>THE LIQUIDITY STOCK  (H.4.1 / Fed, weekly — treat the dates with care)</t>
        </is>
      </c>
      <c r="B20" s="4" t="n"/>
      <c r="C20" s="4" t="n"/>
      <c r="D20" s="4" t="n"/>
      <c r="E20" s="4" t="n"/>
      <c r="F20" s="4" t="n"/>
      <c r="G20" s="4" t="n"/>
      <c r="H20" s="4" t="n"/>
      <c r="I20" s="4" t="n"/>
      <c r="J20" s="4" t="n"/>
      <c r="K20" s="4" t="n"/>
      <c r="L20" s="4" t="n"/>
      <c r="M20" s="4" t="n"/>
    </row>
    <row r="21" ht="28" customHeight="1">
      <c r="A21" s="20" t="inlineStr">
        <is>
          <t>Item</t>
        </is>
      </c>
      <c r="B21" s="20" t="inlineStr">
        <is>
          <t>Bloomberg ticker</t>
        </is>
      </c>
      <c r="C21" s="20" t="inlineStr">
        <is>
          <t>Field</t>
        </is>
      </c>
      <c r="D21" s="20" t="inlineStr">
        <is>
          <t>Live pull</t>
        </is>
      </c>
      <c r="E21" s="20" t="inlineStr">
        <is>
          <t>Your fallback</t>
        </is>
      </c>
      <c r="F21" s="20" t="inlineStr">
        <is>
          <t>Used</t>
        </is>
      </c>
      <c r="G21" s="20" t="inlineStr">
        <is>
          <t>Status</t>
        </is>
      </c>
      <c r="H21" s="20" t="inlineStr">
        <is>
          <t>Unit</t>
        </is>
      </c>
      <c r="I21" s="20" t="inlineStr">
        <is>
          <t>Note</t>
        </is>
      </c>
    </row>
    <row r="22">
      <c r="A22" s="8" t="inlineStr">
        <is>
          <t>Fed total assets</t>
        </is>
      </c>
      <c r="B22" s="14" t="inlineStr">
        <is>
          <t>FARBAST Index</t>
        </is>
      </c>
      <c r="C22" s="43" t="inlineStr">
        <is>
          <t>PX_LAST</t>
        </is>
      </c>
      <c r="D22" s="56">
        <f>IFERROR(BDP($B22,$C22),"")</f>
        <v/>
      </c>
      <c r="E22" s="9" t="n">
        <v>6600000</v>
      </c>
      <c r="F22" s="57">
        <f>IF(ISNUMBER($D22),$D22,$E22)</f>
        <v/>
      </c>
      <c r="G22" s="46">
        <f>IF(ISNUMBER($D22),"LIVE","FALLBACK")</f>
        <v/>
      </c>
      <c r="H22" s="27" t="inlineStr">
        <is>
          <t>$mn</t>
        </is>
      </c>
      <c r="I22" s="17" t="inlineStr">
        <is>
          <t>VERIFY</t>
        </is>
      </c>
    </row>
    <row r="23">
      <c r="A23" s="8" t="inlineStr">
        <is>
          <t>Reserve balances at the Fed</t>
        </is>
      </c>
      <c r="B23" s="14" t="inlineStr">
        <is>
          <t>FARBREBA Index</t>
        </is>
      </c>
      <c r="C23" s="43" t="inlineStr">
        <is>
          <t>PX_LAST</t>
        </is>
      </c>
      <c r="D23" s="56">
        <f>IFERROR(BDP($B23,$C23),"")</f>
        <v/>
      </c>
      <c r="E23" s="9" t="n">
        <v>3000000</v>
      </c>
      <c r="F23" s="57">
        <f>IF(ISNUMBER($D23),$D23,$E23)</f>
        <v/>
      </c>
      <c r="G23" s="46">
        <f>IF(ISNUMBER($D23),"LIVE","FALLBACK")</f>
        <v/>
      </c>
      <c r="H23" s="27" t="inlineStr">
        <is>
          <t>$mn</t>
        </is>
      </c>
      <c r="I23" s="17" t="inlineStr">
        <is>
          <t>VERIFY</t>
        </is>
      </c>
    </row>
    <row r="24">
      <c r="A24" s="8" t="inlineStr">
        <is>
          <t>Treasury General Account</t>
        </is>
      </c>
      <c r="B24" s="14" t="inlineStr">
        <is>
          <t>FDTRGENA Index</t>
        </is>
      </c>
      <c r="C24" s="43" t="inlineStr">
        <is>
          <t>PX_LAST</t>
        </is>
      </c>
      <c r="D24" s="56">
        <f>IFERROR(BDP($B24,$C24),"")</f>
        <v/>
      </c>
      <c r="E24" s="9" t="n">
        <v>700000</v>
      </c>
      <c r="F24" s="57">
        <f>IF(ISNUMBER($D24),$D24,$E24)</f>
        <v/>
      </c>
      <c r="G24" s="46">
        <f>IF(ISNUMBER($D24),"LIVE","FALLBACK")</f>
        <v/>
      </c>
      <c r="H24" s="27" t="inlineStr">
        <is>
          <t>$mn</t>
        </is>
      </c>
      <c r="I24" s="17" t="inlineStr">
        <is>
          <t>VERIFY</t>
        </is>
      </c>
    </row>
    <row r="25">
      <c r="A25" s="8" t="inlineStr">
        <is>
          <t>ON RRP volume</t>
        </is>
      </c>
      <c r="B25" s="14" t="inlineStr">
        <is>
          <t>RRPONTSY Index</t>
        </is>
      </c>
      <c r="C25" s="43" t="inlineStr">
        <is>
          <t>PX_LAST</t>
        </is>
      </c>
      <c r="D25" s="56">
        <f>IFERROR(BDP($B25,$C25),"")</f>
        <v/>
      </c>
      <c r="E25" s="9" t="n">
        <v>25000</v>
      </c>
      <c r="F25" s="57">
        <f>IF(ISNUMBER($D25),$D25,$E25)</f>
        <v/>
      </c>
      <c r="G25" s="46">
        <f>IF(ISNUMBER($D25),"LIVE","FALLBACK")</f>
        <v/>
      </c>
      <c r="H25" s="27" t="inlineStr">
        <is>
          <t>$mn</t>
        </is>
      </c>
      <c r="I25" s="17" t="inlineStr">
        <is>
          <t>VERIFY — the shock absorber</t>
        </is>
      </c>
    </row>
    <row r="26">
      <c r="A26" s="8" t="inlineStr">
        <is>
          <t>Standing Repo Facility usage</t>
        </is>
      </c>
      <c r="B26" s="14" t="inlineStr">
        <is>
          <t>FARBSRFO Index</t>
        </is>
      </c>
      <c r="C26" s="43" t="inlineStr">
        <is>
          <t>PX_LAST</t>
        </is>
      </c>
      <c r="D26" s="56">
        <f>IFERROR(BDP($B26,$C26),"")</f>
        <v/>
      </c>
      <c r="E26" s="9" t="n">
        <v>0</v>
      </c>
      <c r="F26" s="57">
        <f>IF(ISNUMBER($D26),$D26,$E26)</f>
        <v/>
      </c>
      <c r="G26" s="46">
        <f>IF(ISNUMBER($D26),"LIVE","FALLBACK")</f>
        <v/>
      </c>
      <c r="H26" s="27" t="inlineStr">
        <is>
          <t>$mn</t>
        </is>
      </c>
      <c r="I26" s="17" t="inlineStr">
        <is>
          <t>VERIFY — non-zero is a real signal</t>
        </is>
      </c>
    </row>
    <row r="28">
      <c r="A28" s="21" t="inlineStr">
        <is>
          <t>"Net liquidity" = Fed assets − TGA − ON RRP</t>
        </is>
      </c>
      <c r="F28" s="57">
        <f>$F$22-$F$24-$F$25</f>
        <v/>
      </c>
      <c r="I28" s="10" t="inlineStr">
        <is>
          <t>A heuristic, not an identity. It is popular because it tracked risk assets for a few years, not because it is a balance-sheet truth. Use the direction, not the level.</t>
        </is>
      </c>
    </row>
    <row r="29">
      <c r="A29" s="8" t="inlineStr">
        <is>
          <t>Reserves + RRP (the actual cash buffer)</t>
        </is>
      </c>
      <c r="F29" s="57">
        <f>$F$23+$F$25</f>
        <v/>
      </c>
      <c r="I29" s="10" t="inlineStr">
        <is>
          <t>When RRP is near zero, every further drain comes straight out of reserves. That is when funding spreads start moving.</t>
        </is>
      </c>
    </row>
    <row r="31" ht="18" customHeight="1">
      <c r="A31" s="3" t="inlineStr">
        <is>
          <t>MARKET CAPACITY  (can the Treasury market absorb risk?)</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28" customHeight="1">
      <c r="A32" s="20" t="inlineStr">
        <is>
          <t>Instrument</t>
        </is>
      </c>
      <c r="B32" s="20" t="inlineStr">
        <is>
          <t>Source</t>
        </is>
      </c>
      <c r="C32" s="20" t="inlineStr">
        <is>
          <t>Unit</t>
        </is>
      </c>
      <c r="D32" s="20" t="inlineStr">
        <is>
          <t>Level</t>
        </is>
      </c>
      <c r="E32" s="20" t="inlineStr">
        <is>
          <t>1D</t>
        </is>
      </c>
      <c r="F32" s="20" t="inlineStr">
        <is>
          <t>1W</t>
        </is>
      </c>
      <c r="G32" s="20" t="inlineStr">
        <is>
          <t>1M</t>
        </is>
      </c>
      <c r="H32" s="20" t="inlineStr">
        <is>
          <t>3M</t>
        </is>
      </c>
      <c r="I32" s="20" t="inlineStr">
        <is>
          <t>6M</t>
        </is>
      </c>
      <c r="J32" s="20" t="inlineStr">
        <is>
          <t>YTD</t>
        </is>
      </c>
      <c r="K32" s="20" t="inlineStr">
        <is>
          <t>1Y</t>
        </is>
      </c>
      <c r="L32" s="20" t="inlineStr">
        <is>
          <t>1y min</t>
        </is>
      </c>
      <c r="M32" s="20" t="inlineStr">
        <is>
          <t>1y max</t>
        </is>
      </c>
      <c r="N32" s="20" t="inlineStr">
        <is>
          <t>%ile 1y</t>
        </is>
      </c>
      <c r="O32" s="20" t="inlineStr">
        <is>
          <t>%ile 3y</t>
        </is>
      </c>
      <c r="P32" s="20" t="inlineStr">
        <is>
          <t>%ile 5y</t>
        </is>
      </c>
      <c r="Q32" s="20" t="inlineStr">
        <is>
          <t>%ile 10y</t>
        </is>
      </c>
      <c r="R32" s="20" t="inlineStr">
        <is>
          <t>%ile 25y</t>
        </is>
      </c>
      <c r="S32" s="20" t="inlineStr">
        <is>
          <t>z (5y)</t>
        </is>
      </c>
    </row>
    <row r="33">
      <c r="A33" s="8" t="inlineStr">
        <is>
          <t>MOVE (rates vol)</t>
        </is>
      </c>
      <c r="B33" s="16">
        <f>Tickers!$C$32</f>
        <v/>
      </c>
      <c r="C33" s="27" t="inlineStr">
        <is>
          <t>bp</t>
        </is>
      </c>
      <c r="D33" s="26">
        <f>INDEX(HIST_D!$AB$8:$AB$2617,1)</f>
        <v/>
      </c>
      <c r="E33" s="23">
        <f>IFERROR((INDEX(HIST_D!$AB$8:$AB$2617,1)-INDEX(HIST_D!$AB$8:$AB$2617,Control!$F$6))*1,"")</f>
        <v/>
      </c>
      <c r="F33" s="23">
        <f>IFERROR((INDEX(HIST_D!$AB$8:$AB$2617,1)-INDEX(HIST_D!$AB$8:$AB$2617,Control!$F$7))*1,"")</f>
        <v/>
      </c>
      <c r="G33" s="23">
        <f>IFERROR((INDEX(HIST_D!$AB$8:$AB$2617,1)-INDEX(HIST_D!$AB$8:$AB$2617,Control!$F$8))*1,"")</f>
        <v/>
      </c>
      <c r="H33" s="23">
        <f>IFERROR((INDEX(HIST_D!$AB$8:$AB$2617,1)-INDEX(HIST_D!$AB$8:$AB$2617,Control!$F$9))*1,"")</f>
        <v/>
      </c>
      <c r="I33" s="23">
        <f>IFERROR((INDEX(HIST_D!$AB$8:$AB$2617,1)-INDEX(HIST_D!$AB$8:$AB$2617,Control!$F$10))*1,"")</f>
        <v/>
      </c>
      <c r="J33" s="23">
        <f>IFERROR((INDEX(HIST_D!$AB$8:$AB$2617,1)-INDEX(HIST_D!$AB$8:$AB$2617,Control!$F$16))*1,"")</f>
        <v/>
      </c>
      <c r="K33" s="23">
        <f>IFERROR((INDEX(HIST_D!$AB$8:$AB$2617,1)-INDEX(HIST_D!$AB$8:$AB$2617,Control!$F$11))*1,"")</f>
        <v/>
      </c>
      <c r="L33" s="40">
        <f>IFERROR(MIN(HIST_D!$AB$8:INDEX(HIST_D!$AB$8:$AB$2617,Control!$F$11)),"")</f>
        <v/>
      </c>
      <c r="M33" s="40">
        <f>IFERROR(MAX(HIST_D!$AB$8:INDEX(HIST_D!$AB$8:$AB$2617,Control!$F$11)),"")</f>
        <v/>
      </c>
      <c r="N33" s="24">
        <f>IFERROR(PERCENTRANK(HIST_D!$AB$8:INDEX(HIST_D!$AB$8:$AB$2617,Control!$F$11),INDEX(HIST_D!$AB$8:$AB$2617,1)),"")</f>
        <v/>
      </c>
      <c r="O33" s="24">
        <f>IFERROR(PERCENTRANK(HIST_D!$AB$8:INDEX(HIST_D!$AB$8:$AB$2617,Control!$F$13),INDEX(HIST_D!$AB$8:$AB$2617,1)),"")</f>
        <v/>
      </c>
      <c r="P33" s="24">
        <f>IFERROR(PERCENTRANK(HIST_D!$AB$8:INDEX(HIST_D!$AB$8:$AB$2617,Control!$F$14),INDEX(HIST_D!$AB$8:$AB$2617,1)),"")</f>
        <v/>
      </c>
      <c r="Q33" s="24">
        <f>IFERROR(PERCENTRANK(HIST_D!$AB$8:INDEX(HIST_D!$AB$8:$AB$2617,Control!$F$15),INDEX(HIST_D!$AB$8:$AB$2617,1)),"")</f>
        <v/>
      </c>
      <c r="R33" s="24">
        <f>IFERROR(PERCENTRANK(HIST_M!$I$8:$I$308,INDEX(HIST_D!$AB$8:$AB$2617,1)),"")</f>
        <v/>
      </c>
      <c r="S33" s="25">
        <f>IFERROR((INDEX(HIST_D!$AB$8:$AB$2617,1)-AVERAGE(HIST_D!$AB$8:INDEX(HIST_D!$AB$8:$AB$2617,Control!$F$14)))/STDEV(HIST_D!$AB$8:INDEX(HIST_D!$AB$8:$AB$2617,Control!$F$14)),"")</f>
        <v/>
      </c>
    </row>
    <row r="34">
      <c r="A34" s="8" t="inlineStr">
        <is>
          <t>Swap spread 10Y</t>
        </is>
      </c>
      <c r="B34" s="17" t="inlineStr">
        <is>
          <t>derived on HIST_D</t>
        </is>
      </c>
      <c r="C34" s="27" t="inlineStr">
        <is>
          <t>bp</t>
        </is>
      </c>
      <c r="D34" s="26">
        <f>INDEX(HIST_D!$BE$8:$BE$2617,1)</f>
        <v/>
      </c>
      <c r="E34" s="23">
        <f>IFERROR((INDEX(HIST_D!$BE$8:$BE$2617,1)-INDEX(HIST_D!$BE$8:$BE$2617,Control!$F$6))*1,"")</f>
        <v/>
      </c>
      <c r="F34" s="23">
        <f>IFERROR((INDEX(HIST_D!$BE$8:$BE$2617,1)-INDEX(HIST_D!$BE$8:$BE$2617,Control!$F$7))*1,"")</f>
        <v/>
      </c>
      <c r="G34" s="23">
        <f>IFERROR((INDEX(HIST_D!$BE$8:$BE$2617,1)-INDEX(HIST_D!$BE$8:$BE$2617,Control!$F$8))*1,"")</f>
        <v/>
      </c>
      <c r="H34" s="23">
        <f>IFERROR((INDEX(HIST_D!$BE$8:$BE$2617,1)-INDEX(HIST_D!$BE$8:$BE$2617,Control!$F$9))*1,"")</f>
        <v/>
      </c>
      <c r="I34" s="23">
        <f>IFERROR((INDEX(HIST_D!$BE$8:$BE$2617,1)-INDEX(HIST_D!$BE$8:$BE$2617,Control!$F$10))*1,"")</f>
        <v/>
      </c>
      <c r="J34" s="23">
        <f>IFERROR((INDEX(HIST_D!$BE$8:$BE$2617,1)-INDEX(HIST_D!$BE$8:$BE$2617,Control!$F$16))*1,"")</f>
        <v/>
      </c>
      <c r="K34" s="23">
        <f>IFERROR((INDEX(HIST_D!$BE$8:$BE$2617,1)-INDEX(HIST_D!$BE$8:$BE$2617,Control!$F$11))*1,"")</f>
        <v/>
      </c>
      <c r="L34" s="40">
        <f>IFERROR(MIN(HIST_D!$BE$8:INDEX(HIST_D!$BE$8:$BE$2617,Control!$F$11)),"")</f>
        <v/>
      </c>
      <c r="M34" s="40">
        <f>IFERROR(MAX(HIST_D!$BE$8:INDEX(HIST_D!$BE$8:$BE$2617,Control!$F$11)),"")</f>
        <v/>
      </c>
      <c r="N34" s="24">
        <f>IFERROR(PERCENTRANK(HIST_D!$BE$8:INDEX(HIST_D!$BE$8:$BE$2617,Control!$F$11),INDEX(HIST_D!$BE$8:$BE$2617,1)),"")</f>
        <v/>
      </c>
      <c r="O34" s="24">
        <f>IFERROR(PERCENTRANK(HIST_D!$BE$8:INDEX(HIST_D!$BE$8:$BE$2617,Control!$F$13),INDEX(HIST_D!$BE$8:$BE$2617,1)),"")</f>
        <v/>
      </c>
      <c r="P34" s="24">
        <f>IFERROR(PERCENTRANK(HIST_D!$BE$8:INDEX(HIST_D!$BE$8:$BE$2617,Control!$F$14),INDEX(HIST_D!$BE$8:$BE$2617,1)),"")</f>
        <v/>
      </c>
      <c r="Q34" s="24">
        <f>IFERROR(PERCENTRANK(HIST_D!$BE$8:INDEX(HIST_D!$BE$8:$BE$2617,Control!$F$15),INDEX(HIST_D!$BE$8:$BE$2617,1)),"")</f>
        <v/>
      </c>
      <c r="R34" s="27" t="inlineStr"/>
      <c r="S34" s="25">
        <f>IFERROR((INDEX(HIST_D!$BE$8:$BE$2617,1)-AVERAGE(HIST_D!$BE$8:INDEX(HIST_D!$BE$8:$BE$2617,Control!$F$14)))/STDEV(HIST_D!$BE$8:INDEX(HIST_D!$BE$8:$BE$2617,Control!$F$14)),"")</f>
        <v/>
      </c>
    </row>
    <row r="35">
      <c r="A35" s="8" t="inlineStr">
        <is>
          <t>Swap spread 30Y</t>
        </is>
      </c>
      <c r="B35" s="17" t="inlineStr">
        <is>
          <t>derived on HIST_D</t>
        </is>
      </c>
      <c r="C35" s="27" t="inlineStr">
        <is>
          <t>bp</t>
        </is>
      </c>
      <c r="D35" s="26">
        <f>INDEX(HIST_D!$BF$8:$BF$2617,1)</f>
        <v/>
      </c>
      <c r="E35" s="23">
        <f>IFERROR((INDEX(HIST_D!$BF$8:$BF$2617,1)-INDEX(HIST_D!$BF$8:$BF$2617,Control!$F$6))*1,"")</f>
        <v/>
      </c>
      <c r="F35" s="23">
        <f>IFERROR((INDEX(HIST_D!$BF$8:$BF$2617,1)-INDEX(HIST_D!$BF$8:$BF$2617,Control!$F$7))*1,"")</f>
        <v/>
      </c>
      <c r="G35" s="23">
        <f>IFERROR((INDEX(HIST_D!$BF$8:$BF$2617,1)-INDEX(HIST_D!$BF$8:$BF$2617,Control!$F$8))*1,"")</f>
        <v/>
      </c>
      <c r="H35" s="23">
        <f>IFERROR((INDEX(HIST_D!$BF$8:$BF$2617,1)-INDEX(HIST_D!$BF$8:$BF$2617,Control!$F$9))*1,"")</f>
        <v/>
      </c>
      <c r="I35" s="23">
        <f>IFERROR((INDEX(HIST_D!$BF$8:$BF$2617,1)-INDEX(HIST_D!$BF$8:$BF$2617,Control!$F$10))*1,"")</f>
        <v/>
      </c>
      <c r="J35" s="23">
        <f>IFERROR((INDEX(HIST_D!$BF$8:$BF$2617,1)-INDEX(HIST_D!$BF$8:$BF$2617,Control!$F$16))*1,"")</f>
        <v/>
      </c>
      <c r="K35" s="23">
        <f>IFERROR((INDEX(HIST_D!$BF$8:$BF$2617,1)-INDEX(HIST_D!$BF$8:$BF$2617,Control!$F$11))*1,"")</f>
        <v/>
      </c>
      <c r="L35" s="40">
        <f>IFERROR(MIN(HIST_D!$BF$8:INDEX(HIST_D!$BF$8:$BF$2617,Control!$F$11)),"")</f>
        <v/>
      </c>
      <c r="M35" s="40">
        <f>IFERROR(MAX(HIST_D!$BF$8:INDEX(HIST_D!$BF$8:$BF$2617,Control!$F$11)),"")</f>
        <v/>
      </c>
      <c r="N35" s="24">
        <f>IFERROR(PERCENTRANK(HIST_D!$BF$8:INDEX(HIST_D!$BF$8:$BF$2617,Control!$F$11),INDEX(HIST_D!$BF$8:$BF$2617,1)),"")</f>
        <v/>
      </c>
      <c r="O35" s="24">
        <f>IFERROR(PERCENTRANK(HIST_D!$BF$8:INDEX(HIST_D!$BF$8:$BF$2617,Control!$F$13),INDEX(HIST_D!$BF$8:$BF$2617,1)),"")</f>
        <v/>
      </c>
      <c r="P35" s="24">
        <f>IFERROR(PERCENTRANK(HIST_D!$BF$8:INDEX(HIST_D!$BF$8:$BF$2617,Control!$F$14),INDEX(HIST_D!$BF$8:$BF$2617,1)),"")</f>
        <v/>
      </c>
      <c r="Q35" s="24">
        <f>IFERROR(PERCENTRANK(HIST_D!$BF$8:INDEX(HIST_D!$BF$8:$BF$2617,Control!$F$15),INDEX(HIST_D!$BF$8:$BF$2617,1)),"")</f>
        <v/>
      </c>
      <c r="R35" s="27" t="inlineStr"/>
      <c r="S35" s="25">
        <f>IFERROR((INDEX(HIST_D!$BF$8:$BF$2617,1)-AVERAGE(HIST_D!$BF$8:INDEX(HIST_D!$BF$8:$BF$2617,Control!$F$14)))/STDEV(HIST_D!$BF$8:INDEX(HIST_D!$BF$8:$BF$2617,Control!$F$14)),"")</f>
        <v/>
      </c>
    </row>
    <row r="36">
      <c r="A36" s="8" t="inlineStr">
        <is>
          <t>ON RRP volume ($bn)</t>
        </is>
      </c>
      <c r="B36" s="16">
        <f>Tickers!$C$46</f>
        <v/>
      </c>
      <c r="C36" s="27" t="inlineStr">
        <is>
          <t>$bn</t>
        </is>
      </c>
      <c r="D36" s="31">
        <f>INDEX(HIST_D!$AP$8:$AP$2617,1)</f>
        <v/>
      </c>
      <c r="E36" s="34">
        <f>IFERROR((INDEX(HIST_D!$AP$8:$AP$2617,1)-INDEX(HIST_D!$AP$8:$AP$2617,Control!$F$6))*1,"")</f>
        <v/>
      </c>
      <c r="F36" s="34">
        <f>IFERROR((INDEX(HIST_D!$AP$8:$AP$2617,1)-INDEX(HIST_D!$AP$8:$AP$2617,Control!$F$7))*1,"")</f>
        <v/>
      </c>
      <c r="G36" s="34">
        <f>IFERROR((INDEX(HIST_D!$AP$8:$AP$2617,1)-INDEX(HIST_D!$AP$8:$AP$2617,Control!$F$8))*1,"")</f>
        <v/>
      </c>
      <c r="H36" s="34">
        <f>IFERROR((INDEX(HIST_D!$AP$8:$AP$2617,1)-INDEX(HIST_D!$AP$8:$AP$2617,Control!$F$9))*1,"")</f>
        <v/>
      </c>
      <c r="I36" s="34">
        <f>IFERROR((INDEX(HIST_D!$AP$8:$AP$2617,1)-INDEX(HIST_D!$AP$8:$AP$2617,Control!$F$10))*1,"")</f>
        <v/>
      </c>
      <c r="J36" s="34">
        <f>IFERROR((INDEX(HIST_D!$AP$8:$AP$2617,1)-INDEX(HIST_D!$AP$8:$AP$2617,Control!$F$16))*1,"")</f>
        <v/>
      </c>
      <c r="K36" s="34">
        <f>IFERROR((INDEX(HIST_D!$AP$8:$AP$2617,1)-INDEX(HIST_D!$AP$8:$AP$2617,Control!$F$11))*1,"")</f>
        <v/>
      </c>
      <c r="L36" s="58">
        <f>IFERROR(MIN(HIST_D!$AP$8:INDEX(HIST_D!$AP$8:$AP$2617,Control!$F$11)),"")</f>
        <v/>
      </c>
      <c r="M36" s="58">
        <f>IFERROR(MAX(HIST_D!$AP$8:INDEX(HIST_D!$AP$8:$AP$2617,Control!$F$11)),"")</f>
        <v/>
      </c>
      <c r="N36" s="24">
        <f>IFERROR(PERCENTRANK(HIST_D!$AP$8:INDEX(HIST_D!$AP$8:$AP$2617,Control!$F$11),INDEX(HIST_D!$AP$8:$AP$2617,1)),"")</f>
        <v/>
      </c>
      <c r="O36" s="24">
        <f>IFERROR(PERCENTRANK(HIST_D!$AP$8:INDEX(HIST_D!$AP$8:$AP$2617,Control!$F$13),INDEX(HIST_D!$AP$8:$AP$2617,1)),"")</f>
        <v/>
      </c>
      <c r="P36" s="24">
        <f>IFERROR(PERCENTRANK(HIST_D!$AP$8:INDEX(HIST_D!$AP$8:$AP$2617,Control!$F$14),INDEX(HIST_D!$AP$8:$AP$2617,1)),"")</f>
        <v/>
      </c>
      <c r="Q36" s="24">
        <f>IFERROR(PERCENTRANK(HIST_D!$AP$8:INDEX(HIST_D!$AP$8:$AP$2617,Control!$F$15),INDEX(HIST_D!$AP$8:$AP$2617,1)),"")</f>
        <v/>
      </c>
      <c r="R36" s="27" t="inlineStr"/>
      <c r="S36" s="25">
        <f>IFERROR((INDEX(HIST_D!$AP$8:$AP$2617,1)-AVERAGE(HIST_D!$AP$8:INDEX(HIST_D!$AP$8:$AP$2617,Control!$F$14)))/STDEV(HIST_D!$AP$8:INDEX(HIST_D!$AP$8:$AP$2617,Control!$F$14)),"")</f>
        <v/>
      </c>
    </row>
    <row r="37">
      <c r="A37" s="8" t="inlineStr">
        <is>
          <t>VIX</t>
        </is>
      </c>
      <c r="B37" s="16">
        <f>Tickers!$C$33</f>
        <v/>
      </c>
      <c r="C37" s="27" t="inlineStr">
        <is>
          <t>pt</t>
        </is>
      </c>
      <c r="D37" s="31">
        <f>INDEX(HIST_D!$AC$8:$AC$2617,1)</f>
        <v/>
      </c>
      <c r="E37" s="34">
        <f>IFERROR((INDEX(HIST_D!$AC$8:$AC$2617,1)-INDEX(HIST_D!$AC$8:$AC$2617,Control!$F$6))*1,"")</f>
        <v/>
      </c>
      <c r="F37" s="34">
        <f>IFERROR((INDEX(HIST_D!$AC$8:$AC$2617,1)-INDEX(HIST_D!$AC$8:$AC$2617,Control!$F$7))*1,"")</f>
        <v/>
      </c>
      <c r="G37" s="34">
        <f>IFERROR((INDEX(HIST_D!$AC$8:$AC$2617,1)-INDEX(HIST_D!$AC$8:$AC$2617,Control!$F$8))*1,"")</f>
        <v/>
      </c>
      <c r="H37" s="34">
        <f>IFERROR((INDEX(HIST_D!$AC$8:$AC$2617,1)-INDEX(HIST_D!$AC$8:$AC$2617,Control!$F$9))*1,"")</f>
        <v/>
      </c>
      <c r="I37" s="34">
        <f>IFERROR((INDEX(HIST_D!$AC$8:$AC$2617,1)-INDEX(HIST_D!$AC$8:$AC$2617,Control!$F$10))*1,"")</f>
        <v/>
      </c>
      <c r="J37" s="34">
        <f>IFERROR((INDEX(HIST_D!$AC$8:$AC$2617,1)-INDEX(HIST_D!$AC$8:$AC$2617,Control!$F$16))*1,"")</f>
        <v/>
      </c>
      <c r="K37" s="34">
        <f>IFERROR((INDEX(HIST_D!$AC$8:$AC$2617,1)-INDEX(HIST_D!$AC$8:$AC$2617,Control!$F$11))*1,"")</f>
        <v/>
      </c>
      <c r="L37" s="58">
        <f>IFERROR(MIN(HIST_D!$AC$8:INDEX(HIST_D!$AC$8:$AC$2617,Control!$F$11)),"")</f>
        <v/>
      </c>
      <c r="M37" s="58">
        <f>IFERROR(MAX(HIST_D!$AC$8:INDEX(HIST_D!$AC$8:$AC$2617,Control!$F$11)),"")</f>
        <v/>
      </c>
      <c r="N37" s="24">
        <f>IFERROR(PERCENTRANK(HIST_D!$AC$8:INDEX(HIST_D!$AC$8:$AC$2617,Control!$F$11),INDEX(HIST_D!$AC$8:$AC$2617,1)),"")</f>
        <v/>
      </c>
      <c r="O37" s="24">
        <f>IFERROR(PERCENTRANK(HIST_D!$AC$8:INDEX(HIST_D!$AC$8:$AC$2617,Control!$F$13),INDEX(HIST_D!$AC$8:$AC$2617,1)),"")</f>
        <v/>
      </c>
      <c r="P37" s="24">
        <f>IFERROR(PERCENTRANK(HIST_D!$AC$8:INDEX(HIST_D!$AC$8:$AC$2617,Control!$F$14),INDEX(HIST_D!$AC$8:$AC$2617,1)),"")</f>
        <v/>
      </c>
      <c r="Q37" s="24">
        <f>IFERROR(PERCENTRANK(HIST_D!$AC$8:INDEX(HIST_D!$AC$8:$AC$2617,Control!$F$15),INDEX(HIST_D!$AC$8:$AC$2617,1)),"")</f>
        <v/>
      </c>
      <c r="R37" s="27" t="inlineStr"/>
      <c r="S37" s="25">
        <f>IFERROR((INDEX(HIST_D!$AC$8:$AC$2617,1)-AVERAGE(HIST_D!$AC$8:INDEX(HIST_D!$AC$8:$AC$2617,Control!$F$14)))/STDEV(HIST_D!$AC$8:INDEX(HIST_D!$AC$8:$AC$2617,Control!$F$14)),"")</f>
        <v/>
      </c>
    </row>
    <row r="39" ht="28" customHeight="1">
      <c r="A39" s="20" t="inlineStr">
        <is>
          <t>Item</t>
        </is>
      </c>
      <c r="B39" s="20" t="inlineStr">
        <is>
          <t>Bloomberg ticker</t>
        </is>
      </c>
      <c r="C39" s="20" t="inlineStr">
        <is>
          <t>Field</t>
        </is>
      </c>
      <c r="D39" s="20" t="inlineStr">
        <is>
          <t>Live pull</t>
        </is>
      </c>
      <c r="E39" s="20" t="inlineStr">
        <is>
          <t>Your fallback</t>
        </is>
      </c>
      <c r="F39" s="20" t="inlineStr">
        <is>
          <t>Used</t>
        </is>
      </c>
      <c r="G39" s="20" t="inlineStr">
        <is>
          <t>Status</t>
        </is>
      </c>
      <c r="H39" s="20" t="inlineStr">
        <is>
          <t>Unit</t>
        </is>
      </c>
      <c r="I39" s="20" t="inlineStr">
        <is>
          <t>Note</t>
        </is>
      </c>
    </row>
    <row r="40">
      <c r="A40" s="8" t="inlineStr">
        <is>
          <t>Bloomberg US govt securities liquidity index</t>
        </is>
      </c>
      <c r="B40" s="14" t="inlineStr">
        <is>
          <t>USGGLIQ Index</t>
        </is>
      </c>
      <c r="C40" s="43" t="inlineStr">
        <is>
          <t>PX_LAST</t>
        </is>
      </c>
      <c r="D40" s="44">
        <f>IFERROR(BDP($B40,$C40),"")</f>
        <v/>
      </c>
      <c r="E40" s="12" t="n">
        <v>2.5</v>
      </c>
      <c r="F40" s="45">
        <f>IF(ISNUMBER($D40),$D40,$E40)</f>
        <v/>
      </c>
      <c r="G40" s="46">
        <f>IF(ISNUMBER($D40),"LIVE","FALLBACK")</f>
        <v/>
      </c>
      <c r="H40" s="27" t="inlineStr">
        <is>
          <t>idx</t>
        </is>
      </c>
      <c r="I40" s="17" t="inlineStr">
        <is>
          <t>VERIFY ticker — average yield error across the curve; higher = worse liquidity</t>
        </is>
      </c>
    </row>
    <row r="42" ht="18" customHeight="1">
      <c r="A42" s="3" t="inlineStr">
        <is>
          <t>READ-THROUGH  (thresholds are yellow — set them where you want them)</t>
        </is>
      </c>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8" customHeight="1">
      <c r="A43" s="20" t="inlineStr">
        <is>
          <t>Signal</t>
        </is>
      </c>
      <c r="B43" s="20" t="inlineStr">
        <is>
          <t>Now</t>
        </is>
      </c>
      <c r="C43" s="20" t="inlineStr">
        <is>
          <t>Threshold</t>
        </is>
      </c>
      <c r="D43" s="20" t="inlineStr">
        <is>
          <t>Status</t>
        </is>
      </c>
      <c r="E43" s="20" t="inlineStr">
        <is>
          <t>What it means</t>
        </is>
      </c>
      <c r="F43" s="20" t="inlineStr"/>
      <c r="G43" s="20" t="inlineStr"/>
      <c r="H43" s="20" t="inlineStr"/>
      <c r="I43" s="20" t="inlineStr"/>
    </row>
    <row r="44">
      <c r="A44" s="8" t="inlineStr">
        <is>
          <t>SOFR − IORB (bp)</t>
        </is>
      </c>
      <c r="B44" s="23">
        <f>($F$6-$F$12)*Control!$B$11</f>
        <v/>
      </c>
      <c r="C44" s="9" t="n">
        <v>5</v>
      </c>
      <c r="D44" s="30">
        <f>IF($B44&gt;$C44,"TIGHT","OK")</f>
        <v/>
      </c>
      <c r="E44" s="10" t="inlineStr">
        <is>
          <t>Above threshold = reserves scarce. The Fed responds to this before it responds to risk assets.</t>
        </is>
      </c>
    </row>
    <row r="45">
      <c r="A45" s="8" t="inlineStr">
        <is>
          <t>ON RRP volume ($bn)</t>
        </is>
      </c>
      <c r="B45" s="31">
        <f>INDEX(HIST_D!$AP$8:$AP$2617,1)</f>
        <v/>
      </c>
      <c r="C45" s="9" t="n">
        <v>50</v>
      </c>
      <c r="D45" s="30">
        <f>IF($B45&lt;$C45,"BUFFER GONE","OK")</f>
        <v/>
      </c>
      <c r="E45" s="10" t="inlineStr">
        <is>
          <t>Below threshold, further drains hit reserves directly.</t>
        </is>
      </c>
    </row>
    <row r="46">
      <c r="A46" s="8" t="inlineStr">
        <is>
          <t>MOVE percentile (3y)</t>
        </is>
      </c>
      <c r="B46" s="24">
        <f>IFERROR(PERCENTRANK(HIST_D!$AB$8:INDEX(HIST_D!$AB$8:$AB$2617,Control!$F$13),INDEX(HIST_D!$AB$8:$AB$2617,1)),"")</f>
        <v/>
      </c>
      <c r="C46" s="59" t="n">
        <v>0.8</v>
      </c>
      <c r="D46" s="30">
        <f>IF($B46&gt;$C46,"STRESSED","OK")</f>
        <v/>
      </c>
      <c r="E46" s="10" t="inlineStr">
        <is>
          <t>High rates vol is the usual transmission channel from Treasuries into EM spreads.</t>
        </is>
      </c>
    </row>
    <row r="47">
      <c r="A47" s="8" t="inlineStr">
        <is>
          <t>Swap spread 10Y z-score (5y)</t>
        </is>
      </c>
      <c r="B47" s="25">
        <f>IFERROR((INDEX(HIST_D!$BE$8:$BE$2617,1)-AVERAGE(HIST_D!$BE$8:INDEX(HIST_D!$BE$8:$BE$2617,Control!$F$14)))/STDEV(HIST_D!$BE$8:INDEX(HIST_D!$BE$8:$BE$2617,Control!$F$14)),"")</f>
        <v/>
      </c>
      <c r="C47" s="12" t="n">
        <v>-1.5</v>
      </c>
      <c r="D47" s="30">
        <f>IF($B47&lt;$C47,"BALANCE SHEET SCARCE","OK")</f>
        <v/>
      </c>
      <c r="E47" s="10" t="inlineStr">
        <is>
          <t>Sharply negative swap spreads = dealers cannot warehouse more Treasuries.</t>
        </is>
      </c>
    </row>
  </sheetData>
  <conditionalFormatting sqref="N33:R37">
    <cfRule type="colorScale" priority="1">
      <colorScale>
        <cfvo type="num" val="0"/>
        <cfvo type="num" val="0.5"/>
        <cfvo type="num" val="1"/>
        <color rgb="0063BE7B"/>
        <color rgb="00FFEB84"/>
        <color rgb="00F8696B"/>
      </colorScale>
    </cfRule>
  </conditionalFormatting>
  <conditionalFormatting sqref="S33:S37">
    <cfRule type="colorScale" priority="2">
      <colorScale>
        <cfvo type="num" val="-2"/>
        <cfvo type="num" val="0"/>
        <cfvo type="num" val="2"/>
        <color rgb="0063BE7B"/>
        <color rgb="00FFFFFF"/>
        <color rgb="00F8696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2" customWidth="1" min="3" max="3"/>
    <col width="12" customWidth="1" min="4" max="4"/>
    <col width="12" customWidth="1" min="5" max="5"/>
    <col width="12" customWidth="1" min="6" max="6"/>
    <col width="13" customWidth="1" min="7" max="7"/>
    <col width="11" customWidth="1" min="8" max="8"/>
    <col width="14" customWidth="1" min="9" max="9"/>
    <col width="10" customWidth="1" min="10" max="10"/>
    <col width="14" customWidth="1" min="11" max="11"/>
    <col width="60" customWidth="1" min="12" max="12"/>
  </cols>
  <sheetData>
    <row r="1">
      <c r="A1" s="1" t="inlineStr">
        <is>
          <t>NODE LIQUIDITY — where you can actually trade</t>
        </is>
      </c>
    </row>
    <row r="2">
      <c r="A2" s="2" t="inlineStr">
        <is>
          <t>A node is liquid if the round trip is cheap relative to the risk you are taking. That is the bid-ask in YIELD bp column, not the price ticks.</t>
        </is>
      </c>
    </row>
    <row r="4" ht="18" customHeight="1">
      <c r="A4" s="3" t="inlineStr">
        <is>
          <t>ON-THE-RUN CASH TREASURIES</t>
        </is>
      </c>
      <c r="B4" s="4" t="n"/>
      <c r="C4" s="4" t="n"/>
      <c r="D4" s="4" t="n"/>
      <c r="E4" s="4" t="n"/>
      <c r="F4" s="4" t="n"/>
      <c r="G4" s="4" t="n"/>
      <c r="H4" s="4" t="n"/>
      <c r="I4" s="4" t="n"/>
      <c r="J4" s="4" t="n"/>
      <c r="K4" s="4" t="n"/>
      <c r="L4" s="4" t="n"/>
    </row>
    <row r="5" ht="28" customHeight="1">
      <c r="A5" s="20" t="inlineStr">
        <is>
          <t>Node</t>
        </is>
      </c>
      <c r="B5" s="20" t="inlineStr">
        <is>
          <t>Ticker</t>
        </is>
      </c>
      <c r="C5" s="20" t="inlineStr">
        <is>
          <t>Bid</t>
        </is>
      </c>
      <c r="D5" s="20" t="inlineStr">
        <is>
          <t>Ask</t>
        </is>
      </c>
      <c r="E5" s="20" t="inlineStr">
        <is>
          <t>Mid price</t>
        </is>
      </c>
      <c r="F5" s="20" t="inlineStr">
        <is>
          <t>Yield (%)</t>
        </is>
      </c>
      <c r="G5" s="20" t="inlineStr">
        <is>
          <t>Bid-ask (32nds)</t>
        </is>
      </c>
      <c r="H5" s="20" t="inlineStr">
        <is>
          <t>Mod dur</t>
        </is>
      </c>
      <c r="I5" s="20" t="inlineStr">
        <is>
          <t>Bid-ask (yield bp)</t>
        </is>
      </c>
      <c r="J5" s="20" t="inlineStr">
        <is>
          <t>Rank</t>
        </is>
      </c>
      <c r="K5" s="20" t="inlineStr">
        <is>
          <t>Round trip on $100mm ($)</t>
        </is>
      </c>
      <c r="L5" s="20" t="inlineStr">
        <is>
          <t>Note</t>
        </is>
      </c>
    </row>
    <row r="6">
      <c r="A6" s="21" t="inlineStr">
        <is>
          <t>On-the-run 2Y</t>
        </is>
      </c>
      <c r="B6" s="43" t="inlineStr">
        <is>
          <t>CT2 Govt</t>
        </is>
      </c>
      <c r="C6" s="50">
        <f>IFERROR(BDP($B6,"PX_BID"),"")</f>
        <v/>
      </c>
      <c r="D6" s="50">
        <f>IFERROR(BDP($B6,"PX_ASK"),"")</f>
        <v/>
      </c>
      <c r="E6" s="60">
        <f>IFERROR(($C6+$D6)/2,"")</f>
        <v/>
      </c>
      <c r="F6" s="44">
        <f>IFERROR(BDP($B6,"YLD_YTM_MID"),INDEX(HIST_D!$F$8:$F$2617,1))</f>
        <v/>
      </c>
      <c r="G6" s="39">
        <f>IFERROR(($D6-$C6)*32,"")</f>
        <v/>
      </c>
      <c r="H6" s="28">
        <f>Curve!$W$10</f>
        <v/>
      </c>
      <c r="I6" s="52">
        <f>IFERROR(($D6-$C6)/($H6*$E6/10000),"")</f>
        <v/>
      </c>
      <c r="J6" s="13">
        <f>IFERROR(RANK($I6,$I$6:$I$12,1),"")</f>
        <v/>
      </c>
      <c r="K6" s="13">
        <f>IFERROR(($D6-$C6)/100*100000000,"")</f>
        <v/>
      </c>
    </row>
    <row r="7">
      <c r="A7" s="21" t="inlineStr">
        <is>
          <t>On-the-run 3Y</t>
        </is>
      </c>
      <c r="B7" s="43" t="inlineStr">
        <is>
          <t>CT3 Govt</t>
        </is>
      </c>
      <c r="C7" s="50">
        <f>IFERROR(BDP($B7,"PX_BID"),"")</f>
        <v/>
      </c>
      <c r="D7" s="50">
        <f>IFERROR(BDP($B7,"PX_ASK"),"")</f>
        <v/>
      </c>
      <c r="E7" s="60">
        <f>IFERROR(($C7+$D7)/2,"")</f>
        <v/>
      </c>
      <c r="F7" s="44">
        <f>IFERROR(BDP($B7,"YLD_YTM_MID"),INDEX(HIST_D!$G$8:$G$2617,1))</f>
        <v/>
      </c>
      <c r="G7" s="39">
        <f>IFERROR(($D7-$C7)*32,"")</f>
        <v/>
      </c>
      <c r="H7" s="28">
        <f>Curve!$W$11</f>
        <v/>
      </c>
      <c r="I7" s="52">
        <f>IFERROR(($D7-$C7)/($H7*$E7/10000),"")</f>
        <v/>
      </c>
      <c r="J7" s="13">
        <f>IFERROR(RANK($I7,$I$6:$I$12,1),"")</f>
        <v/>
      </c>
      <c r="K7" s="13">
        <f>IFERROR(($D7-$C7)/100*100000000,"")</f>
        <v/>
      </c>
    </row>
    <row r="8">
      <c r="A8" s="21" t="inlineStr">
        <is>
          <t>On-the-run 5Y</t>
        </is>
      </c>
      <c r="B8" s="43" t="inlineStr">
        <is>
          <t>CT5 Govt</t>
        </is>
      </c>
      <c r="C8" s="50">
        <f>IFERROR(BDP($B8,"PX_BID"),"")</f>
        <v/>
      </c>
      <c r="D8" s="50">
        <f>IFERROR(BDP($B8,"PX_ASK"),"")</f>
        <v/>
      </c>
      <c r="E8" s="60">
        <f>IFERROR(($C8+$D8)/2,"")</f>
        <v/>
      </c>
      <c r="F8" s="44">
        <f>IFERROR(BDP($B8,"YLD_YTM_MID"),INDEX(HIST_D!$H$8:$H$2617,1))</f>
        <v/>
      </c>
      <c r="G8" s="39">
        <f>IFERROR(($D8-$C8)*32,"")</f>
        <v/>
      </c>
      <c r="H8" s="28">
        <f>Curve!$W$13</f>
        <v/>
      </c>
      <c r="I8" s="52">
        <f>IFERROR(($D8-$C8)/($H8*$E8/10000),"")</f>
        <v/>
      </c>
      <c r="J8" s="13">
        <f>IFERROR(RANK($I8,$I$6:$I$12,1),"")</f>
        <v/>
      </c>
      <c r="K8" s="13">
        <f>IFERROR(($D8-$C8)/100*100000000,"")</f>
        <v/>
      </c>
    </row>
    <row r="9">
      <c r="A9" s="21" t="inlineStr">
        <is>
          <t>On-the-run 7Y</t>
        </is>
      </c>
      <c r="B9" s="43" t="inlineStr">
        <is>
          <t>CT7 Govt</t>
        </is>
      </c>
      <c r="C9" s="50">
        <f>IFERROR(BDP($B9,"PX_BID"),"")</f>
        <v/>
      </c>
      <c r="D9" s="50">
        <f>IFERROR(BDP($B9,"PX_ASK"),"")</f>
        <v/>
      </c>
      <c r="E9" s="60">
        <f>IFERROR(($C9+$D9)/2,"")</f>
        <v/>
      </c>
      <c r="F9" s="44">
        <f>IFERROR(BDP($B9,"YLD_YTM_MID"),INDEX(HIST_D!$I$8:$I$2617,1))</f>
        <v/>
      </c>
      <c r="G9" s="39">
        <f>IFERROR(($D9-$C9)*32,"")</f>
        <v/>
      </c>
      <c r="H9" s="28">
        <f>Curve!$W$14</f>
        <v/>
      </c>
      <c r="I9" s="52">
        <f>IFERROR(($D9-$C9)/($H9*$E9/10000),"")</f>
        <v/>
      </c>
      <c r="J9" s="13">
        <f>IFERROR(RANK($I9,$I$6:$I$12,1),"")</f>
        <v/>
      </c>
      <c r="K9" s="13">
        <f>IFERROR(($D9-$C9)/100*100000000,"")</f>
        <v/>
      </c>
    </row>
    <row r="10">
      <c r="A10" s="21" t="inlineStr">
        <is>
          <t>On-the-run 10Y</t>
        </is>
      </c>
      <c r="B10" s="43" t="inlineStr">
        <is>
          <t>CT10 Govt</t>
        </is>
      </c>
      <c r="C10" s="50">
        <f>IFERROR(BDP($B10,"PX_BID"),"")</f>
        <v/>
      </c>
      <c r="D10" s="50">
        <f>IFERROR(BDP($B10,"PX_ASK"),"")</f>
        <v/>
      </c>
      <c r="E10" s="60">
        <f>IFERROR(($C10+$D10)/2,"")</f>
        <v/>
      </c>
      <c r="F10" s="44">
        <f>IFERROR(BDP($B10,"YLD_YTM_MID"),INDEX(HIST_D!$J$8:$J$2617,1))</f>
        <v/>
      </c>
      <c r="G10" s="39">
        <f>IFERROR(($D10-$C10)*32,"")</f>
        <v/>
      </c>
      <c r="H10" s="28">
        <f>Curve!$W$15</f>
        <v/>
      </c>
      <c r="I10" s="52">
        <f>IFERROR(($D10-$C10)/($H10*$E10/10000),"")</f>
        <v/>
      </c>
      <c r="J10" s="13">
        <f>IFERROR(RANK($I10,$I$6:$I$12,1),"")</f>
        <v/>
      </c>
      <c r="K10" s="13">
        <f>IFERROR(($D10-$C10)/100*100000000,"")</f>
        <v/>
      </c>
    </row>
    <row r="11">
      <c r="A11" s="21" t="inlineStr">
        <is>
          <t>On-the-run 20Y</t>
        </is>
      </c>
      <c r="B11" s="43" t="inlineStr">
        <is>
          <t>CT20 Govt</t>
        </is>
      </c>
      <c r="C11" s="50">
        <f>IFERROR(BDP($B11,"PX_BID"),"")</f>
        <v/>
      </c>
      <c r="D11" s="50">
        <f>IFERROR(BDP($B11,"PX_ASK"),"")</f>
        <v/>
      </c>
      <c r="E11" s="60">
        <f>IFERROR(($C11+$D11)/2,"")</f>
        <v/>
      </c>
      <c r="F11" s="44">
        <f>IFERROR(BDP($B11,"YLD_YTM_MID"),INDEX(HIST_D!$K$8:$K$2617,1))</f>
        <v/>
      </c>
      <c r="G11" s="39">
        <f>IFERROR(($D11-$C11)*32,"")</f>
        <v/>
      </c>
      <c r="H11" s="28">
        <f>Curve!$W$17</f>
        <v/>
      </c>
      <c r="I11" s="52">
        <f>IFERROR(($D11-$C11)/($H11*$E11/10000),"")</f>
        <v/>
      </c>
      <c r="J11" s="13">
        <f>IFERROR(RANK($I11,$I$6:$I$12,1),"")</f>
        <v/>
      </c>
      <c r="K11" s="13">
        <f>IFERROR(($D11-$C11)/100*100000000,"")</f>
        <v/>
      </c>
    </row>
    <row r="12">
      <c r="A12" s="21" t="inlineStr">
        <is>
          <t>On-the-run 30Y</t>
        </is>
      </c>
      <c r="B12" s="43" t="inlineStr">
        <is>
          <t>CT30 Govt</t>
        </is>
      </c>
      <c r="C12" s="50">
        <f>IFERROR(BDP($B12,"PX_BID"),"")</f>
        <v/>
      </c>
      <c r="D12" s="50">
        <f>IFERROR(BDP($B12,"PX_ASK"),"")</f>
        <v/>
      </c>
      <c r="E12" s="60">
        <f>IFERROR(($C12+$D12)/2,"")</f>
        <v/>
      </c>
      <c r="F12" s="44">
        <f>IFERROR(BDP($B12,"YLD_YTM_MID"),INDEX(HIST_D!$L$8:$L$2617,1))</f>
        <v/>
      </c>
      <c r="G12" s="39">
        <f>IFERROR(($D12-$C12)*32,"")</f>
        <v/>
      </c>
      <c r="H12" s="28">
        <f>Curve!$W$18</f>
        <v/>
      </c>
      <c r="I12" s="52">
        <f>IFERROR(($D12-$C12)/($H12*$E12/10000),"")</f>
        <v/>
      </c>
      <c r="J12" s="13">
        <f>IFERROR(RANK($I12,$I$6:$I$12,1),"")</f>
        <v/>
      </c>
      <c r="K12" s="13">
        <f>IFERROR(($D12-$C12)/100*100000000,"")</f>
        <v/>
      </c>
    </row>
    <row r="13">
      <c r="A13" s="10" t="inlineStr">
        <is>
          <t>Rank 1 = cheapest round trip per bp of risk. Quotes are indicative CBBT-style composites; on a bad afternoon the real spread is wider.</t>
        </is>
      </c>
    </row>
    <row r="15" ht="18" customHeight="1">
      <c r="A15" s="3" t="inlineStr">
        <is>
          <t>OFF-THE-RUN COMPARATORS  (paste the CUSIP tickers you actually get shown)</t>
        </is>
      </c>
      <c r="B15" s="4" t="n"/>
      <c r="C15" s="4" t="n"/>
      <c r="D15" s="4" t="n"/>
      <c r="E15" s="4" t="n"/>
      <c r="F15" s="4" t="n"/>
      <c r="G15" s="4" t="n"/>
      <c r="H15" s="4" t="n"/>
      <c r="I15" s="4" t="n"/>
      <c r="J15" s="4" t="n"/>
      <c r="K15" s="4" t="n"/>
      <c r="L15" s="4" t="n"/>
    </row>
    <row r="16" ht="28" customHeight="1">
      <c r="A16" s="20" t="inlineStr">
        <is>
          <t>Node</t>
        </is>
      </c>
      <c r="B16" s="20" t="inlineStr">
        <is>
          <t>Ticker</t>
        </is>
      </c>
      <c r="C16" s="20" t="inlineStr">
        <is>
          <t>Bid</t>
        </is>
      </c>
      <c r="D16" s="20" t="inlineStr">
        <is>
          <t>Ask</t>
        </is>
      </c>
      <c r="E16" s="20" t="inlineStr">
        <is>
          <t>Mid price</t>
        </is>
      </c>
      <c r="F16" s="20" t="inlineStr">
        <is>
          <t>Yield (%)</t>
        </is>
      </c>
      <c r="G16" s="20" t="inlineStr">
        <is>
          <t>Bid-ask (32nds)</t>
        </is>
      </c>
      <c r="H16" s="20" t="inlineStr">
        <is>
          <t>OTR yield (%)</t>
        </is>
      </c>
      <c r="I16" s="20" t="inlineStr">
        <is>
          <t>Concession vs OTR (bp)</t>
        </is>
      </c>
      <c r="J16" s="20" t="inlineStr"/>
      <c r="K16" s="20" t="inlineStr"/>
      <c r="L16" s="20" t="inlineStr"/>
    </row>
    <row r="17">
      <c r="A17" s="8" t="inlineStr">
        <is>
          <t>Old 2Y</t>
        </is>
      </c>
      <c r="B17" s="43" t="inlineStr">
        <is>
          <t>T 3 3/4 08/31/28 Govt</t>
        </is>
      </c>
      <c r="C17" s="50">
        <f>IFERROR(BDP($B17,"PX_BID"),"")</f>
        <v/>
      </c>
      <c r="D17" s="50">
        <f>IFERROR(BDP($B17,"PX_ASK"),"")</f>
        <v/>
      </c>
      <c r="E17" s="60">
        <f>IFERROR(($C17+$D17)/2,"")</f>
        <v/>
      </c>
      <c r="F17" s="44">
        <f>IFERROR(BDP($B17,"YLD_YTM_MID"),"")</f>
        <v/>
      </c>
      <c r="G17" s="39">
        <f>IFERROR(($D17-$C17)*32,"")</f>
        <v/>
      </c>
      <c r="H17" s="22">
        <f>INDEX(HIST_D!$F$8:$F$2617,1)</f>
        <v/>
      </c>
      <c r="I17" s="47">
        <f>IFERROR(($F17-$H17)*Control!$B$11,"")</f>
        <v/>
      </c>
    </row>
    <row r="18">
      <c r="A18" s="8" t="inlineStr">
        <is>
          <t>Old 5Y</t>
        </is>
      </c>
      <c r="B18" s="43" t="inlineStr">
        <is>
          <t>T 4 08/31/31 Govt</t>
        </is>
      </c>
      <c r="C18" s="50">
        <f>IFERROR(BDP($B18,"PX_BID"),"")</f>
        <v/>
      </c>
      <c r="D18" s="50">
        <f>IFERROR(BDP($B18,"PX_ASK"),"")</f>
        <v/>
      </c>
      <c r="E18" s="60">
        <f>IFERROR(($C18+$D18)/2,"")</f>
        <v/>
      </c>
      <c r="F18" s="44">
        <f>IFERROR(BDP($B18,"YLD_YTM_MID"),"")</f>
        <v/>
      </c>
      <c r="G18" s="39">
        <f>IFERROR(($D18-$C18)*32,"")</f>
        <v/>
      </c>
      <c r="H18" s="22">
        <f>INDEX(HIST_D!$H$8:$H$2617,1)</f>
        <v/>
      </c>
      <c r="I18" s="47">
        <f>IFERROR(($F18-$H18)*Control!$B$11,"")</f>
        <v/>
      </c>
    </row>
    <row r="19">
      <c r="A19" s="8" t="inlineStr">
        <is>
          <t>Old 10Y</t>
        </is>
      </c>
      <c r="B19" s="43" t="inlineStr">
        <is>
          <t>T 4 1/4 05/15/36 Govt</t>
        </is>
      </c>
      <c r="C19" s="50">
        <f>IFERROR(BDP($B19,"PX_BID"),"")</f>
        <v/>
      </c>
      <c r="D19" s="50">
        <f>IFERROR(BDP($B19,"PX_ASK"),"")</f>
        <v/>
      </c>
      <c r="E19" s="60">
        <f>IFERROR(($C19+$D19)/2,"")</f>
        <v/>
      </c>
      <c r="F19" s="44">
        <f>IFERROR(BDP($B19,"YLD_YTM_MID"),"")</f>
        <v/>
      </c>
      <c r="G19" s="39">
        <f>IFERROR(($D19-$C19)*32,"")</f>
        <v/>
      </c>
      <c r="H19" s="22">
        <f>INDEX(HIST_D!$J$8:$J$2617,1)</f>
        <v/>
      </c>
      <c r="I19" s="47">
        <f>IFERROR(($F19-$H19)*Control!$B$11,"")</f>
        <v/>
      </c>
    </row>
    <row r="20">
      <c r="A20" s="8" t="inlineStr">
        <is>
          <t>Old 30Y</t>
        </is>
      </c>
      <c r="B20" s="43" t="inlineStr">
        <is>
          <t>T 4 3/4 05/15/56 Govt</t>
        </is>
      </c>
      <c r="C20" s="50">
        <f>IFERROR(BDP($B20,"PX_BID"),"")</f>
        <v/>
      </c>
      <c r="D20" s="50">
        <f>IFERROR(BDP($B20,"PX_ASK"),"")</f>
        <v/>
      </c>
      <c r="E20" s="60">
        <f>IFERROR(($C20+$D20)/2,"")</f>
        <v/>
      </c>
      <c r="F20" s="44">
        <f>IFERROR(BDP($B20,"YLD_YTM_MID"),"")</f>
        <v/>
      </c>
      <c r="G20" s="39">
        <f>IFERROR(($D20-$C20)*32,"")</f>
        <v/>
      </c>
      <c r="H20" s="22">
        <f>INDEX(HIST_D!$L$8:$L$2617,1)</f>
        <v/>
      </c>
      <c r="I20" s="47">
        <f>IFERROR(($F20-$H20)*Control!$B$11,"")</f>
        <v/>
      </c>
    </row>
    <row r="21">
      <c r="A21" s="8" t="inlineStr">
        <is>
          <t>4Y area</t>
        </is>
      </c>
      <c r="B21" s="43" t="inlineStr">
        <is>
          <t>paste ticker</t>
        </is>
      </c>
      <c r="C21" s="50">
        <f>IFERROR(BDP($B21,"PX_BID"),"")</f>
        <v/>
      </c>
      <c r="D21" s="50">
        <f>IFERROR(BDP($B21,"PX_ASK"),"")</f>
        <v/>
      </c>
      <c r="E21" s="60">
        <f>IFERROR(($C21+$D21)/2,"")</f>
        <v/>
      </c>
      <c r="F21" s="44">
        <f>IFERROR(BDP($B21,"YLD_YTM_MID"),"")</f>
        <v/>
      </c>
      <c r="G21" s="39">
        <f>IFERROR(($D21-$C21)*32,"")</f>
        <v/>
      </c>
      <c r="H21" s="22">
        <f>INDEX(HIST_D!$AR$8:$AR$2617,1)</f>
        <v/>
      </c>
      <c r="I21" s="47">
        <f>IFERROR(($F21-$H21)*Control!$B$11,"")</f>
        <v/>
      </c>
    </row>
    <row r="22">
      <c r="A22" s="8" t="inlineStr">
        <is>
          <t>15Y area</t>
        </is>
      </c>
      <c r="B22" s="43" t="inlineStr">
        <is>
          <t>paste ticker</t>
        </is>
      </c>
      <c r="C22" s="50">
        <f>IFERROR(BDP($B22,"PX_BID"),"")</f>
        <v/>
      </c>
      <c r="D22" s="50">
        <f>IFERROR(BDP($B22,"PX_ASK"),"")</f>
        <v/>
      </c>
      <c r="E22" s="60">
        <f>IFERROR(($C22+$D22)/2,"")</f>
        <v/>
      </c>
      <c r="F22" s="44">
        <f>IFERROR(BDP($B22,"YLD_YTM_MID"),"")</f>
        <v/>
      </c>
      <c r="G22" s="39">
        <f>IFERROR(($D22-$C22)*32,"")</f>
        <v/>
      </c>
      <c r="H22" s="22">
        <f>INDEX(HIST_D!$AS$8:$AS$2617,1)</f>
        <v/>
      </c>
      <c r="I22" s="47">
        <f>IFERROR(($F22-$H22)*Control!$B$11,"")</f>
        <v/>
      </c>
    </row>
    <row r="23">
      <c r="A23" s="10" t="inlineStr">
        <is>
          <t>The example CUSIP tickers are PLACEHOLDERS — they roll. Overwrite column B with the current old bonds. A positive concession means the off-the-run yields more than the on-the-run: that is the liquidity premium you are paid to give up liquidity, and at 4Y and 15Y it is the only way to own those points in cash.</t>
        </is>
      </c>
    </row>
    <row r="25" ht="18" customHeight="1">
      <c r="A25" s="3" t="inlineStr">
        <is>
          <t>TREASURY FUTURES — where the risk actually clears</t>
        </is>
      </c>
      <c r="B25" s="4" t="n"/>
      <c r="C25" s="4" t="n"/>
      <c r="D25" s="4" t="n"/>
      <c r="E25" s="4" t="n"/>
      <c r="F25" s="4" t="n"/>
      <c r="G25" s="4" t="n"/>
      <c r="H25" s="4" t="n"/>
      <c r="I25" s="4" t="n"/>
      <c r="J25" s="4" t="n"/>
      <c r="K25" s="4" t="n"/>
      <c r="L25" s="4" t="n"/>
    </row>
    <row r="26" ht="28" customHeight="1">
      <c r="A26" s="20" t="inlineStr">
        <is>
          <t>Contract</t>
        </is>
      </c>
      <c r="B26" s="20" t="inlineStr">
        <is>
          <t>Ticker</t>
        </is>
      </c>
      <c r="C26" s="20" t="inlineStr">
        <is>
          <t>Price</t>
        </is>
      </c>
      <c r="D26" s="20" t="inlineStr">
        <is>
          <t>Volume</t>
        </is>
      </c>
      <c r="E26" s="20" t="inlineStr">
        <is>
          <t>Open interest</t>
        </is>
      </c>
      <c r="F26" s="20" t="inlineStr">
        <is>
          <t>DV01 $/contract (live)</t>
        </is>
      </c>
      <c r="G26" s="20" t="inlineStr">
        <is>
          <t>DV01 fallback</t>
        </is>
      </c>
      <c r="H26" s="20" t="inlineStr">
        <is>
          <t>DV01 used</t>
        </is>
      </c>
      <c r="I26" s="20" t="inlineStr">
        <is>
          <t>Risk in OI ($/bp)</t>
        </is>
      </c>
      <c r="J26" s="20" t="inlineStr">
        <is>
          <t>Share of complex</t>
        </is>
      </c>
      <c r="K26" s="20" t="inlineStr">
        <is>
          <t>Turnover (vol/OI)</t>
        </is>
      </c>
      <c r="L26" s="20" t="inlineStr">
        <is>
          <t>Note</t>
        </is>
      </c>
    </row>
    <row r="27">
      <c r="A27" s="21" t="inlineStr">
        <is>
          <t>2Y note</t>
        </is>
      </c>
      <c r="B27" s="43" t="inlineStr">
        <is>
          <t>TU1 Comdty</t>
        </is>
      </c>
      <c r="C27" s="50">
        <f>IFERROR(BDP($B27,"PX_LAST"),"")</f>
        <v/>
      </c>
      <c r="D27" s="56">
        <f>IFERROR(BDP($B27,"VOLUME"),"")</f>
        <v/>
      </c>
      <c r="E27" s="56">
        <f>IFERROR(BDP($B27,"OPEN_INT"),"")</f>
        <v/>
      </c>
      <c r="F27" s="61">
        <f>IFERROR(BDP($B27,"FUT_DV01"),"")</f>
        <v/>
      </c>
      <c r="G27" s="11" t="n">
        <v>38</v>
      </c>
      <c r="H27" s="62">
        <f>IF(ISNUMBER($F27),$F27,$G27)</f>
        <v/>
      </c>
      <c r="I27" s="13">
        <f>IFERROR($E27*$H27,"")</f>
        <v/>
      </c>
      <c r="J27" s="24">
        <f>IFERROR($I27/SUM($I$27:$I$32),"")</f>
        <v/>
      </c>
      <c r="K27" s="24">
        <f>IFERROR($D27/$E27,"")</f>
        <v/>
      </c>
      <c r="L27" s="17" t="inlineStr">
        <is>
          <t>the front-end expression; cheapest risk transfer anywhere in rates</t>
        </is>
      </c>
    </row>
    <row r="28">
      <c r="A28" s="21" t="inlineStr">
        <is>
          <t>5Y note</t>
        </is>
      </c>
      <c r="B28" s="43" t="inlineStr">
        <is>
          <t>FV1 Comdty</t>
        </is>
      </c>
      <c r="C28" s="50">
        <f>IFERROR(BDP($B28,"PX_LAST"),"")</f>
        <v/>
      </c>
      <c r="D28" s="56">
        <f>IFERROR(BDP($B28,"VOLUME"),"")</f>
        <v/>
      </c>
      <c r="E28" s="56">
        <f>IFERROR(BDP($B28,"OPEN_INT"),"")</f>
        <v/>
      </c>
      <c r="F28" s="61">
        <f>IFERROR(BDP($B28,"FUT_DV01"),"")</f>
        <v/>
      </c>
      <c r="G28" s="11" t="n">
        <v>44</v>
      </c>
      <c r="H28" s="62">
        <f>IF(ISNUMBER($F28),$F28,$G28)</f>
        <v/>
      </c>
      <c r="I28" s="13">
        <f>IFERROR($E28*$H28,"")</f>
        <v/>
      </c>
      <c r="J28" s="24">
        <f>IFERROR($I28/SUM($I$27:$I$32),"")</f>
        <v/>
      </c>
      <c r="K28" s="24">
        <f>IFERROR($D28/$E28,"")</f>
        <v/>
      </c>
      <c r="L28" s="17" t="inlineStr">
        <is>
          <t>belly of the curve</t>
        </is>
      </c>
    </row>
    <row r="29">
      <c r="A29" s="21" t="inlineStr">
        <is>
          <t>10Y note</t>
        </is>
      </c>
      <c r="B29" s="43" t="inlineStr">
        <is>
          <t>TY1 Comdty</t>
        </is>
      </c>
      <c r="C29" s="50">
        <f>IFERROR(BDP($B29,"PX_LAST"),"")</f>
        <v/>
      </c>
      <c r="D29" s="56">
        <f>IFERROR(BDP($B29,"VOLUME"),"")</f>
        <v/>
      </c>
      <c r="E29" s="56">
        <f>IFERROR(BDP($B29,"OPEN_INT"),"")</f>
        <v/>
      </c>
      <c r="F29" s="61">
        <f>IFERROR(BDP($B29,"FUT_DV01"),"")</f>
        <v/>
      </c>
      <c r="G29" s="11" t="n">
        <v>67</v>
      </c>
      <c r="H29" s="62">
        <f>IF(ISNUMBER($F29),$F29,$G29)</f>
        <v/>
      </c>
      <c r="I29" s="13">
        <f>IFERROR($E29*$H29,"")</f>
        <v/>
      </c>
      <c r="J29" s="24">
        <f>IFERROR($I29/SUM($I$27:$I$32),"")</f>
        <v/>
      </c>
      <c r="K29" s="24">
        <f>IFERROR($D29/$E29,"")</f>
        <v/>
      </c>
      <c r="L29" s="17" t="inlineStr">
        <is>
          <t>the benchmark contract; deepest book in the world</t>
        </is>
      </c>
    </row>
    <row r="30">
      <c r="A30" s="21" t="inlineStr">
        <is>
          <t>Ultra 10Y</t>
        </is>
      </c>
      <c r="B30" s="43" t="inlineStr">
        <is>
          <t>UXY1 Comdty</t>
        </is>
      </c>
      <c r="C30" s="50">
        <f>IFERROR(BDP($B30,"PX_LAST"),"")</f>
        <v/>
      </c>
      <c r="D30" s="56">
        <f>IFERROR(BDP($B30,"VOLUME"),"")</f>
        <v/>
      </c>
      <c r="E30" s="56">
        <f>IFERROR(BDP($B30,"OPEN_INT"),"")</f>
        <v/>
      </c>
      <c r="F30" s="61">
        <f>IFERROR(BDP($B30,"FUT_DV01"),"")</f>
        <v/>
      </c>
      <c r="G30" s="11" t="n">
        <v>93</v>
      </c>
      <c r="H30" s="62">
        <f>IF(ISNUMBER($F30),$F30,$G30)</f>
        <v/>
      </c>
      <c r="I30" s="13">
        <f>IFERROR($E30*$H30,"")</f>
        <v/>
      </c>
      <c r="J30" s="24">
        <f>IFERROR($I30/SUM($I$27:$I$32),"")</f>
        <v/>
      </c>
      <c r="K30" s="24">
        <f>IFERROR($D30/$E30,"")</f>
        <v/>
      </c>
      <c r="L30" s="17" t="inlineStr">
        <is>
          <t>the closest listed proxy to a true 10y point</t>
        </is>
      </c>
    </row>
    <row r="31">
      <c r="A31" s="21" t="inlineStr">
        <is>
          <t>Classic bond</t>
        </is>
      </c>
      <c r="B31" s="43" t="inlineStr">
        <is>
          <t>US1 Comdty</t>
        </is>
      </c>
      <c r="C31" s="50">
        <f>IFERROR(BDP($B31,"PX_LAST"),"")</f>
        <v/>
      </c>
      <c r="D31" s="56">
        <f>IFERROR(BDP($B31,"VOLUME"),"")</f>
        <v/>
      </c>
      <c r="E31" s="56">
        <f>IFERROR(BDP($B31,"OPEN_INT"),"")</f>
        <v/>
      </c>
      <c r="F31" s="61">
        <f>IFERROR(BDP($B31,"FUT_DV01"),"")</f>
        <v/>
      </c>
      <c r="G31" s="11" t="n">
        <v>145</v>
      </c>
      <c r="H31" s="62">
        <f>IF(ISNUMBER($F31),$F31,$G31)</f>
        <v/>
      </c>
      <c r="I31" s="13">
        <f>IFERROR($E31*$H31,"")</f>
        <v/>
      </c>
      <c r="J31" s="24">
        <f>IFERROR($I31/SUM($I$27:$I$32),"")</f>
        <v/>
      </c>
      <c r="K31" s="24">
        <f>IFERROR($D31/$E31,"")</f>
        <v/>
      </c>
      <c r="L31" s="17" t="inlineStr">
        <is>
          <t>15–25y CTD — this is your 15Y-area risk</t>
        </is>
      </c>
    </row>
    <row r="32">
      <c r="A32" s="21" t="inlineStr">
        <is>
          <t>Ultra bond</t>
        </is>
      </c>
      <c r="B32" s="43" t="inlineStr">
        <is>
          <t>WN1 Comdty</t>
        </is>
      </c>
      <c r="C32" s="50">
        <f>IFERROR(BDP($B32,"PX_LAST"),"")</f>
        <v/>
      </c>
      <c r="D32" s="56">
        <f>IFERROR(BDP($B32,"VOLUME"),"")</f>
        <v/>
      </c>
      <c r="E32" s="56">
        <f>IFERROR(BDP($B32,"OPEN_INT"),"")</f>
        <v/>
      </c>
      <c r="F32" s="61">
        <f>IFERROR(BDP($B32,"FUT_DV01"),"")</f>
        <v/>
      </c>
      <c r="G32" s="11" t="n">
        <v>215</v>
      </c>
      <c r="H32" s="62">
        <f>IF(ISNUMBER($F32),$F32,$G32)</f>
        <v/>
      </c>
      <c r="I32" s="13">
        <f>IFERROR($E32*$H32,"")</f>
        <v/>
      </c>
      <c r="J32" s="24">
        <f>IFERROR($I32/SUM($I$27:$I$32),"")</f>
        <v/>
      </c>
      <c r="K32" s="24">
        <f>IFERROR($D32/$E32,"")</f>
        <v/>
      </c>
      <c r="L32" s="17" t="inlineStr">
        <is>
          <t>25–30y; where long-end convexity trades</t>
        </is>
      </c>
    </row>
    <row r="33">
      <c r="A33" s="18" t="inlineStr">
        <is>
          <t>Total risk in the listed complex ($/bp)</t>
        </is>
      </c>
      <c r="I33" s="57">
        <f>SUM($I$27:$I$32)</f>
        <v/>
      </c>
    </row>
    <row r="35" ht="18" customHeight="1">
      <c r="A35" s="3" t="inlineStr">
        <is>
          <t>SO WHERE DO YOU PUT THE TRADE?</t>
        </is>
      </c>
      <c r="B35" s="4" t="n"/>
      <c r="C35" s="4" t="n"/>
      <c r="D35" s="4" t="n"/>
      <c r="E35" s="4" t="n"/>
      <c r="F35" s="4" t="n"/>
      <c r="G35" s="4" t="n"/>
      <c r="H35" s="4" t="n"/>
      <c r="I35" s="4" t="n"/>
      <c r="J35" s="4" t="n"/>
      <c r="K35" s="4" t="n"/>
      <c r="L35" s="4" t="n"/>
    </row>
    <row r="36" ht="28" customHeight="1">
      <c r="A36" s="19" t="inlineStr">
        <is>
          <t>Most liquid, in order: the 10Y (TY plus the on-the-run note), then 5Y and 2Y, then 30Y. Anything you can do in those, do in those.</t>
        </is>
      </c>
    </row>
    <row r="37" ht="28" customHeight="1">
      <c r="A37" s="19" t="inlineStr">
        <is>
          <t>Least liquid: 4Y, 15Y and 20Y. There is no futures contract at 4Y or 15Y and no on-the-run bond either — 20Y has an auction but trades at a persistent concession, which is exactly what the off-the-run block above measures.</t>
        </is>
      </c>
    </row>
    <row r="38" ht="28" customHeight="1">
      <c r="A38" s="19" t="inlineStr">
        <is>
          <t>Practical rule: express curve views at 2/5/10/30 in futures or on-the-runs, and take the 4Y and 15Y points only when the concession in the block above pays you more than the extra bid-ask in column I.</t>
        </is>
      </c>
    </row>
    <row r="39" ht="28" customHeight="1">
      <c r="A39" s="19" t="inlineStr">
        <is>
          <t>The 15Y point is really the classic bond future's CTD. If you want 15Y risk without the off-the-run bid-ask, US1 Comdty is the honest way to own it.</t>
        </is>
      </c>
    </row>
    <row r="40" ht="28" customHeight="1">
      <c r="A40" s="19" t="inlineStr">
        <is>
          <t>Every number above is indicative. On a day when MOVE is in the top decile (see Liquidity), assume the quoted spreads double and the off-the-run concessions gap.</t>
        </is>
      </c>
    </row>
  </sheetData>
  <mergeCells count="5">
    <mergeCell ref="A38:L38"/>
    <mergeCell ref="A37:L37"/>
    <mergeCell ref="A36:L36"/>
    <mergeCell ref="A40:L40"/>
    <mergeCell ref="A39:L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44"/>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7"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c r="A1" s="1" t="inlineStr">
        <is>
          <t>US CREDIT — IG and HY</t>
        </is>
      </c>
    </row>
    <row r="2">
      <c r="A2" s="2" t="inlineStr">
        <is>
          <t>Where spreads sit versus their own history over five windows, and what the indices actually pay you.</t>
        </is>
      </c>
    </row>
    <row r="4" ht="18" customHeight="1">
      <c r="A4" s="3" t="inlineStr">
        <is>
          <t>SPREAD LEVELS AND DISTRIBUTION</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28" customHeight="1">
      <c r="A5" s="20" t="inlineStr">
        <is>
          <t>Instrument</t>
        </is>
      </c>
      <c r="B5" s="20" t="inlineStr">
        <is>
          <t>Source</t>
        </is>
      </c>
      <c r="C5" s="20" t="inlineStr">
        <is>
          <t>Unit</t>
        </is>
      </c>
      <c r="D5" s="20" t="inlineStr">
        <is>
          <t>Level</t>
        </is>
      </c>
      <c r="E5" s="20" t="inlineStr">
        <is>
          <t>1D</t>
        </is>
      </c>
      <c r="F5" s="20" t="inlineStr">
        <is>
          <t>1W</t>
        </is>
      </c>
      <c r="G5" s="20" t="inlineStr">
        <is>
          <t>1M</t>
        </is>
      </c>
      <c r="H5" s="20" t="inlineStr">
        <is>
          <t>3M</t>
        </is>
      </c>
      <c r="I5" s="20" t="inlineStr">
        <is>
          <t>6M</t>
        </is>
      </c>
      <c r="J5" s="20" t="inlineStr">
        <is>
          <t>YTD</t>
        </is>
      </c>
      <c r="K5" s="20" t="inlineStr">
        <is>
          <t>1Y</t>
        </is>
      </c>
      <c r="L5" s="20" t="inlineStr">
        <is>
          <t>1y min</t>
        </is>
      </c>
      <c r="M5" s="20" t="inlineStr">
        <is>
          <t>1y max</t>
        </is>
      </c>
      <c r="N5" s="20" t="inlineStr">
        <is>
          <t>%ile 1y</t>
        </is>
      </c>
      <c r="O5" s="20" t="inlineStr">
        <is>
          <t>%ile 3y</t>
        </is>
      </c>
      <c r="P5" s="20" t="inlineStr">
        <is>
          <t>%ile 5y</t>
        </is>
      </c>
      <c r="Q5" s="20" t="inlineStr">
        <is>
          <t>%ile 10y</t>
        </is>
      </c>
      <c r="R5" s="20" t="inlineStr">
        <is>
          <t>%ile 25y</t>
        </is>
      </c>
      <c r="S5" s="20" t="inlineStr">
        <is>
          <t>z (5y)</t>
        </is>
      </c>
    </row>
    <row r="6">
      <c r="A6" s="21" t="inlineStr">
        <is>
          <t>US IG OAS</t>
        </is>
      </c>
      <c r="B6" s="16">
        <f>Tickers!$C$36</f>
        <v/>
      </c>
      <c r="C6" s="27" t="inlineStr">
        <is>
          <t>bp</t>
        </is>
      </c>
      <c r="D6" s="26">
        <f>INDEX(HIST_D!$AF$8:$AF$2617,1)</f>
        <v/>
      </c>
      <c r="E6" s="23">
        <f>IFERROR((INDEX(HIST_D!$AF$8:$AF$2617,1)-INDEX(HIST_D!$AF$8:$AF$2617,Control!$F$6))*1,"")</f>
        <v/>
      </c>
      <c r="F6" s="23">
        <f>IFERROR((INDEX(HIST_D!$AF$8:$AF$2617,1)-INDEX(HIST_D!$AF$8:$AF$2617,Control!$F$7))*1,"")</f>
        <v/>
      </c>
      <c r="G6" s="23">
        <f>IFERROR((INDEX(HIST_D!$AF$8:$AF$2617,1)-INDEX(HIST_D!$AF$8:$AF$2617,Control!$F$8))*1,"")</f>
        <v/>
      </c>
      <c r="H6" s="23">
        <f>IFERROR((INDEX(HIST_D!$AF$8:$AF$2617,1)-INDEX(HIST_D!$AF$8:$AF$2617,Control!$F$9))*1,"")</f>
        <v/>
      </c>
      <c r="I6" s="23">
        <f>IFERROR((INDEX(HIST_D!$AF$8:$AF$2617,1)-INDEX(HIST_D!$AF$8:$AF$2617,Control!$F$10))*1,"")</f>
        <v/>
      </c>
      <c r="J6" s="23">
        <f>IFERROR((INDEX(HIST_D!$AF$8:$AF$2617,1)-INDEX(HIST_D!$AF$8:$AF$2617,Control!$F$16))*1,"")</f>
        <v/>
      </c>
      <c r="K6" s="23">
        <f>IFERROR((INDEX(HIST_D!$AF$8:$AF$2617,1)-INDEX(HIST_D!$AF$8:$AF$2617,Control!$F$11))*1,"")</f>
        <v/>
      </c>
      <c r="L6" s="40">
        <f>IFERROR(MIN(HIST_D!$AF$8:INDEX(HIST_D!$AF$8:$AF$2617,Control!$F$11)),"")</f>
        <v/>
      </c>
      <c r="M6" s="40">
        <f>IFERROR(MAX(HIST_D!$AF$8:INDEX(HIST_D!$AF$8:$AF$2617,Control!$F$11)),"")</f>
        <v/>
      </c>
      <c r="N6" s="24">
        <f>IFERROR(PERCENTRANK(HIST_D!$AF$8:INDEX(HIST_D!$AF$8:$AF$2617,Control!$F$11),INDEX(HIST_D!$AF$8:$AF$2617,1)),"")</f>
        <v/>
      </c>
      <c r="O6" s="24">
        <f>IFERROR(PERCENTRANK(HIST_D!$AF$8:INDEX(HIST_D!$AF$8:$AF$2617,Control!$F$13),INDEX(HIST_D!$AF$8:$AF$2617,1)),"")</f>
        <v/>
      </c>
      <c r="P6" s="24">
        <f>IFERROR(PERCENTRANK(HIST_D!$AF$8:INDEX(HIST_D!$AF$8:$AF$2617,Control!$F$14),INDEX(HIST_D!$AF$8:$AF$2617,1)),"")</f>
        <v/>
      </c>
      <c r="Q6" s="24">
        <f>IFERROR(PERCENTRANK(HIST_D!$AF$8:INDEX(HIST_D!$AF$8:$AF$2617,Control!$F$15),INDEX(HIST_D!$AF$8:$AF$2617,1)),"")</f>
        <v/>
      </c>
      <c r="R6" s="24">
        <f>IFERROR(PERCENTRANK(HIST_M!$F$8:$F$308,INDEX(HIST_D!$AF$8:$AF$2617,1)),"")</f>
        <v/>
      </c>
      <c r="S6" s="25">
        <f>IFERROR((INDEX(HIST_D!$AF$8:$AF$2617,1)-AVERAGE(HIST_D!$AF$8:INDEX(HIST_D!$AF$8:$AF$2617,Control!$F$14)))/STDEV(HIST_D!$AF$8:INDEX(HIST_D!$AF$8:$AF$2617,Control!$F$14)),"")</f>
        <v/>
      </c>
    </row>
    <row r="7">
      <c r="A7" s="21" t="inlineStr">
        <is>
          <t>US HY OAS</t>
        </is>
      </c>
      <c r="B7" s="16">
        <f>Tickers!$C$37</f>
        <v/>
      </c>
      <c r="C7" s="27" t="inlineStr">
        <is>
          <t>bp</t>
        </is>
      </c>
      <c r="D7" s="26">
        <f>INDEX(HIST_D!$AG$8:$AG$2617,1)</f>
        <v/>
      </c>
      <c r="E7" s="23">
        <f>IFERROR((INDEX(HIST_D!$AG$8:$AG$2617,1)-INDEX(HIST_D!$AG$8:$AG$2617,Control!$F$6))*1,"")</f>
        <v/>
      </c>
      <c r="F7" s="23">
        <f>IFERROR((INDEX(HIST_D!$AG$8:$AG$2617,1)-INDEX(HIST_D!$AG$8:$AG$2617,Control!$F$7))*1,"")</f>
        <v/>
      </c>
      <c r="G7" s="23">
        <f>IFERROR((INDEX(HIST_D!$AG$8:$AG$2617,1)-INDEX(HIST_D!$AG$8:$AG$2617,Control!$F$8))*1,"")</f>
        <v/>
      </c>
      <c r="H7" s="23">
        <f>IFERROR((INDEX(HIST_D!$AG$8:$AG$2617,1)-INDEX(HIST_D!$AG$8:$AG$2617,Control!$F$9))*1,"")</f>
        <v/>
      </c>
      <c r="I7" s="23">
        <f>IFERROR((INDEX(HIST_D!$AG$8:$AG$2617,1)-INDEX(HIST_D!$AG$8:$AG$2617,Control!$F$10))*1,"")</f>
        <v/>
      </c>
      <c r="J7" s="23">
        <f>IFERROR((INDEX(HIST_D!$AG$8:$AG$2617,1)-INDEX(HIST_D!$AG$8:$AG$2617,Control!$F$16))*1,"")</f>
        <v/>
      </c>
      <c r="K7" s="23">
        <f>IFERROR((INDEX(HIST_D!$AG$8:$AG$2617,1)-INDEX(HIST_D!$AG$8:$AG$2617,Control!$F$11))*1,"")</f>
        <v/>
      </c>
      <c r="L7" s="40">
        <f>IFERROR(MIN(HIST_D!$AG$8:INDEX(HIST_D!$AG$8:$AG$2617,Control!$F$11)),"")</f>
        <v/>
      </c>
      <c r="M7" s="40">
        <f>IFERROR(MAX(HIST_D!$AG$8:INDEX(HIST_D!$AG$8:$AG$2617,Control!$F$11)),"")</f>
        <v/>
      </c>
      <c r="N7" s="24">
        <f>IFERROR(PERCENTRANK(HIST_D!$AG$8:INDEX(HIST_D!$AG$8:$AG$2617,Control!$F$11),INDEX(HIST_D!$AG$8:$AG$2617,1)),"")</f>
        <v/>
      </c>
      <c r="O7" s="24">
        <f>IFERROR(PERCENTRANK(HIST_D!$AG$8:INDEX(HIST_D!$AG$8:$AG$2617,Control!$F$13),INDEX(HIST_D!$AG$8:$AG$2617,1)),"")</f>
        <v/>
      </c>
      <c r="P7" s="24">
        <f>IFERROR(PERCENTRANK(HIST_D!$AG$8:INDEX(HIST_D!$AG$8:$AG$2617,Control!$F$14),INDEX(HIST_D!$AG$8:$AG$2617,1)),"")</f>
        <v/>
      </c>
      <c r="Q7" s="24">
        <f>IFERROR(PERCENTRANK(HIST_D!$AG$8:INDEX(HIST_D!$AG$8:$AG$2617,Control!$F$15),INDEX(HIST_D!$AG$8:$AG$2617,1)),"")</f>
        <v/>
      </c>
      <c r="R7" s="24">
        <f>IFERROR(PERCENTRANK(HIST_M!$G$8:$G$308,INDEX(HIST_D!$AG$8:$AG$2617,1)),"")</f>
        <v/>
      </c>
      <c r="S7" s="25">
        <f>IFERROR((INDEX(HIST_D!$AG$8:$AG$2617,1)-AVERAGE(HIST_D!$AG$8:INDEX(HIST_D!$AG$8:$AG$2617,Control!$F$14)))/STDEV(HIST_D!$AG$8:INDEX(HIST_D!$AG$8:$AG$2617,Control!$F$14)),"")</f>
        <v/>
      </c>
    </row>
    <row r="8">
      <c r="A8" s="8" t="inlineStr">
        <is>
          <t>EM USD Agg OAS</t>
        </is>
      </c>
      <c r="B8" s="16">
        <f>Tickers!$C$40</f>
        <v/>
      </c>
      <c r="C8" s="27" t="inlineStr">
        <is>
          <t>bp</t>
        </is>
      </c>
      <c r="D8" s="26">
        <f>INDEX(HIST_D!$AJ$8:$AJ$2617,1)</f>
        <v/>
      </c>
      <c r="E8" s="23">
        <f>IFERROR((INDEX(HIST_D!$AJ$8:$AJ$2617,1)-INDEX(HIST_D!$AJ$8:$AJ$2617,Control!$F$6))*1,"")</f>
        <v/>
      </c>
      <c r="F8" s="23">
        <f>IFERROR((INDEX(HIST_D!$AJ$8:$AJ$2617,1)-INDEX(HIST_D!$AJ$8:$AJ$2617,Control!$F$7))*1,"")</f>
        <v/>
      </c>
      <c r="G8" s="23">
        <f>IFERROR((INDEX(HIST_D!$AJ$8:$AJ$2617,1)-INDEX(HIST_D!$AJ$8:$AJ$2617,Control!$F$8))*1,"")</f>
        <v/>
      </c>
      <c r="H8" s="23">
        <f>IFERROR((INDEX(HIST_D!$AJ$8:$AJ$2617,1)-INDEX(HIST_D!$AJ$8:$AJ$2617,Control!$F$9))*1,"")</f>
        <v/>
      </c>
      <c r="I8" s="23">
        <f>IFERROR((INDEX(HIST_D!$AJ$8:$AJ$2617,1)-INDEX(HIST_D!$AJ$8:$AJ$2617,Control!$F$10))*1,"")</f>
        <v/>
      </c>
      <c r="J8" s="23">
        <f>IFERROR((INDEX(HIST_D!$AJ$8:$AJ$2617,1)-INDEX(HIST_D!$AJ$8:$AJ$2617,Control!$F$16))*1,"")</f>
        <v/>
      </c>
      <c r="K8" s="23">
        <f>IFERROR((INDEX(HIST_D!$AJ$8:$AJ$2617,1)-INDEX(HIST_D!$AJ$8:$AJ$2617,Control!$F$11))*1,"")</f>
        <v/>
      </c>
      <c r="L8" s="40">
        <f>IFERROR(MIN(HIST_D!$AJ$8:INDEX(HIST_D!$AJ$8:$AJ$2617,Control!$F$11)),"")</f>
        <v/>
      </c>
      <c r="M8" s="40">
        <f>IFERROR(MAX(HIST_D!$AJ$8:INDEX(HIST_D!$AJ$8:$AJ$2617,Control!$F$11)),"")</f>
        <v/>
      </c>
      <c r="N8" s="24">
        <f>IFERROR(PERCENTRANK(HIST_D!$AJ$8:INDEX(HIST_D!$AJ$8:$AJ$2617,Control!$F$11),INDEX(HIST_D!$AJ$8:$AJ$2617,1)),"")</f>
        <v/>
      </c>
      <c r="O8" s="24">
        <f>IFERROR(PERCENTRANK(HIST_D!$AJ$8:INDEX(HIST_D!$AJ$8:$AJ$2617,Control!$F$13),INDEX(HIST_D!$AJ$8:$AJ$2617,1)),"")</f>
        <v/>
      </c>
      <c r="P8" s="24">
        <f>IFERROR(PERCENTRANK(HIST_D!$AJ$8:INDEX(HIST_D!$AJ$8:$AJ$2617,Control!$F$14),INDEX(HIST_D!$AJ$8:$AJ$2617,1)),"")</f>
        <v/>
      </c>
      <c r="Q8" s="24">
        <f>IFERROR(PERCENTRANK(HIST_D!$AJ$8:INDEX(HIST_D!$AJ$8:$AJ$2617,Control!$F$15),INDEX(HIST_D!$AJ$8:$AJ$2617,1)),"")</f>
        <v/>
      </c>
      <c r="R8" s="24">
        <f>IFERROR(PERCENTRANK(HIST_M!$H$8:$H$308,INDEX(HIST_D!$AJ$8:$AJ$2617,1)),"")</f>
        <v/>
      </c>
      <c r="S8" s="25">
        <f>IFERROR((INDEX(HIST_D!$AJ$8:$AJ$2617,1)-AVERAGE(HIST_D!$AJ$8:INDEX(HIST_D!$AJ$8:$AJ$2617,Control!$F$14)))/STDEV(HIST_D!$AJ$8:INDEX(HIST_D!$AJ$8:$AJ$2617,Control!$F$14)),"")</f>
        <v/>
      </c>
    </row>
    <row r="9">
      <c r="A9" s="8" t="inlineStr">
        <is>
          <t>HY − IG (bp)</t>
        </is>
      </c>
      <c r="B9" s="17" t="inlineStr">
        <is>
          <t>derived on HIST_D</t>
        </is>
      </c>
      <c r="C9" s="27" t="inlineStr">
        <is>
          <t>bp</t>
        </is>
      </c>
      <c r="D9" s="26">
        <f>INDEX(HIST_D!$BG$8:$BG$2617,1)</f>
        <v/>
      </c>
      <c r="E9" s="23">
        <f>IFERROR((INDEX(HIST_D!$BG$8:$BG$2617,1)-INDEX(HIST_D!$BG$8:$BG$2617,Control!$F$6))*1,"")</f>
        <v/>
      </c>
      <c r="F9" s="23">
        <f>IFERROR((INDEX(HIST_D!$BG$8:$BG$2617,1)-INDEX(HIST_D!$BG$8:$BG$2617,Control!$F$7))*1,"")</f>
        <v/>
      </c>
      <c r="G9" s="23">
        <f>IFERROR((INDEX(HIST_D!$BG$8:$BG$2617,1)-INDEX(HIST_D!$BG$8:$BG$2617,Control!$F$8))*1,"")</f>
        <v/>
      </c>
      <c r="H9" s="23">
        <f>IFERROR((INDEX(HIST_D!$BG$8:$BG$2617,1)-INDEX(HIST_D!$BG$8:$BG$2617,Control!$F$9))*1,"")</f>
        <v/>
      </c>
      <c r="I9" s="23">
        <f>IFERROR((INDEX(HIST_D!$BG$8:$BG$2617,1)-INDEX(HIST_D!$BG$8:$BG$2617,Control!$F$10))*1,"")</f>
        <v/>
      </c>
      <c r="J9" s="23">
        <f>IFERROR((INDEX(HIST_D!$BG$8:$BG$2617,1)-INDEX(HIST_D!$BG$8:$BG$2617,Control!$F$16))*1,"")</f>
        <v/>
      </c>
      <c r="K9" s="23">
        <f>IFERROR((INDEX(HIST_D!$BG$8:$BG$2617,1)-INDEX(HIST_D!$BG$8:$BG$2617,Control!$F$11))*1,"")</f>
        <v/>
      </c>
      <c r="L9" s="40">
        <f>IFERROR(MIN(HIST_D!$BG$8:INDEX(HIST_D!$BG$8:$BG$2617,Control!$F$11)),"")</f>
        <v/>
      </c>
      <c r="M9" s="40">
        <f>IFERROR(MAX(HIST_D!$BG$8:INDEX(HIST_D!$BG$8:$BG$2617,Control!$F$11)),"")</f>
        <v/>
      </c>
      <c r="N9" s="24">
        <f>IFERROR(PERCENTRANK(HIST_D!$BG$8:INDEX(HIST_D!$BG$8:$BG$2617,Control!$F$11),INDEX(HIST_D!$BG$8:$BG$2617,1)),"")</f>
        <v/>
      </c>
      <c r="O9" s="24">
        <f>IFERROR(PERCENTRANK(HIST_D!$BG$8:INDEX(HIST_D!$BG$8:$BG$2617,Control!$F$13),INDEX(HIST_D!$BG$8:$BG$2617,1)),"")</f>
        <v/>
      </c>
      <c r="P9" s="24">
        <f>IFERROR(PERCENTRANK(HIST_D!$BG$8:INDEX(HIST_D!$BG$8:$BG$2617,Control!$F$14),INDEX(HIST_D!$BG$8:$BG$2617,1)),"")</f>
        <v/>
      </c>
      <c r="Q9" s="24">
        <f>IFERROR(PERCENTRANK(HIST_D!$BG$8:INDEX(HIST_D!$BG$8:$BG$2617,Control!$F$15),INDEX(HIST_D!$BG$8:$BG$2617,1)),"")</f>
        <v/>
      </c>
      <c r="R9" s="24">
        <f>IFERROR(PERCENTRANK(HIST_M!$N$8:$N$308,INDEX(HIST_D!$BG$8:$BG$2617,1)),"")</f>
        <v/>
      </c>
      <c r="S9" s="25">
        <f>IFERROR((INDEX(HIST_D!$BG$8:$BG$2617,1)-AVERAGE(HIST_D!$BG$8:INDEX(HIST_D!$BG$8:$BG$2617,Control!$F$14)))/STDEV(HIST_D!$BG$8:INDEX(HIST_D!$BG$8:$BG$2617,Control!$F$14)),"")</f>
        <v/>
      </c>
    </row>
    <row r="10">
      <c r="A10" s="8" t="inlineStr">
        <is>
          <t>HY / IG (x)</t>
        </is>
      </c>
      <c r="B10" s="17" t="inlineStr">
        <is>
          <t>derived on HIST_D</t>
        </is>
      </c>
      <c r="C10" s="27" t="inlineStr">
        <is>
          <t>x</t>
        </is>
      </c>
      <c r="D10" s="33">
        <f>INDEX(HIST_D!$BH$8:$BH$2617,1)</f>
        <v/>
      </c>
      <c r="E10" s="34">
        <f>IFERROR((INDEX(HIST_D!$BH$8:$BH$2617,1)-INDEX(HIST_D!$BH$8:$BH$2617,Control!$F$6))*1,"")</f>
        <v/>
      </c>
      <c r="F10" s="34">
        <f>IFERROR((INDEX(HIST_D!$BH$8:$BH$2617,1)-INDEX(HIST_D!$BH$8:$BH$2617,Control!$F$7))*1,"")</f>
        <v/>
      </c>
      <c r="G10" s="34">
        <f>IFERROR((INDEX(HIST_D!$BH$8:$BH$2617,1)-INDEX(HIST_D!$BH$8:$BH$2617,Control!$F$8))*1,"")</f>
        <v/>
      </c>
      <c r="H10" s="34">
        <f>IFERROR((INDEX(HIST_D!$BH$8:$BH$2617,1)-INDEX(HIST_D!$BH$8:$BH$2617,Control!$F$9))*1,"")</f>
        <v/>
      </c>
      <c r="I10" s="34">
        <f>IFERROR((INDEX(HIST_D!$BH$8:$BH$2617,1)-INDEX(HIST_D!$BH$8:$BH$2617,Control!$F$10))*1,"")</f>
        <v/>
      </c>
      <c r="J10" s="34">
        <f>IFERROR((INDEX(HIST_D!$BH$8:$BH$2617,1)-INDEX(HIST_D!$BH$8:$BH$2617,Control!$F$16))*1,"")</f>
        <v/>
      </c>
      <c r="K10" s="34">
        <f>IFERROR((INDEX(HIST_D!$BH$8:$BH$2617,1)-INDEX(HIST_D!$BH$8:$BH$2617,Control!$F$11))*1,"")</f>
        <v/>
      </c>
      <c r="L10" s="63">
        <f>IFERROR(MIN(HIST_D!$BH$8:INDEX(HIST_D!$BH$8:$BH$2617,Control!$F$11)),"")</f>
        <v/>
      </c>
      <c r="M10" s="63">
        <f>IFERROR(MAX(HIST_D!$BH$8:INDEX(HIST_D!$BH$8:$BH$2617,Control!$F$11)),"")</f>
        <v/>
      </c>
      <c r="N10" s="24">
        <f>IFERROR(PERCENTRANK(HIST_D!$BH$8:INDEX(HIST_D!$BH$8:$BH$2617,Control!$F$11),INDEX(HIST_D!$BH$8:$BH$2617,1)),"")</f>
        <v/>
      </c>
      <c r="O10" s="24">
        <f>IFERROR(PERCENTRANK(HIST_D!$BH$8:INDEX(HIST_D!$BH$8:$BH$2617,Control!$F$13),INDEX(HIST_D!$BH$8:$BH$2617,1)),"")</f>
        <v/>
      </c>
      <c r="P10" s="24">
        <f>IFERROR(PERCENTRANK(HIST_D!$BH$8:INDEX(HIST_D!$BH$8:$BH$2617,Control!$F$14),INDEX(HIST_D!$BH$8:$BH$2617,1)),"")</f>
        <v/>
      </c>
      <c r="Q10" s="24">
        <f>IFERROR(PERCENTRANK(HIST_D!$BH$8:INDEX(HIST_D!$BH$8:$BH$2617,Control!$F$15),INDEX(HIST_D!$BH$8:$BH$2617,1)),"")</f>
        <v/>
      </c>
      <c r="R10" s="24">
        <f>IFERROR(PERCENTRANK(HIST_M!$O$8:$O$308,INDEX(HIST_D!$BH$8:$BH$2617,1)),"")</f>
        <v/>
      </c>
      <c r="S10" s="25">
        <f>IFERROR((INDEX(HIST_D!$BH$8:$BH$2617,1)-AVERAGE(HIST_D!$BH$8:INDEX(HIST_D!$BH$8:$BH$2617,Control!$F$14)))/STDEV(HIST_D!$BH$8:INDEX(HIST_D!$BH$8:$BH$2617,Control!$F$14)),"")</f>
        <v/>
      </c>
    </row>
    <row r="11">
      <c r="A11" s="8" t="inlineStr">
        <is>
          <t>EM − IG (bp)</t>
        </is>
      </c>
      <c r="B11" s="17" t="inlineStr">
        <is>
          <t>derived on HIST_D</t>
        </is>
      </c>
      <c r="C11" s="27" t="inlineStr">
        <is>
          <t>bp</t>
        </is>
      </c>
      <c r="D11" s="26">
        <f>INDEX(HIST_D!$BI$8:$BI$2617,1)</f>
        <v/>
      </c>
      <c r="E11" s="23">
        <f>IFERROR((INDEX(HIST_D!$BI$8:$BI$2617,1)-INDEX(HIST_D!$BI$8:$BI$2617,Control!$F$6))*1,"")</f>
        <v/>
      </c>
      <c r="F11" s="23">
        <f>IFERROR((INDEX(HIST_D!$BI$8:$BI$2617,1)-INDEX(HIST_D!$BI$8:$BI$2617,Control!$F$7))*1,"")</f>
        <v/>
      </c>
      <c r="G11" s="23">
        <f>IFERROR((INDEX(HIST_D!$BI$8:$BI$2617,1)-INDEX(HIST_D!$BI$8:$BI$2617,Control!$F$8))*1,"")</f>
        <v/>
      </c>
      <c r="H11" s="23">
        <f>IFERROR((INDEX(HIST_D!$BI$8:$BI$2617,1)-INDEX(HIST_D!$BI$8:$BI$2617,Control!$F$9))*1,"")</f>
        <v/>
      </c>
      <c r="I11" s="23">
        <f>IFERROR((INDEX(HIST_D!$BI$8:$BI$2617,1)-INDEX(HIST_D!$BI$8:$BI$2617,Control!$F$10))*1,"")</f>
        <v/>
      </c>
      <c r="J11" s="23">
        <f>IFERROR((INDEX(HIST_D!$BI$8:$BI$2617,1)-INDEX(HIST_D!$BI$8:$BI$2617,Control!$F$16))*1,"")</f>
        <v/>
      </c>
      <c r="K11" s="23">
        <f>IFERROR((INDEX(HIST_D!$BI$8:$BI$2617,1)-INDEX(HIST_D!$BI$8:$BI$2617,Control!$F$11))*1,"")</f>
        <v/>
      </c>
      <c r="L11" s="40">
        <f>IFERROR(MIN(HIST_D!$BI$8:INDEX(HIST_D!$BI$8:$BI$2617,Control!$F$11)),"")</f>
        <v/>
      </c>
      <c r="M11" s="40">
        <f>IFERROR(MAX(HIST_D!$BI$8:INDEX(HIST_D!$BI$8:$BI$2617,Control!$F$11)),"")</f>
        <v/>
      </c>
      <c r="N11" s="24">
        <f>IFERROR(PERCENTRANK(HIST_D!$BI$8:INDEX(HIST_D!$BI$8:$BI$2617,Control!$F$11),INDEX(HIST_D!$BI$8:$BI$2617,1)),"")</f>
        <v/>
      </c>
      <c r="O11" s="24">
        <f>IFERROR(PERCENTRANK(HIST_D!$BI$8:INDEX(HIST_D!$BI$8:$BI$2617,Control!$F$13),INDEX(HIST_D!$BI$8:$BI$2617,1)),"")</f>
        <v/>
      </c>
      <c r="P11" s="24">
        <f>IFERROR(PERCENTRANK(HIST_D!$BI$8:INDEX(HIST_D!$BI$8:$BI$2617,Control!$F$14),INDEX(HIST_D!$BI$8:$BI$2617,1)),"")</f>
        <v/>
      </c>
      <c r="Q11" s="24">
        <f>IFERROR(PERCENTRANK(HIST_D!$BI$8:INDEX(HIST_D!$BI$8:$BI$2617,Control!$F$15),INDEX(HIST_D!$BI$8:$BI$2617,1)),"")</f>
        <v/>
      </c>
      <c r="R11" s="24">
        <f>IFERROR(PERCENTRANK(HIST_M!$Q$8:$Q$308,INDEX(HIST_D!$BI$8:$BI$2617,1)),"")</f>
        <v/>
      </c>
      <c r="S11" s="25">
        <f>IFERROR((INDEX(HIST_D!$BI$8:$BI$2617,1)-AVERAGE(HIST_D!$BI$8:INDEX(HIST_D!$BI$8:$BI$2617,Control!$F$14)))/STDEV(HIST_D!$BI$8:INDEX(HIST_D!$BI$8:$BI$2617,Control!$F$14)),"")</f>
        <v/>
      </c>
    </row>
    <row r="12">
      <c r="A12" s="8" t="inlineStr">
        <is>
          <t>EM / HY (x)</t>
        </is>
      </c>
      <c r="B12" s="17" t="inlineStr">
        <is>
          <t>derived on HIST_D</t>
        </is>
      </c>
      <c r="C12" s="27" t="inlineStr">
        <is>
          <t>x</t>
        </is>
      </c>
      <c r="D12" s="33">
        <f>INDEX(HIST_D!$BJ$8:$BJ$2617,1)</f>
        <v/>
      </c>
      <c r="E12" s="34">
        <f>IFERROR((INDEX(HIST_D!$BJ$8:$BJ$2617,1)-INDEX(HIST_D!$BJ$8:$BJ$2617,Control!$F$6))*1,"")</f>
        <v/>
      </c>
      <c r="F12" s="34">
        <f>IFERROR((INDEX(HIST_D!$BJ$8:$BJ$2617,1)-INDEX(HIST_D!$BJ$8:$BJ$2617,Control!$F$7))*1,"")</f>
        <v/>
      </c>
      <c r="G12" s="34">
        <f>IFERROR((INDEX(HIST_D!$BJ$8:$BJ$2617,1)-INDEX(HIST_D!$BJ$8:$BJ$2617,Control!$F$8))*1,"")</f>
        <v/>
      </c>
      <c r="H12" s="34">
        <f>IFERROR((INDEX(HIST_D!$BJ$8:$BJ$2617,1)-INDEX(HIST_D!$BJ$8:$BJ$2617,Control!$F$9))*1,"")</f>
        <v/>
      </c>
      <c r="I12" s="34">
        <f>IFERROR((INDEX(HIST_D!$BJ$8:$BJ$2617,1)-INDEX(HIST_D!$BJ$8:$BJ$2617,Control!$F$10))*1,"")</f>
        <v/>
      </c>
      <c r="J12" s="34">
        <f>IFERROR((INDEX(HIST_D!$BJ$8:$BJ$2617,1)-INDEX(HIST_D!$BJ$8:$BJ$2617,Control!$F$16))*1,"")</f>
        <v/>
      </c>
      <c r="K12" s="34">
        <f>IFERROR((INDEX(HIST_D!$BJ$8:$BJ$2617,1)-INDEX(HIST_D!$BJ$8:$BJ$2617,Control!$F$11))*1,"")</f>
        <v/>
      </c>
      <c r="L12" s="63">
        <f>IFERROR(MIN(HIST_D!$BJ$8:INDEX(HIST_D!$BJ$8:$BJ$2617,Control!$F$11)),"")</f>
        <v/>
      </c>
      <c r="M12" s="63">
        <f>IFERROR(MAX(HIST_D!$BJ$8:INDEX(HIST_D!$BJ$8:$BJ$2617,Control!$F$11)),"")</f>
        <v/>
      </c>
      <c r="N12" s="24">
        <f>IFERROR(PERCENTRANK(HIST_D!$BJ$8:INDEX(HIST_D!$BJ$8:$BJ$2617,Control!$F$11),INDEX(HIST_D!$BJ$8:$BJ$2617,1)),"")</f>
        <v/>
      </c>
      <c r="O12" s="24">
        <f>IFERROR(PERCENTRANK(HIST_D!$BJ$8:INDEX(HIST_D!$BJ$8:$BJ$2617,Control!$F$13),INDEX(HIST_D!$BJ$8:$BJ$2617,1)),"")</f>
        <v/>
      </c>
      <c r="P12" s="24">
        <f>IFERROR(PERCENTRANK(HIST_D!$BJ$8:INDEX(HIST_D!$BJ$8:$BJ$2617,Control!$F$14),INDEX(HIST_D!$BJ$8:$BJ$2617,1)),"")</f>
        <v/>
      </c>
      <c r="Q12" s="24">
        <f>IFERROR(PERCENTRANK(HIST_D!$BJ$8:INDEX(HIST_D!$BJ$8:$BJ$2617,Control!$F$15),INDEX(HIST_D!$BJ$8:$BJ$2617,1)),"")</f>
        <v/>
      </c>
      <c r="R12" s="24">
        <f>IFERROR(PERCENTRANK(HIST_M!$P$8:$P$308,INDEX(HIST_D!$BJ$8:$BJ$2617,1)),"")</f>
        <v/>
      </c>
      <c r="S12" s="25">
        <f>IFERROR((INDEX(HIST_D!$BJ$8:$BJ$2617,1)-AVERAGE(HIST_D!$BJ$8:INDEX(HIST_D!$BJ$8:$BJ$2617,Control!$F$14)))/STDEV(HIST_D!$BJ$8:INDEX(HIST_D!$BJ$8:$BJ$2617,Control!$F$14)),"")</f>
        <v/>
      </c>
    </row>
    <row r="13">
      <c r="A13" s="8" t="inlineStr">
        <is>
          <t>CDX IG 5Y</t>
        </is>
      </c>
      <c r="B13" s="16">
        <f>Tickers!$C$42</f>
        <v/>
      </c>
      <c r="C13" s="27" t="inlineStr">
        <is>
          <t>bp</t>
        </is>
      </c>
      <c r="D13" s="26">
        <f>INDEX(HIST_D!$AL$8:$AL$2617,1)</f>
        <v/>
      </c>
      <c r="E13" s="23">
        <f>IFERROR((INDEX(HIST_D!$AL$8:$AL$2617,1)-INDEX(HIST_D!$AL$8:$AL$2617,Control!$F$6))*1,"")</f>
        <v/>
      </c>
      <c r="F13" s="23">
        <f>IFERROR((INDEX(HIST_D!$AL$8:$AL$2617,1)-INDEX(HIST_D!$AL$8:$AL$2617,Control!$F$7))*1,"")</f>
        <v/>
      </c>
      <c r="G13" s="23">
        <f>IFERROR((INDEX(HIST_D!$AL$8:$AL$2617,1)-INDEX(HIST_D!$AL$8:$AL$2617,Control!$F$8))*1,"")</f>
        <v/>
      </c>
      <c r="H13" s="23">
        <f>IFERROR((INDEX(HIST_D!$AL$8:$AL$2617,1)-INDEX(HIST_D!$AL$8:$AL$2617,Control!$F$9))*1,"")</f>
        <v/>
      </c>
      <c r="I13" s="23">
        <f>IFERROR((INDEX(HIST_D!$AL$8:$AL$2617,1)-INDEX(HIST_D!$AL$8:$AL$2617,Control!$F$10))*1,"")</f>
        <v/>
      </c>
      <c r="J13" s="23">
        <f>IFERROR((INDEX(HIST_D!$AL$8:$AL$2617,1)-INDEX(HIST_D!$AL$8:$AL$2617,Control!$F$16))*1,"")</f>
        <v/>
      </c>
      <c r="K13" s="23">
        <f>IFERROR((INDEX(HIST_D!$AL$8:$AL$2617,1)-INDEX(HIST_D!$AL$8:$AL$2617,Control!$F$11))*1,"")</f>
        <v/>
      </c>
      <c r="L13" s="40">
        <f>IFERROR(MIN(HIST_D!$AL$8:INDEX(HIST_D!$AL$8:$AL$2617,Control!$F$11)),"")</f>
        <v/>
      </c>
      <c r="M13" s="40">
        <f>IFERROR(MAX(HIST_D!$AL$8:INDEX(HIST_D!$AL$8:$AL$2617,Control!$F$11)),"")</f>
        <v/>
      </c>
      <c r="N13" s="24">
        <f>IFERROR(PERCENTRANK(HIST_D!$AL$8:INDEX(HIST_D!$AL$8:$AL$2617,Control!$F$11),INDEX(HIST_D!$AL$8:$AL$2617,1)),"")</f>
        <v/>
      </c>
      <c r="O13" s="24">
        <f>IFERROR(PERCENTRANK(HIST_D!$AL$8:INDEX(HIST_D!$AL$8:$AL$2617,Control!$F$13),INDEX(HIST_D!$AL$8:$AL$2617,1)),"")</f>
        <v/>
      </c>
      <c r="P13" s="24">
        <f>IFERROR(PERCENTRANK(HIST_D!$AL$8:INDEX(HIST_D!$AL$8:$AL$2617,Control!$F$14),INDEX(HIST_D!$AL$8:$AL$2617,1)),"")</f>
        <v/>
      </c>
      <c r="Q13" s="24">
        <f>IFERROR(PERCENTRANK(HIST_D!$AL$8:INDEX(HIST_D!$AL$8:$AL$2617,Control!$F$15),INDEX(HIST_D!$AL$8:$AL$2617,1)),"")</f>
        <v/>
      </c>
      <c r="R13" s="27" t="inlineStr"/>
      <c r="S13" s="25">
        <f>IFERROR((INDEX(HIST_D!$AL$8:$AL$2617,1)-AVERAGE(HIST_D!$AL$8:INDEX(HIST_D!$AL$8:$AL$2617,Control!$F$14)))/STDEV(HIST_D!$AL$8:INDEX(HIST_D!$AL$8:$AL$2617,Control!$F$14)),"")</f>
        <v/>
      </c>
    </row>
    <row r="14">
      <c r="A14" s="8" t="inlineStr">
        <is>
          <t>CDX HY 5Y (px)</t>
        </is>
      </c>
      <c r="B14" s="16">
        <f>Tickers!$C$43</f>
        <v/>
      </c>
      <c r="C14" s="27" t="inlineStr">
        <is>
          <t>px</t>
        </is>
      </c>
      <c r="D14" s="64">
        <f>INDEX(HIST_D!$AM$8:$AM$2617,1)</f>
        <v/>
      </c>
      <c r="E14" s="34">
        <f>IFERROR((INDEX(HIST_D!$AM$8:$AM$2617,1)-INDEX(HIST_D!$AM$8:$AM$2617,Control!$F$6))*1,"")</f>
        <v/>
      </c>
      <c r="F14" s="34">
        <f>IFERROR((INDEX(HIST_D!$AM$8:$AM$2617,1)-INDEX(HIST_D!$AM$8:$AM$2617,Control!$F$7))*1,"")</f>
        <v/>
      </c>
      <c r="G14" s="34">
        <f>IFERROR((INDEX(HIST_D!$AM$8:$AM$2617,1)-INDEX(HIST_D!$AM$8:$AM$2617,Control!$F$8))*1,"")</f>
        <v/>
      </c>
      <c r="H14" s="34">
        <f>IFERROR((INDEX(HIST_D!$AM$8:$AM$2617,1)-INDEX(HIST_D!$AM$8:$AM$2617,Control!$F$9))*1,"")</f>
        <v/>
      </c>
      <c r="I14" s="34">
        <f>IFERROR((INDEX(HIST_D!$AM$8:$AM$2617,1)-INDEX(HIST_D!$AM$8:$AM$2617,Control!$F$10))*1,"")</f>
        <v/>
      </c>
      <c r="J14" s="34">
        <f>IFERROR((INDEX(HIST_D!$AM$8:$AM$2617,1)-INDEX(HIST_D!$AM$8:$AM$2617,Control!$F$16))*1,"")</f>
        <v/>
      </c>
      <c r="K14" s="34">
        <f>IFERROR((INDEX(HIST_D!$AM$8:$AM$2617,1)-INDEX(HIST_D!$AM$8:$AM$2617,Control!$F$11))*1,"")</f>
        <v/>
      </c>
      <c r="L14" s="60">
        <f>IFERROR(MIN(HIST_D!$AM$8:INDEX(HIST_D!$AM$8:$AM$2617,Control!$F$11)),"")</f>
        <v/>
      </c>
      <c r="M14" s="60">
        <f>IFERROR(MAX(HIST_D!$AM$8:INDEX(HIST_D!$AM$8:$AM$2617,Control!$F$11)),"")</f>
        <v/>
      </c>
      <c r="N14" s="24">
        <f>IFERROR(PERCENTRANK(HIST_D!$AM$8:INDEX(HIST_D!$AM$8:$AM$2617,Control!$F$11),INDEX(HIST_D!$AM$8:$AM$2617,1)),"")</f>
        <v/>
      </c>
      <c r="O14" s="24">
        <f>IFERROR(PERCENTRANK(HIST_D!$AM$8:INDEX(HIST_D!$AM$8:$AM$2617,Control!$F$13),INDEX(HIST_D!$AM$8:$AM$2617,1)),"")</f>
        <v/>
      </c>
      <c r="P14" s="24">
        <f>IFERROR(PERCENTRANK(HIST_D!$AM$8:INDEX(HIST_D!$AM$8:$AM$2617,Control!$F$14),INDEX(HIST_D!$AM$8:$AM$2617,1)),"")</f>
        <v/>
      </c>
      <c r="Q14" s="24">
        <f>IFERROR(PERCENTRANK(HIST_D!$AM$8:INDEX(HIST_D!$AM$8:$AM$2617,Control!$F$15),INDEX(HIST_D!$AM$8:$AM$2617,1)),"")</f>
        <v/>
      </c>
      <c r="R14" s="27" t="inlineStr"/>
      <c r="S14" s="25">
        <f>IFERROR((INDEX(HIST_D!$AM$8:$AM$2617,1)-AVERAGE(HIST_D!$AM$8:INDEX(HIST_D!$AM$8:$AM$2617,Control!$F$14)))/STDEV(HIST_D!$AM$8:INDEX(HIST_D!$AM$8:$AM$2617,Control!$F$14)),"")</f>
        <v/>
      </c>
    </row>
    <row r="15">
      <c r="A15" s="10" t="inlineStr">
        <is>
          <t>The %ile 25y column uses the monthly block. Everything else is daily. A spread at the 5th percentile is not a sell signal on its own — it is a statement about how little room there is for the spread leg to help you.</t>
        </is>
      </c>
    </row>
    <row r="17" ht="18" customHeight="1">
      <c r="A17" s="3" t="inlineStr">
        <is>
          <t>HOW FAR IS 'CHEAP'?  Distance from each percentile, in bp</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28" customHeight="1">
      <c r="A18" s="20" t="inlineStr">
        <is>
          <t>Index</t>
        </is>
      </c>
      <c r="B18" s="20" t="inlineStr">
        <is>
          <t>Now (bp)</t>
        </is>
      </c>
      <c r="C18" s="20" t="inlineStr">
        <is>
          <t>10th %ile</t>
        </is>
      </c>
      <c r="D18" s="20" t="inlineStr">
        <is>
          <t>25th %ile</t>
        </is>
      </c>
      <c r="E18" s="20" t="inlineStr">
        <is>
          <t>Median</t>
        </is>
      </c>
      <c r="F18" s="20" t="inlineStr">
        <is>
          <t>75th %ile</t>
        </is>
      </c>
      <c r="G18" s="20" t="inlineStr">
        <is>
          <t>90th %ile</t>
        </is>
      </c>
      <c r="H18" s="20" t="inlineStr">
        <is>
          <t>bp to median</t>
        </is>
      </c>
      <c r="I18" s="20" t="inlineStr">
        <is>
          <t>bp to 75th</t>
        </is>
      </c>
      <c r="J18" s="20" t="inlineStr">
        <is>
          <t>bp to 90th</t>
        </is>
      </c>
      <c r="K18" s="20" t="inlineStr">
        <is>
          <t>Window</t>
        </is>
      </c>
      <c r="L18" s="20" t="inlineStr"/>
      <c r="M18" s="20" t="inlineStr"/>
      <c r="N18" s="20" t="inlineStr"/>
      <c r="O18" s="20" t="inlineStr"/>
      <c r="P18" s="20" t="inlineStr"/>
      <c r="Q18" s="20" t="inlineStr"/>
      <c r="R18" s="20" t="inlineStr"/>
      <c r="S18" s="20" t="inlineStr"/>
    </row>
    <row r="19">
      <c r="A19" s="21" t="inlineStr">
        <is>
          <t>US IG OAS</t>
        </is>
      </c>
      <c r="B19" s="26">
        <f>INDEX(HIST_D!$AF$8:$AF$2617,1)</f>
        <v/>
      </c>
      <c r="C19" s="40">
        <f>IFERROR(PERCENTILE(HIST_D!$AF$8:INDEX(HIST_D!$AF$8:$AF$2617,Control!$F$14),0.1),"")</f>
        <v/>
      </c>
      <c r="D19" s="40">
        <f>IFERROR(PERCENTILE(HIST_D!$AF$8:INDEX(HIST_D!$AF$8:$AF$2617,Control!$F$14),0.25),"")</f>
        <v/>
      </c>
      <c r="E19" s="40">
        <f>IFERROR(PERCENTILE(HIST_D!$AF$8:INDEX(HIST_D!$AF$8:$AF$2617,Control!$F$14),0.5),"")</f>
        <v/>
      </c>
      <c r="F19" s="40">
        <f>IFERROR(PERCENTILE(HIST_D!$AF$8:INDEX(HIST_D!$AF$8:$AF$2617,Control!$F$14),0.75),"")</f>
        <v/>
      </c>
      <c r="G19" s="40">
        <f>IFERROR(PERCENTILE(HIST_D!$AF$8:INDEX(HIST_D!$AF$8:$AF$2617,Control!$F$14),0.9),"")</f>
        <v/>
      </c>
      <c r="H19" s="23">
        <f>$E19-$B19</f>
        <v/>
      </c>
      <c r="I19" s="23">
        <f>$F19-$B19</f>
        <v/>
      </c>
      <c r="J19" s="23">
        <f>$G19-$B19</f>
        <v/>
      </c>
      <c r="K19" s="27" t="inlineStr">
        <is>
          <t>5y</t>
        </is>
      </c>
    </row>
    <row r="20">
      <c r="A20" s="8" t="inlineStr">
        <is>
          <t>US IG OAS</t>
        </is>
      </c>
      <c r="B20" s="26">
        <f>INDEX(HIST_D!$AF$8:$AF$2617,1)</f>
        <v/>
      </c>
      <c r="C20" s="40">
        <f>IFERROR(PERCENTILE(HIST_D!$AF$8:INDEX(HIST_D!$AF$8:$AF$2617,Control!$F$15),0.1),"")</f>
        <v/>
      </c>
      <c r="D20" s="40">
        <f>IFERROR(PERCENTILE(HIST_D!$AF$8:INDEX(HIST_D!$AF$8:$AF$2617,Control!$F$15),0.25),"")</f>
        <v/>
      </c>
      <c r="E20" s="40">
        <f>IFERROR(PERCENTILE(HIST_D!$AF$8:INDEX(HIST_D!$AF$8:$AF$2617,Control!$F$15),0.5),"")</f>
        <v/>
      </c>
      <c r="F20" s="40">
        <f>IFERROR(PERCENTILE(HIST_D!$AF$8:INDEX(HIST_D!$AF$8:$AF$2617,Control!$F$15),0.75),"")</f>
        <v/>
      </c>
      <c r="G20" s="40">
        <f>IFERROR(PERCENTILE(HIST_D!$AF$8:INDEX(HIST_D!$AF$8:$AF$2617,Control!$F$15),0.9),"")</f>
        <v/>
      </c>
      <c r="H20" s="23">
        <f>$E20-$B20</f>
        <v/>
      </c>
      <c r="I20" s="23">
        <f>$F20-$B20</f>
        <v/>
      </c>
      <c r="J20" s="23">
        <f>$G20-$B20</f>
        <v/>
      </c>
      <c r="K20" s="27" t="inlineStr">
        <is>
          <t>10y</t>
        </is>
      </c>
    </row>
    <row r="21">
      <c r="A21" s="21" t="inlineStr">
        <is>
          <t>US HY OAS</t>
        </is>
      </c>
      <c r="B21" s="26">
        <f>INDEX(HIST_D!$AG$8:$AG$2617,1)</f>
        <v/>
      </c>
      <c r="C21" s="40">
        <f>IFERROR(PERCENTILE(HIST_D!$AG$8:INDEX(HIST_D!$AG$8:$AG$2617,Control!$F$14),0.1),"")</f>
        <v/>
      </c>
      <c r="D21" s="40">
        <f>IFERROR(PERCENTILE(HIST_D!$AG$8:INDEX(HIST_D!$AG$8:$AG$2617,Control!$F$14),0.25),"")</f>
        <v/>
      </c>
      <c r="E21" s="40">
        <f>IFERROR(PERCENTILE(HIST_D!$AG$8:INDEX(HIST_D!$AG$8:$AG$2617,Control!$F$14),0.5),"")</f>
        <v/>
      </c>
      <c r="F21" s="40">
        <f>IFERROR(PERCENTILE(HIST_D!$AG$8:INDEX(HIST_D!$AG$8:$AG$2617,Control!$F$14),0.75),"")</f>
        <v/>
      </c>
      <c r="G21" s="40">
        <f>IFERROR(PERCENTILE(HIST_D!$AG$8:INDEX(HIST_D!$AG$8:$AG$2617,Control!$F$14),0.9),"")</f>
        <v/>
      </c>
      <c r="H21" s="23">
        <f>$E21-$B21</f>
        <v/>
      </c>
      <c r="I21" s="23">
        <f>$F21-$B21</f>
        <v/>
      </c>
      <c r="J21" s="23">
        <f>$G21-$B21</f>
        <v/>
      </c>
      <c r="K21" s="27" t="inlineStr">
        <is>
          <t>5y</t>
        </is>
      </c>
    </row>
    <row r="22">
      <c r="A22" s="8" t="inlineStr">
        <is>
          <t>US HY OAS</t>
        </is>
      </c>
      <c r="B22" s="26">
        <f>INDEX(HIST_D!$AG$8:$AG$2617,1)</f>
        <v/>
      </c>
      <c r="C22" s="40">
        <f>IFERROR(PERCENTILE(HIST_D!$AG$8:INDEX(HIST_D!$AG$8:$AG$2617,Control!$F$15),0.1),"")</f>
        <v/>
      </c>
      <c r="D22" s="40">
        <f>IFERROR(PERCENTILE(HIST_D!$AG$8:INDEX(HIST_D!$AG$8:$AG$2617,Control!$F$15),0.25),"")</f>
        <v/>
      </c>
      <c r="E22" s="40">
        <f>IFERROR(PERCENTILE(HIST_D!$AG$8:INDEX(HIST_D!$AG$8:$AG$2617,Control!$F$15),0.5),"")</f>
        <v/>
      </c>
      <c r="F22" s="40">
        <f>IFERROR(PERCENTILE(HIST_D!$AG$8:INDEX(HIST_D!$AG$8:$AG$2617,Control!$F$15),0.75),"")</f>
        <v/>
      </c>
      <c r="G22" s="40">
        <f>IFERROR(PERCENTILE(HIST_D!$AG$8:INDEX(HIST_D!$AG$8:$AG$2617,Control!$F$15),0.9),"")</f>
        <v/>
      </c>
      <c r="H22" s="23">
        <f>$E22-$B22</f>
        <v/>
      </c>
      <c r="I22" s="23">
        <f>$F22-$B22</f>
        <v/>
      </c>
      <c r="J22" s="23">
        <f>$G22-$B22</f>
        <v/>
      </c>
      <c r="K22" s="27" t="inlineStr">
        <is>
          <t>10y</t>
        </is>
      </c>
    </row>
    <row r="23">
      <c r="A23" s="21" t="inlineStr">
        <is>
          <t>EM USD Agg OAS</t>
        </is>
      </c>
      <c r="B23" s="26">
        <f>INDEX(HIST_D!$AJ$8:$AJ$2617,1)</f>
        <v/>
      </c>
      <c r="C23" s="40">
        <f>IFERROR(PERCENTILE(HIST_D!$AJ$8:INDEX(HIST_D!$AJ$8:$AJ$2617,Control!$F$14),0.1),"")</f>
        <v/>
      </c>
      <c r="D23" s="40">
        <f>IFERROR(PERCENTILE(HIST_D!$AJ$8:INDEX(HIST_D!$AJ$8:$AJ$2617,Control!$F$14),0.25),"")</f>
        <v/>
      </c>
      <c r="E23" s="40">
        <f>IFERROR(PERCENTILE(HIST_D!$AJ$8:INDEX(HIST_D!$AJ$8:$AJ$2617,Control!$F$14),0.5),"")</f>
        <v/>
      </c>
      <c r="F23" s="40">
        <f>IFERROR(PERCENTILE(HIST_D!$AJ$8:INDEX(HIST_D!$AJ$8:$AJ$2617,Control!$F$14),0.75),"")</f>
        <v/>
      </c>
      <c r="G23" s="40">
        <f>IFERROR(PERCENTILE(HIST_D!$AJ$8:INDEX(HIST_D!$AJ$8:$AJ$2617,Control!$F$14),0.9),"")</f>
        <v/>
      </c>
      <c r="H23" s="23">
        <f>$E23-$B23</f>
        <v/>
      </c>
      <c r="I23" s="23">
        <f>$F23-$B23</f>
        <v/>
      </c>
      <c r="J23" s="23">
        <f>$G23-$B23</f>
        <v/>
      </c>
      <c r="K23" s="27" t="inlineStr">
        <is>
          <t>5y</t>
        </is>
      </c>
    </row>
    <row r="24">
      <c r="A24" s="8" t="inlineStr">
        <is>
          <t>EM USD Agg OAS</t>
        </is>
      </c>
      <c r="B24" s="26">
        <f>INDEX(HIST_D!$AJ$8:$AJ$2617,1)</f>
        <v/>
      </c>
      <c r="C24" s="40">
        <f>IFERROR(PERCENTILE(HIST_D!$AJ$8:INDEX(HIST_D!$AJ$8:$AJ$2617,Control!$F$15),0.1),"")</f>
        <v/>
      </c>
      <c r="D24" s="40">
        <f>IFERROR(PERCENTILE(HIST_D!$AJ$8:INDEX(HIST_D!$AJ$8:$AJ$2617,Control!$F$15),0.25),"")</f>
        <v/>
      </c>
      <c r="E24" s="40">
        <f>IFERROR(PERCENTILE(HIST_D!$AJ$8:INDEX(HIST_D!$AJ$8:$AJ$2617,Control!$F$15),0.5),"")</f>
        <v/>
      </c>
      <c r="F24" s="40">
        <f>IFERROR(PERCENTILE(HIST_D!$AJ$8:INDEX(HIST_D!$AJ$8:$AJ$2617,Control!$F$15),0.75),"")</f>
        <v/>
      </c>
      <c r="G24" s="40">
        <f>IFERROR(PERCENTILE(HIST_D!$AJ$8:INDEX(HIST_D!$AJ$8:$AJ$2617,Control!$F$15),0.9),"")</f>
        <v/>
      </c>
      <c r="H24" s="23">
        <f>$E24-$B24</f>
        <v/>
      </c>
      <c r="I24" s="23">
        <f>$F24-$B24</f>
        <v/>
      </c>
      <c r="J24" s="23">
        <f>$G24-$B24</f>
        <v/>
      </c>
      <c r="K24" s="27" t="inlineStr">
        <is>
          <t>10y</t>
        </is>
      </c>
    </row>
    <row r="25">
      <c r="A25" s="10" t="inlineStr">
        <is>
          <t>Columns H–J are the widening it would take to get there. Put them next to the carry on Credit_TR: if 12m carry is 320bp and the move to the 75th percentile is 90bp of widening on 3.5 years of spread duration, the carry does not cover it.</t>
        </is>
      </c>
    </row>
    <row r="27" ht="18" customHeight="1">
      <c r="A27" s="3" t="inlineStr">
        <is>
          <t>WHAT THE INDICES PAY  (fallback inputs are live where the field works)</t>
        </is>
      </c>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8" customHeight="1">
      <c r="A28" s="20" t="inlineStr">
        <is>
          <t>Index</t>
        </is>
      </c>
      <c r="B28" s="20" t="inlineStr">
        <is>
          <t>Bloomberg ticker</t>
        </is>
      </c>
      <c r="C28" s="20" t="inlineStr">
        <is>
          <t>Field</t>
        </is>
      </c>
      <c r="D28" s="20" t="inlineStr">
        <is>
          <t>Live pull</t>
        </is>
      </c>
      <c r="E28" s="20" t="inlineStr">
        <is>
          <t>Your fallback</t>
        </is>
      </c>
      <c r="F28" s="20" t="inlineStr">
        <is>
          <t>Used</t>
        </is>
      </c>
      <c r="G28" s="20" t="inlineStr">
        <is>
          <t>Status</t>
        </is>
      </c>
      <c r="H28" s="20" t="inlineStr">
        <is>
          <t>Unit</t>
        </is>
      </c>
      <c r="I28" s="20" t="inlineStr">
        <is>
          <t>Note</t>
        </is>
      </c>
    </row>
    <row r="29">
      <c r="A29" s="8" t="inlineStr">
        <is>
          <t>IG yield to worst</t>
        </is>
      </c>
      <c r="B29" s="43" t="inlineStr">
        <is>
          <t>LUACYW Index</t>
        </is>
      </c>
      <c r="C29" s="43" t="inlineStr">
        <is>
          <t>PX_LAST</t>
        </is>
      </c>
      <c r="D29" s="44">
        <f>IFERROR(BDP($B29,$C29),"")</f>
        <v/>
      </c>
      <c r="E29" s="12" t="n">
        <v>5.3</v>
      </c>
      <c r="F29" s="45">
        <f>IF(ISNUMBER($D29),$D29,$E29)</f>
        <v/>
      </c>
      <c r="G29" s="46">
        <f>IF(ISNUMBER($D29),"LIVE","FALLBACK")</f>
        <v/>
      </c>
      <c r="H29" s="27" t="inlineStr">
        <is>
          <t>%</t>
        </is>
      </c>
      <c r="I29" s="17" t="inlineStr">
        <is>
          <t>VERIFY ticker</t>
        </is>
      </c>
    </row>
    <row r="30">
      <c r="A30" s="8" t="inlineStr">
        <is>
          <t>IG duration</t>
        </is>
      </c>
      <c r="B30" s="43" t="inlineStr">
        <is>
          <t>LUACTRUU Index</t>
        </is>
      </c>
      <c r="C30" s="43" t="inlineStr">
        <is>
          <t>DUR_ADJ_MID</t>
        </is>
      </c>
      <c r="D30" s="65">
        <f>IFERROR(BDP($B30,$C30),"")</f>
        <v/>
      </c>
      <c r="E30" s="38" t="n">
        <v>7</v>
      </c>
      <c r="F30" s="52">
        <f>IF(ISNUMBER($D30),$D30,$E30)</f>
        <v/>
      </c>
      <c r="G30" s="46">
        <f>IF(ISNUMBER($D30),"LIVE","FALLBACK")</f>
        <v/>
      </c>
      <c r="H30" s="27" t="inlineStr">
        <is>
          <t>yrs</t>
        </is>
      </c>
      <c r="I30" s="17" t="inlineStr">
        <is>
          <t>VERIFY field in FLDS</t>
        </is>
      </c>
    </row>
    <row r="31">
      <c r="A31" s="8" t="inlineStr">
        <is>
          <t>HY yield to worst</t>
        </is>
      </c>
      <c r="B31" s="43" t="inlineStr">
        <is>
          <t>LF98YW Index</t>
        </is>
      </c>
      <c r="C31" s="43" t="inlineStr">
        <is>
          <t>PX_LAST</t>
        </is>
      </c>
      <c r="D31" s="44">
        <f>IFERROR(BDP($B31,$C31),"")</f>
        <v/>
      </c>
      <c r="E31" s="12" t="n">
        <v>7.4</v>
      </c>
      <c r="F31" s="45">
        <f>IF(ISNUMBER($D31),$D31,$E31)</f>
        <v/>
      </c>
      <c r="G31" s="46">
        <f>IF(ISNUMBER($D31),"LIVE","FALLBACK")</f>
        <v/>
      </c>
      <c r="H31" s="27" t="inlineStr">
        <is>
          <t>%</t>
        </is>
      </c>
      <c r="I31" s="17" t="inlineStr">
        <is>
          <t>VERIFY ticker</t>
        </is>
      </c>
    </row>
    <row r="32">
      <c r="A32" s="8" t="inlineStr">
        <is>
          <t>HY duration</t>
        </is>
      </c>
      <c r="B32" s="43" t="inlineStr">
        <is>
          <t>LF98TRUU Index</t>
        </is>
      </c>
      <c r="C32" s="43" t="inlineStr">
        <is>
          <t>DUR_ADJ_MID</t>
        </is>
      </c>
      <c r="D32" s="65">
        <f>IFERROR(BDP($B32,$C32),"")</f>
        <v/>
      </c>
      <c r="E32" s="38" t="n">
        <v>3.3</v>
      </c>
      <c r="F32" s="52">
        <f>IF(ISNUMBER($D32),$D32,$E32)</f>
        <v/>
      </c>
      <c r="G32" s="46">
        <f>IF(ISNUMBER($D32),"LIVE","FALLBACK")</f>
        <v/>
      </c>
      <c r="H32" s="27" t="inlineStr">
        <is>
          <t>yrs</t>
        </is>
      </c>
      <c r="I32" s="17" t="inlineStr">
        <is>
          <t>VERIFY field in FLDS</t>
        </is>
      </c>
    </row>
    <row r="33">
      <c r="A33" s="8" t="inlineStr">
        <is>
          <t>EM USD Agg yield to worst</t>
        </is>
      </c>
      <c r="B33" s="43" t="inlineStr">
        <is>
          <t>EMUSYW Index</t>
        </is>
      </c>
      <c r="C33" s="43" t="inlineStr">
        <is>
          <t>PX_LAST</t>
        </is>
      </c>
      <c r="D33" s="44">
        <f>IFERROR(BDP($B33,$C33),"")</f>
        <v/>
      </c>
      <c r="E33" s="12" t="n">
        <v>6.2</v>
      </c>
      <c r="F33" s="45">
        <f>IF(ISNUMBER($D33),$D33,$E33)</f>
        <v/>
      </c>
      <c r="G33" s="46">
        <f>IF(ISNUMBER($D33),"LIVE","FALLBACK")</f>
        <v/>
      </c>
      <c r="H33" s="27" t="inlineStr">
        <is>
          <t>%</t>
        </is>
      </c>
      <c r="I33" s="17" t="inlineStr">
        <is>
          <t>VERIFY ticker</t>
        </is>
      </c>
    </row>
    <row r="34">
      <c r="A34" s="8" t="inlineStr">
        <is>
          <t>EM USD Agg duration</t>
        </is>
      </c>
      <c r="B34" s="43" t="inlineStr">
        <is>
          <t>EMUSTRUU Index</t>
        </is>
      </c>
      <c r="C34" s="43" t="inlineStr">
        <is>
          <t>DUR_ADJ_MID</t>
        </is>
      </c>
      <c r="D34" s="65">
        <f>IFERROR(BDP($B34,$C34),"")</f>
        <v/>
      </c>
      <c r="E34" s="38" t="n">
        <v>6.2</v>
      </c>
      <c r="F34" s="52">
        <f>IF(ISNUMBER($D34),$D34,$E34)</f>
        <v/>
      </c>
      <c r="G34" s="46">
        <f>IF(ISNUMBER($D34),"LIVE","FALLBACK")</f>
        <v/>
      </c>
      <c r="H34" s="27" t="inlineStr">
        <is>
          <t>yrs</t>
        </is>
      </c>
      <c r="I34" s="17" t="inlineStr">
        <is>
          <t>VERIFY field in FLDS</t>
        </is>
      </c>
    </row>
    <row r="36">
      <c r="A36" s="21" t="inlineStr">
        <is>
          <t>Spread per year of duration (bp/yr)</t>
        </is>
      </c>
      <c r="B36" s="5" t="inlineStr">
        <is>
          <t>IG</t>
        </is>
      </c>
      <c r="C36" s="5" t="inlineStr">
        <is>
          <t>HY</t>
        </is>
      </c>
      <c r="D36" s="5" t="inlineStr">
        <is>
          <t>EM</t>
        </is>
      </c>
    </row>
    <row r="37">
      <c r="A37" s="8" t="inlineStr">
        <is>
          <t>OAS ÷ duration</t>
        </is>
      </c>
      <c r="B37" s="58">
        <f>IFERROR(INDEX(HIST_D!$AF$8:$AF$2617,1)/Credit!$F$30,"")</f>
        <v/>
      </c>
      <c r="C37" s="58">
        <f>IFERROR(INDEX(HIST_D!$AG$8:$AG$2617,1)/Credit!$F$32,"")</f>
        <v/>
      </c>
      <c r="D37" s="58">
        <f>IFERROR(INDEX(HIST_D!$AJ$8:$AJ$2617,1)/Credit!$F$34,"")</f>
        <v/>
      </c>
      <c r="F37" s="10" t="inlineStr">
        <is>
          <t>Compensation per unit of spread risk. The honest way to compare HY (short duration, fat spread) with EM and IG.</t>
        </is>
      </c>
    </row>
    <row r="39" ht="18" customHeight="1">
      <c r="A39" s="3" t="inlineStr">
        <is>
          <t>TOTAL RETURN, REALISED  (straight from the total-return sub-indices — no duration decomposition)</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28" customHeight="1">
      <c r="A40" s="20" t="inlineStr">
        <is>
          <t>Index</t>
        </is>
      </c>
      <c r="B40" s="20" t="inlineStr">
        <is>
          <t>1M</t>
        </is>
      </c>
      <c r="C40" s="20" t="inlineStr">
        <is>
          <t>3M</t>
        </is>
      </c>
      <c r="D40" s="20" t="inlineStr">
        <is>
          <t>6M</t>
        </is>
      </c>
      <c r="E40" s="20" t="inlineStr">
        <is>
          <t>YTD</t>
        </is>
      </c>
      <c r="F40" s="20" t="inlineStr">
        <is>
          <t>1Y</t>
        </is>
      </c>
      <c r="G40" s="20" t="inlineStr">
        <is>
          <t>3Y ann.</t>
        </is>
      </c>
      <c r="H40" s="20" t="inlineStr">
        <is>
          <t>5Y ann.</t>
        </is>
      </c>
      <c r="I40" s="20" t="inlineStr"/>
      <c r="J40" s="20" t="inlineStr"/>
      <c r="K40" s="20" t="inlineStr"/>
      <c r="L40" s="20" t="inlineStr"/>
      <c r="M40" s="20" t="inlineStr"/>
      <c r="N40" s="20" t="inlineStr"/>
      <c r="O40" s="20" t="inlineStr"/>
      <c r="P40" s="20" t="inlineStr"/>
      <c r="Q40" s="20" t="inlineStr"/>
      <c r="R40" s="20" t="inlineStr"/>
      <c r="S40" s="20" t="inlineStr"/>
    </row>
    <row r="41">
      <c r="A41" s="21" t="inlineStr">
        <is>
          <t>US IG</t>
        </is>
      </c>
      <c r="B41" s="24">
        <f>IFERROR(INDEX(HIST_D!$AH$8:$AH$2617,1)/INDEX(HIST_D!$AH$8:$AH$2617,Control!$F$8)-1,"")</f>
        <v/>
      </c>
      <c r="C41" s="24">
        <f>IFERROR(INDEX(HIST_D!$AH$8:$AH$2617,1)/INDEX(HIST_D!$AH$8:$AH$2617,Control!$F$9)-1,"")</f>
        <v/>
      </c>
      <c r="D41" s="24">
        <f>IFERROR(INDEX(HIST_D!$AH$8:$AH$2617,1)/INDEX(HIST_D!$AH$8:$AH$2617,Control!$F$10)-1,"")</f>
        <v/>
      </c>
      <c r="E41" s="24">
        <f>IFERROR(INDEX(HIST_D!$AH$8:$AH$2617,1)/INDEX(HIST_D!$AH$8:$AH$2617,Control!$F$16)-1,"")</f>
        <v/>
      </c>
      <c r="F41" s="24">
        <f>IFERROR(INDEX(HIST_D!$AH$8:$AH$2617,1)/INDEX(HIST_D!$AH$8:$AH$2617,Control!$F$11)-1,"")</f>
        <v/>
      </c>
      <c r="G41" s="24">
        <f>IFERROR((INDEX(HIST_D!$AH$8:$AH$2617,1)/INDEX(HIST_D!$AH$8:$AH$2617,Control!$F$13))^(1/3)-1,"")</f>
        <v/>
      </c>
      <c r="H41" s="24">
        <f>IFERROR((INDEX(HIST_D!$AH$8:$AH$2617,1)/INDEX(HIST_D!$AH$8:$AH$2617,Control!$F$14))^(1/5)-1,"")</f>
        <v/>
      </c>
    </row>
    <row r="42">
      <c r="A42" s="21" t="inlineStr">
        <is>
          <t>US HY</t>
        </is>
      </c>
      <c r="B42" s="24">
        <f>IFERROR(INDEX(HIST_D!$AI$8:$AI$2617,1)/INDEX(HIST_D!$AI$8:$AI$2617,Control!$F$8)-1,"")</f>
        <v/>
      </c>
      <c r="C42" s="24">
        <f>IFERROR(INDEX(HIST_D!$AI$8:$AI$2617,1)/INDEX(HIST_D!$AI$8:$AI$2617,Control!$F$9)-1,"")</f>
        <v/>
      </c>
      <c r="D42" s="24">
        <f>IFERROR(INDEX(HIST_D!$AI$8:$AI$2617,1)/INDEX(HIST_D!$AI$8:$AI$2617,Control!$F$10)-1,"")</f>
        <v/>
      </c>
      <c r="E42" s="24">
        <f>IFERROR(INDEX(HIST_D!$AI$8:$AI$2617,1)/INDEX(HIST_D!$AI$8:$AI$2617,Control!$F$16)-1,"")</f>
        <v/>
      </c>
      <c r="F42" s="24">
        <f>IFERROR(INDEX(HIST_D!$AI$8:$AI$2617,1)/INDEX(HIST_D!$AI$8:$AI$2617,Control!$F$11)-1,"")</f>
        <v/>
      </c>
      <c r="G42" s="24">
        <f>IFERROR((INDEX(HIST_D!$AI$8:$AI$2617,1)/INDEX(HIST_D!$AI$8:$AI$2617,Control!$F$13))^(1/3)-1,"")</f>
        <v/>
      </c>
      <c r="H42" s="24">
        <f>IFERROR((INDEX(HIST_D!$AI$8:$AI$2617,1)/INDEX(HIST_D!$AI$8:$AI$2617,Control!$F$14))^(1/5)-1,"")</f>
        <v/>
      </c>
    </row>
    <row r="43">
      <c r="A43" s="21" t="inlineStr">
        <is>
          <t>EM USD Agg</t>
        </is>
      </c>
      <c r="B43" s="24">
        <f>IFERROR(INDEX(HIST_D!$AK$8:$AK$2617,1)/INDEX(HIST_D!$AK$8:$AK$2617,Control!$F$8)-1,"")</f>
        <v/>
      </c>
      <c r="C43" s="24">
        <f>IFERROR(INDEX(HIST_D!$AK$8:$AK$2617,1)/INDEX(HIST_D!$AK$8:$AK$2617,Control!$F$9)-1,"")</f>
        <v/>
      </c>
      <c r="D43" s="24">
        <f>IFERROR(INDEX(HIST_D!$AK$8:$AK$2617,1)/INDEX(HIST_D!$AK$8:$AK$2617,Control!$F$10)-1,"")</f>
        <v/>
      </c>
      <c r="E43" s="24">
        <f>IFERROR(INDEX(HIST_D!$AK$8:$AK$2617,1)/INDEX(HIST_D!$AK$8:$AK$2617,Control!$F$16)-1,"")</f>
        <v/>
      </c>
      <c r="F43" s="24">
        <f>IFERROR(INDEX(HIST_D!$AK$8:$AK$2617,1)/INDEX(HIST_D!$AK$8:$AK$2617,Control!$F$11)-1,"")</f>
        <v/>
      </c>
      <c r="G43" s="24">
        <f>IFERROR((INDEX(HIST_D!$AK$8:$AK$2617,1)/INDEX(HIST_D!$AK$8:$AK$2617,Control!$F$13))^(1/3)-1,"")</f>
        <v/>
      </c>
      <c r="H43" s="24">
        <f>IFERROR((INDEX(HIST_D!$AK$8:$AK$2617,1)/INDEX(HIST_D!$AK$8:$AK$2617,Control!$F$14))^(1/5)-1,"")</f>
        <v/>
      </c>
    </row>
    <row r="44">
      <c r="A44" s="10" t="inlineStr">
        <is>
          <t>End/start − 1 on the total-return index. Same convention as your EMBI tracker, and for the same reason: duration-derived decompositions of realised return do not reconcile.</t>
        </is>
      </c>
    </row>
  </sheetData>
  <conditionalFormatting sqref="N6:R14">
    <cfRule type="colorScale" priority="1">
      <colorScale>
        <cfvo type="num" val="0"/>
        <cfvo type="num" val="0.5"/>
        <cfvo type="num" val="1"/>
        <color rgb="0063BE7B"/>
        <color rgb="00FFEB84"/>
        <color rgb="00F8696B"/>
      </colorScale>
    </cfRule>
  </conditionalFormatting>
  <conditionalFormatting sqref="S6:S14">
    <cfRule type="colorScale" priority="2">
      <colorScale>
        <cfvo type="num" val="-2"/>
        <cfvo type="num" val="0"/>
        <cfvo type="num" val="2"/>
        <color rgb="0063BE7B"/>
        <color rgb="00FFFFFF"/>
        <color rgb="00F8696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50" customWidth="1" min="12" max="12"/>
  </cols>
  <sheetData>
    <row r="1">
      <c r="A1" s="1" t="inlineStr">
        <is>
          <t>CREDIT TOTAL RETURN — ceteris paribus and under stress</t>
        </is>
      </c>
    </row>
    <row r="2">
      <c r="A2" s="2" t="inlineStr">
        <is>
          <t>Horizon and cash hurdle come from Control. The rate leg and the spread leg are never merged: the grid axes ARE the decomposition.</t>
        </is>
      </c>
    </row>
    <row r="4" ht="18" customHeight="1">
      <c r="A4" s="3" t="inlineStr">
        <is>
          <t>INPUTS  (green = linked from Credit, yellow = yours)</t>
        </is>
      </c>
      <c r="B4" s="4" t="n"/>
      <c r="C4" s="4" t="n"/>
      <c r="D4" s="4" t="n"/>
      <c r="E4" s="4" t="n"/>
      <c r="F4" s="4" t="n"/>
      <c r="G4" s="4" t="n"/>
      <c r="H4" s="4" t="n"/>
      <c r="I4" s="4" t="n"/>
      <c r="J4" s="4" t="n"/>
      <c r="K4" s="4" t="n"/>
      <c r="L4" s="4" t="n"/>
    </row>
    <row r="5" ht="28" customHeight="1">
      <c r="A5" s="20" t="inlineStr">
        <is>
          <t>Input</t>
        </is>
      </c>
      <c r="B5" s="20" t="inlineStr">
        <is>
          <t>US IG</t>
        </is>
      </c>
      <c r="C5" s="20" t="inlineStr">
        <is>
          <t>US HY</t>
        </is>
      </c>
      <c r="D5" s="20" t="inlineStr">
        <is>
          <t>EM USD Agg</t>
        </is>
      </c>
      <c r="E5" s="20" t="inlineStr">
        <is>
          <t>Note</t>
        </is>
      </c>
      <c r="F5" s="20" t="inlineStr"/>
      <c r="G5" s="20" t="inlineStr"/>
      <c r="H5" s="20" t="inlineStr"/>
      <c r="I5" s="20" t="inlineStr"/>
      <c r="J5" s="20" t="inlineStr"/>
      <c r="K5" s="20" t="inlineStr"/>
      <c r="L5" s="20" t="inlineStr"/>
    </row>
    <row r="6">
      <c r="A6" s="8" t="inlineStr">
        <is>
          <t>Current OAS (bp)</t>
        </is>
      </c>
      <c r="B6" s="26">
        <f>INDEX(HIST_D!$AF$8:$AF$2617,1)</f>
        <v/>
      </c>
      <c r="C6" s="26">
        <f>INDEX(HIST_D!$AG$8:$AG$2617,1)</f>
        <v/>
      </c>
      <c r="D6" s="26">
        <f>INDEX(HIST_D!$AJ$8:$AJ$2617,1)</f>
        <v/>
      </c>
      <c r="E6" s="10" t="inlineStr">
        <is>
          <t>live from HIST_D</t>
        </is>
      </c>
    </row>
    <row r="7">
      <c r="A7" s="8" t="inlineStr">
        <is>
          <t>Yield to worst (%)</t>
        </is>
      </c>
      <c r="B7" s="22">
        <f>Credit!$F$29</f>
        <v/>
      </c>
      <c r="C7" s="22">
        <f>Credit!$F$31</f>
        <v/>
      </c>
      <c r="D7" s="22">
        <f>Credit!$F$33</f>
        <v/>
      </c>
      <c r="E7" s="10" t="inlineStr">
        <is>
          <t>the carry leg</t>
        </is>
      </c>
    </row>
    <row r="8">
      <c r="A8" s="8" t="inlineStr">
        <is>
          <t>Rate duration (yrs)</t>
        </is>
      </c>
      <c r="B8" s="28">
        <f>Credit!$F$30</f>
        <v/>
      </c>
      <c r="C8" s="28">
        <f>Credit!$F$32</f>
        <v/>
      </c>
      <c r="D8" s="28">
        <f>Credit!$F$34</f>
        <v/>
      </c>
      <c r="E8" s="10" t="inlineStr">
        <is>
          <t>applied to the Treasury leg</t>
        </is>
      </c>
    </row>
    <row r="9">
      <c r="A9" s="8" t="inlineStr">
        <is>
          <t>Spread duration (yrs)</t>
        </is>
      </c>
      <c r="B9" s="38">
        <f>$B8</f>
        <v/>
      </c>
      <c r="C9" s="38">
        <f>$C8</f>
        <v/>
      </c>
      <c r="D9" s="38">
        <f>$D8</f>
        <v/>
      </c>
      <c r="E9" s="10" t="inlineStr">
        <is>
          <t>defaults to rate duration — override if you want them to differ</t>
        </is>
      </c>
    </row>
    <row r="10">
      <c r="A10" s="8" t="inlineStr">
        <is>
          <t>Credit loss (bp per year)</t>
        </is>
      </c>
      <c r="B10" s="9" t="n">
        <v>5</v>
      </c>
      <c r="C10" s="9" t="n">
        <v>200</v>
      </c>
      <c r="D10" s="9" t="n">
        <v>45</v>
      </c>
      <c r="E10" s="10" t="inlineStr">
        <is>
          <t>default: IG ~nil, HY ≈ 3% default × 35% severity, EM sovereign lower. Yours to set.</t>
        </is>
      </c>
    </row>
    <row r="11">
      <c r="A11" s="8" t="inlineStr">
        <is>
          <t>Cash hurdle (%)</t>
        </is>
      </c>
      <c r="B11" s="22">
        <f>Control!$B$13</f>
        <v/>
      </c>
      <c r="E11" s="10" t="inlineStr">
        <is>
          <t>from Control</t>
        </is>
      </c>
    </row>
    <row r="13" ht="18" customHeight="1">
      <c r="A13" s="3" t="inlineStr">
        <is>
          <t>BASE CASE DECOMPOSITION  (curve and spreads unchanged)</t>
        </is>
      </c>
      <c r="B13" s="4" t="n"/>
      <c r="C13" s="4" t="n"/>
      <c r="D13" s="4" t="n"/>
      <c r="E13" s="4" t="n"/>
      <c r="F13" s="4" t="n"/>
      <c r="G13" s="4" t="n"/>
      <c r="H13" s="4" t="n"/>
      <c r="I13" s="4" t="n"/>
      <c r="J13" s="4" t="n"/>
      <c r="K13" s="4" t="n"/>
      <c r="L13" s="4" t="n"/>
    </row>
    <row r="14" ht="28" customHeight="1">
      <c r="A14" s="20" t="inlineStr">
        <is>
          <t>Leg</t>
        </is>
      </c>
      <c r="B14" s="20" t="inlineStr">
        <is>
          <t>US IG</t>
        </is>
      </c>
      <c r="C14" s="20" t="inlineStr">
        <is>
          <t>US HY</t>
        </is>
      </c>
      <c r="D14" s="20" t="inlineStr">
        <is>
          <t>EM USD Agg</t>
        </is>
      </c>
      <c r="E14" s="20" t="inlineStr">
        <is>
          <t>Note</t>
        </is>
      </c>
      <c r="F14" s="20" t="inlineStr"/>
      <c r="G14" s="20" t="inlineStr"/>
      <c r="H14" s="20" t="inlineStr"/>
      <c r="I14" s="20" t="inlineStr"/>
      <c r="J14" s="20" t="inlineStr"/>
      <c r="K14" s="20" t="inlineStr"/>
      <c r="L14" s="20" t="inlineStr"/>
    </row>
    <row r="15">
      <c r="A15" s="8" t="inlineStr">
        <is>
          <t>Carry (YTW × horizon)</t>
        </is>
      </c>
      <c r="B15" s="36">
        <f>B7/100*Control!$B$12</f>
        <v/>
      </c>
      <c r="C15" s="36">
        <f>C7/100*Control!$B$12</f>
        <v/>
      </c>
      <c r="D15" s="36">
        <f>D7/100*Control!$B$12</f>
        <v/>
      </c>
      <c r="E15" s="10" t="inlineStr">
        <is>
          <t>what you earn for showing up</t>
        </is>
      </c>
    </row>
    <row r="16">
      <c r="A16" s="8" t="inlineStr">
        <is>
          <t>Treasury leg (Δrate = 0)</t>
        </is>
      </c>
      <c r="B16" s="36">
        <f>0</f>
        <v/>
      </c>
      <c r="C16" s="36">
        <f>0</f>
        <v/>
      </c>
      <c r="D16" s="36">
        <f>0</f>
        <v/>
      </c>
      <c r="E16" s="10" t="inlineStr">
        <is>
          <t>zero by construction here — the grids below move it</t>
        </is>
      </c>
    </row>
    <row r="17">
      <c r="A17" s="8" t="inlineStr">
        <is>
          <t>Spread leg (Δspread = 0)</t>
        </is>
      </c>
      <c r="B17" s="36">
        <f>0</f>
        <v/>
      </c>
      <c r="C17" s="36">
        <f>0</f>
        <v/>
      </c>
      <c r="D17" s="36">
        <f>0</f>
        <v/>
      </c>
      <c r="E17" s="10" t="inlineStr">
        <is>
          <t>same</t>
        </is>
      </c>
    </row>
    <row r="18">
      <c r="A18" s="8" t="inlineStr">
        <is>
          <t>Credit loss</t>
        </is>
      </c>
      <c r="B18" s="36">
        <f>-B10/10000*Control!$B$12</f>
        <v/>
      </c>
      <c r="C18" s="36">
        <f>-C10/10000*Control!$B$12</f>
        <v/>
      </c>
      <c r="D18" s="36">
        <f>-D10/10000*Control!$B$12</f>
        <v/>
      </c>
      <c r="E18" s="10" t="inlineStr">
        <is>
          <t>your assumption, not the market's</t>
        </is>
      </c>
    </row>
    <row r="19">
      <c r="A19" s="21" t="inlineStr">
        <is>
          <t>TOTAL 12m return, ceteris paribus</t>
        </is>
      </c>
      <c r="B19" s="66">
        <f>SUM(B15:B18)</f>
        <v/>
      </c>
      <c r="C19" s="66">
        <f>SUM(C15:C18)</f>
        <v/>
      </c>
      <c r="D19" s="66">
        <f>SUM(D15:D18)</f>
        <v/>
      </c>
    </row>
    <row r="20">
      <c r="A20" s="8" t="inlineStr">
        <is>
          <t>Excess over cash hurdle</t>
        </is>
      </c>
      <c r="B20" s="66">
        <f>B19-Control!$B$13/100</f>
        <v/>
      </c>
      <c r="C20" s="66">
        <f>C19-Control!$B$13/100</f>
        <v/>
      </c>
      <c r="D20" s="66">
        <f>D19-Control!$B$13/100</f>
        <v/>
      </c>
      <c r="F20" s="10" t="inlineStr">
        <is>
          <t>Carry alone, before any market move, against sitting in bills.</t>
        </is>
      </c>
    </row>
    <row r="21">
      <c r="A21" s="8" t="inlineStr">
        <is>
          <t>Breakeven spread widening (bp)</t>
        </is>
      </c>
      <c r="B21" s="57">
        <f>IFERROR(B19/B9*10000,"")</f>
        <v/>
      </c>
      <c r="C21" s="57">
        <f>IFERROR(C19/C9*10000,"")</f>
        <v/>
      </c>
      <c r="D21" s="57">
        <f>IFERROR(D19/D9*10000,"")</f>
        <v/>
      </c>
      <c r="F21" s="10" t="inlineStr">
        <is>
          <t>How much the spread can widen over the horizon before the total return is zero. Compare with 'bp to median' on Credit.</t>
        </is>
      </c>
    </row>
    <row r="22">
      <c r="A22" s="8" t="inlineStr">
        <is>
          <t>Breakeven UST yield rise (bp)</t>
        </is>
      </c>
      <c r="B22" s="57">
        <f>IFERROR(B19/B8*10000,"")</f>
        <v/>
      </c>
      <c r="C22" s="57">
        <f>IFERROR(C19/C8*10000,"")</f>
        <v/>
      </c>
      <c r="D22" s="57">
        <f>IFERROR(D19/D8*10000,"")</f>
        <v/>
      </c>
      <c r="F22" s="10" t="inlineStr">
        <is>
          <t>Same question for the Treasury leg, held separately on purpose.</t>
        </is>
      </c>
    </row>
    <row r="24" ht="18" customHeight="1">
      <c r="A24" s="3" t="inlineStr">
        <is>
          <t>SENSITIVITY GRIDS — 12m total return (%)</t>
        </is>
      </c>
      <c r="B24" s="4" t="n"/>
      <c r="C24" s="4" t="n"/>
      <c r="D24" s="4" t="n"/>
      <c r="E24" s="4" t="n"/>
      <c r="F24" s="4" t="n"/>
      <c r="G24" s="4" t="n"/>
      <c r="H24" s="4" t="n"/>
      <c r="I24" s="4" t="n"/>
      <c r="J24" s="4" t="n"/>
      <c r="K24" s="4" t="n"/>
      <c r="L24" s="4" t="n"/>
    </row>
    <row r="25">
      <c r="A25" s="18" t="inlineStr">
        <is>
          <t>US INVESTMENT GRADE</t>
        </is>
      </c>
    </row>
    <row r="26">
      <c r="A26" s="67" t="inlineStr">
        <is>
          <t>Δ spread (bp)  ↓   /   Δ UST yield (bp)  →</t>
        </is>
      </c>
      <c r="B26" s="68" t="n">
        <v>-100</v>
      </c>
      <c r="C26" s="68" t="n">
        <v>-75</v>
      </c>
      <c r="D26" s="68" t="n">
        <v>-50</v>
      </c>
      <c r="E26" s="68" t="n">
        <v>-25</v>
      </c>
      <c r="F26" s="68" t="n">
        <v>0</v>
      </c>
      <c r="G26" s="68" t="n">
        <v>25</v>
      </c>
      <c r="H26" s="68" t="n">
        <v>50</v>
      </c>
      <c r="I26" s="68" t="n">
        <v>75</v>
      </c>
      <c r="J26" s="68" t="n">
        <v>100</v>
      </c>
    </row>
    <row r="27">
      <c r="A27" s="68" t="n">
        <v>-100</v>
      </c>
      <c r="B27" s="24">
        <f>IFERROR($B7/100*Control!$B$12-$B8*(B$26/10000)-$B9*($A27/10000)-$B10/10000*Control!$B$12,"")</f>
        <v/>
      </c>
      <c r="C27" s="24">
        <f>IFERROR($B7/100*Control!$B$12-$B8*(C$26/10000)-$B9*($A27/10000)-$B10/10000*Control!$B$12,"")</f>
        <v/>
      </c>
      <c r="D27" s="24">
        <f>IFERROR($B7/100*Control!$B$12-$B8*(D$26/10000)-$B9*($A27/10000)-$B10/10000*Control!$B$12,"")</f>
        <v/>
      </c>
      <c r="E27" s="24">
        <f>IFERROR($B7/100*Control!$B$12-$B8*(E$26/10000)-$B9*($A27/10000)-$B10/10000*Control!$B$12,"")</f>
        <v/>
      </c>
      <c r="F27" s="24">
        <f>IFERROR($B7/100*Control!$B$12-$B8*(F$26/10000)-$B9*($A27/10000)-$B10/10000*Control!$B$12,"")</f>
        <v/>
      </c>
      <c r="G27" s="24">
        <f>IFERROR($B7/100*Control!$B$12-$B8*(G$26/10000)-$B9*($A27/10000)-$B10/10000*Control!$B$12,"")</f>
        <v/>
      </c>
      <c r="H27" s="24">
        <f>IFERROR($B7/100*Control!$B$12-$B8*(H$26/10000)-$B9*($A27/10000)-$B10/10000*Control!$B$12,"")</f>
        <v/>
      </c>
      <c r="I27" s="24">
        <f>IFERROR($B7/100*Control!$B$12-$B8*(I$26/10000)-$B9*($A27/10000)-$B10/10000*Control!$B$12,"")</f>
        <v/>
      </c>
      <c r="J27" s="24">
        <f>IFERROR($B7/100*Control!$B$12-$B8*(J$26/10000)-$B9*($A27/10000)-$B10/10000*Control!$B$12,"")</f>
        <v/>
      </c>
    </row>
    <row r="28">
      <c r="A28" s="68" t="n">
        <v>-75</v>
      </c>
      <c r="B28" s="24">
        <f>IFERROR($B7/100*Control!$B$12-$B8*(B$26/10000)-$B9*($A28/10000)-$B10/10000*Control!$B$12,"")</f>
        <v/>
      </c>
      <c r="C28" s="24">
        <f>IFERROR($B7/100*Control!$B$12-$B8*(C$26/10000)-$B9*($A28/10000)-$B10/10000*Control!$B$12,"")</f>
        <v/>
      </c>
      <c r="D28" s="24">
        <f>IFERROR($B7/100*Control!$B$12-$B8*(D$26/10000)-$B9*($A28/10000)-$B10/10000*Control!$B$12,"")</f>
        <v/>
      </c>
      <c r="E28" s="24">
        <f>IFERROR($B7/100*Control!$B$12-$B8*(E$26/10000)-$B9*($A28/10000)-$B10/10000*Control!$B$12,"")</f>
        <v/>
      </c>
      <c r="F28" s="24">
        <f>IFERROR($B7/100*Control!$B$12-$B8*(F$26/10000)-$B9*($A28/10000)-$B10/10000*Control!$B$12,"")</f>
        <v/>
      </c>
      <c r="G28" s="24">
        <f>IFERROR($B7/100*Control!$B$12-$B8*(G$26/10000)-$B9*($A28/10000)-$B10/10000*Control!$B$12,"")</f>
        <v/>
      </c>
      <c r="H28" s="24">
        <f>IFERROR($B7/100*Control!$B$12-$B8*(H$26/10000)-$B9*($A28/10000)-$B10/10000*Control!$B$12,"")</f>
        <v/>
      </c>
      <c r="I28" s="24">
        <f>IFERROR($B7/100*Control!$B$12-$B8*(I$26/10000)-$B9*($A28/10000)-$B10/10000*Control!$B$12,"")</f>
        <v/>
      </c>
      <c r="J28" s="24">
        <f>IFERROR($B7/100*Control!$B$12-$B8*(J$26/10000)-$B9*($A28/10000)-$B10/10000*Control!$B$12,"")</f>
        <v/>
      </c>
    </row>
    <row r="29">
      <c r="A29" s="68" t="n">
        <v>-50</v>
      </c>
      <c r="B29" s="24">
        <f>IFERROR($B7/100*Control!$B$12-$B8*(B$26/10000)-$B9*($A29/10000)-$B10/10000*Control!$B$12,"")</f>
        <v/>
      </c>
      <c r="C29" s="24">
        <f>IFERROR($B7/100*Control!$B$12-$B8*(C$26/10000)-$B9*($A29/10000)-$B10/10000*Control!$B$12,"")</f>
        <v/>
      </c>
      <c r="D29" s="24">
        <f>IFERROR($B7/100*Control!$B$12-$B8*(D$26/10000)-$B9*($A29/10000)-$B10/10000*Control!$B$12,"")</f>
        <v/>
      </c>
      <c r="E29" s="24">
        <f>IFERROR($B7/100*Control!$B$12-$B8*(E$26/10000)-$B9*($A29/10000)-$B10/10000*Control!$B$12,"")</f>
        <v/>
      </c>
      <c r="F29" s="24">
        <f>IFERROR($B7/100*Control!$B$12-$B8*(F$26/10000)-$B9*($A29/10000)-$B10/10000*Control!$B$12,"")</f>
        <v/>
      </c>
      <c r="G29" s="24">
        <f>IFERROR($B7/100*Control!$B$12-$B8*(G$26/10000)-$B9*($A29/10000)-$B10/10000*Control!$B$12,"")</f>
        <v/>
      </c>
      <c r="H29" s="24">
        <f>IFERROR($B7/100*Control!$B$12-$B8*(H$26/10000)-$B9*($A29/10000)-$B10/10000*Control!$B$12,"")</f>
        <v/>
      </c>
      <c r="I29" s="24">
        <f>IFERROR($B7/100*Control!$B$12-$B8*(I$26/10000)-$B9*($A29/10000)-$B10/10000*Control!$B$12,"")</f>
        <v/>
      </c>
      <c r="J29" s="24">
        <f>IFERROR($B7/100*Control!$B$12-$B8*(J$26/10000)-$B9*($A29/10000)-$B10/10000*Control!$B$12,"")</f>
        <v/>
      </c>
    </row>
    <row r="30">
      <c r="A30" s="68" t="n">
        <v>-25</v>
      </c>
      <c r="B30" s="24">
        <f>IFERROR($B7/100*Control!$B$12-$B8*(B$26/10000)-$B9*($A30/10000)-$B10/10000*Control!$B$12,"")</f>
        <v/>
      </c>
      <c r="C30" s="24">
        <f>IFERROR($B7/100*Control!$B$12-$B8*(C$26/10000)-$B9*($A30/10000)-$B10/10000*Control!$B$12,"")</f>
        <v/>
      </c>
      <c r="D30" s="24">
        <f>IFERROR($B7/100*Control!$B$12-$B8*(D$26/10000)-$B9*($A30/10000)-$B10/10000*Control!$B$12,"")</f>
        <v/>
      </c>
      <c r="E30" s="24">
        <f>IFERROR($B7/100*Control!$B$12-$B8*(E$26/10000)-$B9*($A30/10000)-$B10/10000*Control!$B$12,"")</f>
        <v/>
      </c>
      <c r="F30" s="24">
        <f>IFERROR($B7/100*Control!$B$12-$B8*(F$26/10000)-$B9*($A30/10000)-$B10/10000*Control!$B$12,"")</f>
        <v/>
      </c>
      <c r="G30" s="24">
        <f>IFERROR($B7/100*Control!$B$12-$B8*(G$26/10000)-$B9*($A30/10000)-$B10/10000*Control!$B$12,"")</f>
        <v/>
      </c>
      <c r="H30" s="24">
        <f>IFERROR($B7/100*Control!$B$12-$B8*(H$26/10000)-$B9*($A30/10000)-$B10/10000*Control!$B$12,"")</f>
        <v/>
      </c>
      <c r="I30" s="24">
        <f>IFERROR($B7/100*Control!$B$12-$B8*(I$26/10000)-$B9*($A30/10000)-$B10/10000*Control!$B$12,"")</f>
        <v/>
      </c>
      <c r="J30" s="24">
        <f>IFERROR($B7/100*Control!$B$12-$B8*(J$26/10000)-$B9*($A30/10000)-$B10/10000*Control!$B$12,"")</f>
        <v/>
      </c>
    </row>
    <row r="31">
      <c r="A31" s="68" t="n">
        <v>0</v>
      </c>
      <c r="B31" s="24">
        <f>IFERROR($B7/100*Control!$B$12-$B8*(B$26/10000)-$B9*($A31/10000)-$B10/10000*Control!$B$12,"")</f>
        <v/>
      </c>
      <c r="C31" s="24">
        <f>IFERROR($B7/100*Control!$B$12-$B8*(C$26/10000)-$B9*($A31/10000)-$B10/10000*Control!$B$12,"")</f>
        <v/>
      </c>
      <c r="D31" s="24">
        <f>IFERROR($B7/100*Control!$B$12-$B8*(D$26/10000)-$B9*($A31/10000)-$B10/10000*Control!$B$12,"")</f>
        <v/>
      </c>
      <c r="E31" s="24">
        <f>IFERROR($B7/100*Control!$B$12-$B8*(E$26/10000)-$B9*($A31/10000)-$B10/10000*Control!$B$12,"")</f>
        <v/>
      </c>
      <c r="F31" s="24">
        <f>IFERROR($B7/100*Control!$B$12-$B8*(F$26/10000)-$B9*($A31/10000)-$B10/10000*Control!$B$12,"")</f>
        <v/>
      </c>
      <c r="G31" s="24">
        <f>IFERROR($B7/100*Control!$B$12-$B8*(G$26/10000)-$B9*($A31/10000)-$B10/10000*Control!$B$12,"")</f>
        <v/>
      </c>
      <c r="H31" s="24">
        <f>IFERROR($B7/100*Control!$B$12-$B8*(H$26/10000)-$B9*($A31/10000)-$B10/10000*Control!$B$12,"")</f>
        <v/>
      </c>
      <c r="I31" s="24">
        <f>IFERROR($B7/100*Control!$B$12-$B8*(I$26/10000)-$B9*($A31/10000)-$B10/10000*Control!$B$12,"")</f>
        <v/>
      </c>
      <c r="J31" s="24">
        <f>IFERROR($B7/100*Control!$B$12-$B8*(J$26/10000)-$B9*($A31/10000)-$B10/10000*Control!$B$12,"")</f>
        <v/>
      </c>
    </row>
    <row r="32">
      <c r="A32" s="68" t="n">
        <v>25</v>
      </c>
      <c r="B32" s="24">
        <f>IFERROR($B7/100*Control!$B$12-$B8*(B$26/10000)-$B9*($A32/10000)-$B10/10000*Control!$B$12,"")</f>
        <v/>
      </c>
      <c r="C32" s="24">
        <f>IFERROR($B7/100*Control!$B$12-$B8*(C$26/10000)-$B9*($A32/10000)-$B10/10000*Control!$B$12,"")</f>
        <v/>
      </c>
      <c r="D32" s="24">
        <f>IFERROR($B7/100*Control!$B$12-$B8*(D$26/10000)-$B9*($A32/10000)-$B10/10000*Control!$B$12,"")</f>
        <v/>
      </c>
      <c r="E32" s="24">
        <f>IFERROR($B7/100*Control!$B$12-$B8*(E$26/10000)-$B9*($A32/10000)-$B10/10000*Control!$B$12,"")</f>
        <v/>
      </c>
      <c r="F32" s="24">
        <f>IFERROR($B7/100*Control!$B$12-$B8*(F$26/10000)-$B9*($A32/10000)-$B10/10000*Control!$B$12,"")</f>
        <v/>
      </c>
      <c r="G32" s="24">
        <f>IFERROR($B7/100*Control!$B$12-$B8*(G$26/10000)-$B9*($A32/10000)-$B10/10000*Control!$B$12,"")</f>
        <v/>
      </c>
      <c r="H32" s="24">
        <f>IFERROR($B7/100*Control!$B$12-$B8*(H$26/10000)-$B9*($A32/10000)-$B10/10000*Control!$B$12,"")</f>
        <v/>
      </c>
      <c r="I32" s="24">
        <f>IFERROR($B7/100*Control!$B$12-$B8*(I$26/10000)-$B9*($A32/10000)-$B10/10000*Control!$B$12,"")</f>
        <v/>
      </c>
      <c r="J32" s="24">
        <f>IFERROR($B7/100*Control!$B$12-$B8*(J$26/10000)-$B9*($A32/10000)-$B10/10000*Control!$B$12,"")</f>
        <v/>
      </c>
    </row>
    <row r="33">
      <c r="A33" s="68" t="n">
        <v>50</v>
      </c>
      <c r="B33" s="24">
        <f>IFERROR($B7/100*Control!$B$12-$B8*(B$26/10000)-$B9*($A33/10000)-$B10/10000*Control!$B$12,"")</f>
        <v/>
      </c>
      <c r="C33" s="24">
        <f>IFERROR($B7/100*Control!$B$12-$B8*(C$26/10000)-$B9*($A33/10000)-$B10/10000*Control!$B$12,"")</f>
        <v/>
      </c>
      <c r="D33" s="24">
        <f>IFERROR($B7/100*Control!$B$12-$B8*(D$26/10000)-$B9*($A33/10000)-$B10/10000*Control!$B$12,"")</f>
        <v/>
      </c>
      <c r="E33" s="24">
        <f>IFERROR($B7/100*Control!$B$12-$B8*(E$26/10000)-$B9*($A33/10000)-$B10/10000*Control!$B$12,"")</f>
        <v/>
      </c>
      <c r="F33" s="24">
        <f>IFERROR($B7/100*Control!$B$12-$B8*(F$26/10000)-$B9*($A33/10000)-$B10/10000*Control!$B$12,"")</f>
        <v/>
      </c>
      <c r="G33" s="24">
        <f>IFERROR($B7/100*Control!$B$12-$B8*(G$26/10000)-$B9*($A33/10000)-$B10/10000*Control!$B$12,"")</f>
        <v/>
      </c>
      <c r="H33" s="24">
        <f>IFERROR($B7/100*Control!$B$12-$B8*(H$26/10000)-$B9*($A33/10000)-$B10/10000*Control!$B$12,"")</f>
        <v/>
      </c>
      <c r="I33" s="24">
        <f>IFERROR($B7/100*Control!$B$12-$B8*(I$26/10000)-$B9*($A33/10000)-$B10/10000*Control!$B$12,"")</f>
        <v/>
      </c>
      <c r="J33" s="24">
        <f>IFERROR($B7/100*Control!$B$12-$B8*(J$26/10000)-$B9*($A33/10000)-$B10/10000*Control!$B$12,"")</f>
        <v/>
      </c>
    </row>
    <row r="34">
      <c r="A34" s="68" t="n">
        <v>75</v>
      </c>
      <c r="B34" s="24">
        <f>IFERROR($B7/100*Control!$B$12-$B8*(B$26/10000)-$B9*($A34/10000)-$B10/10000*Control!$B$12,"")</f>
        <v/>
      </c>
      <c r="C34" s="24">
        <f>IFERROR($B7/100*Control!$B$12-$B8*(C$26/10000)-$B9*($A34/10000)-$B10/10000*Control!$B$12,"")</f>
        <v/>
      </c>
      <c r="D34" s="24">
        <f>IFERROR($B7/100*Control!$B$12-$B8*(D$26/10000)-$B9*($A34/10000)-$B10/10000*Control!$B$12,"")</f>
        <v/>
      </c>
      <c r="E34" s="24">
        <f>IFERROR($B7/100*Control!$B$12-$B8*(E$26/10000)-$B9*($A34/10000)-$B10/10000*Control!$B$12,"")</f>
        <v/>
      </c>
      <c r="F34" s="24">
        <f>IFERROR($B7/100*Control!$B$12-$B8*(F$26/10000)-$B9*($A34/10000)-$B10/10000*Control!$B$12,"")</f>
        <v/>
      </c>
      <c r="G34" s="24">
        <f>IFERROR($B7/100*Control!$B$12-$B8*(G$26/10000)-$B9*($A34/10000)-$B10/10000*Control!$B$12,"")</f>
        <v/>
      </c>
      <c r="H34" s="24">
        <f>IFERROR($B7/100*Control!$B$12-$B8*(H$26/10000)-$B9*($A34/10000)-$B10/10000*Control!$B$12,"")</f>
        <v/>
      </c>
      <c r="I34" s="24">
        <f>IFERROR($B7/100*Control!$B$12-$B8*(I$26/10000)-$B9*($A34/10000)-$B10/10000*Control!$B$12,"")</f>
        <v/>
      </c>
      <c r="J34" s="24">
        <f>IFERROR($B7/100*Control!$B$12-$B8*(J$26/10000)-$B9*($A34/10000)-$B10/10000*Control!$B$12,"")</f>
        <v/>
      </c>
    </row>
    <row r="35">
      <c r="A35" s="68" t="n">
        <v>100</v>
      </c>
      <c r="B35" s="24">
        <f>IFERROR($B7/100*Control!$B$12-$B8*(B$26/10000)-$B9*($A35/10000)-$B10/10000*Control!$B$12,"")</f>
        <v/>
      </c>
      <c r="C35" s="24">
        <f>IFERROR($B7/100*Control!$B$12-$B8*(C$26/10000)-$B9*($A35/10000)-$B10/10000*Control!$B$12,"")</f>
        <v/>
      </c>
      <c r="D35" s="24">
        <f>IFERROR($B7/100*Control!$B$12-$B8*(D$26/10000)-$B9*($A35/10000)-$B10/10000*Control!$B$12,"")</f>
        <v/>
      </c>
      <c r="E35" s="24">
        <f>IFERROR($B7/100*Control!$B$12-$B8*(E$26/10000)-$B9*($A35/10000)-$B10/10000*Control!$B$12,"")</f>
        <v/>
      </c>
      <c r="F35" s="24">
        <f>IFERROR($B7/100*Control!$B$12-$B8*(F$26/10000)-$B9*($A35/10000)-$B10/10000*Control!$B$12,"")</f>
        <v/>
      </c>
      <c r="G35" s="24">
        <f>IFERROR($B7/100*Control!$B$12-$B8*(G$26/10000)-$B9*($A35/10000)-$B10/10000*Control!$B$12,"")</f>
        <v/>
      </c>
      <c r="H35" s="24">
        <f>IFERROR($B7/100*Control!$B$12-$B8*(H$26/10000)-$B9*($A35/10000)-$B10/10000*Control!$B$12,"")</f>
        <v/>
      </c>
      <c r="I35" s="24">
        <f>IFERROR($B7/100*Control!$B$12-$B8*(I$26/10000)-$B9*($A35/10000)-$B10/10000*Control!$B$12,"")</f>
        <v/>
      </c>
      <c r="J35" s="24">
        <f>IFERROR($B7/100*Control!$B$12-$B8*(J$26/10000)-$B9*($A35/10000)-$B10/10000*Control!$B$12,"")</f>
        <v/>
      </c>
    </row>
    <row r="36">
      <c r="A36" s="68" t="n">
        <v>150</v>
      </c>
      <c r="B36" s="24">
        <f>IFERROR($B7/100*Control!$B$12-$B8*(B$26/10000)-$B9*($A36/10000)-$B10/10000*Control!$B$12,"")</f>
        <v/>
      </c>
      <c r="C36" s="24">
        <f>IFERROR($B7/100*Control!$B$12-$B8*(C$26/10000)-$B9*($A36/10000)-$B10/10000*Control!$B$12,"")</f>
        <v/>
      </c>
      <c r="D36" s="24">
        <f>IFERROR($B7/100*Control!$B$12-$B8*(D$26/10000)-$B9*($A36/10000)-$B10/10000*Control!$B$12,"")</f>
        <v/>
      </c>
      <c r="E36" s="24">
        <f>IFERROR($B7/100*Control!$B$12-$B8*(E$26/10000)-$B9*($A36/10000)-$B10/10000*Control!$B$12,"")</f>
        <v/>
      </c>
      <c r="F36" s="24">
        <f>IFERROR($B7/100*Control!$B$12-$B8*(F$26/10000)-$B9*($A36/10000)-$B10/10000*Control!$B$12,"")</f>
        <v/>
      </c>
      <c r="G36" s="24">
        <f>IFERROR($B7/100*Control!$B$12-$B8*(G$26/10000)-$B9*($A36/10000)-$B10/10000*Control!$B$12,"")</f>
        <v/>
      </c>
      <c r="H36" s="24">
        <f>IFERROR($B7/100*Control!$B$12-$B8*(H$26/10000)-$B9*($A36/10000)-$B10/10000*Control!$B$12,"")</f>
        <v/>
      </c>
      <c r="I36" s="24">
        <f>IFERROR($B7/100*Control!$B$12-$B8*(I$26/10000)-$B9*($A36/10000)-$B10/10000*Control!$B$12,"")</f>
        <v/>
      </c>
      <c r="J36" s="24">
        <f>IFERROR($B7/100*Control!$B$12-$B8*(J$26/10000)-$B9*($A36/10000)-$B10/10000*Control!$B$12,"")</f>
        <v/>
      </c>
    </row>
    <row r="37">
      <c r="A37" s="68" t="n">
        <v>200</v>
      </c>
      <c r="B37" s="24">
        <f>IFERROR($B7/100*Control!$B$12-$B8*(B$26/10000)-$B9*($A37/10000)-$B10/10000*Control!$B$12,"")</f>
        <v/>
      </c>
      <c r="C37" s="24">
        <f>IFERROR($B7/100*Control!$B$12-$B8*(C$26/10000)-$B9*($A37/10000)-$B10/10000*Control!$B$12,"")</f>
        <v/>
      </c>
      <c r="D37" s="24">
        <f>IFERROR($B7/100*Control!$B$12-$B8*(D$26/10000)-$B9*($A37/10000)-$B10/10000*Control!$B$12,"")</f>
        <v/>
      </c>
      <c r="E37" s="24">
        <f>IFERROR($B7/100*Control!$B$12-$B8*(E$26/10000)-$B9*($A37/10000)-$B10/10000*Control!$B$12,"")</f>
        <v/>
      </c>
      <c r="F37" s="24">
        <f>IFERROR($B7/100*Control!$B$12-$B8*(F$26/10000)-$B9*($A37/10000)-$B10/10000*Control!$B$12,"")</f>
        <v/>
      </c>
      <c r="G37" s="24">
        <f>IFERROR($B7/100*Control!$B$12-$B8*(G$26/10000)-$B9*($A37/10000)-$B10/10000*Control!$B$12,"")</f>
        <v/>
      </c>
      <c r="H37" s="24">
        <f>IFERROR($B7/100*Control!$B$12-$B8*(H$26/10000)-$B9*($A37/10000)-$B10/10000*Control!$B$12,"")</f>
        <v/>
      </c>
      <c r="I37" s="24">
        <f>IFERROR($B7/100*Control!$B$12-$B8*(I$26/10000)-$B9*($A37/10000)-$B10/10000*Control!$B$12,"")</f>
        <v/>
      </c>
      <c r="J37" s="24">
        <f>IFERROR($B7/100*Control!$B$12-$B8*(J$26/10000)-$B9*($A37/10000)-$B10/10000*Control!$B$12,"")</f>
        <v/>
      </c>
    </row>
    <row r="38">
      <c r="A38" s="68" t="n">
        <v>300</v>
      </c>
      <c r="B38" s="24">
        <f>IFERROR($B7/100*Control!$B$12-$B8*(B$26/10000)-$B9*($A38/10000)-$B10/10000*Control!$B$12,"")</f>
        <v/>
      </c>
      <c r="C38" s="24">
        <f>IFERROR($B7/100*Control!$B$12-$B8*(C$26/10000)-$B9*($A38/10000)-$B10/10000*Control!$B$12,"")</f>
        <v/>
      </c>
      <c r="D38" s="24">
        <f>IFERROR($B7/100*Control!$B$12-$B8*(D$26/10000)-$B9*($A38/10000)-$B10/10000*Control!$B$12,"")</f>
        <v/>
      </c>
      <c r="E38" s="24">
        <f>IFERROR($B7/100*Control!$B$12-$B8*(E$26/10000)-$B9*($A38/10000)-$B10/10000*Control!$B$12,"")</f>
        <v/>
      </c>
      <c r="F38" s="24">
        <f>IFERROR($B7/100*Control!$B$12-$B8*(F$26/10000)-$B9*($A38/10000)-$B10/10000*Control!$B$12,"")</f>
        <v/>
      </c>
      <c r="G38" s="24">
        <f>IFERROR($B7/100*Control!$B$12-$B8*(G$26/10000)-$B9*($A38/10000)-$B10/10000*Control!$B$12,"")</f>
        <v/>
      </c>
      <c r="H38" s="24">
        <f>IFERROR($B7/100*Control!$B$12-$B8*(H$26/10000)-$B9*($A38/10000)-$B10/10000*Control!$B$12,"")</f>
        <v/>
      </c>
      <c r="I38" s="24">
        <f>IFERROR($B7/100*Control!$B$12-$B8*(I$26/10000)-$B9*($A38/10000)-$B10/10000*Control!$B$12,"")</f>
        <v/>
      </c>
      <c r="J38" s="24">
        <f>IFERROR($B7/100*Control!$B$12-$B8*(J$26/10000)-$B9*($A38/10000)-$B10/10000*Control!$B$12,"")</f>
        <v/>
      </c>
    </row>
    <row r="39">
      <c r="A39" s="10" t="inlineStr">
        <is>
          <t>Each cell = YTW×horizon − rate duration×Δrate − spread duration×Δspread − credit loss. First-order only: convexity is ignored, which understates the gain in large rallies and overstates the loss in large sell-offs by a few bp.</t>
        </is>
      </c>
    </row>
    <row r="41">
      <c r="A41" s="18" t="inlineStr">
        <is>
          <t>US HIGH YIELD</t>
        </is>
      </c>
    </row>
    <row r="42">
      <c r="A42" s="67" t="inlineStr">
        <is>
          <t>Δ spread (bp)  ↓   /   Δ UST yield (bp)  →</t>
        </is>
      </c>
      <c r="B42" s="68" t="n">
        <v>-100</v>
      </c>
      <c r="C42" s="68" t="n">
        <v>-75</v>
      </c>
      <c r="D42" s="68" t="n">
        <v>-50</v>
      </c>
      <c r="E42" s="68" t="n">
        <v>-25</v>
      </c>
      <c r="F42" s="68" t="n">
        <v>0</v>
      </c>
      <c r="G42" s="68" t="n">
        <v>25</v>
      </c>
      <c r="H42" s="68" t="n">
        <v>50</v>
      </c>
      <c r="I42" s="68" t="n">
        <v>75</v>
      </c>
      <c r="J42" s="68" t="n">
        <v>100</v>
      </c>
    </row>
    <row r="43">
      <c r="A43" s="68" t="n">
        <v>-100</v>
      </c>
      <c r="B43" s="24">
        <f>IFERROR($C7/100*Control!$B$12-$C8*(B$42/10000)-$C9*($A43/10000)-$C10/10000*Control!$B$12,"")</f>
        <v/>
      </c>
      <c r="C43" s="24">
        <f>IFERROR($C7/100*Control!$B$12-$C8*(C$42/10000)-$C9*($A43/10000)-$C10/10000*Control!$B$12,"")</f>
        <v/>
      </c>
      <c r="D43" s="24">
        <f>IFERROR($C7/100*Control!$B$12-$C8*(D$42/10000)-$C9*($A43/10000)-$C10/10000*Control!$B$12,"")</f>
        <v/>
      </c>
      <c r="E43" s="24">
        <f>IFERROR($C7/100*Control!$B$12-$C8*(E$42/10000)-$C9*($A43/10000)-$C10/10000*Control!$B$12,"")</f>
        <v/>
      </c>
      <c r="F43" s="24">
        <f>IFERROR($C7/100*Control!$B$12-$C8*(F$42/10000)-$C9*($A43/10000)-$C10/10000*Control!$B$12,"")</f>
        <v/>
      </c>
      <c r="G43" s="24">
        <f>IFERROR($C7/100*Control!$B$12-$C8*(G$42/10000)-$C9*($A43/10000)-$C10/10000*Control!$B$12,"")</f>
        <v/>
      </c>
      <c r="H43" s="24">
        <f>IFERROR($C7/100*Control!$B$12-$C8*(H$42/10000)-$C9*($A43/10000)-$C10/10000*Control!$B$12,"")</f>
        <v/>
      </c>
      <c r="I43" s="24">
        <f>IFERROR($C7/100*Control!$B$12-$C8*(I$42/10000)-$C9*($A43/10000)-$C10/10000*Control!$B$12,"")</f>
        <v/>
      </c>
      <c r="J43" s="24">
        <f>IFERROR($C7/100*Control!$B$12-$C8*(J$42/10000)-$C9*($A43/10000)-$C10/10000*Control!$B$12,"")</f>
        <v/>
      </c>
    </row>
    <row r="44">
      <c r="A44" s="68" t="n">
        <v>-75</v>
      </c>
      <c r="B44" s="24">
        <f>IFERROR($C7/100*Control!$B$12-$C8*(B$42/10000)-$C9*($A44/10000)-$C10/10000*Control!$B$12,"")</f>
        <v/>
      </c>
      <c r="C44" s="24">
        <f>IFERROR($C7/100*Control!$B$12-$C8*(C$42/10000)-$C9*($A44/10000)-$C10/10000*Control!$B$12,"")</f>
        <v/>
      </c>
      <c r="D44" s="24">
        <f>IFERROR($C7/100*Control!$B$12-$C8*(D$42/10000)-$C9*($A44/10000)-$C10/10000*Control!$B$12,"")</f>
        <v/>
      </c>
      <c r="E44" s="24">
        <f>IFERROR($C7/100*Control!$B$12-$C8*(E$42/10000)-$C9*($A44/10000)-$C10/10000*Control!$B$12,"")</f>
        <v/>
      </c>
      <c r="F44" s="24">
        <f>IFERROR($C7/100*Control!$B$12-$C8*(F$42/10000)-$C9*($A44/10000)-$C10/10000*Control!$B$12,"")</f>
        <v/>
      </c>
      <c r="G44" s="24">
        <f>IFERROR($C7/100*Control!$B$12-$C8*(G$42/10000)-$C9*($A44/10000)-$C10/10000*Control!$B$12,"")</f>
        <v/>
      </c>
      <c r="H44" s="24">
        <f>IFERROR($C7/100*Control!$B$12-$C8*(H$42/10000)-$C9*($A44/10000)-$C10/10000*Control!$B$12,"")</f>
        <v/>
      </c>
      <c r="I44" s="24">
        <f>IFERROR($C7/100*Control!$B$12-$C8*(I$42/10000)-$C9*($A44/10000)-$C10/10000*Control!$B$12,"")</f>
        <v/>
      </c>
      <c r="J44" s="24">
        <f>IFERROR($C7/100*Control!$B$12-$C8*(J$42/10000)-$C9*($A44/10000)-$C10/10000*Control!$B$12,"")</f>
        <v/>
      </c>
    </row>
    <row r="45">
      <c r="A45" s="68" t="n">
        <v>-50</v>
      </c>
      <c r="B45" s="24">
        <f>IFERROR($C7/100*Control!$B$12-$C8*(B$42/10000)-$C9*($A45/10000)-$C10/10000*Control!$B$12,"")</f>
        <v/>
      </c>
      <c r="C45" s="24">
        <f>IFERROR($C7/100*Control!$B$12-$C8*(C$42/10000)-$C9*($A45/10000)-$C10/10000*Control!$B$12,"")</f>
        <v/>
      </c>
      <c r="D45" s="24">
        <f>IFERROR($C7/100*Control!$B$12-$C8*(D$42/10000)-$C9*($A45/10000)-$C10/10000*Control!$B$12,"")</f>
        <v/>
      </c>
      <c r="E45" s="24">
        <f>IFERROR($C7/100*Control!$B$12-$C8*(E$42/10000)-$C9*($A45/10000)-$C10/10000*Control!$B$12,"")</f>
        <v/>
      </c>
      <c r="F45" s="24">
        <f>IFERROR($C7/100*Control!$B$12-$C8*(F$42/10000)-$C9*($A45/10000)-$C10/10000*Control!$B$12,"")</f>
        <v/>
      </c>
      <c r="G45" s="24">
        <f>IFERROR($C7/100*Control!$B$12-$C8*(G$42/10000)-$C9*($A45/10000)-$C10/10000*Control!$B$12,"")</f>
        <v/>
      </c>
      <c r="H45" s="24">
        <f>IFERROR($C7/100*Control!$B$12-$C8*(H$42/10000)-$C9*($A45/10000)-$C10/10000*Control!$B$12,"")</f>
        <v/>
      </c>
      <c r="I45" s="24">
        <f>IFERROR($C7/100*Control!$B$12-$C8*(I$42/10000)-$C9*($A45/10000)-$C10/10000*Control!$B$12,"")</f>
        <v/>
      </c>
      <c r="J45" s="24">
        <f>IFERROR($C7/100*Control!$B$12-$C8*(J$42/10000)-$C9*($A45/10000)-$C10/10000*Control!$B$12,"")</f>
        <v/>
      </c>
    </row>
    <row r="46">
      <c r="A46" s="68" t="n">
        <v>-25</v>
      </c>
      <c r="B46" s="24">
        <f>IFERROR($C7/100*Control!$B$12-$C8*(B$42/10000)-$C9*($A46/10000)-$C10/10000*Control!$B$12,"")</f>
        <v/>
      </c>
      <c r="C46" s="24">
        <f>IFERROR($C7/100*Control!$B$12-$C8*(C$42/10000)-$C9*($A46/10000)-$C10/10000*Control!$B$12,"")</f>
        <v/>
      </c>
      <c r="D46" s="24">
        <f>IFERROR($C7/100*Control!$B$12-$C8*(D$42/10000)-$C9*($A46/10000)-$C10/10000*Control!$B$12,"")</f>
        <v/>
      </c>
      <c r="E46" s="24">
        <f>IFERROR($C7/100*Control!$B$12-$C8*(E$42/10000)-$C9*($A46/10000)-$C10/10000*Control!$B$12,"")</f>
        <v/>
      </c>
      <c r="F46" s="24">
        <f>IFERROR($C7/100*Control!$B$12-$C8*(F$42/10000)-$C9*($A46/10000)-$C10/10000*Control!$B$12,"")</f>
        <v/>
      </c>
      <c r="G46" s="24">
        <f>IFERROR($C7/100*Control!$B$12-$C8*(G$42/10000)-$C9*($A46/10000)-$C10/10000*Control!$B$12,"")</f>
        <v/>
      </c>
      <c r="H46" s="24">
        <f>IFERROR($C7/100*Control!$B$12-$C8*(H$42/10000)-$C9*($A46/10000)-$C10/10000*Control!$B$12,"")</f>
        <v/>
      </c>
      <c r="I46" s="24">
        <f>IFERROR($C7/100*Control!$B$12-$C8*(I$42/10000)-$C9*($A46/10000)-$C10/10000*Control!$B$12,"")</f>
        <v/>
      </c>
      <c r="J46" s="24">
        <f>IFERROR($C7/100*Control!$B$12-$C8*(J$42/10000)-$C9*($A46/10000)-$C10/10000*Control!$B$12,"")</f>
        <v/>
      </c>
    </row>
    <row r="47">
      <c r="A47" s="68" t="n">
        <v>0</v>
      </c>
      <c r="B47" s="24">
        <f>IFERROR($C7/100*Control!$B$12-$C8*(B$42/10000)-$C9*($A47/10000)-$C10/10000*Control!$B$12,"")</f>
        <v/>
      </c>
      <c r="C47" s="24">
        <f>IFERROR($C7/100*Control!$B$12-$C8*(C$42/10000)-$C9*($A47/10000)-$C10/10000*Control!$B$12,"")</f>
        <v/>
      </c>
      <c r="D47" s="24">
        <f>IFERROR($C7/100*Control!$B$12-$C8*(D$42/10000)-$C9*($A47/10000)-$C10/10000*Control!$B$12,"")</f>
        <v/>
      </c>
      <c r="E47" s="24">
        <f>IFERROR($C7/100*Control!$B$12-$C8*(E$42/10000)-$C9*($A47/10000)-$C10/10000*Control!$B$12,"")</f>
        <v/>
      </c>
      <c r="F47" s="24">
        <f>IFERROR($C7/100*Control!$B$12-$C8*(F$42/10000)-$C9*($A47/10000)-$C10/10000*Control!$B$12,"")</f>
        <v/>
      </c>
      <c r="G47" s="24">
        <f>IFERROR($C7/100*Control!$B$12-$C8*(G$42/10000)-$C9*($A47/10000)-$C10/10000*Control!$B$12,"")</f>
        <v/>
      </c>
      <c r="H47" s="24">
        <f>IFERROR($C7/100*Control!$B$12-$C8*(H$42/10000)-$C9*($A47/10000)-$C10/10000*Control!$B$12,"")</f>
        <v/>
      </c>
      <c r="I47" s="24">
        <f>IFERROR($C7/100*Control!$B$12-$C8*(I$42/10000)-$C9*($A47/10000)-$C10/10000*Control!$B$12,"")</f>
        <v/>
      </c>
      <c r="J47" s="24">
        <f>IFERROR($C7/100*Control!$B$12-$C8*(J$42/10000)-$C9*($A47/10000)-$C10/10000*Control!$B$12,"")</f>
        <v/>
      </c>
    </row>
    <row r="48">
      <c r="A48" s="68" t="n">
        <v>25</v>
      </c>
      <c r="B48" s="24">
        <f>IFERROR($C7/100*Control!$B$12-$C8*(B$42/10000)-$C9*($A48/10000)-$C10/10000*Control!$B$12,"")</f>
        <v/>
      </c>
      <c r="C48" s="24">
        <f>IFERROR($C7/100*Control!$B$12-$C8*(C$42/10000)-$C9*($A48/10000)-$C10/10000*Control!$B$12,"")</f>
        <v/>
      </c>
      <c r="D48" s="24">
        <f>IFERROR($C7/100*Control!$B$12-$C8*(D$42/10000)-$C9*($A48/10000)-$C10/10000*Control!$B$12,"")</f>
        <v/>
      </c>
      <c r="E48" s="24">
        <f>IFERROR($C7/100*Control!$B$12-$C8*(E$42/10000)-$C9*($A48/10000)-$C10/10000*Control!$B$12,"")</f>
        <v/>
      </c>
      <c r="F48" s="24">
        <f>IFERROR($C7/100*Control!$B$12-$C8*(F$42/10000)-$C9*($A48/10000)-$C10/10000*Control!$B$12,"")</f>
        <v/>
      </c>
      <c r="G48" s="24">
        <f>IFERROR($C7/100*Control!$B$12-$C8*(G$42/10000)-$C9*($A48/10000)-$C10/10000*Control!$B$12,"")</f>
        <v/>
      </c>
      <c r="H48" s="24">
        <f>IFERROR($C7/100*Control!$B$12-$C8*(H$42/10000)-$C9*($A48/10000)-$C10/10000*Control!$B$12,"")</f>
        <v/>
      </c>
      <c r="I48" s="24">
        <f>IFERROR($C7/100*Control!$B$12-$C8*(I$42/10000)-$C9*($A48/10000)-$C10/10000*Control!$B$12,"")</f>
        <v/>
      </c>
      <c r="J48" s="24">
        <f>IFERROR($C7/100*Control!$B$12-$C8*(J$42/10000)-$C9*($A48/10000)-$C10/10000*Control!$B$12,"")</f>
        <v/>
      </c>
    </row>
    <row r="49">
      <c r="A49" s="68" t="n">
        <v>50</v>
      </c>
      <c r="B49" s="24">
        <f>IFERROR($C7/100*Control!$B$12-$C8*(B$42/10000)-$C9*($A49/10000)-$C10/10000*Control!$B$12,"")</f>
        <v/>
      </c>
      <c r="C49" s="24">
        <f>IFERROR($C7/100*Control!$B$12-$C8*(C$42/10000)-$C9*($A49/10000)-$C10/10000*Control!$B$12,"")</f>
        <v/>
      </c>
      <c r="D49" s="24">
        <f>IFERROR($C7/100*Control!$B$12-$C8*(D$42/10000)-$C9*($A49/10000)-$C10/10000*Control!$B$12,"")</f>
        <v/>
      </c>
      <c r="E49" s="24">
        <f>IFERROR($C7/100*Control!$B$12-$C8*(E$42/10000)-$C9*($A49/10000)-$C10/10000*Control!$B$12,"")</f>
        <v/>
      </c>
      <c r="F49" s="24">
        <f>IFERROR($C7/100*Control!$B$12-$C8*(F$42/10000)-$C9*($A49/10000)-$C10/10000*Control!$B$12,"")</f>
        <v/>
      </c>
      <c r="G49" s="24">
        <f>IFERROR($C7/100*Control!$B$12-$C8*(G$42/10000)-$C9*($A49/10000)-$C10/10000*Control!$B$12,"")</f>
        <v/>
      </c>
      <c r="H49" s="24">
        <f>IFERROR($C7/100*Control!$B$12-$C8*(H$42/10000)-$C9*($A49/10000)-$C10/10000*Control!$B$12,"")</f>
        <v/>
      </c>
      <c r="I49" s="24">
        <f>IFERROR($C7/100*Control!$B$12-$C8*(I$42/10000)-$C9*($A49/10000)-$C10/10000*Control!$B$12,"")</f>
        <v/>
      </c>
      <c r="J49" s="24">
        <f>IFERROR($C7/100*Control!$B$12-$C8*(J$42/10000)-$C9*($A49/10000)-$C10/10000*Control!$B$12,"")</f>
        <v/>
      </c>
    </row>
    <row r="50">
      <c r="A50" s="68" t="n">
        <v>75</v>
      </c>
      <c r="B50" s="24">
        <f>IFERROR($C7/100*Control!$B$12-$C8*(B$42/10000)-$C9*($A50/10000)-$C10/10000*Control!$B$12,"")</f>
        <v/>
      </c>
      <c r="C50" s="24">
        <f>IFERROR($C7/100*Control!$B$12-$C8*(C$42/10000)-$C9*($A50/10000)-$C10/10000*Control!$B$12,"")</f>
        <v/>
      </c>
      <c r="D50" s="24">
        <f>IFERROR($C7/100*Control!$B$12-$C8*(D$42/10000)-$C9*($A50/10000)-$C10/10000*Control!$B$12,"")</f>
        <v/>
      </c>
      <c r="E50" s="24">
        <f>IFERROR($C7/100*Control!$B$12-$C8*(E$42/10000)-$C9*($A50/10000)-$C10/10000*Control!$B$12,"")</f>
        <v/>
      </c>
      <c r="F50" s="24">
        <f>IFERROR($C7/100*Control!$B$12-$C8*(F$42/10000)-$C9*($A50/10000)-$C10/10000*Control!$B$12,"")</f>
        <v/>
      </c>
      <c r="G50" s="24">
        <f>IFERROR($C7/100*Control!$B$12-$C8*(G$42/10000)-$C9*($A50/10000)-$C10/10000*Control!$B$12,"")</f>
        <v/>
      </c>
      <c r="H50" s="24">
        <f>IFERROR($C7/100*Control!$B$12-$C8*(H$42/10000)-$C9*($A50/10000)-$C10/10000*Control!$B$12,"")</f>
        <v/>
      </c>
      <c r="I50" s="24">
        <f>IFERROR($C7/100*Control!$B$12-$C8*(I$42/10000)-$C9*($A50/10000)-$C10/10000*Control!$B$12,"")</f>
        <v/>
      </c>
      <c r="J50" s="24">
        <f>IFERROR($C7/100*Control!$B$12-$C8*(J$42/10000)-$C9*($A50/10000)-$C10/10000*Control!$B$12,"")</f>
        <v/>
      </c>
    </row>
    <row r="51">
      <c r="A51" s="68" t="n">
        <v>100</v>
      </c>
      <c r="B51" s="24">
        <f>IFERROR($C7/100*Control!$B$12-$C8*(B$42/10000)-$C9*($A51/10000)-$C10/10000*Control!$B$12,"")</f>
        <v/>
      </c>
      <c r="C51" s="24">
        <f>IFERROR($C7/100*Control!$B$12-$C8*(C$42/10000)-$C9*($A51/10000)-$C10/10000*Control!$B$12,"")</f>
        <v/>
      </c>
      <c r="D51" s="24">
        <f>IFERROR($C7/100*Control!$B$12-$C8*(D$42/10000)-$C9*($A51/10000)-$C10/10000*Control!$B$12,"")</f>
        <v/>
      </c>
      <c r="E51" s="24">
        <f>IFERROR($C7/100*Control!$B$12-$C8*(E$42/10000)-$C9*($A51/10000)-$C10/10000*Control!$B$12,"")</f>
        <v/>
      </c>
      <c r="F51" s="24">
        <f>IFERROR($C7/100*Control!$B$12-$C8*(F$42/10000)-$C9*($A51/10000)-$C10/10000*Control!$B$12,"")</f>
        <v/>
      </c>
      <c r="G51" s="24">
        <f>IFERROR($C7/100*Control!$B$12-$C8*(G$42/10000)-$C9*($A51/10000)-$C10/10000*Control!$B$12,"")</f>
        <v/>
      </c>
      <c r="H51" s="24">
        <f>IFERROR($C7/100*Control!$B$12-$C8*(H$42/10000)-$C9*($A51/10000)-$C10/10000*Control!$B$12,"")</f>
        <v/>
      </c>
      <c r="I51" s="24">
        <f>IFERROR($C7/100*Control!$B$12-$C8*(I$42/10000)-$C9*($A51/10000)-$C10/10000*Control!$B$12,"")</f>
        <v/>
      </c>
      <c r="J51" s="24">
        <f>IFERROR($C7/100*Control!$B$12-$C8*(J$42/10000)-$C9*($A51/10000)-$C10/10000*Control!$B$12,"")</f>
        <v/>
      </c>
    </row>
    <row r="52">
      <c r="A52" s="68" t="n">
        <v>150</v>
      </c>
      <c r="B52" s="24">
        <f>IFERROR($C7/100*Control!$B$12-$C8*(B$42/10000)-$C9*($A52/10000)-$C10/10000*Control!$B$12,"")</f>
        <v/>
      </c>
      <c r="C52" s="24">
        <f>IFERROR($C7/100*Control!$B$12-$C8*(C$42/10000)-$C9*($A52/10000)-$C10/10000*Control!$B$12,"")</f>
        <v/>
      </c>
      <c r="D52" s="24">
        <f>IFERROR($C7/100*Control!$B$12-$C8*(D$42/10000)-$C9*($A52/10000)-$C10/10000*Control!$B$12,"")</f>
        <v/>
      </c>
      <c r="E52" s="24">
        <f>IFERROR($C7/100*Control!$B$12-$C8*(E$42/10000)-$C9*($A52/10000)-$C10/10000*Control!$B$12,"")</f>
        <v/>
      </c>
      <c r="F52" s="24">
        <f>IFERROR($C7/100*Control!$B$12-$C8*(F$42/10000)-$C9*($A52/10000)-$C10/10000*Control!$B$12,"")</f>
        <v/>
      </c>
      <c r="G52" s="24">
        <f>IFERROR($C7/100*Control!$B$12-$C8*(G$42/10000)-$C9*($A52/10000)-$C10/10000*Control!$B$12,"")</f>
        <v/>
      </c>
      <c r="H52" s="24">
        <f>IFERROR($C7/100*Control!$B$12-$C8*(H$42/10000)-$C9*($A52/10000)-$C10/10000*Control!$B$12,"")</f>
        <v/>
      </c>
      <c r="I52" s="24">
        <f>IFERROR($C7/100*Control!$B$12-$C8*(I$42/10000)-$C9*($A52/10000)-$C10/10000*Control!$B$12,"")</f>
        <v/>
      </c>
      <c r="J52" s="24">
        <f>IFERROR($C7/100*Control!$B$12-$C8*(J$42/10000)-$C9*($A52/10000)-$C10/10000*Control!$B$12,"")</f>
        <v/>
      </c>
    </row>
    <row r="53">
      <c r="A53" s="68" t="n">
        <v>200</v>
      </c>
      <c r="B53" s="24">
        <f>IFERROR($C7/100*Control!$B$12-$C8*(B$42/10000)-$C9*($A53/10000)-$C10/10000*Control!$B$12,"")</f>
        <v/>
      </c>
      <c r="C53" s="24">
        <f>IFERROR($C7/100*Control!$B$12-$C8*(C$42/10000)-$C9*($A53/10000)-$C10/10000*Control!$B$12,"")</f>
        <v/>
      </c>
      <c r="D53" s="24">
        <f>IFERROR($C7/100*Control!$B$12-$C8*(D$42/10000)-$C9*($A53/10000)-$C10/10000*Control!$B$12,"")</f>
        <v/>
      </c>
      <c r="E53" s="24">
        <f>IFERROR($C7/100*Control!$B$12-$C8*(E$42/10000)-$C9*($A53/10000)-$C10/10000*Control!$B$12,"")</f>
        <v/>
      </c>
      <c r="F53" s="24">
        <f>IFERROR($C7/100*Control!$B$12-$C8*(F$42/10000)-$C9*($A53/10000)-$C10/10000*Control!$B$12,"")</f>
        <v/>
      </c>
      <c r="G53" s="24">
        <f>IFERROR($C7/100*Control!$B$12-$C8*(G$42/10000)-$C9*($A53/10000)-$C10/10000*Control!$B$12,"")</f>
        <v/>
      </c>
      <c r="H53" s="24">
        <f>IFERROR($C7/100*Control!$B$12-$C8*(H$42/10000)-$C9*($A53/10000)-$C10/10000*Control!$B$12,"")</f>
        <v/>
      </c>
      <c r="I53" s="24">
        <f>IFERROR($C7/100*Control!$B$12-$C8*(I$42/10000)-$C9*($A53/10000)-$C10/10000*Control!$B$12,"")</f>
        <v/>
      </c>
      <c r="J53" s="24">
        <f>IFERROR($C7/100*Control!$B$12-$C8*(J$42/10000)-$C9*($A53/10000)-$C10/10000*Control!$B$12,"")</f>
        <v/>
      </c>
    </row>
    <row r="54">
      <c r="A54" s="68" t="n">
        <v>300</v>
      </c>
      <c r="B54" s="24">
        <f>IFERROR($C7/100*Control!$B$12-$C8*(B$42/10000)-$C9*($A54/10000)-$C10/10000*Control!$B$12,"")</f>
        <v/>
      </c>
      <c r="C54" s="24">
        <f>IFERROR($C7/100*Control!$B$12-$C8*(C$42/10000)-$C9*($A54/10000)-$C10/10000*Control!$B$12,"")</f>
        <v/>
      </c>
      <c r="D54" s="24">
        <f>IFERROR($C7/100*Control!$B$12-$C8*(D$42/10000)-$C9*($A54/10000)-$C10/10000*Control!$B$12,"")</f>
        <v/>
      </c>
      <c r="E54" s="24">
        <f>IFERROR($C7/100*Control!$B$12-$C8*(E$42/10000)-$C9*($A54/10000)-$C10/10000*Control!$B$12,"")</f>
        <v/>
      </c>
      <c r="F54" s="24">
        <f>IFERROR($C7/100*Control!$B$12-$C8*(F$42/10000)-$C9*($A54/10000)-$C10/10000*Control!$B$12,"")</f>
        <v/>
      </c>
      <c r="G54" s="24">
        <f>IFERROR($C7/100*Control!$B$12-$C8*(G$42/10000)-$C9*($A54/10000)-$C10/10000*Control!$B$12,"")</f>
        <v/>
      </c>
      <c r="H54" s="24">
        <f>IFERROR($C7/100*Control!$B$12-$C8*(H$42/10000)-$C9*($A54/10000)-$C10/10000*Control!$B$12,"")</f>
        <v/>
      </c>
      <c r="I54" s="24">
        <f>IFERROR($C7/100*Control!$B$12-$C8*(I$42/10000)-$C9*($A54/10000)-$C10/10000*Control!$B$12,"")</f>
        <v/>
      </c>
      <c r="J54" s="24">
        <f>IFERROR($C7/100*Control!$B$12-$C8*(J$42/10000)-$C9*($A54/10000)-$C10/10000*Control!$B$12,"")</f>
        <v/>
      </c>
    </row>
    <row r="55">
      <c r="A55" s="10" t="inlineStr"/>
    </row>
    <row r="57">
      <c r="A57" s="18" t="inlineStr">
        <is>
          <t>EM USD AGGREGATE</t>
        </is>
      </c>
    </row>
    <row r="58">
      <c r="A58" s="67" t="inlineStr">
        <is>
          <t>Δ spread (bp)  ↓   /   Δ UST yield (bp)  →</t>
        </is>
      </c>
      <c r="B58" s="68" t="n">
        <v>-100</v>
      </c>
      <c r="C58" s="68" t="n">
        <v>-75</v>
      </c>
      <c r="D58" s="68" t="n">
        <v>-50</v>
      </c>
      <c r="E58" s="68" t="n">
        <v>-25</v>
      </c>
      <c r="F58" s="68" t="n">
        <v>0</v>
      </c>
      <c r="G58" s="68" t="n">
        <v>25</v>
      </c>
      <c r="H58" s="68" t="n">
        <v>50</v>
      </c>
      <c r="I58" s="68" t="n">
        <v>75</v>
      </c>
      <c r="J58" s="68" t="n">
        <v>100</v>
      </c>
    </row>
    <row r="59">
      <c r="A59" s="68" t="n">
        <v>-100</v>
      </c>
      <c r="B59" s="24">
        <f>IFERROR($D7/100*Control!$B$12-$D8*(B$58/10000)-$D9*($A59/10000)-$D10/10000*Control!$B$12,"")</f>
        <v/>
      </c>
      <c r="C59" s="24">
        <f>IFERROR($D7/100*Control!$B$12-$D8*(C$58/10000)-$D9*($A59/10000)-$D10/10000*Control!$B$12,"")</f>
        <v/>
      </c>
      <c r="D59" s="24">
        <f>IFERROR($D7/100*Control!$B$12-$D8*(D$58/10000)-$D9*($A59/10000)-$D10/10000*Control!$B$12,"")</f>
        <v/>
      </c>
      <c r="E59" s="24">
        <f>IFERROR($D7/100*Control!$B$12-$D8*(E$58/10000)-$D9*($A59/10000)-$D10/10000*Control!$B$12,"")</f>
        <v/>
      </c>
      <c r="F59" s="24">
        <f>IFERROR($D7/100*Control!$B$12-$D8*(F$58/10000)-$D9*($A59/10000)-$D10/10000*Control!$B$12,"")</f>
        <v/>
      </c>
      <c r="G59" s="24">
        <f>IFERROR($D7/100*Control!$B$12-$D8*(G$58/10000)-$D9*($A59/10000)-$D10/10000*Control!$B$12,"")</f>
        <v/>
      </c>
      <c r="H59" s="24">
        <f>IFERROR($D7/100*Control!$B$12-$D8*(H$58/10000)-$D9*($A59/10000)-$D10/10000*Control!$B$12,"")</f>
        <v/>
      </c>
      <c r="I59" s="24">
        <f>IFERROR($D7/100*Control!$B$12-$D8*(I$58/10000)-$D9*($A59/10000)-$D10/10000*Control!$B$12,"")</f>
        <v/>
      </c>
      <c r="J59" s="24">
        <f>IFERROR($D7/100*Control!$B$12-$D8*(J$58/10000)-$D9*($A59/10000)-$D10/10000*Control!$B$12,"")</f>
        <v/>
      </c>
    </row>
    <row r="60">
      <c r="A60" s="68" t="n">
        <v>-75</v>
      </c>
      <c r="B60" s="24">
        <f>IFERROR($D7/100*Control!$B$12-$D8*(B$58/10000)-$D9*($A60/10000)-$D10/10000*Control!$B$12,"")</f>
        <v/>
      </c>
      <c r="C60" s="24">
        <f>IFERROR($D7/100*Control!$B$12-$D8*(C$58/10000)-$D9*($A60/10000)-$D10/10000*Control!$B$12,"")</f>
        <v/>
      </c>
      <c r="D60" s="24">
        <f>IFERROR($D7/100*Control!$B$12-$D8*(D$58/10000)-$D9*($A60/10000)-$D10/10000*Control!$B$12,"")</f>
        <v/>
      </c>
      <c r="E60" s="24">
        <f>IFERROR($D7/100*Control!$B$12-$D8*(E$58/10000)-$D9*($A60/10000)-$D10/10000*Control!$B$12,"")</f>
        <v/>
      </c>
      <c r="F60" s="24">
        <f>IFERROR($D7/100*Control!$B$12-$D8*(F$58/10000)-$D9*($A60/10000)-$D10/10000*Control!$B$12,"")</f>
        <v/>
      </c>
      <c r="G60" s="24">
        <f>IFERROR($D7/100*Control!$B$12-$D8*(G$58/10000)-$D9*($A60/10000)-$D10/10000*Control!$B$12,"")</f>
        <v/>
      </c>
      <c r="H60" s="24">
        <f>IFERROR($D7/100*Control!$B$12-$D8*(H$58/10000)-$D9*($A60/10000)-$D10/10000*Control!$B$12,"")</f>
        <v/>
      </c>
      <c r="I60" s="24">
        <f>IFERROR($D7/100*Control!$B$12-$D8*(I$58/10000)-$D9*($A60/10000)-$D10/10000*Control!$B$12,"")</f>
        <v/>
      </c>
      <c r="J60" s="24">
        <f>IFERROR($D7/100*Control!$B$12-$D8*(J$58/10000)-$D9*($A60/10000)-$D10/10000*Control!$B$12,"")</f>
        <v/>
      </c>
    </row>
    <row r="61">
      <c r="A61" s="68" t="n">
        <v>-50</v>
      </c>
      <c r="B61" s="24">
        <f>IFERROR($D7/100*Control!$B$12-$D8*(B$58/10000)-$D9*($A61/10000)-$D10/10000*Control!$B$12,"")</f>
        <v/>
      </c>
      <c r="C61" s="24">
        <f>IFERROR($D7/100*Control!$B$12-$D8*(C$58/10000)-$D9*($A61/10000)-$D10/10000*Control!$B$12,"")</f>
        <v/>
      </c>
      <c r="D61" s="24">
        <f>IFERROR($D7/100*Control!$B$12-$D8*(D$58/10000)-$D9*($A61/10000)-$D10/10000*Control!$B$12,"")</f>
        <v/>
      </c>
      <c r="E61" s="24">
        <f>IFERROR($D7/100*Control!$B$12-$D8*(E$58/10000)-$D9*($A61/10000)-$D10/10000*Control!$B$12,"")</f>
        <v/>
      </c>
      <c r="F61" s="24">
        <f>IFERROR($D7/100*Control!$B$12-$D8*(F$58/10000)-$D9*($A61/10000)-$D10/10000*Control!$B$12,"")</f>
        <v/>
      </c>
      <c r="G61" s="24">
        <f>IFERROR($D7/100*Control!$B$12-$D8*(G$58/10000)-$D9*($A61/10000)-$D10/10000*Control!$B$12,"")</f>
        <v/>
      </c>
      <c r="H61" s="24">
        <f>IFERROR($D7/100*Control!$B$12-$D8*(H$58/10000)-$D9*($A61/10000)-$D10/10000*Control!$B$12,"")</f>
        <v/>
      </c>
      <c r="I61" s="24">
        <f>IFERROR($D7/100*Control!$B$12-$D8*(I$58/10000)-$D9*($A61/10000)-$D10/10000*Control!$B$12,"")</f>
        <v/>
      </c>
      <c r="J61" s="24">
        <f>IFERROR($D7/100*Control!$B$12-$D8*(J$58/10000)-$D9*($A61/10000)-$D10/10000*Control!$B$12,"")</f>
        <v/>
      </c>
    </row>
    <row r="62">
      <c r="A62" s="68" t="n">
        <v>-25</v>
      </c>
      <c r="B62" s="24">
        <f>IFERROR($D7/100*Control!$B$12-$D8*(B$58/10000)-$D9*($A62/10000)-$D10/10000*Control!$B$12,"")</f>
        <v/>
      </c>
      <c r="C62" s="24">
        <f>IFERROR($D7/100*Control!$B$12-$D8*(C$58/10000)-$D9*($A62/10000)-$D10/10000*Control!$B$12,"")</f>
        <v/>
      </c>
      <c r="D62" s="24">
        <f>IFERROR($D7/100*Control!$B$12-$D8*(D$58/10000)-$D9*($A62/10000)-$D10/10000*Control!$B$12,"")</f>
        <v/>
      </c>
      <c r="E62" s="24">
        <f>IFERROR($D7/100*Control!$B$12-$D8*(E$58/10000)-$D9*($A62/10000)-$D10/10000*Control!$B$12,"")</f>
        <v/>
      </c>
      <c r="F62" s="24">
        <f>IFERROR($D7/100*Control!$B$12-$D8*(F$58/10000)-$D9*($A62/10000)-$D10/10000*Control!$B$12,"")</f>
        <v/>
      </c>
      <c r="G62" s="24">
        <f>IFERROR($D7/100*Control!$B$12-$D8*(G$58/10000)-$D9*($A62/10000)-$D10/10000*Control!$B$12,"")</f>
        <v/>
      </c>
      <c r="H62" s="24">
        <f>IFERROR($D7/100*Control!$B$12-$D8*(H$58/10000)-$D9*($A62/10000)-$D10/10000*Control!$B$12,"")</f>
        <v/>
      </c>
      <c r="I62" s="24">
        <f>IFERROR($D7/100*Control!$B$12-$D8*(I$58/10000)-$D9*($A62/10000)-$D10/10000*Control!$B$12,"")</f>
        <v/>
      </c>
      <c r="J62" s="24">
        <f>IFERROR($D7/100*Control!$B$12-$D8*(J$58/10000)-$D9*($A62/10000)-$D10/10000*Control!$B$12,"")</f>
        <v/>
      </c>
    </row>
    <row r="63">
      <c r="A63" s="68" t="n">
        <v>0</v>
      </c>
      <c r="B63" s="24">
        <f>IFERROR($D7/100*Control!$B$12-$D8*(B$58/10000)-$D9*($A63/10000)-$D10/10000*Control!$B$12,"")</f>
        <v/>
      </c>
      <c r="C63" s="24">
        <f>IFERROR($D7/100*Control!$B$12-$D8*(C$58/10000)-$D9*($A63/10000)-$D10/10000*Control!$B$12,"")</f>
        <v/>
      </c>
      <c r="D63" s="24">
        <f>IFERROR($D7/100*Control!$B$12-$D8*(D$58/10000)-$D9*($A63/10000)-$D10/10000*Control!$B$12,"")</f>
        <v/>
      </c>
      <c r="E63" s="24">
        <f>IFERROR($D7/100*Control!$B$12-$D8*(E$58/10000)-$D9*($A63/10000)-$D10/10000*Control!$B$12,"")</f>
        <v/>
      </c>
      <c r="F63" s="24">
        <f>IFERROR($D7/100*Control!$B$12-$D8*(F$58/10000)-$D9*($A63/10000)-$D10/10000*Control!$B$12,"")</f>
        <v/>
      </c>
      <c r="G63" s="24">
        <f>IFERROR($D7/100*Control!$B$12-$D8*(G$58/10000)-$D9*($A63/10000)-$D10/10000*Control!$B$12,"")</f>
        <v/>
      </c>
      <c r="H63" s="24">
        <f>IFERROR($D7/100*Control!$B$12-$D8*(H$58/10000)-$D9*($A63/10000)-$D10/10000*Control!$B$12,"")</f>
        <v/>
      </c>
      <c r="I63" s="24">
        <f>IFERROR($D7/100*Control!$B$12-$D8*(I$58/10000)-$D9*($A63/10000)-$D10/10000*Control!$B$12,"")</f>
        <v/>
      </c>
      <c r="J63" s="24">
        <f>IFERROR($D7/100*Control!$B$12-$D8*(J$58/10000)-$D9*($A63/10000)-$D10/10000*Control!$B$12,"")</f>
        <v/>
      </c>
    </row>
    <row r="64">
      <c r="A64" s="68" t="n">
        <v>25</v>
      </c>
      <c r="B64" s="24">
        <f>IFERROR($D7/100*Control!$B$12-$D8*(B$58/10000)-$D9*($A64/10000)-$D10/10000*Control!$B$12,"")</f>
        <v/>
      </c>
      <c r="C64" s="24">
        <f>IFERROR($D7/100*Control!$B$12-$D8*(C$58/10000)-$D9*($A64/10000)-$D10/10000*Control!$B$12,"")</f>
        <v/>
      </c>
      <c r="D64" s="24">
        <f>IFERROR($D7/100*Control!$B$12-$D8*(D$58/10000)-$D9*($A64/10000)-$D10/10000*Control!$B$12,"")</f>
        <v/>
      </c>
      <c r="E64" s="24">
        <f>IFERROR($D7/100*Control!$B$12-$D8*(E$58/10000)-$D9*($A64/10000)-$D10/10000*Control!$B$12,"")</f>
        <v/>
      </c>
      <c r="F64" s="24">
        <f>IFERROR($D7/100*Control!$B$12-$D8*(F$58/10000)-$D9*($A64/10000)-$D10/10000*Control!$B$12,"")</f>
        <v/>
      </c>
      <c r="G64" s="24">
        <f>IFERROR($D7/100*Control!$B$12-$D8*(G$58/10000)-$D9*($A64/10000)-$D10/10000*Control!$B$12,"")</f>
        <v/>
      </c>
      <c r="H64" s="24">
        <f>IFERROR($D7/100*Control!$B$12-$D8*(H$58/10000)-$D9*($A64/10000)-$D10/10000*Control!$B$12,"")</f>
        <v/>
      </c>
      <c r="I64" s="24">
        <f>IFERROR($D7/100*Control!$B$12-$D8*(I$58/10000)-$D9*($A64/10000)-$D10/10000*Control!$B$12,"")</f>
        <v/>
      </c>
      <c r="J64" s="24">
        <f>IFERROR($D7/100*Control!$B$12-$D8*(J$58/10000)-$D9*($A64/10000)-$D10/10000*Control!$B$12,"")</f>
        <v/>
      </c>
    </row>
    <row r="65">
      <c r="A65" s="68" t="n">
        <v>50</v>
      </c>
      <c r="B65" s="24">
        <f>IFERROR($D7/100*Control!$B$12-$D8*(B$58/10000)-$D9*($A65/10000)-$D10/10000*Control!$B$12,"")</f>
        <v/>
      </c>
      <c r="C65" s="24">
        <f>IFERROR($D7/100*Control!$B$12-$D8*(C$58/10000)-$D9*($A65/10000)-$D10/10000*Control!$B$12,"")</f>
        <v/>
      </c>
      <c r="D65" s="24">
        <f>IFERROR($D7/100*Control!$B$12-$D8*(D$58/10000)-$D9*($A65/10000)-$D10/10000*Control!$B$12,"")</f>
        <v/>
      </c>
      <c r="E65" s="24">
        <f>IFERROR($D7/100*Control!$B$12-$D8*(E$58/10000)-$D9*($A65/10000)-$D10/10000*Control!$B$12,"")</f>
        <v/>
      </c>
      <c r="F65" s="24">
        <f>IFERROR($D7/100*Control!$B$12-$D8*(F$58/10000)-$D9*($A65/10000)-$D10/10000*Control!$B$12,"")</f>
        <v/>
      </c>
      <c r="G65" s="24">
        <f>IFERROR($D7/100*Control!$B$12-$D8*(G$58/10000)-$D9*($A65/10000)-$D10/10000*Control!$B$12,"")</f>
        <v/>
      </c>
      <c r="H65" s="24">
        <f>IFERROR($D7/100*Control!$B$12-$D8*(H$58/10000)-$D9*($A65/10000)-$D10/10000*Control!$B$12,"")</f>
        <v/>
      </c>
      <c r="I65" s="24">
        <f>IFERROR($D7/100*Control!$B$12-$D8*(I$58/10000)-$D9*($A65/10000)-$D10/10000*Control!$B$12,"")</f>
        <v/>
      </c>
      <c r="J65" s="24">
        <f>IFERROR($D7/100*Control!$B$12-$D8*(J$58/10000)-$D9*($A65/10000)-$D10/10000*Control!$B$12,"")</f>
        <v/>
      </c>
    </row>
    <row r="66">
      <c r="A66" s="68" t="n">
        <v>75</v>
      </c>
      <c r="B66" s="24">
        <f>IFERROR($D7/100*Control!$B$12-$D8*(B$58/10000)-$D9*($A66/10000)-$D10/10000*Control!$B$12,"")</f>
        <v/>
      </c>
      <c r="C66" s="24">
        <f>IFERROR($D7/100*Control!$B$12-$D8*(C$58/10000)-$D9*($A66/10000)-$D10/10000*Control!$B$12,"")</f>
        <v/>
      </c>
      <c r="D66" s="24">
        <f>IFERROR($D7/100*Control!$B$12-$D8*(D$58/10000)-$D9*($A66/10000)-$D10/10000*Control!$B$12,"")</f>
        <v/>
      </c>
      <c r="E66" s="24">
        <f>IFERROR($D7/100*Control!$B$12-$D8*(E$58/10000)-$D9*($A66/10000)-$D10/10000*Control!$B$12,"")</f>
        <v/>
      </c>
      <c r="F66" s="24">
        <f>IFERROR($D7/100*Control!$B$12-$D8*(F$58/10000)-$D9*($A66/10000)-$D10/10000*Control!$B$12,"")</f>
        <v/>
      </c>
      <c r="G66" s="24">
        <f>IFERROR($D7/100*Control!$B$12-$D8*(G$58/10000)-$D9*($A66/10000)-$D10/10000*Control!$B$12,"")</f>
        <v/>
      </c>
      <c r="H66" s="24">
        <f>IFERROR($D7/100*Control!$B$12-$D8*(H$58/10000)-$D9*($A66/10000)-$D10/10000*Control!$B$12,"")</f>
        <v/>
      </c>
      <c r="I66" s="24">
        <f>IFERROR($D7/100*Control!$B$12-$D8*(I$58/10000)-$D9*($A66/10000)-$D10/10000*Control!$B$12,"")</f>
        <v/>
      </c>
      <c r="J66" s="24">
        <f>IFERROR($D7/100*Control!$B$12-$D8*(J$58/10000)-$D9*($A66/10000)-$D10/10000*Control!$B$12,"")</f>
        <v/>
      </c>
    </row>
    <row r="67">
      <c r="A67" s="68" t="n">
        <v>100</v>
      </c>
      <c r="B67" s="24">
        <f>IFERROR($D7/100*Control!$B$12-$D8*(B$58/10000)-$D9*($A67/10000)-$D10/10000*Control!$B$12,"")</f>
        <v/>
      </c>
      <c r="C67" s="24">
        <f>IFERROR($D7/100*Control!$B$12-$D8*(C$58/10000)-$D9*($A67/10000)-$D10/10000*Control!$B$12,"")</f>
        <v/>
      </c>
      <c r="D67" s="24">
        <f>IFERROR($D7/100*Control!$B$12-$D8*(D$58/10000)-$D9*($A67/10000)-$D10/10000*Control!$B$12,"")</f>
        <v/>
      </c>
      <c r="E67" s="24">
        <f>IFERROR($D7/100*Control!$B$12-$D8*(E$58/10000)-$D9*($A67/10000)-$D10/10000*Control!$B$12,"")</f>
        <v/>
      </c>
      <c r="F67" s="24">
        <f>IFERROR($D7/100*Control!$B$12-$D8*(F$58/10000)-$D9*($A67/10000)-$D10/10000*Control!$B$12,"")</f>
        <v/>
      </c>
      <c r="G67" s="24">
        <f>IFERROR($D7/100*Control!$B$12-$D8*(G$58/10000)-$D9*($A67/10000)-$D10/10000*Control!$B$12,"")</f>
        <v/>
      </c>
      <c r="H67" s="24">
        <f>IFERROR($D7/100*Control!$B$12-$D8*(H$58/10000)-$D9*($A67/10000)-$D10/10000*Control!$B$12,"")</f>
        <v/>
      </c>
      <c r="I67" s="24">
        <f>IFERROR($D7/100*Control!$B$12-$D8*(I$58/10000)-$D9*($A67/10000)-$D10/10000*Control!$B$12,"")</f>
        <v/>
      </c>
      <c r="J67" s="24">
        <f>IFERROR($D7/100*Control!$B$12-$D8*(J$58/10000)-$D9*($A67/10000)-$D10/10000*Control!$B$12,"")</f>
        <v/>
      </c>
    </row>
    <row r="68">
      <c r="A68" s="68" t="n">
        <v>150</v>
      </c>
      <c r="B68" s="24">
        <f>IFERROR($D7/100*Control!$B$12-$D8*(B$58/10000)-$D9*($A68/10000)-$D10/10000*Control!$B$12,"")</f>
        <v/>
      </c>
      <c r="C68" s="24">
        <f>IFERROR($D7/100*Control!$B$12-$D8*(C$58/10000)-$D9*($A68/10000)-$D10/10000*Control!$B$12,"")</f>
        <v/>
      </c>
      <c r="D68" s="24">
        <f>IFERROR($D7/100*Control!$B$12-$D8*(D$58/10000)-$D9*($A68/10000)-$D10/10000*Control!$B$12,"")</f>
        <v/>
      </c>
      <c r="E68" s="24">
        <f>IFERROR($D7/100*Control!$B$12-$D8*(E$58/10000)-$D9*($A68/10000)-$D10/10000*Control!$B$12,"")</f>
        <v/>
      </c>
      <c r="F68" s="24">
        <f>IFERROR($D7/100*Control!$B$12-$D8*(F$58/10000)-$D9*($A68/10000)-$D10/10000*Control!$B$12,"")</f>
        <v/>
      </c>
      <c r="G68" s="24">
        <f>IFERROR($D7/100*Control!$B$12-$D8*(G$58/10000)-$D9*($A68/10000)-$D10/10000*Control!$B$12,"")</f>
        <v/>
      </c>
      <c r="H68" s="24">
        <f>IFERROR($D7/100*Control!$B$12-$D8*(H$58/10000)-$D9*($A68/10000)-$D10/10000*Control!$B$12,"")</f>
        <v/>
      </c>
      <c r="I68" s="24">
        <f>IFERROR($D7/100*Control!$B$12-$D8*(I$58/10000)-$D9*($A68/10000)-$D10/10000*Control!$B$12,"")</f>
        <v/>
      </c>
      <c r="J68" s="24">
        <f>IFERROR($D7/100*Control!$B$12-$D8*(J$58/10000)-$D9*($A68/10000)-$D10/10000*Control!$B$12,"")</f>
        <v/>
      </c>
    </row>
    <row r="69">
      <c r="A69" s="68" t="n">
        <v>200</v>
      </c>
      <c r="B69" s="24">
        <f>IFERROR($D7/100*Control!$B$12-$D8*(B$58/10000)-$D9*($A69/10000)-$D10/10000*Control!$B$12,"")</f>
        <v/>
      </c>
      <c r="C69" s="24">
        <f>IFERROR($D7/100*Control!$B$12-$D8*(C$58/10000)-$D9*($A69/10000)-$D10/10000*Control!$B$12,"")</f>
        <v/>
      </c>
      <c r="D69" s="24">
        <f>IFERROR($D7/100*Control!$B$12-$D8*(D$58/10000)-$D9*($A69/10000)-$D10/10000*Control!$B$12,"")</f>
        <v/>
      </c>
      <c r="E69" s="24">
        <f>IFERROR($D7/100*Control!$B$12-$D8*(E$58/10000)-$D9*($A69/10000)-$D10/10000*Control!$B$12,"")</f>
        <v/>
      </c>
      <c r="F69" s="24">
        <f>IFERROR($D7/100*Control!$B$12-$D8*(F$58/10000)-$D9*($A69/10000)-$D10/10000*Control!$B$12,"")</f>
        <v/>
      </c>
      <c r="G69" s="24">
        <f>IFERROR($D7/100*Control!$B$12-$D8*(G$58/10000)-$D9*($A69/10000)-$D10/10000*Control!$B$12,"")</f>
        <v/>
      </c>
      <c r="H69" s="24">
        <f>IFERROR($D7/100*Control!$B$12-$D8*(H$58/10000)-$D9*($A69/10000)-$D10/10000*Control!$B$12,"")</f>
        <v/>
      </c>
      <c r="I69" s="24">
        <f>IFERROR($D7/100*Control!$B$12-$D8*(I$58/10000)-$D9*($A69/10000)-$D10/10000*Control!$B$12,"")</f>
        <v/>
      </c>
      <c r="J69" s="24">
        <f>IFERROR($D7/100*Control!$B$12-$D8*(J$58/10000)-$D9*($A69/10000)-$D10/10000*Control!$B$12,"")</f>
        <v/>
      </c>
    </row>
    <row r="70">
      <c r="A70" s="68" t="n">
        <v>300</v>
      </c>
      <c r="B70" s="24">
        <f>IFERROR($D7/100*Control!$B$12-$D8*(B$58/10000)-$D9*($A70/10000)-$D10/10000*Control!$B$12,"")</f>
        <v/>
      </c>
      <c r="C70" s="24">
        <f>IFERROR($D7/100*Control!$B$12-$D8*(C$58/10000)-$D9*($A70/10000)-$D10/10000*Control!$B$12,"")</f>
        <v/>
      </c>
      <c r="D70" s="24">
        <f>IFERROR($D7/100*Control!$B$12-$D8*(D$58/10000)-$D9*($A70/10000)-$D10/10000*Control!$B$12,"")</f>
        <v/>
      </c>
      <c r="E70" s="24">
        <f>IFERROR($D7/100*Control!$B$12-$D8*(E$58/10000)-$D9*($A70/10000)-$D10/10000*Control!$B$12,"")</f>
        <v/>
      </c>
      <c r="F70" s="24">
        <f>IFERROR($D7/100*Control!$B$12-$D8*(F$58/10000)-$D9*($A70/10000)-$D10/10000*Control!$B$12,"")</f>
        <v/>
      </c>
      <c r="G70" s="24">
        <f>IFERROR($D7/100*Control!$B$12-$D8*(G$58/10000)-$D9*($A70/10000)-$D10/10000*Control!$B$12,"")</f>
        <v/>
      </c>
      <c r="H70" s="24">
        <f>IFERROR($D7/100*Control!$B$12-$D8*(H$58/10000)-$D9*($A70/10000)-$D10/10000*Control!$B$12,"")</f>
        <v/>
      </c>
      <c r="I70" s="24">
        <f>IFERROR($D7/100*Control!$B$12-$D8*(I$58/10000)-$D9*($A70/10000)-$D10/10000*Control!$B$12,"")</f>
        <v/>
      </c>
      <c r="J70" s="24">
        <f>IFERROR($D7/100*Control!$B$12-$D8*(J$58/10000)-$D9*($A70/10000)-$D10/10000*Control!$B$12,"")</f>
        <v/>
      </c>
    </row>
    <row r="71">
      <c r="A71" s="10" t="inlineStr"/>
    </row>
  </sheetData>
  <conditionalFormatting sqref="B27:J38">
    <cfRule type="colorScale" priority="1">
      <colorScale>
        <cfvo type="num" val="-0.1"/>
        <cfvo type="num" val="0"/>
        <cfvo type="num" val="0.12"/>
        <color rgb="00F8696B"/>
        <color rgb="00FFFFFF"/>
        <color rgb="0063BE7B"/>
      </colorScale>
    </cfRule>
  </conditionalFormatting>
  <conditionalFormatting sqref="B43:J54">
    <cfRule type="colorScale" priority="2">
      <colorScale>
        <cfvo type="num" val="-0.1"/>
        <cfvo type="num" val="0"/>
        <cfvo type="num" val="0.12"/>
        <color rgb="00F8696B"/>
        <color rgb="00FFFFFF"/>
        <color rgb="0063BE7B"/>
      </colorScale>
    </cfRule>
  </conditionalFormatting>
  <conditionalFormatting sqref="B59:J70">
    <cfRule type="colorScale" priority="3">
      <colorScale>
        <cfvo type="num" val="-0.1"/>
        <cfvo type="num" val="0"/>
        <cfvo type="num" val="0.12"/>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6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7"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 width="12" customWidth="1" min="12" max="12"/>
    <col width="12" customWidth="1" min="13" max="13"/>
    <col width="9" customWidth="1" min="14" max="14"/>
    <col width="9" customWidth="1" min="15" max="15"/>
    <col width="9" customWidth="1" min="16" max="16"/>
    <col width="9" customWidth="1" min="17" max="17"/>
    <col width="9" customWidth="1" min="18" max="18"/>
    <col width="9" customWidth="1" min="19" max="19"/>
  </cols>
  <sheetData>
    <row r="1">
      <c r="A1" s="1" t="inlineStr">
        <is>
          <t>EM LINK — reading the US rates market as an EM investor</t>
        </is>
      </c>
    </row>
    <row r="2">
      <c r="A2" s="2" t="inlineStr">
        <is>
          <t>The EM USD case rests on the Treasury leg providing ballast. This tab keeps the two legs apart and asks whether the ballast is still there.</t>
        </is>
      </c>
    </row>
    <row r="4" ht="18" customHeight="1">
      <c r="A4" s="3" t="inlineStr">
        <is>
          <t>EMBI GLOBAL DIVERSIFIED  (from your tracker — Bloomberg's EMBI tickers are not reliable for this)</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28" customHeight="1">
      <c r="A5" s="20" t="inlineStr">
        <is>
          <t>Input</t>
        </is>
      </c>
      <c r="B5" s="20" t="inlineStr">
        <is>
          <t>Value</t>
        </is>
      </c>
      <c r="C5" s="20" t="inlineStr">
        <is>
          <t>Unit</t>
        </is>
      </c>
      <c r="D5" s="20" t="inlineStr">
        <is>
          <t>Source / note</t>
        </is>
      </c>
      <c r="E5" s="20" t="inlineStr"/>
      <c r="F5" s="20" t="inlineStr"/>
      <c r="G5" s="20" t="inlineStr"/>
      <c r="H5" s="20" t="inlineStr"/>
      <c r="I5" s="20" t="inlineStr"/>
      <c r="J5" s="20" t="inlineStr"/>
      <c r="K5" s="20" t="inlineStr"/>
      <c r="L5" s="20" t="inlineStr"/>
      <c r="M5" s="20" t="inlineStr"/>
      <c r="N5" s="20" t="inlineStr"/>
      <c r="O5" s="20" t="inlineStr"/>
      <c r="P5" s="20" t="inlineStr"/>
      <c r="Q5" s="20" t="inlineStr"/>
      <c r="R5" s="20" t="inlineStr"/>
      <c r="S5" s="20" t="inlineStr"/>
    </row>
    <row r="6">
      <c r="A6" s="8" t="inlineStr">
        <is>
          <t>EMBIGD stripped spread — Dur Wgt STW (Trsy)</t>
        </is>
      </c>
      <c r="B6" s="69" t="n">
        <v>208</v>
      </c>
      <c r="C6" s="27" t="inlineStr">
        <is>
          <t>bp</t>
        </is>
      </c>
      <c r="D6" s="17" t="inlineStr">
        <is>
          <t>paste the latest row of EMBI_history_extended.csv</t>
        </is>
      </c>
    </row>
    <row r="7">
      <c r="A7" s="8" t="inlineStr">
        <is>
          <t>As-of date</t>
        </is>
      </c>
      <c r="B7" s="7" t="n">
        <v>46273</v>
      </c>
      <c r="C7" s="27" t="inlineStr">
        <is>
          <t>date</t>
        </is>
      </c>
      <c r="D7" s="17" t="inlineStr">
        <is>
          <t>the run that produced the spread above</t>
        </is>
      </c>
    </row>
    <row r="8">
      <c r="A8" s="8" t="inlineStr">
        <is>
          <t>EMBIGD duration</t>
        </is>
      </c>
      <c r="B8" s="12" t="n">
        <v>6.9</v>
      </c>
      <c r="C8" s="27" t="inlineStr">
        <is>
          <t>yrs</t>
        </is>
      </c>
      <c r="D8" s="17" t="inlineStr">
        <is>
          <t>from the JPM snapshot</t>
        </is>
      </c>
    </row>
    <row r="9">
      <c r="A9" s="8" t="inlineStr">
        <is>
          <t>EMBIGD yield to worst</t>
        </is>
      </c>
      <c r="B9" s="12" t="n">
        <v>6.6</v>
      </c>
      <c r="C9" s="27" t="inlineStr">
        <is>
          <t>%</t>
        </is>
      </c>
      <c r="D9" s="17" t="inlineStr">
        <is>
          <t>from the JPM snapshot</t>
        </is>
      </c>
    </row>
    <row r="10">
      <c r="A10" s="8" t="inlineStr">
        <is>
          <t>Your 12m spread forecast</t>
        </is>
      </c>
      <c r="B10" s="69" t="n">
        <v>175</v>
      </c>
      <c r="C10" s="27" t="inlineStr">
        <is>
          <t>bp</t>
        </is>
      </c>
      <c r="D10" s="17" t="inlineStr">
        <is>
          <t>your number</t>
        </is>
      </c>
    </row>
    <row r="11">
      <c r="A11" s="8" t="inlineStr">
        <is>
          <t>Colleague's 12m forecast</t>
        </is>
      </c>
      <c r="B11" s="69" t="n">
        <v>185</v>
      </c>
      <c r="C11" s="27" t="inlineStr">
        <is>
          <t>bp</t>
        </is>
      </c>
      <c r="D11" s="17" t="inlineStr"/>
    </row>
    <row r="12">
      <c r="A12" s="8" t="inlineStr">
        <is>
          <t>UBS house 12m forecast</t>
        </is>
      </c>
      <c r="B12" s="69" t="n">
        <v>250</v>
      </c>
      <c r="C12" s="27" t="inlineStr">
        <is>
          <t>bp</t>
        </is>
      </c>
      <c r="D12" s="17" t="inlineStr">
        <is>
          <t>you have argued 200–225 at most</t>
        </is>
      </c>
    </row>
    <row r="13">
      <c r="A13" s="8" t="inlineStr">
        <is>
          <t>Your 12m UST 10Y forecast</t>
        </is>
      </c>
      <c r="B13" s="12" t="n">
        <v>4.5</v>
      </c>
      <c r="C13" s="27" t="inlineStr">
        <is>
          <t>%</t>
        </is>
      </c>
      <c r="D13" s="17" t="inlineStr">
        <is>
          <t>pairs with your spread forecast</t>
        </is>
      </c>
    </row>
    <row r="14">
      <c r="A14" s="8" t="inlineStr">
        <is>
          <t>UBS house 12m UST 10Y forecast</t>
        </is>
      </c>
      <c r="B14" s="12" t="n">
        <v>4.8</v>
      </c>
      <c r="C14" s="27" t="inlineStr">
        <is>
          <t>%</t>
        </is>
      </c>
      <c r="D14" s="17" t="inlineStr"/>
    </row>
    <row r="15">
      <c r="A15" s="10" t="inlineStr">
        <is>
          <t>JPM excluded defaulted names on 04-Sep-2026, so any spread change spanning that date must be chain-linked — the level above is post-break and is not comparable with a pre-break level without the adjustment your tracker applies.</t>
        </is>
      </c>
    </row>
    <row r="17" ht="18" customHeight="1">
      <c r="A17" s="3" t="inlineStr">
        <is>
          <t>EM VERSUS US CREDIT</t>
        </is>
      </c>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28" customHeight="1">
      <c r="A18" s="20" t="inlineStr">
        <is>
          <t>Instrument</t>
        </is>
      </c>
      <c r="B18" s="20" t="inlineStr">
        <is>
          <t>Source</t>
        </is>
      </c>
      <c r="C18" s="20" t="inlineStr">
        <is>
          <t>Unit</t>
        </is>
      </c>
      <c r="D18" s="20" t="inlineStr">
        <is>
          <t>Level</t>
        </is>
      </c>
      <c r="E18" s="20" t="inlineStr">
        <is>
          <t>1D</t>
        </is>
      </c>
      <c r="F18" s="20" t="inlineStr">
        <is>
          <t>1W</t>
        </is>
      </c>
      <c r="G18" s="20" t="inlineStr">
        <is>
          <t>1M</t>
        </is>
      </c>
      <c r="H18" s="20" t="inlineStr">
        <is>
          <t>3M</t>
        </is>
      </c>
      <c r="I18" s="20" t="inlineStr">
        <is>
          <t>6M</t>
        </is>
      </c>
      <c r="J18" s="20" t="inlineStr">
        <is>
          <t>YTD</t>
        </is>
      </c>
      <c r="K18" s="20" t="inlineStr">
        <is>
          <t>1Y</t>
        </is>
      </c>
      <c r="L18" s="20" t="inlineStr">
        <is>
          <t>1y min</t>
        </is>
      </c>
      <c r="M18" s="20" t="inlineStr">
        <is>
          <t>1y max</t>
        </is>
      </c>
      <c r="N18" s="20" t="inlineStr">
        <is>
          <t>%ile 1y</t>
        </is>
      </c>
      <c r="O18" s="20" t="inlineStr">
        <is>
          <t>%ile 3y</t>
        </is>
      </c>
      <c r="P18" s="20" t="inlineStr">
        <is>
          <t>%ile 5y</t>
        </is>
      </c>
      <c r="Q18" s="20" t="inlineStr">
        <is>
          <t>%ile 10y</t>
        </is>
      </c>
      <c r="R18" s="20" t="inlineStr">
        <is>
          <t>%ile 25y</t>
        </is>
      </c>
      <c r="S18" s="20" t="inlineStr">
        <is>
          <t>z (5y)</t>
        </is>
      </c>
    </row>
    <row r="19">
      <c r="A19" s="8" t="inlineStr">
        <is>
          <t>EM USD Agg OAS</t>
        </is>
      </c>
      <c r="B19" s="16">
        <f>Tickers!$C$40</f>
        <v/>
      </c>
      <c r="C19" s="27" t="inlineStr">
        <is>
          <t>bp</t>
        </is>
      </c>
      <c r="D19" s="26">
        <f>INDEX(HIST_D!$AJ$8:$AJ$2617,1)</f>
        <v/>
      </c>
      <c r="E19" s="23">
        <f>IFERROR((INDEX(HIST_D!$AJ$8:$AJ$2617,1)-INDEX(HIST_D!$AJ$8:$AJ$2617,Control!$F$6))*1,"")</f>
        <v/>
      </c>
      <c r="F19" s="23">
        <f>IFERROR((INDEX(HIST_D!$AJ$8:$AJ$2617,1)-INDEX(HIST_D!$AJ$8:$AJ$2617,Control!$F$7))*1,"")</f>
        <v/>
      </c>
      <c r="G19" s="23">
        <f>IFERROR((INDEX(HIST_D!$AJ$8:$AJ$2617,1)-INDEX(HIST_D!$AJ$8:$AJ$2617,Control!$F$8))*1,"")</f>
        <v/>
      </c>
      <c r="H19" s="23">
        <f>IFERROR((INDEX(HIST_D!$AJ$8:$AJ$2617,1)-INDEX(HIST_D!$AJ$8:$AJ$2617,Control!$F$9))*1,"")</f>
        <v/>
      </c>
      <c r="I19" s="23">
        <f>IFERROR((INDEX(HIST_D!$AJ$8:$AJ$2617,1)-INDEX(HIST_D!$AJ$8:$AJ$2617,Control!$F$10))*1,"")</f>
        <v/>
      </c>
      <c r="J19" s="23">
        <f>IFERROR((INDEX(HIST_D!$AJ$8:$AJ$2617,1)-INDEX(HIST_D!$AJ$8:$AJ$2617,Control!$F$16))*1,"")</f>
        <v/>
      </c>
      <c r="K19" s="23">
        <f>IFERROR((INDEX(HIST_D!$AJ$8:$AJ$2617,1)-INDEX(HIST_D!$AJ$8:$AJ$2617,Control!$F$11))*1,"")</f>
        <v/>
      </c>
      <c r="L19" s="40">
        <f>IFERROR(MIN(HIST_D!$AJ$8:INDEX(HIST_D!$AJ$8:$AJ$2617,Control!$F$11)),"")</f>
        <v/>
      </c>
      <c r="M19" s="40">
        <f>IFERROR(MAX(HIST_D!$AJ$8:INDEX(HIST_D!$AJ$8:$AJ$2617,Control!$F$11)),"")</f>
        <v/>
      </c>
      <c r="N19" s="24">
        <f>IFERROR(PERCENTRANK(HIST_D!$AJ$8:INDEX(HIST_D!$AJ$8:$AJ$2617,Control!$F$11),INDEX(HIST_D!$AJ$8:$AJ$2617,1)),"")</f>
        <v/>
      </c>
      <c r="O19" s="24">
        <f>IFERROR(PERCENTRANK(HIST_D!$AJ$8:INDEX(HIST_D!$AJ$8:$AJ$2617,Control!$F$13),INDEX(HIST_D!$AJ$8:$AJ$2617,1)),"")</f>
        <v/>
      </c>
      <c r="P19" s="24">
        <f>IFERROR(PERCENTRANK(HIST_D!$AJ$8:INDEX(HIST_D!$AJ$8:$AJ$2617,Control!$F$14),INDEX(HIST_D!$AJ$8:$AJ$2617,1)),"")</f>
        <v/>
      </c>
      <c r="Q19" s="24">
        <f>IFERROR(PERCENTRANK(HIST_D!$AJ$8:INDEX(HIST_D!$AJ$8:$AJ$2617,Control!$F$15),INDEX(HIST_D!$AJ$8:$AJ$2617,1)),"")</f>
        <v/>
      </c>
      <c r="R19" s="24">
        <f>IFERROR(PERCENTRANK(HIST_M!$H$8:$H$308,INDEX(HIST_D!$AJ$8:$AJ$2617,1)),"")</f>
        <v/>
      </c>
      <c r="S19" s="25">
        <f>IFERROR((INDEX(HIST_D!$AJ$8:$AJ$2617,1)-AVERAGE(HIST_D!$AJ$8:INDEX(HIST_D!$AJ$8:$AJ$2617,Control!$F$14)))/STDEV(HIST_D!$AJ$8:INDEX(HIST_D!$AJ$8:$AJ$2617,Control!$F$14)),"")</f>
        <v/>
      </c>
    </row>
    <row r="20">
      <c r="A20" s="8" t="inlineStr">
        <is>
          <t>EM − IG (bp)</t>
        </is>
      </c>
      <c r="B20" s="17" t="inlineStr">
        <is>
          <t>derived on HIST_D</t>
        </is>
      </c>
      <c r="C20" s="27" t="inlineStr">
        <is>
          <t>bp</t>
        </is>
      </c>
      <c r="D20" s="26">
        <f>INDEX(HIST_D!$BI$8:$BI$2617,1)</f>
        <v/>
      </c>
      <c r="E20" s="23">
        <f>IFERROR((INDEX(HIST_D!$BI$8:$BI$2617,1)-INDEX(HIST_D!$BI$8:$BI$2617,Control!$F$6))*1,"")</f>
        <v/>
      </c>
      <c r="F20" s="23">
        <f>IFERROR((INDEX(HIST_D!$BI$8:$BI$2617,1)-INDEX(HIST_D!$BI$8:$BI$2617,Control!$F$7))*1,"")</f>
        <v/>
      </c>
      <c r="G20" s="23">
        <f>IFERROR((INDEX(HIST_D!$BI$8:$BI$2617,1)-INDEX(HIST_D!$BI$8:$BI$2617,Control!$F$8))*1,"")</f>
        <v/>
      </c>
      <c r="H20" s="23">
        <f>IFERROR((INDEX(HIST_D!$BI$8:$BI$2617,1)-INDEX(HIST_D!$BI$8:$BI$2617,Control!$F$9))*1,"")</f>
        <v/>
      </c>
      <c r="I20" s="23">
        <f>IFERROR((INDEX(HIST_D!$BI$8:$BI$2617,1)-INDEX(HIST_D!$BI$8:$BI$2617,Control!$F$10))*1,"")</f>
        <v/>
      </c>
      <c r="J20" s="23">
        <f>IFERROR((INDEX(HIST_D!$BI$8:$BI$2617,1)-INDEX(HIST_D!$BI$8:$BI$2617,Control!$F$16))*1,"")</f>
        <v/>
      </c>
      <c r="K20" s="23">
        <f>IFERROR((INDEX(HIST_D!$BI$8:$BI$2617,1)-INDEX(HIST_D!$BI$8:$BI$2617,Control!$F$11))*1,"")</f>
        <v/>
      </c>
      <c r="L20" s="40">
        <f>IFERROR(MIN(HIST_D!$BI$8:INDEX(HIST_D!$BI$8:$BI$2617,Control!$F$11)),"")</f>
        <v/>
      </c>
      <c r="M20" s="40">
        <f>IFERROR(MAX(HIST_D!$BI$8:INDEX(HIST_D!$BI$8:$BI$2617,Control!$F$11)),"")</f>
        <v/>
      </c>
      <c r="N20" s="24">
        <f>IFERROR(PERCENTRANK(HIST_D!$BI$8:INDEX(HIST_D!$BI$8:$BI$2617,Control!$F$11),INDEX(HIST_D!$BI$8:$BI$2617,1)),"")</f>
        <v/>
      </c>
      <c r="O20" s="24">
        <f>IFERROR(PERCENTRANK(HIST_D!$BI$8:INDEX(HIST_D!$BI$8:$BI$2617,Control!$F$13),INDEX(HIST_D!$BI$8:$BI$2617,1)),"")</f>
        <v/>
      </c>
      <c r="P20" s="24">
        <f>IFERROR(PERCENTRANK(HIST_D!$BI$8:INDEX(HIST_D!$BI$8:$BI$2617,Control!$F$14),INDEX(HIST_D!$BI$8:$BI$2617,1)),"")</f>
        <v/>
      </c>
      <c r="Q20" s="24">
        <f>IFERROR(PERCENTRANK(HIST_D!$BI$8:INDEX(HIST_D!$BI$8:$BI$2617,Control!$F$15),INDEX(HIST_D!$BI$8:$BI$2617,1)),"")</f>
        <v/>
      </c>
      <c r="R20" s="24">
        <f>IFERROR(PERCENTRANK(HIST_M!$Q$8:$Q$308,INDEX(HIST_D!$BI$8:$BI$2617,1)),"")</f>
        <v/>
      </c>
      <c r="S20" s="25">
        <f>IFERROR((INDEX(HIST_D!$BI$8:$BI$2617,1)-AVERAGE(HIST_D!$BI$8:INDEX(HIST_D!$BI$8:$BI$2617,Control!$F$14)))/STDEV(HIST_D!$BI$8:INDEX(HIST_D!$BI$8:$BI$2617,Control!$F$14)),"")</f>
        <v/>
      </c>
    </row>
    <row r="21">
      <c r="A21" s="8" t="inlineStr">
        <is>
          <t>EM / HY (x)</t>
        </is>
      </c>
      <c r="B21" s="17" t="inlineStr">
        <is>
          <t>derived on HIST_D</t>
        </is>
      </c>
      <c r="C21" s="27" t="inlineStr">
        <is>
          <t>x</t>
        </is>
      </c>
      <c r="D21" s="33">
        <f>INDEX(HIST_D!$BJ$8:$BJ$2617,1)</f>
        <v/>
      </c>
      <c r="E21" s="34">
        <f>IFERROR((INDEX(HIST_D!$BJ$8:$BJ$2617,1)-INDEX(HIST_D!$BJ$8:$BJ$2617,Control!$F$6))*1,"")</f>
        <v/>
      </c>
      <c r="F21" s="34">
        <f>IFERROR((INDEX(HIST_D!$BJ$8:$BJ$2617,1)-INDEX(HIST_D!$BJ$8:$BJ$2617,Control!$F$7))*1,"")</f>
        <v/>
      </c>
      <c r="G21" s="34">
        <f>IFERROR((INDEX(HIST_D!$BJ$8:$BJ$2617,1)-INDEX(HIST_D!$BJ$8:$BJ$2617,Control!$F$8))*1,"")</f>
        <v/>
      </c>
      <c r="H21" s="34">
        <f>IFERROR((INDEX(HIST_D!$BJ$8:$BJ$2617,1)-INDEX(HIST_D!$BJ$8:$BJ$2617,Control!$F$9))*1,"")</f>
        <v/>
      </c>
      <c r="I21" s="34">
        <f>IFERROR((INDEX(HIST_D!$BJ$8:$BJ$2617,1)-INDEX(HIST_D!$BJ$8:$BJ$2617,Control!$F$10))*1,"")</f>
        <v/>
      </c>
      <c r="J21" s="34">
        <f>IFERROR((INDEX(HIST_D!$BJ$8:$BJ$2617,1)-INDEX(HIST_D!$BJ$8:$BJ$2617,Control!$F$16))*1,"")</f>
        <v/>
      </c>
      <c r="K21" s="34">
        <f>IFERROR((INDEX(HIST_D!$BJ$8:$BJ$2617,1)-INDEX(HIST_D!$BJ$8:$BJ$2617,Control!$F$11))*1,"")</f>
        <v/>
      </c>
      <c r="L21" s="63">
        <f>IFERROR(MIN(HIST_D!$BJ$8:INDEX(HIST_D!$BJ$8:$BJ$2617,Control!$F$11)),"")</f>
        <v/>
      </c>
      <c r="M21" s="63">
        <f>IFERROR(MAX(HIST_D!$BJ$8:INDEX(HIST_D!$BJ$8:$BJ$2617,Control!$F$11)),"")</f>
        <v/>
      </c>
      <c r="N21" s="24">
        <f>IFERROR(PERCENTRANK(HIST_D!$BJ$8:INDEX(HIST_D!$BJ$8:$BJ$2617,Control!$F$11),INDEX(HIST_D!$BJ$8:$BJ$2617,1)),"")</f>
        <v/>
      </c>
      <c r="O21" s="24">
        <f>IFERROR(PERCENTRANK(HIST_D!$BJ$8:INDEX(HIST_D!$BJ$8:$BJ$2617,Control!$F$13),INDEX(HIST_D!$BJ$8:$BJ$2617,1)),"")</f>
        <v/>
      </c>
      <c r="P21" s="24">
        <f>IFERROR(PERCENTRANK(HIST_D!$BJ$8:INDEX(HIST_D!$BJ$8:$BJ$2617,Control!$F$14),INDEX(HIST_D!$BJ$8:$BJ$2617,1)),"")</f>
        <v/>
      </c>
      <c r="Q21" s="24">
        <f>IFERROR(PERCENTRANK(HIST_D!$BJ$8:INDEX(HIST_D!$BJ$8:$BJ$2617,Control!$F$15),INDEX(HIST_D!$BJ$8:$BJ$2617,1)),"")</f>
        <v/>
      </c>
      <c r="R21" s="24">
        <f>IFERROR(PERCENTRANK(HIST_M!$P$8:$P$308,INDEX(HIST_D!$BJ$8:$BJ$2617,1)),"")</f>
        <v/>
      </c>
      <c r="S21" s="25">
        <f>IFERROR((INDEX(HIST_D!$BJ$8:$BJ$2617,1)-AVERAGE(HIST_D!$BJ$8:INDEX(HIST_D!$BJ$8:$BJ$2617,Control!$F$14)))/STDEV(HIST_D!$BJ$8:INDEX(HIST_D!$BJ$8:$BJ$2617,Control!$F$14)),"")</f>
        <v/>
      </c>
    </row>
    <row r="22">
      <c r="A22" s="8" t="inlineStr">
        <is>
          <t>US HY OAS</t>
        </is>
      </c>
      <c r="B22" s="16">
        <f>Tickers!$C$37</f>
        <v/>
      </c>
      <c r="C22" s="27" t="inlineStr">
        <is>
          <t>bp</t>
        </is>
      </c>
      <c r="D22" s="26">
        <f>INDEX(HIST_D!$AG$8:$AG$2617,1)</f>
        <v/>
      </c>
      <c r="E22" s="23">
        <f>IFERROR((INDEX(HIST_D!$AG$8:$AG$2617,1)-INDEX(HIST_D!$AG$8:$AG$2617,Control!$F$6))*1,"")</f>
        <v/>
      </c>
      <c r="F22" s="23">
        <f>IFERROR((INDEX(HIST_D!$AG$8:$AG$2617,1)-INDEX(HIST_D!$AG$8:$AG$2617,Control!$F$7))*1,"")</f>
        <v/>
      </c>
      <c r="G22" s="23">
        <f>IFERROR((INDEX(HIST_D!$AG$8:$AG$2617,1)-INDEX(HIST_D!$AG$8:$AG$2617,Control!$F$8))*1,"")</f>
        <v/>
      </c>
      <c r="H22" s="23">
        <f>IFERROR((INDEX(HIST_D!$AG$8:$AG$2617,1)-INDEX(HIST_D!$AG$8:$AG$2617,Control!$F$9))*1,"")</f>
        <v/>
      </c>
      <c r="I22" s="23">
        <f>IFERROR((INDEX(HIST_D!$AG$8:$AG$2617,1)-INDEX(HIST_D!$AG$8:$AG$2617,Control!$F$10))*1,"")</f>
        <v/>
      </c>
      <c r="J22" s="23">
        <f>IFERROR((INDEX(HIST_D!$AG$8:$AG$2617,1)-INDEX(HIST_D!$AG$8:$AG$2617,Control!$F$16))*1,"")</f>
        <v/>
      </c>
      <c r="K22" s="23">
        <f>IFERROR((INDEX(HIST_D!$AG$8:$AG$2617,1)-INDEX(HIST_D!$AG$8:$AG$2617,Control!$F$11))*1,"")</f>
        <v/>
      </c>
      <c r="L22" s="40">
        <f>IFERROR(MIN(HIST_D!$AG$8:INDEX(HIST_D!$AG$8:$AG$2617,Control!$F$11)),"")</f>
        <v/>
      </c>
      <c r="M22" s="40">
        <f>IFERROR(MAX(HIST_D!$AG$8:INDEX(HIST_D!$AG$8:$AG$2617,Control!$F$11)),"")</f>
        <v/>
      </c>
      <c r="N22" s="24">
        <f>IFERROR(PERCENTRANK(HIST_D!$AG$8:INDEX(HIST_D!$AG$8:$AG$2617,Control!$F$11),INDEX(HIST_D!$AG$8:$AG$2617,1)),"")</f>
        <v/>
      </c>
      <c r="O22" s="24">
        <f>IFERROR(PERCENTRANK(HIST_D!$AG$8:INDEX(HIST_D!$AG$8:$AG$2617,Control!$F$13),INDEX(HIST_D!$AG$8:$AG$2617,1)),"")</f>
        <v/>
      </c>
      <c r="P22" s="24">
        <f>IFERROR(PERCENTRANK(HIST_D!$AG$8:INDEX(HIST_D!$AG$8:$AG$2617,Control!$F$14),INDEX(HIST_D!$AG$8:$AG$2617,1)),"")</f>
        <v/>
      </c>
      <c r="Q22" s="24">
        <f>IFERROR(PERCENTRANK(HIST_D!$AG$8:INDEX(HIST_D!$AG$8:$AG$2617,Control!$F$15),INDEX(HIST_D!$AG$8:$AG$2617,1)),"")</f>
        <v/>
      </c>
      <c r="R22" s="24">
        <f>IFERROR(PERCENTRANK(HIST_M!$G$8:$G$308,INDEX(HIST_D!$AG$8:$AG$2617,1)),"")</f>
        <v/>
      </c>
      <c r="S22" s="25">
        <f>IFERROR((INDEX(HIST_D!$AG$8:$AG$2617,1)-AVERAGE(HIST_D!$AG$8:INDEX(HIST_D!$AG$8:$AG$2617,Control!$F$14)))/STDEV(HIST_D!$AG$8:INDEX(HIST_D!$AG$8:$AG$2617,Control!$F$14)),"")</f>
        <v/>
      </c>
    </row>
    <row r="23">
      <c r="A23" s="8" t="inlineStr">
        <is>
          <t>US IG OAS</t>
        </is>
      </c>
      <c r="B23" s="16">
        <f>Tickers!$C$36</f>
        <v/>
      </c>
      <c r="C23" s="27" t="inlineStr">
        <is>
          <t>bp</t>
        </is>
      </c>
      <c r="D23" s="26">
        <f>INDEX(HIST_D!$AF$8:$AF$2617,1)</f>
        <v/>
      </c>
      <c r="E23" s="23">
        <f>IFERROR((INDEX(HIST_D!$AF$8:$AF$2617,1)-INDEX(HIST_D!$AF$8:$AF$2617,Control!$F$6))*1,"")</f>
        <v/>
      </c>
      <c r="F23" s="23">
        <f>IFERROR((INDEX(HIST_D!$AF$8:$AF$2617,1)-INDEX(HIST_D!$AF$8:$AF$2617,Control!$F$7))*1,"")</f>
        <v/>
      </c>
      <c r="G23" s="23">
        <f>IFERROR((INDEX(HIST_D!$AF$8:$AF$2617,1)-INDEX(HIST_D!$AF$8:$AF$2617,Control!$F$8))*1,"")</f>
        <v/>
      </c>
      <c r="H23" s="23">
        <f>IFERROR((INDEX(HIST_D!$AF$8:$AF$2617,1)-INDEX(HIST_D!$AF$8:$AF$2617,Control!$F$9))*1,"")</f>
        <v/>
      </c>
      <c r="I23" s="23">
        <f>IFERROR((INDEX(HIST_D!$AF$8:$AF$2617,1)-INDEX(HIST_D!$AF$8:$AF$2617,Control!$F$10))*1,"")</f>
        <v/>
      </c>
      <c r="J23" s="23">
        <f>IFERROR((INDEX(HIST_D!$AF$8:$AF$2617,1)-INDEX(HIST_D!$AF$8:$AF$2617,Control!$F$16))*1,"")</f>
        <v/>
      </c>
      <c r="K23" s="23">
        <f>IFERROR((INDEX(HIST_D!$AF$8:$AF$2617,1)-INDEX(HIST_D!$AF$8:$AF$2617,Control!$F$11))*1,"")</f>
        <v/>
      </c>
      <c r="L23" s="40">
        <f>IFERROR(MIN(HIST_D!$AF$8:INDEX(HIST_D!$AF$8:$AF$2617,Control!$F$11)),"")</f>
        <v/>
      </c>
      <c r="M23" s="40">
        <f>IFERROR(MAX(HIST_D!$AF$8:INDEX(HIST_D!$AF$8:$AF$2617,Control!$F$11)),"")</f>
        <v/>
      </c>
      <c r="N23" s="24">
        <f>IFERROR(PERCENTRANK(HIST_D!$AF$8:INDEX(HIST_D!$AF$8:$AF$2617,Control!$F$11),INDEX(HIST_D!$AF$8:$AF$2617,1)),"")</f>
        <v/>
      </c>
      <c r="O23" s="24">
        <f>IFERROR(PERCENTRANK(HIST_D!$AF$8:INDEX(HIST_D!$AF$8:$AF$2617,Control!$F$13),INDEX(HIST_D!$AF$8:$AF$2617,1)),"")</f>
        <v/>
      </c>
      <c r="P23" s="24">
        <f>IFERROR(PERCENTRANK(HIST_D!$AF$8:INDEX(HIST_D!$AF$8:$AF$2617,Control!$F$14),INDEX(HIST_D!$AF$8:$AF$2617,1)),"")</f>
        <v/>
      </c>
      <c r="Q23" s="24">
        <f>IFERROR(PERCENTRANK(HIST_D!$AF$8:INDEX(HIST_D!$AF$8:$AF$2617,Control!$F$15),INDEX(HIST_D!$AF$8:$AF$2617,1)),"")</f>
        <v/>
      </c>
      <c r="R23" s="24">
        <f>IFERROR(PERCENTRANK(HIST_M!$F$8:$F$308,INDEX(HIST_D!$AF$8:$AF$2617,1)),"")</f>
        <v/>
      </c>
      <c r="S23" s="25">
        <f>IFERROR((INDEX(HIST_D!$AF$8:$AF$2617,1)-AVERAGE(HIST_D!$AF$8:INDEX(HIST_D!$AF$8:$AF$2617,Control!$F$14)))/STDEV(HIST_D!$AF$8:INDEX(HIST_D!$AF$8:$AF$2617,Control!$F$14)),"")</f>
        <v/>
      </c>
    </row>
    <row r="24">
      <c r="A24" s="10" t="inlineStr">
        <is>
          <t>EM/HY is the cleanest cross-market gauge: both are spread products with similar default optionality, but EM carries roughly twice the duration, so the ratio tells you what you are paid for taking sovereign risk instead of US corporate risk.</t>
        </is>
      </c>
    </row>
    <row r="26" ht="18" customHeight="1">
      <c r="A26" s="3" t="inlineStr">
        <is>
          <t>BETAS — what US rates actually do to EM spreads</t>
        </is>
      </c>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8" customHeight="1">
      <c r="A27" s="20" t="inlineStr">
        <is>
          <t>Relationship</t>
        </is>
      </c>
      <c r="B27" s="20" t="inlineStr">
        <is>
          <t>Window</t>
        </is>
      </c>
      <c r="C27" s="20" t="inlineStr">
        <is>
          <t>Beta</t>
        </is>
      </c>
      <c r="D27" s="20" t="inlineStr">
        <is>
          <t>Correlation</t>
        </is>
      </c>
      <c r="E27" s="20" t="inlineStr">
        <is>
          <t>R²</t>
        </is>
      </c>
      <c r="F27" s="20" t="inlineStr">
        <is>
          <t>Reading</t>
        </is>
      </c>
      <c r="G27" s="20" t="inlineStr"/>
      <c r="H27" s="20" t="inlineStr"/>
      <c r="I27" s="20" t="inlineStr"/>
      <c r="J27" s="20" t="inlineStr"/>
      <c r="K27" s="20" t="inlineStr"/>
      <c r="L27" s="20" t="inlineStr"/>
      <c r="M27" s="20" t="inlineStr"/>
      <c r="N27" s="20" t="inlineStr"/>
      <c r="O27" s="20" t="inlineStr"/>
      <c r="P27" s="20" t="inlineStr"/>
      <c r="Q27" s="20" t="inlineStr"/>
      <c r="R27" s="20" t="inlineStr"/>
      <c r="S27" s="20" t="inlineStr"/>
    </row>
    <row r="28">
      <c r="A28" s="21" t="inlineStr">
        <is>
          <t>Δ EM OAS  vs  Δ UST 10Y</t>
        </is>
      </c>
      <c r="B28" s="27" t="inlineStr">
        <is>
          <t>1y</t>
        </is>
      </c>
      <c r="C28" s="39">
        <f>IFERROR(SLOPE(HIST_D!$BP$8:INDEX(HIST_D!$BP$8:$BP$2617,Control!$F$11),HIST_D!$BL$8:INDEX(HIST_D!$BL$8:$BL$2617,Control!$F$11)),"")</f>
        <v/>
      </c>
      <c r="D28" s="39">
        <f>IFERROR(CORREL(HIST_D!$BP$8:INDEX(HIST_D!$BP$8:$BP$2617,Control!$F$11),HIST_D!$BL$8:INDEX(HIST_D!$BL$8:$BL$2617,Control!$F$11)),"")</f>
        <v/>
      </c>
      <c r="E28" s="24">
        <f>IFERROR(RSQ(HIST_D!$BP$8:INDEX(HIST_D!$BP$8:$BP$2617,Control!$F$11),HIST_D!$BL$8:INDEX(HIST_D!$BL$8:$BL$2617,Control!$F$11)),"")</f>
        <v/>
      </c>
      <c r="F28" s="17">
        <f>IF($C28&gt;0,"spreads WIDEN when yields rise — the Treasury leg is not hedging you","spreads TIGHTEN when yields rise — ballast is working")</f>
        <v/>
      </c>
      <c r="G28" s="41" t="n"/>
      <c r="H28" s="41" t="n"/>
      <c r="I28" s="41" t="n"/>
      <c r="J28" s="41" t="n"/>
      <c r="K28" s="41" t="n"/>
      <c r="L28" s="41" t="n"/>
      <c r="M28" s="42" t="n"/>
    </row>
    <row r="29">
      <c r="A29" s="8" t="inlineStr">
        <is>
          <t>Δ EM OAS  vs  Δ UST 10Y</t>
        </is>
      </c>
      <c r="B29" s="27" t="inlineStr">
        <is>
          <t>3y</t>
        </is>
      </c>
      <c r="C29" s="39">
        <f>IFERROR(SLOPE(HIST_D!$BP$8:INDEX(HIST_D!$BP$8:$BP$2617,Control!$F$13),HIST_D!$BL$8:INDEX(HIST_D!$BL$8:$BL$2617,Control!$F$13)),"")</f>
        <v/>
      </c>
      <c r="D29" s="39">
        <f>IFERROR(CORREL(HIST_D!$BP$8:INDEX(HIST_D!$BP$8:$BP$2617,Control!$F$13),HIST_D!$BL$8:INDEX(HIST_D!$BL$8:$BL$2617,Control!$F$13)),"")</f>
        <v/>
      </c>
      <c r="E29" s="24">
        <f>IFERROR(RSQ(HIST_D!$BP$8:INDEX(HIST_D!$BP$8:$BP$2617,Control!$F$13),HIST_D!$BL$8:INDEX(HIST_D!$BL$8:$BL$2617,Control!$F$13)),"")</f>
        <v/>
      </c>
    </row>
    <row r="30">
      <c r="A30" s="8" t="inlineStr">
        <is>
          <t>Δ EM OAS  vs  Δ UST 10Y</t>
        </is>
      </c>
      <c r="B30" s="27" t="inlineStr">
        <is>
          <t>5y</t>
        </is>
      </c>
      <c r="C30" s="39">
        <f>IFERROR(SLOPE(HIST_D!$BP$8:INDEX(HIST_D!$BP$8:$BP$2617,Control!$F$14),HIST_D!$BL$8:INDEX(HIST_D!$BL$8:$BL$2617,Control!$F$14)),"")</f>
        <v/>
      </c>
      <c r="D30" s="39">
        <f>IFERROR(CORREL(HIST_D!$BP$8:INDEX(HIST_D!$BP$8:$BP$2617,Control!$F$14),HIST_D!$BL$8:INDEX(HIST_D!$BL$8:$BL$2617,Control!$F$14)),"")</f>
        <v/>
      </c>
      <c r="E30" s="24">
        <f>IFERROR(RSQ(HIST_D!$BP$8:INDEX(HIST_D!$BP$8:$BP$2617,Control!$F$14),HIST_D!$BL$8:INDEX(HIST_D!$BL$8:$BL$2617,Control!$F$14)),"")</f>
        <v/>
      </c>
    </row>
    <row r="31">
      <c r="A31" s="21" t="inlineStr">
        <is>
          <t>Δ EM OAS  vs  Δ US HY OAS</t>
        </is>
      </c>
      <c r="B31" s="27" t="inlineStr">
        <is>
          <t>1y</t>
        </is>
      </c>
      <c r="C31" s="39">
        <f>IFERROR(SLOPE(HIST_D!$BP$8:INDEX(HIST_D!$BP$8:$BP$2617,Control!$F$11),HIST_D!$BO$8:INDEX(HIST_D!$BO$8:$BO$2617,Control!$F$11)),"")</f>
        <v/>
      </c>
      <c r="D31" s="39">
        <f>IFERROR(CORREL(HIST_D!$BP$8:INDEX(HIST_D!$BP$8:$BP$2617,Control!$F$11),HIST_D!$BO$8:INDEX(HIST_D!$BO$8:$BO$2617,Control!$F$11)),"")</f>
        <v/>
      </c>
      <c r="E31" s="24">
        <f>IFERROR(RSQ(HIST_D!$BP$8:INDEX(HIST_D!$BP$8:$BP$2617,Control!$F$11),HIST_D!$BO$8:INDEX(HIST_D!$BO$8:$BO$2617,Control!$F$11)),"")</f>
        <v/>
      </c>
      <c r="F31" s="17">
        <f>IF($C31&gt;0,"spreads WIDEN when yields rise — the Treasury leg is not hedging you","spreads TIGHTEN when yields rise — ballast is working")</f>
        <v/>
      </c>
      <c r="G31" s="41" t="n"/>
      <c r="H31" s="41" t="n"/>
      <c r="I31" s="41" t="n"/>
      <c r="J31" s="41" t="n"/>
      <c r="K31" s="41" t="n"/>
      <c r="L31" s="41" t="n"/>
      <c r="M31" s="42" t="n"/>
    </row>
    <row r="32">
      <c r="A32" s="8" t="inlineStr">
        <is>
          <t>Δ EM OAS  vs  Δ US HY OAS</t>
        </is>
      </c>
      <c r="B32" s="27" t="inlineStr">
        <is>
          <t>3y</t>
        </is>
      </c>
      <c r="C32" s="39">
        <f>IFERROR(SLOPE(HIST_D!$BP$8:INDEX(HIST_D!$BP$8:$BP$2617,Control!$F$13),HIST_D!$BO$8:INDEX(HIST_D!$BO$8:$BO$2617,Control!$F$13)),"")</f>
        <v/>
      </c>
      <c r="D32" s="39">
        <f>IFERROR(CORREL(HIST_D!$BP$8:INDEX(HIST_D!$BP$8:$BP$2617,Control!$F$13),HIST_D!$BO$8:INDEX(HIST_D!$BO$8:$BO$2617,Control!$F$13)),"")</f>
        <v/>
      </c>
      <c r="E32" s="24">
        <f>IFERROR(RSQ(HIST_D!$BP$8:INDEX(HIST_D!$BP$8:$BP$2617,Control!$F$13),HIST_D!$BO$8:INDEX(HIST_D!$BO$8:$BO$2617,Control!$F$13)),"")</f>
        <v/>
      </c>
    </row>
    <row r="33">
      <c r="A33" s="8" t="inlineStr">
        <is>
          <t>Δ EM OAS  vs  Δ US HY OAS</t>
        </is>
      </c>
      <c r="B33" s="27" t="inlineStr">
        <is>
          <t>5y</t>
        </is>
      </c>
      <c r="C33" s="39">
        <f>IFERROR(SLOPE(HIST_D!$BP$8:INDEX(HIST_D!$BP$8:$BP$2617,Control!$F$14),HIST_D!$BO$8:INDEX(HIST_D!$BO$8:$BO$2617,Control!$F$14)),"")</f>
        <v/>
      </c>
      <c r="D33" s="39">
        <f>IFERROR(CORREL(HIST_D!$BP$8:INDEX(HIST_D!$BP$8:$BP$2617,Control!$F$14),HIST_D!$BO$8:INDEX(HIST_D!$BO$8:$BO$2617,Control!$F$14)),"")</f>
        <v/>
      </c>
      <c r="E33" s="24">
        <f>IFERROR(RSQ(HIST_D!$BP$8:INDEX(HIST_D!$BP$8:$BP$2617,Control!$F$14),HIST_D!$BO$8:INDEX(HIST_D!$BO$8:$BO$2617,Control!$F$14)),"")</f>
        <v/>
      </c>
    </row>
    <row r="34">
      <c r="A34" s="21" t="inlineStr">
        <is>
          <t>Δ US HY OAS vs Δ UST 10Y</t>
        </is>
      </c>
      <c r="B34" s="27" t="inlineStr">
        <is>
          <t>1y</t>
        </is>
      </c>
      <c r="C34" s="39">
        <f>IFERROR(SLOPE(HIST_D!$BO$8:INDEX(HIST_D!$BO$8:$BO$2617,Control!$F$11),HIST_D!$BL$8:INDEX(HIST_D!$BL$8:$BL$2617,Control!$F$11)),"")</f>
        <v/>
      </c>
      <c r="D34" s="39">
        <f>IFERROR(CORREL(HIST_D!$BO$8:INDEX(HIST_D!$BO$8:$BO$2617,Control!$F$11),HIST_D!$BL$8:INDEX(HIST_D!$BL$8:$BL$2617,Control!$F$11)),"")</f>
        <v/>
      </c>
      <c r="E34" s="24">
        <f>IFERROR(RSQ(HIST_D!$BO$8:INDEX(HIST_D!$BO$8:$BO$2617,Control!$F$11),HIST_D!$BL$8:INDEX(HIST_D!$BL$8:$BL$2617,Control!$F$11)),"")</f>
        <v/>
      </c>
      <c r="F34" s="17">
        <f>IF($C34&gt;0,"spreads WIDEN when yields rise — the Treasury leg is not hedging you","spreads TIGHTEN when yields rise — ballast is working")</f>
        <v/>
      </c>
      <c r="G34" s="41" t="n"/>
      <c r="H34" s="41" t="n"/>
      <c r="I34" s="41" t="n"/>
      <c r="J34" s="41" t="n"/>
      <c r="K34" s="41" t="n"/>
      <c r="L34" s="41" t="n"/>
      <c r="M34" s="42" t="n"/>
    </row>
    <row r="35">
      <c r="A35" s="8" t="inlineStr">
        <is>
          <t>Δ US HY OAS vs Δ UST 10Y</t>
        </is>
      </c>
      <c r="B35" s="27" t="inlineStr">
        <is>
          <t>3y</t>
        </is>
      </c>
      <c r="C35" s="39">
        <f>IFERROR(SLOPE(HIST_D!$BO$8:INDEX(HIST_D!$BO$8:$BO$2617,Control!$F$13),HIST_D!$BL$8:INDEX(HIST_D!$BL$8:$BL$2617,Control!$F$13)),"")</f>
        <v/>
      </c>
      <c r="D35" s="39">
        <f>IFERROR(CORREL(HIST_D!$BO$8:INDEX(HIST_D!$BO$8:$BO$2617,Control!$F$13),HIST_D!$BL$8:INDEX(HIST_D!$BL$8:$BL$2617,Control!$F$13)),"")</f>
        <v/>
      </c>
      <c r="E35" s="24">
        <f>IFERROR(RSQ(HIST_D!$BO$8:INDEX(HIST_D!$BO$8:$BO$2617,Control!$F$13),HIST_D!$BL$8:INDEX(HIST_D!$BL$8:$BL$2617,Control!$F$13)),"")</f>
        <v/>
      </c>
    </row>
    <row r="36">
      <c r="A36" s="8" t="inlineStr">
        <is>
          <t>Δ US HY OAS vs Δ UST 10Y</t>
        </is>
      </c>
      <c r="B36" s="27" t="inlineStr">
        <is>
          <t>5y</t>
        </is>
      </c>
      <c r="C36" s="39">
        <f>IFERROR(SLOPE(HIST_D!$BO$8:INDEX(HIST_D!$BO$8:$BO$2617,Control!$F$14),HIST_D!$BL$8:INDEX(HIST_D!$BL$8:$BL$2617,Control!$F$14)),"")</f>
        <v/>
      </c>
      <c r="D36" s="39">
        <f>IFERROR(CORREL(HIST_D!$BO$8:INDEX(HIST_D!$BO$8:$BO$2617,Control!$F$14),HIST_D!$BL$8:INDEX(HIST_D!$BL$8:$BL$2617,Control!$F$14)),"")</f>
        <v/>
      </c>
      <c r="E36" s="24">
        <f>IFERROR(RSQ(HIST_D!$BO$8:INDEX(HIST_D!$BO$8:$BO$2617,Control!$F$14),HIST_D!$BL$8:INDEX(HIST_D!$BL$8:$BL$2617,Control!$F$14)),"")</f>
        <v/>
      </c>
    </row>
    <row r="37">
      <c r="A37" s="21" t="inlineStr">
        <is>
          <t>Δ US IG OAS vs Δ UST 10Y</t>
        </is>
      </c>
      <c r="B37" s="27" t="inlineStr">
        <is>
          <t>1y</t>
        </is>
      </c>
      <c r="C37" s="39">
        <f>IFERROR(SLOPE(HIST_D!$BN$8:INDEX(HIST_D!$BN$8:$BN$2617,Control!$F$11),HIST_D!$BL$8:INDEX(HIST_D!$BL$8:$BL$2617,Control!$F$11)),"")</f>
        <v/>
      </c>
      <c r="D37" s="39">
        <f>IFERROR(CORREL(HIST_D!$BN$8:INDEX(HIST_D!$BN$8:$BN$2617,Control!$F$11),HIST_D!$BL$8:INDEX(HIST_D!$BL$8:$BL$2617,Control!$F$11)),"")</f>
        <v/>
      </c>
      <c r="E37" s="24">
        <f>IFERROR(RSQ(HIST_D!$BN$8:INDEX(HIST_D!$BN$8:$BN$2617,Control!$F$11),HIST_D!$BL$8:INDEX(HIST_D!$BL$8:$BL$2617,Control!$F$11)),"")</f>
        <v/>
      </c>
      <c r="F37" s="17">
        <f>IF($C37&gt;0,"spreads WIDEN when yields rise — the Treasury leg is not hedging you","spreads TIGHTEN when yields rise — ballast is working")</f>
        <v/>
      </c>
      <c r="G37" s="41" t="n"/>
      <c r="H37" s="41" t="n"/>
      <c r="I37" s="41" t="n"/>
      <c r="J37" s="41" t="n"/>
      <c r="K37" s="41" t="n"/>
      <c r="L37" s="41" t="n"/>
      <c r="M37" s="42" t="n"/>
    </row>
    <row r="38">
      <c r="A38" s="8" t="inlineStr">
        <is>
          <t>Δ US IG OAS vs Δ UST 10Y</t>
        </is>
      </c>
      <c r="B38" s="27" t="inlineStr">
        <is>
          <t>3y</t>
        </is>
      </c>
      <c r="C38" s="39">
        <f>IFERROR(SLOPE(HIST_D!$BN$8:INDEX(HIST_D!$BN$8:$BN$2617,Control!$F$13),HIST_D!$BL$8:INDEX(HIST_D!$BL$8:$BL$2617,Control!$F$13)),"")</f>
        <v/>
      </c>
      <c r="D38" s="39">
        <f>IFERROR(CORREL(HIST_D!$BN$8:INDEX(HIST_D!$BN$8:$BN$2617,Control!$F$13),HIST_D!$BL$8:INDEX(HIST_D!$BL$8:$BL$2617,Control!$F$13)),"")</f>
        <v/>
      </c>
      <c r="E38" s="24">
        <f>IFERROR(RSQ(HIST_D!$BN$8:INDEX(HIST_D!$BN$8:$BN$2617,Control!$F$13),HIST_D!$BL$8:INDEX(HIST_D!$BL$8:$BL$2617,Control!$F$13)),"")</f>
        <v/>
      </c>
    </row>
    <row r="39">
      <c r="A39" s="8" t="inlineStr">
        <is>
          <t>Δ US IG OAS vs Δ UST 10Y</t>
        </is>
      </c>
      <c r="B39" s="27" t="inlineStr">
        <is>
          <t>5y</t>
        </is>
      </c>
      <c r="C39" s="39">
        <f>IFERROR(SLOPE(HIST_D!$BN$8:INDEX(HIST_D!$BN$8:$BN$2617,Control!$F$14),HIST_D!$BL$8:INDEX(HIST_D!$BL$8:$BL$2617,Control!$F$14)),"")</f>
        <v/>
      </c>
      <c r="D39" s="39">
        <f>IFERROR(CORREL(HIST_D!$BN$8:INDEX(HIST_D!$BN$8:$BN$2617,Control!$F$14),HIST_D!$BL$8:INDEX(HIST_D!$BL$8:$BL$2617,Control!$F$14)),"")</f>
        <v/>
      </c>
      <c r="E39" s="24">
        <f>IFERROR(RSQ(HIST_D!$BN$8:INDEX(HIST_D!$BN$8:$BN$2617,Control!$F$14),HIST_D!$BL$8:INDEX(HIST_D!$BL$8:$BL$2617,Control!$F$14)),"")</f>
        <v/>
      </c>
    </row>
    <row r="40" ht="30" customHeight="1">
      <c r="A40" s="10" t="inlineStr">
        <is>
          <t>Daily changes, OLS on the derived Δ columns of HIST_D. A negative beta of EM OAS to UST yields is the ballast: yields up, spreads in, total return cushioned. When that beta flips positive — 2013, 2022 — EM USD stops being a duration-plus-carry story and becomes a correlated risk asset. That flip, not the spread level, is the thing to watch on this tab.</t>
        </is>
      </c>
    </row>
    <row r="42" ht="18" customHeight="1">
      <c r="A42" s="3" t="inlineStr">
        <is>
          <t>SCENARIO GRID — EMBIGD 12m total return (%)</t>
        </is>
      </c>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70" t="inlineStr">
        <is>
          <t>Rows: 12m spread scenario (bp). Columns: UST 10Y level (%).</t>
        </is>
      </c>
    </row>
    <row r="44">
      <c r="A44" s="5" t="inlineStr">
        <is>
          <t>Spread scenario (bp)</t>
        </is>
      </c>
      <c r="B44" s="12" t="n">
        <v>3.75</v>
      </c>
      <c r="C44" s="12" t="n">
        <v>4</v>
      </c>
      <c r="D44" s="12" t="n">
        <v>4.25</v>
      </c>
      <c r="E44" s="12" t="n">
        <v>4.5</v>
      </c>
      <c r="F44" s="12" t="n">
        <v>4.75</v>
      </c>
      <c r="G44" s="12" t="n">
        <v>5</v>
      </c>
      <c r="H44" s="12" t="n">
        <v>5.25</v>
      </c>
      <c r="J44" s="5" t="inlineStr">
        <is>
          <t>Spread used (bp)</t>
        </is>
      </c>
    </row>
    <row r="45">
      <c r="A45" s="21" t="inlineStr">
        <is>
          <t>Your forecast</t>
        </is>
      </c>
      <c r="B45" s="24">
        <f>IFERROR(($B$9*Control!$B$12-$B$8*((B$44-INDEX(HIST_D!$J$8:$J$2617,1))+($J45-$B$6)/100))/100,"")</f>
        <v/>
      </c>
      <c r="C45" s="24">
        <f>IFERROR(($B$9*Control!$B$12-$B$8*((C$44-INDEX(HIST_D!$J$8:$J$2617,1))+($J45-$B$6)/100))/100,"")</f>
        <v/>
      </c>
      <c r="D45" s="24">
        <f>IFERROR(($B$9*Control!$B$12-$B$8*((D$44-INDEX(HIST_D!$J$8:$J$2617,1))+($J45-$B$6)/100))/100,"")</f>
        <v/>
      </c>
      <c r="E45" s="24">
        <f>IFERROR(($B$9*Control!$B$12-$B$8*((E$44-INDEX(HIST_D!$J$8:$J$2617,1))+($J45-$B$6)/100))/100,"")</f>
        <v/>
      </c>
      <c r="F45" s="24">
        <f>IFERROR(($B$9*Control!$B$12-$B$8*((F$44-INDEX(HIST_D!$J$8:$J$2617,1))+($J45-$B$6)/100))/100,"")</f>
        <v/>
      </c>
      <c r="G45" s="24">
        <f>IFERROR(($B$9*Control!$B$12-$B$8*((G$44-INDEX(HIST_D!$J$8:$J$2617,1))+($J45-$B$6)/100))/100,"")</f>
        <v/>
      </c>
      <c r="H45" s="24">
        <f>IFERROR(($B$9*Control!$B$12-$B$8*((H$44-INDEX(HIST_D!$J$8:$J$2617,1))+($J45-$B$6)/100))/100,"")</f>
        <v/>
      </c>
      <c r="J45" s="40">
        <f>$B$10</f>
        <v/>
      </c>
    </row>
    <row r="46">
      <c r="A46" s="21" t="inlineStr">
        <is>
          <t>Colleague</t>
        </is>
      </c>
      <c r="B46" s="24">
        <f>IFERROR(($B$9*Control!$B$12-$B$8*((B$44-INDEX(HIST_D!$J$8:$J$2617,1))+($J46-$B$6)/100))/100,"")</f>
        <v/>
      </c>
      <c r="C46" s="24">
        <f>IFERROR(($B$9*Control!$B$12-$B$8*((C$44-INDEX(HIST_D!$J$8:$J$2617,1))+($J46-$B$6)/100))/100,"")</f>
        <v/>
      </c>
      <c r="D46" s="24">
        <f>IFERROR(($B$9*Control!$B$12-$B$8*((D$44-INDEX(HIST_D!$J$8:$J$2617,1))+($J46-$B$6)/100))/100,"")</f>
        <v/>
      </c>
      <c r="E46" s="24">
        <f>IFERROR(($B$9*Control!$B$12-$B$8*((E$44-INDEX(HIST_D!$J$8:$J$2617,1))+($J46-$B$6)/100))/100,"")</f>
        <v/>
      </c>
      <c r="F46" s="24">
        <f>IFERROR(($B$9*Control!$B$12-$B$8*((F$44-INDEX(HIST_D!$J$8:$J$2617,1))+($J46-$B$6)/100))/100,"")</f>
        <v/>
      </c>
      <c r="G46" s="24">
        <f>IFERROR(($B$9*Control!$B$12-$B$8*((G$44-INDEX(HIST_D!$J$8:$J$2617,1))+($J46-$B$6)/100))/100,"")</f>
        <v/>
      </c>
      <c r="H46" s="24">
        <f>IFERROR(($B$9*Control!$B$12-$B$8*((H$44-INDEX(HIST_D!$J$8:$J$2617,1))+($J46-$B$6)/100))/100,"")</f>
        <v/>
      </c>
      <c r="J46" s="40">
        <f>$B$11</f>
        <v/>
      </c>
    </row>
    <row r="47">
      <c r="A47" s="21" t="inlineStr">
        <is>
          <t>House</t>
        </is>
      </c>
      <c r="B47" s="24">
        <f>IFERROR(($B$9*Control!$B$12-$B$8*((B$44-INDEX(HIST_D!$J$8:$J$2617,1))+($J47-$B$6)/100))/100,"")</f>
        <v/>
      </c>
      <c r="C47" s="24">
        <f>IFERROR(($B$9*Control!$B$12-$B$8*((C$44-INDEX(HIST_D!$J$8:$J$2617,1))+($J47-$B$6)/100))/100,"")</f>
        <v/>
      </c>
      <c r="D47" s="24">
        <f>IFERROR(($B$9*Control!$B$12-$B$8*((D$44-INDEX(HIST_D!$J$8:$J$2617,1))+($J47-$B$6)/100))/100,"")</f>
        <v/>
      </c>
      <c r="E47" s="24">
        <f>IFERROR(($B$9*Control!$B$12-$B$8*((E$44-INDEX(HIST_D!$J$8:$J$2617,1))+($J47-$B$6)/100))/100,"")</f>
        <v/>
      </c>
      <c r="F47" s="24">
        <f>IFERROR(($B$9*Control!$B$12-$B$8*((F$44-INDEX(HIST_D!$J$8:$J$2617,1))+($J47-$B$6)/100))/100,"")</f>
        <v/>
      </c>
      <c r="G47" s="24">
        <f>IFERROR(($B$9*Control!$B$12-$B$8*((G$44-INDEX(HIST_D!$J$8:$J$2617,1))+($J47-$B$6)/100))/100,"")</f>
        <v/>
      </c>
      <c r="H47" s="24">
        <f>IFERROR(($B$9*Control!$B$12-$B$8*((H$44-INDEX(HIST_D!$J$8:$J$2617,1))+($J47-$B$6)/100))/100,"")</f>
        <v/>
      </c>
      <c r="J47" s="40">
        <f>$B$12</f>
        <v/>
      </c>
    </row>
    <row r="48">
      <c r="A48" s="21" t="inlineStr">
        <is>
          <t>Unchanged</t>
        </is>
      </c>
      <c r="B48" s="24">
        <f>IFERROR(($B$9*Control!$B$12-$B$8*((B$44-INDEX(HIST_D!$J$8:$J$2617,1))+($J48-$B$6)/100))/100,"")</f>
        <v/>
      </c>
      <c r="C48" s="24">
        <f>IFERROR(($B$9*Control!$B$12-$B$8*((C$44-INDEX(HIST_D!$J$8:$J$2617,1))+($J48-$B$6)/100))/100,"")</f>
        <v/>
      </c>
      <c r="D48" s="24">
        <f>IFERROR(($B$9*Control!$B$12-$B$8*((D$44-INDEX(HIST_D!$J$8:$J$2617,1))+($J48-$B$6)/100))/100,"")</f>
        <v/>
      </c>
      <c r="E48" s="24">
        <f>IFERROR(($B$9*Control!$B$12-$B$8*((E$44-INDEX(HIST_D!$J$8:$J$2617,1))+($J48-$B$6)/100))/100,"")</f>
        <v/>
      </c>
      <c r="F48" s="24">
        <f>IFERROR(($B$9*Control!$B$12-$B$8*((F$44-INDEX(HIST_D!$J$8:$J$2617,1))+($J48-$B$6)/100))/100,"")</f>
        <v/>
      </c>
      <c r="G48" s="24">
        <f>IFERROR(($B$9*Control!$B$12-$B$8*((G$44-INDEX(HIST_D!$J$8:$J$2617,1))+($J48-$B$6)/100))/100,"")</f>
        <v/>
      </c>
      <c r="H48" s="24">
        <f>IFERROR(($B$9*Control!$B$12-$B$8*((H$44-INDEX(HIST_D!$J$8:$J$2617,1))+($J48-$B$6)/100))/100,"")</f>
        <v/>
      </c>
      <c r="J48" s="40">
        <f>$B$6</f>
        <v/>
      </c>
    </row>
    <row r="49">
      <c r="A49" s="21" t="inlineStr">
        <is>
          <t>Stress +100bp</t>
        </is>
      </c>
      <c r="B49" s="24">
        <f>IFERROR(($B$9*Control!$B$12-$B$8*((B$44-INDEX(HIST_D!$J$8:$J$2617,1))+($J49-$B$6)/100))/100,"")</f>
        <v/>
      </c>
      <c r="C49" s="24">
        <f>IFERROR(($B$9*Control!$B$12-$B$8*((C$44-INDEX(HIST_D!$J$8:$J$2617,1))+($J49-$B$6)/100))/100,"")</f>
        <v/>
      </c>
      <c r="D49" s="24">
        <f>IFERROR(($B$9*Control!$B$12-$B$8*((D$44-INDEX(HIST_D!$J$8:$J$2617,1))+($J49-$B$6)/100))/100,"")</f>
        <v/>
      </c>
      <c r="E49" s="24">
        <f>IFERROR(($B$9*Control!$B$12-$B$8*((E$44-INDEX(HIST_D!$J$8:$J$2617,1))+($J49-$B$6)/100))/100,"")</f>
        <v/>
      </c>
      <c r="F49" s="24">
        <f>IFERROR(($B$9*Control!$B$12-$B$8*((F$44-INDEX(HIST_D!$J$8:$J$2617,1))+($J49-$B$6)/100))/100,"")</f>
        <v/>
      </c>
      <c r="G49" s="24">
        <f>IFERROR(($B$9*Control!$B$12-$B$8*((G$44-INDEX(HIST_D!$J$8:$J$2617,1))+($J49-$B$6)/100))/100,"")</f>
        <v/>
      </c>
      <c r="H49" s="24">
        <f>IFERROR(($B$9*Control!$B$12-$B$8*((H$44-INDEX(HIST_D!$J$8:$J$2617,1))+($J49-$B$6)/100))/100,"")</f>
        <v/>
      </c>
      <c r="J49" s="40">
        <f>$B$6+100</f>
        <v/>
      </c>
    </row>
    <row r="50">
      <c r="A50" s="21" t="inlineStr">
        <is>
          <t>Stress +200bp</t>
        </is>
      </c>
      <c r="B50" s="24">
        <f>IFERROR(($B$9*Control!$B$12-$B$8*((B$44-INDEX(HIST_D!$J$8:$J$2617,1))+($J50-$B$6)/100))/100,"")</f>
        <v/>
      </c>
      <c r="C50" s="24">
        <f>IFERROR(($B$9*Control!$B$12-$B$8*((C$44-INDEX(HIST_D!$J$8:$J$2617,1))+($J50-$B$6)/100))/100,"")</f>
        <v/>
      </c>
      <c r="D50" s="24">
        <f>IFERROR(($B$9*Control!$B$12-$B$8*((D$44-INDEX(HIST_D!$J$8:$J$2617,1))+($J50-$B$6)/100))/100,"")</f>
        <v/>
      </c>
      <c r="E50" s="24">
        <f>IFERROR(($B$9*Control!$B$12-$B$8*((E$44-INDEX(HIST_D!$J$8:$J$2617,1))+($J50-$B$6)/100))/100,"")</f>
        <v/>
      </c>
      <c r="F50" s="24">
        <f>IFERROR(($B$9*Control!$B$12-$B$8*((F$44-INDEX(HIST_D!$J$8:$J$2617,1))+($J50-$B$6)/100))/100,"")</f>
        <v/>
      </c>
      <c r="G50" s="24">
        <f>IFERROR(($B$9*Control!$B$12-$B$8*((G$44-INDEX(HIST_D!$J$8:$J$2617,1))+($J50-$B$6)/100))/100,"")</f>
        <v/>
      </c>
      <c r="H50" s="24">
        <f>IFERROR(($B$9*Control!$B$12-$B$8*((H$44-INDEX(HIST_D!$J$8:$J$2617,1))+($J50-$B$6)/100))/100,"")</f>
        <v/>
      </c>
      <c r="J50" s="40">
        <f>$B$6+200</f>
        <v/>
      </c>
    </row>
    <row r="51">
      <c r="A51" s="21" t="inlineStr">
        <is>
          <t>Rally −25bp</t>
        </is>
      </c>
      <c r="B51" s="24">
        <f>IFERROR(($B$9*Control!$B$12-$B$8*((B$44-INDEX(HIST_D!$J$8:$J$2617,1))+($J51-$B$6)/100))/100,"")</f>
        <v/>
      </c>
      <c r="C51" s="24">
        <f>IFERROR(($B$9*Control!$B$12-$B$8*((C$44-INDEX(HIST_D!$J$8:$J$2617,1))+($J51-$B$6)/100))/100,"")</f>
        <v/>
      </c>
      <c r="D51" s="24">
        <f>IFERROR(($B$9*Control!$B$12-$B$8*((D$44-INDEX(HIST_D!$J$8:$J$2617,1))+($J51-$B$6)/100))/100,"")</f>
        <v/>
      </c>
      <c r="E51" s="24">
        <f>IFERROR(($B$9*Control!$B$12-$B$8*((E$44-INDEX(HIST_D!$J$8:$J$2617,1))+($J51-$B$6)/100))/100,"")</f>
        <v/>
      </c>
      <c r="F51" s="24">
        <f>IFERROR(($B$9*Control!$B$12-$B$8*((F$44-INDEX(HIST_D!$J$8:$J$2617,1))+($J51-$B$6)/100))/100,"")</f>
        <v/>
      </c>
      <c r="G51" s="24">
        <f>IFERROR(($B$9*Control!$B$12-$B$8*((G$44-INDEX(HIST_D!$J$8:$J$2617,1))+($J51-$B$6)/100))/100,"")</f>
        <v/>
      </c>
      <c r="H51" s="24">
        <f>IFERROR(($B$9*Control!$B$12-$B$8*((H$44-INDEX(HIST_D!$J$8:$J$2617,1))+($J51-$B$6)/100))/100,"")</f>
        <v/>
      </c>
      <c r="J51" s="40">
        <f>$B$6-25</f>
        <v/>
      </c>
    </row>
    <row r="52">
      <c r="A52" s="10" t="inlineStr">
        <is>
          <t>White is roughly the cash hurdle on Control. Anything green beats bills; anything red does not.</t>
        </is>
      </c>
    </row>
    <row r="54" ht="18" customHeight="1">
      <c r="A54" s="3" t="inlineStr">
        <is>
          <t>BALLAST CHECK — the two legs, separately</t>
        </is>
      </c>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28" customHeight="1">
      <c r="A55" s="20" t="inlineStr">
        <is>
          <t>Scenario</t>
        </is>
      </c>
      <c r="B55" s="20" t="inlineStr">
        <is>
          <t>Δ UST 10Y (bp)</t>
        </is>
      </c>
      <c r="C55" s="20" t="inlineStr">
        <is>
          <t>Δ spread (bp)</t>
        </is>
      </c>
      <c r="D55" s="20" t="inlineStr">
        <is>
          <t>Treasury leg (%)</t>
        </is>
      </c>
      <c r="E55" s="20" t="inlineStr">
        <is>
          <t>Spread leg (%)</t>
        </is>
      </c>
      <c r="F55" s="20" t="inlineStr">
        <is>
          <t>Carry (%)</t>
        </is>
      </c>
      <c r="G55" s="20" t="inlineStr">
        <is>
          <t>Total (%)</t>
        </is>
      </c>
      <c r="H55" s="20" t="inlineStr">
        <is>
          <t>vs cash (%)</t>
        </is>
      </c>
      <c r="I55" s="20" t="inlineStr"/>
      <c r="J55" s="20" t="inlineStr"/>
      <c r="K55" s="20" t="inlineStr"/>
      <c r="L55" s="20" t="inlineStr"/>
      <c r="M55" s="20" t="inlineStr"/>
      <c r="N55" s="20" t="inlineStr"/>
      <c r="O55" s="20" t="inlineStr"/>
      <c r="P55" s="20" t="inlineStr"/>
      <c r="Q55" s="20" t="inlineStr"/>
      <c r="R55" s="20" t="inlineStr"/>
      <c r="S55" s="20" t="inlineStr"/>
    </row>
    <row r="56">
      <c r="A56" s="21" t="inlineStr">
        <is>
          <t>Your base case</t>
        </is>
      </c>
      <c r="B56" s="23">
        <f>($B$13-INDEX(HIST_D!$J$8:$J$2617,1))*Control!$B$11</f>
        <v/>
      </c>
      <c r="C56" s="23">
        <f>$B$10-$B$6</f>
        <v/>
      </c>
      <c r="D56" s="36">
        <f>-$B$8*$B56/10000</f>
        <v/>
      </c>
      <c r="E56" s="36">
        <f>-$B$8*$C56/10000</f>
        <v/>
      </c>
      <c r="F56" s="36">
        <f>$B$9*Control!$B$12/100</f>
        <v/>
      </c>
      <c r="G56" s="66">
        <f>SUM($D56:$F56)</f>
        <v/>
      </c>
      <c r="H56" s="66">
        <f>$G56-Control!$B$13/100</f>
        <v/>
      </c>
    </row>
    <row r="57">
      <c r="A57" s="21" t="inlineStr">
        <is>
          <t>House view</t>
        </is>
      </c>
      <c r="B57" s="23">
        <f>($B$14-INDEX(HIST_D!$J$8:$J$2617,1))*Control!$B$11</f>
        <v/>
      </c>
      <c r="C57" s="23">
        <f>$B$12-$B$6</f>
        <v/>
      </c>
      <c r="D57" s="36">
        <f>-$B$8*$B57/10000</f>
        <v/>
      </c>
      <c r="E57" s="36">
        <f>-$B$8*$C57/10000</f>
        <v/>
      </c>
      <c r="F57" s="36">
        <f>$B$9*Control!$B$12/100</f>
        <v/>
      </c>
      <c r="G57" s="66">
        <f>SUM($D57:$F57)</f>
        <v/>
      </c>
      <c r="H57" s="66">
        <f>$G57-Control!$B$13/100</f>
        <v/>
      </c>
    </row>
    <row r="58">
      <c r="A58" s="21" t="inlineStr">
        <is>
          <t>Growth scare</t>
        </is>
      </c>
      <c r="B58" s="71" t="n">
        <v>-75</v>
      </c>
      <c r="C58" s="71" t="n">
        <v>150</v>
      </c>
      <c r="D58" s="36">
        <f>-$B$8*$B58/10000</f>
        <v/>
      </c>
      <c r="E58" s="36">
        <f>-$B$8*$C58/10000</f>
        <v/>
      </c>
      <c r="F58" s="36">
        <f>$B$9*Control!$B$12/100</f>
        <v/>
      </c>
      <c r="G58" s="66">
        <f>SUM($D58:$F58)</f>
        <v/>
      </c>
      <c r="H58" s="66">
        <f>$G58-Control!$B$13/100</f>
        <v/>
      </c>
    </row>
    <row r="59">
      <c r="A59" s="21" t="inlineStr">
        <is>
          <t>Term premium shock</t>
        </is>
      </c>
      <c r="B59" s="71" t="n">
        <v>100</v>
      </c>
      <c r="C59" s="71" t="n">
        <v>60</v>
      </c>
      <c r="D59" s="36">
        <f>-$B$8*$B59/10000</f>
        <v/>
      </c>
      <c r="E59" s="36">
        <f>-$B$8*$C59/10000</f>
        <v/>
      </c>
      <c r="F59" s="36">
        <f>$B$9*Control!$B$12/100</f>
        <v/>
      </c>
      <c r="G59" s="66">
        <f>SUM($D59:$F59)</f>
        <v/>
      </c>
      <c r="H59" s="66">
        <f>$G59-Control!$B$13/100</f>
        <v/>
      </c>
    </row>
    <row r="60">
      <c r="A60" s="21" t="inlineStr">
        <is>
          <t>Soft landing</t>
        </is>
      </c>
      <c r="B60" s="71" t="n">
        <v>-40</v>
      </c>
      <c r="C60" s="71" t="n">
        <v>-30</v>
      </c>
      <c r="D60" s="36">
        <f>-$B$8*$B60/10000</f>
        <v/>
      </c>
      <c r="E60" s="36">
        <f>-$B$8*$C60/10000</f>
        <v/>
      </c>
      <c r="F60" s="36">
        <f>$B$9*Control!$B$12/100</f>
        <v/>
      </c>
      <c r="G60" s="66">
        <f>SUM($D60:$F60)</f>
        <v/>
      </c>
      <c r="H60" s="66">
        <f>$G60-Control!$B$13/100</f>
        <v/>
      </c>
    </row>
    <row r="61">
      <c r="A61" s="21" t="inlineStr">
        <is>
          <t>Inflation re-acceleration</t>
        </is>
      </c>
      <c r="B61" s="71" t="n">
        <v>80</v>
      </c>
      <c r="C61" s="71" t="n">
        <v>90</v>
      </c>
      <c r="D61" s="36">
        <f>-$B$8*$B61/10000</f>
        <v/>
      </c>
      <c r="E61" s="36">
        <f>-$B$8*$C61/10000</f>
        <v/>
      </c>
      <c r="F61" s="36">
        <f>$B$9*Control!$B$12/100</f>
        <v/>
      </c>
      <c r="G61" s="66">
        <f>SUM($D61:$F61)</f>
        <v/>
      </c>
      <c r="H61" s="66">
        <f>$G61-Control!$B$13/100</f>
        <v/>
      </c>
    </row>
    <row r="62" ht="30" customHeight="1">
      <c r="A62" s="10" t="inlineStr">
        <is>
          <t>Columns D and E are the whole argument. If you merge them into one 'total spread move' number you lose the ability to say what happens when Treasuries rally and spreads widen at the same time — which is precisely the case a wealth-management client is asking about.</t>
        </is>
      </c>
    </row>
  </sheetData>
  <mergeCells count="6">
    <mergeCell ref="F37:M37"/>
    <mergeCell ref="A40:M40"/>
    <mergeCell ref="F34:M34"/>
    <mergeCell ref="A62:M62"/>
    <mergeCell ref="F28:M28"/>
    <mergeCell ref="F31:M31"/>
  </mergeCells>
  <conditionalFormatting sqref="N19:R23">
    <cfRule type="colorScale" priority="1">
      <colorScale>
        <cfvo type="num" val="0"/>
        <cfvo type="num" val="0.5"/>
        <cfvo type="num" val="1"/>
        <color rgb="0063BE7B"/>
        <color rgb="00FFEB84"/>
        <color rgb="00F8696B"/>
      </colorScale>
    </cfRule>
  </conditionalFormatting>
  <conditionalFormatting sqref="S19:S23">
    <cfRule type="colorScale" priority="2">
      <colorScale>
        <cfvo type="num" val="-2"/>
        <cfvo type="num" val="0"/>
        <cfvo type="num" val="2"/>
        <color rgb="0063BE7B"/>
        <color rgb="00FFFFFF"/>
        <color rgb="00F8696B"/>
      </colorScale>
    </cfRule>
  </conditionalFormatting>
  <conditionalFormatting sqref="B45:H51">
    <cfRule type="colorScale" priority="3">
      <colorScale>
        <cfvo type="num" val="-0.05"/>
        <cfvo type="num" val="0.045"/>
        <cfvo type="num" val="0.15"/>
        <color rgb="00F8696B"/>
        <color rgb="00FFFFFF"/>
        <color rgb="0063BE7B"/>
      </colorScale>
    </cfRule>
  </conditionalFormatting>
  <pageMargins left="0.75" right="0.75" top="1" bottom="1" header="0.5" footer="0.5"/>
</worksheet>
</file>

<file path=xl/worksheets/sheet11.xml><?xml version="1.0" encoding="utf-8"?>
<worksheet xmlns="http://schemas.openxmlformats.org/spreadsheetml/2006/main">
  <sheetPr>
    <tabColor rgb="00404040"/>
    <outlinePr summaryBelow="1" summaryRight="1"/>
    <pageSetUpPr/>
  </sheetPr>
  <dimension ref="A1:H78"/>
  <sheetViews>
    <sheetView showGridLines="0" workbookViewId="0">
      <selection activeCell="A1" sqref="A1"/>
    </sheetView>
  </sheetViews>
  <sheetFormatPr baseColWidth="8" defaultRowHeight="15"/>
  <cols>
    <col width="12" customWidth="1" min="1" max="1"/>
    <col width="30" customWidth="1" min="2" max="2"/>
    <col width="30" customWidth="1" min="3" max="3"/>
    <col width="16" customWidth="1" min="4" max="4"/>
    <col width="8" customWidth="1" min="5" max="5"/>
    <col width="10" customWidth="1" min="6" max="6"/>
    <col width="52" customWidth="1" min="7" max="7"/>
    <col width="18" customWidth="1" min="8" max="8"/>
  </cols>
  <sheetData>
    <row r="1">
      <c r="A1" s="1" t="inlineStr">
        <is>
          <t>TICKER MAP</t>
        </is>
      </c>
    </row>
    <row r="2">
      <c r="A2" s="2" t="inlineStr">
        <is>
          <t>Single source of truth. Edit a ticker here and every pull and calculation in the workbook follows it.</t>
        </is>
      </c>
    </row>
    <row r="4" ht="18" customHeight="1">
      <c r="A4" s="3" t="inlineStr">
        <is>
          <t>DAILY BLOCK  →  HIST_D</t>
        </is>
      </c>
      <c r="B4" s="4" t="n"/>
      <c r="C4" s="4" t="n"/>
      <c r="D4" s="4" t="n"/>
      <c r="E4" s="4" t="n"/>
      <c r="F4" s="4" t="n"/>
      <c r="G4" s="4" t="n"/>
      <c r="H4" s="4" t="n"/>
    </row>
    <row r="5" ht="28" customHeight="1">
      <c r="A5" s="20" t="inlineStr">
        <is>
          <t>Key</t>
        </is>
      </c>
      <c r="B5" s="20" t="inlineStr">
        <is>
          <t>Description</t>
        </is>
      </c>
      <c r="C5" s="20" t="inlineStr">
        <is>
          <t>Bloomberg ticker</t>
        </is>
      </c>
      <c r="D5" s="20" t="inlineStr">
        <is>
          <t>Field</t>
        </is>
      </c>
      <c r="E5" s="20" t="inlineStr">
        <is>
          <t>Unit</t>
        </is>
      </c>
      <c r="F5" s="20" t="inlineStr">
        <is>
          <t>Confidence</t>
        </is>
      </c>
      <c r="G5" s="20" t="inlineStr">
        <is>
          <t>Note</t>
        </is>
      </c>
      <c r="H5" s="20" t="inlineStr">
        <is>
          <t>HIST_D column</t>
        </is>
      </c>
    </row>
    <row r="6">
      <c r="A6" s="72" t="inlineStr">
        <is>
          <t>UST1M</t>
        </is>
      </c>
      <c r="B6" s="8" t="inlineStr">
        <is>
          <t>UST 1M</t>
        </is>
      </c>
      <c r="C6" s="14" t="inlineStr">
        <is>
          <t>USGG1M Index</t>
        </is>
      </c>
      <c r="D6" s="43" t="inlineStr">
        <is>
          <t>PX_LAST</t>
        </is>
      </c>
      <c r="E6" s="48" t="inlineStr">
        <is>
          <t>%</t>
        </is>
      </c>
      <c r="F6" s="73" t="inlineStr">
        <is>
          <t>High</t>
        </is>
      </c>
      <c r="G6" s="17" t="inlineStr">
        <is>
          <t>H.15-style generic</t>
        </is>
      </c>
      <c r="H6" s="74" t="inlineStr">
        <is>
          <t>B</t>
        </is>
      </c>
    </row>
    <row r="7">
      <c r="A7" s="75" t="inlineStr">
        <is>
          <t>UST3M</t>
        </is>
      </c>
      <c r="B7" s="76" t="inlineStr">
        <is>
          <t>UST 3M</t>
        </is>
      </c>
      <c r="C7" s="14" t="inlineStr">
        <is>
          <t>USGG3M Index</t>
        </is>
      </c>
      <c r="D7" s="43" t="inlineStr">
        <is>
          <t>PX_LAST</t>
        </is>
      </c>
      <c r="E7" s="48" t="inlineStr">
        <is>
          <t>%</t>
        </is>
      </c>
      <c r="F7" s="73" t="inlineStr">
        <is>
          <t>High</t>
        </is>
      </c>
      <c r="G7" s="17" t="inlineStr"/>
      <c r="H7" s="74" t="inlineStr">
        <is>
          <t>C</t>
        </is>
      </c>
    </row>
    <row r="8">
      <c r="A8" s="72" t="inlineStr">
        <is>
          <t>UST6M</t>
        </is>
      </c>
      <c r="B8" s="8" t="inlineStr">
        <is>
          <t>UST 6M</t>
        </is>
      </c>
      <c r="C8" s="14" t="inlineStr">
        <is>
          <t>USGG6M Index</t>
        </is>
      </c>
      <c r="D8" s="43" t="inlineStr">
        <is>
          <t>PX_LAST</t>
        </is>
      </c>
      <c r="E8" s="48" t="inlineStr">
        <is>
          <t>%</t>
        </is>
      </c>
      <c r="F8" s="73" t="inlineStr">
        <is>
          <t>High</t>
        </is>
      </c>
      <c r="G8" s="17" t="inlineStr"/>
      <c r="H8" s="74" t="inlineStr">
        <is>
          <t>D</t>
        </is>
      </c>
    </row>
    <row r="9">
      <c r="A9" s="75" t="inlineStr">
        <is>
          <t>UST1Y</t>
        </is>
      </c>
      <c r="B9" s="76" t="inlineStr">
        <is>
          <t>UST 1Y</t>
        </is>
      </c>
      <c r="C9" s="14" t="inlineStr">
        <is>
          <t>USGG12M Index</t>
        </is>
      </c>
      <c r="D9" s="43" t="inlineStr">
        <is>
          <t>PX_LAST</t>
        </is>
      </c>
      <c r="E9" s="48" t="inlineStr">
        <is>
          <t>%</t>
        </is>
      </c>
      <c r="F9" s="73" t="inlineStr">
        <is>
          <t>High</t>
        </is>
      </c>
      <c r="G9" s="17" t="inlineStr"/>
      <c r="H9" s="74" t="inlineStr">
        <is>
          <t>E</t>
        </is>
      </c>
    </row>
    <row r="10">
      <c r="A10" s="72" t="inlineStr">
        <is>
          <t>UST2Y</t>
        </is>
      </c>
      <c r="B10" s="8" t="inlineStr">
        <is>
          <t>UST 2Y</t>
        </is>
      </c>
      <c r="C10" s="14" t="inlineStr">
        <is>
          <t>USGG2YR Index</t>
        </is>
      </c>
      <c r="D10" s="43" t="inlineStr">
        <is>
          <t>PX_LAST</t>
        </is>
      </c>
      <c r="E10" s="48" t="inlineStr">
        <is>
          <t>%</t>
        </is>
      </c>
      <c r="F10" s="73" t="inlineStr">
        <is>
          <t>High</t>
        </is>
      </c>
      <c r="G10" s="17" t="inlineStr"/>
      <c r="H10" s="74" t="inlineStr">
        <is>
          <t>F</t>
        </is>
      </c>
    </row>
    <row r="11">
      <c r="A11" s="75" t="inlineStr">
        <is>
          <t>UST3Y</t>
        </is>
      </c>
      <c r="B11" s="76" t="inlineStr">
        <is>
          <t>UST 3Y</t>
        </is>
      </c>
      <c r="C11" s="14" t="inlineStr">
        <is>
          <t>USGG3YR Index</t>
        </is>
      </c>
      <c r="D11" s="43" t="inlineStr">
        <is>
          <t>PX_LAST</t>
        </is>
      </c>
      <c r="E11" s="48" t="inlineStr">
        <is>
          <t>%</t>
        </is>
      </c>
      <c r="F11" s="73" t="inlineStr">
        <is>
          <t>High</t>
        </is>
      </c>
      <c r="G11" s="17" t="inlineStr"/>
      <c r="H11" s="74" t="inlineStr">
        <is>
          <t>G</t>
        </is>
      </c>
    </row>
    <row r="12">
      <c r="A12" s="72" t="inlineStr">
        <is>
          <t>UST5Y</t>
        </is>
      </c>
      <c r="B12" s="8" t="inlineStr">
        <is>
          <t>UST 5Y</t>
        </is>
      </c>
      <c r="C12" s="14" t="inlineStr">
        <is>
          <t>USGG5YR Index</t>
        </is>
      </c>
      <c r="D12" s="43" t="inlineStr">
        <is>
          <t>PX_LAST</t>
        </is>
      </c>
      <c r="E12" s="48" t="inlineStr">
        <is>
          <t>%</t>
        </is>
      </c>
      <c r="F12" s="73" t="inlineStr">
        <is>
          <t>High</t>
        </is>
      </c>
      <c r="G12" s="17" t="inlineStr"/>
      <c r="H12" s="74" t="inlineStr">
        <is>
          <t>H</t>
        </is>
      </c>
    </row>
    <row r="13">
      <c r="A13" s="75" t="inlineStr">
        <is>
          <t>UST7Y</t>
        </is>
      </c>
      <c r="B13" s="76" t="inlineStr">
        <is>
          <t>UST 7Y</t>
        </is>
      </c>
      <c r="C13" s="14" t="inlineStr">
        <is>
          <t>USGG7YR Index</t>
        </is>
      </c>
      <c r="D13" s="43" t="inlineStr">
        <is>
          <t>PX_LAST</t>
        </is>
      </c>
      <c r="E13" s="48" t="inlineStr">
        <is>
          <t>%</t>
        </is>
      </c>
      <c r="F13" s="73" t="inlineStr">
        <is>
          <t>High</t>
        </is>
      </c>
      <c r="G13" s="17" t="inlineStr"/>
      <c r="H13" s="74" t="inlineStr">
        <is>
          <t>I</t>
        </is>
      </c>
    </row>
    <row r="14">
      <c r="A14" s="72" t="inlineStr">
        <is>
          <t>UST10Y</t>
        </is>
      </c>
      <c r="B14" s="8" t="inlineStr">
        <is>
          <t>UST 10Y</t>
        </is>
      </c>
      <c r="C14" s="14" t="inlineStr">
        <is>
          <t>USGG10YR Index</t>
        </is>
      </c>
      <c r="D14" s="43" t="inlineStr">
        <is>
          <t>PX_LAST</t>
        </is>
      </c>
      <c r="E14" s="48" t="inlineStr">
        <is>
          <t>%</t>
        </is>
      </c>
      <c r="F14" s="73" t="inlineStr">
        <is>
          <t>High</t>
        </is>
      </c>
      <c r="G14" s="17" t="inlineStr"/>
      <c r="H14" s="74" t="inlineStr">
        <is>
          <t>J</t>
        </is>
      </c>
    </row>
    <row r="15">
      <c r="A15" s="75" t="inlineStr">
        <is>
          <t>UST20Y</t>
        </is>
      </c>
      <c r="B15" s="76" t="inlineStr">
        <is>
          <t>UST 20Y</t>
        </is>
      </c>
      <c r="C15" s="14" t="inlineStr">
        <is>
          <t>USGG20YR Index</t>
        </is>
      </c>
      <c r="D15" s="43" t="inlineStr">
        <is>
          <t>PX_LAST</t>
        </is>
      </c>
      <c r="E15" s="48" t="inlineStr">
        <is>
          <t>%</t>
        </is>
      </c>
      <c r="F15" s="73" t="inlineStr">
        <is>
          <t>High</t>
        </is>
      </c>
      <c r="G15" s="17" t="inlineStr"/>
      <c r="H15" s="74" t="inlineStr">
        <is>
          <t>K</t>
        </is>
      </c>
    </row>
    <row r="16">
      <c r="A16" s="72" t="inlineStr">
        <is>
          <t>UST30Y</t>
        </is>
      </c>
      <c r="B16" s="8" t="inlineStr">
        <is>
          <t>UST 30Y</t>
        </is>
      </c>
      <c r="C16" s="14" t="inlineStr">
        <is>
          <t>USGG30YR Index</t>
        </is>
      </c>
      <c r="D16" s="43" t="inlineStr">
        <is>
          <t>PX_LAST</t>
        </is>
      </c>
      <c r="E16" s="48" t="inlineStr">
        <is>
          <t>%</t>
        </is>
      </c>
      <c r="F16" s="73" t="inlineStr">
        <is>
          <t>High</t>
        </is>
      </c>
      <c r="G16" s="17" t="inlineStr"/>
      <c r="H16" s="74" t="inlineStr">
        <is>
          <t>L</t>
        </is>
      </c>
    </row>
    <row r="17">
      <c r="A17" s="75" t="inlineStr">
        <is>
          <t>OIS1Y</t>
        </is>
      </c>
      <c r="B17" s="76" t="inlineStr">
        <is>
          <t>SOFR OIS 1Y</t>
        </is>
      </c>
      <c r="C17" s="14" t="inlineStr">
        <is>
          <t>USOSFR1 Curncy</t>
        </is>
      </c>
      <c r="D17" s="43" t="inlineStr">
        <is>
          <t>PX_LAST</t>
        </is>
      </c>
      <c r="E17" s="48" t="inlineStr">
        <is>
          <t>%</t>
        </is>
      </c>
      <c r="F17" s="73" t="inlineStr">
        <is>
          <t>High</t>
        </is>
      </c>
      <c r="G17" s="17" t="inlineStr">
        <is>
          <t>SOFR OIS swap rate</t>
        </is>
      </c>
      <c r="H17" s="74" t="inlineStr">
        <is>
          <t>M</t>
        </is>
      </c>
    </row>
    <row r="18">
      <c r="A18" s="72" t="inlineStr">
        <is>
          <t>OIS2Y</t>
        </is>
      </c>
      <c r="B18" s="8" t="inlineStr">
        <is>
          <t>SOFR OIS 2Y</t>
        </is>
      </c>
      <c r="C18" s="14" t="inlineStr">
        <is>
          <t>USOSFR2 Curncy</t>
        </is>
      </c>
      <c r="D18" s="43" t="inlineStr">
        <is>
          <t>PX_LAST</t>
        </is>
      </c>
      <c r="E18" s="48" t="inlineStr">
        <is>
          <t>%</t>
        </is>
      </c>
      <c r="F18" s="73" t="inlineStr">
        <is>
          <t>High</t>
        </is>
      </c>
      <c r="G18" s="17" t="inlineStr"/>
      <c r="H18" s="74" t="inlineStr">
        <is>
          <t>N</t>
        </is>
      </c>
    </row>
    <row r="19">
      <c r="A19" s="75" t="inlineStr">
        <is>
          <t>OIS3Y</t>
        </is>
      </c>
      <c r="B19" s="76" t="inlineStr">
        <is>
          <t>SOFR OIS 3Y</t>
        </is>
      </c>
      <c r="C19" s="14" t="inlineStr">
        <is>
          <t>USOSFR3 Curncy</t>
        </is>
      </c>
      <c r="D19" s="43" t="inlineStr">
        <is>
          <t>PX_LAST</t>
        </is>
      </c>
      <c r="E19" s="48" t="inlineStr">
        <is>
          <t>%</t>
        </is>
      </c>
      <c r="F19" s="73" t="inlineStr">
        <is>
          <t>High</t>
        </is>
      </c>
      <c r="G19" s="17" t="inlineStr"/>
      <c r="H19" s="74" t="inlineStr">
        <is>
          <t>O</t>
        </is>
      </c>
    </row>
    <row r="20">
      <c r="A20" s="72" t="inlineStr">
        <is>
          <t>OIS4Y</t>
        </is>
      </c>
      <c r="B20" s="8" t="inlineStr">
        <is>
          <t>SOFR OIS 4Y</t>
        </is>
      </c>
      <c r="C20" s="14" t="inlineStr">
        <is>
          <t>USOSFR4 Curncy</t>
        </is>
      </c>
      <c r="D20" s="43" t="inlineStr">
        <is>
          <t>PX_LAST</t>
        </is>
      </c>
      <c r="E20" s="48" t="inlineStr">
        <is>
          <t>%</t>
        </is>
      </c>
      <c r="F20" s="73" t="inlineStr">
        <is>
          <t>High</t>
        </is>
      </c>
      <c r="G20" s="17" t="inlineStr">
        <is>
          <t>key: gives the 4y node</t>
        </is>
      </c>
      <c r="H20" s="74" t="inlineStr">
        <is>
          <t>P</t>
        </is>
      </c>
    </row>
    <row r="21">
      <c r="A21" s="75" t="inlineStr">
        <is>
          <t>OIS5Y</t>
        </is>
      </c>
      <c r="B21" s="76" t="inlineStr">
        <is>
          <t>SOFR OIS 5Y</t>
        </is>
      </c>
      <c r="C21" s="14" t="inlineStr">
        <is>
          <t>USOSFR5 Curncy</t>
        </is>
      </c>
      <c r="D21" s="43" t="inlineStr">
        <is>
          <t>PX_LAST</t>
        </is>
      </c>
      <c r="E21" s="48" t="inlineStr">
        <is>
          <t>%</t>
        </is>
      </c>
      <c r="F21" s="73" t="inlineStr">
        <is>
          <t>High</t>
        </is>
      </c>
      <c r="G21" s="17" t="inlineStr"/>
      <c r="H21" s="74" t="inlineStr">
        <is>
          <t>Q</t>
        </is>
      </c>
    </row>
    <row r="22">
      <c r="A22" s="72" t="inlineStr">
        <is>
          <t>OIS7Y</t>
        </is>
      </c>
      <c r="B22" s="8" t="inlineStr">
        <is>
          <t>SOFR OIS 7Y</t>
        </is>
      </c>
      <c r="C22" s="14" t="inlineStr">
        <is>
          <t>USOSFR7 Curncy</t>
        </is>
      </c>
      <c r="D22" s="43" t="inlineStr">
        <is>
          <t>PX_LAST</t>
        </is>
      </c>
      <c r="E22" s="48" t="inlineStr">
        <is>
          <t>%</t>
        </is>
      </c>
      <c r="F22" s="73" t="inlineStr">
        <is>
          <t>High</t>
        </is>
      </c>
      <c r="G22" s="17" t="inlineStr"/>
      <c r="H22" s="74" t="inlineStr">
        <is>
          <t>R</t>
        </is>
      </c>
    </row>
    <row r="23">
      <c r="A23" s="75" t="inlineStr">
        <is>
          <t>OIS10Y</t>
        </is>
      </c>
      <c r="B23" s="76" t="inlineStr">
        <is>
          <t>SOFR OIS 10Y</t>
        </is>
      </c>
      <c r="C23" s="14" t="inlineStr">
        <is>
          <t>USOSFR10 Curncy</t>
        </is>
      </c>
      <c r="D23" s="43" t="inlineStr">
        <is>
          <t>PX_LAST</t>
        </is>
      </c>
      <c r="E23" s="48" t="inlineStr">
        <is>
          <t>%</t>
        </is>
      </c>
      <c r="F23" s="73" t="inlineStr">
        <is>
          <t>High</t>
        </is>
      </c>
      <c r="G23" s="17" t="inlineStr"/>
      <c r="H23" s="74" t="inlineStr">
        <is>
          <t>S</t>
        </is>
      </c>
    </row>
    <row r="24">
      <c r="A24" s="72" t="inlineStr">
        <is>
          <t>OIS15Y</t>
        </is>
      </c>
      <c r="B24" s="8" t="inlineStr">
        <is>
          <t>SOFR OIS 15Y</t>
        </is>
      </c>
      <c r="C24" s="14" t="inlineStr">
        <is>
          <t>USOSFR15 Curncy</t>
        </is>
      </c>
      <c r="D24" s="43" t="inlineStr">
        <is>
          <t>PX_LAST</t>
        </is>
      </c>
      <c r="E24" s="48" t="inlineStr">
        <is>
          <t>%</t>
        </is>
      </c>
      <c r="F24" s="73" t="inlineStr">
        <is>
          <t>High</t>
        </is>
      </c>
      <c r="G24" s="17" t="inlineStr">
        <is>
          <t>key: gives the 15y node</t>
        </is>
      </c>
      <c r="H24" s="74" t="inlineStr">
        <is>
          <t>T</t>
        </is>
      </c>
    </row>
    <row r="25">
      <c r="A25" s="75" t="inlineStr">
        <is>
          <t>OIS20Y</t>
        </is>
      </c>
      <c r="B25" s="76" t="inlineStr">
        <is>
          <t>SOFR OIS 20Y</t>
        </is>
      </c>
      <c r="C25" s="14" t="inlineStr">
        <is>
          <t>USOSFR20 Curncy</t>
        </is>
      </c>
      <c r="D25" s="43" t="inlineStr">
        <is>
          <t>PX_LAST</t>
        </is>
      </c>
      <c r="E25" s="48" t="inlineStr">
        <is>
          <t>%</t>
        </is>
      </c>
      <c r="F25" s="73" t="inlineStr">
        <is>
          <t>High</t>
        </is>
      </c>
      <c r="G25" s="17" t="inlineStr"/>
      <c r="H25" s="74" t="inlineStr">
        <is>
          <t>U</t>
        </is>
      </c>
    </row>
    <row r="26">
      <c r="A26" s="72" t="inlineStr">
        <is>
          <t>OIS30Y</t>
        </is>
      </c>
      <c r="B26" s="8" t="inlineStr">
        <is>
          <t>SOFR OIS 30Y</t>
        </is>
      </c>
      <c r="C26" s="14" t="inlineStr">
        <is>
          <t>USOSFR30 Curncy</t>
        </is>
      </c>
      <c r="D26" s="43" t="inlineStr">
        <is>
          <t>PX_LAST</t>
        </is>
      </c>
      <c r="E26" s="48" t="inlineStr">
        <is>
          <t>%</t>
        </is>
      </c>
      <c r="F26" s="73" t="inlineStr">
        <is>
          <t>High</t>
        </is>
      </c>
      <c r="G26" s="17" t="inlineStr"/>
      <c r="H26" s="74" t="inlineStr">
        <is>
          <t>V</t>
        </is>
      </c>
    </row>
    <row r="27">
      <c r="A27" s="75" t="inlineStr">
        <is>
          <t>TIPS5Y</t>
        </is>
      </c>
      <c r="B27" s="76" t="inlineStr">
        <is>
          <t>TIPS real 5Y</t>
        </is>
      </c>
      <c r="C27" s="14" t="inlineStr">
        <is>
          <t>USGGT05Y Index</t>
        </is>
      </c>
      <c r="D27" s="43" t="inlineStr">
        <is>
          <t>PX_LAST</t>
        </is>
      </c>
      <c r="E27" s="48" t="inlineStr">
        <is>
          <t>%</t>
        </is>
      </c>
      <c r="F27" s="73" t="inlineStr">
        <is>
          <t>High</t>
        </is>
      </c>
      <c r="G27" s="17" t="inlineStr"/>
      <c r="H27" s="74" t="inlineStr">
        <is>
          <t>W</t>
        </is>
      </c>
    </row>
    <row r="28">
      <c r="A28" s="72" t="inlineStr">
        <is>
          <t>TIPS10Y</t>
        </is>
      </c>
      <c r="B28" s="8" t="inlineStr">
        <is>
          <t>TIPS real 10Y</t>
        </is>
      </c>
      <c r="C28" s="14" t="inlineStr">
        <is>
          <t>USGGT10Y Index</t>
        </is>
      </c>
      <c r="D28" s="43" t="inlineStr">
        <is>
          <t>PX_LAST</t>
        </is>
      </c>
      <c r="E28" s="48" t="inlineStr">
        <is>
          <t>%</t>
        </is>
      </c>
      <c r="F28" s="73" t="inlineStr">
        <is>
          <t>High</t>
        </is>
      </c>
      <c r="G28" s="17" t="inlineStr"/>
      <c r="H28" s="74" t="inlineStr">
        <is>
          <t>X</t>
        </is>
      </c>
    </row>
    <row r="29">
      <c r="A29" s="75" t="inlineStr">
        <is>
          <t>BE5Y</t>
        </is>
      </c>
      <c r="B29" s="76" t="inlineStr">
        <is>
          <t>Breakeven 5Y</t>
        </is>
      </c>
      <c r="C29" s="14" t="inlineStr">
        <is>
          <t>USGGBE05 Index</t>
        </is>
      </c>
      <c r="D29" s="43" t="inlineStr">
        <is>
          <t>PX_LAST</t>
        </is>
      </c>
      <c r="E29" s="48" t="inlineStr">
        <is>
          <t>%</t>
        </is>
      </c>
      <c r="F29" s="73" t="inlineStr">
        <is>
          <t>High</t>
        </is>
      </c>
      <c r="G29" s="17" t="inlineStr"/>
      <c r="H29" s="74" t="inlineStr">
        <is>
          <t>Y</t>
        </is>
      </c>
    </row>
    <row r="30">
      <c r="A30" s="72" t="inlineStr">
        <is>
          <t>BE10Y</t>
        </is>
      </c>
      <c r="B30" s="8" t="inlineStr">
        <is>
          <t>Breakeven 10Y</t>
        </is>
      </c>
      <c r="C30" s="14" t="inlineStr">
        <is>
          <t>USGGBE10 Index</t>
        </is>
      </c>
      <c r="D30" s="43" t="inlineStr">
        <is>
          <t>PX_LAST</t>
        </is>
      </c>
      <c r="E30" s="48" t="inlineStr">
        <is>
          <t>%</t>
        </is>
      </c>
      <c r="F30" s="73" t="inlineStr">
        <is>
          <t>High</t>
        </is>
      </c>
      <c r="G30" s="17" t="inlineStr"/>
      <c r="H30" s="74" t="inlineStr">
        <is>
          <t>Z</t>
        </is>
      </c>
    </row>
    <row r="31">
      <c r="A31" s="75" t="inlineStr">
        <is>
          <t>TP10Y</t>
        </is>
      </c>
      <c r="B31" s="76" t="inlineStr">
        <is>
          <t>ACM term premium 10Y</t>
        </is>
      </c>
      <c r="C31" s="14" t="inlineStr">
        <is>
          <t>ACMTP10 Index</t>
        </is>
      </c>
      <c r="D31" s="43" t="inlineStr">
        <is>
          <t>PX_LAST</t>
        </is>
      </c>
      <c r="E31" s="48" t="inlineStr">
        <is>
          <t>%</t>
        </is>
      </c>
      <c r="F31" s="53" t="inlineStr">
        <is>
          <t>Verify</t>
        </is>
      </c>
      <c r="G31" s="17" t="inlineStr">
        <is>
          <t>NY Fed ACM, published w/ lag</t>
        </is>
      </c>
      <c r="H31" s="74" t="inlineStr">
        <is>
          <t>AA</t>
        </is>
      </c>
    </row>
    <row r="32">
      <c r="A32" s="72" t="inlineStr">
        <is>
          <t>MOVE</t>
        </is>
      </c>
      <c r="B32" s="8" t="inlineStr">
        <is>
          <t>MOVE index</t>
        </is>
      </c>
      <c r="C32" s="14" t="inlineStr">
        <is>
          <t>MOVE Index</t>
        </is>
      </c>
      <c r="D32" s="43" t="inlineStr">
        <is>
          <t>PX_LAST</t>
        </is>
      </c>
      <c r="E32" s="48" t="inlineStr">
        <is>
          <t>bp</t>
        </is>
      </c>
      <c r="F32" s="73" t="inlineStr">
        <is>
          <t>High</t>
        </is>
      </c>
      <c r="G32" s="17" t="inlineStr">
        <is>
          <t>rates vol</t>
        </is>
      </c>
      <c r="H32" s="74" t="inlineStr">
        <is>
          <t>AB</t>
        </is>
      </c>
    </row>
    <row r="33">
      <c r="A33" s="75" t="inlineStr">
        <is>
          <t>VIX</t>
        </is>
      </c>
      <c r="B33" s="76" t="inlineStr">
        <is>
          <t>VIX</t>
        </is>
      </c>
      <c r="C33" s="14" t="inlineStr">
        <is>
          <t>VIX Index</t>
        </is>
      </c>
      <c r="D33" s="43" t="inlineStr">
        <is>
          <t>PX_LAST</t>
        </is>
      </c>
      <c r="E33" s="48" t="inlineStr">
        <is>
          <t>pt</t>
        </is>
      </c>
      <c r="F33" s="73" t="inlineStr">
        <is>
          <t>High</t>
        </is>
      </c>
      <c r="G33" s="17" t="inlineStr"/>
      <c r="H33" s="74" t="inlineStr">
        <is>
          <t>AC</t>
        </is>
      </c>
    </row>
    <row r="34">
      <c r="A34" s="72" t="inlineStr">
        <is>
          <t>DXY</t>
        </is>
      </c>
      <c r="B34" s="8" t="inlineStr">
        <is>
          <t>DXY</t>
        </is>
      </c>
      <c r="C34" s="14" t="inlineStr">
        <is>
          <t>DXY Curncy</t>
        </is>
      </c>
      <c r="D34" s="43" t="inlineStr">
        <is>
          <t>PX_LAST</t>
        </is>
      </c>
      <c r="E34" s="48" t="inlineStr">
        <is>
          <t>pt</t>
        </is>
      </c>
      <c r="F34" s="73" t="inlineStr">
        <is>
          <t>High</t>
        </is>
      </c>
      <c r="G34" s="17" t="inlineStr"/>
      <c r="H34" s="74" t="inlineStr">
        <is>
          <t>AD</t>
        </is>
      </c>
    </row>
    <row r="35">
      <c r="A35" s="75" t="inlineStr">
        <is>
          <t>SPX</t>
        </is>
      </c>
      <c r="B35" s="76" t="inlineStr">
        <is>
          <t>S&amp;P 500</t>
        </is>
      </c>
      <c r="C35" s="14" t="inlineStr">
        <is>
          <t>SPX Index</t>
        </is>
      </c>
      <c r="D35" s="43" t="inlineStr">
        <is>
          <t>PX_LAST</t>
        </is>
      </c>
      <c r="E35" s="48" t="inlineStr">
        <is>
          <t>pt</t>
        </is>
      </c>
      <c r="F35" s="73" t="inlineStr">
        <is>
          <t>High</t>
        </is>
      </c>
      <c r="G35" s="17" t="inlineStr"/>
      <c r="H35" s="74" t="inlineStr">
        <is>
          <t>AE</t>
        </is>
      </c>
    </row>
    <row r="36">
      <c r="A36" s="72" t="inlineStr">
        <is>
          <t>IGOAS</t>
        </is>
      </c>
      <c r="B36" s="8" t="inlineStr">
        <is>
          <t>US IG OAS</t>
        </is>
      </c>
      <c r="C36" s="14" t="inlineStr">
        <is>
          <t>LUACOAS Index</t>
        </is>
      </c>
      <c r="D36" s="43" t="inlineStr">
        <is>
          <t>PX_LAST</t>
        </is>
      </c>
      <c r="E36" s="48" t="inlineStr">
        <is>
          <t>bp</t>
        </is>
      </c>
      <c r="F36" s="73" t="inlineStr">
        <is>
          <t>High</t>
        </is>
      </c>
      <c r="G36" s="17" t="inlineStr">
        <is>
          <t>Bbg US Corporate (IG) OAS</t>
        </is>
      </c>
      <c r="H36" s="74" t="inlineStr">
        <is>
          <t>AF</t>
        </is>
      </c>
    </row>
    <row r="37">
      <c r="A37" s="75" t="inlineStr">
        <is>
          <t>HYOAS</t>
        </is>
      </c>
      <c r="B37" s="76" t="inlineStr">
        <is>
          <t>US HY OAS</t>
        </is>
      </c>
      <c r="C37" s="14" t="inlineStr">
        <is>
          <t>LF98OAS Index</t>
        </is>
      </c>
      <c r="D37" s="43" t="inlineStr">
        <is>
          <t>PX_LAST</t>
        </is>
      </c>
      <c r="E37" s="48" t="inlineStr">
        <is>
          <t>bp</t>
        </is>
      </c>
      <c r="F37" s="73" t="inlineStr">
        <is>
          <t>High</t>
        </is>
      </c>
      <c r="G37" s="17" t="inlineStr">
        <is>
          <t>Bbg US Corporate High Yield OAS</t>
        </is>
      </c>
      <c r="H37" s="74" t="inlineStr">
        <is>
          <t>AG</t>
        </is>
      </c>
    </row>
    <row r="38">
      <c r="A38" s="72" t="inlineStr">
        <is>
          <t>IGTR</t>
        </is>
      </c>
      <c r="B38" s="8" t="inlineStr">
        <is>
          <t>US IG total return idx</t>
        </is>
      </c>
      <c r="C38" s="14" t="inlineStr">
        <is>
          <t>LUACTRUU Index</t>
        </is>
      </c>
      <c r="D38" s="43" t="inlineStr">
        <is>
          <t>PX_LAST</t>
        </is>
      </c>
      <c r="E38" s="48" t="inlineStr">
        <is>
          <t>idx</t>
        </is>
      </c>
      <c r="F38" s="73" t="inlineStr">
        <is>
          <t>High</t>
        </is>
      </c>
      <c r="G38" s="17" t="inlineStr"/>
      <c r="H38" s="74" t="inlineStr">
        <is>
          <t>AH</t>
        </is>
      </c>
    </row>
    <row r="39">
      <c r="A39" s="75" t="inlineStr">
        <is>
          <t>HYTR</t>
        </is>
      </c>
      <c r="B39" s="76" t="inlineStr">
        <is>
          <t>US HY total return idx</t>
        </is>
      </c>
      <c r="C39" s="14" t="inlineStr">
        <is>
          <t>LF98TRUU Index</t>
        </is>
      </c>
      <c r="D39" s="43" t="inlineStr">
        <is>
          <t>PX_LAST</t>
        </is>
      </c>
      <c r="E39" s="48" t="inlineStr">
        <is>
          <t>idx</t>
        </is>
      </c>
      <c r="F39" s="73" t="inlineStr">
        <is>
          <t>High</t>
        </is>
      </c>
      <c r="G39" s="17" t="inlineStr"/>
      <c r="H39" s="74" t="inlineStr">
        <is>
          <t>AI</t>
        </is>
      </c>
    </row>
    <row r="40">
      <c r="A40" s="72" t="inlineStr">
        <is>
          <t>EMOAS</t>
        </is>
      </c>
      <c r="B40" s="8" t="inlineStr">
        <is>
          <t>EM USD Agg OAS</t>
        </is>
      </c>
      <c r="C40" s="14" t="inlineStr">
        <is>
          <t>EMUSOAS Index</t>
        </is>
      </c>
      <c r="D40" s="43" t="inlineStr">
        <is>
          <t>PX_LAST</t>
        </is>
      </c>
      <c r="E40" s="48" t="inlineStr">
        <is>
          <t>bp</t>
        </is>
      </c>
      <c r="F40" s="53" t="inlineStr">
        <is>
          <t>Verify</t>
        </is>
      </c>
      <c r="G40" s="17" t="inlineStr">
        <is>
          <t>Bbg EM USD Aggregate OAS</t>
        </is>
      </c>
      <c r="H40" s="74" t="inlineStr">
        <is>
          <t>AJ</t>
        </is>
      </c>
    </row>
    <row r="41">
      <c r="A41" s="75" t="inlineStr">
        <is>
          <t>EMTR</t>
        </is>
      </c>
      <c r="B41" s="76" t="inlineStr">
        <is>
          <t>EM USD Agg total return idx</t>
        </is>
      </c>
      <c r="C41" s="14" t="inlineStr">
        <is>
          <t>EMUSTRUU Index</t>
        </is>
      </c>
      <c r="D41" s="43" t="inlineStr">
        <is>
          <t>PX_LAST</t>
        </is>
      </c>
      <c r="E41" s="48" t="inlineStr">
        <is>
          <t>idx</t>
        </is>
      </c>
      <c r="F41" s="53" t="inlineStr">
        <is>
          <t>Verify</t>
        </is>
      </c>
      <c r="G41" s="17" t="inlineStr"/>
      <c r="H41" s="74" t="inlineStr">
        <is>
          <t>AK</t>
        </is>
      </c>
    </row>
    <row r="42">
      <c r="A42" s="72" t="inlineStr">
        <is>
          <t>CDXIG</t>
        </is>
      </c>
      <c r="B42" s="8" t="inlineStr">
        <is>
          <t>CDX IG 5Y</t>
        </is>
      </c>
      <c r="C42" s="14" t="inlineStr">
        <is>
          <t>CDX IG CDSI GEN 5Y Corp</t>
        </is>
      </c>
      <c r="D42" s="43" t="inlineStr">
        <is>
          <t>PX_LAST</t>
        </is>
      </c>
      <c r="E42" s="48" t="inlineStr">
        <is>
          <t>bp</t>
        </is>
      </c>
      <c r="F42" s="53" t="inlineStr">
        <is>
          <t>Verify</t>
        </is>
      </c>
      <c r="G42" s="17" t="inlineStr">
        <is>
          <t>on-the-run generic</t>
        </is>
      </c>
      <c r="H42" s="74" t="inlineStr">
        <is>
          <t>AL</t>
        </is>
      </c>
    </row>
    <row r="43">
      <c r="A43" s="75" t="inlineStr">
        <is>
          <t>CDXHY</t>
        </is>
      </c>
      <c r="B43" s="76" t="inlineStr">
        <is>
          <t>CDX HY 5Y (price)</t>
        </is>
      </c>
      <c r="C43" s="14" t="inlineStr">
        <is>
          <t>CDX HY CDSI GEN 5Y Corp</t>
        </is>
      </c>
      <c r="D43" s="43" t="inlineStr">
        <is>
          <t>PX_LAST</t>
        </is>
      </c>
      <c r="E43" s="48" t="inlineStr">
        <is>
          <t>px</t>
        </is>
      </c>
      <c r="F43" s="53" t="inlineStr">
        <is>
          <t>Verify</t>
        </is>
      </c>
      <c r="G43" s="17" t="inlineStr">
        <is>
          <t>quoted in price</t>
        </is>
      </c>
      <c r="H43" s="74" t="inlineStr">
        <is>
          <t>AM</t>
        </is>
      </c>
    </row>
    <row r="44">
      <c r="A44" s="72" t="inlineStr">
        <is>
          <t>SOFR</t>
        </is>
      </c>
      <c r="B44" s="8" t="inlineStr">
        <is>
          <t>SOFR</t>
        </is>
      </c>
      <c r="C44" s="14" t="inlineStr">
        <is>
          <t>SOFRRATE Index</t>
        </is>
      </c>
      <c r="D44" s="43" t="inlineStr">
        <is>
          <t>PX_LAST</t>
        </is>
      </c>
      <c r="E44" s="48" t="inlineStr">
        <is>
          <t>%</t>
        </is>
      </c>
      <c r="F44" s="73" t="inlineStr">
        <is>
          <t>High</t>
        </is>
      </c>
      <c r="G44" s="17" t="inlineStr"/>
      <c r="H44" s="74" t="inlineStr">
        <is>
          <t>AN</t>
        </is>
      </c>
    </row>
    <row r="45">
      <c r="A45" s="75" t="inlineStr">
        <is>
          <t>EFFR</t>
        </is>
      </c>
      <c r="B45" s="76" t="inlineStr">
        <is>
          <t>EFFR</t>
        </is>
      </c>
      <c r="C45" s="14" t="inlineStr">
        <is>
          <t>FEDL01 Index</t>
        </is>
      </c>
      <c r="D45" s="43" t="inlineStr">
        <is>
          <t>PX_LAST</t>
        </is>
      </c>
      <c r="E45" s="48" t="inlineStr">
        <is>
          <t>%</t>
        </is>
      </c>
      <c r="F45" s="73" t="inlineStr">
        <is>
          <t>High</t>
        </is>
      </c>
      <c r="G45" s="17" t="inlineStr"/>
      <c r="H45" s="74" t="inlineStr">
        <is>
          <t>AO</t>
        </is>
      </c>
    </row>
    <row r="46">
      <c r="A46" s="72" t="inlineStr">
        <is>
          <t>RRP</t>
        </is>
      </c>
      <c r="B46" s="8" t="inlineStr">
        <is>
          <t>ON RRP volume</t>
        </is>
      </c>
      <c r="C46" s="14" t="inlineStr">
        <is>
          <t>RRPONTSY Index</t>
        </is>
      </c>
      <c r="D46" s="43" t="inlineStr">
        <is>
          <t>PX_LAST</t>
        </is>
      </c>
      <c r="E46" s="48" t="inlineStr">
        <is>
          <t>$bn</t>
        </is>
      </c>
      <c r="F46" s="53" t="inlineStr">
        <is>
          <t>Verify</t>
        </is>
      </c>
      <c r="G46" s="17" t="inlineStr">
        <is>
          <t>Fed ON RRP accepted</t>
        </is>
      </c>
      <c r="H46" s="74" t="inlineStr">
        <is>
          <t>AP</t>
        </is>
      </c>
    </row>
    <row r="47">
      <c r="A47" s="75" t="inlineStr">
        <is>
          <t>BGCR</t>
        </is>
      </c>
      <c r="B47" s="76" t="inlineStr">
        <is>
          <t>BGCR</t>
        </is>
      </c>
      <c r="C47" s="14" t="inlineStr">
        <is>
          <t>BGCRATE Index</t>
        </is>
      </c>
      <c r="D47" s="43" t="inlineStr">
        <is>
          <t>PX_LAST</t>
        </is>
      </c>
      <c r="E47" s="48" t="inlineStr">
        <is>
          <t>%</t>
        </is>
      </c>
      <c r="F47" s="53" t="inlineStr">
        <is>
          <t>Verify</t>
        </is>
      </c>
      <c r="G47" s="17" t="inlineStr">
        <is>
          <t>broad general collateral</t>
        </is>
      </c>
      <c r="H47" s="74" t="inlineStr">
        <is>
          <t>AQ</t>
        </is>
      </c>
    </row>
    <row r="49" ht="18" customHeight="1">
      <c r="A49" s="3" t="inlineStr">
        <is>
          <t>MONTHLY BLOCK  →  HIST_M  (25y of month-ends, for deep percentiles)</t>
        </is>
      </c>
      <c r="B49" s="4" t="n"/>
      <c r="C49" s="4" t="n"/>
      <c r="D49" s="4" t="n"/>
      <c r="E49" s="4" t="n"/>
      <c r="F49" s="4" t="n"/>
      <c r="G49" s="4" t="n"/>
      <c r="H49" s="4" t="n"/>
    </row>
    <row r="50" ht="28" customHeight="1">
      <c r="A50" s="20" t="inlineStr">
        <is>
          <t>Key</t>
        </is>
      </c>
      <c r="B50" s="20" t="inlineStr">
        <is>
          <t>Description</t>
        </is>
      </c>
      <c r="C50" s="20" t="inlineStr">
        <is>
          <t>Bloomberg ticker</t>
        </is>
      </c>
      <c r="D50" s="20" t="inlineStr">
        <is>
          <t>Field</t>
        </is>
      </c>
      <c r="E50" s="20" t="inlineStr">
        <is>
          <t>Unit</t>
        </is>
      </c>
      <c r="F50" s="20" t="inlineStr">
        <is>
          <t>Confidence</t>
        </is>
      </c>
      <c r="G50" s="20" t="inlineStr">
        <is>
          <t>Note</t>
        </is>
      </c>
      <c r="H50" s="20" t="inlineStr">
        <is>
          <t>HIST_M column</t>
        </is>
      </c>
    </row>
    <row r="51">
      <c r="A51" s="72" t="inlineStr">
        <is>
          <t>MUST2Y</t>
        </is>
      </c>
      <c r="B51" s="8" t="inlineStr">
        <is>
          <t>UST 2Y</t>
        </is>
      </c>
      <c r="C51" s="14" t="inlineStr">
        <is>
          <t>USGG2YR Index</t>
        </is>
      </c>
      <c r="D51" s="43" t="inlineStr">
        <is>
          <t>PX_LAST</t>
        </is>
      </c>
      <c r="E51" s="48" t="inlineStr">
        <is>
          <t>%</t>
        </is>
      </c>
      <c r="F51" s="73" t="inlineStr">
        <is>
          <t>High</t>
        </is>
      </c>
      <c r="G51" s="17" t="inlineStr">
        <is>
          <t>same security as daily, sampled monthly</t>
        </is>
      </c>
      <c r="H51" s="74" t="inlineStr">
        <is>
          <t>B</t>
        </is>
      </c>
    </row>
    <row r="52">
      <c r="A52" s="72" t="inlineStr">
        <is>
          <t>MUST5Y</t>
        </is>
      </c>
      <c r="B52" s="8" t="inlineStr">
        <is>
          <t>UST 5Y</t>
        </is>
      </c>
      <c r="C52" s="14" t="inlineStr">
        <is>
          <t>USGG5YR Index</t>
        </is>
      </c>
      <c r="D52" s="43" t="inlineStr">
        <is>
          <t>PX_LAST</t>
        </is>
      </c>
      <c r="E52" s="48" t="inlineStr">
        <is>
          <t>%</t>
        </is>
      </c>
      <c r="F52" s="73" t="inlineStr">
        <is>
          <t>High</t>
        </is>
      </c>
      <c r="G52" s="17" t="inlineStr">
        <is>
          <t>same security as daily, sampled monthly</t>
        </is>
      </c>
      <c r="H52" s="74" t="inlineStr">
        <is>
          <t>C</t>
        </is>
      </c>
    </row>
    <row r="53">
      <c r="A53" s="72" t="inlineStr">
        <is>
          <t>MUST10Y</t>
        </is>
      </c>
      <c r="B53" s="8" t="inlineStr">
        <is>
          <t>UST 10Y</t>
        </is>
      </c>
      <c r="C53" s="14" t="inlineStr">
        <is>
          <t>USGG10YR Index</t>
        </is>
      </c>
      <c r="D53" s="43" t="inlineStr">
        <is>
          <t>PX_LAST</t>
        </is>
      </c>
      <c r="E53" s="48" t="inlineStr">
        <is>
          <t>%</t>
        </is>
      </c>
      <c r="F53" s="73" t="inlineStr">
        <is>
          <t>High</t>
        </is>
      </c>
      <c r="G53" s="17" t="inlineStr">
        <is>
          <t>same security as daily, sampled monthly</t>
        </is>
      </c>
      <c r="H53" s="74" t="inlineStr">
        <is>
          <t>D</t>
        </is>
      </c>
    </row>
    <row r="54">
      <c r="A54" s="72" t="inlineStr">
        <is>
          <t>MUST30Y</t>
        </is>
      </c>
      <c r="B54" s="8" t="inlineStr">
        <is>
          <t>UST 30Y</t>
        </is>
      </c>
      <c r="C54" s="14" t="inlineStr">
        <is>
          <t>USGG30YR Index</t>
        </is>
      </c>
      <c r="D54" s="43" t="inlineStr">
        <is>
          <t>PX_LAST</t>
        </is>
      </c>
      <c r="E54" s="48" t="inlineStr">
        <is>
          <t>%</t>
        </is>
      </c>
      <c r="F54" s="73" t="inlineStr">
        <is>
          <t>High</t>
        </is>
      </c>
      <c r="G54" s="17" t="inlineStr">
        <is>
          <t>same security as daily, sampled monthly</t>
        </is>
      </c>
      <c r="H54" s="74" t="inlineStr">
        <is>
          <t>E</t>
        </is>
      </c>
    </row>
    <row r="55">
      <c r="A55" s="72" t="inlineStr">
        <is>
          <t>MIGOAS</t>
        </is>
      </c>
      <c r="B55" s="8" t="inlineStr">
        <is>
          <t>US IG OAS</t>
        </is>
      </c>
      <c r="C55" s="14" t="inlineStr">
        <is>
          <t>LUACOAS Index</t>
        </is>
      </c>
      <c r="D55" s="43" t="inlineStr">
        <is>
          <t>PX_LAST</t>
        </is>
      </c>
      <c r="E55" s="48" t="inlineStr">
        <is>
          <t>bp</t>
        </is>
      </c>
      <c r="F55" s="73" t="inlineStr">
        <is>
          <t>High</t>
        </is>
      </c>
      <c r="G55" s="17" t="inlineStr">
        <is>
          <t>same security as daily, sampled monthly</t>
        </is>
      </c>
      <c r="H55" s="74" t="inlineStr">
        <is>
          <t>F</t>
        </is>
      </c>
    </row>
    <row r="56">
      <c r="A56" s="72" t="inlineStr">
        <is>
          <t>MHYOAS</t>
        </is>
      </c>
      <c r="B56" s="8" t="inlineStr">
        <is>
          <t>US HY OAS</t>
        </is>
      </c>
      <c r="C56" s="14" t="inlineStr">
        <is>
          <t>LF98OAS Index</t>
        </is>
      </c>
      <c r="D56" s="43" t="inlineStr">
        <is>
          <t>PX_LAST</t>
        </is>
      </c>
      <c r="E56" s="48" t="inlineStr">
        <is>
          <t>bp</t>
        </is>
      </c>
      <c r="F56" s="73" t="inlineStr">
        <is>
          <t>High</t>
        </is>
      </c>
      <c r="G56" s="17" t="inlineStr">
        <is>
          <t>same security as daily, sampled monthly</t>
        </is>
      </c>
      <c r="H56" s="74" t="inlineStr">
        <is>
          <t>G</t>
        </is>
      </c>
    </row>
    <row r="57">
      <c r="A57" s="72" t="inlineStr">
        <is>
          <t>MEMOAS</t>
        </is>
      </c>
      <c r="B57" s="8" t="inlineStr">
        <is>
          <t>EM USD Agg OAS</t>
        </is>
      </c>
      <c r="C57" s="14" t="inlineStr">
        <is>
          <t>EMUSOAS Index</t>
        </is>
      </c>
      <c r="D57" s="43" t="inlineStr">
        <is>
          <t>PX_LAST</t>
        </is>
      </c>
      <c r="E57" s="48" t="inlineStr">
        <is>
          <t>bp</t>
        </is>
      </c>
      <c r="F57" s="73" t="inlineStr">
        <is>
          <t>High</t>
        </is>
      </c>
      <c r="G57" s="17" t="inlineStr">
        <is>
          <t>same security as daily, sampled monthly</t>
        </is>
      </c>
      <c r="H57" s="74" t="inlineStr">
        <is>
          <t>H</t>
        </is>
      </c>
    </row>
    <row r="58">
      <c r="A58" s="72" t="inlineStr">
        <is>
          <t>MMOVE</t>
        </is>
      </c>
      <c r="B58" s="8" t="inlineStr">
        <is>
          <t>MOVE index</t>
        </is>
      </c>
      <c r="C58" s="14" t="inlineStr">
        <is>
          <t>MOVE Index</t>
        </is>
      </c>
      <c r="D58" s="43" t="inlineStr">
        <is>
          <t>PX_LAST</t>
        </is>
      </c>
      <c r="E58" s="48" t="inlineStr">
        <is>
          <t>bp</t>
        </is>
      </c>
      <c r="F58" s="73" t="inlineStr">
        <is>
          <t>High</t>
        </is>
      </c>
      <c r="G58" s="17" t="inlineStr">
        <is>
          <t>same security as daily, sampled monthly</t>
        </is>
      </c>
      <c r="H58" s="74" t="inlineStr">
        <is>
          <t>I</t>
        </is>
      </c>
    </row>
    <row r="60" ht="18" customHeight="1">
      <c r="A60" s="3" t="inlineStr">
        <is>
          <t>POINT-IN-TIME TICKERS USED ON OTHER TABS (pulled where they are used, via BDP)</t>
        </is>
      </c>
      <c r="B60" s="4" t="n"/>
      <c r="C60" s="4" t="n"/>
      <c r="D60" s="4" t="n"/>
      <c r="E60" s="4" t="n"/>
      <c r="F60" s="4" t="n"/>
      <c r="G60" s="4" t="n"/>
      <c r="H60" s="4" t="n"/>
    </row>
    <row r="61" ht="28" customHeight="1">
      <c r="A61" s="20" t="inlineStr">
        <is>
          <t>Tab</t>
        </is>
      </c>
      <c r="B61" s="20" t="inlineStr">
        <is>
          <t>What it is</t>
        </is>
      </c>
      <c r="C61" s="20" t="inlineStr">
        <is>
          <t>Bloomberg ticker</t>
        </is>
      </c>
      <c r="D61" s="20" t="inlineStr">
        <is>
          <t>Field</t>
        </is>
      </c>
      <c r="E61" s="20" t="inlineStr">
        <is>
          <t>Unit</t>
        </is>
      </c>
      <c r="F61" s="20" t="inlineStr">
        <is>
          <t>Confidence</t>
        </is>
      </c>
      <c r="G61" s="20" t="inlineStr">
        <is>
          <t>Note</t>
        </is>
      </c>
      <c r="H61" s="20" t="inlineStr"/>
    </row>
    <row r="62">
      <c r="A62" s="8" t="inlineStr">
        <is>
          <t>Policy</t>
        </is>
      </c>
      <c r="B62" s="8" t="inlineStr">
        <is>
          <t>Fed funds futures strip</t>
        </is>
      </c>
      <c r="C62" s="14" t="inlineStr">
        <is>
          <t>FF1..FF18 Comdty</t>
        </is>
      </c>
      <c r="D62" s="48" t="inlineStr">
        <is>
          <t>PX_LAST</t>
        </is>
      </c>
      <c r="E62" s="48" t="inlineStr">
        <is>
          <t>px</t>
        </is>
      </c>
      <c r="F62" s="73" t="inlineStr">
        <is>
          <t>High</t>
        </is>
      </c>
      <c r="G62" s="17" t="inlineStr">
        <is>
          <t>implied rate = 100 − price</t>
        </is>
      </c>
    </row>
    <row r="63">
      <c r="A63" s="8" t="inlineStr">
        <is>
          <t>Policy</t>
        </is>
      </c>
      <c r="B63" s="8" t="inlineStr">
        <is>
          <t>Fed funds target upper</t>
        </is>
      </c>
      <c r="C63" s="14" t="inlineStr">
        <is>
          <t>FDTR Index</t>
        </is>
      </c>
      <c r="D63" s="48" t="inlineStr">
        <is>
          <t>PX_LAST</t>
        </is>
      </c>
      <c r="E63" s="48" t="inlineStr">
        <is>
          <t>%</t>
        </is>
      </c>
      <c r="F63" s="73" t="inlineStr">
        <is>
          <t>High</t>
        </is>
      </c>
      <c r="G63" s="17" t="inlineStr"/>
    </row>
    <row r="64">
      <c r="A64" s="8" t="inlineStr">
        <is>
          <t>Policy</t>
        </is>
      </c>
      <c r="B64" s="8" t="inlineStr">
        <is>
          <t>Fed funds target lower</t>
        </is>
      </c>
      <c r="C64" s="14" t="inlineStr">
        <is>
          <t>FDTRFTRL Index</t>
        </is>
      </c>
      <c r="D64" s="48" t="inlineStr">
        <is>
          <t>PX_LAST</t>
        </is>
      </c>
      <c r="E64" s="48" t="inlineStr">
        <is>
          <t>%</t>
        </is>
      </c>
      <c r="F64" s="53" t="inlineStr">
        <is>
          <t>Verify</t>
        </is>
      </c>
      <c r="G64" s="17" t="inlineStr">
        <is>
          <t>lower bound of the band</t>
        </is>
      </c>
    </row>
    <row r="65">
      <c r="A65" s="8" t="inlineStr">
        <is>
          <t>Policy</t>
        </is>
      </c>
      <c r="B65" s="8" t="inlineStr">
        <is>
          <t>SOFR futures strip</t>
        </is>
      </c>
      <c r="C65" s="14" t="inlineStr">
        <is>
          <t>SFR1..SFR12 Comdty</t>
        </is>
      </c>
      <c r="D65" s="48" t="inlineStr">
        <is>
          <t>PX_LAST</t>
        </is>
      </c>
      <c r="E65" s="48" t="inlineStr">
        <is>
          <t>px</t>
        </is>
      </c>
      <c r="F65" s="53" t="inlineStr">
        <is>
          <t>Verify</t>
        </is>
      </c>
      <c r="G65" s="17" t="inlineStr">
        <is>
          <t>3M SOFR generics; confirm root</t>
        </is>
      </c>
    </row>
    <row r="66">
      <c r="A66" s="8" t="inlineStr">
        <is>
          <t>Liquidity</t>
        </is>
      </c>
      <c r="B66" s="8" t="inlineStr">
        <is>
          <t>Interest on reserve balances</t>
        </is>
      </c>
      <c r="C66" s="14" t="inlineStr">
        <is>
          <t>IORB Index</t>
        </is>
      </c>
      <c r="D66" s="48" t="inlineStr">
        <is>
          <t>PX_LAST</t>
        </is>
      </c>
      <c r="E66" s="48" t="inlineStr">
        <is>
          <t>%</t>
        </is>
      </c>
      <c r="F66" s="53" t="inlineStr">
        <is>
          <t>Verify</t>
        </is>
      </c>
      <c r="G66" s="17" t="inlineStr">
        <is>
          <t>confirm root in SECF</t>
        </is>
      </c>
    </row>
    <row r="67">
      <c r="A67" s="8" t="inlineStr">
        <is>
          <t>Liquidity</t>
        </is>
      </c>
      <c r="B67" s="8" t="inlineStr">
        <is>
          <t>Fed total assets</t>
        </is>
      </c>
      <c r="C67" s="14" t="inlineStr">
        <is>
          <t>FARBAST Index</t>
        </is>
      </c>
      <c r="D67" s="48" t="inlineStr">
        <is>
          <t>PX_LAST</t>
        </is>
      </c>
      <c r="E67" s="48" t="inlineStr">
        <is>
          <t>$mn</t>
        </is>
      </c>
      <c r="F67" s="53" t="inlineStr">
        <is>
          <t>Verify</t>
        </is>
      </c>
      <c r="G67" s="17" t="inlineStr">
        <is>
          <t>H.4.1, weekly</t>
        </is>
      </c>
    </row>
    <row r="68">
      <c r="A68" s="8" t="inlineStr">
        <is>
          <t>Liquidity</t>
        </is>
      </c>
      <c r="B68" s="8" t="inlineStr">
        <is>
          <t>Reserve balances at Fed</t>
        </is>
      </c>
      <c r="C68" s="14" t="inlineStr">
        <is>
          <t>FARBREBA Index</t>
        </is>
      </c>
      <c r="D68" s="48" t="inlineStr">
        <is>
          <t>PX_LAST</t>
        </is>
      </c>
      <c r="E68" s="48" t="inlineStr">
        <is>
          <t>$mn</t>
        </is>
      </c>
      <c r="F68" s="53" t="inlineStr">
        <is>
          <t>Verify</t>
        </is>
      </c>
      <c r="G68" s="17" t="inlineStr">
        <is>
          <t>H.4.1, weekly</t>
        </is>
      </c>
    </row>
    <row r="69">
      <c r="A69" s="8" t="inlineStr">
        <is>
          <t>Liquidity</t>
        </is>
      </c>
      <c r="B69" s="8" t="inlineStr">
        <is>
          <t>Treasury General Account</t>
        </is>
      </c>
      <c r="C69" s="14" t="inlineStr">
        <is>
          <t>FDTRGENA Index</t>
        </is>
      </c>
      <c r="D69" s="48" t="inlineStr">
        <is>
          <t>PX_LAST</t>
        </is>
      </c>
      <c r="E69" s="48" t="inlineStr">
        <is>
          <t>$mn</t>
        </is>
      </c>
      <c r="F69" s="53" t="inlineStr">
        <is>
          <t>Verify</t>
        </is>
      </c>
      <c r="G69" s="17" t="inlineStr">
        <is>
          <t>H.4.1, weekly</t>
        </is>
      </c>
    </row>
    <row r="70">
      <c r="A70" s="8" t="inlineStr">
        <is>
          <t>Liquidity</t>
        </is>
      </c>
      <c r="B70" s="8" t="inlineStr">
        <is>
          <t>Standing Repo Facility usage</t>
        </is>
      </c>
      <c r="C70" s="14" t="inlineStr">
        <is>
          <t>FARBSRFO Index</t>
        </is>
      </c>
      <c r="D70" s="48" t="inlineStr">
        <is>
          <t>PX_LAST</t>
        </is>
      </c>
      <c r="E70" s="48" t="inlineStr">
        <is>
          <t>$mn</t>
        </is>
      </c>
      <c r="F70" s="53" t="inlineStr">
        <is>
          <t>Verify</t>
        </is>
      </c>
      <c r="G70" s="17" t="inlineStr">
        <is>
          <t>confirm; zero most days</t>
        </is>
      </c>
    </row>
    <row r="71">
      <c r="A71" s="8" t="inlineStr">
        <is>
          <t>Liquidity</t>
        </is>
      </c>
      <c r="B71" s="8" t="inlineStr">
        <is>
          <t>Tri-party general collateral</t>
        </is>
      </c>
      <c r="C71" s="14" t="inlineStr">
        <is>
          <t>TGCRATE Index</t>
        </is>
      </c>
      <c r="D71" s="48" t="inlineStr">
        <is>
          <t>PX_LAST</t>
        </is>
      </c>
      <c r="E71" s="48" t="inlineStr">
        <is>
          <t>%</t>
        </is>
      </c>
      <c r="F71" s="53" t="inlineStr">
        <is>
          <t>Verify</t>
        </is>
      </c>
      <c r="G71" s="17" t="inlineStr"/>
    </row>
    <row r="72">
      <c r="A72" s="8" t="inlineStr">
        <is>
          <t>Liquidity</t>
        </is>
      </c>
      <c r="B72" s="8" t="inlineStr">
        <is>
          <t>Govt securities liquidity index</t>
        </is>
      </c>
      <c r="C72" s="14" t="inlineStr">
        <is>
          <t>USGGLIQ Index</t>
        </is>
      </c>
      <c r="D72" s="48" t="inlineStr">
        <is>
          <t>PX_LAST</t>
        </is>
      </c>
      <c r="E72" s="48" t="inlineStr">
        <is>
          <t>idx</t>
        </is>
      </c>
      <c r="F72" s="53" t="inlineStr">
        <is>
          <t>Verify</t>
        </is>
      </c>
      <c r="G72" s="17" t="inlineStr">
        <is>
          <t>Bloomberg UST liquidity index</t>
        </is>
      </c>
    </row>
    <row r="73">
      <c r="A73" s="8" t="inlineStr">
        <is>
          <t>Nodes</t>
        </is>
      </c>
      <c r="B73" s="8" t="inlineStr">
        <is>
          <t>On-the-run 2y/5y/10y/30y</t>
        </is>
      </c>
      <c r="C73" s="14" t="inlineStr">
        <is>
          <t>CT2 / CT5 / CT10 / CT30 Govt</t>
        </is>
      </c>
      <c r="D73" s="48" t="inlineStr">
        <is>
          <t>PX_BID / PX_ASK</t>
        </is>
      </c>
      <c r="E73" s="48" t="inlineStr">
        <is>
          <t>px</t>
        </is>
      </c>
      <c r="F73" s="73" t="inlineStr">
        <is>
          <t>High</t>
        </is>
      </c>
      <c r="G73" s="17" t="inlineStr">
        <is>
          <t>generic on-the-runs</t>
        </is>
      </c>
    </row>
    <row r="74">
      <c r="A74" s="8" t="inlineStr">
        <is>
          <t>Nodes</t>
        </is>
      </c>
      <c r="B74" s="8" t="inlineStr">
        <is>
          <t>Treasury futures</t>
        </is>
      </c>
      <c r="C74" s="14" t="inlineStr">
        <is>
          <t>TU1 FV1 TY1 UXY1 US1 WN1 Comdty</t>
        </is>
      </c>
      <c r="D74" s="48" t="inlineStr">
        <is>
          <t>PX_LAST, VOLUME, OPEN_INT</t>
        </is>
      </c>
      <c r="E74" s="48" t="inlineStr"/>
      <c r="F74" s="73" t="inlineStr">
        <is>
          <t>High</t>
        </is>
      </c>
      <c r="G74" s="17" t="inlineStr"/>
    </row>
    <row r="75">
      <c r="A75" s="8" t="inlineStr">
        <is>
          <t>Nodes</t>
        </is>
      </c>
      <c r="B75" s="8" t="inlineStr">
        <is>
          <t>Off-the-run comparators</t>
        </is>
      </c>
      <c r="C75" s="14" t="inlineStr">
        <is>
          <t>paste CUSIP tickers</t>
        </is>
      </c>
      <c r="D75" s="48" t="inlineStr">
        <is>
          <t>PX_BID / PX_ASK</t>
        </is>
      </c>
      <c r="E75" s="48" t="inlineStr">
        <is>
          <t>px</t>
        </is>
      </c>
      <c r="F75" s="53" t="inlineStr">
        <is>
          <t>Input</t>
        </is>
      </c>
      <c r="G75" s="17" t="inlineStr">
        <is>
          <t>yellow cells on the Nodes tab</t>
        </is>
      </c>
    </row>
    <row r="76">
      <c r="A76" s="8" t="inlineStr">
        <is>
          <t>Credit</t>
        </is>
      </c>
      <c r="B76" s="8" t="inlineStr">
        <is>
          <t>Index yield-to-worst</t>
        </is>
      </c>
      <c r="C76" s="14" t="inlineStr">
        <is>
          <t>LUACYW / LF98YW Index</t>
        </is>
      </c>
      <c r="D76" s="48" t="inlineStr">
        <is>
          <t>PX_LAST</t>
        </is>
      </c>
      <c r="E76" s="48" t="inlineStr">
        <is>
          <t>%</t>
        </is>
      </c>
      <c r="F76" s="53" t="inlineStr">
        <is>
          <t>Verify</t>
        </is>
      </c>
      <c r="G76" s="17" t="inlineStr">
        <is>
          <t>fallback input if the ticker fails</t>
        </is>
      </c>
    </row>
    <row r="77">
      <c r="A77" s="8" t="inlineStr">
        <is>
          <t>Credit</t>
        </is>
      </c>
      <c r="B77" s="8" t="inlineStr">
        <is>
          <t>Index duration</t>
        </is>
      </c>
      <c r="C77" s="14" t="inlineStr">
        <is>
          <t>LUACTRUU / LF98TRUU Index</t>
        </is>
      </c>
      <c r="D77" s="48" t="inlineStr">
        <is>
          <t>DUR_ADJ_MID</t>
        </is>
      </c>
      <c r="E77" s="48" t="inlineStr">
        <is>
          <t>yrs</t>
        </is>
      </c>
      <c r="F77" s="53" t="inlineStr">
        <is>
          <t>Verify</t>
        </is>
      </c>
      <c r="G77" s="17" t="inlineStr">
        <is>
          <t>fallback input if the field fails</t>
        </is>
      </c>
    </row>
    <row r="78">
      <c r="A78" s="8" t="inlineStr">
        <is>
          <t>EM</t>
        </is>
      </c>
      <c r="B78" s="8" t="inlineStr">
        <is>
          <t>EMBI Global Diversified</t>
        </is>
      </c>
      <c r="C78" s="14" t="inlineStr">
        <is>
          <t>from your embi_tracker.py</t>
        </is>
      </c>
      <c r="D78" s="48" t="inlineStr">
        <is>
          <t>Dur Wgt STW (Trsy)</t>
        </is>
      </c>
      <c r="E78" s="48" t="inlineStr">
        <is>
          <t>bp</t>
        </is>
      </c>
      <c r="F78" s="53" t="inlineStr">
        <is>
          <t>Input</t>
        </is>
      </c>
      <c r="G78" s="17" t="inlineStr">
        <is>
          <t>Bloomberg EMBI tickers are unreliable for your use — paste from EMBI_history_extended.csv</t>
        </is>
      </c>
    </row>
  </sheetData>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BP2617"/>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s>
  <sheetData>
    <row r="1">
      <c r="A1" s="1" t="inlineStr">
        <is>
          <t>DAILY HISTORY BLOCK — newest first</t>
        </is>
      </c>
    </row>
    <row r="2">
      <c r="A2" s="2" t="inlineStr">
        <is>
          <t>One BDH per series. Row 8 = most recent. Weekday calendar (Days=W) with previous-value fill (Fill=P) so every column is row-aligned.</t>
        </is>
      </c>
    </row>
    <row r="3">
      <c r="A3" s="10" t="inlineStr">
        <is>
          <t>Column A and B come from one BDH with Dts=S (dates + values). Every other column uses Dts=H and inherits A's calendar.</t>
        </is>
      </c>
    </row>
    <row r="4" ht="30" customHeight="1">
      <c r="A4" s="5" t="inlineStr">
        <is>
          <t>Series</t>
        </is>
      </c>
      <c r="B4" s="5" t="inlineStr">
        <is>
          <t>UST 1M</t>
        </is>
      </c>
      <c r="C4" s="5" t="inlineStr">
        <is>
          <t>UST 3M</t>
        </is>
      </c>
      <c r="D4" s="5" t="inlineStr">
        <is>
          <t>UST 6M</t>
        </is>
      </c>
      <c r="E4" s="5" t="inlineStr">
        <is>
          <t>UST 1Y</t>
        </is>
      </c>
      <c r="F4" s="5" t="inlineStr">
        <is>
          <t>UST 2Y</t>
        </is>
      </c>
      <c r="G4" s="5" t="inlineStr">
        <is>
          <t>UST 3Y</t>
        </is>
      </c>
      <c r="H4" s="5" t="inlineStr">
        <is>
          <t>UST 5Y</t>
        </is>
      </c>
      <c r="I4" s="5" t="inlineStr">
        <is>
          <t>UST 7Y</t>
        </is>
      </c>
      <c r="J4" s="5" t="inlineStr">
        <is>
          <t>UST 10Y</t>
        </is>
      </c>
      <c r="K4" s="5" t="inlineStr">
        <is>
          <t>UST 20Y</t>
        </is>
      </c>
      <c r="L4" s="5" t="inlineStr">
        <is>
          <t>UST 30Y</t>
        </is>
      </c>
      <c r="M4" s="5" t="inlineStr">
        <is>
          <t>SOFR OIS 1Y</t>
        </is>
      </c>
      <c r="N4" s="5" t="inlineStr">
        <is>
          <t>SOFR OIS 2Y</t>
        </is>
      </c>
      <c r="O4" s="5" t="inlineStr">
        <is>
          <t>SOFR OIS 3Y</t>
        </is>
      </c>
      <c r="P4" s="5" t="inlineStr">
        <is>
          <t>SOFR OIS 4Y</t>
        </is>
      </c>
      <c r="Q4" s="5" t="inlineStr">
        <is>
          <t>SOFR OIS 5Y</t>
        </is>
      </c>
      <c r="R4" s="5" t="inlineStr">
        <is>
          <t>SOFR OIS 7Y</t>
        </is>
      </c>
      <c r="S4" s="5" t="inlineStr">
        <is>
          <t>SOFR OIS 10Y</t>
        </is>
      </c>
      <c r="T4" s="5" t="inlineStr">
        <is>
          <t>SOFR OIS 15Y</t>
        </is>
      </c>
      <c r="U4" s="5" t="inlineStr">
        <is>
          <t>SOFR OIS 20Y</t>
        </is>
      </c>
      <c r="V4" s="5" t="inlineStr">
        <is>
          <t>SOFR OIS 30Y</t>
        </is>
      </c>
      <c r="W4" s="5" t="inlineStr">
        <is>
          <t>TIPS real 5Y</t>
        </is>
      </c>
      <c r="X4" s="5" t="inlineStr">
        <is>
          <t>TIPS real 10Y</t>
        </is>
      </c>
      <c r="Y4" s="5" t="inlineStr">
        <is>
          <t>Breakeven 5Y</t>
        </is>
      </c>
      <c r="Z4" s="5" t="inlineStr">
        <is>
          <t>Breakeven 10Y</t>
        </is>
      </c>
      <c r="AA4" s="5" t="inlineStr">
        <is>
          <t>ACM term premium 10Y</t>
        </is>
      </c>
      <c r="AB4" s="5" t="inlineStr">
        <is>
          <t>MOVE index</t>
        </is>
      </c>
      <c r="AC4" s="5" t="inlineStr">
        <is>
          <t>VIX</t>
        </is>
      </c>
      <c r="AD4" s="5" t="inlineStr">
        <is>
          <t>DXY</t>
        </is>
      </c>
      <c r="AE4" s="5" t="inlineStr">
        <is>
          <t>S&amp;P 500</t>
        </is>
      </c>
      <c r="AF4" s="5" t="inlineStr">
        <is>
          <t>US IG OAS</t>
        </is>
      </c>
      <c r="AG4" s="5" t="inlineStr">
        <is>
          <t>US HY OAS</t>
        </is>
      </c>
      <c r="AH4" s="5" t="inlineStr">
        <is>
          <t>US IG total return idx</t>
        </is>
      </c>
      <c r="AI4" s="5" t="inlineStr">
        <is>
          <t>US HY total return idx</t>
        </is>
      </c>
      <c r="AJ4" s="5" t="inlineStr">
        <is>
          <t>EM USD Agg OAS</t>
        </is>
      </c>
      <c r="AK4" s="5" t="inlineStr">
        <is>
          <t>EM USD Agg total return idx</t>
        </is>
      </c>
      <c r="AL4" s="5" t="inlineStr">
        <is>
          <t>CDX IG 5Y</t>
        </is>
      </c>
      <c r="AM4" s="5" t="inlineStr">
        <is>
          <t>CDX HY 5Y (price)</t>
        </is>
      </c>
      <c r="AN4" s="5" t="inlineStr">
        <is>
          <t>SOFR</t>
        </is>
      </c>
      <c r="AO4" s="5" t="inlineStr">
        <is>
          <t>EFFR</t>
        </is>
      </c>
      <c r="AP4" s="5" t="inlineStr">
        <is>
          <t>ON RRP volume</t>
        </is>
      </c>
      <c r="AQ4" s="5" t="inlineStr">
        <is>
          <t>BGCR</t>
        </is>
      </c>
      <c r="AR4" s="77" t="inlineStr">
        <is>
          <t>UST 4Y (built)</t>
        </is>
      </c>
      <c r="AS4" s="77" t="inlineStr">
        <is>
          <t>UST 15Y (built)</t>
        </is>
      </c>
      <c r="AT4" s="77" t="inlineStr">
        <is>
          <t>3m10y</t>
        </is>
      </c>
      <c r="AU4" s="77" t="inlineStr">
        <is>
          <t>2s5s</t>
        </is>
      </c>
      <c r="AV4" s="77" t="inlineStr">
        <is>
          <t>2s10s</t>
        </is>
      </c>
      <c r="AW4" s="77" t="inlineStr">
        <is>
          <t>2s30s</t>
        </is>
      </c>
      <c r="AX4" s="77" t="inlineStr">
        <is>
          <t>5s10s</t>
        </is>
      </c>
      <c r="AY4" s="77" t="inlineStr">
        <is>
          <t>5s30s</t>
        </is>
      </c>
      <c r="AZ4" s="77" t="inlineStr">
        <is>
          <t>10s30s</t>
        </is>
      </c>
      <c r="BA4" s="77" t="inlineStr">
        <is>
          <t>2s5s10s fly</t>
        </is>
      </c>
      <c r="BB4" s="77" t="inlineStr">
        <is>
          <t>5s10s30s fly</t>
        </is>
      </c>
      <c r="BC4" s="77" t="inlineStr">
        <is>
          <t>Swap spread 2Y</t>
        </is>
      </c>
      <c r="BD4" s="77" t="inlineStr">
        <is>
          <t>Swap spread 5Y</t>
        </is>
      </c>
      <c r="BE4" s="77" t="inlineStr">
        <is>
          <t>Swap spread 10Y</t>
        </is>
      </c>
      <c r="BF4" s="77" t="inlineStr">
        <is>
          <t>Swap spread 30Y</t>
        </is>
      </c>
      <c r="BG4" s="77" t="inlineStr">
        <is>
          <t>HY minus IG OAS</t>
        </is>
      </c>
      <c r="BH4" s="77" t="inlineStr">
        <is>
          <t>HY / IG OAS ratio</t>
        </is>
      </c>
      <c r="BI4" s="77" t="inlineStr">
        <is>
          <t>EM minus IG OAS</t>
        </is>
      </c>
      <c r="BJ4" s="77" t="inlineStr">
        <is>
          <t>EM / HY OAS ratio</t>
        </is>
      </c>
      <c r="BK4" s="77" t="inlineStr">
        <is>
          <t>10Y real yield</t>
        </is>
      </c>
      <c r="BL4" s="77" t="inlineStr">
        <is>
          <t>d UST10Y (bp, 1d)</t>
        </is>
      </c>
      <c r="BM4" s="77" t="inlineStr">
        <is>
          <t>d UST2Y (bp, 1d)</t>
        </is>
      </c>
      <c r="BN4" s="77" t="inlineStr">
        <is>
          <t>d IG OAS (bp, 1d)</t>
        </is>
      </c>
      <c r="BO4" s="77" t="inlineStr">
        <is>
          <t>d HY OAS (bp, 1d)</t>
        </is>
      </c>
      <c r="BP4" s="77" t="inlineStr">
        <is>
          <t>d EM OAS (bp, 1d)</t>
        </is>
      </c>
    </row>
    <row r="5">
      <c r="A5" s="5" t="inlineStr">
        <is>
          <t>Ticker</t>
        </is>
      </c>
      <c r="B5" s="78">
        <f>Tickers!$C$6</f>
        <v/>
      </c>
      <c r="C5" s="78">
        <f>Tickers!$C$7</f>
        <v/>
      </c>
      <c r="D5" s="78">
        <f>Tickers!$C$8</f>
        <v/>
      </c>
      <c r="E5" s="78">
        <f>Tickers!$C$9</f>
        <v/>
      </c>
      <c r="F5" s="78">
        <f>Tickers!$C$10</f>
        <v/>
      </c>
      <c r="G5" s="78">
        <f>Tickers!$C$11</f>
        <v/>
      </c>
      <c r="H5" s="78">
        <f>Tickers!$C$12</f>
        <v/>
      </c>
      <c r="I5" s="78">
        <f>Tickers!$C$13</f>
        <v/>
      </c>
      <c r="J5" s="78">
        <f>Tickers!$C$14</f>
        <v/>
      </c>
      <c r="K5" s="78">
        <f>Tickers!$C$15</f>
        <v/>
      </c>
      <c r="L5" s="78">
        <f>Tickers!$C$16</f>
        <v/>
      </c>
      <c r="M5" s="78">
        <f>Tickers!$C$17</f>
        <v/>
      </c>
      <c r="N5" s="78">
        <f>Tickers!$C$18</f>
        <v/>
      </c>
      <c r="O5" s="78">
        <f>Tickers!$C$19</f>
        <v/>
      </c>
      <c r="P5" s="78">
        <f>Tickers!$C$20</f>
        <v/>
      </c>
      <c r="Q5" s="78">
        <f>Tickers!$C$21</f>
        <v/>
      </c>
      <c r="R5" s="78">
        <f>Tickers!$C$22</f>
        <v/>
      </c>
      <c r="S5" s="78">
        <f>Tickers!$C$23</f>
        <v/>
      </c>
      <c r="T5" s="78">
        <f>Tickers!$C$24</f>
        <v/>
      </c>
      <c r="U5" s="78">
        <f>Tickers!$C$25</f>
        <v/>
      </c>
      <c r="V5" s="78">
        <f>Tickers!$C$26</f>
        <v/>
      </c>
      <c r="W5" s="78">
        <f>Tickers!$C$27</f>
        <v/>
      </c>
      <c r="X5" s="78">
        <f>Tickers!$C$28</f>
        <v/>
      </c>
      <c r="Y5" s="78">
        <f>Tickers!$C$29</f>
        <v/>
      </c>
      <c r="Z5" s="78">
        <f>Tickers!$C$30</f>
        <v/>
      </c>
      <c r="AA5" s="78">
        <f>Tickers!$C$31</f>
        <v/>
      </c>
      <c r="AB5" s="78">
        <f>Tickers!$C$32</f>
        <v/>
      </c>
      <c r="AC5" s="78">
        <f>Tickers!$C$33</f>
        <v/>
      </c>
      <c r="AD5" s="78">
        <f>Tickers!$C$34</f>
        <v/>
      </c>
      <c r="AE5" s="78">
        <f>Tickers!$C$35</f>
        <v/>
      </c>
      <c r="AF5" s="78">
        <f>Tickers!$C$36</f>
        <v/>
      </c>
      <c r="AG5" s="78">
        <f>Tickers!$C$37</f>
        <v/>
      </c>
      <c r="AH5" s="78">
        <f>Tickers!$C$38</f>
        <v/>
      </c>
      <c r="AI5" s="78">
        <f>Tickers!$C$39</f>
        <v/>
      </c>
      <c r="AJ5" s="78">
        <f>Tickers!$C$40</f>
        <v/>
      </c>
      <c r="AK5" s="78">
        <f>Tickers!$C$41</f>
        <v/>
      </c>
      <c r="AL5" s="78">
        <f>Tickers!$C$42</f>
        <v/>
      </c>
      <c r="AM5" s="78">
        <f>Tickers!$C$43</f>
        <v/>
      </c>
      <c r="AN5" s="78">
        <f>Tickers!$C$44</f>
        <v/>
      </c>
      <c r="AO5" s="78">
        <f>Tickers!$C$45</f>
        <v/>
      </c>
      <c r="AP5" s="78">
        <f>Tickers!$C$46</f>
        <v/>
      </c>
      <c r="AQ5" s="78">
        <f>Tickers!$C$47</f>
        <v/>
      </c>
      <c r="AR5" s="27" t="inlineStr">
        <is>
          <t>derived</t>
        </is>
      </c>
      <c r="AS5" s="27" t="inlineStr">
        <is>
          <t>derived</t>
        </is>
      </c>
      <c r="AT5" s="27" t="inlineStr">
        <is>
          <t>derived</t>
        </is>
      </c>
      <c r="AU5" s="27" t="inlineStr">
        <is>
          <t>derived</t>
        </is>
      </c>
      <c r="AV5" s="27" t="inlineStr">
        <is>
          <t>derived</t>
        </is>
      </c>
      <c r="AW5" s="27" t="inlineStr">
        <is>
          <t>derived</t>
        </is>
      </c>
      <c r="AX5" s="27" t="inlineStr">
        <is>
          <t>derived</t>
        </is>
      </c>
      <c r="AY5" s="27" t="inlineStr">
        <is>
          <t>derived</t>
        </is>
      </c>
      <c r="AZ5" s="27" t="inlineStr">
        <is>
          <t>derived</t>
        </is>
      </c>
      <c r="BA5" s="27" t="inlineStr">
        <is>
          <t>derived</t>
        </is>
      </c>
      <c r="BB5" s="27" t="inlineStr">
        <is>
          <t>derived</t>
        </is>
      </c>
      <c r="BC5" s="27" t="inlineStr">
        <is>
          <t>derived</t>
        </is>
      </c>
      <c r="BD5" s="27" t="inlineStr">
        <is>
          <t>derived</t>
        </is>
      </c>
      <c r="BE5" s="27" t="inlineStr">
        <is>
          <t>derived</t>
        </is>
      </c>
      <c r="BF5" s="27" t="inlineStr">
        <is>
          <t>derived</t>
        </is>
      </c>
      <c r="BG5" s="27" t="inlineStr">
        <is>
          <t>derived</t>
        </is>
      </c>
      <c r="BH5" s="27" t="inlineStr">
        <is>
          <t>derived</t>
        </is>
      </c>
      <c r="BI5" s="27" t="inlineStr">
        <is>
          <t>derived</t>
        </is>
      </c>
      <c r="BJ5" s="27" t="inlineStr">
        <is>
          <t>derived</t>
        </is>
      </c>
      <c r="BK5" s="27" t="inlineStr">
        <is>
          <t>derived</t>
        </is>
      </c>
      <c r="BL5" s="27" t="inlineStr">
        <is>
          <t>derived</t>
        </is>
      </c>
      <c r="BM5" s="27" t="inlineStr">
        <is>
          <t>derived</t>
        </is>
      </c>
      <c r="BN5" s="27" t="inlineStr">
        <is>
          <t>derived</t>
        </is>
      </c>
      <c r="BO5" s="27" t="inlineStr">
        <is>
          <t>derived</t>
        </is>
      </c>
      <c r="BP5" s="27" t="inlineStr">
        <is>
          <t>derived</t>
        </is>
      </c>
    </row>
    <row r="6">
      <c r="A6" s="5" t="inlineStr">
        <is>
          <t>Field</t>
        </is>
      </c>
      <c r="B6" s="78">
        <f>Tickers!$D$6</f>
        <v/>
      </c>
      <c r="C6" s="78">
        <f>Tickers!$D$7</f>
        <v/>
      </c>
      <c r="D6" s="78">
        <f>Tickers!$D$8</f>
        <v/>
      </c>
      <c r="E6" s="78">
        <f>Tickers!$D$9</f>
        <v/>
      </c>
      <c r="F6" s="78">
        <f>Tickers!$D$10</f>
        <v/>
      </c>
      <c r="G6" s="78">
        <f>Tickers!$D$11</f>
        <v/>
      </c>
      <c r="H6" s="78">
        <f>Tickers!$D$12</f>
        <v/>
      </c>
      <c r="I6" s="78">
        <f>Tickers!$D$13</f>
        <v/>
      </c>
      <c r="J6" s="78">
        <f>Tickers!$D$14</f>
        <v/>
      </c>
      <c r="K6" s="78">
        <f>Tickers!$D$15</f>
        <v/>
      </c>
      <c r="L6" s="78">
        <f>Tickers!$D$16</f>
        <v/>
      </c>
      <c r="M6" s="78">
        <f>Tickers!$D$17</f>
        <v/>
      </c>
      <c r="N6" s="78">
        <f>Tickers!$D$18</f>
        <v/>
      </c>
      <c r="O6" s="78">
        <f>Tickers!$D$19</f>
        <v/>
      </c>
      <c r="P6" s="78">
        <f>Tickers!$D$20</f>
        <v/>
      </c>
      <c r="Q6" s="78">
        <f>Tickers!$D$21</f>
        <v/>
      </c>
      <c r="R6" s="78">
        <f>Tickers!$D$22</f>
        <v/>
      </c>
      <c r="S6" s="78">
        <f>Tickers!$D$23</f>
        <v/>
      </c>
      <c r="T6" s="78">
        <f>Tickers!$D$24</f>
        <v/>
      </c>
      <c r="U6" s="78">
        <f>Tickers!$D$25</f>
        <v/>
      </c>
      <c r="V6" s="78">
        <f>Tickers!$D$26</f>
        <v/>
      </c>
      <c r="W6" s="78">
        <f>Tickers!$D$27</f>
        <v/>
      </c>
      <c r="X6" s="78">
        <f>Tickers!$D$28</f>
        <v/>
      </c>
      <c r="Y6" s="78">
        <f>Tickers!$D$29</f>
        <v/>
      </c>
      <c r="Z6" s="78">
        <f>Tickers!$D$30</f>
        <v/>
      </c>
      <c r="AA6" s="78">
        <f>Tickers!$D$31</f>
        <v/>
      </c>
      <c r="AB6" s="78">
        <f>Tickers!$D$32</f>
        <v/>
      </c>
      <c r="AC6" s="78">
        <f>Tickers!$D$33</f>
        <v/>
      </c>
      <c r="AD6" s="78">
        <f>Tickers!$D$34</f>
        <v/>
      </c>
      <c r="AE6" s="78">
        <f>Tickers!$D$35</f>
        <v/>
      </c>
      <c r="AF6" s="78">
        <f>Tickers!$D$36</f>
        <v/>
      </c>
      <c r="AG6" s="78">
        <f>Tickers!$D$37</f>
        <v/>
      </c>
      <c r="AH6" s="78">
        <f>Tickers!$D$38</f>
        <v/>
      </c>
      <c r="AI6" s="78">
        <f>Tickers!$D$39</f>
        <v/>
      </c>
      <c r="AJ6" s="78">
        <f>Tickers!$D$40</f>
        <v/>
      </c>
      <c r="AK6" s="78">
        <f>Tickers!$D$41</f>
        <v/>
      </c>
      <c r="AL6" s="78">
        <f>Tickers!$D$42</f>
        <v/>
      </c>
      <c r="AM6" s="78">
        <f>Tickers!$D$43</f>
        <v/>
      </c>
      <c r="AN6" s="78">
        <f>Tickers!$D$44</f>
        <v/>
      </c>
      <c r="AO6" s="78">
        <f>Tickers!$D$45</f>
        <v/>
      </c>
      <c r="AP6" s="78">
        <f>Tickers!$D$46</f>
        <v/>
      </c>
      <c r="AQ6" s="78">
        <f>Tickers!$D$47</f>
        <v/>
      </c>
      <c r="AR6" s="27" t="inlineStr">
        <is>
          <t>%</t>
        </is>
      </c>
      <c r="AS6" s="27" t="inlineStr">
        <is>
          <t>%</t>
        </is>
      </c>
      <c r="AT6" s="27" t="inlineStr">
        <is>
          <t>bp</t>
        </is>
      </c>
      <c r="AU6" s="27" t="inlineStr">
        <is>
          <t>bp</t>
        </is>
      </c>
      <c r="AV6" s="27" t="inlineStr">
        <is>
          <t>bp</t>
        </is>
      </c>
      <c r="AW6" s="27" t="inlineStr">
        <is>
          <t>bp</t>
        </is>
      </c>
      <c r="AX6" s="27" t="inlineStr">
        <is>
          <t>bp</t>
        </is>
      </c>
      <c r="AY6" s="27" t="inlineStr">
        <is>
          <t>bp</t>
        </is>
      </c>
      <c r="AZ6" s="27" t="inlineStr">
        <is>
          <t>bp</t>
        </is>
      </c>
      <c r="BA6" s="27" t="inlineStr">
        <is>
          <t>bp</t>
        </is>
      </c>
      <c r="BB6" s="27" t="inlineStr">
        <is>
          <t>bp</t>
        </is>
      </c>
      <c r="BC6" s="27" t="inlineStr">
        <is>
          <t>bp</t>
        </is>
      </c>
      <c r="BD6" s="27" t="inlineStr">
        <is>
          <t>bp</t>
        </is>
      </c>
      <c r="BE6" s="27" t="inlineStr">
        <is>
          <t>bp</t>
        </is>
      </c>
      <c r="BF6" s="27" t="inlineStr">
        <is>
          <t>bp</t>
        </is>
      </c>
      <c r="BG6" s="27" t="inlineStr">
        <is>
          <t>bp</t>
        </is>
      </c>
      <c r="BH6" s="27" t="inlineStr">
        <is>
          <t>x</t>
        </is>
      </c>
      <c r="BI6" s="27" t="inlineStr">
        <is>
          <t>bp</t>
        </is>
      </c>
      <c r="BJ6" s="27" t="inlineStr">
        <is>
          <t>x</t>
        </is>
      </c>
      <c r="BK6" s="27" t="inlineStr">
        <is>
          <t>%</t>
        </is>
      </c>
      <c r="BL6" s="27" t="inlineStr">
        <is>
          <t>bp</t>
        </is>
      </c>
      <c r="BM6" s="27" t="inlineStr">
        <is>
          <t>bp</t>
        </is>
      </c>
      <c r="BN6" s="27" t="inlineStr">
        <is>
          <t>bp</t>
        </is>
      </c>
      <c r="BO6" s="27" t="inlineStr">
        <is>
          <t>bp</t>
        </is>
      </c>
      <c r="BP6" s="27" t="inlineStr">
        <is>
          <t>bp</t>
        </is>
      </c>
    </row>
    <row r="7">
      <c r="A7" s="5" t="inlineStr">
        <is>
          <t>Date</t>
        </is>
      </c>
      <c r="B7" s="5" t="inlineStr">
        <is>
          <t>UST1M</t>
        </is>
      </c>
      <c r="C7" s="5" t="inlineStr">
        <is>
          <t>UST3M</t>
        </is>
      </c>
      <c r="D7" s="5" t="inlineStr">
        <is>
          <t>UST6M</t>
        </is>
      </c>
      <c r="E7" s="5" t="inlineStr">
        <is>
          <t>UST1Y</t>
        </is>
      </c>
      <c r="F7" s="5" t="inlineStr">
        <is>
          <t>UST2Y</t>
        </is>
      </c>
      <c r="G7" s="5" t="inlineStr">
        <is>
          <t>UST3Y</t>
        </is>
      </c>
      <c r="H7" s="5" t="inlineStr">
        <is>
          <t>UST5Y</t>
        </is>
      </c>
      <c r="I7" s="5" t="inlineStr">
        <is>
          <t>UST7Y</t>
        </is>
      </c>
      <c r="J7" s="5" t="inlineStr">
        <is>
          <t>UST10Y</t>
        </is>
      </c>
      <c r="K7" s="5" t="inlineStr">
        <is>
          <t>UST20Y</t>
        </is>
      </c>
      <c r="L7" s="5" t="inlineStr">
        <is>
          <t>UST30Y</t>
        </is>
      </c>
      <c r="M7" s="5" t="inlineStr">
        <is>
          <t>OIS1Y</t>
        </is>
      </c>
      <c r="N7" s="5" t="inlineStr">
        <is>
          <t>OIS2Y</t>
        </is>
      </c>
      <c r="O7" s="5" t="inlineStr">
        <is>
          <t>OIS3Y</t>
        </is>
      </c>
      <c r="P7" s="5" t="inlineStr">
        <is>
          <t>OIS4Y</t>
        </is>
      </c>
      <c r="Q7" s="5" t="inlineStr">
        <is>
          <t>OIS5Y</t>
        </is>
      </c>
      <c r="R7" s="5" t="inlineStr">
        <is>
          <t>OIS7Y</t>
        </is>
      </c>
      <c r="S7" s="5" t="inlineStr">
        <is>
          <t>OIS10Y</t>
        </is>
      </c>
      <c r="T7" s="5" t="inlineStr">
        <is>
          <t>OIS15Y</t>
        </is>
      </c>
      <c r="U7" s="5" t="inlineStr">
        <is>
          <t>OIS20Y</t>
        </is>
      </c>
      <c r="V7" s="5" t="inlineStr">
        <is>
          <t>OIS30Y</t>
        </is>
      </c>
      <c r="W7" s="5" t="inlineStr">
        <is>
          <t>TIPS5Y</t>
        </is>
      </c>
      <c r="X7" s="5" t="inlineStr">
        <is>
          <t>TIPS10Y</t>
        </is>
      </c>
      <c r="Y7" s="5" t="inlineStr">
        <is>
          <t>BE5Y</t>
        </is>
      </c>
      <c r="Z7" s="5" t="inlineStr">
        <is>
          <t>BE10Y</t>
        </is>
      </c>
      <c r="AA7" s="5" t="inlineStr">
        <is>
          <t>TP10Y</t>
        </is>
      </c>
      <c r="AB7" s="5" t="inlineStr">
        <is>
          <t>MOVE</t>
        </is>
      </c>
      <c r="AC7" s="5" t="inlineStr">
        <is>
          <t>VIX</t>
        </is>
      </c>
      <c r="AD7" s="5" t="inlineStr">
        <is>
          <t>DXY</t>
        </is>
      </c>
      <c r="AE7" s="5" t="inlineStr">
        <is>
          <t>SPX</t>
        </is>
      </c>
      <c r="AF7" s="5" t="inlineStr">
        <is>
          <t>IGOAS</t>
        </is>
      </c>
      <c r="AG7" s="5" t="inlineStr">
        <is>
          <t>HYOAS</t>
        </is>
      </c>
      <c r="AH7" s="5" t="inlineStr">
        <is>
          <t>IGTR</t>
        </is>
      </c>
      <c r="AI7" s="5" t="inlineStr">
        <is>
          <t>HYTR</t>
        </is>
      </c>
      <c r="AJ7" s="5" t="inlineStr">
        <is>
          <t>EMOAS</t>
        </is>
      </c>
      <c r="AK7" s="5" t="inlineStr">
        <is>
          <t>EMTR</t>
        </is>
      </c>
      <c r="AL7" s="5" t="inlineStr">
        <is>
          <t>CDXIG</t>
        </is>
      </c>
      <c r="AM7" s="5" t="inlineStr">
        <is>
          <t>CDXHY</t>
        </is>
      </c>
      <c r="AN7" s="5" t="inlineStr">
        <is>
          <t>SOFR</t>
        </is>
      </c>
      <c r="AO7" s="5" t="inlineStr">
        <is>
          <t>EFFR</t>
        </is>
      </c>
      <c r="AP7" s="5" t="inlineStr">
        <is>
          <t>RRP</t>
        </is>
      </c>
      <c r="AQ7" s="5" t="inlineStr">
        <is>
          <t>BGCR</t>
        </is>
      </c>
      <c r="AR7" s="5" t="inlineStr">
        <is>
          <t>UST4Y</t>
        </is>
      </c>
      <c r="AS7" s="5" t="inlineStr">
        <is>
          <t>UST15Y</t>
        </is>
      </c>
      <c r="AT7" s="5" t="inlineStr">
        <is>
          <t>S3m10y</t>
        </is>
      </c>
      <c r="AU7" s="5" t="inlineStr">
        <is>
          <t>S2s5s</t>
        </is>
      </c>
      <c r="AV7" s="5" t="inlineStr">
        <is>
          <t>S2s10s</t>
        </is>
      </c>
      <c r="AW7" s="5" t="inlineStr">
        <is>
          <t>S2s30s</t>
        </is>
      </c>
      <c r="AX7" s="5" t="inlineStr">
        <is>
          <t>S5s10s</t>
        </is>
      </c>
      <c r="AY7" s="5" t="inlineStr">
        <is>
          <t>S5s30s</t>
        </is>
      </c>
      <c r="AZ7" s="5" t="inlineStr">
        <is>
          <t>S10s30s</t>
        </is>
      </c>
      <c r="BA7" s="5" t="inlineStr">
        <is>
          <t>F2510</t>
        </is>
      </c>
      <c r="BB7" s="5" t="inlineStr">
        <is>
          <t>F51030</t>
        </is>
      </c>
      <c r="BC7" s="5" t="inlineStr">
        <is>
          <t>SS2</t>
        </is>
      </c>
      <c r="BD7" s="5" t="inlineStr">
        <is>
          <t>SS5</t>
        </is>
      </c>
      <c r="BE7" s="5" t="inlineStr">
        <is>
          <t>SS10</t>
        </is>
      </c>
      <c r="BF7" s="5" t="inlineStr">
        <is>
          <t>SS30</t>
        </is>
      </c>
      <c r="BG7" s="5" t="inlineStr">
        <is>
          <t>HYIG</t>
        </is>
      </c>
      <c r="BH7" s="5" t="inlineStr">
        <is>
          <t>HYIGR</t>
        </is>
      </c>
      <c r="BI7" s="5" t="inlineStr">
        <is>
          <t>EMIG</t>
        </is>
      </c>
      <c r="BJ7" s="5" t="inlineStr">
        <is>
          <t>EMHYR</t>
        </is>
      </c>
      <c r="BK7" s="5" t="inlineStr">
        <is>
          <t>RY10</t>
        </is>
      </c>
      <c r="BL7" s="5" t="inlineStr">
        <is>
          <t>DUST10</t>
        </is>
      </c>
      <c r="BM7" s="5" t="inlineStr">
        <is>
          <t>DUST2</t>
        </is>
      </c>
      <c r="BN7" s="5" t="inlineStr">
        <is>
          <t>DIGOAS</t>
        </is>
      </c>
      <c r="BO7" s="5" t="inlineStr">
        <is>
          <t>DHYOAS</t>
        </is>
      </c>
      <c r="BP7" s="5" t="inlineStr">
        <is>
          <t>DEMOAS</t>
        </is>
      </c>
    </row>
    <row r="8">
      <c r="A8" s="79">
        <f>BDH($B$5,$B$6,Control!$B$6,Control!$B$7,"Dir=V","Sort=D","Days=W","Fill=P","Dts=S")</f>
        <v/>
      </c>
      <c r="C8" s="80">
        <f>BDH($C$5,$C$6,Control!$B$6,Control!$B$7,"Dir=V","Sort=D","Days=W","Fill=P","Dts=H")</f>
        <v/>
      </c>
      <c r="D8" s="80">
        <f>BDH($D$5,$D$6,Control!$B$6,Control!$B$7,"Dir=V","Sort=D","Days=W","Fill=P","Dts=H")</f>
        <v/>
      </c>
      <c r="E8" s="80">
        <f>BDH($E$5,$E$6,Control!$B$6,Control!$B$7,"Dir=V","Sort=D","Days=W","Fill=P","Dts=H")</f>
        <v/>
      </c>
      <c r="F8" s="80">
        <f>BDH($F$5,$F$6,Control!$B$6,Control!$B$7,"Dir=V","Sort=D","Days=W","Fill=P","Dts=H")</f>
        <v/>
      </c>
      <c r="G8" s="80">
        <f>BDH($G$5,$G$6,Control!$B$6,Control!$B$7,"Dir=V","Sort=D","Days=W","Fill=P","Dts=H")</f>
        <v/>
      </c>
      <c r="H8" s="80">
        <f>BDH($H$5,$H$6,Control!$B$6,Control!$B$7,"Dir=V","Sort=D","Days=W","Fill=P","Dts=H")</f>
        <v/>
      </c>
      <c r="I8" s="80">
        <f>BDH($I$5,$I$6,Control!$B$6,Control!$B$7,"Dir=V","Sort=D","Days=W","Fill=P","Dts=H")</f>
        <v/>
      </c>
      <c r="J8" s="80">
        <f>BDH($J$5,$J$6,Control!$B$6,Control!$B$7,"Dir=V","Sort=D","Days=W","Fill=P","Dts=H")</f>
        <v/>
      </c>
      <c r="K8" s="80">
        <f>BDH($K$5,$K$6,Control!$B$6,Control!$B$7,"Dir=V","Sort=D","Days=W","Fill=P","Dts=H")</f>
        <v/>
      </c>
      <c r="L8" s="80">
        <f>BDH($L$5,$L$6,Control!$B$6,Control!$B$7,"Dir=V","Sort=D","Days=W","Fill=P","Dts=H")</f>
        <v/>
      </c>
      <c r="M8" s="80">
        <f>BDH($M$5,$M$6,Control!$B$6,Control!$B$7,"Dir=V","Sort=D","Days=W","Fill=P","Dts=H")</f>
        <v/>
      </c>
      <c r="N8" s="80">
        <f>BDH($N$5,$N$6,Control!$B$6,Control!$B$7,"Dir=V","Sort=D","Days=W","Fill=P","Dts=H")</f>
        <v/>
      </c>
      <c r="O8" s="80">
        <f>BDH($O$5,$O$6,Control!$B$6,Control!$B$7,"Dir=V","Sort=D","Days=W","Fill=P","Dts=H")</f>
        <v/>
      </c>
      <c r="P8" s="80">
        <f>BDH($P$5,$P$6,Control!$B$6,Control!$B$7,"Dir=V","Sort=D","Days=W","Fill=P","Dts=H")</f>
        <v/>
      </c>
      <c r="Q8" s="80">
        <f>BDH($Q$5,$Q$6,Control!$B$6,Control!$B$7,"Dir=V","Sort=D","Days=W","Fill=P","Dts=H")</f>
        <v/>
      </c>
      <c r="R8" s="80">
        <f>BDH($R$5,$R$6,Control!$B$6,Control!$B$7,"Dir=V","Sort=D","Days=W","Fill=P","Dts=H")</f>
        <v/>
      </c>
      <c r="S8" s="80">
        <f>BDH($S$5,$S$6,Control!$B$6,Control!$B$7,"Dir=V","Sort=D","Days=W","Fill=P","Dts=H")</f>
        <v/>
      </c>
      <c r="T8" s="80">
        <f>BDH($T$5,$T$6,Control!$B$6,Control!$B$7,"Dir=V","Sort=D","Days=W","Fill=P","Dts=H")</f>
        <v/>
      </c>
      <c r="U8" s="80">
        <f>BDH($U$5,$U$6,Control!$B$6,Control!$B$7,"Dir=V","Sort=D","Days=W","Fill=P","Dts=H")</f>
        <v/>
      </c>
      <c r="V8" s="80">
        <f>BDH($V$5,$V$6,Control!$B$6,Control!$B$7,"Dir=V","Sort=D","Days=W","Fill=P","Dts=H")</f>
        <v/>
      </c>
      <c r="W8" s="80">
        <f>BDH($W$5,$W$6,Control!$B$6,Control!$B$7,"Dir=V","Sort=D","Days=W","Fill=P","Dts=H")</f>
        <v/>
      </c>
      <c r="X8" s="80">
        <f>BDH($X$5,$X$6,Control!$B$6,Control!$B$7,"Dir=V","Sort=D","Days=W","Fill=P","Dts=H")</f>
        <v/>
      </c>
      <c r="Y8" s="80">
        <f>BDH($Y$5,$Y$6,Control!$B$6,Control!$B$7,"Dir=V","Sort=D","Days=W","Fill=P","Dts=H")</f>
        <v/>
      </c>
      <c r="Z8" s="80">
        <f>BDH($Z$5,$Z$6,Control!$B$6,Control!$B$7,"Dir=V","Sort=D","Days=W","Fill=P","Dts=H")</f>
        <v/>
      </c>
      <c r="AA8" s="80">
        <f>BDH($AA$5,$AA$6,Control!$B$6,Control!$B$7,"Dir=V","Sort=D","Days=W","Fill=P","Dts=H")</f>
        <v/>
      </c>
      <c r="AB8" s="80">
        <f>BDH($AB$5,$AB$6,Control!$B$6,Control!$B$7,"Dir=V","Sort=D","Days=W","Fill=P","Dts=H")</f>
        <v/>
      </c>
      <c r="AC8" s="80">
        <f>BDH($AC$5,$AC$6,Control!$B$6,Control!$B$7,"Dir=V","Sort=D","Days=W","Fill=P","Dts=H")</f>
        <v/>
      </c>
      <c r="AD8" s="80">
        <f>BDH($AD$5,$AD$6,Control!$B$6,Control!$B$7,"Dir=V","Sort=D","Days=W","Fill=P","Dts=H")</f>
        <v/>
      </c>
      <c r="AE8" s="80">
        <f>BDH($AE$5,$AE$6,Control!$B$6,Control!$B$7,"Dir=V","Sort=D","Days=W","Fill=P","Dts=H")</f>
        <v/>
      </c>
      <c r="AF8" s="80">
        <f>BDH($AF$5,$AF$6,Control!$B$6,Control!$B$7,"Dir=V","Sort=D","Days=W","Fill=P","Dts=H")</f>
        <v/>
      </c>
      <c r="AG8" s="80">
        <f>BDH($AG$5,$AG$6,Control!$B$6,Control!$B$7,"Dir=V","Sort=D","Days=W","Fill=P","Dts=H")</f>
        <v/>
      </c>
      <c r="AH8" s="80">
        <f>BDH($AH$5,$AH$6,Control!$B$6,Control!$B$7,"Dir=V","Sort=D","Days=W","Fill=P","Dts=H")</f>
        <v/>
      </c>
      <c r="AI8" s="80">
        <f>BDH($AI$5,$AI$6,Control!$B$6,Control!$B$7,"Dir=V","Sort=D","Days=W","Fill=P","Dts=H")</f>
        <v/>
      </c>
      <c r="AJ8" s="80">
        <f>BDH($AJ$5,$AJ$6,Control!$B$6,Control!$B$7,"Dir=V","Sort=D","Days=W","Fill=P","Dts=H")</f>
        <v/>
      </c>
      <c r="AK8" s="80">
        <f>BDH($AK$5,$AK$6,Control!$B$6,Control!$B$7,"Dir=V","Sort=D","Days=W","Fill=P","Dts=H")</f>
        <v/>
      </c>
      <c r="AL8" s="80">
        <f>BDH($AL$5,$AL$6,Control!$B$6,Control!$B$7,"Dir=V","Sort=D","Days=W","Fill=P","Dts=H")</f>
        <v/>
      </c>
      <c r="AM8" s="80">
        <f>BDH($AM$5,$AM$6,Control!$B$6,Control!$B$7,"Dir=V","Sort=D","Days=W","Fill=P","Dts=H")</f>
        <v/>
      </c>
      <c r="AN8" s="80">
        <f>BDH($AN$5,$AN$6,Control!$B$6,Control!$B$7,"Dir=V","Sort=D","Days=W","Fill=P","Dts=H")</f>
        <v/>
      </c>
      <c r="AO8" s="80">
        <f>BDH($AO$5,$AO$6,Control!$B$6,Control!$B$7,"Dir=V","Sort=D","Days=W","Fill=P","Dts=H")</f>
        <v/>
      </c>
      <c r="AP8" s="80">
        <f>BDH($AP$5,$AP$6,Control!$B$6,Control!$B$7,"Dir=V","Sort=D","Days=W","Fill=P","Dts=H")</f>
        <v/>
      </c>
      <c r="AQ8" s="80">
        <f>BDH($AQ$5,$AQ$6,Control!$B$6,Control!$B$7,"Dir=V","Sort=D","Days=W","Fill=P","Dts=H")</f>
        <v/>
      </c>
      <c r="AR8" s="81">
        <f>($G8+($H8-$G8)*0.5)+($P8-($O8+($Q8-$O8)*0.5))</f>
        <v/>
      </c>
      <c r="AS8" s="81">
        <f>($J8+($K8-$J8)*0.5)+($T8-($S8+($U8-$S8)*0.5))</f>
        <v/>
      </c>
      <c r="AT8" s="82">
        <f>($J8-$C8)*100</f>
        <v/>
      </c>
      <c r="AU8" s="82">
        <f>($H8-$F8)*100</f>
        <v/>
      </c>
      <c r="AV8" s="82">
        <f>($J8-$F8)*100</f>
        <v/>
      </c>
      <c r="AW8" s="82">
        <f>($L8-$F8)*100</f>
        <v/>
      </c>
      <c r="AX8" s="82">
        <f>($J8-$H8)*100</f>
        <v/>
      </c>
      <c r="AY8" s="82">
        <f>($L8-$H8)*100</f>
        <v/>
      </c>
      <c r="AZ8" s="82">
        <f>($L8-$J8)*100</f>
        <v/>
      </c>
      <c r="BA8" s="82">
        <f>(2*$H8-$F8-$J8)*100</f>
        <v/>
      </c>
      <c r="BB8" s="82">
        <f>(2*$J8-$H8-$L8)*100</f>
        <v/>
      </c>
      <c r="BC8" s="82">
        <f>($N8-$F8)*100</f>
        <v/>
      </c>
      <c r="BD8" s="82">
        <f>($Q8-$H8)*100</f>
        <v/>
      </c>
      <c r="BE8" s="82">
        <f>($S8-$J8)*100</f>
        <v/>
      </c>
      <c r="BF8" s="82">
        <f>($V8-$L8)*100</f>
        <v/>
      </c>
      <c r="BG8" s="82">
        <f>$AG8-$AF8</f>
        <v/>
      </c>
      <c r="BH8" s="81">
        <f>IFERROR($AG8/$AF8,"")</f>
        <v/>
      </c>
      <c r="BI8" s="82">
        <f>$AJ8-$AF8</f>
        <v/>
      </c>
      <c r="BJ8" s="81">
        <f>IFERROR($AJ8/$AG8,"")</f>
        <v/>
      </c>
      <c r="BK8" s="81">
        <f>$X8</f>
        <v/>
      </c>
      <c r="BL8" s="82">
        <f>($J8-$J9)*100</f>
        <v/>
      </c>
      <c r="BM8" s="82">
        <f>($F8-$F9)*100</f>
        <v/>
      </c>
      <c r="BN8" s="82">
        <f>$AF8-$AF9</f>
        <v/>
      </c>
      <c r="BO8" s="82">
        <f>$AG8-$AG9</f>
        <v/>
      </c>
      <c r="BP8" s="82">
        <f>$AJ8-$AJ9</f>
        <v/>
      </c>
    </row>
    <row r="9">
      <c r="AR9" s="81">
        <f>($G9+($H9-$G9)*0.5)+($P9-($O9+($Q9-$O9)*0.5))</f>
        <v/>
      </c>
      <c r="AS9" s="81">
        <f>($J9+($K9-$J9)*0.5)+($T9-($S9+($U9-$S9)*0.5))</f>
        <v/>
      </c>
      <c r="AT9" s="82">
        <f>($J9-$C9)*100</f>
        <v/>
      </c>
      <c r="AU9" s="82">
        <f>($H9-$F9)*100</f>
        <v/>
      </c>
      <c r="AV9" s="82">
        <f>($J9-$F9)*100</f>
        <v/>
      </c>
      <c r="AW9" s="82">
        <f>($L9-$F9)*100</f>
        <v/>
      </c>
      <c r="AX9" s="82">
        <f>($J9-$H9)*100</f>
        <v/>
      </c>
      <c r="AY9" s="82">
        <f>($L9-$H9)*100</f>
        <v/>
      </c>
      <c r="AZ9" s="82">
        <f>($L9-$J9)*100</f>
        <v/>
      </c>
      <c r="BA9" s="82">
        <f>(2*$H9-$F9-$J9)*100</f>
        <v/>
      </c>
      <c r="BB9" s="82">
        <f>(2*$J9-$H9-$L9)*100</f>
        <v/>
      </c>
      <c r="BC9" s="82">
        <f>($N9-$F9)*100</f>
        <v/>
      </c>
      <c r="BD9" s="82">
        <f>($Q9-$H9)*100</f>
        <v/>
      </c>
      <c r="BE9" s="82">
        <f>($S9-$J9)*100</f>
        <v/>
      </c>
      <c r="BF9" s="82">
        <f>($V9-$L9)*100</f>
        <v/>
      </c>
      <c r="BG9" s="82">
        <f>$AG9-$AF9</f>
        <v/>
      </c>
      <c r="BH9" s="81">
        <f>IFERROR($AG9/$AF9,"")</f>
        <v/>
      </c>
      <c r="BI9" s="82">
        <f>$AJ9-$AF9</f>
        <v/>
      </c>
      <c r="BJ9" s="81">
        <f>IFERROR($AJ9/$AG9,"")</f>
        <v/>
      </c>
      <c r="BK9" s="81">
        <f>$X9</f>
        <v/>
      </c>
      <c r="BL9" s="82">
        <f>($J9-$J10)*100</f>
        <v/>
      </c>
      <c r="BM9" s="82">
        <f>($F9-$F10)*100</f>
        <v/>
      </c>
      <c r="BN9" s="82">
        <f>$AF9-$AF10</f>
        <v/>
      </c>
      <c r="BO9" s="82">
        <f>$AG9-$AG10</f>
        <v/>
      </c>
      <c r="BP9" s="82">
        <f>$AJ9-$AJ10</f>
        <v/>
      </c>
    </row>
    <row r="10">
      <c r="AR10" s="81">
        <f>($G10+($H10-$G10)*0.5)+($P10-($O10+($Q10-$O10)*0.5))</f>
        <v/>
      </c>
      <c r="AS10" s="81">
        <f>($J10+($K10-$J10)*0.5)+($T10-($S10+($U10-$S10)*0.5))</f>
        <v/>
      </c>
      <c r="AT10" s="82">
        <f>($J10-$C10)*100</f>
        <v/>
      </c>
      <c r="AU10" s="82">
        <f>($H10-$F10)*100</f>
        <v/>
      </c>
      <c r="AV10" s="82">
        <f>($J10-$F10)*100</f>
        <v/>
      </c>
      <c r="AW10" s="82">
        <f>($L10-$F10)*100</f>
        <v/>
      </c>
      <c r="AX10" s="82">
        <f>($J10-$H10)*100</f>
        <v/>
      </c>
      <c r="AY10" s="82">
        <f>($L10-$H10)*100</f>
        <v/>
      </c>
      <c r="AZ10" s="82">
        <f>($L10-$J10)*100</f>
        <v/>
      </c>
      <c r="BA10" s="82">
        <f>(2*$H10-$F10-$J10)*100</f>
        <v/>
      </c>
      <c r="BB10" s="82">
        <f>(2*$J10-$H10-$L10)*100</f>
        <v/>
      </c>
      <c r="BC10" s="82">
        <f>($N10-$F10)*100</f>
        <v/>
      </c>
      <c r="BD10" s="82">
        <f>($Q10-$H10)*100</f>
        <v/>
      </c>
      <c r="BE10" s="82">
        <f>($S10-$J10)*100</f>
        <v/>
      </c>
      <c r="BF10" s="82">
        <f>($V10-$L10)*100</f>
        <v/>
      </c>
      <c r="BG10" s="82">
        <f>$AG10-$AF10</f>
        <v/>
      </c>
      <c r="BH10" s="81">
        <f>IFERROR($AG10/$AF10,"")</f>
        <v/>
      </c>
      <c r="BI10" s="82">
        <f>$AJ10-$AF10</f>
        <v/>
      </c>
      <c r="BJ10" s="81">
        <f>IFERROR($AJ10/$AG10,"")</f>
        <v/>
      </c>
      <c r="BK10" s="81">
        <f>$X10</f>
        <v/>
      </c>
      <c r="BL10" s="82">
        <f>($J10-$J11)*100</f>
        <v/>
      </c>
      <c r="BM10" s="82">
        <f>($F10-$F11)*100</f>
        <v/>
      </c>
      <c r="BN10" s="82">
        <f>$AF10-$AF11</f>
        <v/>
      </c>
      <c r="BO10" s="82">
        <f>$AG10-$AG11</f>
        <v/>
      </c>
      <c r="BP10" s="82">
        <f>$AJ10-$AJ11</f>
        <v/>
      </c>
    </row>
    <row r="11">
      <c r="AR11" s="81">
        <f>($G11+($H11-$G11)*0.5)+($P11-($O11+($Q11-$O11)*0.5))</f>
        <v/>
      </c>
      <c r="AS11" s="81">
        <f>($J11+($K11-$J11)*0.5)+($T11-($S11+($U11-$S11)*0.5))</f>
        <v/>
      </c>
      <c r="AT11" s="82">
        <f>($J11-$C11)*100</f>
        <v/>
      </c>
      <c r="AU11" s="82">
        <f>($H11-$F11)*100</f>
        <v/>
      </c>
      <c r="AV11" s="82">
        <f>($J11-$F11)*100</f>
        <v/>
      </c>
      <c r="AW11" s="82">
        <f>($L11-$F11)*100</f>
        <v/>
      </c>
      <c r="AX11" s="82">
        <f>($J11-$H11)*100</f>
        <v/>
      </c>
      <c r="AY11" s="82">
        <f>($L11-$H11)*100</f>
        <v/>
      </c>
      <c r="AZ11" s="82">
        <f>($L11-$J11)*100</f>
        <v/>
      </c>
      <c r="BA11" s="82">
        <f>(2*$H11-$F11-$J11)*100</f>
        <v/>
      </c>
      <c r="BB11" s="82">
        <f>(2*$J11-$H11-$L11)*100</f>
        <v/>
      </c>
      <c r="BC11" s="82">
        <f>($N11-$F11)*100</f>
        <v/>
      </c>
      <c r="BD11" s="82">
        <f>($Q11-$H11)*100</f>
        <v/>
      </c>
      <c r="BE11" s="82">
        <f>($S11-$J11)*100</f>
        <v/>
      </c>
      <c r="BF11" s="82">
        <f>($V11-$L11)*100</f>
        <v/>
      </c>
      <c r="BG11" s="82">
        <f>$AG11-$AF11</f>
        <v/>
      </c>
      <c r="BH11" s="81">
        <f>IFERROR($AG11/$AF11,"")</f>
        <v/>
      </c>
      <c r="BI11" s="82">
        <f>$AJ11-$AF11</f>
        <v/>
      </c>
      <c r="BJ11" s="81">
        <f>IFERROR($AJ11/$AG11,"")</f>
        <v/>
      </c>
      <c r="BK11" s="81">
        <f>$X11</f>
        <v/>
      </c>
      <c r="BL11" s="82">
        <f>($J11-$J12)*100</f>
        <v/>
      </c>
      <c r="BM11" s="82">
        <f>($F11-$F12)*100</f>
        <v/>
      </c>
      <c r="BN11" s="82">
        <f>$AF11-$AF12</f>
        <v/>
      </c>
      <c r="BO11" s="82">
        <f>$AG11-$AG12</f>
        <v/>
      </c>
      <c r="BP11" s="82">
        <f>$AJ11-$AJ12</f>
        <v/>
      </c>
    </row>
    <row r="12">
      <c r="AR12" s="81">
        <f>($G12+($H12-$G12)*0.5)+($P12-($O12+($Q12-$O12)*0.5))</f>
        <v/>
      </c>
      <c r="AS12" s="81">
        <f>($J12+($K12-$J12)*0.5)+($T12-($S12+($U12-$S12)*0.5))</f>
        <v/>
      </c>
      <c r="AT12" s="82">
        <f>($J12-$C12)*100</f>
        <v/>
      </c>
      <c r="AU12" s="82">
        <f>($H12-$F12)*100</f>
        <v/>
      </c>
      <c r="AV12" s="82">
        <f>($J12-$F12)*100</f>
        <v/>
      </c>
      <c r="AW12" s="82">
        <f>($L12-$F12)*100</f>
        <v/>
      </c>
      <c r="AX12" s="82">
        <f>($J12-$H12)*100</f>
        <v/>
      </c>
      <c r="AY12" s="82">
        <f>($L12-$H12)*100</f>
        <v/>
      </c>
      <c r="AZ12" s="82">
        <f>($L12-$J12)*100</f>
        <v/>
      </c>
      <c r="BA12" s="82">
        <f>(2*$H12-$F12-$J12)*100</f>
        <v/>
      </c>
      <c r="BB12" s="82">
        <f>(2*$J12-$H12-$L12)*100</f>
        <v/>
      </c>
      <c r="BC12" s="82">
        <f>($N12-$F12)*100</f>
        <v/>
      </c>
      <c r="BD12" s="82">
        <f>($Q12-$H12)*100</f>
        <v/>
      </c>
      <c r="BE12" s="82">
        <f>($S12-$J12)*100</f>
        <v/>
      </c>
      <c r="BF12" s="82">
        <f>($V12-$L12)*100</f>
        <v/>
      </c>
      <c r="BG12" s="82">
        <f>$AG12-$AF12</f>
        <v/>
      </c>
      <c r="BH12" s="81">
        <f>IFERROR($AG12/$AF12,"")</f>
        <v/>
      </c>
      <c r="BI12" s="82">
        <f>$AJ12-$AF12</f>
        <v/>
      </c>
      <c r="BJ12" s="81">
        <f>IFERROR($AJ12/$AG12,"")</f>
        <v/>
      </c>
      <c r="BK12" s="81">
        <f>$X12</f>
        <v/>
      </c>
      <c r="BL12" s="82">
        <f>($J12-$J13)*100</f>
        <v/>
      </c>
      <c r="BM12" s="82">
        <f>($F12-$F13)*100</f>
        <v/>
      </c>
      <c r="BN12" s="82">
        <f>$AF12-$AF13</f>
        <v/>
      </c>
      <c r="BO12" s="82">
        <f>$AG12-$AG13</f>
        <v/>
      </c>
      <c r="BP12" s="82">
        <f>$AJ12-$AJ13</f>
        <v/>
      </c>
    </row>
    <row r="13">
      <c r="AR13" s="81">
        <f>($G13+($H13-$G13)*0.5)+($P13-($O13+($Q13-$O13)*0.5))</f>
        <v/>
      </c>
      <c r="AS13" s="81">
        <f>($J13+($K13-$J13)*0.5)+($T13-($S13+($U13-$S13)*0.5))</f>
        <v/>
      </c>
      <c r="AT13" s="82">
        <f>($J13-$C13)*100</f>
        <v/>
      </c>
      <c r="AU13" s="82">
        <f>($H13-$F13)*100</f>
        <v/>
      </c>
      <c r="AV13" s="82">
        <f>($J13-$F13)*100</f>
        <v/>
      </c>
      <c r="AW13" s="82">
        <f>($L13-$F13)*100</f>
        <v/>
      </c>
      <c r="AX13" s="82">
        <f>($J13-$H13)*100</f>
        <v/>
      </c>
      <c r="AY13" s="82">
        <f>($L13-$H13)*100</f>
        <v/>
      </c>
      <c r="AZ13" s="82">
        <f>($L13-$J13)*100</f>
        <v/>
      </c>
      <c r="BA13" s="82">
        <f>(2*$H13-$F13-$J13)*100</f>
        <v/>
      </c>
      <c r="BB13" s="82">
        <f>(2*$J13-$H13-$L13)*100</f>
        <v/>
      </c>
      <c r="BC13" s="82">
        <f>($N13-$F13)*100</f>
        <v/>
      </c>
      <c r="BD13" s="82">
        <f>($Q13-$H13)*100</f>
        <v/>
      </c>
      <c r="BE13" s="82">
        <f>($S13-$J13)*100</f>
        <v/>
      </c>
      <c r="BF13" s="82">
        <f>($V13-$L13)*100</f>
        <v/>
      </c>
      <c r="BG13" s="82">
        <f>$AG13-$AF13</f>
        <v/>
      </c>
      <c r="BH13" s="81">
        <f>IFERROR($AG13/$AF13,"")</f>
        <v/>
      </c>
      <c r="BI13" s="82">
        <f>$AJ13-$AF13</f>
        <v/>
      </c>
      <c r="BJ13" s="81">
        <f>IFERROR($AJ13/$AG13,"")</f>
        <v/>
      </c>
      <c r="BK13" s="81">
        <f>$X13</f>
        <v/>
      </c>
      <c r="BL13" s="82">
        <f>($J13-$J14)*100</f>
        <v/>
      </c>
      <c r="BM13" s="82">
        <f>($F13-$F14)*100</f>
        <v/>
      </c>
      <c r="BN13" s="82">
        <f>$AF13-$AF14</f>
        <v/>
      </c>
      <c r="BO13" s="82">
        <f>$AG13-$AG14</f>
        <v/>
      </c>
      <c r="BP13" s="82">
        <f>$AJ13-$AJ14</f>
        <v/>
      </c>
    </row>
    <row r="14">
      <c r="AR14" s="81">
        <f>($G14+($H14-$G14)*0.5)+($P14-($O14+($Q14-$O14)*0.5))</f>
        <v/>
      </c>
      <c r="AS14" s="81">
        <f>($J14+($K14-$J14)*0.5)+($T14-($S14+($U14-$S14)*0.5))</f>
        <v/>
      </c>
      <c r="AT14" s="82">
        <f>($J14-$C14)*100</f>
        <v/>
      </c>
      <c r="AU14" s="82">
        <f>($H14-$F14)*100</f>
        <v/>
      </c>
      <c r="AV14" s="82">
        <f>($J14-$F14)*100</f>
        <v/>
      </c>
      <c r="AW14" s="82">
        <f>($L14-$F14)*100</f>
        <v/>
      </c>
      <c r="AX14" s="82">
        <f>($J14-$H14)*100</f>
        <v/>
      </c>
      <c r="AY14" s="82">
        <f>($L14-$H14)*100</f>
        <v/>
      </c>
      <c r="AZ14" s="82">
        <f>($L14-$J14)*100</f>
        <v/>
      </c>
      <c r="BA14" s="82">
        <f>(2*$H14-$F14-$J14)*100</f>
        <v/>
      </c>
      <c r="BB14" s="82">
        <f>(2*$J14-$H14-$L14)*100</f>
        <v/>
      </c>
      <c r="BC14" s="82">
        <f>($N14-$F14)*100</f>
        <v/>
      </c>
      <c r="BD14" s="82">
        <f>($Q14-$H14)*100</f>
        <v/>
      </c>
      <c r="BE14" s="82">
        <f>($S14-$J14)*100</f>
        <v/>
      </c>
      <c r="BF14" s="82">
        <f>($V14-$L14)*100</f>
        <v/>
      </c>
      <c r="BG14" s="82">
        <f>$AG14-$AF14</f>
        <v/>
      </c>
      <c r="BH14" s="81">
        <f>IFERROR($AG14/$AF14,"")</f>
        <v/>
      </c>
      <c r="BI14" s="82">
        <f>$AJ14-$AF14</f>
        <v/>
      </c>
      <c r="BJ14" s="81">
        <f>IFERROR($AJ14/$AG14,"")</f>
        <v/>
      </c>
      <c r="BK14" s="81">
        <f>$X14</f>
        <v/>
      </c>
      <c r="BL14" s="82">
        <f>($J14-$J15)*100</f>
        <v/>
      </c>
      <c r="BM14" s="82">
        <f>($F14-$F15)*100</f>
        <v/>
      </c>
      <c r="BN14" s="82">
        <f>$AF14-$AF15</f>
        <v/>
      </c>
      <c r="BO14" s="82">
        <f>$AG14-$AG15</f>
        <v/>
      </c>
      <c r="BP14" s="82">
        <f>$AJ14-$AJ15</f>
        <v/>
      </c>
    </row>
    <row r="15">
      <c r="AR15" s="81">
        <f>($G15+($H15-$G15)*0.5)+($P15-($O15+($Q15-$O15)*0.5))</f>
        <v/>
      </c>
      <c r="AS15" s="81">
        <f>($J15+($K15-$J15)*0.5)+($T15-($S15+($U15-$S15)*0.5))</f>
        <v/>
      </c>
      <c r="AT15" s="82">
        <f>($J15-$C15)*100</f>
        <v/>
      </c>
      <c r="AU15" s="82">
        <f>($H15-$F15)*100</f>
        <v/>
      </c>
      <c r="AV15" s="82">
        <f>($J15-$F15)*100</f>
        <v/>
      </c>
      <c r="AW15" s="82">
        <f>($L15-$F15)*100</f>
        <v/>
      </c>
      <c r="AX15" s="82">
        <f>($J15-$H15)*100</f>
        <v/>
      </c>
      <c r="AY15" s="82">
        <f>($L15-$H15)*100</f>
        <v/>
      </c>
      <c r="AZ15" s="82">
        <f>($L15-$J15)*100</f>
        <v/>
      </c>
      <c r="BA15" s="82">
        <f>(2*$H15-$F15-$J15)*100</f>
        <v/>
      </c>
      <c r="BB15" s="82">
        <f>(2*$J15-$H15-$L15)*100</f>
        <v/>
      </c>
      <c r="BC15" s="82">
        <f>($N15-$F15)*100</f>
        <v/>
      </c>
      <c r="BD15" s="82">
        <f>($Q15-$H15)*100</f>
        <v/>
      </c>
      <c r="BE15" s="82">
        <f>($S15-$J15)*100</f>
        <v/>
      </c>
      <c r="BF15" s="82">
        <f>($V15-$L15)*100</f>
        <v/>
      </c>
      <c r="BG15" s="82">
        <f>$AG15-$AF15</f>
        <v/>
      </c>
      <c r="BH15" s="81">
        <f>IFERROR($AG15/$AF15,"")</f>
        <v/>
      </c>
      <c r="BI15" s="82">
        <f>$AJ15-$AF15</f>
        <v/>
      </c>
      <c r="BJ15" s="81">
        <f>IFERROR($AJ15/$AG15,"")</f>
        <v/>
      </c>
      <c r="BK15" s="81">
        <f>$X15</f>
        <v/>
      </c>
      <c r="BL15" s="82">
        <f>($J15-$J16)*100</f>
        <v/>
      </c>
      <c r="BM15" s="82">
        <f>($F15-$F16)*100</f>
        <v/>
      </c>
      <c r="BN15" s="82">
        <f>$AF15-$AF16</f>
        <v/>
      </c>
      <c r="BO15" s="82">
        <f>$AG15-$AG16</f>
        <v/>
      </c>
      <c r="BP15" s="82">
        <f>$AJ15-$AJ16</f>
        <v/>
      </c>
    </row>
    <row r="16">
      <c r="AR16" s="81">
        <f>($G16+($H16-$G16)*0.5)+($P16-($O16+($Q16-$O16)*0.5))</f>
        <v/>
      </c>
      <c r="AS16" s="81">
        <f>($J16+($K16-$J16)*0.5)+($T16-($S16+($U16-$S16)*0.5))</f>
        <v/>
      </c>
      <c r="AT16" s="82">
        <f>($J16-$C16)*100</f>
        <v/>
      </c>
      <c r="AU16" s="82">
        <f>($H16-$F16)*100</f>
        <v/>
      </c>
      <c r="AV16" s="82">
        <f>($J16-$F16)*100</f>
        <v/>
      </c>
      <c r="AW16" s="82">
        <f>($L16-$F16)*100</f>
        <v/>
      </c>
      <c r="AX16" s="82">
        <f>($J16-$H16)*100</f>
        <v/>
      </c>
      <c r="AY16" s="82">
        <f>($L16-$H16)*100</f>
        <v/>
      </c>
      <c r="AZ16" s="82">
        <f>($L16-$J16)*100</f>
        <v/>
      </c>
      <c r="BA16" s="82">
        <f>(2*$H16-$F16-$J16)*100</f>
        <v/>
      </c>
      <c r="BB16" s="82">
        <f>(2*$J16-$H16-$L16)*100</f>
        <v/>
      </c>
      <c r="BC16" s="82">
        <f>($N16-$F16)*100</f>
        <v/>
      </c>
      <c r="BD16" s="82">
        <f>($Q16-$H16)*100</f>
        <v/>
      </c>
      <c r="BE16" s="82">
        <f>($S16-$J16)*100</f>
        <v/>
      </c>
      <c r="BF16" s="82">
        <f>($V16-$L16)*100</f>
        <v/>
      </c>
      <c r="BG16" s="82">
        <f>$AG16-$AF16</f>
        <v/>
      </c>
      <c r="BH16" s="81">
        <f>IFERROR($AG16/$AF16,"")</f>
        <v/>
      </c>
      <c r="BI16" s="82">
        <f>$AJ16-$AF16</f>
        <v/>
      </c>
      <c r="BJ16" s="81">
        <f>IFERROR($AJ16/$AG16,"")</f>
        <v/>
      </c>
      <c r="BK16" s="81">
        <f>$X16</f>
        <v/>
      </c>
      <c r="BL16" s="82">
        <f>($J16-$J17)*100</f>
        <v/>
      </c>
      <c r="BM16" s="82">
        <f>($F16-$F17)*100</f>
        <v/>
      </c>
      <c r="BN16" s="82">
        <f>$AF16-$AF17</f>
        <v/>
      </c>
      <c r="BO16" s="82">
        <f>$AG16-$AG17</f>
        <v/>
      </c>
      <c r="BP16" s="82">
        <f>$AJ16-$AJ17</f>
        <v/>
      </c>
    </row>
    <row r="17">
      <c r="AR17" s="81">
        <f>($G17+($H17-$G17)*0.5)+($P17-($O17+($Q17-$O17)*0.5))</f>
        <v/>
      </c>
      <c r="AS17" s="81">
        <f>($J17+($K17-$J17)*0.5)+($T17-($S17+($U17-$S17)*0.5))</f>
        <v/>
      </c>
      <c r="AT17" s="82">
        <f>($J17-$C17)*100</f>
        <v/>
      </c>
      <c r="AU17" s="82">
        <f>($H17-$F17)*100</f>
        <v/>
      </c>
      <c r="AV17" s="82">
        <f>($J17-$F17)*100</f>
        <v/>
      </c>
      <c r="AW17" s="82">
        <f>($L17-$F17)*100</f>
        <v/>
      </c>
      <c r="AX17" s="82">
        <f>($J17-$H17)*100</f>
        <v/>
      </c>
      <c r="AY17" s="82">
        <f>($L17-$H17)*100</f>
        <v/>
      </c>
      <c r="AZ17" s="82">
        <f>($L17-$J17)*100</f>
        <v/>
      </c>
      <c r="BA17" s="82">
        <f>(2*$H17-$F17-$J17)*100</f>
        <v/>
      </c>
      <c r="BB17" s="82">
        <f>(2*$J17-$H17-$L17)*100</f>
        <v/>
      </c>
      <c r="BC17" s="82">
        <f>($N17-$F17)*100</f>
        <v/>
      </c>
      <c r="BD17" s="82">
        <f>($Q17-$H17)*100</f>
        <v/>
      </c>
      <c r="BE17" s="82">
        <f>($S17-$J17)*100</f>
        <v/>
      </c>
      <c r="BF17" s="82">
        <f>($V17-$L17)*100</f>
        <v/>
      </c>
      <c r="BG17" s="82">
        <f>$AG17-$AF17</f>
        <v/>
      </c>
      <c r="BH17" s="81">
        <f>IFERROR($AG17/$AF17,"")</f>
        <v/>
      </c>
      <c r="BI17" s="82">
        <f>$AJ17-$AF17</f>
        <v/>
      </c>
      <c r="BJ17" s="81">
        <f>IFERROR($AJ17/$AG17,"")</f>
        <v/>
      </c>
      <c r="BK17" s="81">
        <f>$X17</f>
        <v/>
      </c>
      <c r="BL17" s="82">
        <f>($J17-$J18)*100</f>
        <v/>
      </c>
      <c r="BM17" s="82">
        <f>($F17-$F18)*100</f>
        <v/>
      </c>
      <c r="BN17" s="82">
        <f>$AF17-$AF18</f>
        <v/>
      </c>
      <c r="BO17" s="82">
        <f>$AG17-$AG18</f>
        <v/>
      </c>
      <c r="BP17" s="82">
        <f>$AJ17-$AJ18</f>
        <v/>
      </c>
    </row>
    <row r="18">
      <c r="AR18" s="81">
        <f>($G18+($H18-$G18)*0.5)+($P18-($O18+($Q18-$O18)*0.5))</f>
        <v/>
      </c>
      <c r="AS18" s="81">
        <f>($J18+($K18-$J18)*0.5)+($T18-($S18+($U18-$S18)*0.5))</f>
        <v/>
      </c>
      <c r="AT18" s="82">
        <f>($J18-$C18)*100</f>
        <v/>
      </c>
      <c r="AU18" s="82">
        <f>($H18-$F18)*100</f>
        <v/>
      </c>
      <c r="AV18" s="82">
        <f>($J18-$F18)*100</f>
        <v/>
      </c>
      <c r="AW18" s="82">
        <f>($L18-$F18)*100</f>
        <v/>
      </c>
      <c r="AX18" s="82">
        <f>($J18-$H18)*100</f>
        <v/>
      </c>
      <c r="AY18" s="82">
        <f>($L18-$H18)*100</f>
        <v/>
      </c>
      <c r="AZ18" s="82">
        <f>($L18-$J18)*100</f>
        <v/>
      </c>
      <c r="BA18" s="82">
        <f>(2*$H18-$F18-$J18)*100</f>
        <v/>
      </c>
      <c r="BB18" s="82">
        <f>(2*$J18-$H18-$L18)*100</f>
        <v/>
      </c>
      <c r="BC18" s="82">
        <f>($N18-$F18)*100</f>
        <v/>
      </c>
      <c r="BD18" s="82">
        <f>($Q18-$H18)*100</f>
        <v/>
      </c>
      <c r="BE18" s="82">
        <f>($S18-$J18)*100</f>
        <v/>
      </c>
      <c r="BF18" s="82">
        <f>($V18-$L18)*100</f>
        <v/>
      </c>
      <c r="BG18" s="82">
        <f>$AG18-$AF18</f>
        <v/>
      </c>
      <c r="BH18" s="81">
        <f>IFERROR($AG18/$AF18,"")</f>
        <v/>
      </c>
      <c r="BI18" s="82">
        <f>$AJ18-$AF18</f>
        <v/>
      </c>
      <c r="BJ18" s="81">
        <f>IFERROR($AJ18/$AG18,"")</f>
        <v/>
      </c>
      <c r="BK18" s="81">
        <f>$X18</f>
        <v/>
      </c>
      <c r="BL18" s="82">
        <f>($J18-$J19)*100</f>
        <v/>
      </c>
      <c r="BM18" s="82">
        <f>($F18-$F19)*100</f>
        <v/>
      </c>
      <c r="BN18" s="82">
        <f>$AF18-$AF19</f>
        <v/>
      </c>
      <c r="BO18" s="82">
        <f>$AG18-$AG19</f>
        <v/>
      </c>
      <c r="BP18" s="82">
        <f>$AJ18-$AJ19</f>
        <v/>
      </c>
    </row>
    <row r="19">
      <c r="AR19" s="81">
        <f>($G19+($H19-$G19)*0.5)+($P19-($O19+($Q19-$O19)*0.5))</f>
        <v/>
      </c>
      <c r="AS19" s="81">
        <f>($J19+($K19-$J19)*0.5)+($T19-($S19+($U19-$S19)*0.5))</f>
        <v/>
      </c>
      <c r="AT19" s="82">
        <f>($J19-$C19)*100</f>
        <v/>
      </c>
      <c r="AU19" s="82">
        <f>($H19-$F19)*100</f>
        <v/>
      </c>
      <c r="AV19" s="82">
        <f>($J19-$F19)*100</f>
        <v/>
      </c>
      <c r="AW19" s="82">
        <f>($L19-$F19)*100</f>
        <v/>
      </c>
      <c r="AX19" s="82">
        <f>($J19-$H19)*100</f>
        <v/>
      </c>
      <c r="AY19" s="82">
        <f>($L19-$H19)*100</f>
        <v/>
      </c>
      <c r="AZ19" s="82">
        <f>($L19-$J19)*100</f>
        <v/>
      </c>
      <c r="BA19" s="82">
        <f>(2*$H19-$F19-$J19)*100</f>
        <v/>
      </c>
      <c r="BB19" s="82">
        <f>(2*$J19-$H19-$L19)*100</f>
        <v/>
      </c>
      <c r="BC19" s="82">
        <f>($N19-$F19)*100</f>
        <v/>
      </c>
      <c r="BD19" s="82">
        <f>($Q19-$H19)*100</f>
        <v/>
      </c>
      <c r="BE19" s="82">
        <f>($S19-$J19)*100</f>
        <v/>
      </c>
      <c r="BF19" s="82">
        <f>($V19-$L19)*100</f>
        <v/>
      </c>
      <c r="BG19" s="82">
        <f>$AG19-$AF19</f>
        <v/>
      </c>
      <c r="BH19" s="81">
        <f>IFERROR($AG19/$AF19,"")</f>
        <v/>
      </c>
      <c r="BI19" s="82">
        <f>$AJ19-$AF19</f>
        <v/>
      </c>
      <c r="BJ19" s="81">
        <f>IFERROR($AJ19/$AG19,"")</f>
        <v/>
      </c>
      <c r="BK19" s="81">
        <f>$X19</f>
        <v/>
      </c>
      <c r="BL19" s="82">
        <f>($J19-$J20)*100</f>
        <v/>
      </c>
      <c r="BM19" s="82">
        <f>($F19-$F20)*100</f>
        <v/>
      </c>
      <c r="BN19" s="82">
        <f>$AF19-$AF20</f>
        <v/>
      </c>
      <c r="BO19" s="82">
        <f>$AG19-$AG20</f>
        <v/>
      </c>
      <c r="BP19" s="82">
        <f>$AJ19-$AJ20</f>
        <v/>
      </c>
    </row>
    <row r="20">
      <c r="AR20" s="81">
        <f>($G20+($H20-$G20)*0.5)+($P20-($O20+($Q20-$O20)*0.5))</f>
        <v/>
      </c>
      <c r="AS20" s="81">
        <f>($J20+($K20-$J20)*0.5)+($T20-($S20+($U20-$S20)*0.5))</f>
        <v/>
      </c>
      <c r="AT20" s="82">
        <f>($J20-$C20)*100</f>
        <v/>
      </c>
      <c r="AU20" s="82">
        <f>($H20-$F20)*100</f>
        <v/>
      </c>
      <c r="AV20" s="82">
        <f>($J20-$F20)*100</f>
        <v/>
      </c>
      <c r="AW20" s="82">
        <f>($L20-$F20)*100</f>
        <v/>
      </c>
      <c r="AX20" s="82">
        <f>($J20-$H20)*100</f>
        <v/>
      </c>
      <c r="AY20" s="82">
        <f>($L20-$H20)*100</f>
        <v/>
      </c>
      <c r="AZ20" s="82">
        <f>($L20-$J20)*100</f>
        <v/>
      </c>
      <c r="BA20" s="82">
        <f>(2*$H20-$F20-$J20)*100</f>
        <v/>
      </c>
      <c r="BB20" s="82">
        <f>(2*$J20-$H20-$L20)*100</f>
        <v/>
      </c>
      <c r="BC20" s="82">
        <f>($N20-$F20)*100</f>
        <v/>
      </c>
      <c r="BD20" s="82">
        <f>($Q20-$H20)*100</f>
        <v/>
      </c>
      <c r="BE20" s="82">
        <f>($S20-$J20)*100</f>
        <v/>
      </c>
      <c r="BF20" s="82">
        <f>($V20-$L20)*100</f>
        <v/>
      </c>
      <c r="BG20" s="82">
        <f>$AG20-$AF20</f>
        <v/>
      </c>
      <c r="BH20" s="81">
        <f>IFERROR($AG20/$AF20,"")</f>
        <v/>
      </c>
      <c r="BI20" s="82">
        <f>$AJ20-$AF20</f>
        <v/>
      </c>
      <c r="BJ20" s="81">
        <f>IFERROR($AJ20/$AG20,"")</f>
        <v/>
      </c>
      <c r="BK20" s="81">
        <f>$X20</f>
        <v/>
      </c>
      <c r="BL20" s="82">
        <f>($J20-$J21)*100</f>
        <v/>
      </c>
      <c r="BM20" s="82">
        <f>($F20-$F21)*100</f>
        <v/>
      </c>
      <c r="BN20" s="82">
        <f>$AF20-$AF21</f>
        <v/>
      </c>
      <c r="BO20" s="82">
        <f>$AG20-$AG21</f>
        <v/>
      </c>
      <c r="BP20" s="82">
        <f>$AJ20-$AJ21</f>
        <v/>
      </c>
    </row>
    <row r="21">
      <c r="AR21" s="81">
        <f>($G21+($H21-$G21)*0.5)+($P21-($O21+($Q21-$O21)*0.5))</f>
        <v/>
      </c>
      <c r="AS21" s="81">
        <f>($J21+($K21-$J21)*0.5)+($T21-($S21+($U21-$S21)*0.5))</f>
        <v/>
      </c>
      <c r="AT21" s="82">
        <f>($J21-$C21)*100</f>
        <v/>
      </c>
      <c r="AU21" s="82">
        <f>($H21-$F21)*100</f>
        <v/>
      </c>
      <c r="AV21" s="82">
        <f>($J21-$F21)*100</f>
        <v/>
      </c>
      <c r="AW21" s="82">
        <f>($L21-$F21)*100</f>
        <v/>
      </c>
      <c r="AX21" s="82">
        <f>($J21-$H21)*100</f>
        <v/>
      </c>
      <c r="AY21" s="82">
        <f>($L21-$H21)*100</f>
        <v/>
      </c>
      <c r="AZ21" s="82">
        <f>($L21-$J21)*100</f>
        <v/>
      </c>
      <c r="BA21" s="82">
        <f>(2*$H21-$F21-$J21)*100</f>
        <v/>
      </c>
      <c r="BB21" s="82">
        <f>(2*$J21-$H21-$L21)*100</f>
        <v/>
      </c>
      <c r="BC21" s="82">
        <f>($N21-$F21)*100</f>
        <v/>
      </c>
      <c r="BD21" s="82">
        <f>($Q21-$H21)*100</f>
        <v/>
      </c>
      <c r="BE21" s="82">
        <f>($S21-$J21)*100</f>
        <v/>
      </c>
      <c r="BF21" s="82">
        <f>($V21-$L21)*100</f>
        <v/>
      </c>
      <c r="BG21" s="82">
        <f>$AG21-$AF21</f>
        <v/>
      </c>
      <c r="BH21" s="81">
        <f>IFERROR($AG21/$AF21,"")</f>
        <v/>
      </c>
      <c r="BI21" s="82">
        <f>$AJ21-$AF21</f>
        <v/>
      </c>
      <c r="BJ21" s="81">
        <f>IFERROR($AJ21/$AG21,"")</f>
        <v/>
      </c>
      <c r="BK21" s="81">
        <f>$X21</f>
        <v/>
      </c>
      <c r="BL21" s="82">
        <f>($J21-$J22)*100</f>
        <v/>
      </c>
      <c r="BM21" s="82">
        <f>($F21-$F22)*100</f>
        <v/>
      </c>
      <c r="BN21" s="82">
        <f>$AF21-$AF22</f>
        <v/>
      </c>
      <c r="BO21" s="82">
        <f>$AG21-$AG22</f>
        <v/>
      </c>
      <c r="BP21" s="82">
        <f>$AJ21-$AJ22</f>
        <v/>
      </c>
    </row>
    <row r="22">
      <c r="AR22" s="81">
        <f>($G22+($H22-$G22)*0.5)+($P22-($O22+($Q22-$O22)*0.5))</f>
        <v/>
      </c>
      <c r="AS22" s="81">
        <f>($J22+($K22-$J22)*0.5)+($T22-($S22+($U22-$S22)*0.5))</f>
        <v/>
      </c>
      <c r="AT22" s="82">
        <f>($J22-$C22)*100</f>
        <v/>
      </c>
      <c r="AU22" s="82">
        <f>($H22-$F22)*100</f>
        <v/>
      </c>
      <c r="AV22" s="82">
        <f>($J22-$F22)*100</f>
        <v/>
      </c>
      <c r="AW22" s="82">
        <f>($L22-$F22)*100</f>
        <v/>
      </c>
      <c r="AX22" s="82">
        <f>($J22-$H22)*100</f>
        <v/>
      </c>
      <c r="AY22" s="82">
        <f>($L22-$H22)*100</f>
        <v/>
      </c>
      <c r="AZ22" s="82">
        <f>($L22-$J22)*100</f>
        <v/>
      </c>
      <c r="BA22" s="82">
        <f>(2*$H22-$F22-$J22)*100</f>
        <v/>
      </c>
      <c r="BB22" s="82">
        <f>(2*$J22-$H22-$L22)*100</f>
        <v/>
      </c>
      <c r="BC22" s="82">
        <f>($N22-$F22)*100</f>
        <v/>
      </c>
      <c r="BD22" s="82">
        <f>($Q22-$H22)*100</f>
        <v/>
      </c>
      <c r="BE22" s="82">
        <f>($S22-$J22)*100</f>
        <v/>
      </c>
      <c r="BF22" s="82">
        <f>($V22-$L22)*100</f>
        <v/>
      </c>
      <c r="BG22" s="82">
        <f>$AG22-$AF22</f>
        <v/>
      </c>
      <c r="BH22" s="81">
        <f>IFERROR($AG22/$AF22,"")</f>
        <v/>
      </c>
      <c r="BI22" s="82">
        <f>$AJ22-$AF22</f>
        <v/>
      </c>
      <c r="BJ22" s="81">
        <f>IFERROR($AJ22/$AG22,"")</f>
        <v/>
      </c>
      <c r="BK22" s="81">
        <f>$X22</f>
        <v/>
      </c>
      <c r="BL22" s="82">
        <f>($J22-$J23)*100</f>
        <v/>
      </c>
      <c r="BM22" s="82">
        <f>($F22-$F23)*100</f>
        <v/>
      </c>
      <c r="BN22" s="82">
        <f>$AF22-$AF23</f>
        <v/>
      </c>
      <c r="BO22" s="82">
        <f>$AG22-$AG23</f>
        <v/>
      </c>
      <c r="BP22" s="82">
        <f>$AJ22-$AJ23</f>
        <v/>
      </c>
    </row>
    <row r="23">
      <c r="AR23" s="81">
        <f>($G23+($H23-$G23)*0.5)+($P23-($O23+($Q23-$O23)*0.5))</f>
        <v/>
      </c>
      <c r="AS23" s="81">
        <f>($J23+($K23-$J23)*0.5)+($T23-($S23+($U23-$S23)*0.5))</f>
        <v/>
      </c>
      <c r="AT23" s="82">
        <f>($J23-$C23)*100</f>
        <v/>
      </c>
      <c r="AU23" s="82">
        <f>($H23-$F23)*100</f>
        <v/>
      </c>
      <c r="AV23" s="82">
        <f>($J23-$F23)*100</f>
        <v/>
      </c>
      <c r="AW23" s="82">
        <f>($L23-$F23)*100</f>
        <v/>
      </c>
      <c r="AX23" s="82">
        <f>($J23-$H23)*100</f>
        <v/>
      </c>
      <c r="AY23" s="82">
        <f>($L23-$H23)*100</f>
        <v/>
      </c>
      <c r="AZ23" s="82">
        <f>($L23-$J23)*100</f>
        <v/>
      </c>
      <c r="BA23" s="82">
        <f>(2*$H23-$F23-$J23)*100</f>
        <v/>
      </c>
      <c r="BB23" s="82">
        <f>(2*$J23-$H23-$L23)*100</f>
        <v/>
      </c>
      <c r="BC23" s="82">
        <f>($N23-$F23)*100</f>
        <v/>
      </c>
      <c r="BD23" s="82">
        <f>($Q23-$H23)*100</f>
        <v/>
      </c>
      <c r="BE23" s="82">
        <f>($S23-$J23)*100</f>
        <v/>
      </c>
      <c r="BF23" s="82">
        <f>($V23-$L23)*100</f>
        <v/>
      </c>
      <c r="BG23" s="82">
        <f>$AG23-$AF23</f>
        <v/>
      </c>
      <c r="BH23" s="81">
        <f>IFERROR($AG23/$AF23,"")</f>
        <v/>
      </c>
      <c r="BI23" s="82">
        <f>$AJ23-$AF23</f>
        <v/>
      </c>
      <c r="BJ23" s="81">
        <f>IFERROR($AJ23/$AG23,"")</f>
        <v/>
      </c>
      <c r="BK23" s="81">
        <f>$X23</f>
        <v/>
      </c>
      <c r="BL23" s="82">
        <f>($J23-$J24)*100</f>
        <v/>
      </c>
      <c r="BM23" s="82">
        <f>($F23-$F24)*100</f>
        <v/>
      </c>
      <c r="BN23" s="82">
        <f>$AF23-$AF24</f>
        <v/>
      </c>
      <c r="BO23" s="82">
        <f>$AG23-$AG24</f>
        <v/>
      </c>
      <c r="BP23" s="82">
        <f>$AJ23-$AJ24</f>
        <v/>
      </c>
    </row>
    <row r="24">
      <c r="AR24" s="81">
        <f>($G24+($H24-$G24)*0.5)+($P24-($O24+($Q24-$O24)*0.5))</f>
        <v/>
      </c>
      <c r="AS24" s="81">
        <f>($J24+($K24-$J24)*0.5)+($T24-($S24+($U24-$S24)*0.5))</f>
        <v/>
      </c>
      <c r="AT24" s="82">
        <f>($J24-$C24)*100</f>
        <v/>
      </c>
      <c r="AU24" s="82">
        <f>($H24-$F24)*100</f>
        <v/>
      </c>
      <c r="AV24" s="82">
        <f>($J24-$F24)*100</f>
        <v/>
      </c>
      <c r="AW24" s="82">
        <f>($L24-$F24)*100</f>
        <v/>
      </c>
      <c r="AX24" s="82">
        <f>($J24-$H24)*100</f>
        <v/>
      </c>
      <c r="AY24" s="82">
        <f>($L24-$H24)*100</f>
        <v/>
      </c>
      <c r="AZ24" s="82">
        <f>($L24-$J24)*100</f>
        <v/>
      </c>
      <c r="BA24" s="82">
        <f>(2*$H24-$F24-$J24)*100</f>
        <v/>
      </c>
      <c r="BB24" s="82">
        <f>(2*$J24-$H24-$L24)*100</f>
        <v/>
      </c>
      <c r="BC24" s="82">
        <f>($N24-$F24)*100</f>
        <v/>
      </c>
      <c r="BD24" s="82">
        <f>($Q24-$H24)*100</f>
        <v/>
      </c>
      <c r="BE24" s="82">
        <f>($S24-$J24)*100</f>
        <v/>
      </c>
      <c r="BF24" s="82">
        <f>($V24-$L24)*100</f>
        <v/>
      </c>
      <c r="BG24" s="82">
        <f>$AG24-$AF24</f>
        <v/>
      </c>
      <c r="BH24" s="81">
        <f>IFERROR($AG24/$AF24,"")</f>
        <v/>
      </c>
      <c r="BI24" s="82">
        <f>$AJ24-$AF24</f>
        <v/>
      </c>
      <c r="BJ24" s="81">
        <f>IFERROR($AJ24/$AG24,"")</f>
        <v/>
      </c>
      <c r="BK24" s="81">
        <f>$X24</f>
        <v/>
      </c>
      <c r="BL24" s="82">
        <f>($J24-$J25)*100</f>
        <v/>
      </c>
      <c r="BM24" s="82">
        <f>($F24-$F25)*100</f>
        <v/>
      </c>
      <c r="BN24" s="82">
        <f>$AF24-$AF25</f>
        <v/>
      </c>
      <c r="BO24" s="82">
        <f>$AG24-$AG25</f>
        <v/>
      </c>
      <c r="BP24" s="82">
        <f>$AJ24-$AJ25</f>
        <v/>
      </c>
    </row>
    <row r="25">
      <c r="AR25" s="81">
        <f>($G25+($H25-$G25)*0.5)+($P25-($O25+($Q25-$O25)*0.5))</f>
        <v/>
      </c>
      <c r="AS25" s="81">
        <f>($J25+($K25-$J25)*0.5)+($T25-($S25+($U25-$S25)*0.5))</f>
        <v/>
      </c>
      <c r="AT25" s="82">
        <f>($J25-$C25)*100</f>
        <v/>
      </c>
      <c r="AU25" s="82">
        <f>($H25-$F25)*100</f>
        <v/>
      </c>
      <c r="AV25" s="82">
        <f>($J25-$F25)*100</f>
        <v/>
      </c>
      <c r="AW25" s="82">
        <f>($L25-$F25)*100</f>
        <v/>
      </c>
      <c r="AX25" s="82">
        <f>($J25-$H25)*100</f>
        <v/>
      </c>
      <c r="AY25" s="82">
        <f>($L25-$H25)*100</f>
        <v/>
      </c>
      <c r="AZ25" s="82">
        <f>($L25-$J25)*100</f>
        <v/>
      </c>
      <c r="BA25" s="82">
        <f>(2*$H25-$F25-$J25)*100</f>
        <v/>
      </c>
      <c r="BB25" s="82">
        <f>(2*$J25-$H25-$L25)*100</f>
        <v/>
      </c>
      <c r="BC25" s="82">
        <f>($N25-$F25)*100</f>
        <v/>
      </c>
      <c r="BD25" s="82">
        <f>($Q25-$H25)*100</f>
        <v/>
      </c>
      <c r="BE25" s="82">
        <f>($S25-$J25)*100</f>
        <v/>
      </c>
      <c r="BF25" s="82">
        <f>($V25-$L25)*100</f>
        <v/>
      </c>
      <c r="BG25" s="82">
        <f>$AG25-$AF25</f>
        <v/>
      </c>
      <c r="BH25" s="81">
        <f>IFERROR($AG25/$AF25,"")</f>
        <v/>
      </c>
      <c r="BI25" s="82">
        <f>$AJ25-$AF25</f>
        <v/>
      </c>
      <c r="BJ25" s="81">
        <f>IFERROR($AJ25/$AG25,"")</f>
        <v/>
      </c>
      <c r="BK25" s="81">
        <f>$X25</f>
        <v/>
      </c>
      <c r="BL25" s="82">
        <f>($J25-$J26)*100</f>
        <v/>
      </c>
      <c r="BM25" s="82">
        <f>($F25-$F26)*100</f>
        <v/>
      </c>
      <c r="BN25" s="82">
        <f>$AF25-$AF26</f>
        <v/>
      </c>
      <c r="BO25" s="82">
        <f>$AG25-$AG26</f>
        <v/>
      </c>
      <c r="BP25" s="82">
        <f>$AJ25-$AJ26</f>
        <v/>
      </c>
    </row>
    <row r="26">
      <c r="AR26" s="81">
        <f>($G26+($H26-$G26)*0.5)+($P26-($O26+($Q26-$O26)*0.5))</f>
        <v/>
      </c>
      <c r="AS26" s="81">
        <f>($J26+($K26-$J26)*0.5)+($T26-($S26+($U26-$S26)*0.5))</f>
        <v/>
      </c>
      <c r="AT26" s="82">
        <f>($J26-$C26)*100</f>
        <v/>
      </c>
      <c r="AU26" s="82">
        <f>($H26-$F26)*100</f>
        <v/>
      </c>
      <c r="AV26" s="82">
        <f>($J26-$F26)*100</f>
        <v/>
      </c>
      <c r="AW26" s="82">
        <f>($L26-$F26)*100</f>
        <v/>
      </c>
      <c r="AX26" s="82">
        <f>($J26-$H26)*100</f>
        <v/>
      </c>
      <c r="AY26" s="82">
        <f>($L26-$H26)*100</f>
        <v/>
      </c>
      <c r="AZ26" s="82">
        <f>($L26-$J26)*100</f>
        <v/>
      </c>
      <c r="BA26" s="82">
        <f>(2*$H26-$F26-$J26)*100</f>
        <v/>
      </c>
      <c r="BB26" s="82">
        <f>(2*$J26-$H26-$L26)*100</f>
        <v/>
      </c>
      <c r="BC26" s="82">
        <f>($N26-$F26)*100</f>
        <v/>
      </c>
      <c r="BD26" s="82">
        <f>($Q26-$H26)*100</f>
        <v/>
      </c>
      <c r="BE26" s="82">
        <f>($S26-$J26)*100</f>
        <v/>
      </c>
      <c r="BF26" s="82">
        <f>($V26-$L26)*100</f>
        <v/>
      </c>
      <c r="BG26" s="82">
        <f>$AG26-$AF26</f>
        <v/>
      </c>
      <c r="BH26" s="81">
        <f>IFERROR($AG26/$AF26,"")</f>
        <v/>
      </c>
      <c r="BI26" s="82">
        <f>$AJ26-$AF26</f>
        <v/>
      </c>
      <c r="BJ26" s="81">
        <f>IFERROR($AJ26/$AG26,"")</f>
        <v/>
      </c>
      <c r="BK26" s="81">
        <f>$X26</f>
        <v/>
      </c>
      <c r="BL26" s="82">
        <f>($J26-$J27)*100</f>
        <v/>
      </c>
      <c r="BM26" s="82">
        <f>($F26-$F27)*100</f>
        <v/>
      </c>
      <c r="BN26" s="82">
        <f>$AF26-$AF27</f>
        <v/>
      </c>
      <c r="BO26" s="82">
        <f>$AG26-$AG27</f>
        <v/>
      </c>
      <c r="BP26" s="82">
        <f>$AJ26-$AJ27</f>
        <v/>
      </c>
    </row>
    <row r="27">
      <c r="AR27" s="81">
        <f>($G27+($H27-$G27)*0.5)+($P27-($O27+($Q27-$O27)*0.5))</f>
        <v/>
      </c>
      <c r="AS27" s="81">
        <f>($J27+($K27-$J27)*0.5)+($T27-($S27+($U27-$S27)*0.5))</f>
        <v/>
      </c>
      <c r="AT27" s="82">
        <f>($J27-$C27)*100</f>
        <v/>
      </c>
      <c r="AU27" s="82">
        <f>($H27-$F27)*100</f>
        <v/>
      </c>
      <c r="AV27" s="82">
        <f>($J27-$F27)*100</f>
        <v/>
      </c>
      <c r="AW27" s="82">
        <f>($L27-$F27)*100</f>
        <v/>
      </c>
      <c r="AX27" s="82">
        <f>($J27-$H27)*100</f>
        <v/>
      </c>
      <c r="AY27" s="82">
        <f>($L27-$H27)*100</f>
        <v/>
      </c>
      <c r="AZ27" s="82">
        <f>($L27-$J27)*100</f>
        <v/>
      </c>
      <c r="BA27" s="82">
        <f>(2*$H27-$F27-$J27)*100</f>
        <v/>
      </c>
      <c r="BB27" s="82">
        <f>(2*$J27-$H27-$L27)*100</f>
        <v/>
      </c>
      <c r="BC27" s="82">
        <f>($N27-$F27)*100</f>
        <v/>
      </c>
      <c r="BD27" s="82">
        <f>($Q27-$H27)*100</f>
        <v/>
      </c>
      <c r="BE27" s="82">
        <f>($S27-$J27)*100</f>
        <v/>
      </c>
      <c r="BF27" s="82">
        <f>($V27-$L27)*100</f>
        <v/>
      </c>
      <c r="BG27" s="82">
        <f>$AG27-$AF27</f>
        <v/>
      </c>
      <c r="BH27" s="81">
        <f>IFERROR($AG27/$AF27,"")</f>
        <v/>
      </c>
      <c r="BI27" s="82">
        <f>$AJ27-$AF27</f>
        <v/>
      </c>
      <c r="BJ27" s="81">
        <f>IFERROR($AJ27/$AG27,"")</f>
        <v/>
      </c>
      <c r="BK27" s="81">
        <f>$X27</f>
        <v/>
      </c>
      <c r="BL27" s="82">
        <f>($J27-$J28)*100</f>
        <v/>
      </c>
      <c r="BM27" s="82">
        <f>($F27-$F28)*100</f>
        <v/>
      </c>
      <c r="BN27" s="82">
        <f>$AF27-$AF28</f>
        <v/>
      </c>
      <c r="BO27" s="82">
        <f>$AG27-$AG28</f>
        <v/>
      </c>
      <c r="BP27" s="82">
        <f>$AJ27-$AJ28</f>
        <v/>
      </c>
    </row>
    <row r="28">
      <c r="AR28" s="81">
        <f>($G28+($H28-$G28)*0.5)+($P28-($O28+($Q28-$O28)*0.5))</f>
        <v/>
      </c>
      <c r="AS28" s="81">
        <f>($J28+($K28-$J28)*0.5)+($T28-($S28+($U28-$S28)*0.5))</f>
        <v/>
      </c>
      <c r="AT28" s="82">
        <f>($J28-$C28)*100</f>
        <v/>
      </c>
      <c r="AU28" s="82">
        <f>($H28-$F28)*100</f>
        <v/>
      </c>
      <c r="AV28" s="82">
        <f>($J28-$F28)*100</f>
        <v/>
      </c>
      <c r="AW28" s="82">
        <f>($L28-$F28)*100</f>
        <v/>
      </c>
      <c r="AX28" s="82">
        <f>($J28-$H28)*100</f>
        <v/>
      </c>
      <c r="AY28" s="82">
        <f>($L28-$H28)*100</f>
        <v/>
      </c>
      <c r="AZ28" s="82">
        <f>($L28-$J28)*100</f>
        <v/>
      </c>
      <c r="BA28" s="82">
        <f>(2*$H28-$F28-$J28)*100</f>
        <v/>
      </c>
      <c r="BB28" s="82">
        <f>(2*$J28-$H28-$L28)*100</f>
        <v/>
      </c>
      <c r="BC28" s="82">
        <f>($N28-$F28)*100</f>
        <v/>
      </c>
      <c r="BD28" s="82">
        <f>($Q28-$H28)*100</f>
        <v/>
      </c>
      <c r="BE28" s="82">
        <f>($S28-$J28)*100</f>
        <v/>
      </c>
      <c r="BF28" s="82">
        <f>($V28-$L28)*100</f>
        <v/>
      </c>
      <c r="BG28" s="82">
        <f>$AG28-$AF28</f>
        <v/>
      </c>
      <c r="BH28" s="81">
        <f>IFERROR($AG28/$AF28,"")</f>
        <v/>
      </c>
      <c r="BI28" s="82">
        <f>$AJ28-$AF28</f>
        <v/>
      </c>
      <c r="BJ28" s="81">
        <f>IFERROR($AJ28/$AG28,"")</f>
        <v/>
      </c>
      <c r="BK28" s="81">
        <f>$X28</f>
        <v/>
      </c>
      <c r="BL28" s="82">
        <f>($J28-$J29)*100</f>
        <v/>
      </c>
      <c r="BM28" s="82">
        <f>($F28-$F29)*100</f>
        <v/>
      </c>
      <c r="BN28" s="82">
        <f>$AF28-$AF29</f>
        <v/>
      </c>
      <c r="BO28" s="82">
        <f>$AG28-$AG29</f>
        <v/>
      </c>
      <c r="BP28" s="82">
        <f>$AJ28-$AJ29</f>
        <v/>
      </c>
    </row>
    <row r="29">
      <c r="AR29" s="81">
        <f>($G29+($H29-$G29)*0.5)+($P29-($O29+($Q29-$O29)*0.5))</f>
        <v/>
      </c>
      <c r="AS29" s="81">
        <f>($J29+($K29-$J29)*0.5)+($T29-($S29+($U29-$S29)*0.5))</f>
        <v/>
      </c>
      <c r="AT29" s="82">
        <f>($J29-$C29)*100</f>
        <v/>
      </c>
      <c r="AU29" s="82">
        <f>($H29-$F29)*100</f>
        <v/>
      </c>
      <c r="AV29" s="82">
        <f>($J29-$F29)*100</f>
        <v/>
      </c>
      <c r="AW29" s="82">
        <f>($L29-$F29)*100</f>
        <v/>
      </c>
      <c r="AX29" s="82">
        <f>($J29-$H29)*100</f>
        <v/>
      </c>
      <c r="AY29" s="82">
        <f>($L29-$H29)*100</f>
        <v/>
      </c>
      <c r="AZ29" s="82">
        <f>($L29-$J29)*100</f>
        <v/>
      </c>
      <c r="BA29" s="82">
        <f>(2*$H29-$F29-$J29)*100</f>
        <v/>
      </c>
      <c r="BB29" s="82">
        <f>(2*$J29-$H29-$L29)*100</f>
        <v/>
      </c>
      <c r="BC29" s="82">
        <f>($N29-$F29)*100</f>
        <v/>
      </c>
      <c r="BD29" s="82">
        <f>($Q29-$H29)*100</f>
        <v/>
      </c>
      <c r="BE29" s="82">
        <f>($S29-$J29)*100</f>
        <v/>
      </c>
      <c r="BF29" s="82">
        <f>($V29-$L29)*100</f>
        <v/>
      </c>
      <c r="BG29" s="82">
        <f>$AG29-$AF29</f>
        <v/>
      </c>
      <c r="BH29" s="81">
        <f>IFERROR($AG29/$AF29,"")</f>
        <v/>
      </c>
      <c r="BI29" s="82">
        <f>$AJ29-$AF29</f>
        <v/>
      </c>
      <c r="BJ29" s="81">
        <f>IFERROR($AJ29/$AG29,"")</f>
        <v/>
      </c>
      <c r="BK29" s="81">
        <f>$X29</f>
        <v/>
      </c>
      <c r="BL29" s="82">
        <f>($J29-$J30)*100</f>
        <v/>
      </c>
      <c r="BM29" s="82">
        <f>($F29-$F30)*100</f>
        <v/>
      </c>
      <c r="BN29" s="82">
        <f>$AF29-$AF30</f>
        <v/>
      </c>
      <c r="BO29" s="82">
        <f>$AG29-$AG30</f>
        <v/>
      </c>
      <c r="BP29" s="82">
        <f>$AJ29-$AJ30</f>
        <v/>
      </c>
    </row>
    <row r="30">
      <c r="AR30" s="81">
        <f>($G30+($H30-$G30)*0.5)+($P30-($O30+($Q30-$O30)*0.5))</f>
        <v/>
      </c>
      <c r="AS30" s="81">
        <f>($J30+($K30-$J30)*0.5)+($T30-($S30+($U30-$S30)*0.5))</f>
        <v/>
      </c>
      <c r="AT30" s="82">
        <f>($J30-$C30)*100</f>
        <v/>
      </c>
      <c r="AU30" s="82">
        <f>($H30-$F30)*100</f>
        <v/>
      </c>
      <c r="AV30" s="82">
        <f>($J30-$F30)*100</f>
        <v/>
      </c>
      <c r="AW30" s="82">
        <f>($L30-$F30)*100</f>
        <v/>
      </c>
      <c r="AX30" s="82">
        <f>($J30-$H30)*100</f>
        <v/>
      </c>
      <c r="AY30" s="82">
        <f>($L30-$H30)*100</f>
        <v/>
      </c>
      <c r="AZ30" s="82">
        <f>($L30-$J30)*100</f>
        <v/>
      </c>
      <c r="BA30" s="82">
        <f>(2*$H30-$F30-$J30)*100</f>
        <v/>
      </c>
      <c r="BB30" s="82">
        <f>(2*$J30-$H30-$L30)*100</f>
        <v/>
      </c>
      <c r="BC30" s="82">
        <f>($N30-$F30)*100</f>
        <v/>
      </c>
      <c r="BD30" s="82">
        <f>($Q30-$H30)*100</f>
        <v/>
      </c>
      <c r="BE30" s="82">
        <f>($S30-$J30)*100</f>
        <v/>
      </c>
      <c r="BF30" s="82">
        <f>($V30-$L30)*100</f>
        <v/>
      </c>
      <c r="BG30" s="82">
        <f>$AG30-$AF30</f>
        <v/>
      </c>
      <c r="BH30" s="81">
        <f>IFERROR($AG30/$AF30,"")</f>
        <v/>
      </c>
      <c r="BI30" s="82">
        <f>$AJ30-$AF30</f>
        <v/>
      </c>
      <c r="BJ30" s="81">
        <f>IFERROR($AJ30/$AG30,"")</f>
        <v/>
      </c>
      <c r="BK30" s="81">
        <f>$X30</f>
        <v/>
      </c>
      <c r="BL30" s="82">
        <f>($J30-$J31)*100</f>
        <v/>
      </c>
      <c r="BM30" s="82">
        <f>($F30-$F31)*100</f>
        <v/>
      </c>
      <c r="BN30" s="82">
        <f>$AF30-$AF31</f>
        <v/>
      </c>
      <c r="BO30" s="82">
        <f>$AG30-$AG31</f>
        <v/>
      </c>
      <c r="BP30" s="82">
        <f>$AJ30-$AJ31</f>
        <v/>
      </c>
    </row>
    <row r="31">
      <c r="AR31" s="81">
        <f>($G31+($H31-$G31)*0.5)+($P31-($O31+($Q31-$O31)*0.5))</f>
        <v/>
      </c>
      <c r="AS31" s="81">
        <f>($J31+($K31-$J31)*0.5)+($T31-($S31+($U31-$S31)*0.5))</f>
        <v/>
      </c>
      <c r="AT31" s="82">
        <f>($J31-$C31)*100</f>
        <v/>
      </c>
      <c r="AU31" s="82">
        <f>($H31-$F31)*100</f>
        <v/>
      </c>
      <c r="AV31" s="82">
        <f>($J31-$F31)*100</f>
        <v/>
      </c>
      <c r="AW31" s="82">
        <f>($L31-$F31)*100</f>
        <v/>
      </c>
      <c r="AX31" s="82">
        <f>($J31-$H31)*100</f>
        <v/>
      </c>
      <c r="AY31" s="82">
        <f>($L31-$H31)*100</f>
        <v/>
      </c>
      <c r="AZ31" s="82">
        <f>($L31-$J31)*100</f>
        <v/>
      </c>
      <c r="BA31" s="82">
        <f>(2*$H31-$F31-$J31)*100</f>
        <v/>
      </c>
      <c r="BB31" s="82">
        <f>(2*$J31-$H31-$L31)*100</f>
        <v/>
      </c>
      <c r="BC31" s="82">
        <f>($N31-$F31)*100</f>
        <v/>
      </c>
      <c r="BD31" s="82">
        <f>($Q31-$H31)*100</f>
        <v/>
      </c>
      <c r="BE31" s="82">
        <f>($S31-$J31)*100</f>
        <v/>
      </c>
      <c r="BF31" s="82">
        <f>($V31-$L31)*100</f>
        <v/>
      </c>
      <c r="BG31" s="82">
        <f>$AG31-$AF31</f>
        <v/>
      </c>
      <c r="BH31" s="81">
        <f>IFERROR($AG31/$AF31,"")</f>
        <v/>
      </c>
      <c r="BI31" s="82">
        <f>$AJ31-$AF31</f>
        <v/>
      </c>
      <c r="BJ31" s="81">
        <f>IFERROR($AJ31/$AG31,"")</f>
        <v/>
      </c>
      <c r="BK31" s="81">
        <f>$X31</f>
        <v/>
      </c>
      <c r="BL31" s="82">
        <f>($J31-$J32)*100</f>
        <v/>
      </c>
      <c r="BM31" s="82">
        <f>($F31-$F32)*100</f>
        <v/>
      </c>
      <c r="BN31" s="82">
        <f>$AF31-$AF32</f>
        <v/>
      </c>
      <c r="BO31" s="82">
        <f>$AG31-$AG32</f>
        <v/>
      </c>
      <c r="BP31" s="82">
        <f>$AJ31-$AJ32</f>
        <v/>
      </c>
    </row>
    <row r="32">
      <c r="AR32" s="81">
        <f>($G32+($H32-$G32)*0.5)+($P32-($O32+($Q32-$O32)*0.5))</f>
        <v/>
      </c>
      <c r="AS32" s="81">
        <f>($J32+($K32-$J32)*0.5)+($T32-($S32+($U32-$S32)*0.5))</f>
        <v/>
      </c>
      <c r="AT32" s="82">
        <f>($J32-$C32)*100</f>
        <v/>
      </c>
      <c r="AU32" s="82">
        <f>($H32-$F32)*100</f>
        <v/>
      </c>
      <c r="AV32" s="82">
        <f>($J32-$F32)*100</f>
        <v/>
      </c>
      <c r="AW32" s="82">
        <f>($L32-$F32)*100</f>
        <v/>
      </c>
      <c r="AX32" s="82">
        <f>($J32-$H32)*100</f>
        <v/>
      </c>
      <c r="AY32" s="82">
        <f>($L32-$H32)*100</f>
        <v/>
      </c>
      <c r="AZ32" s="82">
        <f>($L32-$J32)*100</f>
        <v/>
      </c>
      <c r="BA32" s="82">
        <f>(2*$H32-$F32-$J32)*100</f>
        <v/>
      </c>
      <c r="BB32" s="82">
        <f>(2*$J32-$H32-$L32)*100</f>
        <v/>
      </c>
      <c r="BC32" s="82">
        <f>($N32-$F32)*100</f>
        <v/>
      </c>
      <c r="BD32" s="82">
        <f>($Q32-$H32)*100</f>
        <v/>
      </c>
      <c r="BE32" s="82">
        <f>($S32-$J32)*100</f>
        <v/>
      </c>
      <c r="BF32" s="82">
        <f>($V32-$L32)*100</f>
        <v/>
      </c>
      <c r="BG32" s="82">
        <f>$AG32-$AF32</f>
        <v/>
      </c>
      <c r="BH32" s="81">
        <f>IFERROR($AG32/$AF32,"")</f>
        <v/>
      </c>
      <c r="BI32" s="82">
        <f>$AJ32-$AF32</f>
        <v/>
      </c>
      <c r="BJ32" s="81">
        <f>IFERROR($AJ32/$AG32,"")</f>
        <v/>
      </c>
      <c r="BK32" s="81">
        <f>$X32</f>
        <v/>
      </c>
      <c r="BL32" s="82">
        <f>($J32-$J33)*100</f>
        <v/>
      </c>
      <c r="BM32" s="82">
        <f>($F32-$F33)*100</f>
        <v/>
      </c>
      <c r="BN32" s="82">
        <f>$AF32-$AF33</f>
        <v/>
      </c>
      <c r="BO32" s="82">
        <f>$AG32-$AG33</f>
        <v/>
      </c>
      <c r="BP32" s="82">
        <f>$AJ32-$AJ33</f>
        <v/>
      </c>
    </row>
    <row r="33">
      <c r="AR33" s="81">
        <f>($G33+($H33-$G33)*0.5)+($P33-($O33+($Q33-$O33)*0.5))</f>
        <v/>
      </c>
      <c r="AS33" s="81">
        <f>($J33+($K33-$J33)*0.5)+($T33-($S33+($U33-$S33)*0.5))</f>
        <v/>
      </c>
      <c r="AT33" s="82">
        <f>($J33-$C33)*100</f>
        <v/>
      </c>
      <c r="AU33" s="82">
        <f>($H33-$F33)*100</f>
        <v/>
      </c>
      <c r="AV33" s="82">
        <f>($J33-$F33)*100</f>
        <v/>
      </c>
      <c r="AW33" s="82">
        <f>($L33-$F33)*100</f>
        <v/>
      </c>
      <c r="AX33" s="82">
        <f>($J33-$H33)*100</f>
        <v/>
      </c>
      <c r="AY33" s="82">
        <f>($L33-$H33)*100</f>
        <v/>
      </c>
      <c r="AZ33" s="82">
        <f>($L33-$J33)*100</f>
        <v/>
      </c>
      <c r="BA33" s="82">
        <f>(2*$H33-$F33-$J33)*100</f>
        <v/>
      </c>
      <c r="BB33" s="82">
        <f>(2*$J33-$H33-$L33)*100</f>
        <v/>
      </c>
      <c r="BC33" s="82">
        <f>($N33-$F33)*100</f>
        <v/>
      </c>
      <c r="BD33" s="82">
        <f>($Q33-$H33)*100</f>
        <v/>
      </c>
      <c r="BE33" s="82">
        <f>($S33-$J33)*100</f>
        <v/>
      </c>
      <c r="BF33" s="82">
        <f>($V33-$L33)*100</f>
        <v/>
      </c>
      <c r="BG33" s="82">
        <f>$AG33-$AF33</f>
        <v/>
      </c>
      <c r="BH33" s="81">
        <f>IFERROR($AG33/$AF33,"")</f>
        <v/>
      </c>
      <c r="BI33" s="82">
        <f>$AJ33-$AF33</f>
        <v/>
      </c>
      <c r="BJ33" s="81">
        <f>IFERROR($AJ33/$AG33,"")</f>
        <v/>
      </c>
      <c r="BK33" s="81">
        <f>$X33</f>
        <v/>
      </c>
      <c r="BL33" s="82">
        <f>($J33-$J34)*100</f>
        <v/>
      </c>
      <c r="BM33" s="82">
        <f>($F33-$F34)*100</f>
        <v/>
      </c>
      <c r="BN33" s="82">
        <f>$AF33-$AF34</f>
        <v/>
      </c>
      <c r="BO33" s="82">
        <f>$AG33-$AG34</f>
        <v/>
      </c>
      <c r="BP33" s="82">
        <f>$AJ33-$AJ34</f>
        <v/>
      </c>
    </row>
    <row r="34">
      <c r="AR34" s="81">
        <f>($G34+($H34-$G34)*0.5)+($P34-($O34+($Q34-$O34)*0.5))</f>
        <v/>
      </c>
      <c r="AS34" s="81">
        <f>($J34+($K34-$J34)*0.5)+($T34-($S34+($U34-$S34)*0.5))</f>
        <v/>
      </c>
      <c r="AT34" s="82">
        <f>($J34-$C34)*100</f>
        <v/>
      </c>
      <c r="AU34" s="82">
        <f>($H34-$F34)*100</f>
        <v/>
      </c>
      <c r="AV34" s="82">
        <f>($J34-$F34)*100</f>
        <v/>
      </c>
      <c r="AW34" s="82">
        <f>($L34-$F34)*100</f>
        <v/>
      </c>
      <c r="AX34" s="82">
        <f>($J34-$H34)*100</f>
        <v/>
      </c>
      <c r="AY34" s="82">
        <f>($L34-$H34)*100</f>
        <v/>
      </c>
      <c r="AZ34" s="82">
        <f>($L34-$J34)*100</f>
        <v/>
      </c>
      <c r="BA34" s="82">
        <f>(2*$H34-$F34-$J34)*100</f>
        <v/>
      </c>
      <c r="BB34" s="82">
        <f>(2*$J34-$H34-$L34)*100</f>
        <v/>
      </c>
      <c r="BC34" s="82">
        <f>($N34-$F34)*100</f>
        <v/>
      </c>
      <c r="BD34" s="82">
        <f>($Q34-$H34)*100</f>
        <v/>
      </c>
      <c r="BE34" s="82">
        <f>($S34-$J34)*100</f>
        <v/>
      </c>
      <c r="BF34" s="82">
        <f>($V34-$L34)*100</f>
        <v/>
      </c>
      <c r="BG34" s="82">
        <f>$AG34-$AF34</f>
        <v/>
      </c>
      <c r="BH34" s="81">
        <f>IFERROR($AG34/$AF34,"")</f>
        <v/>
      </c>
      <c r="BI34" s="82">
        <f>$AJ34-$AF34</f>
        <v/>
      </c>
      <c r="BJ34" s="81">
        <f>IFERROR($AJ34/$AG34,"")</f>
        <v/>
      </c>
      <c r="BK34" s="81">
        <f>$X34</f>
        <v/>
      </c>
      <c r="BL34" s="82">
        <f>($J34-$J35)*100</f>
        <v/>
      </c>
      <c r="BM34" s="82">
        <f>($F34-$F35)*100</f>
        <v/>
      </c>
      <c r="BN34" s="82">
        <f>$AF34-$AF35</f>
        <v/>
      </c>
      <c r="BO34" s="82">
        <f>$AG34-$AG35</f>
        <v/>
      </c>
      <c r="BP34" s="82">
        <f>$AJ34-$AJ35</f>
        <v/>
      </c>
    </row>
    <row r="35">
      <c r="AR35" s="81">
        <f>($G35+($H35-$G35)*0.5)+($P35-($O35+($Q35-$O35)*0.5))</f>
        <v/>
      </c>
      <c r="AS35" s="81">
        <f>($J35+($K35-$J35)*0.5)+($T35-($S35+($U35-$S35)*0.5))</f>
        <v/>
      </c>
      <c r="AT35" s="82">
        <f>($J35-$C35)*100</f>
        <v/>
      </c>
      <c r="AU35" s="82">
        <f>($H35-$F35)*100</f>
        <v/>
      </c>
      <c r="AV35" s="82">
        <f>($J35-$F35)*100</f>
        <v/>
      </c>
      <c r="AW35" s="82">
        <f>($L35-$F35)*100</f>
        <v/>
      </c>
      <c r="AX35" s="82">
        <f>($J35-$H35)*100</f>
        <v/>
      </c>
      <c r="AY35" s="82">
        <f>($L35-$H35)*100</f>
        <v/>
      </c>
      <c r="AZ35" s="82">
        <f>($L35-$J35)*100</f>
        <v/>
      </c>
      <c r="BA35" s="82">
        <f>(2*$H35-$F35-$J35)*100</f>
        <v/>
      </c>
      <c r="BB35" s="82">
        <f>(2*$J35-$H35-$L35)*100</f>
        <v/>
      </c>
      <c r="BC35" s="82">
        <f>($N35-$F35)*100</f>
        <v/>
      </c>
      <c r="BD35" s="82">
        <f>($Q35-$H35)*100</f>
        <v/>
      </c>
      <c r="BE35" s="82">
        <f>($S35-$J35)*100</f>
        <v/>
      </c>
      <c r="BF35" s="82">
        <f>($V35-$L35)*100</f>
        <v/>
      </c>
      <c r="BG35" s="82">
        <f>$AG35-$AF35</f>
        <v/>
      </c>
      <c r="BH35" s="81">
        <f>IFERROR($AG35/$AF35,"")</f>
        <v/>
      </c>
      <c r="BI35" s="82">
        <f>$AJ35-$AF35</f>
        <v/>
      </c>
      <c r="BJ35" s="81">
        <f>IFERROR($AJ35/$AG35,"")</f>
        <v/>
      </c>
      <c r="BK35" s="81">
        <f>$X35</f>
        <v/>
      </c>
      <c r="BL35" s="82">
        <f>($J35-$J36)*100</f>
        <v/>
      </c>
      <c r="BM35" s="82">
        <f>($F35-$F36)*100</f>
        <v/>
      </c>
      <c r="BN35" s="82">
        <f>$AF35-$AF36</f>
        <v/>
      </c>
      <c r="BO35" s="82">
        <f>$AG35-$AG36</f>
        <v/>
      </c>
      <c r="BP35" s="82">
        <f>$AJ35-$AJ36</f>
        <v/>
      </c>
    </row>
    <row r="36">
      <c r="AR36" s="81">
        <f>($G36+($H36-$G36)*0.5)+($P36-($O36+($Q36-$O36)*0.5))</f>
        <v/>
      </c>
      <c r="AS36" s="81">
        <f>($J36+($K36-$J36)*0.5)+($T36-($S36+($U36-$S36)*0.5))</f>
        <v/>
      </c>
      <c r="AT36" s="82">
        <f>($J36-$C36)*100</f>
        <v/>
      </c>
      <c r="AU36" s="82">
        <f>($H36-$F36)*100</f>
        <v/>
      </c>
      <c r="AV36" s="82">
        <f>($J36-$F36)*100</f>
        <v/>
      </c>
      <c r="AW36" s="82">
        <f>($L36-$F36)*100</f>
        <v/>
      </c>
      <c r="AX36" s="82">
        <f>($J36-$H36)*100</f>
        <v/>
      </c>
      <c r="AY36" s="82">
        <f>($L36-$H36)*100</f>
        <v/>
      </c>
      <c r="AZ36" s="82">
        <f>($L36-$J36)*100</f>
        <v/>
      </c>
      <c r="BA36" s="82">
        <f>(2*$H36-$F36-$J36)*100</f>
        <v/>
      </c>
      <c r="BB36" s="82">
        <f>(2*$J36-$H36-$L36)*100</f>
        <v/>
      </c>
      <c r="BC36" s="82">
        <f>($N36-$F36)*100</f>
        <v/>
      </c>
      <c r="BD36" s="82">
        <f>($Q36-$H36)*100</f>
        <v/>
      </c>
      <c r="BE36" s="82">
        <f>($S36-$J36)*100</f>
        <v/>
      </c>
      <c r="BF36" s="82">
        <f>($V36-$L36)*100</f>
        <v/>
      </c>
      <c r="BG36" s="82">
        <f>$AG36-$AF36</f>
        <v/>
      </c>
      <c r="BH36" s="81">
        <f>IFERROR($AG36/$AF36,"")</f>
        <v/>
      </c>
      <c r="BI36" s="82">
        <f>$AJ36-$AF36</f>
        <v/>
      </c>
      <c r="BJ36" s="81">
        <f>IFERROR($AJ36/$AG36,"")</f>
        <v/>
      </c>
      <c r="BK36" s="81">
        <f>$X36</f>
        <v/>
      </c>
      <c r="BL36" s="82">
        <f>($J36-$J37)*100</f>
        <v/>
      </c>
      <c r="BM36" s="82">
        <f>($F36-$F37)*100</f>
        <v/>
      </c>
      <c r="BN36" s="82">
        <f>$AF36-$AF37</f>
        <v/>
      </c>
      <c r="BO36" s="82">
        <f>$AG36-$AG37</f>
        <v/>
      </c>
      <c r="BP36" s="82">
        <f>$AJ36-$AJ37</f>
        <v/>
      </c>
    </row>
    <row r="37">
      <c r="AR37" s="81">
        <f>($G37+($H37-$G37)*0.5)+($P37-($O37+($Q37-$O37)*0.5))</f>
        <v/>
      </c>
      <c r="AS37" s="81">
        <f>($J37+($K37-$J37)*0.5)+($T37-($S37+($U37-$S37)*0.5))</f>
        <v/>
      </c>
      <c r="AT37" s="82">
        <f>($J37-$C37)*100</f>
        <v/>
      </c>
      <c r="AU37" s="82">
        <f>($H37-$F37)*100</f>
        <v/>
      </c>
      <c r="AV37" s="82">
        <f>($J37-$F37)*100</f>
        <v/>
      </c>
      <c r="AW37" s="82">
        <f>($L37-$F37)*100</f>
        <v/>
      </c>
      <c r="AX37" s="82">
        <f>($J37-$H37)*100</f>
        <v/>
      </c>
      <c r="AY37" s="82">
        <f>($L37-$H37)*100</f>
        <v/>
      </c>
      <c r="AZ37" s="82">
        <f>($L37-$J37)*100</f>
        <v/>
      </c>
      <c r="BA37" s="82">
        <f>(2*$H37-$F37-$J37)*100</f>
        <v/>
      </c>
      <c r="BB37" s="82">
        <f>(2*$J37-$H37-$L37)*100</f>
        <v/>
      </c>
      <c r="BC37" s="82">
        <f>($N37-$F37)*100</f>
        <v/>
      </c>
      <c r="BD37" s="82">
        <f>($Q37-$H37)*100</f>
        <v/>
      </c>
      <c r="BE37" s="82">
        <f>($S37-$J37)*100</f>
        <v/>
      </c>
      <c r="BF37" s="82">
        <f>($V37-$L37)*100</f>
        <v/>
      </c>
      <c r="BG37" s="82">
        <f>$AG37-$AF37</f>
        <v/>
      </c>
      <c r="BH37" s="81">
        <f>IFERROR($AG37/$AF37,"")</f>
        <v/>
      </c>
      <c r="BI37" s="82">
        <f>$AJ37-$AF37</f>
        <v/>
      </c>
      <c r="BJ37" s="81">
        <f>IFERROR($AJ37/$AG37,"")</f>
        <v/>
      </c>
      <c r="BK37" s="81">
        <f>$X37</f>
        <v/>
      </c>
      <c r="BL37" s="82">
        <f>($J37-$J38)*100</f>
        <v/>
      </c>
      <c r="BM37" s="82">
        <f>($F37-$F38)*100</f>
        <v/>
      </c>
      <c r="BN37" s="82">
        <f>$AF37-$AF38</f>
        <v/>
      </c>
      <c r="BO37" s="82">
        <f>$AG37-$AG38</f>
        <v/>
      </c>
      <c r="BP37" s="82">
        <f>$AJ37-$AJ38</f>
        <v/>
      </c>
    </row>
    <row r="38">
      <c r="AR38" s="81">
        <f>($G38+($H38-$G38)*0.5)+($P38-($O38+($Q38-$O38)*0.5))</f>
        <v/>
      </c>
      <c r="AS38" s="81">
        <f>($J38+($K38-$J38)*0.5)+($T38-($S38+($U38-$S38)*0.5))</f>
        <v/>
      </c>
      <c r="AT38" s="82">
        <f>($J38-$C38)*100</f>
        <v/>
      </c>
      <c r="AU38" s="82">
        <f>($H38-$F38)*100</f>
        <v/>
      </c>
      <c r="AV38" s="82">
        <f>($J38-$F38)*100</f>
        <v/>
      </c>
      <c r="AW38" s="82">
        <f>($L38-$F38)*100</f>
        <v/>
      </c>
      <c r="AX38" s="82">
        <f>($J38-$H38)*100</f>
        <v/>
      </c>
      <c r="AY38" s="82">
        <f>($L38-$H38)*100</f>
        <v/>
      </c>
      <c r="AZ38" s="82">
        <f>($L38-$J38)*100</f>
        <v/>
      </c>
      <c r="BA38" s="82">
        <f>(2*$H38-$F38-$J38)*100</f>
        <v/>
      </c>
      <c r="BB38" s="82">
        <f>(2*$J38-$H38-$L38)*100</f>
        <v/>
      </c>
      <c r="BC38" s="82">
        <f>($N38-$F38)*100</f>
        <v/>
      </c>
      <c r="BD38" s="82">
        <f>($Q38-$H38)*100</f>
        <v/>
      </c>
      <c r="BE38" s="82">
        <f>($S38-$J38)*100</f>
        <v/>
      </c>
      <c r="BF38" s="82">
        <f>($V38-$L38)*100</f>
        <v/>
      </c>
      <c r="BG38" s="82">
        <f>$AG38-$AF38</f>
        <v/>
      </c>
      <c r="BH38" s="81">
        <f>IFERROR($AG38/$AF38,"")</f>
        <v/>
      </c>
      <c r="BI38" s="82">
        <f>$AJ38-$AF38</f>
        <v/>
      </c>
      <c r="BJ38" s="81">
        <f>IFERROR($AJ38/$AG38,"")</f>
        <v/>
      </c>
      <c r="BK38" s="81">
        <f>$X38</f>
        <v/>
      </c>
      <c r="BL38" s="82">
        <f>($J38-$J39)*100</f>
        <v/>
      </c>
      <c r="BM38" s="82">
        <f>($F38-$F39)*100</f>
        <v/>
      </c>
      <c r="BN38" s="82">
        <f>$AF38-$AF39</f>
        <v/>
      </c>
      <c r="BO38" s="82">
        <f>$AG38-$AG39</f>
        <v/>
      </c>
      <c r="BP38" s="82">
        <f>$AJ38-$AJ39</f>
        <v/>
      </c>
    </row>
    <row r="39">
      <c r="AR39" s="81">
        <f>($G39+($H39-$G39)*0.5)+($P39-($O39+($Q39-$O39)*0.5))</f>
        <v/>
      </c>
      <c r="AS39" s="81">
        <f>($J39+($K39-$J39)*0.5)+($T39-($S39+($U39-$S39)*0.5))</f>
        <v/>
      </c>
      <c r="AT39" s="82">
        <f>($J39-$C39)*100</f>
        <v/>
      </c>
      <c r="AU39" s="82">
        <f>($H39-$F39)*100</f>
        <v/>
      </c>
      <c r="AV39" s="82">
        <f>($J39-$F39)*100</f>
        <v/>
      </c>
      <c r="AW39" s="82">
        <f>($L39-$F39)*100</f>
        <v/>
      </c>
      <c r="AX39" s="82">
        <f>($J39-$H39)*100</f>
        <v/>
      </c>
      <c r="AY39" s="82">
        <f>($L39-$H39)*100</f>
        <v/>
      </c>
      <c r="AZ39" s="82">
        <f>($L39-$J39)*100</f>
        <v/>
      </c>
      <c r="BA39" s="82">
        <f>(2*$H39-$F39-$J39)*100</f>
        <v/>
      </c>
      <c r="BB39" s="82">
        <f>(2*$J39-$H39-$L39)*100</f>
        <v/>
      </c>
      <c r="BC39" s="82">
        <f>($N39-$F39)*100</f>
        <v/>
      </c>
      <c r="BD39" s="82">
        <f>($Q39-$H39)*100</f>
        <v/>
      </c>
      <c r="BE39" s="82">
        <f>($S39-$J39)*100</f>
        <v/>
      </c>
      <c r="BF39" s="82">
        <f>($V39-$L39)*100</f>
        <v/>
      </c>
      <c r="BG39" s="82">
        <f>$AG39-$AF39</f>
        <v/>
      </c>
      <c r="BH39" s="81">
        <f>IFERROR($AG39/$AF39,"")</f>
        <v/>
      </c>
      <c r="BI39" s="82">
        <f>$AJ39-$AF39</f>
        <v/>
      </c>
      <c r="BJ39" s="81">
        <f>IFERROR($AJ39/$AG39,"")</f>
        <v/>
      </c>
      <c r="BK39" s="81">
        <f>$X39</f>
        <v/>
      </c>
      <c r="BL39" s="82">
        <f>($J39-$J40)*100</f>
        <v/>
      </c>
      <c r="BM39" s="82">
        <f>($F39-$F40)*100</f>
        <v/>
      </c>
      <c r="BN39" s="82">
        <f>$AF39-$AF40</f>
        <v/>
      </c>
      <c r="BO39" s="82">
        <f>$AG39-$AG40</f>
        <v/>
      </c>
      <c r="BP39" s="82">
        <f>$AJ39-$AJ40</f>
        <v/>
      </c>
    </row>
    <row r="40">
      <c r="AR40" s="81">
        <f>($G40+($H40-$G40)*0.5)+($P40-($O40+($Q40-$O40)*0.5))</f>
        <v/>
      </c>
      <c r="AS40" s="81">
        <f>($J40+($K40-$J40)*0.5)+($T40-($S40+($U40-$S40)*0.5))</f>
        <v/>
      </c>
      <c r="AT40" s="82">
        <f>($J40-$C40)*100</f>
        <v/>
      </c>
      <c r="AU40" s="82">
        <f>($H40-$F40)*100</f>
        <v/>
      </c>
      <c r="AV40" s="82">
        <f>($J40-$F40)*100</f>
        <v/>
      </c>
      <c r="AW40" s="82">
        <f>($L40-$F40)*100</f>
        <v/>
      </c>
      <c r="AX40" s="82">
        <f>($J40-$H40)*100</f>
        <v/>
      </c>
      <c r="AY40" s="82">
        <f>($L40-$H40)*100</f>
        <v/>
      </c>
      <c r="AZ40" s="82">
        <f>($L40-$J40)*100</f>
        <v/>
      </c>
      <c r="BA40" s="82">
        <f>(2*$H40-$F40-$J40)*100</f>
        <v/>
      </c>
      <c r="BB40" s="82">
        <f>(2*$J40-$H40-$L40)*100</f>
        <v/>
      </c>
      <c r="BC40" s="82">
        <f>($N40-$F40)*100</f>
        <v/>
      </c>
      <c r="BD40" s="82">
        <f>($Q40-$H40)*100</f>
        <v/>
      </c>
      <c r="BE40" s="82">
        <f>($S40-$J40)*100</f>
        <v/>
      </c>
      <c r="BF40" s="82">
        <f>($V40-$L40)*100</f>
        <v/>
      </c>
      <c r="BG40" s="82">
        <f>$AG40-$AF40</f>
        <v/>
      </c>
      <c r="BH40" s="81">
        <f>IFERROR($AG40/$AF40,"")</f>
        <v/>
      </c>
      <c r="BI40" s="82">
        <f>$AJ40-$AF40</f>
        <v/>
      </c>
      <c r="BJ40" s="81">
        <f>IFERROR($AJ40/$AG40,"")</f>
        <v/>
      </c>
      <c r="BK40" s="81">
        <f>$X40</f>
        <v/>
      </c>
      <c r="BL40" s="82">
        <f>($J40-$J41)*100</f>
        <v/>
      </c>
      <c r="BM40" s="82">
        <f>($F40-$F41)*100</f>
        <v/>
      </c>
      <c r="BN40" s="82">
        <f>$AF40-$AF41</f>
        <v/>
      </c>
      <c r="BO40" s="82">
        <f>$AG40-$AG41</f>
        <v/>
      </c>
      <c r="BP40" s="82">
        <f>$AJ40-$AJ41</f>
        <v/>
      </c>
    </row>
    <row r="41">
      <c r="AR41" s="81">
        <f>($G41+($H41-$G41)*0.5)+($P41-($O41+($Q41-$O41)*0.5))</f>
        <v/>
      </c>
      <c r="AS41" s="81">
        <f>($J41+($K41-$J41)*0.5)+($T41-($S41+($U41-$S41)*0.5))</f>
        <v/>
      </c>
      <c r="AT41" s="82">
        <f>($J41-$C41)*100</f>
        <v/>
      </c>
      <c r="AU41" s="82">
        <f>($H41-$F41)*100</f>
        <v/>
      </c>
      <c r="AV41" s="82">
        <f>($J41-$F41)*100</f>
        <v/>
      </c>
      <c r="AW41" s="82">
        <f>($L41-$F41)*100</f>
        <v/>
      </c>
      <c r="AX41" s="82">
        <f>($J41-$H41)*100</f>
        <v/>
      </c>
      <c r="AY41" s="82">
        <f>($L41-$H41)*100</f>
        <v/>
      </c>
      <c r="AZ41" s="82">
        <f>($L41-$J41)*100</f>
        <v/>
      </c>
      <c r="BA41" s="82">
        <f>(2*$H41-$F41-$J41)*100</f>
        <v/>
      </c>
      <c r="BB41" s="82">
        <f>(2*$J41-$H41-$L41)*100</f>
        <v/>
      </c>
      <c r="BC41" s="82">
        <f>($N41-$F41)*100</f>
        <v/>
      </c>
      <c r="BD41" s="82">
        <f>($Q41-$H41)*100</f>
        <v/>
      </c>
      <c r="BE41" s="82">
        <f>($S41-$J41)*100</f>
        <v/>
      </c>
      <c r="BF41" s="82">
        <f>($V41-$L41)*100</f>
        <v/>
      </c>
      <c r="BG41" s="82">
        <f>$AG41-$AF41</f>
        <v/>
      </c>
      <c r="BH41" s="81">
        <f>IFERROR($AG41/$AF41,"")</f>
        <v/>
      </c>
      <c r="BI41" s="82">
        <f>$AJ41-$AF41</f>
        <v/>
      </c>
      <c r="BJ41" s="81">
        <f>IFERROR($AJ41/$AG41,"")</f>
        <v/>
      </c>
      <c r="BK41" s="81">
        <f>$X41</f>
        <v/>
      </c>
      <c r="BL41" s="82">
        <f>($J41-$J42)*100</f>
        <v/>
      </c>
      <c r="BM41" s="82">
        <f>($F41-$F42)*100</f>
        <v/>
      </c>
      <c r="BN41" s="82">
        <f>$AF41-$AF42</f>
        <v/>
      </c>
      <c r="BO41" s="82">
        <f>$AG41-$AG42</f>
        <v/>
      </c>
      <c r="BP41" s="82">
        <f>$AJ41-$AJ42</f>
        <v/>
      </c>
    </row>
    <row r="42">
      <c r="AR42" s="81">
        <f>($G42+($H42-$G42)*0.5)+($P42-($O42+($Q42-$O42)*0.5))</f>
        <v/>
      </c>
      <c r="AS42" s="81">
        <f>($J42+($K42-$J42)*0.5)+($T42-($S42+($U42-$S42)*0.5))</f>
        <v/>
      </c>
      <c r="AT42" s="82">
        <f>($J42-$C42)*100</f>
        <v/>
      </c>
      <c r="AU42" s="82">
        <f>($H42-$F42)*100</f>
        <v/>
      </c>
      <c r="AV42" s="82">
        <f>($J42-$F42)*100</f>
        <v/>
      </c>
      <c r="AW42" s="82">
        <f>($L42-$F42)*100</f>
        <v/>
      </c>
      <c r="AX42" s="82">
        <f>($J42-$H42)*100</f>
        <v/>
      </c>
      <c r="AY42" s="82">
        <f>($L42-$H42)*100</f>
        <v/>
      </c>
      <c r="AZ42" s="82">
        <f>($L42-$J42)*100</f>
        <v/>
      </c>
      <c r="BA42" s="82">
        <f>(2*$H42-$F42-$J42)*100</f>
        <v/>
      </c>
      <c r="BB42" s="82">
        <f>(2*$J42-$H42-$L42)*100</f>
        <v/>
      </c>
      <c r="BC42" s="82">
        <f>($N42-$F42)*100</f>
        <v/>
      </c>
      <c r="BD42" s="82">
        <f>($Q42-$H42)*100</f>
        <v/>
      </c>
      <c r="BE42" s="82">
        <f>($S42-$J42)*100</f>
        <v/>
      </c>
      <c r="BF42" s="82">
        <f>($V42-$L42)*100</f>
        <v/>
      </c>
      <c r="BG42" s="82">
        <f>$AG42-$AF42</f>
        <v/>
      </c>
      <c r="BH42" s="81">
        <f>IFERROR($AG42/$AF42,"")</f>
        <v/>
      </c>
      <c r="BI42" s="82">
        <f>$AJ42-$AF42</f>
        <v/>
      </c>
      <c r="BJ42" s="81">
        <f>IFERROR($AJ42/$AG42,"")</f>
        <v/>
      </c>
      <c r="BK42" s="81">
        <f>$X42</f>
        <v/>
      </c>
      <c r="BL42" s="82">
        <f>($J42-$J43)*100</f>
        <v/>
      </c>
      <c r="BM42" s="82">
        <f>($F42-$F43)*100</f>
        <v/>
      </c>
      <c r="BN42" s="82">
        <f>$AF42-$AF43</f>
        <v/>
      </c>
      <c r="BO42" s="82">
        <f>$AG42-$AG43</f>
        <v/>
      </c>
      <c r="BP42" s="82">
        <f>$AJ42-$AJ43</f>
        <v/>
      </c>
    </row>
    <row r="43">
      <c r="AR43" s="81">
        <f>($G43+($H43-$G43)*0.5)+($P43-($O43+($Q43-$O43)*0.5))</f>
        <v/>
      </c>
      <c r="AS43" s="81">
        <f>($J43+($K43-$J43)*0.5)+($T43-($S43+($U43-$S43)*0.5))</f>
        <v/>
      </c>
      <c r="AT43" s="82">
        <f>($J43-$C43)*100</f>
        <v/>
      </c>
      <c r="AU43" s="82">
        <f>($H43-$F43)*100</f>
        <v/>
      </c>
      <c r="AV43" s="82">
        <f>($J43-$F43)*100</f>
        <v/>
      </c>
      <c r="AW43" s="82">
        <f>($L43-$F43)*100</f>
        <v/>
      </c>
      <c r="AX43" s="82">
        <f>($J43-$H43)*100</f>
        <v/>
      </c>
      <c r="AY43" s="82">
        <f>($L43-$H43)*100</f>
        <v/>
      </c>
      <c r="AZ43" s="82">
        <f>($L43-$J43)*100</f>
        <v/>
      </c>
      <c r="BA43" s="82">
        <f>(2*$H43-$F43-$J43)*100</f>
        <v/>
      </c>
      <c r="BB43" s="82">
        <f>(2*$J43-$H43-$L43)*100</f>
        <v/>
      </c>
      <c r="BC43" s="82">
        <f>($N43-$F43)*100</f>
        <v/>
      </c>
      <c r="BD43" s="82">
        <f>($Q43-$H43)*100</f>
        <v/>
      </c>
      <c r="BE43" s="82">
        <f>($S43-$J43)*100</f>
        <v/>
      </c>
      <c r="BF43" s="82">
        <f>($V43-$L43)*100</f>
        <v/>
      </c>
      <c r="BG43" s="82">
        <f>$AG43-$AF43</f>
        <v/>
      </c>
      <c r="BH43" s="81">
        <f>IFERROR($AG43/$AF43,"")</f>
        <v/>
      </c>
      <c r="BI43" s="82">
        <f>$AJ43-$AF43</f>
        <v/>
      </c>
      <c r="BJ43" s="81">
        <f>IFERROR($AJ43/$AG43,"")</f>
        <v/>
      </c>
      <c r="BK43" s="81">
        <f>$X43</f>
        <v/>
      </c>
      <c r="BL43" s="82">
        <f>($J43-$J44)*100</f>
        <v/>
      </c>
      <c r="BM43" s="82">
        <f>($F43-$F44)*100</f>
        <v/>
      </c>
      <c r="BN43" s="82">
        <f>$AF43-$AF44</f>
        <v/>
      </c>
      <c r="BO43" s="82">
        <f>$AG43-$AG44</f>
        <v/>
      </c>
      <c r="BP43" s="82">
        <f>$AJ43-$AJ44</f>
        <v/>
      </c>
    </row>
    <row r="44">
      <c r="AR44" s="81">
        <f>($G44+($H44-$G44)*0.5)+($P44-($O44+($Q44-$O44)*0.5))</f>
        <v/>
      </c>
      <c r="AS44" s="81">
        <f>($J44+($K44-$J44)*0.5)+($T44-($S44+($U44-$S44)*0.5))</f>
        <v/>
      </c>
      <c r="AT44" s="82">
        <f>($J44-$C44)*100</f>
        <v/>
      </c>
      <c r="AU44" s="82">
        <f>($H44-$F44)*100</f>
        <v/>
      </c>
      <c r="AV44" s="82">
        <f>($J44-$F44)*100</f>
        <v/>
      </c>
      <c r="AW44" s="82">
        <f>($L44-$F44)*100</f>
        <v/>
      </c>
      <c r="AX44" s="82">
        <f>($J44-$H44)*100</f>
        <v/>
      </c>
      <c r="AY44" s="82">
        <f>($L44-$H44)*100</f>
        <v/>
      </c>
      <c r="AZ44" s="82">
        <f>($L44-$J44)*100</f>
        <v/>
      </c>
      <c r="BA44" s="82">
        <f>(2*$H44-$F44-$J44)*100</f>
        <v/>
      </c>
      <c r="BB44" s="82">
        <f>(2*$J44-$H44-$L44)*100</f>
        <v/>
      </c>
      <c r="BC44" s="82">
        <f>($N44-$F44)*100</f>
        <v/>
      </c>
      <c r="BD44" s="82">
        <f>($Q44-$H44)*100</f>
        <v/>
      </c>
      <c r="BE44" s="82">
        <f>($S44-$J44)*100</f>
        <v/>
      </c>
      <c r="BF44" s="82">
        <f>($V44-$L44)*100</f>
        <v/>
      </c>
      <c r="BG44" s="82">
        <f>$AG44-$AF44</f>
        <v/>
      </c>
      <c r="BH44" s="81">
        <f>IFERROR($AG44/$AF44,"")</f>
        <v/>
      </c>
      <c r="BI44" s="82">
        <f>$AJ44-$AF44</f>
        <v/>
      </c>
      <c r="BJ44" s="81">
        <f>IFERROR($AJ44/$AG44,"")</f>
        <v/>
      </c>
      <c r="BK44" s="81">
        <f>$X44</f>
        <v/>
      </c>
      <c r="BL44" s="82">
        <f>($J44-$J45)*100</f>
        <v/>
      </c>
      <c r="BM44" s="82">
        <f>($F44-$F45)*100</f>
        <v/>
      </c>
      <c r="BN44" s="82">
        <f>$AF44-$AF45</f>
        <v/>
      </c>
      <c r="BO44" s="82">
        <f>$AG44-$AG45</f>
        <v/>
      </c>
      <c r="BP44" s="82">
        <f>$AJ44-$AJ45</f>
        <v/>
      </c>
    </row>
    <row r="45">
      <c r="AR45" s="81">
        <f>($G45+($H45-$G45)*0.5)+($P45-($O45+($Q45-$O45)*0.5))</f>
        <v/>
      </c>
      <c r="AS45" s="81">
        <f>($J45+($K45-$J45)*0.5)+($T45-($S45+($U45-$S45)*0.5))</f>
        <v/>
      </c>
      <c r="AT45" s="82">
        <f>($J45-$C45)*100</f>
        <v/>
      </c>
      <c r="AU45" s="82">
        <f>($H45-$F45)*100</f>
        <v/>
      </c>
      <c r="AV45" s="82">
        <f>($J45-$F45)*100</f>
        <v/>
      </c>
      <c r="AW45" s="82">
        <f>($L45-$F45)*100</f>
        <v/>
      </c>
      <c r="AX45" s="82">
        <f>($J45-$H45)*100</f>
        <v/>
      </c>
      <c r="AY45" s="82">
        <f>($L45-$H45)*100</f>
        <v/>
      </c>
      <c r="AZ45" s="82">
        <f>($L45-$J45)*100</f>
        <v/>
      </c>
      <c r="BA45" s="82">
        <f>(2*$H45-$F45-$J45)*100</f>
        <v/>
      </c>
      <c r="BB45" s="82">
        <f>(2*$J45-$H45-$L45)*100</f>
        <v/>
      </c>
      <c r="BC45" s="82">
        <f>($N45-$F45)*100</f>
        <v/>
      </c>
      <c r="BD45" s="82">
        <f>($Q45-$H45)*100</f>
        <v/>
      </c>
      <c r="BE45" s="82">
        <f>($S45-$J45)*100</f>
        <v/>
      </c>
      <c r="BF45" s="82">
        <f>($V45-$L45)*100</f>
        <v/>
      </c>
      <c r="BG45" s="82">
        <f>$AG45-$AF45</f>
        <v/>
      </c>
      <c r="BH45" s="81">
        <f>IFERROR($AG45/$AF45,"")</f>
        <v/>
      </c>
      <c r="BI45" s="82">
        <f>$AJ45-$AF45</f>
        <v/>
      </c>
      <c r="BJ45" s="81">
        <f>IFERROR($AJ45/$AG45,"")</f>
        <v/>
      </c>
      <c r="BK45" s="81">
        <f>$X45</f>
        <v/>
      </c>
      <c r="BL45" s="82">
        <f>($J45-$J46)*100</f>
        <v/>
      </c>
      <c r="BM45" s="82">
        <f>($F45-$F46)*100</f>
        <v/>
      </c>
      <c r="BN45" s="82">
        <f>$AF45-$AF46</f>
        <v/>
      </c>
      <c r="BO45" s="82">
        <f>$AG45-$AG46</f>
        <v/>
      </c>
      <c r="BP45" s="82">
        <f>$AJ45-$AJ46</f>
        <v/>
      </c>
    </row>
    <row r="46">
      <c r="AR46" s="81">
        <f>($G46+($H46-$G46)*0.5)+($P46-($O46+($Q46-$O46)*0.5))</f>
        <v/>
      </c>
      <c r="AS46" s="81">
        <f>($J46+($K46-$J46)*0.5)+($T46-($S46+($U46-$S46)*0.5))</f>
        <v/>
      </c>
      <c r="AT46" s="82">
        <f>($J46-$C46)*100</f>
        <v/>
      </c>
      <c r="AU46" s="82">
        <f>($H46-$F46)*100</f>
        <v/>
      </c>
      <c r="AV46" s="82">
        <f>($J46-$F46)*100</f>
        <v/>
      </c>
      <c r="AW46" s="82">
        <f>($L46-$F46)*100</f>
        <v/>
      </c>
      <c r="AX46" s="82">
        <f>($J46-$H46)*100</f>
        <v/>
      </c>
      <c r="AY46" s="82">
        <f>($L46-$H46)*100</f>
        <v/>
      </c>
      <c r="AZ46" s="82">
        <f>($L46-$J46)*100</f>
        <v/>
      </c>
      <c r="BA46" s="82">
        <f>(2*$H46-$F46-$J46)*100</f>
        <v/>
      </c>
      <c r="BB46" s="82">
        <f>(2*$J46-$H46-$L46)*100</f>
        <v/>
      </c>
      <c r="BC46" s="82">
        <f>($N46-$F46)*100</f>
        <v/>
      </c>
      <c r="BD46" s="82">
        <f>($Q46-$H46)*100</f>
        <v/>
      </c>
      <c r="BE46" s="82">
        <f>($S46-$J46)*100</f>
        <v/>
      </c>
      <c r="BF46" s="82">
        <f>($V46-$L46)*100</f>
        <v/>
      </c>
      <c r="BG46" s="82">
        <f>$AG46-$AF46</f>
        <v/>
      </c>
      <c r="BH46" s="81">
        <f>IFERROR($AG46/$AF46,"")</f>
        <v/>
      </c>
      <c r="BI46" s="82">
        <f>$AJ46-$AF46</f>
        <v/>
      </c>
      <c r="BJ46" s="81">
        <f>IFERROR($AJ46/$AG46,"")</f>
        <v/>
      </c>
      <c r="BK46" s="81">
        <f>$X46</f>
        <v/>
      </c>
      <c r="BL46" s="82">
        <f>($J46-$J47)*100</f>
        <v/>
      </c>
      <c r="BM46" s="82">
        <f>($F46-$F47)*100</f>
        <v/>
      </c>
      <c r="BN46" s="82">
        <f>$AF46-$AF47</f>
        <v/>
      </c>
      <c r="BO46" s="82">
        <f>$AG46-$AG47</f>
        <v/>
      </c>
      <c r="BP46" s="82">
        <f>$AJ46-$AJ47</f>
        <v/>
      </c>
    </row>
    <row r="47">
      <c r="AR47" s="81">
        <f>($G47+($H47-$G47)*0.5)+($P47-($O47+($Q47-$O47)*0.5))</f>
        <v/>
      </c>
      <c r="AS47" s="81">
        <f>($J47+($K47-$J47)*0.5)+($T47-($S47+($U47-$S47)*0.5))</f>
        <v/>
      </c>
      <c r="AT47" s="82">
        <f>($J47-$C47)*100</f>
        <v/>
      </c>
      <c r="AU47" s="82">
        <f>($H47-$F47)*100</f>
        <v/>
      </c>
      <c r="AV47" s="82">
        <f>($J47-$F47)*100</f>
        <v/>
      </c>
      <c r="AW47" s="82">
        <f>($L47-$F47)*100</f>
        <v/>
      </c>
      <c r="AX47" s="82">
        <f>($J47-$H47)*100</f>
        <v/>
      </c>
      <c r="AY47" s="82">
        <f>($L47-$H47)*100</f>
        <v/>
      </c>
      <c r="AZ47" s="82">
        <f>($L47-$J47)*100</f>
        <v/>
      </c>
      <c r="BA47" s="82">
        <f>(2*$H47-$F47-$J47)*100</f>
        <v/>
      </c>
      <c r="BB47" s="82">
        <f>(2*$J47-$H47-$L47)*100</f>
        <v/>
      </c>
      <c r="BC47" s="82">
        <f>($N47-$F47)*100</f>
        <v/>
      </c>
      <c r="BD47" s="82">
        <f>($Q47-$H47)*100</f>
        <v/>
      </c>
      <c r="BE47" s="82">
        <f>($S47-$J47)*100</f>
        <v/>
      </c>
      <c r="BF47" s="82">
        <f>($V47-$L47)*100</f>
        <v/>
      </c>
      <c r="BG47" s="82">
        <f>$AG47-$AF47</f>
        <v/>
      </c>
      <c r="BH47" s="81">
        <f>IFERROR($AG47/$AF47,"")</f>
        <v/>
      </c>
      <c r="BI47" s="82">
        <f>$AJ47-$AF47</f>
        <v/>
      </c>
      <c r="BJ47" s="81">
        <f>IFERROR($AJ47/$AG47,"")</f>
        <v/>
      </c>
      <c r="BK47" s="81">
        <f>$X47</f>
        <v/>
      </c>
      <c r="BL47" s="82">
        <f>($J47-$J48)*100</f>
        <v/>
      </c>
      <c r="BM47" s="82">
        <f>($F47-$F48)*100</f>
        <v/>
      </c>
      <c r="BN47" s="82">
        <f>$AF47-$AF48</f>
        <v/>
      </c>
      <c r="BO47" s="82">
        <f>$AG47-$AG48</f>
        <v/>
      </c>
      <c r="BP47" s="82">
        <f>$AJ47-$AJ48</f>
        <v/>
      </c>
    </row>
    <row r="48">
      <c r="AR48" s="81">
        <f>($G48+($H48-$G48)*0.5)+($P48-($O48+($Q48-$O48)*0.5))</f>
        <v/>
      </c>
      <c r="AS48" s="81">
        <f>($J48+($K48-$J48)*0.5)+($T48-($S48+($U48-$S48)*0.5))</f>
        <v/>
      </c>
      <c r="AT48" s="82">
        <f>($J48-$C48)*100</f>
        <v/>
      </c>
      <c r="AU48" s="82">
        <f>($H48-$F48)*100</f>
        <v/>
      </c>
      <c r="AV48" s="82">
        <f>($J48-$F48)*100</f>
        <v/>
      </c>
      <c r="AW48" s="82">
        <f>($L48-$F48)*100</f>
        <v/>
      </c>
      <c r="AX48" s="82">
        <f>($J48-$H48)*100</f>
        <v/>
      </c>
      <c r="AY48" s="82">
        <f>($L48-$H48)*100</f>
        <v/>
      </c>
      <c r="AZ48" s="82">
        <f>($L48-$J48)*100</f>
        <v/>
      </c>
      <c r="BA48" s="82">
        <f>(2*$H48-$F48-$J48)*100</f>
        <v/>
      </c>
      <c r="BB48" s="82">
        <f>(2*$J48-$H48-$L48)*100</f>
        <v/>
      </c>
      <c r="BC48" s="82">
        <f>($N48-$F48)*100</f>
        <v/>
      </c>
      <c r="BD48" s="82">
        <f>($Q48-$H48)*100</f>
        <v/>
      </c>
      <c r="BE48" s="82">
        <f>($S48-$J48)*100</f>
        <v/>
      </c>
      <c r="BF48" s="82">
        <f>($V48-$L48)*100</f>
        <v/>
      </c>
      <c r="BG48" s="82">
        <f>$AG48-$AF48</f>
        <v/>
      </c>
      <c r="BH48" s="81">
        <f>IFERROR($AG48/$AF48,"")</f>
        <v/>
      </c>
      <c r="BI48" s="82">
        <f>$AJ48-$AF48</f>
        <v/>
      </c>
      <c r="BJ48" s="81">
        <f>IFERROR($AJ48/$AG48,"")</f>
        <v/>
      </c>
      <c r="BK48" s="81">
        <f>$X48</f>
        <v/>
      </c>
      <c r="BL48" s="82">
        <f>($J48-$J49)*100</f>
        <v/>
      </c>
      <c r="BM48" s="82">
        <f>($F48-$F49)*100</f>
        <v/>
      </c>
      <c r="BN48" s="82">
        <f>$AF48-$AF49</f>
        <v/>
      </c>
      <c r="BO48" s="82">
        <f>$AG48-$AG49</f>
        <v/>
      </c>
      <c r="BP48" s="82">
        <f>$AJ48-$AJ49</f>
        <v/>
      </c>
    </row>
    <row r="49">
      <c r="AR49" s="81">
        <f>($G49+($H49-$G49)*0.5)+($P49-($O49+($Q49-$O49)*0.5))</f>
        <v/>
      </c>
      <c r="AS49" s="81">
        <f>($J49+($K49-$J49)*0.5)+($T49-($S49+($U49-$S49)*0.5))</f>
        <v/>
      </c>
      <c r="AT49" s="82">
        <f>($J49-$C49)*100</f>
        <v/>
      </c>
      <c r="AU49" s="82">
        <f>($H49-$F49)*100</f>
        <v/>
      </c>
      <c r="AV49" s="82">
        <f>($J49-$F49)*100</f>
        <v/>
      </c>
      <c r="AW49" s="82">
        <f>($L49-$F49)*100</f>
        <v/>
      </c>
      <c r="AX49" s="82">
        <f>($J49-$H49)*100</f>
        <v/>
      </c>
      <c r="AY49" s="82">
        <f>($L49-$H49)*100</f>
        <v/>
      </c>
      <c r="AZ49" s="82">
        <f>($L49-$J49)*100</f>
        <v/>
      </c>
      <c r="BA49" s="82">
        <f>(2*$H49-$F49-$J49)*100</f>
        <v/>
      </c>
      <c r="BB49" s="82">
        <f>(2*$J49-$H49-$L49)*100</f>
        <v/>
      </c>
      <c r="BC49" s="82">
        <f>($N49-$F49)*100</f>
        <v/>
      </c>
      <c r="BD49" s="82">
        <f>($Q49-$H49)*100</f>
        <v/>
      </c>
      <c r="BE49" s="82">
        <f>($S49-$J49)*100</f>
        <v/>
      </c>
      <c r="BF49" s="82">
        <f>($V49-$L49)*100</f>
        <v/>
      </c>
      <c r="BG49" s="82">
        <f>$AG49-$AF49</f>
        <v/>
      </c>
      <c r="BH49" s="81">
        <f>IFERROR($AG49/$AF49,"")</f>
        <v/>
      </c>
      <c r="BI49" s="82">
        <f>$AJ49-$AF49</f>
        <v/>
      </c>
      <c r="BJ49" s="81">
        <f>IFERROR($AJ49/$AG49,"")</f>
        <v/>
      </c>
      <c r="BK49" s="81">
        <f>$X49</f>
        <v/>
      </c>
      <c r="BL49" s="82">
        <f>($J49-$J50)*100</f>
        <v/>
      </c>
      <c r="BM49" s="82">
        <f>($F49-$F50)*100</f>
        <v/>
      </c>
      <c r="BN49" s="82">
        <f>$AF49-$AF50</f>
        <v/>
      </c>
      <c r="BO49" s="82">
        <f>$AG49-$AG50</f>
        <v/>
      </c>
      <c r="BP49" s="82">
        <f>$AJ49-$AJ50</f>
        <v/>
      </c>
    </row>
    <row r="50">
      <c r="AR50" s="81">
        <f>($G50+($H50-$G50)*0.5)+($P50-($O50+($Q50-$O50)*0.5))</f>
        <v/>
      </c>
      <c r="AS50" s="81">
        <f>($J50+($K50-$J50)*0.5)+($T50-($S50+($U50-$S50)*0.5))</f>
        <v/>
      </c>
      <c r="AT50" s="82">
        <f>($J50-$C50)*100</f>
        <v/>
      </c>
      <c r="AU50" s="82">
        <f>($H50-$F50)*100</f>
        <v/>
      </c>
      <c r="AV50" s="82">
        <f>($J50-$F50)*100</f>
        <v/>
      </c>
      <c r="AW50" s="82">
        <f>($L50-$F50)*100</f>
        <v/>
      </c>
      <c r="AX50" s="82">
        <f>($J50-$H50)*100</f>
        <v/>
      </c>
      <c r="AY50" s="82">
        <f>($L50-$H50)*100</f>
        <v/>
      </c>
      <c r="AZ50" s="82">
        <f>($L50-$J50)*100</f>
        <v/>
      </c>
      <c r="BA50" s="82">
        <f>(2*$H50-$F50-$J50)*100</f>
        <v/>
      </c>
      <c r="BB50" s="82">
        <f>(2*$J50-$H50-$L50)*100</f>
        <v/>
      </c>
      <c r="BC50" s="82">
        <f>($N50-$F50)*100</f>
        <v/>
      </c>
      <c r="BD50" s="82">
        <f>($Q50-$H50)*100</f>
        <v/>
      </c>
      <c r="BE50" s="82">
        <f>($S50-$J50)*100</f>
        <v/>
      </c>
      <c r="BF50" s="82">
        <f>($V50-$L50)*100</f>
        <v/>
      </c>
      <c r="BG50" s="82">
        <f>$AG50-$AF50</f>
        <v/>
      </c>
      <c r="BH50" s="81">
        <f>IFERROR($AG50/$AF50,"")</f>
        <v/>
      </c>
      <c r="BI50" s="82">
        <f>$AJ50-$AF50</f>
        <v/>
      </c>
      <c r="BJ50" s="81">
        <f>IFERROR($AJ50/$AG50,"")</f>
        <v/>
      </c>
      <c r="BK50" s="81">
        <f>$X50</f>
        <v/>
      </c>
      <c r="BL50" s="82">
        <f>($J50-$J51)*100</f>
        <v/>
      </c>
      <c r="BM50" s="82">
        <f>($F50-$F51)*100</f>
        <v/>
      </c>
      <c r="BN50" s="82">
        <f>$AF50-$AF51</f>
        <v/>
      </c>
      <c r="BO50" s="82">
        <f>$AG50-$AG51</f>
        <v/>
      </c>
      <c r="BP50" s="82">
        <f>$AJ50-$AJ51</f>
        <v/>
      </c>
    </row>
    <row r="51">
      <c r="AR51" s="81">
        <f>($G51+($H51-$G51)*0.5)+($P51-($O51+($Q51-$O51)*0.5))</f>
        <v/>
      </c>
      <c r="AS51" s="81">
        <f>($J51+($K51-$J51)*0.5)+($T51-($S51+($U51-$S51)*0.5))</f>
        <v/>
      </c>
      <c r="AT51" s="82">
        <f>($J51-$C51)*100</f>
        <v/>
      </c>
      <c r="AU51" s="82">
        <f>($H51-$F51)*100</f>
        <v/>
      </c>
      <c r="AV51" s="82">
        <f>($J51-$F51)*100</f>
        <v/>
      </c>
      <c r="AW51" s="82">
        <f>($L51-$F51)*100</f>
        <v/>
      </c>
      <c r="AX51" s="82">
        <f>($J51-$H51)*100</f>
        <v/>
      </c>
      <c r="AY51" s="82">
        <f>($L51-$H51)*100</f>
        <v/>
      </c>
      <c r="AZ51" s="82">
        <f>($L51-$J51)*100</f>
        <v/>
      </c>
      <c r="BA51" s="82">
        <f>(2*$H51-$F51-$J51)*100</f>
        <v/>
      </c>
      <c r="BB51" s="82">
        <f>(2*$J51-$H51-$L51)*100</f>
        <v/>
      </c>
      <c r="BC51" s="82">
        <f>($N51-$F51)*100</f>
        <v/>
      </c>
      <c r="BD51" s="82">
        <f>($Q51-$H51)*100</f>
        <v/>
      </c>
      <c r="BE51" s="82">
        <f>($S51-$J51)*100</f>
        <v/>
      </c>
      <c r="BF51" s="82">
        <f>($V51-$L51)*100</f>
        <v/>
      </c>
      <c r="BG51" s="82">
        <f>$AG51-$AF51</f>
        <v/>
      </c>
      <c r="BH51" s="81">
        <f>IFERROR($AG51/$AF51,"")</f>
        <v/>
      </c>
      <c r="BI51" s="82">
        <f>$AJ51-$AF51</f>
        <v/>
      </c>
      <c r="BJ51" s="81">
        <f>IFERROR($AJ51/$AG51,"")</f>
        <v/>
      </c>
      <c r="BK51" s="81">
        <f>$X51</f>
        <v/>
      </c>
      <c r="BL51" s="82">
        <f>($J51-$J52)*100</f>
        <v/>
      </c>
      <c r="BM51" s="82">
        <f>($F51-$F52)*100</f>
        <v/>
      </c>
      <c r="BN51" s="82">
        <f>$AF51-$AF52</f>
        <v/>
      </c>
      <c r="BO51" s="82">
        <f>$AG51-$AG52</f>
        <v/>
      </c>
      <c r="BP51" s="82">
        <f>$AJ51-$AJ52</f>
        <v/>
      </c>
    </row>
    <row r="52">
      <c r="AR52" s="81">
        <f>($G52+($H52-$G52)*0.5)+($P52-($O52+($Q52-$O52)*0.5))</f>
        <v/>
      </c>
      <c r="AS52" s="81">
        <f>($J52+($K52-$J52)*0.5)+($T52-($S52+($U52-$S52)*0.5))</f>
        <v/>
      </c>
      <c r="AT52" s="82">
        <f>($J52-$C52)*100</f>
        <v/>
      </c>
      <c r="AU52" s="82">
        <f>($H52-$F52)*100</f>
        <v/>
      </c>
      <c r="AV52" s="82">
        <f>($J52-$F52)*100</f>
        <v/>
      </c>
      <c r="AW52" s="82">
        <f>($L52-$F52)*100</f>
        <v/>
      </c>
      <c r="AX52" s="82">
        <f>($J52-$H52)*100</f>
        <v/>
      </c>
      <c r="AY52" s="82">
        <f>($L52-$H52)*100</f>
        <v/>
      </c>
      <c r="AZ52" s="82">
        <f>($L52-$J52)*100</f>
        <v/>
      </c>
      <c r="BA52" s="82">
        <f>(2*$H52-$F52-$J52)*100</f>
        <v/>
      </c>
      <c r="BB52" s="82">
        <f>(2*$J52-$H52-$L52)*100</f>
        <v/>
      </c>
      <c r="BC52" s="82">
        <f>($N52-$F52)*100</f>
        <v/>
      </c>
      <c r="BD52" s="82">
        <f>($Q52-$H52)*100</f>
        <v/>
      </c>
      <c r="BE52" s="82">
        <f>($S52-$J52)*100</f>
        <v/>
      </c>
      <c r="BF52" s="82">
        <f>($V52-$L52)*100</f>
        <v/>
      </c>
      <c r="BG52" s="82">
        <f>$AG52-$AF52</f>
        <v/>
      </c>
      <c r="BH52" s="81">
        <f>IFERROR($AG52/$AF52,"")</f>
        <v/>
      </c>
      <c r="BI52" s="82">
        <f>$AJ52-$AF52</f>
        <v/>
      </c>
      <c r="BJ52" s="81">
        <f>IFERROR($AJ52/$AG52,"")</f>
        <v/>
      </c>
      <c r="BK52" s="81">
        <f>$X52</f>
        <v/>
      </c>
      <c r="BL52" s="82">
        <f>($J52-$J53)*100</f>
        <v/>
      </c>
      <c r="BM52" s="82">
        <f>($F52-$F53)*100</f>
        <v/>
      </c>
      <c r="BN52" s="82">
        <f>$AF52-$AF53</f>
        <v/>
      </c>
      <c r="BO52" s="82">
        <f>$AG52-$AG53</f>
        <v/>
      </c>
      <c r="BP52" s="82">
        <f>$AJ52-$AJ53</f>
        <v/>
      </c>
    </row>
    <row r="53">
      <c r="AR53" s="81">
        <f>($G53+($H53-$G53)*0.5)+($P53-($O53+($Q53-$O53)*0.5))</f>
        <v/>
      </c>
      <c r="AS53" s="81">
        <f>($J53+($K53-$J53)*0.5)+($T53-($S53+($U53-$S53)*0.5))</f>
        <v/>
      </c>
      <c r="AT53" s="82">
        <f>($J53-$C53)*100</f>
        <v/>
      </c>
      <c r="AU53" s="82">
        <f>($H53-$F53)*100</f>
        <v/>
      </c>
      <c r="AV53" s="82">
        <f>($J53-$F53)*100</f>
        <v/>
      </c>
      <c r="AW53" s="82">
        <f>($L53-$F53)*100</f>
        <v/>
      </c>
      <c r="AX53" s="82">
        <f>($J53-$H53)*100</f>
        <v/>
      </c>
      <c r="AY53" s="82">
        <f>($L53-$H53)*100</f>
        <v/>
      </c>
      <c r="AZ53" s="82">
        <f>($L53-$J53)*100</f>
        <v/>
      </c>
      <c r="BA53" s="82">
        <f>(2*$H53-$F53-$J53)*100</f>
        <v/>
      </c>
      <c r="BB53" s="82">
        <f>(2*$J53-$H53-$L53)*100</f>
        <v/>
      </c>
      <c r="BC53" s="82">
        <f>($N53-$F53)*100</f>
        <v/>
      </c>
      <c r="BD53" s="82">
        <f>($Q53-$H53)*100</f>
        <v/>
      </c>
      <c r="BE53" s="82">
        <f>($S53-$J53)*100</f>
        <v/>
      </c>
      <c r="BF53" s="82">
        <f>($V53-$L53)*100</f>
        <v/>
      </c>
      <c r="BG53" s="82">
        <f>$AG53-$AF53</f>
        <v/>
      </c>
      <c r="BH53" s="81">
        <f>IFERROR($AG53/$AF53,"")</f>
        <v/>
      </c>
      <c r="BI53" s="82">
        <f>$AJ53-$AF53</f>
        <v/>
      </c>
      <c r="BJ53" s="81">
        <f>IFERROR($AJ53/$AG53,"")</f>
        <v/>
      </c>
      <c r="BK53" s="81">
        <f>$X53</f>
        <v/>
      </c>
      <c r="BL53" s="82">
        <f>($J53-$J54)*100</f>
        <v/>
      </c>
      <c r="BM53" s="82">
        <f>($F53-$F54)*100</f>
        <v/>
      </c>
      <c r="BN53" s="82">
        <f>$AF53-$AF54</f>
        <v/>
      </c>
      <c r="BO53" s="82">
        <f>$AG53-$AG54</f>
        <v/>
      </c>
      <c r="BP53" s="82">
        <f>$AJ53-$AJ54</f>
        <v/>
      </c>
    </row>
    <row r="54">
      <c r="AR54" s="81">
        <f>($G54+($H54-$G54)*0.5)+($P54-($O54+($Q54-$O54)*0.5))</f>
        <v/>
      </c>
      <c r="AS54" s="81">
        <f>($J54+($K54-$J54)*0.5)+($T54-($S54+($U54-$S54)*0.5))</f>
        <v/>
      </c>
      <c r="AT54" s="82">
        <f>($J54-$C54)*100</f>
        <v/>
      </c>
      <c r="AU54" s="82">
        <f>($H54-$F54)*100</f>
        <v/>
      </c>
      <c r="AV54" s="82">
        <f>($J54-$F54)*100</f>
        <v/>
      </c>
      <c r="AW54" s="82">
        <f>($L54-$F54)*100</f>
        <v/>
      </c>
      <c r="AX54" s="82">
        <f>($J54-$H54)*100</f>
        <v/>
      </c>
      <c r="AY54" s="82">
        <f>($L54-$H54)*100</f>
        <v/>
      </c>
      <c r="AZ54" s="82">
        <f>($L54-$J54)*100</f>
        <v/>
      </c>
      <c r="BA54" s="82">
        <f>(2*$H54-$F54-$J54)*100</f>
        <v/>
      </c>
      <c r="BB54" s="82">
        <f>(2*$J54-$H54-$L54)*100</f>
        <v/>
      </c>
      <c r="BC54" s="82">
        <f>($N54-$F54)*100</f>
        <v/>
      </c>
      <c r="BD54" s="82">
        <f>($Q54-$H54)*100</f>
        <v/>
      </c>
      <c r="BE54" s="82">
        <f>($S54-$J54)*100</f>
        <v/>
      </c>
      <c r="BF54" s="82">
        <f>($V54-$L54)*100</f>
        <v/>
      </c>
      <c r="BG54" s="82">
        <f>$AG54-$AF54</f>
        <v/>
      </c>
      <c r="BH54" s="81">
        <f>IFERROR($AG54/$AF54,"")</f>
        <v/>
      </c>
      <c r="BI54" s="82">
        <f>$AJ54-$AF54</f>
        <v/>
      </c>
      <c r="BJ54" s="81">
        <f>IFERROR($AJ54/$AG54,"")</f>
        <v/>
      </c>
      <c r="BK54" s="81">
        <f>$X54</f>
        <v/>
      </c>
      <c r="BL54" s="82">
        <f>($J54-$J55)*100</f>
        <v/>
      </c>
      <c r="BM54" s="82">
        <f>($F54-$F55)*100</f>
        <v/>
      </c>
      <c r="BN54" s="82">
        <f>$AF54-$AF55</f>
        <v/>
      </c>
      <c r="BO54" s="82">
        <f>$AG54-$AG55</f>
        <v/>
      </c>
      <c r="BP54" s="82">
        <f>$AJ54-$AJ55</f>
        <v/>
      </c>
    </row>
    <row r="55">
      <c r="AR55" s="81">
        <f>($G55+($H55-$G55)*0.5)+($P55-($O55+($Q55-$O55)*0.5))</f>
        <v/>
      </c>
      <c r="AS55" s="81">
        <f>($J55+($K55-$J55)*0.5)+($T55-($S55+($U55-$S55)*0.5))</f>
        <v/>
      </c>
      <c r="AT55" s="82">
        <f>($J55-$C55)*100</f>
        <v/>
      </c>
      <c r="AU55" s="82">
        <f>($H55-$F55)*100</f>
        <v/>
      </c>
      <c r="AV55" s="82">
        <f>($J55-$F55)*100</f>
        <v/>
      </c>
      <c r="AW55" s="82">
        <f>($L55-$F55)*100</f>
        <v/>
      </c>
      <c r="AX55" s="82">
        <f>($J55-$H55)*100</f>
        <v/>
      </c>
      <c r="AY55" s="82">
        <f>($L55-$H55)*100</f>
        <v/>
      </c>
      <c r="AZ55" s="82">
        <f>($L55-$J55)*100</f>
        <v/>
      </c>
      <c r="BA55" s="82">
        <f>(2*$H55-$F55-$J55)*100</f>
        <v/>
      </c>
      <c r="BB55" s="82">
        <f>(2*$J55-$H55-$L55)*100</f>
        <v/>
      </c>
      <c r="BC55" s="82">
        <f>($N55-$F55)*100</f>
        <v/>
      </c>
      <c r="BD55" s="82">
        <f>($Q55-$H55)*100</f>
        <v/>
      </c>
      <c r="BE55" s="82">
        <f>($S55-$J55)*100</f>
        <v/>
      </c>
      <c r="BF55" s="82">
        <f>($V55-$L55)*100</f>
        <v/>
      </c>
      <c r="BG55" s="82">
        <f>$AG55-$AF55</f>
        <v/>
      </c>
      <c r="BH55" s="81">
        <f>IFERROR($AG55/$AF55,"")</f>
        <v/>
      </c>
      <c r="BI55" s="82">
        <f>$AJ55-$AF55</f>
        <v/>
      </c>
      <c r="BJ55" s="81">
        <f>IFERROR($AJ55/$AG55,"")</f>
        <v/>
      </c>
      <c r="BK55" s="81">
        <f>$X55</f>
        <v/>
      </c>
      <c r="BL55" s="82">
        <f>($J55-$J56)*100</f>
        <v/>
      </c>
      <c r="BM55" s="82">
        <f>($F55-$F56)*100</f>
        <v/>
      </c>
      <c r="BN55" s="82">
        <f>$AF55-$AF56</f>
        <v/>
      </c>
      <c r="BO55" s="82">
        <f>$AG55-$AG56</f>
        <v/>
      </c>
      <c r="BP55" s="82">
        <f>$AJ55-$AJ56</f>
        <v/>
      </c>
    </row>
    <row r="56">
      <c r="AR56" s="81">
        <f>($G56+($H56-$G56)*0.5)+($P56-($O56+($Q56-$O56)*0.5))</f>
        <v/>
      </c>
      <c r="AS56" s="81">
        <f>($J56+($K56-$J56)*0.5)+($T56-($S56+($U56-$S56)*0.5))</f>
        <v/>
      </c>
      <c r="AT56" s="82">
        <f>($J56-$C56)*100</f>
        <v/>
      </c>
      <c r="AU56" s="82">
        <f>($H56-$F56)*100</f>
        <v/>
      </c>
      <c r="AV56" s="82">
        <f>($J56-$F56)*100</f>
        <v/>
      </c>
      <c r="AW56" s="82">
        <f>($L56-$F56)*100</f>
        <v/>
      </c>
      <c r="AX56" s="82">
        <f>($J56-$H56)*100</f>
        <v/>
      </c>
      <c r="AY56" s="82">
        <f>($L56-$H56)*100</f>
        <v/>
      </c>
      <c r="AZ56" s="82">
        <f>($L56-$J56)*100</f>
        <v/>
      </c>
      <c r="BA56" s="82">
        <f>(2*$H56-$F56-$J56)*100</f>
        <v/>
      </c>
      <c r="BB56" s="82">
        <f>(2*$J56-$H56-$L56)*100</f>
        <v/>
      </c>
      <c r="BC56" s="82">
        <f>($N56-$F56)*100</f>
        <v/>
      </c>
      <c r="BD56" s="82">
        <f>($Q56-$H56)*100</f>
        <v/>
      </c>
      <c r="BE56" s="82">
        <f>($S56-$J56)*100</f>
        <v/>
      </c>
      <c r="BF56" s="82">
        <f>($V56-$L56)*100</f>
        <v/>
      </c>
      <c r="BG56" s="82">
        <f>$AG56-$AF56</f>
        <v/>
      </c>
      <c r="BH56" s="81">
        <f>IFERROR($AG56/$AF56,"")</f>
        <v/>
      </c>
      <c r="BI56" s="82">
        <f>$AJ56-$AF56</f>
        <v/>
      </c>
      <c r="BJ56" s="81">
        <f>IFERROR($AJ56/$AG56,"")</f>
        <v/>
      </c>
      <c r="BK56" s="81">
        <f>$X56</f>
        <v/>
      </c>
      <c r="BL56" s="82">
        <f>($J56-$J57)*100</f>
        <v/>
      </c>
      <c r="BM56" s="82">
        <f>($F56-$F57)*100</f>
        <v/>
      </c>
      <c r="BN56" s="82">
        <f>$AF56-$AF57</f>
        <v/>
      </c>
      <c r="BO56" s="82">
        <f>$AG56-$AG57</f>
        <v/>
      </c>
      <c r="BP56" s="82">
        <f>$AJ56-$AJ57</f>
        <v/>
      </c>
    </row>
    <row r="57">
      <c r="AR57" s="81">
        <f>($G57+($H57-$G57)*0.5)+($P57-($O57+($Q57-$O57)*0.5))</f>
        <v/>
      </c>
      <c r="AS57" s="81">
        <f>($J57+($K57-$J57)*0.5)+($T57-($S57+($U57-$S57)*0.5))</f>
        <v/>
      </c>
      <c r="AT57" s="82">
        <f>($J57-$C57)*100</f>
        <v/>
      </c>
      <c r="AU57" s="82">
        <f>($H57-$F57)*100</f>
        <v/>
      </c>
      <c r="AV57" s="82">
        <f>($J57-$F57)*100</f>
        <v/>
      </c>
      <c r="AW57" s="82">
        <f>($L57-$F57)*100</f>
        <v/>
      </c>
      <c r="AX57" s="82">
        <f>($J57-$H57)*100</f>
        <v/>
      </c>
      <c r="AY57" s="82">
        <f>($L57-$H57)*100</f>
        <v/>
      </c>
      <c r="AZ57" s="82">
        <f>($L57-$J57)*100</f>
        <v/>
      </c>
      <c r="BA57" s="82">
        <f>(2*$H57-$F57-$J57)*100</f>
        <v/>
      </c>
      <c r="BB57" s="82">
        <f>(2*$J57-$H57-$L57)*100</f>
        <v/>
      </c>
      <c r="BC57" s="82">
        <f>($N57-$F57)*100</f>
        <v/>
      </c>
      <c r="BD57" s="82">
        <f>($Q57-$H57)*100</f>
        <v/>
      </c>
      <c r="BE57" s="82">
        <f>($S57-$J57)*100</f>
        <v/>
      </c>
      <c r="BF57" s="82">
        <f>($V57-$L57)*100</f>
        <v/>
      </c>
      <c r="BG57" s="82">
        <f>$AG57-$AF57</f>
        <v/>
      </c>
      <c r="BH57" s="81">
        <f>IFERROR($AG57/$AF57,"")</f>
        <v/>
      </c>
      <c r="BI57" s="82">
        <f>$AJ57-$AF57</f>
        <v/>
      </c>
      <c r="BJ57" s="81">
        <f>IFERROR($AJ57/$AG57,"")</f>
        <v/>
      </c>
      <c r="BK57" s="81">
        <f>$X57</f>
        <v/>
      </c>
      <c r="BL57" s="82">
        <f>($J57-$J58)*100</f>
        <v/>
      </c>
      <c r="BM57" s="82">
        <f>($F57-$F58)*100</f>
        <v/>
      </c>
      <c r="BN57" s="82">
        <f>$AF57-$AF58</f>
        <v/>
      </c>
      <c r="BO57" s="82">
        <f>$AG57-$AG58</f>
        <v/>
      </c>
      <c r="BP57" s="82">
        <f>$AJ57-$AJ58</f>
        <v/>
      </c>
    </row>
    <row r="58">
      <c r="AR58" s="81">
        <f>($G58+($H58-$G58)*0.5)+($P58-($O58+($Q58-$O58)*0.5))</f>
        <v/>
      </c>
      <c r="AS58" s="81">
        <f>($J58+($K58-$J58)*0.5)+($T58-($S58+($U58-$S58)*0.5))</f>
        <v/>
      </c>
      <c r="AT58" s="82">
        <f>($J58-$C58)*100</f>
        <v/>
      </c>
      <c r="AU58" s="82">
        <f>($H58-$F58)*100</f>
        <v/>
      </c>
      <c r="AV58" s="82">
        <f>($J58-$F58)*100</f>
        <v/>
      </c>
      <c r="AW58" s="82">
        <f>($L58-$F58)*100</f>
        <v/>
      </c>
      <c r="AX58" s="82">
        <f>($J58-$H58)*100</f>
        <v/>
      </c>
      <c r="AY58" s="82">
        <f>($L58-$H58)*100</f>
        <v/>
      </c>
      <c r="AZ58" s="82">
        <f>($L58-$J58)*100</f>
        <v/>
      </c>
      <c r="BA58" s="82">
        <f>(2*$H58-$F58-$J58)*100</f>
        <v/>
      </c>
      <c r="BB58" s="82">
        <f>(2*$J58-$H58-$L58)*100</f>
        <v/>
      </c>
      <c r="BC58" s="82">
        <f>($N58-$F58)*100</f>
        <v/>
      </c>
      <c r="BD58" s="82">
        <f>($Q58-$H58)*100</f>
        <v/>
      </c>
      <c r="BE58" s="82">
        <f>($S58-$J58)*100</f>
        <v/>
      </c>
      <c r="BF58" s="82">
        <f>($V58-$L58)*100</f>
        <v/>
      </c>
      <c r="BG58" s="82">
        <f>$AG58-$AF58</f>
        <v/>
      </c>
      <c r="BH58" s="81">
        <f>IFERROR($AG58/$AF58,"")</f>
        <v/>
      </c>
      <c r="BI58" s="82">
        <f>$AJ58-$AF58</f>
        <v/>
      </c>
      <c r="BJ58" s="81">
        <f>IFERROR($AJ58/$AG58,"")</f>
        <v/>
      </c>
      <c r="BK58" s="81">
        <f>$X58</f>
        <v/>
      </c>
      <c r="BL58" s="82">
        <f>($J58-$J59)*100</f>
        <v/>
      </c>
      <c r="BM58" s="82">
        <f>($F58-$F59)*100</f>
        <v/>
      </c>
      <c r="BN58" s="82">
        <f>$AF58-$AF59</f>
        <v/>
      </c>
      <c r="BO58" s="82">
        <f>$AG58-$AG59</f>
        <v/>
      </c>
      <c r="BP58" s="82">
        <f>$AJ58-$AJ59</f>
        <v/>
      </c>
    </row>
    <row r="59">
      <c r="AR59" s="81">
        <f>($G59+($H59-$G59)*0.5)+($P59-($O59+($Q59-$O59)*0.5))</f>
        <v/>
      </c>
      <c r="AS59" s="81">
        <f>($J59+($K59-$J59)*0.5)+($T59-($S59+($U59-$S59)*0.5))</f>
        <v/>
      </c>
      <c r="AT59" s="82">
        <f>($J59-$C59)*100</f>
        <v/>
      </c>
      <c r="AU59" s="82">
        <f>($H59-$F59)*100</f>
        <v/>
      </c>
      <c r="AV59" s="82">
        <f>($J59-$F59)*100</f>
        <v/>
      </c>
      <c r="AW59" s="82">
        <f>($L59-$F59)*100</f>
        <v/>
      </c>
      <c r="AX59" s="82">
        <f>($J59-$H59)*100</f>
        <v/>
      </c>
      <c r="AY59" s="82">
        <f>($L59-$H59)*100</f>
        <v/>
      </c>
      <c r="AZ59" s="82">
        <f>($L59-$J59)*100</f>
        <v/>
      </c>
      <c r="BA59" s="82">
        <f>(2*$H59-$F59-$J59)*100</f>
        <v/>
      </c>
      <c r="BB59" s="82">
        <f>(2*$J59-$H59-$L59)*100</f>
        <v/>
      </c>
      <c r="BC59" s="82">
        <f>($N59-$F59)*100</f>
        <v/>
      </c>
      <c r="BD59" s="82">
        <f>($Q59-$H59)*100</f>
        <v/>
      </c>
      <c r="BE59" s="82">
        <f>($S59-$J59)*100</f>
        <v/>
      </c>
      <c r="BF59" s="82">
        <f>($V59-$L59)*100</f>
        <v/>
      </c>
      <c r="BG59" s="82">
        <f>$AG59-$AF59</f>
        <v/>
      </c>
      <c r="BH59" s="81">
        <f>IFERROR($AG59/$AF59,"")</f>
        <v/>
      </c>
      <c r="BI59" s="82">
        <f>$AJ59-$AF59</f>
        <v/>
      </c>
      <c r="BJ59" s="81">
        <f>IFERROR($AJ59/$AG59,"")</f>
        <v/>
      </c>
      <c r="BK59" s="81">
        <f>$X59</f>
        <v/>
      </c>
      <c r="BL59" s="82">
        <f>($J59-$J60)*100</f>
        <v/>
      </c>
      <c r="BM59" s="82">
        <f>($F59-$F60)*100</f>
        <v/>
      </c>
      <c r="BN59" s="82">
        <f>$AF59-$AF60</f>
        <v/>
      </c>
      <c r="BO59" s="82">
        <f>$AG59-$AG60</f>
        <v/>
      </c>
      <c r="BP59" s="82">
        <f>$AJ59-$AJ60</f>
        <v/>
      </c>
    </row>
    <row r="60">
      <c r="AR60" s="81">
        <f>($G60+($H60-$G60)*0.5)+($P60-($O60+($Q60-$O60)*0.5))</f>
        <v/>
      </c>
      <c r="AS60" s="81">
        <f>($J60+($K60-$J60)*0.5)+($T60-($S60+($U60-$S60)*0.5))</f>
        <v/>
      </c>
      <c r="AT60" s="82">
        <f>($J60-$C60)*100</f>
        <v/>
      </c>
      <c r="AU60" s="82">
        <f>($H60-$F60)*100</f>
        <v/>
      </c>
      <c r="AV60" s="82">
        <f>($J60-$F60)*100</f>
        <v/>
      </c>
      <c r="AW60" s="82">
        <f>($L60-$F60)*100</f>
        <v/>
      </c>
      <c r="AX60" s="82">
        <f>($J60-$H60)*100</f>
        <v/>
      </c>
      <c r="AY60" s="82">
        <f>($L60-$H60)*100</f>
        <v/>
      </c>
      <c r="AZ60" s="82">
        <f>($L60-$J60)*100</f>
        <v/>
      </c>
      <c r="BA60" s="82">
        <f>(2*$H60-$F60-$J60)*100</f>
        <v/>
      </c>
      <c r="BB60" s="82">
        <f>(2*$J60-$H60-$L60)*100</f>
        <v/>
      </c>
      <c r="BC60" s="82">
        <f>($N60-$F60)*100</f>
        <v/>
      </c>
      <c r="BD60" s="82">
        <f>($Q60-$H60)*100</f>
        <v/>
      </c>
      <c r="BE60" s="82">
        <f>($S60-$J60)*100</f>
        <v/>
      </c>
      <c r="BF60" s="82">
        <f>($V60-$L60)*100</f>
        <v/>
      </c>
      <c r="BG60" s="82">
        <f>$AG60-$AF60</f>
        <v/>
      </c>
      <c r="BH60" s="81">
        <f>IFERROR($AG60/$AF60,"")</f>
        <v/>
      </c>
      <c r="BI60" s="82">
        <f>$AJ60-$AF60</f>
        <v/>
      </c>
      <c r="BJ60" s="81">
        <f>IFERROR($AJ60/$AG60,"")</f>
        <v/>
      </c>
      <c r="BK60" s="81">
        <f>$X60</f>
        <v/>
      </c>
      <c r="BL60" s="82">
        <f>($J60-$J61)*100</f>
        <v/>
      </c>
      <c r="BM60" s="82">
        <f>($F60-$F61)*100</f>
        <v/>
      </c>
      <c r="BN60" s="82">
        <f>$AF60-$AF61</f>
        <v/>
      </c>
      <c r="BO60" s="82">
        <f>$AG60-$AG61</f>
        <v/>
      </c>
      <c r="BP60" s="82">
        <f>$AJ60-$AJ61</f>
        <v/>
      </c>
    </row>
    <row r="61">
      <c r="AR61" s="81">
        <f>($G61+($H61-$G61)*0.5)+($P61-($O61+($Q61-$O61)*0.5))</f>
        <v/>
      </c>
      <c r="AS61" s="81">
        <f>($J61+($K61-$J61)*0.5)+($T61-($S61+($U61-$S61)*0.5))</f>
        <v/>
      </c>
      <c r="AT61" s="82">
        <f>($J61-$C61)*100</f>
        <v/>
      </c>
      <c r="AU61" s="82">
        <f>($H61-$F61)*100</f>
        <v/>
      </c>
      <c r="AV61" s="82">
        <f>($J61-$F61)*100</f>
        <v/>
      </c>
      <c r="AW61" s="82">
        <f>($L61-$F61)*100</f>
        <v/>
      </c>
      <c r="AX61" s="82">
        <f>($J61-$H61)*100</f>
        <v/>
      </c>
      <c r="AY61" s="82">
        <f>($L61-$H61)*100</f>
        <v/>
      </c>
      <c r="AZ61" s="82">
        <f>($L61-$J61)*100</f>
        <v/>
      </c>
      <c r="BA61" s="82">
        <f>(2*$H61-$F61-$J61)*100</f>
        <v/>
      </c>
      <c r="BB61" s="82">
        <f>(2*$J61-$H61-$L61)*100</f>
        <v/>
      </c>
      <c r="BC61" s="82">
        <f>($N61-$F61)*100</f>
        <v/>
      </c>
      <c r="BD61" s="82">
        <f>($Q61-$H61)*100</f>
        <v/>
      </c>
      <c r="BE61" s="82">
        <f>($S61-$J61)*100</f>
        <v/>
      </c>
      <c r="BF61" s="82">
        <f>($V61-$L61)*100</f>
        <v/>
      </c>
      <c r="BG61" s="82">
        <f>$AG61-$AF61</f>
        <v/>
      </c>
      <c r="BH61" s="81">
        <f>IFERROR($AG61/$AF61,"")</f>
        <v/>
      </c>
      <c r="BI61" s="82">
        <f>$AJ61-$AF61</f>
        <v/>
      </c>
      <c r="BJ61" s="81">
        <f>IFERROR($AJ61/$AG61,"")</f>
        <v/>
      </c>
      <c r="BK61" s="81">
        <f>$X61</f>
        <v/>
      </c>
      <c r="BL61" s="82">
        <f>($J61-$J62)*100</f>
        <v/>
      </c>
      <c r="BM61" s="82">
        <f>($F61-$F62)*100</f>
        <v/>
      </c>
      <c r="BN61" s="82">
        <f>$AF61-$AF62</f>
        <v/>
      </c>
      <c r="BO61" s="82">
        <f>$AG61-$AG62</f>
        <v/>
      </c>
      <c r="BP61" s="82">
        <f>$AJ61-$AJ62</f>
        <v/>
      </c>
    </row>
    <row r="62">
      <c r="AR62" s="81">
        <f>($G62+($H62-$G62)*0.5)+($P62-($O62+($Q62-$O62)*0.5))</f>
        <v/>
      </c>
      <c r="AS62" s="81">
        <f>($J62+($K62-$J62)*0.5)+($T62-($S62+($U62-$S62)*0.5))</f>
        <v/>
      </c>
      <c r="AT62" s="82">
        <f>($J62-$C62)*100</f>
        <v/>
      </c>
      <c r="AU62" s="82">
        <f>($H62-$F62)*100</f>
        <v/>
      </c>
      <c r="AV62" s="82">
        <f>($J62-$F62)*100</f>
        <v/>
      </c>
      <c r="AW62" s="82">
        <f>($L62-$F62)*100</f>
        <v/>
      </c>
      <c r="AX62" s="82">
        <f>($J62-$H62)*100</f>
        <v/>
      </c>
      <c r="AY62" s="82">
        <f>($L62-$H62)*100</f>
        <v/>
      </c>
      <c r="AZ62" s="82">
        <f>($L62-$J62)*100</f>
        <v/>
      </c>
      <c r="BA62" s="82">
        <f>(2*$H62-$F62-$J62)*100</f>
        <v/>
      </c>
      <c r="BB62" s="82">
        <f>(2*$J62-$H62-$L62)*100</f>
        <v/>
      </c>
      <c r="BC62" s="82">
        <f>($N62-$F62)*100</f>
        <v/>
      </c>
      <c r="BD62" s="82">
        <f>($Q62-$H62)*100</f>
        <v/>
      </c>
      <c r="BE62" s="82">
        <f>($S62-$J62)*100</f>
        <v/>
      </c>
      <c r="BF62" s="82">
        <f>($V62-$L62)*100</f>
        <v/>
      </c>
      <c r="BG62" s="82">
        <f>$AG62-$AF62</f>
        <v/>
      </c>
      <c r="BH62" s="81">
        <f>IFERROR($AG62/$AF62,"")</f>
        <v/>
      </c>
      <c r="BI62" s="82">
        <f>$AJ62-$AF62</f>
        <v/>
      </c>
      <c r="BJ62" s="81">
        <f>IFERROR($AJ62/$AG62,"")</f>
        <v/>
      </c>
      <c r="BK62" s="81">
        <f>$X62</f>
        <v/>
      </c>
      <c r="BL62" s="82">
        <f>($J62-$J63)*100</f>
        <v/>
      </c>
      <c r="BM62" s="82">
        <f>($F62-$F63)*100</f>
        <v/>
      </c>
      <c r="BN62" s="82">
        <f>$AF62-$AF63</f>
        <v/>
      </c>
      <c r="BO62" s="82">
        <f>$AG62-$AG63</f>
        <v/>
      </c>
      <c r="BP62" s="82">
        <f>$AJ62-$AJ63</f>
        <v/>
      </c>
    </row>
    <row r="63">
      <c r="AR63" s="81">
        <f>($G63+($H63-$G63)*0.5)+($P63-($O63+($Q63-$O63)*0.5))</f>
        <v/>
      </c>
      <c r="AS63" s="81">
        <f>($J63+($K63-$J63)*0.5)+($T63-($S63+($U63-$S63)*0.5))</f>
        <v/>
      </c>
      <c r="AT63" s="82">
        <f>($J63-$C63)*100</f>
        <v/>
      </c>
      <c r="AU63" s="82">
        <f>($H63-$F63)*100</f>
        <v/>
      </c>
      <c r="AV63" s="82">
        <f>($J63-$F63)*100</f>
        <v/>
      </c>
      <c r="AW63" s="82">
        <f>($L63-$F63)*100</f>
        <v/>
      </c>
      <c r="AX63" s="82">
        <f>($J63-$H63)*100</f>
        <v/>
      </c>
      <c r="AY63" s="82">
        <f>($L63-$H63)*100</f>
        <v/>
      </c>
      <c r="AZ63" s="82">
        <f>($L63-$J63)*100</f>
        <v/>
      </c>
      <c r="BA63" s="82">
        <f>(2*$H63-$F63-$J63)*100</f>
        <v/>
      </c>
      <c r="BB63" s="82">
        <f>(2*$J63-$H63-$L63)*100</f>
        <v/>
      </c>
      <c r="BC63" s="82">
        <f>($N63-$F63)*100</f>
        <v/>
      </c>
      <c r="BD63" s="82">
        <f>($Q63-$H63)*100</f>
        <v/>
      </c>
      <c r="BE63" s="82">
        <f>($S63-$J63)*100</f>
        <v/>
      </c>
      <c r="BF63" s="82">
        <f>($V63-$L63)*100</f>
        <v/>
      </c>
      <c r="BG63" s="82">
        <f>$AG63-$AF63</f>
        <v/>
      </c>
      <c r="BH63" s="81">
        <f>IFERROR($AG63/$AF63,"")</f>
        <v/>
      </c>
      <c r="BI63" s="82">
        <f>$AJ63-$AF63</f>
        <v/>
      </c>
      <c r="BJ63" s="81">
        <f>IFERROR($AJ63/$AG63,"")</f>
        <v/>
      </c>
      <c r="BK63" s="81">
        <f>$X63</f>
        <v/>
      </c>
      <c r="BL63" s="82">
        <f>($J63-$J64)*100</f>
        <v/>
      </c>
      <c r="BM63" s="82">
        <f>($F63-$F64)*100</f>
        <v/>
      </c>
      <c r="BN63" s="82">
        <f>$AF63-$AF64</f>
        <v/>
      </c>
      <c r="BO63" s="82">
        <f>$AG63-$AG64</f>
        <v/>
      </c>
      <c r="BP63" s="82">
        <f>$AJ63-$AJ64</f>
        <v/>
      </c>
    </row>
    <row r="64">
      <c r="AR64" s="81">
        <f>($G64+($H64-$G64)*0.5)+($P64-($O64+($Q64-$O64)*0.5))</f>
        <v/>
      </c>
      <c r="AS64" s="81">
        <f>($J64+($K64-$J64)*0.5)+($T64-($S64+($U64-$S64)*0.5))</f>
        <v/>
      </c>
      <c r="AT64" s="82">
        <f>($J64-$C64)*100</f>
        <v/>
      </c>
      <c r="AU64" s="82">
        <f>($H64-$F64)*100</f>
        <v/>
      </c>
      <c r="AV64" s="82">
        <f>($J64-$F64)*100</f>
        <v/>
      </c>
      <c r="AW64" s="82">
        <f>($L64-$F64)*100</f>
        <v/>
      </c>
      <c r="AX64" s="82">
        <f>($J64-$H64)*100</f>
        <v/>
      </c>
      <c r="AY64" s="82">
        <f>($L64-$H64)*100</f>
        <v/>
      </c>
      <c r="AZ64" s="82">
        <f>($L64-$J64)*100</f>
        <v/>
      </c>
      <c r="BA64" s="82">
        <f>(2*$H64-$F64-$J64)*100</f>
        <v/>
      </c>
      <c r="BB64" s="82">
        <f>(2*$J64-$H64-$L64)*100</f>
        <v/>
      </c>
      <c r="BC64" s="82">
        <f>($N64-$F64)*100</f>
        <v/>
      </c>
      <c r="BD64" s="82">
        <f>($Q64-$H64)*100</f>
        <v/>
      </c>
      <c r="BE64" s="82">
        <f>($S64-$J64)*100</f>
        <v/>
      </c>
      <c r="BF64" s="82">
        <f>($V64-$L64)*100</f>
        <v/>
      </c>
      <c r="BG64" s="82">
        <f>$AG64-$AF64</f>
        <v/>
      </c>
      <c r="BH64" s="81">
        <f>IFERROR($AG64/$AF64,"")</f>
        <v/>
      </c>
      <c r="BI64" s="82">
        <f>$AJ64-$AF64</f>
        <v/>
      </c>
      <c r="BJ64" s="81">
        <f>IFERROR($AJ64/$AG64,"")</f>
        <v/>
      </c>
      <c r="BK64" s="81">
        <f>$X64</f>
        <v/>
      </c>
      <c r="BL64" s="82">
        <f>($J64-$J65)*100</f>
        <v/>
      </c>
      <c r="BM64" s="82">
        <f>($F64-$F65)*100</f>
        <v/>
      </c>
      <c r="BN64" s="82">
        <f>$AF64-$AF65</f>
        <v/>
      </c>
      <c r="BO64" s="82">
        <f>$AG64-$AG65</f>
        <v/>
      </c>
      <c r="BP64" s="82">
        <f>$AJ64-$AJ65</f>
        <v/>
      </c>
    </row>
    <row r="65">
      <c r="AR65" s="81">
        <f>($G65+($H65-$G65)*0.5)+($P65-($O65+($Q65-$O65)*0.5))</f>
        <v/>
      </c>
      <c r="AS65" s="81">
        <f>($J65+($K65-$J65)*0.5)+($T65-($S65+($U65-$S65)*0.5))</f>
        <v/>
      </c>
      <c r="AT65" s="82">
        <f>($J65-$C65)*100</f>
        <v/>
      </c>
      <c r="AU65" s="82">
        <f>($H65-$F65)*100</f>
        <v/>
      </c>
      <c r="AV65" s="82">
        <f>($J65-$F65)*100</f>
        <v/>
      </c>
      <c r="AW65" s="82">
        <f>($L65-$F65)*100</f>
        <v/>
      </c>
      <c r="AX65" s="82">
        <f>($J65-$H65)*100</f>
        <v/>
      </c>
      <c r="AY65" s="82">
        <f>($L65-$H65)*100</f>
        <v/>
      </c>
      <c r="AZ65" s="82">
        <f>($L65-$J65)*100</f>
        <v/>
      </c>
      <c r="BA65" s="82">
        <f>(2*$H65-$F65-$J65)*100</f>
        <v/>
      </c>
      <c r="BB65" s="82">
        <f>(2*$J65-$H65-$L65)*100</f>
        <v/>
      </c>
      <c r="BC65" s="82">
        <f>($N65-$F65)*100</f>
        <v/>
      </c>
      <c r="BD65" s="82">
        <f>($Q65-$H65)*100</f>
        <v/>
      </c>
      <c r="BE65" s="82">
        <f>($S65-$J65)*100</f>
        <v/>
      </c>
      <c r="BF65" s="82">
        <f>($V65-$L65)*100</f>
        <v/>
      </c>
      <c r="BG65" s="82">
        <f>$AG65-$AF65</f>
        <v/>
      </c>
      <c r="BH65" s="81">
        <f>IFERROR($AG65/$AF65,"")</f>
        <v/>
      </c>
      <c r="BI65" s="82">
        <f>$AJ65-$AF65</f>
        <v/>
      </c>
      <c r="BJ65" s="81">
        <f>IFERROR($AJ65/$AG65,"")</f>
        <v/>
      </c>
      <c r="BK65" s="81">
        <f>$X65</f>
        <v/>
      </c>
      <c r="BL65" s="82">
        <f>($J65-$J66)*100</f>
        <v/>
      </c>
      <c r="BM65" s="82">
        <f>($F65-$F66)*100</f>
        <v/>
      </c>
      <c r="BN65" s="82">
        <f>$AF65-$AF66</f>
        <v/>
      </c>
      <c r="BO65" s="82">
        <f>$AG65-$AG66</f>
        <v/>
      </c>
      <c r="BP65" s="82">
        <f>$AJ65-$AJ66</f>
        <v/>
      </c>
    </row>
    <row r="66">
      <c r="AR66" s="81">
        <f>($G66+($H66-$G66)*0.5)+($P66-($O66+($Q66-$O66)*0.5))</f>
        <v/>
      </c>
      <c r="AS66" s="81">
        <f>($J66+($K66-$J66)*0.5)+($T66-($S66+($U66-$S66)*0.5))</f>
        <v/>
      </c>
      <c r="AT66" s="82">
        <f>($J66-$C66)*100</f>
        <v/>
      </c>
      <c r="AU66" s="82">
        <f>($H66-$F66)*100</f>
        <v/>
      </c>
      <c r="AV66" s="82">
        <f>($J66-$F66)*100</f>
        <v/>
      </c>
      <c r="AW66" s="82">
        <f>($L66-$F66)*100</f>
        <v/>
      </c>
      <c r="AX66" s="82">
        <f>($J66-$H66)*100</f>
        <v/>
      </c>
      <c r="AY66" s="82">
        <f>($L66-$H66)*100</f>
        <v/>
      </c>
      <c r="AZ66" s="82">
        <f>($L66-$J66)*100</f>
        <v/>
      </c>
      <c r="BA66" s="82">
        <f>(2*$H66-$F66-$J66)*100</f>
        <v/>
      </c>
      <c r="BB66" s="82">
        <f>(2*$J66-$H66-$L66)*100</f>
        <v/>
      </c>
      <c r="BC66" s="82">
        <f>($N66-$F66)*100</f>
        <v/>
      </c>
      <c r="BD66" s="82">
        <f>($Q66-$H66)*100</f>
        <v/>
      </c>
      <c r="BE66" s="82">
        <f>($S66-$J66)*100</f>
        <v/>
      </c>
      <c r="BF66" s="82">
        <f>($V66-$L66)*100</f>
        <v/>
      </c>
      <c r="BG66" s="82">
        <f>$AG66-$AF66</f>
        <v/>
      </c>
      <c r="BH66" s="81">
        <f>IFERROR($AG66/$AF66,"")</f>
        <v/>
      </c>
      <c r="BI66" s="82">
        <f>$AJ66-$AF66</f>
        <v/>
      </c>
      <c r="BJ66" s="81">
        <f>IFERROR($AJ66/$AG66,"")</f>
        <v/>
      </c>
      <c r="BK66" s="81">
        <f>$X66</f>
        <v/>
      </c>
      <c r="BL66" s="82">
        <f>($J66-$J67)*100</f>
        <v/>
      </c>
      <c r="BM66" s="82">
        <f>($F66-$F67)*100</f>
        <v/>
      </c>
      <c r="BN66" s="82">
        <f>$AF66-$AF67</f>
        <v/>
      </c>
      <c r="BO66" s="82">
        <f>$AG66-$AG67</f>
        <v/>
      </c>
      <c r="BP66" s="82">
        <f>$AJ66-$AJ67</f>
        <v/>
      </c>
    </row>
    <row r="67">
      <c r="AR67" s="81">
        <f>($G67+($H67-$G67)*0.5)+($P67-($O67+($Q67-$O67)*0.5))</f>
        <v/>
      </c>
      <c r="AS67" s="81">
        <f>($J67+($K67-$J67)*0.5)+($T67-($S67+($U67-$S67)*0.5))</f>
        <v/>
      </c>
      <c r="AT67" s="82">
        <f>($J67-$C67)*100</f>
        <v/>
      </c>
      <c r="AU67" s="82">
        <f>($H67-$F67)*100</f>
        <v/>
      </c>
      <c r="AV67" s="82">
        <f>($J67-$F67)*100</f>
        <v/>
      </c>
      <c r="AW67" s="82">
        <f>($L67-$F67)*100</f>
        <v/>
      </c>
      <c r="AX67" s="82">
        <f>($J67-$H67)*100</f>
        <v/>
      </c>
      <c r="AY67" s="82">
        <f>($L67-$H67)*100</f>
        <v/>
      </c>
      <c r="AZ67" s="82">
        <f>($L67-$J67)*100</f>
        <v/>
      </c>
      <c r="BA67" s="82">
        <f>(2*$H67-$F67-$J67)*100</f>
        <v/>
      </c>
      <c r="BB67" s="82">
        <f>(2*$J67-$H67-$L67)*100</f>
        <v/>
      </c>
      <c r="BC67" s="82">
        <f>($N67-$F67)*100</f>
        <v/>
      </c>
      <c r="BD67" s="82">
        <f>($Q67-$H67)*100</f>
        <v/>
      </c>
      <c r="BE67" s="82">
        <f>($S67-$J67)*100</f>
        <v/>
      </c>
      <c r="BF67" s="82">
        <f>($V67-$L67)*100</f>
        <v/>
      </c>
      <c r="BG67" s="82">
        <f>$AG67-$AF67</f>
        <v/>
      </c>
      <c r="BH67" s="81">
        <f>IFERROR($AG67/$AF67,"")</f>
        <v/>
      </c>
      <c r="BI67" s="82">
        <f>$AJ67-$AF67</f>
        <v/>
      </c>
      <c r="BJ67" s="81">
        <f>IFERROR($AJ67/$AG67,"")</f>
        <v/>
      </c>
      <c r="BK67" s="81">
        <f>$X67</f>
        <v/>
      </c>
      <c r="BL67" s="82">
        <f>($J67-$J68)*100</f>
        <v/>
      </c>
      <c r="BM67" s="82">
        <f>($F67-$F68)*100</f>
        <v/>
      </c>
      <c r="BN67" s="82">
        <f>$AF67-$AF68</f>
        <v/>
      </c>
      <c r="BO67" s="82">
        <f>$AG67-$AG68</f>
        <v/>
      </c>
      <c r="BP67" s="82">
        <f>$AJ67-$AJ68</f>
        <v/>
      </c>
    </row>
    <row r="68">
      <c r="AR68" s="81">
        <f>($G68+($H68-$G68)*0.5)+($P68-($O68+($Q68-$O68)*0.5))</f>
        <v/>
      </c>
      <c r="AS68" s="81">
        <f>($J68+($K68-$J68)*0.5)+($T68-($S68+($U68-$S68)*0.5))</f>
        <v/>
      </c>
      <c r="AT68" s="82">
        <f>($J68-$C68)*100</f>
        <v/>
      </c>
      <c r="AU68" s="82">
        <f>($H68-$F68)*100</f>
        <v/>
      </c>
      <c r="AV68" s="82">
        <f>($J68-$F68)*100</f>
        <v/>
      </c>
      <c r="AW68" s="82">
        <f>($L68-$F68)*100</f>
        <v/>
      </c>
      <c r="AX68" s="82">
        <f>($J68-$H68)*100</f>
        <v/>
      </c>
      <c r="AY68" s="82">
        <f>($L68-$H68)*100</f>
        <v/>
      </c>
      <c r="AZ68" s="82">
        <f>($L68-$J68)*100</f>
        <v/>
      </c>
      <c r="BA68" s="82">
        <f>(2*$H68-$F68-$J68)*100</f>
        <v/>
      </c>
      <c r="BB68" s="82">
        <f>(2*$J68-$H68-$L68)*100</f>
        <v/>
      </c>
      <c r="BC68" s="82">
        <f>($N68-$F68)*100</f>
        <v/>
      </c>
      <c r="BD68" s="82">
        <f>($Q68-$H68)*100</f>
        <v/>
      </c>
      <c r="BE68" s="82">
        <f>($S68-$J68)*100</f>
        <v/>
      </c>
      <c r="BF68" s="82">
        <f>($V68-$L68)*100</f>
        <v/>
      </c>
      <c r="BG68" s="82">
        <f>$AG68-$AF68</f>
        <v/>
      </c>
      <c r="BH68" s="81">
        <f>IFERROR($AG68/$AF68,"")</f>
        <v/>
      </c>
      <c r="BI68" s="82">
        <f>$AJ68-$AF68</f>
        <v/>
      </c>
      <c r="BJ68" s="81">
        <f>IFERROR($AJ68/$AG68,"")</f>
        <v/>
      </c>
      <c r="BK68" s="81">
        <f>$X68</f>
        <v/>
      </c>
      <c r="BL68" s="82">
        <f>($J68-$J69)*100</f>
        <v/>
      </c>
      <c r="BM68" s="82">
        <f>($F68-$F69)*100</f>
        <v/>
      </c>
      <c r="BN68" s="82">
        <f>$AF68-$AF69</f>
        <v/>
      </c>
      <c r="BO68" s="82">
        <f>$AG68-$AG69</f>
        <v/>
      </c>
      <c r="BP68" s="82">
        <f>$AJ68-$AJ69</f>
        <v/>
      </c>
    </row>
    <row r="69">
      <c r="AR69" s="81">
        <f>($G69+($H69-$G69)*0.5)+($P69-($O69+($Q69-$O69)*0.5))</f>
        <v/>
      </c>
      <c r="AS69" s="81">
        <f>($J69+($K69-$J69)*0.5)+($T69-($S69+($U69-$S69)*0.5))</f>
        <v/>
      </c>
      <c r="AT69" s="82">
        <f>($J69-$C69)*100</f>
        <v/>
      </c>
      <c r="AU69" s="82">
        <f>($H69-$F69)*100</f>
        <v/>
      </c>
      <c r="AV69" s="82">
        <f>($J69-$F69)*100</f>
        <v/>
      </c>
      <c r="AW69" s="82">
        <f>($L69-$F69)*100</f>
        <v/>
      </c>
      <c r="AX69" s="82">
        <f>($J69-$H69)*100</f>
        <v/>
      </c>
      <c r="AY69" s="82">
        <f>($L69-$H69)*100</f>
        <v/>
      </c>
      <c r="AZ69" s="82">
        <f>($L69-$J69)*100</f>
        <v/>
      </c>
      <c r="BA69" s="82">
        <f>(2*$H69-$F69-$J69)*100</f>
        <v/>
      </c>
      <c r="BB69" s="82">
        <f>(2*$J69-$H69-$L69)*100</f>
        <v/>
      </c>
      <c r="BC69" s="82">
        <f>($N69-$F69)*100</f>
        <v/>
      </c>
      <c r="BD69" s="82">
        <f>($Q69-$H69)*100</f>
        <v/>
      </c>
      <c r="BE69" s="82">
        <f>($S69-$J69)*100</f>
        <v/>
      </c>
      <c r="BF69" s="82">
        <f>($V69-$L69)*100</f>
        <v/>
      </c>
      <c r="BG69" s="82">
        <f>$AG69-$AF69</f>
        <v/>
      </c>
      <c r="BH69" s="81">
        <f>IFERROR($AG69/$AF69,"")</f>
        <v/>
      </c>
      <c r="BI69" s="82">
        <f>$AJ69-$AF69</f>
        <v/>
      </c>
      <c r="BJ69" s="81">
        <f>IFERROR($AJ69/$AG69,"")</f>
        <v/>
      </c>
      <c r="BK69" s="81">
        <f>$X69</f>
        <v/>
      </c>
      <c r="BL69" s="82">
        <f>($J69-$J70)*100</f>
        <v/>
      </c>
      <c r="BM69" s="82">
        <f>($F69-$F70)*100</f>
        <v/>
      </c>
      <c r="BN69" s="82">
        <f>$AF69-$AF70</f>
        <v/>
      </c>
      <c r="BO69" s="82">
        <f>$AG69-$AG70</f>
        <v/>
      </c>
      <c r="BP69" s="82">
        <f>$AJ69-$AJ70</f>
        <v/>
      </c>
    </row>
    <row r="70">
      <c r="AR70" s="81">
        <f>($G70+($H70-$G70)*0.5)+($P70-($O70+($Q70-$O70)*0.5))</f>
        <v/>
      </c>
      <c r="AS70" s="81">
        <f>($J70+($K70-$J70)*0.5)+($T70-($S70+($U70-$S70)*0.5))</f>
        <v/>
      </c>
      <c r="AT70" s="82">
        <f>($J70-$C70)*100</f>
        <v/>
      </c>
      <c r="AU70" s="82">
        <f>($H70-$F70)*100</f>
        <v/>
      </c>
      <c r="AV70" s="82">
        <f>($J70-$F70)*100</f>
        <v/>
      </c>
      <c r="AW70" s="82">
        <f>($L70-$F70)*100</f>
        <v/>
      </c>
      <c r="AX70" s="82">
        <f>($J70-$H70)*100</f>
        <v/>
      </c>
      <c r="AY70" s="82">
        <f>($L70-$H70)*100</f>
        <v/>
      </c>
      <c r="AZ70" s="82">
        <f>($L70-$J70)*100</f>
        <v/>
      </c>
      <c r="BA70" s="82">
        <f>(2*$H70-$F70-$J70)*100</f>
        <v/>
      </c>
      <c r="BB70" s="82">
        <f>(2*$J70-$H70-$L70)*100</f>
        <v/>
      </c>
      <c r="BC70" s="82">
        <f>($N70-$F70)*100</f>
        <v/>
      </c>
      <c r="BD70" s="82">
        <f>($Q70-$H70)*100</f>
        <v/>
      </c>
      <c r="BE70" s="82">
        <f>($S70-$J70)*100</f>
        <v/>
      </c>
      <c r="BF70" s="82">
        <f>($V70-$L70)*100</f>
        <v/>
      </c>
      <c r="BG70" s="82">
        <f>$AG70-$AF70</f>
        <v/>
      </c>
      <c r="BH70" s="81">
        <f>IFERROR($AG70/$AF70,"")</f>
        <v/>
      </c>
      <c r="BI70" s="82">
        <f>$AJ70-$AF70</f>
        <v/>
      </c>
      <c r="BJ70" s="81">
        <f>IFERROR($AJ70/$AG70,"")</f>
        <v/>
      </c>
      <c r="BK70" s="81">
        <f>$X70</f>
        <v/>
      </c>
      <c r="BL70" s="82">
        <f>($J70-$J71)*100</f>
        <v/>
      </c>
      <c r="BM70" s="82">
        <f>($F70-$F71)*100</f>
        <v/>
      </c>
      <c r="BN70" s="82">
        <f>$AF70-$AF71</f>
        <v/>
      </c>
      <c r="BO70" s="82">
        <f>$AG70-$AG71</f>
        <v/>
      </c>
      <c r="BP70" s="82">
        <f>$AJ70-$AJ71</f>
        <v/>
      </c>
    </row>
    <row r="71">
      <c r="AR71" s="81">
        <f>($G71+($H71-$G71)*0.5)+($P71-($O71+($Q71-$O71)*0.5))</f>
        <v/>
      </c>
      <c r="AS71" s="81">
        <f>($J71+($K71-$J71)*0.5)+($T71-($S71+($U71-$S71)*0.5))</f>
        <v/>
      </c>
      <c r="AT71" s="82">
        <f>($J71-$C71)*100</f>
        <v/>
      </c>
      <c r="AU71" s="82">
        <f>($H71-$F71)*100</f>
        <v/>
      </c>
      <c r="AV71" s="82">
        <f>($J71-$F71)*100</f>
        <v/>
      </c>
      <c r="AW71" s="82">
        <f>($L71-$F71)*100</f>
        <v/>
      </c>
      <c r="AX71" s="82">
        <f>($J71-$H71)*100</f>
        <v/>
      </c>
      <c r="AY71" s="82">
        <f>($L71-$H71)*100</f>
        <v/>
      </c>
      <c r="AZ71" s="82">
        <f>($L71-$J71)*100</f>
        <v/>
      </c>
      <c r="BA71" s="82">
        <f>(2*$H71-$F71-$J71)*100</f>
        <v/>
      </c>
      <c r="BB71" s="82">
        <f>(2*$J71-$H71-$L71)*100</f>
        <v/>
      </c>
      <c r="BC71" s="82">
        <f>($N71-$F71)*100</f>
        <v/>
      </c>
      <c r="BD71" s="82">
        <f>($Q71-$H71)*100</f>
        <v/>
      </c>
      <c r="BE71" s="82">
        <f>($S71-$J71)*100</f>
        <v/>
      </c>
      <c r="BF71" s="82">
        <f>($V71-$L71)*100</f>
        <v/>
      </c>
      <c r="BG71" s="82">
        <f>$AG71-$AF71</f>
        <v/>
      </c>
      <c r="BH71" s="81">
        <f>IFERROR($AG71/$AF71,"")</f>
        <v/>
      </c>
      <c r="BI71" s="82">
        <f>$AJ71-$AF71</f>
        <v/>
      </c>
      <c r="BJ71" s="81">
        <f>IFERROR($AJ71/$AG71,"")</f>
        <v/>
      </c>
      <c r="BK71" s="81">
        <f>$X71</f>
        <v/>
      </c>
      <c r="BL71" s="82">
        <f>($J71-$J72)*100</f>
        <v/>
      </c>
      <c r="BM71" s="82">
        <f>($F71-$F72)*100</f>
        <v/>
      </c>
      <c r="BN71" s="82">
        <f>$AF71-$AF72</f>
        <v/>
      </c>
      <c r="BO71" s="82">
        <f>$AG71-$AG72</f>
        <v/>
      </c>
      <c r="BP71" s="82">
        <f>$AJ71-$AJ72</f>
        <v/>
      </c>
    </row>
    <row r="72">
      <c r="AR72" s="81">
        <f>($G72+($H72-$G72)*0.5)+($P72-($O72+($Q72-$O72)*0.5))</f>
        <v/>
      </c>
      <c r="AS72" s="81">
        <f>($J72+($K72-$J72)*0.5)+($T72-($S72+($U72-$S72)*0.5))</f>
        <v/>
      </c>
      <c r="AT72" s="82">
        <f>($J72-$C72)*100</f>
        <v/>
      </c>
      <c r="AU72" s="82">
        <f>($H72-$F72)*100</f>
        <v/>
      </c>
      <c r="AV72" s="82">
        <f>($J72-$F72)*100</f>
        <v/>
      </c>
      <c r="AW72" s="82">
        <f>($L72-$F72)*100</f>
        <v/>
      </c>
      <c r="AX72" s="82">
        <f>($J72-$H72)*100</f>
        <v/>
      </c>
      <c r="AY72" s="82">
        <f>($L72-$H72)*100</f>
        <v/>
      </c>
      <c r="AZ72" s="82">
        <f>($L72-$J72)*100</f>
        <v/>
      </c>
      <c r="BA72" s="82">
        <f>(2*$H72-$F72-$J72)*100</f>
        <v/>
      </c>
      <c r="BB72" s="82">
        <f>(2*$J72-$H72-$L72)*100</f>
        <v/>
      </c>
      <c r="BC72" s="82">
        <f>($N72-$F72)*100</f>
        <v/>
      </c>
      <c r="BD72" s="82">
        <f>($Q72-$H72)*100</f>
        <v/>
      </c>
      <c r="BE72" s="82">
        <f>($S72-$J72)*100</f>
        <v/>
      </c>
      <c r="BF72" s="82">
        <f>($V72-$L72)*100</f>
        <v/>
      </c>
      <c r="BG72" s="82">
        <f>$AG72-$AF72</f>
        <v/>
      </c>
      <c r="BH72" s="81">
        <f>IFERROR($AG72/$AF72,"")</f>
        <v/>
      </c>
      <c r="BI72" s="82">
        <f>$AJ72-$AF72</f>
        <v/>
      </c>
      <c r="BJ72" s="81">
        <f>IFERROR($AJ72/$AG72,"")</f>
        <v/>
      </c>
      <c r="BK72" s="81">
        <f>$X72</f>
        <v/>
      </c>
      <c r="BL72" s="82">
        <f>($J72-$J73)*100</f>
        <v/>
      </c>
      <c r="BM72" s="82">
        <f>($F72-$F73)*100</f>
        <v/>
      </c>
      <c r="BN72" s="82">
        <f>$AF72-$AF73</f>
        <v/>
      </c>
      <c r="BO72" s="82">
        <f>$AG72-$AG73</f>
        <v/>
      </c>
      <c r="BP72" s="82">
        <f>$AJ72-$AJ73</f>
        <v/>
      </c>
    </row>
    <row r="73">
      <c r="AR73" s="81">
        <f>($G73+($H73-$G73)*0.5)+($P73-($O73+($Q73-$O73)*0.5))</f>
        <v/>
      </c>
      <c r="AS73" s="81">
        <f>($J73+($K73-$J73)*0.5)+($T73-($S73+($U73-$S73)*0.5))</f>
        <v/>
      </c>
      <c r="AT73" s="82">
        <f>($J73-$C73)*100</f>
        <v/>
      </c>
      <c r="AU73" s="82">
        <f>($H73-$F73)*100</f>
        <v/>
      </c>
      <c r="AV73" s="82">
        <f>($J73-$F73)*100</f>
        <v/>
      </c>
      <c r="AW73" s="82">
        <f>($L73-$F73)*100</f>
        <v/>
      </c>
      <c r="AX73" s="82">
        <f>($J73-$H73)*100</f>
        <v/>
      </c>
      <c r="AY73" s="82">
        <f>($L73-$H73)*100</f>
        <v/>
      </c>
      <c r="AZ73" s="82">
        <f>($L73-$J73)*100</f>
        <v/>
      </c>
      <c r="BA73" s="82">
        <f>(2*$H73-$F73-$J73)*100</f>
        <v/>
      </c>
      <c r="BB73" s="82">
        <f>(2*$J73-$H73-$L73)*100</f>
        <v/>
      </c>
      <c r="BC73" s="82">
        <f>($N73-$F73)*100</f>
        <v/>
      </c>
      <c r="BD73" s="82">
        <f>($Q73-$H73)*100</f>
        <v/>
      </c>
      <c r="BE73" s="82">
        <f>($S73-$J73)*100</f>
        <v/>
      </c>
      <c r="BF73" s="82">
        <f>($V73-$L73)*100</f>
        <v/>
      </c>
      <c r="BG73" s="82">
        <f>$AG73-$AF73</f>
        <v/>
      </c>
      <c r="BH73" s="81">
        <f>IFERROR($AG73/$AF73,"")</f>
        <v/>
      </c>
      <c r="BI73" s="82">
        <f>$AJ73-$AF73</f>
        <v/>
      </c>
      <c r="BJ73" s="81">
        <f>IFERROR($AJ73/$AG73,"")</f>
        <v/>
      </c>
      <c r="BK73" s="81">
        <f>$X73</f>
        <v/>
      </c>
      <c r="BL73" s="82">
        <f>($J73-$J74)*100</f>
        <v/>
      </c>
      <c r="BM73" s="82">
        <f>($F73-$F74)*100</f>
        <v/>
      </c>
      <c r="BN73" s="82">
        <f>$AF73-$AF74</f>
        <v/>
      </c>
      <c r="BO73" s="82">
        <f>$AG73-$AG74</f>
        <v/>
      </c>
      <c r="BP73" s="82">
        <f>$AJ73-$AJ74</f>
        <v/>
      </c>
    </row>
    <row r="74">
      <c r="AR74" s="81">
        <f>($G74+($H74-$G74)*0.5)+($P74-($O74+($Q74-$O74)*0.5))</f>
        <v/>
      </c>
      <c r="AS74" s="81">
        <f>($J74+($K74-$J74)*0.5)+($T74-($S74+($U74-$S74)*0.5))</f>
        <v/>
      </c>
      <c r="AT74" s="82">
        <f>($J74-$C74)*100</f>
        <v/>
      </c>
      <c r="AU74" s="82">
        <f>($H74-$F74)*100</f>
        <v/>
      </c>
      <c r="AV74" s="82">
        <f>($J74-$F74)*100</f>
        <v/>
      </c>
      <c r="AW74" s="82">
        <f>($L74-$F74)*100</f>
        <v/>
      </c>
      <c r="AX74" s="82">
        <f>($J74-$H74)*100</f>
        <v/>
      </c>
      <c r="AY74" s="82">
        <f>($L74-$H74)*100</f>
        <v/>
      </c>
      <c r="AZ74" s="82">
        <f>($L74-$J74)*100</f>
        <v/>
      </c>
      <c r="BA74" s="82">
        <f>(2*$H74-$F74-$J74)*100</f>
        <v/>
      </c>
      <c r="BB74" s="82">
        <f>(2*$J74-$H74-$L74)*100</f>
        <v/>
      </c>
      <c r="BC74" s="82">
        <f>($N74-$F74)*100</f>
        <v/>
      </c>
      <c r="BD74" s="82">
        <f>($Q74-$H74)*100</f>
        <v/>
      </c>
      <c r="BE74" s="82">
        <f>($S74-$J74)*100</f>
        <v/>
      </c>
      <c r="BF74" s="82">
        <f>($V74-$L74)*100</f>
        <v/>
      </c>
      <c r="BG74" s="82">
        <f>$AG74-$AF74</f>
        <v/>
      </c>
      <c r="BH74" s="81">
        <f>IFERROR($AG74/$AF74,"")</f>
        <v/>
      </c>
      <c r="BI74" s="82">
        <f>$AJ74-$AF74</f>
        <v/>
      </c>
      <c r="BJ74" s="81">
        <f>IFERROR($AJ74/$AG74,"")</f>
        <v/>
      </c>
      <c r="BK74" s="81">
        <f>$X74</f>
        <v/>
      </c>
      <c r="BL74" s="82">
        <f>($J74-$J75)*100</f>
        <v/>
      </c>
      <c r="BM74" s="82">
        <f>($F74-$F75)*100</f>
        <v/>
      </c>
      <c r="BN74" s="82">
        <f>$AF74-$AF75</f>
        <v/>
      </c>
      <c r="BO74" s="82">
        <f>$AG74-$AG75</f>
        <v/>
      </c>
      <c r="BP74" s="82">
        <f>$AJ74-$AJ75</f>
        <v/>
      </c>
    </row>
    <row r="75">
      <c r="AR75" s="81">
        <f>($G75+($H75-$G75)*0.5)+($P75-($O75+($Q75-$O75)*0.5))</f>
        <v/>
      </c>
      <c r="AS75" s="81">
        <f>($J75+($K75-$J75)*0.5)+($T75-($S75+($U75-$S75)*0.5))</f>
        <v/>
      </c>
      <c r="AT75" s="82">
        <f>($J75-$C75)*100</f>
        <v/>
      </c>
      <c r="AU75" s="82">
        <f>($H75-$F75)*100</f>
        <v/>
      </c>
      <c r="AV75" s="82">
        <f>($J75-$F75)*100</f>
        <v/>
      </c>
      <c r="AW75" s="82">
        <f>($L75-$F75)*100</f>
        <v/>
      </c>
      <c r="AX75" s="82">
        <f>($J75-$H75)*100</f>
        <v/>
      </c>
      <c r="AY75" s="82">
        <f>($L75-$H75)*100</f>
        <v/>
      </c>
      <c r="AZ75" s="82">
        <f>($L75-$J75)*100</f>
        <v/>
      </c>
      <c r="BA75" s="82">
        <f>(2*$H75-$F75-$J75)*100</f>
        <v/>
      </c>
      <c r="BB75" s="82">
        <f>(2*$J75-$H75-$L75)*100</f>
        <v/>
      </c>
      <c r="BC75" s="82">
        <f>($N75-$F75)*100</f>
        <v/>
      </c>
      <c r="BD75" s="82">
        <f>($Q75-$H75)*100</f>
        <v/>
      </c>
      <c r="BE75" s="82">
        <f>($S75-$J75)*100</f>
        <v/>
      </c>
      <c r="BF75" s="82">
        <f>($V75-$L75)*100</f>
        <v/>
      </c>
      <c r="BG75" s="82">
        <f>$AG75-$AF75</f>
        <v/>
      </c>
      <c r="BH75" s="81">
        <f>IFERROR($AG75/$AF75,"")</f>
        <v/>
      </c>
      <c r="BI75" s="82">
        <f>$AJ75-$AF75</f>
        <v/>
      </c>
      <c r="BJ75" s="81">
        <f>IFERROR($AJ75/$AG75,"")</f>
        <v/>
      </c>
      <c r="BK75" s="81">
        <f>$X75</f>
        <v/>
      </c>
      <c r="BL75" s="82">
        <f>($J75-$J76)*100</f>
        <v/>
      </c>
      <c r="BM75" s="82">
        <f>($F75-$F76)*100</f>
        <v/>
      </c>
      <c r="BN75" s="82">
        <f>$AF75-$AF76</f>
        <v/>
      </c>
      <c r="BO75" s="82">
        <f>$AG75-$AG76</f>
        <v/>
      </c>
      <c r="BP75" s="82">
        <f>$AJ75-$AJ76</f>
        <v/>
      </c>
    </row>
    <row r="76">
      <c r="AR76" s="81">
        <f>($G76+($H76-$G76)*0.5)+($P76-($O76+($Q76-$O76)*0.5))</f>
        <v/>
      </c>
      <c r="AS76" s="81">
        <f>($J76+($K76-$J76)*0.5)+($T76-($S76+($U76-$S76)*0.5))</f>
        <v/>
      </c>
      <c r="AT76" s="82">
        <f>($J76-$C76)*100</f>
        <v/>
      </c>
      <c r="AU76" s="82">
        <f>($H76-$F76)*100</f>
        <v/>
      </c>
      <c r="AV76" s="82">
        <f>($J76-$F76)*100</f>
        <v/>
      </c>
      <c r="AW76" s="82">
        <f>($L76-$F76)*100</f>
        <v/>
      </c>
      <c r="AX76" s="82">
        <f>($J76-$H76)*100</f>
        <v/>
      </c>
      <c r="AY76" s="82">
        <f>($L76-$H76)*100</f>
        <v/>
      </c>
      <c r="AZ76" s="82">
        <f>($L76-$J76)*100</f>
        <v/>
      </c>
      <c r="BA76" s="82">
        <f>(2*$H76-$F76-$J76)*100</f>
        <v/>
      </c>
      <c r="BB76" s="82">
        <f>(2*$J76-$H76-$L76)*100</f>
        <v/>
      </c>
      <c r="BC76" s="82">
        <f>($N76-$F76)*100</f>
        <v/>
      </c>
      <c r="BD76" s="82">
        <f>($Q76-$H76)*100</f>
        <v/>
      </c>
      <c r="BE76" s="82">
        <f>($S76-$J76)*100</f>
        <v/>
      </c>
      <c r="BF76" s="82">
        <f>($V76-$L76)*100</f>
        <v/>
      </c>
      <c r="BG76" s="82">
        <f>$AG76-$AF76</f>
        <v/>
      </c>
      <c r="BH76" s="81">
        <f>IFERROR($AG76/$AF76,"")</f>
        <v/>
      </c>
      <c r="BI76" s="82">
        <f>$AJ76-$AF76</f>
        <v/>
      </c>
      <c r="BJ76" s="81">
        <f>IFERROR($AJ76/$AG76,"")</f>
        <v/>
      </c>
      <c r="BK76" s="81">
        <f>$X76</f>
        <v/>
      </c>
      <c r="BL76" s="82">
        <f>($J76-$J77)*100</f>
        <v/>
      </c>
      <c r="BM76" s="82">
        <f>($F76-$F77)*100</f>
        <v/>
      </c>
      <c r="BN76" s="82">
        <f>$AF76-$AF77</f>
        <v/>
      </c>
      <c r="BO76" s="82">
        <f>$AG76-$AG77</f>
        <v/>
      </c>
      <c r="BP76" s="82">
        <f>$AJ76-$AJ77</f>
        <v/>
      </c>
    </row>
    <row r="77">
      <c r="AR77" s="81">
        <f>($G77+($H77-$G77)*0.5)+($P77-($O77+($Q77-$O77)*0.5))</f>
        <v/>
      </c>
      <c r="AS77" s="81">
        <f>($J77+($K77-$J77)*0.5)+($T77-($S77+($U77-$S77)*0.5))</f>
        <v/>
      </c>
      <c r="AT77" s="82">
        <f>($J77-$C77)*100</f>
        <v/>
      </c>
      <c r="AU77" s="82">
        <f>($H77-$F77)*100</f>
        <v/>
      </c>
      <c r="AV77" s="82">
        <f>($J77-$F77)*100</f>
        <v/>
      </c>
      <c r="AW77" s="82">
        <f>($L77-$F77)*100</f>
        <v/>
      </c>
      <c r="AX77" s="82">
        <f>($J77-$H77)*100</f>
        <v/>
      </c>
      <c r="AY77" s="82">
        <f>($L77-$H77)*100</f>
        <v/>
      </c>
      <c r="AZ77" s="82">
        <f>($L77-$J77)*100</f>
        <v/>
      </c>
      <c r="BA77" s="82">
        <f>(2*$H77-$F77-$J77)*100</f>
        <v/>
      </c>
      <c r="BB77" s="82">
        <f>(2*$J77-$H77-$L77)*100</f>
        <v/>
      </c>
      <c r="BC77" s="82">
        <f>($N77-$F77)*100</f>
        <v/>
      </c>
      <c r="BD77" s="82">
        <f>($Q77-$H77)*100</f>
        <v/>
      </c>
      <c r="BE77" s="82">
        <f>($S77-$J77)*100</f>
        <v/>
      </c>
      <c r="BF77" s="82">
        <f>($V77-$L77)*100</f>
        <v/>
      </c>
      <c r="BG77" s="82">
        <f>$AG77-$AF77</f>
        <v/>
      </c>
      <c r="BH77" s="81">
        <f>IFERROR($AG77/$AF77,"")</f>
        <v/>
      </c>
      <c r="BI77" s="82">
        <f>$AJ77-$AF77</f>
        <v/>
      </c>
      <c r="BJ77" s="81">
        <f>IFERROR($AJ77/$AG77,"")</f>
        <v/>
      </c>
      <c r="BK77" s="81">
        <f>$X77</f>
        <v/>
      </c>
      <c r="BL77" s="82">
        <f>($J77-$J78)*100</f>
        <v/>
      </c>
      <c r="BM77" s="82">
        <f>($F77-$F78)*100</f>
        <v/>
      </c>
      <c r="BN77" s="82">
        <f>$AF77-$AF78</f>
        <v/>
      </c>
      <c r="BO77" s="82">
        <f>$AG77-$AG78</f>
        <v/>
      </c>
      <c r="BP77" s="82">
        <f>$AJ77-$AJ78</f>
        <v/>
      </c>
    </row>
    <row r="78">
      <c r="AR78" s="81">
        <f>($G78+($H78-$G78)*0.5)+($P78-($O78+($Q78-$O78)*0.5))</f>
        <v/>
      </c>
      <c r="AS78" s="81">
        <f>($J78+($K78-$J78)*0.5)+($T78-($S78+($U78-$S78)*0.5))</f>
        <v/>
      </c>
      <c r="AT78" s="82">
        <f>($J78-$C78)*100</f>
        <v/>
      </c>
      <c r="AU78" s="82">
        <f>($H78-$F78)*100</f>
        <v/>
      </c>
      <c r="AV78" s="82">
        <f>($J78-$F78)*100</f>
        <v/>
      </c>
      <c r="AW78" s="82">
        <f>($L78-$F78)*100</f>
        <v/>
      </c>
      <c r="AX78" s="82">
        <f>($J78-$H78)*100</f>
        <v/>
      </c>
      <c r="AY78" s="82">
        <f>($L78-$H78)*100</f>
        <v/>
      </c>
      <c r="AZ78" s="82">
        <f>($L78-$J78)*100</f>
        <v/>
      </c>
      <c r="BA78" s="82">
        <f>(2*$H78-$F78-$J78)*100</f>
        <v/>
      </c>
      <c r="BB78" s="82">
        <f>(2*$J78-$H78-$L78)*100</f>
        <v/>
      </c>
      <c r="BC78" s="82">
        <f>($N78-$F78)*100</f>
        <v/>
      </c>
      <c r="BD78" s="82">
        <f>($Q78-$H78)*100</f>
        <v/>
      </c>
      <c r="BE78" s="82">
        <f>($S78-$J78)*100</f>
        <v/>
      </c>
      <c r="BF78" s="82">
        <f>($V78-$L78)*100</f>
        <v/>
      </c>
      <c r="BG78" s="82">
        <f>$AG78-$AF78</f>
        <v/>
      </c>
      <c r="BH78" s="81">
        <f>IFERROR($AG78/$AF78,"")</f>
        <v/>
      </c>
      <c r="BI78" s="82">
        <f>$AJ78-$AF78</f>
        <v/>
      </c>
      <c r="BJ78" s="81">
        <f>IFERROR($AJ78/$AG78,"")</f>
        <v/>
      </c>
      <c r="BK78" s="81">
        <f>$X78</f>
        <v/>
      </c>
      <c r="BL78" s="82">
        <f>($J78-$J79)*100</f>
        <v/>
      </c>
      <c r="BM78" s="82">
        <f>($F78-$F79)*100</f>
        <v/>
      </c>
      <c r="BN78" s="82">
        <f>$AF78-$AF79</f>
        <v/>
      </c>
      <c r="BO78" s="82">
        <f>$AG78-$AG79</f>
        <v/>
      </c>
      <c r="BP78" s="82">
        <f>$AJ78-$AJ79</f>
        <v/>
      </c>
    </row>
    <row r="79">
      <c r="AR79" s="81">
        <f>($G79+($H79-$G79)*0.5)+($P79-($O79+($Q79-$O79)*0.5))</f>
        <v/>
      </c>
      <c r="AS79" s="81">
        <f>($J79+($K79-$J79)*0.5)+($T79-($S79+($U79-$S79)*0.5))</f>
        <v/>
      </c>
      <c r="AT79" s="82">
        <f>($J79-$C79)*100</f>
        <v/>
      </c>
      <c r="AU79" s="82">
        <f>($H79-$F79)*100</f>
        <v/>
      </c>
      <c r="AV79" s="82">
        <f>($J79-$F79)*100</f>
        <v/>
      </c>
      <c r="AW79" s="82">
        <f>($L79-$F79)*100</f>
        <v/>
      </c>
      <c r="AX79" s="82">
        <f>($J79-$H79)*100</f>
        <v/>
      </c>
      <c r="AY79" s="82">
        <f>($L79-$H79)*100</f>
        <v/>
      </c>
      <c r="AZ79" s="82">
        <f>($L79-$J79)*100</f>
        <v/>
      </c>
      <c r="BA79" s="82">
        <f>(2*$H79-$F79-$J79)*100</f>
        <v/>
      </c>
      <c r="BB79" s="82">
        <f>(2*$J79-$H79-$L79)*100</f>
        <v/>
      </c>
      <c r="BC79" s="82">
        <f>($N79-$F79)*100</f>
        <v/>
      </c>
      <c r="BD79" s="82">
        <f>($Q79-$H79)*100</f>
        <v/>
      </c>
      <c r="BE79" s="82">
        <f>($S79-$J79)*100</f>
        <v/>
      </c>
      <c r="BF79" s="82">
        <f>($V79-$L79)*100</f>
        <v/>
      </c>
      <c r="BG79" s="82">
        <f>$AG79-$AF79</f>
        <v/>
      </c>
      <c r="BH79" s="81">
        <f>IFERROR($AG79/$AF79,"")</f>
        <v/>
      </c>
      <c r="BI79" s="82">
        <f>$AJ79-$AF79</f>
        <v/>
      </c>
      <c r="BJ79" s="81">
        <f>IFERROR($AJ79/$AG79,"")</f>
        <v/>
      </c>
      <c r="BK79" s="81">
        <f>$X79</f>
        <v/>
      </c>
      <c r="BL79" s="82">
        <f>($J79-$J80)*100</f>
        <v/>
      </c>
      <c r="BM79" s="82">
        <f>($F79-$F80)*100</f>
        <v/>
      </c>
      <c r="BN79" s="82">
        <f>$AF79-$AF80</f>
        <v/>
      </c>
      <c r="BO79" s="82">
        <f>$AG79-$AG80</f>
        <v/>
      </c>
      <c r="BP79" s="82">
        <f>$AJ79-$AJ80</f>
        <v/>
      </c>
    </row>
    <row r="80">
      <c r="AR80" s="81">
        <f>($G80+($H80-$G80)*0.5)+($P80-($O80+($Q80-$O80)*0.5))</f>
        <v/>
      </c>
      <c r="AS80" s="81">
        <f>($J80+($K80-$J80)*0.5)+($T80-($S80+($U80-$S80)*0.5))</f>
        <v/>
      </c>
      <c r="AT80" s="82">
        <f>($J80-$C80)*100</f>
        <v/>
      </c>
      <c r="AU80" s="82">
        <f>($H80-$F80)*100</f>
        <v/>
      </c>
      <c r="AV80" s="82">
        <f>($J80-$F80)*100</f>
        <v/>
      </c>
      <c r="AW80" s="82">
        <f>($L80-$F80)*100</f>
        <v/>
      </c>
      <c r="AX80" s="82">
        <f>($J80-$H80)*100</f>
        <v/>
      </c>
      <c r="AY80" s="82">
        <f>($L80-$H80)*100</f>
        <v/>
      </c>
      <c r="AZ80" s="82">
        <f>($L80-$J80)*100</f>
        <v/>
      </c>
      <c r="BA80" s="82">
        <f>(2*$H80-$F80-$J80)*100</f>
        <v/>
      </c>
      <c r="BB80" s="82">
        <f>(2*$J80-$H80-$L80)*100</f>
        <v/>
      </c>
      <c r="BC80" s="82">
        <f>($N80-$F80)*100</f>
        <v/>
      </c>
      <c r="BD80" s="82">
        <f>($Q80-$H80)*100</f>
        <v/>
      </c>
      <c r="BE80" s="82">
        <f>($S80-$J80)*100</f>
        <v/>
      </c>
      <c r="BF80" s="82">
        <f>($V80-$L80)*100</f>
        <v/>
      </c>
      <c r="BG80" s="82">
        <f>$AG80-$AF80</f>
        <v/>
      </c>
      <c r="BH80" s="81">
        <f>IFERROR($AG80/$AF80,"")</f>
        <v/>
      </c>
      <c r="BI80" s="82">
        <f>$AJ80-$AF80</f>
        <v/>
      </c>
      <c r="BJ80" s="81">
        <f>IFERROR($AJ80/$AG80,"")</f>
        <v/>
      </c>
      <c r="BK80" s="81">
        <f>$X80</f>
        <v/>
      </c>
      <c r="BL80" s="82">
        <f>($J80-$J81)*100</f>
        <v/>
      </c>
      <c r="BM80" s="82">
        <f>($F80-$F81)*100</f>
        <v/>
      </c>
      <c r="BN80" s="82">
        <f>$AF80-$AF81</f>
        <v/>
      </c>
      <c r="BO80" s="82">
        <f>$AG80-$AG81</f>
        <v/>
      </c>
      <c r="BP80" s="82">
        <f>$AJ80-$AJ81</f>
        <v/>
      </c>
    </row>
    <row r="81">
      <c r="AR81" s="81">
        <f>($G81+($H81-$G81)*0.5)+($P81-($O81+($Q81-$O81)*0.5))</f>
        <v/>
      </c>
      <c r="AS81" s="81">
        <f>($J81+($K81-$J81)*0.5)+($T81-($S81+($U81-$S81)*0.5))</f>
        <v/>
      </c>
      <c r="AT81" s="82">
        <f>($J81-$C81)*100</f>
        <v/>
      </c>
      <c r="AU81" s="82">
        <f>($H81-$F81)*100</f>
        <v/>
      </c>
      <c r="AV81" s="82">
        <f>($J81-$F81)*100</f>
        <v/>
      </c>
      <c r="AW81" s="82">
        <f>($L81-$F81)*100</f>
        <v/>
      </c>
      <c r="AX81" s="82">
        <f>($J81-$H81)*100</f>
        <v/>
      </c>
      <c r="AY81" s="82">
        <f>($L81-$H81)*100</f>
        <v/>
      </c>
      <c r="AZ81" s="82">
        <f>($L81-$J81)*100</f>
        <v/>
      </c>
      <c r="BA81" s="82">
        <f>(2*$H81-$F81-$J81)*100</f>
        <v/>
      </c>
      <c r="BB81" s="82">
        <f>(2*$J81-$H81-$L81)*100</f>
        <v/>
      </c>
      <c r="BC81" s="82">
        <f>($N81-$F81)*100</f>
        <v/>
      </c>
      <c r="BD81" s="82">
        <f>($Q81-$H81)*100</f>
        <v/>
      </c>
      <c r="BE81" s="82">
        <f>($S81-$J81)*100</f>
        <v/>
      </c>
      <c r="BF81" s="82">
        <f>($V81-$L81)*100</f>
        <v/>
      </c>
      <c r="BG81" s="82">
        <f>$AG81-$AF81</f>
        <v/>
      </c>
      <c r="BH81" s="81">
        <f>IFERROR($AG81/$AF81,"")</f>
        <v/>
      </c>
      <c r="BI81" s="82">
        <f>$AJ81-$AF81</f>
        <v/>
      </c>
      <c r="BJ81" s="81">
        <f>IFERROR($AJ81/$AG81,"")</f>
        <v/>
      </c>
      <c r="BK81" s="81">
        <f>$X81</f>
        <v/>
      </c>
      <c r="BL81" s="82">
        <f>($J81-$J82)*100</f>
        <v/>
      </c>
      <c r="BM81" s="82">
        <f>($F81-$F82)*100</f>
        <v/>
      </c>
      <c r="BN81" s="82">
        <f>$AF81-$AF82</f>
        <v/>
      </c>
      <c r="BO81" s="82">
        <f>$AG81-$AG82</f>
        <v/>
      </c>
      <c r="BP81" s="82">
        <f>$AJ81-$AJ82</f>
        <v/>
      </c>
    </row>
    <row r="82">
      <c r="AR82" s="81">
        <f>($G82+($H82-$G82)*0.5)+($P82-($O82+($Q82-$O82)*0.5))</f>
        <v/>
      </c>
      <c r="AS82" s="81">
        <f>($J82+($K82-$J82)*0.5)+($T82-($S82+($U82-$S82)*0.5))</f>
        <v/>
      </c>
      <c r="AT82" s="82">
        <f>($J82-$C82)*100</f>
        <v/>
      </c>
      <c r="AU82" s="82">
        <f>($H82-$F82)*100</f>
        <v/>
      </c>
      <c r="AV82" s="82">
        <f>($J82-$F82)*100</f>
        <v/>
      </c>
      <c r="AW82" s="82">
        <f>($L82-$F82)*100</f>
        <v/>
      </c>
      <c r="AX82" s="82">
        <f>($J82-$H82)*100</f>
        <v/>
      </c>
      <c r="AY82" s="82">
        <f>($L82-$H82)*100</f>
        <v/>
      </c>
      <c r="AZ82" s="82">
        <f>($L82-$J82)*100</f>
        <v/>
      </c>
      <c r="BA82" s="82">
        <f>(2*$H82-$F82-$J82)*100</f>
        <v/>
      </c>
      <c r="BB82" s="82">
        <f>(2*$J82-$H82-$L82)*100</f>
        <v/>
      </c>
      <c r="BC82" s="82">
        <f>($N82-$F82)*100</f>
        <v/>
      </c>
      <c r="BD82" s="82">
        <f>($Q82-$H82)*100</f>
        <v/>
      </c>
      <c r="BE82" s="82">
        <f>($S82-$J82)*100</f>
        <v/>
      </c>
      <c r="BF82" s="82">
        <f>($V82-$L82)*100</f>
        <v/>
      </c>
      <c r="BG82" s="82">
        <f>$AG82-$AF82</f>
        <v/>
      </c>
      <c r="BH82" s="81">
        <f>IFERROR($AG82/$AF82,"")</f>
        <v/>
      </c>
      <c r="BI82" s="82">
        <f>$AJ82-$AF82</f>
        <v/>
      </c>
      <c r="BJ82" s="81">
        <f>IFERROR($AJ82/$AG82,"")</f>
        <v/>
      </c>
      <c r="BK82" s="81">
        <f>$X82</f>
        <v/>
      </c>
      <c r="BL82" s="82">
        <f>($J82-$J83)*100</f>
        <v/>
      </c>
      <c r="BM82" s="82">
        <f>($F82-$F83)*100</f>
        <v/>
      </c>
      <c r="BN82" s="82">
        <f>$AF82-$AF83</f>
        <v/>
      </c>
      <c r="BO82" s="82">
        <f>$AG82-$AG83</f>
        <v/>
      </c>
      <c r="BP82" s="82">
        <f>$AJ82-$AJ83</f>
        <v/>
      </c>
    </row>
    <row r="83">
      <c r="AR83" s="81">
        <f>($G83+($H83-$G83)*0.5)+($P83-($O83+($Q83-$O83)*0.5))</f>
        <v/>
      </c>
      <c r="AS83" s="81">
        <f>($J83+($K83-$J83)*0.5)+($T83-($S83+($U83-$S83)*0.5))</f>
        <v/>
      </c>
      <c r="AT83" s="82">
        <f>($J83-$C83)*100</f>
        <v/>
      </c>
      <c r="AU83" s="82">
        <f>($H83-$F83)*100</f>
        <v/>
      </c>
      <c r="AV83" s="82">
        <f>($J83-$F83)*100</f>
        <v/>
      </c>
      <c r="AW83" s="82">
        <f>($L83-$F83)*100</f>
        <v/>
      </c>
      <c r="AX83" s="82">
        <f>($J83-$H83)*100</f>
        <v/>
      </c>
      <c r="AY83" s="82">
        <f>($L83-$H83)*100</f>
        <v/>
      </c>
      <c r="AZ83" s="82">
        <f>($L83-$J83)*100</f>
        <v/>
      </c>
      <c r="BA83" s="82">
        <f>(2*$H83-$F83-$J83)*100</f>
        <v/>
      </c>
      <c r="BB83" s="82">
        <f>(2*$J83-$H83-$L83)*100</f>
        <v/>
      </c>
      <c r="BC83" s="82">
        <f>($N83-$F83)*100</f>
        <v/>
      </c>
      <c r="BD83" s="82">
        <f>($Q83-$H83)*100</f>
        <v/>
      </c>
      <c r="BE83" s="82">
        <f>($S83-$J83)*100</f>
        <v/>
      </c>
      <c r="BF83" s="82">
        <f>($V83-$L83)*100</f>
        <v/>
      </c>
      <c r="BG83" s="82">
        <f>$AG83-$AF83</f>
        <v/>
      </c>
      <c r="BH83" s="81">
        <f>IFERROR($AG83/$AF83,"")</f>
        <v/>
      </c>
      <c r="BI83" s="82">
        <f>$AJ83-$AF83</f>
        <v/>
      </c>
      <c r="BJ83" s="81">
        <f>IFERROR($AJ83/$AG83,"")</f>
        <v/>
      </c>
      <c r="BK83" s="81">
        <f>$X83</f>
        <v/>
      </c>
      <c r="BL83" s="82">
        <f>($J83-$J84)*100</f>
        <v/>
      </c>
      <c r="BM83" s="82">
        <f>($F83-$F84)*100</f>
        <v/>
      </c>
      <c r="BN83" s="82">
        <f>$AF83-$AF84</f>
        <v/>
      </c>
      <c r="BO83" s="82">
        <f>$AG83-$AG84</f>
        <v/>
      </c>
      <c r="BP83" s="82">
        <f>$AJ83-$AJ84</f>
        <v/>
      </c>
    </row>
    <row r="84">
      <c r="AR84" s="81">
        <f>($G84+($H84-$G84)*0.5)+($P84-($O84+($Q84-$O84)*0.5))</f>
        <v/>
      </c>
      <c r="AS84" s="81">
        <f>($J84+($K84-$J84)*0.5)+($T84-($S84+($U84-$S84)*0.5))</f>
        <v/>
      </c>
      <c r="AT84" s="82">
        <f>($J84-$C84)*100</f>
        <v/>
      </c>
      <c r="AU84" s="82">
        <f>($H84-$F84)*100</f>
        <v/>
      </c>
      <c r="AV84" s="82">
        <f>($J84-$F84)*100</f>
        <v/>
      </c>
      <c r="AW84" s="82">
        <f>($L84-$F84)*100</f>
        <v/>
      </c>
      <c r="AX84" s="82">
        <f>($J84-$H84)*100</f>
        <v/>
      </c>
      <c r="AY84" s="82">
        <f>($L84-$H84)*100</f>
        <v/>
      </c>
      <c r="AZ84" s="82">
        <f>($L84-$J84)*100</f>
        <v/>
      </c>
      <c r="BA84" s="82">
        <f>(2*$H84-$F84-$J84)*100</f>
        <v/>
      </c>
      <c r="BB84" s="82">
        <f>(2*$J84-$H84-$L84)*100</f>
        <v/>
      </c>
      <c r="BC84" s="82">
        <f>($N84-$F84)*100</f>
        <v/>
      </c>
      <c r="BD84" s="82">
        <f>($Q84-$H84)*100</f>
        <v/>
      </c>
      <c r="BE84" s="82">
        <f>($S84-$J84)*100</f>
        <v/>
      </c>
      <c r="BF84" s="82">
        <f>($V84-$L84)*100</f>
        <v/>
      </c>
      <c r="BG84" s="82">
        <f>$AG84-$AF84</f>
        <v/>
      </c>
      <c r="BH84" s="81">
        <f>IFERROR($AG84/$AF84,"")</f>
        <v/>
      </c>
      <c r="BI84" s="82">
        <f>$AJ84-$AF84</f>
        <v/>
      </c>
      <c r="BJ84" s="81">
        <f>IFERROR($AJ84/$AG84,"")</f>
        <v/>
      </c>
      <c r="BK84" s="81">
        <f>$X84</f>
        <v/>
      </c>
      <c r="BL84" s="82">
        <f>($J84-$J85)*100</f>
        <v/>
      </c>
      <c r="BM84" s="82">
        <f>($F84-$F85)*100</f>
        <v/>
      </c>
      <c r="BN84" s="82">
        <f>$AF84-$AF85</f>
        <v/>
      </c>
      <c r="BO84" s="82">
        <f>$AG84-$AG85</f>
        <v/>
      </c>
      <c r="BP84" s="82">
        <f>$AJ84-$AJ85</f>
        <v/>
      </c>
    </row>
    <row r="85">
      <c r="AR85" s="81">
        <f>($G85+($H85-$G85)*0.5)+($P85-($O85+($Q85-$O85)*0.5))</f>
        <v/>
      </c>
      <c r="AS85" s="81">
        <f>($J85+($K85-$J85)*0.5)+($T85-($S85+($U85-$S85)*0.5))</f>
        <v/>
      </c>
      <c r="AT85" s="82">
        <f>($J85-$C85)*100</f>
        <v/>
      </c>
      <c r="AU85" s="82">
        <f>($H85-$F85)*100</f>
        <v/>
      </c>
      <c r="AV85" s="82">
        <f>($J85-$F85)*100</f>
        <v/>
      </c>
      <c r="AW85" s="82">
        <f>($L85-$F85)*100</f>
        <v/>
      </c>
      <c r="AX85" s="82">
        <f>($J85-$H85)*100</f>
        <v/>
      </c>
      <c r="AY85" s="82">
        <f>($L85-$H85)*100</f>
        <v/>
      </c>
      <c r="AZ85" s="82">
        <f>($L85-$J85)*100</f>
        <v/>
      </c>
      <c r="BA85" s="82">
        <f>(2*$H85-$F85-$J85)*100</f>
        <v/>
      </c>
      <c r="BB85" s="82">
        <f>(2*$J85-$H85-$L85)*100</f>
        <v/>
      </c>
      <c r="BC85" s="82">
        <f>($N85-$F85)*100</f>
        <v/>
      </c>
      <c r="BD85" s="82">
        <f>($Q85-$H85)*100</f>
        <v/>
      </c>
      <c r="BE85" s="82">
        <f>($S85-$J85)*100</f>
        <v/>
      </c>
      <c r="BF85" s="82">
        <f>($V85-$L85)*100</f>
        <v/>
      </c>
      <c r="BG85" s="82">
        <f>$AG85-$AF85</f>
        <v/>
      </c>
      <c r="BH85" s="81">
        <f>IFERROR($AG85/$AF85,"")</f>
        <v/>
      </c>
      <c r="BI85" s="82">
        <f>$AJ85-$AF85</f>
        <v/>
      </c>
      <c r="BJ85" s="81">
        <f>IFERROR($AJ85/$AG85,"")</f>
        <v/>
      </c>
      <c r="BK85" s="81">
        <f>$X85</f>
        <v/>
      </c>
      <c r="BL85" s="82">
        <f>($J85-$J86)*100</f>
        <v/>
      </c>
      <c r="BM85" s="82">
        <f>($F85-$F86)*100</f>
        <v/>
      </c>
      <c r="BN85" s="82">
        <f>$AF85-$AF86</f>
        <v/>
      </c>
      <c r="BO85" s="82">
        <f>$AG85-$AG86</f>
        <v/>
      </c>
      <c r="BP85" s="82">
        <f>$AJ85-$AJ86</f>
        <v/>
      </c>
    </row>
    <row r="86">
      <c r="AR86" s="81">
        <f>($G86+($H86-$G86)*0.5)+($P86-($O86+($Q86-$O86)*0.5))</f>
        <v/>
      </c>
      <c r="AS86" s="81">
        <f>($J86+($K86-$J86)*0.5)+($T86-($S86+($U86-$S86)*0.5))</f>
        <v/>
      </c>
      <c r="AT86" s="82">
        <f>($J86-$C86)*100</f>
        <v/>
      </c>
      <c r="AU86" s="82">
        <f>($H86-$F86)*100</f>
        <v/>
      </c>
      <c r="AV86" s="82">
        <f>($J86-$F86)*100</f>
        <v/>
      </c>
      <c r="AW86" s="82">
        <f>($L86-$F86)*100</f>
        <v/>
      </c>
      <c r="AX86" s="82">
        <f>($J86-$H86)*100</f>
        <v/>
      </c>
      <c r="AY86" s="82">
        <f>($L86-$H86)*100</f>
        <v/>
      </c>
      <c r="AZ86" s="82">
        <f>($L86-$J86)*100</f>
        <v/>
      </c>
      <c r="BA86" s="82">
        <f>(2*$H86-$F86-$J86)*100</f>
        <v/>
      </c>
      <c r="BB86" s="82">
        <f>(2*$J86-$H86-$L86)*100</f>
        <v/>
      </c>
      <c r="BC86" s="82">
        <f>($N86-$F86)*100</f>
        <v/>
      </c>
      <c r="BD86" s="82">
        <f>($Q86-$H86)*100</f>
        <v/>
      </c>
      <c r="BE86" s="82">
        <f>($S86-$J86)*100</f>
        <v/>
      </c>
      <c r="BF86" s="82">
        <f>($V86-$L86)*100</f>
        <v/>
      </c>
      <c r="BG86" s="82">
        <f>$AG86-$AF86</f>
        <v/>
      </c>
      <c r="BH86" s="81">
        <f>IFERROR($AG86/$AF86,"")</f>
        <v/>
      </c>
      <c r="BI86" s="82">
        <f>$AJ86-$AF86</f>
        <v/>
      </c>
      <c r="BJ86" s="81">
        <f>IFERROR($AJ86/$AG86,"")</f>
        <v/>
      </c>
      <c r="BK86" s="81">
        <f>$X86</f>
        <v/>
      </c>
      <c r="BL86" s="82">
        <f>($J86-$J87)*100</f>
        <v/>
      </c>
      <c r="BM86" s="82">
        <f>($F86-$F87)*100</f>
        <v/>
      </c>
      <c r="BN86" s="82">
        <f>$AF86-$AF87</f>
        <v/>
      </c>
      <c r="BO86" s="82">
        <f>$AG86-$AG87</f>
        <v/>
      </c>
      <c r="BP86" s="82">
        <f>$AJ86-$AJ87</f>
        <v/>
      </c>
    </row>
    <row r="87">
      <c r="AR87" s="81">
        <f>($G87+($H87-$G87)*0.5)+($P87-($O87+($Q87-$O87)*0.5))</f>
        <v/>
      </c>
      <c r="AS87" s="81">
        <f>($J87+($K87-$J87)*0.5)+($T87-($S87+($U87-$S87)*0.5))</f>
        <v/>
      </c>
      <c r="AT87" s="82">
        <f>($J87-$C87)*100</f>
        <v/>
      </c>
      <c r="AU87" s="82">
        <f>($H87-$F87)*100</f>
        <v/>
      </c>
      <c r="AV87" s="82">
        <f>($J87-$F87)*100</f>
        <v/>
      </c>
      <c r="AW87" s="82">
        <f>($L87-$F87)*100</f>
        <v/>
      </c>
      <c r="AX87" s="82">
        <f>($J87-$H87)*100</f>
        <v/>
      </c>
      <c r="AY87" s="82">
        <f>($L87-$H87)*100</f>
        <v/>
      </c>
      <c r="AZ87" s="82">
        <f>($L87-$J87)*100</f>
        <v/>
      </c>
      <c r="BA87" s="82">
        <f>(2*$H87-$F87-$J87)*100</f>
        <v/>
      </c>
      <c r="BB87" s="82">
        <f>(2*$J87-$H87-$L87)*100</f>
        <v/>
      </c>
      <c r="BC87" s="82">
        <f>($N87-$F87)*100</f>
        <v/>
      </c>
      <c r="BD87" s="82">
        <f>($Q87-$H87)*100</f>
        <v/>
      </c>
      <c r="BE87" s="82">
        <f>($S87-$J87)*100</f>
        <v/>
      </c>
      <c r="BF87" s="82">
        <f>($V87-$L87)*100</f>
        <v/>
      </c>
      <c r="BG87" s="82">
        <f>$AG87-$AF87</f>
        <v/>
      </c>
      <c r="BH87" s="81">
        <f>IFERROR($AG87/$AF87,"")</f>
        <v/>
      </c>
      <c r="BI87" s="82">
        <f>$AJ87-$AF87</f>
        <v/>
      </c>
      <c r="BJ87" s="81">
        <f>IFERROR($AJ87/$AG87,"")</f>
        <v/>
      </c>
      <c r="BK87" s="81">
        <f>$X87</f>
        <v/>
      </c>
      <c r="BL87" s="82">
        <f>($J87-$J88)*100</f>
        <v/>
      </c>
      <c r="BM87" s="82">
        <f>($F87-$F88)*100</f>
        <v/>
      </c>
      <c r="BN87" s="82">
        <f>$AF87-$AF88</f>
        <v/>
      </c>
      <c r="BO87" s="82">
        <f>$AG87-$AG88</f>
        <v/>
      </c>
      <c r="BP87" s="82">
        <f>$AJ87-$AJ88</f>
        <v/>
      </c>
    </row>
    <row r="88">
      <c r="AR88" s="81">
        <f>($G88+($H88-$G88)*0.5)+($P88-($O88+($Q88-$O88)*0.5))</f>
        <v/>
      </c>
      <c r="AS88" s="81">
        <f>($J88+($K88-$J88)*0.5)+($T88-($S88+($U88-$S88)*0.5))</f>
        <v/>
      </c>
      <c r="AT88" s="82">
        <f>($J88-$C88)*100</f>
        <v/>
      </c>
      <c r="AU88" s="82">
        <f>($H88-$F88)*100</f>
        <v/>
      </c>
      <c r="AV88" s="82">
        <f>($J88-$F88)*100</f>
        <v/>
      </c>
      <c r="AW88" s="82">
        <f>($L88-$F88)*100</f>
        <v/>
      </c>
      <c r="AX88" s="82">
        <f>($J88-$H88)*100</f>
        <v/>
      </c>
      <c r="AY88" s="82">
        <f>($L88-$H88)*100</f>
        <v/>
      </c>
      <c r="AZ88" s="82">
        <f>($L88-$J88)*100</f>
        <v/>
      </c>
      <c r="BA88" s="82">
        <f>(2*$H88-$F88-$J88)*100</f>
        <v/>
      </c>
      <c r="BB88" s="82">
        <f>(2*$J88-$H88-$L88)*100</f>
        <v/>
      </c>
      <c r="BC88" s="82">
        <f>($N88-$F88)*100</f>
        <v/>
      </c>
      <c r="BD88" s="82">
        <f>($Q88-$H88)*100</f>
        <v/>
      </c>
      <c r="BE88" s="82">
        <f>($S88-$J88)*100</f>
        <v/>
      </c>
      <c r="BF88" s="82">
        <f>($V88-$L88)*100</f>
        <v/>
      </c>
      <c r="BG88" s="82">
        <f>$AG88-$AF88</f>
        <v/>
      </c>
      <c r="BH88" s="81">
        <f>IFERROR($AG88/$AF88,"")</f>
        <v/>
      </c>
      <c r="BI88" s="82">
        <f>$AJ88-$AF88</f>
        <v/>
      </c>
      <c r="BJ88" s="81">
        <f>IFERROR($AJ88/$AG88,"")</f>
        <v/>
      </c>
      <c r="BK88" s="81">
        <f>$X88</f>
        <v/>
      </c>
      <c r="BL88" s="82">
        <f>($J88-$J89)*100</f>
        <v/>
      </c>
      <c r="BM88" s="82">
        <f>($F88-$F89)*100</f>
        <v/>
      </c>
      <c r="BN88" s="82">
        <f>$AF88-$AF89</f>
        <v/>
      </c>
      <c r="BO88" s="82">
        <f>$AG88-$AG89</f>
        <v/>
      </c>
      <c r="BP88" s="82">
        <f>$AJ88-$AJ89</f>
        <v/>
      </c>
    </row>
    <row r="89">
      <c r="AR89" s="81">
        <f>($G89+($H89-$G89)*0.5)+($P89-($O89+($Q89-$O89)*0.5))</f>
        <v/>
      </c>
      <c r="AS89" s="81">
        <f>($J89+($K89-$J89)*0.5)+($T89-($S89+($U89-$S89)*0.5))</f>
        <v/>
      </c>
      <c r="AT89" s="82">
        <f>($J89-$C89)*100</f>
        <v/>
      </c>
      <c r="AU89" s="82">
        <f>($H89-$F89)*100</f>
        <v/>
      </c>
      <c r="AV89" s="82">
        <f>($J89-$F89)*100</f>
        <v/>
      </c>
      <c r="AW89" s="82">
        <f>($L89-$F89)*100</f>
        <v/>
      </c>
      <c r="AX89" s="82">
        <f>($J89-$H89)*100</f>
        <v/>
      </c>
      <c r="AY89" s="82">
        <f>($L89-$H89)*100</f>
        <v/>
      </c>
      <c r="AZ89" s="82">
        <f>($L89-$J89)*100</f>
        <v/>
      </c>
      <c r="BA89" s="82">
        <f>(2*$H89-$F89-$J89)*100</f>
        <v/>
      </c>
      <c r="BB89" s="82">
        <f>(2*$J89-$H89-$L89)*100</f>
        <v/>
      </c>
      <c r="BC89" s="82">
        <f>($N89-$F89)*100</f>
        <v/>
      </c>
      <c r="BD89" s="82">
        <f>($Q89-$H89)*100</f>
        <v/>
      </c>
      <c r="BE89" s="82">
        <f>($S89-$J89)*100</f>
        <v/>
      </c>
      <c r="BF89" s="82">
        <f>($V89-$L89)*100</f>
        <v/>
      </c>
      <c r="BG89" s="82">
        <f>$AG89-$AF89</f>
        <v/>
      </c>
      <c r="BH89" s="81">
        <f>IFERROR($AG89/$AF89,"")</f>
        <v/>
      </c>
      <c r="BI89" s="82">
        <f>$AJ89-$AF89</f>
        <v/>
      </c>
      <c r="BJ89" s="81">
        <f>IFERROR($AJ89/$AG89,"")</f>
        <v/>
      </c>
      <c r="BK89" s="81">
        <f>$X89</f>
        <v/>
      </c>
      <c r="BL89" s="82">
        <f>($J89-$J90)*100</f>
        <v/>
      </c>
      <c r="BM89" s="82">
        <f>($F89-$F90)*100</f>
        <v/>
      </c>
      <c r="BN89" s="82">
        <f>$AF89-$AF90</f>
        <v/>
      </c>
      <c r="BO89" s="82">
        <f>$AG89-$AG90</f>
        <v/>
      </c>
      <c r="BP89" s="82">
        <f>$AJ89-$AJ90</f>
        <v/>
      </c>
    </row>
    <row r="90">
      <c r="AR90" s="81">
        <f>($G90+($H90-$G90)*0.5)+($P90-($O90+($Q90-$O90)*0.5))</f>
        <v/>
      </c>
      <c r="AS90" s="81">
        <f>($J90+($K90-$J90)*0.5)+($T90-($S90+($U90-$S90)*0.5))</f>
        <v/>
      </c>
      <c r="AT90" s="82">
        <f>($J90-$C90)*100</f>
        <v/>
      </c>
      <c r="AU90" s="82">
        <f>($H90-$F90)*100</f>
        <v/>
      </c>
      <c r="AV90" s="82">
        <f>($J90-$F90)*100</f>
        <v/>
      </c>
      <c r="AW90" s="82">
        <f>($L90-$F90)*100</f>
        <v/>
      </c>
      <c r="AX90" s="82">
        <f>($J90-$H90)*100</f>
        <v/>
      </c>
      <c r="AY90" s="82">
        <f>($L90-$H90)*100</f>
        <v/>
      </c>
      <c r="AZ90" s="82">
        <f>($L90-$J90)*100</f>
        <v/>
      </c>
      <c r="BA90" s="82">
        <f>(2*$H90-$F90-$J90)*100</f>
        <v/>
      </c>
      <c r="BB90" s="82">
        <f>(2*$J90-$H90-$L90)*100</f>
        <v/>
      </c>
      <c r="BC90" s="82">
        <f>($N90-$F90)*100</f>
        <v/>
      </c>
      <c r="BD90" s="82">
        <f>($Q90-$H90)*100</f>
        <v/>
      </c>
      <c r="BE90" s="82">
        <f>($S90-$J90)*100</f>
        <v/>
      </c>
      <c r="BF90" s="82">
        <f>($V90-$L90)*100</f>
        <v/>
      </c>
      <c r="BG90" s="82">
        <f>$AG90-$AF90</f>
        <v/>
      </c>
      <c r="BH90" s="81">
        <f>IFERROR($AG90/$AF90,"")</f>
        <v/>
      </c>
      <c r="BI90" s="82">
        <f>$AJ90-$AF90</f>
        <v/>
      </c>
      <c r="BJ90" s="81">
        <f>IFERROR($AJ90/$AG90,"")</f>
        <v/>
      </c>
      <c r="BK90" s="81">
        <f>$X90</f>
        <v/>
      </c>
      <c r="BL90" s="82">
        <f>($J90-$J91)*100</f>
        <v/>
      </c>
      <c r="BM90" s="82">
        <f>($F90-$F91)*100</f>
        <v/>
      </c>
      <c r="BN90" s="82">
        <f>$AF90-$AF91</f>
        <v/>
      </c>
      <c r="BO90" s="82">
        <f>$AG90-$AG91</f>
        <v/>
      </c>
      <c r="BP90" s="82">
        <f>$AJ90-$AJ91</f>
        <v/>
      </c>
    </row>
    <row r="91">
      <c r="AR91" s="81">
        <f>($G91+($H91-$G91)*0.5)+($P91-($O91+($Q91-$O91)*0.5))</f>
        <v/>
      </c>
      <c r="AS91" s="81">
        <f>($J91+($K91-$J91)*0.5)+($T91-($S91+($U91-$S91)*0.5))</f>
        <v/>
      </c>
      <c r="AT91" s="82">
        <f>($J91-$C91)*100</f>
        <v/>
      </c>
      <c r="AU91" s="82">
        <f>($H91-$F91)*100</f>
        <v/>
      </c>
      <c r="AV91" s="82">
        <f>($J91-$F91)*100</f>
        <v/>
      </c>
      <c r="AW91" s="82">
        <f>($L91-$F91)*100</f>
        <v/>
      </c>
      <c r="AX91" s="82">
        <f>($J91-$H91)*100</f>
        <v/>
      </c>
      <c r="AY91" s="82">
        <f>($L91-$H91)*100</f>
        <v/>
      </c>
      <c r="AZ91" s="82">
        <f>($L91-$J91)*100</f>
        <v/>
      </c>
      <c r="BA91" s="82">
        <f>(2*$H91-$F91-$J91)*100</f>
        <v/>
      </c>
      <c r="BB91" s="82">
        <f>(2*$J91-$H91-$L91)*100</f>
        <v/>
      </c>
      <c r="BC91" s="82">
        <f>($N91-$F91)*100</f>
        <v/>
      </c>
      <c r="BD91" s="82">
        <f>($Q91-$H91)*100</f>
        <v/>
      </c>
      <c r="BE91" s="82">
        <f>($S91-$J91)*100</f>
        <v/>
      </c>
      <c r="BF91" s="82">
        <f>($V91-$L91)*100</f>
        <v/>
      </c>
      <c r="BG91" s="82">
        <f>$AG91-$AF91</f>
        <v/>
      </c>
      <c r="BH91" s="81">
        <f>IFERROR($AG91/$AF91,"")</f>
        <v/>
      </c>
      <c r="BI91" s="82">
        <f>$AJ91-$AF91</f>
        <v/>
      </c>
      <c r="BJ91" s="81">
        <f>IFERROR($AJ91/$AG91,"")</f>
        <v/>
      </c>
      <c r="BK91" s="81">
        <f>$X91</f>
        <v/>
      </c>
      <c r="BL91" s="82">
        <f>($J91-$J92)*100</f>
        <v/>
      </c>
      <c r="BM91" s="82">
        <f>($F91-$F92)*100</f>
        <v/>
      </c>
      <c r="BN91" s="82">
        <f>$AF91-$AF92</f>
        <v/>
      </c>
      <c r="BO91" s="82">
        <f>$AG91-$AG92</f>
        <v/>
      </c>
      <c r="BP91" s="82">
        <f>$AJ91-$AJ92</f>
        <v/>
      </c>
    </row>
    <row r="92">
      <c r="AR92" s="81">
        <f>($G92+($H92-$G92)*0.5)+($P92-($O92+($Q92-$O92)*0.5))</f>
        <v/>
      </c>
      <c r="AS92" s="81">
        <f>($J92+($K92-$J92)*0.5)+($T92-($S92+($U92-$S92)*0.5))</f>
        <v/>
      </c>
      <c r="AT92" s="82">
        <f>($J92-$C92)*100</f>
        <v/>
      </c>
      <c r="AU92" s="82">
        <f>($H92-$F92)*100</f>
        <v/>
      </c>
      <c r="AV92" s="82">
        <f>($J92-$F92)*100</f>
        <v/>
      </c>
      <c r="AW92" s="82">
        <f>($L92-$F92)*100</f>
        <v/>
      </c>
      <c r="AX92" s="82">
        <f>($J92-$H92)*100</f>
        <v/>
      </c>
      <c r="AY92" s="82">
        <f>($L92-$H92)*100</f>
        <v/>
      </c>
      <c r="AZ92" s="82">
        <f>($L92-$J92)*100</f>
        <v/>
      </c>
      <c r="BA92" s="82">
        <f>(2*$H92-$F92-$J92)*100</f>
        <v/>
      </c>
      <c r="BB92" s="82">
        <f>(2*$J92-$H92-$L92)*100</f>
        <v/>
      </c>
      <c r="BC92" s="82">
        <f>($N92-$F92)*100</f>
        <v/>
      </c>
      <c r="BD92" s="82">
        <f>($Q92-$H92)*100</f>
        <v/>
      </c>
      <c r="BE92" s="82">
        <f>($S92-$J92)*100</f>
        <v/>
      </c>
      <c r="BF92" s="82">
        <f>($V92-$L92)*100</f>
        <v/>
      </c>
      <c r="BG92" s="82">
        <f>$AG92-$AF92</f>
        <v/>
      </c>
      <c r="BH92" s="81">
        <f>IFERROR($AG92/$AF92,"")</f>
        <v/>
      </c>
      <c r="BI92" s="82">
        <f>$AJ92-$AF92</f>
        <v/>
      </c>
      <c r="BJ92" s="81">
        <f>IFERROR($AJ92/$AG92,"")</f>
        <v/>
      </c>
      <c r="BK92" s="81">
        <f>$X92</f>
        <v/>
      </c>
      <c r="BL92" s="82">
        <f>($J92-$J93)*100</f>
        <v/>
      </c>
      <c r="BM92" s="82">
        <f>($F92-$F93)*100</f>
        <v/>
      </c>
      <c r="BN92" s="82">
        <f>$AF92-$AF93</f>
        <v/>
      </c>
      <c r="BO92" s="82">
        <f>$AG92-$AG93</f>
        <v/>
      </c>
      <c r="BP92" s="82">
        <f>$AJ92-$AJ93</f>
        <v/>
      </c>
    </row>
    <row r="93">
      <c r="AR93" s="81">
        <f>($G93+($H93-$G93)*0.5)+($P93-($O93+($Q93-$O93)*0.5))</f>
        <v/>
      </c>
      <c r="AS93" s="81">
        <f>($J93+($K93-$J93)*0.5)+($T93-($S93+($U93-$S93)*0.5))</f>
        <v/>
      </c>
      <c r="AT93" s="82">
        <f>($J93-$C93)*100</f>
        <v/>
      </c>
      <c r="AU93" s="82">
        <f>($H93-$F93)*100</f>
        <v/>
      </c>
      <c r="AV93" s="82">
        <f>($J93-$F93)*100</f>
        <v/>
      </c>
      <c r="AW93" s="82">
        <f>($L93-$F93)*100</f>
        <v/>
      </c>
      <c r="AX93" s="82">
        <f>($J93-$H93)*100</f>
        <v/>
      </c>
      <c r="AY93" s="82">
        <f>($L93-$H93)*100</f>
        <v/>
      </c>
      <c r="AZ93" s="82">
        <f>($L93-$J93)*100</f>
        <v/>
      </c>
      <c r="BA93" s="82">
        <f>(2*$H93-$F93-$J93)*100</f>
        <v/>
      </c>
      <c r="BB93" s="82">
        <f>(2*$J93-$H93-$L93)*100</f>
        <v/>
      </c>
      <c r="BC93" s="82">
        <f>($N93-$F93)*100</f>
        <v/>
      </c>
      <c r="BD93" s="82">
        <f>($Q93-$H93)*100</f>
        <v/>
      </c>
      <c r="BE93" s="82">
        <f>($S93-$J93)*100</f>
        <v/>
      </c>
      <c r="BF93" s="82">
        <f>($V93-$L93)*100</f>
        <v/>
      </c>
      <c r="BG93" s="82">
        <f>$AG93-$AF93</f>
        <v/>
      </c>
      <c r="BH93" s="81">
        <f>IFERROR($AG93/$AF93,"")</f>
        <v/>
      </c>
      <c r="BI93" s="82">
        <f>$AJ93-$AF93</f>
        <v/>
      </c>
      <c r="BJ93" s="81">
        <f>IFERROR($AJ93/$AG93,"")</f>
        <v/>
      </c>
      <c r="BK93" s="81">
        <f>$X93</f>
        <v/>
      </c>
      <c r="BL93" s="82">
        <f>($J93-$J94)*100</f>
        <v/>
      </c>
      <c r="BM93" s="82">
        <f>($F93-$F94)*100</f>
        <v/>
      </c>
      <c r="BN93" s="82">
        <f>$AF93-$AF94</f>
        <v/>
      </c>
      <c r="BO93" s="82">
        <f>$AG93-$AG94</f>
        <v/>
      </c>
      <c r="BP93" s="82">
        <f>$AJ93-$AJ94</f>
        <v/>
      </c>
    </row>
    <row r="94">
      <c r="AR94" s="81">
        <f>($G94+($H94-$G94)*0.5)+($P94-($O94+($Q94-$O94)*0.5))</f>
        <v/>
      </c>
      <c r="AS94" s="81">
        <f>($J94+($K94-$J94)*0.5)+($T94-($S94+($U94-$S94)*0.5))</f>
        <v/>
      </c>
      <c r="AT94" s="82">
        <f>($J94-$C94)*100</f>
        <v/>
      </c>
      <c r="AU94" s="82">
        <f>($H94-$F94)*100</f>
        <v/>
      </c>
      <c r="AV94" s="82">
        <f>($J94-$F94)*100</f>
        <v/>
      </c>
      <c r="AW94" s="82">
        <f>($L94-$F94)*100</f>
        <v/>
      </c>
      <c r="AX94" s="82">
        <f>($J94-$H94)*100</f>
        <v/>
      </c>
      <c r="AY94" s="82">
        <f>($L94-$H94)*100</f>
        <v/>
      </c>
      <c r="AZ94" s="82">
        <f>($L94-$J94)*100</f>
        <v/>
      </c>
      <c r="BA94" s="82">
        <f>(2*$H94-$F94-$J94)*100</f>
        <v/>
      </c>
      <c r="BB94" s="82">
        <f>(2*$J94-$H94-$L94)*100</f>
        <v/>
      </c>
      <c r="BC94" s="82">
        <f>($N94-$F94)*100</f>
        <v/>
      </c>
      <c r="BD94" s="82">
        <f>($Q94-$H94)*100</f>
        <v/>
      </c>
      <c r="BE94" s="82">
        <f>($S94-$J94)*100</f>
        <v/>
      </c>
      <c r="BF94" s="82">
        <f>($V94-$L94)*100</f>
        <v/>
      </c>
      <c r="BG94" s="82">
        <f>$AG94-$AF94</f>
        <v/>
      </c>
      <c r="BH94" s="81">
        <f>IFERROR($AG94/$AF94,"")</f>
        <v/>
      </c>
      <c r="BI94" s="82">
        <f>$AJ94-$AF94</f>
        <v/>
      </c>
      <c r="BJ94" s="81">
        <f>IFERROR($AJ94/$AG94,"")</f>
        <v/>
      </c>
      <c r="BK94" s="81">
        <f>$X94</f>
        <v/>
      </c>
      <c r="BL94" s="82">
        <f>($J94-$J95)*100</f>
        <v/>
      </c>
      <c r="BM94" s="82">
        <f>($F94-$F95)*100</f>
        <v/>
      </c>
      <c r="BN94" s="82">
        <f>$AF94-$AF95</f>
        <v/>
      </c>
      <c r="BO94" s="82">
        <f>$AG94-$AG95</f>
        <v/>
      </c>
      <c r="BP94" s="82">
        <f>$AJ94-$AJ95</f>
        <v/>
      </c>
    </row>
    <row r="95">
      <c r="AR95" s="81">
        <f>($G95+($H95-$G95)*0.5)+($P95-($O95+($Q95-$O95)*0.5))</f>
        <v/>
      </c>
      <c r="AS95" s="81">
        <f>($J95+($K95-$J95)*0.5)+($T95-($S95+($U95-$S95)*0.5))</f>
        <v/>
      </c>
      <c r="AT95" s="82">
        <f>($J95-$C95)*100</f>
        <v/>
      </c>
      <c r="AU95" s="82">
        <f>($H95-$F95)*100</f>
        <v/>
      </c>
      <c r="AV95" s="82">
        <f>($J95-$F95)*100</f>
        <v/>
      </c>
      <c r="AW95" s="82">
        <f>($L95-$F95)*100</f>
        <v/>
      </c>
      <c r="AX95" s="82">
        <f>($J95-$H95)*100</f>
        <v/>
      </c>
      <c r="AY95" s="82">
        <f>($L95-$H95)*100</f>
        <v/>
      </c>
      <c r="AZ95" s="82">
        <f>($L95-$J95)*100</f>
        <v/>
      </c>
      <c r="BA95" s="82">
        <f>(2*$H95-$F95-$J95)*100</f>
        <v/>
      </c>
      <c r="BB95" s="82">
        <f>(2*$J95-$H95-$L95)*100</f>
        <v/>
      </c>
      <c r="BC95" s="82">
        <f>($N95-$F95)*100</f>
        <v/>
      </c>
      <c r="BD95" s="82">
        <f>($Q95-$H95)*100</f>
        <v/>
      </c>
      <c r="BE95" s="82">
        <f>($S95-$J95)*100</f>
        <v/>
      </c>
      <c r="BF95" s="82">
        <f>($V95-$L95)*100</f>
        <v/>
      </c>
      <c r="BG95" s="82">
        <f>$AG95-$AF95</f>
        <v/>
      </c>
      <c r="BH95" s="81">
        <f>IFERROR($AG95/$AF95,"")</f>
        <v/>
      </c>
      <c r="BI95" s="82">
        <f>$AJ95-$AF95</f>
        <v/>
      </c>
      <c r="BJ95" s="81">
        <f>IFERROR($AJ95/$AG95,"")</f>
        <v/>
      </c>
      <c r="BK95" s="81">
        <f>$X95</f>
        <v/>
      </c>
      <c r="BL95" s="82">
        <f>($J95-$J96)*100</f>
        <v/>
      </c>
      <c r="BM95" s="82">
        <f>($F95-$F96)*100</f>
        <v/>
      </c>
      <c r="BN95" s="82">
        <f>$AF95-$AF96</f>
        <v/>
      </c>
      <c r="BO95" s="82">
        <f>$AG95-$AG96</f>
        <v/>
      </c>
      <c r="BP95" s="82">
        <f>$AJ95-$AJ96</f>
        <v/>
      </c>
    </row>
    <row r="96">
      <c r="AR96" s="81">
        <f>($G96+($H96-$G96)*0.5)+($P96-($O96+($Q96-$O96)*0.5))</f>
        <v/>
      </c>
      <c r="AS96" s="81">
        <f>($J96+($K96-$J96)*0.5)+($T96-($S96+($U96-$S96)*0.5))</f>
        <v/>
      </c>
      <c r="AT96" s="82">
        <f>($J96-$C96)*100</f>
        <v/>
      </c>
      <c r="AU96" s="82">
        <f>($H96-$F96)*100</f>
        <v/>
      </c>
      <c r="AV96" s="82">
        <f>($J96-$F96)*100</f>
        <v/>
      </c>
      <c r="AW96" s="82">
        <f>($L96-$F96)*100</f>
        <v/>
      </c>
      <c r="AX96" s="82">
        <f>($J96-$H96)*100</f>
        <v/>
      </c>
      <c r="AY96" s="82">
        <f>($L96-$H96)*100</f>
        <v/>
      </c>
      <c r="AZ96" s="82">
        <f>($L96-$J96)*100</f>
        <v/>
      </c>
      <c r="BA96" s="82">
        <f>(2*$H96-$F96-$J96)*100</f>
        <v/>
      </c>
      <c r="BB96" s="82">
        <f>(2*$J96-$H96-$L96)*100</f>
        <v/>
      </c>
      <c r="BC96" s="82">
        <f>($N96-$F96)*100</f>
        <v/>
      </c>
      <c r="BD96" s="82">
        <f>($Q96-$H96)*100</f>
        <v/>
      </c>
      <c r="BE96" s="82">
        <f>($S96-$J96)*100</f>
        <v/>
      </c>
      <c r="BF96" s="82">
        <f>($V96-$L96)*100</f>
        <v/>
      </c>
      <c r="BG96" s="82">
        <f>$AG96-$AF96</f>
        <v/>
      </c>
      <c r="BH96" s="81">
        <f>IFERROR($AG96/$AF96,"")</f>
        <v/>
      </c>
      <c r="BI96" s="82">
        <f>$AJ96-$AF96</f>
        <v/>
      </c>
      <c r="BJ96" s="81">
        <f>IFERROR($AJ96/$AG96,"")</f>
        <v/>
      </c>
      <c r="BK96" s="81">
        <f>$X96</f>
        <v/>
      </c>
      <c r="BL96" s="82">
        <f>($J96-$J97)*100</f>
        <v/>
      </c>
      <c r="BM96" s="82">
        <f>($F96-$F97)*100</f>
        <v/>
      </c>
      <c r="BN96" s="82">
        <f>$AF96-$AF97</f>
        <v/>
      </c>
      <c r="BO96" s="82">
        <f>$AG96-$AG97</f>
        <v/>
      </c>
      <c r="BP96" s="82">
        <f>$AJ96-$AJ97</f>
        <v/>
      </c>
    </row>
    <row r="97">
      <c r="AR97" s="81">
        <f>($G97+($H97-$G97)*0.5)+($P97-($O97+($Q97-$O97)*0.5))</f>
        <v/>
      </c>
      <c r="AS97" s="81">
        <f>($J97+($K97-$J97)*0.5)+($T97-($S97+($U97-$S97)*0.5))</f>
        <v/>
      </c>
      <c r="AT97" s="82">
        <f>($J97-$C97)*100</f>
        <v/>
      </c>
      <c r="AU97" s="82">
        <f>($H97-$F97)*100</f>
        <v/>
      </c>
      <c r="AV97" s="82">
        <f>($J97-$F97)*100</f>
        <v/>
      </c>
      <c r="AW97" s="82">
        <f>($L97-$F97)*100</f>
        <v/>
      </c>
      <c r="AX97" s="82">
        <f>($J97-$H97)*100</f>
        <v/>
      </c>
      <c r="AY97" s="82">
        <f>($L97-$H97)*100</f>
        <v/>
      </c>
      <c r="AZ97" s="82">
        <f>($L97-$J97)*100</f>
        <v/>
      </c>
      <c r="BA97" s="82">
        <f>(2*$H97-$F97-$J97)*100</f>
        <v/>
      </c>
      <c r="BB97" s="82">
        <f>(2*$J97-$H97-$L97)*100</f>
        <v/>
      </c>
      <c r="BC97" s="82">
        <f>($N97-$F97)*100</f>
        <v/>
      </c>
      <c r="BD97" s="82">
        <f>($Q97-$H97)*100</f>
        <v/>
      </c>
      <c r="BE97" s="82">
        <f>($S97-$J97)*100</f>
        <v/>
      </c>
      <c r="BF97" s="82">
        <f>($V97-$L97)*100</f>
        <v/>
      </c>
      <c r="BG97" s="82">
        <f>$AG97-$AF97</f>
        <v/>
      </c>
      <c r="BH97" s="81">
        <f>IFERROR($AG97/$AF97,"")</f>
        <v/>
      </c>
      <c r="BI97" s="82">
        <f>$AJ97-$AF97</f>
        <v/>
      </c>
      <c r="BJ97" s="81">
        <f>IFERROR($AJ97/$AG97,"")</f>
        <v/>
      </c>
      <c r="BK97" s="81">
        <f>$X97</f>
        <v/>
      </c>
      <c r="BL97" s="82">
        <f>($J97-$J98)*100</f>
        <v/>
      </c>
      <c r="BM97" s="82">
        <f>($F97-$F98)*100</f>
        <v/>
      </c>
      <c r="BN97" s="82">
        <f>$AF97-$AF98</f>
        <v/>
      </c>
      <c r="BO97" s="82">
        <f>$AG97-$AG98</f>
        <v/>
      </c>
      <c r="BP97" s="82">
        <f>$AJ97-$AJ98</f>
        <v/>
      </c>
    </row>
    <row r="98">
      <c r="AR98" s="81">
        <f>($G98+($H98-$G98)*0.5)+($P98-($O98+($Q98-$O98)*0.5))</f>
        <v/>
      </c>
      <c r="AS98" s="81">
        <f>($J98+($K98-$J98)*0.5)+($T98-($S98+($U98-$S98)*0.5))</f>
        <v/>
      </c>
      <c r="AT98" s="82">
        <f>($J98-$C98)*100</f>
        <v/>
      </c>
      <c r="AU98" s="82">
        <f>($H98-$F98)*100</f>
        <v/>
      </c>
      <c r="AV98" s="82">
        <f>($J98-$F98)*100</f>
        <v/>
      </c>
      <c r="AW98" s="82">
        <f>($L98-$F98)*100</f>
        <v/>
      </c>
      <c r="AX98" s="82">
        <f>($J98-$H98)*100</f>
        <v/>
      </c>
      <c r="AY98" s="82">
        <f>($L98-$H98)*100</f>
        <v/>
      </c>
      <c r="AZ98" s="82">
        <f>($L98-$J98)*100</f>
        <v/>
      </c>
      <c r="BA98" s="82">
        <f>(2*$H98-$F98-$J98)*100</f>
        <v/>
      </c>
      <c r="BB98" s="82">
        <f>(2*$J98-$H98-$L98)*100</f>
        <v/>
      </c>
      <c r="BC98" s="82">
        <f>($N98-$F98)*100</f>
        <v/>
      </c>
      <c r="BD98" s="82">
        <f>($Q98-$H98)*100</f>
        <v/>
      </c>
      <c r="BE98" s="82">
        <f>($S98-$J98)*100</f>
        <v/>
      </c>
      <c r="BF98" s="82">
        <f>($V98-$L98)*100</f>
        <v/>
      </c>
      <c r="BG98" s="82">
        <f>$AG98-$AF98</f>
        <v/>
      </c>
      <c r="BH98" s="81">
        <f>IFERROR($AG98/$AF98,"")</f>
        <v/>
      </c>
      <c r="BI98" s="82">
        <f>$AJ98-$AF98</f>
        <v/>
      </c>
      <c r="BJ98" s="81">
        <f>IFERROR($AJ98/$AG98,"")</f>
        <v/>
      </c>
      <c r="BK98" s="81">
        <f>$X98</f>
        <v/>
      </c>
      <c r="BL98" s="82">
        <f>($J98-$J99)*100</f>
        <v/>
      </c>
      <c r="BM98" s="82">
        <f>($F98-$F99)*100</f>
        <v/>
      </c>
      <c r="BN98" s="82">
        <f>$AF98-$AF99</f>
        <v/>
      </c>
      <c r="BO98" s="82">
        <f>$AG98-$AG99</f>
        <v/>
      </c>
      <c r="BP98" s="82">
        <f>$AJ98-$AJ99</f>
        <v/>
      </c>
    </row>
    <row r="99">
      <c r="AR99" s="81">
        <f>($G99+($H99-$G99)*0.5)+($P99-($O99+($Q99-$O99)*0.5))</f>
        <v/>
      </c>
      <c r="AS99" s="81">
        <f>($J99+($K99-$J99)*0.5)+($T99-($S99+($U99-$S99)*0.5))</f>
        <v/>
      </c>
      <c r="AT99" s="82">
        <f>($J99-$C99)*100</f>
        <v/>
      </c>
      <c r="AU99" s="82">
        <f>($H99-$F99)*100</f>
        <v/>
      </c>
      <c r="AV99" s="82">
        <f>($J99-$F99)*100</f>
        <v/>
      </c>
      <c r="AW99" s="82">
        <f>($L99-$F99)*100</f>
        <v/>
      </c>
      <c r="AX99" s="82">
        <f>($J99-$H99)*100</f>
        <v/>
      </c>
      <c r="AY99" s="82">
        <f>($L99-$H99)*100</f>
        <v/>
      </c>
      <c r="AZ99" s="82">
        <f>($L99-$J99)*100</f>
        <v/>
      </c>
      <c r="BA99" s="82">
        <f>(2*$H99-$F99-$J99)*100</f>
        <v/>
      </c>
      <c r="BB99" s="82">
        <f>(2*$J99-$H99-$L99)*100</f>
        <v/>
      </c>
      <c r="BC99" s="82">
        <f>($N99-$F99)*100</f>
        <v/>
      </c>
      <c r="BD99" s="82">
        <f>($Q99-$H99)*100</f>
        <v/>
      </c>
      <c r="BE99" s="82">
        <f>($S99-$J99)*100</f>
        <v/>
      </c>
      <c r="BF99" s="82">
        <f>($V99-$L99)*100</f>
        <v/>
      </c>
      <c r="BG99" s="82">
        <f>$AG99-$AF99</f>
        <v/>
      </c>
      <c r="BH99" s="81">
        <f>IFERROR($AG99/$AF99,"")</f>
        <v/>
      </c>
      <c r="BI99" s="82">
        <f>$AJ99-$AF99</f>
        <v/>
      </c>
      <c r="BJ99" s="81">
        <f>IFERROR($AJ99/$AG99,"")</f>
        <v/>
      </c>
      <c r="BK99" s="81">
        <f>$X99</f>
        <v/>
      </c>
      <c r="BL99" s="82">
        <f>($J99-$J100)*100</f>
        <v/>
      </c>
      <c r="BM99" s="82">
        <f>($F99-$F100)*100</f>
        <v/>
      </c>
      <c r="BN99" s="82">
        <f>$AF99-$AF100</f>
        <v/>
      </c>
      <c r="BO99" s="82">
        <f>$AG99-$AG100</f>
        <v/>
      </c>
      <c r="BP99" s="82">
        <f>$AJ99-$AJ100</f>
        <v/>
      </c>
    </row>
    <row r="100">
      <c r="AR100" s="81">
        <f>($G100+($H100-$G100)*0.5)+($P100-($O100+($Q100-$O100)*0.5))</f>
        <v/>
      </c>
      <c r="AS100" s="81">
        <f>($J100+($K100-$J100)*0.5)+($T100-($S100+($U100-$S100)*0.5))</f>
        <v/>
      </c>
      <c r="AT100" s="82">
        <f>($J100-$C100)*100</f>
        <v/>
      </c>
      <c r="AU100" s="82">
        <f>($H100-$F100)*100</f>
        <v/>
      </c>
      <c r="AV100" s="82">
        <f>($J100-$F100)*100</f>
        <v/>
      </c>
      <c r="AW100" s="82">
        <f>($L100-$F100)*100</f>
        <v/>
      </c>
      <c r="AX100" s="82">
        <f>($J100-$H100)*100</f>
        <v/>
      </c>
      <c r="AY100" s="82">
        <f>($L100-$H100)*100</f>
        <v/>
      </c>
      <c r="AZ100" s="82">
        <f>($L100-$J100)*100</f>
        <v/>
      </c>
      <c r="BA100" s="82">
        <f>(2*$H100-$F100-$J100)*100</f>
        <v/>
      </c>
      <c r="BB100" s="82">
        <f>(2*$J100-$H100-$L100)*100</f>
        <v/>
      </c>
      <c r="BC100" s="82">
        <f>($N100-$F100)*100</f>
        <v/>
      </c>
      <c r="BD100" s="82">
        <f>($Q100-$H100)*100</f>
        <v/>
      </c>
      <c r="BE100" s="82">
        <f>($S100-$J100)*100</f>
        <v/>
      </c>
      <c r="BF100" s="82">
        <f>($V100-$L100)*100</f>
        <v/>
      </c>
      <c r="BG100" s="82">
        <f>$AG100-$AF100</f>
        <v/>
      </c>
      <c r="BH100" s="81">
        <f>IFERROR($AG100/$AF100,"")</f>
        <v/>
      </c>
      <c r="BI100" s="82">
        <f>$AJ100-$AF100</f>
        <v/>
      </c>
      <c r="BJ100" s="81">
        <f>IFERROR($AJ100/$AG100,"")</f>
        <v/>
      </c>
      <c r="BK100" s="81">
        <f>$X100</f>
        <v/>
      </c>
      <c r="BL100" s="82">
        <f>($J100-$J101)*100</f>
        <v/>
      </c>
      <c r="BM100" s="82">
        <f>($F100-$F101)*100</f>
        <v/>
      </c>
      <c r="BN100" s="82">
        <f>$AF100-$AF101</f>
        <v/>
      </c>
      <c r="BO100" s="82">
        <f>$AG100-$AG101</f>
        <v/>
      </c>
      <c r="BP100" s="82">
        <f>$AJ100-$AJ101</f>
        <v/>
      </c>
    </row>
    <row r="101">
      <c r="AR101" s="81">
        <f>($G101+($H101-$G101)*0.5)+($P101-($O101+($Q101-$O101)*0.5))</f>
        <v/>
      </c>
      <c r="AS101" s="81">
        <f>($J101+($K101-$J101)*0.5)+($T101-($S101+($U101-$S101)*0.5))</f>
        <v/>
      </c>
      <c r="AT101" s="82">
        <f>($J101-$C101)*100</f>
        <v/>
      </c>
      <c r="AU101" s="82">
        <f>($H101-$F101)*100</f>
        <v/>
      </c>
      <c r="AV101" s="82">
        <f>($J101-$F101)*100</f>
        <v/>
      </c>
      <c r="AW101" s="82">
        <f>($L101-$F101)*100</f>
        <v/>
      </c>
      <c r="AX101" s="82">
        <f>($J101-$H101)*100</f>
        <v/>
      </c>
      <c r="AY101" s="82">
        <f>($L101-$H101)*100</f>
        <v/>
      </c>
      <c r="AZ101" s="82">
        <f>($L101-$J101)*100</f>
        <v/>
      </c>
      <c r="BA101" s="82">
        <f>(2*$H101-$F101-$J101)*100</f>
        <v/>
      </c>
      <c r="BB101" s="82">
        <f>(2*$J101-$H101-$L101)*100</f>
        <v/>
      </c>
      <c r="BC101" s="82">
        <f>($N101-$F101)*100</f>
        <v/>
      </c>
      <c r="BD101" s="82">
        <f>($Q101-$H101)*100</f>
        <v/>
      </c>
      <c r="BE101" s="82">
        <f>($S101-$J101)*100</f>
        <v/>
      </c>
      <c r="BF101" s="82">
        <f>($V101-$L101)*100</f>
        <v/>
      </c>
      <c r="BG101" s="82">
        <f>$AG101-$AF101</f>
        <v/>
      </c>
      <c r="BH101" s="81">
        <f>IFERROR($AG101/$AF101,"")</f>
        <v/>
      </c>
      <c r="BI101" s="82">
        <f>$AJ101-$AF101</f>
        <v/>
      </c>
      <c r="BJ101" s="81">
        <f>IFERROR($AJ101/$AG101,"")</f>
        <v/>
      </c>
      <c r="BK101" s="81">
        <f>$X101</f>
        <v/>
      </c>
      <c r="BL101" s="82">
        <f>($J101-$J102)*100</f>
        <v/>
      </c>
      <c r="BM101" s="82">
        <f>($F101-$F102)*100</f>
        <v/>
      </c>
      <c r="BN101" s="82">
        <f>$AF101-$AF102</f>
        <v/>
      </c>
      <c r="BO101" s="82">
        <f>$AG101-$AG102</f>
        <v/>
      </c>
      <c r="BP101" s="82">
        <f>$AJ101-$AJ102</f>
        <v/>
      </c>
    </row>
    <row r="102">
      <c r="AR102" s="81">
        <f>($G102+($H102-$G102)*0.5)+($P102-($O102+($Q102-$O102)*0.5))</f>
        <v/>
      </c>
      <c r="AS102" s="81">
        <f>($J102+($K102-$J102)*0.5)+($T102-($S102+($U102-$S102)*0.5))</f>
        <v/>
      </c>
      <c r="AT102" s="82">
        <f>($J102-$C102)*100</f>
        <v/>
      </c>
      <c r="AU102" s="82">
        <f>($H102-$F102)*100</f>
        <v/>
      </c>
      <c r="AV102" s="82">
        <f>($J102-$F102)*100</f>
        <v/>
      </c>
      <c r="AW102" s="82">
        <f>($L102-$F102)*100</f>
        <v/>
      </c>
      <c r="AX102" s="82">
        <f>($J102-$H102)*100</f>
        <v/>
      </c>
      <c r="AY102" s="82">
        <f>($L102-$H102)*100</f>
        <v/>
      </c>
      <c r="AZ102" s="82">
        <f>($L102-$J102)*100</f>
        <v/>
      </c>
      <c r="BA102" s="82">
        <f>(2*$H102-$F102-$J102)*100</f>
        <v/>
      </c>
      <c r="BB102" s="82">
        <f>(2*$J102-$H102-$L102)*100</f>
        <v/>
      </c>
      <c r="BC102" s="82">
        <f>($N102-$F102)*100</f>
        <v/>
      </c>
      <c r="BD102" s="82">
        <f>($Q102-$H102)*100</f>
        <v/>
      </c>
      <c r="BE102" s="82">
        <f>($S102-$J102)*100</f>
        <v/>
      </c>
      <c r="BF102" s="82">
        <f>($V102-$L102)*100</f>
        <v/>
      </c>
      <c r="BG102" s="82">
        <f>$AG102-$AF102</f>
        <v/>
      </c>
      <c r="BH102" s="81">
        <f>IFERROR($AG102/$AF102,"")</f>
        <v/>
      </c>
      <c r="BI102" s="82">
        <f>$AJ102-$AF102</f>
        <v/>
      </c>
      <c r="BJ102" s="81">
        <f>IFERROR($AJ102/$AG102,"")</f>
        <v/>
      </c>
      <c r="BK102" s="81">
        <f>$X102</f>
        <v/>
      </c>
      <c r="BL102" s="82">
        <f>($J102-$J103)*100</f>
        <v/>
      </c>
      <c r="BM102" s="82">
        <f>($F102-$F103)*100</f>
        <v/>
      </c>
      <c r="BN102" s="82">
        <f>$AF102-$AF103</f>
        <v/>
      </c>
      <c r="BO102" s="82">
        <f>$AG102-$AG103</f>
        <v/>
      </c>
      <c r="BP102" s="82">
        <f>$AJ102-$AJ103</f>
        <v/>
      </c>
    </row>
    <row r="103">
      <c r="AR103" s="81">
        <f>($G103+($H103-$G103)*0.5)+($P103-($O103+($Q103-$O103)*0.5))</f>
        <v/>
      </c>
      <c r="AS103" s="81">
        <f>($J103+($K103-$J103)*0.5)+($T103-($S103+($U103-$S103)*0.5))</f>
        <v/>
      </c>
      <c r="AT103" s="82">
        <f>($J103-$C103)*100</f>
        <v/>
      </c>
      <c r="AU103" s="82">
        <f>($H103-$F103)*100</f>
        <v/>
      </c>
      <c r="AV103" s="82">
        <f>($J103-$F103)*100</f>
        <v/>
      </c>
      <c r="AW103" s="82">
        <f>($L103-$F103)*100</f>
        <v/>
      </c>
      <c r="AX103" s="82">
        <f>($J103-$H103)*100</f>
        <v/>
      </c>
      <c r="AY103" s="82">
        <f>($L103-$H103)*100</f>
        <v/>
      </c>
      <c r="AZ103" s="82">
        <f>($L103-$J103)*100</f>
        <v/>
      </c>
      <c r="BA103" s="82">
        <f>(2*$H103-$F103-$J103)*100</f>
        <v/>
      </c>
      <c r="BB103" s="82">
        <f>(2*$J103-$H103-$L103)*100</f>
        <v/>
      </c>
      <c r="BC103" s="82">
        <f>($N103-$F103)*100</f>
        <v/>
      </c>
      <c r="BD103" s="82">
        <f>($Q103-$H103)*100</f>
        <v/>
      </c>
      <c r="BE103" s="82">
        <f>($S103-$J103)*100</f>
        <v/>
      </c>
      <c r="BF103" s="82">
        <f>($V103-$L103)*100</f>
        <v/>
      </c>
      <c r="BG103" s="82">
        <f>$AG103-$AF103</f>
        <v/>
      </c>
      <c r="BH103" s="81">
        <f>IFERROR($AG103/$AF103,"")</f>
        <v/>
      </c>
      <c r="BI103" s="82">
        <f>$AJ103-$AF103</f>
        <v/>
      </c>
      <c r="BJ103" s="81">
        <f>IFERROR($AJ103/$AG103,"")</f>
        <v/>
      </c>
      <c r="BK103" s="81">
        <f>$X103</f>
        <v/>
      </c>
      <c r="BL103" s="82">
        <f>($J103-$J104)*100</f>
        <v/>
      </c>
      <c r="BM103" s="82">
        <f>($F103-$F104)*100</f>
        <v/>
      </c>
      <c r="BN103" s="82">
        <f>$AF103-$AF104</f>
        <v/>
      </c>
      <c r="BO103" s="82">
        <f>$AG103-$AG104</f>
        <v/>
      </c>
      <c r="BP103" s="82">
        <f>$AJ103-$AJ104</f>
        <v/>
      </c>
    </row>
    <row r="104">
      <c r="AR104" s="81">
        <f>($G104+($H104-$G104)*0.5)+($P104-($O104+($Q104-$O104)*0.5))</f>
        <v/>
      </c>
      <c r="AS104" s="81">
        <f>($J104+($K104-$J104)*0.5)+($T104-($S104+($U104-$S104)*0.5))</f>
        <v/>
      </c>
      <c r="AT104" s="82">
        <f>($J104-$C104)*100</f>
        <v/>
      </c>
      <c r="AU104" s="82">
        <f>($H104-$F104)*100</f>
        <v/>
      </c>
      <c r="AV104" s="82">
        <f>($J104-$F104)*100</f>
        <v/>
      </c>
      <c r="AW104" s="82">
        <f>($L104-$F104)*100</f>
        <v/>
      </c>
      <c r="AX104" s="82">
        <f>($J104-$H104)*100</f>
        <v/>
      </c>
      <c r="AY104" s="82">
        <f>($L104-$H104)*100</f>
        <v/>
      </c>
      <c r="AZ104" s="82">
        <f>($L104-$J104)*100</f>
        <v/>
      </c>
      <c r="BA104" s="82">
        <f>(2*$H104-$F104-$J104)*100</f>
        <v/>
      </c>
      <c r="BB104" s="82">
        <f>(2*$J104-$H104-$L104)*100</f>
        <v/>
      </c>
      <c r="BC104" s="82">
        <f>($N104-$F104)*100</f>
        <v/>
      </c>
      <c r="BD104" s="82">
        <f>($Q104-$H104)*100</f>
        <v/>
      </c>
      <c r="BE104" s="82">
        <f>($S104-$J104)*100</f>
        <v/>
      </c>
      <c r="BF104" s="82">
        <f>($V104-$L104)*100</f>
        <v/>
      </c>
      <c r="BG104" s="82">
        <f>$AG104-$AF104</f>
        <v/>
      </c>
      <c r="BH104" s="81">
        <f>IFERROR($AG104/$AF104,"")</f>
        <v/>
      </c>
      <c r="BI104" s="82">
        <f>$AJ104-$AF104</f>
        <v/>
      </c>
      <c r="BJ104" s="81">
        <f>IFERROR($AJ104/$AG104,"")</f>
        <v/>
      </c>
      <c r="BK104" s="81">
        <f>$X104</f>
        <v/>
      </c>
      <c r="BL104" s="82">
        <f>($J104-$J105)*100</f>
        <v/>
      </c>
      <c r="BM104" s="82">
        <f>($F104-$F105)*100</f>
        <v/>
      </c>
      <c r="BN104" s="82">
        <f>$AF104-$AF105</f>
        <v/>
      </c>
      <c r="BO104" s="82">
        <f>$AG104-$AG105</f>
        <v/>
      </c>
      <c r="BP104" s="82">
        <f>$AJ104-$AJ105</f>
        <v/>
      </c>
    </row>
    <row r="105">
      <c r="AR105" s="81">
        <f>($G105+($H105-$G105)*0.5)+($P105-($O105+($Q105-$O105)*0.5))</f>
        <v/>
      </c>
      <c r="AS105" s="81">
        <f>($J105+($K105-$J105)*0.5)+($T105-($S105+($U105-$S105)*0.5))</f>
        <v/>
      </c>
      <c r="AT105" s="82">
        <f>($J105-$C105)*100</f>
        <v/>
      </c>
      <c r="AU105" s="82">
        <f>($H105-$F105)*100</f>
        <v/>
      </c>
      <c r="AV105" s="82">
        <f>($J105-$F105)*100</f>
        <v/>
      </c>
      <c r="AW105" s="82">
        <f>($L105-$F105)*100</f>
        <v/>
      </c>
      <c r="AX105" s="82">
        <f>($J105-$H105)*100</f>
        <v/>
      </c>
      <c r="AY105" s="82">
        <f>($L105-$H105)*100</f>
        <v/>
      </c>
      <c r="AZ105" s="82">
        <f>($L105-$J105)*100</f>
        <v/>
      </c>
      <c r="BA105" s="82">
        <f>(2*$H105-$F105-$J105)*100</f>
        <v/>
      </c>
      <c r="BB105" s="82">
        <f>(2*$J105-$H105-$L105)*100</f>
        <v/>
      </c>
      <c r="BC105" s="82">
        <f>($N105-$F105)*100</f>
        <v/>
      </c>
      <c r="BD105" s="82">
        <f>($Q105-$H105)*100</f>
        <v/>
      </c>
      <c r="BE105" s="82">
        <f>($S105-$J105)*100</f>
        <v/>
      </c>
      <c r="BF105" s="82">
        <f>($V105-$L105)*100</f>
        <v/>
      </c>
      <c r="BG105" s="82">
        <f>$AG105-$AF105</f>
        <v/>
      </c>
      <c r="BH105" s="81">
        <f>IFERROR($AG105/$AF105,"")</f>
        <v/>
      </c>
      <c r="BI105" s="82">
        <f>$AJ105-$AF105</f>
        <v/>
      </c>
      <c r="BJ105" s="81">
        <f>IFERROR($AJ105/$AG105,"")</f>
        <v/>
      </c>
      <c r="BK105" s="81">
        <f>$X105</f>
        <v/>
      </c>
      <c r="BL105" s="82">
        <f>($J105-$J106)*100</f>
        <v/>
      </c>
      <c r="BM105" s="82">
        <f>($F105-$F106)*100</f>
        <v/>
      </c>
      <c r="BN105" s="82">
        <f>$AF105-$AF106</f>
        <v/>
      </c>
      <c r="BO105" s="82">
        <f>$AG105-$AG106</f>
        <v/>
      </c>
      <c r="BP105" s="82">
        <f>$AJ105-$AJ106</f>
        <v/>
      </c>
    </row>
    <row r="106">
      <c r="AR106" s="81">
        <f>($G106+($H106-$G106)*0.5)+($P106-($O106+($Q106-$O106)*0.5))</f>
        <v/>
      </c>
      <c r="AS106" s="81">
        <f>($J106+($K106-$J106)*0.5)+($T106-($S106+($U106-$S106)*0.5))</f>
        <v/>
      </c>
      <c r="AT106" s="82">
        <f>($J106-$C106)*100</f>
        <v/>
      </c>
      <c r="AU106" s="82">
        <f>($H106-$F106)*100</f>
        <v/>
      </c>
      <c r="AV106" s="82">
        <f>($J106-$F106)*100</f>
        <v/>
      </c>
      <c r="AW106" s="82">
        <f>($L106-$F106)*100</f>
        <v/>
      </c>
      <c r="AX106" s="82">
        <f>($J106-$H106)*100</f>
        <v/>
      </c>
      <c r="AY106" s="82">
        <f>($L106-$H106)*100</f>
        <v/>
      </c>
      <c r="AZ106" s="82">
        <f>($L106-$J106)*100</f>
        <v/>
      </c>
      <c r="BA106" s="82">
        <f>(2*$H106-$F106-$J106)*100</f>
        <v/>
      </c>
      <c r="BB106" s="82">
        <f>(2*$J106-$H106-$L106)*100</f>
        <v/>
      </c>
      <c r="BC106" s="82">
        <f>($N106-$F106)*100</f>
        <v/>
      </c>
      <c r="BD106" s="82">
        <f>($Q106-$H106)*100</f>
        <v/>
      </c>
      <c r="BE106" s="82">
        <f>($S106-$J106)*100</f>
        <v/>
      </c>
      <c r="BF106" s="82">
        <f>($V106-$L106)*100</f>
        <v/>
      </c>
      <c r="BG106" s="82">
        <f>$AG106-$AF106</f>
        <v/>
      </c>
      <c r="BH106" s="81">
        <f>IFERROR($AG106/$AF106,"")</f>
        <v/>
      </c>
      <c r="BI106" s="82">
        <f>$AJ106-$AF106</f>
        <v/>
      </c>
      <c r="BJ106" s="81">
        <f>IFERROR($AJ106/$AG106,"")</f>
        <v/>
      </c>
      <c r="BK106" s="81">
        <f>$X106</f>
        <v/>
      </c>
      <c r="BL106" s="82">
        <f>($J106-$J107)*100</f>
        <v/>
      </c>
      <c r="BM106" s="82">
        <f>($F106-$F107)*100</f>
        <v/>
      </c>
      <c r="BN106" s="82">
        <f>$AF106-$AF107</f>
        <v/>
      </c>
      <c r="BO106" s="82">
        <f>$AG106-$AG107</f>
        <v/>
      </c>
      <c r="BP106" s="82">
        <f>$AJ106-$AJ107</f>
        <v/>
      </c>
    </row>
    <row r="107">
      <c r="AR107" s="81">
        <f>($G107+($H107-$G107)*0.5)+($P107-($O107+($Q107-$O107)*0.5))</f>
        <v/>
      </c>
      <c r="AS107" s="81">
        <f>($J107+($K107-$J107)*0.5)+($T107-($S107+($U107-$S107)*0.5))</f>
        <v/>
      </c>
      <c r="AT107" s="82">
        <f>($J107-$C107)*100</f>
        <v/>
      </c>
      <c r="AU107" s="82">
        <f>($H107-$F107)*100</f>
        <v/>
      </c>
      <c r="AV107" s="82">
        <f>($J107-$F107)*100</f>
        <v/>
      </c>
      <c r="AW107" s="82">
        <f>($L107-$F107)*100</f>
        <v/>
      </c>
      <c r="AX107" s="82">
        <f>($J107-$H107)*100</f>
        <v/>
      </c>
      <c r="AY107" s="82">
        <f>($L107-$H107)*100</f>
        <v/>
      </c>
      <c r="AZ107" s="82">
        <f>($L107-$J107)*100</f>
        <v/>
      </c>
      <c r="BA107" s="82">
        <f>(2*$H107-$F107-$J107)*100</f>
        <v/>
      </c>
      <c r="BB107" s="82">
        <f>(2*$J107-$H107-$L107)*100</f>
        <v/>
      </c>
      <c r="BC107" s="82">
        <f>($N107-$F107)*100</f>
        <v/>
      </c>
      <c r="BD107" s="82">
        <f>($Q107-$H107)*100</f>
        <v/>
      </c>
      <c r="BE107" s="82">
        <f>($S107-$J107)*100</f>
        <v/>
      </c>
      <c r="BF107" s="82">
        <f>($V107-$L107)*100</f>
        <v/>
      </c>
      <c r="BG107" s="82">
        <f>$AG107-$AF107</f>
        <v/>
      </c>
      <c r="BH107" s="81">
        <f>IFERROR($AG107/$AF107,"")</f>
        <v/>
      </c>
      <c r="BI107" s="82">
        <f>$AJ107-$AF107</f>
        <v/>
      </c>
      <c r="BJ107" s="81">
        <f>IFERROR($AJ107/$AG107,"")</f>
        <v/>
      </c>
      <c r="BK107" s="81">
        <f>$X107</f>
        <v/>
      </c>
      <c r="BL107" s="82">
        <f>($J107-$J108)*100</f>
        <v/>
      </c>
      <c r="BM107" s="82">
        <f>($F107-$F108)*100</f>
        <v/>
      </c>
      <c r="BN107" s="82">
        <f>$AF107-$AF108</f>
        <v/>
      </c>
      <c r="BO107" s="82">
        <f>$AG107-$AG108</f>
        <v/>
      </c>
      <c r="BP107" s="82">
        <f>$AJ107-$AJ108</f>
        <v/>
      </c>
    </row>
    <row r="108">
      <c r="AR108" s="81">
        <f>($G108+($H108-$G108)*0.5)+($P108-($O108+($Q108-$O108)*0.5))</f>
        <v/>
      </c>
      <c r="AS108" s="81">
        <f>($J108+($K108-$J108)*0.5)+($T108-($S108+($U108-$S108)*0.5))</f>
        <v/>
      </c>
      <c r="AT108" s="82">
        <f>($J108-$C108)*100</f>
        <v/>
      </c>
      <c r="AU108" s="82">
        <f>($H108-$F108)*100</f>
        <v/>
      </c>
      <c r="AV108" s="82">
        <f>($J108-$F108)*100</f>
        <v/>
      </c>
      <c r="AW108" s="82">
        <f>($L108-$F108)*100</f>
        <v/>
      </c>
      <c r="AX108" s="82">
        <f>($J108-$H108)*100</f>
        <v/>
      </c>
      <c r="AY108" s="82">
        <f>($L108-$H108)*100</f>
        <v/>
      </c>
      <c r="AZ108" s="82">
        <f>($L108-$J108)*100</f>
        <v/>
      </c>
      <c r="BA108" s="82">
        <f>(2*$H108-$F108-$J108)*100</f>
        <v/>
      </c>
      <c r="BB108" s="82">
        <f>(2*$J108-$H108-$L108)*100</f>
        <v/>
      </c>
      <c r="BC108" s="82">
        <f>($N108-$F108)*100</f>
        <v/>
      </c>
      <c r="BD108" s="82">
        <f>($Q108-$H108)*100</f>
        <v/>
      </c>
      <c r="BE108" s="82">
        <f>($S108-$J108)*100</f>
        <v/>
      </c>
      <c r="BF108" s="82">
        <f>($V108-$L108)*100</f>
        <v/>
      </c>
      <c r="BG108" s="82">
        <f>$AG108-$AF108</f>
        <v/>
      </c>
      <c r="BH108" s="81">
        <f>IFERROR($AG108/$AF108,"")</f>
        <v/>
      </c>
      <c r="BI108" s="82">
        <f>$AJ108-$AF108</f>
        <v/>
      </c>
      <c r="BJ108" s="81">
        <f>IFERROR($AJ108/$AG108,"")</f>
        <v/>
      </c>
      <c r="BK108" s="81">
        <f>$X108</f>
        <v/>
      </c>
      <c r="BL108" s="82">
        <f>($J108-$J109)*100</f>
        <v/>
      </c>
      <c r="BM108" s="82">
        <f>($F108-$F109)*100</f>
        <v/>
      </c>
      <c r="BN108" s="82">
        <f>$AF108-$AF109</f>
        <v/>
      </c>
      <c r="BO108" s="82">
        <f>$AG108-$AG109</f>
        <v/>
      </c>
      <c r="BP108" s="82">
        <f>$AJ108-$AJ109</f>
        <v/>
      </c>
    </row>
    <row r="109">
      <c r="AR109" s="81">
        <f>($G109+($H109-$G109)*0.5)+($P109-($O109+($Q109-$O109)*0.5))</f>
        <v/>
      </c>
      <c r="AS109" s="81">
        <f>($J109+($K109-$J109)*0.5)+($T109-($S109+($U109-$S109)*0.5))</f>
        <v/>
      </c>
      <c r="AT109" s="82">
        <f>($J109-$C109)*100</f>
        <v/>
      </c>
      <c r="AU109" s="82">
        <f>($H109-$F109)*100</f>
        <v/>
      </c>
      <c r="AV109" s="82">
        <f>($J109-$F109)*100</f>
        <v/>
      </c>
      <c r="AW109" s="82">
        <f>($L109-$F109)*100</f>
        <v/>
      </c>
      <c r="AX109" s="82">
        <f>($J109-$H109)*100</f>
        <v/>
      </c>
      <c r="AY109" s="82">
        <f>($L109-$H109)*100</f>
        <v/>
      </c>
      <c r="AZ109" s="82">
        <f>($L109-$J109)*100</f>
        <v/>
      </c>
      <c r="BA109" s="82">
        <f>(2*$H109-$F109-$J109)*100</f>
        <v/>
      </c>
      <c r="BB109" s="82">
        <f>(2*$J109-$H109-$L109)*100</f>
        <v/>
      </c>
      <c r="BC109" s="82">
        <f>($N109-$F109)*100</f>
        <v/>
      </c>
      <c r="BD109" s="82">
        <f>($Q109-$H109)*100</f>
        <v/>
      </c>
      <c r="BE109" s="82">
        <f>($S109-$J109)*100</f>
        <v/>
      </c>
      <c r="BF109" s="82">
        <f>($V109-$L109)*100</f>
        <v/>
      </c>
      <c r="BG109" s="82">
        <f>$AG109-$AF109</f>
        <v/>
      </c>
      <c r="BH109" s="81">
        <f>IFERROR($AG109/$AF109,"")</f>
        <v/>
      </c>
      <c r="BI109" s="82">
        <f>$AJ109-$AF109</f>
        <v/>
      </c>
      <c r="BJ109" s="81">
        <f>IFERROR($AJ109/$AG109,"")</f>
        <v/>
      </c>
      <c r="BK109" s="81">
        <f>$X109</f>
        <v/>
      </c>
      <c r="BL109" s="82">
        <f>($J109-$J110)*100</f>
        <v/>
      </c>
      <c r="BM109" s="82">
        <f>($F109-$F110)*100</f>
        <v/>
      </c>
      <c r="BN109" s="82">
        <f>$AF109-$AF110</f>
        <v/>
      </c>
      <c r="BO109" s="82">
        <f>$AG109-$AG110</f>
        <v/>
      </c>
      <c r="BP109" s="82">
        <f>$AJ109-$AJ110</f>
        <v/>
      </c>
    </row>
    <row r="110">
      <c r="AR110" s="81">
        <f>($G110+($H110-$G110)*0.5)+($P110-($O110+($Q110-$O110)*0.5))</f>
        <v/>
      </c>
      <c r="AS110" s="81">
        <f>($J110+($K110-$J110)*0.5)+($T110-($S110+($U110-$S110)*0.5))</f>
        <v/>
      </c>
      <c r="AT110" s="82">
        <f>($J110-$C110)*100</f>
        <v/>
      </c>
      <c r="AU110" s="82">
        <f>($H110-$F110)*100</f>
        <v/>
      </c>
      <c r="AV110" s="82">
        <f>($J110-$F110)*100</f>
        <v/>
      </c>
      <c r="AW110" s="82">
        <f>($L110-$F110)*100</f>
        <v/>
      </c>
      <c r="AX110" s="82">
        <f>($J110-$H110)*100</f>
        <v/>
      </c>
      <c r="AY110" s="82">
        <f>($L110-$H110)*100</f>
        <v/>
      </c>
      <c r="AZ110" s="82">
        <f>($L110-$J110)*100</f>
        <v/>
      </c>
      <c r="BA110" s="82">
        <f>(2*$H110-$F110-$J110)*100</f>
        <v/>
      </c>
      <c r="BB110" s="82">
        <f>(2*$J110-$H110-$L110)*100</f>
        <v/>
      </c>
      <c r="BC110" s="82">
        <f>($N110-$F110)*100</f>
        <v/>
      </c>
      <c r="BD110" s="82">
        <f>($Q110-$H110)*100</f>
        <v/>
      </c>
      <c r="BE110" s="82">
        <f>($S110-$J110)*100</f>
        <v/>
      </c>
      <c r="BF110" s="82">
        <f>($V110-$L110)*100</f>
        <v/>
      </c>
      <c r="BG110" s="82">
        <f>$AG110-$AF110</f>
        <v/>
      </c>
      <c r="BH110" s="81">
        <f>IFERROR($AG110/$AF110,"")</f>
        <v/>
      </c>
      <c r="BI110" s="82">
        <f>$AJ110-$AF110</f>
        <v/>
      </c>
      <c r="BJ110" s="81">
        <f>IFERROR($AJ110/$AG110,"")</f>
        <v/>
      </c>
      <c r="BK110" s="81">
        <f>$X110</f>
        <v/>
      </c>
      <c r="BL110" s="82">
        <f>($J110-$J111)*100</f>
        <v/>
      </c>
      <c r="BM110" s="82">
        <f>($F110-$F111)*100</f>
        <v/>
      </c>
      <c r="BN110" s="82">
        <f>$AF110-$AF111</f>
        <v/>
      </c>
      <c r="BO110" s="82">
        <f>$AG110-$AG111</f>
        <v/>
      </c>
      <c r="BP110" s="82">
        <f>$AJ110-$AJ111</f>
        <v/>
      </c>
    </row>
    <row r="111">
      <c r="AR111" s="81">
        <f>($G111+($H111-$G111)*0.5)+($P111-($O111+($Q111-$O111)*0.5))</f>
        <v/>
      </c>
      <c r="AS111" s="81">
        <f>($J111+($K111-$J111)*0.5)+($T111-($S111+($U111-$S111)*0.5))</f>
        <v/>
      </c>
      <c r="AT111" s="82">
        <f>($J111-$C111)*100</f>
        <v/>
      </c>
      <c r="AU111" s="82">
        <f>($H111-$F111)*100</f>
        <v/>
      </c>
      <c r="AV111" s="82">
        <f>($J111-$F111)*100</f>
        <v/>
      </c>
      <c r="AW111" s="82">
        <f>($L111-$F111)*100</f>
        <v/>
      </c>
      <c r="AX111" s="82">
        <f>($J111-$H111)*100</f>
        <v/>
      </c>
      <c r="AY111" s="82">
        <f>($L111-$H111)*100</f>
        <v/>
      </c>
      <c r="AZ111" s="82">
        <f>($L111-$J111)*100</f>
        <v/>
      </c>
      <c r="BA111" s="82">
        <f>(2*$H111-$F111-$J111)*100</f>
        <v/>
      </c>
      <c r="BB111" s="82">
        <f>(2*$J111-$H111-$L111)*100</f>
        <v/>
      </c>
      <c r="BC111" s="82">
        <f>($N111-$F111)*100</f>
        <v/>
      </c>
      <c r="BD111" s="82">
        <f>($Q111-$H111)*100</f>
        <v/>
      </c>
      <c r="BE111" s="82">
        <f>($S111-$J111)*100</f>
        <v/>
      </c>
      <c r="BF111" s="82">
        <f>($V111-$L111)*100</f>
        <v/>
      </c>
      <c r="BG111" s="82">
        <f>$AG111-$AF111</f>
        <v/>
      </c>
      <c r="BH111" s="81">
        <f>IFERROR($AG111/$AF111,"")</f>
        <v/>
      </c>
      <c r="BI111" s="82">
        <f>$AJ111-$AF111</f>
        <v/>
      </c>
      <c r="BJ111" s="81">
        <f>IFERROR($AJ111/$AG111,"")</f>
        <v/>
      </c>
      <c r="BK111" s="81">
        <f>$X111</f>
        <v/>
      </c>
      <c r="BL111" s="82">
        <f>($J111-$J112)*100</f>
        <v/>
      </c>
      <c r="BM111" s="82">
        <f>($F111-$F112)*100</f>
        <v/>
      </c>
      <c r="BN111" s="82">
        <f>$AF111-$AF112</f>
        <v/>
      </c>
      <c r="BO111" s="82">
        <f>$AG111-$AG112</f>
        <v/>
      </c>
      <c r="BP111" s="82">
        <f>$AJ111-$AJ112</f>
        <v/>
      </c>
    </row>
    <row r="112">
      <c r="AR112" s="81">
        <f>($G112+($H112-$G112)*0.5)+($P112-($O112+($Q112-$O112)*0.5))</f>
        <v/>
      </c>
      <c r="AS112" s="81">
        <f>($J112+($K112-$J112)*0.5)+($T112-($S112+($U112-$S112)*0.5))</f>
        <v/>
      </c>
      <c r="AT112" s="82">
        <f>($J112-$C112)*100</f>
        <v/>
      </c>
      <c r="AU112" s="82">
        <f>($H112-$F112)*100</f>
        <v/>
      </c>
      <c r="AV112" s="82">
        <f>($J112-$F112)*100</f>
        <v/>
      </c>
      <c r="AW112" s="82">
        <f>($L112-$F112)*100</f>
        <v/>
      </c>
      <c r="AX112" s="82">
        <f>($J112-$H112)*100</f>
        <v/>
      </c>
      <c r="AY112" s="82">
        <f>($L112-$H112)*100</f>
        <v/>
      </c>
      <c r="AZ112" s="82">
        <f>($L112-$J112)*100</f>
        <v/>
      </c>
      <c r="BA112" s="82">
        <f>(2*$H112-$F112-$J112)*100</f>
        <v/>
      </c>
      <c r="BB112" s="82">
        <f>(2*$J112-$H112-$L112)*100</f>
        <v/>
      </c>
      <c r="BC112" s="82">
        <f>($N112-$F112)*100</f>
        <v/>
      </c>
      <c r="BD112" s="82">
        <f>($Q112-$H112)*100</f>
        <v/>
      </c>
      <c r="BE112" s="82">
        <f>($S112-$J112)*100</f>
        <v/>
      </c>
      <c r="BF112" s="82">
        <f>($V112-$L112)*100</f>
        <v/>
      </c>
      <c r="BG112" s="82">
        <f>$AG112-$AF112</f>
        <v/>
      </c>
      <c r="BH112" s="81">
        <f>IFERROR($AG112/$AF112,"")</f>
        <v/>
      </c>
      <c r="BI112" s="82">
        <f>$AJ112-$AF112</f>
        <v/>
      </c>
      <c r="BJ112" s="81">
        <f>IFERROR($AJ112/$AG112,"")</f>
        <v/>
      </c>
      <c r="BK112" s="81">
        <f>$X112</f>
        <v/>
      </c>
      <c r="BL112" s="82">
        <f>($J112-$J113)*100</f>
        <v/>
      </c>
      <c r="BM112" s="82">
        <f>($F112-$F113)*100</f>
        <v/>
      </c>
      <c r="BN112" s="82">
        <f>$AF112-$AF113</f>
        <v/>
      </c>
      <c r="BO112" s="82">
        <f>$AG112-$AG113</f>
        <v/>
      </c>
      <c r="BP112" s="82">
        <f>$AJ112-$AJ113</f>
        <v/>
      </c>
    </row>
    <row r="113">
      <c r="AR113" s="81">
        <f>($G113+($H113-$G113)*0.5)+($P113-($O113+($Q113-$O113)*0.5))</f>
        <v/>
      </c>
      <c r="AS113" s="81">
        <f>($J113+($K113-$J113)*0.5)+($T113-($S113+($U113-$S113)*0.5))</f>
        <v/>
      </c>
      <c r="AT113" s="82">
        <f>($J113-$C113)*100</f>
        <v/>
      </c>
      <c r="AU113" s="82">
        <f>($H113-$F113)*100</f>
        <v/>
      </c>
      <c r="AV113" s="82">
        <f>($J113-$F113)*100</f>
        <v/>
      </c>
      <c r="AW113" s="82">
        <f>($L113-$F113)*100</f>
        <v/>
      </c>
      <c r="AX113" s="82">
        <f>($J113-$H113)*100</f>
        <v/>
      </c>
      <c r="AY113" s="82">
        <f>($L113-$H113)*100</f>
        <v/>
      </c>
      <c r="AZ113" s="82">
        <f>($L113-$J113)*100</f>
        <v/>
      </c>
      <c r="BA113" s="82">
        <f>(2*$H113-$F113-$J113)*100</f>
        <v/>
      </c>
      <c r="BB113" s="82">
        <f>(2*$J113-$H113-$L113)*100</f>
        <v/>
      </c>
      <c r="BC113" s="82">
        <f>($N113-$F113)*100</f>
        <v/>
      </c>
      <c r="BD113" s="82">
        <f>($Q113-$H113)*100</f>
        <v/>
      </c>
      <c r="BE113" s="82">
        <f>($S113-$J113)*100</f>
        <v/>
      </c>
      <c r="BF113" s="82">
        <f>($V113-$L113)*100</f>
        <v/>
      </c>
      <c r="BG113" s="82">
        <f>$AG113-$AF113</f>
        <v/>
      </c>
      <c r="BH113" s="81">
        <f>IFERROR($AG113/$AF113,"")</f>
        <v/>
      </c>
      <c r="BI113" s="82">
        <f>$AJ113-$AF113</f>
        <v/>
      </c>
      <c r="BJ113" s="81">
        <f>IFERROR($AJ113/$AG113,"")</f>
        <v/>
      </c>
      <c r="BK113" s="81">
        <f>$X113</f>
        <v/>
      </c>
      <c r="BL113" s="82">
        <f>($J113-$J114)*100</f>
        <v/>
      </c>
      <c r="BM113" s="82">
        <f>($F113-$F114)*100</f>
        <v/>
      </c>
      <c r="BN113" s="82">
        <f>$AF113-$AF114</f>
        <v/>
      </c>
      <c r="BO113" s="82">
        <f>$AG113-$AG114</f>
        <v/>
      </c>
      <c r="BP113" s="82">
        <f>$AJ113-$AJ114</f>
        <v/>
      </c>
    </row>
    <row r="114">
      <c r="AR114" s="81">
        <f>($G114+($H114-$G114)*0.5)+($P114-($O114+($Q114-$O114)*0.5))</f>
        <v/>
      </c>
      <c r="AS114" s="81">
        <f>($J114+($K114-$J114)*0.5)+($T114-($S114+($U114-$S114)*0.5))</f>
        <v/>
      </c>
      <c r="AT114" s="82">
        <f>($J114-$C114)*100</f>
        <v/>
      </c>
      <c r="AU114" s="82">
        <f>($H114-$F114)*100</f>
        <v/>
      </c>
      <c r="AV114" s="82">
        <f>($J114-$F114)*100</f>
        <v/>
      </c>
      <c r="AW114" s="82">
        <f>($L114-$F114)*100</f>
        <v/>
      </c>
      <c r="AX114" s="82">
        <f>($J114-$H114)*100</f>
        <v/>
      </c>
      <c r="AY114" s="82">
        <f>($L114-$H114)*100</f>
        <v/>
      </c>
      <c r="AZ114" s="82">
        <f>($L114-$J114)*100</f>
        <v/>
      </c>
      <c r="BA114" s="82">
        <f>(2*$H114-$F114-$J114)*100</f>
        <v/>
      </c>
      <c r="BB114" s="82">
        <f>(2*$J114-$H114-$L114)*100</f>
        <v/>
      </c>
      <c r="BC114" s="82">
        <f>($N114-$F114)*100</f>
        <v/>
      </c>
      <c r="BD114" s="82">
        <f>($Q114-$H114)*100</f>
        <v/>
      </c>
      <c r="BE114" s="82">
        <f>($S114-$J114)*100</f>
        <v/>
      </c>
      <c r="BF114" s="82">
        <f>($V114-$L114)*100</f>
        <v/>
      </c>
      <c r="BG114" s="82">
        <f>$AG114-$AF114</f>
        <v/>
      </c>
      <c r="BH114" s="81">
        <f>IFERROR($AG114/$AF114,"")</f>
        <v/>
      </c>
      <c r="BI114" s="82">
        <f>$AJ114-$AF114</f>
        <v/>
      </c>
      <c r="BJ114" s="81">
        <f>IFERROR($AJ114/$AG114,"")</f>
        <v/>
      </c>
      <c r="BK114" s="81">
        <f>$X114</f>
        <v/>
      </c>
      <c r="BL114" s="82">
        <f>($J114-$J115)*100</f>
        <v/>
      </c>
      <c r="BM114" s="82">
        <f>($F114-$F115)*100</f>
        <v/>
      </c>
      <c r="BN114" s="82">
        <f>$AF114-$AF115</f>
        <v/>
      </c>
      <c r="BO114" s="82">
        <f>$AG114-$AG115</f>
        <v/>
      </c>
      <c r="BP114" s="82">
        <f>$AJ114-$AJ115</f>
        <v/>
      </c>
    </row>
    <row r="115">
      <c r="AR115" s="81">
        <f>($G115+($H115-$G115)*0.5)+($P115-($O115+($Q115-$O115)*0.5))</f>
        <v/>
      </c>
      <c r="AS115" s="81">
        <f>($J115+($K115-$J115)*0.5)+($T115-($S115+($U115-$S115)*0.5))</f>
        <v/>
      </c>
      <c r="AT115" s="82">
        <f>($J115-$C115)*100</f>
        <v/>
      </c>
      <c r="AU115" s="82">
        <f>($H115-$F115)*100</f>
        <v/>
      </c>
      <c r="AV115" s="82">
        <f>($J115-$F115)*100</f>
        <v/>
      </c>
      <c r="AW115" s="82">
        <f>($L115-$F115)*100</f>
        <v/>
      </c>
      <c r="AX115" s="82">
        <f>($J115-$H115)*100</f>
        <v/>
      </c>
      <c r="AY115" s="82">
        <f>($L115-$H115)*100</f>
        <v/>
      </c>
      <c r="AZ115" s="82">
        <f>($L115-$J115)*100</f>
        <v/>
      </c>
      <c r="BA115" s="82">
        <f>(2*$H115-$F115-$J115)*100</f>
        <v/>
      </c>
      <c r="BB115" s="82">
        <f>(2*$J115-$H115-$L115)*100</f>
        <v/>
      </c>
      <c r="BC115" s="82">
        <f>($N115-$F115)*100</f>
        <v/>
      </c>
      <c r="BD115" s="82">
        <f>($Q115-$H115)*100</f>
        <v/>
      </c>
      <c r="BE115" s="82">
        <f>($S115-$J115)*100</f>
        <v/>
      </c>
      <c r="BF115" s="82">
        <f>($V115-$L115)*100</f>
        <v/>
      </c>
      <c r="BG115" s="82">
        <f>$AG115-$AF115</f>
        <v/>
      </c>
      <c r="BH115" s="81">
        <f>IFERROR($AG115/$AF115,"")</f>
        <v/>
      </c>
      <c r="BI115" s="82">
        <f>$AJ115-$AF115</f>
        <v/>
      </c>
      <c r="BJ115" s="81">
        <f>IFERROR($AJ115/$AG115,"")</f>
        <v/>
      </c>
      <c r="BK115" s="81">
        <f>$X115</f>
        <v/>
      </c>
      <c r="BL115" s="82">
        <f>($J115-$J116)*100</f>
        <v/>
      </c>
      <c r="BM115" s="82">
        <f>($F115-$F116)*100</f>
        <v/>
      </c>
      <c r="BN115" s="82">
        <f>$AF115-$AF116</f>
        <v/>
      </c>
      <c r="BO115" s="82">
        <f>$AG115-$AG116</f>
        <v/>
      </c>
      <c r="BP115" s="82">
        <f>$AJ115-$AJ116</f>
        <v/>
      </c>
    </row>
    <row r="116">
      <c r="AR116" s="81">
        <f>($G116+($H116-$G116)*0.5)+($P116-($O116+($Q116-$O116)*0.5))</f>
        <v/>
      </c>
      <c r="AS116" s="81">
        <f>($J116+($K116-$J116)*0.5)+($T116-($S116+($U116-$S116)*0.5))</f>
        <v/>
      </c>
      <c r="AT116" s="82">
        <f>($J116-$C116)*100</f>
        <v/>
      </c>
      <c r="AU116" s="82">
        <f>($H116-$F116)*100</f>
        <v/>
      </c>
      <c r="AV116" s="82">
        <f>($J116-$F116)*100</f>
        <v/>
      </c>
      <c r="AW116" s="82">
        <f>($L116-$F116)*100</f>
        <v/>
      </c>
      <c r="AX116" s="82">
        <f>($J116-$H116)*100</f>
        <v/>
      </c>
      <c r="AY116" s="82">
        <f>($L116-$H116)*100</f>
        <v/>
      </c>
      <c r="AZ116" s="82">
        <f>($L116-$J116)*100</f>
        <v/>
      </c>
      <c r="BA116" s="82">
        <f>(2*$H116-$F116-$J116)*100</f>
        <v/>
      </c>
      <c r="BB116" s="82">
        <f>(2*$J116-$H116-$L116)*100</f>
        <v/>
      </c>
      <c r="BC116" s="82">
        <f>($N116-$F116)*100</f>
        <v/>
      </c>
      <c r="BD116" s="82">
        <f>($Q116-$H116)*100</f>
        <v/>
      </c>
      <c r="BE116" s="82">
        <f>($S116-$J116)*100</f>
        <v/>
      </c>
      <c r="BF116" s="82">
        <f>($V116-$L116)*100</f>
        <v/>
      </c>
      <c r="BG116" s="82">
        <f>$AG116-$AF116</f>
        <v/>
      </c>
      <c r="BH116" s="81">
        <f>IFERROR($AG116/$AF116,"")</f>
        <v/>
      </c>
      <c r="BI116" s="82">
        <f>$AJ116-$AF116</f>
        <v/>
      </c>
      <c r="BJ116" s="81">
        <f>IFERROR($AJ116/$AG116,"")</f>
        <v/>
      </c>
      <c r="BK116" s="81">
        <f>$X116</f>
        <v/>
      </c>
      <c r="BL116" s="82">
        <f>($J116-$J117)*100</f>
        <v/>
      </c>
      <c r="BM116" s="82">
        <f>($F116-$F117)*100</f>
        <v/>
      </c>
      <c r="BN116" s="82">
        <f>$AF116-$AF117</f>
        <v/>
      </c>
      <c r="BO116" s="82">
        <f>$AG116-$AG117</f>
        <v/>
      </c>
      <c r="BP116" s="82">
        <f>$AJ116-$AJ117</f>
        <v/>
      </c>
    </row>
    <row r="117">
      <c r="AR117" s="81">
        <f>($G117+($H117-$G117)*0.5)+($P117-($O117+($Q117-$O117)*0.5))</f>
        <v/>
      </c>
      <c r="AS117" s="81">
        <f>($J117+($K117-$J117)*0.5)+($T117-($S117+($U117-$S117)*0.5))</f>
        <v/>
      </c>
      <c r="AT117" s="82">
        <f>($J117-$C117)*100</f>
        <v/>
      </c>
      <c r="AU117" s="82">
        <f>($H117-$F117)*100</f>
        <v/>
      </c>
      <c r="AV117" s="82">
        <f>($J117-$F117)*100</f>
        <v/>
      </c>
      <c r="AW117" s="82">
        <f>($L117-$F117)*100</f>
        <v/>
      </c>
      <c r="AX117" s="82">
        <f>($J117-$H117)*100</f>
        <v/>
      </c>
      <c r="AY117" s="82">
        <f>($L117-$H117)*100</f>
        <v/>
      </c>
      <c r="AZ117" s="82">
        <f>($L117-$J117)*100</f>
        <v/>
      </c>
      <c r="BA117" s="82">
        <f>(2*$H117-$F117-$J117)*100</f>
        <v/>
      </c>
      <c r="BB117" s="82">
        <f>(2*$J117-$H117-$L117)*100</f>
        <v/>
      </c>
      <c r="BC117" s="82">
        <f>($N117-$F117)*100</f>
        <v/>
      </c>
      <c r="BD117" s="82">
        <f>($Q117-$H117)*100</f>
        <v/>
      </c>
      <c r="BE117" s="82">
        <f>($S117-$J117)*100</f>
        <v/>
      </c>
      <c r="BF117" s="82">
        <f>($V117-$L117)*100</f>
        <v/>
      </c>
      <c r="BG117" s="82">
        <f>$AG117-$AF117</f>
        <v/>
      </c>
      <c r="BH117" s="81">
        <f>IFERROR($AG117/$AF117,"")</f>
        <v/>
      </c>
      <c r="BI117" s="82">
        <f>$AJ117-$AF117</f>
        <v/>
      </c>
      <c r="BJ117" s="81">
        <f>IFERROR($AJ117/$AG117,"")</f>
        <v/>
      </c>
      <c r="BK117" s="81">
        <f>$X117</f>
        <v/>
      </c>
      <c r="BL117" s="82">
        <f>($J117-$J118)*100</f>
        <v/>
      </c>
      <c r="BM117" s="82">
        <f>($F117-$F118)*100</f>
        <v/>
      </c>
      <c r="BN117" s="82">
        <f>$AF117-$AF118</f>
        <v/>
      </c>
      <c r="BO117" s="82">
        <f>$AG117-$AG118</f>
        <v/>
      </c>
      <c r="BP117" s="82">
        <f>$AJ117-$AJ118</f>
        <v/>
      </c>
    </row>
    <row r="118">
      <c r="AR118" s="81">
        <f>($G118+($H118-$G118)*0.5)+($P118-($O118+($Q118-$O118)*0.5))</f>
        <v/>
      </c>
      <c r="AS118" s="81">
        <f>($J118+($K118-$J118)*0.5)+($T118-($S118+($U118-$S118)*0.5))</f>
        <v/>
      </c>
      <c r="AT118" s="82">
        <f>($J118-$C118)*100</f>
        <v/>
      </c>
      <c r="AU118" s="82">
        <f>($H118-$F118)*100</f>
        <v/>
      </c>
      <c r="AV118" s="82">
        <f>($J118-$F118)*100</f>
        <v/>
      </c>
      <c r="AW118" s="82">
        <f>($L118-$F118)*100</f>
        <v/>
      </c>
      <c r="AX118" s="82">
        <f>($J118-$H118)*100</f>
        <v/>
      </c>
      <c r="AY118" s="82">
        <f>($L118-$H118)*100</f>
        <v/>
      </c>
      <c r="AZ118" s="82">
        <f>($L118-$J118)*100</f>
        <v/>
      </c>
      <c r="BA118" s="82">
        <f>(2*$H118-$F118-$J118)*100</f>
        <v/>
      </c>
      <c r="BB118" s="82">
        <f>(2*$J118-$H118-$L118)*100</f>
        <v/>
      </c>
      <c r="BC118" s="82">
        <f>($N118-$F118)*100</f>
        <v/>
      </c>
      <c r="BD118" s="82">
        <f>($Q118-$H118)*100</f>
        <v/>
      </c>
      <c r="BE118" s="82">
        <f>($S118-$J118)*100</f>
        <v/>
      </c>
      <c r="BF118" s="82">
        <f>($V118-$L118)*100</f>
        <v/>
      </c>
      <c r="BG118" s="82">
        <f>$AG118-$AF118</f>
        <v/>
      </c>
      <c r="BH118" s="81">
        <f>IFERROR($AG118/$AF118,"")</f>
        <v/>
      </c>
      <c r="BI118" s="82">
        <f>$AJ118-$AF118</f>
        <v/>
      </c>
      <c r="BJ118" s="81">
        <f>IFERROR($AJ118/$AG118,"")</f>
        <v/>
      </c>
      <c r="BK118" s="81">
        <f>$X118</f>
        <v/>
      </c>
      <c r="BL118" s="82">
        <f>($J118-$J119)*100</f>
        <v/>
      </c>
      <c r="BM118" s="82">
        <f>($F118-$F119)*100</f>
        <v/>
      </c>
      <c r="BN118" s="82">
        <f>$AF118-$AF119</f>
        <v/>
      </c>
      <c r="BO118" s="82">
        <f>$AG118-$AG119</f>
        <v/>
      </c>
      <c r="BP118" s="82">
        <f>$AJ118-$AJ119</f>
        <v/>
      </c>
    </row>
    <row r="119">
      <c r="AR119" s="81">
        <f>($G119+($H119-$G119)*0.5)+($P119-($O119+($Q119-$O119)*0.5))</f>
        <v/>
      </c>
      <c r="AS119" s="81">
        <f>($J119+($K119-$J119)*0.5)+($T119-($S119+($U119-$S119)*0.5))</f>
        <v/>
      </c>
      <c r="AT119" s="82">
        <f>($J119-$C119)*100</f>
        <v/>
      </c>
      <c r="AU119" s="82">
        <f>($H119-$F119)*100</f>
        <v/>
      </c>
      <c r="AV119" s="82">
        <f>($J119-$F119)*100</f>
        <v/>
      </c>
      <c r="AW119" s="82">
        <f>($L119-$F119)*100</f>
        <v/>
      </c>
      <c r="AX119" s="82">
        <f>($J119-$H119)*100</f>
        <v/>
      </c>
      <c r="AY119" s="82">
        <f>($L119-$H119)*100</f>
        <v/>
      </c>
      <c r="AZ119" s="82">
        <f>($L119-$J119)*100</f>
        <v/>
      </c>
      <c r="BA119" s="82">
        <f>(2*$H119-$F119-$J119)*100</f>
        <v/>
      </c>
      <c r="BB119" s="82">
        <f>(2*$J119-$H119-$L119)*100</f>
        <v/>
      </c>
      <c r="BC119" s="82">
        <f>($N119-$F119)*100</f>
        <v/>
      </c>
      <c r="BD119" s="82">
        <f>($Q119-$H119)*100</f>
        <v/>
      </c>
      <c r="BE119" s="82">
        <f>($S119-$J119)*100</f>
        <v/>
      </c>
      <c r="BF119" s="82">
        <f>($V119-$L119)*100</f>
        <v/>
      </c>
      <c r="BG119" s="82">
        <f>$AG119-$AF119</f>
        <v/>
      </c>
      <c r="BH119" s="81">
        <f>IFERROR($AG119/$AF119,"")</f>
        <v/>
      </c>
      <c r="BI119" s="82">
        <f>$AJ119-$AF119</f>
        <v/>
      </c>
      <c r="BJ119" s="81">
        <f>IFERROR($AJ119/$AG119,"")</f>
        <v/>
      </c>
      <c r="BK119" s="81">
        <f>$X119</f>
        <v/>
      </c>
      <c r="BL119" s="82">
        <f>($J119-$J120)*100</f>
        <v/>
      </c>
      <c r="BM119" s="82">
        <f>($F119-$F120)*100</f>
        <v/>
      </c>
      <c r="BN119" s="82">
        <f>$AF119-$AF120</f>
        <v/>
      </c>
      <c r="BO119" s="82">
        <f>$AG119-$AG120</f>
        <v/>
      </c>
      <c r="BP119" s="82">
        <f>$AJ119-$AJ120</f>
        <v/>
      </c>
    </row>
    <row r="120">
      <c r="AR120" s="81">
        <f>($G120+($H120-$G120)*0.5)+($P120-($O120+($Q120-$O120)*0.5))</f>
        <v/>
      </c>
      <c r="AS120" s="81">
        <f>($J120+($K120-$J120)*0.5)+($T120-($S120+($U120-$S120)*0.5))</f>
        <v/>
      </c>
      <c r="AT120" s="82">
        <f>($J120-$C120)*100</f>
        <v/>
      </c>
      <c r="AU120" s="82">
        <f>($H120-$F120)*100</f>
        <v/>
      </c>
      <c r="AV120" s="82">
        <f>($J120-$F120)*100</f>
        <v/>
      </c>
      <c r="AW120" s="82">
        <f>($L120-$F120)*100</f>
        <v/>
      </c>
      <c r="AX120" s="82">
        <f>($J120-$H120)*100</f>
        <v/>
      </c>
      <c r="AY120" s="82">
        <f>($L120-$H120)*100</f>
        <v/>
      </c>
      <c r="AZ120" s="82">
        <f>($L120-$J120)*100</f>
        <v/>
      </c>
      <c r="BA120" s="82">
        <f>(2*$H120-$F120-$J120)*100</f>
        <v/>
      </c>
      <c r="BB120" s="82">
        <f>(2*$J120-$H120-$L120)*100</f>
        <v/>
      </c>
      <c r="BC120" s="82">
        <f>($N120-$F120)*100</f>
        <v/>
      </c>
      <c r="BD120" s="82">
        <f>($Q120-$H120)*100</f>
        <v/>
      </c>
      <c r="BE120" s="82">
        <f>($S120-$J120)*100</f>
        <v/>
      </c>
      <c r="BF120" s="82">
        <f>($V120-$L120)*100</f>
        <v/>
      </c>
      <c r="BG120" s="82">
        <f>$AG120-$AF120</f>
        <v/>
      </c>
      <c r="BH120" s="81">
        <f>IFERROR($AG120/$AF120,"")</f>
        <v/>
      </c>
      <c r="BI120" s="82">
        <f>$AJ120-$AF120</f>
        <v/>
      </c>
      <c r="BJ120" s="81">
        <f>IFERROR($AJ120/$AG120,"")</f>
        <v/>
      </c>
      <c r="BK120" s="81">
        <f>$X120</f>
        <v/>
      </c>
      <c r="BL120" s="82">
        <f>($J120-$J121)*100</f>
        <v/>
      </c>
      <c r="BM120" s="82">
        <f>($F120-$F121)*100</f>
        <v/>
      </c>
      <c r="BN120" s="82">
        <f>$AF120-$AF121</f>
        <v/>
      </c>
      <c r="BO120" s="82">
        <f>$AG120-$AG121</f>
        <v/>
      </c>
      <c r="BP120" s="82">
        <f>$AJ120-$AJ121</f>
        <v/>
      </c>
    </row>
    <row r="121">
      <c r="AR121" s="81">
        <f>($G121+($H121-$G121)*0.5)+($P121-($O121+($Q121-$O121)*0.5))</f>
        <v/>
      </c>
      <c r="AS121" s="81">
        <f>($J121+($K121-$J121)*0.5)+($T121-($S121+($U121-$S121)*0.5))</f>
        <v/>
      </c>
      <c r="AT121" s="82">
        <f>($J121-$C121)*100</f>
        <v/>
      </c>
      <c r="AU121" s="82">
        <f>($H121-$F121)*100</f>
        <v/>
      </c>
      <c r="AV121" s="82">
        <f>($J121-$F121)*100</f>
        <v/>
      </c>
      <c r="AW121" s="82">
        <f>($L121-$F121)*100</f>
        <v/>
      </c>
      <c r="AX121" s="82">
        <f>($J121-$H121)*100</f>
        <v/>
      </c>
      <c r="AY121" s="82">
        <f>($L121-$H121)*100</f>
        <v/>
      </c>
      <c r="AZ121" s="82">
        <f>($L121-$J121)*100</f>
        <v/>
      </c>
      <c r="BA121" s="82">
        <f>(2*$H121-$F121-$J121)*100</f>
        <v/>
      </c>
      <c r="BB121" s="82">
        <f>(2*$J121-$H121-$L121)*100</f>
        <v/>
      </c>
      <c r="BC121" s="82">
        <f>($N121-$F121)*100</f>
        <v/>
      </c>
      <c r="BD121" s="82">
        <f>($Q121-$H121)*100</f>
        <v/>
      </c>
      <c r="BE121" s="82">
        <f>($S121-$J121)*100</f>
        <v/>
      </c>
      <c r="BF121" s="82">
        <f>($V121-$L121)*100</f>
        <v/>
      </c>
      <c r="BG121" s="82">
        <f>$AG121-$AF121</f>
        <v/>
      </c>
      <c r="BH121" s="81">
        <f>IFERROR($AG121/$AF121,"")</f>
        <v/>
      </c>
      <c r="BI121" s="82">
        <f>$AJ121-$AF121</f>
        <v/>
      </c>
      <c r="BJ121" s="81">
        <f>IFERROR($AJ121/$AG121,"")</f>
        <v/>
      </c>
      <c r="BK121" s="81">
        <f>$X121</f>
        <v/>
      </c>
      <c r="BL121" s="82">
        <f>($J121-$J122)*100</f>
        <v/>
      </c>
      <c r="BM121" s="82">
        <f>($F121-$F122)*100</f>
        <v/>
      </c>
      <c r="BN121" s="82">
        <f>$AF121-$AF122</f>
        <v/>
      </c>
      <c r="BO121" s="82">
        <f>$AG121-$AG122</f>
        <v/>
      </c>
      <c r="BP121" s="82">
        <f>$AJ121-$AJ122</f>
        <v/>
      </c>
    </row>
    <row r="122">
      <c r="AR122" s="81">
        <f>($G122+($H122-$G122)*0.5)+($P122-($O122+($Q122-$O122)*0.5))</f>
        <v/>
      </c>
      <c r="AS122" s="81">
        <f>($J122+($K122-$J122)*0.5)+($T122-($S122+($U122-$S122)*0.5))</f>
        <v/>
      </c>
      <c r="AT122" s="82">
        <f>($J122-$C122)*100</f>
        <v/>
      </c>
      <c r="AU122" s="82">
        <f>($H122-$F122)*100</f>
        <v/>
      </c>
      <c r="AV122" s="82">
        <f>($J122-$F122)*100</f>
        <v/>
      </c>
      <c r="AW122" s="82">
        <f>($L122-$F122)*100</f>
        <v/>
      </c>
      <c r="AX122" s="82">
        <f>($J122-$H122)*100</f>
        <v/>
      </c>
      <c r="AY122" s="82">
        <f>($L122-$H122)*100</f>
        <v/>
      </c>
      <c r="AZ122" s="82">
        <f>($L122-$J122)*100</f>
        <v/>
      </c>
      <c r="BA122" s="82">
        <f>(2*$H122-$F122-$J122)*100</f>
        <v/>
      </c>
      <c r="BB122" s="82">
        <f>(2*$J122-$H122-$L122)*100</f>
        <v/>
      </c>
      <c r="BC122" s="82">
        <f>($N122-$F122)*100</f>
        <v/>
      </c>
      <c r="BD122" s="82">
        <f>($Q122-$H122)*100</f>
        <v/>
      </c>
      <c r="BE122" s="82">
        <f>($S122-$J122)*100</f>
        <v/>
      </c>
      <c r="BF122" s="82">
        <f>($V122-$L122)*100</f>
        <v/>
      </c>
      <c r="BG122" s="82">
        <f>$AG122-$AF122</f>
        <v/>
      </c>
      <c r="BH122" s="81">
        <f>IFERROR($AG122/$AF122,"")</f>
        <v/>
      </c>
      <c r="BI122" s="82">
        <f>$AJ122-$AF122</f>
        <v/>
      </c>
      <c r="BJ122" s="81">
        <f>IFERROR($AJ122/$AG122,"")</f>
        <v/>
      </c>
      <c r="BK122" s="81">
        <f>$X122</f>
        <v/>
      </c>
      <c r="BL122" s="82">
        <f>($J122-$J123)*100</f>
        <v/>
      </c>
      <c r="BM122" s="82">
        <f>($F122-$F123)*100</f>
        <v/>
      </c>
      <c r="BN122" s="82">
        <f>$AF122-$AF123</f>
        <v/>
      </c>
      <c r="BO122" s="82">
        <f>$AG122-$AG123</f>
        <v/>
      </c>
      <c r="BP122" s="82">
        <f>$AJ122-$AJ123</f>
        <v/>
      </c>
    </row>
    <row r="123">
      <c r="AR123" s="81">
        <f>($G123+($H123-$G123)*0.5)+($P123-($O123+($Q123-$O123)*0.5))</f>
        <v/>
      </c>
      <c r="AS123" s="81">
        <f>($J123+($K123-$J123)*0.5)+($T123-($S123+($U123-$S123)*0.5))</f>
        <v/>
      </c>
      <c r="AT123" s="82">
        <f>($J123-$C123)*100</f>
        <v/>
      </c>
      <c r="AU123" s="82">
        <f>($H123-$F123)*100</f>
        <v/>
      </c>
      <c r="AV123" s="82">
        <f>($J123-$F123)*100</f>
        <v/>
      </c>
      <c r="AW123" s="82">
        <f>($L123-$F123)*100</f>
        <v/>
      </c>
      <c r="AX123" s="82">
        <f>($J123-$H123)*100</f>
        <v/>
      </c>
      <c r="AY123" s="82">
        <f>($L123-$H123)*100</f>
        <v/>
      </c>
      <c r="AZ123" s="82">
        <f>($L123-$J123)*100</f>
        <v/>
      </c>
      <c r="BA123" s="82">
        <f>(2*$H123-$F123-$J123)*100</f>
        <v/>
      </c>
      <c r="BB123" s="82">
        <f>(2*$J123-$H123-$L123)*100</f>
        <v/>
      </c>
      <c r="BC123" s="82">
        <f>($N123-$F123)*100</f>
        <v/>
      </c>
      <c r="BD123" s="82">
        <f>($Q123-$H123)*100</f>
        <v/>
      </c>
      <c r="BE123" s="82">
        <f>($S123-$J123)*100</f>
        <v/>
      </c>
      <c r="BF123" s="82">
        <f>($V123-$L123)*100</f>
        <v/>
      </c>
      <c r="BG123" s="82">
        <f>$AG123-$AF123</f>
        <v/>
      </c>
      <c r="BH123" s="81">
        <f>IFERROR($AG123/$AF123,"")</f>
        <v/>
      </c>
      <c r="BI123" s="82">
        <f>$AJ123-$AF123</f>
        <v/>
      </c>
      <c r="BJ123" s="81">
        <f>IFERROR($AJ123/$AG123,"")</f>
        <v/>
      </c>
      <c r="BK123" s="81">
        <f>$X123</f>
        <v/>
      </c>
      <c r="BL123" s="82">
        <f>($J123-$J124)*100</f>
        <v/>
      </c>
      <c r="BM123" s="82">
        <f>($F123-$F124)*100</f>
        <v/>
      </c>
      <c r="BN123" s="82">
        <f>$AF123-$AF124</f>
        <v/>
      </c>
      <c r="BO123" s="82">
        <f>$AG123-$AG124</f>
        <v/>
      </c>
      <c r="BP123" s="82">
        <f>$AJ123-$AJ124</f>
        <v/>
      </c>
    </row>
    <row r="124">
      <c r="AR124" s="81">
        <f>($G124+($H124-$G124)*0.5)+($P124-($O124+($Q124-$O124)*0.5))</f>
        <v/>
      </c>
      <c r="AS124" s="81">
        <f>($J124+($K124-$J124)*0.5)+($T124-($S124+($U124-$S124)*0.5))</f>
        <v/>
      </c>
      <c r="AT124" s="82">
        <f>($J124-$C124)*100</f>
        <v/>
      </c>
      <c r="AU124" s="82">
        <f>($H124-$F124)*100</f>
        <v/>
      </c>
      <c r="AV124" s="82">
        <f>($J124-$F124)*100</f>
        <v/>
      </c>
      <c r="AW124" s="82">
        <f>($L124-$F124)*100</f>
        <v/>
      </c>
      <c r="AX124" s="82">
        <f>($J124-$H124)*100</f>
        <v/>
      </c>
      <c r="AY124" s="82">
        <f>($L124-$H124)*100</f>
        <v/>
      </c>
      <c r="AZ124" s="82">
        <f>($L124-$J124)*100</f>
        <v/>
      </c>
      <c r="BA124" s="82">
        <f>(2*$H124-$F124-$J124)*100</f>
        <v/>
      </c>
      <c r="BB124" s="82">
        <f>(2*$J124-$H124-$L124)*100</f>
        <v/>
      </c>
      <c r="BC124" s="82">
        <f>($N124-$F124)*100</f>
        <v/>
      </c>
      <c r="BD124" s="82">
        <f>($Q124-$H124)*100</f>
        <v/>
      </c>
      <c r="BE124" s="82">
        <f>($S124-$J124)*100</f>
        <v/>
      </c>
      <c r="BF124" s="82">
        <f>($V124-$L124)*100</f>
        <v/>
      </c>
      <c r="BG124" s="82">
        <f>$AG124-$AF124</f>
        <v/>
      </c>
      <c r="BH124" s="81">
        <f>IFERROR($AG124/$AF124,"")</f>
        <v/>
      </c>
      <c r="BI124" s="82">
        <f>$AJ124-$AF124</f>
        <v/>
      </c>
      <c r="BJ124" s="81">
        <f>IFERROR($AJ124/$AG124,"")</f>
        <v/>
      </c>
      <c r="BK124" s="81">
        <f>$X124</f>
        <v/>
      </c>
      <c r="BL124" s="82">
        <f>($J124-$J125)*100</f>
        <v/>
      </c>
      <c r="BM124" s="82">
        <f>($F124-$F125)*100</f>
        <v/>
      </c>
      <c r="BN124" s="82">
        <f>$AF124-$AF125</f>
        <v/>
      </c>
      <c r="BO124" s="82">
        <f>$AG124-$AG125</f>
        <v/>
      </c>
      <c r="BP124" s="82">
        <f>$AJ124-$AJ125</f>
        <v/>
      </c>
    </row>
    <row r="125">
      <c r="AR125" s="81">
        <f>($G125+($H125-$G125)*0.5)+($P125-($O125+($Q125-$O125)*0.5))</f>
        <v/>
      </c>
      <c r="AS125" s="81">
        <f>($J125+($K125-$J125)*0.5)+($T125-($S125+($U125-$S125)*0.5))</f>
        <v/>
      </c>
      <c r="AT125" s="82">
        <f>($J125-$C125)*100</f>
        <v/>
      </c>
      <c r="AU125" s="82">
        <f>($H125-$F125)*100</f>
        <v/>
      </c>
      <c r="AV125" s="82">
        <f>($J125-$F125)*100</f>
        <v/>
      </c>
      <c r="AW125" s="82">
        <f>($L125-$F125)*100</f>
        <v/>
      </c>
      <c r="AX125" s="82">
        <f>($J125-$H125)*100</f>
        <v/>
      </c>
      <c r="AY125" s="82">
        <f>($L125-$H125)*100</f>
        <v/>
      </c>
      <c r="AZ125" s="82">
        <f>($L125-$J125)*100</f>
        <v/>
      </c>
      <c r="BA125" s="82">
        <f>(2*$H125-$F125-$J125)*100</f>
        <v/>
      </c>
      <c r="BB125" s="82">
        <f>(2*$J125-$H125-$L125)*100</f>
        <v/>
      </c>
      <c r="BC125" s="82">
        <f>($N125-$F125)*100</f>
        <v/>
      </c>
      <c r="BD125" s="82">
        <f>($Q125-$H125)*100</f>
        <v/>
      </c>
      <c r="BE125" s="82">
        <f>($S125-$J125)*100</f>
        <v/>
      </c>
      <c r="BF125" s="82">
        <f>($V125-$L125)*100</f>
        <v/>
      </c>
      <c r="BG125" s="82">
        <f>$AG125-$AF125</f>
        <v/>
      </c>
      <c r="BH125" s="81">
        <f>IFERROR($AG125/$AF125,"")</f>
        <v/>
      </c>
      <c r="BI125" s="82">
        <f>$AJ125-$AF125</f>
        <v/>
      </c>
      <c r="BJ125" s="81">
        <f>IFERROR($AJ125/$AG125,"")</f>
        <v/>
      </c>
      <c r="BK125" s="81">
        <f>$X125</f>
        <v/>
      </c>
      <c r="BL125" s="82">
        <f>($J125-$J126)*100</f>
        <v/>
      </c>
      <c r="BM125" s="82">
        <f>($F125-$F126)*100</f>
        <v/>
      </c>
      <c r="BN125" s="82">
        <f>$AF125-$AF126</f>
        <v/>
      </c>
      <c r="BO125" s="82">
        <f>$AG125-$AG126</f>
        <v/>
      </c>
      <c r="BP125" s="82">
        <f>$AJ125-$AJ126</f>
        <v/>
      </c>
    </row>
    <row r="126">
      <c r="AR126" s="81">
        <f>($G126+($H126-$G126)*0.5)+($P126-($O126+($Q126-$O126)*0.5))</f>
        <v/>
      </c>
      <c r="AS126" s="81">
        <f>($J126+($K126-$J126)*0.5)+($T126-($S126+($U126-$S126)*0.5))</f>
        <v/>
      </c>
      <c r="AT126" s="82">
        <f>($J126-$C126)*100</f>
        <v/>
      </c>
      <c r="AU126" s="82">
        <f>($H126-$F126)*100</f>
        <v/>
      </c>
      <c r="AV126" s="82">
        <f>($J126-$F126)*100</f>
        <v/>
      </c>
      <c r="AW126" s="82">
        <f>($L126-$F126)*100</f>
        <v/>
      </c>
      <c r="AX126" s="82">
        <f>($J126-$H126)*100</f>
        <v/>
      </c>
      <c r="AY126" s="82">
        <f>($L126-$H126)*100</f>
        <v/>
      </c>
      <c r="AZ126" s="82">
        <f>($L126-$J126)*100</f>
        <v/>
      </c>
      <c r="BA126" s="82">
        <f>(2*$H126-$F126-$J126)*100</f>
        <v/>
      </c>
      <c r="BB126" s="82">
        <f>(2*$J126-$H126-$L126)*100</f>
        <v/>
      </c>
      <c r="BC126" s="82">
        <f>($N126-$F126)*100</f>
        <v/>
      </c>
      <c r="BD126" s="82">
        <f>($Q126-$H126)*100</f>
        <v/>
      </c>
      <c r="BE126" s="82">
        <f>($S126-$J126)*100</f>
        <v/>
      </c>
      <c r="BF126" s="82">
        <f>($V126-$L126)*100</f>
        <v/>
      </c>
      <c r="BG126" s="82">
        <f>$AG126-$AF126</f>
        <v/>
      </c>
      <c r="BH126" s="81">
        <f>IFERROR($AG126/$AF126,"")</f>
        <v/>
      </c>
      <c r="BI126" s="82">
        <f>$AJ126-$AF126</f>
        <v/>
      </c>
      <c r="BJ126" s="81">
        <f>IFERROR($AJ126/$AG126,"")</f>
        <v/>
      </c>
      <c r="BK126" s="81">
        <f>$X126</f>
        <v/>
      </c>
      <c r="BL126" s="82">
        <f>($J126-$J127)*100</f>
        <v/>
      </c>
      <c r="BM126" s="82">
        <f>($F126-$F127)*100</f>
        <v/>
      </c>
      <c r="BN126" s="82">
        <f>$AF126-$AF127</f>
        <v/>
      </c>
      <c r="BO126" s="82">
        <f>$AG126-$AG127</f>
        <v/>
      </c>
      <c r="BP126" s="82">
        <f>$AJ126-$AJ127</f>
        <v/>
      </c>
    </row>
    <row r="127">
      <c r="AR127" s="81">
        <f>($G127+($H127-$G127)*0.5)+($P127-($O127+($Q127-$O127)*0.5))</f>
        <v/>
      </c>
      <c r="AS127" s="81">
        <f>($J127+($K127-$J127)*0.5)+($T127-($S127+($U127-$S127)*0.5))</f>
        <v/>
      </c>
      <c r="AT127" s="82">
        <f>($J127-$C127)*100</f>
        <v/>
      </c>
      <c r="AU127" s="82">
        <f>($H127-$F127)*100</f>
        <v/>
      </c>
      <c r="AV127" s="82">
        <f>($J127-$F127)*100</f>
        <v/>
      </c>
      <c r="AW127" s="82">
        <f>($L127-$F127)*100</f>
        <v/>
      </c>
      <c r="AX127" s="82">
        <f>($J127-$H127)*100</f>
        <v/>
      </c>
      <c r="AY127" s="82">
        <f>($L127-$H127)*100</f>
        <v/>
      </c>
      <c r="AZ127" s="82">
        <f>($L127-$J127)*100</f>
        <v/>
      </c>
      <c r="BA127" s="82">
        <f>(2*$H127-$F127-$J127)*100</f>
        <v/>
      </c>
      <c r="BB127" s="82">
        <f>(2*$J127-$H127-$L127)*100</f>
        <v/>
      </c>
      <c r="BC127" s="82">
        <f>($N127-$F127)*100</f>
        <v/>
      </c>
      <c r="BD127" s="82">
        <f>($Q127-$H127)*100</f>
        <v/>
      </c>
      <c r="BE127" s="82">
        <f>($S127-$J127)*100</f>
        <v/>
      </c>
      <c r="BF127" s="82">
        <f>($V127-$L127)*100</f>
        <v/>
      </c>
      <c r="BG127" s="82">
        <f>$AG127-$AF127</f>
        <v/>
      </c>
      <c r="BH127" s="81">
        <f>IFERROR($AG127/$AF127,"")</f>
        <v/>
      </c>
      <c r="BI127" s="82">
        <f>$AJ127-$AF127</f>
        <v/>
      </c>
      <c r="BJ127" s="81">
        <f>IFERROR($AJ127/$AG127,"")</f>
        <v/>
      </c>
      <c r="BK127" s="81">
        <f>$X127</f>
        <v/>
      </c>
      <c r="BL127" s="82">
        <f>($J127-$J128)*100</f>
        <v/>
      </c>
      <c r="BM127" s="82">
        <f>($F127-$F128)*100</f>
        <v/>
      </c>
      <c r="BN127" s="82">
        <f>$AF127-$AF128</f>
        <v/>
      </c>
      <c r="BO127" s="82">
        <f>$AG127-$AG128</f>
        <v/>
      </c>
      <c r="BP127" s="82">
        <f>$AJ127-$AJ128</f>
        <v/>
      </c>
    </row>
    <row r="128">
      <c r="AR128" s="81">
        <f>($G128+($H128-$G128)*0.5)+($P128-($O128+($Q128-$O128)*0.5))</f>
        <v/>
      </c>
      <c r="AS128" s="81">
        <f>($J128+($K128-$J128)*0.5)+($T128-($S128+($U128-$S128)*0.5))</f>
        <v/>
      </c>
      <c r="AT128" s="82">
        <f>($J128-$C128)*100</f>
        <v/>
      </c>
      <c r="AU128" s="82">
        <f>($H128-$F128)*100</f>
        <v/>
      </c>
      <c r="AV128" s="82">
        <f>($J128-$F128)*100</f>
        <v/>
      </c>
      <c r="AW128" s="82">
        <f>($L128-$F128)*100</f>
        <v/>
      </c>
      <c r="AX128" s="82">
        <f>($J128-$H128)*100</f>
        <v/>
      </c>
      <c r="AY128" s="82">
        <f>($L128-$H128)*100</f>
        <v/>
      </c>
      <c r="AZ128" s="82">
        <f>($L128-$J128)*100</f>
        <v/>
      </c>
      <c r="BA128" s="82">
        <f>(2*$H128-$F128-$J128)*100</f>
        <v/>
      </c>
      <c r="BB128" s="82">
        <f>(2*$J128-$H128-$L128)*100</f>
        <v/>
      </c>
      <c r="BC128" s="82">
        <f>($N128-$F128)*100</f>
        <v/>
      </c>
      <c r="BD128" s="82">
        <f>($Q128-$H128)*100</f>
        <v/>
      </c>
      <c r="BE128" s="82">
        <f>($S128-$J128)*100</f>
        <v/>
      </c>
      <c r="BF128" s="82">
        <f>($V128-$L128)*100</f>
        <v/>
      </c>
      <c r="BG128" s="82">
        <f>$AG128-$AF128</f>
        <v/>
      </c>
      <c r="BH128" s="81">
        <f>IFERROR($AG128/$AF128,"")</f>
        <v/>
      </c>
      <c r="BI128" s="82">
        <f>$AJ128-$AF128</f>
        <v/>
      </c>
      <c r="BJ128" s="81">
        <f>IFERROR($AJ128/$AG128,"")</f>
        <v/>
      </c>
      <c r="BK128" s="81">
        <f>$X128</f>
        <v/>
      </c>
      <c r="BL128" s="82">
        <f>($J128-$J129)*100</f>
        <v/>
      </c>
      <c r="BM128" s="82">
        <f>($F128-$F129)*100</f>
        <v/>
      </c>
      <c r="BN128" s="82">
        <f>$AF128-$AF129</f>
        <v/>
      </c>
      <c r="BO128" s="82">
        <f>$AG128-$AG129</f>
        <v/>
      </c>
      <c r="BP128" s="82">
        <f>$AJ128-$AJ129</f>
        <v/>
      </c>
    </row>
    <row r="129">
      <c r="AR129" s="81">
        <f>($G129+($H129-$G129)*0.5)+($P129-($O129+($Q129-$O129)*0.5))</f>
        <v/>
      </c>
      <c r="AS129" s="81">
        <f>($J129+($K129-$J129)*0.5)+($T129-($S129+($U129-$S129)*0.5))</f>
        <v/>
      </c>
      <c r="AT129" s="82">
        <f>($J129-$C129)*100</f>
        <v/>
      </c>
      <c r="AU129" s="82">
        <f>($H129-$F129)*100</f>
        <v/>
      </c>
      <c r="AV129" s="82">
        <f>($J129-$F129)*100</f>
        <v/>
      </c>
      <c r="AW129" s="82">
        <f>($L129-$F129)*100</f>
        <v/>
      </c>
      <c r="AX129" s="82">
        <f>($J129-$H129)*100</f>
        <v/>
      </c>
      <c r="AY129" s="82">
        <f>($L129-$H129)*100</f>
        <v/>
      </c>
      <c r="AZ129" s="82">
        <f>($L129-$J129)*100</f>
        <v/>
      </c>
      <c r="BA129" s="82">
        <f>(2*$H129-$F129-$J129)*100</f>
        <v/>
      </c>
      <c r="BB129" s="82">
        <f>(2*$J129-$H129-$L129)*100</f>
        <v/>
      </c>
      <c r="BC129" s="82">
        <f>($N129-$F129)*100</f>
        <v/>
      </c>
      <c r="BD129" s="82">
        <f>($Q129-$H129)*100</f>
        <v/>
      </c>
      <c r="BE129" s="82">
        <f>($S129-$J129)*100</f>
        <v/>
      </c>
      <c r="BF129" s="82">
        <f>($V129-$L129)*100</f>
        <v/>
      </c>
      <c r="BG129" s="82">
        <f>$AG129-$AF129</f>
        <v/>
      </c>
      <c r="BH129" s="81">
        <f>IFERROR($AG129/$AF129,"")</f>
        <v/>
      </c>
      <c r="BI129" s="82">
        <f>$AJ129-$AF129</f>
        <v/>
      </c>
      <c r="BJ129" s="81">
        <f>IFERROR($AJ129/$AG129,"")</f>
        <v/>
      </c>
      <c r="BK129" s="81">
        <f>$X129</f>
        <v/>
      </c>
      <c r="BL129" s="82">
        <f>($J129-$J130)*100</f>
        <v/>
      </c>
      <c r="BM129" s="82">
        <f>($F129-$F130)*100</f>
        <v/>
      </c>
      <c r="BN129" s="82">
        <f>$AF129-$AF130</f>
        <v/>
      </c>
      <c r="BO129" s="82">
        <f>$AG129-$AG130</f>
        <v/>
      </c>
      <c r="BP129" s="82">
        <f>$AJ129-$AJ130</f>
        <v/>
      </c>
    </row>
    <row r="130">
      <c r="AR130" s="81">
        <f>($G130+($H130-$G130)*0.5)+($P130-($O130+($Q130-$O130)*0.5))</f>
        <v/>
      </c>
      <c r="AS130" s="81">
        <f>($J130+($K130-$J130)*0.5)+($T130-($S130+($U130-$S130)*0.5))</f>
        <v/>
      </c>
      <c r="AT130" s="82">
        <f>($J130-$C130)*100</f>
        <v/>
      </c>
      <c r="AU130" s="82">
        <f>($H130-$F130)*100</f>
        <v/>
      </c>
      <c r="AV130" s="82">
        <f>($J130-$F130)*100</f>
        <v/>
      </c>
      <c r="AW130" s="82">
        <f>($L130-$F130)*100</f>
        <v/>
      </c>
      <c r="AX130" s="82">
        <f>($J130-$H130)*100</f>
        <v/>
      </c>
      <c r="AY130" s="82">
        <f>($L130-$H130)*100</f>
        <v/>
      </c>
      <c r="AZ130" s="82">
        <f>($L130-$J130)*100</f>
        <v/>
      </c>
      <c r="BA130" s="82">
        <f>(2*$H130-$F130-$J130)*100</f>
        <v/>
      </c>
      <c r="BB130" s="82">
        <f>(2*$J130-$H130-$L130)*100</f>
        <v/>
      </c>
      <c r="BC130" s="82">
        <f>($N130-$F130)*100</f>
        <v/>
      </c>
      <c r="BD130" s="82">
        <f>($Q130-$H130)*100</f>
        <v/>
      </c>
      <c r="BE130" s="82">
        <f>($S130-$J130)*100</f>
        <v/>
      </c>
      <c r="BF130" s="82">
        <f>($V130-$L130)*100</f>
        <v/>
      </c>
      <c r="BG130" s="82">
        <f>$AG130-$AF130</f>
        <v/>
      </c>
      <c r="BH130" s="81">
        <f>IFERROR($AG130/$AF130,"")</f>
        <v/>
      </c>
      <c r="BI130" s="82">
        <f>$AJ130-$AF130</f>
        <v/>
      </c>
      <c r="BJ130" s="81">
        <f>IFERROR($AJ130/$AG130,"")</f>
        <v/>
      </c>
      <c r="BK130" s="81">
        <f>$X130</f>
        <v/>
      </c>
      <c r="BL130" s="82">
        <f>($J130-$J131)*100</f>
        <v/>
      </c>
      <c r="BM130" s="82">
        <f>($F130-$F131)*100</f>
        <v/>
      </c>
      <c r="BN130" s="82">
        <f>$AF130-$AF131</f>
        <v/>
      </c>
      <c r="BO130" s="82">
        <f>$AG130-$AG131</f>
        <v/>
      </c>
      <c r="BP130" s="82">
        <f>$AJ130-$AJ131</f>
        <v/>
      </c>
    </row>
    <row r="131">
      <c r="AR131" s="81">
        <f>($G131+($H131-$G131)*0.5)+($P131-($O131+($Q131-$O131)*0.5))</f>
        <v/>
      </c>
      <c r="AS131" s="81">
        <f>($J131+($K131-$J131)*0.5)+($T131-($S131+($U131-$S131)*0.5))</f>
        <v/>
      </c>
      <c r="AT131" s="82">
        <f>($J131-$C131)*100</f>
        <v/>
      </c>
      <c r="AU131" s="82">
        <f>($H131-$F131)*100</f>
        <v/>
      </c>
      <c r="AV131" s="82">
        <f>($J131-$F131)*100</f>
        <v/>
      </c>
      <c r="AW131" s="82">
        <f>($L131-$F131)*100</f>
        <v/>
      </c>
      <c r="AX131" s="82">
        <f>($J131-$H131)*100</f>
        <v/>
      </c>
      <c r="AY131" s="82">
        <f>($L131-$H131)*100</f>
        <v/>
      </c>
      <c r="AZ131" s="82">
        <f>($L131-$J131)*100</f>
        <v/>
      </c>
      <c r="BA131" s="82">
        <f>(2*$H131-$F131-$J131)*100</f>
        <v/>
      </c>
      <c r="BB131" s="82">
        <f>(2*$J131-$H131-$L131)*100</f>
        <v/>
      </c>
      <c r="BC131" s="82">
        <f>($N131-$F131)*100</f>
        <v/>
      </c>
      <c r="BD131" s="82">
        <f>($Q131-$H131)*100</f>
        <v/>
      </c>
      <c r="BE131" s="82">
        <f>($S131-$J131)*100</f>
        <v/>
      </c>
      <c r="BF131" s="82">
        <f>($V131-$L131)*100</f>
        <v/>
      </c>
      <c r="BG131" s="82">
        <f>$AG131-$AF131</f>
        <v/>
      </c>
      <c r="BH131" s="81">
        <f>IFERROR($AG131/$AF131,"")</f>
        <v/>
      </c>
      <c r="BI131" s="82">
        <f>$AJ131-$AF131</f>
        <v/>
      </c>
      <c r="BJ131" s="81">
        <f>IFERROR($AJ131/$AG131,"")</f>
        <v/>
      </c>
      <c r="BK131" s="81">
        <f>$X131</f>
        <v/>
      </c>
      <c r="BL131" s="82">
        <f>($J131-$J132)*100</f>
        <v/>
      </c>
      <c r="BM131" s="82">
        <f>($F131-$F132)*100</f>
        <v/>
      </c>
      <c r="BN131" s="82">
        <f>$AF131-$AF132</f>
        <v/>
      </c>
      <c r="BO131" s="82">
        <f>$AG131-$AG132</f>
        <v/>
      </c>
      <c r="BP131" s="82">
        <f>$AJ131-$AJ132</f>
        <v/>
      </c>
    </row>
    <row r="132">
      <c r="AR132" s="81">
        <f>($G132+($H132-$G132)*0.5)+($P132-($O132+($Q132-$O132)*0.5))</f>
        <v/>
      </c>
      <c r="AS132" s="81">
        <f>($J132+($K132-$J132)*0.5)+($T132-($S132+($U132-$S132)*0.5))</f>
        <v/>
      </c>
      <c r="AT132" s="82">
        <f>($J132-$C132)*100</f>
        <v/>
      </c>
      <c r="AU132" s="82">
        <f>($H132-$F132)*100</f>
        <v/>
      </c>
      <c r="AV132" s="82">
        <f>($J132-$F132)*100</f>
        <v/>
      </c>
      <c r="AW132" s="82">
        <f>($L132-$F132)*100</f>
        <v/>
      </c>
      <c r="AX132" s="82">
        <f>($J132-$H132)*100</f>
        <v/>
      </c>
      <c r="AY132" s="82">
        <f>($L132-$H132)*100</f>
        <v/>
      </c>
      <c r="AZ132" s="82">
        <f>($L132-$J132)*100</f>
        <v/>
      </c>
      <c r="BA132" s="82">
        <f>(2*$H132-$F132-$J132)*100</f>
        <v/>
      </c>
      <c r="BB132" s="82">
        <f>(2*$J132-$H132-$L132)*100</f>
        <v/>
      </c>
      <c r="BC132" s="82">
        <f>($N132-$F132)*100</f>
        <v/>
      </c>
      <c r="BD132" s="82">
        <f>($Q132-$H132)*100</f>
        <v/>
      </c>
      <c r="BE132" s="82">
        <f>($S132-$J132)*100</f>
        <v/>
      </c>
      <c r="BF132" s="82">
        <f>($V132-$L132)*100</f>
        <v/>
      </c>
      <c r="BG132" s="82">
        <f>$AG132-$AF132</f>
        <v/>
      </c>
      <c r="BH132" s="81">
        <f>IFERROR($AG132/$AF132,"")</f>
        <v/>
      </c>
      <c r="BI132" s="82">
        <f>$AJ132-$AF132</f>
        <v/>
      </c>
      <c r="BJ132" s="81">
        <f>IFERROR($AJ132/$AG132,"")</f>
        <v/>
      </c>
      <c r="BK132" s="81">
        <f>$X132</f>
        <v/>
      </c>
      <c r="BL132" s="82">
        <f>($J132-$J133)*100</f>
        <v/>
      </c>
      <c r="BM132" s="82">
        <f>($F132-$F133)*100</f>
        <v/>
      </c>
      <c r="BN132" s="82">
        <f>$AF132-$AF133</f>
        <v/>
      </c>
      <c r="BO132" s="82">
        <f>$AG132-$AG133</f>
        <v/>
      </c>
      <c r="BP132" s="82">
        <f>$AJ132-$AJ133</f>
        <v/>
      </c>
    </row>
    <row r="133">
      <c r="AR133" s="81">
        <f>($G133+($H133-$G133)*0.5)+($P133-($O133+($Q133-$O133)*0.5))</f>
        <v/>
      </c>
      <c r="AS133" s="81">
        <f>($J133+($K133-$J133)*0.5)+($T133-($S133+($U133-$S133)*0.5))</f>
        <v/>
      </c>
      <c r="AT133" s="82">
        <f>($J133-$C133)*100</f>
        <v/>
      </c>
      <c r="AU133" s="82">
        <f>($H133-$F133)*100</f>
        <v/>
      </c>
      <c r="AV133" s="82">
        <f>($J133-$F133)*100</f>
        <v/>
      </c>
      <c r="AW133" s="82">
        <f>($L133-$F133)*100</f>
        <v/>
      </c>
      <c r="AX133" s="82">
        <f>($J133-$H133)*100</f>
        <v/>
      </c>
      <c r="AY133" s="82">
        <f>($L133-$H133)*100</f>
        <v/>
      </c>
      <c r="AZ133" s="82">
        <f>($L133-$J133)*100</f>
        <v/>
      </c>
      <c r="BA133" s="82">
        <f>(2*$H133-$F133-$J133)*100</f>
        <v/>
      </c>
      <c r="BB133" s="82">
        <f>(2*$J133-$H133-$L133)*100</f>
        <v/>
      </c>
      <c r="BC133" s="82">
        <f>($N133-$F133)*100</f>
        <v/>
      </c>
      <c r="BD133" s="82">
        <f>($Q133-$H133)*100</f>
        <v/>
      </c>
      <c r="BE133" s="82">
        <f>($S133-$J133)*100</f>
        <v/>
      </c>
      <c r="BF133" s="82">
        <f>($V133-$L133)*100</f>
        <v/>
      </c>
      <c r="BG133" s="82">
        <f>$AG133-$AF133</f>
        <v/>
      </c>
      <c r="BH133" s="81">
        <f>IFERROR($AG133/$AF133,"")</f>
        <v/>
      </c>
      <c r="BI133" s="82">
        <f>$AJ133-$AF133</f>
        <v/>
      </c>
      <c r="BJ133" s="81">
        <f>IFERROR($AJ133/$AG133,"")</f>
        <v/>
      </c>
      <c r="BK133" s="81">
        <f>$X133</f>
        <v/>
      </c>
      <c r="BL133" s="82">
        <f>($J133-$J134)*100</f>
        <v/>
      </c>
      <c r="BM133" s="82">
        <f>($F133-$F134)*100</f>
        <v/>
      </c>
      <c r="BN133" s="82">
        <f>$AF133-$AF134</f>
        <v/>
      </c>
      <c r="BO133" s="82">
        <f>$AG133-$AG134</f>
        <v/>
      </c>
      <c r="BP133" s="82">
        <f>$AJ133-$AJ134</f>
        <v/>
      </c>
    </row>
    <row r="134">
      <c r="AR134" s="81">
        <f>($G134+($H134-$G134)*0.5)+($P134-($O134+($Q134-$O134)*0.5))</f>
        <v/>
      </c>
      <c r="AS134" s="81">
        <f>($J134+($K134-$J134)*0.5)+($T134-($S134+($U134-$S134)*0.5))</f>
        <v/>
      </c>
      <c r="AT134" s="82">
        <f>($J134-$C134)*100</f>
        <v/>
      </c>
      <c r="AU134" s="82">
        <f>($H134-$F134)*100</f>
        <v/>
      </c>
      <c r="AV134" s="82">
        <f>($J134-$F134)*100</f>
        <v/>
      </c>
      <c r="AW134" s="82">
        <f>($L134-$F134)*100</f>
        <v/>
      </c>
      <c r="AX134" s="82">
        <f>($J134-$H134)*100</f>
        <v/>
      </c>
      <c r="AY134" s="82">
        <f>($L134-$H134)*100</f>
        <v/>
      </c>
      <c r="AZ134" s="82">
        <f>($L134-$J134)*100</f>
        <v/>
      </c>
      <c r="BA134" s="82">
        <f>(2*$H134-$F134-$J134)*100</f>
        <v/>
      </c>
      <c r="BB134" s="82">
        <f>(2*$J134-$H134-$L134)*100</f>
        <v/>
      </c>
      <c r="BC134" s="82">
        <f>($N134-$F134)*100</f>
        <v/>
      </c>
      <c r="BD134" s="82">
        <f>($Q134-$H134)*100</f>
        <v/>
      </c>
      <c r="BE134" s="82">
        <f>($S134-$J134)*100</f>
        <v/>
      </c>
      <c r="BF134" s="82">
        <f>($V134-$L134)*100</f>
        <v/>
      </c>
      <c r="BG134" s="82">
        <f>$AG134-$AF134</f>
        <v/>
      </c>
      <c r="BH134" s="81">
        <f>IFERROR($AG134/$AF134,"")</f>
        <v/>
      </c>
      <c r="BI134" s="82">
        <f>$AJ134-$AF134</f>
        <v/>
      </c>
      <c r="BJ134" s="81">
        <f>IFERROR($AJ134/$AG134,"")</f>
        <v/>
      </c>
      <c r="BK134" s="81">
        <f>$X134</f>
        <v/>
      </c>
      <c r="BL134" s="82">
        <f>($J134-$J135)*100</f>
        <v/>
      </c>
      <c r="BM134" s="82">
        <f>($F134-$F135)*100</f>
        <v/>
      </c>
      <c r="BN134" s="82">
        <f>$AF134-$AF135</f>
        <v/>
      </c>
      <c r="BO134" s="82">
        <f>$AG134-$AG135</f>
        <v/>
      </c>
      <c r="BP134" s="82">
        <f>$AJ134-$AJ135</f>
        <v/>
      </c>
    </row>
    <row r="135">
      <c r="AR135" s="81">
        <f>($G135+($H135-$G135)*0.5)+($P135-($O135+($Q135-$O135)*0.5))</f>
        <v/>
      </c>
      <c r="AS135" s="81">
        <f>($J135+($K135-$J135)*0.5)+($T135-($S135+($U135-$S135)*0.5))</f>
        <v/>
      </c>
      <c r="AT135" s="82">
        <f>($J135-$C135)*100</f>
        <v/>
      </c>
      <c r="AU135" s="82">
        <f>($H135-$F135)*100</f>
        <v/>
      </c>
      <c r="AV135" s="82">
        <f>($J135-$F135)*100</f>
        <v/>
      </c>
      <c r="AW135" s="82">
        <f>($L135-$F135)*100</f>
        <v/>
      </c>
      <c r="AX135" s="82">
        <f>($J135-$H135)*100</f>
        <v/>
      </c>
      <c r="AY135" s="82">
        <f>($L135-$H135)*100</f>
        <v/>
      </c>
      <c r="AZ135" s="82">
        <f>($L135-$J135)*100</f>
        <v/>
      </c>
      <c r="BA135" s="82">
        <f>(2*$H135-$F135-$J135)*100</f>
        <v/>
      </c>
      <c r="BB135" s="82">
        <f>(2*$J135-$H135-$L135)*100</f>
        <v/>
      </c>
      <c r="BC135" s="82">
        <f>($N135-$F135)*100</f>
        <v/>
      </c>
      <c r="BD135" s="82">
        <f>($Q135-$H135)*100</f>
        <v/>
      </c>
      <c r="BE135" s="82">
        <f>($S135-$J135)*100</f>
        <v/>
      </c>
      <c r="BF135" s="82">
        <f>($V135-$L135)*100</f>
        <v/>
      </c>
      <c r="BG135" s="82">
        <f>$AG135-$AF135</f>
        <v/>
      </c>
      <c r="BH135" s="81">
        <f>IFERROR($AG135/$AF135,"")</f>
        <v/>
      </c>
      <c r="BI135" s="82">
        <f>$AJ135-$AF135</f>
        <v/>
      </c>
      <c r="BJ135" s="81">
        <f>IFERROR($AJ135/$AG135,"")</f>
        <v/>
      </c>
      <c r="BK135" s="81">
        <f>$X135</f>
        <v/>
      </c>
      <c r="BL135" s="82">
        <f>($J135-$J136)*100</f>
        <v/>
      </c>
      <c r="BM135" s="82">
        <f>($F135-$F136)*100</f>
        <v/>
      </c>
      <c r="BN135" s="82">
        <f>$AF135-$AF136</f>
        <v/>
      </c>
      <c r="BO135" s="82">
        <f>$AG135-$AG136</f>
        <v/>
      </c>
      <c r="BP135" s="82">
        <f>$AJ135-$AJ136</f>
        <v/>
      </c>
    </row>
    <row r="136">
      <c r="AR136" s="81">
        <f>($G136+($H136-$G136)*0.5)+($P136-($O136+($Q136-$O136)*0.5))</f>
        <v/>
      </c>
      <c r="AS136" s="81">
        <f>($J136+($K136-$J136)*0.5)+($T136-($S136+($U136-$S136)*0.5))</f>
        <v/>
      </c>
      <c r="AT136" s="82">
        <f>($J136-$C136)*100</f>
        <v/>
      </c>
      <c r="AU136" s="82">
        <f>($H136-$F136)*100</f>
        <v/>
      </c>
      <c r="AV136" s="82">
        <f>($J136-$F136)*100</f>
        <v/>
      </c>
      <c r="AW136" s="82">
        <f>($L136-$F136)*100</f>
        <v/>
      </c>
      <c r="AX136" s="82">
        <f>($J136-$H136)*100</f>
        <v/>
      </c>
      <c r="AY136" s="82">
        <f>($L136-$H136)*100</f>
        <v/>
      </c>
      <c r="AZ136" s="82">
        <f>($L136-$J136)*100</f>
        <v/>
      </c>
      <c r="BA136" s="82">
        <f>(2*$H136-$F136-$J136)*100</f>
        <v/>
      </c>
      <c r="BB136" s="82">
        <f>(2*$J136-$H136-$L136)*100</f>
        <v/>
      </c>
      <c r="BC136" s="82">
        <f>($N136-$F136)*100</f>
        <v/>
      </c>
      <c r="BD136" s="82">
        <f>($Q136-$H136)*100</f>
        <v/>
      </c>
      <c r="BE136" s="82">
        <f>($S136-$J136)*100</f>
        <v/>
      </c>
      <c r="BF136" s="82">
        <f>($V136-$L136)*100</f>
        <v/>
      </c>
      <c r="BG136" s="82">
        <f>$AG136-$AF136</f>
        <v/>
      </c>
      <c r="BH136" s="81">
        <f>IFERROR($AG136/$AF136,"")</f>
        <v/>
      </c>
      <c r="BI136" s="82">
        <f>$AJ136-$AF136</f>
        <v/>
      </c>
      <c r="BJ136" s="81">
        <f>IFERROR($AJ136/$AG136,"")</f>
        <v/>
      </c>
      <c r="BK136" s="81">
        <f>$X136</f>
        <v/>
      </c>
      <c r="BL136" s="82">
        <f>($J136-$J137)*100</f>
        <v/>
      </c>
      <c r="BM136" s="82">
        <f>($F136-$F137)*100</f>
        <v/>
      </c>
      <c r="BN136" s="82">
        <f>$AF136-$AF137</f>
        <v/>
      </c>
      <c r="BO136" s="82">
        <f>$AG136-$AG137</f>
        <v/>
      </c>
      <c r="BP136" s="82">
        <f>$AJ136-$AJ137</f>
        <v/>
      </c>
    </row>
    <row r="137">
      <c r="AR137" s="81">
        <f>($G137+($H137-$G137)*0.5)+($P137-($O137+($Q137-$O137)*0.5))</f>
        <v/>
      </c>
      <c r="AS137" s="81">
        <f>($J137+($K137-$J137)*0.5)+($T137-($S137+($U137-$S137)*0.5))</f>
        <v/>
      </c>
      <c r="AT137" s="82">
        <f>($J137-$C137)*100</f>
        <v/>
      </c>
      <c r="AU137" s="82">
        <f>($H137-$F137)*100</f>
        <v/>
      </c>
      <c r="AV137" s="82">
        <f>($J137-$F137)*100</f>
        <v/>
      </c>
      <c r="AW137" s="82">
        <f>($L137-$F137)*100</f>
        <v/>
      </c>
      <c r="AX137" s="82">
        <f>($J137-$H137)*100</f>
        <v/>
      </c>
      <c r="AY137" s="82">
        <f>($L137-$H137)*100</f>
        <v/>
      </c>
      <c r="AZ137" s="82">
        <f>($L137-$J137)*100</f>
        <v/>
      </c>
      <c r="BA137" s="82">
        <f>(2*$H137-$F137-$J137)*100</f>
        <v/>
      </c>
      <c r="BB137" s="82">
        <f>(2*$J137-$H137-$L137)*100</f>
        <v/>
      </c>
      <c r="BC137" s="82">
        <f>($N137-$F137)*100</f>
        <v/>
      </c>
      <c r="BD137" s="82">
        <f>($Q137-$H137)*100</f>
        <v/>
      </c>
      <c r="BE137" s="82">
        <f>($S137-$J137)*100</f>
        <v/>
      </c>
      <c r="BF137" s="82">
        <f>($V137-$L137)*100</f>
        <v/>
      </c>
      <c r="BG137" s="82">
        <f>$AG137-$AF137</f>
        <v/>
      </c>
      <c r="BH137" s="81">
        <f>IFERROR($AG137/$AF137,"")</f>
        <v/>
      </c>
      <c r="BI137" s="82">
        <f>$AJ137-$AF137</f>
        <v/>
      </c>
      <c r="BJ137" s="81">
        <f>IFERROR($AJ137/$AG137,"")</f>
        <v/>
      </c>
      <c r="BK137" s="81">
        <f>$X137</f>
        <v/>
      </c>
      <c r="BL137" s="82">
        <f>($J137-$J138)*100</f>
        <v/>
      </c>
      <c r="BM137" s="82">
        <f>($F137-$F138)*100</f>
        <v/>
      </c>
      <c r="BN137" s="82">
        <f>$AF137-$AF138</f>
        <v/>
      </c>
      <c r="BO137" s="82">
        <f>$AG137-$AG138</f>
        <v/>
      </c>
      <c r="BP137" s="82">
        <f>$AJ137-$AJ138</f>
        <v/>
      </c>
    </row>
    <row r="138">
      <c r="AR138" s="81">
        <f>($G138+($H138-$G138)*0.5)+($P138-($O138+($Q138-$O138)*0.5))</f>
        <v/>
      </c>
      <c r="AS138" s="81">
        <f>($J138+($K138-$J138)*0.5)+($T138-($S138+($U138-$S138)*0.5))</f>
        <v/>
      </c>
      <c r="AT138" s="82">
        <f>($J138-$C138)*100</f>
        <v/>
      </c>
      <c r="AU138" s="82">
        <f>($H138-$F138)*100</f>
        <v/>
      </c>
      <c r="AV138" s="82">
        <f>($J138-$F138)*100</f>
        <v/>
      </c>
      <c r="AW138" s="82">
        <f>($L138-$F138)*100</f>
        <v/>
      </c>
      <c r="AX138" s="82">
        <f>($J138-$H138)*100</f>
        <v/>
      </c>
      <c r="AY138" s="82">
        <f>($L138-$H138)*100</f>
        <v/>
      </c>
      <c r="AZ138" s="82">
        <f>($L138-$J138)*100</f>
        <v/>
      </c>
      <c r="BA138" s="82">
        <f>(2*$H138-$F138-$J138)*100</f>
        <v/>
      </c>
      <c r="BB138" s="82">
        <f>(2*$J138-$H138-$L138)*100</f>
        <v/>
      </c>
      <c r="BC138" s="82">
        <f>($N138-$F138)*100</f>
        <v/>
      </c>
      <c r="BD138" s="82">
        <f>($Q138-$H138)*100</f>
        <v/>
      </c>
      <c r="BE138" s="82">
        <f>($S138-$J138)*100</f>
        <v/>
      </c>
      <c r="BF138" s="82">
        <f>($V138-$L138)*100</f>
        <v/>
      </c>
      <c r="BG138" s="82">
        <f>$AG138-$AF138</f>
        <v/>
      </c>
      <c r="BH138" s="81">
        <f>IFERROR($AG138/$AF138,"")</f>
        <v/>
      </c>
      <c r="BI138" s="82">
        <f>$AJ138-$AF138</f>
        <v/>
      </c>
      <c r="BJ138" s="81">
        <f>IFERROR($AJ138/$AG138,"")</f>
        <v/>
      </c>
      <c r="BK138" s="81">
        <f>$X138</f>
        <v/>
      </c>
      <c r="BL138" s="82">
        <f>($J138-$J139)*100</f>
        <v/>
      </c>
      <c r="BM138" s="82">
        <f>($F138-$F139)*100</f>
        <v/>
      </c>
      <c r="BN138" s="82">
        <f>$AF138-$AF139</f>
        <v/>
      </c>
      <c r="BO138" s="82">
        <f>$AG138-$AG139</f>
        <v/>
      </c>
      <c r="BP138" s="82">
        <f>$AJ138-$AJ139</f>
        <v/>
      </c>
    </row>
    <row r="139">
      <c r="AR139" s="81">
        <f>($G139+($H139-$G139)*0.5)+($P139-($O139+($Q139-$O139)*0.5))</f>
        <v/>
      </c>
      <c r="AS139" s="81">
        <f>($J139+($K139-$J139)*0.5)+($T139-($S139+($U139-$S139)*0.5))</f>
        <v/>
      </c>
      <c r="AT139" s="82">
        <f>($J139-$C139)*100</f>
        <v/>
      </c>
      <c r="AU139" s="82">
        <f>($H139-$F139)*100</f>
        <v/>
      </c>
      <c r="AV139" s="82">
        <f>($J139-$F139)*100</f>
        <v/>
      </c>
      <c r="AW139" s="82">
        <f>($L139-$F139)*100</f>
        <v/>
      </c>
      <c r="AX139" s="82">
        <f>($J139-$H139)*100</f>
        <v/>
      </c>
      <c r="AY139" s="82">
        <f>($L139-$H139)*100</f>
        <v/>
      </c>
      <c r="AZ139" s="82">
        <f>($L139-$J139)*100</f>
        <v/>
      </c>
      <c r="BA139" s="82">
        <f>(2*$H139-$F139-$J139)*100</f>
        <v/>
      </c>
      <c r="BB139" s="82">
        <f>(2*$J139-$H139-$L139)*100</f>
        <v/>
      </c>
      <c r="BC139" s="82">
        <f>($N139-$F139)*100</f>
        <v/>
      </c>
      <c r="BD139" s="82">
        <f>($Q139-$H139)*100</f>
        <v/>
      </c>
      <c r="BE139" s="82">
        <f>($S139-$J139)*100</f>
        <v/>
      </c>
      <c r="BF139" s="82">
        <f>($V139-$L139)*100</f>
        <v/>
      </c>
      <c r="BG139" s="82">
        <f>$AG139-$AF139</f>
        <v/>
      </c>
      <c r="BH139" s="81">
        <f>IFERROR($AG139/$AF139,"")</f>
        <v/>
      </c>
      <c r="BI139" s="82">
        <f>$AJ139-$AF139</f>
        <v/>
      </c>
      <c r="BJ139" s="81">
        <f>IFERROR($AJ139/$AG139,"")</f>
        <v/>
      </c>
      <c r="BK139" s="81">
        <f>$X139</f>
        <v/>
      </c>
      <c r="BL139" s="82">
        <f>($J139-$J140)*100</f>
        <v/>
      </c>
      <c r="BM139" s="82">
        <f>($F139-$F140)*100</f>
        <v/>
      </c>
      <c r="BN139" s="82">
        <f>$AF139-$AF140</f>
        <v/>
      </c>
      <c r="BO139" s="82">
        <f>$AG139-$AG140</f>
        <v/>
      </c>
      <c r="BP139" s="82">
        <f>$AJ139-$AJ140</f>
        <v/>
      </c>
    </row>
    <row r="140">
      <c r="AR140" s="81">
        <f>($G140+($H140-$G140)*0.5)+($P140-($O140+($Q140-$O140)*0.5))</f>
        <v/>
      </c>
      <c r="AS140" s="81">
        <f>($J140+($K140-$J140)*0.5)+($T140-($S140+($U140-$S140)*0.5))</f>
        <v/>
      </c>
      <c r="AT140" s="82">
        <f>($J140-$C140)*100</f>
        <v/>
      </c>
      <c r="AU140" s="82">
        <f>($H140-$F140)*100</f>
        <v/>
      </c>
      <c r="AV140" s="82">
        <f>($J140-$F140)*100</f>
        <v/>
      </c>
      <c r="AW140" s="82">
        <f>($L140-$F140)*100</f>
        <v/>
      </c>
      <c r="AX140" s="82">
        <f>($J140-$H140)*100</f>
        <v/>
      </c>
      <c r="AY140" s="82">
        <f>($L140-$H140)*100</f>
        <v/>
      </c>
      <c r="AZ140" s="82">
        <f>($L140-$J140)*100</f>
        <v/>
      </c>
      <c r="BA140" s="82">
        <f>(2*$H140-$F140-$J140)*100</f>
        <v/>
      </c>
      <c r="BB140" s="82">
        <f>(2*$J140-$H140-$L140)*100</f>
        <v/>
      </c>
      <c r="BC140" s="82">
        <f>($N140-$F140)*100</f>
        <v/>
      </c>
      <c r="BD140" s="82">
        <f>($Q140-$H140)*100</f>
        <v/>
      </c>
      <c r="BE140" s="82">
        <f>($S140-$J140)*100</f>
        <v/>
      </c>
      <c r="BF140" s="82">
        <f>($V140-$L140)*100</f>
        <v/>
      </c>
      <c r="BG140" s="82">
        <f>$AG140-$AF140</f>
        <v/>
      </c>
      <c r="BH140" s="81">
        <f>IFERROR($AG140/$AF140,"")</f>
        <v/>
      </c>
      <c r="BI140" s="82">
        <f>$AJ140-$AF140</f>
        <v/>
      </c>
      <c r="BJ140" s="81">
        <f>IFERROR($AJ140/$AG140,"")</f>
        <v/>
      </c>
      <c r="BK140" s="81">
        <f>$X140</f>
        <v/>
      </c>
      <c r="BL140" s="82">
        <f>($J140-$J141)*100</f>
        <v/>
      </c>
      <c r="BM140" s="82">
        <f>($F140-$F141)*100</f>
        <v/>
      </c>
      <c r="BN140" s="82">
        <f>$AF140-$AF141</f>
        <v/>
      </c>
      <c r="BO140" s="82">
        <f>$AG140-$AG141</f>
        <v/>
      </c>
      <c r="BP140" s="82">
        <f>$AJ140-$AJ141</f>
        <v/>
      </c>
    </row>
    <row r="141">
      <c r="AR141" s="81">
        <f>($G141+($H141-$G141)*0.5)+($P141-($O141+($Q141-$O141)*0.5))</f>
        <v/>
      </c>
      <c r="AS141" s="81">
        <f>($J141+($K141-$J141)*0.5)+($T141-($S141+($U141-$S141)*0.5))</f>
        <v/>
      </c>
      <c r="AT141" s="82">
        <f>($J141-$C141)*100</f>
        <v/>
      </c>
      <c r="AU141" s="82">
        <f>($H141-$F141)*100</f>
        <v/>
      </c>
      <c r="AV141" s="82">
        <f>($J141-$F141)*100</f>
        <v/>
      </c>
      <c r="AW141" s="82">
        <f>($L141-$F141)*100</f>
        <v/>
      </c>
      <c r="AX141" s="82">
        <f>($J141-$H141)*100</f>
        <v/>
      </c>
      <c r="AY141" s="82">
        <f>($L141-$H141)*100</f>
        <v/>
      </c>
      <c r="AZ141" s="82">
        <f>($L141-$J141)*100</f>
        <v/>
      </c>
      <c r="BA141" s="82">
        <f>(2*$H141-$F141-$J141)*100</f>
        <v/>
      </c>
      <c r="BB141" s="82">
        <f>(2*$J141-$H141-$L141)*100</f>
        <v/>
      </c>
      <c r="BC141" s="82">
        <f>($N141-$F141)*100</f>
        <v/>
      </c>
      <c r="BD141" s="82">
        <f>($Q141-$H141)*100</f>
        <v/>
      </c>
      <c r="BE141" s="82">
        <f>($S141-$J141)*100</f>
        <v/>
      </c>
      <c r="BF141" s="82">
        <f>($V141-$L141)*100</f>
        <v/>
      </c>
      <c r="BG141" s="82">
        <f>$AG141-$AF141</f>
        <v/>
      </c>
      <c r="BH141" s="81">
        <f>IFERROR($AG141/$AF141,"")</f>
        <v/>
      </c>
      <c r="BI141" s="82">
        <f>$AJ141-$AF141</f>
        <v/>
      </c>
      <c r="BJ141" s="81">
        <f>IFERROR($AJ141/$AG141,"")</f>
        <v/>
      </c>
      <c r="BK141" s="81">
        <f>$X141</f>
        <v/>
      </c>
      <c r="BL141" s="82">
        <f>($J141-$J142)*100</f>
        <v/>
      </c>
      <c r="BM141" s="82">
        <f>($F141-$F142)*100</f>
        <v/>
      </c>
      <c r="BN141" s="82">
        <f>$AF141-$AF142</f>
        <v/>
      </c>
      <c r="BO141" s="82">
        <f>$AG141-$AG142</f>
        <v/>
      </c>
      <c r="BP141" s="82">
        <f>$AJ141-$AJ142</f>
        <v/>
      </c>
    </row>
    <row r="142">
      <c r="AR142" s="81">
        <f>($G142+($H142-$G142)*0.5)+($P142-($O142+($Q142-$O142)*0.5))</f>
        <v/>
      </c>
      <c r="AS142" s="81">
        <f>($J142+($K142-$J142)*0.5)+($T142-($S142+($U142-$S142)*0.5))</f>
        <v/>
      </c>
      <c r="AT142" s="82">
        <f>($J142-$C142)*100</f>
        <v/>
      </c>
      <c r="AU142" s="82">
        <f>($H142-$F142)*100</f>
        <v/>
      </c>
      <c r="AV142" s="82">
        <f>($J142-$F142)*100</f>
        <v/>
      </c>
      <c r="AW142" s="82">
        <f>($L142-$F142)*100</f>
        <v/>
      </c>
      <c r="AX142" s="82">
        <f>($J142-$H142)*100</f>
        <v/>
      </c>
      <c r="AY142" s="82">
        <f>($L142-$H142)*100</f>
        <v/>
      </c>
      <c r="AZ142" s="82">
        <f>($L142-$J142)*100</f>
        <v/>
      </c>
      <c r="BA142" s="82">
        <f>(2*$H142-$F142-$J142)*100</f>
        <v/>
      </c>
      <c r="BB142" s="82">
        <f>(2*$J142-$H142-$L142)*100</f>
        <v/>
      </c>
      <c r="BC142" s="82">
        <f>($N142-$F142)*100</f>
        <v/>
      </c>
      <c r="BD142" s="82">
        <f>($Q142-$H142)*100</f>
        <v/>
      </c>
      <c r="BE142" s="82">
        <f>($S142-$J142)*100</f>
        <v/>
      </c>
      <c r="BF142" s="82">
        <f>($V142-$L142)*100</f>
        <v/>
      </c>
      <c r="BG142" s="82">
        <f>$AG142-$AF142</f>
        <v/>
      </c>
      <c r="BH142" s="81">
        <f>IFERROR($AG142/$AF142,"")</f>
        <v/>
      </c>
      <c r="BI142" s="82">
        <f>$AJ142-$AF142</f>
        <v/>
      </c>
      <c r="BJ142" s="81">
        <f>IFERROR($AJ142/$AG142,"")</f>
        <v/>
      </c>
      <c r="BK142" s="81">
        <f>$X142</f>
        <v/>
      </c>
      <c r="BL142" s="82">
        <f>($J142-$J143)*100</f>
        <v/>
      </c>
      <c r="BM142" s="82">
        <f>($F142-$F143)*100</f>
        <v/>
      </c>
      <c r="BN142" s="82">
        <f>$AF142-$AF143</f>
        <v/>
      </c>
      <c r="BO142" s="82">
        <f>$AG142-$AG143</f>
        <v/>
      </c>
      <c r="BP142" s="82">
        <f>$AJ142-$AJ143</f>
        <v/>
      </c>
    </row>
    <row r="143">
      <c r="AR143" s="81">
        <f>($G143+($H143-$G143)*0.5)+($P143-($O143+($Q143-$O143)*0.5))</f>
        <v/>
      </c>
      <c r="AS143" s="81">
        <f>($J143+($K143-$J143)*0.5)+($T143-($S143+($U143-$S143)*0.5))</f>
        <v/>
      </c>
      <c r="AT143" s="82">
        <f>($J143-$C143)*100</f>
        <v/>
      </c>
      <c r="AU143" s="82">
        <f>($H143-$F143)*100</f>
        <v/>
      </c>
      <c r="AV143" s="82">
        <f>($J143-$F143)*100</f>
        <v/>
      </c>
      <c r="AW143" s="82">
        <f>($L143-$F143)*100</f>
        <v/>
      </c>
      <c r="AX143" s="82">
        <f>($J143-$H143)*100</f>
        <v/>
      </c>
      <c r="AY143" s="82">
        <f>($L143-$H143)*100</f>
        <v/>
      </c>
      <c r="AZ143" s="82">
        <f>($L143-$J143)*100</f>
        <v/>
      </c>
      <c r="BA143" s="82">
        <f>(2*$H143-$F143-$J143)*100</f>
        <v/>
      </c>
      <c r="BB143" s="82">
        <f>(2*$J143-$H143-$L143)*100</f>
        <v/>
      </c>
      <c r="BC143" s="82">
        <f>($N143-$F143)*100</f>
        <v/>
      </c>
      <c r="BD143" s="82">
        <f>($Q143-$H143)*100</f>
        <v/>
      </c>
      <c r="BE143" s="82">
        <f>($S143-$J143)*100</f>
        <v/>
      </c>
      <c r="BF143" s="82">
        <f>($V143-$L143)*100</f>
        <v/>
      </c>
      <c r="BG143" s="82">
        <f>$AG143-$AF143</f>
        <v/>
      </c>
      <c r="BH143" s="81">
        <f>IFERROR($AG143/$AF143,"")</f>
        <v/>
      </c>
      <c r="BI143" s="82">
        <f>$AJ143-$AF143</f>
        <v/>
      </c>
      <c r="BJ143" s="81">
        <f>IFERROR($AJ143/$AG143,"")</f>
        <v/>
      </c>
      <c r="BK143" s="81">
        <f>$X143</f>
        <v/>
      </c>
      <c r="BL143" s="82">
        <f>($J143-$J144)*100</f>
        <v/>
      </c>
      <c r="BM143" s="82">
        <f>($F143-$F144)*100</f>
        <v/>
      </c>
      <c r="BN143" s="82">
        <f>$AF143-$AF144</f>
        <v/>
      </c>
      <c r="BO143" s="82">
        <f>$AG143-$AG144</f>
        <v/>
      </c>
      <c r="BP143" s="82">
        <f>$AJ143-$AJ144</f>
        <v/>
      </c>
    </row>
    <row r="144">
      <c r="AR144" s="81">
        <f>($G144+($H144-$G144)*0.5)+($P144-($O144+($Q144-$O144)*0.5))</f>
        <v/>
      </c>
      <c r="AS144" s="81">
        <f>($J144+($K144-$J144)*0.5)+($T144-($S144+($U144-$S144)*0.5))</f>
        <v/>
      </c>
      <c r="AT144" s="82">
        <f>($J144-$C144)*100</f>
        <v/>
      </c>
      <c r="AU144" s="82">
        <f>($H144-$F144)*100</f>
        <v/>
      </c>
      <c r="AV144" s="82">
        <f>($J144-$F144)*100</f>
        <v/>
      </c>
      <c r="AW144" s="82">
        <f>($L144-$F144)*100</f>
        <v/>
      </c>
      <c r="AX144" s="82">
        <f>($J144-$H144)*100</f>
        <v/>
      </c>
      <c r="AY144" s="82">
        <f>($L144-$H144)*100</f>
        <v/>
      </c>
      <c r="AZ144" s="82">
        <f>($L144-$J144)*100</f>
        <v/>
      </c>
      <c r="BA144" s="82">
        <f>(2*$H144-$F144-$J144)*100</f>
        <v/>
      </c>
      <c r="BB144" s="82">
        <f>(2*$J144-$H144-$L144)*100</f>
        <v/>
      </c>
      <c r="BC144" s="82">
        <f>($N144-$F144)*100</f>
        <v/>
      </c>
      <c r="BD144" s="82">
        <f>($Q144-$H144)*100</f>
        <v/>
      </c>
      <c r="BE144" s="82">
        <f>($S144-$J144)*100</f>
        <v/>
      </c>
      <c r="BF144" s="82">
        <f>($V144-$L144)*100</f>
        <v/>
      </c>
      <c r="BG144" s="82">
        <f>$AG144-$AF144</f>
        <v/>
      </c>
      <c r="BH144" s="81">
        <f>IFERROR($AG144/$AF144,"")</f>
        <v/>
      </c>
      <c r="BI144" s="82">
        <f>$AJ144-$AF144</f>
        <v/>
      </c>
      <c r="BJ144" s="81">
        <f>IFERROR($AJ144/$AG144,"")</f>
        <v/>
      </c>
      <c r="BK144" s="81">
        <f>$X144</f>
        <v/>
      </c>
      <c r="BL144" s="82">
        <f>($J144-$J145)*100</f>
        <v/>
      </c>
      <c r="BM144" s="82">
        <f>($F144-$F145)*100</f>
        <v/>
      </c>
      <c r="BN144" s="82">
        <f>$AF144-$AF145</f>
        <v/>
      </c>
      <c r="BO144" s="82">
        <f>$AG144-$AG145</f>
        <v/>
      </c>
      <c r="BP144" s="82">
        <f>$AJ144-$AJ145</f>
        <v/>
      </c>
    </row>
    <row r="145">
      <c r="AR145" s="81">
        <f>($G145+($H145-$G145)*0.5)+($P145-($O145+($Q145-$O145)*0.5))</f>
        <v/>
      </c>
      <c r="AS145" s="81">
        <f>($J145+($K145-$J145)*0.5)+($T145-($S145+($U145-$S145)*0.5))</f>
        <v/>
      </c>
      <c r="AT145" s="82">
        <f>($J145-$C145)*100</f>
        <v/>
      </c>
      <c r="AU145" s="82">
        <f>($H145-$F145)*100</f>
        <v/>
      </c>
      <c r="AV145" s="82">
        <f>($J145-$F145)*100</f>
        <v/>
      </c>
      <c r="AW145" s="82">
        <f>($L145-$F145)*100</f>
        <v/>
      </c>
      <c r="AX145" s="82">
        <f>($J145-$H145)*100</f>
        <v/>
      </c>
      <c r="AY145" s="82">
        <f>($L145-$H145)*100</f>
        <v/>
      </c>
      <c r="AZ145" s="82">
        <f>($L145-$J145)*100</f>
        <v/>
      </c>
      <c r="BA145" s="82">
        <f>(2*$H145-$F145-$J145)*100</f>
        <v/>
      </c>
      <c r="BB145" s="82">
        <f>(2*$J145-$H145-$L145)*100</f>
        <v/>
      </c>
      <c r="BC145" s="82">
        <f>($N145-$F145)*100</f>
        <v/>
      </c>
      <c r="BD145" s="82">
        <f>($Q145-$H145)*100</f>
        <v/>
      </c>
      <c r="BE145" s="82">
        <f>($S145-$J145)*100</f>
        <v/>
      </c>
      <c r="BF145" s="82">
        <f>($V145-$L145)*100</f>
        <v/>
      </c>
      <c r="BG145" s="82">
        <f>$AG145-$AF145</f>
        <v/>
      </c>
      <c r="BH145" s="81">
        <f>IFERROR($AG145/$AF145,"")</f>
        <v/>
      </c>
      <c r="BI145" s="82">
        <f>$AJ145-$AF145</f>
        <v/>
      </c>
      <c r="BJ145" s="81">
        <f>IFERROR($AJ145/$AG145,"")</f>
        <v/>
      </c>
      <c r="BK145" s="81">
        <f>$X145</f>
        <v/>
      </c>
      <c r="BL145" s="82">
        <f>($J145-$J146)*100</f>
        <v/>
      </c>
      <c r="BM145" s="82">
        <f>($F145-$F146)*100</f>
        <v/>
      </c>
      <c r="BN145" s="82">
        <f>$AF145-$AF146</f>
        <v/>
      </c>
      <c r="BO145" s="82">
        <f>$AG145-$AG146</f>
        <v/>
      </c>
      <c r="BP145" s="82">
        <f>$AJ145-$AJ146</f>
        <v/>
      </c>
    </row>
    <row r="146">
      <c r="AR146" s="81">
        <f>($G146+($H146-$G146)*0.5)+($P146-($O146+($Q146-$O146)*0.5))</f>
        <v/>
      </c>
      <c r="AS146" s="81">
        <f>($J146+($K146-$J146)*0.5)+($T146-($S146+($U146-$S146)*0.5))</f>
        <v/>
      </c>
      <c r="AT146" s="82">
        <f>($J146-$C146)*100</f>
        <v/>
      </c>
      <c r="AU146" s="82">
        <f>($H146-$F146)*100</f>
        <v/>
      </c>
      <c r="AV146" s="82">
        <f>($J146-$F146)*100</f>
        <v/>
      </c>
      <c r="AW146" s="82">
        <f>($L146-$F146)*100</f>
        <v/>
      </c>
      <c r="AX146" s="82">
        <f>($J146-$H146)*100</f>
        <v/>
      </c>
      <c r="AY146" s="82">
        <f>($L146-$H146)*100</f>
        <v/>
      </c>
      <c r="AZ146" s="82">
        <f>($L146-$J146)*100</f>
        <v/>
      </c>
      <c r="BA146" s="82">
        <f>(2*$H146-$F146-$J146)*100</f>
        <v/>
      </c>
      <c r="BB146" s="82">
        <f>(2*$J146-$H146-$L146)*100</f>
        <v/>
      </c>
      <c r="BC146" s="82">
        <f>($N146-$F146)*100</f>
        <v/>
      </c>
      <c r="BD146" s="82">
        <f>($Q146-$H146)*100</f>
        <v/>
      </c>
      <c r="BE146" s="82">
        <f>($S146-$J146)*100</f>
        <v/>
      </c>
      <c r="BF146" s="82">
        <f>($V146-$L146)*100</f>
        <v/>
      </c>
      <c r="BG146" s="82">
        <f>$AG146-$AF146</f>
        <v/>
      </c>
      <c r="BH146" s="81">
        <f>IFERROR($AG146/$AF146,"")</f>
        <v/>
      </c>
      <c r="BI146" s="82">
        <f>$AJ146-$AF146</f>
        <v/>
      </c>
      <c r="BJ146" s="81">
        <f>IFERROR($AJ146/$AG146,"")</f>
        <v/>
      </c>
      <c r="BK146" s="81">
        <f>$X146</f>
        <v/>
      </c>
      <c r="BL146" s="82">
        <f>($J146-$J147)*100</f>
        <v/>
      </c>
      <c r="BM146" s="82">
        <f>($F146-$F147)*100</f>
        <v/>
      </c>
      <c r="BN146" s="82">
        <f>$AF146-$AF147</f>
        <v/>
      </c>
      <c r="BO146" s="82">
        <f>$AG146-$AG147</f>
        <v/>
      </c>
      <c r="BP146" s="82">
        <f>$AJ146-$AJ147</f>
        <v/>
      </c>
    </row>
    <row r="147">
      <c r="AR147" s="81">
        <f>($G147+($H147-$G147)*0.5)+($P147-($O147+($Q147-$O147)*0.5))</f>
        <v/>
      </c>
      <c r="AS147" s="81">
        <f>($J147+($K147-$J147)*0.5)+($T147-($S147+($U147-$S147)*0.5))</f>
        <v/>
      </c>
      <c r="AT147" s="82">
        <f>($J147-$C147)*100</f>
        <v/>
      </c>
      <c r="AU147" s="82">
        <f>($H147-$F147)*100</f>
        <v/>
      </c>
      <c r="AV147" s="82">
        <f>($J147-$F147)*100</f>
        <v/>
      </c>
      <c r="AW147" s="82">
        <f>($L147-$F147)*100</f>
        <v/>
      </c>
      <c r="AX147" s="82">
        <f>($J147-$H147)*100</f>
        <v/>
      </c>
      <c r="AY147" s="82">
        <f>($L147-$H147)*100</f>
        <v/>
      </c>
      <c r="AZ147" s="82">
        <f>($L147-$J147)*100</f>
        <v/>
      </c>
      <c r="BA147" s="82">
        <f>(2*$H147-$F147-$J147)*100</f>
        <v/>
      </c>
      <c r="BB147" s="82">
        <f>(2*$J147-$H147-$L147)*100</f>
        <v/>
      </c>
      <c r="BC147" s="82">
        <f>($N147-$F147)*100</f>
        <v/>
      </c>
      <c r="BD147" s="82">
        <f>($Q147-$H147)*100</f>
        <v/>
      </c>
      <c r="BE147" s="82">
        <f>($S147-$J147)*100</f>
        <v/>
      </c>
      <c r="BF147" s="82">
        <f>($V147-$L147)*100</f>
        <v/>
      </c>
      <c r="BG147" s="82">
        <f>$AG147-$AF147</f>
        <v/>
      </c>
      <c r="BH147" s="81">
        <f>IFERROR($AG147/$AF147,"")</f>
        <v/>
      </c>
      <c r="BI147" s="82">
        <f>$AJ147-$AF147</f>
        <v/>
      </c>
      <c r="BJ147" s="81">
        <f>IFERROR($AJ147/$AG147,"")</f>
        <v/>
      </c>
      <c r="BK147" s="81">
        <f>$X147</f>
        <v/>
      </c>
      <c r="BL147" s="82">
        <f>($J147-$J148)*100</f>
        <v/>
      </c>
      <c r="BM147" s="82">
        <f>($F147-$F148)*100</f>
        <v/>
      </c>
      <c r="BN147" s="82">
        <f>$AF147-$AF148</f>
        <v/>
      </c>
      <c r="BO147" s="82">
        <f>$AG147-$AG148</f>
        <v/>
      </c>
      <c r="BP147" s="82">
        <f>$AJ147-$AJ148</f>
        <v/>
      </c>
    </row>
    <row r="148">
      <c r="AR148" s="81">
        <f>($G148+($H148-$G148)*0.5)+($P148-($O148+($Q148-$O148)*0.5))</f>
        <v/>
      </c>
      <c r="AS148" s="81">
        <f>($J148+($K148-$J148)*0.5)+($T148-($S148+($U148-$S148)*0.5))</f>
        <v/>
      </c>
      <c r="AT148" s="82">
        <f>($J148-$C148)*100</f>
        <v/>
      </c>
      <c r="AU148" s="82">
        <f>($H148-$F148)*100</f>
        <v/>
      </c>
      <c r="AV148" s="82">
        <f>($J148-$F148)*100</f>
        <v/>
      </c>
      <c r="AW148" s="82">
        <f>($L148-$F148)*100</f>
        <v/>
      </c>
      <c r="AX148" s="82">
        <f>($J148-$H148)*100</f>
        <v/>
      </c>
      <c r="AY148" s="82">
        <f>($L148-$H148)*100</f>
        <v/>
      </c>
      <c r="AZ148" s="82">
        <f>($L148-$J148)*100</f>
        <v/>
      </c>
      <c r="BA148" s="82">
        <f>(2*$H148-$F148-$J148)*100</f>
        <v/>
      </c>
      <c r="BB148" s="82">
        <f>(2*$J148-$H148-$L148)*100</f>
        <v/>
      </c>
      <c r="BC148" s="82">
        <f>($N148-$F148)*100</f>
        <v/>
      </c>
      <c r="BD148" s="82">
        <f>($Q148-$H148)*100</f>
        <v/>
      </c>
      <c r="BE148" s="82">
        <f>($S148-$J148)*100</f>
        <v/>
      </c>
      <c r="BF148" s="82">
        <f>($V148-$L148)*100</f>
        <v/>
      </c>
      <c r="BG148" s="82">
        <f>$AG148-$AF148</f>
        <v/>
      </c>
      <c r="BH148" s="81">
        <f>IFERROR($AG148/$AF148,"")</f>
        <v/>
      </c>
      <c r="BI148" s="82">
        <f>$AJ148-$AF148</f>
        <v/>
      </c>
      <c r="BJ148" s="81">
        <f>IFERROR($AJ148/$AG148,"")</f>
        <v/>
      </c>
      <c r="BK148" s="81">
        <f>$X148</f>
        <v/>
      </c>
      <c r="BL148" s="82">
        <f>($J148-$J149)*100</f>
        <v/>
      </c>
      <c r="BM148" s="82">
        <f>($F148-$F149)*100</f>
        <v/>
      </c>
      <c r="BN148" s="82">
        <f>$AF148-$AF149</f>
        <v/>
      </c>
      <c r="BO148" s="82">
        <f>$AG148-$AG149</f>
        <v/>
      </c>
      <c r="BP148" s="82">
        <f>$AJ148-$AJ149</f>
        <v/>
      </c>
    </row>
    <row r="149">
      <c r="AR149" s="81">
        <f>($G149+($H149-$G149)*0.5)+($P149-($O149+($Q149-$O149)*0.5))</f>
        <v/>
      </c>
      <c r="AS149" s="81">
        <f>($J149+($K149-$J149)*0.5)+($T149-($S149+($U149-$S149)*0.5))</f>
        <v/>
      </c>
      <c r="AT149" s="82">
        <f>($J149-$C149)*100</f>
        <v/>
      </c>
      <c r="AU149" s="82">
        <f>($H149-$F149)*100</f>
        <v/>
      </c>
      <c r="AV149" s="82">
        <f>($J149-$F149)*100</f>
        <v/>
      </c>
      <c r="AW149" s="82">
        <f>($L149-$F149)*100</f>
        <v/>
      </c>
      <c r="AX149" s="82">
        <f>($J149-$H149)*100</f>
        <v/>
      </c>
      <c r="AY149" s="82">
        <f>($L149-$H149)*100</f>
        <v/>
      </c>
      <c r="AZ149" s="82">
        <f>($L149-$J149)*100</f>
        <v/>
      </c>
      <c r="BA149" s="82">
        <f>(2*$H149-$F149-$J149)*100</f>
        <v/>
      </c>
      <c r="BB149" s="82">
        <f>(2*$J149-$H149-$L149)*100</f>
        <v/>
      </c>
      <c r="BC149" s="82">
        <f>($N149-$F149)*100</f>
        <v/>
      </c>
      <c r="BD149" s="82">
        <f>($Q149-$H149)*100</f>
        <v/>
      </c>
      <c r="BE149" s="82">
        <f>($S149-$J149)*100</f>
        <v/>
      </c>
      <c r="BF149" s="82">
        <f>($V149-$L149)*100</f>
        <v/>
      </c>
      <c r="BG149" s="82">
        <f>$AG149-$AF149</f>
        <v/>
      </c>
      <c r="BH149" s="81">
        <f>IFERROR($AG149/$AF149,"")</f>
        <v/>
      </c>
      <c r="BI149" s="82">
        <f>$AJ149-$AF149</f>
        <v/>
      </c>
      <c r="BJ149" s="81">
        <f>IFERROR($AJ149/$AG149,"")</f>
        <v/>
      </c>
      <c r="BK149" s="81">
        <f>$X149</f>
        <v/>
      </c>
      <c r="BL149" s="82">
        <f>($J149-$J150)*100</f>
        <v/>
      </c>
      <c r="BM149" s="82">
        <f>($F149-$F150)*100</f>
        <v/>
      </c>
      <c r="BN149" s="82">
        <f>$AF149-$AF150</f>
        <v/>
      </c>
      <c r="BO149" s="82">
        <f>$AG149-$AG150</f>
        <v/>
      </c>
      <c r="BP149" s="82">
        <f>$AJ149-$AJ150</f>
        <v/>
      </c>
    </row>
    <row r="150">
      <c r="AR150" s="81">
        <f>($G150+($H150-$G150)*0.5)+($P150-($O150+($Q150-$O150)*0.5))</f>
        <v/>
      </c>
      <c r="AS150" s="81">
        <f>($J150+($K150-$J150)*0.5)+($T150-($S150+($U150-$S150)*0.5))</f>
        <v/>
      </c>
      <c r="AT150" s="82">
        <f>($J150-$C150)*100</f>
        <v/>
      </c>
      <c r="AU150" s="82">
        <f>($H150-$F150)*100</f>
        <v/>
      </c>
      <c r="AV150" s="82">
        <f>($J150-$F150)*100</f>
        <v/>
      </c>
      <c r="AW150" s="82">
        <f>($L150-$F150)*100</f>
        <v/>
      </c>
      <c r="AX150" s="82">
        <f>($J150-$H150)*100</f>
        <v/>
      </c>
      <c r="AY150" s="82">
        <f>($L150-$H150)*100</f>
        <v/>
      </c>
      <c r="AZ150" s="82">
        <f>($L150-$J150)*100</f>
        <v/>
      </c>
      <c r="BA150" s="82">
        <f>(2*$H150-$F150-$J150)*100</f>
        <v/>
      </c>
      <c r="BB150" s="82">
        <f>(2*$J150-$H150-$L150)*100</f>
        <v/>
      </c>
      <c r="BC150" s="82">
        <f>($N150-$F150)*100</f>
        <v/>
      </c>
      <c r="BD150" s="82">
        <f>($Q150-$H150)*100</f>
        <v/>
      </c>
      <c r="BE150" s="82">
        <f>($S150-$J150)*100</f>
        <v/>
      </c>
      <c r="BF150" s="82">
        <f>($V150-$L150)*100</f>
        <v/>
      </c>
      <c r="BG150" s="82">
        <f>$AG150-$AF150</f>
        <v/>
      </c>
      <c r="BH150" s="81">
        <f>IFERROR($AG150/$AF150,"")</f>
        <v/>
      </c>
      <c r="BI150" s="82">
        <f>$AJ150-$AF150</f>
        <v/>
      </c>
      <c r="BJ150" s="81">
        <f>IFERROR($AJ150/$AG150,"")</f>
        <v/>
      </c>
      <c r="BK150" s="81">
        <f>$X150</f>
        <v/>
      </c>
      <c r="BL150" s="82">
        <f>($J150-$J151)*100</f>
        <v/>
      </c>
      <c r="BM150" s="82">
        <f>($F150-$F151)*100</f>
        <v/>
      </c>
      <c r="BN150" s="82">
        <f>$AF150-$AF151</f>
        <v/>
      </c>
      <c r="BO150" s="82">
        <f>$AG150-$AG151</f>
        <v/>
      </c>
      <c r="BP150" s="82">
        <f>$AJ150-$AJ151</f>
        <v/>
      </c>
    </row>
    <row r="151">
      <c r="AR151" s="81">
        <f>($G151+($H151-$G151)*0.5)+($P151-($O151+($Q151-$O151)*0.5))</f>
        <v/>
      </c>
      <c r="AS151" s="81">
        <f>($J151+($K151-$J151)*0.5)+($T151-($S151+($U151-$S151)*0.5))</f>
        <v/>
      </c>
      <c r="AT151" s="82">
        <f>($J151-$C151)*100</f>
        <v/>
      </c>
      <c r="AU151" s="82">
        <f>($H151-$F151)*100</f>
        <v/>
      </c>
      <c r="AV151" s="82">
        <f>($J151-$F151)*100</f>
        <v/>
      </c>
      <c r="AW151" s="82">
        <f>($L151-$F151)*100</f>
        <v/>
      </c>
      <c r="AX151" s="82">
        <f>($J151-$H151)*100</f>
        <v/>
      </c>
      <c r="AY151" s="82">
        <f>($L151-$H151)*100</f>
        <v/>
      </c>
      <c r="AZ151" s="82">
        <f>($L151-$J151)*100</f>
        <v/>
      </c>
      <c r="BA151" s="82">
        <f>(2*$H151-$F151-$J151)*100</f>
        <v/>
      </c>
      <c r="BB151" s="82">
        <f>(2*$J151-$H151-$L151)*100</f>
        <v/>
      </c>
      <c r="BC151" s="82">
        <f>($N151-$F151)*100</f>
        <v/>
      </c>
      <c r="BD151" s="82">
        <f>($Q151-$H151)*100</f>
        <v/>
      </c>
      <c r="BE151" s="82">
        <f>($S151-$J151)*100</f>
        <v/>
      </c>
      <c r="BF151" s="82">
        <f>($V151-$L151)*100</f>
        <v/>
      </c>
      <c r="BG151" s="82">
        <f>$AG151-$AF151</f>
        <v/>
      </c>
      <c r="BH151" s="81">
        <f>IFERROR($AG151/$AF151,"")</f>
        <v/>
      </c>
      <c r="BI151" s="82">
        <f>$AJ151-$AF151</f>
        <v/>
      </c>
      <c r="BJ151" s="81">
        <f>IFERROR($AJ151/$AG151,"")</f>
        <v/>
      </c>
      <c r="BK151" s="81">
        <f>$X151</f>
        <v/>
      </c>
      <c r="BL151" s="82">
        <f>($J151-$J152)*100</f>
        <v/>
      </c>
      <c r="BM151" s="82">
        <f>($F151-$F152)*100</f>
        <v/>
      </c>
      <c r="BN151" s="82">
        <f>$AF151-$AF152</f>
        <v/>
      </c>
      <c r="BO151" s="82">
        <f>$AG151-$AG152</f>
        <v/>
      </c>
      <c r="BP151" s="82">
        <f>$AJ151-$AJ152</f>
        <v/>
      </c>
    </row>
    <row r="152">
      <c r="AR152" s="81">
        <f>($G152+($H152-$G152)*0.5)+($P152-($O152+($Q152-$O152)*0.5))</f>
        <v/>
      </c>
      <c r="AS152" s="81">
        <f>($J152+($K152-$J152)*0.5)+($T152-($S152+($U152-$S152)*0.5))</f>
        <v/>
      </c>
      <c r="AT152" s="82">
        <f>($J152-$C152)*100</f>
        <v/>
      </c>
      <c r="AU152" s="82">
        <f>($H152-$F152)*100</f>
        <v/>
      </c>
      <c r="AV152" s="82">
        <f>($J152-$F152)*100</f>
        <v/>
      </c>
      <c r="AW152" s="82">
        <f>($L152-$F152)*100</f>
        <v/>
      </c>
      <c r="AX152" s="82">
        <f>($J152-$H152)*100</f>
        <v/>
      </c>
      <c r="AY152" s="82">
        <f>($L152-$H152)*100</f>
        <v/>
      </c>
      <c r="AZ152" s="82">
        <f>($L152-$J152)*100</f>
        <v/>
      </c>
      <c r="BA152" s="82">
        <f>(2*$H152-$F152-$J152)*100</f>
        <v/>
      </c>
      <c r="BB152" s="82">
        <f>(2*$J152-$H152-$L152)*100</f>
        <v/>
      </c>
      <c r="BC152" s="82">
        <f>($N152-$F152)*100</f>
        <v/>
      </c>
      <c r="BD152" s="82">
        <f>($Q152-$H152)*100</f>
        <v/>
      </c>
      <c r="BE152" s="82">
        <f>($S152-$J152)*100</f>
        <v/>
      </c>
      <c r="BF152" s="82">
        <f>($V152-$L152)*100</f>
        <v/>
      </c>
      <c r="BG152" s="82">
        <f>$AG152-$AF152</f>
        <v/>
      </c>
      <c r="BH152" s="81">
        <f>IFERROR($AG152/$AF152,"")</f>
        <v/>
      </c>
      <c r="BI152" s="82">
        <f>$AJ152-$AF152</f>
        <v/>
      </c>
      <c r="BJ152" s="81">
        <f>IFERROR($AJ152/$AG152,"")</f>
        <v/>
      </c>
      <c r="BK152" s="81">
        <f>$X152</f>
        <v/>
      </c>
      <c r="BL152" s="82">
        <f>($J152-$J153)*100</f>
        <v/>
      </c>
      <c r="BM152" s="82">
        <f>($F152-$F153)*100</f>
        <v/>
      </c>
      <c r="BN152" s="82">
        <f>$AF152-$AF153</f>
        <v/>
      </c>
      <c r="BO152" s="82">
        <f>$AG152-$AG153</f>
        <v/>
      </c>
      <c r="BP152" s="82">
        <f>$AJ152-$AJ153</f>
        <v/>
      </c>
    </row>
    <row r="153">
      <c r="AR153" s="81">
        <f>($G153+($H153-$G153)*0.5)+($P153-($O153+($Q153-$O153)*0.5))</f>
        <v/>
      </c>
      <c r="AS153" s="81">
        <f>($J153+($K153-$J153)*0.5)+($T153-($S153+($U153-$S153)*0.5))</f>
        <v/>
      </c>
      <c r="AT153" s="82">
        <f>($J153-$C153)*100</f>
        <v/>
      </c>
      <c r="AU153" s="82">
        <f>($H153-$F153)*100</f>
        <v/>
      </c>
      <c r="AV153" s="82">
        <f>($J153-$F153)*100</f>
        <v/>
      </c>
      <c r="AW153" s="82">
        <f>($L153-$F153)*100</f>
        <v/>
      </c>
      <c r="AX153" s="82">
        <f>($J153-$H153)*100</f>
        <v/>
      </c>
      <c r="AY153" s="82">
        <f>($L153-$H153)*100</f>
        <v/>
      </c>
      <c r="AZ153" s="82">
        <f>($L153-$J153)*100</f>
        <v/>
      </c>
      <c r="BA153" s="82">
        <f>(2*$H153-$F153-$J153)*100</f>
        <v/>
      </c>
      <c r="BB153" s="82">
        <f>(2*$J153-$H153-$L153)*100</f>
        <v/>
      </c>
      <c r="BC153" s="82">
        <f>($N153-$F153)*100</f>
        <v/>
      </c>
      <c r="BD153" s="82">
        <f>($Q153-$H153)*100</f>
        <v/>
      </c>
      <c r="BE153" s="82">
        <f>($S153-$J153)*100</f>
        <v/>
      </c>
      <c r="BF153" s="82">
        <f>($V153-$L153)*100</f>
        <v/>
      </c>
      <c r="BG153" s="82">
        <f>$AG153-$AF153</f>
        <v/>
      </c>
      <c r="BH153" s="81">
        <f>IFERROR($AG153/$AF153,"")</f>
        <v/>
      </c>
      <c r="BI153" s="82">
        <f>$AJ153-$AF153</f>
        <v/>
      </c>
      <c r="BJ153" s="81">
        <f>IFERROR($AJ153/$AG153,"")</f>
        <v/>
      </c>
      <c r="BK153" s="81">
        <f>$X153</f>
        <v/>
      </c>
      <c r="BL153" s="82">
        <f>($J153-$J154)*100</f>
        <v/>
      </c>
      <c r="BM153" s="82">
        <f>($F153-$F154)*100</f>
        <v/>
      </c>
      <c r="BN153" s="82">
        <f>$AF153-$AF154</f>
        <v/>
      </c>
      <c r="BO153" s="82">
        <f>$AG153-$AG154</f>
        <v/>
      </c>
      <c r="BP153" s="82">
        <f>$AJ153-$AJ154</f>
        <v/>
      </c>
    </row>
    <row r="154">
      <c r="AR154" s="81">
        <f>($G154+($H154-$G154)*0.5)+($P154-($O154+($Q154-$O154)*0.5))</f>
        <v/>
      </c>
      <c r="AS154" s="81">
        <f>($J154+($K154-$J154)*0.5)+($T154-($S154+($U154-$S154)*0.5))</f>
        <v/>
      </c>
      <c r="AT154" s="82">
        <f>($J154-$C154)*100</f>
        <v/>
      </c>
      <c r="AU154" s="82">
        <f>($H154-$F154)*100</f>
        <v/>
      </c>
      <c r="AV154" s="82">
        <f>($J154-$F154)*100</f>
        <v/>
      </c>
      <c r="AW154" s="82">
        <f>($L154-$F154)*100</f>
        <v/>
      </c>
      <c r="AX154" s="82">
        <f>($J154-$H154)*100</f>
        <v/>
      </c>
      <c r="AY154" s="82">
        <f>($L154-$H154)*100</f>
        <v/>
      </c>
      <c r="AZ154" s="82">
        <f>($L154-$J154)*100</f>
        <v/>
      </c>
      <c r="BA154" s="82">
        <f>(2*$H154-$F154-$J154)*100</f>
        <v/>
      </c>
      <c r="BB154" s="82">
        <f>(2*$J154-$H154-$L154)*100</f>
        <v/>
      </c>
      <c r="BC154" s="82">
        <f>($N154-$F154)*100</f>
        <v/>
      </c>
      <c r="BD154" s="82">
        <f>($Q154-$H154)*100</f>
        <v/>
      </c>
      <c r="BE154" s="82">
        <f>($S154-$J154)*100</f>
        <v/>
      </c>
      <c r="BF154" s="82">
        <f>($V154-$L154)*100</f>
        <v/>
      </c>
      <c r="BG154" s="82">
        <f>$AG154-$AF154</f>
        <v/>
      </c>
      <c r="BH154" s="81">
        <f>IFERROR($AG154/$AF154,"")</f>
        <v/>
      </c>
      <c r="BI154" s="82">
        <f>$AJ154-$AF154</f>
        <v/>
      </c>
      <c r="BJ154" s="81">
        <f>IFERROR($AJ154/$AG154,"")</f>
        <v/>
      </c>
      <c r="BK154" s="81">
        <f>$X154</f>
        <v/>
      </c>
      <c r="BL154" s="82">
        <f>($J154-$J155)*100</f>
        <v/>
      </c>
      <c r="BM154" s="82">
        <f>($F154-$F155)*100</f>
        <v/>
      </c>
      <c r="BN154" s="82">
        <f>$AF154-$AF155</f>
        <v/>
      </c>
      <c r="BO154" s="82">
        <f>$AG154-$AG155</f>
        <v/>
      </c>
      <c r="BP154" s="82">
        <f>$AJ154-$AJ155</f>
        <v/>
      </c>
    </row>
    <row r="155">
      <c r="AR155" s="81">
        <f>($G155+($H155-$G155)*0.5)+($P155-($O155+($Q155-$O155)*0.5))</f>
        <v/>
      </c>
      <c r="AS155" s="81">
        <f>($J155+($K155-$J155)*0.5)+($T155-($S155+($U155-$S155)*0.5))</f>
        <v/>
      </c>
      <c r="AT155" s="82">
        <f>($J155-$C155)*100</f>
        <v/>
      </c>
      <c r="AU155" s="82">
        <f>($H155-$F155)*100</f>
        <v/>
      </c>
      <c r="AV155" s="82">
        <f>($J155-$F155)*100</f>
        <v/>
      </c>
      <c r="AW155" s="82">
        <f>($L155-$F155)*100</f>
        <v/>
      </c>
      <c r="AX155" s="82">
        <f>($J155-$H155)*100</f>
        <v/>
      </c>
      <c r="AY155" s="82">
        <f>($L155-$H155)*100</f>
        <v/>
      </c>
      <c r="AZ155" s="82">
        <f>($L155-$J155)*100</f>
        <v/>
      </c>
      <c r="BA155" s="82">
        <f>(2*$H155-$F155-$J155)*100</f>
        <v/>
      </c>
      <c r="BB155" s="82">
        <f>(2*$J155-$H155-$L155)*100</f>
        <v/>
      </c>
      <c r="BC155" s="82">
        <f>($N155-$F155)*100</f>
        <v/>
      </c>
      <c r="BD155" s="82">
        <f>($Q155-$H155)*100</f>
        <v/>
      </c>
      <c r="BE155" s="82">
        <f>($S155-$J155)*100</f>
        <v/>
      </c>
      <c r="BF155" s="82">
        <f>($V155-$L155)*100</f>
        <v/>
      </c>
      <c r="BG155" s="82">
        <f>$AG155-$AF155</f>
        <v/>
      </c>
      <c r="BH155" s="81">
        <f>IFERROR($AG155/$AF155,"")</f>
        <v/>
      </c>
      <c r="BI155" s="82">
        <f>$AJ155-$AF155</f>
        <v/>
      </c>
      <c r="BJ155" s="81">
        <f>IFERROR($AJ155/$AG155,"")</f>
        <v/>
      </c>
      <c r="BK155" s="81">
        <f>$X155</f>
        <v/>
      </c>
      <c r="BL155" s="82">
        <f>($J155-$J156)*100</f>
        <v/>
      </c>
      <c r="BM155" s="82">
        <f>($F155-$F156)*100</f>
        <v/>
      </c>
      <c r="BN155" s="82">
        <f>$AF155-$AF156</f>
        <v/>
      </c>
      <c r="BO155" s="82">
        <f>$AG155-$AG156</f>
        <v/>
      </c>
      <c r="BP155" s="82">
        <f>$AJ155-$AJ156</f>
        <v/>
      </c>
    </row>
    <row r="156">
      <c r="AR156" s="81">
        <f>($G156+($H156-$G156)*0.5)+($P156-($O156+($Q156-$O156)*0.5))</f>
        <v/>
      </c>
      <c r="AS156" s="81">
        <f>($J156+($K156-$J156)*0.5)+($T156-($S156+($U156-$S156)*0.5))</f>
        <v/>
      </c>
      <c r="AT156" s="82">
        <f>($J156-$C156)*100</f>
        <v/>
      </c>
      <c r="AU156" s="82">
        <f>($H156-$F156)*100</f>
        <v/>
      </c>
      <c r="AV156" s="82">
        <f>($J156-$F156)*100</f>
        <v/>
      </c>
      <c r="AW156" s="82">
        <f>($L156-$F156)*100</f>
        <v/>
      </c>
      <c r="AX156" s="82">
        <f>($J156-$H156)*100</f>
        <v/>
      </c>
      <c r="AY156" s="82">
        <f>($L156-$H156)*100</f>
        <v/>
      </c>
      <c r="AZ156" s="82">
        <f>($L156-$J156)*100</f>
        <v/>
      </c>
      <c r="BA156" s="82">
        <f>(2*$H156-$F156-$J156)*100</f>
        <v/>
      </c>
      <c r="BB156" s="82">
        <f>(2*$J156-$H156-$L156)*100</f>
        <v/>
      </c>
      <c r="BC156" s="82">
        <f>($N156-$F156)*100</f>
        <v/>
      </c>
      <c r="BD156" s="82">
        <f>($Q156-$H156)*100</f>
        <v/>
      </c>
      <c r="BE156" s="82">
        <f>($S156-$J156)*100</f>
        <v/>
      </c>
      <c r="BF156" s="82">
        <f>($V156-$L156)*100</f>
        <v/>
      </c>
      <c r="BG156" s="82">
        <f>$AG156-$AF156</f>
        <v/>
      </c>
      <c r="BH156" s="81">
        <f>IFERROR($AG156/$AF156,"")</f>
        <v/>
      </c>
      <c r="BI156" s="82">
        <f>$AJ156-$AF156</f>
        <v/>
      </c>
      <c r="BJ156" s="81">
        <f>IFERROR($AJ156/$AG156,"")</f>
        <v/>
      </c>
      <c r="BK156" s="81">
        <f>$X156</f>
        <v/>
      </c>
      <c r="BL156" s="82">
        <f>($J156-$J157)*100</f>
        <v/>
      </c>
      <c r="BM156" s="82">
        <f>($F156-$F157)*100</f>
        <v/>
      </c>
      <c r="BN156" s="82">
        <f>$AF156-$AF157</f>
        <v/>
      </c>
      <c r="BO156" s="82">
        <f>$AG156-$AG157</f>
        <v/>
      </c>
      <c r="BP156" s="82">
        <f>$AJ156-$AJ157</f>
        <v/>
      </c>
    </row>
    <row r="157">
      <c r="AR157" s="81">
        <f>($G157+($H157-$G157)*0.5)+($P157-($O157+($Q157-$O157)*0.5))</f>
        <v/>
      </c>
      <c r="AS157" s="81">
        <f>($J157+($K157-$J157)*0.5)+($T157-($S157+($U157-$S157)*0.5))</f>
        <v/>
      </c>
      <c r="AT157" s="82">
        <f>($J157-$C157)*100</f>
        <v/>
      </c>
      <c r="AU157" s="82">
        <f>($H157-$F157)*100</f>
        <v/>
      </c>
      <c r="AV157" s="82">
        <f>($J157-$F157)*100</f>
        <v/>
      </c>
      <c r="AW157" s="82">
        <f>($L157-$F157)*100</f>
        <v/>
      </c>
      <c r="AX157" s="82">
        <f>($J157-$H157)*100</f>
        <v/>
      </c>
      <c r="AY157" s="82">
        <f>($L157-$H157)*100</f>
        <v/>
      </c>
      <c r="AZ157" s="82">
        <f>($L157-$J157)*100</f>
        <v/>
      </c>
      <c r="BA157" s="82">
        <f>(2*$H157-$F157-$J157)*100</f>
        <v/>
      </c>
      <c r="BB157" s="82">
        <f>(2*$J157-$H157-$L157)*100</f>
        <v/>
      </c>
      <c r="BC157" s="82">
        <f>($N157-$F157)*100</f>
        <v/>
      </c>
      <c r="BD157" s="82">
        <f>($Q157-$H157)*100</f>
        <v/>
      </c>
      <c r="BE157" s="82">
        <f>($S157-$J157)*100</f>
        <v/>
      </c>
      <c r="BF157" s="82">
        <f>($V157-$L157)*100</f>
        <v/>
      </c>
      <c r="BG157" s="82">
        <f>$AG157-$AF157</f>
        <v/>
      </c>
      <c r="BH157" s="81">
        <f>IFERROR($AG157/$AF157,"")</f>
        <v/>
      </c>
      <c r="BI157" s="82">
        <f>$AJ157-$AF157</f>
        <v/>
      </c>
      <c r="BJ157" s="81">
        <f>IFERROR($AJ157/$AG157,"")</f>
        <v/>
      </c>
      <c r="BK157" s="81">
        <f>$X157</f>
        <v/>
      </c>
      <c r="BL157" s="82">
        <f>($J157-$J158)*100</f>
        <v/>
      </c>
      <c r="BM157" s="82">
        <f>($F157-$F158)*100</f>
        <v/>
      </c>
      <c r="BN157" s="82">
        <f>$AF157-$AF158</f>
        <v/>
      </c>
      <c r="BO157" s="82">
        <f>$AG157-$AG158</f>
        <v/>
      </c>
      <c r="BP157" s="82">
        <f>$AJ157-$AJ158</f>
        <v/>
      </c>
    </row>
    <row r="158">
      <c r="AR158" s="81">
        <f>($G158+($H158-$G158)*0.5)+($P158-($O158+($Q158-$O158)*0.5))</f>
        <v/>
      </c>
      <c r="AS158" s="81">
        <f>($J158+($K158-$J158)*0.5)+($T158-($S158+($U158-$S158)*0.5))</f>
        <v/>
      </c>
      <c r="AT158" s="82">
        <f>($J158-$C158)*100</f>
        <v/>
      </c>
      <c r="AU158" s="82">
        <f>($H158-$F158)*100</f>
        <v/>
      </c>
      <c r="AV158" s="82">
        <f>($J158-$F158)*100</f>
        <v/>
      </c>
      <c r="AW158" s="82">
        <f>($L158-$F158)*100</f>
        <v/>
      </c>
      <c r="AX158" s="82">
        <f>($J158-$H158)*100</f>
        <v/>
      </c>
      <c r="AY158" s="82">
        <f>($L158-$H158)*100</f>
        <v/>
      </c>
      <c r="AZ158" s="82">
        <f>($L158-$J158)*100</f>
        <v/>
      </c>
      <c r="BA158" s="82">
        <f>(2*$H158-$F158-$J158)*100</f>
        <v/>
      </c>
      <c r="BB158" s="82">
        <f>(2*$J158-$H158-$L158)*100</f>
        <v/>
      </c>
      <c r="BC158" s="82">
        <f>($N158-$F158)*100</f>
        <v/>
      </c>
      <c r="BD158" s="82">
        <f>($Q158-$H158)*100</f>
        <v/>
      </c>
      <c r="BE158" s="82">
        <f>($S158-$J158)*100</f>
        <v/>
      </c>
      <c r="BF158" s="82">
        <f>($V158-$L158)*100</f>
        <v/>
      </c>
      <c r="BG158" s="82">
        <f>$AG158-$AF158</f>
        <v/>
      </c>
      <c r="BH158" s="81">
        <f>IFERROR($AG158/$AF158,"")</f>
        <v/>
      </c>
      <c r="BI158" s="82">
        <f>$AJ158-$AF158</f>
        <v/>
      </c>
      <c r="BJ158" s="81">
        <f>IFERROR($AJ158/$AG158,"")</f>
        <v/>
      </c>
      <c r="BK158" s="81">
        <f>$X158</f>
        <v/>
      </c>
      <c r="BL158" s="82">
        <f>($J158-$J159)*100</f>
        <v/>
      </c>
      <c r="BM158" s="82">
        <f>($F158-$F159)*100</f>
        <v/>
      </c>
      <c r="BN158" s="82">
        <f>$AF158-$AF159</f>
        <v/>
      </c>
      <c r="BO158" s="82">
        <f>$AG158-$AG159</f>
        <v/>
      </c>
      <c r="BP158" s="82">
        <f>$AJ158-$AJ159</f>
        <v/>
      </c>
    </row>
    <row r="159">
      <c r="AR159" s="81">
        <f>($G159+($H159-$G159)*0.5)+($P159-($O159+($Q159-$O159)*0.5))</f>
        <v/>
      </c>
      <c r="AS159" s="81">
        <f>($J159+($K159-$J159)*0.5)+($T159-($S159+($U159-$S159)*0.5))</f>
        <v/>
      </c>
      <c r="AT159" s="82">
        <f>($J159-$C159)*100</f>
        <v/>
      </c>
      <c r="AU159" s="82">
        <f>($H159-$F159)*100</f>
        <v/>
      </c>
      <c r="AV159" s="82">
        <f>($J159-$F159)*100</f>
        <v/>
      </c>
      <c r="AW159" s="82">
        <f>($L159-$F159)*100</f>
        <v/>
      </c>
      <c r="AX159" s="82">
        <f>($J159-$H159)*100</f>
        <v/>
      </c>
      <c r="AY159" s="82">
        <f>($L159-$H159)*100</f>
        <v/>
      </c>
      <c r="AZ159" s="82">
        <f>($L159-$J159)*100</f>
        <v/>
      </c>
      <c r="BA159" s="82">
        <f>(2*$H159-$F159-$J159)*100</f>
        <v/>
      </c>
      <c r="BB159" s="82">
        <f>(2*$J159-$H159-$L159)*100</f>
        <v/>
      </c>
      <c r="BC159" s="82">
        <f>($N159-$F159)*100</f>
        <v/>
      </c>
      <c r="BD159" s="82">
        <f>($Q159-$H159)*100</f>
        <v/>
      </c>
      <c r="BE159" s="82">
        <f>($S159-$J159)*100</f>
        <v/>
      </c>
      <c r="BF159" s="82">
        <f>($V159-$L159)*100</f>
        <v/>
      </c>
      <c r="BG159" s="82">
        <f>$AG159-$AF159</f>
        <v/>
      </c>
      <c r="BH159" s="81">
        <f>IFERROR($AG159/$AF159,"")</f>
        <v/>
      </c>
      <c r="BI159" s="82">
        <f>$AJ159-$AF159</f>
        <v/>
      </c>
      <c r="BJ159" s="81">
        <f>IFERROR($AJ159/$AG159,"")</f>
        <v/>
      </c>
      <c r="BK159" s="81">
        <f>$X159</f>
        <v/>
      </c>
      <c r="BL159" s="82">
        <f>($J159-$J160)*100</f>
        <v/>
      </c>
      <c r="BM159" s="82">
        <f>($F159-$F160)*100</f>
        <v/>
      </c>
      <c r="BN159" s="82">
        <f>$AF159-$AF160</f>
        <v/>
      </c>
      <c r="BO159" s="82">
        <f>$AG159-$AG160</f>
        <v/>
      </c>
      <c r="BP159" s="82">
        <f>$AJ159-$AJ160</f>
        <v/>
      </c>
    </row>
    <row r="160">
      <c r="AR160" s="81">
        <f>($G160+($H160-$G160)*0.5)+($P160-($O160+($Q160-$O160)*0.5))</f>
        <v/>
      </c>
      <c r="AS160" s="81">
        <f>($J160+($K160-$J160)*0.5)+($T160-($S160+($U160-$S160)*0.5))</f>
        <v/>
      </c>
      <c r="AT160" s="82">
        <f>($J160-$C160)*100</f>
        <v/>
      </c>
      <c r="AU160" s="82">
        <f>($H160-$F160)*100</f>
        <v/>
      </c>
      <c r="AV160" s="82">
        <f>($J160-$F160)*100</f>
        <v/>
      </c>
      <c r="AW160" s="82">
        <f>($L160-$F160)*100</f>
        <v/>
      </c>
      <c r="AX160" s="82">
        <f>($J160-$H160)*100</f>
        <v/>
      </c>
      <c r="AY160" s="82">
        <f>($L160-$H160)*100</f>
        <v/>
      </c>
      <c r="AZ160" s="82">
        <f>($L160-$J160)*100</f>
        <v/>
      </c>
      <c r="BA160" s="82">
        <f>(2*$H160-$F160-$J160)*100</f>
        <v/>
      </c>
      <c r="BB160" s="82">
        <f>(2*$J160-$H160-$L160)*100</f>
        <v/>
      </c>
      <c r="BC160" s="82">
        <f>($N160-$F160)*100</f>
        <v/>
      </c>
      <c r="BD160" s="82">
        <f>($Q160-$H160)*100</f>
        <v/>
      </c>
      <c r="BE160" s="82">
        <f>($S160-$J160)*100</f>
        <v/>
      </c>
      <c r="BF160" s="82">
        <f>($V160-$L160)*100</f>
        <v/>
      </c>
      <c r="BG160" s="82">
        <f>$AG160-$AF160</f>
        <v/>
      </c>
      <c r="BH160" s="81">
        <f>IFERROR($AG160/$AF160,"")</f>
        <v/>
      </c>
      <c r="BI160" s="82">
        <f>$AJ160-$AF160</f>
        <v/>
      </c>
      <c r="BJ160" s="81">
        <f>IFERROR($AJ160/$AG160,"")</f>
        <v/>
      </c>
      <c r="BK160" s="81">
        <f>$X160</f>
        <v/>
      </c>
      <c r="BL160" s="82">
        <f>($J160-$J161)*100</f>
        <v/>
      </c>
      <c r="BM160" s="82">
        <f>($F160-$F161)*100</f>
        <v/>
      </c>
      <c r="BN160" s="82">
        <f>$AF160-$AF161</f>
        <v/>
      </c>
      <c r="BO160" s="82">
        <f>$AG160-$AG161</f>
        <v/>
      </c>
      <c r="BP160" s="82">
        <f>$AJ160-$AJ161</f>
        <v/>
      </c>
    </row>
    <row r="161">
      <c r="AR161" s="81">
        <f>($G161+($H161-$G161)*0.5)+($P161-($O161+($Q161-$O161)*0.5))</f>
        <v/>
      </c>
      <c r="AS161" s="81">
        <f>($J161+($K161-$J161)*0.5)+($T161-($S161+($U161-$S161)*0.5))</f>
        <v/>
      </c>
      <c r="AT161" s="82">
        <f>($J161-$C161)*100</f>
        <v/>
      </c>
      <c r="AU161" s="82">
        <f>($H161-$F161)*100</f>
        <v/>
      </c>
      <c r="AV161" s="82">
        <f>($J161-$F161)*100</f>
        <v/>
      </c>
      <c r="AW161" s="82">
        <f>($L161-$F161)*100</f>
        <v/>
      </c>
      <c r="AX161" s="82">
        <f>($J161-$H161)*100</f>
        <v/>
      </c>
      <c r="AY161" s="82">
        <f>($L161-$H161)*100</f>
        <v/>
      </c>
      <c r="AZ161" s="82">
        <f>($L161-$J161)*100</f>
        <v/>
      </c>
      <c r="BA161" s="82">
        <f>(2*$H161-$F161-$J161)*100</f>
        <v/>
      </c>
      <c r="BB161" s="82">
        <f>(2*$J161-$H161-$L161)*100</f>
        <v/>
      </c>
      <c r="BC161" s="82">
        <f>($N161-$F161)*100</f>
        <v/>
      </c>
      <c r="BD161" s="82">
        <f>($Q161-$H161)*100</f>
        <v/>
      </c>
      <c r="BE161" s="82">
        <f>($S161-$J161)*100</f>
        <v/>
      </c>
      <c r="BF161" s="82">
        <f>($V161-$L161)*100</f>
        <v/>
      </c>
      <c r="BG161" s="82">
        <f>$AG161-$AF161</f>
        <v/>
      </c>
      <c r="BH161" s="81">
        <f>IFERROR($AG161/$AF161,"")</f>
        <v/>
      </c>
      <c r="BI161" s="82">
        <f>$AJ161-$AF161</f>
        <v/>
      </c>
      <c r="BJ161" s="81">
        <f>IFERROR($AJ161/$AG161,"")</f>
        <v/>
      </c>
      <c r="BK161" s="81">
        <f>$X161</f>
        <v/>
      </c>
      <c r="BL161" s="82">
        <f>($J161-$J162)*100</f>
        <v/>
      </c>
      <c r="BM161" s="82">
        <f>($F161-$F162)*100</f>
        <v/>
      </c>
      <c r="BN161" s="82">
        <f>$AF161-$AF162</f>
        <v/>
      </c>
      <c r="BO161" s="82">
        <f>$AG161-$AG162</f>
        <v/>
      </c>
      <c r="BP161" s="82">
        <f>$AJ161-$AJ162</f>
        <v/>
      </c>
    </row>
    <row r="162">
      <c r="AR162" s="81">
        <f>($G162+($H162-$G162)*0.5)+($P162-($O162+($Q162-$O162)*0.5))</f>
        <v/>
      </c>
      <c r="AS162" s="81">
        <f>($J162+($K162-$J162)*0.5)+($T162-($S162+($U162-$S162)*0.5))</f>
        <v/>
      </c>
      <c r="AT162" s="82">
        <f>($J162-$C162)*100</f>
        <v/>
      </c>
      <c r="AU162" s="82">
        <f>($H162-$F162)*100</f>
        <v/>
      </c>
      <c r="AV162" s="82">
        <f>($J162-$F162)*100</f>
        <v/>
      </c>
      <c r="AW162" s="82">
        <f>($L162-$F162)*100</f>
        <v/>
      </c>
      <c r="AX162" s="82">
        <f>($J162-$H162)*100</f>
        <v/>
      </c>
      <c r="AY162" s="82">
        <f>($L162-$H162)*100</f>
        <v/>
      </c>
      <c r="AZ162" s="82">
        <f>($L162-$J162)*100</f>
        <v/>
      </c>
      <c r="BA162" s="82">
        <f>(2*$H162-$F162-$J162)*100</f>
        <v/>
      </c>
      <c r="BB162" s="82">
        <f>(2*$J162-$H162-$L162)*100</f>
        <v/>
      </c>
      <c r="BC162" s="82">
        <f>($N162-$F162)*100</f>
        <v/>
      </c>
      <c r="BD162" s="82">
        <f>($Q162-$H162)*100</f>
        <v/>
      </c>
      <c r="BE162" s="82">
        <f>($S162-$J162)*100</f>
        <v/>
      </c>
      <c r="BF162" s="82">
        <f>($V162-$L162)*100</f>
        <v/>
      </c>
      <c r="BG162" s="82">
        <f>$AG162-$AF162</f>
        <v/>
      </c>
      <c r="BH162" s="81">
        <f>IFERROR($AG162/$AF162,"")</f>
        <v/>
      </c>
      <c r="BI162" s="82">
        <f>$AJ162-$AF162</f>
        <v/>
      </c>
      <c r="BJ162" s="81">
        <f>IFERROR($AJ162/$AG162,"")</f>
        <v/>
      </c>
      <c r="BK162" s="81">
        <f>$X162</f>
        <v/>
      </c>
      <c r="BL162" s="82">
        <f>($J162-$J163)*100</f>
        <v/>
      </c>
      <c r="BM162" s="82">
        <f>($F162-$F163)*100</f>
        <v/>
      </c>
      <c r="BN162" s="82">
        <f>$AF162-$AF163</f>
        <v/>
      </c>
      <c r="BO162" s="82">
        <f>$AG162-$AG163</f>
        <v/>
      </c>
      <c r="BP162" s="82">
        <f>$AJ162-$AJ163</f>
        <v/>
      </c>
    </row>
    <row r="163">
      <c r="AR163" s="81">
        <f>($G163+($H163-$G163)*0.5)+($P163-($O163+($Q163-$O163)*0.5))</f>
        <v/>
      </c>
      <c r="AS163" s="81">
        <f>($J163+($K163-$J163)*0.5)+($T163-($S163+($U163-$S163)*0.5))</f>
        <v/>
      </c>
      <c r="AT163" s="82">
        <f>($J163-$C163)*100</f>
        <v/>
      </c>
      <c r="AU163" s="82">
        <f>($H163-$F163)*100</f>
        <v/>
      </c>
      <c r="AV163" s="82">
        <f>($J163-$F163)*100</f>
        <v/>
      </c>
      <c r="AW163" s="82">
        <f>($L163-$F163)*100</f>
        <v/>
      </c>
      <c r="AX163" s="82">
        <f>($J163-$H163)*100</f>
        <v/>
      </c>
      <c r="AY163" s="82">
        <f>($L163-$H163)*100</f>
        <v/>
      </c>
      <c r="AZ163" s="82">
        <f>($L163-$J163)*100</f>
        <v/>
      </c>
      <c r="BA163" s="82">
        <f>(2*$H163-$F163-$J163)*100</f>
        <v/>
      </c>
      <c r="BB163" s="82">
        <f>(2*$J163-$H163-$L163)*100</f>
        <v/>
      </c>
      <c r="BC163" s="82">
        <f>($N163-$F163)*100</f>
        <v/>
      </c>
      <c r="BD163" s="82">
        <f>($Q163-$H163)*100</f>
        <v/>
      </c>
      <c r="BE163" s="82">
        <f>($S163-$J163)*100</f>
        <v/>
      </c>
      <c r="BF163" s="82">
        <f>($V163-$L163)*100</f>
        <v/>
      </c>
      <c r="BG163" s="82">
        <f>$AG163-$AF163</f>
        <v/>
      </c>
      <c r="BH163" s="81">
        <f>IFERROR($AG163/$AF163,"")</f>
        <v/>
      </c>
      <c r="BI163" s="82">
        <f>$AJ163-$AF163</f>
        <v/>
      </c>
      <c r="BJ163" s="81">
        <f>IFERROR($AJ163/$AG163,"")</f>
        <v/>
      </c>
      <c r="BK163" s="81">
        <f>$X163</f>
        <v/>
      </c>
      <c r="BL163" s="82">
        <f>($J163-$J164)*100</f>
        <v/>
      </c>
      <c r="BM163" s="82">
        <f>($F163-$F164)*100</f>
        <v/>
      </c>
      <c r="BN163" s="82">
        <f>$AF163-$AF164</f>
        <v/>
      </c>
      <c r="BO163" s="82">
        <f>$AG163-$AG164</f>
        <v/>
      </c>
      <c r="BP163" s="82">
        <f>$AJ163-$AJ164</f>
        <v/>
      </c>
    </row>
    <row r="164">
      <c r="AR164" s="81">
        <f>($G164+($H164-$G164)*0.5)+($P164-($O164+($Q164-$O164)*0.5))</f>
        <v/>
      </c>
      <c r="AS164" s="81">
        <f>($J164+($K164-$J164)*0.5)+($T164-($S164+($U164-$S164)*0.5))</f>
        <v/>
      </c>
      <c r="AT164" s="82">
        <f>($J164-$C164)*100</f>
        <v/>
      </c>
      <c r="AU164" s="82">
        <f>($H164-$F164)*100</f>
        <v/>
      </c>
      <c r="AV164" s="82">
        <f>($J164-$F164)*100</f>
        <v/>
      </c>
      <c r="AW164" s="82">
        <f>($L164-$F164)*100</f>
        <v/>
      </c>
      <c r="AX164" s="82">
        <f>($J164-$H164)*100</f>
        <v/>
      </c>
      <c r="AY164" s="82">
        <f>($L164-$H164)*100</f>
        <v/>
      </c>
      <c r="AZ164" s="82">
        <f>($L164-$J164)*100</f>
        <v/>
      </c>
      <c r="BA164" s="82">
        <f>(2*$H164-$F164-$J164)*100</f>
        <v/>
      </c>
      <c r="BB164" s="82">
        <f>(2*$J164-$H164-$L164)*100</f>
        <v/>
      </c>
      <c r="BC164" s="82">
        <f>($N164-$F164)*100</f>
        <v/>
      </c>
      <c r="BD164" s="82">
        <f>($Q164-$H164)*100</f>
        <v/>
      </c>
      <c r="BE164" s="82">
        <f>($S164-$J164)*100</f>
        <v/>
      </c>
      <c r="BF164" s="82">
        <f>($V164-$L164)*100</f>
        <v/>
      </c>
      <c r="BG164" s="82">
        <f>$AG164-$AF164</f>
        <v/>
      </c>
      <c r="BH164" s="81">
        <f>IFERROR($AG164/$AF164,"")</f>
        <v/>
      </c>
      <c r="BI164" s="82">
        <f>$AJ164-$AF164</f>
        <v/>
      </c>
      <c r="BJ164" s="81">
        <f>IFERROR($AJ164/$AG164,"")</f>
        <v/>
      </c>
      <c r="BK164" s="81">
        <f>$X164</f>
        <v/>
      </c>
      <c r="BL164" s="82">
        <f>($J164-$J165)*100</f>
        <v/>
      </c>
      <c r="BM164" s="82">
        <f>($F164-$F165)*100</f>
        <v/>
      </c>
      <c r="BN164" s="82">
        <f>$AF164-$AF165</f>
        <v/>
      </c>
      <c r="BO164" s="82">
        <f>$AG164-$AG165</f>
        <v/>
      </c>
      <c r="BP164" s="82">
        <f>$AJ164-$AJ165</f>
        <v/>
      </c>
    </row>
    <row r="165">
      <c r="AR165" s="81">
        <f>($G165+($H165-$G165)*0.5)+($P165-($O165+($Q165-$O165)*0.5))</f>
        <v/>
      </c>
      <c r="AS165" s="81">
        <f>($J165+($K165-$J165)*0.5)+($T165-($S165+($U165-$S165)*0.5))</f>
        <v/>
      </c>
      <c r="AT165" s="82">
        <f>($J165-$C165)*100</f>
        <v/>
      </c>
      <c r="AU165" s="82">
        <f>($H165-$F165)*100</f>
        <v/>
      </c>
      <c r="AV165" s="82">
        <f>($J165-$F165)*100</f>
        <v/>
      </c>
      <c r="AW165" s="82">
        <f>($L165-$F165)*100</f>
        <v/>
      </c>
      <c r="AX165" s="82">
        <f>($J165-$H165)*100</f>
        <v/>
      </c>
      <c r="AY165" s="82">
        <f>($L165-$H165)*100</f>
        <v/>
      </c>
      <c r="AZ165" s="82">
        <f>($L165-$J165)*100</f>
        <v/>
      </c>
      <c r="BA165" s="82">
        <f>(2*$H165-$F165-$J165)*100</f>
        <v/>
      </c>
      <c r="BB165" s="82">
        <f>(2*$J165-$H165-$L165)*100</f>
        <v/>
      </c>
      <c r="BC165" s="82">
        <f>($N165-$F165)*100</f>
        <v/>
      </c>
      <c r="BD165" s="82">
        <f>($Q165-$H165)*100</f>
        <v/>
      </c>
      <c r="BE165" s="82">
        <f>($S165-$J165)*100</f>
        <v/>
      </c>
      <c r="BF165" s="82">
        <f>($V165-$L165)*100</f>
        <v/>
      </c>
      <c r="BG165" s="82">
        <f>$AG165-$AF165</f>
        <v/>
      </c>
      <c r="BH165" s="81">
        <f>IFERROR($AG165/$AF165,"")</f>
        <v/>
      </c>
      <c r="BI165" s="82">
        <f>$AJ165-$AF165</f>
        <v/>
      </c>
      <c r="BJ165" s="81">
        <f>IFERROR($AJ165/$AG165,"")</f>
        <v/>
      </c>
      <c r="BK165" s="81">
        <f>$X165</f>
        <v/>
      </c>
      <c r="BL165" s="82">
        <f>($J165-$J166)*100</f>
        <v/>
      </c>
      <c r="BM165" s="82">
        <f>($F165-$F166)*100</f>
        <v/>
      </c>
      <c r="BN165" s="82">
        <f>$AF165-$AF166</f>
        <v/>
      </c>
      <c r="BO165" s="82">
        <f>$AG165-$AG166</f>
        <v/>
      </c>
      <c r="BP165" s="82">
        <f>$AJ165-$AJ166</f>
        <v/>
      </c>
    </row>
    <row r="166">
      <c r="AR166" s="81">
        <f>($G166+($H166-$G166)*0.5)+($P166-($O166+($Q166-$O166)*0.5))</f>
        <v/>
      </c>
      <c r="AS166" s="81">
        <f>($J166+($K166-$J166)*0.5)+($T166-($S166+($U166-$S166)*0.5))</f>
        <v/>
      </c>
      <c r="AT166" s="82">
        <f>($J166-$C166)*100</f>
        <v/>
      </c>
      <c r="AU166" s="82">
        <f>($H166-$F166)*100</f>
        <v/>
      </c>
      <c r="AV166" s="82">
        <f>($J166-$F166)*100</f>
        <v/>
      </c>
      <c r="AW166" s="82">
        <f>($L166-$F166)*100</f>
        <v/>
      </c>
      <c r="AX166" s="82">
        <f>($J166-$H166)*100</f>
        <v/>
      </c>
      <c r="AY166" s="82">
        <f>($L166-$H166)*100</f>
        <v/>
      </c>
      <c r="AZ166" s="82">
        <f>($L166-$J166)*100</f>
        <v/>
      </c>
      <c r="BA166" s="82">
        <f>(2*$H166-$F166-$J166)*100</f>
        <v/>
      </c>
      <c r="BB166" s="82">
        <f>(2*$J166-$H166-$L166)*100</f>
        <v/>
      </c>
      <c r="BC166" s="82">
        <f>($N166-$F166)*100</f>
        <v/>
      </c>
      <c r="BD166" s="82">
        <f>($Q166-$H166)*100</f>
        <v/>
      </c>
      <c r="BE166" s="82">
        <f>($S166-$J166)*100</f>
        <v/>
      </c>
      <c r="BF166" s="82">
        <f>($V166-$L166)*100</f>
        <v/>
      </c>
      <c r="BG166" s="82">
        <f>$AG166-$AF166</f>
        <v/>
      </c>
      <c r="BH166" s="81">
        <f>IFERROR($AG166/$AF166,"")</f>
        <v/>
      </c>
      <c r="BI166" s="82">
        <f>$AJ166-$AF166</f>
        <v/>
      </c>
      <c r="BJ166" s="81">
        <f>IFERROR($AJ166/$AG166,"")</f>
        <v/>
      </c>
      <c r="BK166" s="81">
        <f>$X166</f>
        <v/>
      </c>
      <c r="BL166" s="82">
        <f>($J166-$J167)*100</f>
        <v/>
      </c>
      <c r="BM166" s="82">
        <f>($F166-$F167)*100</f>
        <v/>
      </c>
      <c r="BN166" s="82">
        <f>$AF166-$AF167</f>
        <v/>
      </c>
      <c r="BO166" s="82">
        <f>$AG166-$AG167</f>
        <v/>
      </c>
      <c r="BP166" s="82">
        <f>$AJ166-$AJ167</f>
        <v/>
      </c>
    </row>
    <row r="167">
      <c r="AR167" s="81">
        <f>($G167+($H167-$G167)*0.5)+($P167-($O167+($Q167-$O167)*0.5))</f>
        <v/>
      </c>
      <c r="AS167" s="81">
        <f>($J167+($K167-$J167)*0.5)+($T167-($S167+($U167-$S167)*0.5))</f>
        <v/>
      </c>
      <c r="AT167" s="82">
        <f>($J167-$C167)*100</f>
        <v/>
      </c>
      <c r="AU167" s="82">
        <f>($H167-$F167)*100</f>
        <v/>
      </c>
      <c r="AV167" s="82">
        <f>($J167-$F167)*100</f>
        <v/>
      </c>
      <c r="AW167" s="82">
        <f>($L167-$F167)*100</f>
        <v/>
      </c>
      <c r="AX167" s="82">
        <f>($J167-$H167)*100</f>
        <v/>
      </c>
      <c r="AY167" s="82">
        <f>($L167-$H167)*100</f>
        <v/>
      </c>
      <c r="AZ167" s="82">
        <f>($L167-$J167)*100</f>
        <v/>
      </c>
      <c r="BA167" s="82">
        <f>(2*$H167-$F167-$J167)*100</f>
        <v/>
      </c>
      <c r="BB167" s="82">
        <f>(2*$J167-$H167-$L167)*100</f>
        <v/>
      </c>
      <c r="BC167" s="82">
        <f>($N167-$F167)*100</f>
        <v/>
      </c>
      <c r="BD167" s="82">
        <f>($Q167-$H167)*100</f>
        <v/>
      </c>
      <c r="BE167" s="82">
        <f>($S167-$J167)*100</f>
        <v/>
      </c>
      <c r="BF167" s="82">
        <f>($V167-$L167)*100</f>
        <v/>
      </c>
      <c r="BG167" s="82">
        <f>$AG167-$AF167</f>
        <v/>
      </c>
      <c r="BH167" s="81">
        <f>IFERROR($AG167/$AF167,"")</f>
        <v/>
      </c>
      <c r="BI167" s="82">
        <f>$AJ167-$AF167</f>
        <v/>
      </c>
      <c r="BJ167" s="81">
        <f>IFERROR($AJ167/$AG167,"")</f>
        <v/>
      </c>
      <c r="BK167" s="81">
        <f>$X167</f>
        <v/>
      </c>
      <c r="BL167" s="82">
        <f>($J167-$J168)*100</f>
        <v/>
      </c>
      <c r="BM167" s="82">
        <f>($F167-$F168)*100</f>
        <v/>
      </c>
      <c r="BN167" s="82">
        <f>$AF167-$AF168</f>
        <v/>
      </c>
      <c r="BO167" s="82">
        <f>$AG167-$AG168</f>
        <v/>
      </c>
      <c r="BP167" s="82">
        <f>$AJ167-$AJ168</f>
        <v/>
      </c>
    </row>
    <row r="168">
      <c r="AR168" s="81">
        <f>($G168+($H168-$G168)*0.5)+($P168-($O168+($Q168-$O168)*0.5))</f>
        <v/>
      </c>
      <c r="AS168" s="81">
        <f>($J168+($K168-$J168)*0.5)+($T168-($S168+($U168-$S168)*0.5))</f>
        <v/>
      </c>
      <c r="AT168" s="82">
        <f>($J168-$C168)*100</f>
        <v/>
      </c>
      <c r="AU168" s="82">
        <f>($H168-$F168)*100</f>
        <v/>
      </c>
      <c r="AV168" s="82">
        <f>($J168-$F168)*100</f>
        <v/>
      </c>
      <c r="AW168" s="82">
        <f>($L168-$F168)*100</f>
        <v/>
      </c>
      <c r="AX168" s="82">
        <f>($J168-$H168)*100</f>
        <v/>
      </c>
      <c r="AY168" s="82">
        <f>($L168-$H168)*100</f>
        <v/>
      </c>
      <c r="AZ168" s="82">
        <f>($L168-$J168)*100</f>
        <v/>
      </c>
      <c r="BA168" s="82">
        <f>(2*$H168-$F168-$J168)*100</f>
        <v/>
      </c>
      <c r="BB168" s="82">
        <f>(2*$J168-$H168-$L168)*100</f>
        <v/>
      </c>
      <c r="BC168" s="82">
        <f>($N168-$F168)*100</f>
        <v/>
      </c>
      <c r="BD168" s="82">
        <f>($Q168-$H168)*100</f>
        <v/>
      </c>
      <c r="BE168" s="82">
        <f>($S168-$J168)*100</f>
        <v/>
      </c>
      <c r="BF168" s="82">
        <f>($V168-$L168)*100</f>
        <v/>
      </c>
      <c r="BG168" s="82">
        <f>$AG168-$AF168</f>
        <v/>
      </c>
      <c r="BH168" s="81">
        <f>IFERROR($AG168/$AF168,"")</f>
        <v/>
      </c>
      <c r="BI168" s="82">
        <f>$AJ168-$AF168</f>
        <v/>
      </c>
      <c r="BJ168" s="81">
        <f>IFERROR($AJ168/$AG168,"")</f>
        <v/>
      </c>
      <c r="BK168" s="81">
        <f>$X168</f>
        <v/>
      </c>
      <c r="BL168" s="82">
        <f>($J168-$J169)*100</f>
        <v/>
      </c>
      <c r="BM168" s="82">
        <f>($F168-$F169)*100</f>
        <v/>
      </c>
      <c r="BN168" s="82">
        <f>$AF168-$AF169</f>
        <v/>
      </c>
      <c r="BO168" s="82">
        <f>$AG168-$AG169</f>
        <v/>
      </c>
      <c r="BP168" s="82">
        <f>$AJ168-$AJ169</f>
        <v/>
      </c>
    </row>
    <row r="169">
      <c r="AR169" s="81">
        <f>($G169+($H169-$G169)*0.5)+($P169-($O169+($Q169-$O169)*0.5))</f>
        <v/>
      </c>
      <c r="AS169" s="81">
        <f>($J169+($K169-$J169)*0.5)+($T169-($S169+($U169-$S169)*0.5))</f>
        <v/>
      </c>
      <c r="AT169" s="82">
        <f>($J169-$C169)*100</f>
        <v/>
      </c>
      <c r="AU169" s="82">
        <f>($H169-$F169)*100</f>
        <v/>
      </c>
      <c r="AV169" s="82">
        <f>($J169-$F169)*100</f>
        <v/>
      </c>
      <c r="AW169" s="82">
        <f>($L169-$F169)*100</f>
        <v/>
      </c>
      <c r="AX169" s="82">
        <f>($J169-$H169)*100</f>
        <v/>
      </c>
      <c r="AY169" s="82">
        <f>($L169-$H169)*100</f>
        <v/>
      </c>
      <c r="AZ169" s="82">
        <f>($L169-$J169)*100</f>
        <v/>
      </c>
      <c r="BA169" s="82">
        <f>(2*$H169-$F169-$J169)*100</f>
        <v/>
      </c>
      <c r="BB169" s="82">
        <f>(2*$J169-$H169-$L169)*100</f>
        <v/>
      </c>
      <c r="BC169" s="82">
        <f>($N169-$F169)*100</f>
        <v/>
      </c>
      <c r="BD169" s="82">
        <f>($Q169-$H169)*100</f>
        <v/>
      </c>
      <c r="BE169" s="82">
        <f>($S169-$J169)*100</f>
        <v/>
      </c>
      <c r="BF169" s="82">
        <f>($V169-$L169)*100</f>
        <v/>
      </c>
      <c r="BG169" s="82">
        <f>$AG169-$AF169</f>
        <v/>
      </c>
      <c r="BH169" s="81">
        <f>IFERROR($AG169/$AF169,"")</f>
        <v/>
      </c>
      <c r="BI169" s="82">
        <f>$AJ169-$AF169</f>
        <v/>
      </c>
      <c r="BJ169" s="81">
        <f>IFERROR($AJ169/$AG169,"")</f>
        <v/>
      </c>
      <c r="BK169" s="81">
        <f>$X169</f>
        <v/>
      </c>
      <c r="BL169" s="82">
        <f>($J169-$J170)*100</f>
        <v/>
      </c>
      <c r="BM169" s="82">
        <f>($F169-$F170)*100</f>
        <v/>
      </c>
      <c r="BN169" s="82">
        <f>$AF169-$AF170</f>
        <v/>
      </c>
      <c r="BO169" s="82">
        <f>$AG169-$AG170</f>
        <v/>
      </c>
      <c r="BP169" s="82">
        <f>$AJ169-$AJ170</f>
        <v/>
      </c>
    </row>
    <row r="170">
      <c r="AR170" s="81">
        <f>($G170+($H170-$G170)*0.5)+($P170-($O170+($Q170-$O170)*0.5))</f>
        <v/>
      </c>
      <c r="AS170" s="81">
        <f>($J170+($K170-$J170)*0.5)+($T170-($S170+($U170-$S170)*0.5))</f>
        <v/>
      </c>
      <c r="AT170" s="82">
        <f>($J170-$C170)*100</f>
        <v/>
      </c>
      <c r="AU170" s="82">
        <f>($H170-$F170)*100</f>
        <v/>
      </c>
      <c r="AV170" s="82">
        <f>($J170-$F170)*100</f>
        <v/>
      </c>
      <c r="AW170" s="82">
        <f>($L170-$F170)*100</f>
        <v/>
      </c>
      <c r="AX170" s="82">
        <f>($J170-$H170)*100</f>
        <v/>
      </c>
      <c r="AY170" s="82">
        <f>($L170-$H170)*100</f>
        <v/>
      </c>
      <c r="AZ170" s="82">
        <f>($L170-$J170)*100</f>
        <v/>
      </c>
      <c r="BA170" s="82">
        <f>(2*$H170-$F170-$J170)*100</f>
        <v/>
      </c>
      <c r="BB170" s="82">
        <f>(2*$J170-$H170-$L170)*100</f>
        <v/>
      </c>
      <c r="BC170" s="82">
        <f>($N170-$F170)*100</f>
        <v/>
      </c>
      <c r="BD170" s="82">
        <f>($Q170-$H170)*100</f>
        <v/>
      </c>
      <c r="BE170" s="82">
        <f>($S170-$J170)*100</f>
        <v/>
      </c>
      <c r="BF170" s="82">
        <f>($V170-$L170)*100</f>
        <v/>
      </c>
      <c r="BG170" s="82">
        <f>$AG170-$AF170</f>
        <v/>
      </c>
      <c r="BH170" s="81">
        <f>IFERROR($AG170/$AF170,"")</f>
        <v/>
      </c>
      <c r="BI170" s="82">
        <f>$AJ170-$AF170</f>
        <v/>
      </c>
      <c r="BJ170" s="81">
        <f>IFERROR($AJ170/$AG170,"")</f>
        <v/>
      </c>
      <c r="BK170" s="81">
        <f>$X170</f>
        <v/>
      </c>
      <c r="BL170" s="82">
        <f>($J170-$J171)*100</f>
        <v/>
      </c>
      <c r="BM170" s="82">
        <f>($F170-$F171)*100</f>
        <v/>
      </c>
      <c r="BN170" s="82">
        <f>$AF170-$AF171</f>
        <v/>
      </c>
      <c r="BO170" s="82">
        <f>$AG170-$AG171</f>
        <v/>
      </c>
      <c r="BP170" s="82">
        <f>$AJ170-$AJ171</f>
        <v/>
      </c>
    </row>
    <row r="171">
      <c r="AR171" s="81">
        <f>($G171+($H171-$G171)*0.5)+($P171-($O171+($Q171-$O171)*0.5))</f>
        <v/>
      </c>
      <c r="AS171" s="81">
        <f>($J171+($K171-$J171)*0.5)+($T171-($S171+($U171-$S171)*0.5))</f>
        <v/>
      </c>
      <c r="AT171" s="82">
        <f>($J171-$C171)*100</f>
        <v/>
      </c>
      <c r="AU171" s="82">
        <f>($H171-$F171)*100</f>
        <v/>
      </c>
      <c r="AV171" s="82">
        <f>($J171-$F171)*100</f>
        <v/>
      </c>
      <c r="AW171" s="82">
        <f>($L171-$F171)*100</f>
        <v/>
      </c>
      <c r="AX171" s="82">
        <f>($J171-$H171)*100</f>
        <v/>
      </c>
      <c r="AY171" s="82">
        <f>($L171-$H171)*100</f>
        <v/>
      </c>
      <c r="AZ171" s="82">
        <f>($L171-$J171)*100</f>
        <v/>
      </c>
      <c r="BA171" s="82">
        <f>(2*$H171-$F171-$J171)*100</f>
        <v/>
      </c>
      <c r="BB171" s="82">
        <f>(2*$J171-$H171-$L171)*100</f>
        <v/>
      </c>
      <c r="BC171" s="82">
        <f>($N171-$F171)*100</f>
        <v/>
      </c>
      <c r="BD171" s="82">
        <f>($Q171-$H171)*100</f>
        <v/>
      </c>
      <c r="BE171" s="82">
        <f>($S171-$J171)*100</f>
        <v/>
      </c>
      <c r="BF171" s="82">
        <f>($V171-$L171)*100</f>
        <v/>
      </c>
      <c r="BG171" s="82">
        <f>$AG171-$AF171</f>
        <v/>
      </c>
      <c r="BH171" s="81">
        <f>IFERROR($AG171/$AF171,"")</f>
        <v/>
      </c>
      <c r="BI171" s="82">
        <f>$AJ171-$AF171</f>
        <v/>
      </c>
      <c r="BJ171" s="81">
        <f>IFERROR($AJ171/$AG171,"")</f>
        <v/>
      </c>
      <c r="BK171" s="81">
        <f>$X171</f>
        <v/>
      </c>
      <c r="BL171" s="82">
        <f>($J171-$J172)*100</f>
        <v/>
      </c>
      <c r="BM171" s="82">
        <f>($F171-$F172)*100</f>
        <v/>
      </c>
      <c r="BN171" s="82">
        <f>$AF171-$AF172</f>
        <v/>
      </c>
      <c r="BO171" s="82">
        <f>$AG171-$AG172</f>
        <v/>
      </c>
      <c r="BP171" s="82">
        <f>$AJ171-$AJ172</f>
        <v/>
      </c>
    </row>
    <row r="172">
      <c r="AR172" s="81">
        <f>($G172+($H172-$G172)*0.5)+($P172-($O172+($Q172-$O172)*0.5))</f>
        <v/>
      </c>
      <c r="AS172" s="81">
        <f>($J172+($K172-$J172)*0.5)+($T172-($S172+($U172-$S172)*0.5))</f>
        <v/>
      </c>
      <c r="AT172" s="82">
        <f>($J172-$C172)*100</f>
        <v/>
      </c>
      <c r="AU172" s="82">
        <f>($H172-$F172)*100</f>
        <v/>
      </c>
      <c r="AV172" s="82">
        <f>($J172-$F172)*100</f>
        <v/>
      </c>
      <c r="AW172" s="82">
        <f>($L172-$F172)*100</f>
        <v/>
      </c>
      <c r="AX172" s="82">
        <f>($J172-$H172)*100</f>
        <v/>
      </c>
      <c r="AY172" s="82">
        <f>($L172-$H172)*100</f>
        <v/>
      </c>
      <c r="AZ172" s="82">
        <f>($L172-$J172)*100</f>
        <v/>
      </c>
      <c r="BA172" s="82">
        <f>(2*$H172-$F172-$J172)*100</f>
        <v/>
      </c>
      <c r="BB172" s="82">
        <f>(2*$J172-$H172-$L172)*100</f>
        <v/>
      </c>
      <c r="BC172" s="82">
        <f>($N172-$F172)*100</f>
        <v/>
      </c>
      <c r="BD172" s="82">
        <f>($Q172-$H172)*100</f>
        <v/>
      </c>
      <c r="BE172" s="82">
        <f>($S172-$J172)*100</f>
        <v/>
      </c>
      <c r="BF172" s="82">
        <f>($V172-$L172)*100</f>
        <v/>
      </c>
      <c r="BG172" s="82">
        <f>$AG172-$AF172</f>
        <v/>
      </c>
      <c r="BH172" s="81">
        <f>IFERROR($AG172/$AF172,"")</f>
        <v/>
      </c>
      <c r="BI172" s="82">
        <f>$AJ172-$AF172</f>
        <v/>
      </c>
      <c r="BJ172" s="81">
        <f>IFERROR($AJ172/$AG172,"")</f>
        <v/>
      </c>
      <c r="BK172" s="81">
        <f>$X172</f>
        <v/>
      </c>
      <c r="BL172" s="82">
        <f>($J172-$J173)*100</f>
        <v/>
      </c>
      <c r="BM172" s="82">
        <f>($F172-$F173)*100</f>
        <v/>
      </c>
      <c r="BN172" s="82">
        <f>$AF172-$AF173</f>
        <v/>
      </c>
      <c r="BO172" s="82">
        <f>$AG172-$AG173</f>
        <v/>
      </c>
      <c r="BP172" s="82">
        <f>$AJ172-$AJ173</f>
        <v/>
      </c>
    </row>
    <row r="173">
      <c r="AR173" s="81">
        <f>($G173+($H173-$G173)*0.5)+($P173-($O173+($Q173-$O173)*0.5))</f>
        <v/>
      </c>
      <c r="AS173" s="81">
        <f>($J173+($K173-$J173)*0.5)+($T173-($S173+($U173-$S173)*0.5))</f>
        <v/>
      </c>
      <c r="AT173" s="82">
        <f>($J173-$C173)*100</f>
        <v/>
      </c>
      <c r="AU173" s="82">
        <f>($H173-$F173)*100</f>
        <v/>
      </c>
      <c r="AV173" s="82">
        <f>($J173-$F173)*100</f>
        <v/>
      </c>
      <c r="AW173" s="82">
        <f>($L173-$F173)*100</f>
        <v/>
      </c>
      <c r="AX173" s="82">
        <f>($J173-$H173)*100</f>
        <v/>
      </c>
      <c r="AY173" s="82">
        <f>($L173-$H173)*100</f>
        <v/>
      </c>
      <c r="AZ173" s="82">
        <f>($L173-$J173)*100</f>
        <v/>
      </c>
      <c r="BA173" s="82">
        <f>(2*$H173-$F173-$J173)*100</f>
        <v/>
      </c>
      <c r="BB173" s="82">
        <f>(2*$J173-$H173-$L173)*100</f>
        <v/>
      </c>
      <c r="BC173" s="82">
        <f>($N173-$F173)*100</f>
        <v/>
      </c>
      <c r="BD173" s="82">
        <f>($Q173-$H173)*100</f>
        <v/>
      </c>
      <c r="BE173" s="82">
        <f>($S173-$J173)*100</f>
        <v/>
      </c>
      <c r="BF173" s="82">
        <f>($V173-$L173)*100</f>
        <v/>
      </c>
      <c r="BG173" s="82">
        <f>$AG173-$AF173</f>
        <v/>
      </c>
      <c r="BH173" s="81">
        <f>IFERROR($AG173/$AF173,"")</f>
        <v/>
      </c>
      <c r="BI173" s="82">
        <f>$AJ173-$AF173</f>
        <v/>
      </c>
      <c r="BJ173" s="81">
        <f>IFERROR($AJ173/$AG173,"")</f>
        <v/>
      </c>
      <c r="BK173" s="81">
        <f>$X173</f>
        <v/>
      </c>
      <c r="BL173" s="82">
        <f>($J173-$J174)*100</f>
        <v/>
      </c>
      <c r="BM173" s="82">
        <f>($F173-$F174)*100</f>
        <v/>
      </c>
      <c r="BN173" s="82">
        <f>$AF173-$AF174</f>
        <v/>
      </c>
      <c r="BO173" s="82">
        <f>$AG173-$AG174</f>
        <v/>
      </c>
      <c r="BP173" s="82">
        <f>$AJ173-$AJ174</f>
        <v/>
      </c>
    </row>
    <row r="174">
      <c r="AR174" s="81">
        <f>($G174+($H174-$G174)*0.5)+($P174-($O174+($Q174-$O174)*0.5))</f>
        <v/>
      </c>
      <c r="AS174" s="81">
        <f>($J174+($K174-$J174)*0.5)+($T174-($S174+($U174-$S174)*0.5))</f>
        <v/>
      </c>
      <c r="AT174" s="82">
        <f>($J174-$C174)*100</f>
        <v/>
      </c>
      <c r="AU174" s="82">
        <f>($H174-$F174)*100</f>
        <v/>
      </c>
      <c r="AV174" s="82">
        <f>($J174-$F174)*100</f>
        <v/>
      </c>
      <c r="AW174" s="82">
        <f>($L174-$F174)*100</f>
        <v/>
      </c>
      <c r="AX174" s="82">
        <f>($J174-$H174)*100</f>
        <v/>
      </c>
      <c r="AY174" s="82">
        <f>($L174-$H174)*100</f>
        <v/>
      </c>
      <c r="AZ174" s="82">
        <f>($L174-$J174)*100</f>
        <v/>
      </c>
      <c r="BA174" s="82">
        <f>(2*$H174-$F174-$J174)*100</f>
        <v/>
      </c>
      <c r="BB174" s="82">
        <f>(2*$J174-$H174-$L174)*100</f>
        <v/>
      </c>
      <c r="BC174" s="82">
        <f>($N174-$F174)*100</f>
        <v/>
      </c>
      <c r="BD174" s="82">
        <f>($Q174-$H174)*100</f>
        <v/>
      </c>
      <c r="BE174" s="82">
        <f>($S174-$J174)*100</f>
        <v/>
      </c>
      <c r="BF174" s="82">
        <f>($V174-$L174)*100</f>
        <v/>
      </c>
      <c r="BG174" s="82">
        <f>$AG174-$AF174</f>
        <v/>
      </c>
      <c r="BH174" s="81">
        <f>IFERROR($AG174/$AF174,"")</f>
        <v/>
      </c>
      <c r="BI174" s="82">
        <f>$AJ174-$AF174</f>
        <v/>
      </c>
      <c r="BJ174" s="81">
        <f>IFERROR($AJ174/$AG174,"")</f>
        <v/>
      </c>
      <c r="BK174" s="81">
        <f>$X174</f>
        <v/>
      </c>
      <c r="BL174" s="82">
        <f>($J174-$J175)*100</f>
        <v/>
      </c>
      <c r="BM174" s="82">
        <f>($F174-$F175)*100</f>
        <v/>
      </c>
      <c r="BN174" s="82">
        <f>$AF174-$AF175</f>
        <v/>
      </c>
      <c r="BO174" s="82">
        <f>$AG174-$AG175</f>
        <v/>
      </c>
      <c r="BP174" s="82">
        <f>$AJ174-$AJ175</f>
        <v/>
      </c>
    </row>
    <row r="175">
      <c r="AR175" s="81">
        <f>($G175+($H175-$G175)*0.5)+($P175-($O175+($Q175-$O175)*0.5))</f>
        <v/>
      </c>
      <c r="AS175" s="81">
        <f>($J175+($K175-$J175)*0.5)+($T175-($S175+($U175-$S175)*0.5))</f>
        <v/>
      </c>
      <c r="AT175" s="82">
        <f>($J175-$C175)*100</f>
        <v/>
      </c>
      <c r="AU175" s="82">
        <f>($H175-$F175)*100</f>
        <v/>
      </c>
      <c r="AV175" s="82">
        <f>($J175-$F175)*100</f>
        <v/>
      </c>
      <c r="AW175" s="82">
        <f>($L175-$F175)*100</f>
        <v/>
      </c>
      <c r="AX175" s="82">
        <f>($J175-$H175)*100</f>
        <v/>
      </c>
      <c r="AY175" s="82">
        <f>($L175-$H175)*100</f>
        <v/>
      </c>
      <c r="AZ175" s="82">
        <f>($L175-$J175)*100</f>
        <v/>
      </c>
      <c r="BA175" s="82">
        <f>(2*$H175-$F175-$J175)*100</f>
        <v/>
      </c>
      <c r="BB175" s="82">
        <f>(2*$J175-$H175-$L175)*100</f>
        <v/>
      </c>
      <c r="BC175" s="82">
        <f>($N175-$F175)*100</f>
        <v/>
      </c>
      <c r="BD175" s="82">
        <f>($Q175-$H175)*100</f>
        <v/>
      </c>
      <c r="BE175" s="82">
        <f>($S175-$J175)*100</f>
        <v/>
      </c>
      <c r="BF175" s="82">
        <f>($V175-$L175)*100</f>
        <v/>
      </c>
      <c r="BG175" s="82">
        <f>$AG175-$AF175</f>
        <v/>
      </c>
      <c r="BH175" s="81">
        <f>IFERROR($AG175/$AF175,"")</f>
        <v/>
      </c>
      <c r="BI175" s="82">
        <f>$AJ175-$AF175</f>
        <v/>
      </c>
      <c r="BJ175" s="81">
        <f>IFERROR($AJ175/$AG175,"")</f>
        <v/>
      </c>
      <c r="BK175" s="81">
        <f>$X175</f>
        <v/>
      </c>
      <c r="BL175" s="82">
        <f>($J175-$J176)*100</f>
        <v/>
      </c>
      <c r="BM175" s="82">
        <f>($F175-$F176)*100</f>
        <v/>
      </c>
      <c r="BN175" s="82">
        <f>$AF175-$AF176</f>
        <v/>
      </c>
      <c r="BO175" s="82">
        <f>$AG175-$AG176</f>
        <v/>
      </c>
      <c r="BP175" s="82">
        <f>$AJ175-$AJ176</f>
        <v/>
      </c>
    </row>
    <row r="176">
      <c r="AR176" s="81">
        <f>($G176+($H176-$G176)*0.5)+($P176-($O176+($Q176-$O176)*0.5))</f>
        <v/>
      </c>
      <c r="AS176" s="81">
        <f>($J176+($K176-$J176)*0.5)+($T176-($S176+($U176-$S176)*0.5))</f>
        <v/>
      </c>
      <c r="AT176" s="82">
        <f>($J176-$C176)*100</f>
        <v/>
      </c>
      <c r="AU176" s="82">
        <f>($H176-$F176)*100</f>
        <v/>
      </c>
      <c r="AV176" s="82">
        <f>($J176-$F176)*100</f>
        <v/>
      </c>
      <c r="AW176" s="82">
        <f>($L176-$F176)*100</f>
        <v/>
      </c>
      <c r="AX176" s="82">
        <f>($J176-$H176)*100</f>
        <v/>
      </c>
      <c r="AY176" s="82">
        <f>($L176-$H176)*100</f>
        <v/>
      </c>
      <c r="AZ176" s="82">
        <f>($L176-$J176)*100</f>
        <v/>
      </c>
      <c r="BA176" s="82">
        <f>(2*$H176-$F176-$J176)*100</f>
        <v/>
      </c>
      <c r="BB176" s="82">
        <f>(2*$J176-$H176-$L176)*100</f>
        <v/>
      </c>
      <c r="BC176" s="82">
        <f>($N176-$F176)*100</f>
        <v/>
      </c>
      <c r="BD176" s="82">
        <f>($Q176-$H176)*100</f>
        <v/>
      </c>
      <c r="BE176" s="82">
        <f>($S176-$J176)*100</f>
        <v/>
      </c>
      <c r="BF176" s="82">
        <f>($V176-$L176)*100</f>
        <v/>
      </c>
      <c r="BG176" s="82">
        <f>$AG176-$AF176</f>
        <v/>
      </c>
      <c r="BH176" s="81">
        <f>IFERROR($AG176/$AF176,"")</f>
        <v/>
      </c>
      <c r="BI176" s="82">
        <f>$AJ176-$AF176</f>
        <v/>
      </c>
      <c r="BJ176" s="81">
        <f>IFERROR($AJ176/$AG176,"")</f>
        <v/>
      </c>
      <c r="BK176" s="81">
        <f>$X176</f>
        <v/>
      </c>
      <c r="BL176" s="82">
        <f>($J176-$J177)*100</f>
        <v/>
      </c>
      <c r="BM176" s="82">
        <f>($F176-$F177)*100</f>
        <v/>
      </c>
      <c r="BN176" s="82">
        <f>$AF176-$AF177</f>
        <v/>
      </c>
      <c r="BO176" s="82">
        <f>$AG176-$AG177</f>
        <v/>
      </c>
      <c r="BP176" s="82">
        <f>$AJ176-$AJ177</f>
        <v/>
      </c>
    </row>
    <row r="177">
      <c r="AR177" s="81">
        <f>($G177+($H177-$G177)*0.5)+($P177-($O177+($Q177-$O177)*0.5))</f>
        <v/>
      </c>
      <c r="AS177" s="81">
        <f>($J177+($K177-$J177)*0.5)+($T177-($S177+($U177-$S177)*0.5))</f>
        <v/>
      </c>
      <c r="AT177" s="82">
        <f>($J177-$C177)*100</f>
        <v/>
      </c>
      <c r="AU177" s="82">
        <f>($H177-$F177)*100</f>
        <v/>
      </c>
      <c r="AV177" s="82">
        <f>($J177-$F177)*100</f>
        <v/>
      </c>
      <c r="AW177" s="82">
        <f>($L177-$F177)*100</f>
        <v/>
      </c>
      <c r="AX177" s="82">
        <f>($J177-$H177)*100</f>
        <v/>
      </c>
      <c r="AY177" s="82">
        <f>($L177-$H177)*100</f>
        <v/>
      </c>
      <c r="AZ177" s="82">
        <f>($L177-$J177)*100</f>
        <v/>
      </c>
      <c r="BA177" s="82">
        <f>(2*$H177-$F177-$J177)*100</f>
        <v/>
      </c>
      <c r="BB177" s="82">
        <f>(2*$J177-$H177-$L177)*100</f>
        <v/>
      </c>
      <c r="BC177" s="82">
        <f>($N177-$F177)*100</f>
        <v/>
      </c>
      <c r="BD177" s="82">
        <f>($Q177-$H177)*100</f>
        <v/>
      </c>
      <c r="BE177" s="82">
        <f>($S177-$J177)*100</f>
        <v/>
      </c>
      <c r="BF177" s="82">
        <f>($V177-$L177)*100</f>
        <v/>
      </c>
      <c r="BG177" s="82">
        <f>$AG177-$AF177</f>
        <v/>
      </c>
      <c r="BH177" s="81">
        <f>IFERROR($AG177/$AF177,"")</f>
        <v/>
      </c>
      <c r="BI177" s="82">
        <f>$AJ177-$AF177</f>
        <v/>
      </c>
      <c r="BJ177" s="81">
        <f>IFERROR($AJ177/$AG177,"")</f>
        <v/>
      </c>
      <c r="BK177" s="81">
        <f>$X177</f>
        <v/>
      </c>
      <c r="BL177" s="82">
        <f>($J177-$J178)*100</f>
        <v/>
      </c>
      <c r="BM177" s="82">
        <f>($F177-$F178)*100</f>
        <v/>
      </c>
      <c r="BN177" s="82">
        <f>$AF177-$AF178</f>
        <v/>
      </c>
      <c r="BO177" s="82">
        <f>$AG177-$AG178</f>
        <v/>
      </c>
      <c r="BP177" s="82">
        <f>$AJ177-$AJ178</f>
        <v/>
      </c>
    </row>
    <row r="178">
      <c r="AR178" s="81">
        <f>($G178+($H178-$G178)*0.5)+($P178-($O178+($Q178-$O178)*0.5))</f>
        <v/>
      </c>
      <c r="AS178" s="81">
        <f>($J178+($K178-$J178)*0.5)+($T178-($S178+($U178-$S178)*0.5))</f>
        <v/>
      </c>
      <c r="AT178" s="82">
        <f>($J178-$C178)*100</f>
        <v/>
      </c>
      <c r="AU178" s="82">
        <f>($H178-$F178)*100</f>
        <v/>
      </c>
      <c r="AV178" s="82">
        <f>($J178-$F178)*100</f>
        <v/>
      </c>
      <c r="AW178" s="82">
        <f>($L178-$F178)*100</f>
        <v/>
      </c>
      <c r="AX178" s="82">
        <f>($J178-$H178)*100</f>
        <v/>
      </c>
      <c r="AY178" s="82">
        <f>($L178-$H178)*100</f>
        <v/>
      </c>
      <c r="AZ178" s="82">
        <f>($L178-$J178)*100</f>
        <v/>
      </c>
      <c r="BA178" s="82">
        <f>(2*$H178-$F178-$J178)*100</f>
        <v/>
      </c>
      <c r="BB178" s="82">
        <f>(2*$J178-$H178-$L178)*100</f>
        <v/>
      </c>
      <c r="BC178" s="82">
        <f>($N178-$F178)*100</f>
        <v/>
      </c>
      <c r="BD178" s="82">
        <f>($Q178-$H178)*100</f>
        <v/>
      </c>
      <c r="BE178" s="82">
        <f>($S178-$J178)*100</f>
        <v/>
      </c>
      <c r="BF178" s="82">
        <f>($V178-$L178)*100</f>
        <v/>
      </c>
      <c r="BG178" s="82">
        <f>$AG178-$AF178</f>
        <v/>
      </c>
      <c r="BH178" s="81">
        <f>IFERROR($AG178/$AF178,"")</f>
        <v/>
      </c>
      <c r="BI178" s="82">
        <f>$AJ178-$AF178</f>
        <v/>
      </c>
      <c r="BJ178" s="81">
        <f>IFERROR($AJ178/$AG178,"")</f>
        <v/>
      </c>
      <c r="BK178" s="81">
        <f>$X178</f>
        <v/>
      </c>
      <c r="BL178" s="82">
        <f>($J178-$J179)*100</f>
        <v/>
      </c>
      <c r="BM178" s="82">
        <f>($F178-$F179)*100</f>
        <v/>
      </c>
      <c r="BN178" s="82">
        <f>$AF178-$AF179</f>
        <v/>
      </c>
      <c r="BO178" s="82">
        <f>$AG178-$AG179</f>
        <v/>
      </c>
      <c r="BP178" s="82">
        <f>$AJ178-$AJ179</f>
        <v/>
      </c>
    </row>
    <row r="179">
      <c r="AR179" s="81">
        <f>($G179+($H179-$G179)*0.5)+($P179-($O179+($Q179-$O179)*0.5))</f>
        <v/>
      </c>
      <c r="AS179" s="81">
        <f>($J179+($K179-$J179)*0.5)+($T179-($S179+($U179-$S179)*0.5))</f>
        <v/>
      </c>
      <c r="AT179" s="82">
        <f>($J179-$C179)*100</f>
        <v/>
      </c>
      <c r="AU179" s="82">
        <f>($H179-$F179)*100</f>
        <v/>
      </c>
      <c r="AV179" s="82">
        <f>($J179-$F179)*100</f>
        <v/>
      </c>
      <c r="AW179" s="82">
        <f>($L179-$F179)*100</f>
        <v/>
      </c>
      <c r="AX179" s="82">
        <f>($J179-$H179)*100</f>
        <v/>
      </c>
      <c r="AY179" s="82">
        <f>($L179-$H179)*100</f>
        <v/>
      </c>
      <c r="AZ179" s="82">
        <f>($L179-$J179)*100</f>
        <v/>
      </c>
      <c r="BA179" s="82">
        <f>(2*$H179-$F179-$J179)*100</f>
        <v/>
      </c>
      <c r="BB179" s="82">
        <f>(2*$J179-$H179-$L179)*100</f>
        <v/>
      </c>
      <c r="BC179" s="82">
        <f>($N179-$F179)*100</f>
        <v/>
      </c>
      <c r="BD179" s="82">
        <f>($Q179-$H179)*100</f>
        <v/>
      </c>
      <c r="BE179" s="82">
        <f>($S179-$J179)*100</f>
        <v/>
      </c>
      <c r="BF179" s="82">
        <f>($V179-$L179)*100</f>
        <v/>
      </c>
      <c r="BG179" s="82">
        <f>$AG179-$AF179</f>
        <v/>
      </c>
      <c r="BH179" s="81">
        <f>IFERROR($AG179/$AF179,"")</f>
        <v/>
      </c>
      <c r="BI179" s="82">
        <f>$AJ179-$AF179</f>
        <v/>
      </c>
      <c r="BJ179" s="81">
        <f>IFERROR($AJ179/$AG179,"")</f>
        <v/>
      </c>
      <c r="BK179" s="81">
        <f>$X179</f>
        <v/>
      </c>
      <c r="BL179" s="82">
        <f>($J179-$J180)*100</f>
        <v/>
      </c>
      <c r="BM179" s="82">
        <f>($F179-$F180)*100</f>
        <v/>
      </c>
      <c r="BN179" s="82">
        <f>$AF179-$AF180</f>
        <v/>
      </c>
      <c r="BO179" s="82">
        <f>$AG179-$AG180</f>
        <v/>
      </c>
      <c r="BP179" s="82">
        <f>$AJ179-$AJ180</f>
        <v/>
      </c>
    </row>
    <row r="180">
      <c r="AR180" s="81">
        <f>($G180+($H180-$G180)*0.5)+($P180-($O180+($Q180-$O180)*0.5))</f>
        <v/>
      </c>
      <c r="AS180" s="81">
        <f>($J180+($K180-$J180)*0.5)+($T180-($S180+($U180-$S180)*0.5))</f>
        <v/>
      </c>
      <c r="AT180" s="82">
        <f>($J180-$C180)*100</f>
        <v/>
      </c>
      <c r="AU180" s="82">
        <f>($H180-$F180)*100</f>
        <v/>
      </c>
      <c r="AV180" s="82">
        <f>($J180-$F180)*100</f>
        <v/>
      </c>
      <c r="AW180" s="82">
        <f>($L180-$F180)*100</f>
        <v/>
      </c>
      <c r="AX180" s="82">
        <f>($J180-$H180)*100</f>
        <v/>
      </c>
      <c r="AY180" s="82">
        <f>($L180-$H180)*100</f>
        <v/>
      </c>
      <c r="AZ180" s="82">
        <f>($L180-$J180)*100</f>
        <v/>
      </c>
      <c r="BA180" s="82">
        <f>(2*$H180-$F180-$J180)*100</f>
        <v/>
      </c>
      <c r="BB180" s="82">
        <f>(2*$J180-$H180-$L180)*100</f>
        <v/>
      </c>
      <c r="BC180" s="82">
        <f>($N180-$F180)*100</f>
        <v/>
      </c>
      <c r="BD180" s="82">
        <f>($Q180-$H180)*100</f>
        <v/>
      </c>
      <c r="BE180" s="82">
        <f>($S180-$J180)*100</f>
        <v/>
      </c>
      <c r="BF180" s="82">
        <f>($V180-$L180)*100</f>
        <v/>
      </c>
      <c r="BG180" s="82">
        <f>$AG180-$AF180</f>
        <v/>
      </c>
      <c r="BH180" s="81">
        <f>IFERROR($AG180/$AF180,"")</f>
        <v/>
      </c>
      <c r="BI180" s="82">
        <f>$AJ180-$AF180</f>
        <v/>
      </c>
      <c r="BJ180" s="81">
        <f>IFERROR($AJ180/$AG180,"")</f>
        <v/>
      </c>
      <c r="BK180" s="81">
        <f>$X180</f>
        <v/>
      </c>
      <c r="BL180" s="82">
        <f>($J180-$J181)*100</f>
        <v/>
      </c>
      <c r="BM180" s="82">
        <f>($F180-$F181)*100</f>
        <v/>
      </c>
      <c r="BN180" s="82">
        <f>$AF180-$AF181</f>
        <v/>
      </c>
      <c r="BO180" s="82">
        <f>$AG180-$AG181</f>
        <v/>
      </c>
      <c r="BP180" s="82">
        <f>$AJ180-$AJ181</f>
        <v/>
      </c>
    </row>
    <row r="181">
      <c r="AR181" s="81">
        <f>($G181+($H181-$G181)*0.5)+($P181-($O181+($Q181-$O181)*0.5))</f>
        <v/>
      </c>
      <c r="AS181" s="81">
        <f>($J181+($K181-$J181)*0.5)+($T181-($S181+($U181-$S181)*0.5))</f>
        <v/>
      </c>
      <c r="AT181" s="82">
        <f>($J181-$C181)*100</f>
        <v/>
      </c>
      <c r="AU181" s="82">
        <f>($H181-$F181)*100</f>
        <v/>
      </c>
      <c r="AV181" s="82">
        <f>($J181-$F181)*100</f>
        <v/>
      </c>
      <c r="AW181" s="82">
        <f>($L181-$F181)*100</f>
        <v/>
      </c>
      <c r="AX181" s="82">
        <f>($J181-$H181)*100</f>
        <v/>
      </c>
      <c r="AY181" s="82">
        <f>($L181-$H181)*100</f>
        <v/>
      </c>
      <c r="AZ181" s="82">
        <f>($L181-$J181)*100</f>
        <v/>
      </c>
      <c r="BA181" s="82">
        <f>(2*$H181-$F181-$J181)*100</f>
        <v/>
      </c>
      <c r="BB181" s="82">
        <f>(2*$J181-$H181-$L181)*100</f>
        <v/>
      </c>
      <c r="BC181" s="82">
        <f>($N181-$F181)*100</f>
        <v/>
      </c>
      <c r="BD181" s="82">
        <f>($Q181-$H181)*100</f>
        <v/>
      </c>
      <c r="BE181" s="82">
        <f>($S181-$J181)*100</f>
        <v/>
      </c>
      <c r="BF181" s="82">
        <f>($V181-$L181)*100</f>
        <v/>
      </c>
      <c r="BG181" s="82">
        <f>$AG181-$AF181</f>
        <v/>
      </c>
      <c r="BH181" s="81">
        <f>IFERROR($AG181/$AF181,"")</f>
        <v/>
      </c>
      <c r="BI181" s="82">
        <f>$AJ181-$AF181</f>
        <v/>
      </c>
      <c r="BJ181" s="81">
        <f>IFERROR($AJ181/$AG181,"")</f>
        <v/>
      </c>
      <c r="BK181" s="81">
        <f>$X181</f>
        <v/>
      </c>
      <c r="BL181" s="82">
        <f>($J181-$J182)*100</f>
        <v/>
      </c>
      <c r="BM181" s="82">
        <f>($F181-$F182)*100</f>
        <v/>
      </c>
      <c r="BN181" s="82">
        <f>$AF181-$AF182</f>
        <v/>
      </c>
      <c r="BO181" s="82">
        <f>$AG181-$AG182</f>
        <v/>
      </c>
      <c r="BP181" s="82">
        <f>$AJ181-$AJ182</f>
        <v/>
      </c>
    </row>
    <row r="182">
      <c r="AR182" s="81">
        <f>($G182+($H182-$G182)*0.5)+($P182-($O182+($Q182-$O182)*0.5))</f>
        <v/>
      </c>
      <c r="AS182" s="81">
        <f>($J182+($K182-$J182)*0.5)+($T182-($S182+($U182-$S182)*0.5))</f>
        <v/>
      </c>
      <c r="AT182" s="82">
        <f>($J182-$C182)*100</f>
        <v/>
      </c>
      <c r="AU182" s="82">
        <f>($H182-$F182)*100</f>
        <v/>
      </c>
      <c r="AV182" s="82">
        <f>($J182-$F182)*100</f>
        <v/>
      </c>
      <c r="AW182" s="82">
        <f>($L182-$F182)*100</f>
        <v/>
      </c>
      <c r="AX182" s="82">
        <f>($J182-$H182)*100</f>
        <v/>
      </c>
      <c r="AY182" s="82">
        <f>($L182-$H182)*100</f>
        <v/>
      </c>
      <c r="AZ182" s="82">
        <f>($L182-$J182)*100</f>
        <v/>
      </c>
      <c r="BA182" s="82">
        <f>(2*$H182-$F182-$J182)*100</f>
        <v/>
      </c>
      <c r="BB182" s="82">
        <f>(2*$J182-$H182-$L182)*100</f>
        <v/>
      </c>
      <c r="BC182" s="82">
        <f>($N182-$F182)*100</f>
        <v/>
      </c>
      <c r="BD182" s="82">
        <f>($Q182-$H182)*100</f>
        <v/>
      </c>
      <c r="BE182" s="82">
        <f>($S182-$J182)*100</f>
        <v/>
      </c>
      <c r="BF182" s="82">
        <f>($V182-$L182)*100</f>
        <v/>
      </c>
      <c r="BG182" s="82">
        <f>$AG182-$AF182</f>
        <v/>
      </c>
      <c r="BH182" s="81">
        <f>IFERROR($AG182/$AF182,"")</f>
        <v/>
      </c>
      <c r="BI182" s="82">
        <f>$AJ182-$AF182</f>
        <v/>
      </c>
      <c r="BJ182" s="81">
        <f>IFERROR($AJ182/$AG182,"")</f>
        <v/>
      </c>
      <c r="BK182" s="81">
        <f>$X182</f>
        <v/>
      </c>
      <c r="BL182" s="82">
        <f>($J182-$J183)*100</f>
        <v/>
      </c>
      <c r="BM182" s="82">
        <f>($F182-$F183)*100</f>
        <v/>
      </c>
      <c r="BN182" s="82">
        <f>$AF182-$AF183</f>
        <v/>
      </c>
      <c r="BO182" s="82">
        <f>$AG182-$AG183</f>
        <v/>
      </c>
      <c r="BP182" s="82">
        <f>$AJ182-$AJ183</f>
        <v/>
      </c>
    </row>
    <row r="183">
      <c r="AR183" s="81">
        <f>($G183+($H183-$G183)*0.5)+($P183-($O183+($Q183-$O183)*0.5))</f>
        <v/>
      </c>
      <c r="AS183" s="81">
        <f>($J183+($K183-$J183)*0.5)+($T183-($S183+($U183-$S183)*0.5))</f>
        <v/>
      </c>
      <c r="AT183" s="82">
        <f>($J183-$C183)*100</f>
        <v/>
      </c>
      <c r="AU183" s="82">
        <f>($H183-$F183)*100</f>
        <v/>
      </c>
      <c r="AV183" s="82">
        <f>($J183-$F183)*100</f>
        <v/>
      </c>
      <c r="AW183" s="82">
        <f>($L183-$F183)*100</f>
        <v/>
      </c>
      <c r="AX183" s="82">
        <f>($J183-$H183)*100</f>
        <v/>
      </c>
      <c r="AY183" s="82">
        <f>($L183-$H183)*100</f>
        <v/>
      </c>
      <c r="AZ183" s="82">
        <f>($L183-$J183)*100</f>
        <v/>
      </c>
      <c r="BA183" s="82">
        <f>(2*$H183-$F183-$J183)*100</f>
        <v/>
      </c>
      <c r="BB183" s="82">
        <f>(2*$J183-$H183-$L183)*100</f>
        <v/>
      </c>
      <c r="BC183" s="82">
        <f>($N183-$F183)*100</f>
        <v/>
      </c>
      <c r="BD183" s="82">
        <f>($Q183-$H183)*100</f>
        <v/>
      </c>
      <c r="BE183" s="82">
        <f>($S183-$J183)*100</f>
        <v/>
      </c>
      <c r="BF183" s="82">
        <f>($V183-$L183)*100</f>
        <v/>
      </c>
      <c r="BG183" s="82">
        <f>$AG183-$AF183</f>
        <v/>
      </c>
      <c r="BH183" s="81">
        <f>IFERROR($AG183/$AF183,"")</f>
        <v/>
      </c>
      <c r="BI183" s="82">
        <f>$AJ183-$AF183</f>
        <v/>
      </c>
      <c r="BJ183" s="81">
        <f>IFERROR($AJ183/$AG183,"")</f>
        <v/>
      </c>
      <c r="BK183" s="81">
        <f>$X183</f>
        <v/>
      </c>
      <c r="BL183" s="82">
        <f>($J183-$J184)*100</f>
        <v/>
      </c>
      <c r="BM183" s="82">
        <f>($F183-$F184)*100</f>
        <v/>
      </c>
      <c r="BN183" s="82">
        <f>$AF183-$AF184</f>
        <v/>
      </c>
      <c r="BO183" s="82">
        <f>$AG183-$AG184</f>
        <v/>
      </c>
      <c r="BP183" s="82">
        <f>$AJ183-$AJ184</f>
        <v/>
      </c>
    </row>
    <row r="184">
      <c r="AR184" s="81">
        <f>($G184+($H184-$G184)*0.5)+($P184-($O184+($Q184-$O184)*0.5))</f>
        <v/>
      </c>
      <c r="AS184" s="81">
        <f>($J184+($K184-$J184)*0.5)+($T184-($S184+($U184-$S184)*0.5))</f>
        <v/>
      </c>
      <c r="AT184" s="82">
        <f>($J184-$C184)*100</f>
        <v/>
      </c>
      <c r="AU184" s="82">
        <f>($H184-$F184)*100</f>
        <v/>
      </c>
      <c r="AV184" s="82">
        <f>($J184-$F184)*100</f>
        <v/>
      </c>
      <c r="AW184" s="82">
        <f>($L184-$F184)*100</f>
        <v/>
      </c>
      <c r="AX184" s="82">
        <f>($J184-$H184)*100</f>
        <v/>
      </c>
      <c r="AY184" s="82">
        <f>($L184-$H184)*100</f>
        <v/>
      </c>
      <c r="AZ184" s="82">
        <f>($L184-$J184)*100</f>
        <v/>
      </c>
      <c r="BA184" s="82">
        <f>(2*$H184-$F184-$J184)*100</f>
        <v/>
      </c>
      <c r="BB184" s="82">
        <f>(2*$J184-$H184-$L184)*100</f>
        <v/>
      </c>
      <c r="BC184" s="82">
        <f>($N184-$F184)*100</f>
        <v/>
      </c>
      <c r="BD184" s="82">
        <f>($Q184-$H184)*100</f>
        <v/>
      </c>
      <c r="BE184" s="82">
        <f>($S184-$J184)*100</f>
        <v/>
      </c>
      <c r="BF184" s="82">
        <f>($V184-$L184)*100</f>
        <v/>
      </c>
      <c r="BG184" s="82">
        <f>$AG184-$AF184</f>
        <v/>
      </c>
      <c r="BH184" s="81">
        <f>IFERROR($AG184/$AF184,"")</f>
        <v/>
      </c>
      <c r="BI184" s="82">
        <f>$AJ184-$AF184</f>
        <v/>
      </c>
      <c r="BJ184" s="81">
        <f>IFERROR($AJ184/$AG184,"")</f>
        <v/>
      </c>
      <c r="BK184" s="81">
        <f>$X184</f>
        <v/>
      </c>
      <c r="BL184" s="82">
        <f>($J184-$J185)*100</f>
        <v/>
      </c>
      <c r="BM184" s="82">
        <f>($F184-$F185)*100</f>
        <v/>
      </c>
      <c r="BN184" s="82">
        <f>$AF184-$AF185</f>
        <v/>
      </c>
      <c r="BO184" s="82">
        <f>$AG184-$AG185</f>
        <v/>
      </c>
      <c r="BP184" s="82">
        <f>$AJ184-$AJ185</f>
        <v/>
      </c>
    </row>
    <row r="185">
      <c r="AR185" s="81">
        <f>($G185+($H185-$G185)*0.5)+($P185-($O185+($Q185-$O185)*0.5))</f>
        <v/>
      </c>
      <c r="AS185" s="81">
        <f>($J185+($K185-$J185)*0.5)+($T185-($S185+($U185-$S185)*0.5))</f>
        <v/>
      </c>
      <c r="AT185" s="82">
        <f>($J185-$C185)*100</f>
        <v/>
      </c>
      <c r="AU185" s="82">
        <f>($H185-$F185)*100</f>
        <v/>
      </c>
      <c r="AV185" s="82">
        <f>($J185-$F185)*100</f>
        <v/>
      </c>
      <c r="AW185" s="82">
        <f>($L185-$F185)*100</f>
        <v/>
      </c>
      <c r="AX185" s="82">
        <f>($J185-$H185)*100</f>
        <v/>
      </c>
      <c r="AY185" s="82">
        <f>($L185-$H185)*100</f>
        <v/>
      </c>
      <c r="AZ185" s="82">
        <f>($L185-$J185)*100</f>
        <v/>
      </c>
      <c r="BA185" s="82">
        <f>(2*$H185-$F185-$J185)*100</f>
        <v/>
      </c>
      <c r="BB185" s="82">
        <f>(2*$J185-$H185-$L185)*100</f>
        <v/>
      </c>
      <c r="BC185" s="82">
        <f>($N185-$F185)*100</f>
        <v/>
      </c>
      <c r="BD185" s="82">
        <f>($Q185-$H185)*100</f>
        <v/>
      </c>
      <c r="BE185" s="82">
        <f>($S185-$J185)*100</f>
        <v/>
      </c>
      <c r="BF185" s="82">
        <f>($V185-$L185)*100</f>
        <v/>
      </c>
      <c r="BG185" s="82">
        <f>$AG185-$AF185</f>
        <v/>
      </c>
      <c r="BH185" s="81">
        <f>IFERROR($AG185/$AF185,"")</f>
        <v/>
      </c>
      <c r="BI185" s="82">
        <f>$AJ185-$AF185</f>
        <v/>
      </c>
      <c r="BJ185" s="81">
        <f>IFERROR($AJ185/$AG185,"")</f>
        <v/>
      </c>
      <c r="BK185" s="81">
        <f>$X185</f>
        <v/>
      </c>
      <c r="BL185" s="82">
        <f>($J185-$J186)*100</f>
        <v/>
      </c>
      <c r="BM185" s="82">
        <f>($F185-$F186)*100</f>
        <v/>
      </c>
      <c r="BN185" s="82">
        <f>$AF185-$AF186</f>
        <v/>
      </c>
      <c r="BO185" s="82">
        <f>$AG185-$AG186</f>
        <v/>
      </c>
      <c r="BP185" s="82">
        <f>$AJ185-$AJ186</f>
        <v/>
      </c>
    </row>
    <row r="186">
      <c r="AR186" s="81">
        <f>($G186+($H186-$G186)*0.5)+($P186-($O186+($Q186-$O186)*0.5))</f>
        <v/>
      </c>
      <c r="AS186" s="81">
        <f>($J186+($K186-$J186)*0.5)+($T186-($S186+($U186-$S186)*0.5))</f>
        <v/>
      </c>
      <c r="AT186" s="82">
        <f>($J186-$C186)*100</f>
        <v/>
      </c>
      <c r="AU186" s="82">
        <f>($H186-$F186)*100</f>
        <v/>
      </c>
      <c r="AV186" s="82">
        <f>($J186-$F186)*100</f>
        <v/>
      </c>
      <c r="AW186" s="82">
        <f>($L186-$F186)*100</f>
        <v/>
      </c>
      <c r="AX186" s="82">
        <f>($J186-$H186)*100</f>
        <v/>
      </c>
      <c r="AY186" s="82">
        <f>($L186-$H186)*100</f>
        <v/>
      </c>
      <c r="AZ186" s="82">
        <f>($L186-$J186)*100</f>
        <v/>
      </c>
      <c r="BA186" s="82">
        <f>(2*$H186-$F186-$J186)*100</f>
        <v/>
      </c>
      <c r="BB186" s="82">
        <f>(2*$J186-$H186-$L186)*100</f>
        <v/>
      </c>
      <c r="BC186" s="82">
        <f>($N186-$F186)*100</f>
        <v/>
      </c>
      <c r="BD186" s="82">
        <f>($Q186-$H186)*100</f>
        <v/>
      </c>
      <c r="BE186" s="82">
        <f>($S186-$J186)*100</f>
        <v/>
      </c>
      <c r="BF186" s="82">
        <f>($V186-$L186)*100</f>
        <v/>
      </c>
      <c r="BG186" s="82">
        <f>$AG186-$AF186</f>
        <v/>
      </c>
      <c r="BH186" s="81">
        <f>IFERROR($AG186/$AF186,"")</f>
        <v/>
      </c>
      <c r="BI186" s="82">
        <f>$AJ186-$AF186</f>
        <v/>
      </c>
      <c r="BJ186" s="81">
        <f>IFERROR($AJ186/$AG186,"")</f>
        <v/>
      </c>
      <c r="BK186" s="81">
        <f>$X186</f>
        <v/>
      </c>
      <c r="BL186" s="82">
        <f>($J186-$J187)*100</f>
        <v/>
      </c>
      <c r="BM186" s="82">
        <f>($F186-$F187)*100</f>
        <v/>
      </c>
      <c r="BN186" s="82">
        <f>$AF186-$AF187</f>
        <v/>
      </c>
      <c r="BO186" s="82">
        <f>$AG186-$AG187</f>
        <v/>
      </c>
      <c r="BP186" s="82">
        <f>$AJ186-$AJ187</f>
        <v/>
      </c>
    </row>
    <row r="187">
      <c r="AR187" s="81">
        <f>($G187+($H187-$G187)*0.5)+($P187-($O187+($Q187-$O187)*0.5))</f>
        <v/>
      </c>
      <c r="AS187" s="81">
        <f>($J187+($K187-$J187)*0.5)+($T187-($S187+($U187-$S187)*0.5))</f>
        <v/>
      </c>
      <c r="AT187" s="82">
        <f>($J187-$C187)*100</f>
        <v/>
      </c>
      <c r="AU187" s="82">
        <f>($H187-$F187)*100</f>
        <v/>
      </c>
      <c r="AV187" s="82">
        <f>($J187-$F187)*100</f>
        <v/>
      </c>
      <c r="AW187" s="82">
        <f>($L187-$F187)*100</f>
        <v/>
      </c>
      <c r="AX187" s="82">
        <f>($J187-$H187)*100</f>
        <v/>
      </c>
      <c r="AY187" s="82">
        <f>($L187-$H187)*100</f>
        <v/>
      </c>
      <c r="AZ187" s="82">
        <f>($L187-$J187)*100</f>
        <v/>
      </c>
      <c r="BA187" s="82">
        <f>(2*$H187-$F187-$J187)*100</f>
        <v/>
      </c>
      <c r="BB187" s="82">
        <f>(2*$J187-$H187-$L187)*100</f>
        <v/>
      </c>
      <c r="BC187" s="82">
        <f>($N187-$F187)*100</f>
        <v/>
      </c>
      <c r="BD187" s="82">
        <f>($Q187-$H187)*100</f>
        <v/>
      </c>
      <c r="BE187" s="82">
        <f>($S187-$J187)*100</f>
        <v/>
      </c>
      <c r="BF187" s="82">
        <f>($V187-$L187)*100</f>
        <v/>
      </c>
      <c r="BG187" s="82">
        <f>$AG187-$AF187</f>
        <v/>
      </c>
      <c r="BH187" s="81">
        <f>IFERROR($AG187/$AF187,"")</f>
        <v/>
      </c>
      <c r="BI187" s="82">
        <f>$AJ187-$AF187</f>
        <v/>
      </c>
      <c r="BJ187" s="81">
        <f>IFERROR($AJ187/$AG187,"")</f>
        <v/>
      </c>
      <c r="BK187" s="81">
        <f>$X187</f>
        <v/>
      </c>
      <c r="BL187" s="82">
        <f>($J187-$J188)*100</f>
        <v/>
      </c>
      <c r="BM187" s="82">
        <f>($F187-$F188)*100</f>
        <v/>
      </c>
      <c r="BN187" s="82">
        <f>$AF187-$AF188</f>
        <v/>
      </c>
      <c r="BO187" s="82">
        <f>$AG187-$AG188</f>
        <v/>
      </c>
      <c r="BP187" s="82">
        <f>$AJ187-$AJ188</f>
        <v/>
      </c>
    </row>
    <row r="188">
      <c r="AR188" s="81">
        <f>($G188+($H188-$G188)*0.5)+($P188-($O188+($Q188-$O188)*0.5))</f>
        <v/>
      </c>
      <c r="AS188" s="81">
        <f>($J188+($K188-$J188)*0.5)+($T188-($S188+($U188-$S188)*0.5))</f>
        <v/>
      </c>
      <c r="AT188" s="82">
        <f>($J188-$C188)*100</f>
        <v/>
      </c>
      <c r="AU188" s="82">
        <f>($H188-$F188)*100</f>
        <v/>
      </c>
      <c r="AV188" s="82">
        <f>($J188-$F188)*100</f>
        <v/>
      </c>
      <c r="AW188" s="82">
        <f>($L188-$F188)*100</f>
        <v/>
      </c>
      <c r="AX188" s="82">
        <f>($J188-$H188)*100</f>
        <v/>
      </c>
      <c r="AY188" s="82">
        <f>($L188-$H188)*100</f>
        <v/>
      </c>
      <c r="AZ188" s="82">
        <f>($L188-$J188)*100</f>
        <v/>
      </c>
      <c r="BA188" s="82">
        <f>(2*$H188-$F188-$J188)*100</f>
        <v/>
      </c>
      <c r="BB188" s="82">
        <f>(2*$J188-$H188-$L188)*100</f>
        <v/>
      </c>
      <c r="BC188" s="82">
        <f>($N188-$F188)*100</f>
        <v/>
      </c>
      <c r="BD188" s="82">
        <f>($Q188-$H188)*100</f>
        <v/>
      </c>
      <c r="BE188" s="82">
        <f>($S188-$J188)*100</f>
        <v/>
      </c>
      <c r="BF188" s="82">
        <f>($V188-$L188)*100</f>
        <v/>
      </c>
      <c r="BG188" s="82">
        <f>$AG188-$AF188</f>
        <v/>
      </c>
      <c r="BH188" s="81">
        <f>IFERROR($AG188/$AF188,"")</f>
        <v/>
      </c>
      <c r="BI188" s="82">
        <f>$AJ188-$AF188</f>
        <v/>
      </c>
      <c r="BJ188" s="81">
        <f>IFERROR($AJ188/$AG188,"")</f>
        <v/>
      </c>
      <c r="BK188" s="81">
        <f>$X188</f>
        <v/>
      </c>
      <c r="BL188" s="82">
        <f>($J188-$J189)*100</f>
        <v/>
      </c>
      <c r="BM188" s="82">
        <f>($F188-$F189)*100</f>
        <v/>
      </c>
      <c r="BN188" s="82">
        <f>$AF188-$AF189</f>
        <v/>
      </c>
      <c r="BO188" s="82">
        <f>$AG188-$AG189</f>
        <v/>
      </c>
      <c r="BP188" s="82">
        <f>$AJ188-$AJ189</f>
        <v/>
      </c>
    </row>
    <row r="189">
      <c r="AR189" s="81">
        <f>($G189+($H189-$G189)*0.5)+($P189-($O189+($Q189-$O189)*0.5))</f>
        <v/>
      </c>
      <c r="AS189" s="81">
        <f>($J189+($K189-$J189)*0.5)+($T189-($S189+($U189-$S189)*0.5))</f>
        <v/>
      </c>
      <c r="AT189" s="82">
        <f>($J189-$C189)*100</f>
        <v/>
      </c>
      <c r="AU189" s="82">
        <f>($H189-$F189)*100</f>
        <v/>
      </c>
      <c r="AV189" s="82">
        <f>($J189-$F189)*100</f>
        <v/>
      </c>
      <c r="AW189" s="82">
        <f>($L189-$F189)*100</f>
        <v/>
      </c>
      <c r="AX189" s="82">
        <f>($J189-$H189)*100</f>
        <v/>
      </c>
      <c r="AY189" s="82">
        <f>($L189-$H189)*100</f>
        <v/>
      </c>
      <c r="AZ189" s="82">
        <f>($L189-$J189)*100</f>
        <v/>
      </c>
      <c r="BA189" s="82">
        <f>(2*$H189-$F189-$J189)*100</f>
        <v/>
      </c>
      <c r="BB189" s="82">
        <f>(2*$J189-$H189-$L189)*100</f>
        <v/>
      </c>
      <c r="BC189" s="82">
        <f>($N189-$F189)*100</f>
        <v/>
      </c>
      <c r="BD189" s="82">
        <f>($Q189-$H189)*100</f>
        <v/>
      </c>
      <c r="BE189" s="82">
        <f>($S189-$J189)*100</f>
        <v/>
      </c>
      <c r="BF189" s="82">
        <f>($V189-$L189)*100</f>
        <v/>
      </c>
      <c r="BG189" s="82">
        <f>$AG189-$AF189</f>
        <v/>
      </c>
      <c r="BH189" s="81">
        <f>IFERROR($AG189/$AF189,"")</f>
        <v/>
      </c>
      <c r="BI189" s="82">
        <f>$AJ189-$AF189</f>
        <v/>
      </c>
      <c r="BJ189" s="81">
        <f>IFERROR($AJ189/$AG189,"")</f>
        <v/>
      </c>
      <c r="BK189" s="81">
        <f>$X189</f>
        <v/>
      </c>
      <c r="BL189" s="82">
        <f>($J189-$J190)*100</f>
        <v/>
      </c>
      <c r="BM189" s="82">
        <f>($F189-$F190)*100</f>
        <v/>
      </c>
      <c r="BN189" s="82">
        <f>$AF189-$AF190</f>
        <v/>
      </c>
      <c r="BO189" s="82">
        <f>$AG189-$AG190</f>
        <v/>
      </c>
      <c r="BP189" s="82">
        <f>$AJ189-$AJ190</f>
        <v/>
      </c>
    </row>
    <row r="190">
      <c r="AR190" s="81">
        <f>($G190+($H190-$G190)*0.5)+($P190-($O190+($Q190-$O190)*0.5))</f>
        <v/>
      </c>
      <c r="AS190" s="81">
        <f>($J190+($K190-$J190)*0.5)+($T190-($S190+($U190-$S190)*0.5))</f>
        <v/>
      </c>
      <c r="AT190" s="82">
        <f>($J190-$C190)*100</f>
        <v/>
      </c>
      <c r="AU190" s="82">
        <f>($H190-$F190)*100</f>
        <v/>
      </c>
      <c r="AV190" s="82">
        <f>($J190-$F190)*100</f>
        <v/>
      </c>
      <c r="AW190" s="82">
        <f>($L190-$F190)*100</f>
        <v/>
      </c>
      <c r="AX190" s="82">
        <f>($J190-$H190)*100</f>
        <v/>
      </c>
      <c r="AY190" s="82">
        <f>($L190-$H190)*100</f>
        <v/>
      </c>
      <c r="AZ190" s="82">
        <f>($L190-$J190)*100</f>
        <v/>
      </c>
      <c r="BA190" s="82">
        <f>(2*$H190-$F190-$J190)*100</f>
        <v/>
      </c>
      <c r="BB190" s="82">
        <f>(2*$J190-$H190-$L190)*100</f>
        <v/>
      </c>
      <c r="BC190" s="82">
        <f>($N190-$F190)*100</f>
        <v/>
      </c>
      <c r="BD190" s="82">
        <f>($Q190-$H190)*100</f>
        <v/>
      </c>
      <c r="BE190" s="82">
        <f>($S190-$J190)*100</f>
        <v/>
      </c>
      <c r="BF190" s="82">
        <f>($V190-$L190)*100</f>
        <v/>
      </c>
      <c r="BG190" s="82">
        <f>$AG190-$AF190</f>
        <v/>
      </c>
      <c r="BH190" s="81">
        <f>IFERROR($AG190/$AF190,"")</f>
        <v/>
      </c>
      <c r="BI190" s="82">
        <f>$AJ190-$AF190</f>
        <v/>
      </c>
      <c r="BJ190" s="81">
        <f>IFERROR($AJ190/$AG190,"")</f>
        <v/>
      </c>
      <c r="BK190" s="81">
        <f>$X190</f>
        <v/>
      </c>
      <c r="BL190" s="82">
        <f>($J190-$J191)*100</f>
        <v/>
      </c>
      <c r="BM190" s="82">
        <f>($F190-$F191)*100</f>
        <v/>
      </c>
      <c r="BN190" s="82">
        <f>$AF190-$AF191</f>
        <v/>
      </c>
      <c r="BO190" s="82">
        <f>$AG190-$AG191</f>
        <v/>
      </c>
      <c r="BP190" s="82">
        <f>$AJ190-$AJ191</f>
        <v/>
      </c>
    </row>
    <row r="191">
      <c r="AR191" s="81">
        <f>($G191+($H191-$G191)*0.5)+($P191-($O191+($Q191-$O191)*0.5))</f>
        <v/>
      </c>
      <c r="AS191" s="81">
        <f>($J191+($K191-$J191)*0.5)+($T191-($S191+($U191-$S191)*0.5))</f>
        <v/>
      </c>
      <c r="AT191" s="82">
        <f>($J191-$C191)*100</f>
        <v/>
      </c>
      <c r="AU191" s="82">
        <f>($H191-$F191)*100</f>
        <v/>
      </c>
      <c r="AV191" s="82">
        <f>($J191-$F191)*100</f>
        <v/>
      </c>
      <c r="AW191" s="82">
        <f>($L191-$F191)*100</f>
        <v/>
      </c>
      <c r="AX191" s="82">
        <f>($J191-$H191)*100</f>
        <v/>
      </c>
      <c r="AY191" s="82">
        <f>($L191-$H191)*100</f>
        <v/>
      </c>
      <c r="AZ191" s="82">
        <f>($L191-$J191)*100</f>
        <v/>
      </c>
      <c r="BA191" s="82">
        <f>(2*$H191-$F191-$J191)*100</f>
        <v/>
      </c>
      <c r="BB191" s="82">
        <f>(2*$J191-$H191-$L191)*100</f>
        <v/>
      </c>
      <c r="BC191" s="82">
        <f>($N191-$F191)*100</f>
        <v/>
      </c>
      <c r="BD191" s="82">
        <f>($Q191-$H191)*100</f>
        <v/>
      </c>
      <c r="BE191" s="82">
        <f>($S191-$J191)*100</f>
        <v/>
      </c>
      <c r="BF191" s="82">
        <f>($V191-$L191)*100</f>
        <v/>
      </c>
      <c r="BG191" s="82">
        <f>$AG191-$AF191</f>
        <v/>
      </c>
      <c r="BH191" s="81">
        <f>IFERROR($AG191/$AF191,"")</f>
        <v/>
      </c>
      <c r="BI191" s="82">
        <f>$AJ191-$AF191</f>
        <v/>
      </c>
      <c r="BJ191" s="81">
        <f>IFERROR($AJ191/$AG191,"")</f>
        <v/>
      </c>
      <c r="BK191" s="81">
        <f>$X191</f>
        <v/>
      </c>
      <c r="BL191" s="82">
        <f>($J191-$J192)*100</f>
        <v/>
      </c>
      <c r="BM191" s="82">
        <f>($F191-$F192)*100</f>
        <v/>
      </c>
      <c r="BN191" s="82">
        <f>$AF191-$AF192</f>
        <v/>
      </c>
      <c r="BO191" s="82">
        <f>$AG191-$AG192</f>
        <v/>
      </c>
      <c r="BP191" s="82">
        <f>$AJ191-$AJ192</f>
        <v/>
      </c>
    </row>
    <row r="192">
      <c r="AR192" s="81">
        <f>($G192+($H192-$G192)*0.5)+($P192-($O192+($Q192-$O192)*0.5))</f>
        <v/>
      </c>
      <c r="AS192" s="81">
        <f>($J192+($K192-$J192)*0.5)+($T192-($S192+($U192-$S192)*0.5))</f>
        <v/>
      </c>
      <c r="AT192" s="82">
        <f>($J192-$C192)*100</f>
        <v/>
      </c>
      <c r="AU192" s="82">
        <f>($H192-$F192)*100</f>
        <v/>
      </c>
      <c r="AV192" s="82">
        <f>($J192-$F192)*100</f>
        <v/>
      </c>
      <c r="AW192" s="82">
        <f>($L192-$F192)*100</f>
        <v/>
      </c>
      <c r="AX192" s="82">
        <f>($J192-$H192)*100</f>
        <v/>
      </c>
      <c r="AY192" s="82">
        <f>($L192-$H192)*100</f>
        <v/>
      </c>
      <c r="AZ192" s="82">
        <f>($L192-$J192)*100</f>
        <v/>
      </c>
      <c r="BA192" s="82">
        <f>(2*$H192-$F192-$J192)*100</f>
        <v/>
      </c>
      <c r="BB192" s="82">
        <f>(2*$J192-$H192-$L192)*100</f>
        <v/>
      </c>
      <c r="BC192" s="82">
        <f>($N192-$F192)*100</f>
        <v/>
      </c>
      <c r="BD192" s="82">
        <f>($Q192-$H192)*100</f>
        <v/>
      </c>
      <c r="BE192" s="82">
        <f>($S192-$J192)*100</f>
        <v/>
      </c>
      <c r="BF192" s="82">
        <f>($V192-$L192)*100</f>
        <v/>
      </c>
      <c r="BG192" s="82">
        <f>$AG192-$AF192</f>
        <v/>
      </c>
      <c r="BH192" s="81">
        <f>IFERROR($AG192/$AF192,"")</f>
        <v/>
      </c>
      <c r="BI192" s="82">
        <f>$AJ192-$AF192</f>
        <v/>
      </c>
      <c r="BJ192" s="81">
        <f>IFERROR($AJ192/$AG192,"")</f>
        <v/>
      </c>
      <c r="BK192" s="81">
        <f>$X192</f>
        <v/>
      </c>
      <c r="BL192" s="82">
        <f>($J192-$J193)*100</f>
        <v/>
      </c>
      <c r="BM192" s="82">
        <f>($F192-$F193)*100</f>
        <v/>
      </c>
      <c r="BN192" s="82">
        <f>$AF192-$AF193</f>
        <v/>
      </c>
      <c r="BO192" s="82">
        <f>$AG192-$AG193</f>
        <v/>
      </c>
      <c r="BP192" s="82">
        <f>$AJ192-$AJ193</f>
        <v/>
      </c>
    </row>
    <row r="193">
      <c r="AR193" s="81">
        <f>($G193+($H193-$G193)*0.5)+($P193-($O193+($Q193-$O193)*0.5))</f>
        <v/>
      </c>
      <c r="AS193" s="81">
        <f>($J193+($K193-$J193)*0.5)+($T193-($S193+($U193-$S193)*0.5))</f>
        <v/>
      </c>
      <c r="AT193" s="82">
        <f>($J193-$C193)*100</f>
        <v/>
      </c>
      <c r="AU193" s="82">
        <f>($H193-$F193)*100</f>
        <v/>
      </c>
      <c r="AV193" s="82">
        <f>($J193-$F193)*100</f>
        <v/>
      </c>
      <c r="AW193" s="82">
        <f>($L193-$F193)*100</f>
        <v/>
      </c>
      <c r="AX193" s="82">
        <f>($J193-$H193)*100</f>
        <v/>
      </c>
      <c r="AY193" s="82">
        <f>($L193-$H193)*100</f>
        <v/>
      </c>
      <c r="AZ193" s="82">
        <f>($L193-$J193)*100</f>
        <v/>
      </c>
      <c r="BA193" s="82">
        <f>(2*$H193-$F193-$J193)*100</f>
        <v/>
      </c>
      <c r="BB193" s="82">
        <f>(2*$J193-$H193-$L193)*100</f>
        <v/>
      </c>
      <c r="BC193" s="82">
        <f>($N193-$F193)*100</f>
        <v/>
      </c>
      <c r="BD193" s="82">
        <f>($Q193-$H193)*100</f>
        <v/>
      </c>
      <c r="BE193" s="82">
        <f>($S193-$J193)*100</f>
        <v/>
      </c>
      <c r="BF193" s="82">
        <f>($V193-$L193)*100</f>
        <v/>
      </c>
      <c r="BG193" s="82">
        <f>$AG193-$AF193</f>
        <v/>
      </c>
      <c r="BH193" s="81">
        <f>IFERROR($AG193/$AF193,"")</f>
        <v/>
      </c>
      <c r="BI193" s="82">
        <f>$AJ193-$AF193</f>
        <v/>
      </c>
      <c r="BJ193" s="81">
        <f>IFERROR($AJ193/$AG193,"")</f>
        <v/>
      </c>
      <c r="BK193" s="81">
        <f>$X193</f>
        <v/>
      </c>
      <c r="BL193" s="82">
        <f>($J193-$J194)*100</f>
        <v/>
      </c>
      <c r="BM193" s="82">
        <f>($F193-$F194)*100</f>
        <v/>
      </c>
      <c r="BN193" s="82">
        <f>$AF193-$AF194</f>
        <v/>
      </c>
      <c r="BO193" s="82">
        <f>$AG193-$AG194</f>
        <v/>
      </c>
      <c r="BP193" s="82">
        <f>$AJ193-$AJ194</f>
        <v/>
      </c>
    </row>
    <row r="194">
      <c r="AR194" s="81">
        <f>($G194+($H194-$G194)*0.5)+($P194-($O194+($Q194-$O194)*0.5))</f>
        <v/>
      </c>
      <c r="AS194" s="81">
        <f>($J194+($K194-$J194)*0.5)+($T194-($S194+($U194-$S194)*0.5))</f>
        <v/>
      </c>
      <c r="AT194" s="82">
        <f>($J194-$C194)*100</f>
        <v/>
      </c>
      <c r="AU194" s="82">
        <f>($H194-$F194)*100</f>
        <v/>
      </c>
      <c r="AV194" s="82">
        <f>($J194-$F194)*100</f>
        <v/>
      </c>
      <c r="AW194" s="82">
        <f>($L194-$F194)*100</f>
        <v/>
      </c>
      <c r="AX194" s="82">
        <f>($J194-$H194)*100</f>
        <v/>
      </c>
      <c r="AY194" s="82">
        <f>($L194-$H194)*100</f>
        <v/>
      </c>
      <c r="AZ194" s="82">
        <f>($L194-$J194)*100</f>
        <v/>
      </c>
      <c r="BA194" s="82">
        <f>(2*$H194-$F194-$J194)*100</f>
        <v/>
      </c>
      <c r="BB194" s="82">
        <f>(2*$J194-$H194-$L194)*100</f>
        <v/>
      </c>
      <c r="BC194" s="82">
        <f>($N194-$F194)*100</f>
        <v/>
      </c>
      <c r="BD194" s="82">
        <f>($Q194-$H194)*100</f>
        <v/>
      </c>
      <c r="BE194" s="82">
        <f>($S194-$J194)*100</f>
        <v/>
      </c>
      <c r="BF194" s="82">
        <f>($V194-$L194)*100</f>
        <v/>
      </c>
      <c r="BG194" s="82">
        <f>$AG194-$AF194</f>
        <v/>
      </c>
      <c r="BH194" s="81">
        <f>IFERROR($AG194/$AF194,"")</f>
        <v/>
      </c>
      <c r="BI194" s="82">
        <f>$AJ194-$AF194</f>
        <v/>
      </c>
      <c r="BJ194" s="81">
        <f>IFERROR($AJ194/$AG194,"")</f>
        <v/>
      </c>
      <c r="BK194" s="81">
        <f>$X194</f>
        <v/>
      </c>
      <c r="BL194" s="82">
        <f>($J194-$J195)*100</f>
        <v/>
      </c>
      <c r="BM194" s="82">
        <f>($F194-$F195)*100</f>
        <v/>
      </c>
      <c r="BN194" s="82">
        <f>$AF194-$AF195</f>
        <v/>
      </c>
      <c r="BO194" s="82">
        <f>$AG194-$AG195</f>
        <v/>
      </c>
      <c r="BP194" s="82">
        <f>$AJ194-$AJ195</f>
        <v/>
      </c>
    </row>
    <row r="195">
      <c r="AR195" s="81">
        <f>($G195+($H195-$G195)*0.5)+($P195-($O195+($Q195-$O195)*0.5))</f>
        <v/>
      </c>
      <c r="AS195" s="81">
        <f>($J195+($K195-$J195)*0.5)+($T195-($S195+($U195-$S195)*0.5))</f>
        <v/>
      </c>
      <c r="AT195" s="82">
        <f>($J195-$C195)*100</f>
        <v/>
      </c>
      <c r="AU195" s="82">
        <f>($H195-$F195)*100</f>
        <v/>
      </c>
      <c r="AV195" s="82">
        <f>($J195-$F195)*100</f>
        <v/>
      </c>
      <c r="AW195" s="82">
        <f>($L195-$F195)*100</f>
        <v/>
      </c>
      <c r="AX195" s="82">
        <f>($J195-$H195)*100</f>
        <v/>
      </c>
      <c r="AY195" s="82">
        <f>($L195-$H195)*100</f>
        <v/>
      </c>
      <c r="AZ195" s="82">
        <f>($L195-$J195)*100</f>
        <v/>
      </c>
      <c r="BA195" s="82">
        <f>(2*$H195-$F195-$J195)*100</f>
        <v/>
      </c>
      <c r="BB195" s="82">
        <f>(2*$J195-$H195-$L195)*100</f>
        <v/>
      </c>
      <c r="BC195" s="82">
        <f>($N195-$F195)*100</f>
        <v/>
      </c>
      <c r="BD195" s="82">
        <f>($Q195-$H195)*100</f>
        <v/>
      </c>
      <c r="BE195" s="82">
        <f>($S195-$J195)*100</f>
        <v/>
      </c>
      <c r="BF195" s="82">
        <f>($V195-$L195)*100</f>
        <v/>
      </c>
      <c r="BG195" s="82">
        <f>$AG195-$AF195</f>
        <v/>
      </c>
      <c r="BH195" s="81">
        <f>IFERROR($AG195/$AF195,"")</f>
        <v/>
      </c>
      <c r="BI195" s="82">
        <f>$AJ195-$AF195</f>
        <v/>
      </c>
      <c r="BJ195" s="81">
        <f>IFERROR($AJ195/$AG195,"")</f>
        <v/>
      </c>
      <c r="BK195" s="81">
        <f>$X195</f>
        <v/>
      </c>
      <c r="BL195" s="82">
        <f>($J195-$J196)*100</f>
        <v/>
      </c>
      <c r="BM195" s="82">
        <f>($F195-$F196)*100</f>
        <v/>
      </c>
      <c r="BN195" s="82">
        <f>$AF195-$AF196</f>
        <v/>
      </c>
      <c r="BO195" s="82">
        <f>$AG195-$AG196</f>
        <v/>
      </c>
      <c r="BP195" s="82">
        <f>$AJ195-$AJ196</f>
        <v/>
      </c>
    </row>
    <row r="196">
      <c r="AR196" s="81">
        <f>($G196+($H196-$G196)*0.5)+($P196-($O196+($Q196-$O196)*0.5))</f>
        <v/>
      </c>
      <c r="AS196" s="81">
        <f>($J196+($K196-$J196)*0.5)+($T196-($S196+($U196-$S196)*0.5))</f>
        <v/>
      </c>
      <c r="AT196" s="82">
        <f>($J196-$C196)*100</f>
        <v/>
      </c>
      <c r="AU196" s="82">
        <f>($H196-$F196)*100</f>
        <v/>
      </c>
      <c r="AV196" s="82">
        <f>($J196-$F196)*100</f>
        <v/>
      </c>
      <c r="AW196" s="82">
        <f>($L196-$F196)*100</f>
        <v/>
      </c>
      <c r="AX196" s="82">
        <f>($J196-$H196)*100</f>
        <v/>
      </c>
      <c r="AY196" s="82">
        <f>($L196-$H196)*100</f>
        <v/>
      </c>
      <c r="AZ196" s="82">
        <f>($L196-$J196)*100</f>
        <v/>
      </c>
      <c r="BA196" s="82">
        <f>(2*$H196-$F196-$J196)*100</f>
        <v/>
      </c>
      <c r="BB196" s="82">
        <f>(2*$J196-$H196-$L196)*100</f>
        <v/>
      </c>
      <c r="BC196" s="82">
        <f>($N196-$F196)*100</f>
        <v/>
      </c>
      <c r="BD196" s="82">
        <f>($Q196-$H196)*100</f>
        <v/>
      </c>
      <c r="BE196" s="82">
        <f>($S196-$J196)*100</f>
        <v/>
      </c>
      <c r="BF196" s="82">
        <f>($V196-$L196)*100</f>
        <v/>
      </c>
      <c r="BG196" s="82">
        <f>$AG196-$AF196</f>
        <v/>
      </c>
      <c r="BH196" s="81">
        <f>IFERROR($AG196/$AF196,"")</f>
        <v/>
      </c>
      <c r="BI196" s="82">
        <f>$AJ196-$AF196</f>
        <v/>
      </c>
      <c r="BJ196" s="81">
        <f>IFERROR($AJ196/$AG196,"")</f>
        <v/>
      </c>
      <c r="BK196" s="81">
        <f>$X196</f>
        <v/>
      </c>
      <c r="BL196" s="82">
        <f>($J196-$J197)*100</f>
        <v/>
      </c>
      <c r="BM196" s="82">
        <f>($F196-$F197)*100</f>
        <v/>
      </c>
      <c r="BN196" s="82">
        <f>$AF196-$AF197</f>
        <v/>
      </c>
      <c r="BO196" s="82">
        <f>$AG196-$AG197</f>
        <v/>
      </c>
      <c r="BP196" s="82">
        <f>$AJ196-$AJ197</f>
        <v/>
      </c>
    </row>
    <row r="197">
      <c r="AR197" s="81">
        <f>($G197+($H197-$G197)*0.5)+($P197-($O197+($Q197-$O197)*0.5))</f>
        <v/>
      </c>
      <c r="AS197" s="81">
        <f>($J197+($K197-$J197)*0.5)+($T197-($S197+($U197-$S197)*0.5))</f>
        <v/>
      </c>
      <c r="AT197" s="82">
        <f>($J197-$C197)*100</f>
        <v/>
      </c>
      <c r="AU197" s="82">
        <f>($H197-$F197)*100</f>
        <v/>
      </c>
      <c r="AV197" s="82">
        <f>($J197-$F197)*100</f>
        <v/>
      </c>
      <c r="AW197" s="82">
        <f>($L197-$F197)*100</f>
        <v/>
      </c>
      <c r="AX197" s="82">
        <f>($J197-$H197)*100</f>
        <v/>
      </c>
      <c r="AY197" s="82">
        <f>($L197-$H197)*100</f>
        <v/>
      </c>
      <c r="AZ197" s="82">
        <f>($L197-$J197)*100</f>
        <v/>
      </c>
      <c r="BA197" s="82">
        <f>(2*$H197-$F197-$J197)*100</f>
        <v/>
      </c>
      <c r="BB197" s="82">
        <f>(2*$J197-$H197-$L197)*100</f>
        <v/>
      </c>
      <c r="BC197" s="82">
        <f>($N197-$F197)*100</f>
        <v/>
      </c>
      <c r="BD197" s="82">
        <f>($Q197-$H197)*100</f>
        <v/>
      </c>
      <c r="BE197" s="82">
        <f>($S197-$J197)*100</f>
        <v/>
      </c>
      <c r="BF197" s="82">
        <f>($V197-$L197)*100</f>
        <v/>
      </c>
      <c r="BG197" s="82">
        <f>$AG197-$AF197</f>
        <v/>
      </c>
      <c r="BH197" s="81">
        <f>IFERROR($AG197/$AF197,"")</f>
        <v/>
      </c>
      <c r="BI197" s="82">
        <f>$AJ197-$AF197</f>
        <v/>
      </c>
      <c r="BJ197" s="81">
        <f>IFERROR($AJ197/$AG197,"")</f>
        <v/>
      </c>
      <c r="BK197" s="81">
        <f>$X197</f>
        <v/>
      </c>
      <c r="BL197" s="82">
        <f>($J197-$J198)*100</f>
        <v/>
      </c>
      <c r="BM197" s="82">
        <f>($F197-$F198)*100</f>
        <v/>
      </c>
      <c r="BN197" s="82">
        <f>$AF197-$AF198</f>
        <v/>
      </c>
      <c r="BO197" s="82">
        <f>$AG197-$AG198</f>
        <v/>
      </c>
      <c r="BP197" s="82">
        <f>$AJ197-$AJ198</f>
        <v/>
      </c>
    </row>
    <row r="198">
      <c r="AR198" s="81">
        <f>($G198+($H198-$G198)*0.5)+($P198-($O198+($Q198-$O198)*0.5))</f>
        <v/>
      </c>
      <c r="AS198" s="81">
        <f>($J198+($K198-$J198)*0.5)+($T198-($S198+($U198-$S198)*0.5))</f>
        <v/>
      </c>
      <c r="AT198" s="82">
        <f>($J198-$C198)*100</f>
        <v/>
      </c>
      <c r="AU198" s="82">
        <f>($H198-$F198)*100</f>
        <v/>
      </c>
      <c r="AV198" s="82">
        <f>($J198-$F198)*100</f>
        <v/>
      </c>
      <c r="AW198" s="82">
        <f>($L198-$F198)*100</f>
        <v/>
      </c>
      <c r="AX198" s="82">
        <f>($J198-$H198)*100</f>
        <v/>
      </c>
      <c r="AY198" s="82">
        <f>($L198-$H198)*100</f>
        <v/>
      </c>
      <c r="AZ198" s="82">
        <f>($L198-$J198)*100</f>
        <v/>
      </c>
      <c r="BA198" s="82">
        <f>(2*$H198-$F198-$J198)*100</f>
        <v/>
      </c>
      <c r="BB198" s="82">
        <f>(2*$J198-$H198-$L198)*100</f>
        <v/>
      </c>
      <c r="BC198" s="82">
        <f>($N198-$F198)*100</f>
        <v/>
      </c>
      <c r="BD198" s="82">
        <f>($Q198-$H198)*100</f>
        <v/>
      </c>
      <c r="BE198" s="82">
        <f>($S198-$J198)*100</f>
        <v/>
      </c>
      <c r="BF198" s="82">
        <f>($V198-$L198)*100</f>
        <v/>
      </c>
      <c r="BG198" s="82">
        <f>$AG198-$AF198</f>
        <v/>
      </c>
      <c r="BH198" s="81">
        <f>IFERROR($AG198/$AF198,"")</f>
        <v/>
      </c>
      <c r="BI198" s="82">
        <f>$AJ198-$AF198</f>
        <v/>
      </c>
      <c r="BJ198" s="81">
        <f>IFERROR($AJ198/$AG198,"")</f>
        <v/>
      </c>
      <c r="BK198" s="81">
        <f>$X198</f>
        <v/>
      </c>
      <c r="BL198" s="82">
        <f>($J198-$J199)*100</f>
        <v/>
      </c>
      <c r="BM198" s="82">
        <f>($F198-$F199)*100</f>
        <v/>
      </c>
      <c r="BN198" s="82">
        <f>$AF198-$AF199</f>
        <v/>
      </c>
      <c r="BO198" s="82">
        <f>$AG198-$AG199</f>
        <v/>
      </c>
      <c r="BP198" s="82">
        <f>$AJ198-$AJ199</f>
        <v/>
      </c>
    </row>
    <row r="199">
      <c r="AR199" s="81">
        <f>($G199+($H199-$G199)*0.5)+($P199-($O199+($Q199-$O199)*0.5))</f>
        <v/>
      </c>
      <c r="AS199" s="81">
        <f>($J199+($K199-$J199)*0.5)+($T199-($S199+($U199-$S199)*0.5))</f>
        <v/>
      </c>
      <c r="AT199" s="82">
        <f>($J199-$C199)*100</f>
        <v/>
      </c>
      <c r="AU199" s="82">
        <f>($H199-$F199)*100</f>
        <v/>
      </c>
      <c r="AV199" s="82">
        <f>($J199-$F199)*100</f>
        <v/>
      </c>
      <c r="AW199" s="82">
        <f>($L199-$F199)*100</f>
        <v/>
      </c>
      <c r="AX199" s="82">
        <f>($J199-$H199)*100</f>
        <v/>
      </c>
      <c r="AY199" s="82">
        <f>($L199-$H199)*100</f>
        <v/>
      </c>
      <c r="AZ199" s="82">
        <f>($L199-$J199)*100</f>
        <v/>
      </c>
      <c r="BA199" s="82">
        <f>(2*$H199-$F199-$J199)*100</f>
        <v/>
      </c>
      <c r="BB199" s="82">
        <f>(2*$J199-$H199-$L199)*100</f>
        <v/>
      </c>
      <c r="BC199" s="82">
        <f>($N199-$F199)*100</f>
        <v/>
      </c>
      <c r="BD199" s="82">
        <f>($Q199-$H199)*100</f>
        <v/>
      </c>
      <c r="BE199" s="82">
        <f>($S199-$J199)*100</f>
        <v/>
      </c>
      <c r="BF199" s="82">
        <f>($V199-$L199)*100</f>
        <v/>
      </c>
      <c r="BG199" s="82">
        <f>$AG199-$AF199</f>
        <v/>
      </c>
      <c r="BH199" s="81">
        <f>IFERROR($AG199/$AF199,"")</f>
        <v/>
      </c>
      <c r="BI199" s="82">
        <f>$AJ199-$AF199</f>
        <v/>
      </c>
      <c r="BJ199" s="81">
        <f>IFERROR($AJ199/$AG199,"")</f>
        <v/>
      </c>
      <c r="BK199" s="81">
        <f>$X199</f>
        <v/>
      </c>
      <c r="BL199" s="82">
        <f>($J199-$J200)*100</f>
        <v/>
      </c>
      <c r="BM199" s="82">
        <f>($F199-$F200)*100</f>
        <v/>
      </c>
      <c r="BN199" s="82">
        <f>$AF199-$AF200</f>
        <v/>
      </c>
      <c r="BO199" s="82">
        <f>$AG199-$AG200</f>
        <v/>
      </c>
      <c r="BP199" s="82">
        <f>$AJ199-$AJ200</f>
        <v/>
      </c>
    </row>
    <row r="200">
      <c r="AR200" s="81">
        <f>($G200+($H200-$G200)*0.5)+($P200-($O200+($Q200-$O200)*0.5))</f>
        <v/>
      </c>
      <c r="AS200" s="81">
        <f>($J200+($K200-$J200)*0.5)+($T200-($S200+($U200-$S200)*0.5))</f>
        <v/>
      </c>
      <c r="AT200" s="82">
        <f>($J200-$C200)*100</f>
        <v/>
      </c>
      <c r="AU200" s="82">
        <f>($H200-$F200)*100</f>
        <v/>
      </c>
      <c r="AV200" s="82">
        <f>($J200-$F200)*100</f>
        <v/>
      </c>
      <c r="AW200" s="82">
        <f>($L200-$F200)*100</f>
        <v/>
      </c>
      <c r="AX200" s="82">
        <f>($J200-$H200)*100</f>
        <v/>
      </c>
      <c r="AY200" s="82">
        <f>($L200-$H200)*100</f>
        <v/>
      </c>
      <c r="AZ200" s="82">
        <f>($L200-$J200)*100</f>
        <v/>
      </c>
      <c r="BA200" s="82">
        <f>(2*$H200-$F200-$J200)*100</f>
        <v/>
      </c>
      <c r="BB200" s="82">
        <f>(2*$J200-$H200-$L200)*100</f>
        <v/>
      </c>
      <c r="BC200" s="82">
        <f>($N200-$F200)*100</f>
        <v/>
      </c>
      <c r="BD200" s="82">
        <f>($Q200-$H200)*100</f>
        <v/>
      </c>
      <c r="BE200" s="82">
        <f>($S200-$J200)*100</f>
        <v/>
      </c>
      <c r="BF200" s="82">
        <f>($V200-$L200)*100</f>
        <v/>
      </c>
      <c r="BG200" s="82">
        <f>$AG200-$AF200</f>
        <v/>
      </c>
      <c r="BH200" s="81">
        <f>IFERROR($AG200/$AF200,"")</f>
        <v/>
      </c>
      <c r="BI200" s="82">
        <f>$AJ200-$AF200</f>
        <v/>
      </c>
      <c r="BJ200" s="81">
        <f>IFERROR($AJ200/$AG200,"")</f>
        <v/>
      </c>
      <c r="BK200" s="81">
        <f>$X200</f>
        <v/>
      </c>
      <c r="BL200" s="82">
        <f>($J200-$J201)*100</f>
        <v/>
      </c>
      <c r="BM200" s="82">
        <f>($F200-$F201)*100</f>
        <v/>
      </c>
      <c r="BN200" s="82">
        <f>$AF200-$AF201</f>
        <v/>
      </c>
      <c r="BO200" s="82">
        <f>$AG200-$AG201</f>
        <v/>
      </c>
      <c r="BP200" s="82">
        <f>$AJ200-$AJ201</f>
        <v/>
      </c>
    </row>
    <row r="201">
      <c r="AR201" s="81">
        <f>($G201+($H201-$G201)*0.5)+($P201-($O201+($Q201-$O201)*0.5))</f>
        <v/>
      </c>
      <c r="AS201" s="81">
        <f>($J201+($K201-$J201)*0.5)+($T201-($S201+($U201-$S201)*0.5))</f>
        <v/>
      </c>
      <c r="AT201" s="82">
        <f>($J201-$C201)*100</f>
        <v/>
      </c>
      <c r="AU201" s="82">
        <f>($H201-$F201)*100</f>
        <v/>
      </c>
      <c r="AV201" s="82">
        <f>($J201-$F201)*100</f>
        <v/>
      </c>
      <c r="AW201" s="82">
        <f>($L201-$F201)*100</f>
        <v/>
      </c>
      <c r="AX201" s="82">
        <f>($J201-$H201)*100</f>
        <v/>
      </c>
      <c r="AY201" s="82">
        <f>($L201-$H201)*100</f>
        <v/>
      </c>
      <c r="AZ201" s="82">
        <f>($L201-$J201)*100</f>
        <v/>
      </c>
      <c r="BA201" s="82">
        <f>(2*$H201-$F201-$J201)*100</f>
        <v/>
      </c>
      <c r="BB201" s="82">
        <f>(2*$J201-$H201-$L201)*100</f>
        <v/>
      </c>
      <c r="BC201" s="82">
        <f>($N201-$F201)*100</f>
        <v/>
      </c>
      <c r="BD201" s="82">
        <f>($Q201-$H201)*100</f>
        <v/>
      </c>
      <c r="BE201" s="82">
        <f>($S201-$J201)*100</f>
        <v/>
      </c>
      <c r="BF201" s="82">
        <f>($V201-$L201)*100</f>
        <v/>
      </c>
      <c r="BG201" s="82">
        <f>$AG201-$AF201</f>
        <v/>
      </c>
      <c r="BH201" s="81">
        <f>IFERROR($AG201/$AF201,"")</f>
        <v/>
      </c>
      <c r="BI201" s="82">
        <f>$AJ201-$AF201</f>
        <v/>
      </c>
      <c r="BJ201" s="81">
        <f>IFERROR($AJ201/$AG201,"")</f>
        <v/>
      </c>
      <c r="BK201" s="81">
        <f>$X201</f>
        <v/>
      </c>
      <c r="BL201" s="82">
        <f>($J201-$J202)*100</f>
        <v/>
      </c>
      <c r="BM201" s="82">
        <f>($F201-$F202)*100</f>
        <v/>
      </c>
      <c r="BN201" s="82">
        <f>$AF201-$AF202</f>
        <v/>
      </c>
      <c r="BO201" s="82">
        <f>$AG201-$AG202</f>
        <v/>
      </c>
      <c r="BP201" s="82">
        <f>$AJ201-$AJ202</f>
        <v/>
      </c>
    </row>
    <row r="202">
      <c r="AR202" s="81">
        <f>($G202+($H202-$G202)*0.5)+($P202-($O202+($Q202-$O202)*0.5))</f>
        <v/>
      </c>
      <c r="AS202" s="81">
        <f>($J202+($K202-$J202)*0.5)+($T202-($S202+($U202-$S202)*0.5))</f>
        <v/>
      </c>
      <c r="AT202" s="82">
        <f>($J202-$C202)*100</f>
        <v/>
      </c>
      <c r="AU202" s="82">
        <f>($H202-$F202)*100</f>
        <v/>
      </c>
      <c r="AV202" s="82">
        <f>($J202-$F202)*100</f>
        <v/>
      </c>
      <c r="AW202" s="82">
        <f>($L202-$F202)*100</f>
        <v/>
      </c>
      <c r="AX202" s="82">
        <f>($J202-$H202)*100</f>
        <v/>
      </c>
      <c r="AY202" s="82">
        <f>($L202-$H202)*100</f>
        <v/>
      </c>
      <c r="AZ202" s="82">
        <f>($L202-$J202)*100</f>
        <v/>
      </c>
      <c r="BA202" s="82">
        <f>(2*$H202-$F202-$J202)*100</f>
        <v/>
      </c>
      <c r="BB202" s="82">
        <f>(2*$J202-$H202-$L202)*100</f>
        <v/>
      </c>
      <c r="BC202" s="82">
        <f>($N202-$F202)*100</f>
        <v/>
      </c>
      <c r="BD202" s="82">
        <f>($Q202-$H202)*100</f>
        <v/>
      </c>
      <c r="BE202" s="82">
        <f>($S202-$J202)*100</f>
        <v/>
      </c>
      <c r="BF202" s="82">
        <f>($V202-$L202)*100</f>
        <v/>
      </c>
      <c r="BG202" s="82">
        <f>$AG202-$AF202</f>
        <v/>
      </c>
      <c r="BH202" s="81">
        <f>IFERROR($AG202/$AF202,"")</f>
        <v/>
      </c>
      <c r="BI202" s="82">
        <f>$AJ202-$AF202</f>
        <v/>
      </c>
      <c r="BJ202" s="81">
        <f>IFERROR($AJ202/$AG202,"")</f>
        <v/>
      </c>
      <c r="BK202" s="81">
        <f>$X202</f>
        <v/>
      </c>
      <c r="BL202" s="82">
        <f>($J202-$J203)*100</f>
        <v/>
      </c>
      <c r="BM202" s="82">
        <f>($F202-$F203)*100</f>
        <v/>
      </c>
      <c r="BN202" s="82">
        <f>$AF202-$AF203</f>
        <v/>
      </c>
      <c r="BO202" s="82">
        <f>$AG202-$AG203</f>
        <v/>
      </c>
      <c r="BP202" s="82">
        <f>$AJ202-$AJ203</f>
        <v/>
      </c>
    </row>
    <row r="203">
      <c r="AR203" s="81">
        <f>($G203+($H203-$G203)*0.5)+($P203-($O203+($Q203-$O203)*0.5))</f>
        <v/>
      </c>
      <c r="AS203" s="81">
        <f>($J203+($K203-$J203)*0.5)+($T203-($S203+($U203-$S203)*0.5))</f>
        <v/>
      </c>
      <c r="AT203" s="82">
        <f>($J203-$C203)*100</f>
        <v/>
      </c>
      <c r="AU203" s="82">
        <f>($H203-$F203)*100</f>
        <v/>
      </c>
      <c r="AV203" s="82">
        <f>($J203-$F203)*100</f>
        <v/>
      </c>
      <c r="AW203" s="82">
        <f>($L203-$F203)*100</f>
        <v/>
      </c>
      <c r="AX203" s="82">
        <f>($J203-$H203)*100</f>
        <v/>
      </c>
      <c r="AY203" s="82">
        <f>($L203-$H203)*100</f>
        <v/>
      </c>
      <c r="AZ203" s="82">
        <f>($L203-$J203)*100</f>
        <v/>
      </c>
      <c r="BA203" s="82">
        <f>(2*$H203-$F203-$J203)*100</f>
        <v/>
      </c>
      <c r="BB203" s="82">
        <f>(2*$J203-$H203-$L203)*100</f>
        <v/>
      </c>
      <c r="BC203" s="82">
        <f>($N203-$F203)*100</f>
        <v/>
      </c>
      <c r="BD203" s="82">
        <f>($Q203-$H203)*100</f>
        <v/>
      </c>
      <c r="BE203" s="82">
        <f>($S203-$J203)*100</f>
        <v/>
      </c>
      <c r="BF203" s="82">
        <f>($V203-$L203)*100</f>
        <v/>
      </c>
      <c r="BG203" s="82">
        <f>$AG203-$AF203</f>
        <v/>
      </c>
      <c r="BH203" s="81">
        <f>IFERROR($AG203/$AF203,"")</f>
        <v/>
      </c>
      <c r="BI203" s="82">
        <f>$AJ203-$AF203</f>
        <v/>
      </c>
      <c r="BJ203" s="81">
        <f>IFERROR($AJ203/$AG203,"")</f>
        <v/>
      </c>
      <c r="BK203" s="81">
        <f>$X203</f>
        <v/>
      </c>
      <c r="BL203" s="82">
        <f>($J203-$J204)*100</f>
        <v/>
      </c>
      <c r="BM203" s="82">
        <f>($F203-$F204)*100</f>
        <v/>
      </c>
      <c r="BN203" s="82">
        <f>$AF203-$AF204</f>
        <v/>
      </c>
      <c r="BO203" s="82">
        <f>$AG203-$AG204</f>
        <v/>
      </c>
      <c r="BP203" s="82">
        <f>$AJ203-$AJ204</f>
        <v/>
      </c>
    </row>
    <row r="204">
      <c r="AR204" s="81">
        <f>($G204+($H204-$G204)*0.5)+($P204-($O204+($Q204-$O204)*0.5))</f>
        <v/>
      </c>
      <c r="AS204" s="81">
        <f>($J204+($K204-$J204)*0.5)+($T204-($S204+($U204-$S204)*0.5))</f>
        <v/>
      </c>
      <c r="AT204" s="82">
        <f>($J204-$C204)*100</f>
        <v/>
      </c>
      <c r="AU204" s="82">
        <f>($H204-$F204)*100</f>
        <v/>
      </c>
      <c r="AV204" s="82">
        <f>($J204-$F204)*100</f>
        <v/>
      </c>
      <c r="AW204" s="82">
        <f>($L204-$F204)*100</f>
        <v/>
      </c>
      <c r="AX204" s="82">
        <f>($J204-$H204)*100</f>
        <v/>
      </c>
      <c r="AY204" s="82">
        <f>($L204-$H204)*100</f>
        <v/>
      </c>
      <c r="AZ204" s="82">
        <f>($L204-$J204)*100</f>
        <v/>
      </c>
      <c r="BA204" s="82">
        <f>(2*$H204-$F204-$J204)*100</f>
        <v/>
      </c>
      <c r="BB204" s="82">
        <f>(2*$J204-$H204-$L204)*100</f>
        <v/>
      </c>
      <c r="BC204" s="82">
        <f>($N204-$F204)*100</f>
        <v/>
      </c>
      <c r="BD204" s="82">
        <f>($Q204-$H204)*100</f>
        <v/>
      </c>
      <c r="BE204" s="82">
        <f>($S204-$J204)*100</f>
        <v/>
      </c>
      <c r="BF204" s="82">
        <f>($V204-$L204)*100</f>
        <v/>
      </c>
      <c r="BG204" s="82">
        <f>$AG204-$AF204</f>
        <v/>
      </c>
      <c r="BH204" s="81">
        <f>IFERROR($AG204/$AF204,"")</f>
        <v/>
      </c>
      <c r="BI204" s="82">
        <f>$AJ204-$AF204</f>
        <v/>
      </c>
      <c r="BJ204" s="81">
        <f>IFERROR($AJ204/$AG204,"")</f>
        <v/>
      </c>
      <c r="BK204" s="81">
        <f>$X204</f>
        <v/>
      </c>
      <c r="BL204" s="82">
        <f>($J204-$J205)*100</f>
        <v/>
      </c>
      <c r="BM204" s="82">
        <f>($F204-$F205)*100</f>
        <v/>
      </c>
      <c r="BN204" s="82">
        <f>$AF204-$AF205</f>
        <v/>
      </c>
      <c r="BO204" s="82">
        <f>$AG204-$AG205</f>
        <v/>
      </c>
      <c r="BP204" s="82">
        <f>$AJ204-$AJ205</f>
        <v/>
      </c>
    </row>
    <row r="205">
      <c r="AR205" s="81">
        <f>($G205+($H205-$G205)*0.5)+($P205-($O205+($Q205-$O205)*0.5))</f>
        <v/>
      </c>
      <c r="AS205" s="81">
        <f>($J205+($K205-$J205)*0.5)+($T205-($S205+($U205-$S205)*0.5))</f>
        <v/>
      </c>
      <c r="AT205" s="82">
        <f>($J205-$C205)*100</f>
        <v/>
      </c>
      <c r="AU205" s="82">
        <f>($H205-$F205)*100</f>
        <v/>
      </c>
      <c r="AV205" s="82">
        <f>($J205-$F205)*100</f>
        <v/>
      </c>
      <c r="AW205" s="82">
        <f>($L205-$F205)*100</f>
        <v/>
      </c>
      <c r="AX205" s="82">
        <f>($J205-$H205)*100</f>
        <v/>
      </c>
      <c r="AY205" s="82">
        <f>($L205-$H205)*100</f>
        <v/>
      </c>
      <c r="AZ205" s="82">
        <f>($L205-$J205)*100</f>
        <v/>
      </c>
      <c r="BA205" s="82">
        <f>(2*$H205-$F205-$J205)*100</f>
        <v/>
      </c>
      <c r="BB205" s="82">
        <f>(2*$J205-$H205-$L205)*100</f>
        <v/>
      </c>
      <c r="BC205" s="82">
        <f>($N205-$F205)*100</f>
        <v/>
      </c>
      <c r="BD205" s="82">
        <f>($Q205-$H205)*100</f>
        <v/>
      </c>
      <c r="BE205" s="82">
        <f>($S205-$J205)*100</f>
        <v/>
      </c>
      <c r="BF205" s="82">
        <f>($V205-$L205)*100</f>
        <v/>
      </c>
      <c r="BG205" s="82">
        <f>$AG205-$AF205</f>
        <v/>
      </c>
      <c r="BH205" s="81">
        <f>IFERROR($AG205/$AF205,"")</f>
        <v/>
      </c>
      <c r="BI205" s="82">
        <f>$AJ205-$AF205</f>
        <v/>
      </c>
      <c r="BJ205" s="81">
        <f>IFERROR($AJ205/$AG205,"")</f>
        <v/>
      </c>
      <c r="BK205" s="81">
        <f>$X205</f>
        <v/>
      </c>
      <c r="BL205" s="82">
        <f>($J205-$J206)*100</f>
        <v/>
      </c>
      <c r="BM205" s="82">
        <f>($F205-$F206)*100</f>
        <v/>
      </c>
      <c r="BN205" s="82">
        <f>$AF205-$AF206</f>
        <v/>
      </c>
      <c r="BO205" s="82">
        <f>$AG205-$AG206</f>
        <v/>
      </c>
      <c r="BP205" s="82">
        <f>$AJ205-$AJ206</f>
        <v/>
      </c>
    </row>
    <row r="206">
      <c r="AR206" s="81">
        <f>($G206+($H206-$G206)*0.5)+($P206-($O206+($Q206-$O206)*0.5))</f>
        <v/>
      </c>
      <c r="AS206" s="81">
        <f>($J206+($K206-$J206)*0.5)+($T206-($S206+($U206-$S206)*0.5))</f>
        <v/>
      </c>
      <c r="AT206" s="82">
        <f>($J206-$C206)*100</f>
        <v/>
      </c>
      <c r="AU206" s="82">
        <f>($H206-$F206)*100</f>
        <v/>
      </c>
      <c r="AV206" s="82">
        <f>($J206-$F206)*100</f>
        <v/>
      </c>
      <c r="AW206" s="82">
        <f>($L206-$F206)*100</f>
        <v/>
      </c>
      <c r="AX206" s="82">
        <f>($J206-$H206)*100</f>
        <v/>
      </c>
      <c r="AY206" s="82">
        <f>($L206-$H206)*100</f>
        <v/>
      </c>
      <c r="AZ206" s="82">
        <f>($L206-$J206)*100</f>
        <v/>
      </c>
      <c r="BA206" s="82">
        <f>(2*$H206-$F206-$J206)*100</f>
        <v/>
      </c>
      <c r="BB206" s="82">
        <f>(2*$J206-$H206-$L206)*100</f>
        <v/>
      </c>
      <c r="BC206" s="82">
        <f>($N206-$F206)*100</f>
        <v/>
      </c>
      <c r="BD206" s="82">
        <f>($Q206-$H206)*100</f>
        <v/>
      </c>
      <c r="BE206" s="82">
        <f>($S206-$J206)*100</f>
        <v/>
      </c>
      <c r="BF206" s="82">
        <f>($V206-$L206)*100</f>
        <v/>
      </c>
      <c r="BG206" s="82">
        <f>$AG206-$AF206</f>
        <v/>
      </c>
      <c r="BH206" s="81">
        <f>IFERROR($AG206/$AF206,"")</f>
        <v/>
      </c>
      <c r="BI206" s="82">
        <f>$AJ206-$AF206</f>
        <v/>
      </c>
      <c r="BJ206" s="81">
        <f>IFERROR($AJ206/$AG206,"")</f>
        <v/>
      </c>
      <c r="BK206" s="81">
        <f>$X206</f>
        <v/>
      </c>
      <c r="BL206" s="82">
        <f>($J206-$J207)*100</f>
        <v/>
      </c>
      <c r="BM206" s="82">
        <f>($F206-$F207)*100</f>
        <v/>
      </c>
      <c r="BN206" s="82">
        <f>$AF206-$AF207</f>
        <v/>
      </c>
      <c r="BO206" s="82">
        <f>$AG206-$AG207</f>
        <v/>
      </c>
      <c r="BP206" s="82">
        <f>$AJ206-$AJ207</f>
        <v/>
      </c>
    </row>
    <row r="207">
      <c r="AR207" s="81">
        <f>($G207+($H207-$G207)*0.5)+($P207-($O207+($Q207-$O207)*0.5))</f>
        <v/>
      </c>
      <c r="AS207" s="81">
        <f>($J207+($K207-$J207)*0.5)+($T207-($S207+($U207-$S207)*0.5))</f>
        <v/>
      </c>
      <c r="AT207" s="82">
        <f>($J207-$C207)*100</f>
        <v/>
      </c>
      <c r="AU207" s="82">
        <f>($H207-$F207)*100</f>
        <v/>
      </c>
      <c r="AV207" s="82">
        <f>($J207-$F207)*100</f>
        <v/>
      </c>
      <c r="AW207" s="82">
        <f>($L207-$F207)*100</f>
        <v/>
      </c>
      <c r="AX207" s="82">
        <f>($J207-$H207)*100</f>
        <v/>
      </c>
      <c r="AY207" s="82">
        <f>($L207-$H207)*100</f>
        <v/>
      </c>
      <c r="AZ207" s="82">
        <f>($L207-$J207)*100</f>
        <v/>
      </c>
      <c r="BA207" s="82">
        <f>(2*$H207-$F207-$J207)*100</f>
        <v/>
      </c>
      <c r="BB207" s="82">
        <f>(2*$J207-$H207-$L207)*100</f>
        <v/>
      </c>
      <c r="BC207" s="82">
        <f>($N207-$F207)*100</f>
        <v/>
      </c>
      <c r="BD207" s="82">
        <f>($Q207-$H207)*100</f>
        <v/>
      </c>
      <c r="BE207" s="82">
        <f>($S207-$J207)*100</f>
        <v/>
      </c>
      <c r="BF207" s="82">
        <f>($V207-$L207)*100</f>
        <v/>
      </c>
      <c r="BG207" s="82">
        <f>$AG207-$AF207</f>
        <v/>
      </c>
      <c r="BH207" s="81">
        <f>IFERROR($AG207/$AF207,"")</f>
        <v/>
      </c>
      <c r="BI207" s="82">
        <f>$AJ207-$AF207</f>
        <v/>
      </c>
      <c r="BJ207" s="81">
        <f>IFERROR($AJ207/$AG207,"")</f>
        <v/>
      </c>
      <c r="BK207" s="81">
        <f>$X207</f>
        <v/>
      </c>
      <c r="BL207" s="82">
        <f>($J207-$J208)*100</f>
        <v/>
      </c>
      <c r="BM207" s="82">
        <f>($F207-$F208)*100</f>
        <v/>
      </c>
      <c r="BN207" s="82">
        <f>$AF207-$AF208</f>
        <v/>
      </c>
      <c r="BO207" s="82">
        <f>$AG207-$AG208</f>
        <v/>
      </c>
      <c r="BP207" s="82">
        <f>$AJ207-$AJ208</f>
        <v/>
      </c>
    </row>
    <row r="208">
      <c r="AR208" s="81">
        <f>($G208+($H208-$G208)*0.5)+($P208-($O208+($Q208-$O208)*0.5))</f>
        <v/>
      </c>
      <c r="AS208" s="81">
        <f>($J208+($K208-$J208)*0.5)+($T208-($S208+($U208-$S208)*0.5))</f>
        <v/>
      </c>
      <c r="AT208" s="82">
        <f>($J208-$C208)*100</f>
        <v/>
      </c>
      <c r="AU208" s="82">
        <f>($H208-$F208)*100</f>
        <v/>
      </c>
      <c r="AV208" s="82">
        <f>($J208-$F208)*100</f>
        <v/>
      </c>
      <c r="AW208" s="82">
        <f>($L208-$F208)*100</f>
        <v/>
      </c>
      <c r="AX208" s="82">
        <f>($J208-$H208)*100</f>
        <v/>
      </c>
      <c r="AY208" s="82">
        <f>($L208-$H208)*100</f>
        <v/>
      </c>
      <c r="AZ208" s="82">
        <f>($L208-$J208)*100</f>
        <v/>
      </c>
      <c r="BA208" s="82">
        <f>(2*$H208-$F208-$J208)*100</f>
        <v/>
      </c>
      <c r="BB208" s="82">
        <f>(2*$J208-$H208-$L208)*100</f>
        <v/>
      </c>
      <c r="BC208" s="82">
        <f>($N208-$F208)*100</f>
        <v/>
      </c>
      <c r="BD208" s="82">
        <f>($Q208-$H208)*100</f>
        <v/>
      </c>
      <c r="BE208" s="82">
        <f>($S208-$J208)*100</f>
        <v/>
      </c>
      <c r="BF208" s="82">
        <f>($V208-$L208)*100</f>
        <v/>
      </c>
      <c r="BG208" s="82">
        <f>$AG208-$AF208</f>
        <v/>
      </c>
      <c r="BH208" s="81">
        <f>IFERROR($AG208/$AF208,"")</f>
        <v/>
      </c>
      <c r="BI208" s="82">
        <f>$AJ208-$AF208</f>
        <v/>
      </c>
      <c r="BJ208" s="81">
        <f>IFERROR($AJ208/$AG208,"")</f>
        <v/>
      </c>
      <c r="BK208" s="81">
        <f>$X208</f>
        <v/>
      </c>
      <c r="BL208" s="82">
        <f>($J208-$J209)*100</f>
        <v/>
      </c>
      <c r="BM208" s="82">
        <f>($F208-$F209)*100</f>
        <v/>
      </c>
      <c r="BN208" s="82">
        <f>$AF208-$AF209</f>
        <v/>
      </c>
      <c r="BO208" s="82">
        <f>$AG208-$AG209</f>
        <v/>
      </c>
      <c r="BP208" s="82">
        <f>$AJ208-$AJ209</f>
        <v/>
      </c>
    </row>
    <row r="209">
      <c r="AR209" s="81">
        <f>($G209+($H209-$G209)*0.5)+($P209-($O209+($Q209-$O209)*0.5))</f>
        <v/>
      </c>
      <c r="AS209" s="81">
        <f>($J209+($K209-$J209)*0.5)+($T209-($S209+($U209-$S209)*0.5))</f>
        <v/>
      </c>
      <c r="AT209" s="82">
        <f>($J209-$C209)*100</f>
        <v/>
      </c>
      <c r="AU209" s="82">
        <f>($H209-$F209)*100</f>
        <v/>
      </c>
      <c r="AV209" s="82">
        <f>($J209-$F209)*100</f>
        <v/>
      </c>
      <c r="AW209" s="82">
        <f>($L209-$F209)*100</f>
        <v/>
      </c>
      <c r="AX209" s="82">
        <f>($J209-$H209)*100</f>
        <v/>
      </c>
      <c r="AY209" s="82">
        <f>($L209-$H209)*100</f>
        <v/>
      </c>
      <c r="AZ209" s="82">
        <f>($L209-$J209)*100</f>
        <v/>
      </c>
      <c r="BA209" s="82">
        <f>(2*$H209-$F209-$J209)*100</f>
        <v/>
      </c>
      <c r="BB209" s="82">
        <f>(2*$J209-$H209-$L209)*100</f>
        <v/>
      </c>
      <c r="BC209" s="82">
        <f>($N209-$F209)*100</f>
        <v/>
      </c>
      <c r="BD209" s="82">
        <f>($Q209-$H209)*100</f>
        <v/>
      </c>
      <c r="BE209" s="82">
        <f>($S209-$J209)*100</f>
        <v/>
      </c>
      <c r="BF209" s="82">
        <f>($V209-$L209)*100</f>
        <v/>
      </c>
      <c r="BG209" s="82">
        <f>$AG209-$AF209</f>
        <v/>
      </c>
      <c r="BH209" s="81">
        <f>IFERROR($AG209/$AF209,"")</f>
        <v/>
      </c>
      <c r="BI209" s="82">
        <f>$AJ209-$AF209</f>
        <v/>
      </c>
      <c r="BJ209" s="81">
        <f>IFERROR($AJ209/$AG209,"")</f>
        <v/>
      </c>
      <c r="BK209" s="81">
        <f>$X209</f>
        <v/>
      </c>
      <c r="BL209" s="82">
        <f>($J209-$J210)*100</f>
        <v/>
      </c>
      <c r="BM209" s="82">
        <f>($F209-$F210)*100</f>
        <v/>
      </c>
      <c r="BN209" s="82">
        <f>$AF209-$AF210</f>
        <v/>
      </c>
      <c r="BO209" s="82">
        <f>$AG209-$AG210</f>
        <v/>
      </c>
      <c r="BP209" s="82">
        <f>$AJ209-$AJ210</f>
        <v/>
      </c>
    </row>
    <row r="210">
      <c r="AR210" s="81">
        <f>($G210+($H210-$G210)*0.5)+($P210-($O210+($Q210-$O210)*0.5))</f>
        <v/>
      </c>
      <c r="AS210" s="81">
        <f>($J210+($K210-$J210)*0.5)+($T210-($S210+($U210-$S210)*0.5))</f>
        <v/>
      </c>
      <c r="AT210" s="82">
        <f>($J210-$C210)*100</f>
        <v/>
      </c>
      <c r="AU210" s="82">
        <f>($H210-$F210)*100</f>
        <v/>
      </c>
      <c r="AV210" s="82">
        <f>($J210-$F210)*100</f>
        <v/>
      </c>
      <c r="AW210" s="82">
        <f>($L210-$F210)*100</f>
        <v/>
      </c>
      <c r="AX210" s="82">
        <f>($J210-$H210)*100</f>
        <v/>
      </c>
      <c r="AY210" s="82">
        <f>($L210-$H210)*100</f>
        <v/>
      </c>
      <c r="AZ210" s="82">
        <f>($L210-$J210)*100</f>
        <v/>
      </c>
      <c r="BA210" s="82">
        <f>(2*$H210-$F210-$J210)*100</f>
        <v/>
      </c>
      <c r="BB210" s="82">
        <f>(2*$J210-$H210-$L210)*100</f>
        <v/>
      </c>
      <c r="BC210" s="82">
        <f>($N210-$F210)*100</f>
        <v/>
      </c>
      <c r="BD210" s="82">
        <f>($Q210-$H210)*100</f>
        <v/>
      </c>
      <c r="BE210" s="82">
        <f>($S210-$J210)*100</f>
        <v/>
      </c>
      <c r="BF210" s="82">
        <f>($V210-$L210)*100</f>
        <v/>
      </c>
      <c r="BG210" s="82">
        <f>$AG210-$AF210</f>
        <v/>
      </c>
      <c r="BH210" s="81">
        <f>IFERROR($AG210/$AF210,"")</f>
        <v/>
      </c>
      <c r="BI210" s="82">
        <f>$AJ210-$AF210</f>
        <v/>
      </c>
      <c r="BJ210" s="81">
        <f>IFERROR($AJ210/$AG210,"")</f>
        <v/>
      </c>
      <c r="BK210" s="81">
        <f>$X210</f>
        <v/>
      </c>
      <c r="BL210" s="82">
        <f>($J210-$J211)*100</f>
        <v/>
      </c>
      <c r="BM210" s="82">
        <f>($F210-$F211)*100</f>
        <v/>
      </c>
      <c r="BN210" s="82">
        <f>$AF210-$AF211</f>
        <v/>
      </c>
      <c r="BO210" s="82">
        <f>$AG210-$AG211</f>
        <v/>
      </c>
      <c r="BP210" s="82">
        <f>$AJ210-$AJ211</f>
        <v/>
      </c>
    </row>
    <row r="211">
      <c r="AR211" s="81">
        <f>($G211+($H211-$G211)*0.5)+($P211-($O211+($Q211-$O211)*0.5))</f>
        <v/>
      </c>
      <c r="AS211" s="81">
        <f>($J211+($K211-$J211)*0.5)+($T211-($S211+($U211-$S211)*0.5))</f>
        <v/>
      </c>
      <c r="AT211" s="82">
        <f>($J211-$C211)*100</f>
        <v/>
      </c>
      <c r="AU211" s="82">
        <f>($H211-$F211)*100</f>
        <v/>
      </c>
      <c r="AV211" s="82">
        <f>($J211-$F211)*100</f>
        <v/>
      </c>
      <c r="AW211" s="82">
        <f>($L211-$F211)*100</f>
        <v/>
      </c>
      <c r="AX211" s="82">
        <f>($J211-$H211)*100</f>
        <v/>
      </c>
      <c r="AY211" s="82">
        <f>($L211-$H211)*100</f>
        <v/>
      </c>
      <c r="AZ211" s="82">
        <f>($L211-$J211)*100</f>
        <v/>
      </c>
      <c r="BA211" s="82">
        <f>(2*$H211-$F211-$J211)*100</f>
        <v/>
      </c>
      <c r="BB211" s="82">
        <f>(2*$J211-$H211-$L211)*100</f>
        <v/>
      </c>
      <c r="BC211" s="82">
        <f>($N211-$F211)*100</f>
        <v/>
      </c>
      <c r="BD211" s="82">
        <f>($Q211-$H211)*100</f>
        <v/>
      </c>
      <c r="BE211" s="82">
        <f>($S211-$J211)*100</f>
        <v/>
      </c>
      <c r="BF211" s="82">
        <f>($V211-$L211)*100</f>
        <v/>
      </c>
      <c r="BG211" s="82">
        <f>$AG211-$AF211</f>
        <v/>
      </c>
      <c r="BH211" s="81">
        <f>IFERROR($AG211/$AF211,"")</f>
        <v/>
      </c>
      <c r="BI211" s="82">
        <f>$AJ211-$AF211</f>
        <v/>
      </c>
      <c r="BJ211" s="81">
        <f>IFERROR($AJ211/$AG211,"")</f>
        <v/>
      </c>
      <c r="BK211" s="81">
        <f>$X211</f>
        <v/>
      </c>
      <c r="BL211" s="82">
        <f>($J211-$J212)*100</f>
        <v/>
      </c>
      <c r="BM211" s="82">
        <f>($F211-$F212)*100</f>
        <v/>
      </c>
      <c r="BN211" s="82">
        <f>$AF211-$AF212</f>
        <v/>
      </c>
      <c r="BO211" s="82">
        <f>$AG211-$AG212</f>
        <v/>
      </c>
      <c r="BP211" s="82">
        <f>$AJ211-$AJ212</f>
        <v/>
      </c>
    </row>
    <row r="212">
      <c r="AR212" s="81">
        <f>($G212+($H212-$G212)*0.5)+($P212-($O212+($Q212-$O212)*0.5))</f>
        <v/>
      </c>
      <c r="AS212" s="81">
        <f>($J212+($K212-$J212)*0.5)+($T212-($S212+($U212-$S212)*0.5))</f>
        <v/>
      </c>
      <c r="AT212" s="82">
        <f>($J212-$C212)*100</f>
        <v/>
      </c>
      <c r="AU212" s="82">
        <f>($H212-$F212)*100</f>
        <v/>
      </c>
      <c r="AV212" s="82">
        <f>($J212-$F212)*100</f>
        <v/>
      </c>
      <c r="AW212" s="82">
        <f>($L212-$F212)*100</f>
        <v/>
      </c>
      <c r="AX212" s="82">
        <f>($J212-$H212)*100</f>
        <v/>
      </c>
      <c r="AY212" s="82">
        <f>($L212-$H212)*100</f>
        <v/>
      </c>
      <c r="AZ212" s="82">
        <f>($L212-$J212)*100</f>
        <v/>
      </c>
      <c r="BA212" s="82">
        <f>(2*$H212-$F212-$J212)*100</f>
        <v/>
      </c>
      <c r="BB212" s="82">
        <f>(2*$J212-$H212-$L212)*100</f>
        <v/>
      </c>
      <c r="BC212" s="82">
        <f>($N212-$F212)*100</f>
        <v/>
      </c>
      <c r="BD212" s="82">
        <f>($Q212-$H212)*100</f>
        <v/>
      </c>
      <c r="BE212" s="82">
        <f>($S212-$J212)*100</f>
        <v/>
      </c>
      <c r="BF212" s="82">
        <f>($V212-$L212)*100</f>
        <v/>
      </c>
      <c r="BG212" s="82">
        <f>$AG212-$AF212</f>
        <v/>
      </c>
      <c r="BH212" s="81">
        <f>IFERROR($AG212/$AF212,"")</f>
        <v/>
      </c>
      <c r="BI212" s="82">
        <f>$AJ212-$AF212</f>
        <v/>
      </c>
      <c r="BJ212" s="81">
        <f>IFERROR($AJ212/$AG212,"")</f>
        <v/>
      </c>
      <c r="BK212" s="81">
        <f>$X212</f>
        <v/>
      </c>
      <c r="BL212" s="82">
        <f>($J212-$J213)*100</f>
        <v/>
      </c>
      <c r="BM212" s="82">
        <f>($F212-$F213)*100</f>
        <v/>
      </c>
      <c r="BN212" s="82">
        <f>$AF212-$AF213</f>
        <v/>
      </c>
      <c r="BO212" s="82">
        <f>$AG212-$AG213</f>
        <v/>
      </c>
      <c r="BP212" s="82">
        <f>$AJ212-$AJ213</f>
        <v/>
      </c>
    </row>
    <row r="213">
      <c r="AR213" s="81">
        <f>($G213+($H213-$G213)*0.5)+($P213-($O213+($Q213-$O213)*0.5))</f>
        <v/>
      </c>
      <c r="AS213" s="81">
        <f>($J213+($K213-$J213)*0.5)+($T213-($S213+($U213-$S213)*0.5))</f>
        <v/>
      </c>
      <c r="AT213" s="82">
        <f>($J213-$C213)*100</f>
        <v/>
      </c>
      <c r="AU213" s="82">
        <f>($H213-$F213)*100</f>
        <v/>
      </c>
      <c r="AV213" s="82">
        <f>($J213-$F213)*100</f>
        <v/>
      </c>
      <c r="AW213" s="82">
        <f>($L213-$F213)*100</f>
        <v/>
      </c>
      <c r="AX213" s="82">
        <f>($J213-$H213)*100</f>
        <v/>
      </c>
      <c r="AY213" s="82">
        <f>($L213-$H213)*100</f>
        <v/>
      </c>
      <c r="AZ213" s="82">
        <f>($L213-$J213)*100</f>
        <v/>
      </c>
      <c r="BA213" s="82">
        <f>(2*$H213-$F213-$J213)*100</f>
        <v/>
      </c>
      <c r="BB213" s="82">
        <f>(2*$J213-$H213-$L213)*100</f>
        <v/>
      </c>
      <c r="BC213" s="82">
        <f>($N213-$F213)*100</f>
        <v/>
      </c>
      <c r="BD213" s="82">
        <f>($Q213-$H213)*100</f>
        <v/>
      </c>
      <c r="BE213" s="82">
        <f>($S213-$J213)*100</f>
        <v/>
      </c>
      <c r="BF213" s="82">
        <f>($V213-$L213)*100</f>
        <v/>
      </c>
      <c r="BG213" s="82">
        <f>$AG213-$AF213</f>
        <v/>
      </c>
      <c r="BH213" s="81">
        <f>IFERROR($AG213/$AF213,"")</f>
        <v/>
      </c>
      <c r="BI213" s="82">
        <f>$AJ213-$AF213</f>
        <v/>
      </c>
      <c r="BJ213" s="81">
        <f>IFERROR($AJ213/$AG213,"")</f>
        <v/>
      </c>
      <c r="BK213" s="81">
        <f>$X213</f>
        <v/>
      </c>
      <c r="BL213" s="82">
        <f>($J213-$J214)*100</f>
        <v/>
      </c>
      <c r="BM213" s="82">
        <f>($F213-$F214)*100</f>
        <v/>
      </c>
      <c r="BN213" s="82">
        <f>$AF213-$AF214</f>
        <v/>
      </c>
      <c r="BO213" s="82">
        <f>$AG213-$AG214</f>
        <v/>
      </c>
      <c r="BP213" s="82">
        <f>$AJ213-$AJ214</f>
        <v/>
      </c>
    </row>
    <row r="214">
      <c r="AR214" s="81">
        <f>($G214+($H214-$G214)*0.5)+($P214-($O214+($Q214-$O214)*0.5))</f>
        <v/>
      </c>
      <c r="AS214" s="81">
        <f>($J214+($K214-$J214)*0.5)+($T214-($S214+($U214-$S214)*0.5))</f>
        <v/>
      </c>
      <c r="AT214" s="82">
        <f>($J214-$C214)*100</f>
        <v/>
      </c>
      <c r="AU214" s="82">
        <f>($H214-$F214)*100</f>
        <v/>
      </c>
      <c r="AV214" s="82">
        <f>($J214-$F214)*100</f>
        <v/>
      </c>
      <c r="AW214" s="82">
        <f>($L214-$F214)*100</f>
        <v/>
      </c>
      <c r="AX214" s="82">
        <f>($J214-$H214)*100</f>
        <v/>
      </c>
      <c r="AY214" s="82">
        <f>($L214-$H214)*100</f>
        <v/>
      </c>
      <c r="AZ214" s="82">
        <f>($L214-$J214)*100</f>
        <v/>
      </c>
      <c r="BA214" s="82">
        <f>(2*$H214-$F214-$J214)*100</f>
        <v/>
      </c>
      <c r="BB214" s="82">
        <f>(2*$J214-$H214-$L214)*100</f>
        <v/>
      </c>
      <c r="BC214" s="82">
        <f>($N214-$F214)*100</f>
        <v/>
      </c>
      <c r="BD214" s="82">
        <f>($Q214-$H214)*100</f>
        <v/>
      </c>
      <c r="BE214" s="82">
        <f>($S214-$J214)*100</f>
        <v/>
      </c>
      <c r="BF214" s="82">
        <f>($V214-$L214)*100</f>
        <v/>
      </c>
      <c r="BG214" s="82">
        <f>$AG214-$AF214</f>
        <v/>
      </c>
      <c r="BH214" s="81">
        <f>IFERROR($AG214/$AF214,"")</f>
        <v/>
      </c>
      <c r="BI214" s="82">
        <f>$AJ214-$AF214</f>
        <v/>
      </c>
      <c r="BJ214" s="81">
        <f>IFERROR($AJ214/$AG214,"")</f>
        <v/>
      </c>
      <c r="BK214" s="81">
        <f>$X214</f>
        <v/>
      </c>
      <c r="BL214" s="82">
        <f>($J214-$J215)*100</f>
        <v/>
      </c>
      <c r="BM214" s="82">
        <f>($F214-$F215)*100</f>
        <v/>
      </c>
      <c r="BN214" s="82">
        <f>$AF214-$AF215</f>
        <v/>
      </c>
      <c r="BO214" s="82">
        <f>$AG214-$AG215</f>
        <v/>
      </c>
      <c r="BP214" s="82">
        <f>$AJ214-$AJ215</f>
        <v/>
      </c>
    </row>
    <row r="215">
      <c r="AR215" s="81">
        <f>($G215+($H215-$G215)*0.5)+($P215-($O215+($Q215-$O215)*0.5))</f>
        <v/>
      </c>
      <c r="AS215" s="81">
        <f>($J215+($K215-$J215)*0.5)+($T215-($S215+($U215-$S215)*0.5))</f>
        <v/>
      </c>
      <c r="AT215" s="82">
        <f>($J215-$C215)*100</f>
        <v/>
      </c>
      <c r="AU215" s="82">
        <f>($H215-$F215)*100</f>
        <v/>
      </c>
      <c r="AV215" s="82">
        <f>($J215-$F215)*100</f>
        <v/>
      </c>
      <c r="AW215" s="82">
        <f>($L215-$F215)*100</f>
        <v/>
      </c>
      <c r="AX215" s="82">
        <f>($J215-$H215)*100</f>
        <v/>
      </c>
      <c r="AY215" s="82">
        <f>($L215-$H215)*100</f>
        <v/>
      </c>
      <c r="AZ215" s="82">
        <f>($L215-$J215)*100</f>
        <v/>
      </c>
      <c r="BA215" s="82">
        <f>(2*$H215-$F215-$J215)*100</f>
        <v/>
      </c>
      <c r="BB215" s="82">
        <f>(2*$J215-$H215-$L215)*100</f>
        <v/>
      </c>
      <c r="BC215" s="82">
        <f>($N215-$F215)*100</f>
        <v/>
      </c>
      <c r="BD215" s="82">
        <f>($Q215-$H215)*100</f>
        <v/>
      </c>
      <c r="BE215" s="82">
        <f>($S215-$J215)*100</f>
        <v/>
      </c>
      <c r="BF215" s="82">
        <f>($V215-$L215)*100</f>
        <v/>
      </c>
      <c r="BG215" s="82">
        <f>$AG215-$AF215</f>
        <v/>
      </c>
      <c r="BH215" s="81">
        <f>IFERROR($AG215/$AF215,"")</f>
        <v/>
      </c>
      <c r="BI215" s="82">
        <f>$AJ215-$AF215</f>
        <v/>
      </c>
      <c r="BJ215" s="81">
        <f>IFERROR($AJ215/$AG215,"")</f>
        <v/>
      </c>
      <c r="BK215" s="81">
        <f>$X215</f>
        <v/>
      </c>
      <c r="BL215" s="82">
        <f>($J215-$J216)*100</f>
        <v/>
      </c>
      <c r="BM215" s="82">
        <f>($F215-$F216)*100</f>
        <v/>
      </c>
      <c r="BN215" s="82">
        <f>$AF215-$AF216</f>
        <v/>
      </c>
      <c r="BO215" s="82">
        <f>$AG215-$AG216</f>
        <v/>
      </c>
      <c r="BP215" s="82">
        <f>$AJ215-$AJ216</f>
        <v/>
      </c>
    </row>
    <row r="216">
      <c r="AR216" s="81">
        <f>($G216+($H216-$G216)*0.5)+($P216-($O216+($Q216-$O216)*0.5))</f>
        <v/>
      </c>
      <c r="AS216" s="81">
        <f>($J216+($K216-$J216)*0.5)+($T216-($S216+($U216-$S216)*0.5))</f>
        <v/>
      </c>
      <c r="AT216" s="82">
        <f>($J216-$C216)*100</f>
        <v/>
      </c>
      <c r="AU216" s="82">
        <f>($H216-$F216)*100</f>
        <v/>
      </c>
      <c r="AV216" s="82">
        <f>($J216-$F216)*100</f>
        <v/>
      </c>
      <c r="AW216" s="82">
        <f>($L216-$F216)*100</f>
        <v/>
      </c>
      <c r="AX216" s="82">
        <f>($J216-$H216)*100</f>
        <v/>
      </c>
      <c r="AY216" s="82">
        <f>($L216-$H216)*100</f>
        <v/>
      </c>
      <c r="AZ216" s="82">
        <f>($L216-$J216)*100</f>
        <v/>
      </c>
      <c r="BA216" s="82">
        <f>(2*$H216-$F216-$J216)*100</f>
        <v/>
      </c>
      <c r="BB216" s="82">
        <f>(2*$J216-$H216-$L216)*100</f>
        <v/>
      </c>
      <c r="BC216" s="82">
        <f>($N216-$F216)*100</f>
        <v/>
      </c>
      <c r="BD216" s="82">
        <f>($Q216-$H216)*100</f>
        <v/>
      </c>
      <c r="BE216" s="82">
        <f>($S216-$J216)*100</f>
        <v/>
      </c>
      <c r="BF216" s="82">
        <f>($V216-$L216)*100</f>
        <v/>
      </c>
      <c r="BG216" s="82">
        <f>$AG216-$AF216</f>
        <v/>
      </c>
      <c r="BH216" s="81">
        <f>IFERROR($AG216/$AF216,"")</f>
        <v/>
      </c>
      <c r="BI216" s="82">
        <f>$AJ216-$AF216</f>
        <v/>
      </c>
      <c r="BJ216" s="81">
        <f>IFERROR($AJ216/$AG216,"")</f>
        <v/>
      </c>
      <c r="BK216" s="81">
        <f>$X216</f>
        <v/>
      </c>
      <c r="BL216" s="82">
        <f>($J216-$J217)*100</f>
        <v/>
      </c>
      <c r="BM216" s="82">
        <f>($F216-$F217)*100</f>
        <v/>
      </c>
      <c r="BN216" s="82">
        <f>$AF216-$AF217</f>
        <v/>
      </c>
      <c r="BO216" s="82">
        <f>$AG216-$AG217</f>
        <v/>
      </c>
      <c r="BP216" s="82">
        <f>$AJ216-$AJ217</f>
        <v/>
      </c>
    </row>
    <row r="217">
      <c r="AR217" s="81">
        <f>($G217+($H217-$G217)*0.5)+($P217-($O217+($Q217-$O217)*0.5))</f>
        <v/>
      </c>
      <c r="AS217" s="81">
        <f>($J217+($K217-$J217)*0.5)+($T217-($S217+($U217-$S217)*0.5))</f>
        <v/>
      </c>
      <c r="AT217" s="82">
        <f>($J217-$C217)*100</f>
        <v/>
      </c>
      <c r="AU217" s="82">
        <f>($H217-$F217)*100</f>
        <v/>
      </c>
      <c r="AV217" s="82">
        <f>($J217-$F217)*100</f>
        <v/>
      </c>
      <c r="AW217" s="82">
        <f>($L217-$F217)*100</f>
        <v/>
      </c>
      <c r="AX217" s="82">
        <f>($J217-$H217)*100</f>
        <v/>
      </c>
      <c r="AY217" s="82">
        <f>($L217-$H217)*100</f>
        <v/>
      </c>
      <c r="AZ217" s="82">
        <f>($L217-$J217)*100</f>
        <v/>
      </c>
      <c r="BA217" s="82">
        <f>(2*$H217-$F217-$J217)*100</f>
        <v/>
      </c>
      <c r="BB217" s="82">
        <f>(2*$J217-$H217-$L217)*100</f>
        <v/>
      </c>
      <c r="BC217" s="82">
        <f>($N217-$F217)*100</f>
        <v/>
      </c>
      <c r="BD217" s="82">
        <f>($Q217-$H217)*100</f>
        <v/>
      </c>
      <c r="BE217" s="82">
        <f>($S217-$J217)*100</f>
        <v/>
      </c>
      <c r="BF217" s="82">
        <f>($V217-$L217)*100</f>
        <v/>
      </c>
      <c r="BG217" s="82">
        <f>$AG217-$AF217</f>
        <v/>
      </c>
      <c r="BH217" s="81">
        <f>IFERROR($AG217/$AF217,"")</f>
        <v/>
      </c>
      <c r="BI217" s="82">
        <f>$AJ217-$AF217</f>
        <v/>
      </c>
      <c r="BJ217" s="81">
        <f>IFERROR($AJ217/$AG217,"")</f>
        <v/>
      </c>
      <c r="BK217" s="81">
        <f>$X217</f>
        <v/>
      </c>
      <c r="BL217" s="82">
        <f>($J217-$J218)*100</f>
        <v/>
      </c>
      <c r="BM217" s="82">
        <f>($F217-$F218)*100</f>
        <v/>
      </c>
      <c r="BN217" s="82">
        <f>$AF217-$AF218</f>
        <v/>
      </c>
      <c r="BO217" s="82">
        <f>$AG217-$AG218</f>
        <v/>
      </c>
      <c r="BP217" s="82">
        <f>$AJ217-$AJ218</f>
        <v/>
      </c>
    </row>
    <row r="218">
      <c r="AR218" s="81">
        <f>($G218+($H218-$G218)*0.5)+($P218-($O218+($Q218-$O218)*0.5))</f>
        <v/>
      </c>
      <c r="AS218" s="81">
        <f>($J218+($K218-$J218)*0.5)+($T218-($S218+($U218-$S218)*0.5))</f>
        <v/>
      </c>
      <c r="AT218" s="82">
        <f>($J218-$C218)*100</f>
        <v/>
      </c>
      <c r="AU218" s="82">
        <f>($H218-$F218)*100</f>
        <v/>
      </c>
      <c r="AV218" s="82">
        <f>($J218-$F218)*100</f>
        <v/>
      </c>
      <c r="AW218" s="82">
        <f>($L218-$F218)*100</f>
        <v/>
      </c>
      <c r="AX218" s="82">
        <f>($J218-$H218)*100</f>
        <v/>
      </c>
      <c r="AY218" s="82">
        <f>($L218-$H218)*100</f>
        <v/>
      </c>
      <c r="AZ218" s="82">
        <f>($L218-$J218)*100</f>
        <v/>
      </c>
      <c r="BA218" s="82">
        <f>(2*$H218-$F218-$J218)*100</f>
        <v/>
      </c>
      <c r="BB218" s="82">
        <f>(2*$J218-$H218-$L218)*100</f>
        <v/>
      </c>
      <c r="BC218" s="82">
        <f>($N218-$F218)*100</f>
        <v/>
      </c>
      <c r="BD218" s="82">
        <f>($Q218-$H218)*100</f>
        <v/>
      </c>
      <c r="BE218" s="82">
        <f>($S218-$J218)*100</f>
        <v/>
      </c>
      <c r="BF218" s="82">
        <f>($V218-$L218)*100</f>
        <v/>
      </c>
      <c r="BG218" s="82">
        <f>$AG218-$AF218</f>
        <v/>
      </c>
      <c r="BH218" s="81">
        <f>IFERROR($AG218/$AF218,"")</f>
        <v/>
      </c>
      <c r="BI218" s="82">
        <f>$AJ218-$AF218</f>
        <v/>
      </c>
      <c r="BJ218" s="81">
        <f>IFERROR($AJ218/$AG218,"")</f>
        <v/>
      </c>
      <c r="BK218" s="81">
        <f>$X218</f>
        <v/>
      </c>
      <c r="BL218" s="82">
        <f>($J218-$J219)*100</f>
        <v/>
      </c>
      <c r="BM218" s="82">
        <f>($F218-$F219)*100</f>
        <v/>
      </c>
      <c r="BN218" s="82">
        <f>$AF218-$AF219</f>
        <v/>
      </c>
      <c r="BO218" s="82">
        <f>$AG218-$AG219</f>
        <v/>
      </c>
      <c r="BP218" s="82">
        <f>$AJ218-$AJ219</f>
        <v/>
      </c>
    </row>
    <row r="219">
      <c r="AR219" s="81">
        <f>($G219+($H219-$G219)*0.5)+($P219-($O219+($Q219-$O219)*0.5))</f>
        <v/>
      </c>
      <c r="AS219" s="81">
        <f>($J219+($K219-$J219)*0.5)+($T219-($S219+($U219-$S219)*0.5))</f>
        <v/>
      </c>
      <c r="AT219" s="82">
        <f>($J219-$C219)*100</f>
        <v/>
      </c>
      <c r="AU219" s="82">
        <f>($H219-$F219)*100</f>
        <v/>
      </c>
      <c r="AV219" s="82">
        <f>($J219-$F219)*100</f>
        <v/>
      </c>
      <c r="AW219" s="82">
        <f>($L219-$F219)*100</f>
        <v/>
      </c>
      <c r="AX219" s="82">
        <f>($J219-$H219)*100</f>
        <v/>
      </c>
      <c r="AY219" s="82">
        <f>($L219-$H219)*100</f>
        <v/>
      </c>
      <c r="AZ219" s="82">
        <f>($L219-$J219)*100</f>
        <v/>
      </c>
      <c r="BA219" s="82">
        <f>(2*$H219-$F219-$J219)*100</f>
        <v/>
      </c>
      <c r="BB219" s="82">
        <f>(2*$J219-$H219-$L219)*100</f>
        <v/>
      </c>
      <c r="BC219" s="82">
        <f>($N219-$F219)*100</f>
        <v/>
      </c>
      <c r="BD219" s="82">
        <f>($Q219-$H219)*100</f>
        <v/>
      </c>
      <c r="BE219" s="82">
        <f>($S219-$J219)*100</f>
        <v/>
      </c>
      <c r="BF219" s="82">
        <f>($V219-$L219)*100</f>
        <v/>
      </c>
      <c r="BG219" s="82">
        <f>$AG219-$AF219</f>
        <v/>
      </c>
      <c r="BH219" s="81">
        <f>IFERROR($AG219/$AF219,"")</f>
        <v/>
      </c>
      <c r="BI219" s="82">
        <f>$AJ219-$AF219</f>
        <v/>
      </c>
      <c r="BJ219" s="81">
        <f>IFERROR($AJ219/$AG219,"")</f>
        <v/>
      </c>
      <c r="BK219" s="81">
        <f>$X219</f>
        <v/>
      </c>
      <c r="BL219" s="82">
        <f>($J219-$J220)*100</f>
        <v/>
      </c>
      <c r="BM219" s="82">
        <f>($F219-$F220)*100</f>
        <v/>
      </c>
      <c r="BN219" s="82">
        <f>$AF219-$AF220</f>
        <v/>
      </c>
      <c r="BO219" s="82">
        <f>$AG219-$AG220</f>
        <v/>
      </c>
      <c r="BP219" s="82">
        <f>$AJ219-$AJ220</f>
        <v/>
      </c>
    </row>
    <row r="220">
      <c r="AR220" s="81">
        <f>($G220+($H220-$G220)*0.5)+($P220-($O220+($Q220-$O220)*0.5))</f>
        <v/>
      </c>
      <c r="AS220" s="81">
        <f>($J220+($K220-$J220)*0.5)+($T220-($S220+($U220-$S220)*0.5))</f>
        <v/>
      </c>
      <c r="AT220" s="82">
        <f>($J220-$C220)*100</f>
        <v/>
      </c>
      <c r="AU220" s="82">
        <f>($H220-$F220)*100</f>
        <v/>
      </c>
      <c r="AV220" s="82">
        <f>($J220-$F220)*100</f>
        <v/>
      </c>
      <c r="AW220" s="82">
        <f>($L220-$F220)*100</f>
        <v/>
      </c>
      <c r="AX220" s="82">
        <f>($J220-$H220)*100</f>
        <v/>
      </c>
      <c r="AY220" s="82">
        <f>($L220-$H220)*100</f>
        <v/>
      </c>
      <c r="AZ220" s="82">
        <f>($L220-$J220)*100</f>
        <v/>
      </c>
      <c r="BA220" s="82">
        <f>(2*$H220-$F220-$J220)*100</f>
        <v/>
      </c>
      <c r="BB220" s="82">
        <f>(2*$J220-$H220-$L220)*100</f>
        <v/>
      </c>
      <c r="BC220" s="82">
        <f>($N220-$F220)*100</f>
        <v/>
      </c>
      <c r="BD220" s="82">
        <f>($Q220-$H220)*100</f>
        <v/>
      </c>
      <c r="BE220" s="82">
        <f>($S220-$J220)*100</f>
        <v/>
      </c>
      <c r="BF220" s="82">
        <f>($V220-$L220)*100</f>
        <v/>
      </c>
      <c r="BG220" s="82">
        <f>$AG220-$AF220</f>
        <v/>
      </c>
      <c r="BH220" s="81">
        <f>IFERROR($AG220/$AF220,"")</f>
        <v/>
      </c>
      <c r="BI220" s="82">
        <f>$AJ220-$AF220</f>
        <v/>
      </c>
      <c r="BJ220" s="81">
        <f>IFERROR($AJ220/$AG220,"")</f>
        <v/>
      </c>
      <c r="BK220" s="81">
        <f>$X220</f>
        <v/>
      </c>
      <c r="BL220" s="82">
        <f>($J220-$J221)*100</f>
        <v/>
      </c>
      <c r="BM220" s="82">
        <f>($F220-$F221)*100</f>
        <v/>
      </c>
      <c r="BN220" s="82">
        <f>$AF220-$AF221</f>
        <v/>
      </c>
      <c r="BO220" s="82">
        <f>$AG220-$AG221</f>
        <v/>
      </c>
      <c r="BP220" s="82">
        <f>$AJ220-$AJ221</f>
        <v/>
      </c>
    </row>
    <row r="221">
      <c r="AR221" s="81">
        <f>($G221+($H221-$G221)*0.5)+($P221-($O221+($Q221-$O221)*0.5))</f>
        <v/>
      </c>
      <c r="AS221" s="81">
        <f>($J221+($K221-$J221)*0.5)+($T221-($S221+($U221-$S221)*0.5))</f>
        <v/>
      </c>
      <c r="AT221" s="82">
        <f>($J221-$C221)*100</f>
        <v/>
      </c>
      <c r="AU221" s="82">
        <f>($H221-$F221)*100</f>
        <v/>
      </c>
      <c r="AV221" s="82">
        <f>($J221-$F221)*100</f>
        <v/>
      </c>
      <c r="AW221" s="82">
        <f>($L221-$F221)*100</f>
        <v/>
      </c>
      <c r="AX221" s="82">
        <f>($J221-$H221)*100</f>
        <v/>
      </c>
      <c r="AY221" s="82">
        <f>($L221-$H221)*100</f>
        <v/>
      </c>
      <c r="AZ221" s="82">
        <f>($L221-$J221)*100</f>
        <v/>
      </c>
      <c r="BA221" s="82">
        <f>(2*$H221-$F221-$J221)*100</f>
        <v/>
      </c>
      <c r="BB221" s="82">
        <f>(2*$J221-$H221-$L221)*100</f>
        <v/>
      </c>
      <c r="BC221" s="82">
        <f>($N221-$F221)*100</f>
        <v/>
      </c>
      <c r="BD221" s="82">
        <f>($Q221-$H221)*100</f>
        <v/>
      </c>
      <c r="BE221" s="82">
        <f>($S221-$J221)*100</f>
        <v/>
      </c>
      <c r="BF221" s="82">
        <f>($V221-$L221)*100</f>
        <v/>
      </c>
      <c r="BG221" s="82">
        <f>$AG221-$AF221</f>
        <v/>
      </c>
      <c r="BH221" s="81">
        <f>IFERROR($AG221/$AF221,"")</f>
        <v/>
      </c>
      <c r="BI221" s="82">
        <f>$AJ221-$AF221</f>
        <v/>
      </c>
      <c r="BJ221" s="81">
        <f>IFERROR($AJ221/$AG221,"")</f>
        <v/>
      </c>
      <c r="BK221" s="81">
        <f>$X221</f>
        <v/>
      </c>
      <c r="BL221" s="82">
        <f>($J221-$J222)*100</f>
        <v/>
      </c>
      <c r="BM221" s="82">
        <f>($F221-$F222)*100</f>
        <v/>
      </c>
      <c r="BN221" s="82">
        <f>$AF221-$AF222</f>
        <v/>
      </c>
      <c r="BO221" s="82">
        <f>$AG221-$AG222</f>
        <v/>
      </c>
      <c r="BP221" s="82">
        <f>$AJ221-$AJ222</f>
        <v/>
      </c>
    </row>
    <row r="222">
      <c r="AR222" s="81">
        <f>($G222+($H222-$G222)*0.5)+($P222-($O222+($Q222-$O222)*0.5))</f>
        <v/>
      </c>
      <c r="AS222" s="81">
        <f>($J222+($K222-$J222)*0.5)+($T222-($S222+($U222-$S222)*0.5))</f>
        <v/>
      </c>
      <c r="AT222" s="82">
        <f>($J222-$C222)*100</f>
        <v/>
      </c>
      <c r="AU222" s="82">
        <f>($H222-$F222)*100</f>
        <v/>
      </c>
      <c r="AV222" s="82">
        <f>($J222-$F222)*100</f>
        <v/>
      </c>
      <c r="AW222" s="82">
        <f>($L222-$F222)*100</f>
        <v/>
      </c>
      <c r="AX222" s="82">
        <f>($J222-$H222)*100</f>
        <v/>
      </c>
      <c r="AY222" s="82">
        <f>($L222-$H222)*100</f>
        <v/>
      </c>
      <c r="AZ222" s="82">
        <f>($L222-$J222)*100</f>
        <v/>
      </c>
      <c r="BA222" s="82">
        <f>(2*$H222-$F222-$J222)*100</f>
        <v/>
      </c>
      <c r="BB222" s="82">
        <f>(2*$J222-$H222-$L222)*100</f>
        <v/>
      </c>
      <c r="BC222" s="82">
        <f>($N222-$F222)*100</f>
        <v/>
      </c>
      <c r="BD222" s="82">
        <f>($Q222-$H222)*100</f>
        <v/>
      </c>
      <c r="BE222" s="82">
        <f>($S222-$J222)*100</f>
        <v/>
      </c>
      <c r="BF222" s="82">
        <f>($V222-$L222)*100</f>
        <v/>
      </c>
      <c r="BG222" s="82">
        <f>$AG222-$AF222</f>
        <v/>
      </c>
      <c r="BH222" s="81">
        <f>IFERROR($AG222/$AF222,"")</f>
        <v/>
      </c>
      <c r="BI222" s="82">
        <f>$AJ222-$AF222</f>
        <v/>
      </c>
      <c r="BJ222" s="81">
        <f>IFERROR($AJ222/$AG222,"")</f>
        <v/>
      </c>
      <c r="BK222" s="81">
        <f>$X222</f>
        <v/>
      </c>
      <c r="BL222" s="82">
        <f>($J222-$J223)*100</f>
        <v/>
      </c>
      <c r="BM222" s="82">
        <f>($F222-$F223)*100</f>
        <v/>
      </c>
      <c r="BN222" s="82">
        <f>$AF222-$AF223</f>
        <v/>
      </c>
      <c r="BO222" s="82">
        <f>$AG222-$AG223</f>
        <v/>
      </c>
      <c r="BP222" s="82">
        <f>$AJ222-$AJ223</f>
        <v/>
      </c>
    </row>
    <row r="223">
      <c r="AR223" s="81">
        <f>($G223+($H223-$G223)*0.5)+($P223-($O223+($Q223-$O223)*0.5))</f>
        <v/>
      </c>
      <c r="AS223" s="81">
        <f>($J223+($K223-$J223)*0.5)+($T223-($S223+($U223-$S223)*0.5))</f>
        <v/>
      </c>
      <c r="AT223" s="82">
        <f>($J223-$C223)*100</f>
        <v/>
      </c>
      <c r="AU223" s="82">
        <f>($H223-$F223)*100</f>
        <v/>
      </c>
      <c r="AV223" s="82">
        <f>($J223-$F223)*100</f>
        <v/>
      </c>
      <c r="AW223" s="82">
        <f>($L223-$F223)*100</f>
        <v/>
      </c>
      <c r="AX223" s="82">
        <f>($J223-$H223)*100</f>
        <v/>
      </c>
      <c r="AY223" s="82">
        <f>($L223-$H223)*100</f>
        <v/>
      </c>
      <c r="AZ223" s="82">
        <f>($L223-$J223)*100</f>
        <v/>
      </c>
      <c r="BA223" s="82">
        <f>(2*$H223-$F223-$J223)*100</f>
        <v/>
      </c>
      <c r="BB223" s="82">
        <f>(2*$J223-$H223-$L223)*100</f>
        <v/>
      </c>
      <c r="BC223" s="82">
        <f>($N223-$F223)*100</f>
        <v/>
      </c>
      <c r="BD223" s="82">
        <f>($Q223-$H223)*100</f>
        <v/>
      </c>
      <c r="BE223" s="82">
        <f>($S223-$J223)*100</f>
        <v/>
      </c>
      <c r="BF223" s="82">
        <f>($V223-$L223)*100</f>
        <v/>
      </c>
      <c r="BG223" s="82">
        <f>$AG223-$AF223</f>
        <v/>
      </c>
      <c r="BH223" s="81">
        <f>IFERROR($AG223/$AF223,"")</f>
        <v/>
      </c>
      <c r="BI223" s="82">
        <f>$AJ223-$AF223</f>
        <v/>
      </c>
      <c r="BJ223" s="81">
        <f>IFERROR($AJ223/$AG223,"")</f>
        <v/>
      </c>
      <c r="BK223" s="81">
        <f>$X223</f>
        <v/>
      </c>
      <c r="BL223" s="82">
        <f>($J223-$J224)*100</f>
        <v/>
      </c>
      <c r="BM223" s="82">
        <f>($F223-$F224)*100</f>
        <v/>
      </c>
      <c r="BN223" s="82">
        <f>$AF223-$AF224</f>
        <v/>
      </c>
      <c r="BO223" s="82">
        <f>$AG223-$AG224</f>
        <v/>
      </c>
      <c r="BP223" s="82">
        <f>$AJ223-$AJ224</f>
        <v/>
      </c>
    </row>
    <row r="224">
      <c r="AR224" s="81">
        <f>($G224+($H224-$G224)*0.5)+($P224-($O224+($Q224-$O224)*0.5))</f>
        <v/>
      </c>
      <c r="AS224" s="81">
        <f>($J224+($K224-$J224)*0.5)+($T224-($S224+($U224-$S224)*0.5))</f>
        <v/>
      </c>
      <c r="AT224" s="82">
        <f>($J224-$C224)*100</f>
        <v/>
      </c>
      <c r="AU224" s="82">
        <f>($H224-$F224)*100</f>
        <v/>
      </c>
      <c r="AV224" s="82">
        <f>($J224-$F224)*100</f>
        <v/>
      </c>
      <c r="AW224" s="82">
        <f>($L224-$F224)*100</f>
        <v/>
      </c>
      <c r="AX224" s="82">
        <f>($J224-$H224)*100</f>
        <v/>
      </c>
      <c r="AY224" s="82">
        <f>($L224-$H224)*100</f>
        <v/>
      </c>
      <c r="AZ224" s="82">
        <f>($L224-$J224)*100</f>
        <v/>
      </c>
      <c r="BA224" s="82">
        <f>(2*$H224-$F224-$J224)*100</f>
        <v/>
      </c>
      <c r="BB224" s="82">
        <f>(2*$J224-$H224-$L224)*100</f>
        <v/>
      </c>
      <c r="BC224" s="82">
        <f>($N224-$F224)*100</f>
        <v/>
      </c>
      <c r="BD224" s="82">
        <f>($Q224-$H224)*100</f>
        <v/>
      </c>
      <c r="BE224" s="82">
        <f>($S224-$J224)*100</f>
        <v/>
      </c>
      <c r="BF224" s="82">
        <f>($V224-$L224)*100</f>
        <v/>
      </c>
      <c r="BG224" s="82">
        <f>$AG224-$AF224</f>
        <v/>
      </c>
      <c r="BH224" s="81">
        <f>IFERROR($AG224/$AF224,"")</f>
        <v/>
      </c>
      <c r="BI224" s="82">
        <f>$AJ224-$AF224</f>
        <v/>
      </c>
      <c r="BJ224" s="81">
        <f>IFERROR($AJ224/$AG224,"")</f>
        <v/>
      </c>
      <c r="BK224" s="81">
        <f>$X224</f>
        <v/>
      </c>
      <c r="BL224" s="82">
        <f>($J224-$J225)*100</f>
        <v/>
      </c>
      <c r="BM224" s="82">
        <f>($F224-$F225)*100</f>
        <v/>
      </c>
      <c r="BN224" s="82">
        <f>$AF224-$AF225</f>
        <v/>
      </c>
      <c r="BO224" s="82">
        <f>$AG224-$AG225</f>
        <v/>
      </c>
      <c r="BP224" s="82">
        <f>$AJ224-$AJ225</f>
        <v/>
      </c>
    </row>
    <row r="225">
      <c r="AR225" s="81">
        <f>($G225+($H225-$G225)*0.5)+($P225-($O225+($Q225-$O225)*0.5))</f>
        <v/>
      </c>
      <c r="AS225" s="81">
        <f>($J225+($K225-$J225)*0.5)+($T225-($S225+($U225-$S225)*0.5))</f>
        <v/>
      </c>
      <c r="AT225" s="82">
        <f>($J225-$C225)*100</f>
        <v/>
      </c>
      <c r="AU225" s="82">
        <f>($H225-$F225)*100</f>
        <v/>
      </c>
      <c r="AV225" s="82">
        <f>($J225-$F225)*100</f>
        <v/>
      </c>
      <c r="AW225" s="82">
        <f>($L225-$F225)*100</f>
        <v/>
      </c>
      <c r="AX225" s="82">
        <f>($J225-$H225)*100</f>
        <v/>
      </c>
      <c r="AY225" s="82">
        <f>($L225-$H225)*100</f>
        <v/>
      </c>
      <c r="AZ225" s="82">
        <f>($L225-$J225)*100</f>
        <v/>
      </c>
      <c r="BA225" s="82">
        <f>(2*$H225-$F225-$J225)*100</f>
        <v/>
      </c>
      <c r="BB225" s="82">
        <f>(2*$J225-$H225-$L225)*100</f>
        <v/>
      </c>
      <c r="BC225" s="82">
        <f>($N225-$F225)*100</f>
        <v/>
      </c>
      <c r="BD225" s="82">
        <f>($Q225-$H225)*100</f>
        <v/>
      </c>
      <c r="BE225" s="82">
        <f>($S225-$J225)*100</f>
        <v/>
      </c>
      <c r="BF225" s="82">
        <f>($V225-$L225)*100</f>
        <v/>
      </c>
      <c r="BG225" s="82">
        <f>$AG225-$AF225</f>
        <v/>
      </c>
      <c r="BH225" s="81">
        <f>IFERROR($AG225/$AF225,"")</f>
        <v/>
      </c>
      <c r="BI225" s="82">
        <f>$AJ225-$AF225</f>
        <v/>
      </c>
      <c r="BJ225" s="81">
        <f>IFERROR($AJ225/$AG225,"")</f>
        <v/>
      </c>
      <c r="BK225" s="81">
        <f>$X225</f>
        <v/>
      </c>
      <c r="BL225" s="82">
        <f>($J225-$J226)*100</f>
        <v/>
      </c>
      <c r="BM225" s="82">
        <f>($F225-$F226)*100</f>
        <v/>
      </c>
      <c r="BN225" s="82">
        <f>$AF225-$AF226</f>
        <v/>
      </c>
      <c r="BO225" s="82">
        <f>$AG225-$AG226</f>
        <v/>
      </c>
      <c r="BP225" s="82">
        <f>$AJ225-$AJ226</f>
        <v/>
      </c>
    </row>
    <row r="226">
      <c r="AR226" s="81">
        <f>($G226+($H226-$G226)*0.5)+($P226-($O226+($Q226-$O226)*0.5))</f>
        <v/>
      </c>
      <c r="AS226" s="81">
        <f>($J226+($K226-$J226)*0.5)+($T226-($S226+($U226-$S226)*0.5))</f>
        <v/>
      </c>
      <c r="AT226" s="82">
        <f>($J226-$C226)*100</f>
        <v/>
      </c>
      <c r="AU226" s="82">
        <f>($H226-$F226)*100</f>
        <v/>
      </c>
      <c r="AV226" s="82">
        <f>($J226-$F226)*100</f>
        <v/>
      </c>
      <c r="AW226" s="82">
        <f>($L226-$F226)*100</f>
        <v/>
      </c>
      <c r="AX226" s="82">
        <f>($J226-$H226)*100</f>
        <v/>
      </c>
      <c r="AY226" s="82">
        <f>($L226-$H226)*100</f>
        <v/>
      </c>
      <c r="AZ226" s="82">
        <f>($L226-$J226)*100</f>
        <v/>
      </c>
      <c r="BA226" s="82">
        <f>(2*$H226-$F226-$J226)*100</f>
        <v/>
      </c>
      <c r="BB226" s="82">
        <f>(2*$J226-$H226-$L226)*100</f>
        <v/>
      </c>
      <c r="BC226" s="82">
        <f>($N226-$F226)*100</f>
        <v/>
      </c>
      <c r="BD226" s="82">
        <f>($Q226-$H226)*100</f>
        <v/>
      </c>
      <c r="BE226" s="82">
        <f>($S226-$J226)*100</f>
        <v/>
      </c>
      <c r="BF226" s="82">
        <f>($V226-$L226)*100</f>
        <v/>
      </c>
      <c r="BG226" s="82">
        <f>$AG226-$AF226</f>
        <v/>
      </c>
      <c r="BH226" s="81">
        <f>IFERROR($AG226/$AF226,"")</f>
        <v/>
      </c>
      <c r="BI226" s="82">
        <f>$AJ226-$AF226</f>
        <v/>
      </c>
      <c r="BJ226" s="81">
        <f>IFERROR($AJ226/$AG226,"")</f>
        <v/>
      </c>
      <c r="BK226" s="81">
        <f>$X226</f>
        <v/>
      </c>
      <c r="BL226" s="82">
        <f>($J226-$J227)*100</f>
        <v/>
      </c>
      <c r="BM226" s="82">
        <f>($F226-$F227)*100</f>
        <v/>
      </c>
      <c r="BN226" s="82">
        <f>$AF226-$AF227</f>
        <v/>
      </c>
      <c r="BO226" s="82">
        <f>$AG226-$AG227</f>
        <v/>
      </c>
      <c r="BP226" s="82">
        <f>$AJ226-$AJ227</f>
        <v/>
      </c>
    </row>
    <row r="227">
      <c r="AR227" s="81">
        <f>($G227+($H227-$G227)*0.5)+($P227-($O227+($Q227-$O227)*0.5))</f>
        <v/>
      </c>
      <c r="AS227" s="81">
        <f>($J227+($K227-$J227)*0.5)+($T227-($S227+($U227-$S227)*0.5))</f>
        <v/>
      </c>
      <c r="AT227" s="82">
        <f>($J227-$C227)*100</f>
        <v/>
      </c>
      <c r="AU227" s="82">
        <f>($H227-$F227)*100</f>
        <v/>
      </c>
      <c r="AV227" s="82">
        <f>($J227-$F227)*100</f>
        <v/>
      </c>
      <c r="AW227" s="82">
        <f>($L227-$F227)*100</f>
        <v/>
      </c>
      <c r="AX227" s="82">
        <f>($J227-$H227)*100</f>
        <v/>
      </c>
      <c r="AY227" s="82">
        <f>($L227-$H227)*100</f>
        <v/>
      </c>
      <c r="AZ227" s="82">
        <f>($L227-$J227)*100</f>
        <v/>
      </c>
      <c r="BA227" s="82">
        <f>(2*$H227-$F227-$J227)*100</f>
        <v/>
      </c>
      <c r="BB227" s="82">
        <f>(2*$J227-$H227-$L227)*100</f>
        <v/>
      </c>
      <c r="BC227" s="82">
        <f>($N227-$F227)*100</f>
        <v/>
      </c>
      <c r="BD227" s="82">
        <f>($Q227-$H227)*100</f>
        <v/>
      </c>
      <c r="BE227" s="82">
        <f>($S227-$J227)*100</f>
        <v/>
      </c>
      <c r="BF227" s="82">
        <f>($V227-$L227)*100</f>
        <v/>
      </c>
      <c r="BG227" s="82">
        <f>$AG227-$AF227</f>
        <v/>
      </c>
      <c r="BH227" s="81">
        <f>IFERROR($AG227/$AF227,"")</f>
        <v/>
      </c>
      <c r="BI227" s="82">
        <f>$AJ227-$AF227</f>
        <v/>
      </c>
      <c r="BJ227" s="81">
        <f>IFERROR($AJ227/$AG227,"")</f>
        <v/>
      </c>
      <c r="BK227" s="81">
        <f>$X227</f>
        <v/>
      </c>
      <c r="BL227" s="82">
        <f>($J227-$J228)*100</f>
        <v/>
      </c>
      <c r="BM227" s="82">
        <f>($F227-$F228)*100</f>
        <v/>
      </c>
      <c r="BN227" s="82">
        <f>$AF227-$AF228</f>
        <v/>
      </c>
      <c r="BO227" s="82">
        <f>$AG227-$AG228</f>
        <v/>
      </c>
      <c r="BP227" s="82">
        <f>$AJ227-$AJ228</f>
        <v/>
      </c>
    </row>
    <row r="228">
      <c r="AR228" s="81">
        <f>($G228+($H228-$G228)*0.5)+($P228-($O228+($Q228-$O228)*0.5))</f>
        <v/>
      </c>
      <c r="AS228" s="81">
        <f>($J228+($K228-$J228)*0.5)+($T228-($S228+($U228-$S228)*0.5))</f>
        <v/>
      </c>
      <c r="AT228" s="82">
        <f>($J228-$C228)*100</f>
        <v/>
      </c>
      <c r="AU228" s="82">
        <f>($H228-$F228)*100</f>
        <v/>
      </c>
      <c r="AV228" s="82">
        <f>($J228-$F228)*100</f>
        <v/>
      </c>
      <c r="AW228" s="82">
        <f>($L228-$F228)*100</f>
        <v/>
      </c>
      <c r="AX228" s="82">
        <f>($J228-$H228)*100</f>
        <v/>
      </c>
      <c r="AY228" s="82">
        <f>($L228-$H228)*100</f>
        <v/>
      </c>
      <c r="AZ228" s="82">
        <f>($L228-$J228)*100</f>
        <v/>
      </c>
      <c r="BA228" s="82">
        <f>(2*$H228-$F228-$J228)*100</f>
        <v/>
      </c>
      <c r="BB228" s="82">
        <f>(2*$J228-$H228-$L228)*100</f>
        <v/>
      </c>
      <c r="BC228" s="82">
        <f>($N228-$F228)*100</f>
        <v/>
      </c>
      <c r="BD228" s="82">
        <f>($Q228-$H228)*100</f>
        <v/>
      </c>
      <c r="BE228" s="82">
        <f>($S228-$J228)*100</f>
        <v/>
      </c>
      <c r="BF228" s="82">
        <f>($V228-$L228)*100</f>
        <v/>
      </c>
      <c r="BG228" s="82">
        <f>$AG228-$AF228</f>
        <v/>
      </c>
      <c r="BH228" s="81">
        <f>IFERROR($AG228/$AF228,"")</f>
        <v/>
      </c>
      <c r="BI228" s="82">
        <f>$AJ228-$AF228</f>
        <v/>
      </c>
      <c r="BJ228" s="81">
        <f>IFERROR($AJ228/$AG228,"")</f>
        <v/>
      </c>
      <c r="BK228" s="81">
        <f>$X228</f>
        <v/>
      </c>
      <c r="BL228" s="82">
        <f>($J228-$J229)*100</f>
        <v/>
      </c>
      <c r="BM228" s="82">
        <f>($F228-$F229)*100</f>
        <v/>
      </c>
      <c r="BN228" s="82">
        <f>$AF228-$AF229</f>
        <v/>
      </c>
      <c r="BO228" s="82">
        <f>$AG228-$AG229</f>
        <v/>
      </c>
      <c r="BP228" s="82">
        <f>$AJ228-$AJ229</f>
        <v/>
      </c>
    </row>
    <row r="229">
      <c r="AR229" s="81">
        <f>($G229+($H229-$G229)*0.5)+($P229-($O229+($Q229-$O229)*0.5))</f>
        <v/>
      </c>
      <c r="AS229" s="81">
        <f>($J229+($K229-$J229)*0.5)+($T229-($S229+($U229-$S229)*0.5))</f>
        <v/>
      </c>
      <c r="AT229" s="82">
        <f>($J229-$C229)*100</f>
        <v/>
      </c>
      <c r="AU229" s="82">
        <f>($H229-$F229)*100</f>
        <v/>
      </c>
      <c r="AV229" s="82">
        <f>($J229-$F229)*100</f>
        <v/>
      </c>
      <c r="AW229" s="82">
        <f>($L229-$F229)*100</f>
        <v/>
      </c>
      <c r="AX229" s="82">
        <f>($J229-$H229)*100</f>
        <v/>
      </c>
      <c r="AY229" s="82">
        <f>($L229-$H229)*100</f>
        <v/>
      </c>
      <c r="AZ229" s="82">
        <f>($L229-$J229)*100</f>
        <v/>
      </c>
      <c r="BA229" s="82">
        <f>(2*$H229-$F229-$J229)*100</f>
        <v/>
      </c>
      <c r="BB229" s="82">
        <f>(2*$J229-$H229-$L229)*100</f>
        <v/>
      </c>
      <c r="BC229" s="82">
        <f>($N229-$F229)*100</f>
        <v/>
      </c>
      <c r="BD229" s="82">
        <f>($Q229-$H229)*100</f>
        <v/>
      </c>
      <c r="BE229" s="82">
        <f>($S229-$J229)*100</f>
        <v/>
      </c>
      <c r="BF229" s="82">
        <f>($V229-$L229)*100</f>
        <v/>
      </c>
      <c r="BG229" s="82">
        <f>$AG229-$AF229</f>
        <v/>
      </c>
      <c r="BH229" s="81">
        <f>IFERROR($AG229/$AF229,"")</f>
        <v/>
      </c>
      <c r="BI229" s="82">
        <f>$AJ229-$AF229</f>
        <v/>
      </c>
      <c r="BJ229" s="81">
        <f>IFERROR($AJ229/$AG229,"")</f>
        <v/>
      </c>
      <c r="BK229" s="81">
        <f>$X229</f>
        <v/>
      </c>
      <c r="BL229" s="82">
        <f>($J229-$J230)*100</f>
        <v/>
      </c>
      <c r="BM229" s="82">
        <f>($F229-$F230)*100</f>
        <v/>
      </c>
      <c r="BN229" s="82">
        <f>$AF229-$AF230</f>
        <v/>
      </c>
      <c r="BO229" s="82">
        <f>$AG229-$AG230</f>
        <v/>
      </c>
      <c r="BP229" s="82">
        <f>$AJ229-$AJ230</f>
        <v/>
      </c>
    </row>
    <row r="230">
      <c r="AR230" s="81">
        <f>($G230+($H230-$G230)*0.5)+($P230-($O230+($Q230-$O230)*0.5))</f>
        <v/>
      </c>
      <c r="AS230" s="81">
        <f>($J230+($K230-$J230)*0.5)+($T230-($S230+($U230-$S230)*0.5))</f>
        <v/>
      </c>
      <c r="AT230" s="82">
        <f>($J230-$C230)*100</f>
        <v/>
      </c>
      <c r="AU230" s="82">
        <f>($H230-$F230)*100</f>
        <v/>
      </c>
      <c r="AV230" s="82">
        <f>($J230-$F230)*100</f>
        <v/>
      </c>
      <c r="AW230" s="82">
        <f>($L230-$F230)*100</f>
        <v/>
      </c>
      <c r="AX230" s="82">
        <f>($J230-$H230)*100</f>
        <v/>
      </c>
      <c r="AY230" s="82">
        <f>($L230-$H230)*100</f>
        <v/>
      </c>
      <c r="AZ230" s="82">
        <f>($L230-$J230)*100</f>
        <v/>
      </c>
      <c r="BA230" s="82">
        <f>(2*$H230-$F230-$J230)*100</f>
        <v/>
      </c>
      <c r="BB230" s="82">
        <f>(2*$J230-$H230-$L230)*100</f>
        <v/>
      </c>
      <c r="BC230" s="82">
        <f>($N230-$F230)*100</f>
        <v/>
      </c>
      <c r="BD230" s="82">
        <f>($Q230-$H230)*100</f>
        <v/>
      </c>
      <c r="BE230" s="82">
        <f>($S230-$J230)*100</f>
        <v/>
      </c>
      <c r="BF230" s="82">
        <f>($V230-$L230)*100</f>
        <v/>
      </c>
      <c r="BG230" s="82">
        <f>$AG230-$AF230</f>
        <v/>
      </c>
      <c r="BH230" s="81">
        <f>IFERROR($AG230/$AF230,"")</f>
        <v/>
      </c>
      <c r="BI230" s="82">
        <f>$AJ230-$AF230</f>
        <v/>
      </c>
      <c r="BJ230" s="81">
        <f>IFERROR($AJ230/$AG230,"")</f>
        <v/>
      </c>
      <c r="BK230" s="81">
        <f>$X230</f>
        <v/>
      </c>
      <c r="BL230" s="82">
        <f>($J230-$J231)*100</f>
        <v/>
      </c>
      <c r="BM230" s="82">
        <f>($F230-$F231)*100</f>
        <v/>
      </c>
      <c r="BN230" s="82">
        <f>$AF230-$AF231</f>
        <v/>
      </c>
      <c r="BO230" s="82">
        <f>$AG230-$AG231</f>
        <v/>
      </c>
      <c r="BP230" s="82">
        <f>$AJ230-$AJ231</f>
        <v/>
      </c>
    </row>
    <row r="231">
      <c r="AR231" s="81">
        <f>($G231+($H231-$G231)*0.5)+($P231-($O231+($Q231-$O231)*0.5))</f>
        <v/>
      </c>
      <c r="AS231" s="81">
        <f>($J231+($K231-$J231)*0.5)+($T231-($S231+($U231-$S231)*0.5))</f>
        <v/>
      </c>
      <c r="AT231" s="82">
        <f>($J231-$C231)*100</f>
        <v/>
      </c>
      <c r="AU231" s="82">
        <f>($H231-$F231)*100</f>
        <v/>
      </c>
      <c r="AV231" s="82">
        <f>($J231-$F231)*100</f>
        <v/>
      </c>
      <c r="AW231" s="82">
        <f>($L231-$F231)*100</f>
        <v/>
      </c>
      <c r="AX231" s="82">
        <f>($J231-$H231)*100</f>
        <v/>
      </c>
      <c r="AY231" s="82">
        <f>($L231-$H231)*100</f>
        <v/>
      </c>
      <c r="AZ231" s="82">
        <f>($L231-$J231)*100</f>
        <v/>
      </c>
      <c r="BA231" s="82">
        <f>(2*$H231-$F231-$J231)*100</f>
        <v/>
      </c>
      <c r="BB231" s="82">
        <f>(2*$J231-$H231-$L231)*100</f>
        <v/>
      </c>
      <c r="BC231" s="82">
        <f>($N231-$F231)*100</f>
        <v/>
      </c>
      <c r="BD231" s="82">
        <f>($Q231-$H231)*100</f>
        <v/>
      </c>
      <c r="BE231" s="82">
        <f>($S231-$J231)*100</f>
        <v/>
      </c>
      <c r="BF231" s="82">
        <f>($V231-$L231)*100</f>
        <v/>
      </c>
      <c r="BG231" s="82">
        <f>$AG231-$AF231</f>
        <v/>
      </c>
      <c r="BH231" s="81">
        <f>IFERROR($AG231/$AF231,"")</f>
        <v/>
      </c>
      <c r="BI231" s="82">
        <f>$AJ231-$AF231</f>
        <v/>
      </c>
      <c r="BJ231" s="81">
        <f>IFERROR($AJ231/$AG231,"")</f>
        <v/>
      </c>
      <c r="BK231" s="81">
        <f>$X231</f>
        <v/>
      </c>
      <c r="BL231" s="82">
        <f>($J231-$J232)*100</f>
        <v/>
      </c>
      <c r="BM231" s="82">
        <f>($F231-$F232)*100</f>
        <v/>
      </c>
      <c r="BN231" s="82">
        <f>$AF231-$AF232</f>
        <v/>
      </c>
      <c r="BO231" s="82">
        <f>$AG231-$AG232</f>
        <v/>
      </c>
      <c r="BP231" s="82">
        <f>$AJ231-$AJ232</f>
        <v/>
      </c>
    </row>
    <row r="232">
      <c r="AR232" s="81">
        <f>($G232+($H232-$G232)*0.5)+($P232-($O232+($Q232-$O232)*0.5))</f>
        <v/>
      </c>
      <c r="AS232" s="81">
        <f>($J232+($K232-$J232)*0.5)+($T232-($S232+($U232-$S232)*0.5))</f>
        <v/>
      </c>
      <c r="AT232" s="82">
        <f>($J232-$C232)*100</f>
        <v/>
      </c>
      <c r="AU232" s="82">
        <f>($H232-$F232)*100</f>
        <v/>
      </c>
      <c r="AV232" s="82">
        <f>($J232-$F232)*100</f>
        <v/>
      </c>
      <c r="AW232" s="82">
        <f>($L232-$F232)*100</f>
        <v/>
      </c>
      <c r="AX232" s="82">
        <f>($J232-$H232)*100</f>
        <v/>
      </c>
      <c r="AY232" s="82">
        <f>($L232-$H232)*100</f>
        <v/>
      </c>
      <c r="AZ232" s="82">
        <f>($L232-$J232)*100</f>
        <v/>
      </c>
      <c r="BA232" s="82">
        <f>(2*$H232-$F232-$J232)*100</f>
        <v/>
      </c>
      <c r="BB232" s="82">
        <f>(2*$J232-$H232-$L232)*100</f>
        <v/>
      </c>
      <c r="BC232" s="82">
        <f>($N232-$F232)*100</f>
        <v/>
      </c>
      <c r="BD232" s="82">
        <f>($Q232-$H232)*100</f>
        <v/>
      </c>
      <c r="BE232" s="82">
        <f>($S232-$J232)*100</f>
        <v/>
      </c>
      <c r="BF232" s="82">
        <f>($V232-$L232)*100</f>
        <v/>
      </c>
      <c r="BG232" s="82">
        <f>$AG232-$AF232</f>
        <v/>
      </c>
      <c r="BH232" s="81">
        <f>IFERROR($AG232/$AF232,"")</f>
        <v/>
      </c>
      <c r="BI232" s="82">
        <f>$AJ232-$AF232</f>
        <v/>
      </c>
      <c r="BJ232" s="81">
        <f>IFERROR($AJ232/$AG232,"")</f>
        <v/>
      </c>
      <c r="BK232" s="81">
        <f>$X232</f>
        <v/>
      </c>
      <c r="BL232" s="82">
        <f>($J232-$J233)*100</f>
        <v/>
      </c>
      <c r="BM232" s="82">
        <f>($F232-$F233)*100</f>
        <v/>
      </c>
      <c r="BN232" s="82">
        <f>$AF232-$AF233</f>
        <v/>
      </c>
      <c r="BO232" s="82">
        <f>$AG232-$AG233</f>
        <v/>
      </c>
      <c r="BP232" s="82">
        <f>$AJ232-$AJ233</f>
        <v/>
      </c>
    </row>
    <row r="233">
      <c r="AR233" s="81">
        <f>($G233+($H233-$G233)*0.5)+($P233-($O233+($Q233-$O233)*0.5))</f>
        <v/>
      </c>
      <c r="AS233" s="81">
        <f>($J233+($K233-$J233)*0.5)+($T233-($S233+($U233-$S233)*0.5))</f>
        <v/>
      </c>
      <c r="AT233" s="82">
        <f>($J233-$C233)*100</f>
        <v/>
      </c>
      <c r="AU233" s="82">
        <f>($H233-$F233)*100</f>
        <v/>
      </c>
      <c r="AV233" s="82">
        <f>($J233-$F233)*100</f>
        <v/>
      </c>
      <c r="AW233" s="82">
        <f>($L233-$F233)*100</f>
        <v/>
      </c>
      <c r="AX233" s="82">
        <f>($J233-$H233)*100</f>
        <v/>
      </c>
      <c r="AY233" s="82">
        <f>($L233-$H233)*100</f>
        <v/>
      </c>
      <c r="AZ233" s="82">
        <f>($L233-$J233)*100</f>
        <v/>
      </c>
      <c r="BA233" s="82">
        <f>(2*$H233-$F233-$J233)*100</f>
        <v/>
      </c>
      <c r="BB233" s="82">
        <f>(2*$J233-$H233-$L233)*100</f>
        <v/>
      </c>
      <c r="BC233" s="82">
        <f>($N233-$F233)*100</f>
        <v/>
      </c>
      <c r="BD233" s="82">
        <f>($Q233-$H233)*100</f>
        <v/>
      </c>
      <c r="BE233" s="82">
        <f>($S233-$J233)*100</f>
        <v/>
      </c>
      <c r="BF233" s="82">
        <f>($V233-$L233)*100</f>
        <v/>
      </c>
      <c r="BG233" s="82">
        <f>$AG233-$AF233</f>
        <v/>
      </c>
      <c r="BH233" s="81">
        <f>IFERROR($AG233/$AF233,"")</f>
        <v/>
      </c>
      <c r="BI233" s="82">
        <f>$AJ233-$AF233</f>
        <v/>
      </c>
      <c r="BJ233" s="81">
        <f>IFERROR($AJ233/$AG233,"")</f>
        <v/>
      </c>
      <c r="BK233" s="81">
        <f>$X233</f>
        <v/>
      </c>
      <c r="BL233" s="82">
        <f>($J233-$J234)*100</f>
        <v/>
      </c>
      <c r="BM233" s="82">
        <f>($F233-$F234)*100</f>
        <v/>
      </c>
      <c r="BN233" s="82">
        <f>$AF233-$AF234</f>
        <v/>
      </c>
      <c r="BO233" s="82">
        <f>$AG233-$AG234</f>
        <v/>
      </c>
      <c r="BP233" s="82">
        <f>$AJ233-$AJ234</f>
        <v/>
      </c>
    </row>
    <row r="234">
      <c r="AR234" s="81">
        <f>($G234+($H234-$G234)*0.5)+($P234-($O234+($Q234-$O234)*0.5))</f>
        <v/>
      </c>
      <c r="AS234" s="81">
        <f>($J234+($K234-$J234)*0.5)+($T234-($S234+($U234-$S234)*0.5))</f>
        <v/>
      </c>
      <c r="AT234" s="82">
        <f>($J234-$C234)*100</f>
        <v/>
      </c>
      <c r="AU234" s="82">
        <f>($H234-$F234)*100</f>
        <v/>
      </c>
      <c r="AV234" s="82">
        <f>($J234-$F234)*100</f>
        <v/>
      </c>
      <c r="AW234" s="82">
        <f>($L234-$F234)*100</f>
        <v/>
      </c>
      <c r="AX234" s="82">
        <f>($J234-$H234)*100</f>
        <v/>
      </c>
      <c r="AY234" s="82">
        <f>($L234-$H234)*100</f>
        <v/>
      </c>
      <c r="AZ234" s="82">
        <f>($L234-$J234)*100</f>
        <v/>
      </c>
      <c r="BA234" s="82">
        <f>(2*$H234-$F234-$J234)*100</f>
        <v/>
      </c>
      <c r="BB234" s="82">
        <f>(2*$J234-$H234-$L234)*100</f>
        <v/>
      </c>
      <c r="BC234" s="82">
        <f>($N234-$F234)*100</f>
        <v/>
      </c>
      <c r="BD234" s="82">
        <f>($Q234-$H234)*100</f>
        <v/>
      </c>
      <c r="BE234" s="82">
        <f>($S234-$J234)*100</f>
        <v/>
      </c>
      <c r="BF234" s="82">
        <f>($V234-$L234)*100</f>
        <v/>
      </c>
      <c r="BG234" s="82">
        <f>$AG234-$AF234</f>
        <v/>
      </c>
      <c r="BH234" s="81">
        <f>IFERROR($AG234/$AF234,"")</f>
        <v/>
      </c>
      <c r="BI234" s="82">
        <f>$AJ234-$AF234</f>
        <v/>
      </c>
      <c r="BJ234" s="81">
        <f>IFERROR($AJ234/$AG234,"")</f>
        <v/>
      </c>
      <c r="BK234" s="81">
        <f>$X234</f>
        <v/>
      </c>
      <c r="BL234" s="82">
        <f>($J234-$J235)*100</f>
        <v/>
      </c>
      <c r="BM234" s="82">
        <f>($F234-$F235)*100</f>
        <v/>
      </c>
      <c r="BN234" s="82">
        <f>$AF234-$AF235</f>
        <v/>
      </c>
      <c r="BO234" s="82">
        <f>$AG234-$AG235</f>
        <v/>
      </c>
      <c r="BP234" s="82">
        <f>$AJ234-$AJ235</f>
        <v/>
      </c>
    </row>
    <row r="235">
      <c r="AR235" s="81">
        <f>($G235+($H235-$G235)*0.5)+($P235-($O235+($Q235-$O235)*0.5))</f>
        <v/>
      </c>
      <c r="AS235" s="81">
        <f>($J235+($K235-$J235)*0.5)+($T235-($S235+($U235-$S235)*0.5))</f>
        <v/>
      </c>
      <c r="AT235" s="82">
        <f>($J235-$C235)*100</f>
        <v/>
      </c>
      <c r="AU235" s="82">
        <f>($H235-$F235)*100</f>
        <v/>
      </c>
      <c r="AV235" s="82">
        <f>($J235-$F235)*100</f>
        <v/>
      </c>
      <c r="AW235" s="82">
        <f>($L235-$F235)*100</f>
        <v/>
      </c>
      <c r="AX235" s="82">
        <f>($J235-$H235)*100</f>
        <v/>
      </c>
      <c r="AY235" s="82">
        <f>($L235-$H235)*100</f>
        <v/>
      </c>
      <c r="AZ235" s="82">
        <f>($L235-$J235)*100</f>
        <v/>
      </c>
      <c r="BA235" s="82">
        <f>(2*$H235-$F235-$J235)*100</f>
        <v/>
      </c>
      <c r="BB235" s="82">
        <f>(2*$J235-$H235-$L235)*100</f>
        <v/>
      </c>
      <c r="BC235" s="82">
        <f>($N235-$F235)*100</f>
        <v/>
      </c>
      <c r="BD235" s="82">
        <f>($Q235-$H235)*100</f>
        <v/>
      </c>
      <c r="BE235" s="82">
        <f>($S235-$J235)*100</f>
        <v/>
      </c>
      <c r="BF235" s="82">
        <f>($V235-$L235)*100</f>
        <v/>
      </c>
      <c r="BG235" s="82">
        <f>$AG235-$AF235</f>
        <v/>
      </c>
      <c r="BH235" s="81">
        <f>IFERROR($AG235/$AF235,"")</f>
        <v/>
      </c>
      <c r="BI235" s="82">
        <f>$AJ235-$AF235</f>
        <v/>
      </c>
      <c r="BJ235" s="81">
        <f>IFERROR($AJ235/$AG235,"")</f>
        <v/>
      </c>
      <c r="BK235" s="81">
        <f>$X235</f>
        <v/>
      </c>
      <c r="BL235" s="82">
        <f>($J235-$J236)*100</f>
        <v/>
      </c>
      <c r="BM235" s="82">
        <f>($F235-$F236)*100</f>
        <v/>
      </c>
      <c r="BN235" s="82">
        <f>$AF235-$AF236</f>
        <v/>
      </c>
      <c r="BO235" s="82">
        <f>$AG235-$AG236</f>
        <v/>
      </c>
      <c r="BP235" s="82">
        <f>$AJ235-$AJ236</f>
        <v/>
      </c>
    </row>
    <row r="236">
      <c r="AR236" s="81">
        <f>($G236+($H236-$G236)*0.5)+($P236-($O236+($Q236-$O236)*0.5))</f>
        <v/>
      </c>
      <c r="AS236" s="81">
        <f>($J236+($K236-$J236)*0.5)+($T236-($S236+($U236-$S236)*0.5))</f>
        <v/>
      </c>
      <c r="AT236" s="82">
        <f>($J236-$C236)*100</f>
        <v/>
      </c>
      <c r="AU236" s="82">
        <f>($H236-$F236)*100</f>
        <v/>
      </c>
      <c r="AV236" s="82">
        <f>($J236-$F236)*100</f>
        <v/>
      </c>
      <c r="AW236" s="82">
        <f>($L236-$F236)*100</f>
        <v/>
      </c>
      <c r="AX236" s="82">
        <f>($J236-$H236)*100</f>
        <v/>
      </c>
      <c r="AY236" s="82">
        <f>($L236-$H236)*100</f>
        <v/>
      </c>
      <c r="AZ236" s="82">
        <f>($L236-$J236)*100</f>
        <v/>
      </c>
      <c r="BA236" s="82">
        <f>(2*$H236-$F236-$J236)*100</f>
        <v/>
      </c>
      <c r="BB236" s="82">
        <f>(2*$J236-$H236-$L236)*100</f>
        <v/>
      </c>
      <c r="BC236" s="82">
        <f>($N236-$F236)*100</f>
        <v/>
      </c>
      <c r="BD236" s="82">
        <f>($Q236-$H236)*100</f>
        <v/>
      </c>
      <c r="BE236" s="82">
        <f>($S236-$J236)*100</f>
        <v/>
      </c>
      <c r="BF236" s="82">
        <f>($V236-$L236)*100</f>
        <v/>
      </c>
      <c r="BG236" s="82">
        <f>$AG236-$AF236</f>
        <v/>
      </c>
      <c r="BH236" s="81">
        <f>IFERROR($AG236/$AF236,"")</f>
        <v/>
      </c>
      <c r="BI236" s="82">
        <f>$AJ236-$AF236</f>
        <v/>
      </c>
      <c r="BJ236" s="81">
        <f>IFERROR($AJ236/$AG236,"")</f>
        <v/>
      </c>
      <c r="BK236" s="81">
        <f>$X236</f>
        <v/>
      </c>
      <c r="BL236" s="82">
        <f>($J236-$J237)*100</f>
        <v/>
      </c>
      <c r="BM236" s="82">
        <f>($F236-$F237)*100</f>
        <v/>
      </c>
      <c r="BN236" s="82">
        <f>$AF236-$AF237</f>
        <v/>
      </c>
      <c r="BO236" s="82">
        <f>$AG236-$AG237</f>
        <v/>
      </c>
      <c r="BP236" s="82">
        <f>$AJ236-$AJ237</f>
        <v/>
      </c>
    </row>
    <row r="237">
      <c r="AR237" s="81">
        <f>($G237+($H237-$G237)*0.5)+($P237-($O237+($Q237-$O237)*0.5))</f>
        <v/>
      </c>
      <c r="AS237" s="81">
        <f>($J237+($K237-$J237)*0.5)+($T237-($S237+($U237-$S237)*0.5))</f>
        <v/>
      </c>
      <c r="AT237" s="82">
        <f>($J237-$C237)*100</f>
        <v/>
      </c>
      <c r="AU237" s="82">
        <f>($H237-$F237)*100</f>
        <v/>
      </c>
      <c r="AV237" s="82">
        <f>($J237-$F237)*100</f>
        <v/>
      </c>
      <c r="AW237" s="82">
        <f>($L237-$F237)*100</f>
        <v/>
      </c>
      <c r="AX237" s="82">
        <f>($J237-$H237)*100</f>
        <v/>
      </c>
      <c r="AY237" s="82">
        <f>($L237-$H237)*100</f>
        <v/>
      </c>
      <c r="AZ237" s="82">
        <f>($L237-$J237)*100</f>
        <v/>
      </c>
      <c r="BA237" s="82">
        <f>(2*$H237-$F237-$J237)*100</f>
        <v/>
      </c>
      <c r="BB237" s="82">
        <f>(2*$J237-$H237-$L237)*100</f>
        <v/>
      </c>
      <c r="BC237" s="82">
        <f>($N237-$F237)*100</f>
        <v/>
      </c>
      <c r="BD237" s="82">
        <f>($Q237-$H237)*100</f>
        <v/>
      </c>
      <c r="BE237" s="82">
        <f>($S237-$J237)*100</f>
        <v/>
      </c>
      <c r="BF237" s="82">
        <f>($V237-$L237)*100</f>
        <v/>
      </c>
      <c r="BG237" s="82">
        <f>$AG237-$AF237</f>
        <v/>
      </c>
      <c r="BH237" s="81">
        <f>IFERROR($AG237/$AF237,"")</f>
        <v/>
      </c>
      <c r="BI237" s="82">
        <f>$AJ237-$AF237</f>
        <v/>
      </c>
      <c r="BJ237" s="81">
        <f>IFERROR($AJ237/$AG237,"")</f>
        <v/>
      </c>
      <c r="BK237" s="81">
        <f>$X237</f>
        <v/>
      </c>
      <c r="BL237" s="82">
        <f>($J237-$J238)*100</f>
        <v/>
      </c>
      <c r="BM237" s="82">
        <f>($F237-$F238)*100</f>
        <v/>
      </c>
      <c r="BN237" s="82">
        <f>$AF237-$AF238</f>
        <v/>
      </c>
      <c r="BO237" s="82">
        <f>$AG237-$AG238</f>
        <v/>
      </c>
      <c r="BP237" s="82">
        <f>$AJ237-$AJ238</f>
        <v/>
      </c>
    </row>
    <row r="238">
      <c r="AR238" s="81">
        <f>($G238+($H238-$G238)*0.5)+($P238-($O238+($Q238-$O238)*0.5))</f>
        <v/>
      </c>
      <c r="AS238" s="81">
        <f>($J238+($K238-$J238)*0.5)+($T238-($S238+($U238-$S238)*0.5))</f>
        <v/>
      </c>
      <c r="AT238" s="82">
        <f>($J238-$C238)*100</f>
        <v/>
      </c>
      <c r="AU238" s="82">
        <f>($H238-$F238)*100</f>
        <v/>
      </c>
      <c r="AV238" s="82">
        <f>($J238-$F238)*100</f>
        <v/>
      </c>
      <c r="AW238" s="82">
        <f>($L238-$F238)*100</f>
        <v/>
      </c>
      <c r="AX238" s="82">
        <f>($J238-$H238)*100</f>
        <v/>
      </c>
      <c r="AY238" s="82">
        <f>($L238-$H238)*100</f>
        <v/>
      </c>
      <c r="AZ238" s="82">
        <f>($L238-$J238)*100</f>
        <v/>
      </c>
      <c r="BA238" s="82">
        <f>(2*$H238-$F238-$J238)*100</f>
        <v/>
      </c>
      <c r="BB238" s="82">
        <f>(2*$J238-$H238-$L238)*100</f>
        <v/>
      </c>
      <c r="BC238" s="82">
        <f>($N238-$F238)*100</f>
        <v/>
      </c>
      <c r="BD238" s="82">
        <f>($Q238-$H238)*100</f>
        <v/>
      </c>
      <c r="BE238" s="82">
        <f>($S238-$J238)*100</f>
        <v/>
      </c>
      <c r="BF238" s="82">
        <f>($V238-$L238)*100</f>
        <v/>
      </c>
      <c r="BG238" s="82">
        <f>$AG238-$AF238</f>
        <v/>
      </c>
      <c r="BH238" s="81">
        <f>IFERROR($AG238/$AF238,"")</f>
        <v/>
      </c>
      <c r="BI238" s="82">
        <f>$AJ238-$AF238</f>
        <v/>
      </c>
      <c r="BJ238" s="81">
        <f>IFERROR($AJ238/$AG238,"")</f>
        <v/>
      </c>
      <c r="BK238" s="81">
        <f>$X238</f>
        <v/>
      </c>
      <c r="BL238" s="82">
        <f>($J238-$J239)*100</f>
        <v/>
      </c>
      <c r="BM238" s="82">
        <f>($F238-$F239)*100</f>
        <v/>
      </c>
      <c r="BN238" s="82">
        <f>$AF238-$AF239</f>
        <v/>
      </c>
      <c r="BO238" s="82">
        <f>$AG238-$AG239</f>
        <v/>
      </c>
      <c r="BP238" s="82">
        <f>$AJ238-$AJ239</f>
        <v/>
      </c>
    </row>
    <row r="239">
      <c r="AR239" s="81">
        <f>($G239+($H239-$G239)*0.5)+($P239-($O239+($Q239-$O239)*0.5))</f>
        <v/>
      </c>
      <c r="AS239" s="81">
        <f>($J239+($K239-$J239)*0.5)+($T239-($S239+($U239-$S239)*0.5))</f>
        <v/>
      </c>
      <c r="AT239" s="82">
        <f>($J239-$C239)*100</f>
        <v/>
      </c>
      <c r="AU239" s="82">
        <f>($H239-$F239)*100</f>
        <v/>
      </c>
      <c r="AV239" s="82">
        <f>($J239-$F239)*100</f>
        <v/>
      </c>
      <c r="AW239" s="82">
        <f>($L239-$F239)*100</f>
        <v/>
      </c>
      <c r="AX239" s="82">
        <f>($J239-$H239)*100</f>
        <v/>
      </c>
      <c r="AY239" s="82">
        <f>($L239-$H239)*100</f>
        <v/>
      </c>
      <c r="AZ239" s="82">
        <f>($L239-$J239)*100</f>
        <v/>
      </c>
      <c r="BA239" s="82">
        <f>(2*$H239-$F239-$J239)*100</f>
        <v/>
      </c>
      <c r="BB239" s="82">
        <f>(2*$J239-$H239-$L239)*100</f>
        <v/>
      </c>
      <c r="BC239" s="82">
        <f>($N239-$F239)*100</f>
        <v/>
      </c>
      <c r="BD239" s="82">
        <f>($Q239-$H239)*100</f>
        <v/>
      </c>
      <c r="BE239" s="82">
        <f>($S239-$J239)*100</f>
        <v/>
      </c>
      <c r="BF239" s="82">
        <f>($V239-$L239)*100</f>
        <v/>
      </c>
      <c r="BG239" s="82">
        <f>$AG239-$AF239</f>
        <v/>
      </c>
      <c r="BH239" s="81">
        <f>IFERROR($AG239/$AF239,"")</f>
        <v/>
      </c>
      <c r="BI239" s="82">
        <f>$AJ239-$AF239</f>
        <v/>
      </c>
      <c r="BJ239" s="81">
        <f>IFERROR($AJ239/$AG239,"")</f>
        <v/>
      </c>
      <c r="BK239" s="81">
        <f>$X239</f>
        <v/>
      </c>
      <c r="BL239" s="82">
        <f>($J239-$J240)*100</f>
        <v/>
      </c>
      <c r="BM239" s="82">
        <f>($F239-$F240)*100</f>
        <v/>
      </c>
      <c r="BN239" s="82">
        <f>$AF239-$AF240</f>
        <v/>
      </c>
      <c r="BO239" s="82">
        <f>$AG239-$AG240</f>
        <v/>
      </c>
      <c r="BP239" s="82">
        <f>$AJ239-$AJ240</f>
        <v/>
      </c>
    </row>
    <row r="240">
      <c r="AR240" s="81">
        <f>($G240+($H240-$G240)*0.5)+($P240-($O240+($Q240-$O240)*0.5))</f>
        <v/>
      </c>
      <c r="AS240" s="81">
        <f>($J240+($K240-$J240)*0.5)+($T240-($S240+($U240-$S240)*0.5))</f>
        <v/>
      </c>
      <c r="AT240" s="82">
        <f>($J240-$C240)*100</f>
        <v/>
      </c>
      <c r="AU240" s="82">
        <f>($H240-$F240)*100</f>
        <v/>
      </c>
      <c r="AV240" s="82">
        <f>($J240-$F240)*100</f>
        <v/>
      </c>
      <c r="AW240" s="82">
        <f>($L240-$F240)*100</f>
        <v/>
      </c>
      <c r="AX240" s="82">
        <f>($J240-$H240)*100</f>
        <v/>
      </c>
      <c r="AY240" s="82">
        <f>($L240-$H240)*100</f>
        <v/>
      </c>
      <c r="AZ240" s="82">
        <f>($L240-$J240)*100</f>
        <v/>
      </c>
      <c r="BA240" s="82">
        <f>(2*$H240-$F240-$J240)*100</f>
        <v/>
      </c>
      <c r="BB240" s="82">
        <f>(2*$J240-$H240-$L240)*100</f>
        <v/>
      </c>
      <c r="BC240" s="82">
        <f>($N240-$F240)*100</f>
        <v/>
      </c>
      <c r="BD240" s="82">
        <f>($Q240-$H240)*100</f>
        <v/>
      </c>
      <c r="BE240" s="82">
        <f>($S240-$J240)*100</f>
        <v/>
      </c>
      <c r="BF240" s="82">
        <f>($V240-$L240)*100</f>
        <v/>
      </c>
      <c r="BG240" s="82">
        <f>$AG240-$AF240</f>
        <v/>
      </c>
      <c r="BH240" s="81">
        <f>IFERROR($AG240/$AF240,"")</f>
        <v/>
      </c>
      <c r="BI240" s="82">
        <f>$AJ240-$AF240</f>
        <v/>
      </c>
      <c r="BJ240" s="81">
        <f>IFERROR($AJ240/$AG240,"")</f>
        <v/>
      </c>
      <c r="BK240" s="81">
        <f>$X240</f>
        <v/>
      </c>
      <c r="BL240" s="82">
        <f>($J240-$J241)*100</f>
        <v/>
      </c>
      <c r="BM240" s="82">
        <f>($F240-$F241)*100</f>
        <v/>
      </c>
      <c r="BN240" s="82">
        <f>$AF240-$AF241</f>
        <v/>
      </c>
      <c r="BO240" s="82">
        <f>$AG240-$AG241</f>
        <v/>
      </c>
      <c r="BP240" s="82">
        <f>$AJ240-$AJ241</f>
        <v/>
      </c>
    </row>
    <row r="241">
      <c r="AR241" s="81">
        <f>($G241+($H241-$G241)*0.5)+($P241-($O241+($Q241-$O241)*0.5))</f>
        <v/>
      </c>
      <c r="AS241" s="81">
        <f>($J241+($K241-$J241)*0.5)+($T241-($S241+($U241-$S241)*0.5))</f>
        <v/>
      </c>
      <c r="AT241" s="82">
        <f>($J241-$C241)*100</f>
        <v/>
      </c>
      <c r="AU241" s="82">
        <f>($H241-$F241)*100</f>
        <v/>
      </c>
      <c r="AV241" s="82">
        <f>($J241-$F241)*100</f>
        <v/>
      </c>
      <c r="AW241" s="82">
        <f>($L241-$F241)*100</f>
        <v/>
      </c>
      <c r="AX241" s="82">
        <f>($J241-$H241)*100</f>
        <v/>
      </c>
      <c r="AY241" s="82">
        <f>($L241-$H241)*100</f>
        <v/>
      </c>
      <c r="AZ241" s="82">
        <f>($L241-$J241)*100</f>
        <v/>
      </c>
      <c r="BA241" s="82">
        <f>(2*$H241-$F241-$J241)*100</f>
        <v/>
      </c>
      <c r="BB241" s="82">
        <f>(2*$J241-$H241-$L241)*100</f>
        <v/>
      </c>
      <c r="BC241" s="82">
        <f>($N241-$F241)*100</f>
        <v/>
      </c>
      <c r="BD241" s="82">
        <f>($Q241-$H241)*100</f>
        <v/>
      </c>
      <c r="BE241" s="82">
        <f>($S241-$J241)*100</f>
        <v/>
      </c>
      <c r="BF241" s="82">
        <f>($V241-$L241)*100</f>
        <v/>
      </c>
      <c r="BG241" s="82">
        <f>$AG241-$AF241</f>
        <v/>
      </c>
      <c r="BH241" s="81">
        <f>IFERROR($AG241/$AF241,"")</f>
        <v/>
      </c>
      <c r="BI241" s="82">
        <f>$AJ241-$AF241</f>
        <v/>
      </c>
      <c r="BJ241" s="81">
        <f>IFERROR($AJ241/$AG241,"")</f>
        <v/>
      </c>
      <c r="BK241" s="81">
        <f>$X241</f>
        <v/>
      </c>
      <c r="BL241" s="82">
        <f>($J241-$J242)*100</f>
        <v/>
      </c>
      <c r="BM241" s="82">
        <f>($F241-$F242)*100</f>
        <v/>
      </c>
      <c r="BN241" s="82">
        <f>$AF241-$AF242</f>
        <v/>
      </c>
      <c r="BO241" s="82">
        <f>$AG241-$AG242</f>
        <v/>
      </c>
      <c r="BP241" s="82">
        <f>$AJ241-$AJ242</f>
        <v/>
      </c>
    </row>
    <row r="242">
      <c r="AR242" s="81">
        <f>($G242+($H242-$G242)*0.5)+($P242-($O242+($Q242-$O242)*0.5))</f>
        <v/>
      </c>
      <c r="AS242" s="81">
        <f>($J242+($K242-$J242)*0.5)+($T242-($S242+($U242-$S242)*0.5))</f>
        <v/>
      </c>
      <c r="AT242" s="82">
        <f>($J242-$C242)*100</f>
        <v/>
      </c>
      <c r="AU242" s="82">
        <f>($H242-$F242)*100</f>
        <v/>
      </c>
      <c r="AV242" s="82">
        <f>($J242-$F242)*100</f>
        <v/>
      </c>
      <c r="AW242" s="82">
        <f>($L242-$F242)*100</f>
        <v/>
      </c>
      <c r="AX242" s="82">
        <f>($J242-$H242)*100</f>
        <v/>
      </c>
      <c r="AY242" s="82">
        <f>($L242-$H242)*100</f>
        <v/>
      </c>
      <c r="AZ242" s="82">
        <f>($L242-$J242)*100</f>
        <v/>
      </c>
      <c r="BA242" s="82">
        <f>(2*$H242-$F242-$J242)*100</f>
        <v/>
      </c>
      <c r="BB242" s="82">
        <f>(2*$J242-$H242-$L242)*100</f>
        <v/>
      </c>
      <c r="BC242" s="82">
        <f>($N242-$F242)*100</f>
        <v/>
      </c>
      <c r="BD242" s="82">
        <f>($Q242-$H242)*100</f>
        <v/>
      </c>
      <c r="BE242" s="82">
        <f>($S242-$J242)*100</f>
        <v/>
      </c>
      <c r="BF242" s="82">
        <f>($V242-$L242)*100</f>
        <v/>
      </c>
      <c r="BG242" s="82">
        <f>$AG242-$AF242</f>
        <v/>
      </c>
      <c r="BH242" s="81">
        <f>IFERROR($AG242/$AF242,"")</f>
        <v/>
      </c>
      <c r="BI242" s="82">
        <f>$AJ242-$AF242</f>
        <v/>
      </c>
      <c r="BJ242" s="81">
        <f>IFERROR($AJ242/$AG242,"")</f>
        <v/>
      </c>
      <c r="BK242" s="81">
        <f>$X242</f>
        <v/>
      </c>
      <c r="BL242" s="82">
        <f>($J242-$J243)*100</f>
        <v/>
      </c>
      <c r="BM242" s="82">
        <f>($F242-$F243)*100</f>
        <v/>
      </c>
      <c r="BN242" s="82">
        <f>$AF242-$AF243</f>
        <v/>
      </c>
      <c r="BO242" s="82">
        <f>$AG242-$AG243</f>
        <v/>
      </c>
      <c r="BP242" s="82">
        <f>$AJ242-$AJ243</f>
        <v/>
      </c>
    </row>
    <row r="243">
      <c r="AR243" s="81">
        <f>($G243+($H243-$G243)*0.5)+($P243-($O243+($Q243-$O243)*0.5))</f>
        <v/>
      </c>
      <c r="AS243" s="81">
        <f>($J243+($K243-$J243)*0.5)+($T243-($S243+($U243-$S243)*0.5))</f>
        <v/>
      </c>
      <c r="AT243" s="82">
        <f>($J243-$C243)*100</f>
        <v/>
      </c>
      <c r="AU243" s="82">
        <f>($H243-$F243)*100</f>
        <v/>
      </c>
      <c r="AV243" s="82">
        <f>($J243-$F243)*100</f>
        <v/>
      </c>
      <c r="AW243" s="82">
        <f>($L243-$F243)*100</f>
        <v/>
      </c>
      <c r="AX243" s="82">
        <f>($J243-$H243)*100</f>
        <v/>
      </c>
      <c r="AY243" s="82">
        <f>($L243-$H243)*100</f>
        <v/>
      </c>
      <c r="AZ243" s="82">
        <f>($L243-$J243)*100</f>
        <v/>
      </c>
      <c r="BA243" s="82">
        <f>(2*$H243-$F243-$J243)*100</f>
        <v/>
      </c>
      <c r="BB243" s="82">
        <f>(2*$J243-$H243-$L243)*100</f>
        <v/>
      </c>
      <c r="BC243" s="82">
        <f>($N243-$F243)*100</f>
        <v/>
      </c>
      <c r="BD243" s="82">
        <f>($Q243-$H243)*100</f>
        <v/>
      </c>
      <c r="BE243" s="82">
        <f>($S243-$J243)*100</f>
        <v/>
      </c>
      <c r="BF243" s="82">
        <f>($V243-$L243)*100</f>
        <v/>
      </c>
      <c r="BG243" s="82">
        <f>$AG243-$AF243</f>
        <v/>
      </c>
      <c r="BH243" s="81">
        <f>IFERROR($AG243/$AF243,"")</f>
        <v/>
      </c>
      <c r="BI243" s="82">
        <f>$AJ243-$AF243</f>
        <v/>
      </c>
      <c r="BJ243" s="81">
        <f>IFERROR($AJ243/$AG243,"")</f>
        <v/>
      </c>
      <c r="BK243" s="81">
        <f>$X243</f>
        <v/>
      </c>
      <c r="BL243" s="82">
        <f>($J243-$J244)*100</f>
        <v/>
      </c>
      <c r="BM243" s="82">
        <f>($F243-$F244)*100</f>
        <v/>
      </c>
      <c r="BN243" s="82">
        <f>$AF243-$AF244</f>
        <v/>
      </c>
      <c r="BO243" s="82">
        <f>$AG243-$AG244</f>
        <v/>
      </c>
      <c r="BP243" s="82">
        <f>$AJ243-$AJ244</f>
        <v/>
      </c>
    </row>
    <row r="244">
      <c r="AR244" s="81">
        <f>($G244+($H244-$G244)*0.5)+($P244-($O244+($Q244-$O244)*0.5))</f>
        <v/>
      </c>
      <c r="AS244" s="81">
        <f>($J244+($K244-$J244)*0.5)+($T244-($S244+($U244-$S244)*0.5))</f>
        <v/>
      </c>
      <c r="AT244" s="82">
        <f>($J244-$C244)*100</f>
        <v/>
      </c>
      <c r="AU244" s="82">
        <f>($H244-$F244)*100</f>
        <v/>
      </c>
      <c r="AV244" s="82">
        <f>($J244-$F244)*100</f>
        <v/>
      </c>
      <c r="AW244" s="82">
        <f>($L244-$F244)*100</f>
        <v/>
      </c>
      <c r="AX244" s="82">
        <f>($J244-$H244)*100</f>
        <v/>
      </c>
      <c r="AY244" s="82">
        <f>($L244-$H244)*100</f>
        <v/>
      </c>
      <c r="AZ244" s="82">
        <f>($L244-$J244)*100</f>
        <v/>
      </c>
      <c r="BA244" s="82">
        <f>(2*$H244-$F244-$J244)*100</f>
        <v/>
      </c>
      <c r="BB244" s="82">
        <f>(2*$J244-$H244-$L244)*100</f>
        <v/>
      </c>
      <c r="BC244" s="82">
        <f>($N244-$F244)*100</f>
        <v/>
      </c>
      <c r="BD244" s="82">
        <f>($Q244-$H244)*100</f>
        <v/>
      </c>
      <c r="BE244" s="82">
        <f>($S244-$J244)*100</f>
        <v/>
      </c>
      <c r="BF244" s="82">
        <f>($V244-$L244)*100</f>
        <v/>
      </c>
      <c r="BG244" s="82">
        <f>$AG244-$AF244</f>
        <v/>
      </c>
      <c r="BH244" s="81">
        <f>IFERROR($AG244/$AF244,"")</f>
        <v/>
      </c>
      <c r="BI244" s="82">
        <f>$AJ244-$AF244</f>
        <v/>
      </c>
      <c r="BJ244" s="81">
        <f>IFERROR($AJ244/$AG244,"")</f>
        <v/>
      </c>
      <c r="BK244" s="81">
        <f>$X244</f>
        <v/>
      </c>
      <c r="BL244" s="82">
        <f>($J244-$J245)*100</f>
        <v/>
      </c>
      <c r="BM244" s="82">
        <f>($F244-$F245)*100</f>
        <v/>
      </c>
      <c r="BN244" s="82">
        <f>$AF244-$AF245</f>
        <v/>
      </c>
      <c r="BO244" s="82">
        <f>$AG244-$AG245</f>
        <v/>
      </c>
      <c r="BP244" s="82">
        <f>$AJ244-$AJ245</f>
        <v/>
      </c>
    </row>
    <row r="245">
      <c r="AR245" s="81">
        <f>($G245+($H245-$G245)*0.5)+($P245-($O245+($Q245-$O245)*0.5))</f>
        <v/>
      </c>
      <c r="AS245" s="81">
        <f>($J245+($K245-$J245)*0.5)+($T245-($S245+($U245-$S245)*0.5))</f>
        <v/>
      </c>
      <c r="AT245" s="82">
        <f>($J245-$C245)*100</f>
        <v/>
      </c>
      <c r="AU245" s="82">
        <f>($H245-$F245)*100</f>
        <v/>
      </c>
      <c r="AV245" s="82">
        <f>($J245-$F245)*100</f>
        <v/>
      </c>
      <c r="AW245" s="82">
        <f>($L245-$F245)*100</f>
        <v/>
      </c>
      <c r="AX245" s="82">
        <f>($J245-$H245)*100</f>
        <v/>
      </c>
      <c r="AY245" s="82">
        <f>($L245-$H245)*100</f>
        <v/>
      </c>
      <c r="AZ245" s="82">
        <f>($L245-$J245)*100</f>
        <v/>
      </c>
      <c r="BA245" s="82">
        <f>(2*$H245-$F245-$J245)*100</f>
        <v/>
      </c>
      <c r="BB245" s="82">
        <f>(2*$J245-$H245-$L245)*100</f>
        <v/>
      </c>
      <c r="BC245" s="82">
        <f>($N245-$F245)*100</f>
        <v/>
      </c>
      <c r="BD245" s="82">
        <f>($Q245-$H245)*100</f>
        <v/>
      </c>
      <c r="BE245" s="82">
        <f>($S245-$J245)*100</f>
        <v/>
      </c>
      <c r="BF245" s="82">
        <f>($V245-$L245)*100</f>
        <v/>
      </c>
      <c r="BG245" s="82">
        <f>$AG245-$AF245</f>
        <v/>
      </c>
      <c r="BH245" s="81">
        <f>IFERROR($AG245/$AF245,"")</f>
        <v/>
      </c>
      <c r="BI245" s="82">
        <f>$AJ245-$AF245</f>
        <v/>
      </c>
      <c r="BJ245" s="81">
        <f>IFERROR($AJ245/$AG245,"")</f>
        <v/>
      </c>
      <c r="BK245" s="81">
        <f>$X245</f>
        <v/>
      </c>
      <c r="BL245" s="82">
        <f>($J245-$J246)*100</f>
        <v/>
      </c>
      <c r="BM245" s="82">
        <f>($F245-$F246)*100</f>
        <v/>
      </c>
      <c r="BN245" s="82">
        <f>$AF245-$AF246</f>
        <v/>
      </c>
      <c r="BO245" s="82">
        <f>$AG245-$AG246</f>
        <v/>
      </c>
      <c r="BP245" s="82">
        <f>$AJ245-$AJ246</f>
        <v/>
      </c>
    </row>
    <row r="246">
      <c r="AR246" s="81">
        <f>($G246+($H246-$G246)*0.5)+($P246-($O246+($Q246-$O246)*0.5))</f>
        <v/>
      </c>
      <c r="AS246" s="81">
        <f>($J246+($K246-$J246)*0.5)+($T246-($S246+($U246-$S246)*0.5))</f>
        <v/>
      </c>
      <c r="AT246" s="82">
        <f>($J246-$C246)*100</f>
        <v/>
      </c>
      <c r="AU246" s="82">
        <f>($H246-$F246)*100</f>
        <v/>
      </c>
      <c r="AV246" s="82">
        <f>($J246-$F246)*100</f>
        <v/>
      </c>
      <c r="AW246" s="82">
        <f>($L246-$F246)*100</f>
        <v/>
      </c>
      <c r="AX246" s="82">
        <f>($J246-$H246)*100</f>
        <v/>
      </c>
      <c r="AY246" s="82">
        <f>($L246-$H246)*100</f>
        <v/>
      </c>
      <c r="AZ246" s="82">
        <f>($L246-$J246)*100</f>
        <v/>
      </c>
      <c r="BA246" s="82">
        <f>(2*$H246-$F246-$J246)*100</f>
        <v/>
      </c>
      <c r="BB246" s="82">
        <f>(2*$J246-$H246-$L246)*100</f>
        <v/>
      </c>
      <c r="BC246" s="82">
        <f>($N246-$F246)*100</f>
        <v/>
      </c>
      <c r="BD246" s="82">
        <f>($Q246-$H246)*100</f>
        <v/>
      </c>
      <c r="BE246" s="82">
        <f>($S246-$J246)*100</f>
        <v/>
      </c>
      <c r="BF246" s="82">
        <f>($V246-$L246)*100</f>
        <v/>
      </c>
      <c r="BG246" s="82">
        <f>$AG246-$AF246</f>
        <v/>
      </c>
      <c r="BH246" s="81">
        <f>IFERROR($AG246/$AF246,"")</f>
        <v/>
      </c>
      <c r="BI246" s="82">
        <f>$AJ246-$AF246</f>
        <v/>
      </c>
      <c r="BJ246" s="81">
        <f>IFERROR($AJ246/$AG246,"")</f>
        <v/>
      </c>
      <c r="BK246" s="81">
        <f>$X246</f>
        <v/>
      </c>
      <c r="BL246" s="82">
        <f>($J246-$J247)*100</f>
        <v/>
      </c>
      <c r="BM246" s="82">
        <f>($F246-$F247)*100</f>
        <v/>
      </c>
      <c r="BN246" s="82">
        <f>$AF246-$AF247</f>
        <v/>
      </c>
      <c r="BO246" s="82">
        <f>$AG246-$AG247</f>
        <v/>
      </c>
      <c r="BP246" s="82">
        <f>$AJ246-$AJ247</f>
        <v/>
      </c>
    </row>
    <row r="247">
      <c r="AR247" s="81">
        <f>($G247+($H247-$G247)*0.5)+($P247-($O247+($Q247-$O247)*0.5))</f>
        <v/>
      </c>
      <c r="AS247" s="81">
        <f>($J247+($K247-$J247)*0.5)+($T247-($S247+($U247-$S247)*0.5))</f>
        <v/>
      </c>
      <c r="AT247" s="82">
        <f>($J247-$C247)*100</f>
        <v/>
      </c>
      <c r="AU247" s="82">
        <f>($H247-$F247)*100</f>
        <v/>
      </c>
      <c r="AV247" s="82">
        <f>($J247-$F247)*100</f>
        <v/>
      </c>
      <c r="AW247" s="82">
        <f>($L247-$F247)*100</f>
        <v/>
      </c>
      <c r="AX247" s="82">
        <f>($J247-$H247)*100</f>
        <v/>
      </c>
      <c r="AY247" s="82">
        <f>($L247-$H247)*100</f>
        <v/>
      </c>
      <c r="AZ247" s="82">
        <f>($L247-$J247)*100</f>
        <v/>
      </c>
      <c r="BA247" s="82">
        <f>(2*$H247-$F247-$J247)*100</f>
        <v/>
      </c>
      <c r="BB247" s="82">
        <f>(2*$J247-$H247-$L247)*100</f>
        <v/>
      </c>
      <c r="BC247" s="82">
        <f>($N247-$F247)*100</f>
        <v/>
      </c>
      <c r="BD247" s="82">
        <f>($Q247-$H247)*100</f>
        <v/>
      </c>
      <c r="BE247" s="82">
        <f>($S247-$J247)*100</f>
        <v/>
      </c>
      <c r="BF247" s="82">
        <f>($V247-$L247)*100</f>
        <v/>
      </c>
      <c r="BG247" s="82">
        <f>$AG247-$AF247</f>
        <v/>
      </c>
      <c r="BH247" s="81">
        <f>IFERROR($AG247/$AF247,"")</f>
        <v/>
      </c>
      <c r="BI247" s="82">
        <f>$AJ247-$AF247</f>
        <v/>
      </c>
      <c r="BJ247" s="81">
        <f>IFERROR($AJ247/$AG247,"")</f>
        <v/>
      </c>
      <c r="BK247" s="81">
        <f>$X247</f>
        <v/>
      </c>
      <c r="BL247" s="82">
        <f>($J247-$J248)*100</f>
        <v/>
      </c>
      <c r="BM247" s="82">
        <f>($F247-$F248)*100</f>
        <v/>
      </c>
      <c r="BN247" s="82">
        <f>$AF247-$AF248</f>
        <v/>
      </c>
      <c r="BO247" s="82">
        <f>$AG247-$AG248</f>
        <v/>
      </c>
      <c r="BP247" s="82">
        <f>$AJ247-$AJ248</f>
        <v/>
      </c>
    </row>
    <row r="248">
      <c r="AR248" s="81">
        <f>($G248+($H248-$G248)*0.5)+($P248-($O248+($Q248-$O248)*0.5))</f>
        <v/>
      </c>
      <c r="AS248" s="81">
        <f>($J248+($K248-$J248)*0.5)+($T248-($S248+($U248-$S248)*0.5))</f>
        <v/>
      </c>
      <c r="AT248" s="82">
        <f>($J248-$C248)*100</f>
        <v/>
      </c>
      <c r="AU248" s="82">
        <f>($H248-$F248)*100</f>
        <v/>
      </c>
      <c r="AV248" s="82">
        <f>($J248-$F248)*100</f>
        <v/>
      </c>
      <c r="AW248" s="82">
        <f>($L248-$F248)*100</f>
        <v/>
      </c>
      <c r="AX248" s="82">
        <f>($J248-$H248)*100</f>
        <v/>
      </c>
      <c r="AY248" s="82">
        <f>($L248-$H248)*100</f>
        <v/>
      </c>
      <c r="AZ248" s="82">
        <f>($L248-$J248)*100</f>
        <v/>
      </c>
      <c r="BA248" s="82">
        <f>(2*$H248-$F248-$J248)*100</f>
        <v/>
      </c>
      <c r="BB248" s="82">
        <f>(2*$J248-$H248-$L248)*100</f>
        <v/>
      </c>
      <c r="BC248" s="82">
        <f>($N248-$F248)*100</f>
        <v/>
      </c>
      <c r="BD248" s="82">
        <f>($Q248-$H248)*100</f>
        <v/>
      </c>
      <c r="BE248" s="82">
        <f>($S248-$J248)*100</f>
        <v/>
      </c>
      <c r="BF248" s="82">
        <f>($V248-$L248)*100</f>
        <v/>
      </c>
      <c r="BG248" s="82">
        <f>$AG248-$AF248</f>
        <v/>
      </c>
      <c r="BH248" s="81">
        <f>IFERROR($AG248/$AF248,"")</f>
        <v/>
      </c>
      <c r="BI248" s="82">
        <f>$AJ248-$AF248</f>
        <v/>
      </c>
      <c r="BJ248" s="81">
        <f>IFERROR($AJ248/$AG248,"")</f>
        <v/>
      </c>
      <c r="BK248" s="81">
        <f>$X248</f>
        <v/>
      </c>
      <c r="BL248" s="82">
        <f>($J248-$J249)*100</f>
        <v/>
      </c>
      <c r="BM248" s="82">
        <f>($F248-$F249)*100</f>
        <v/>
      </c>
      <c r="BN248" s="82">
        <f>$AF248-$AF249</f>
        <v/>
      </c>
      <c r="BO248" s="82">
        <f>$AG248-$AG249</f>
        <v/>
      </c>
      <c r="BP248" s="82">
        <f>$AJ248-$AJ249</f>
        <v/>
      </c>
    </row>
    <row r="249">
      <c r="AR249" s="81">
        <f>($G249+($H249-$G249)*0.5)+($P249-($O249+($Q249-$O249)*0.5))</f>
        <v/>
      </c>
      <c r="AS249" s="81">
        <f>($J249+($K249-$J249)*0.5)+($T249-($S249+($U249-$S249)*0.5))</f>
        <v/>
      </c>
      <c r="AT249" s="82">
        <f>($J249-$C249)*100</f>
        <v/>
      </c>
      <c r="AU249" s="82">
        <f>($H249-$F249)*100</f>
        <v/>
      </c>
      <c r="AV249" s="82">
        <f>($J249-$F249)*100</f>
        <v/>
      </c>
      <c r="AW249" s="82">
        <f>($L249-$F249)*100</f>
        <v/>
      </c>
      <c r="AX249" s="82">
        <f>($J249-$H249)*100</f>
        <v/>
      </c>
      <c r="AY249" s="82">
        <f>($L249-$H249)*100</f>
        <v/>
      </c>
      <c r="AZ249" s="82">
        <f>($L249-$J249)*100</f>
        <v/>
      </c>
      <c r="BA249" s="82">
        <f>(2*$H249-$F249-$J249)*100</f>
        <v/>
      </c>
      <c r="BB249" s="82">
        <f>(2*$J249-$H249-$L249)*100</f>
        <v/>
      </c>
      <c r="BC249" s="82">
        <f>($N249-$F249)*100</f>
        <v/>
      </c>
      <c r="BD249" s="82">
        <f>($Q249-$H249)*100</f>
        <v/>
      </c>
      <c r="BE249" s="82">
        <f>($S249-$J249)*100</f>
        <v/>
      </c>
      <c r="BF249" s="82">
        <f>($V249-$L249)*100</f>
        <v/>
      </c>
      <c r="BG249" s="82">
        <f>$AG249-$AF249</f>
        <v/>
      </c>
      <c r="BH249" s="81">
        <f>IFERROR($AG249/$AF249,"")</f>
        <v/>
      </c>
      <c r="BI249" s="82">
        <f>$AJ249-$AF249</f>
        <v/>
      </c>
      <c r="BJ249" s="81">
        <f>IFERROR($AJ249/$AG249,"")</f>
        <v/>
      </c>
      <c r="BK249" s="81">
        <f>$X249</f>
        <v/>
      </c>
      <c r="BL249" s="82">
        <f>($J249-$J250)*100</f>
        <v/>
      </c>
      <c r="BM249" s="82">
        <f>($F249-$F250)*100</f>
        <v/>
      </c>
      <c r="BN249" s="82">
        <f>$AF249-$AF250</f>
        <v/>
      </c>
      <c r="BO249" s="82">
        <f>$AG249-$AG250</f>
        <v/>
      </c>
      <c r="BP249" s="82">
        <f>$AJ249-$AJ250</f>
        <v/>
      </c>
    </row>
    <row r="250">
      <c r="AR250" s="81">
        <f>($G250+($H250-$G250)*0.5)+($P250-($O250+($Q250-$O250)*0.5))</f>
        <v/>
      </c>
      <c r="AS250" s="81">
        <f>($J250+($K250-$J250)*0.5)+($T250-($S250+($U250-$S250)*0.5))</f>
        <v/>
      </c>
      <c r="AT250" s="82">
        <f>($J250-$C250)*100</f>
        <v/>
      </c>
      <c r="AU250" s="82">
        <f>($H250-$F250)*100</f>
        <v/>
      </c>
      <c r="AV250" s="82">
        <f>($J250-$F250)*100</f>
        <v/>
      </c>
      <c r="AW250" s="82">
        <f>($L250-$F250)*100</f>
        <v/>
      </c>
      <c r="AX250" s="82">
        <f>($J250-$H250)*100</f>
        <v/>
      </c>
      <c r="AY250" s="82">
        <f>($L250-$H250)*100</f>
        <v/>
      </c>
      <c r="AZ250" s="82">
        <f>($L250-$J250)*100</f>
        <v/>
      </c>
      <c r="BA250" s="82">
        <f>(2*$H250-$F250-$J250)*100</f>
        <v/>
      </c>
      <c r="BB250" s="82">
        <f>(2*$J250-$H250-$L250)*100</f>
        <v/>
      </c>
      <c r="BC250" s="82">
        <f>($N250-$F250)*100</f>
        <v/>
      </c>
      <c r="BD250" s="82">
        <f>($Q250-$H250)*100</f>
        <v/>
      </c>
      <c r="BE250" s="82">
        <f>($S250-$J250)*100</f>
        <v/>
      </c>
      <c r="BF250" s="82">
        <f>($V250-$L250)*100</f>
        <v/>
      </c>
      <c r="BG250" s="82">
        <f>$AG250-$AF250</f>
        <v/>
      </c>
      <c r="BH250" s="81">
        <f>IFERROR($AG250/$AF250,"")</f>
        <v/>
      </c>
      <c r="BI250" s="82">
        <f>$AJ250-$AF250</f>
        <v/>
      </c>
      <c r="BJ250" s="81">
        <f>IFERROR($AJ250/$AG250,"")</f>
        <v/>
      </c>
      <c r="BK250" s="81">
        <f>$X250</f>
        <v/>
      </c>
      <c r="BL250" s="82">
        <f>($J250-$J251)*100</f>
        <v/>
      </c>
      <c r="BM250" s="82">
        <f>($F250-$F251)*100</f>
        <v/>
      </c>
      <c r="BN250" s="82">
        <f>$AF250-$AF251</f>
        <v/>
      </c>
      <c r="BO250" s="82">
        <f>$AG250-$AG251</f>
        <v/>
      </c>
      <c r="BP250" s="82">
        <f>$AJ250-$AJ251</f>
        <v/>
      </c>
    </row>
    <row r="251">
      <c r="AR251" s="81">
        <f>($G251+($H251-$G251)*0.5)+($P251-($O251+($Q251-$O251)*0.5))</f>
        <v/>
      </c>
      <c r="AS251" s="81">
        <f>($J251+($K251-$J251)*0.5)+($T251-($S251+($U251-$S251)*0.5))</f>
        <v/>
      </c>
      <c r="AT251" s="82">
        <f>($J251-$C251)*100</f>
        <v/>
      </c>
      <c r="AU251" s="82">
        <f>($H251-$F251)*100</f>
        <v/>
      </c>
      <c r="AV251" s="82">
        <f>($J251-$F251)*100</f>
        <v/>
      </c>
      <c r="AW251" s="82">
        <f>($L251-$F251)*100</f>
        <v/>
      </c>
      <c r="AX251" s="82">
        <f>($J251-$H251)*100</f>
        <v/>
      </c>
      <c r="AY251" s="82">
        <f>($L251-$H251)*100</f>
        <v/>
      </c>
      <c r="AZ251" s="82">
        <f>($L251-$J251)*100</f>
        <v/>
      </c>
      <c r="BA251" s="82">
        <f>(2*$H251-$F251-$J251)*100</f>
        <v/>
      </c>
      <c r="BB251" s="82">
        <f>(2*$J251-$H251-$L251)*100</f>
        <v/>
      </c>
      <c r="BC251" s="82">
        <f>($N251-$F251)*100</f>
        <v/>
      </c>
      <c r="BD251" s="82">
        <f>($Q251-$H251)*100</f>
        <v/>
      </c>
      <c r="BE251" s="82">
        <f>($S251-$J251)*100</f>
        <v/>
      </c>
      <c r="BF251" s="82">
        <f>($V251-$L251)*100</f>
        <v/>
      </c>
      <c r="BG251" s="82">
        <f>$AG251-$AF251</f>
        <v/>
      </c>
      <c r="BH251" s="81">
        <f>IFERROR($AG251/$AF251,"")</f>
        <v/>
      </c>
      <c r="BI251" s="82">
        <f>$AJ251-$AF251</f>
        <v/>
      </c>
      <c r="BJ251" s="81">
        <f>IFERROR($AJ251/$AG251,"")</f>
        <v/>
      </c>
      <c r="BK251" s="81">
        <f>$X251</f>
        <v/>
      </c>
      <c r="BL251" s="82">
        <f>($J251-$J252)*100</f>
        <v/>
      </c>
      <c r="BM251" s="82">
        <f>($F251-$F252)*100</f>
        <v/>
      </c>
      <c r="BN251" s="82">
        <f>$AF251-$AF252</f>
        <v/>
      </c>
      <c r="BO251" s="82">
        <f>$AG251-$AG252</f>
        <v/>
      </c>
      <c r="BP251" s="82">
        <f>$AJ251-$AJ252</f>
        <v/>
      </c>
    </row>
    <row r="252">
      <c r="AR252" s="81">
        <f>($G252+($H252-$G252)*0.5)+($P252-($O252+($Q252-$O252)*0.5))</f>
        <v/>
      </c>
      <c r="AS252" s="81">
        <f>($J252+($K252-$J252)*0.5)+($T252-($S252+($U252-$S252)*0.5))</f>
        <v/>
      </c>
      <c r="AT252" s="82">
        <f>($J252-$C252)*100</f>
        <v/>
      </c>
      <c r="AU252" s="82">
        <f>($H252-$F252)*100</f>
        <v/>
      </c>
      <c r="AV252" s="82">
        <f>($J252-$F252)*100</f>
        <v/>
      </c>
      <c r="AW252" s="82">
        <f>($L252-$F252)*100</f>
        <v/>
      </c>
      <c r="AX252" s="82">
        <f>($J252-$H252)*100</f>
        <v/>
      </c>
      <c r="AY252" s="82">
        <f>($L252-$H252)*100</f>
        <v/>
      </c>
      <c r="AZ252" s="82">
        <f>($L252-$J252)*100</f>
        <v/>
      </c>
      <c r="BA252" s="82">
        <f>(2*$H252-$F252-$J252)*100</f>
        <v/>
      </c>
      <c r="BB252" s="82">
        <f>(2*$J252-$H252-$L252)*100</f>
        <v/>
      </c>
      <c r="BC252" s="82">
        <f>($N252-$F252)*100</f>
        <v/>
      </c>
      <c r="BD252" s="82">
        <f>($Q252-$H252)*100</f>
        <v/>
      </c>
      <c r="BE252" s="82">
        <f>($S252-$J252)*100</f>
        <v/>
      </c>
      <c r="BF252" s="82">
        <f>($V252-$L252)*100</f>
        <v/>
      </c>
      <c r="BG252" s="82">
        <f>$AG252-$AF252</f>
        <v/>
      </c>
      <c r="BH252" s="81">
        <f>IFERROR($AG252/$AF252,"")</f>
        <v/>
      </c>
      <c r="BI252" s="82">
        <f>$AJ252-$AF252</f>
        <v/>
      </c>
      <c r="BJ252" s="81">
        <f>IFERROR($AJ252/$AG252,"")</f>
        <v/>
      </c>
      <c r="BK252" s="81">
        <f>$X252</f>
        <v/>
      </c>
      <c r="BL252" s="82">
        <f>($J252-$J253)*100</f>
        <v/>
      </c>
      <c r="BM252" s="82">
        <f>($F252-$F253)*100</f>
        <v/>
      </c>
      <c r="BN252" s="82">
        <f>$AF252-$AF253</f>
        <v/>
      </c>
      <c r="BO252" s="82">
        <f>$AG252-$AG253</f>
        <v/>
      </c>
      <c r="BP252" s="82">
        <f>$AJ252-$AJ253</f>
        <v/>
      </c>
    </row>
    <row r="253">
      <c r="AR253" s="81">
        <f>($G253+($H253-$G253)*0.5)+($P253-($O253+($Q253-$O253)*0.5))</f>
        <v/>
      </c>
      <c r="AS253" s="81">
        <f>($J253+($K253-$J253)*0.5)+($T253-($S253+($U253-$S253)*0.5))</f>
        <v/>
      </c>
      <c r="AT253" s="82">
        <f>($J253-$C253)*100</f>
        <v/>
      </c>
      <c r="AU253" s="82">
        <f>($H253-$F253)*100</f>
        <v/>
      </c>
      <c r="AV253" s="82">
        <f>($J253-$F253)*100</f>
        <v/>
      </c>
      <c r="AW253" s="82">
        <f>($L253-$F253)*100</f>
        <v/>
      </c>
      <c r="AX253" s="82">
        <f>($J253-$H253)*100</f>
        <v/>
      </c>
      <c r="AY253" s="82">
        <f>($L253-$H253)*100</f>
        <v/>
      </c>
      <c r="AZ253" s="82">
        <f>($L253-$J253)*100</f>
        <v/>
      </c>
      <c r="BA253" s="82">
        <f>(2*$H253-$F253-$J253)*100</f>
        <v/>
      </c>
      <c r="BB253" s="82">
        <f>(2*$J253-$H253-$L253)*100</f>
        <v/>
      </c>
      <c r="BC253" s="82">
        <f>($N253-$F253)*100</f>
        <v/>
      </c>
      <c r="BD253" s="82">
        <f>($Q253-$H253)*100</f>
        <v/>
      </c>
      <c r="BE253" s="82">
        <f>($S253-$J253)*100</f>
        <v/>
      </c>
      <c r="BF253" s="82">
        <f>($V253-$L253)*100</f>
        <v/>
      </c>
      <c r="BG253" s="82">
        <f>$AG253-$AF253</f>
        <v/>
      </c>
      <c r="BH253" s="81">
        <f>IFERROR($AG253/$AF253,"")</f>
        <v/>
      </c>
      <c r="BI253" s="82">
        <f>$AJ253-$AF253</f>
        <v/>
      </c>
      <c r="BJ253" s="81">
        <f>IFERROR($AJ253/$AG253,"")</f>
        <v/>
      </c>
      <c r="BK253" s="81">
        <f>$X253</f>
        <v/>
      </c>
      <c r="BL253" s="82">
        <f>($J253-$J254)*100</f>
        <v/>
      </c>
      <c r="BM253" s="82">
        <f>($F253-$F254)*100</f>
        <v/>
      </c>
      <c r="BN253" s="82">
        <f>$AF253-$AF254</f>
        <v/>
      </c>
      <c r="BO253" s="82">
        <f>$AG253-$AG254</f>
        <v/>
      </c>
      <c r="BP253" s="82">
        <f>$AJ253-$AJ254</f>
        <v/>
      </c>
    </row>
    <row r="254">
      <c r="AR254" s="81">
        <f>($G254+($H254-$G254)*0.5)+($P254-($O254+($Q254-$O254)*0.5))</f>
        <v/>
      </c>
      <c r="AS254" s="81">
        <f>($J254+($K254-$J254)*0.5)+($T254-($S254+($U254-$S254)*0.5))</f>
        <v/>
      </c>
      <c r="AT254" s="82">
        <f>($J254-$C254)*100</f>
        <v/>
      </c>
      <c r="AU254" s="82">
        <f>($H254-$F254)*100</f>
        <v/>
      </c>
      <c r="AV254" s="82">
        <f>($J254-$F254)*100</f>
        <v/>
      </c>
      <c r="AW254" s="82">
        <f>($L254-$F254)*100</f>
        <v/>
      </c>
      <c r="AX254" s="82">
        <f>($J254-$H254)*100</f>
        <v/>
      </c>
      <c r="AY254" s="82">
        <f>($L254-$H254)*100</f>
        <v/>
      </c>
      <c r="AZ254" s="82">
        <f>($L254-$J254)*100</f>
        <v/>
      </c>
      <c r="BA254" s="82">
        <f>(2*$H254-$F254-$J254)*100</f>
        <v/>
      </c>
      <c r="BB254" s="82">
        <f>(2*$J254-$H254-$L254)*100</f>
        <v/>
      </c>
      <c r="BC254" s="82">
        <f>($N254-$F254)*100</f>
        <v/>
      </c>
      <c r="BD254" s="82">
        <f>($Q254-$H254)*100</f>
        <v/>
      </c>
      <c r="BE254" s="82">
        <f>($S254-$J254)*100</f>
        <v/>
      </c>
      <c r="BF254" s="82">
        <f>($V254-$L254)*100</f>
        <v/>
      </c>
      <c r="BG254" s="82">
        <f>$AG254-$AF254</f>
        <v/>
      </c>
      <c r="BH254" s="81">
        <f>IFERROR($AG254/$AF254,"")</f>
        <v/>
      </c>
      <c r="BI254" s="82">
        <f>$AJ254-$AF254</f>
        <v/>
      </c>
      <c r="BJ254" s="81">
        <f>IFERROR($AJ254/$AG254,"")</f>
        <v/>
      </c>
      <c r="BK254" s="81">
        <f>$X254</f>
        <v/>
      </c>
      <c r="BL254" s="82">
        <f>($J254-$J255)*100</f>
        <v/>
      </c>
      <c r="BM254" s="82">
        <f>($F254-$F255)*100</f>
        <v/>
      </c>
      <c r="BN254" s="82">
        <f>$AF254-$AF255</f>
        <v/>
      </c>
      <c r="BO254" s="82">
        <f>$AG254-$AG255</f>
        <v/>
      </c>
      <c r="BP254" s="82">
        <f>$AJ254-$AJ255</f>
        <v/>
      </c>
    </row>
    <row r="255">
      <c r="AR255" s="81">
        <f>($G255+($H255-$G255)*0.5)+($P255-($O255+($Q255-$O255)*0.5))</f>
        <v/>
      </c>
      <c r="AS255" s="81">
        <f>($J255+($K255-$J255)*0.5)+($T255-($S255+($U255-$S255)*0.5))</f>
        <v/>
      </c>
      <c r="AT255" s="82">
        <f>($J255-$C255)*100</f>
        <v/>
      </c>
      <c r="AU255" s="82">
        <f>($H255-$F255)*100</f>
        <v/>
      </c>
      <c r="AV255" s="82">
        <f>($J255-$F255)*100</f>
        <v/>
      </c>
      <c r="AW255" s="82">
        <f>($L255-$F255)*100</f>
        <v/>
      </c>
      <c r="AX255" s="82">
        <f>($J255-$H255)*100</f>
        <v/>
      </c>
      <c r="AY255" s="82">
        <f>($L255-$H255)*100</f>
        <v/>
      </c>
      <c r="AZ255" s="82">
        <f>($L255-$J255)*100</f>
        <v/>
      </c>
      <c r="BA255" s="82">
        <f>(2*$H255-$F255-$J255)*100</f>
        <v/>
      </c>
      <c r="BB255" s="82">
        <f>(2*$J255-$H255-$L255)*100</f>
        <v/>
      </c>
      <c r="BC255" s="82">
        <f>($N255-$F255)*100</f>
        <v/>
      </c>
      <c r="BD255" s="82">
        <f>($Q255-$H255)*100</f>
        <v/>
      </c>
      <c r="BE255" s="82">
        <f>($S255-$J255)*100</f>
        <v/>
      </c>
      <c r="BF255" s="82">
        <f>($V255-$L255)*100</f>
        <v/>
      </c>
      <c r="BG255" s="82">
        <f>$AG255-$AF255</f>
        <v/>
      </c>
      <c r="BH255" s="81">
        <f>IFERROR($AG255/$AF255,"")</f>
        <v/>
      </c>
      <c r="BI255" s="82">
        <f>$AJ255-$AF255</f>
        <v/>
      </c>
      <c r="BJ255" s="81">
        <f>IFERROR($AJ255/$AG255,"")</f>
        <v/>
      </c>
      <c r="BK255" s="81">
        <f>$X255</f>
        <v/>
      </c>
      <c r="BL255" s="82">
        <f>($J255-$J256)*100</f>
        <v/>
      </c>
      <c r="BM255" s="82">
        <f>($F255-$F256)*100</f>
        <v/>
      </c>
      <c r="BN255" s="82">
        <f>$AF255-$AF256</f>
        <v/>
      </c>
      <c r="BO255" s="82">
        <f>$AG255-$AG256</f>
        <v/>
      </c>
      <c r="BP255" s="82">
        <f>$AJ255-$AJ256</f>
        <v/>
      </c>
    </row>
    <row r="256">
      <c r="AR256" s="81">
        <f>($G256+($H256-$G256)*0.5)+($P256-($O256+($Q256-$O256)*0.5))</f>
        <v/>
      </c>
      <c r="AS256" s="81">
        <f>($J256+($K256-$J256)*0.5)+($T256-($S256+($U256-$S256)*0.5))</f>
        <v/>
      </c>
      <c r="AT256" s="82">
        <f>($J256-$C256)*100</f>
        <v/>
      </c>
      <c r="AU256" s="82">
        <f>($H256-$F256)*100</f>
        <v/>
      </c>
      <c r="AV256" s="82">
        <f>($J256-$F256)*100</f>
        <v/>
      </c>
      <c r="AW256" s="82">
        <f>($L256-$F256)*100</f>
        <v/>
      </c>
      <c r="AX256" s="82">
        <f>($J256-$H256)*100</f>
        <v/>
      </c>
      <c r="AY256" s="82">
        <f>($L256-$H256)*100</f>
        <v/>
      </c>
      <c r="AZ256" s="82">
        <f>($L256-$J256)*100</f>
        <v/>
      </c>
      <c r="BA256" s="82">
        <f>(2*$H256-$F256-$J256)*100</f>
        <v/>
      </c>
      <c r="BB256" s="82">
        <f>(2*$J256-$H256-$L256)*100</f>
        <v/>
      </c>
      <c r="BC256" s="82">
        <f>($N256-$F256)*100</f>
        <v/>
      </c>
      <c r="BD256" s="82">
        <f>($Q256-$H256)*100</f>
        <v/>
      </c>
      <c r="BE256" s="82">
        <f>($S256-$J256)*100</f>
        <v/>
      </c>
      <c r="BF256" s="82">
        <f>($V256-$L256)*100</f>
        <v/>
      </c>
      <c r="BG256" s="82">
        <f>$AG256-$AF256</f>
        <v/>
      </c>
      <c r="BH256" s="81">
        <f>IFERROR($AG256/$AF256,"")</f>
        <v/>
      </c>
      <c r="BI256" s="82">
        <f>$AJ256-$AF256</f>
        <v/>
      </c>
      <c r="BJ256" s="81">
        <f>IFERROR($AJ256/$AG256,"")</f>
        <v/>
      </c>
      <c r="BK256" s="81">
        <f>$X256</f>
        <v/>
      </c>
      <c r="BL256" s="82">
        <f>($J256-$J257)*100</f>
        <v/>
      </c>
      <c r="BM256" s="82">
        <f>($F256-$F257)*100</f>
        <v/>
      </c>
      <c r="BN256" s="82">
        <f>$AF256-$AF257</f>
        <v/>
      </c>
      <c r="BO256" s="82">
        <f>$AG256-$AG257</f>
        <v/>
      </c>
      <c r="BP256" s="82">
        <f>$AJ256-$AJ257</f>
        <v/>
      </c>
    </row>
    <row r="257">
      <c r="AR257" s="81">
        <f>($G257+($H257-$G257)*0.5)+($P257-($O257+($Q257-$O257)*0.5))</f>
        <v/>
      </c>
      <c r="AS257" s="81">
        <f>($J257+($K257-$J257)*0.5)+($T257-($S257+($U257-$S257)*0.5))</f>
        <v/>
      </c>
      <c r="AT257" s="82">
        <f>($J257-$C257)*100</f>
        <v/>
      </c>
      <c r="AU257" s="82">
        <f>($H257-$F257)*100</f>
        <v/>
      </c>
      <c r="AV257" s="82">
        <f>($J257-$F257)*100</f>
        <v/>
      </c>
      <c r="AW257" s="82">
        <f>($L257-$F257)*100</f>
        <v/>
      </c>
      <c r="AX257" s="82">
        <f>($J257-$H257)*100</f>
        <v/>
      </c>
      <c r="AY257" s="82">
        <f>($L257-$H257)*100</f>
        <v/>
      </c>
      <c r="AZ257" s="82">
        <f>($L257-$J257)*100</f>
        <v/>
      </c>
      <c r="BA257" s="82">
        <f>(2*$H257-$F257-$J257)*100</f>
        <v/>
      </c>
      <c r="BB257" s="82">
        <f>(2*$J257-$H257-$L257)*100</f>
        <v/>
      </c>
      <c r="BC257" s="82">
        <f>($N257-$F257)*100</f>
        <v/>
      </c>
      <c r="BD257" s="82">
        <f>($Q257-$H257)*100</f>
        <v/>
      </c>
      <c r="BE257" s="82">
        <f>($S257-$J257)*100</f>
        <v/>
      </c>
      <c r="BF257" s="82">
        <f>($V257-$L257)*100</f>
        <v/>
      </c>
      <c r="BG257" s="82">
        <f>$AG257-$AF257</f>
        <v/>
      </c>
      <c r="BH257" s="81">
        <f>IFERROR($AG257/$AF257,"")</f>
        <v/>
      </c>
      <c r="BI257" s="82">
        <f>$AJ257-$AF257</f>
        <v/>
      </c>
      <c r="BJ257" s="81">
        <f>IFERROR($AJ257/$AG257,"")</f>
        <v/>
      </c>
      <c r="BK257" s="81">
        <f>$X257</f>
        <v/>
      </c>
      <c r="BL257" s="82">
        <f>($J257-$J258)*100</f>
        <v/>
      </c>
      <c r="BM257" s="82">
        <f>($F257-$F258)*100</f>
        <v/>
      </c>
      <c r="BN257" s="82">
        <f>$AF257-$AF258</f>
        <v/>
      </c>
      <c r="BO257" s="82">
        <f>$AG257-$AG258</f>
        <v/>
      </c>
      <c r="BP257" s="82">
        <f>$AJ257-$AJ258</f>
        <v/>
      </c>
    </row>
    <row r="258">
      <c r="AR258" s="81">
        <f>($G258+($H258-$G258)*0.5)+($P258-($O258+($Q258-$O258)*0.5))</f>
        <v/>
      </c>
      <c r="AS258" s="81">
        <f>($J258+($K258-$J258)*0.5)+($T258-($S258+($U258-$S258)*0.5))</f>
        <v/>
      </c>
      <c r="AT258" s="82">
        <f>($J258-$C258)*100</f>
        <v/>
      </c>
      <c r="AU258" s="82">
        <f>($H258-$F258)*100</f>
        <v/>
      </c>
      <c r="AV258" s="82">
        <f>($J258-$F258)*100</f>
        <v/>
      </c>
      <c r="AW258" s="82">
        <f>($L258-$F258)*100</f>
        <v/>
      </c>
      <c r="AX258" s="82">
        <f>($J258-$H258)*100</f>
        <v/>
      </c>
      <c r="AY258" s="82">
        <f>($L258-$H258)*100</f>
        <v/>
      </c>
      <c r="AZ258" s="82">
        <f>($L258-$J258)*100</f>
        <v/>
      </c>
      <c r="BA258" s="82">
        <f>(2*$H258-$F258-$J258)*100</f>
        <v/>
      </c>
      <c r="BB258" s="82">
        <f>(2*$J258-$H258-$L258)*100</f>
        <v/>
      </c>
      <c r="BC258" s="82">
        <f>($N258-$F258)*100</f>
        <v/>
      </c>
      <c r="BD258" s="82">
        <f>($Q258-$H258)*100</f>
        <v/>
      </c>
      <c r="BE258" s="82">
        <f>($S258-$J258)*100</f>
        <v/>
      </c>
      <c r="BF258" s="82">
        <f>($V258-$L258)*100</f>
        <v/>
      </c>
      <c r="BG258" s="82">
        <f>$AG258-$AF258</f>
        <v/>
      </c>
      <c r="BH258" s="81">
        <f>IFERROR($AG258/$AF258,"")</f>
        <v/>
      </c>
      <c r="BI258" s="82">
        <f>$AJ258-$AF258</f>
        <v/>
      </c>
      <c r="BJ258" s="81">
        <f>IFERROR($AJ258/$AG258,"")</f>
        <v/>
      </c>
      <c r="BK258" s="81">
        <f>$X258</f>
        <v/>
      </c>
      <c r="BL258" s="82">
        <f>($J258-$J259)*100</f>
        <v/>
      </c>
      <c r="BM258" s="82">
        <f>($F258-$F259)*100</f>
        <v/>
      </c>
      <c r="BN258" s="82">
        <f>$AF258-$AF259</f>
        <v/>
      </c>
      <c r="BO258" s="82">
        <f>$AG258-$AG259</f>
        <v/>
      </c>
      <c r="BP258" s="82">
        <f>$AJ258-$AJ259</f>
        <v/>
      </c>
    </row>
    <row r="259">
      <c r="AR259" s="81">
        <f>($G259+($H259-$G259)*0.5)+($P259-($O259+($Q259-$O259)*0.5))</f>
        <v/>
      </c>
      <c r="AS259" s="81">
        <f>($J259+($K259-$J259)*0.5)+($T259-($S259+($U259-$S259)*0.5))</f>
        <v/>
      </c>
      <c r="AT259" s="82">
        <f>($J259-$C259)*100</f>
        <v/>
      </c>
      <c r="AU259" s="82">
        <f>($H259-$F259)*100</f>
        <v/>
      </c>
      <c r="AV259" s="82">
        <f>($J259-$F259)*100</f>
        <v/>
      </c>
      <c r="AW259" s="82">
        <f>($L259-$F259)*100</f>
        <v/>
      </c>
      <c r="AX259" s="82">
        <f>($J259-$H259)*100</f>
        <v/>
      </c>
      <c r="AY259" s="82">
        <f>($L259-$H259)*100</f>
        <v/>
      </c>
      <c r="AZ259" s="82">
        <f>($L259-$J259)*100</f>
        <v/>
      </c>
      <c r="BA259" s="82">
        <f>(2*$H259-$F259-$J259)*100</f>
        <v/>
      </c>
      <c r="BB259" s="82">
        <f>(2*$J259-$H259-$L259)*100</f>
        <v/>
      </c>
      <c r="BC259" s="82">
        <f>($N259-$F259)*100</f>
        <v/>
      </c>
      <c r="BD259" s="82">
        <f>($Q259-$H259)*100</f>
        <v/>
      </c>
      <c r="BE259" s="82">
        <f>($S259-$J259)*100</f>
        <v/>
      </c>
      <c r="BF259" s="82">
        <f>($V259-$L259)*100</f>
        <v/>
      </c>
      <c r="BG259" s="82">
        <f>$AG259-$AF259</f>
        <v/>
      </c>
      <c r="BH259" s="81">
        <f>IFERROR($AG259/$AF259,"")</f>
        <v/>
      </c>
      <c r="BI259" s="82">
        <f>$AJ259-$AF259</f>
        <v/>
      </c>
      <c r="BJ259" s="81">
        <f>IFERROR($AJ259/$AG259,"")</f>
        <v/>
      </c>
      <c r="BK259" s="81">
        <f>$X259</f>
        <v/>
      </c>
      <c r="BL259" s="82">
        <f>($J259-$J260)*100</f>
        <v/>
      </c>
      <c r="BM259" s="82">
        <f>($F259-$F260)*100</f>
        <v/>
      </c>
      <c r="BN259" s="82">
        <f>$AF259-$AF260</f>
        <v/>
      </c>
      <c r="BO259" s="82">
        <f>$AG259-$AG260</f>
        <v/>
      </c>
      <c r="BP259" s="82">
        <f>$AJ259-$AJ260</f>
        <v/>
      </c>
    </row>
    <row r="260">
      <c r="AR260" s="81">
        <f>($G260+($H260-$G260)*0.5)+($P260-($O260+($Q260-$O260)*0.5))</f>
        <v/>
      </c>
      <c r="AS260" s="81">
        <f>($J260+($K260-$J260)*0.5)+($T260-($S260+($U260-$S260)*0.5))</f>
        <v/>
      </c>
      <c r="AT260" s="82">
        <f>($J260-$C260)*100</f>
        <v/>
      </c>
      <c r="AU260" s="82">
        <f>($H260-$F260)*100</f>
        <v/>
      </c>
      <c r="AV260" s="82">
        <f>($J260-$F260)*100</f>
        <v/>
      </c>
      <c r="AW260" s="82">
        <f>($L260-$F260)*100</f>
        <v/>
      </c>
      <c r="AX260" s="82">
        <f>($J260-$H260)*100</f>
        <v/>
      </c>
      <c r="AY260" s="82">
        <f>($L260-$H260)*100</f>
        <v/>
      </c>
      <c r="AZ260" s="82">
        <f>($L260-$J260)*100</f>
        <v/>
      </c>
      <c r="BA260" s="82">
        <f>(2*$H260-$F260-$J260)*100</f>
        <v/>
      </c>
      <c r="BB260" s="82">
        <f>(2*$J260-$H260-$L260)*100</f>
        <v/>
      </c>
      <c r="BC260" s="82">
        <f>($N260-$F260)*100</f>
        <v/>
      </c>
      <c r="BD260" s="82">
        <f>($Q260-$H260)*100</f>
        <v/>
      </c>
      <c r="BE260" s="82">
        <f>($S260-$J260)*100</f>
        <v/>
      </c>
      <c r="BF260" s="82">
        <f>($V260-$L260)*100</f>
        <v/>
      </c>
      <c r="BG260" s="82">
        <f>$AG260-$AF260</f>
        <v/>
      </c>
      <c r="BH260" s="81">
        <f>IFERROR($AG260/$AF260,"")</f>
        <v/>
      </c>
      <c r="BI260" s="82">
        <f>$AJ260-$AF260</f>
        <v/>
      </c>
      <c r="BJ260" s="81">
        <f>IFERROR($AJ260/$AG260,"")</f>
        <v/>
      </c>
      <c r="BK260" s="81">
        <f>$X260</f>
        <v/>
      </c>
      <c r="BL260" s="82">
        <f>($J260-$J261)*100</f>
        <v/>
      </c>
      <c r="BM260" s="82">
        <f>($F260-$F261)*100</f>
        <v/>
      </c>
      <c r="BN260" s="82">
        <f>$AF260-$AF261</f>
        <v/>
      </c>
      <c r="BO260" s="82">
        <f>$AG260-$AG261</f>
        <v/>
      </c>
      <c r="BP260" s="82">
        <f>$AJ260-$AJ261</f>
        <v/>
      </c>
    </row>
    <row r="261">
      <c r="AR261" s="81">
        <f>($G261+($H261-$G261)*0.5)+($P261-($O261+($Q261-$O261)*0.5))</f>
        <v/>
      </c>
      <c r="AS261" s="81">
        <f>($J261+($K261-$J261)*0.5)+($T261-($S261+($U261-$S261)*0.5))</f>
        <v/>
      </c>
      <c r="AT261" s="82">
        <f>($J261-$C261)*100</f>
        <v/>
      </c>
      <c r="AU261" s="82">
        <f>($H261-$F261)*100</f>
        <v/>
      </c>
      <c r="AV261" s="82">
        <f>($J261-$F261)*100</f>
        <v/>
      </c>
      <c r="AW261" s="82">
        <f>($L261-$F261)*100</f>
        <v/>
      </c>
      <c r="AX261" s="82">
        <f>($J261-$H261)*100</f>
        <v/>
      </c>
      <c r="AY261" s="82">
        <f>($L261-$H261)*100</f>
        <v/>
      </c>
      <c r="AZ261" s="82">
        <f>($L261-$J261)*100</f>
        <v/>
      </c>
      <c r="BA261" s="82">
        <f>(2*$H261-$F261-$J261)*100</f>
        <v/>
      </c>
      <c r="BB261" s="82">
        <f>(2*$J261-$H261-$L261)*100</f>
        <v/>
      </c>
      <c r="BC261" s="82">
        <f>($N261-$F261)*100</f>
        <v/>
      </c>
      <c r="BD261" s="82">
        <f>($Q261-$H261)*100</f>
        <v/>
      </c>
      <c r="BE261" s="82">
        <f>($S261-$J261)*100</f>
        <v/>
      </c>
      <c r="BF261" s="82">
        <f>($V261-$L261)*100</f>
        <v/>
      </c>
      <c r="BG261" s="82">
        <f>$AG261-$AF261</f>
        <v/>
      </c>
      <c r="BH261" s="81">
        <f>IFERROR($AG261/$AF261,"")</f>
        <v/>
      </c>
      <c r="BI261" s="82">
        <f>$AJ261-$AF261</f>
        <v/>
      </c>
      <c r="BJ261" s="81">
        <f>IFERROR($AJ261/$AG261,"")</f>
        <v/>
      </c>
      <c r="BK261" s="81">
        <f>$X261</f>
        <v/>
      </c>
      <c r="BL261" s="82">
        <f>($J261-$J262)*100</f>
        <v/>
      </c>
      <c r="BM261" s="82">
        <f>($F261-$F262)*100</f>
        <v/>
      </c>
      <c r="BN261" s="82">
        <f>$AF261-$AF262</f>
        <v/>
      </c>
      <c r="BO261" s="82">
        <f>$AG261-$AG262</f>
        <v/>
      </c>
      <c r="BP261" s="82">
        <f>$AJ261-$AJ262</f>
        <v/>
      </c>
    </row>
    <row r="262">
      <c r="AR262" s="81">
        <f>($G262+($H262-$G262)*0.5)+($P262-($O262+($Q262-$O262)*0.5))</f>
        <v/>
      </c>
      <c r="AS262" s="81">
        <f>($J262+($K262-$J262)*0.5)+($T262-($S262+($U262-$S262)*0.5))</f>
        <v/>
      </c>
      <c r="AT262" s="82">
        <f>($J262-$C262)*100</f>
        <v/>
      </c>
      <c r="AU262" s="82">
        <f>($H262-$F262)*100</f>
        <v/>
      </c>
      <c r="AV262" s="82">
        <f>($J262-$F262)*100</f>
        <v/>
      </c>
      <c r="AW262" s="82">
        <f>($L262-$F262)*100</f>
        <v/>
      </c>
      <c r="AX262" s="82">
        <f>($J262-$H262)*100</f>
        <v/>
      </c>
      <c r="AY262" s="82">
        <f>($L262-$H262)*100</f>
        <v/>
      </c>
      <c r="AZ262" s="82">
        <f>($L262-$J262)*100</f>
        <v/>
      </c>
      <c r="BA262" s="82">
        <f>(2*$H262-$F262-$J262)*100</f>
        <v/>
      </c>
      <c r="BB262" s="82">
        <f>(2*$J262-$H262-$L262)*100</f>
        <v/>
      </c>
      <c r="BC262" s="82">
        <f>($N262-$F262)*100</f>
        <v/>
      </c>
      <c r="BD262" s="82">
        <f>($Q262-$H262)*100</f>
        <v/>
      </c>
      <c r="BE262" s="82">
        <f>($S262-$J262)*100</f>
        <v/>
      </c>
      <c r="BF262" s="82">
        <f>($V262-$L262)*100</f>
        <v/>
      </c>
      <c r="BG262" s="82">
        <f>$AG262-$AF262</f>
        <v/>
      </c>
      <c r="BH262" s="81">
        <f>IFERROR($AG262/$AF262,"")</f>
        <v/>
      </c>
      <c r="BI262" s="82">
        <f>$AJ262-$AF262</f>
        <v/>
      </c>
      <c r="BJ262" s="81">
        <f>IFERROR($AJ262/$AG262,"")</f>
        <v/>
      </c>
      <c r="BK262" s="81">
        <f>$X262</f>
        <v/>
      </c>
      <c r="BL262" s="82">
        <f>($J262-$J263)*100</f>
        <v/>
      </c>
      <c r="BM262" s="82">
        <f>($F262-$F263)*100</f>
        <v/>
      </c>
      <c r="BN262" s="82">
        <f>$AF262-$AF263</f>
        <v/>
      </c>
      <c r="BO262" s="82">
        <f>$AG262-$AG263</f>
        <v/>
      </c>
      <c r="BP262" s="82">
        <f>$AJ262-$AJ263</f>
        <v/>
      </c>
    </row>
    <row r="263">
      <c r="AR263" s="81">
        <f>($G263+($H263-$G263)*0.5)+($P263-($O263+($Q263-$O263)*0.5))</f>
        <v/>
      </c>
      <c r="AS263" s="81">
        <f>($J263+($K263-$J263)*0.5)+($T263-($S263+($U263-$S263)*0.5))</f>
        <v/>
      </c>
      <c r="AT263" s="82">
        <f>($J263-$C263)*100</f>
        <v/>
      </c>
      <c r="AU263" s="82">
        <f>($H263-$F263)*100</f>
        <v/>
      </c>
      <c r="AV263" s="82">
        <f>($J263-$F263)*100</f>
        <v/>
      </c>
      <c r="AW263" s="82">
        <f>($L263-$F263)*100</f>
        <v/>
      </c>
      <c r="AX263" s="82">
        <f>($J263-$H263)*100</f>
        <v/>
      </c>
      <c r="AY263" s="82">
        <f>($L263-$H263)*100</f>
        <v/>
      </c>
      <c r="AZ263" s="82">
        <f>($L263-$J263)*100</f>
        <v/>
      </c>
      <c r="BA263" s="82">
        <f>(2*$H263-$F263-$J263)*100</f>
        <v/>
      </c>
      <c r="BB263" s="82">
        <f>(2*$J263-$H263-$L263)*100</f>
        <v/>
      </c>
      <c r="BC263" s="82">
        <f>($N263-$F263)*100</f>
        <v/>
      </c>
      <c r="BD263" s="82">
        <f>($Q263-$H263)*100</f>
        <v/>
      </c>
      <c r="BE263" s="82">
        <f>($S263-$J263)*100</f>
        <v/>
      </c>
      <c r="BF263" s="82">
        <f>($V263-$L263)*100</f>
        <v/>
      </c>
      <c r="BG263" s="82">
        <f>$AG263-$AF263</f>
        <v/>
      </c>
      <c r="BH263" s="81">
        <f>IFERROR($AG263/$AF263,"")</f>
        <v/>
      </c>
      <c r="BI263" s="82">
        <f>$AJ263-$AF263</f>
        <v/>
      </c>
      <c r="BJ263" s="81">
        <f>IFERROR($AJ263/$AG263,"")</f>
        <v/>
      </c>
      <c r="BK263" s="81">
        <f>$X263</f>
        <v/>
      </c>
      <c r="BL263" s="82">
        <f>($J263-$J264)*100</f>
        <v/>
      </c>
      <c r="BM263" s="82">
        <f>($F263-$F264)*100</f>
        <v/>
      </c>
      <c r="BN263" s="82">
        <f>$AF263-$AF264</f>
        <v/>
      </c>
      <c r="BO263" s="82">
        <f>$AG263-$AG264</f>
        <v/>
      </c>
      <c r="BP263" s="82">
        <f>$AJ263-$AJ264</f>
        <v/>
      </c>
    </row>
    <row r="264">
      <c r="AR264" s="81">
        <f>($G264+($H264-$G264)*0.5)+($P264-($O264+($Q264-$O264)*0.5))</f>
        <v/>
      </c>
      <c r="AS264" s="81">
        <f>($J264+($K264-$J264)*0.5)+($T264-($S264+($U264-$S264)*0.5))</f>
        <v/>
      </c>
      <c r="AT264" s="82">
        <f>($J264-$C264)*100</f>
        <v/>
      </c>
      <c r="AU264" s="82">
        <f>($H264-$F264)*100</f>
        <v/>
      </c>
      <c r="AV264" s="82">
        <f>($J264-$F264)*100</f>
        <v/>
      </c>
      <c r="AW264" s="82">
        <f>($L264-$F264)*100</f>
        <v/>
      </c>
      <c r="AX264" s="82">
        <f>($J264-$H264)*100</f>
        <v/>
      </c>
      <c r="AY264" s="82">
        <f>($L264-$H264)*100</f>
        <v/>
      </c>
      <c r="AZ264" s="82">
        <f>($L264-$J264)*100</f>
        <v/>
      </c>
      <c r="BA264" s="82">
        <f>(2*$H264-$F264-$J264)*100</f>
        <v/>
      </c>
      <c r="BB264" s="82">
        <f>(2*$J264-$H264-$L264)*100</f>
        <v/>
      </c>
      <c r="BC264" s="82">
        <f>($N264-$F264)*100</f>
        <v/>
      </c>
      <c r="BD264" s="82">
        <f>($Q264-$H264)*100</f>
        <v/>
      </c>
      <c r="BE264" s="82">
        <f>($S264-$J264)*100</f>
        <v/>
      </c>
      <c r="BF264" s="82">
        <f>($V264-$L264)*100</f>
        <v/>
      </c>
      <c r="BG264" s="82">
        <f>$AG264-$AF264</f>
        <v/>
      </c>
      <c r="BH264" s="81">
        <f>IFERROR($AG264/$AF264,"")</f>
        <v/>
      </c>
      <c r="BI264" s="82">
        <f>$AJ264-$AF264</f>
        <v/>
      </c>
      <c r="BJ264" s="81">
        <f>IFERROR($AJ264/$AG264,"")</f>
        <v/>
      </c>
      <c r="BK264" s="81">
        <f>$X264</f>
        <v/>
      </c>
      <c r="BL264" s="82">
        <f>($J264-$J265)*100</f>
        <v/>
      </c>
      <c r="BM264" s="82">
        <f>($F264-$F265)*100</f>
        <v/>
      </c>
      <c r="BN264" s="82">
        <f>$AF264-$AF265</f>
        <v/>
      </c>
      <c r="BO264" s="82">
        <f>$AG264-$AG265</f>
        <v/>
      </c>
      <c r="BP264" s="82">
        <f>$AJ264-$AJ265</f>
        <v/>
      </c>
    </row>
    <row r="265">
      <c r="AR265" s="81">
        <f>($G265+($H265-$G265)*0.5)+($P265-($O265+($Q265-$O265)*0.5))</f>
        <v/>
      </c>
      <c r="AS265" s="81">
        <f>($J265+($K265-$J265)*0.5)+($T265-($S265+($U265-$S265)*0.5))</f>
        <v/>
      </c>
      <c r="AT265" s="82">
        <f>($J265-$C265)*100</f>
        <v/>
      </c>
      <c r="AU265" s="82">
        <f>($H265-$F265)*100</f>
        <v/>
      </c>
      <c r="AV265" s="82">
        <f>($J265-$F265)*100</f>
        <v/>
      </c>
      <c r="AW265" s="82">
        <f>($L265-$F265)*100</f>
        <v/>
      </c>
      <c r="AX265" s="82">
        <f>($J265-$H265)*100</f>
        <v/>
      </c>
      <c r="AY265" s="82">
        <f>($L265-$H265)*100</f>
        <v/>
      </c>
      <c r="AZ265" s="82">
        <f>($L265-$J265)*100</f>
        <v/>
      </c>
      <c r="BA265" s="82">
        <f>(2*$H265-$F265-$J265)*100</f>
        <v/>
      </c>
      <c r="BB265" s="82">
        <f>(2*$J265-$H265-$L265)*100</f>
        <v/>
      </c>
      <c r="BC265" s="82">
        <f>($N265-$F265)*100</f>
        <v/>
      </c>
      <c r="BD265" s="82">
        <f>($Q265-$H265)*100</f>
        <v/>
      </c>
      <c r="BE265" s="82">
        <f>($S265-$J265)*100</f>
        <v/>
      </c>
      <c r="BF265" s="82">
        <f>($V265-$L265)*100</f>
        <v/>
      </c>
      <c r="BG265" s="82">
        <f>$AG265-$AF265</f>
        <v/>
      </c>
      <c r="BH265" s="81">
        <f>IFERROR($AG265/$AF265,"")</f>
        <v/>
      </c>
      <c r="BI265" s="82">
        <f>$AJ265-$AF265</f>
        <v/>
      </c>
      <c r="BJ265" s="81">
        <f>IFERROR($AJ265/$AG265,"")</f>
        <v/>
      </c>
      <c r="BK265" s="81">
        <f>$X265</f>
        <v/>
      </c>
      <c r="BL265" s="82">
        <f>($J265-$J266)*100</f>
        <v/>
      </c>
      <c r="BM265" s="82">
        <f>($F265-$F266)*100</f>
        <v/>
      </c>
      <c r="BN265" s="82">
        <f>$AF265-$AF266</f>
        <v/>
      </c>
      <c r="BO265" s="82">
        <f>$AG265-$AG266</f>
        <v/>
      </c>
      <c r="BP265" s="82">
        <f>$AJ265-$AJ266</f>
        <v/>
      </c>
    </row>
    <row r="266">
      <c r="AR266" s="81">
        <f>($G266+($H266-$G266)*0.5)+($P266-($O266+($Q266-$O266)*0.5))</f>
        <v/>
      </c>
      <c r="AS266" s="81">
        <f>($J266+($K266-$J266)*0.5)+($T266-($S266+($U266-$S266)*0.5))</f>
        <v/>
      </c>
      <c r="AT266" s="82">
        <f>($J266-$C266)*100</f>
        <v/>
      </c>
      <c r="AU266" s="82">
        <f>($H266-$F266)*100</f>
        <v/>
      </c>
      <c r="AV266" s="82">
        <f>($J266-$F266)*100</f>
        <v/>
      </c>
      <c r="AW266" s="82">
        <f>($L266-$F266)*100</f>
        <v/>
      </c>
      <c r="AX266" s="82">
        <f>($J266-$H266)*100</f>
        <v/>
      </c>
      <c r="AY266" s="82">
        <f>($L266-$H266)*100</f>
        <v/>
      </c>
      <c r="AZ266" s="82">
        <f>($L266-$J266)*100</f>
        <v/>
      </c>
      <c r="BA266" s="82">
        <f>(2*$H266-$F266-$J266)*100</f>
        <v/>
      </c>
      <c r="BB266" s="82">
        <f>(2*$J266-$H266-$L266)*100</f>
        <v/>
      </c>
      <c r="BC266" s="82">
        <f>($N266-$F266)*100</f>
        <v/>
      </c>
      <c r="BD266" s="82">
        <f>($Q266-$H266)*100</f>
        <v/>
      </c>
      <c r="BE266" s="82">
        <f>($S266-$J266)*100</f>
        <v/>
      </c>
      <c r="BF266" s="82">
        <f>($V266-$L266)*100</f>
        <v/>
      </c>
      <c r="BG266" s="82">
        <f>$AG266-$AF266</f>
        <v/>
      </c>
      <c r="BH266" s="81">
        <f>IFERROR($AG266/$AF266,"")</f>
        <v/>
      </c>
      <c r="BI266" s="82">
        <f>$AJ266-$AF266</f>
        <v/>
      </c>
      <c r="BJ266" s="81">
        <f>IFERROR($AJ266/$AG266,"")</f>
        <v/>
      </c>
      <c r="BK266" s="81">
        <f>$X266</f>
        <v/>
      </c>
      <c r="BL266" s="82">
        <f>($J266-$J267)*100</f>
        <v/>
      </c>
      <c r="BM266" s="82">
        <f>($F266-$F267)*100</f>
        <v/>
      </c>
      <c r="BN266" s="82">
        <f>$AF266-$AF267</f>
        <v/>
      </c>
      <c r="BO266" s="82">
        <f>$AG266-$AG267</f>
        <v/>
      </c>
      <c r="BP266" s="82">
        <f>$AJ266-$AJ267</f>
        <v/>
      </c>
    </row>
    <row r="267">
      <c r="AR267" s="81">
        <f>($G267+($H267-$G267)*0.5)+($P267-($O267+($Q267-$O267)*0.5))</f>
        <v/>
      </c>
      <c r="AS267" s="81">
        <f>($J267+($K267-$J267)*0.5)+($T267-($S267+($U267-$S267)*0.5))</f>
        <v/>
      </c>
      <c r="AT267" s="82">
        <f>($J267-$C267)*100</f>
        <v/>
      </c>
      <c r="AU267" s="82">
        <f>($H267-$F267)*100</f>
        <v/>
      </c>
      <c r="AV267" s="82">
        <f>($J267-$F267)*100</f>
        <v/>
      </c>
      <c r="AW267" s="82">
        <f>($L267-$F267)*100</f>
        <v/>
      </c>
      <c r="AX267" s="82">
        <f>($J267-$H267)*100</f>
        <v/>
      </c>
      <c r="AY267" s="82">
        <f>($L267-$H267)*100</f>
        <v/>
      </c>
      <c r="AZ267" s="82">
        <f>($L267-$J267)*100</f>
        <v/>
      </c>
      <c r="BA267" s="82">
        <f>(2*$H267-$F267-$J267)*100</f>
        <v/>
      </c>
      <c r="BB267" s="82">
        <f>(2*$J267-$H267-$L267)*100</f>
        <v/>
      </c>
      <c r="BC267" s="82">
        <f>($N267-$F267)*100</f>
        <v/>
      </c>
      <c r="BD267" s="82">
        <f>($Q267-$H267)*100</f>
        <v/>
      </c>
      <c r="BE267" s="82">
        <f>($S267-$J267)*100</f>
        <v/>
      </c>
      <c r="BF267" s="82">
        <f>($V267-$L267)*100</f>
        <v/>
      </c>
      <c r="BG267" s="82">
        <f>$AG267-$AF267</f>
        <v/>
      </c>
      <c r="BH267" s="81">
        <f>IFERROR($AG267/$AF267,"")</f>
        <v/>
      </c>
      <c r="BI267" s="82">
        <f>$AJ267-$AF267</f>
        <v/>
      </c>
      <c r="BJ267" s="81">
        <f>IFERROR($AJ267/$AG267,"")</f>
        <v/>
      </c>
      <c r="BK267" s="81">
        <f>$X267</f>
        <v/>
      </c>
      <c r="BL267" s="82">
        <f>($J267-$J268)*100</f>
        <v/>
      </c>
      <c r="BM267" s="82">
        <f>($F267-$F268)*100</f>
        <v/>
      </c>
      <c r="BN267" s="82">
        <f>$AF267-$AF268</f>
        <v/>
      </c>
      <c r="BO267" s="82">
        <f>$AG267-$AG268</f>
        <v/>
      </c>
      <c r="BP267" s="82">
        <f>$AJ267-$AJ268</f>
        <v/>
      </c>
    </row>
    <row r="268">
      <c r="AR268" s="81">
        <f>($G268+($H268-$G268)*0.5)+($P268-($O268+($Q268-$O268)*0.5))</f>
        <v/>
      </c>
      <c r="AS268" s="81">
        <f>($J268+($K268-$J268)*0.5)+($T268-($S268+($U268-$S268)*0.5))</f>
        <v/>
      </c>
      <c r="AT268" s="82">
        <f>($J268-$C268)*100</f>
        <v/>
      </c>
      <c r="AU268" s="82">
        <f>($H268-$F268)*100</f>
        <v/>
      </c>
      <c r="AV268" s="82">
        <f>($J268-$F268)*100</f>
        <v/>
      </c>
      <c r="AW268" s="82">
        <f>($L268-$F268)*100</f>
        <v/>
      </c>
      <c r="AX268" s="82">
        <f>($J268-$H268)*100</f>
        <v/>
      </c>
      <c r="AY268" s="82">
        <f>($L268-$H268)*100</f>
        <v/>
      </c>
      <c r="AZ268" s="82">
        <f>($L268-$J268)*100</f>
        <v/>
      </c>
      <c r="BA268" s="82">
        <f>(2*$H268-$F268-$J268)*100</f>
        <v/>
      </c>
      <c r="BB268" s="82">
        <f>(2*$J268-$H268-$L268)*100</f>
        <v/>
      </c>
      <c r="BC268" s="82">
        <f>($N268-$F268)*100</f>
        <v/>
      </c>
      <c r="BD268" s="82">
        <f>($Q268-$H268)*100</f>
        <v/>
      </c>
      <c r="BE268" s="82">
        <f>($S268-$J268)*100</f>
        <v/>
      </c>
      <c r="BF268" s="82">
        <f>($V268-$L268)*100</f>
        <v/>
      </c>
      <c r="BG268" s="82">
        <f>$AG268-$AF268</f>
        <v/>
      </c>
      <c r="BH268" s="81">
        <f>IFERROR($AG268/$AF268,"")</f>
        <v/>
      </c>
      <c r="BI268" s="82">
        <f>$AJ268-$AF268</f>
        <v/>
      </c>
      <c r="BJ268" s="81">
        <f>IFERROR($AJ268/$AG268,"")</f>
        <v/>
      </c>
      <c r="BK268" s="81">
        <f>$X268</f>
        <v/>
      </c>
      <c r="BL268" s="82">
        <f>($J268-$J269)*100</f>
        <v/>
      </c>
      <c r="BM268" s="82">
        <f>($F268-$F269)*100</f>
        <v/>
      </c>
      <c r="BN268" s="82">
        <f>$AF268-$AF269</f>
        <v/>
      </c>
      <c r="BO268" s="82">
        <f>$AG268-$AG269</f>
        <v/>
      </c>
      <c r="BP268" s="82">
        <f>$AJ268-$AJ269</f>
        <v/>
      </c>
    </row>
    <row r="269">
      <c r="AR269" s="81">
        <f>($G269+($H269-$G269)*0.5)+($P269-($O269+($Q269-$O269)*0.5))</f>
        <v/>
      </c>
      <c r="AS269" s="81">
        <f>($J269+($K269-$J269)*0.5)+($T269-($S269+($U269-$S269)*0.5))</f>
        <v/>
      </c>
      <c r="AT269" s="82">
        <f>($J269-$C269)*100</f>
        <v/>
      </c>
      <c r="AU269" s="82">
        <f>($H269-$F269)*100</f>
        <v/>
      </c>
      <c r="AV269" s="82">
        <f>($J269-$F269)*100</f>
        <v/>
      </c>
      <c r="AW269" s="82">
        <f>($L269-$F269)*100</f>
        <v/>
      </c>
      <c r="AX269" s="82">
        <f>($J269-$H269)*100</f>
        <v/>
      </c>
      <c r="AY269" s="82">
        <f>($L269-$H269)*100</f>
        <v/>
      </c>
      <c r="AZ269" s="82">
        <f>($L269-$J269)*100</f>
        <v/>
      </c>
      <c r="BA269" s="82">
        <f>(2*$H269-$F269-$J269)*100</f>
        <v/>
      </c>
      <c r="BB269" s="82">
        <f>(2*$J269-$H269-$L269)*100</f>
        <v/>
      </c>
      <c r="BC269" s="82">
        <f>($N269-$F269)*100</f>
        <v/>
      </c>
      <c r="BD269" s="82">
        <f>($Q269-$H269)*100</f>
        <v/>
      </c>
      <c r="BE269" s="82">
        <f>($S269-$J269)*100</f>
        <v/>
      </c>
      <c r="BF269" s="82">
        <f>($V269-$L269)*100</f>
        <v/>
      </c>
      <c r="BG269" s="82">
        <f>$AG269-$AF269</f>
        <v/>
      </c>
      <c r="BH269" s="81">
        <f>IFERROR($AG269/$AF269,"")</f>
        <v/>
      </c>
      <c r="BI269" s="82">
        <f>$AJ269-$AF269</f>
        <v/>
      </c>
      <c r="BJ269" s="81">
        <f>IFERROR($AJ269/$AG269,"")</f>
        <v/>
      </c>
      <c r="BK269" s="81">
        <f>$X269</f>
        <v/>
      </c>
      <c r="BL269" s="82">
        <f>($J269-$J270)*100</f>
        <v/>
      </c>
      <c r="BM269" s="82">
        <f>($F269-$F270)*100</f>
        <v/>
      </c>
      <c r="BN269" s="82">
        <f>$AF269-$AF270</f>
        <v/>
      </c>
      <c r="BO269" s="82">
        <f>$AG269-$AG270</f>
        <v/>
      </c>
      <c r="BP269" s="82">
        <f>$AJ269-$AJ270</f>
        <v/>
      </c>
    </row>
    <row r="270">
      <c r="AR270" s="81">
        <f>($G270+($H270-$G270)*0.5)+($P270-($O270+($Q270-$O270)*0.5))</f>
        <v/>
      </c>
      <c r="AS270" s="81">
        <f>($J270+($K270-$J270)*0.5)+($T270-($S270+($U270-$S270)*0.5))</f>
        <v/>
      </c>
      <c r="AT270" s="82">
        <f>($J270-$C270)*100</f>
        <v/>
      </c>
      <c r="AU270" s="82">
        <f>($H270-$F270)*100</f>
        <v/>
      </c>
      <c r="AV270" s="82">
        <f>($J270-$F270)*100</f>
        <v/>
      </c>
      <c r="AW270" s="82">
        <f>($L270-$F270)*100</f>
        <v/>
      </c>
      <c r="AX270" s="82">
        <f>($J270-$H270)*100</f>
        <v/>
      </c>
      <c r="AY270" s="82">
        <f>($L270-$H270)*100</f>
        <v/>
      </c>
      <c r="AZ270" s="82">
        <f>($L270-$J270)*100</f>
        <v/>
      </c>
      <c r="BA270" s="82">
        <f>(2*$H270-$F270-$J270)*100</f>
        <v/>
      </c>
      <c r="BB270" s="82">
        <f>(2*$J270-$H270-$L270)*100</f>
        <v/>
      </c>
      <c r="BC270" s="82">
        <f>($N270-$F270)*100</f>
        <v/>
      </c>
      <c r="BD270" s="82">
        <f>($Q270-$H270)*100</f>
        <v/>
      </c>
      <c r="BE270" s="82">
        <f>($S270-$J270)*100</f>
        <v/>
      </c>
      <c r="BF270" s="82">
        <f>($V270-$L270)*100</f>
        <v/>
      </c>
      <c r="BG270" s="82">
        <f>$AG270-$AF270</f>
        <v/>
      </c>
      <c r="BH270" s="81">
        <f>IFERROR($AG270/$AF270,"")</f>
        <v/>
      </c>
      <c r="BI270" s="82">
        <f>$AJ270-$AF270</f>
        <v/>
      </c>
      <c r="BJ270" s="81">
        <f>IFERROR($AJ270/$AG270,"")</f>
        <v/>
      </c>
      <c r="BK270" s="81">
        <f>$X270</f>
        <v/>
      </c>
      <c r="BL270" s="82">
        <f>($J270-$J271)*100</f>
        <v/>
      </c>
      <c r="BM270" s="82">
        <f>($F270-$F271)*100</f>
        <v/>
      </c>
      <c r="BN270" s="82">
        <f>$AF270-$AF271</f>
        <v/>
      </c>
      <c r="BO270" s="82">
        <f>$AG270-$AG271</f>
        <v/>
      </c>
      <c r="BP270" s="82">
        <f>$AJ270-$AJ271</f>
        <v/>
      </c>
    </row>
    <row r="271">
      <c r="AR271" s="81">
        <f>($G271+($H271-$G271)*0.5)+($P271-($O271+($Q271-$O271)*0.5))</f>
        <v/>
      </c>
      <c r="AS271" s="81">
        <f>($J271+($K271-$J271)*0.5)+($T271-($S271+($U271-$S271)*0.5))</f>
        <v/>
      </c>
      <c r="AT271" s="82">
        <f>($J271-$C271)*100</f>
        <v/>
      </c>
      <c r="AU271" s="82">
        <f>($H271-$F271)*100</f>
        <v/>
      </c>
      <c r="AV271" s="82">
        <f>($J271-$F271)*100</f>
        <v/>
      </c>
      <c r="AW271" s="82">
        <f>($L271-$F271)*100</f>
        <v/>
      </c>
      <c r="AX271" s="82">
        <f>($J271-$H271)*100</f>
        <v/>
      </c>
      <c r="AY271" s="82">
        <f>($L271-$H271)*100</f>
        <v/>
      </c>
      <c r="AZ271" s="82">
        <f>($L271-$J271)*100</f>
        <v/>
      </c>
      <c r="BA271" s="82">
        <f>(2*$H271-$F271-$J271)*100</f>
        <v/>
      </c>
      <c r="BB271" s="82">
        <f>(2*$J271-$H271-$L271)*100</f>
        <v/>
      </c>
      <c r="BC271" s="82">
        <f>($N271-$F271)*100</f>
        <v/>
      </c>
      <c r="BD271" s="82">
        <f>($Q271-$H271)*100</f>
        <v/>
      </c>
      <c r="BE271" s="82">
        <f>($S271-$J271)*100</f>
        <v/>
      </c>
      <c r="BF271" s="82">
        <f>($V271-$L271)*100</f>
        <v/>
      </c>
      <c r="BG271" s="82">
        <f>$AG271-$AF271</f>
        <v/>
      </c>
      <c r="BH271" s="81">
        <f>IFERROR($AG271/$AF271,"")</f>
        <v/>
      </c>
      <c r="BI271" s="82">
        <f>$AJ271-$AF271</f>
        <v/>
      </c>
      <c r="BJ271" s="81">
        <f>IFERROR($AJ271/$AG271,"")</f>
        <v/>
      </c>
      <c r="BK271" s="81">
        <f>$X271</f>
        <v/>
      </c>
      <c r="BL271" s="82">
        <f>($J271-$J272)*100</f>
        <v/>
      </c>
      <c r="BM271" s="82">
        <f>($F271-$F272)*100</f>
        <v/>
      </c>
      <c r="BN271" s="82">
        <f>$AF271-$AF272</f>
        <v/>
      </c>
      <c r="BO271" s="82">
        <f>$AG271-$AG272</f>
        <v/>
      </c>
      <c r="BP271" s="82">
        <f>$AJ271-$AJ272</f>
        <v/>
      </c>
    </row>
    <row r="272">
      <c r="AR272" s="81">
        <f>($G272+($H272-$G272)*0.5)+($P272-($O272+($Q272-$O272)*0.5))</f>
        <v/>
      </c>
      <c r="AS272" s="81">
        <f>($J272+($K272-$J272)*0.5)+($T272-($S272+($U272-$S272)*0.5))</f>
        <v/>
      </c>
      <c r="AT272" s="82">
        <f>($J272-$C272)*100</f>
        <v/>
      </c>
      <c r="AU272" s="82">
        <f>($H272-$F272)*100</f>
        <v/>
      </c>
      <c r="AV272" s="82">
        <f>($J272-$F272)*100</f>
        <v/>
      </c>
      <c r="AW272" s="82">
        <f>($L272-$F272)*100</f>
        <v/>
      </c>
      <c r="AX272" s="82">
        <f>($J272-$H272)*100</f>
        <v/>
      </c>
      <c r="AY272" s="82">
        <f>($L272-$H272)*100</f>
        <v/>
      </c>
      <c r="AZ272" s="82">
        <f>($L272-$J272)*100</f>
        <v/>
      </c>
      <c r="BA272" s="82">
        <f>(2*$H272-$F272-$J272)*100</f>
        <v/>
      </c>
      <c r="BB272" s="82">
        <f>(2*$J272-$H272-$L272)*100</f>
        <v/>
      </c>
      <c r="BC272" s="82">
        <f>($N272-$F272)*100</f>
        <v/>
      </c>
      <c r="BD272" s="82">
        <f>($Q272-$H272)*100</f>
        <v/>
      </c>
      <c r="BE272" s="82">
        <f>($S272-$J272)*100</f>
        <v/>
      </c>
      <c r="BF272" s="82">
        <f>($V272-$L272)*100</f>
        <v/>
      </c>
      <c r="BG272" s="82">
        <f>$AG272-$AF272</f>
        <v/>
      </c>
      <c r="BH272" s="81">
        <f>IFERROR($AG272/$AF272,"")</f>
        <v/>
      </c>
      <c r="BI272" s="82">
        <f>$AJ272-$AF272</f>
        <v/>
      </c>
      <c r="BJ272" s="81">
        <f>IFERROR($AJ272/$AG272,"")</f>
        <v/>
      </c>
      <c r="BK272" s="81">
        <f>$X272</f>
        <v/>
      </c>
      <c r="BL272" s="82">
        <f>($J272-$J273)*100</f>
        <v/>
      </c>
      <c r="BM272" s="82">
        <f>($F272-$F273)*100</f>
        <v/>
      </c>
      <c r="BN272" s="82">
        <f>$AF272-$AF273</f>
        <v/>
      </c>
      <c r="BO272" s="82">
        <f>$AG272-$AG273</f>
        <v/>
      </c>
      <c r="BP272" s="82">
        <f>$AJ272-$AJ273</f>
        <v/>
      </c>
    </row>
    <row r="273">
      <c r="AR273" s="81">
        <f>($G273+($H273-$G273)*0.5)+($P273-($O273+($Q273-$O273)*0.5))</f>
        <v/>
      </c>
      <c r="AS273" s="81">
        <f>($J273+($K273-$J273)*0.5)+($T273-($S273+($U273-$S273)*0.5))</f>
        <v/>
      </c>
      <c r="AT273" s="82">
        <f>($J273-$C273)*100</f>
        <v/>
      </c>
      <c r="AU273" s="82">
        <f>($H273-$F273)*100</f>
        <v/>
      </c>
      <c r="AV273" s="82">
        <f>($J273-$F273)*100</f>
        <v/>
      </c>
      <c r="AW273" s="82">
        <f>($L273-$F273)*100</f>
        <v/>
      </c>
      <c r="AX273" s="82">
        <f>($J273-$H273)*100</f>
        <v/>
      </c>
      <c r="AY273" s="82">
        <f>($L273-$H273)*100</f>
        <v/>
      </c>
      <c r="AZ273" s="82">
        <f>($L273-$J273)*100</f>
        <v/>
      </c>
      <c r="BA273" s="82">
        <f>(2*$H273-$F273-$J273)*100</f>
        <v/>
      </c>
      <c r="BB273" s="82">
        <f>(2*$J273-$H273-$L273)*100</f>
        <v/>
      </c>
      <c r="BC273" s="82">
        <f>($N273-$F273)*100</f>
        <v/>
      </c>
      <c r="BD273" s="82">
        <f>($Q273-$H273)*100</f>
        <v/>
      </c>
      <c r="BE273" s="82">
        <f>($S273-$J273)*100</f>
        <v/>
      </c>
      <c r="BF273" s="82">
        <f>($V273-$L273)*100</f>
        <v/>
      </c>
      <c r="BG273" s="82">
        <f>$AG273-$AF273</f>
        <v/>
      </c>
      <c r="BH273" s="81">
        <f>IFERROR($AG273/$AF273,"")</f>
        <v/>
      </c>
      <c r="BI273" s="82">
        <f>$AJ273-$AF273</f>
        <v/>
      </c>
      <c r="BJ273" s="81">
        <f>IFERROR($AJ273/$AG273,"")</f>
        <v/>
      </c>
      <c r="BK273" s="81">
        <f>$X273</f>
        <v/>
      </c>
      <c r="BL273" s="82">
        <f>($J273-$J274)*100</f>
        <v/>
      </c>
      <c r="BM273" s="82">
        <f>($F273-$F274)*100</f>
        <v/>
      </c>
      <c r="BN273" s="82">
        <f>$AF273-$AF274</f>
        <v/>
      </c>
      <c r="BO273" s="82">
        <f>$AG273-$AG274</f>
        <v/>
      </c>
      <c r="BP273" s="82">
        <f>$AJ273-$AJ274</f>
        <v/>
      </c>
    </row>
    <row r="274">
      <c r="AR274" s="81">
        <f>($G274+($H274-$G274)*0.5)+($P274-($O274+($Q274-$O274)*0.5))</f>
        <v/>
      </c>
      <c r="AS274" s="81">
        <f>($J274+($K274-$J274)*0.5)+($T274-($S274+($U274-$S274)*0.5))</f>
        <v/>
      </c>
      <c r="AT274" s="82">
        <f>($J274-$C274)*100</f>
        <v/>
      </c>
      <c r="AU274" s="82">
        <f>($H274-$F274)*100</f>
        <v/>
      </c>
      <c r="AV274" s="82">
        <f>($J274-$F274)*100</f>
        <v/>
      </c>
      <c r="AW274" s="82">
        <f>($L274-$F274)*100</f>
        <v/>
      </c>
      <c r="AX274" s="82">
        <f>($J274-$H274)*100</f>
        <v/>
      </c>
      <c r="AY274" s="82">
        <f>($L274-$H274)*100</f>
        <v/>
      </c>
      <c r="AZ274" s="82">
        <f>($L274-$J274)*100</f>
        <v/>
      </c>
      <c r="BA274" s="82">
        <f>(2*$H274-$F274-$J274)*100</f>
        <v/>
      </c>
      <c r="BB274" s="82">
        <f>(2*$J274-$H274-$L274)*100</f>
        <v/>
      </c>
      <c r="BC274" s="82">
        <f>($N274-$F274)*100</f>
        <v/>
      </c>
      <c r="BD274" s="82">
        <f>($Q274-$H274)*100</f>
        <v/>
      </c>
      <c r="BE274" s="82">
        <f>($S274-$J274)*100</f>
        <v/>
      </c>
      <c r="BF274" s="82">
        <f>($V274-$L274)*100</f>
        <v/>
      </c>
      <c r="BG274" s="82">
        <f>$AG274-$AF274</f>
        <v/>
      </c>
      <c r="BH274" s="81">
        <f>IFERROR($AG274/$AF274,"")</f>
        <v/>
      </c>
      <c r="BI274" s="82">
        <f>$AJ274-$AF274</f>
        <v/>
      </c>
      <c r="BJ274" s="81">
        <f>IFERROR($AJ274/$AG274,"")</f>
        <v/>
      </c>
      <c r="BK274" s="81">
        <f>$X274</f>
        <v/>
      </c>
      <c r="BL274" s="82">
        <f>($J274-$J275)*100</f>
        <v/>
      </c>
      <c r="BM274" s="82">
        <f>($F274-$F275)*100</f>
        <v/>
      </c>
      <c r="BN274" s="82">
        <f>$AF274-$AF275</f>
        <v/>
      </c>
      <c r="BO274" s="82">
        <f>$AG274-$AG275</f>
        <v/>
      </c>
      <c r="BP274" s="82">
        <f>$AJ274-$AJ275</f>
        <v/>
      </c>
    </row>
    <row r="275">
      <c r="AR275" s="81">
        <f>($G275+($H275-$G275)*0.5)+($P275-($O275+($Q275-$O275)*0.5))</f>
        <v/>
      </c>
      <c r="AS275" s="81">
        <f>($J275+($K275-$J275)*0.5)+($T275-($S275+($U275-$S275)*0.5))</f>
        <v/>
      </c>
      <c r="AT275" s="82">
        <f>($J275-$C275)*100</f>
        <v/>
      </c>
      <c r="AU275" s="82">
        <f>($H275-$F275)*100</f>
        <v/>
      </c>
      <c r="AV275" s="82">
        <f>($J275-$F275)*100</f>
        <v/>
      </c>
      <c r="AW275" s="82">
        <f>($L275-$F275)*100</f>
        <v/>
      </c>
      <c r="AX275" s="82">
        <f>($J275-$H275)*100</f>
        <v/>
      </c>
      <c r="AY275" s="82">
        <f>($L275-$H275)*100</f>
        <v/>
      </c>
      <c r="AZ275" s="82">
        <f>($L275-$J275)*100</f>
        <v/>
      </c>
      <c r="BA275" s="82">
        <f>(2*$H275-$F275-$J275)*100</f>
        <v/>
      </c>
      <c r="BB275" s="82">
        <f>(2*$J275-$H275-$L275)*100</f>
        <v/>
      </c>
      <c r="BC275" s="82">
        <f>($N275-$F275)*100</f>
        <v/>
      </c>
      <c r="BD275" s="82">
        <f>($Q275-$H275)*100</f>
        <v/>
      </c>
      <c r="BE275" s="82">
        <f>($S275-$J275)*100</f>
        <v/>
      </c>
      <c r="BF275" s="82">
        <f>($V275-$L275)*100</f>
        <v/>
      </c>
      <c r="BG275" s="82">
        <f>$AG275-$AF275</f>
        <v/>
      </c>
      <c r="BH275" s="81">
        <f>IFERROR($AG275/$AF275,"")</f>
        <v/>
      </c>
      <c r="BI275" s="82">
        <f>$AJ275-$AF275</f>
        <v/>
      </c>
      <c r="BJ275" s="81">
        <f>IFERROR($AJ275/$AG275,"")</f>
        <v/>
      </c>
      <c r="BK275" s="81">
        <f>$X275</f>
        <v/>
      </c>
      <c r="BL275" s="82">
        <f>($J275-$J276)*100</f>
        <v/>
      </c>
      <c r="BM275" s="82">
        <f>($F275-$F276)*100</f>
        <v/>
      </c>
      <c r="BN275" s="82">
        <f>$AF275-$AF276</f>
        <v/>
      </c>
      <c r="BO275" s="82">
        <f>$AG275-$AG276</f>
        <v/>
      </c>
      <c r="BP275" s="82">
        <f>$AJ275-$AJ276</f>
        <v/>
      </c>
    </row>
    <row r="276">
      <c r="AR276" s="81">
        <f>($G276+($H276-$G276)*0.5)+($P276-($O276+($Q276-$O276)*0.5))</f>
        <v/>
      </c>
      <c r="AS276" s="81">
        <f>($J276+($K276-$J276)*0.5)+($T276-($S276+($U276-$S276)*0.5))</f>
        <v/>
      </c>
      <c r="AT276" s="82">
        <f>($J276-$C276)*100</f>
        <v/>
      </c>
      <c r="AU276" s="82">
        <f>($H276-$F276)*100</f>
        <v/>
      </c>
      <c r="AV276" s="82">
        <f>($J276-$F276)*100</f>
        <v/>
      </c>
      <c r="AW276" s="82">
        <f>($L276-$F276)*100</f>
        <v/>
      </c>
      <c r="AX276" s="82">
        <f>($J276-$H276)*100</f>
        <v/>
      </c>
      <c r="AY276" s="82">
        <f>($L276-$H276)*100</f>
        <v/>
      </c>
      <c r="AZ276" s="82">
        <f>($L276-$J276)*100</f>
        <v/>
      </c>
      <c r="BA276" s="82">
        <f>(2*$H276-$F276-$J276)*100</f>
        <v/>
      </c>
      <c r="BB276" s="82">
        <f>(2*$J276-$H276-$L276)*100</f>
        <v/>
      </c>
      <c r="BC276" s="82">
        <f>($N276-$F276)*100</f>
        <v/>
      </c>
      <c r="BD276" s="82">
        <f>($Q276-$H276)*100</f>
        <v/>
      </c>
      <c r="BE276" s="82">
        <f>($S276-$J276)*100</f>
        <v/>
      </c>
      <c r="BF276" s="82">
        <f>($V276-$L276)*100</f>
        <v/>
      </c>
      <c r="BG276" s="82">
        <f>$AG276-$AF276</f>
        <v/>
      </c>
      <c r="BH276" s="81">
        <f>IFERROR($AG276/$AF276,"")</f>
        <v/>
      </c>
      <c r="BI276" s="82">
        <f>$AJ276-$AF276</f>
        <v/>
      </c>
      <c r="BJ276" s="81">
        <f>IFERROR($AJ276/$AG276,"")</f>
        <v/>
      </c>
      <c r="BK276" s="81">
        <f>$X276</f>
        <v/>
      </c>
      <c r="BL276" s="82">
        <f>($J276-$J277)*100</f>
        <v/>
      </c>
      <c r="BM276" s="82">
        <f>($F276-$F277)*100</f>
        <v/>
      </c>
      <c r="BN276" s="82">
        <f>$AF276-$AF277</f>
        <v/>
      </c>
      <c r="BO276" s="82">
        <f>$AG276-$AG277</f>
        <v/>
      </c>
      <c r="BP276" s="82">
        <f>$AJ276-$AJ277</f>
        <v/>
      </c>
    </row>
    <row r="277">
      <c r="AR277" s="81">
        <f>($G277+($H277-$G277)*0.5)+($P277-($O277+($Q277-$O277)*0.5))</f>
        <v/>
      </c>
      <c r="AS277" s="81">
        <f>($J277+($K277-$J277)*0.5)+($T277-($S277+($U277-$S277)*0.5))</f>
        <v/>
      </c>
      <c r="AT277" s="82">
        <f>($J277-$C277)*100</f>
        <v/>
      </c>
      <c r="AU277" s="82">
        <f>($H277-$F277)*100</f>
        <v/>
      </c>
      <c r="AV277" s="82">
        <f>($J277-$F277)*100</f>
        <v/>
      </c>
      <c r="AW277" s="82">
        <f>($L277-$F277)*100</f>
        <v/>
      </c>
      <c r="AX277" s="82">
        <f>($J277-$H277)*100</f>
        <v/>
      </c>
      <c r="AY277" s="82">
        <f>($L277-$H277)*100</f>
        <v/>
      </c>
      <c r="AZ277" s="82">
        <f>($L277-$J277)*100</f>
        <v/>
      </c>
      <c r="BA277" s="82">
        <f>(2*$H277-$F277-$J277)*100</f>
        <v/>
      </c>
      <c r="BB277" s="82">
        <f>(2*$J277-$H277-$L277)*100</f>
        <v/>
      </c>
      <c r="BC277" s="82">
        <f>($N277-$F277)*100</f>
        <v/>
      </c>
      <c r="BD277" s="82">
        <f>($Q277-$H277)*100</f>
        <v/>
      </c>
      <c r="BE277" s="82">
        <f>($S277-$J277)*100</f>
        <v/>
      </c>
      <c r="BF277" s="82">
        <f>($V277-$L277)*100</f>
        <v/>
      </c>
      <c r="BG277" s="82">
        <f>$AG277-$AF277</f>
        <v/>
      </c>
      <c r="BH277" s="81">
        <f>IFERROR($AG277/$AF277,"")</f>
        <v/>
      </c>
      <c r="BI277" s="82">
        <f>$AJ277-$AF277</f>
        <v/>
      </c>
      <c r="BJ277" s="81">
        <f>IFERROR($AJ277/$AG277,"")</f>
        <v/>
      </c>
      <c r="BK277" s="81">
        <f>$X277</f>
        <v/>
      </c>
      <c r="BL277" s="82">
        <f>($J277-$J278)*100</f>
        <v/>
      </c>
      <c r="BM277" s="82">
        <f>($F277-$F278)*100</f>
        <v/>
      </c>
      <c r="BN277" s="82">
        <f>$AF277-$AF278</f>
        <v/>
      </c>
      <c r="BO277" s="82">
        <f>$AG277-$AG278</f>
        <v/>
      </c>
      <c r="BP277" s="82">
        <f>$AJ277-$AJ278</f>
        <v/>
      </c>
    </row>
    <row r="278">
      <c r="AR278" s="81">
        <f>($G278+($H278-$G278)*0.5)+($P278-($O278+($Q278-$O278)*0.5))</f>
        <v/>
      </c>
      <c r="AS278" s="81">
        <f>($J278+($K278-$J278)*0.5)+($T278-($S278+($U278-$S278)*0.5))</f>
        <v/>
      </c>
      <c r="AT278" s="82">
        <f>($J278-$C278)*100</f>
        <v/>
      </c>
      <c r="AU278" s="82">
        <f>($H278-$F278)*100</f>
        <v/>
      </c>
      <c r="AV278" s="82">
        <f>($J278-$F278)*100</f>
        <v/>
      </c>
      <c r="AW278" s="82">
        <f>($L278-$F278)*100</f>
        <v/>
      </c>
      <c r="AX278" s="82">
        <f>($J278-$H278)*100</f>
        <v/>
      </c>
      <c r="AY278" s="82">
        <f>($L278-$H278)*100</f>
        <v/>
      </c>
      <c r="AZ278" s="82">
        <f>($L278-$J278)*100</f>
        <v/>
      </c>
      <c r="BA278" s="82">
        <f>(2*$H278-$F278-$J278)*100</f>
        <v/>
      </c>
      <c r="BB278" s="82">
        <f>(2*$J278-$H278-$L278)*100</f>
        <v/>
      </c>
      <c r="BC278" s="82">
        <f>($N278-$F278)*100</f>
        <v/>
      </c>
      <c r="BD278" s="82">
        <f>($Q278-$H278)*100</f>
        <v/>
      </c>
      <c r="BE278" s="82">
        <f>($S278-$J278)*100</f>
        <v/>
      </c>
      <c r="BF278" s="82">
        <f>($V278-$L278)*100</f>
        <v/>
      </c>
      <c r="BG278" s="82">
        <f>$AG278-$AF278</f>
        <v/>
      </c>
      <c r="BH278" s="81">
        <f>IFERROR($AG278/$AF278,"")</f>
        <v/>
      </c>
      <c r="BI278" s="82">
        <f>$AJ278-$AF278</f>
        <v/>
      </c>
      <c r="BJ278" s="81">
        <f>IFERROR($AJ278/$AG278,"")</f>
        <v/>
      </c>
      <c r="BK278" s="81">
        <f>$X278</f>
        <v/>
      </c>
      <c r="BL278" s="82">
        <f>($J278-$J279)*100</f>
        <v/>
      </c>
      <c r="BM278" s="82">
        <f>($F278-$F279)*100</f>
        <v/>
      </c>
      <c r="BN278" s="82">
        <f>$AF278-$AF279</f>
        <v/>
      </c>
      <c r="BO278" s="82">
        <f>$AG278-$AG279</f>
        <v/>
      </c>
      <c r="BP278" s="82">
        <f>$AJ278-$AJ279</f>
        <v/>
      </c>
    </row>
    <row r="279">
      <c r="AR279" s="81">
        <f>($G279+($H279-$G279)*0.5)+($P279-($O279+($Q279-$O279)*0.5))</f>
        <v/>
      </c>
      <c r="AS279" s="81">
        <f>($J279+($K279-$J279)*0.5)+($T279-($S279+($U279-$S279)*0.5))</f>
        <v/>
      </c>
      <c r="AT279" s="82">
        <f>($J279-$C279)*100</f>
        <v/>
      </c>
      <c r="AU279" s="82">
        <f>($H279-$F279)*100</f>
        <v/>
      </c>
      <c r="AV279" s="82">
        <f>($J279-$F279)*100</f>
        <v/>
      </c>
      <c r="AW279" s="82">
        <f>($L279-$F279)*100</f>
        <v/>
      </c>
      <c r="AX279" s="82">
        <f>($J279-$H279)*100</f>
        <v/>
      </c>
      <c r="AY279" s="82">
        <f>($L279-$H279)*100</f>
        <v/>
      </c>
      <c r="AZ279" s="82">
        <f>($L279-$J279)*100</f>
        <v/>
      </c>
      <c r="BA279" s="82">
        <f>(2*$H279-$F279-$J279)*100</f>
        <v/>
      </c>
      <c r="BB279" s="82">
        <f>(2*$J279-$H279-$L279)*100</f>
        <v/>
      </c>
      <c r="BC279" s="82">
        <f>($N279-$F279)*100</f>
        <v/>
      </c>
      <c r="BD279" s="82">
        <f>($Q279-$H279)*100</f>
        <v/>
      </c>
      <c r="BE279" s="82">
        <f>($S279-$J279)*100</f>
        <v/>
      </c>
      <c r="BF279" s="82">
        <f>($V279-$L279)*100</f>
        <v/>
      </c>
      <c r="BG279" s="82">
        <f>$AG279-$AF279</f>
        <v/>
      </c>
      <c r="BH279" s="81">
        <f>IFERROR($AG279/$AF279,"")</f>
        <v/>
      </c>
      <c r="BI279" s="82">
        <f>$AJ279-$AF279</f>
        <v/>
      </c>
      <c r="BJ279" s="81">
        <f>IFERROR($AJ279/$AG279,"")</f>
        <v/>
      </c>
      <c r="BK279" s="81">
        <f>$X279</f>
        <v/>
      </c>
      <c r="BL279" s="82">
        <f>($J279-$J280)*100</f>
        <v/>
      </c>
      <c r="BM279" s="82">
        <f>($F279-$F280)*100</f>
        <v/>
      </c>
      <c r="BN279" s="82">
        <f>$AF279-$AF280</f>
        <v/>
      </c>
      <c r="BO279" s="82">
        <f>$AG279-$AG280</f>
        <v/>
      </c>
      <c r="BP279" s="82">
        <f>$AJ279-$AJ280</f>
        <v/>
      </c>
    </row>
    <row r="280">
      <c r="AR280" s="81">
        <f>($G280+($H280-$G280)*0.5)+($P280-($O280+($Q280-$O280)*0.5))</f>
        <v/>
      </c>
      <c r="AS280" s="81">
        <f>($J280+($K280-$J280)*0.5)+($T280-($S280+($U280-$S280)*0.5))</f>
        <v/>
      </c>
      <c r="AT280" s="82">
        <f>($J280-$C280)*100</f>
        <v/>
      </c>
      <c r="AU280" s="82">
        <f>($H280-$F280)*100</f>
        <v/>
      </c>
      <c r="AV280" s="82">
        <f>($J280-$F280)*100</f>
        <v/>
      </c>
      <c r="AW280" s="82">
        <f>($L280-$F280)*100</f>
        <v/>
      </c>
      <c r="AX280" s="82">
        <f>($J280-$H280)*100</f>
        <v/>
      </c>
      <c r="AY280" s="82">
        <f>($L280-$H280)*100</f>
        <v/>
      </c>
      <c r="AZ280" s="82">
        <f>($L280-$J280)*100</f>
        <v/>
      </c>
      <c r="BA280" s="82">
        <f>(2*$H280-$F280-$J280)*100</f>
        <v/>
      </c>
      <c r="BB280" s="82">
        <f>(2*$J280-$H280-$L280)*100</f>
        <v/>
      </c>
      <c r="BC280" s="82">
        <f>($N280-$F280)*100</f>
        <v/>
      </c>
      <c r="BD280" s="82">
        <f>($Q280-$H280)*100</f>
        <v/>
      </c>
      <c r="BE280" s="82">
        <f>($S280-$J280)*100</f>
        <v/>
      </c>
      <c r="BF280" s="82">
        <f>($V280-$L280)*100</f>
        <v/>
      </c>
      <c r="BG280" s="82">
        <f>$AG280-$AF280</f>
        <v/>
      </c>
      <c r="BH280" s="81">
        <f>IFERROR($AG280/$AF280,"")</f>
        <v/>
      </c>
      <c r="BI280" s="82">
        <f>$AJ280-$AF280</f>
        <v/>
      </c>
      <c r="BJ280" s="81">
        <f>IFERROR($AJ280/$AG280,"")</f>
        <v/>
      </c>
      <c r="BK280" s="81">
        <f>$X280</f>
        <v/>
      </c>
      <c r="BL280" s="82">
        <f>($J280-$J281)*100</f>
        <v/>
      </c>
      <c r="BM280" s="82">
        <f>($F280-$F281)*100</f>
        <v/>
      </c>
      <c r="BN280" s="82">
        <f>$AF280-$AF281</f>
        <v/>
      </c>
      <c r="BO280" s="82">
        <f>$AG280-$AG281</f>
        <v/>
      </c>
      <c r="BP280" s="82">
        <f>$AJ280-$AJ281</f>
        <v/>
      </c>
    </row>
    <row r="281">
      <c r="AR281" s="81">
        <f>($G281+($H281-$G281)*0.5)+($P281-($O281+($Q281-$O281)*0.5))</f>
        <v/>
      </c>
      <c r="AS281" s="81">
        <f>($J281+($K281-$J281)*0.5)+($T281-($S281+($U281-$S281)*0.5))</f>
        <v/>
      </c>
      <c r="AT281" s="82">
        <f>($J281-$C281)*100</f>
        <v/>
      </c>
      <c r="AU281" s="82">
        <f>($H281-$F281)*100</f>
        <v/>
      </c>
      <c r="AV281" s="82">
        <f>($J281-$F281)*100</f>
        <v/>
      </c>
      <c r="AW281" s="82">
        <f>($L281-$F281)*100</f>
        <v/>
      </c>
      <c r="AX281" s="82">
        <f>($J281-$H281)*100</f>
        <v/>
      </c>
      <c r="AY281" s="82">
        <f>($L281-$H281)*100</f>
        <v/>
      </c>
      <c r="AZ281" s="82">
        <f>($L281-$J281)*100</f>
        <v/>
      </c>
      <c r="BA281" s="82">
        <f>(2*$H281-$F281-$J281)*100</f>
        <v/>
      </c>
      <c r="BB281" s="82">
        <f>(2*$J281-$H281-$L281)*100</f>
        <v/>
      </c>
      <c r="BC281" s="82">
        <f>($N281-$F281)*100</f>
        <v/>
      </c>
      <c r="BD281" s="82">
        <f>($Q281-$H281)*100</f>
        <v/>
      </c>
      <c r="BE281" s="82">
        <f>($S281-$J281)*100</f>
        <v/>
      </c>
      <c r="BF281" s="82">
        <f>($V281-$L281)*100</f>
        <v/>
      </c>
      <c r="BG281" s="82">
        <f>$AG281-$AF281</f>
        <v/>
      </c>
      <c r="BH281" s="81">
        <f>IFERROR($AG281/$AF281,"")</f>
        <v/>
      </c>
      <c r="BI281" s="82">
        <f>$AJ281-$AF281</f>
        <v/>
      </c>
      <c r="BJ281" s="81">
        <f>IFERROR($AJ281/$AG281,"")</f>
        <v/>
      </c>
      <c r="BK281" s="81">
        <f>$X281</f>
        <v/>
      </c>
      <c r="BL281" s="82">
        <f>($J281-$J282)*100</f>
        <v/>
      </c>
      <c r="BM281" s="82">
        <f>($F281-$F282)*100</f>
        <v/>
      </c>
      <c r="BN281" s="82">
        <f>$AF281-$AF282</f>
        <v/>
      </c>
      <c r="BO281" s="82">
        <f>$AG281-$AG282</f>
        <v/>
      </c>
      <c r="BP281" s="82">
        <f>$AJ281-$AJ282</f>
        <v/>
      </c>
    </row>
    <row r="282">
      <c r="AR282" s="81">
        <f>($G282+($H282-$G282)*0.5)+($P282-($O282+($Q282-$O282)*0.5))</f>
        <v/>
      </c>
      <c r="AS282" s="81">
        <f>($J282+($K282-$J282)*0.5)+($T282-($S282+($U282-$S282)*0.5))</f>
        <v/>
      </c>
      <c r="AT282" s="82">
        <f>($J282-$C282)*100</f>
        <v/>
      </c>
      <c r="AU282" s="82">
        <f>($H282-$F282)*100</f>
        <v/>
      </c>
      <c r="AV282" s="82">
        <f>($J282-$F282)*100</f>
        <v/>
      </c>
      <c r="AW282" s="82">
        <f>($L282-$F282)*100</f>
        <v/>
      </c>
      <c r="AX282" s="82">
        <f>($J282-$H282)*100</f>
        <v/>
      </c>
      <c r="AY282" s="82">
        <f>($L282-$H282)*100</f>
        <v/>
      </c>
      <c r="AZ282" s="82">
        <f>($L282-$J282)*100</f>
        <v/>
      </c>
      <c r="BA282" s="82">
        <f>(2*$H282-$F282-$J282)*100</f>
        <v/>
      </c>
      <c r="BB282" s="82">
        <f>(2*$J282-$H282-$L282)*100</f>
        <v/>
      </c>
      <c r="BC282" s="82">
        <f>($N282-$F282)*100</f>
        <v/>
      </c>
      <c r="BD282" s="82">
        <f>($Q282-$H282)*100</f>
        <v/>
      </c>
      <c r="BE282" s="82">
        <f>($S282-$J282)*100</f>
        <v/>
      </c>
      <c r="BF282" s="82">
        <f>($V282-$L282)*100</f>
        <v/>
      </c>
      <c r="BG282" s="82">
        <f>$AG282-$AF282</f>
        <v/>
      </c>
      <c r="BH282" s="81">
        <f>IFERROR($AG282/$AF282,"")</f>
        <v/>
      </c>
      <c r="BI282" s="82">
        <f>$AJ282-$AF282</f>
        <v/>
      </c>
      <c r="BJ282" s="81">
        <f>IFERROR($AJ282/$AG282,"")</f>
        <v/>
      </c>
      <c r="BK282" s="81">
        <f>$X282</f>
        <v/>
      </c>
      <c r="BL282" s="82">
        <f>($J282-$J283)*100</f>
        <v/>
      </c>
      <c r="BM282" s="82">
        <f>($F282-$F283)*100</f>
        <v/>
      </c>
      <c r="BN282" s="82">
        <f>$AF282-$AF283</f>
        <v/>
      </c>
      <c r="BO282" s="82">
        <f>$AG282-$AG283</f>
        <v/>
      </c>
      <c r="BP282" s="82">
        <f>$AJ282-$AJ283</f>
        <v/>
      </c>
    </row>
    <row r="283">
      <c r="AR283" s="81">
        <f>($G283+($H283-$G283)*0.5)+($P283-($O283+($Q283-$O283)*0.5))</f>
        <v/>
      </c>
      <c r="AS283" s="81">
        <f>($J283+($K283-$J283)*0.5)+($T283-($S283+($U283-$S283)*0.5))</f>
        <v/>
      </c>
      <c r="AT283" s="82">
        <f>($J283-$C283)*100</f>
        <v/>
      </c>
      <c r="AU283" s="82">
        <f>($H283-$F283)*100</f>
        <v/>
      </c>
      <c r="AV283" s="82">
        <f>($J283-$F283)*100</f>
        <v/>
      </c>
      <c r="AW283" s="82">
        <f>($L283-$F283)*100</f>
        <v/>
      </c>
      <c r="AX283" s="82">
        <f>($J283-$H283)*100</f>
        <v/>
      </c>
      <c r="AY283" s="82">
        <f>($L283-$H283)*100</f>
        <v/>
      </c>
      <c r="AZ283" s="82">
        <f>($L283-$J283)*100</f>
        <v/>
      </c>
      <c r="BA283" s="82">
        <f>(2*$H283-$F283-$J283)*100</f>
        <v/>
      </c>
      <c r="BB283" s="82">
        <f>(2*$J283-$H283-$L283)*100</f>
        <v/>
      </c>
      <c r="BC283" s="82">
        <f>($N283-$F283)*100</f>
        <v/>
      </c>
      <c r="BD283" s="82">
        <f>($Q283-$H283)*100</f>
        <v/>
      </c>
      <c r="BE283" s="82">
        <f>($S283-$J283)*100</f>
        <v/>
      </c>
      <c r="BF283" s="82">
        <f>($V283-$L283)*100</f>
        <v/>
      </c>
      <c r="BG283" s="82">
        <f>$AG283-$AF283</f>
        <v/>
      </c>
      <c r="BH283" s="81">
        <f>IFERROR($AG283/$AF283,"")</f>
        <v/>
      </c>
      <c r="BI283" s="82">
        <f>$AJ283-$AF283</f>
        <v/>
      </c>
      <c r="BJ283" s="81">
        <f>IFERROR($AJ283/$AG283,"")</f>
        <v/>
      </c>
      <c r="BK283" s="81">
        <f>$X283</f>
        <v/>
      </c>
      <c r="BL283" s="82">
        <f>($J283-$J284)*100</f>
        <v/>
      </c>
      <c r="BM283" s="82">
        <f>($F283-$F284)*100</f>
        <v/>
      </c>
      <c r="BN283" s="82">
        <f>$AF283-$AF284</f>
        <v/>
      </c>
      <c r="BO283" s="82">
        <f>$AG283-$AG284</f>
        <v/>
      </c>
      <c r="BP283" s="82">
        <f>$AJ283-$AJ284</f>
        <v/>
      </c>
    </row>
    <row r="284">
      <c r="AR284" s="81">
        <f>($G284+($H284-$G284)*0.5)+($P284-($O284+($Q284-$O284)*0.5))</f>
        <v/>
      </c>
      <c r="AS284" s="81">
        <f>($J284+($K284-$J284)*0.5)+($T284-($S284+($U284-$S284)*0.5))</f>
        <v/>
      </c>
      <c r="AT284" s="82">
        <f>($J284-$C284)*100</f>
        <v/>
      </c>
      <c r="AU284" s="82">
        <f>($H284-$F284)*100</f>
        <v/>
      </c>
      <c r="AV284" s="82">
        <f>($J284-$F284)*100</f>
        <v/>
      </c>
      <c r="AW284" s="82">
        <f>($L284-$F284)*100</f>
        <v/>
      </c>
      <c r="AX284" s="82">
        <f>($J284-$H284)*100</f>
        <v/>
      </c>
      <c r="AY284" s="82">
        <f>($L284-$H284)*100</f>
        <v/>
      </c>
      <c r="AZ284" s="82">
        <f>($L284-$J284)*100</f>
        <v/>
      </c>
      <c r="BA284" s="82">
        <f>(2*$H284-$F284-$J284)*100</f>
        <v/>
      </c>
      <c r="BB284" s="82">
        <f>(2*$J284-$H284-$L284)*100</f>
        <v/>
      </c>
      <c r="BC284" s="82">
        <f>($N284-$F284)*100</f>
        <v/>
      </c>
      <c r="BD284" s="82">
        <f>($Q284-$H284)*100</f>
        <v/>
      </c>
      <c r="BE284" s="82">
        <f>($S284-$J284)*100</f>
        <v/>
      </c>
      <c r="BF284" s="82">
        <f>($V284-$L284)*100</f>
        <v/>
      </c>
      <c r="BG284" s="82">
        <f>$AG284-$AF284</f>
        <v/>
      </c>
      <c r="BH284" s="81">
        <f>IFERROR($AG284/$AF284,"")</f>
        <v/>
      </c>
      <c r="BI284" s="82">
        <f>$AJ284-$AF284</f>
        <v/>
      </c>
      <c r="BJ284" s="81">
        <f>IFERROR($AJ284/$AG284,"")</f>
        <v/>
      </c>
      <c r="BK284" s="81">
        <f>$X284</f>
        <v/>
      </c>
      <c r="BL284" s="82">
        <f>($J284-$J285)*100</f>
        <v/>
      </c>
      <c r="BM284" s="82">
        <f>($F284-$F285)*100</f>
        <v/>
      </c>
      <c r="BN284" s="82">
        <f>$AF284-$AF285</f>
        <v/>
      </c>
      <c r="BO284" s="82">
        <f>$AG284-$AG285</f>
        <v/>
      </c>
      <c r="BP284" s="82">
        <f>$AJ284-$AJ285</f>
        <v/>
      </c>
    </row>
    <row r="285">
      <c r="AR285" s="81">
        <f>($G285+($H285-$G285)*0.5)+($P285-($O285+($Q285-$O285)*0.5))</f>
        <v/>
      </c>
      <c r="AS285" s="81">
        <f>($J285+($K285-$J285)*0.5)+($T285-($S285+($U285-$S285)*0.5))</f>
        <v/>
      </c>
      <c r="AT285" s="82">
        <f>($J285-$C285)*100</f>
        <v/>
      </c>
      <c r="AU285" s="82">
        <f>($H285-$F285)*100</f>
        <v/>
      </c>
      <c r="AV285" s="82">
        <f>($J285-$F285)*100</f>
        <v/>
      </c>
      <c r="AW285" s="82">
        <f>($L285-$F285)*100</f>
        <v/>
      </c>
      <c r="AX285" s="82">
        <f>($J285-$H285)*100</f>
        <v/>
      </c>
      <c r="AY285" s="82">
        <f>($L285-$H285)*100</f>
        <v/>
      </c>
      <c r="AZ285" s="82">
        <f>($L285-$J285)*100</f>
        <v/>
      </c>
      <c r="BA285" s="82">
        <f>(2*$H285-$F285-$J285)*100</f>
        <v/>
      </c>
      <c r="BB285" s="82">
        <f>(2*$J285-$H285-$L285)*100</f>
        <v/>
      </c>
      <c r="BC285" s="82">
        <f>($N285-$F285)*100</f>
        <v/>
      </c>
      <c r="BD285" s="82">
        <f>($Q285-$H285)*100</f>
        <v/>
      </c>
      <c r="BE285" s="82">
        <f>($S285-$J285)*100</f>
        <v/>
      </c>
      <c r="BF285" s="82">
        <f>($V285-$L285)*100</f>
        <v/>
      </c>
      <c r="BG285" s="82">
        <f>$AG285-$AF285</f>
        <v/>
      </c>
      <c r="BH285" s="81">
        <f>IFERROR($AG285/$AF285,"")</f>
        <v/>
      </c>
      <c r="BI285" s="82">
        <f>$AJ285-$AF285</f>
        <v/>
      </c>
      <c r="BJ285" s="81">
        <f>IFERROR($AJ285/$AG285,"")</f>
        <v/>
      </c>
      <c r="BK285" s="81">
        <f>$X285</f>
        <v/>
      </c>
      <c r="BL285" s="82">
        <f>($J285-$J286)*100</f>
        <v/>
      </c>
      <c r="BM285" s="82">
        <f>($F285-$F286)*100</f>
        <v/>
      </c>
      <c r="BN285" s="82">
        <f>$AF285-$AF286</f>
        <v/>
      </c>
      <c r="BO285" s="82">
        <f>$AG285-$AG286</f>
        <v/>
      </c>
      <c r="BP285" s="82">
        <f>$AJ285-$AJ286</f>
        <v/>
      </c>
    </row>
    <row r="286">
      <c r="AR286" s="81">
        <f>($G286+($H286-$G286)*0.5)+($P286-($O286+($Q286-$O286)*0.5))</f>
        <v/>
      </c>
      <c r="AS286" s="81">
        <f>($J286+($K286-$J286)*0.5)+($T286-($S286+($U286-$S286)*0.5))</f>
        <v/>
      </c>
      <c r="AT286" s="82">
        <f>($J286-$C286)*100</f>
        <v/>
      </c>
      <c r="AU286" s="82">
        <f>($H286-$F286)*100</f>
        <v/>
      </c>
      <c r="AV286" s="82">
        <f>($J286-$F286)*100</f>
        <v/>
      </c>
      <c r="AW286" s="82">
        <f>($L286-$F286)*100</f>
        <v/>
      </c>
      <c r="AX286" s="82">
        <f>($J286-$H286)*100</f>
        <v/>
      </c>
      <c r="AY286" s="82">
        <f>($L286-$H286)*100</f>
        <v/>
      </c>
      <c r="AZ286" s="82">
        <f>($L286-$J286)*100</f>
        <v/>
      </c>
      <c r="BA286" s="82">
        <f>(2*$H286-$F286-$J286)*100</f>
        <v/>
      </c>
      <c r="BB286" s="82">
        <f>(2*$J286-$H286-$L286)*100</f>
        <v/>
      </c>
      <c r="BC286" s="82">
        <f>($N286-$F286)*100</f>
        <v/>
      </c>
      <c r="BD286" s="82">
        <f>($Q286-$H286)*100</f>
        <v/>
      </c>
      <c r="BE286" s="82">
        <f>($S286-$J286)*100</f>
        <v/>
      </c>
      <c r="BF286" s="82">
        <f>($V286-$L286)*100</f>
        <v/>
      </c>
      <c r="BG286" s="82">
        <f>$AG286-$AF286</f>
        <v/>
      </c>
      <c r="BH286" s="81">
        <f>IFERROR($AG286/$AF286,"")</f>
        <v/>
      </c>
      <c r="BI286" s="82">
        <f>$AJ286-$AF286</f>
        <v/>
      </c>
      <c r="BJ286" s="81">
        <f>IFERROR($AJ286/$AG286,"")</f>
        <v/>
      </c>
      <c r="BK286" s="81">
        <f>$X286</f>
        <v/>
      </c>
      <c r="BL286" s="82">
        <f>($J286-$J287)*100</f>
        <v/>
      </c>
      <c r="BM286" s="82">
        <f>($F286-$F287)*100</f>
        <v/>
      </c>
      <c r="BN286" s="82">
        <f>$AF286-$AF287</f>
        <v/>
      </c>
      <c r="BO286" s="82">
        <f>$AG286-$AG287</f>
        <v/>
      </c>
      <c r="BP286" s="82">
        <f>$AJ286-$AJ287</f>
        <v/>
      </c>
    </row>
    <row r="287">
      <c r="AR287" s="81">
        <f>($G287+($H287-$G287)*0.5)+($P287-($O287+($Q287-$O287)*0.5))</f>
        <v/>
      </c>
      <c r="AS287" s="81">
        <f>($J287+($K287-$J287)*0.5)+($T287-($S287+($U287-$S287)*0.5))</f>
        <v/>
      </c>
      <c r="AT287" s="82">
        <f>($J287-$C287)*100</f>
        <v/>
      </c>
      <c r="AU287" s="82">
        <f>($H287-$F287)*100</f>
        <v/>
      </c>
      <c r="AV287" s="82">
        <f>($J287-$F287)*100</f>
        <v/>
      </c>
      <c r="AW287" s="82">
        <f>($L287-$F287)*100</f>
        <v/>
      </c>
      <c r="AX287" s="82">
        <f>($J287-$H287)*100</f>
        <v/>
      </c>
      <c r="AY287" s="82">
        <f>($L287-$H287)*100</f>
        <v/>
      </c>
      <c r="AZ287" s="82">
        <f>($L287-$J287)*100</f>
        <v/>
      </c>
      <c r="BA287" s="82">
        <f>(2*$H287-$F287-$J287)*100</f>
        <v/>
      </c>
      <c r="BB287" s="82">
        <f>(2*$J287-$H287-$L287)*100</f>
        <v/>
      </c>
      <c r="BC287" s="82">
        <f>($N287-$F287)*100</f>
        <v/>
      </c>
      <c r="BD287" s="82">
        <f>($Q287-$H287)*100</f>
        <v/>
      </c>
      <c r="BE287" s="82">
        <f>($S287-$J287)*100</f>
        <v/>
      </c>
      <c r="BF287" s="82">
        <f>($V287-$L287)*100</f>
        <v/>
      </c>
      <c r="BG287" s="82">
        <f>$AG287-$AF287</f>
        <v/>
      </c>
      <c r="BH287" s="81">
        <f>IFERROR($AG287/$AF287,"")</f>
        <v/>
      </c>
      <c r="BI287" s="82">
        <f>$AJ287-$AF287</f>
        <v/>
      </c>
      <c r="BJ287" s="81">
        <f>IFERROR($AJ287/$AG287,"")</f>
        <v/>
      </c>
      <c r="BK287" s="81">
        <f>$X287</f>
        <v/>
      </c>
      <c r="BL287" s="82">
        <f>($J287-$J288)*100</f>
        <v/>
      </c>
      <c r="BM287" s="82">
        <f>($F287-$F288)*100</f>
        <v/>
      </c>
      <c r="BN287" s="82">
        <f>$AF287-$AF288</f>
        <v/>
      </c>
      <c r="BO287" s="82">
        <f>$AG287-$AG288</f>
        <v/>
      </c>
      <c r="BP287" s="82">
        <f>$AJ287-$AJ288</f>
        <v/>
      </c>
    </row>
    <row r="288">
      <c r="AR288" s="81">
        <f>($G288+($H288-$G288)*0.5)+($P288-($O288+($Q288-$O288)*0.5))</f>
        <v/>
      </c>
      <c r="AS288" s="81">
        <f>($J288+($K288-$J288)*0.5)+($T288-($S288+($U288-$S288)*0.5))</f>
        <v/>
      </c>
      <c r="AT288" s="82">
        <f>($J288-$C288)*100</f>
        <v/>
      </c>
      <c r="AU288" s="82">
        <f>($H288-$F288)*100</f>
        <v/>
      </c>
      <c r="AV288" s="82">
        <f>($J288-$F288)*100</f>
        <v/>
      </c>
      <c r="AW288" s="82">
        <f>($L288-$F288)*100</f>
        <v/>
      </c>
      <c r="AX288" s="82">
        <f>($J288-$H288)*100</f>
        <v/>
      </c>
      <c r="AY288" s="82">
        <f>($L288-$H288)*100</f>
        <v/>
      </c>
      <c r="AZ288" s="82">
        <f>($L288-$J288)*100</f>
        <v/>
      </c>
      <c r="BA288" s="82">
        <f>(2*$H288-$F288-$J288)*100</f>
        <v/>
      </c>
      <c r="BB288" s="82">
        <f>(2*$J288-$H288-$L288)*100</f>
        <v/>
      </c>
      <c r="BC288" s="82">
        <f>($N288-$F288)*100</f>
        <v/>
      </c>
      <c r="BD288" s="82">
        <f>($Q288-$H288)*100</f>
        <v/>
      </c>
      <c r="BE288" s="82">
        <f>($S288-$J288)*100</f>
        <v/>
      </c>
      <c r="BF288" s="82">
        <f>($V288-$L288)*100</f>
        <v/>
      </c>
      <c r="BG288" s="82">
        <f>$AG288-$AF288</f>
        <v/>
      </c>
      <c r="BH288" s="81">
        <f>IFERROR($AG288/$AF288,"")</f>
        <v/>
      </c>
      <c r="BI288" s="82">
        <f>$AJ288-$AF288</f>
        <v/>
      </c>
      <c r="BJ288" s="81">
        <f>IFERROR($AJ288/$AG288,"")</f>
        <v/>
      </c>
      <c r="BK288" s="81">
        <f>$X288</f>
        <v/>
      </c>
      <c r="BL288" s="82">
        <f>($J288-$J289)*100</f>
        <v/>
      </c>
      <c r="BM288" s="82">
        <f>($F288-$F289)*100</f>
        <v/>
      </c>
      <c r="BN288" s="82">
        <f>$AF288-$AF289</f>
        <v/>
      </c>
      <c r="BO288" s="82">
        <f>$AG288-$AG289</f>
        <v/>
      </c>
      <c r="BP288" s="82">
        <f>$AJ288-$AJ289</f>
        <v/>
      </c>
    </row>
    <row r="289">
      <c r="AR289" s="81">
        <f>($G289+($H289-$G289)*0.5)+($P289-($O289+($Q289-$O289)*0.5))</f>
        <v/>
      </c>
      <c r="AS289" s="81">
        <f>($J289+($K289-$J289)*0.5)+($T289-($S289+($U289-$S289)*0.5))</f>
        <v/>
      </c>
      <c r="AT289" s="82">
        <f>($J289-$C289)*100</f>
        <v/>
      </c>
      <c r="AU289" s="82">
        <f>($H289-$F289)*100</f>
        <v/>
      </c>
      <c r="AV289" s="82">
        <f>($J289-$F289)*100</f>
        <v/>
      </c>
      <c r="AW289" s="82">
        <f>($L289-$F289)*100</f>
        <v/>
      </c>
      <c r="AX289" s="82">
        <f>($J289-$H289)*100</f>
        <v/>
      </c>
      <c r="AY289" s="82">
        <f>($L289-$H289)*100</f>
        <v/>
      </c>
      <c r="AZ289" s="82">
        <f>($L289-$J289)*100</f>
        <v/>
      </c>
      <c r="BA289" s="82">
        <f>(2*$H289-$F289-$J289)*100</f>
        <v/>
      </c>
      <c r="BB289" s="82">
        <f>(2*$J289-$H289-$L289)*100</f>
        <v/>
      </c>
      <c r="BC289" s="82">
        <f>($N289-$F289)*100</f>
        <v/>
      </c>
      <c r="BD289" s="82">
        <f>($Q289-$H289)*100</f>
        <v/>
      </c>
      <c r="BE289" s="82">
        <f>($S289-$J289)*100</f>
        <v/>
      </c>
      <c r="BF289" s="82">
        <f>($V289-$L289)*100</f>
        <v/>
      </c>
      <c r="BG289" s="82">
        <f>$AG289-$AF289</f>
        <v/>
      </c>
      <c r="BH289" s="81">
        <f>IFERROR($AG289/$AF289,"")</f>
        <v/>
      </c>
      <c r="BI289" s="82">
        <f>$AJ289-$AF289</f>
        <v/>
      </c>
      <c r="BJ289" s="81">
        <f>IFERROR($AJ289/$AG289,"")</f>
        <v/>
      </c>
      <c r="BK289" s="81">
        <f>$X289</f>
        <v/>
      </c>
      <c r="BL289" s="82">
        <f>($J289-$J290)*100</f>
        <v/>
      </c>
      <c r="BM289" s="82">
        <f>($F289-$F290)*100</f>
        <v/>
      </c>
      <c r="BN289" s="82">
        <f>$AF289-$AF290</f>
        <v/>
      </c>
      <c r="BO289" s="82">
        <f>$AG289-$AG290</f>
        <v/>
      </c>
      <c r="BP289" s="82">
        <f>$AJ289-$AJ290</f>
        <v/>
      </c>
    </row>
    <row r="290">
      <c r="AR290" s="81">
        <f>($G290+($H290-$G290)*0.5)+($P290-($O290+($Q290-$O290)*0.5))</f>
        <v/>
      </c>
      <c r="AS290" s="81">
        <f>($J290+($K290-$J290)*0.5)+($T290-($S290+($U290-$S290)*0.5))</f>
        <v/>
      </c>
      <c r="AT290" s="82">
        <f>($J290-$C290)*100</f>
        <v/>
      </c>
      <c r="AU290" s="82">
        <f>($H290-$F290)*100</f>
        <v/>
      </c>
      <c r="AV290" s="82">
        <f>($J290-$F290)*100</f>
        <v/>
      </c>
      <c r="AW290" s="82">
        <f>($L290-$F290)*100</f>
        <v/>
      </c>
      <c r="AX290" s="82">
        <f>($J290-$H290)*100</f>
        <v/>
      </c>
      <c r="AY290" s="82">
        <f>($L290-$H290)*100</f>
        <v/>
      </c>
      <c r="AZ290" s="82">
        <f>($L290-$J290)*100</f>
        <v/>
      </c>
      <c r="BA290" s="82">
        <f>(2*$H290-$F290-$J290)*100</f>
        <v/>
      </c>
      <c r="BB290" s="82">
        <f>(2*$J290-$H290-$L290)*100</f>
        <v/>
      </c>
      <c r="BC290" s="82">
        <f>($N290-$F290)*100</f>
        <v/>
      </c>
      <c r="BD290" s="82">
        <f>($Q290-$H290)*100</f>
        <v/>
      </c>
      <c r="BE290" s="82">
        <f>($S290-$J290)*100</f>
        <v/>
      </c>
      <c r="BF290" s="82">
        <f>($V290-$L290)*100</f>
        <v/>
      </c>
      <c r="BG290" s="82">
        <f>$AG290-$AF290</f>
        <v/>
      </c>
      <c r="BH290" s="81">
        <f>IFERROR($AG290/$AF290,"")</f>
        <v/>
      </c>
      <c r="BI290" s="82">
        <f>$AJ290-$AF290</f>
        <v/>
      </c>
      <c r="BJ290" s="81">
        <f>IFERROR($AJ290/$AG290,"")</f>
        <v/>
      </c>
      <c r="BK290" s="81">
        <f>$X290</f>
        <v/>
      </c>
      <c r="BL290" s="82">
        <f>($J290-$J291)*100</f>
        <v/>
      </c>
      <c r="BM290" s="82">
        <f>($F290-$F291)*100</f>
        <v/>
      </c>
      <c r="BN290" s="82">
        <f>$AF290-$AF291</f>
        <v/>
      </c>
      <c r="BO290" s="82">
        <f>$AG290-$AG291</f>
        <v/>
      </c>
      <c r="BP290" s="82">
        <f>$AJ290-$AJ291</f>
        <v/>
      </c>
    </row>
    <row r="291">
      <c r="AR291" s="81">
        <f>($G291+($H291-$G291)*0.5)+($P291-($O291+($Q291-$O291)*0.5))</f>
        <v/>
      </c>
      <c r="AS291" s="81">
        <f>($J291+($K291-$J291)*0.5)+($T291-($S291+($U291-$S291)*0.5))</f>
        <v/>
      </c>
      <c r="AT291" s="82">
        <f>($J291-$C291)*100</f>
        <v/>
      </c>
      <c r="AU291" s="82">
        <f>($H291-$F291)*100</f>
        <v/>
      </c>
      <c r="AV291" s="82">
        <f>($J291-$F291)*100</f>
        <v/>
      </c>
      <c r="AW291" s="82">
        <f>($L291-$F291)*100</f>
        <v/>
      </c>
      <c r="AX291" s="82">
        <f>($J291-$H291)*100</f>
        <v/>
      </c>
      <c r="AY291" s="82">
        <f>($L291-$H291)*100</f>
        <v/>
      </c>
      <c r="AZ291" s="82">
        <f>($L291-$J291)*100</f>
        <v/>
      </c>
      <c r="BA291" s="82">
        <f>(2*$H291-$F291-$J291)*100</f>
        <v/>
      </c>
      <c r="BB291" s="82">
        <f>(2*$J291-$H291-$L291)*100</f>
        <v/>
      </c>
      <c r="BC291" s="82">
        <f>($N291-$F291)*100</f>
        <v/>
      </c>
      <c r="BD291" s="82">
        <f>($Q291-$H291)*100</f>
        <v/>
      </c>
      <c r="BE291" s="82">
        <f>($S291-$J291)*100</f>
        <v/>
      </c>
      <c r="BF291" s="82">
        <f>($V291-$L291)*100</f>
        <v/>
      </c>
      <c r="BG291" s="82">
        <f>$AG291-$AF291</f>
        <v/>
      </c>
      <c r="BH291" s="81">
        <f>IFERROR($AG291/$AF291,"")</f>
        <v/>
      </c>
      <c r="BI291" s="82">
        <f>$AJ291-$AF291</f>
        <v/>
      </c>
      <c r="BJ291" s="81">
        <f>IFERROR($AJ291/$AG291,"")</f>
        <v/>
      </c>
      <c r="BK291" s="81">
        <f>$X291</f>
        <v/>
      </c>
      <c r="BL291" s="82">
        <f>($J291-$J292)*100</f>
        <v/>
      </c>
      <c r="BM291" s="82">
        <f>($F291-$F292)*100</f>
        <v/>
      </c>
      <c r="BN291" s="82">
        <f>$AF291-$AF292</f>
        <v/>
      </c>
      <c r="BO291" s="82">
        <f>$AG291-$AG292</f>
        <v/>
      </c>
      <c r="BP291" s="82">
        <f>$AJ291-$AJ292</f>
        <v/>
      </c>
    </row>
    <row r="292">
      <c r="AR292" s="81">
        <f>($G292+($H292-$G292)*0.5)+($P292-($O292+($Q292-$O292)*0.5))</f>
        <v/>
      </c>
      <c r="AS292" s="81">
        <f>($J292+($K292-$J292)*0.5)+($T292-($S292+($U292-$S292)*0.5))</f>
        <v/>
      </c>
      <c r="AT292" s="82">
        <f>($J292-$C292)*100</f>
        <v/>
      </c>
      <c r="AU292" s="82">
        <f>($H292-$F292)*100</f>
        <v/>
      </c>
      <c r="AV292" s="82">
        <f>($J292-$F292)*100</f>
        <v/>
      </c>
      <c r="AW292" s="82">
        <f>($L292-$F292)*100</f>
        <v/>
      </c>
      <c r="AX292" s="82">
        <f>($J292-$H292)*100</f>
        <v/>
      </c>
      <c r="AY292" s="82">
        <f>($L292-$H292)*100</f>
        <v/>
      </c>
      <c r="AZ292" s="82">
        <f>($L292-$J292)*100</f>
        <v/>
      </c>
      <c r="BA292" s="82">
        <f>(2*$H292-$F292-$J292)*100</f>
        <v/>
      </c>
      <c r="BB292" s="82">
        <f>(2*$J292-$H292-$L292)*100</f>
        <v/>
      </c>
      <c r="BC292" s="82">
        <f>($N292-$F292)*100</f>
        <v/>
      </c>
      <c r="BD292" s="82">
        <f>($Q292-$H292)*100</f>
        <v/>
      </c>
      <c r="BE292" s="82">
        <f>($S292-$J292)*100</f>
        <v/>
      </c>
      <c r="BF292" s="82">
        <f>($V292-$L292)*100</f>
        <v/>
      </c>
      <c r="BG292" s="82">
        <f>$AG292-$AF292</f>
        <v/>
      </c>
      <c r="BH292" s="81">
        <f>IFERROR($AG292/$AF292,"")</f>
        <v/>
      </c>
      <c r="BI292" s="82">
        <f>$AJ292-$AF292</f>
        <v/>
      </c>
      <c r="BJ292" s="81">
        <f>IFERROR($AJ292/$AG292,"")</f>
        <v/>
      </c>
      <c r="BK292" s="81">
        <f>$X292</f>
        <v/>
      </c>
      <c r="BL292" s="82">
        <f>($J292-$J293)*100</f>
        <v/>
      </c>
      <c r="BM292" s="82">
        <f>($F292-$F293)*100</f>
        <v/>
      </c>
      <c r="BN292" s="82">
        <f>$AF292-$AF293</f>
        <v/>
      </c>
      <c r="BO292" s="82">
        <f>$AG292-$AG293</f>
        <v/>
      </c>
      <c r="BP292" s="82">
        <f>$AJ292-$AJ293</f>
        <v/>
      </c>
    </row>
    <row r="293">
      <c r="AR293" s="81">
        <f>($G293+($H293-$G293)*0.5)+($P293-($O293+($Q293-$O293)*0.5))</f>
        <v/>
      </c>
      <c r="AS293" s="81">
        <f>($J293+($K293-$J293)*0.5)+($T293-($S293+($U293-$S293)*0.5))</f>
        <v/>
      </c>
      <c r="AT293" s="82">
        <f>($J293-$C293)*100</f>
        <v/>
      </c>
      <c r="AU293" s="82">
        <f>($H293-$F293)*100</f>
        <v/>
      </c>
      <c r="AV293" s="82">
        <f>($J293-$F293)*100</f>
        <v/>
      </c>
      <c r="AW293" s="82">
        <f>($L293-$F293)*100</f>
        <v/>
      </c>
      <c r="AX293" s="82">
        <f>($J293-$H293)*100</f>
        <v/>
      </c>
      <c r="AY293" s="82">
        <f>($L293-$H293)*100</f>
        <v/>
      </c>
      <c r="AZ293" s="82">
        <f>($L293-$J293)*100</f>
        <v/>
      </c>
      <c r="BA293" s="82">
        <f>(2*$H293-$F293-$J293)*100</f>
        <v/>
      </c>
      <c r="BB293" s="82">
        <f>(2*$J293-$H293-$L293)*100</f>
        <v/>
      </c>
      <c r="BC293" s="82">
        <f>($N293-$F293)*100</f>
        <v/>
      </c>
      <c r="BD293" s="82">
        <f>($Q293-$H293)*100</f>
        <v/>
      </c>
      <c r="BE293" s="82">
        <f>($S293-$J293)*100</f>
        <v/>
      </c>
      <c r="BF293" s="82">
        <f>($V293-$L293)*100</f>
        <v/>
      </c>
      <c r="BG293" s="82">
        <f>$AG293-$AF293</f>
        <v/>
      </c>
      <c r="BH293" s="81">
        <f>IFERROR($AG293/$AF293,"")</f>
        <v/>
      </c>
      <c r="BI293" s="82">
        <f>$AJ293-$AF293</f>
        <v/>
      </c>
      <c r="BJ293" s="81">
        <f>IFERROR($AJ293/$AG293,"")</f>
        <v/>
      </c>
      <c r="BK293" s="81">
        <f>$X293</f>
        <v/>
      </c>
      <c r="BL293" s="82">
        <f>($J293-$J294)*100</f>
        <v/>
      </c>
      <c r="BM293" s="82">
        <f>($F293-$F294)*100</f>
        <v/>
      </c>
      <c r="BN293" s="82">
        <f>$AF293-$AF294</f>
        <v/>
      </c>
      <c r="BO293" s="82">
        <f>$AG293-$AG294</f>
        <v/>
      </c>
      <c r="BP293" s="82">
        <f>$AJ293-$AJ294</f>
        <v/>
      </c>
    </row>
    <row r="294">
      <c r="AR294" s="81">
        <f>($G294+($H294-$G294)*0.5)+($P294-($O294+($Q294-$O294)*0.5))</f>
        <v/>
      </c>
      <c r="AS294" s="81">
        <f>($J294+($K294-$J294)*0.5)+($T294-($S294+($U294-$S294)*0.5))</f>
        <v/>
      </c>
      <c r="AT294" s="82">
        <f>($J294-$C294)*100</f>
        <v/>
      </c>
      <c r="AU294" s="82">
        <f>($H294-$F294)*100</f>
        <v/>
      </c>
      <c r="AV294" s="82">
        <f>($J294-$F294)*100</f>
        <v/>
      </c>
      <c r="AW294" s="82">
        <f>($L294-$F294)*100</f>
        <v/>
      </c>
      <c r="AX294" s="82">
        <f>($J294-$H294)*100</f>
        <v/>
      </c>
      <c r="AY294" s="82">
        <f>($L294-$H294)*100</f>
        <v/>
      </c>
      <c r="AZ294" s="82">
        <f>($L294-$J294)*100</f>
        <v/>
      </c>
      <c r="BA294" s="82">
        <f>(2*$H294-$F294-$J294)*100</f>
        <v/>
      </c>
      <c r="BB294" s="82">
        <f>(2*$J294-$H294-$L294)*100</f>
        <v/>
      </c>
      <c r="BC294" s="82">
        <f>($N294-$F294)*100</f>
        <v/>
      </c>
      <c r="BD294" s="82">
        <f>($Q294-$H294)*100</f>
        <v/>
      </c>
      <c r="BE294" s="82">
        <f>($S294-$J294)*100</f>
        <v/>
      </c>
      <c r="BF294" s="82">
        <f>($V294-$L294)*100</f>
        <v/>
      </c>
      <c r="BG294" s="82">
        <f>$AG294-$AF294</f>
        <v/>
      </c>
      <c r="BH294" s="81">
        <f>IFERROR($AG294/$AF294,"")</f>
        <v/>
      </c>
      <c r="BI294" s="82">
        <f>$AJ294-$AF294</f>
        <v/>
      </c>
      <c r="BJ294" s="81">
        <f>IFERROR($AJ294/$AG294,"")</f>
        <v/>
      </c>
      <c r="BK294" s="81">
        <f>$X294</f>
        <v/>
      </c>
      <c r="BL294" s="82">
        <f>($J294-$J295)*100</f>
        <v/>
      </c>
      <c r="BM294" s="82">
        <f>($F294-$F295)*100</f>
        <v/>
      </c>
      <c r="BN294" s="82">
        <f>$AF294-$AF295</f>
        <v/>
      </c>
      <c r="BO294" s="82">
        <f>$AG294-$AG295</f>
        <v/>
      </c>
      <c r="BP294" s="82">
        <f>$AJ294-$AJ295</f>
        <v/>
      </c>
    </row>
    <row r="295">
      <c r="AR295" s="81">
        <f>($G295+($H295-$G295)*0.5)+($P295-($O295+($Q295-$O295)*0.5))</f>
        <v/>
      </c>
      <c r="AS295" s="81">
        <f>($J295+($K295-$J295)*0.5)+($T295-($S295+($U295-$S295)*0.5))</f>
        <v/>
      </c>
      <c r="AT295" s="82">
        <f>($J295-$C295)*100</f>
        <v/>
      </c>
      <c r="AU295" s="82">
        <f>($H295-$F295)*100</f>
        <v/>
      </c>
      <c r="AV295" s="82">
        <f>($J295-$F295)*100</f>
        <v/>
      </c>
      <c r="AW295" s="82">
        <f>($L295-$F295)*100</f>
        <v/>
      </c>
      <c r="AX295" s="82">
        <f>($J295-$H295)*100</f>
        <v/>
      </c>
      <c r="AY295" s="82">
        <f>($L295-$H295)*100</f>
        <v/>
      </c>
      <c r="AZ295" s="82">
        <f>($L295-$J295)*100</f>
        <v/>
      </c>
      <c r="BA295" s="82">
        <f>(2*$H295-$F295-$J295)*100</f>
        <v/>
      </c>
      <c r="BB295" s="82">
        <f>(2*$J295-$H295-$L295)*100</f>
        <v/>
      </c>
      <c r="BC295" s="82">
        <f>($N295-$F295)*100</f>
        <v/>
      </c>
      <c r="BD295" s="82">
        <f>($Q295-$H295)*100</f>
        <v/>
      </c>
      <c r="BE295" s="82">
        <f>($S295-$J295)*100</f>
        <v/>
      </c>
      <c r="BF295" s="82">
        <f>($V295-$L295)*100</f>
        <v/>
      </c>
      <c r="BG295" s="82">
        <f>$AG295-$AF295</f>
        <v/>
      </c>
      <c r="BH295" s="81">
        <f>IFERROR($AG295/$AF295,"")</f>
        <v/>
      </c>
      <c r="BI295" s="82">
        <f>$AJ295-$AF295</f>
        <v/>
      </c>
      <c r="BJ295" s="81">
        <f>IFERROR($AJ295/$AG295,"")</f>
        <v/>
      </c>
      <c r="BK295" s="81">
        <f>$X295</f>
        <v/>
      </c>
      <c r="BL295" s="82">
        <f>($J295-$J296)*100</f>
        <v/>
      </c>
      <c r="BM295" s="82">
        <f>($F295-$F296)*100</f>
        <v/>
      </c>
      <c r="BN295" s="82">
        <f>$AF295-$AF296</f>
        <v/>
      </c>
      <c r="BO295" s="82">
        <f>$AG295-$AG296</f>
        <v/>
      </c>
      <c r="BP295" s="82">
        <f>$AJ295-$AJ296</f>
        <v/>
      </c>
    </row>
    <row r="296">
      <c r="AR296" s="81">
        <f>($G296+($H296-$G296)*0.5)+($P296-($O296+($Q296-$O296)*0.5))</f>
        <v/>
      </c>
      <c r="AS296" s="81">
        <f>($J296+($K296-$J296)*0.5)+($T296-($S296+($U296-$S296)*0.5))</f>
        <v/>
      </c>
      <c r="AT296" s="82">
        <f>($J296-$C296)*100</f>
        <v/>
      </c>
      <c r="AU296" s="82">
        <f>($H296-$F296)*100</f>
        <v/>
      </c>
      <c r="AV296" s="82">
        <f>($J296-$F296)*100</f>
        <v/>
      </c>
      <c r="AW296" s="82">
        <f>($L296-$F296)*100</f>
        <v/>
      </c>
      <c r="AX296" s="82">
        <f>($J296-$H296)*100</f>
        <v/>
      </c>
      <c r="AY296" s="82">
        <f>($L296-$H296)*100</f>
        <v/>
      </c>
      <c r="AZ296" s="82">
        <f>($L296-$J296)*100</f>
        <v/>
      </c>
      <c r="BA296" s="82">
        <f>(2*$H296-$F296-$J296)*100</f>
        <v/>
      </c>
      <c r="BB296" s="82">
        <f>(2*$J296-$H296-$L296)*100</f>
        <v/>
      </c>
      <c r="BC296" s="82">
        <f>($N296-$F296)*100</f>
        <v/>
      </c>
      <c r="BD296" s="82">
        <f>($Q296-$H296)*100</f>
        <v/>
      </c>
      <c r="BE296" s="82">
        <f>($S296-$J296)*100</f>
        <v/>
      </c>
      <c r="BF296" s="82">
        <f>($V296-$L296)*100</f>
        <v/>
      </c>
      <c r="BG296" s="82">
        <f>$AG296-$AF296</f>
        <v/>
      </c>
      <c r="BH296" s="81">
        <f>IFERROR($AG296/$AF296,"")</f>
        <v/>
      </c>
      <c r="BI296" s="82">
        <f>$AJ296-$AF296</f>
        <v/>
      </c>
      <c r="BJ296" s="81">
        <f>IFERROR($AJ296/$AG296,"")</f>
        <v/>
      </c>
      <c r="BK296" s="81">
        <f>$X296</f>
        <v/>
      </c>
      <c r="BL296" s="82">
        <f>($J296-$J297)*100</f>
        <v/>
      </c>
      <c r="BM296" s="82">
        <f>($F296-$F297)*100</f>
        <v/>
      </c>
      <c r="BN296" s="82">
        <f>$AF296-$AF297</f>
        <v/>
      </c>
      <c r="BO296" s="82">
        <f>$AG296-$AG297</f>
        <v/>
      </c>
      <c r="BP296" s="82">
        <f>$AJ296-$AJ297</f>
        <v/>
      </c>
    </row>
    <row r="297">
      <c r="AR297" s="81">
        <f>($G297+($H297-$G297)*0.5)+($P297-($O297+($Q297-$O297)*0.5))</f>
        <v/>
      </c>
      <c r="AS297" s="81">
        <f>($J297+($K297-$J297)*0.5)+($T297-($S297+($U297-$S297)*0.5))</f>
        <v/>
      </c>
      <c r="AT297" s="82">
        <f>($J297-$C297)*100</f>
        <v/>
      </c>
      <c r="AU297" s="82">
        <f>($H297-$F297)*100</f>
        <v/>
      </c>
      <c r="AV297" s="82">
        <f>($J297-$F297)*100</f>
        <v/>
      </c>
      <c r="AW297" s="82">
        <f>($L297-$F297)*100</f>
        <v/>
      </c>
      <c r="AX297" s="82">
        <f>($J297-$H297)*100</f>
        <v/>
      </c>
      <c r="AY297" s="82">
        <f>($L297-$H297)*100</f>
        <v/>
      </c>
      <c r="AZ297" s="82">
        <f>($L297-$J297)*100</f>
        <v/>
      </c>
      <c r="BA297" s="82">
        <f>(2*$H297-$F297-$J297)*100</f>
        <v/>
      </c>
      <c r="BB297" s="82">
        <f>(2*$J297-$H297-$L297)*100</f>
        <v/>
      </c>
      <c r="BC297" s="82">
        <f>($N297-$F297)*100</f>
        <v/>
      </c>
      <c r="BD297" s="82">
        <f>($Q297-$H297)*100</f>
        <v/>
      </c>
      <c r="BE297" s="82">
        <f>($S297-$J297)*100</f>
        <v/>
      </c>
      <c r="BF297" s="82">
        <f>($V297-$L297)*100</f>
        <v/>
      </c>
      <c r="BG297" s="82">
        <f>$AG297-$AF297</f>
        <v/>
      </c>
      <c r="BH297" s="81">
        <f>IFERROR($AG297/$AF297,"")</f>
        <v/>
      </c>
      <c r="BI297" s="82">
        <f>$AJ297-$AF297</f>
        <v/>
      </c>
      <c r="BJ297" s="81">
        <f>IFERROR($AJ297/$AG297,"")</f>
        <v/>
      </c>
      <c r="BK297" s="81">
        <f>$X297</f>
        <v/>
      </c>
      <c r="BL297" s="82">
        <f>($J297-$J298)*100</f>
        <v/>
      </c>
      <c r="BM297" s="82">
        <f>($F297-$F298)*100</f>
        <v/>
      </c>
      <c r="BN297" s="82">
        <f>$AF297-$AF298</f>
        <v/>
      </c>
      <c r="BO297" s="82">
        <f>$AG297-$AG298</f>
        <v/>
      </c>
      <c r="BP297" s="82">
        <f>$AJ297-$AJ298</f>
        <v/>
      </c>
    </row>
    <row r="298">
      <c r="AR298" s="81">
        <f>($G298+($H298-$G298)*0.5)+($P298-($O298+($Q298-$O298)*0.5))</f>
        <v/>
      </c>
      <c r="AS298" s="81">
        <f>($J298+($K298-$J298)*0.5)+($T298-($S298+($U298-$S298)*0.5))</f>
        <v/>
      </c>
      <c r="AT298" s="82">
        <f>($J298-$C298)*100</f>
        <v/>
      </c>
      <c r="AU298" s="82">
        <f>($H298-$F298)*100</f>
        <v/>
      </c>
      <c r="AV298" s="82">
        <f>($J298-$F298)*100</f>
        <v/>
      </c>
      <c r="AW298" s="82">
        <f>($L298-$F298)*100</f>
        <v/>
      </c>
      <c r="AX298" s="82">
        <f>($J298-$H298)*100</f>
        <v/>
      </c>
      <c r="AY298" s="82">
        <f>($L298-$H298)*100</f>
        <v/>
      </c>
      <c r="AZ298" s="82">
        <f>($L298-$J298)*100</f>
        <v/>
      </c>
      <c r="BA298" s="82">
        <f>(2*$H298-$F298-$J298)*100</f>
        <v/>
      </c>
      <c r="BB298" s="82">
        <f>(2*$J298-$H298-$L298)*100</f>
        <v/>
      </c>
      <c r="BC298" s="82">
        <f>($N298-$F298)*100</f>
        <v/>
      </c>
      <c r="BD298" s="82">
        <f>($Q298-$H298)*100</f>
        <v/>
      </c>
      <c r="BE298" s="82">
        <f>($S298-$J298)*100</f>
        <v/>
      </c>
      <c r="BF298" s="82">
        <f>($V298-$L298)*100</f>
        <v/>
      </c>
      <c r="BG298" s="82">
        <f>$AG298-$AF298</f>
        <v/>
      </c>
      <c r="BH298" s="81">
        <f>IFERROR($AG298/$AF298,"")</f>
        <v/>
      </c>
      <c r="BI298" s="82">
        <f>$AJ298-$AF298</f>
        <v/>
      </c>
      <c r="BJ298" s="81">
        <f>IFERROR($AJ298/$AG298,"")</f>
        <v/>
      </c>
      <c r="BK298" s="81">
        <f>$X298</f>
        <v/>
      </c>
      <c r="BL298" s="82">
        <f>($J298-$J299)*100</f>
        <v/>
      </c>
      <c r="BM298" s="82">
        <f>($F298-$F299)*100</f>
        <v/>
      </c>
      <c r="BN298" s="82">
        <f>$AF298-$AF299</f>
        <v/>
      </c>
      <c r="BO298" s="82">
        <f>$AG298-$AG299</f>
        <v/>
      </c>
      <c r="BP298" s="82">
        <f>$AJ298-$AJ299</f>
        <v/>
      </c>
    </row>
    <row r="299">
      <c r="AR299" s="81">
        <f>($G299+($H299-$G299)*0.5)+($P299-($O299+($Q299-$O299)*0.5))</f>
        <v/>
      </c>
      <c r="AS299" s="81">
        <f>($J299+($K299-$J299)*0.5)+($T299-($S299+($U299-$S299)*0.5))</f>
        <v/>
      </c>
      <c r="AT299" s="82">
        <f>($J299-$C299)*100</f>
        <v/>
      </c>
      <c r="AU299" s="82">
        <f>($H299-$F299)*100</f>
        <v/>
      </c>
      <c r="AV299" s="82">
        <f>($J299-$F299)*100</f>
        <v/>
      </c>
      <c r="AW299" s="82">
        <f>($L299-$F299)*100</f>
        <v/>
      </c>
      <c r="AX299" s="82">
        <f>($J299-$H299)*100</f>
        <v/>
      </c>
      <c r="AY299" s="82">
        <f>($L299-$H299)*100</f>
        <v/>
      </c>
      <c r="AZ299" s="82">
        <f>($L299-$J299)*100</f>
        <v/>
      </c>
      <c r="BA299" s="82">
        <f>(2*$H299-$F299-$J299)*100</f>
        <v/>
      </c>
      <c r="BB299" s="82">
        <f>(2*$J299-$H299-$L299)*100</f>
        <v/>
      </c>
      <c r="BC299" s="82">
        <f>($N299-$F299)*100</f>
        <v/>
      </c>
      <c r="BD299" s="82">
        <f>($Q299-$H299)*100</f>
        <v/>
      </c>
      <c r="BE299" s="82">
        <f>($S299-$J299)*100</f>
        <v/>
      </c>
      <c r="BF299" s="82">
        <f>($V299-$L299)*100</f>
        <v/>
      </c>
      <c r="BG299" s="82">
        <f>$AG299-$AF299</f>
        <v/>
      </c>
      <c r="BH299" s="81">
        <f>IFERROR($AG299/$AF299,"")</f>
        <v/>
      </c>
      <c r="BI299" s="82">
        <f>$AJ299-$AF299</f>
        <v/>
      </c>
      <c r="BJ299" s="81">
        <f>IFERROR($AJ299/$AG299,"")</f>
        <v/>
      </c>
      <c r="BK299" s="81">
        <f>$X299</f>
        <v/>
      </c>
      <c r="BL299" s="82">
        <f>($J299-$J300)*100</f>
        <v/>
      </c>
      <c r="BM299" s="82">
        <f>($F299-$F300)*100</f>
        <v/>
      </c>
      <c r="BN299" s="82">
        <f>$AF299-$AF300</f>
        <v/>
      </c>
      <c r="BO299" s="82">
        <f>$AG299-$AG300</f>
        <v/>
      </c>
      <c r="BP299" s="82">
        <f>$AJ299-$AJ300</f>
        <v/>
      </c>
    </row>
    <row r="300">
      <c r="AR300" s="81">
        <f>($G300+($H300-$G300)*0.5)+($P300-($O300+($Q300-$O300)*0.5))</f>
        <v/>
      </c>
      <c r="AS300" s="81">
        <f>($J300+($K300-$J300)*0.5)+($T300-($S300+($U300-$S300)*0.5))</f>
        <v/>
      </c>
      <c r="AT300" s="82">
        <f>($J300-$C300)*100</f>
        <v/>
      </c>
      <c r="AU300" s="82">
        <f>($H300-$F300)*100</f>
        <v/>
      </c>
      <c r="AV300" s="82">
        <f>($J300-$F300)*100</f>
        <v/>
      </c>
      <c r="AW300" s="82">
        <f>($L300-$F300)*100</f>
        <v/>
      </c>
      <c r="AX300" s="82">
        <f>($J300-$H300)*100</f>
        <v/>
      </c>
      <c r="AY300" s="82">
        <f>($L300-$H300)*100</f>
        <v/>
      </c>
      <c r="AZ300" s="82">
        <f>($L300-$J300)*100</f>
        <v/>
      </c>
      <c r="BA300" s="82">
        <f>(2*$H300-$F300-$J300)*100</f>
        <v/>
      </c>
      <c r="BB300" s="82">
        <f>(2*$J300-$H300-$L300)*100</f>
        <v/>
      </c>
      <c r="BC300" s="82">
        <f>($N300-$F300)*100</f>
        <v/>
      </c>
      <c r="BD300" s="82">
        <f>($Q300-$H300)*100</f>
        <v/>
      </c>
      <c r="BE300" s="82">
        <f>($S300-$J300)*100</f>
        <v/>
      </c>
      <c r="BF300" s="82">
        <f>($V300-$L300)*100</f>
        <v/>
      </c>
      <c r="BG300" s="82">
        <f>$AG300-$AF300</f>
        <v/>
      </c>
      <c r="BH300" s="81">
        <f>IFERROR($AG300/$AF300,"")</f>
        <v/>
      </c>
      <c r="BI300" s="82">
        <f>$AJ300-$AF300</f>
        <v/>
      </c>
      <c r="BJ300" s="81">
        <f>IFERROR($AJ300/$AG300,"")</f>
        <v/>
      </c>
      <c r="BK300" s="81">
        <f>$X300</f>
        <v/>
      </c>
      <c r="BL300" s="82">
        <f>($J300-$J301)*100</f>
        <v/>
      </c>
      <c r="BM300" s="82">
        <f>($F300-$F301)*100</f>
        <v/>
      </c>
      <c r="BN300" s="82">
        <f>$AF300-$AF301</f>
        <v/>
      </c>
      <c r="BO300" s="82">
        <f>$AG300-$AG301</f>
        <v/>
      </c>
      <c r="BP300" s="82">
        <f>$AJ300-$AJ301</f>
        <v/>
      </c>
    </row>
    <row r="301">
      <c r="AR301" s="81">
        <f>($G301+($H301-$G301)*0.5)+($P301-($O301+($Q301-$O301)*0.5))</f>
        <v/>
      </c>
      <c r="AS301" s="81">
        <f>($J301+($K301-$J301)*0.5)+($T301-($S301+($U301-$S301)*0.5))</f>
        <v/>
      </c>
      <c r="AT301" s="82">
        <f>($J301-$C301)*100</f>
        <v/>
      </c>
      <c r="AU301" s="82">
        <f>($H301-$F301)*100</f>
        <v/>
      </c>
      <c r="AV301" s="82">
        <f>($J301-$F301)*100</f>
        <v/>
      </c>
      <c r="AW301" s="82">
        <f>($L301-$F301)*100</f>
        <v/>
      </c>
      <c r="AX301" s="82">
        <f>($J301-$H301)*100</f>
        <v/>
      </c>
      <c r="AY301" s="82">
        <f>($L301-$H301)*100</f>
        <v/>
      </c>
      <c r="AZ301" s="82">
        <f>($L301-$J301)*100</f>
        <v/>
      </c>
      <c r="BA301" s="82">
        <f>(2*$H301-$F301-$J301)*100</f>
        <v/>
      </c>
      <c r="BB301" s="82">
        <f>(2*$J301-$H301-$L301)*100</f>
        <v/>
      </c>
      <c r="BC301" s="82">
        <f>($N301-$F301)*100</f>
        <v/>
      </c>
      <c r="BD301" s="82">
        <f>($Q301-$H301)*100</f>
        <v/>
      </c>
      <c r="BE301" s="82">
        <f>($S301-$J301)*100</f>
        <v/>
      </c>
      <c r="BF301" s="82">
        <f>($V301-$L301)*100</f>
        <v/>
      </c>
      <c r="BG301" s="82">
        <f>$AG301-$AF301</f>
        <v/>
      </c>
      <c r="BH301" s="81">
        <f>IFERROR($AG301/$AF301,"")</f>
        <v/>
      </c>
      <c r="BI301" s="82">
        <f>$AJ301-$AF301</f>
        <v/>
      </c>
      <c r="BJ301" s="81">
        <f>IFERROR($AJ301/$AG301,"")</f>
        <v/>
      </c>
      <c r="BK301" s="81">
        <f>$X301</f>
        <v/>
      </c>
      <c r="BL301" s="82">
        <f>($J301-$J302)*100</f>
        <v/>
      </c>
      <c r="BM301" s="82">
        <f>($F301-$F302)*100</f>
        <v/>
      </c>
      <c r="BN301" s="82">
        <f>$AF301-$AF302</f>
        <v/>
      </c>
      <c r="BO301" s="82">
        <f>$AG301-$AG302</f>
        <v/>
      </c>
      <c r="BP301" s="82">
        <f>$AJ301-$AJ302</f>
        <v/>
      </c>
    </row>
    <row r="302">
      <c r="AR302" s="81">
        <f>($G302+($H302-$G302)*0.5)+($P302-($O302+($Q302-$O302)*0.5))</f>
        <v/>
      </c>
      <c r="AS302" s="81">
        <f>($J302+($K302-$J302)*0.5)+($T302-($S302+($U302-$S302)*0.5))</f>
        <v/>
      </c>
      <c r="AT302" s="82">
        <f>($J302-$C302)*100</f>
        <v/>
      </c>
      <c r="AU302" s="82">
        <f>($H302-$F302)*100</f>
        <v/>
      </c>
      <c r="AV302" s="82">
        <f>($J302-$F302)*100</f>
        <v/>
      </c>
      <c r="AW302" s="82">
        <f>($L302-$F302)*100</f>
        <v/>
      </c>
      <c r="AX302" s="82">
        <f>($J302-$H302)*100</f>
        <v/>
      </c>
      <c r="AY302" s="82">
        <f>($L302-$H302)*100</f>
        <v/>
      </c>
      <c r="AZ302" s="82">
        <f>($L302-$J302)*100</f>
        <v/>
      </c>
      <c r="BA302" s="82">
        <f>(2*$H302-$F302-$J302)*100</f>
        <v/>
      </c>
      <c r="BB302" s="82">
        <f>(2*$J302-$H302-$L302)*100</f>
        <v/>
      </c>
      <c r="BC302" s="82">
        <f>($N302-$F302)*100</f>
        <v/>
      </c>
      <c r="BD302" s="82">
        <f>($Q302-$H302)*100</f>
        <v/>
      </c>
      <c r="BE302" s="82">
        <f>($S302-$J302)*100</f>
        <v/>
      </c>
      <c r="BF302" s="82">
        <f>($V302-$L302)*100</f>
        <v/>
      </c>
      <c r="BG302" s="82">
        <f>$AG302-$AF302</f>
        <v/>
      </c>
      <c r="BH302" s="81">
        <f>IFERROR($AG302/$AF302,"")</f>
        <v/>
      </c>
      <c r="BI302" s="82">
        <f>$AJ302-$AF302</f>
        <v/>
      </c>
      <c r="BJ302" s="81">
        <f>IFERROR($AJ302/$AG302,"")</f>
        <v/>
      </c>
      <c r="BK302" s="81">
        <f>$X302</f>
        <v/>
      </c>
      <c r="BL302" s="82">
        <f>($J302-$J303)*100</f>
        <v/>
      </c>
      <c r="BM302" s="82">
        <f>($F302-$F303)*100</f>
        <v/>
      </c>
      <c r="BN302" s="82">
        <f>$AF302-$AF303</f>
        <v/>
      </c>
      <c r="BO302" s="82">
        <f>$AG302-$AG303</f>
        <v/>
      </c>
      <c r="BP302" s="82">
        <f>$AJ302-$AJ303</f>
        <v/>
      </c>
    </row>
    <row r="303">
      <c r="AR303" s="81">
        <f>($G303+($H303-$G303)*0.5)+($P303-($O303+($Q303-$O303)*0.5))</f>
        <v/>
      </c>
      <c r="AS303" s="81">
        <f>($J303+($K303-$J303)*0.5)+($T303-($S303+($U303-$S303)*0.5))</f>
        <v/>
      </c>
      <c r="AT303" s="82">
        <f>($J303-$C303)*100</f>
        <v/>
      </c>
      <c r="AU303" s="82">
        <f>($H303-$F303)*100</f>
        <v/>
      </c>
      <c r="AV303" s="82">
        <f>($J303-$F303)*100</f>
        <v/>
      </c>
      <c r="AW303" s="82">
        <f>($L303-$F303)*100</f>
        <v/>
      </c>
      <c r="AX303" s="82">
        <f>($J303-$H303)*100</f>
        <v/>
      </c>
      <c r="AY303" s="82">
        <f>($L303-$H303)*100</f>
        <v/>
      </c>
      <c r="AZ303" s="82">
        <f>($L303-$J303)*100</f>
        <v/>
      </c>
      <c r="BA303" s="82">
        <f>(2*$H303-$F303-$J303)*100</f>
        <v/>
      </c>
      <c r="BB303" s="82">
        <f>(2*$J303-$H303-$L303)*100</f>
        <v/>
      </c>
      <c r="BC303" s="82">
        <f>($N303-$F303)*100</f>
        <v/>
      </c>
      <c r="BD303" s="82">
        <f>($Q303-$H303)*100</f>
        <v/>
      </c>
      <c r="BE303" s="82">
        <f>($S303-$J303)*100</f>
        <v/>
      </c>
      <c r="BF303" s="82">
        <f>($V303-$L303)*100</f>
        <v/>
      </c>
      <c r="BG303" s="82">
        <f>$AG303-$AF303</f>
        <v/>
      </c>
      <c r="BH303" s="81">
        <f>IFERROR($AG303/$AF303,"")</f>
        <v/>
      </c>
      <c r="BI303" s="82">
        <f>$AJ303-$AF303</f>
        <v/>
      </c>
      <c r="BJ303" s="81">
        <f>IFERROR($AJ303/$AG303,"")</f>
        <v/>
      </c>
      <c r="BK303" s="81">
        <f>$X303</f>
        <v/>
      </c>
      <c r="BL303" s="82">
        <f>($J303-$J304)*100</f>
        <v/>
      </c>
      <c r="BM303" s="82">
        <f>($F303-$F304)*100</f>
        <v/>
      </c>
      <c r="BN303" s="82">
        <f>$AF303-$AF304</f>
        <v/>
      </c>
      <c r="BO303" s="82">
        <f>$AG303-$AG304</f>
        <v/>
      </c>
      <c r="BP303" s="82">
        <f>$AJ303-$AJ304</f>
        <v/>
      </c>
    </row>
    <row r="304">
      <c r="AR304" s="81">
        <f>($G304+($H304-$G304)*0.5)+($P304-($O304+($Q304-$O304)*0.5))</f>
        <v/>
      </c>
      <c r="AS304" s="81">
        <f>($J304+($K304-$J304)*0.5)+($T304-($S304+($U304-$S304)*0.5))</f>
        <v/>
      </c>
      <c r="AT304" s="82">
        <f>($J304-$C304)*100</f>
        <v/>
      </c>
      <c r="AU304" s="82">
        <f>($H304-$F304)*100</f>
        <v/>
      </c>
      <c r="AV304" s="82">
        <f>($J304-$F304)*100</f>
        <v/>
      </c>
      <c r="AW304" s="82">
        <f>($L304-$F304)*100</f>
        <v/>
      </c>
      <c r="AX304" s="82">
        <f>($J304-$H304)*100</f>
        <v/>
      </c>
      <c r="AY304" s="82">
        <f>($L304-$H304)*100</f>
        <v/>
      </c>
      <c r="AZ304" s="82">
        <f>($L304-$J304)*100</f>
        <v/>
      </c>
      <c r="BA304" s="82">
        <f>(2*$H304-$F304-$J304)*100</f>
        <v/>
      </c>
      <c r="BB304" s="82">
        <f>(2*$J304-$H304-$L304)*100</f>
        <v/>
      </c>
      <c r="BC304" s="82">
        <f>($N304-$F304)*100</f>
        <v/>
      </c>
      <c r="BD304" s="82">
        <f>($Q304-$H304)*100</f>
        <v/>
      </c>
      <c r="BE304" s="82">
        <f>($S304-$J304)*100</f>
        <v/>
      </c>
      <c r="BF304" s="82">
        <f>($V304-$L304)*100</f>
        <v/>
      </c>
      <c r="BG304" s="82">
        <f>$AG304-$AF304</f>
        <v/>
      </c>
      <c r="BH304" s="81">
        <f>IFERROR($AG304/$AF304,"")</f>
        <v/>
      </c>
      <c r="BI304" s="82">
        <f>$AJ304-$AF304</f>
        <v/>
      </c>
      <c r="BJ304" s="81">
        <f>IFERROR($AJ304/$AG304,"")</f>
        <v/>
      </c>
      <c r="BK304" s="81">
        <f>$X304</f>
        <v/>
      </c>
      <c r="BL304" s="82">
        <f>($J304-$J305)*100</f>
        <v/>
      </c>
      <c r="BM304" s="82">
        <f>($F304-$F305)*100</f>
        <v/>
      </c>
      <c r="BN304" s="82">
        <f>$AF304-$AF305</f>
        <v/>
      </c>
      <c r="BO304" s="82">
        <f>$AG304-$AG305</f>
        <v/>
      </c>
      <c r="BP304" s="82">
        <f>$AJ304-$AJ305</f>
        <v/>
      </c>
    </row>
    <row r="305">
      <c r="AR305" s="81">
        <f>($G305+($H305-$G305)*0.5)+($P305-($O305+($Q305-$O305)*0.5))</f>
        <v/>
      </c>
      <c r="AS305" s="81">
        <f>($J305+($K305-$J305)*0.5)+($T305-($S305+($U305-$S305)*0.5))</f>
        <v/>
      </c>
      <c r="AT305" s="82">
        <f>($J305-$C305)*100</f>
        <v/>
      </c>
      <c r="AU305" s="82">
        <f>($H305-$F305)*100</f>
        <v/>
      </c>
      <c r="AV305" s="82">
        <f>($J305-$F305)*100</f>
        <v/>
      </c>
      <c r="AW305" s="82">
        <f>($L305-$F305)*100</f>
        <v/>
      </c>
      <c r="AX305" s="82">
        <f>($J305-$H305)*100</f>
        <v/>
      </c>
      <c r="AY305" s="82">
        <f>($L305-$H305)*100</f>
        <v/>
      </c>
      <c r="AZ305" s="82">
        <f>($L305-$J305)*100</f>
        <v/>
      </c>
      <c r="BA305" s="82">
        <f>(2*$H305-$F305-$J305)*100</f>
        <v/>
      </c>
      <c r="BB305" s="82">
        <f>(2*$J305-$H305-$L305)*100</f>
        <v/>
      </c>
      <c r="BC305" s="82">
        <f>($N305-$F305)*100</f>
        <v/>
      </c>
      <c r="BD305" s="82">
        <f>($Q305-$H305)*100</f>
        <v/>
      </c>
      <c r="BE305" s="82">
        <f>($S305-$J305)*100</f>
        <v/>
      </c>
      <c r="BF305" s="82">
        <f>($V305-$L305)*100</f>
        <v/>
      </c>
      <c r="BG305" s="82">
        <f>$AG305-$AF305</f>
        <v/>
      </c>
      <c r="BH305" s="81">
        <f>IFERROR($AG305/$AF305,"")</f>
        <v/>
      </c>
      <c r="BI305" s="82">
        <f>$AJ305-$AF305</f>
        <v/>
      </c>
      <c r="BJ305" s="81">
        <f>IFERROR($AJ305/$AG305,"")</f>
        <v/>
      </c>
      <c r="BK305" s="81">
        <f>$X305</f>
        <v/>
      </c>
      <c r="BL305" s="82">
        <f>($J305-$J306)*100</f>
        <v/>
      </c>
      <c r="BM305" s="82">
        <f>($F305-$F306)*100</f>
        <v/>
      </c>
      <c r="BN305" s="82">
        <f>$AF305-$AF306</f>
        <v/>
      </c>
      <c r="BO305" s="82">
        <f>$AG305-$AG306</f>
        <v/>
      </c>
      <c r="BP305" s="82">
        <f>$AJ305-$AJ306</f>
        <v/>
      </c>
    </row>
    <row r="306">
      <c r="AR306" s="81">
        <f>($G306+($H306-$G306)*0.5)+($P306-($O306+($Q306-$O306)*0.5))</f>
        <v/>
      </c>
      <c r="AS306" s="81">
        <f>($J306+($K306-$J306)*0.5)+($T306-($S306+($U306-$S306)*0.5))</f>
        <v/>
      </c>
      <c r="AT306" s="82">
        <f>($J306-$C306)*100</f>
        <v/>
      </c>
      <c r="AU306" s="82">
        <f>($H306-$F306)*100</f>
        <v/>
      </c>
      <c r="AV306" s="82">
        <f>($J306-$F306)*100</f>
        <v/>
      </c>
      <c r="AW306" s="82">
        <f>($L306-$F306)*100</f>
        <v/>
      </c>
      <c r="AX306" s="82">
        <f>($J306-$H306)*100</f>
        <v/>
      </c>
      <c r="AY306" s="82">
        <f>($L306-$H306)*100</f>
        <v/>
      </c>
      <c r="AZ306" s="82">
        <f>($L306-$J306)*100</f>
        <v/>
      </c>
      <c r="BA306" s="82">
        <f>(2*$H306-$F306-$J306)*100</f>
        <v/>
      </c>
      <c r="BB306" s="82">
        <f>(2*$J306-$H306-$L306)*100</f>
        <v/>
      </c>
      <c r="BC306" s="82">
        <f>($N306-$F306)*100</f>
        <v/>
      </c>
      <c r="BD306" s="82">
        <f>($Q306-$H306)*100</f>
        <v/>
      </c>
      <c r="BE306" s="82">
        <f>($S306-$J306)*100</f>
        <v/>
      </c>
      <c r="BF306" s="82">
        <f>($V306-$L306)*100</f>
        <v/>
      </c>
      <c r="BG306" s="82">
        <f>$AG306-$AF306</f>
        <v/>
      </c>
      <c r="BH306" s="81">
        <f>IFERROR($AG306/$AF306,"")</f>
        <v/>
      </c>
      <c r="BI306" s="82">
        <f>$AJ306-$AF306</f>
        <v/>
      </c>
      <c r="BJ306" s="81">
        <f>IFERROR($AJ306/$AG306,"")</f>
        <v/>
      </c>
      <c r="BK306" s="81">
        <f>$X306</f>
        <v/>
      </c>
      <c r="BL306" s="82">
        <f>($J306-$J307)*100</f>
        <v/>
      </c>
      <c r="BM306" s="82">
        <f>($F306-$F307)*100</f>
        <v/>
      </c>
      <c r="BN306" s="82">
        <f>$AF306-$AF307</f>
        <v/>
      </c>
      <c r="BO306" s="82">
        <f>$AG306-$AG307</f>
        <v/>
      </c>
      <c r="BP306" s="82">
        <f>$AJ306-$AJ307</f>
        <v/>
      </c>
    </row>
    <row r="307">
      <c r="AR307" s="81">
        <f>($G307+($H307-$G307)*0.5)+($P307-($O307+($Q307-$O307)*0.5))</f>
        <v/>
      </c>
      <c r="AS307" s="81">
        <f>($J307+($K307-$J307)*0.5)+($T307-($S307+($U307-$S307)*0.5))</f>
        <v/>
      </c>
      <c r="AT307" s="82">
        <f>($J307-$C307)*100</f>
        <v/>
      </c>
      <c r="AU307" s="82">
        <f>($H307-$F307)*100</f>
        <v/>
      </c>
      <c r="AV307" s="82">
        <f>($J307-$F307)*100</f>
        <v/>
      </c>
      <c r="AW307" s="82">
        <f>($L307-$F307)*100</f>
        <v/>
      </c>
      <c r="AX307" s="82">
        <f>($J307-$H307)*100</f>
        <v/>
      </c>
      <c r="AY307" s="82">
        <f>($L307-$H307)*100</f>
        <v/>
      </c>
      <c r="AZ307" s="82">
        <f>($L307-$J307)*100</f>
        <v/>
      </c>
      <c r="BA307" s="82">
        <f>(2*$H307-$F307-$J307)*100</f>
        <v/>
      </c>
      <c r="BB307" s="82">
        <f>(2*$J307-$H307-$L307)*100</f>
        <v/>
      </c>
      <c r="BC307" s="82">
        <f>($N307-$F307)*100</f>
        <v/>
      </c>
      <c r="BD307" s="82">
        <f>($Q307-$H307)*100</f>
        <v/>
      </c>
      <c r="BE307" s="82">
        <f>($S307-$J307)*100</f>
        <v/>
      </c>
      <c r="BF307" s="82">
        <f>($V307-$L307)*100</f>
        <v/>
      </c>
      <c r="BG307" s="82">
        <f>$AG307-$AF307</f>
        <v/>
      </c>
      <c r="BH307" s="81">
        <f>IFERROR($AG307/$AF307,"")</f>
        <v/>
      </c>
      <c r="BI307" s="82">
        <f>$AJ307-$AF307</f>
        <v/>
      </c>
      <c r="BJ307" s="81">
        <f>IFERROR($AJ307/$AG307,"")</f>
        <v/>
      </c>
      <c r="BK307" s="81">
        <f>$X307</f>
        <v/>
      </c>
      <c r="BL307" s="82">
        <f>($J307-$J308)*100</f>
        <v/>
      </c>
      <c r="BM307" s="82">
        <f>($F307-$F308)*100</f>
        <v/>
      </c>
      <c r="BN307" s="82">
        <f>$AF307-$AF308</f>
        <v/>
      </c>
      <c r="BO307" s="82">
        <f>$AG307-$AG308</f>
        <v/>
      </c>
      <c r="BP307" s="82">
        <f>$AJ307-$AJ308</f>
        <v/>
      </c>
    </row>
    <row r="308">
      <c r="AR308" s="81">
        <f>($G308+($H308-$G308)*0.5)+($P308-($O308+($Q308-$O308)*0.5))</f>
        <v/>
      </c>
      <c r="AS308" s="81">
        <f>($J308+($K308-$J308)*0.5)+($T308-($S308+($U308-$S308)*0.5))</f>
        <v/>
      </c>
      <c r="AT308" s="82">
        <f>($J308-$C308)*100</f>
        <v/>
      </c>
      <c r="AU308" s="82">
        <f>($H308-$F308)*100</f>
        <v/>
      </c>
      <c r="AV308" s="82">
        <f>($J308-$F308)*100</f>
        <v/>
      </c>
      <c r="AW308" s="82">
        <f>($L308-$F308)*100</f>
        <v/>
      </c>
      <c r="AX308" s="82">
        <f>($J308-$H308)*100</f>
        <v/>
      </c>
      <c r="AY308" s="82">
        <f>($L308-$H308)*100</f>
        <v/>
      </c>
      <c r="AZ308" s="82">
        <f>($L308-$J308)*100</f>
        <v/>
      </c>
      <c r="BA308" s="82">
        <f>(2*$H308-$F308-$J308)*100</f>
        <v/>
      </c>
      <c r="BB308" s="82">
        <f>(2*$J308-$H308-$L308)*100</f>
        <v/>
      </c>
      <c r="BC308" s="82">
        <f>($N308-$F308)*100</f>
        <v/>
      </c>
      <c r="BD308" s="82">
        <f>($Q308-$H308)*100</f>
        <v/>
      </c>
      <c r="BE308" s="82">
        <f>($S308-$J308)*100</f>
        <v/>
      </c>
      <c r="BF308" s="82">
        <f>($V308-$L308)*100</f>
        <v/>
      </c>
      <c r="BG308" s="82">
        <f>$AG308-$AF308</f>
        <v/>
      </c>
      <c r="BH308" s="81">
        <f>IFERROR($AG308/$AF308,"")</f>
        <v/>
      </c>
      <c r="BI308" s="82">
        <f>$AJ308-$AF308</f>
        <v/>
      </c>
      <c r="BJ308" s="81">
        <f>IFERROR($AJ308/$AG308,"")</f>
        <v/>
      </c>
      <c r="BK308" s="81">
        <f>$X308</f>
        <v/>
      </c>
      <c r="BL308" s="82">
        <f>($J308-$J309)*100</f>
        <v/>
      </c>
      <c r="BM308" s="82">
        <f>($F308-$F309)*100</f>
        <v/>
      </c>
      <c r="BN308" s="82">
        <f>$AF308-$AF309</f>
        <v/>
      </c>
      <c r="BO308" s="82">
        <f>$AG308-$AG309</f>
        <v/>
      </c>
      <c r="BP308" s="82">
        <f>$AJ308-$AJ309</f>
        <v/>
      </c>
    </row>
    <row r="309">
      <c r="AR309" s="81">
        <f>($G309+($H309-$G309)*0.5)+($P309-($O309+($Q309-$O309)*0.5))</f>
        <v/>
      </c>
      <c r="AS309" s="81">
        <f>($J309+($K309-$J309)*0.5)+($T309-($S309+($U309-$S309)*0.5))</f>
        <v/>
      </c>
      <c r="AT309" s="82">
        <f>($J309-$C309)*100</f>
        <v/>
      </c>
      <c r="AU309" s="82">
        <f>($H309-$F309)*100</f>
        <v/>
      </c>
      <c r="AV309" s="82">
        <f>($J309-$F309)*100</f>
        <v/>
      </c>
      <c r="AW309" s="82">
        <f>($L309-$F309)*100</f>
        <v/>
      </c>
      <c r="AX309" s="82">
        <f>($J309-$H309)*100</f>
        <v/>
      </c>
      <c r="AY309" s="82">
        <f>($L309-$H309)*100</f>
        <v/>
      </c>
      <c r="AZ309" s="82">
        <f>($L309-$J309)*100</f>
        <v/>
      </c>
      <c r="BA309" s="82">
        <f>(2*$H309-$F309-$J309)*100</f>
        <v/>
      </c>
      <c r="BB309" s="82">
        <f>(2*$J309-$H309-$L309)*100</f>
        <v/>
      </c>
      <c r="BC309" s="82">
        <f>($N309-$F309)*100</f>
        <v/>
      </c>
      <c r="BD309" s="82">
        <f>($Q309-$H309)*100</f>
        <v/>
      </c>
      <c r="BE309" s="82">
        <f>($S309-$J309)*100</f>
        <v/>
      </c>
      <c r="BF309" s="82">
        <f>($V309-$L309)*100</f>
        <v/>
      </c>
      <c r="BG309" s="82">
        <f>$AG309-$AF309</f>
        <v/>
      </c>
      <c r="BH309" s="81">
        <f>IFERROR($AG309/$AF309,"")</f>
        <v/>
      </c>
      <c r="BI309" s="82">
        <f>$AJ309-$AF309</f>
        <v/>
      </c>
      <c r="BJ309" s="81">
        <f>IFERROR($AJ309/$AG309,"")</f>
        <v/>
      </c>
      <c r="BK309" s="81">
        <f>$X309</f>
        <v/>
      </c>
      <c r="BL309" s="82">
        <f>($J309-$J310)*100</f>
        <v/>
      </c>
      <c r="BM309" s="82">
        <f>($F309-$F310)*100</f>
        <v/>
      </c>
      <c r="BN309" s="82">
        <f>$AF309-$AF310</f>
        <v/>
      </c>
      <c r="BO309" s="82">
        <f>$AG309-$AG310</f>
        <v/>
      </c>
      <c r="BP309" s="82">
        <f>$AJ309-$AJ310</f>
        <v/>
      </c>
    </row>
    <row r="310">
      <c r="AR310" s="81">
        <f>($G310+($H310-$G310)*0.5)+($P310-($O310+($Q310-$O310)*0.5))</f>
        <v/>
      </c>
      <c r="AS310" s="81">
        <f>($J310+($K310-$J310)*0.5)+($T310-($S310+($U310-$S310)*0.5))</f>
        <v/>
      </c>
      <c r="AT310" s="82">
        <f>($J310-$C310)*100</f>
        <v/>
      </c>
      <c r="AU310" s="82">
        <f>($H310-$F310)*100</f>
        <v/>
      </c>
      <c r="AV310" s="82">
        <f>($J310-$F310)*100</f>
        <v/>
      </c>
      <c r="AW310" s="82">
        <f>($L310-$F310)*100</f>
        <v/>
      </c>
      <c r="AX310" s="82">
        <f>($J310-$H310)*100</f>
        <v/>
      </c>
      <c r="AY310" s="82">
        <f>($L310-$H310)*100</f>
        <v/>
      </c>
      <c r="AZ310" s="82">
        <f>($L310-$J310)*100</f>
        <v/>
      </c>
      <c r="BA310" s="82">
        <f>(2*$H310-$F310-$J310)*100</f>
        <v/>
      </c>
      <c r="BB310" s="82">
        <f>(2*$J310-$H310-$L310)*100</f>
        <v/>
      </c>
      <c r="BC310" s="82">
        <f>($N310-$F310)*100</f>
        <v/>
      </c>
      <c r="BD310" s="82">
        <f>($Q310-$H310)*100</f>
        <v/>
      </c>
      <c r="BE310" s="82">
        <f>($S310-$J310)*100</f>
        <v/>
      </c>
      <c r="BF310" s="82">
        <f>($V310-$L310)*100</f>
        <v/>
      </c>
      <c r="BG310" s="82">
        <f>$AG310-$AF310</f>
        <v/>
      </c>
      <c r="BH310" s="81">
        <f>IFERROR($AG310/$AF310,"")</f>
        <v/>
      </c>
      <c r="BI310" s="82">
        <f>$AJ310-$AF310</f>
        <v/>
      </c>
      <c r="BJ310" s="81">
        <f>IFERROR($AJ310/$AG310,"")</f>
        <v/>
      </c>
      <c r="BK310" s="81">
        <f>$X310</f>
        <v/>
      </c>
      <c r="BL310" s="82">
        <f>($J310-$J311)*100</f>
        <v/>
      </c>
      <c r="BM310" s="82">
        <f>($F310-$F311)*100</f>
        <v/>
      </c>
      <c r="BN310" s="82">
        <f>$AF310-$AF311</f>
        <v/>
      </c>
      <c r="BO310" s="82">
        <f>$AG310-$AG311</f>
        <v/>
      </c>
      <c r="BP310" s="82">
        <f>$AJ310-$AJ311</f>
        <v/>
      </c>
    </row>
    <row r="311">
      <c r="AR311" s="81">
        <f>($G311+($H311-$G311)*0.5)+($P311-($O311+($Q311-$O311)*0.5))</f>
        <v/>
      </c>
      <c r="AS311" s="81">
        <f>($J311+($K311-$J311)*0.5)+($T311-($S311+($U311-$S311)*0.5))</f>
        <v/>
      </c>
      <c r="AT311" s="82">
        <f>($J311-$C311)*100</f>
        <v/>
      </c>
      <c r="AU311" s="82">
        <f>($H311-$F311)*100</f>
        <v/>
      </c>
      <c r="AV311" s="82">
        <f>($J311-$F311)*100</f>
        <v/>
      </c>
      <c r="AW311" s="82">
        <f>($L311-$F311)*100</f>
        <v/>
      </c>
      <c r="AX311" s="82">
        <f>($J311-$H311)*100</f>
        <v/>
      </c>
      <c r="AY311" s="82">
        <f>($L311-$H311)*100</f>
        <v/>
      </c>
      <c r="AZ311" s="82">
        <f>($L311-$J311)*100</f>
        <v/>
      </c>
      <c r="BA311" s="82">
        <f>(2*$H311-$F311-$J311)*100</f>
        <v/>
      </c>
      <c r="BB311" s="82">
        <f>(2*$J311-$H311-$L311)*100</f>
        <v/>
      </c>
      <c r="BC311" s="82">
        <f>($N311-$F311)*100</f>
        <v/>
      </c>
      <c r="BD311" s="82">
        <f>($Q311-$H311)*100</f>
        <v/>
      </c>
      <c r="BE311" s="82">
        <f>($S311-$J311)*100</f>
        <v/>
      </c>
      <c r="BF311" s="82">
        <f>($V311-$L311)*100</f>
        <v/>
      </c>
      <c r="BG311" s="82">
        <f>$AG311-$AF311</f>
        <v/>
      </c>
      <c r="BH311" s="81">
        <f>IFERROR($AG311/$AF311,"")</f>
        <v/>
      </c>
      <c r="BI311" s="82">
        <f>$AJ311-$AF311</f>
        <v/>
      </c>
      <c r="BJ311" s="81">
        <f>IFERROR($AJ311/$AG311,"")</f>
        <v/>
      </c>
      <c r="BK311" s="81">
        <f>$X311</f>
        <v/>
      </c>
      <c r="BL311" s="82">
        <f>($J311-$J312)*100</f>
        <v/>
      </c>
      <c r="BM311" s="82">
        <f>($F311-$F312)*100</f>
        <v/>
      </c>
      <c r="BN311" s="82">
        <f>$AF311-$AF312</f>
        <v/>
      </c>
      <c r="BO311" s="82">
        <f>$AG311-$AG312</f>
        <v/>
      </c>
      <c r="BP311" s="82">
        <f>$AJ311-$AJ312</f>
        <v/>
      </c>
    </row>
    <row r="312">
      <c r="AR312" s="81">
        <f>($G312+($H312-$G312)*0.5)+($P312-($O312+($Q312-$O312)*0.5))</f>
        <v/>
      </c>
      <c r="AS312" s="81">
        <f>($J312+($K312-$J312)*0.5)+($T312-($S312+($U312-$S312)*0.5))</f>
        <v/>
      </c>
      <c r="AT312" s="82">
        <f>($J312-$C312)*100</f>
        <v/>
      </c>
      <c r="AU312" s="82">
        <f>($H312-$F312)*100</f>
        <v/>
      </c>
      <c r="AV312" s="82">
        <f>($J312-$F312)*100</f>
        <v/>
      </c>
      <c r="AW312" s="82">
        <f>($L312-$F312)*100</f>
        <v/>
      </c>
      <c r="AX312" s="82">
        <f>($J312-$H312)*100</f>
        <v/>
      </c>
      <c r="AY312" s="82">
        <f>($L312-$H312)*100</f>
        <v/>
      </c>
      <c r="AZ312" s="82">
        <f>($L312-$J312)*100</f>
        <v/>
      </c>
      <c r="BA312" s="82">
        <f>(2*$H312-$F312-$J312)*100</f>
        <v/>
      </c>
      <c r="BB312" s="82">
        <f>(2*$J312-$H312-$L312)*100</f>
        <v/>
      </c>
      <c r="BC312" s="82">
        <f>($N312-$F312)*100</f>
        <v/>
      </c>
      <c r="BD312" s="82">
        <f>($Q312-$H312)*100</f>
        <v/>
      </c>
      <c r="BE312" s="82">
        <f>($S312-$J312)*100</f>
        <v/>
      </c>
      <c r="BF312" s="82">
        <f>($V312-$L312)*100</f>
        <v/>
      </c>
      <c r="BG312" s="82">
        <f>$AG312-$AF312</f>
        <v/>
      </c>
      <c r="BH312" s="81">
        <f>IFERROR($AG312/$AF312,"")</f>
        <v/>
      </c>
      <c r="BI312" s="82">
        <f>$AJ312-$AF312</f>
        <v/>
      </c>
      <c r="BJ312" s="81">
        <f>IFERROR($AJ312/$AG312,"")</f>
        <v/>
      </c>
      <c r="BK312" s="81">
        <f>$X312</f>
        <v/>
      </c>
      <c r="BL312" s="82">
        <f>($J312-$J313)*100</f>
        <v/>
      </c>
      <c r="BM312" s="82">
        <f>($F312-$F313)*100</f>
        <v/>
      </c>
      <c r="BN312" s="82">
        <f>$AF312-$AF313</f>
        <v/>
      </c>
      <c r="BO312" s="82">
        <f>$AG312-$AG313</f>
        <v/>
      </c>
      <c r="BP312" s="82">
        <f>$AJ312-$AJ313</f>
        <v/>
      </c>
    </row>
    <row r="313">
      <c r="AR313" s="81">
        <f>($G313+($H313-$G313)*0.5)+($P313-($O313+($Q313-$O313)*0.5))</f>
        <v/>
      </c>
      <c r="AS313" s="81">
        <f>($J313+($K313-$J313)*0.5)+($T313-($S313+($U313-$S313)*0.5))</f>
        <v/>
      </c>
      <c r="AT313" s="82">
        <f>($J313-$C313)*100</f>
        <v/>
      </c>
      <c r="AU313" s="82">
        <f>($H313-$F313)*100</f>
        <v/>
      </c>
      <c r="AV313" s="82">
        <f>($J313-$F313)*100</f>
        <v/>
      </c>
      <c r="AW313" s="82">
        <f>($L313-$F313)*100</f>
        <v/>
      </c>
      <c r="AX313" s="82">
        <f>($J313-$H313)*100</f>
        <v/>
      </c>
      <c r="AY313" s="82">
        <f>($L313-$H313)*100</f>
        <v/>
      </c>
      <c r="AZ313" s="82">
        <f>($L313-$J313)*100</f>
        <v/>
      </c>
      <c r="BA313" s="82">
        <f>(2*$H313-$F313-$J313)*100</f>
        <v/>
      </c>
      <c r="BB313" s="82">
        <f>(2*$J313-$H313-$L313)*100</f>
        <v/>
      </c>
      <c r="BC313" s="82">
        <f>($N313-$F313)*100</f>
        <v/>
      </c>
      <c r="BD313" s="82">
        <f>($Q313-$H313)*100</f>
        <v/>
      </c>
      <c r="BE313" s="82">
        <f>($S313-$J313)*100</f>
        <v/>
      </c>
      <c r="BF313" s="82">
        <f>($V313-$L313)*100</f>
        <v/>
      </c>
      <c r="BG313" s="82">
        <f>$AG313-$AF313</f>
        <v/>
      </c>
      <c r="BH313" s="81">
        <f>IFERROR($AG313/$AF313,"")</f>
        <v/>
      </c>
      <c r="BI313" s="82">
        <f>$AJ313-$AF313</f>
        <v/>
      </c>
      <c r="BJ313" s="81">
        <f>IFERROR($AJ313/$AG313,"")</f>
        <v/>
      </c>
      <c r="BK313" s="81">
        <f>$X313</f>
        <v/>
      </c>
      <c r="BL313" s="82">
        <f>($J313-$J314)*100</f>
        <v/>
      </c>
      <c r="BM313" s="82">
        <f>($F313-$F314)*100</f>
        <v/>
      </c>
      <c r="BN313" s="82">
        <f>$AF313-$AF314</f>
        <v/>
      </c>
      <c r="BO313" s="82">
        <f>$AG313-$AG314</f>
        <v/>
      </c>
      <c r="BP313" s="82">
        <f>$AJ313-$AJ314</f>
        <v/>
      </c>
    </row>
    <row r="314">
      <c r="AR314" s="81">
        <f>($G314+($H314-$G314)*0.5)+($P314-($O314+($Q314-$O314)*0.5))</f>
        <v/>
      </c>
      <c r="AS314" s="81">
        <f>($J314+($K314-$J314)*0.5)+($T314-($S314+($U314-$S314)*0.5))</f>
        <v/>
      </c>
      <c r="AT314" s="82">
        <f>($J314-$C314)*100</f>
        <v/>
      </c>
      <c r="AU314" s="82">
        <f>($H314-$F314)*100</f>
        <v/>
      </c>
      <c r="AV314" s="82">
        <f>($J314-$F314)*100</f>
        <v/>
      </c>
      <c r="AW314" s="82">
        <f>($L314-$F314)*100</f>
        <v/>
      </c>
      <c r="AX314" s="82">
        <f>($J314-$H314)*100</f>
        <v/>
      </c>
      <c r="AY314" s="82">
        <f>($L314-$H314)*100</f>
        <v/>
      </c>
      <c r="AZ314" s="82">
        <f>($L314-$J314)*100</f>
        <v/>
      </c>
      <c r="BA314" s="82">
        <f>(2*$H314-$F314-$J314)*100</f>
        <v/>
      </c>
      <c r="BB314" s="82">
        <f>(2*$J314-$H314-$L314)*100</f>
        <v/>
      </c>
      <c r="BC314" s="82">
        <f>($N314-$F314)*100</f>
        <v/>
      </c>
      <c r="BD314" s="82">
        <f>($Q314-$H314)*100</f>
        <v/>
      </c>
      <c r="BE314" s="82">
        <f>($S314-$J314)*100</f>
        <v/>
      </c>
      <c r="BF314" s="82">
        <f>($V314-$L314)*100</f>
        <v/>
      </c>
      <c r="BG314" s="82">
        <f>$AG314-$AF314</f>
        <v/>
      </c>
      <c r="BH314" s="81">
        <f>IFERROR($AG314/$AF314,"")</f>
        <v/>
      </c>
      <c r="BI314" s="82">
        <f>$AJ314-$AF314</f>
        <v/>
      </c>
      <c r="BJ314" s="81">
        <f>IFERROR($AJ314/$AG314,"")</f>
        <v/>
      </c>
      <c r="BK314" s="81">
        <f>$X314</f>
        <v/>
      </c>
      <c r="BL314" s="82">
        <f>($J314-$J315)*100</f>
        <v/>
      </c>
      <c r="BM314" s="82">
        <f>($F314-$F315)*100</f>
        <v/>
      </c>
      <c r="BN314" s="82">
        <f>$AF314-$AF315</f>
        <v/>
      </c>
      <c r="BO314" s="82">
        <f>$AG314-$AG315</f>
        <v/>
      </c>
      <c r="BP314" s="82">
        <f>$AJ314-$AJ315</f>
        <v/>
      </c>
    </row>
    <row r="315">
      <c r="AR315" s="81">
        <f>($G315+($H315-$G315)*0.5)+($P315-($O315+($Q315-$O315)*0.5))</f>
        <v/>
      </c>
      <c r="AS315" s="81">
        <f>($J315+($K315-$J315)*0.5)+($T315-($S315+($U315-$S315)*0.5))</f>
        <v/>
      </c>
      <c r="AT315" s="82">
        <f>($J315-$C315)*100</f>
        <v/>
      </c>
      <c r="AU315" s="82">
        <f>($H315-$F315)*100</f>
        <v/>
      </c>
      <c r="AV315" s="82">
        <f>($J315-$F315)*100</f>
        <v/>
      </c>
      <c r="AW315" s="82">
        <f>($L315-$F315)*100</f>
        <v/>
      </c>
      <c r="AX315" s="82">
        <f>($J315-$H315)*100</f>
        <v/>
      </c>
      <c r="AY315" s="82">
        <f>($L315-$H315)*100</f>
        <v/>
      </c>
      <c r="AZ315" s="82">
        <f>($L315-$J315)*100</f>
        <v/>
      </c>
      <c r="BA315" s="82">
        <f>(2*$H315-$F315-$J315)*100</f>
        <v/>
      </c>
      <c r="BB315" s="82">
        <f>(2*$J315-$H315-$L315)*100</f>
        <v/>
      </c>
      <c r="BC315" s="82">
        <f>($N315-$F315)*100</f>
        <v/>
      </c>
      <c r="BD315" s="82">
        <f>($Q315-$H315)*100</f>
        <v/>
      </c>
      <c r="BE315" s="82">
        <f>($S315-$J315)*100</f>
        <v/>
      </c>
      <c r="BF315" s="82">
        <f>($V315-$L315)*100</f>
        <v/>
      </c>
      <c r="BG315" s="82">
        <f>$AG315-$AF315</f>
        <v/>
      </c>
      <c r="BH315" s="81">
        <f>IFERROR($AG315/$AF315,"")</f>
        <v/>
      </c>
      <c r="BI315" s="82">
        <f>$AJ315-$AF315</f>
        <v/>
      </c>
      <c r="BJ315" s="81">
        <f>IFERROR($AJ315/$AG315,"")</f>
        <v/>
      </c>
      <c r="BK315" s="81">
        <f>$X315</f>
        <v/>
      </c>
      <c r="BL315" s="82">
        <f>($J315-$J316)*100</f>
        <v/>
      </c>
      <c r="BM315" s="82">
        <f>($F315-$F316)*100</f>
        <v/>
      </c>
      <c r="BN315" s="82">
        <f>$AF315-$AF316</f>
        <v/>
      </c>
      <c r="BO315" s="82">
        <f>$AG315-$AG316</f>
        <v/>
      </c>
      <c r="BP315" s="82">
        <f>$AJ315-$AJ316</f>
        <v/>
      </c>
    </row>
    <row r="316">
      <c r="AR316" s="81">
        <f>($G316+($H316-$G316)*0.5)+($P316-($O316+($Q316-$O316)*0.5))</f>
        <v/>
      </c>
      <c r="AS316" s="81">
        <f>($J316+($K316-$J316)*0.5)+($T316-($S316+($U316-$S316)*0.5))</f>
        <v/>
      </c>
      <c r="AT316" s="82">
        <f>($J316-$C316)*100</f>
        <v/>
      </c>
      <c r="AU316" s="82">
        <f>($H316-$F316)*100</f>
        <v/>
      </c>
      <c r="AV316" s="82">
        <f>($J316-$F316)*100</f>
        <v/>
      </c>
      <c r="AW316" s="82">
        <f>($L316-$F316)*100</f>
        <v/>
      </c>
      <c r="AX316" s="82">
        <f>($J316-$H316)*100</f>
        <v/>
      </c>
      <c r="AY316" s="82">
        <f>($L316-$H316)*100</f>
        <v/>
      </c>
      <c r="AZ316" s="82">
        <f>($L316-$J316)*100</f>
        <v/>
      </c>
      <c r="BA316" s="82">
        <f>(2*$H316-$F316-$J316)*100</f>
        <v/>
      </c>
      <c r="BB316" s="82">
        <f>(2*$J316-$H316-$L316)*100</f>
        <v/>
      </c>
      <c r="BC316" s="82">
        <f>($N316-$F316)*100</f>
        <v/>
      </c>
      <c r="BD316" s="82">
        <f>($Q316-$H316)*100</f>
        <v/>
      </c>
      <c r="BE316" s="82">
        <f>($S316-$J316)*100</f>
        <v/>
      </c>
      <c r="BF316" s="82">
        <f>($V316-$L316)*100</f>
        <v/>
      </c>
      <c r="BG316" s="82">
        <f>$AG316-$AF316</f>
        <v/>
      </c>
      <c r="BH316" s="81">
        <f>IFERROR($AG316/$AF316,"")</f>
        <v/>
      </c>
      <c r="BI316" s="82">
        <f>$AJ316-$AF316</f>
        <v/>
      </c>
      <c r="BJ316" s="81">
        <f>IFERROR($AJ316/$AG316,"")</f>
        <v/>
      </c>
      <c r="BK316" s="81">
        <f>$X316</f>
        <v/>
      </c>
      <c r="BL316" s="82">
        <f>($J316-$J317)*100</f>
        <v/>
      </c>
      <c r="BM316" s="82">
        <f>($F316-$F317)*100</f>
        <v/>
      </c>
      <c r="BN316" s="82">
        <f>$AF316-$AF317</f>
        <v/>
      </c>
      <c r="BO316" s="82">
        <f>$AG316-$AG317</f>
        <v/>
      </c>
      <c r="BP316" s="82">
        <f>$AJ316-$AJ317</f>
        <v/>
      </c>
    </row>
    <row r="317">
      <c r="AR317" s="81">
        <f>($G317+($H317-$G317)*0.5)+($P317-($O317+($Q317-$O317)*0.5))</f>
        <v/>
      </c>
      <c r="AS317" s="81">
        <f>($J317+($K317-$J317)*0.5)+($T317-($S317+($U317-$S317)*0.5))</f>
        <v/>
      </c>
      <c r="AT317" s="82">
        <f>($J317-$C317)*100</f>
        <v/>
      </c>
      <c r="AU317" s="82">
        <f>($H317-$F317)*100</f>
        <v/>
      </c>
      <c r="AV317" s="82">
        <f>($J317-$F317)*100</f>
        <v/>
      </c>
      <c r="AW317" s="82">
        <f>($L317-$F317)*100</f>
        <v/>
      </c>
      <c r="AX317" s="82">
        <f>($J317-$H317)*100</f>
        <v/>
      </c>
      <c r="AY317" s="82">
        <f>($L317-$H317)*100</f>
        <v/>
      </c>
      <c r="AZ317" s="82">
        <f>($L317-$J317)*100</f>
        <v/>
      </c>
      <c r="BA317" s="82">
        <f>(2*$H317-$F317-$J317)*100</f>
        <v/>
      </c>
      <c r="BB317" s="82">
        <f>(2*$J317-$H317-$L317)*100</f>
        <v/>
      </c>
      <c r="BC317" s="82">
        <f>($N317-$F317)*100</f>
        <v/>
      </c>
      <c r="BD317" s="82">
        <f>($Q317-$H317)*100</f>
        <v/>
      </c>
      <c r="BE317" s="82">
        <f>($S317-$J317)*100</f>
        <v/>
      </c>
      <c r="BF317" s="82">
        <f>($V317-$L317)*100</f>
        <v/>
      </c>
      <c r="BG317" s="82">
        <f>$AG317-$AF317</f>
        <v/>
      </c>
      <c r="BH317" s="81">
        <f>IFERROR($AG317/$AF317,"")</f>
        <v/>
      </c>
      <c r="BI317" s="82">
        <f>$AJ317-$AF317</f>
        <v/>
      </c>
      <c r="BJ317" s="81">
        <f>IFERROR($AJ317/$AG317,"")</f>
        <v/>
      </c>
      <c r="BK317" s="81">
        <f>$X317</f>
        <v/>
      </c>
      <c r="BL317" s="82">
        <f>($J317-$J318)*100</f>
        <v/>
      </c>
      <c r="BM317" s="82">
        <f>($F317-$F318)*100</f>
        <v/>
      </c>
      <c r="BN317" s="82">
        <f>$AF317-$AF318</f>
        <v/>
      </c>
      <c r="BO317" s="82">
        <f>$AG317-$AG318</f>
        <v/>
      </c>
      <c r="BP317" s="82">
        <f>$AJ317-$AJ318</f>
        <v/>
      </c>
    </row>
    <row r="318">
      <c r="AR318" s="81">
        <f>($G318+($H318-$G318)*0.5)+($P318-($O318+($Q318-$O318)*0.5))</f>
        <v/>
      </c>
      <c r="AS318" s="81">
        <f>($J318+($K318-$J318)*0.5)+($T318-($S318+($U318-$S318)*0.5))</f>
        <v/>
      </c>
      <c r="AT318" s="82">
        <f>($J318-$C318)*100</f>
        <v/>
      </c>
      <c r="AU318" s="82">
        <f>($H318-$F318)*100</f>
        <v/>
      </c>
      <c r="AV318" s="82">
        <f>($J318-$F318)*100</f>
        <v/>
      </c>
      <c r="AW318" s="82">
        <f>($L318-$F318)*100</f>
        <v/>
      </c>
      <c r="AX318" s="82">
        <f>($J318-$H318)*100</f>
        <v/>
      </c>
      <c r="AY318" s="82">
        <f>($L318-$H318)*100</f>
        <v/>
      </c>
      <c r="AZ318" s="82">
        <f>($L318-$J318)*100</f>
        <v/>
      </c>
      <c r="BA318" s="82">
        <f>(2*$H318-$F318-$J318)*100</f>
        <v/>
      </c>
      <c r="BB318" s="82">
        <f>(2*$J318-$H318-$L318)*100</f>
        <v/>
      </c>
      <c r="BC318" s="82">
        <f>($N318-$F318)*100</f>
        <v/>
      </c>
      <c r="BD318" s="82">
        <f>($Q318-$H318)*100</f>
        <v/>
      </c>
      <c r="BE318" s="82">
        <f>($S318-$J318)*100</f>
        <v/>
      </c>
      <c r="BF318" s="82">
        <f>($V318-$L318)*100</f>
        <v/>
      </c>
      <c r="BG318" s="82">
        <f>$AG318-$AF318</f>
        <v/>
      </c>
      <c r="BH318" s="81">
        <f>IFERROR($AG318/$AF318,"")</f>
        <v/>
      </c>
      <c r="BI318" s="82">
        <f>$AJ318-$AF318</f>
        <v/>
      </c>
      <c r="BJ318" s="81">
        <f>IFERROR($AJ318/$AG318,"")</f>
        <v/>
      </c>
      <c r="BK318" s="81">
        <f>$X318</f>
        <v/>
      </c>
      <c r="BL318" s="82">
        <f>($J318-$J319)*100</f>
        <v/>
      </c>
      <c r="BM318" s="82">
        <f>($F318-$F319)*100</f>
        <v/>
      </c>
      <c r="BN318" s="82">
        <f>$AF318-$AF319</f>
        <v/>
      </c>
      <c r="BO318" s="82">
        <f>$AG318-$AG319</f>
        <v/>
      </c>
      <c r="BP318" s="82">
        <f>$AJ318-$AJ319</f>
        <v/>
      </c>
    </row>
    <row r="319">
      <c r="AR319" s="81">
        <f>($G319+($H319-$G319)*0.5)+($P319-($O319+($Q319-$O319)*0.5))</f>
        <v/>
      </c>
      <c r="AS319" s="81">
        <f>($J319+($K319-$J319)*0.5)+($T319-($S319+($U319-$S319)*0.5))</f>
        <v/>
      </c>
      <c r="AT319" s="82">
        <f>($J319-$C319)*100</f>
        <v/>
      </c>
      <c r="AU319" s="82">
        <f>($H319-$F319)*100</f>
        <v/>
      </c>
      <c r="AV319" s="82">
        <f>($J319-$F319)*100</f>
        <v/>
      </c>
      <c r="AW319" s="82">
        <f>($L319-$F319)*100</f>
        <v/>
      </c>
      <c r="AX319" s="82">
        <f>($J319-$H319)*100</f>
        <v/>
      </c>
      <c r="AY319" s="82">
        <f>($L319-$H319)*100</f>
        <v/>
      </c>
      <c r="AZ319" s="82">
        <f>($L319-$J319)*100</f>
        <v/>
      </c>
      <c r="BA319" s="82">
        <f>(2*$H319-$F319-$J319)*100</f>
        <v/>
      </c>
      <c r="BB319" s="82">
        <f>(2*$J319-$H319-$L319)*100</f>
        <v/>
      </c>
      <c r="BC319" s="82">
        <f>($N319-$F319)*100</f>
        <v/>
      </c>
      <c r="BD319" s="82">
        <f>($Q319-$H319)*100</f>
        <v/>
      </c>
      <c r="BE319" s="82">
        <f>($S319-$J319)*100</f>
        <v/>
      </c>
      <c r="BF319" s="82">
        <f>($V319-$L319)*100</f>
        <v/>
      </c>
      <c r="BG319" s="82">
        <f>$AG319-$AF319</f>
        <v/>
      </c>
      <c r="BH319" s="81">
        <f>IFERROR($AG319/$AF319,"")</f>
        <v/>
      </c>
      <c r="BI319" s="82">
        <f>$AJ319-$AF319</f>
        <v/>
      </c>
      <c r="BJ319" s="81">
        <f>IFERROR($AJ319/$AG319,"")</f>
        <v/>
      </c>
      <c r="BK319" s="81">
        <f>$X319</f>
        <v/>
      </c>
      <c r="BL319" s="82">
        <f>($J319-$J320)*100</f>
        <v/>
      </c>
      <c r="BM319" s="82">
        <f>($F319-$F320)*100</f>
        <v/>
      </c>
      <c r="BN319" s="82">
        <f>$AF319-$AF320</f>
        <v/>
      </c>
      <c r="BO319" s="82">
        <f>$AG319-$AG320</f>
        <v/>
      </c>
      <c r="BP319" s="82">
        <f>$AJ319-$AJ320</f>
        <v/>
      </c>
    </row>
    <row r="320">
      <c r="AR320" s="81">
        <f>($G320+($H320-$G320)*0.5)+($P320-($O320+($Q320-$O320)*0.5))</f>
        <v/>
      </c>
      <c r="AS320" s="81">
        <f>($J320+($K320-$J320)*0.5)+($T320-($S320+($U320-$S320)*0.5))</f>
        <v/>
      </c>
      <c r="AT320" s="82">
        <f>($J320-$C320)*100</f>
        <v/>
      </c>
      <c r="AU320" s="82">
        <f>($H320-$F320)*100</f>
        <v/>
      </c>
      <c r="AV320" s="82">
        <f>($J320-$F320)*100</f>
        <v/>
      </c>
      <c r="AW320" s="82">
        <f>($L320-$F320)*100</f>
        <v/>
      </c>
      <c r="AX320" s="82">
        <f>($J320-$H320)*100</f>
        <v/>
      </c>
      <c r="AY320" s="82">
        <f>($L320-$H320)*100</f>
        <v/>
      </c>
      <c r="AZ320" s="82">
        <f>($L320-$J320)*100</f>
        <v/>
      </c>
      <c r="BA320" s="82">
        <f>(2*$H320-$F320-$J320)*100</f>
        <v/>
      </c>
      <c r="BB320" s="82">
        <f>(2*$J320-$H320-$L320)*100</f>
        <v/>
      </c>
      <c r="BC320" s="82">
        <f>($N320-$F320)*100</f>
        <v/>
      </c>
      <c r="BD320" s="82">
        <f>($Q320-$H320)*100</f>
        <v/>
      </c>
      <c r="BE320" s="82">
        <f>($S320-$J320)*100</f>
        <v/>
      </c>
      <c r="BF320" s="82">
        <f>($V320-$L320)*100</f>
        <v/>
      </c>
      <c r="BG320" s="82">
        <f>$AG320-$AF320</f>
        <v/>
      </c>
      <c r="BH320" s="81">
        <f>IFERROR($AG320/$AF320,"")</f>
        <v/>
      </c>
      <c r="BI320" s="82">
        <f>$AJ320-$AF320</f>
        <v/>
      </c>
      <c r="BJ320" s="81">
        <f>IFERROR($AJ320/$AG320,"")</f>
        <v/>
      </c>
      <c r="BK320" s="81">
        <f>$X320</f>
        <v/>
      </c>
      <c r="BL320" s="82">
        <f>($J320-$J321)*100</f>
        <v/>
      </c>
      <c r="BM320" s="82">
        <f>($F320-$F321)*100</f>
        <v/>
      </c>
      <c r="BN320" s="82">
        <f>$AF320-$AF321</f>
        <v/>
      </c>
      <c r="BO320" s="82">
        <f>$AG320-$AG321</f>
        <v/>
      </c>
      <c r="BP320" s="82">
        <f>$AJ320-$AJ321</f>
        <v/>
      </c>
    </row>
    <row r="321">
      <c r="AR321" s="81">
        <f>($G321+($H321-$G321)*0.5)+($P321-($O321+($Q321-$O321)*0.5))</f>
        <v/>
      </c>
      <c r="AS321" s="81">
        <f>($J321+($K321-$J321)*0.5)+($T321-($S321+($U321-$S321)*0.5))</f>
        <v/>
      </c>
      <c r="AT321" s="82">
        <f>($J321-$C321)*100</f>
        <v/>
      </c>
      <c r="AU321" s="82">
        <f>($H321-$F321)*100</f>
        <v/>
      </c>
      <c r="AV321" s="82">
        <f>($J321-$F321)*100</f>
        <v/>
      </c>
      <c r="AW321" s="82">
        <f>($L321-$F321)*100</f>
        <v/>
      </c>
      <c r="AX321" s="82">
        <f>($J321-$H321)*100</f>
        <v/>
      </c>
      <c r="AY321" s="82">
        <f>($L321-$H321)*100</f>
        <v/>
      </c>
      <c r="AZ321" s="82">
        <f>($L321-$J321)*100</f>
        <v/>
      </c>
      <c r="BA321" s="82">
        <f>(2*$H321-$F321-$J321)*100</f>
        <v/>
      </c>
      <c r="BB321" s="82">
        <f>(2*$J321-$H321-$L321)*100</f>
        <v/>
      </c>
      <c r="BC321" s="82">
        <f>($N321-$F321)*100</f>
        <v/>
      </c>
      <c r="BD321" s="82">
        <f>($Q321-$H321)*100</f>
        <v/>
      </c>
      <c r="BE321" s="82">
        <f>($S321-$J321)*100</f>
        <v/>
      </c>
      <c r="BF321" s="82">
        <f>($V321-$L321)*100</f>
        <v/>
      </c>
      <c r="BG321" s="82">
        <f>$AG321-$AF321</f>
        <v/>
      </c>
      <c r="BH321" s="81">
        <f>IFERROR($AG321/$AF321,"")</f>
        <v/>
      </c>
      <c r="BI321" s="82">
        <f>$AJ321-$AF321</f>
        <v/>
      </c>
      <c r="BJ321" s="81">
        <f>IFERROR($AJ321/$AG321,"")</f>
        <v/>
      </c>
      <c r="BK321" s="81">
        <f>$X321</f>
        <v/>
      </c>
      <c r="BL321" s="82">
        <f>($J321-$J322)*100</f>
        <v/>
      </c>
      <c r="BM321" s="82">
        <f>($F321-$F322)*100</f>
        <v/>
      </c>
      <c r="BN321" s="82">
        <f>$AF321-$AF322</f>
        <v/>
      </c>
      <c r="BO321" s="82">
        <f>$AG321-$AG322</f>
        <v/>
      </c>
      <c r="BP321" s="82">
        <f>$AJ321-$AJ322</f>
        <v/>
      </c>
    </row>
    <row r="322">
      <c r="AR322" s="81">
        <f>($G322+($H322-$G322)*0.5)+($P322-($O322+($Q322-$O322)*0.5))</f>
        <v/>
      </c>
      <c r="AS322" s="81">
        <f>($J322+($K322-$J322)*0.5)+($T322-($S322+($U322-$S322)*0.5))</f>
        <v/>
      </c>
      <c r="AT322" s="82">
        <f>($J322-$C322)*100</f>
        <v/>
      </c>
      <c r="AU322" s="82">
        <f>($H322-$F322)*100</f>
        <v/>
      </c>
      <c r="AV322" s="82">
        <f>($J322-$F322)*100</f>
        <v/>
      </c>
      <c r="AW322" s="82">
        <f>($L322-$F322)*100</f>
        <v/>
      </c>
      <c r="AX322" s="82">
        <f>($J322-$H322)*100</f>
        <v/>
      </c>
      <c r="AY322" s="82">
        <f>($L322-$H322)*100</f>
        <v/>
      </c>
      <c r="AZ322" s="82">
        <f>($L322-$J322)*100</f>
        <v/>
      </c>
      <c r="BA322" s="82">
        <f>(2*$H322-$F322-$J322)*100</f>
        <v/>
      </c>
      <c r="BB322" s="82">
        <f>(2*$J322-$H322-$L322)*100</f>
        <v/>
      </c>
      <c r="BC322" s="82">
        <f>($N322-$F322)*100</f>
        <v/>
      </c>
      <c r="BD322" s="82">
        <f>($Q322-$H322)*100</f>
        <v/>
      </c>
      <c r="BE322" s="82">
        <f>($S322-$J322)*100</f>
        <v/>
      </c>
      <c r="BF322" s="82">
        <f>($V322-$L322)*100</f>
        <v/>
      </c>
      <c r="BG322" s="82">
        <f>$AG322-$AF322</f>
        <v/>
      </c>
      <c r="BH322" s="81">
        <f>IFERROR($AG322/$AF322,"")</f>
        <v/>
      </c>
      <c r="BI322" s="82">
        <f>$AJ322-$AF322</f>
        <v/>
      </c>
      <c r="BJ322" s="81">
        <f>IFERROR($AJ322/$AG322,"")</f>
        <v/>
      </c>
      <c r="BK322" s="81">
        <f>$X322</f>
        <v/>
      </c>
      <c r="BL322" s="82">
        <f>($J322-$J323)*100</f>
        <v/>
      </c>
      <c r="BM322" s="82">
        <f>($F322-$F323)*100</f>
        <v/>
      </c>
      <c r="BN322" s="82">
        <f>$AF322-$AF323</f>
        <v/>
      </c>
      <c r="BO322" s="82">
        <f>$AG322-$AG323</f>
        <v/>
      </c>
      <c r="BP322" s="82">
        <f>$AJ322-$AJ323</f>
        <v/>
      </c>
    </row>
    <row r="323">
      <c r="AR323" s="81">
        <f>($G323+($H323-$G323)*0.5)+($P323-($O323+($Q323-$O323)*0.5))</f>
        <v/>
      </c>
      <c r="AS323" s="81">
        <f>($J323+($K323-$J323)*0.5)+($T323-($S323+($U323-$S323)*0.5))</f>
        <v/>
      </c>
      <c r="AT323" s="82">
        <f>($J323-$C323)*100</f>
        <v/>
      </c>
      <c r="AU323" s="82">
        <f>($H323-$F323)*100</f>
        <v/>
      </c>
      <c r="AV323" s="82">
        <f>($J323-$F323)*100</f>
        <v/>
      </c>
      <c r="AW323" s="82">
        <f>($L323-$F323)*100</f>
        <v/>
      </c>
      <c r="AX323" s="82">
        <f>($J323-$H323)*100</f>
        <v/>
      </c>
      <c r="AY323" s="82">
        <f>($L323-$H323)*100</f>
        <v/>
      </c>
      <c r="AZ323" s="82">
        <f>($L323-$J323)*100</f>
        <v/>
      </c>
      <c r="BA323" s="82">
        <f>(2*$H323-$F323-$J323)*100</f>
        <v/>
      </c>
      <c r="BB323" s="82">
        <f>(2*$J323-$H323-$L323)*100</f>
        <v/>
      </c>
      <c r="BC323" s="82">
        <f>($N323-$F323)*100</f>
        <v/>
      </c>
      <c r="BD323" s="82">
        <f>($Q323-$H323)*100</f>
        <v/>
      </c>
      <c r="BE323" s="82">
        <f>($S323-$J323)*100</f>
        <v/>
      </c>
      <c r="BF323" s="82">
        <f>($V323-$L323)*100</f>
        <v/>
      </c>
      <c r="BG323" s="82">
        <f>$AG323-$AF323</f>
        <v/>
      </c>
      <c r="BH323" s="81">
        <f>IFERROR($AG323/$AF323,"")</f>
        <v/>
      </c>
      <c r="BI323" s="82">
        <f>$AJ323-$AF323</f>
        <v/>
      </c>
      <c r="BJ323" s="81">
        <f>IFERROR($AJ323/$AG323,"")</f>
        <v/>
      </c>
      <c r="BK323" s="81">
        <f>$X323</f>
        <v/>
      </c>
      <c r="BL323" s="82">
        <f>($J323-$J324)*100</f>
        <v/>
      </c>
      <c r="BM323" s="82">
        <f>($F323-$F324)*100</f>
        <v/>
      </c>
      <c r="BN323" s="82">
        <f>$AF323-$AF324</f>
        <v/>
      </c>
      <c r="BO323" s="82">
        <f>$AG323-$AG324</f>
        <v/>
      </c>
      <c r="BP323" s="82">
        <f>$AJ323-$AJ324</f>
        <v/>
      </c>
    </row>
    <row r="324">
      <c r="AR324" s="81">
        <f>($G324+($H324-$G324)*0.5)+($P324-($O324+($Q324-$O324)*0.5))</f>
        <v/>
      </c>
      <c r="AS324" s="81">
        <f>($J324+($K324-$J324)*0.5)+($T324-($S324+($U324-$S324)*0.5))</f>
        <v/>
      </c>
      <c r="AT324" s="82">
        <f>($J324-$C324)*100</f>
        <v/>
      </c>
      <c r="AU324" s="82">
        <f>($H324-$F324)*100</f>
        <v/>
      </c>
      <c r="AV324" s="82">
        <f>($J324-$F324)*100</f>
        <v/>
      </c>
      <c r="AW324" s="82">
        <f>($L324-$F324)*100</f>
        <v/>
      </c>
      <c r="AX324" s="82">
        <f>($J324-$H324)*100</f>
        <v/>
      </c>
      <c r="AY324" s="82">
        <f>($L324-$H324)*100</f>
        <v/>
      </c>
      <c r="AZ324" s="82">
        <f>($L324-$J324)*100</f>
        <v/>
      </c>
      <c r="BA324" s="82">
        <f>(2*$H324-$F324-$J324)*100</f>
        <v/>
      </c>
      <c r="BB324" s="82">
        <f>(2*$J324-$H324-$L324)*100</f>
        <v/>
      </c>
      <c r="BC324" s="82">
        <f>($N324-$F324)*100</f>
        <v/>
      </c>
      <c r="BD324" s="82">
        <f>($Q324-$H324)*100</f>
        <v/>
      </c>
      <c r="BE324" s="82">
        <f>($S324-$J324)*100</f>
        <v/>
      </c>
      <c r="BF324" s="82">
        <f>($V324-$L324)*100</f>
        <v/>
      </c>
      <c r="BG324" s="82">
        <f>$AG324-$AF324</f>
        <v/>
      </c>
      <c r="BH324" s="81">
        <f>IFERROR($AG324/$AF324,"")</f>
        <v/>
      </c>
      <c r="BI324" s="82">
        <f>$AJ324-$AF324</f>
        <v/>
      </c>
      <c r="BJ324" s="81">
        <f>IFERROR($AJ324/$AG324,"")</f>
        <v/>
      </c>
      <c r="BK324" s="81">
        <f>$X324</f>
        <v/>
      </c>
      <c r="BL324" s="82">
        <f>($J324-$J325)*100</f>
        <v/>
      </c>
      <c r="BM324" s="82">
        <f>($F324-$F325)*100</f>
        <v/>
      </c>
      <c r="BN324" s="82">
        <f>$AF324-$AF325</f>
        <v/>
      </c>
      <c r="BO324" s="82">
        <f>$AG324-$AG325</f>
        <v/>
      </c>
      <c r="BP324" s="82">
        <f>$AJ324-$AJ325</f>
        <v/>
      </c>
    </row>
    <row r="325">
      <c r="AR325" s="81">
        <f>($G325+($H325-$G325)*0.5)+($P325-($O325+($Q325-$O325)*0.5))</f>
        <v/>
      </c>
      <c r="AS325" s="81">
        <f>($J325+($K325-$J325)*0.5)+($T325-($S325+($U325-$S325)*0.5))</f>
        <v/>
      </c>
      <c r="AT325" s="82">
        <f>($J325-$C325)*100</f>
        <v/>
      </c>
      <c r="AU325" s="82">
        <f>($H325-$F325)*100</f>
        <v/>
      </c>
      <c r="AV325" s="82">
        <f>($J325-$F325)*100</f>
        <v/>
      </c>
      <c r="AW325" s="82">
        <f>($L325-$F325)*100</f>
        <v/>
      </c>
      <c r="AX325" s="82">
        <f>($J325-$H325)*100</f>
        <v/>
      </c>
      <c r="AY325" s="82">
        <f>($L325-$H325)*100</f>
        <v/>
      </c>
      <c r="AZ325" s="82">
        <f>($L325-$J325)*100</f>
        <v/>
      </c>
      <c r="BA325" s="82">
        <f>(2*$H325-$F325-$J325)*100</f>
        <v/>
      </c>
      <c r="BB325" s="82">
        <f>(2*$J325-$H325-$L325)*100</f>
        <v/>
      </c>
      <c r="BC325" s="82">
        <f>($N325-$F325)*100</f>
        <v/>
      </c>
      <c r="BD325" s="82">
        <f>($Q325-$H325)*100</f>
        <v/>
      </c>
      <c r="BE325" s="82">
        <f>($S325-$J325)*100</f>
        <v/>
      </c>
      <c r="BF325" s="82">
        <f>($V325-$L325)*100</f>
        <v/>
      </c>
      <c r="BG325" s="82">
        <f>$AG325-$AF325</f>
        <v/>
      </c>
      <c r="BH325" s="81">
        <f>IFERROR($AG325/$AF325,"")</f>
        <v/>
      </c>
      <c r="BI325" s="82">
        <f>$AJ325-$AF325</f>
        <v/>
      </c>
      <c r="BJ325" s="81">
        <f>IFERROR($AJ325/$AG325,"")</f>
        <v/>
      </c>
      <c r="BK325" s="81">
        <f>$X325</f>
        <v/>
      </c>
      <c r="BL325" s="82">
        <f>($J325-$J326)*100</f>
        <v/>
      </c>
      <c r="BM325" s="82">
        <f>($F325-$F326)*100</f>
        <v/>
      </c>
      <c r="BN325" s="82">
        <f>$AF325-$AF326</f>
        <v/>
      </c>
      <c r="BO325" s="82">
        <f>$AG325-$AG326</f>
        <v/>
      </c>
      <c r="BP325" s="82">
        <f>$AJ325-$AJ326</f>
        <v/>
      </c>
    </row>
    <row r="326">
      <c r="AR326" s="81">
        <f>($G326+($H326-$G326)*0.5)+($P326-($O326+($Q326-$O326)*0.5))</f>
        <v/>
      </c>
      <c r="AS326" s="81">
        <f>($J326+($K326-$J326)*0.5)+($T326-($S326+($U326-$S326)*0.5))</f>
        <v/>
      </c>
      <c r="AT326" s="82">
        <f>($J326-$C326)*100</f>
        <v/>
      </c>
      <c r="AU326" s="82">
        <f>($H326-$F326)*100</f>
        <v/>
      </c>
      <c r="AV326" s="82">
        <f>($J326-$F326)*100</f>
        <v/>
      </c>
      <c r="AW326" s="82">
        <f>($L326-$F326)*100</f>
        <v/>
      </c>
      <c r="AX326" s="82">
        <f>($J326-$H326)*100</f>
        <v/>
      </c>
      <c r="AY326" s="82">
        <f>($L326-$H326)*100</f>
        <v/>
      </c>
      <c r="AZ326" s="82">
        <f>($L326-$J326)*100</f>
        <v/>
      </c>
      <c r="BA326" s="82">
        <f>(2*$H326-$F326-$J326)*100</f>
        <v/>
      </c>
      <c r="BB326" s="82">
        <f>(2*$J326-$H326-$L326)*100</f>
        <v/>
      </c>
      <c r="BC326" s="82">
        <f>($N326-$F326)*100</f>
        <v/>
      </c>
      <c r="BD326" s="82">
        <f>($Q326-$H326)*100</f>
        <v/>
      </c>
      <c r="BE326" s="82">
        <f>($S326-$J326)*100</f>
        <v/>
      </c>
      <c r="BF326" s="82">
        <f>($V326-$L326)*100</f>
        <v/>
      </c>
      <c r="BG326" s="82">
        <f>$AG326-$AF326</f>
        <v/>
      </c>
      <c r="BH326" s="81">
        <f>IFERROR($AG326/$AF326,"")</f>
        <v/>
      </c>
      <c r="BI326" s="82">
        <f>$AJ326-$AF326</f>
        <v/>
      </c>
      <c r="BJ326" s="81">
        <f>IFERROR($AJ326/$AG326,"")</f>
        <v/>
      </c>
      <c r="BK326" s="81">
        <f>$X326</f>
        <v/>
      </c>
      <c r="BL326" s="82">
        <f>($J326-$J327)*100</f>
        <v/>
      </c>
      <c r="BM326" s="82">
        <f>($F326-$F327)*100</f>
        <v/>
      </c>
      <c r="BN326" s="82">
        <f>$AF326-$AF327</f>
        <v/>
      </c>
      <c r="BO326" s="82">
        <f>$AG326-$AG327</f>
        <v/>
      </c>
      <c r="BP326" s="82">
        <f>$AJ326-$AJ327</f>
        <v/>
      </c>
    </row>
    <row r="327">
      <c r="AR327" s="81">
        <f>($G327+($H327-$G327)*0.5)+($P327-($O327+($Q327-$O327)*0.5))</f>
        <v/>
      </c>
      <c r="AS327" s="81">
        <f>($J327+($K327-$J327)*0.5)+($T327-($S327+($U327-$S327)*0.5))</f>
        <v/>
      </c>
      <c r="AT327" s="82">
        <f>($J327-$C327)*100</f>
        <v/>
      </c>
      <c r="AU327" s="82">
        <f>($H327-$F327)*100</f>
        <v/>
      </c>
      <c r="AV327" s="82">
        <f>($J327-$F327)*100</f>
        <v/>
      </c>
      <c r="AW327" s="82">
        <f>($L327-$F327)*100</f>
        <v/>
      </c>
      <c r="AX327" s="82">
        <f>($J327-$H327)*100</f>
        <v/>
      </c>
      <c r="AY327" s="82">
        <f>($L327-$H327)*100</f>
        <v/>
      </c>
      <c r="AZ327" s="82">
        <f>($L327-$J327)*100</f>
        <v/>
      </c>
      <c r="BA327" s="82">
        <f>(2*$H327-$F327-$J327)*100</f>
        <v/>
      </c>
      <c r="BB327" s="82">
        <f>(2*$J327-$H327-$L327)*100</f>
        <v/>
      </c>
      <c r="BC327" s="82">
        <f>($N327-$F327)*100</f>
        <v/>
      </c>
      <c r="BD327" s="82">
        <f>($Q327-$H327)*100</f>
        <v/>
      </c>
      <c r="BE327" s="82">
        <f>($S327-$J327)*100</f>
        <v/>
      </c>
      <c r="BF327" s="82">
        <f>($V327-$L327)*100</f>
        <v/>
      </c>
      <c r="BG327" s="82">
        <f>$AG327-$AF327</f>
        <v/>
      </c>
      <c r="BH327" s="81">
        <f>IFERROR($AG327/$AF327,"")</f>
        <v/>
      </c>
      <c r="BI327" s="82">
        <f>$AJ327-$AF327</f>
        <v/>
      </c>
      <c r="BJ327" s="81">
        <f>IFERROR($AJ327/$AG327,"")</f>
        <v/>
      </c>
      <c r="BK327" s="81">
        <f>$X327</f>
        <v/>
      </c>
      <c r="BL327" s="82">
        <f>($J327-$J328)*100</f>
        <v/>
      </c>
      <c r="BM327" s="82">
        <f>($F327-$F328)*100</f>
        <v/>
      </c>
      <c r="BN327" s="82">
        <f>$AF327-$AF328</f>
        <v/>
      </c>
      <c r="BO327" s="82">
        <f>$AG327-$AG328</f>
        <v/>
      </c>
      <c r="BP327" s="82">
        <f>$AJ327-$AJ328</f>
        <v/>
      </c>
    </row>
    <row r="328">
      <c r="AR328" s="81">
        <f>($G328+($H328-$G328)*0.5)+($P328-($O328+($Q328-$O328)*0.5))</f>
        <v/>
      </c>
      <c r="AS328" s="81">
        <f>($J328+($K328-$J328)*0.5)+($T328-($S328+($U328-$S328)*0.5))</f>
        <v/>
      </c>
      <c r="AT328" s="82">
        <f>($J328-$C328)*100</f>
        <v/>
      </c>
      <c r="AU328" s="82">
        <f>($H328-$F328)*100</f>
        <v/>
      </c>
      <c r="AV328" s="82">
        <f>($J328-$F328)*100</f>
        <v/>
      </c>
      <c r="AW328" s="82">
        <f>($L328-$F328)*100</f>
        <v/>
      </c>
      <c r="AX328" s="82">
        <f>($J328-$H328)*100</f>
        <v/>
      </c>
      <c r="AY328" s="82">
        <f>($L328-$H328)*100</f>
        <v/>
      </c>
      <c r="AZ328" s="82">
        <f>($L328-$J328)*100</f>
        <v/>
      </c>
      <c r="BA328" s="82">
        <f>(2*$H328-$F328-$J328)*100</f>
        <v/>
      </c>
      <c r="BB328" s="82">
        <f>(2*$J328-$H328-$L328)*100</f>
        <v/>
      </c>
      <c r="BC328" s="82">
        <f>($N328-$F328)*100</f>
        <v/>
      </c>
      <c r="BD328" s="82">
        <f>($Q328-$H328)*100</f>
        <v/>
      </c>
      <c r="BE328" s="82">
        <f>($S328-$J328)*100</f>
        <v/>
      </c>
      <c r="BF328" s="82">
        <f>($V328-$L328)*100</f>
        <v/>
      </c>
      <c r="BG328" s="82">
        <f>$AG328-$AF328</f>
        <v/>
      </c>
      <c r="BH328" s="81">
        <f>IFERROR($AG328/$AF328,"")</f>
        <v/>
      </c>
      <c r="BI328" s="82">
        <f>$AJ328-$AF328</f>
        <v/>
      </c>
      <c r="BJ328" s="81">
        <f>IFERROR($AJ328/$AG328,"")</f>
        <v/>
      </c>
      <c r="BK328" s="81">
        <f>$X328</f>
        <v/>
      </c>
      <c r="BL328" s="82">
        <f>($J328-$J329)*100</f>
        <v/>
      </c>
      <c r="BM328" s="82">
        <f>($F328-$F329)*100</f>
        <v/>
      </c>
      <c r="BN328" s="82">
        <f>$AF328-$AF329</f>
        <v/>
      </c>
      <c r="BO328" s="82">
        <f>$AG328-$AG329</f>
        <v/>
      </c>
      <c r="BP328" s="82">
        <f>$AJ328-$AJ329</f>
        <v/>
      </c>
    </row>
    <row r="329">
      <c r="AR329" s="81">
        <f>($G329+($H329-$G329)*0.5)+($P329-($O329+($Q329-$O329)*0.5))</f>
        <v/>
      </c>
      <c r="AS329" s="81">
        <f>($J329+($K329-$J329)*0.5)+($T329-($S329+($U329-$S329)*0.5))</f>
        <v/>
      </c>
      <c r="AT329" s="82">
        <f>($J329-$C329)*100</f>
        <v/>
      </c>
      <c r="AU329" s="82">
        <f>($H329-$F329)*100</f>
        <v/>
      </c>
      <c r="AV329" s="82">
        <f>($J329-$F329)*100</f>
        <v/>
      </c>
      <c r="AW329" s="82">
        <f>($L329-$F329)*100</f>
        <v/>
      </c>
      <c r="AX329" s="82">
        <f>($J329-$H329)*100</f>
        <v/>
      </c>
      <c r="AY329" s="82">
        <f>($L329-$H329)*100</f>
        <v/>
      </c>
      <c r="AZ329" s="82">
        <f>($L329-$J329)*100</f>
        <v/>
      </c>
      <c r="BA329" s="82">
        <f>(2*$H329-$F329-$J329)*100</f>
        <v/>
      </c>
      <c r="BB329" s="82">
        <f>(2*$J329-$H329-$L329)*100</f>
        <v/>
      </c>
      <c r="BC329" s="82">
        <f>($N329-$F329)*100</f>
        <v/>
      </c>
      <c r="BD329" s="82">
        <f>($Q329-$H329)*100</f>
        <v/>
      </c>
      <c r="BE329" s="82">
        <f>($S329-$J329)*100</f>
        <v/>
      </c>
      <c r="BF329" s="82">
        <f>($V329-$L329)*100</f>
        <v/>
      </c>
      <c r="BG329" s="82">
        <f>$AG329-$AF329</f>
        <v/>
      </c>
      <c r="BH329" s="81">
        <f>IFERROR($AG329/$AF329,"")</f>
        <v/>
      </c>
      <c r="BI329" s="82">
        <f>$AJ329-$AF329</f>
        <v/>
      </c>
      <c r="BJ329" s="81">
        <f>IFERROR($AJ329/$AG329,"")</f>
        <v/>
      </c>
      <c r="BK329" s="81">
        <f>$X329</f>
        <v/>
      </c>
      <c r="BL329" s="82">
        <f>($J329-$J330)*100</f>
        <v/>
      </c>
      <c r="BM329" s="82">
        <f>($F329-$F330)*100</f>
        <v/>
      </c>
      <c r="BN329" s="82">
        <f>$AF329-$AF330</f>
        <v/>
      </c>
      <c r="BO329" s="82">
        <f>$AG329-$AG330</f>
        <v/>
      </c>
      <c r="BP329" s="82">
        <f>$AJ329-$AJ330</f>
        <v/>
      </c>
    </row>
    <row r="330">
      <c r="AR330" s="81">
        <f>($G330+($H330-$G330)*0.5)+($P330-($O330+($Q330-$O330)*0.5))</f>
        <v/>
      </c>
      <c r="AS330" s="81">
        <f>($J330+($K330-$J330)*0.5)+($T330-($S330+($U330-$S330)*0.5))</f>
        <v/>
      </c>
      <c r="AT330" s="82">
        <f>($J330-$C330)*100</f>
        <v/>
      </c>
      <c r="AU330" s="82">
        <f>($H330-$F330)*100</f>
        <v/>
      </c>
      <c r="AV330" s="82">
        <f>($J330-$F330)*100</f>
        <v/>
      </c>
      <c r="AW330" s="82">
        <f>($L330-$F330)*100</f>
        <v/>
      </c>
      <c r="AX330" s="82">
        <f>($J330-$H330)*100</f>
        <v/>
      </c>
      <c r="AY330" s="82">
        <f>($L330-$H330)*100</f>
        <v/>
      </c>
      <c r="AZ330" s="82">
        <f>($L330-$J330)*100</f>
        <v/>
      </c>
      <c r="BA330" s="82">
        <f>(2*$H330-$F330-$J330)*100</f>
        <v/>
      </c>
      <c r="BB330" s="82">
        <f>(2*$J330-$H330-$L330)*100</f>
        <v/>
      </c>
      <c r="BC330" s="82">
        <f>($N330-$F330)*100</f>
        <v/>
      </c>
      <c r="BD330" s="82">
        <f>($Q330-$H330)*100</f>
        <v/>
      </c>
      <c r="BE330" s="82">
        <f>($S330-$J330)*100</f>
        <v/>
      </c>
      <c r="BF330" s="82">
        <f>($V330-$L330)*100</f>
        <v/>
      </c>
      <c r="BG330" s="82">
        <f>$AG330-$AF330</f>
        <v/>
      </c>
      <c r="BH330" s="81">
        <f>IFERROR($AG330/$AF330,"")</f>
        <v/>
      </c>
      <c r="BI330" s="82">
        <f>$AJ330-$AF330</f>
        <v/>
      </c>
      <c r="BJ330" s="81">
        <f>IFERROR($AJ330/$AG330,"")</f>
        <v/>
      </c>
      <c r="BK330" s="81">
        <f>$X330</f>
        <v/>
      </c>
      <c r="BL330" s="82">
        <f>($J330-$J331)*100</f>
        <v/>
      </c>
      <c r="BM330" s="82">
        <f>($F330-$F331)*100</f>
        <v/>
      </c>
      <c r="BN330" s="82">
        <f>$AF330-$AF331</f>
        <v/>
      </c>
      <c r="BO330" s="82">
        <f>$AG330-$AG331</f>
        <v/>
      </c>
      <c r="BP330" s="82">
        <f>$AJ330-$AJ331</f>
        <v/>
      </c>
    </row>
    <row r="331">
      <c r="AR331" s="81">
        <f>($G331+($H331-$G331)*0.5)+($P331-($O331+($Q331-$O331)*0.5))</f>
        <v/>
      </c>
      <c r="AS331" s="81">
        <f>($J331+($K331-$J331)*0.5)+($T331-($S331+($U331-$S331)*0.5))</f>
        <v/>
      </c>
      <c r="AT331" s="82">
        <f>($J331-$C331)*100</f>
        <v/>
      </c>
      <c r="AU331" s="82">
        <f>($H331-$F331)*100</f>
        <v/>
      </c>
      <c r="AV331" s="82">
        <f>($J331-$F331)*100</f>
        <v/>
      </c>
      <c r="AW331" s="82">
        <f>($L331-$F331)*100</f>
        <v/>
      </c>
      <c r="AX331" s="82">
        <f>($J331-$H331)*100</f>
        <v/>
      </c>
      <c r="AY331" s="82">
        <f>($L331-$H331)*100</f>
        <v/>
      </c>
      <c r="AZ331" s="82">
        <f>($L331-$J331)*100</f>
        <v/>
      </c>
      <c r="BA331" s="82">
        <f>(2*$H331-$F331-$J331)*100</f>
        <v/>
      </c>
      <c r="BB331" s="82">
        <f>(2*$J331-$H331-$L331)*100</f>
        <v/>
      </c>
      <c r="BC331" s="82">
        <f>($N331-$F331)*100</f>
        <v/>
      </c>
      <c r="BD331" s="82">
        <f>($Q331-$H331)*100</f>
        <v/>
      </c>
      <c r="BE331" s="82">
        <f>($S331-$J331)*100</f>
        <v/>
      </c>
      <c r="BF331" s="82">
        <f>($V331-$L331)*100</f>
        <v/>
      </c>
      <c r="BG331" s="82">
        <f>$AG331-$AF331</f>
        <v/>
      </c>
      <c r="BH331" s="81">
        <f>IFERROR($AG331/$AF331,"")</f>
        <v/>
      </c>
      <c r="BI331" s="82">
        <f>$AJ331-$AF331</f>
        <v/>
      </c>
      <c r="BJ331" s="81">
        <f>IFERROR($AJ331/$AG331,"")</f>
        <v/>
      </c>
      <c r="BK331" s="81">
        <f>$X331</f>
        <v/>
      </c>
      <c r="BL331" s="82">
        <f>($J331-$J332)*100</f>
        <v/>
      </c>
      <c r="BM331" s="82">
        <f>($F331-$F332)*100</f>
        <v/>
      </c>
      <c r="BN331" s="82">
        <f>$AF331-$AF332</f>
        <v/>
      </c>
      <c r="BO331" s="82">
        <f>$AG331-$AG332</f>
        <v/>
      </c>
      <c r="BP331" s="82">
        <f>$AJ331-$AJ332</f>
        <v/>
      </c>
    </row>
    <row r="332">
      <c r="AR332" s="81">
        <f>($G332+($H332-$G332)*0.5)+($P332-($O332+($Q332-$O332)*0.5))</f>
        <v/>
      </c>
      <c r="AS332" s="81">
        <f>($J332+($K332-$J332)*0.5)+($T332-($S332+($U332-$S332)*0.5))</f>
        <v/>
      </c>
      <c r="AT332" s="82">
        <f>($J332-$C332)*100</f>
        <v/>
      </c>
      <c r="AU332" s="82">
        <f>($H332-$F332)*100</f>
        <v/>
      </c>
      <c r="AV332" s="82">
        <f>($J332-$F332)*100</f>
        <v/>
      </c>
      <c r="AW332" s="82">
        <f>($L332-$F332)*100</f>
        <v/>
      </c>
      <c r="AX332" s="82">
        <f>($J332-$H332)*100</f>
        <v/>
      </c>
      <c r="AY332" s="82">
        <f>($L332-$H332)*100</f>
        <v/>
      </c>
      <c r="AZ332" s="82">
        <f>($L332-$J332)*100</f>
        <v/>
      </c>
      <c r="BA332" s="82">
        <f>(2*$H332-$F332-$J332)*100</f>
        <v/>
      </c>
      <c r="BB332" s="82">
        <f>(2*$J332-$H332-$L332)*100</f>
        <v/>
      </c>
      <c r="BC332" s="82">
        <f>($N332-$F332)*100</f>
        <v/>
      </c>
      <c r="BD332" s="82">
        <f>($Q332-$H332)*100</f>
        <v/>
      </c>
      <c r="BE332" s="82">
        <f>($S332-$J332)*100</f>
        <v/>
      </c>
      <c r="BF332" s="82">
        <f>($V332-$L332)*100</f>
        <v/>
      </c>
      <c r="BG332" s="82">
        <f>$AG332-$AF332</f>
        <v/>
      </c>
      <c r="BH332" s="81">
        <f>IFERROR($AG332/$AF332,"")</f>
        <v/>
      </c>
      <c r="BI332" s="82">
        <f>$AJ332-$AF332</f>
        <v/>
      </c>
      <c r="BJ332" s="81">
        <f>IFERROR($AJ332/$AG332,"")</f>
        <v/>
      </c>
      <c r="BK332" s="81">
        <f>$X332</f>
        <v/>
      </c>
      <c r="BL332" s="82">
        <f>($J332-$J333)*100</f>
        <v/>
      </c>
      <c r="BM332" s="82">
        <f>($F332-$F333)*100</f>
        <v/>
      </c>
      <c r="BN332" s="82">
        <f>$AF332-$AF333</f>
        <v/>
      </c>
      <c r="BO332" s="82">
        <f>$AG332-$AG333</f>
        <v/>
      </c>
      <c r="BP332" s="82">
        <f>$AJ332-$AJ333</f>
        <v/>
      </c>
    </row>
    <row r="333">
      <c r="AR333" s="81">
        <f>($G333+($H333-$G333)*0.5)+($P333-($O333+($Q333-$O333)*0.5))</f>
        <v/>
      </c>
      <c r="AS333" s="81">
        <f>($J333+($K333-$J333)*0.5)+($T333-($S333+($U333-$S333)*0.5))</f>
        <v/>
      </c>
      <c r="AT333" s="82">
        <f>($J333-$C333)*100</f>
        <v/>
      </c>
      <c r="AU333" s="82">
        <f>($H333-$F333)*100</f>
        <v/>
      </c>
      <c r="AV333" s="82">
        <f>($J333-$F333)*100</f>
        <v/>
      </c>
      <c r="AW333" s="82">
        <f>($L333-$F333)*100</f>
        <v/>
      </c>
      <c r="AX333" s="82">
        <f>($J333-$H333)*100</f>
        <v/>
      </c>
      <c r="AY333" s="82">
        <f>($L333-$H333)*100</f>
        <v/>
      </c>
      <c r="AZ333" s="82">
        <f>($L333-$J333)*100</f>
        <v/>
      </c>
      <c r="BA333" s="82">
        <f>(2*$H333-$F333-$J333)*100</f>
        <v/>
      </c>
      <c r="BB333" s="82">
        <f>(2*$J333-$H333-$L333)*100</f>
        <v/>
      </c>
      <c r="BC333" s="82">
        <f>($N333-$F333)*100</f>
        <v/>
      </c>
      <c r="BD333" s="82">
        <f>($Q333-$H333)*100</f>
        <v/>
      </c>
      <c r="BE333" s="82">
        <f>($S333-$J333)*100</f>
        <v/>
      </c>
      <c r="BF333" s="82">
        <f>($V333-$L333)*100</f>
        <v/>
      </c>
      <c r="BG333" s="82">
        <f>$AG333-$AF333</f>
        <v/>
      </c>
      <c r="BH333" s="81">
        <f>IFERROR($AG333/$AF333,"")</f>
        <v/>
      </c>
      <c r="BI333" s="82">
        <f>$AJ333-$AF333</f>
        <v/>
      </c>
      <c r="BJ333" s="81">
        <f>IFERROR($AJ333/$AG333,"")</f>
        <v/>
      </c>
      <c r="BK333" s="81">
        <f>$X333</f>
        <v/>
      </c>
      <c r="BL333" s="82">
        <f>($J333-$J334)*100</f>
        <v/>
      </c>
      <c r="BM333" s="82">
        <f>($F333-$F334)*100</f>
        <v/>
      </c>
      <c r="BN333" s="82">
        <f>$AF333-$AF334</f>
        <v/>
      </c>
      <c r="BO333" s="82">
        <f>$AG333-$AG334</f>
        <v/>
      </c>
      <c r="BP333" s="82">
        <f>$AJ333-$AJ334</f>
        <v/>
      </c>
    </row>
    <row r="334">
      <c r="AR334" s="81">
        <f>($G334+($H334-$G334)*0.5)+($P334-($O334+($Q334-$O334)*0.5))</f>
        <v/>
      </c>
      <c r="AS334" s="81">
        <f>($J334+($K334-$J334)*0.5)+($T334-($S334+($U334-$S334)*0.5))</f>
        <v/>
      </c>
      <c r="AT334" s="82">
        <f>($J334-$C334)*100</f>
        <v/>
      </c>
      <c r="AU334" s="82">
        <f>($H334-$F334)*100</f>
        <v/>
      </c>
      <c r="AV334" s="82">
        <f>($J334-$F334)*100</f>
        <v/>
      </c>
      <c r="AW334" s="82">
        <f>($L334-$F334)*100</f>
        <v/>
      </c>
      <c r="AX334" s="82">
        <f>($J334-$H334)*100</f>
        <v/>
      </c>
      <c r="AY334" s="82">
        <f>($L334-$H334)*100</f>
        <v/>
      </c>
      <c r="AZ334" s="82">
        <f>($L334-$J334)*100</f>
        <v/>
      </c>
      <c r="BA334" s="82">
        <f>(2*$H334-$F334-$J334)*100</f>
        <v/>
      </c>
      <c r="BB334" s="82">
        <f>(2*$J334-$H334-$L334)*100</f>
        <v/>
      </c>
      <c r="BC334" s="82">
        <f>($N334-$F334)*100</f>
        <v/>
      </c>
      <c r="BD334" s="82">
        <f>($Q334-$H334)*100</f>
        <v/>
      </c>
      <c r="BE334" s="82">
        <f>($S334-$J334)*100</f>
        <v/>
      </c>
      <c r="BF334" s="82">
        <f>($V334-$L334)*100</f>
        <v/>
      </c>
      <c r="BG334" s="82">
        <f>$AG334-$AF334</f>
        <v/>
      </c>
      <c r="BH334" s="81">
        <f>IFERROR($AG334/$AF334,"")</f>
        <v/>
      </c>
      <c r="BI334" s="82">
        <f>$AJ334-$AF334</f>
        <v/>
      </c>
      <c r="BJ334" s="81">
        <f>IFERROR($AJ334/$AG334,"")</f>
        <v/>
      </c>
      <c r="BK334" s="81">
        <f>$X334</f>
        <v/>
      </c>
      <c r="BL334" s="82">
        <f>($J334-$J335)*100</f>
        <v/>
      </c>
      <c r="BM334" s="82">
        <f>($F334-$F335)*100</f>
        <v/>
      </c>
      <c r="BN334" s="82">
        <f>$AF334-$AF335</f>
        <v/>
      </c>
      <c r="BO334" s="82">
        <f>$AG334-$AG335</f>
        <v/>
      </c>
      <c r="BP334" s="82">
        <f>$AJ334-$AJ335</f>
        <v/>
      </c>
    </row>
    <row r="335">
      <c r="AR335" s="81">
        <f>($G335+($H335-$G335)*0.5)+($P335-($O335+($Q335-$O335)*0.5))</f>
        <v/>
      </c>
      <c r="AS335" s="81">
        <f>($J335+($K335-$J335)*0.5)+($T335-($S335+($U335-$S335)*0.5))</f>
        <v/>
      </c>
      <c r="AT335" s="82">
        <f>($J335-$C335)*100</f>
        <v/>
      </c>
      <c r="AU335" s="82">
        <f>($H335-$F335)*100</f>
        <v/>
      </c>
      <c r="AV335" s="82">
        <f>($J335-$F335)*100</f>
        <v/>
      </c>
      <c r="AW335" s="82">
        <f>($L335-$F335)*100</f>
        <v/>
      </c>
      <c r="AX335" s="82">
        <f>($J335-$H335)*100</f>
        <v/>
      </c>
      <c r="AY335" s="82">
        <f>($L335-$H335)*100</f>
        <v/>
      </c>
      <c r="AZ335" s="82">
        <f>($L335-$J335)*100</f>
        <v/>
      </c>
      <c r="BA335" s="82">
        <f>(2*$H335-$F335-$J335)*100</f>
        <v/>
      </c>
      <c r="BB335" s="82">
        <f>(2*$J335-$H335-$L335)*100</f>
        <v/>
      </c>
      <c r="BC335" s="82">
        <f>($N335-$F335)*100</f>
        <v/>
      </c>
      <c r="BD335" s="82">
        <f>($Q335-$H335)*100</f>
        <v/>
      </c>
      <c r="BE335" s="82">
        <f>($S335-$J335)*100</f>
        <v/>
      </c>
      <c r="BF335" s="82">
        <f>($V335-$L335)*100</f>
        <v/>
      </c>
      <c r="BG335" s="82">
        <f>$AG335-$AF335</f>
        <v/>
      </c>
      <c r="BH335" s="81">
        <f>IFERROR($AG335/$AF335,"")</f>
        <v/>
      </c>
      <c r="BI335" s="82">
        <f>$AJ335-$AF335</f>
        <v/>
      </c>
      <c r="BJ335" s="81">
        <f>IFERROR($AJ335/$AG335,"")</f>
        <v/>
      </c>
      <c r="BK335" s="81">
        <f>$X335</f>
        <v/>
      </c>
      <c r="BL335" s="82">
        <f>($J335-$J336)*100</f>
        <v/>
      </c>
      <c r="BM335" s="82">
        <f>($F335-$F336)*100</f>
        <v/>
      </c>
      <c r="BN335" s="82">
        <f>$AF335-$AF336</f>
        <v/>
      </c>
      <c r="BO335" s="82">
        <f>$AG335-$AG336</f>
        <v/>
      </c>
      <c r="BP335" s="82">
        <f>$AJ335-$AJ336</f>
        <v/>
      </c>
    </row>
    <row r="336">
      <c r="AR336" s="81">
        <f>($G336+($H336-$G336)*0.5)+($P336-($O336+($Q336-$O336)*0.5))</f>
        <v/>
      </c>
      <c r="AS336" s="81">
        <f>($J336+($K336-$J336)*0.5)+($T336-($S336+($U336-$S336)*0.5))</f>
        <v/>
      </c>
      <c r="AT336" s="82">
        <f>($J336-$C336)*100</f>
        <v/>
      </c>
      <c r="AU336" s="82">
        <f>($H336-$F336)*100</f>
        <v/>
      </c>
      <c r="AV336" s="82">
        <f>($J336-$F336)*100</f>
        <v/>
      </c>
      <c r="AW336" s="82">
        <f>($L336-$F336)*100</f>
        <v/>
      </c>
      <c r="AX336" s="82">
        <f>($J336-$H336)*100</f>
        <v/>
      </c>
      <c r="AY336" s="82">
        <f>($L336-$H336)*100</f>
        <v/>
      </c>
      <c r="AZ336" s="82">
        <f>($L336-$J336)*100</f>
        <v/>
      </c>
      <c r="BA336" s="82">
        <f>(2*$H336-$F336-$J336)*100</f>
        <v/>
      </c>
      <c r="BB336" s="82">
        <f>(2*$J336-$H336-$L336)*100</f>
        <v/>
      </c>
      <c r="BC336" s="82">
        <f>($N336-$F336)*100</f>
        <v/>
      </c>
      <c r="BD336" s="82">
        <f>($Q336-$H336)*100</f>
        <v/>
      </c>
      <c r="BE336" s="82">
        <f>($S336-$J336)*100</f>
        <v/>
      </c>
      <c r="BF336" s="82">
        <f>($V336-$L336)*100</f>
        <v/>
      </c>
      <c r="BG336" s="82">
        <f>$AG336-$AF336</f>
        <v/>
      </c>
      <c r="BH336" s="81">
        <f>IFERROR($AG336/$AF336,"")</f>
        <v/>
      </c>
      <c r="BI336" s="82">
        <f>$AJ336-$AF336</f>
        <v/>
      </c>
      <c r="BJ336" s="81">
        <f>IFERROR($AJ336/$AG336,"")</f>
        <v/>
      </c>
      <c r="BK336" s="81">
        <f>$X336</f>
        <v/>
      </c>
      <c r="BL336" s="82">
        <f>($J336-$J337)*100</f>
        <v/>
      </c>
      <c r="BM336" s="82">
        <f>($F336-$F337)*100</f>
        <v/>
      </c>
      <c r="BN336" s="82">
        <f>$AF336-$AF337</f>
        <v/>
      </c>
      <c r="BO336" s="82">
        <f>$AG336-$AG337</f>
        <v/>
      </c>
      <c r="BP336" s="82">
        <f>$AJ336-$AJ337</f>
        <v/>
      </c>
    </row>
    <row r="337">
      <c r="AR337" s="81">
        <f>($G337+($H337-$G337)*0.5)+($P337-($O337+($Q337-$O337)*0.5))</f>
        <v/>
      </c>
      <c r="AS337" s="81">
        <f>($J337+($K337-$J337)*0.5)+($T337-($S337+($U337-$S337)*0.5))</f>
        <v/>
      </c>
      <c r="AT337" s="82">
        <f>($J337-$C337)*100</f>
        <v/>
      </c>
      <c r="AU337" s="82">
        <f>($H337-$F337)*100</f>
        <v/>
      </c>
      <c r="AV337" s="82">
        <f>($J337-$F337)*100</f>
        <v/>
      </c>
      <c r="AW337" s="82">
        <f>($L337-$F337)*100</f>
        <v/>
      </c>
      <c r="AX337" s="82">
        <f>($J337-$H337)*100</f>
        <v/>
      </c>
      <c r="AY337" s="82">
        <f>($L337-$H337)*100</f>
        <v/>
      </c>
      <c r="AZ337" s="82">
        <f>($L337-$J337)*100</f>
        <v/>
      </c>
      <c r="BA337" s="82">
        <f>(2*$H337-$F337-$J337)*100</f>
        <v/>
      </c>
      <c r="BB337" s="82">
        <f>(2*$J337-$H337-$L337)*100</f>
        <v/>
      </c>
      <c r="BC337" s="82">
        <f>($N337-$F337)*100</f>
        <v/>
      </c>
      <c r="BD337" s="82">
        <f>($Q337-$H337)*100</f>
        <v/>
      </c>
      <c r="BE337" s="82">
        <f>($S337-$J337)*100</f>
        <v/>
      </c>
      <c r="BF337" s="82">
        <f>($V337-$L337)*100</f>
        <v/>
      </c>
      <c r="BG337" s="82">
        <f>$AG337-$AF337</f>
        <v/>
      </c>
      <c r="BH337" s="81">
        <f>IFERROR($AG337/$AF337,"")</f>
        <v/>
      </c>
      <c r="BI337" s="82">
        <f>$AJ337-$AF337</f>
        <v/>
      </c>
      <c r="BJ337" s="81">
        <f>IFERROR($AJ337/$AG337,"")</f>
        <v/>
      </c>
      <c r="BK337" s="81">
        <f>$X337</f>
        <v/>
      </c>
      <c r="BL337" s="82">
        <f>($J337-$J338)*100</f>
        <v/>
      </c>
      <c r="BM337" s="82">
        <f>($F337-$F338)*100</f>
        <v/>
      </c>
      <c r="BN337" s="82">
        <f>$AF337-$AF338</f>
        <v/>
      </c>
      <c r="BO337" s="82">
        <f>$AG337-$AG338</f>
        <v/>
      </c>
      <c r="BP337" s="82">
        <f>$AJ337-$AJ338</f>
        <v/>
      </c>
    </row>
    <row r="338">
      <c r="AR338" s="81">
        <f>($G338+($H338-$G338)*0.5)+($P338-($O338+($Q338-$O338)*0.5))</f>
        <v/>
      </c>
      <c r="AS338" s="81">
        <f>($J338+($K338-$J338)*0.5)+($T338-($S338+($U338-$S338)*0.5))</f>
        <v/>
      </c>
      <c r="AT338" s="82">
        <f>($J338-$C338)*100</f>
        <v/>
      </c>
      <c r="AU338" s="82">
        <f>($H338-$F338)*100</f>
        <v/>
      </c>
      <c r="AV338" s="82">
        <f>($J338-$F338)*100</f>
        <v/>
      </c>
      <c r="AW338" s="82">
        <f>($L338-$F338)*100</f>
        <v/>
      </c>
      <c r="AX338" s="82">
        <f>($J338-$H338)*100</f>
        <v/>
      </c>
      <c r="AY338" s="82">
        <f>($L338-$H338)*100</f>
        <v/>
      </c>
      <c r="AZ338" s="82">
        <f>($L338-$J338)*100</f>
        <v/>
      </c>
      <c r="BA338" s="82">
        <f>(2*$H338-$F338-$J338)*100</f>
        <v/>
      </c>
      <c r="BB338" s="82">
        <f>(2*$J338-$H338-$L338)*100</f>
        <v/>
      </c>
      <c r="BC338" s="82">
        <f>($N338-$F338)*100</f>
        <v/>
      </c>
      <c r="BD338" s="82">
        <f>($Q338-$H338)*100</f>
        <v/>
      </c>
      <c r="BE338" s="82">
        <f>($S338-$J338)*100</f>
        <v/>
      </c>
      <c r="BF338" s="82">
        <f>($V338-$L338)*100</f>
        <v/>
      </c>
      <c r="BG338" s="82">
        <f>$AG338-$AF338</f>
        <v/>
      </c>
      <c r="BH338" s="81">
        <f>IFERROR($AG338/$AF338,"")</f>
        <v/>
      </c>
      <c r="BI338" s="82">
        <f>$AJ338-$AF338</f>
        <v/>
      </c>
      <c r="BJ338" s="81">
        <f>IFERROR($AJ338/$AG338,"")</f>
        <v/>
      </c>
      <c r="BK338" s="81">
        <f>$X338</f>
        <v/>
      </c>
      <c r="BL338" s="82">
        <f>($J338-$J339)*100</f>
        <v/>
      </c>
      <c r="BM338" s="82">
        <f>($F338-$F339)*100</f>
        <v/>
      </c>
      <c r="BN338" s="82">
        <f>$AF338-$AF339</f>
        <v/>
      </c>
      <c r="BO338" s="82">
        <f>$AG338-$AG339</f>
        <v/>
      </c>
      <c r="BP338" s="82">
        <f>$AJ338-$AJ339</f>
        <v/>
      </c>
    </row>
    <row r="339">
      <c r="AR339" s="81">
        <f>($G339+($H339-$G339)*0.5)+($P339-($O339+($Q339-$O339)*0.5))</f>
        <v/>
      </c>
      <c r="AS339" s="81">
        <f>($J339+($K339-$J339)*0.5)+($T339-($S339+($U339-$S339)*0.5))</f>
        <v/>
      </c>
      <c r="AT339" s="82">
        <f>($J339-$C339)*100</f>
        <v/>
      </c>
      <c r="AU339" s="82">
        <f>($H339-$F339)*100</f>
        <v/>
      </c>
      <c r="AV339" s="82">
        <f>($J339-$F339)*100</f>
        <v/>
      </c>
      <c r="AW339" s="82">
        <f>($L339-$F339)*100</f>
        <v/>
      </c>
      <c r="AX339" s="82">
        <f>($J339-$H339)*100</f>
        <v/>
      </c>
      <c r="AY339" s="82">
        <f>($L339-$H339)*100</f>
        <v/>
      </c>
      <c r="AZ339" s="82">
        <f>($L339-$J339)*100</f>
        <v/>
      </c>
      <c r="BA339" s="82">
        <f>(2*$H339-$F339-$J339)*100</f>
        <v/>
      </c>
      <c r="BB339" s="82">
        <f>(2*$J339-$H339-$L339)*100</f>
        <v/>
      </c>
      <c r="BC339" s="82">
        <f>($N339-$F339)*100</f>
        <v/>
      </c>
      <c r="BD339" s="82">
        <f>($Q339-$H339)*100</f>
        <v/>
      </c>
      <c r="BE339" s="82">
        <f>($S339-$J339)*100</f>
        <v/>
      </c>
      <c r="BF339" s="82">
        <f>($V339-$L339)*100</f>
        <v/>
      </c>
      <c r="BG339" s="82">
        <f>$AG339-$AF339</f>
        <v/>
      </c>
      <c r="BH339" s="81">
        <f>IFERROR($AG339/$AF339,"")</f>
        <v/>
      </c>
      <c r="BI339" s="82">
        <f>$AJ339-$AF339</f>
        <v/>
      </c>
      <c r="BJ339" s="81">
        <f>IFERROR($AJ339/$AG339,"")</f>
        <v/>
      </c>
      <c r="BK339" s="81">
        <f>$X339</f>
        <v/>
      </c>
      <c r="BL339" s="82">
        <f>($J339-$J340)*100</f>
        <v/>
      </c>
      <c r="BM339" s="82">
        <f>($F339-$F340)*100</f>
        <v/>
      </c>
      <c r="BN339" s="82">
        <f>$AF339-$AF340</f>
        <v/>
      </c>
      <c r="BO339" s="82">
        <f>$AG339-$AG340</f>
        <v/>
      </c>
      <c r="BP339" s="82">
        <f>$AJ339-$AJ340</f>
        <v/>
      </c>
    </row>
    <row r="340">
      <c r="AR340" s="81">
        <f>($G340+($H340-$G340)*0.5)+($P340-($O340+($Q340-$O340)*0.5))</f>
        <v/>
      </c>
      <c r="AS340" s="81">
        <f>($J340+($K340-$J340)*0.5)+($T340-($S340+($U340-$S340)*0.5))</f>
        <v/>
      </c>
      <c r="AT340" s="82">
        <f>($J340-$C340)*100</f>
        <v/>
      </c>
      <c r="AU340" s="82">
        <f>($H340-$F340)*100</f>
        <v/>
      </c>
      <c r="AV340" s="82">
        <f>($J340-$F340)*100</f>
        <v/>
      </c>
      <c r="AW340" s="82">
        <f>($L340-$F340)*100</f>
        <v/>
      </c>
      <c r="AX340" s="82">
        <f>($J340-$H340)*100</f>
        <v/>
      </c>
      <c r="AY340" s="82">
        <f>($L340-$H340)*100</f>
        <v/>
      </c>
      <c r="AZ340" s="82">
        <f>($L340-$J340)*100</f>
        <v/>
      </c>
      <c r="BA340" s="82">
        <f>(2*$H340-$F340-$J340)*100</f>
        <v/>
      </c>
      <c r="BB340" s="82">
        <f>(2*$J340-$H340-$L340)*100</f>
        <v/>
      </c>
      <c r="BC340" s="82">
        <f>($N340-$F340)*100</f>
        <v/>
      </c>
      <c r="BD340" s="82">
        <f>($Q340-$H340)*100</f>
        <v/>
      </c>
      <c r="BE340" s="82">
        <f>($S340-$J340)*100</f>
        <v/>
      </c>
      <c r="BF340" s="82">
        <f>($V340-$L340)*100</f>
        <v/>
      </c>
      <c r="BG340" s="82">
        <f>$AG340-$AF340</f>
        <v/>
      </c>
      <c r="BH340" s="81">
        <f>IFERROR($AG340/$AF340,"")</f>
        <v/>
      </c>
      <c r="BI340" s="82">
        <f>$AJ340-$AF340</f>
        <v/>
      </c>
      <c r="BJ340" s="81">
        <f>IFERROR($AJ340/$AG340,"")</f>
        <v/>
      </c>
      <c r="BK340" s="81">
        <f>$X340</f>
        <v/>
      </c>
      <c r="BL340" s="82">
        <f>($J340-$J341)*100</f>
        <v/>
      </c>
      <c r="BM340" s="82">
        <f>($F340-$F341)*100</f>
        <v/>
      </c>
      <c r="BN340" s="82">
        <f>$AF340-$AF341</f>
        <v/>
      </c>
      <c r="BO340" s="82">
        <f>$AG340-$AG341</f>
        <v/>
      </c>
      <c r="BP340" s="82">
        <f>$AJ340-$AJ341</f>
        <v/>
      </c>
    </row>
    <row r="341">
      <c r="AR341" s="81">
        <f>($G341+($H341-$G341)*0.5)+($P341-($O341+($Q341-$O341)*0.5))</f>
        <v/>
      </c>
      <c r="AS341" s="81">
        <f>($J341+($K341-$J341)*0.5)+($T341-($S341+($U341-$S341)*0.5))</f>
        <v/>
      </c>
      <c r="AT341" s="82">
        <f>($J341-$C341)*100</f>
        <v/>
      </c>
      <c r="AU341" s="82">
        <f>($H341-$F341)*100</f>
        <v/>
      </c>
      <c r="AV341" s="82">
        <f>($J341-$F341)*100</f>
        <v/>
      </c>
      <c r="AW341" s="82">
        <f>($L341-$F341)*100</f>
        <v/>
      </c>
      <c r="AX341" s="82">
        <f>($J341-$H341)*100</f>
        <v/>
      </c>
      <c r="AY341" s="82">
        <f>($L341-$H341)*100</f>
        <v/>
      </c>
      <c r="AZ341" s="82">
        <f>($L341-$J341)*100</f>
        <v/>
      </c>
      <c r="BA341" s="82">
        <f>(2*$H341-$F341-$J341)*100</f>
        <v/>
      </c>
      <c r="BB341" s="82">
        <f>(2*$J341-$H341-$L341)*100</f>
        <v/>
      </c>
      <c r="BC341" s="82">
        <f>($N341-$F341)*100</f>
        <v/>
      </c>
      <c r="BD341" s="82">
        <f>($Q341-$H341)*100</f>
        <v/>
      </c>
      <c r="BE341" s="82">
        <f>($S341-$J341)*100</f>
        <v/>
      </c>
      <c r="BF341" s="82">
        <f>($V341-$L341)*100</f>
        <v/>
      </c>
      <c r="BG341" s="82">
        <f>$AG341-$AF341</f>
        <v/>
      </c>
      <c r="BH341" s="81">
        <f>IFERROR($AG341/$AF341,"")</f>
        <v/>
      </c>
      <c r="BI341" s="82">
        <f>$AJ341-$AF341</f>
        <v/>
      </c>
      <c r="BJ341" s="81">
        <f>IFERROR($AJ341/$AG341,"")</f>
        <v/>
      </c>
      <c r="BK341" s="81">
        <f>$X341</f>
        <v/>
      </c>
      <c r="BL341" s="82">
        <f>($J341-$J342)*100</f>
        <v/>
      </c>
      <c r="BM341" s="82">
        <f>($F341-$F342)*100</f>
        <v/>
      </c>
      <c r="BN341" s="82">
        <f>$AF341-$AF342</f>
        <v/>
      </c>
      <c r="BO341" s="82">
        <f>$AG341-$AG342</f>
        <v/>
      </c>
      <c r="BP341" s="82">
        <f>$AJ341-$AJ342</f>
        <v/>
      </c>
    </row>
    <row r="342">
      <c r="AR342" s="81">
        <f>($G342+($H342-$G342)*0.5)+($P342-($O342+($Q342-$O342)*0.5))</f>
        <v/>
      </c>
      <c r="AS342" s="81">
        <f>($J342+($K342-$J342)*0.5)+($T342-($S342+($U342-$S342)*0.5))</f>
        <v/>
      </c>
      <c r="AT342" s="82">
        <f>($J342-$C342)*100</f>
        <v/>
      </c>
      <c r="AU342" s="82">
        <f>($H342-$F342)*100</f>
        <v/>
      </c>
      <c r="AV342" s="82">
        <f>($J342-$F342)*100</f>
        <v/>
      </c>
      <c r="AW342" s="82">
        <f>($L342-$F342)*100</f>
        <v/>
      </c>
      <c r="AX342" s="82">
        <f>($J342-$H342)*100</f>
        <v/>
      </c>
      <c r="AY342" s="82">
        <f>($L342-$H342)*100</f>
        <v/>
      </c>
      <c r="AZ342" s="82">
        <f>($L342-$J342)*100</f>
        <v/>
      </c>
      <c r="BA342" s="82">
        <f>(2*$H342-$F342-$J342)*100</f>
        <v/>
      </c>
      <c r="BB342" s="82">
        <f>(2*$J342-$H342-$L342)*100</f>
        <v/>
      </c>
      <c r="BC342" s="82">
        <f>($N342-$F342)*100</f>
        <v/>
      </c>
      <c r="BD342" s="82">
        <f>($Q342-$H342)*100</f>
        <v/>
      </c>
      <c r="BE342" s="82">
        <f>($S342-$J342)*100</f>
        <v/>
      </c>
      <c r="BF342" s="82">
        <f>($V342-$L342)*100</f>
        <v/>
      </c>
      <c r="BG342" s="82">
        <f>$AG342-$AF342</f>
        <v/>
      </c>
      <c r="BH342" s="81">
        <f>IFERROR($AG342/$AF342,"")</f>
        <v/>
      </c>
      <c r="BI342" s="82">
        <f>$AJ342-$AF342</f>
        <v/>
      </c>
      <c r="BJ342" s="81">
        <f>IFERROR($AJ342/$AG342,"")</f>
        <v/>
      </c>
      <c r="BK342" s="81">
        <f>$X342</f>
        <v/>
      </c>
      <c r="BL342" s="82">
        <f>($J342-$J343)*100</f>
        <v/>
      </c>
      <c r="BM342" s="82">
        <f>($F342-$F343)*100</f>
        <v/>
      </c>
      <c r="BN342" s="82">
        <f>$AF342-$AF343</f>
        <v/>
      </c>
      <c r="BO342" s="82">
        <f>$AG342-$AG343</f>
        <v/>
      </c>
      <c r="BP342" s="82">
        <f>$AJ342-$AJ343</f>
        <v/>
      </c>
    </row>
    <row r="343">
      <c r="AR343" s="81">
        <f>($G343+($H343-$G343)*0.5)+($P343-($O343+($Q343-$O343)*0.5))</f>
        <v/>
      </c>
      <c r="AS343" s="81">
        <f>($J343+($K343-$J343)*0.5)+($T343-($S343+($U343-$S343)*0.5))</f>
        <v/>
      </c>
      <c r="AT343" s="82">
        <f>($J343-$C343)*100</f>
        <v/>
      </c>
      <c r="AU343" s="82">
        <f>($H343-$F343)*100</f>
        <v/>
      </c>
      <c r="AV343" s="82">
        <f>($J343-$F343)*100</f>
        <v/>
      </c>
      <c r="AW343" s="82">
        <f>($L343-$F343)*100</f>
        <v/>
      </c>
      <c r="AX343" s="82">
        <f>($J343-$H343)*100</f>
        <v/>
      </c>
      <c r="AY343" s="82">
        <f>($L343-$H343)*100</f>
        <v/>
      </c>
      <c r="AZ343" s="82">
        <f>($L343-$J343)*100</f>
        <v/>
      </c>
      <c r="BA343" s="82">
        <f>(2*$H343-$F343-$J343)*100</f>
        <v/>
      </c>
      <c r="BB343" s="82">
        <f>(2*$J343-$H343-$L343)*100</f>
        <v/>
      </c>
      <c r="BC343" s="82">
        <f>($N343-$F343)*100</f>
        <v/>
      </c>
      <c r="BD343" s="82">
        <f>($Q343-$H343)*100</f>
        <v/>
      </c>
      <c r="BE343" s="82">
        <f>($S343-$J343)*100</f>
        <v/>
      </c>
      <c r="BF343" s="82">
        <f>($V343-$L343)*100</f>
        <v/>
      </c>
      <c r="BG343" s="82">
        <f>$AG343-$AF343</f>
        <v/>
      </c>
      <c r="BH343" s="81">
        <f>IFERROR($AG343/$AF343,"")</f>
        <v/>
      </c>
      <c r="BI343" s="82">
        <f>$AJ343-$AF343</f>
        <v/>
      </c>
      <c r="BJ343" s="81">
        <f>IFERROR($AJ343/$AG343,"")</f>
        <v/>
      </c>
      <c r="BK343" s="81">
        <f>$X343</f>
        <v/>
      </c>
      <c r="BL343" s="82">
        <f>($J343-$J344)*100</f>
        <v/>
      </c>
      <c r="BM343" s="82">
        <f>($F343-$F344)*100</f>
        <v/>
      </c>
      <c r="BN343" s="82">
        <f>$AF343-$AF344</f>
        <v/>
      </c>
      <c r="BO343" s="82">
        <f>$AG343-$AG344</f>
        <v/>
      </c>
      <c r="BP343" s="82">
        <f>$AJ343-$AJ344</f>
        <v/>
      </c>
    </row>
    <row r="344">
      <c r="AR344" s="81">
        <f>($G344+($H344-$G344)*0.5)+($P344-($O344+($Q344-$O344)*0.5))</f>
        <v/>
      </c>
      <c r="AS344" s="81">
        <f>($J344+($K344-$J344)*0.5)+($T344-($S344+($U344-$S344)*0.5))</f>
        <v/>
      </c>
      <c r="AT344" s="82">
        <f>($J344-$C344)*100</f>
        <v/>
      </c>
      <c r="AU344" s="82">
        <f>($H344-$F344)*100</f>
        <v/>
      </c>
      <c r="AV344" s="82">
        <f>($J344-$F344)*100</f>
        <v/>
      </c>
      <c r="AW344" s="82">
        <f>($L344-$F344)*100</f>
        <v/>
      </c>
      <c r="AX344" s="82">
        <f>($J344-$H344)*100</f>
        <v/>
      </c>
      <c r="AY344" s="82">
        <f>($L344-$H344)*100</f>
        <v/>
      </c>
      <c r="AZ344" s="82">
        <f>($L344-$J344)*100</f>
        <v/>
      </c>
      <c r="BA344" s="82">
        <f>(2*$H344-$F344-$J344)*100</f>
        <v/>
      </c>
      <c r="BB344" s="82">
        <f>(2*$J344-$H344-$L344)*100</f>
        <v/>
      </c>
      <c r="BC344" s="82">
        <f>($N344-$F344)*100</f>
        <v/>
      </c>
      <c r="BD344" s="82">
        <f>($Q344-$H344)*100</f>
        <v/>
      </c>
      <c r="BE344" s="82">
        <f>($S344-$J344)*100</f>
        <v/>
      </c>
      <c r="BF344" s="82">
        <f>($V344-$L344)*100</f>
        <v/>
      </c>
      <c r="BG344" s="82">
        <f>$AG344-$AF344</f>
        <v/>
      </c>
      <c r="BH344" s="81">
        <f>IFERROR($AG344/$AF344,"")</f>
        <v/>
      </c>
      <c r="BI344" s="82">
        <f>$AJ344-$AF344</f>
        <v/>
      </c>
      <c r="BJ344" s="81">
        <f>IFERROR($AJ344/$AG344,"")</f>
        <v/>
      </c>
      <c r="BK344" s="81">
        <f>$X344</f>
        <v/>
      </c>
      <c r="BL344" s="82">
        <f>($J344-$J345)*100</f>
        <v/>
      </c>
      <c r="BM344" s="82">
        <f>($F344-$F345)*100</f>
        <v/>
      </c>
      <c r="BN344" s="82">
        <f>$AF344-$AF345</f>
        <v/>
      </c>
      <c r="BO344" s="82">
        <f>$AG344-$AG345</f>
        <v/>
      </c>
      <c r="BP344" s="82">
        <f>$AJ344-$AJ345</f>
        <v/>
      </c>
    </row>
    <row r="345">
      <c r="AR345" s="81">
        <f>($G345+($H345-$G345)*0.5)+($P345-($O345+($Q345-$O345)*0.5))</f>
        <v/>
      </c>
      <c r="AS345" s="81">
        <f>($J345+($K345-$J345)*0.5)+($T345-($S345+($U345-$S345)*0.5))</f>
        <v/>
      </c>
      <c r="AT345" s="82">
        <f>($J345-$C345)*100</f>
        <v/>
      </c>
      <c r="AU345" s="82">
        <f>($H345-$F345)*100</f>
        <v/>
      </c>
      <c r="AV345" s="82">
        <f>($J345-$F345)*100</f>
        <v/>
      </c>
      <c r="AW345" s="82">
        <f>($L345-$F345)*100</f>
        <v/>
      </c>
      <c r="AX345" s="82">
        <f>($J345-$H345)*100</f>
        <v/>
      </c>
      <c r="AY345" s="82">
        <f>($L345-$H345)*100</f>
        <v/>
      </c>
      <c r="AZ345" s="82">
        <f>($L345-$J345)*100</f>
        <v/>
      </c>
      <c r="BA345" s="82">
        <f>(2*$H345-$F345-$J345)*100</f>
        <v/>
      </c>
      <c r="BB345" s="82">
        <f>(2*$J345-$H345-$L345)*100</f>
        <v/>
      </c>
      <c r="BC345" s="82">
        <f>($N345-$F345)*100</f>
        <v/>
      </c>
      <c r="BD345" s="82">
        <f>($Q345-$H345)*100</f>
        <v/>
      </c>
      <c r="BE345" s="82">
        <f>($S345-$J345)*100</f>
        <v/>
      </c>
      <c r="BF345" s="82">
        <f>($V345-$L345)*100</f>
        <v/>
      </c>
      <c r="BG345" s="82">
        <f>$AG345-$AF345</f>
        <v/>
      </c>
      <c r="BH345" s="81">
        <f>IFERROR($AG345/$AF345,"")</f>
        <v/>
      </c>
      <c r="BI345" s="82">
        <f>$AJ345-$AF345</f>
        <v/>
      </c>
      <c r="BJ345" s="81">
        <f>IFERROR($AJ345/$AG345,"")</f>
        <v/>
      </c>
      <c r="BK345" s="81">
        <f>$X345</f>
        <v/>
      </c>
      <c r="BL345" s="82">
        <f>($J345-$J346)*100</f>
        <v/>
      </c>
      <c r="BM345" s="82">
        <f>($F345-$F346)*100</f>
        <v/>
      </c>
      <c r="BN345" s="82">
        <f>$AF345-$AF346</f>
        <v/>
      </c>
      <c r="BO345" s="82">
        <f>$AG345-$AG346</f>
        <v/>
      </c>
      <c r="BP345" s="82">
        <f>$AJ345-$AJ346</f>
        <v/>
      </c>
    </row>
    <row r="346">
      <c r="AR346" s="81">
        <f>($G346+($H346-$G346)*0.5)+($P346-($O346+($Q346-$O346)*0.5))</f>
        <v/>
      </c>
      <c r="AS346" s="81">
        <f>($J346+($K346-$J346)*0.5)+($T346-($S346+($U346-$S346)*0.5))</f>
        <v/>
      </c>
      <c r="AT346" s="82">
        <f>($J346-$C346)*100</f>
        <v/>
      </c>
      <c r="AU346" s="82">
        <f>($H346-$F346)*100</f>
        <v/>
      </c>
      <c r="AV346" s="82">
        <f>($J346-$F346)*100</f>
        <v/>
      </c>
      <c r="AW346" s="82">
        <f>($L346-$F346)*100</f>
        <v/>
      </c>
      <c r="AX346" s="82">
        <f>($J346-$H346)*100</f>
        <v/>
      </c>
      <c r="AY346" s="82">
        <f>($L346-$H346)*100</f>
        <v/>
      </c>
      <c r="AZ346" s="82">
        <f>($L346-$J346)*100</f>
        <v/>
      </c>
      <c r="BA346" s="82">
        <f>(2*$H346-$F346-$J346)*100</f>
        <v/>
      </c>
      <c r="BB346" s="82">
        <f>(2*$J346-$H346-$L346)*100</f>
        <v/>
      </c>
      <c r="BC346" s="82">
        <f>($N346-$F346)*100</f>
        <v/>
      </c>
      <c r="BD346" s="82">
        <f>($Q346-$H346)*100</f>
        <v/>
      </c>
      <c r="BE346" s="82">
        <f>($S346-$J346)*100</f>
        <v/>
      </c>
      <c r="BF346" s="82">
        <f>($V346-$L346)*100</f>
        <v/>
      </c>
      <c r="BG346" s="82">
        <f>$AG346-$AF346</f>
        <v/>
      </c>
      <c r="BH346" s="81">
        <f>IFERROR($AG346/$AF346,"")</f>
        <v/>
      </c>
      <c r="BI346" s="82">
        <f>$AJ346-$AF346</f>
        <v/>
      </c>
      <c r="BJ346" s="81">
        <f>IFERROR($AJ346/$AG346,"")</f>
        <v/>
      </c>
      <c r="BK346" s="81">
        <f>$X346</f>
        <v/>
      </c>
      <c r="BL346" s="82">
        <f>($J346-$J347)*100</f>
        <v/>
      </c>
      <c r="BM346" s="82">
        <f>($F346-$F347)*100</f>
        <v/>
      </c>
      <c r="BN346" s="82">
        <f>$AF346-$AF347</f>
        <v/>
      </c>
      <c r="BO346" s="82">
        <f>$AG346-$AG347</f>
        <v/>
      </c>
      <c r="BP346" s="82">
        <f>$AJ346-$AJ347</f>
        <v/>
      </c>
    </row>
    <row r="347">
      <c r="AR347" s="81">
        <f>($G347+($H347-$G347)*0.5)+($P347-($O347+($Q347-$O347)*0.5))</f>
        <v/>
      </c>
      <c r="AS347" s="81">
        <f>($J347+($K347-$J347)*0.5)+($T347-($S347+($U347-$S347)*0.5))</f>
        <v/>
      </c>
      <c r="AT347" s="82">
        <f>($J347-$C347)*100</f>
        <v/>
      </c>
      <c r="AU347" s="82">
        <f>($H347-$F347)*100</f>
        <v/>
      </c>
      <c r="AV347" s="82">
        <f>($J347-$F347)*100</f>
        <v/>
      </c>
      <c r="AW347" s="82">
        <f>($L347-$F347)*100</f>
        <v/>
      </c>
      <c r="AX347" s="82">
        <f>($J347-$H347)*100</f>
        <v/>
      </c>
      <c r="AY347" s="82">
        <f>($L347-$H347)*100</f>
        <v/>
      </c>
      <c r="AZ347" s="82">
        <f>($L347-$J347)*100</f>
        <v/>
      </c>
      <c r="BA347" s="82">
        <f>(2*$H347-$F347-$J347)*100</f>
        <v/>
      </c>
      <c r="BB347" s="82">
        <f>(2*$J347-$H347-$L347)*100</f>
        <v/>
      </c>
      <c r="BC347" s="82">
        <f>($N347-$F347)*100</f>
        <v/>
      </c>
      <c r="BD347" s="82">
        <f>($Q347-$H347)*100</f>
        <v/>
      </c>
      <c r="BE347" s="82">
        <f>($S347-$J347)*100</f>
        <v/>
      </c>
      <c r="BF347" s="82">
        <f>($V347-$L347)*100</f>
        <v/>
      </c>
      <c r="BG347" s="82">
        <f>$AG347-$AF347</f>
        <v/>
      </c>
      <c r="BH347" s="81">
        <f>IFERROR($AG347/$AF347,"")</f>
        <v/>
      </c>
      <c r="BI347" s="82">
        <f>$AJ347-$AF347</f>
        <v/>
      </c>
      <c r="BJ347" s="81">
        <f>IFERROR($AJ347/$AG347,"")</f>
        <v/>
      </c>
      <c r="BK347" s="81">
        <f>$X347</f>
        <v/>
      </c>
      <c r="BL347" s="82">
        <f>($J347-$J348)*100</f>
        <v/>
      </c>
      <c r="BM347" s="82">
        <f>($F347-$F348)*100</f>
        <v/>
      </c>
      <c r="BN347" s="82">
        <f>$AF347-$AF348</f>
        <v/>
      </c>
      <c r="BO347" s="82">
        <f>$AG347-$AG348</f>
        <v/>
      </c>
      <c r="BP347" s="82">
        <f>$AJ347-$AJ348</f>
        <v/>
      </c>
    </row>
    <row r="348">
      <c r="AR348" s="81">
        <f>($G348+($H348-$G348)*0.5)+($P348-($O348+($Q348-$O348)*0.5))</f>
        <v/>
      </c>
      <c r="AS348" s="81">
        <f>($J348+($K348-$J348)*0.5)+($T348-($S348+($U348-$S348)*0.5))</f>
        <v/>
      </c>
      <c r="AT348" s="82">
        <f>($J348-$C348)*100</f>
        <v/>
      </c>
      <c r="AU348" s="82">
        <f>($H348-$F348)*100</f>
        <v/>
      </c>
      <c r="AV348" s="82">
        <f>($J348-$F348)*100</f>
        <v/>
      </c>
      <c r="AW348" s="82">
        <f>($L348-$F348)*100</f>
        <v/>
      </c>
      <c r="AX348" s="82">
        <f>($J348-$H348)*100</f>
        <v/>
      </c>
      <c r="AY348" s="82">
        <f>($L348-$H348)*100</f>
        <v/>
      </c>
      <c r="AZ348" s="82">
        <f>($L348-$J348)*100</f>
        <v/>
      </c>
      <c r="BA348" s="82">
        <f>(2*$H348-$F348-$J348)*100</f>
        <v/>
      </c>
      <c r="BB348" s="82">
        <f>(2*$J348-$H348-$L348)*100</f>
        <v/>
      </c>
      <c r="BC348" s="82">
        <f>($N348-$F348)*100</f>
        <v/>
      </c>
      <c r="BD348" s="82">
        <f>($Q348-$H348)*100</f>
        <v/>
      </c>
      <c r="BE348" s="82">
        <f>($S348-$J348)*100</f>
        <v/>
      </c>
      <c r="BF348" s="82">
        <f>($V348-$L348)*100</f>
        <v/>
      </c>
      <c r="BG348" s="82">
        <f>$AG348-$AF348</f>
        <v/>
      </c>
      <c r="BH348" s="81">
        <f>IFERROR($AG348/$AF348,"")</f>
        <v/>
      </c>
      <c r="BI348" s="82">
        <f>$AJ348-$AF348</f>
        <v/>
      </c>
      <c r="BJ348" s="81">
        <f>IFERROR($AJ348/$AG348,"")</f>
        <v/>
      </c>
      <c r="BK348" s="81">
        <f>$X348</f>
        <v/>
      </c>
      <c r="BL348" s="82">
        <f>($J348-$J349)*100</f>
        <v/>
      </c>
      <c r="BM348" s="82">
        <f>($F348-$F349)*100</f>
        <v/>
      </c>
      <c r="BN348" s="82">
        <f>$AF348-$AF349</f>
        <v/>
      </c>
      <c r="BO348" s="82">
        <f>$AG348-$AG349</f>
        <v/>
      </c>
      <c r="BP348" s="82">
        <f>$AJ348-$AJ349</f>
        <v/>
      </c>
    </row>
    <row r="349">
      <c r="AR349" s="81">
        <f>($G349+($H349-$G349)*0.5)+($P349-($O349+($Q349-$O349)*0.5))</f>
        <v/>
      </c>
      <c r="AS349" s="81">
        <f>($J349+($K349-$J349)*0.5)+($T349-($S349+($U349-$S349)*0.5))</f>
        <v/>
      </c>
      <c r="AT349" s="82">
        <f>($J349-$C349)*100</f>
        <v/>
      </c>
      <c r="AU349" s="82">
        <f>($H349-$F349)*100</f>
        <v/>
      </c>
      <c r="AV349" s="82">
        <f>($J349-$F349)*100</f>
        <v/>
      </c>
      <c r="AW349" s="82">
        <f>($L349-$F349)*100</f>
        <v/>
      </c>
      <c r="AX349" s="82">
        <f>($J349-$H349)*100</f>
        <v/>
      </c>
      <c r="AY349" s="82">
        <f>($L349-$H349)*100</f>
        <v/>
      </c>
      <c r="AZ349" s="82">
        <f>($L349-$J349)*100</f>
        <v/>
      </c>
      <c r="BA349" s="82">
        <f>(2*$H349-$F349-$J349)*100</f>
        <v/>
      </c>
      <c r="BB349" s="82">
        <f>(2*$J349-$H349-$L349)*100</f>
        <v/>
      </c>
      <c r="BC349" s="82">
        <f>($N349-$F349)*100</f>
        <v/>
      </c>
      <c r="BD349" s="82">
        <f>($Q349-$H349)*100</f>
        <v/>
      </c>
      <c r="BE349" s="82">
        <f>($S349-$J349)*100</f>
        <v/>
      </c>
      <c r="BF349" s="82">
        <f>($V349-$L349)*100</f>
        <v/>
      </c>
      <c r="BG349" s="82">
        <f>$AG349-$AF349</f>
        <v/>
      </c>
      <c r="BH349" s="81">
        <f>IFERROR($AG349/$AF349,"")</f>
        <v/>
      </c>
      <c r="BI349" s="82">
        <f>$AJ349-$AF349</f>
        <v/>
      </c>
      <c r="BJ349" s="81">
        <f>IFERROR($AJ349/$AG349,"")</f>
        <v/>
      </c>
      <c r="BK349" s="81">
        <f>$X349</f>
        <v/>
      </c>
      <c r="BL349" s="82">
        <f>($J349-$J350)*100</f>
        <v/>
      </c>
      <c r="BM349" s="82">
        <f>($F349-$F350)*100</f>
        <v/>
      </c>
      <c r="BN349" s="82">
        <f>$AF349-$AF350</f>
        <v/>
      </c>
      <c r="BO349" s="82">
        <f>$AG349-$AG350</f>
        <v/>
      </c>
      <c r="BP349" s="82">
        <f>$AJ349-$AJ350</f>
        <v/>
      </c>
    </row>
    <row r="350">
      <c r="AR350" s="81">
        <f>($G350+($H350-$G350)*0.5)+($P350-($O350+($Q350-$O350)*0.5))</f>
        <v/>
      </c>
      <c r="AS350" s="81">
        <f>($J350+($K350-$J350)*0.5)+($T350-($S350+($U350-$S350)*0.5))</f>
        <v/>
      </c>
      <c r="AT350" s="82">
        <f>($J350-$C350)*100</f>
        <v/>
      </c>
      <c r="AU350" s="82">
        <f>($H350-$F350)*100</f>
        <v/>
      </c>
      <c r="AV350" s="82">
        <f>($J350-$F350)*100</f>
        <v/>
      </c>
      <c r="AW350" s="82">
        <f>($L350-$F350)*100</f>
        <v/>
      </c>
      <c r="AX350" s="82">
        <f>($J350-$H350)*100</f>
        <v/>
      </c>
      <c r="AY350" s="82">
        <f>($L350-$H350)*100</f>
        <v/>
      </c>
      <c r="AZ350" s="82">
        <f>($L350-$J350)*100</f>
        <v/>
      </c>
      <c r="BA350" s="82">
        <f>(2*$H350-$F350-$J350)*100</f>
        <v/>
      </c>
      <c r="BB350" s="82">
        <f>(2*$J350-$H350-$L350)*100</f>
        <v/>
      </c>
      <c r="BC350" s="82">
        <f>($N350-$F350)*100</f>
        <v/>
      </c>
      <c r="BD350" s="82">
        <f>($Q350-$H350)*100</f>
        <v/>
      </c>
      <c r="BE350" s="82">
        <f>($S350-$J350)*100</f>
        <v/>
      </c>
      <c r="BF350" s="82">
        <f>($V350-$L350)*100</f>
        <v/>
      </c>
      <c r="BG350" s="82">
        <f>$AG350-$AF350</f>
        <v/>
      </c>
      <c r="BH350" s="81">
        <f>IFERROR($AG350/$AF350,"")</f>
        <v/>
      </c>
      <c r="BI350" s="82">
        <f>$AJ350-$AF350</f>
        <v/>
      </c>
      <c r="BJ350" s="81">
        <f>IFERROR($AJ350/$AG350,"")</f>
        <v/>
      </c>
      <c r="BK350" s="81">
        <f>$X350</f>
        <v/>
      </c>
      <c r="BL350" s="82">
        <f>($J350-$J351)*100</f>
        <v/>
      </c>
      <c r="BM350" s="82">
        <f>($F350-$F351)*100</f>
        <v/>
      </c>
      <c r="BN350" s="82">
        <f>$AF350-$AF351</f>
        <v/>
      </c>
      <c r="BO350" s="82">
        <f>$AG350-$AG351</f>
        <v/>
      </c>
      <c r="BP350" s="82">
        <f>$AJ350-$AJ351</f>
        <v/>
      </c>
    </row>
    <row r="351">
      <c r="AR351" s="81">
        <f>($G351+($H351-$G351)*0.5)+($P351-($O351+($Q351-$O351)*0.5))</f>
        <v/>
      </c>
      <c r="AS351" s="81">
        <f>($J351+($K351-$J351)*0.5)+($T351-($S351+($U351-$S351)*0.5))</f>
        <v/>
      </c>
      <c r="AT351" s="82">
        <f>($J351-$C351)*100</f>
        <v/>
      </c>
      <c r="AU351" s="82">
        <f>($H351-$F351)*100</f>
        <v/>
      </c>
      <c r="AV351" s="82">
        <f>($J351-$F351)*100</f>
        <v/>
      </c>
      <c r="AW351" s="82">
        <f>($L351-$F351)*100</f>
        <v/>
      </c>
      <c r="AX351" s="82">
        <f>($J351-$H351)*100</f>
        <v/>
      </c>
      <c r="AY351" s="82">
        <f>($L351-$H351)*100</f>
        <v/>
      </c>
      <c r="AZ351" s="82">
        <f>($L351-$J351)*100</f>
        <v/>
      </c>
      <c r="BA351" s="82">
        <f>(2*$H351-$F351-$J351)*100</f>
        <v/>
      </c>
      <c r="BB351" s="82">
        <f>(2*$J351-$H351-$L351)*100</f>
        <v/>
      </c>
      <c r="BC351" s="82">
        <f>($N351-$F351)*100</f>
        <v/>
      </c>
      <c r="BD351" s="82">
        <f>($Q351-$H351)*100</f>
        <v/>
      </c>
      <c r="BE351" s="82">
        <f>($S351-$J351)*100</f>
        <v/>
      </c>
      <c r="BF351" s="82">
        <f>($V351-$L351)*100</f>
        <v/>
      </c>
      <c r="BG351" s="82">
        <f>$AG351-$AF351</f>
        <v/>
      </c>
      <c r="BH351" s="81">
        <f>IFERROR($AG351/$AF351,"")</f>
        <v/>
      </c>
      <c r="BI351" s="82">
        <f>$AJ351-$AF351</f>
        <v/>
      </c>
      <c r="BJ351" s="81">
        <f>IFERROR($AJ351/$AG351,"")</f>
        <v/>
      </c>
      <c r="BK351" s="81">
        <f>$X351</f>
        <v/>
      </c>
      <c r="BL351" s="82">
        <f>($J351-$J352)*100</f>
        <v/>
      </c>
      <c r="BM351" s="82">
        <f>($F351-$F352)*100</f>
        <v/>
      </c>
      <c r="BN351" s="82">
        <f>$AF351-$AF352</f>
        <v/>
      </c>
      <c r="BO351" s="82">
        <f>$AG351-$AG352</f>
        <v/>
      </c>
      <c r="BP351" s="82">
        <f>$AJ351-$AJ352</f>
        <v/>
      </c>
    </row>
    <row r="352">
      <c r="AR352" s="81">
        <f>($G352+($H352-$G352)*0.5)+($P352-($O352+($Q352-$O352)*0.5))</f>
        <v/>
      </c>
      <c r="AS352" s="81">
        <f>($J352+($K352-$J352)*0.5)+($T352-($S352+($U352-$S352)*0.5))</f>
        <v/>
      </c>
      <c r="AT352" s="82">
        <f>($J352-$C352)*100</f>
        <v/>
      </c>
      <c r="AU352" s="82">
        <f>($H352-$F352)*100</f>
        <v/>
      </c>
      <c r="AV352" s="82">
        <f>($J352-$F352)*100</f>
        <v/>
      </c>
      <c r="AW352" s="82">
        <f>($L352-$F352)*100</f>
        <v/>
      </c>
      <c r="AX352" s="82">
        <f>($J352-$H352)*100</f>
        <v/>
      </c>
      <c r="AY352" s="82">
        <f>($L352-$H352)*100</f>
        <v/>
      </c>
      <c r="AZ352" s="82">
        <f>($L352-$J352)*100</f>
        <v/>
      </c>
      <c r="BA352" s="82">
        <f>(2*$H352-$F352-$J352)*100</f>
        <v/>
      </c>
      <c r="BB352" s="82">
        <f>(2*$J352-$H352-$L352)*100</f>
        <v/>
      </c>
      <c r="BC352" s="82">
        <f>($N352-$F352)*100</f>
        <v/>
      </c>
      <c r="BD352" s="82">
        <f>($Q352-$H352)*100</f>
        <v/>
      </c>
      <c r="BE352" s="82">
        <f>($S352-$J352)*100</f>
        <v/>
      </c>
      <c r="BF352" s="82">
        <f>($V352-$L352)*100</f>
        <v/>
      </c>
      <c r="BG352" s="82">
        <f>$AG352-$AF352</f>
        <v/>
      </c>
      <c r="BH352" s="81">
        <f>IFERROR($AG352/$AF352,"")</f>
        <v/>
      </c>
      <c r="BI352" s="82">
        <f>$AJ352-$AF352</f>
        <v/>
      </c>
      <c r="BJ352" s="81">
        <f>IFERROR($AJ352/$AG352,"")</f>
        <v/>
      </c>
      <c r="BK352" s="81">
        <f>$X352</f>
        <v/>
      </c>
      <c r="BL352" s="82">
        <f>($J352-$J353)*100</f>
        <v/>
      </c>
      <c r="BM352" s="82">
        <f>($F352-$F353)*100</f>
        <v/>
      </c>
      <c r="BN352" s="82">
        <f>$AF352-$AF353</f>
        <v/>
      </c>
      <c r="BO352" s="82">
        <f>$AG352-$AG353</f>
        <v/>
      </c>
      <c r="BP352" s="82">
        <f>$AJ352-$AJ353</f>
        <v/>
      </c>
    </row>
    <row r="353">
      <c r="AR353" s="81">
        <f>($G353+($H353-$G353)*0.5)+($P353-($O353+($Q353-$O353)*0.5))</f>
        <v/>
      </c>
      <c r="AS353" s="81">
        <f>($J353+($K353-$J353)*0.5)+($T353-($S353+($U353-$S353)*0.5))</f>
        <v/>
      </c>
      <c r="AT353" s="82">
        <f>($J353-$C353)*100</f>
        <v/>
      </c>
      <c r="AU353" s="82">
        <f>($H353-$F353)*100</f>
        <v/>
      </c>
      <c r="AV353" s="82">
        <f>($J353-$F353)*100</f>
        <v/>
      </c>
      <c r="AW353" s="82">
        <f>($L353-$F353)*100</f>
        <v/>
      </c>
      <c r="AX353" s="82">
        <f>($J353-$H353)*100</f>
        <v/>
      </c>
      <c r="AY353" s="82">
        <f>($L353-$H353)*100</f>
        <v/>
      </c>
      <c r="AZ353" s="82">
        <f>($L353-$J353)*100</f>
        <v/>
      </c>
      <c r="BA353" s="82">
        <f>(2*$H353-$F353-$J353)*100</f>
        <v/>
      </c>
      <c r="BB353" s="82">
        <f>(2*$J353-$H353-$L353)*100</f>
        <v/>
      </c>
      <c r="BC353" s="82">
        <f>($N353-$F353)*100</f>
        <v/>
      </c>
      <c r="BD353" s="82">
        <f>($Q353-$H353)*100</f>
        <v/>
      </c>
      <c r="BE353" s="82">
        <f>($S353-$J353)*100</f>
        <v/>
      </c>
      <c r="BF353" s="82">
        <f>($V353-$L353)*100</f>
        <v/>
      </c>
      <c r="BG353" s="82">
        <f>$AG353-$AF353</f>
        <v/>
      </c>
      <c r="BH353" s="81">
        <f>IFERROR($AG353/$AF353,"")</f>
        <v/>
      </c>
      <c r="BI353" s="82">
        <f>$AJ353-$AF353</f>
        <v/>
      </c>
      <c r="BJ353" s="81">
        <f>IFERROR($AJ353/$AG353,"")</f>
        <v/>
      </c>
      <c r="BK353" s="81">
        <f>$X353</f>
        <v/>
      </c>
      <c r="BL353" s="82">
        <f>($J353-$J354)*100</f>
        <v/>
      </c>
      <c r="BM353" s="82">
        <f>($F353-$F354)*100</f>
        <v/>
      </c>
      <c r="BN353" s="82">
        <f>$AF353-$AF354</f>
        <v/>
      </c>
      <c r="BO353" s="82">
        <f>$AG353-$AG354</f>
        <v/>
      </c>
      <c r="BP353" s="82">
        <f>$AJ353-$AJ354</f>
        <v/>
      </c>
    </row>
    <row r="354">
      <c r="AR354" s="81">
        <f>($G354+($H354-$G354)*0.5)+($P354-($O354+($Q354-$O354)*0.5))</f>
        <v/>
      </c>
      <c r="AS354" s="81">
        <f>($J354+($K354-$J354)*0.5)+($T354-($S354+($U354-$S354)*0.5))</f>
        <v/>
      </c>
      <c r="AT354" s="82">
        <f>($J354-$C354)*100</f>
        <v/>
      </c>
      <c r="AU354" s="82">
        <f>($H354-$F354)*100</f>
        <v/>
      </c>
      <c r="AV354" s="82">
        <f>($J354-$F354)*100</f>
        <v/>
      </c>
      <c r="AW354" s="82">
        <f>($L354-$F354)*100</f>
        <v/>
      </c>
      <c r="AX354" s="82">
        <f>($J354-$H354)*100</f>
        <v/>
      </c>
      <c r="AY354" s="82">
        <f>($L354-$H354)*100</f>
        <v/>
      </c>
      <c r="AZ354" s="82">
        <f>($L354-$J354)*100</f>
        <v/>
      </c>
      <c r="BA354" s="82">
        <f>(2*$H354-$F354-$J354)*100</f>
        <v/>
      </c>
      <c r="BB354" s="82">
        <f>(2*$J354-$H354-$L354)*100</f>
        <v/>
      </c>
      <c r="BC354" s="82">
        <f>($N354-$F354)*100</f>
        <v/>
      </c>
      <c r="BD354" s="82">
        <f>($Q354-$H354)*100</f>
        <v/>
      </c>
      <c r="BE354" s="82">
        <f>($S354-$J354)*100</f>
        <v/>
      </c>
      <c r="BF354" s="82">
        <f>($V354-$L354)*100</f>
        <v/>
      </c>
      <c r="BG354" s="82">
        <f>$AG354-$AF354</f>
        <v/>
      </c>
      <c r="BH354" s="81">
        <f>IFERROR($AG354/$AF354,"")</f>
        <v/>
      </c>
      <c r="BI354" s="82">
        <f>$AJ354-$AF354</f>
        <v/>
      </c>
      <c r="BJ354" s="81">
        <f>IFERROR($AJ354/$AG354,"")</f>
        <v/>
      </c>
      <c r="BK354" s="81">
        <f>$X354</f>
        <v/>
      </c>
      <c r="BL354" s="82">
        <f>($J354-$J355)*100</f>
        <v/>
      </c>
      <c r="BM354" s="82">
        <f>($F354-$F355)*100</f>
        <v/>
      </c>
      <c r="BN354" s="82">
        <f>$AF354-$AF355</f>
        <v/>
      </c>
      <c r="BO354" s="82">
        <f>$AG354-$AG355</f>
        <v/>
      </c>
      <c r="BP354" s="82">
        <f>$AJ354-$AJ355</f>
        <v/>
      </c>
    </row>
    <row r="355">
      <c r="AR355" s="81">
        <f>($G355+($H355-$G355)*0.5)+($P355-($O355+($Q355-$O355)*0.5))</f>
        <v/>
      </c>
      <c r="AS355" s="81">
        <f>($J355+($K355-$J355)*0.5)+($T355-($S355+($U355-$S355)*0.5))</f>
        <v/>
      </c>
      <c r="AT355" s="82">
        <f>($J355-$C355)*100</f>
        <v/>
      </c>
      <c r="AU355" s="82">
        <f>($H355-$F355)*100</f>
        <v/>
      </c>
      <c r="AV355" s="82">
        <f>($J355-$F355)*100</f>
        <v/>
      </c>
      <c r="AW355" s="82">
        <f>($L355-$F355)*100</f>
        <v/>
      </c>
      <c r="AX355" s="82">
        <f>($J355-$H355)*100</f>
        <v/>
      </c>
      <c r="AY355" s="82">
        <f>($L355-$H355)*100</f>
        <v/>
      </c>
      <c r="AZ355" s="82">
        <f>($L355-$J355)*100</f>
        <v/>
      </c>
      <c r="BA355" s="82">
        <f>(2*$H355-$F355-$J355)*100</f>
        <v/>
      </c>
      <c r="BB355" s="82">
        <f>(2*$J355-$H355-$L355)*100</f>
        <v/>
      </c>
      <c r="BC355" s="82">
        <f>($N355-$F355)*100</f>
        <v/>
      </c>
      <c r="BD355" s="82">
        <f>($Q355-$H355)*100</f>
        <v/>
      </c>
      <c r="BE355" s="82">
        <f>($S355-$J355)*100</f>
        <v/>
      </c>
      <c r="BF355" s="82">
        <f>($V355-$L355)*100</f>
        <v/>
      </c>
      <c r="BG355" s="82">
        <f>$AG355-$AF355</f>
        <v/>
      </c>
      <c r="BH355" s="81">
        <f>IFERROR($AG355/$AF355,"")</f>
        <v/>
      </c>
      <c r="BI355" s="82">
        <f>$AJ355-$AF355</f>
        <v/>
      </c>
      <c r="BJ355" s="81">
        <f>IFERROR($AJ355/$AG355,"")</f>
        <v/>
      </c>
      <c r="BK355" s="81">
        <f>$X355</f>
        <v/>
      </c>
      <c r="BL355" s="82">
        <f>($J355-$J356)*100</f>
        <v/>
      </c>
      <c r="BM355" s="82">
        <f>($F355-$F356)*100</f>
        <v/>
      </c>
      <c r="BN355" s="82">
        <f>$AF355-$AF356</f>
        <v/>
      </c>
      <c r="BO355" s="82">
        <f>$AG355-$AG356</f>
        <v/>
      </c>
      <c r="BP355" s="82">
        <f>$AJ355-$AJ356</f>
        <v/>
      </c>
    </row>
    <row r="356">
      <c r="AR356" s="81">
        <f>($G356+($H356-$G356)*0.5)+($P356-($O356+($Q356-$O356)*0.5))</f>
        <v/>
      </c>
      <c r="AS356" s="81">
        <f>($J356+($K356-$J356)*0.5)+($T356-($S356+($U356-$S356)*0.5))</f>
        <v/>
      </c>
      <c r="AT356" s="82">
        <f>($J356-$C356)*100</f>
        <v/>
      </c>
      <c r="AU356" s="82">
        <f>($H356-$F356)*100</f>
        <v/>
      </c>
      <c r="AV356" s="82">
        <f>($J356-$F356)*100</f>
        <v/>
      </c>
      <c r="AW356" s="82">
        <f>($L356-$F356)*100</f>
        <v/>
      </c>
      <c r="AX356" s="82">
        <f>($J356-$H356)*100</f>
        <v/>
      </c>
      <c r="AY356" s="82">
        <f>($L356-$H356)*100</f>
        <v/>
      </c>
      <c r="AZ356" s="82">
        <f>($L356-$J356)*100</f>
        <v/>
      </c>
      <c r="BA356" s="82">
        <f>(2*$H356-$F356-$J356)*100</f>
        <v/>
      </c>
      <c r="BB356" s="82">
        <f>(2*$J356-$H356-$L356)*100</f>
        <v/>
      </c>
      <c r="BC356" s="82">
        <f>($N356-$F356)*100</f>
        <v/>
      </c>
      <c r="BD356" s="82">
        <f>($Q356-$H356)*100</f>
        <v/>
      </c>
      <c r="BE356" s="82">
        <f>($S356-$J356)*100</f>
        <v/>
      </c>
      <c r="BF356" s="82">
        <f>($V356-$L356)*100</f>
        <v/>
      </c>
      <c r="BG356" s="82">
        <f>$AG356-$AF356</f>
        <v/>
      </c>
      <c r="BH356" s="81">
        <f>IFERROR($AG356/$AF356,"")</f>
        <v/>
      </c>
      <c r="BI356" s="82">
        <f>$AJ356-$AF356</f>
        <v/>
      </c>
      <c r="BJ356" s="81">
        <f>IFERROR($AJ356/$AG356,"")</f>
        <v/>
      </c>
      <c r="BK356" s="81">
        <f>$X356</f>
        <v/>
      </c>
      <c r="BL356" s="82">
        <f>($J356-$J357)*100</f>
        <v/>
      </c>
      <c r="BM356" s="82">
        <f>($F356-$F357)*100</f>
        <v/>
      </c>
      <c r="BN356" s="82">
        <f>$AF356-$AF357</f>
        <v/>
      </c>
      <c r="BO356" s="82">
        <f>$AG356-$AG357</f>
        <v/>
      </c>
      <c r="BP356" s="82">
        <f>$AJ356-$AJ357</f>
        <v/>
      </c>
    </row>
    <row r="357">
      <c r="AR357" s="81">
        <f>($G357+($H357-$G357)*0.5)+($P357-($O357+($Q357-$O357)*0.5))</f>
        <v/>
      </c>
      <c r="AS357" s="81">
        <f>($J357+($K357-$J357)*0.5)+($T357-($S357+($U357-$S357)*0.5))</f>
        <v/>
      </c>
      <c r="AT357" s="82">
        <f>($J357-$C357)*100</f>
        <v/>
      </c>
      <c r="AU357" s="82">
        <f>($H357-$F357)*100</f>
        <v/>
      </c>
      <c r="AV357" s="82">
        <f>($J357-$F357)*100</f>
        <v/>
      </c>
      <c r="AW357" s="82">
        <f>($L357-$F357)*100</f>
        <v/>
      </c>
      <c r="AX357" s="82">
        <f>($J357-$H357)*100</f>
        <v/>
      </c>
      <c r="AY357" s="82">
        <f>($L357-$H357)*100</f>
        <v/>
      </c>
      <c r="AZ357" s="82">
        <f>($L357-$J357)*100</f>
        <v/>
      </c>
      <c r="BA357" s="82">
        <f>(2*$H357-$F357-$J357)*100</f>
        <v/>
      </c>
      <c r="BB357" s="82">
        <f>(2*$J357-$H357-$L357)*100</f>
        <v/>
      </c>
      <c r="BC357" s="82">
        <f>($N357-$F357)*100</f>
        <v/>
      </c>
      <c r="BD357" s="82">
        <f>($Q357-$H357)*100</f>
        <v/>
      </c>
      <c r="BE357" s="82">
        <f>($S357-$J357)*100</f>
        <v/>
      </c>
      <c r="BF357" s="82">
        <f>($V357-$L357)*100</f>
        <v/>
      </c>
      <c r="BG357" s="82">
        <f>$AG357-$AF357</f>
        <v/>
      </c>
      <c r="BH357" s="81">
        <f>IFERROR($AG357/$AF357,"")</f>
        <v/>
      </c>
      <c r="BI357" s="82">
        <f>$AJ357-$AF357</f>
        <v/>
      </c>
      <c r="BJ357" s="81">
        <f>IFERROR($AJ357/$AG357,"")</f>
        <v/>
      </c>
      <c r="BK357" s="81">
        <f>$X357</f>
        <v/>
      </c>
      <c r="BL357" s="82">
        <f>($J357-$J358)*100</f>
        <v/>
      </c>
      <c r="BM357" s="82">
        <f>($F357-$F358)*100</f>
        <v/>
      </c>
      <c r="BN357" s="82">
        <f>$AF357-$AF358</f>
        <v/>
      </c>
      <c r="BO357" s="82">
        <f>$AG357-$AG358</f>
        <v/>
      </c>
      <c r="BP357" s="82">
        <f>$AJ357-$AJ358</f>
        <v/>
      </c>
    </row>
    <row r="358">
      <c r="AR358" s="81">
        <f>($G358+($H358-$G358)*0.5)+($P358-($O358+($Q358-$O358)*0.5))</f>
        <v/>
      </c>
      <c r="AS358" s="81">
        <f>($J358+($K358-$J358)*0.5)+($T358-($S358+($U358-$S358)*0.5))</f>
        <v/>
      </c>
      <c r="AT358" s="82">
        <f>($J358-$C358)*100</f>
        <v/>
      </c>
      <c r="AU358" s="82">
        <f>($H358-$F358)*100</f>
        <v/>
      </c>
      <c r="AV358" s="82">
        <f>($J358-$F358)*100</f>
        <v/>
      </c>
      <c r="AW358" s="82">
        <f>($L358-$F358)*100</f>
        <v/>
      </c>
      <c r="AX358" s="82">
        <f>($J358-$H358)*100</f>
        <v/>
      </c>
      <c r="AY358" s="82">
        <f>($L358-$H358)*100</f>
        <v/>
      </c>
      <c r="AZ358" s="82">
        <f>($L358-$J358)*100</f>
        <v/>
      </c>
      <c r="BA358" s="82">
        <f>(2*$H358-$F358-$J358)*100</f>
        <v/>
      </c>
      <c r="BB358" s="82">
        <f>(2*$J358-$H358-$L358)*100</f>
        <v/>
      </c>
      <c r="BC358" s="82">
        <f>($N358-$F358)*100</f>
        <v/>
      </c>
      <c r="BD358" s="82">
        <f>($Q358-$H358)*100</f>
        <v/>
      </c>
      <c r="BE358" s="82">
        <f>($S358-$J358)*100</f>
        <v/>
      </c>
      <c r="BF358" s="82">
        <f>($V358-$L358)*100</f>
        <v/>
      </c>
      <c r="BG358" s="82">
        <f>$AG358-$AF358</f>
        <v/>
      </c>
      <c r="BH358" s="81">
        <f>IFERROR($AG358/$AF358,"")</f>
        <v/>
      </c>
      <c r="BI358" s="82">
        <f>$AJ358-$AF358</f>
        <v/>
      </c>
      <c r="BJ358" s="81">
        <f>IFERROR($AJ358/$AG358,"")</f>
        <v/>
      </c>
      <c r="BK358" s="81">
        <f>$X358</f>
        <v/>
      </c>
      <c r="BL358" s="82">
        <f>($J358-$J359)*100</f>
        <v/>
      </c>
      <c r="BM358" s="82">
        <f>($F358-$F359)*100</f>
        <v/>
      </c>
      <c r="BN358" s="82">
        <f>$AF358-$AF359</f>
        <v/>
      </c>
      <c r="BO358" s="82">
        <f>$AG358-$AG359</f>
        <v/>
      </c>
      <c r="BP358" s="82">
        <f>$AJ358-$AJ359</f>
        <v/>
      </c>
    </row>
    <row r="359">
      <c r="AR359" s="81">
        <f>($G359+($H359-$G359)*0.5)+($P359-($O359+($Q359-$O359)*0.5))</f>
        <v/>
      </c>
      <c r="AS359" s="81">
        <f>($J359+($K359-$J359)*0.5)+($T359-($S359+($U359-$S359)*0.5))</f>
        <v/>
      </c>
      <c r="AT359" s="82">
        <f>($J359-$C359)*100</f>
        <v/>
      </c>
      <c r="AU359" s="82">
        <f>($H359-$F359)*100</f>
        <v/>
      </c>
      <c r="AV359" s="82">
        <f>($J359-$F359)*100</f>
        <v/>
      </c>
      <c r="AW359" s="82">
        <f>($L359-$F359)*100</f>
        <v/>
      </c>
      <c r="AX359" s="82">
        <f>($J359-$H359)*100</f>
        <v/>
      </c>
      <c r="AY359" s="82">
        <f>($L359-$H359)*100</f>
        <v/>
      </c>
      <c r="AZ359" s="82">
        <f>($L359-$J359)*100</f>
        <v/>
      </c>
      <c r="BA359" s="82">
        <f>(2*$H359-$F359-$J359)*100</f>
        <v/>
      </c>
      <c r="BB359" s="82">
        <f>(2*$J359-$H359-$L359)*100</f>
        <v/>
      </c>
      <c r="BC359" s="82">
        <f>($N359-$F359)*100</f>
        <v/>
      </c>
      <c r="BD359" s="82">
        <f>($Q359-$H359)*100</f>
        <v/>
      </c>
      <c r="BE359" s="82">
        <f>($S359-$J359)*100</f>
        <v/>
      </c>
      <c r="BF359" s="82">
        <f>($V359-$L359)*100</f>
        <v/>
      </c>
      <c r="BG359" s="82">
        <f>$AG359-$AF359</f>
        <v/>
      </c>
      <c r="BH359" s="81">
        <f>IFERROR($AG359/$AF359,"")</f>
        <v/>
      </c>
      <c r="BI359" s="82">
        <f>$AJ359-$AF359</f>
        <v/>
      </c>
      <c r="BJ359" s="81">
        <f>IFERROR($AJ359/$AG359,"")</f>
        <v/>
      </c>
      <c r="BK359" s="81">
        <f>$X359</f>
        <v/>
      </c>
      <c r="BL359" s="82">
        <f>($J359-$J360)*100</f>
        <v/>
      </c>
      <c r="BM359" s="82">
        <f>($F359-$F360)*100</f>
        <v/>
      </c>
      <c r="BN359" s="82">
        <f>$AF359-$AF360</f>
        <v/>
      </c>
      <c r="BO359" s="82">
        <f>$AG359-$AG360</f>
        <v/>
      </c>
      <c r="BP359" s="82">
        <f>$AJ359-$AJ360</f>
        <v/>
      </c>
    </row>
    <row r="360">
      <c r="AR360" s="81">
        <f>($G360+($H360-$G360)*0.5)+($P360-($O360+($Q360-$O360)*0.5))</f>
        <v/>
      </c>
      <c r="AS360" s="81">
        <f>($J360+($K360-$J360)*0.5)+($T360-($S360+($U360-$S360)*0.5))</f>
        <v/>
      </c>
      <c r="AT360" s="82">
        <f>($J360-$C360)*100</f>
        <v/>
      </c>
      <c r="AU360" s="82">
        <f>($H360-$F360)*100</f>
        <v/>
      </c>
      <c r="AV360" s="82">
        <f>($J360-$F360)*100</f>
        <v/>
      </c>
      <c r="AW360" s="82">
        <f>($L360-$F360)*100</f>
        <v/>
      </c>
      <c r="AX360" s="82">
        <f>($J360-$H360)*100</f>
        <v/>
      </c>
      <c r="AY360" s="82">
        <f>($L360-$H360)*100</f>
        <v/>
      </c>
      <c r="AZ360" s="82">
        <f>($L360-$J360)*100</f>
        <v/>
      </c>
      <c r="BA360" s="82">
        <f>(2*$H360-$F360-$J360)*100</f>
        <v/>
      </c>
      <c r="BB360" s="82">
        <f>(2*$J360-$H360-$L360)*100</f>
        <v/>
      </c>
      <c r="BC360" s="82">
        <f>($N360-$F360)*100</f>
        <v/>
      </c>
      <c r="BD360" s="82">
        <f>($Q360-$H360)*100</f>
        <v/>
      </c>
      <c r="BE360" s="82">
        <f>($S360-$J360)*100</f>
        <v/>
      </c>
      <c r="BF360" s="82">
        <f>($V360-$L360)*100</f>
        <v/>
      </c>
      <c r="BG360" s="82">
        <f>$AG360-$AF360</f>
        <v/>
      </c>
      <c r="BH360" s="81">
        <f>IFERROR($AG360/$AF360,"")</f>
        <v/>
      </c>
      <c r="BI360" s="82">
        <f>$AJ360-$AF360</f>
        <v/>
      </c>
      <c r="BJ360" s="81">
        <f>IFERROR($AJ360/$AG360,"")</f>
        <v/>
      </c>
      <c r="BK360" s="81">
        <f>$X360</f>
        <v/>
      </c>
      <c r="BL360" s="82">
        <f>($J360-$J361)*100</f>
        <v/>
      </c>
      <c r="BM360" s="82">
        <f>($F360-$F361)*100</f>
        <v/>
      </c>
      <c r="BN360" s="82">
        <f>$AF360-$AF361</f>
        <v/>
      </c>
      <c r="BO360" s="82">
        <f>$AG360-$AG361</f>
        <v/>
      </c>
      <c r="BP360" s="82">
        <f>$AJ360-$AJ361</f>
        <v/>
      </c>
    </row>
    <row r="361">
      <c r="AR361" s="81">
        <f>($G361+($H361-$G361)*0.5)+($P361-($O361+($Q361-$O361)*0.5))</f>
        <v/>
      </c>
      <c r="AS361" s="81">
        <f>($J361+($K361-$J361)*0.5)+($T361-($S361+($U361-$S361)*0.5))</f>
        <v/>
      </c>
      <c r="AT361" s="82">
        <f>($J361-$C361)*100</f>
        <v/>
      </c>
      <c r="AU361" s="82">
        <f>($H361-$F361)*100</f>
        <v/>
      </c>
      <c r="AV361" s="82">
        <f>($J361-$F361)*100</f>
        <v/>
      </c>
      <c r="AW361" s="82">
        <f>($L361-$F361)*100</f>
        <v/>
      </c>
      <c r="AX361" s="82">
        <f>($J361-$H361)*100</f>
        <v/>
      </c>
      <c r="AY361" s="82">
        <f>($L361-$H361)*100</f>
        <v/>
      </c>
      <c r="AZ361" s="82">
        <f>($L361-$J361)*100</f>
        <v/>
      </c>
      <c r="BA361" s="82">
        <f>(2*$H361-$F361-$J361)*100</f>
        <v/>
      </c>
      <c r="BB361" s="82">
        <f>(2*$J361-$H361-$L361)*100</f>
        <v/>
      </c>
      <c r="BC361" s="82">
        <f>($N361-$F361)*100</f>
        <v/>
      </c>
      <c r="BD361" s="82">
        <f>($Q361-$H361)*100</f>
        <v/>
      </c>
      <c r="BE361" s="82">
        <f>($S361-$J361)*100</f>
        <v/>
      </c>
      <c r="BF361" s="82">
        <f>($V361-$L361)*100</f>
        <v/>
      </c>
      <c r="BG361" s="82">
        <f>$AG361-$AF361</f>
        <v/>
      </c>
      <c r="BH361" s="81">
        <f>IFERROR($AG361/$AF361,"")</f>
        <v/>
      </c>
      <c r="BI361" s="82">
        <f>$AJ361-$AF361</f>
        <v/>
      </c>
      <c r="BJ361" s="81">
        <f>IFERROR($AJ361/$AG361,"")</f>
        <v/>
      </c>
      <c r="BK361" s="81">
        <f>$X361</f>
        <v/>
      </c>
      <c r="BL361" s="82">
        <f>($J361-$J362)*100</f>
        <v/>
      </c>
      <c r="BM361" s="82">
        <f>($F361-$F362)*100</f>
        <v/>
      </c>
      <c r="BN361" s="82">
        <f>$AF361-$AF362</f>
        <v/>
      </c>
      <c r="BO361" s="82">
        <f>$AG361-$AG362</f>
        <v/>
      </c>
      <c r="BP361" s="82">
        <f>$AJ361-$AJ362</f>
        <v/>
      </c>
    </row>
    <row r="362">
      <c r="AR362" s="81">
        <f>($G362+($H362-$G362)*0.5)+($P362-($O362+($Q362-$O362)*0.5))</f>
        <v/>
      </c>
      <c r="AS362" s="81">
        <f>($J362+($K362-$J362)*0.5)+($T362-($S362+($U362-$S362)*0.5))</f>
        <v/>
      </c>
      <c r="AT362" s="82">
        <f>($J362-$C362)*100</f>
        <v/>
      </c>
      <c r="AU362" s="82">
        <f>($H362-$F362)*100</f>
        <v/>
      </c>
      <c r="AV362" s="82">
        <f>($J362-$F362)*100</f>
        <v/>
      </c>
      <c r="AW362" s="82">
        <f>($L362-$F362)*100</f>
        <v/>
      </c>
      <c r="AX362" s="82">
        <f>($J362-$H362)*100</f>
        <v/>
      </c>
      <c r="AY362" s="82">
        <f>($L362-$H362)*100</f>
        <v/>
      </c>
      <c r="AZ362" s="82">
        <f>($L362-$J362)*100</f>
        <v/>
      </c>
      <c r="BA362" s="82">
        <f>(2*$H362-$F362-$J362)*100</f>
        <v/>
      </c>
      <c r="BB362" s="82">
        <f>(2*$J362-$H362-$L362)*100</f>
        <v/>
      </c>
      <c r="BC362" s="82">
        <f>($N362-$F362)*100</f>
        <v/>
      </c>
      <c r="BD362" s="82">
        <f>($Q362-$H362)*100</f>
        <v/>
      </c>
      <c r="BE362" s="82">
        <f>($S362-$J362)*100</f>
        <v/>
      </c>
      <c r="BF362" s="82">
        <f>($V362-$L362)*100</f>
        <v/>
      </c>
      <c r="BG362" s="82">
        <f>$AG362-$AF362</f>
        <v/>
      </c>
      <c r="BH362" s="81">
        <f>IFERROR($AG362/$AF362,"")</f>
        <v/>
      </c>
      <c r="BI362" s="82">
        <f>$AJ362-$AF362</f>
        <v/>
      </c>
      <c r="BJ362" s="81">
        <f>IFERROR($AJ362/$AG362,"")</f>
        <v/>
      </c>
      <c r="BK362" s="81">
        <f>$X362</f>
        <v/>
      </c>
      <c r="BL362" s="82">
        <f>($J362-$J363)*100</f>
        <v/>
      </c>
      <c r="BM362" s="82">
        <f>($F362-$F363)*100</f>
        <v/>
      </c>
      <c r="BN362" s="82">
        <f>$AF362-$AF363</f>
        <v/>
      </c>
      <c r="BO362" s="82">
        <f>$AG362-$AG363</f>
        <v/>
      </c>
      <c r="BP362" s="82">
        <f>$AJ362-$AJ363</f>
        <v/>
      </c>
    </row>
    <row r="363">
      <c r="AR363" s="81">
        <f>($G363+($H363-$G363)*0.5)+($P363-($O363+($Q363-$O363)*0.5))</f>
        <v/>
      </c>
      <c r="AS363" s="81">
        <f>($J363+($K363-$J363)*0.5)+($T363-($S363+($U363-$S363)*0.5))</f>
        <v/>
      </c>
      <c r="AT363" s="82">
        <f>($J363-$C363)*100</f>
        <v/>
      </c>
      <c r="AU363" s="82">
        <f>($H363-$F363)*100</f>
        <v/>
      </c>
      <c r="AV363" s="82">
        <f>($J363-$F363)*100</f>
        <v/>
      </c>
      <c r="AW363" s="82">
        <f>($L363-$F363)*100</f>
        <v/>
      </c>
      <c r="AX363" s="82">
        <f>($J363-$H363)*100</f>
        <v/>
      </c>
      <c r="AY363" s="82">
        <f>($L363-$H363)*100</f>
        <v/>
      </c>
      <c r="AZ363" s="82">
        <f>($L363-$J363)*100</f>
        <v/>
      </c>
      <c r="BA363" s="82">
        <f>(2*$H363-$F363-$J363)*100</f>
        <v/>
      </c>
      <c r="BB363" s="82">
        <f>(2*$J363-$H363-$L363)*100</f>
        <v/>
      </c>
      <c r="BC363" s="82">
        <f>($N363-$F363)*100</f>
        <v/>
      </c>
      <c r="BD363" s="82">
        <f>($Q363-$H363)*100</f>
        <v/>
      </c>
      <c r="BE363" s="82">
        <f>($S363-$J363)*100</f>
        <v/>
      </c>
      <c r="BF363" s="82">
        <f>($V363-$L363)*100</f>
        <v/>
      </c>
      <c r="BG363" s="82">
        <f>$AG363-$AF363</f>
        <v/>
      </c>
      <c r="BH363" s="81">
        <f>IFERROR($AG363/$AF363,"")</f>
        <v/>
      </c>
      <c r="BI363" s="82">
        <f>$AJ363-$AF363</f>
        <v/>
      </c>
      <c r="BJ363" s="81">
        <f>IFERROR($AJ363/$AG363,"")</f>
        <v/>
      </c>
      <c r="BK363" s="81">
        <f>$X363</f>
        <v/>
      </c>
      <c r="BL363" s="82">
        <f>($J363-$J364)*100</f>
        <v/>
      </c>
      <c r="BM363" s="82">
        <f>($F363-$F364)*100</f>
        <v/>
      </c>
      <c r="BN363" s="82">
        <f>$AF363-$AF364</f>
        <v/>
      </c>
      <c r="BO363" s="82">
        <f>$AG363-$AG364</f>
        <v/>
      </c>
      <c r="BP363" s="82">
        <f>$AJ363-$AJ364</f>
        <v/>
      </c>
    </row>
    <row r="364">
      <c r="AR364" s="81">
        <f>($G364+($H364-$G364)*0.5)+($P364-($O364+($Q364-$O364)*0.5))</f>
        <v/>
      </c>
      <c r="AS364" s="81">
        <f>($J364+($K364-$J364)*0.5)+($T364-($S364+($U364-$S364)*0.5))</f>
        <v/>
      </c>
      <c r="AT364" s="82">
        <f>($J364-$C364)*100</f>
        <v/>
      </c>
      <c r="AU364" s="82">
        <f>($H364-$F364)*100</f>
        <v/>
      </c>
      <c r="AV364" s="82">
        <f>($J364-$F364)*100</f>
        <v/>
      </c>
      <c r="AW364" s="82">
        <f>($L364-$F364)*100</f>
        <v/>
      </c>
      <c r="AX364" s="82">
        <f>($J364-$H364)*100</f>
        <v/>
      </c>
      <c r="AY364" s="82">
        <f>($L364-$H364)*100</f>
        <v/>
      </c>
      <c r="AZ364" s="82">
        <f>($L364-$J364)*100</f>
        <v/>
      </c>
      <c r="BA364" s="82">
        <f>(2*$H364-$F364-$J364)*100</f>
        <v/>
      </c>
      <c r="BB364" s="82">
        <f>(2*$J364-$H364-$L364)*100</f>
        <v/>
      </c>
      <c r="BC364" s="82">
        <f>($N364-$F364)*100</f>
        <v/>
      </c>
      <c r="BD364" s="82">
        <f>($Q364-$H364)*100</f>
        <v/>
      </c>
      <c r="BE364" s="82">
        <f>($S364-$J364)*100</f>
        <v/>
      </c>
      <c r="BF364" s="82">
        <f>($V364-$L364)*100</f>
        <v/>
      </c>
      <c r="BG364" s="82">
        <f>$AG364-$AF364</f>
        <v/>
      </c>
      <c r="BH364" s="81">
        <f>IFERROR($AG364/$AF364,"")</f>
        <v/>
      </c>
      <c r="BI364" s="82">
        <f>$AJ364-$AF364</f>
        <v/>
      </c>
      <c r="BJ364" s="81">
        <f>IFERROR($AJ364/$AG364,"")</f>
        <v/>
      </c>
      <c r="BK364" s="81">
        <f>$X364</f>
        <v/>
      </c>
      <c r="BL364" s="82">
        <f>($J364-$J365)*100</f>
        <v/>
      </c>
      <c r="BM364" s="82">
        <f>($F364-$F365)*100</f>
        <v/>
      </c>
      <c r="BN364" s="82">
        <f>$AF364-$AF365</f>
        <v/>
      </c>
      <c r="BO364" s="82">
        <f>$AG364-$AG365</f>
        <v/>
      </c>
      <c r="BP364" s="82">
        <f>$AJ364-$AJ365</f>
        <v/>
      </c>
    </row>
    <row r="365">
      <c r="AR365" s="81">
        <f>($G365+($H365-$G365)*0.5)+($P365-($O365+($Q365-$O365)*0.5))</f>
        <v/>
      </c>
      <c r="AS365" s="81">
        <f>($J365+($K365-$J365)*0.5)+($T365-($S365+($U365-$S365)*0.5))</f>
        <v/>
      </c>
      <c r="AT365" s="82">
        <f>($J365-$C365)*100</f>
        <v/>
      </c>
      <c r="AU365" s="82">
        <f>($H365-$F365)*100</f>
        <v/>
      </c>
      <c r="AV365" s="82">
        <f>($J365-$F365)*100</f>
        <v/>
      </c>
      <c r="AW365" s="82">
        <f>($L365-$F365)*100</f>
        <v/>
      </c>
      <c r="AX365" s="82">
        <f>($J365-$H365)*100</f>
        <v/>
      </c>
      <c r="AY365" s="82">
        <f>($L365-$H365)*100</f>
        <v/>
      </c>
      <c r="AZ365" s="82">
        <f>($L365-$J365)*100</f>
        <v/>
      </c>
      <c r="BA365" s="82">
        <f>(2*$H365-$F365-$J365)*100</f>
        <v/>
      </c>
      <c r="BB365" s="82">
        <f>(2*$J365-$H365-$L365)*100</f>
        <v/>
      </c>
      <c r="BC365" s="82">
        <f>($N365-$F365)*100</f>
        <v/>
      </c>
      <c r="BD365" s="82">
        <f>($Q365-$H365)*100</f>
        <v/>
      </c>
      <c r="BE365" s="82">
        <f>($S365-$J365)*100</f>
        <v/>
      </c>
      <c r="BF365" s="82">
        <f>($V365-$L365)*100</f>
        <v/>
      </c>
      <c r="BG365" s="82">
        <f>$AG365-$AF365</f>
        <v/>
      </c>
      <c r="BH365" s="81">
        <f>IFERROR($AG365/$AF365,"")</f>
        <v/>
      </c>
      <c r="BI365" s="82">
        <f>$AJ365-$AF365</f>
        <v/>
      </c>
      <c r="BJ365" s="81">
        <f>IFERROR($AJ365/$AG365,"")</f>
        <v/>
      </c>
      <c r="BK365" s="81">
        <f>$X365</f>
        <v/>
      </c>
      <c r="BL365" s="82">
        <f>($J365-$J366)*100</f>
        <v/>
      </c>
      <c r="BM365" s="82">
        <f>($F365-$F366)*100</f>
        <v/>
      </c>
      <c r="BN365" s="82">
        <f>$AF365-$AF366</f>
        <v/>
      </c>
      <c r="BO365" s="82">
        <f>$AG365-$AG366</f>
        <v/>
      </c>
      <c r="BP365" s="82">
        <f>$AJ365-$AJ366</f>
        <v/>
      </c>
    </row>
    <row r="366">
      <c r="AR366" s="81">
        <f>($G366+($H366-$G366)*0.5)+($P366-($O366+($Q366-$O366)*0.5))</f>
        <v/>
      </c>
      <c r="AS366" s="81">
        <f>($J366+($K366-$J366)*0.5)+($T366-($S366+($U366-$S366)*0.5))</f>
        <v/>
      </c>
      <c r="AT366" s="82">
        <f>($J366-$C366)*100</f>
        <v/>
      </c>
      <c r="AU366" s="82">
        <f>($H366-$F366)*100</f>
        <v/>
      </c>
      <c r="AV366" s="82">
        <f>($J366-$F366)*100</f>
        <v/>
      </c>
      <c r="AW366" s="82">
        <f>($L366-$F366)*100</f>
        <v/>
      </c>
      <c r="AX366" s="82">
        <f>($J366-$H366)*100</f>
        <v/>
      </c>
      <c r="AY366" s="82">
        <f>($L366-$H366)*100</f>
        <v/>
      </c>
      <c r="AZ366" s="82">
        <f>($L366-$J366)*100</f>
        <v/>
      </c>
      <c r="BA366" s="82">
        <f>(2*$H366-$F366-$J366)*100</f>
        <v/>
      </c>
      <c r="BB366" s="82">
        <f>(2*$J366-$H366-$L366)*100</f>
        <v/>
      </c>
      <c r="BC366" s="82">
        <f>($N366-$F366)*100</f>
        <v/>
      </c>
      <c r="BD366" s="82">
        <f>($Q366-$H366)*100</f>
        <v/>
      </c>
      <c r="BE366" s="82">
        <f>($S366-$J366)*100</f>
        <v/>
      </c>
      <c r="BF366" s="82">
        <f>($V366-$L366)*100</f>
        <v/>
      </c>
      <c r="BG366" s="82">
        <f>$AG366-$AF366</f>
        <v/>
      </c>
      <c r="BH366" s="81">
        <f>IFERROR($AG366/$AF366,"")</f>
        <v/>
      </c>
      <c r="BI366" s="82">
        <f>$AJ366-$AF366</f>
        <v/>
      </c>
      <c r="BJ366" s="81">
        <f>IFERROR($AJ366/$AG366,"")</f>
        <v/>
      </c>
      <c r="BK366" s="81">
        <f>$X366</f>
        <v/>
      </c>
      <c r="BL366" s="82">
        <f>($J366-$J367)*100</f>
        <v/>
      </c>
      <c r="BM366" s="82">
        <f>($F366-$F367)*100</f>
        <v/>
      </c>
      <c r="BN366" s="82">
        <f>$AF366-$AF367</f>
        <v/>
      </c>
      <c r="BO366" s="82">
        <f>$AG366-$AG367</f>
        <v/>
      </c>
      <c r="BP366" s="82">
        <f>$AJ366-$AJ367</f>
        <v/>
      </c>
    </row>
    <row r="367">
      <c r="AR367" s="81">
        <f>($G367+($H367-$G367)*0.5)+($P367-($O367+($Q367-$O367)*0.5))</f>
        <v/>
      </c>
      <c r="AS367" s="81">
        <f>($J367+($K367-$J367)*0.5)+($T367-($S367+($U367-$S367)*0.5))</f>
        <v/>
      </c>
      <c r="AT367" s="82">
        <f>($J367-$C367)*100</f>
        <v/>
      </c>
      <c r="AU367" s="82">
        <f>($H367-$F367)*100</f>
        <v/>
      </c>
      <c r="AV367" s="82">
        <f>($J367-$F367)*100</f>
        <v/>
      </c>
      <c r="AW367" s="82">
        <f>($L367-$F367)*100</f>
        <v/>
      </c>
      <c r="AX367" s="82">
        <f>($J367-$H367)*100</f>
        <v/>
      </c>
      <c r="AY367" s="82">
        <f>($L367-$H367)*100</f>
        <v/>
      </c>
      <c r="AZ367" s="82">
        <f>($L367-$J367)*100</f>
        <v/>
      </c>
      <c r="BA367" s="82">
        <f>(2*$H367-$F367-$J367)*100</f>
        <v/>
      </c>
      <c r="BB367" s="82">
        <f>(2*$J367-$H367-$L367)*100</f>
        <v/>
      </c>
      <c r="BC367" s="82">
        <f>($N367-$F367)*100</f>
        <v/>
      </c>
      <c r="BD367" s="82">
        <f>($Q367-$H367)*100</f>
        <v/>
      </c>
      <c r="BE367" s="82">
        <f>($S367-$J367)*100</f>
        <v/>
      </c>
      <c r="BF367" s="82">
        <f>($V367-$L367)*100</f>
        <v/>
      </c>
      <c r="BG367" s="82">
        <f>$AG367-$AF367</f>
        <v/>
      </c>
      <c r="BH367" s="81">
        <f>IFERROR($AG367/$AF367,"")</f>
        <v/>
      </c>
      <c r="BI367" s="82">
        <f>$AJ367-$AF367</f>
        <v/>
      </c>
      <c r="BJ367" s="81">
        <f>IFERROR($AJ367/$AG367,"")</f>
        <v/>
      </c>
      <c r="BK367" s="81">
        <f>$X367</f>
        <v/>
      </c>
      <c r="BL367" s="82">
        <f>($J367-$J368)*100</f>
        <v/>
      </c>
      <c r="BM367" s="82">
        <f>($F367-$F368)*100</f>
        <v/>
      </c>
      <c r="BN367" s="82">
        <f>$AF367-$AF368</f>
        <v/>
      </c>
      <c r="BO367" s="82">
        <f>$AG367-$AG368</f>
        <v/>
      </c>
      <c r="BP367" s="82">
        <f>$AJ367-$AJ368</f>
        <v/>
      </c>
    </row>
    <row r="368">
      <c r="AR368" s="81">
        <f>($G368+($H368-$G368)*0.5)+($P368-($O368+($Q368-$O368)*0.5))</f>
        <v/>
      </c>
      <c r="AS368" s="81">
        <f>($J368+($K368-$J368)*0.5)+($T368-($S368+($U368-$S368)*0.5))</f>
        <v/>
      </c>
      <c r="AT368" s="82">
        <f>($J368-$C368)*100</f>
        <v/>
      </c>
      <c r="AU368" s="82">
        <f>($H368-$F368)*100</f>
        <v/>
      </c>
      <c r="AV368" s="82">
        <f>($J368-$F368)*100</f>
        <v/>
      </c>
      <c r="AW368" s="82">
        <f>($L368-$F368)*100</f>
        <v/>
      </c>
      <c r="AX368" s="82">
        <f>($J368-$H368)*100</f>
        <v/>
      </c>
      <c r="AY368" s="82">
        <f>($L368-$H368)*100</f>
        <v/>
      </c>
      <c r="AZ368" s="82">
        <f>($L368-$J368)*100</f>
        <v/>
      </c>
      <c r="BA368" s="82">
        <f>(2*$H368-$F368-$J368)*100</f>
        <v/>
      </c>
      <c r="BB368" s="82">
        <f>(2*$J368-$H368-$L368)*100</f>
        <v/>
      </c>
      <c r="BC368" s="82">
        <f>($N368-$F368)*100</f>
        <v/>
      </c>
      <c r="BD368" s="82">
        <f>($Q368-$H368)*100</f>
        <v/>
      </c>
      <c r="BE368" s="82">
        <f>($S368-$J368)*100</f>
        <v/>
      </c>
      <c r="BF368" s="82">
        <f>($V368-$L368)*100</f>
        <v/>
      </c>
      <c r="BG368" s="82">
        <f>$AG368-$AF368</f>
        <v/>
      </c>
      <c r="BH368" s="81">
        <f>IFERROR($AG368/$AF368,"")</f>
        <v/>
      </c>
      <c r="BI368" s="82">
        <f>$AJ368-$AF368</f>
        <v/>
      </c>
      <c r="BJ368" s="81">
        <f>IFERROR($AJ368/$AG368,"")</f>
        <v/>
      </c>
      <c r="BK368" s="81">
        <f>$X368</f>
        <v/>
      </c>
      <c r="BL368" s="82">
        <f>($J368-$J369)*100</f>
        <v/>
      </c>
      <c r="BM368" s="82">
        <f>($F368-$F369)*100</f>
        <v/>
      </c>
      <c r="BN368" s="82">
        <f>$AF368-$AF369</f>
        <v/>
      </c>
      <c r="BO368" s="82">
        <f>$AG368-$AG369</f>
        <v/>
      </c>
      <c r="BP368" s="82">
        <f>$AJ368-$AJ369</f>
        <v/>
      </c>
    </row>
    <row r="369">
      <c r="AR369" s="81">
        <f>($G369+($H369-$G369)*0.5)+($P369-($O369+($Q369-$O369)*0.5))</f>
        <v/>
      </c>
      <c r="AS369" s="81">
        <f>($J369+($K369-$J369)*0.5)+($T369-($S369+($U369-$S369)*0.5))</f>
        <v/>
      </c>
      <c r="AT369" s="82">
        <f>($J369-$C369)*100</f>
        <v/>
      </c>
      <c r="AU369" s="82">
        <f>($H369-$F369)*100</f>
        <v/>
      </c>
      <c r="AV369" s="82">
        <f>($J369-$F369)*100</f>
        <v/>
      </c>
      <c r="AW369" s="82">
        <f>($L369-$F369)*100</f>
        <v/>
      </c>
      <c r="AX369" s="82">
        <f>($J369-$H369)*100</f>
        <v/>
      </c>
      <c r="AY369" s="82">
        <f>($L369-$H369)*100</f>
        <v/>
      </c>
      <c r="AZ369" s="82">
        <f>($L369-$J369)*100</f>
        <v/>
      </c>
      <c r="BA369" s="82">
        <f>(2*$H369-$F369-$J369)*100</f>
        <v/>
      </c>
      <c r="BB369" s="82">
        <f>(2*$J369-$H369-$L369)*100</f>
        <v/>
      </c>
      <c r="BC369" s="82">
        <f>($N369-$F369)*100</f>
        <v/>
      </c>
      <c r="BD369" s="82">
        <f>($Q369-$H369)*100</f>
        <v/>
      </c>
      <c r="BE369" s="82">
        <f>($S369-$J369)*100</f>
        <v/>
      </c>
      <c r="BF369" s="82">
        <f>($V369-$L369)*100</f>
        <v/>
      </c>
      <c r="BG369" s="82">
        <f>$AG369-$AF369</f>
        <v/>
      </c>
      <c r="BH369" s="81">
        <f>IFERROR($AG369/$AF369,"")</f>
        <v/>
      </c>
      <c r="BI369" s="82">
        <f>$AJ369-$AF369</f>
        <v/>
      </c>
      <c r="BJ369" s="81">
        <f>IFERROR($AJ369/$AG369,"")</f>
        <v/>
      </c>
      <c r="BK369" s="81">
        <f>$X369</f>
        <v/>
      </c>
      <c r="BL369" s="82">
        <f>($J369-$J370)*100</f>
        <v/>
      </c>
      <c r="BM369" s="82">
        <f>($F369-$F370)*100</f>
        <v/>
      </c>
      <c r="BN369" s="82">
        <f>$AF369-$AF370</f>
        <v/>
      </c>
      <c r="BO369" s="82">
        <f>$AG369-$AG370</f>
        <v/>
      </c>
      <c r="BP369" s="82">
        <f>$AJ369-$AJ370</f>
        <v/>
      </c>
    </row>
    <row r="370">
      <c r="AR370" s="81">
        <f>($G370+($H370-$G370)*0.5)+($P370-($O370+($Q370-$O370)*0.5))</f>
        <v/>
      </c>
      <c r="AS370" s="81">
        <f>($J370+($K370-$J370)*0.5)+($T370-($S370+($U370-$S370)*0.5))</f>
        <v/>
      </c>
      <c r="AT370" s="82">
        <f>($J370-$C370)*100</f>
        <v/>
      </c>
      <c r="AU370" s="82">
        <f>($H370-$F370)*100</f>
        <v/>
      </c>
      <c r="AV370" s="82">
        <f>($J370-$F370)*100</f>
        <v/>
      </c>
      <c r="AW370" s="82">
        <f>($L370-$F370)*100</f>
        <v/>
      </c>
      <c r="AX370" s="82">
        <f>($J370-$H370)*100</f>
        <v/>
      </c>
      <c r="AY370" s="82">
        <f>($L370-$H370)*100</f>
        <v/>
      </c>
      <c r="AZ370" s="82">
        <f>($L370-$J370)*100</f>
        <v/>
      </c>
      <c r="BA370" s="82">
        <f>(2*$H370-$F370-$J370)*100</f>
        <v/>
      </c>
      <c r="BB370" s="82">
        <f>(2*$J370-$H370-$L370)*100</f>
        <v/>
      </c>
      <c r="BC370" s="82">
        <f>($N370-$F370)*100</f>
        <v/>
      </c>
      <c r="BD370" s="82">
        <f>($Q370-$H370)*100</f>
        <v/>
      </c>
      <c r="BE370" s="82">
        <f>($S370-$J370)*100</f>
        <v/>
      </c>
      <c r="BF370" s="82">
        <f>($V370-$L370)*100</f>
        <v/>
      </c>
      <c r="BG370" s="82">
        <f>$AG370-$AF370</f>
        <v/>
      </c>
      <c r="BH370" s="81">
        <f>IFERROR($AG370/$AF370,"")</f>
        <v/>
      </c>
      <c r="BI370" s="82">
        <f>$AJ370-$AF370</f>
        <v/>
      </c>
      <c r="BJ370" s="81">
        <f>IFERROR($AJ370/$AG370,"")</f>
        <v/>
      </c>
      <c r="BK370" s="81">
        <f>$X370</f>
        <v/>
      </c>
      <c r="BL370" s="82">
        <f>($J370-$J371)*100</f>
        <v/>
      </c>
      <c r="BM370" s="82">
        <f>($F370-$F371)*100</f>
        <v/>
      </c>
      <c r="BN370" s="82">
        <f>$AF370-$AF371</f>
        <v/>
      </c>
      <c r="BO370" s="82">
        <f>$AG370-$AG371</f>
        <v/>
      </c>
      <c r="BP370" s="82">
        <f>$AJ370-$AJ371</f>
        <v/>
      </c>
    </row>
    <row r="371">
      <c r="AR371" s="81">
        <f>($G371+($H371-$G371)*0.5)+($P371-($O371+($Q371-$O371)*0.5))</f>
        <v/>
      </c>
      <c r="AS371" s="81">
        <f>($J371+($K371-$J371)*0.5)+($T371-($S371+($U371-$S371)*0.5))</f>
        <v/>
      </c>
      <c r="AT371" s="82">
        <f>($J371-$C371)*100</f>
        <v/>
      </c>
      <c r="AU371" s="82">
        <f>($H371-$F371)*100</f>
        <v/>
      </c>
      <c r="AV371" s="82">
        <f>($J371-$F371)*100</f>
        <v/>
      </c>
      <c r="AW371" s="82">
        <f>($L371-$F371)*100</f>
        <v/>
      </c>
      <c r="AX371" s="82">
        <f>($J371-$H371)*100</f>
        <v/>
      </c>
      <c r="AY371" s="82">
        <f>($L371-$H371)*100</f>
        <v/>
      </c>
      <c r="AZ371" s="82">
        <f>($L371-$J371)*100</f>
        <v/>
      </c>
      <c r="BA371" s="82">
        <f>(2*$H371-$F371-$J371)*100</f>
        <v/>
      </c>
      <c r="BB371" s="82">
        <f>(2*$J371-$H371-$L371)*100</f>
        <v/>
      </c>
      <c r="BC371" s="82">
        <f>($N371-$F371)*100</f>
        <v/>
      </c>
      <c r="BD371" s="82">
        <f>($Q371-$H371)*100</f>
        <v/>
      </c>
      <c r="BE371" s="82">
        <f>($S371-$J371)*100</f>
        <v/>
      </c>
      <c r="BF371" s="82">
        <f>($V371-$L371)*100</f>
        <v/>
      </c>
      <c r="BG371" s="82">
        <f>$AG371-$AF371</f>
        <v/>
      </c>
      <c r="BH371" s="81">
        <f>IFERROR($AG371/$AF371,"")</f>
        <v/>
      </c>
      <c r="BI371" s="82">
        <f>$AJ371-$AF371</f>
        <v/>
      </c>
      <c r="BJ371" s="81">
        <f>IFERROR($AJ371/$AG371,"")</f>
        <v/>
      </c>
      <c r="BK371" s="81">
        <f>$X371</f>
        <v/>
      </c>
      <c r="BL371" s="82">
        <f>($J371-$J372)*100</f>
        <v/>
      </c>
      <c r="BM371" s="82">
        <f>($F371-$F372)*100</f>
        <v/>
      </c>
      <c r="BN371" s="82">
        <f>$AF371-$AF372</f>
        <v/>
      </c>
      <c r="BO371" s="82">
        <f>$AG371-$AG372</f>
        <v/>
      </c>
      <c r="BP371" s="82">
        <f>$AJ371-$AJ372</f>
        <v/>
      </c>
    </row>
    <row r="372">
      <c r="AR372" s="81">
        <f>($G372+($H372-$G372)*0.5)+($P372-($O372+($Q372-$O372)*0.5))</f>
        <v/>
      </c>
      <c r="AS372" s="81">
        <f>($J372+($K372-$J372)*0.5)+($T372-($S372+($U372-$S372)*0.5))</f>
        <v/>
      </c>
      <c r="AT372" s="82">
        <f>($J372-$C372)*100</f>
        <v/>
      </c>
      <c r="AU372" s="82">
        <f>($H372-$F372)*100</f>
        <v/>
      </c>
      <c r="AV372" s="82">
        <f>($J372-$F372)*100</f>
        <v/>
      </c>
      <c r="AW372" s="82">
        <f>($L372-$F372)*100</f>
        <v/>
      </c>
      <c r="AX372" s="82">
        <f>($J372-$H372)*100</f>
        <v/>
      </c>
      <c r="AY372" s="82">
        <f>($L372-$H372)*100</f>
        <v/>
      </c>
      <c r="AZ372" s="82">
        <f>($L372-$J372)*100</f>
        <v/>
      </c>
      <c r="BA372" s="82">
        <f>(2*$H372-$F372-$J372)*100</f>
        <v/>
      </c>
      <c r="BB372" s="82">
        <f>(2*$J372-$H372-$L372)*100</f>
        <v/>
      </c>
      <c r="BC372" s="82">
        <f>($N372-$F372)*100</f>
        <v/>
      </c>
      <c r="BD372" s="82">
        <f>($Q372-$H372)*100</f>
        <v/>
      </c>
      <c r="BE372" s="82">
        <f>($S372-$J372)*100</f>
        <v/>
      </c>
      <c r="BF372" s="82">
        <f>($V372-$L372)*100</f>
        <v/>
      </c>
      <c r="BG372" s="82">
        <f>$AG372-$AF372</f>
        <v/>
      </c>
      <c r="BH372" s="81">
        <f>IFERROR($AG372/$AF372,"")</f>
        <v/>
      </c>
      <c r="BI372" s="82">
        <f>$AJ372-$AF372</f>
        <v/>
      </c>
      <c r="BJ372" s="81">
        <f>IFERROR($AJ372/$AG372,"")</f>
        <v/>
      </c>
      <c r="BK372" s="81">
        <f>$X372</f>
        <v/>
      </c>
      <c r="BL372" s="82">
        <f>($J372-$J373)*100</f>
        <v/>
      </c>
      <c r="BM372" s="82">
        <f>($F372-$F373)*100</f>
        <v/>
      </c>
      <c r="BN372" s="82">
        <f>$AF372-$AF373</f>
        <v/>
      </c>
      <c r="BO372" s="82">
        <f>$AG372-$AG373</f>
        <v/>
      </c>
      <c r="BP372" s="82">
        <f>$AJ372-$AJ373</f>
        <v/>
      </c>
    </row>
    <row r="373">
      <c r="AR373" s="81">
        <f>($G373+($H373-$G373)*0.5)+($P373-($O373+($Q373-$O373)*0.5))</f>
        <v/>
      </c>
      <c r="AS373" s="81">
        <f>($J373+($K373-$J373)*0.5)+($T373-($S373+($U373-$S373)*0.5))</f>
        <v/>
      </c>
      <c r="AT373" s="82">
        <f>($J373-$C373)*100</f>
        <v/>
      </c>
      <c r="AU373" s="82">
        <f>($H373-$F373)*100</f>
        <v/>
      </c>
      <c r="AV373" s="82">
        <f>($J373-$F373)*100</f>
        <v/>
      </c>
      <c r="AW373" s="82">
        <f>($L373-$F373)*100</f>
        <v/>
      </c>
      <c r="AX373" s="82">
        <f>($J373-$H373)*100</f>
        <v/>
      </c>
      <c r="AY373" s="82">
        <f>($L373-$H373)*100</f>
        <v/>
      </c>
      <c r="AZ373" s="82">
        <f>($L373-$J373)*100</f>
        <v/>
      </c>
      <c r="BA373" s="82">
        <f>(2*$H373-$F373-$J373)*100</f>
        <v/>
      </c>
      <c r="BB373" s="82">
        <f>(2*$J373-$H373-$L373)*100</f>
        <v/>
      </c>
      <c r="BC373" s="82">
        <f>($N373-$F373)*100</f>
        <v/>
      </c>
      <c r="BD373" s="82">
        <f>($Q373-$H373)*100</f>
        <v/>
      </c>
      <c r="BE373" s="82">
        <f>($S373-$J373)*100</f>
        <v/>
      </c>
      <c r="BF373" s="82">
        <f>($V373-$L373)*100</f>
        <v/>
      </c>
      <c r="BG373" s="82">
        <f>$AG373-$AF373</f>
        <v/>
      </c>
      <c r="BH373" s="81">
        <f>IFERROR($AG373/$AF373,"")</f>
        <v/>
      </c>
      <c r="BI373" s="82">
        <f>$AJ373-$AF373</f>
        <v/>
      </c>
      <c r="BJ373" s="81">
        <f>IFERROR($AJ373/$AG373,"")</f>
        <v/>
      </c>
      <c r="BK373" s="81">
        <f>$X373</f>
        <v/>
      </c>
      <c r="BL373" s="82">
        <f>($J373-$J374)*100</f>
        <v/>
      </c>
      <c r="BM373" s="82">
        <f>($F373-$F374)*100</f>
        <v/>
      </c>
      <c r="BN373" s="82">
        <f>$AF373-$AF374</f>
        <v/>
      </c>
      <c r="BO373" s="82">
        <f>$AG373-$AG374</f>
        <v/>
      </c>
      <c r="BP373" s="82">
        <f>$AJ373-$AJ374</f>
        <v/>
      </c>
    </row>
    <row r="374">
      <c r="AR374" s="81">
        <f>($G374+($H374-$G374)*0.5)+($P374-($O374+($Q374-$O374)*0.5))</f>
        <v/>
      </c>
      <c r="AS374" s="81">
        <f>($J374+($K374-$J374)*0.5)+($T374-($S374+($U374-$S374)*0.5))</f>
        <v/>
      </c>
      <c r="AT374" s="82">
        <f>($J374-$C374)*100</f>
        <v/>
      </c>
      <c r="AU374" s="82">
        <f>($H374-$F374)*100</f>
        <v/>
      </c>
      <c r="AV374" s="82">
        <f>($J374-$F374)*100</f>
        <v/>
      </c>
      <c r="AW374" s="82">
        <f>($L374-$F374)*100</f>
        <v/>
      </c>
      <c r="AX374" s="82">
        <f>($J374-$H374)*100</f>
        <v/>
      </c>
      <c r="AY374" s="82">
        <f>($L374-$H374)*100</f>
        <v/>
      </c>
      <c r="AZ374" s="82">
        <f>($L374-$J374)*100</f>
        <v/>
      </c>
      <c r="BA374" s="82">
        <f>(2*$H374-$F374-$J374)*100</f>
        <v/>
      </c>
      <c r="BB374" s="82">
        <f>(2*$J374-$H374-$L374)*100</f>
        <v/>
      </c>
      <c r="BC374" s="82">
        <f>($N374-$F374)*100</f>
        <v/>
      </c>
      <c r="BD374" s="82">
        <f>($Q374-$H374)*100</f>
        <v/>
      </c>
      <c r="BE374" s="82">
        <f>($S374-$J374)*100</f>
        <v/>
      </c>
      <c r="BF374" s="82">
        <f>($V374-$L374)*100</f>
        <v/>
      </c>
      <c r="BG374" s="82">
        <f>$AG374-$AF374</f>
        <v/>
      </c>
      <c r="BH374" s="81">
        <f>IFERROR($AG374/$AF374,"")</f>
        <v/>
      </c>
      <c r="BI374" s="82">
        <f>$AJ374-$AF374</f>
        <v/>
      </c>
      <c r="BJ374" s="81">
        <f>IFERROR($AJ374/$AG374,"")</f>
        <v/>
      </c>
      <c r="BK374" s="81">
        <f>$X374</f>
        <v/>
      </c>
      <c r="BL374" s="82">
        <f>($J374-$J375)*100</f>
        <v/>
      </c>
      <c r="BM374" s="82">
        <f>($F374-$F375)*100</f>
        <v/>
      </c>
      <c r="BN374" s="82">
        <f>$AF374-$AF375</f>
        <v/>
      </c>
      <c r="BO374" s="82">
        <f>$AG374-$AG375</f>
        <v/>
      </c>
      <c r="BP374" s="82">
        <f>$AJ374-$AJ375</f>
        <v/>
      </c>
    </row>
    <row r="375">
      <c r="AR375" s="81">
        <f>($G375+($H375-$G375)*0.5)+($P375-($O375+($Q375-$O375)*0.5))</f>
        <v/>
      </c>
      <c r="AS375" s="81">
        <f>($J375+($K375-$J375)*0.5)+($T375-($S375+($U375-$S375)*0.5))</f>
        <v/>
      </c>
      <c r="AT375" s="82">
        <f>($J375-$C375)*100</f>
        <v/>
      </c>
      <c r="AU375" s="82">
        <f>($H375-$F375)*100</f>
        <v/>
      </c>
      <c r="AV375" s="82">
        <f>($J375-$F375)*100</f>
        <v/>
      </c>
      <c r="AW375" s="82">
        <f>($L375-$F375)*100</f>
        <v/>
      </c>
      <c r="AX375" s="82">
        <f>($J375-$H375)*100</f>
        <v/>
      </c>
      <c r="AY375" s="82">
        <f>($L375-$H375)*100</f>
        <v/>
      </c>
      <c r="AZ375" s="82">
        <f>($L375-$J375)*100</f>
        <v/>
      </c>
      <c r="BA375" s="82">
        <f>(2*$H375-$F375-$J375)*100</f>
        <v/>
      </c>
      <c r="BB375" s="82">
        <f>(2*$J375-$H375-$L375)*100</f>
        <v/>
      </c>
      <c r="BC375" s="82">
        <f>($N375-$F375)*100</f>
        <v/>
      </c>
      <c r="BD375" s="82">
        <f>($Q375-$H375)*100</f>
        <v/>
      </c>
      <c r="BE375" s="82">
        <f>($S375-$J375)*100</f>
        <v/>
      </c>
      <c r="BF375" s="82">
        <f>($V375-$L375)*100</f>
        <v/>
      </c>
      <c r="BG375" s="82">
        <f>$AG375-$AF375</f>
        <v/>
      </c>
      <c r="BH375" s="81">
        <f>IFERROR($AG375/$AF375,"")</f>
        <v/>
      </c>
      <c r="BI375" s="82">
        <f>$AJ375-$AF375</f>
        <v/>
      </c>
      <c r="BJ375" s="81">
        <f>IFERROR($AJ375/$AG375,"")</f>
        <v/>
      </c>
      <c r="BK375" s="81">
        <f>$X375</f>
        <v/>
      </c>
      <c r="BL375" s="82">
        <f>($J375-$J376)*100</f>
        <v/>
      </c>
      <c r="BM375" s="82">
        <f>($F375-$F376)*100</f>
        <v/>
      </c>
      <c r="BN375" s="82">
        <f>$AF375-$AF376</f>
        <v/>
      </c>
      <c r="BO375" s="82">
        <f>$AG375-$AG376</f>
        <v/>
      </c>
      <c r="BP375" s="82">
        <f>$AJ375-$AJ376</f>
        <v/>
      </c>
    </row>
    <row r="376">
      <c r="AR376" s="81">
        <f>($G376+($H376-$G376)*0.5)+($P376-($O376+($Q376-$O376)*0.5))</f>
        <v/>
      </c>
      <c r="AS376" s="81">
        <f>($J376+($K376-$J376)*0.5)+($T376-($S376+($U376-$S376)*0.5))</f>
        <v/>
      </c>
      <c r="AT376" s="82">
        <f>($J376-$C376)*100</f>
        <v/>
      </c>
      <c r="AU376" s="82">
        <f>($H376-$F376)*100</f>
        <v/>
      </c>
      <c r="AV376" s="82">
        <f>($J376-$F376)*100</f>
        <v/>
      </c>
      <c r="AW376" s="82">
        <f>($L376-$F376)*100</f>
        <v/>
      </c>
      <c r="AX376" s="82">
        <f>($J376-$H376)*100</f>
        <v/>
      </c>
      <c r="AY376" s="82">
        <f>($L376-$H376)*100</f>
        <v/>
      </c>
      <c r="AZ376" s="82">
        <f>($L376-$J376)*100</f>
        <v/>
      </c>
      <c r="BA376" s="82">
        <f>(2*$H376-$F376-$J376)*100</f>
        <v/>
      </c>
      <c r="BB376" s="82">
        <f>(2*$J376-$H376-$L376)*100</f>
        <v/>
      </c>
      <c r="BC376" s="82">
        <f>($N376-$F376)*100</f>
        <v/>
      </c>
      <c r="BD376" s="82">
        <f>($Q376-$H376)*100</f>
        <v/>
      </c>
      <c r="BE376" s="82">
        <f>($S376-$J376)*100</f>
        <v/>
      </c>
      <c r="BF376" s="82">
        <f>($V376-$L376)*100</f>
        <v/>
      </c>
      <c r="BG376" s="82">
        <f>$AG376-$AF376</f>
        <v/>
      </c>
      <c r="BH376" s="81">
        <f>IFERROR($AG376/$AF376,"")</f>
        <v/>
      </c>
      <c r="BI376" s="82">
        <f>$AJ376-$AF376</f>
        <v/>
      </c>
      <c r="BJ376" s="81">
        <f>IFERROR($AJ376/$AG376,"")</f>
        <v/>
      </c>
      <c r="BK376" s="81">
        <f>$X376</f>
        <v/>
      </c>
      <c r="BL376" s="82">
        <f>($J376-$J377)*100</f>
        <v/>
      </c>
      <c r="BM376" s="82">
        <f>($F376-$F377)*100</f>
        <v/>
      </c>
      <c r="BN376" s="82">
        <f>$AF376-$AF377</f>
        <v/>
      </c>
      <c r="BO376" s="82">
        <f>$AG376-$AG377</f>
        <v/>
      </c>
      <c r="BP376" s="82">
        <f>$AJ376-$AJ377</f>
        <v/>
      </c>
    </row>
    <row r="377">
      <c r="AR377" s="81">
        <f>($G377+($H377-$G377)*0.5)+($P377-($O377+($Q377-$O377)*0.5))</f>
        <v/>
      </c>
      <c r="AS377" s="81">
        <f>($J377+($K377-$J377)*0.5)+($T377-($S377+($U377-$S377)*0.5))</f>
        <v/>
      </c>
      <c r="AT377" s="82">
        <f>($J377-$C377)*100</f>
        <v/>
      </c>
      <c r="AU377" s="82">
        <f>($H377-$F377)*100</f>
        <v/>
      </c>
      <c r="AV377" s="82">
        <f>($J377-$F377)*100</f>
        <v/>
      </c>
      <c r="AW377" s="82">
        <f>($L377-$F377)*100</f>
        <v/>
      </c>
      <c r="AX377" s="82">
        <f>($J377-$H377)*100</f>
        <v/>
      </c>
      <c r="AY377" s="82">
        <f>($L377-$H377)*100</f>
        <v/>
      </c>
      <c r="AZ377" s="82">
        <f>($L377-$J377)*100</f>
        <v/>
      </c>
      <c r="BA377" s="82">
        <f>(2*$H377-$F377-$J377)*100</f>
        <v/>
      </c>
      <c r="BB377" s="82">
        <f>(2*$J377-$H377-$L377)*100</f>
        <v/>
      </c>
      <c r="BC377" s="82">
        <f>($N377-$F377)*100</f>
        <v/>
      </c>
      <c r="BD377" s="82">
        <f>($Q377-$H377)*100</f>
        <v/>
      </c>
      <c r="BE377" s="82">
        <f>($S377-$J377)*100</f>
        <v/>
      </c>
      <c r="BF377" s="82">
        <f>($V377-$L377)*100</f>
        <v/>
      </c>
      <c r="BG377" s="82">
        <f>$AG377-$AF377</f>
        <v/>
      </c>
      <c r="BH377" s="81">
        <f>IFERROR($AG377/$AF377,"")</f>
        <v/>
      </c>
      <c r="BI377" s="82">
        <f>$AJ377-$AF377</f>
        <v/>
      </c>
      <c r="BJ377" s="81">
        <f>IFERROR($AJ377/$AG377,"")</f>
        <v/>
      </c>
      <c r="BK377" s="81">
        <f>$X377</f>
        <v/>
      </c>
      <c r="BL377" s="82">
        <f>($J377-$J378)*100</f>
        <v/>
      </c>
      <c r="BM377" s="82">
        <f>($F377-$F378)*100</f>
        <v/>
      </c>
      <c r="BN377" s="82">
        <f>$AF377-$AF378</f>
        <v/>
      </c>
      <c r="BO377" s="82">
        <f>$AG377-$AG378</f>
        <v/>
      </c>
      <c r="BP377" s="82">
        <f>$AJ377-$AJ378</f>
        <v/>
      </c>
    </row>
    <row r="378">
      <c r="AR378" s="81">
        <f>($G378+($H378-$G378)*0.5)+($P378-($O378+($Q378-$O378)*0.5))</f>
        <v/>
      </c>
      <c r="AS378" s="81">
        <f>($J378+($K378-$J378)*0.5)+($T378-($S378+($U378-$S378)*0.5))</f>
        <v/>
      </c>
      <c r="AT378" s="82">
        <f>($J378-$C378)*100</f>
        <v/>
      </c>
      <c r="AU378" s="82">
        <f>($H378-$F378)*100</f>
        <v/>
      </c>
      <c r="AV378" s="82">
        <f>($J378-$F378)*100</f>
        <v/>
      </c>
      <c r="AW378" s="82">
        <f>($L378-$F378)*100</f>
        <v/>
      </c>
      <c r="AX378" s="82">
        <f>($J378-$H378)*100</f>
        <v/>
      </c>
      <c r="AY378" s="82">
        <f>($L378-$H378)*100</f>
        <v/>
      </c>
      <c r="AZ378" s="82">
        <f>($L378-$J378)*100</f>
        <v/>
      </c>
      <c r="BA378" s="82">
        <f>(2*$H378-$F378-$J378)*100</f>
        <v/>
      </c>
      <c r="BB378" s="82">
        <f>(2*$J378-$H378-$L378)*100</f>
        <v/>
      </c>
      <c r="BC378" s="82">
        <f>($N378-$F378)*100</f>
        <v/>
      </c>
      <c r="BD378" s="82">
        <f>($Q378-$H378)*100</f>
        <v/>
      </c>
      <c r="BE378" s="82">
        <f>($S378-$J378)*100</f>
        <v/>
      </c>
      <c r="BF378" s="82">
        <f>($V378-$L378)*100</f>
        <v/>
      </c>
      <c r="BG378" s="82">
        <f>$AG378-$AF378</f>
        <v/>
      </c>
      <c r="BH378" s="81">
        <f>IFERROR($AG378/$AF378,"")</f>
        <v/>
      </c>
      <c r="BI378" s="82">
        <f>$AJ378-$AF378</f>
        <v/>
      </c>
      <c r="BJ378" s="81">
        <f>IFERROR($AJ378/$AG378,"")</f>
        <v/>
      </c>
      <c r="BK378" s="81">
        <f>$X378</f>
        <v/>
      </c>
      <c r="BL378" s="82">
        <f>($J378-$J379)*100</f>
        <v/>
      </c>
      <c r="BM378" s="82">
        <f>($F378-$F379)*100</f>
        <v/>
      </c>
      <c r="BN378" s="82">
        <f>$AF378-$AF379</f>
        <v/>
      </c>
      <c r="BO378" s="82">
        <f>$AG378-$AG379</f>
        <v/>
      </c>
      <c r="BP378" s="82">
        <f>$AJ378-$AJ379</f>
        <v/>
      </c>
    </row>
    <row r="379">
      <c r="AR379" s="81">
        <f>($G379+($H379-$G379)*0.5)+($P379-($O379+($Q379-$O379)*0.5))</f>
        <v/>
      </c>
      <c r="AS379" s="81">
        <f>($J379+($K379-$J379)*0.5)+($T379-($S379+($U379-$S379)*0.5))</f>
        <v/>
      </c>
      <c r="AT379" s="82">
        <f>($J379-$C379)*100</f>
        <v/>
      </c>
      <c r="AU379" s="82">
        <f>($H379-$F379)*100</f>
        <v/>
      </c>
      <c r="AV379" s="82">
        <f>($J379-$F379)*100</f>
        <v/>
      </c>
      <c r="AW379" s="82">
        <f>($L379-$F379)*100</f>
        <v/>
      </c>
      <c r="AX379" s="82">
        <f>($J379-$H379)*100</f>
        <v/>
      </c>
      <c r="AY379" s="82">
        <f>($L379-$H379)*100</f>
        <v/>
      </c>
      <c r="AZ379" s="82">
        <f>($L379-$J379)*100</f>
        <v/>
      </c>
      <c r="BA379" s="82">
        <f>(2*$H379-$F379-$J379)*100</f>
        <v/>
      </c>
      <c r="BB379" s="82">
        <f>(2*$J379-$H379-$L379)*100</f>
        <v/>
      </c>
      <c r="BC379" s="82">
        <f>($N379-$F379)*100</f>
        <v/>
      </c>
      <c r="BD379" s="82">
        <f>($Q379-$H379)*100</f>
        <v/>
      </c>
      <c r="BE379" s="82">
        <f>($S379-$J379)*100</f>
        <v/>
      </c>
      <c r="BF379" s="82">
        <f>($V379-$L379)*100</f>
        <v/>
      </c>
      <c r="BG379" s="82">
        <f>$AG379-$AF379</f>
        <v/>
      </c>
      <c r="BH379" s="81">
        <f>IFERROR($AG379/$AF379,"")</f>
        <v/>
      </c>
      <c r="BI379" s="82">
        <f>$AJ379-$AF379</f>
        <v/>
      </c>
      <c r="BJ379" s="81">
        <f>IFERROR($AJ379/$AG379,"")</f>
        <v/>
      </c>
      <c r="BK379" s="81">
        <f>$X379</f>
        <v/>
      </c>
      <c r="BL379" s="82">
        <f>($J379-$J380)*100</f>
        <v/>
      </c>
      <c r="BM379" s="82">
        <f>($F379-$F380)*100</f>
        <v/>
      </c>
      <c r="BN379" s="82">
        <f>$AF379-$AF380</f>
        <v/>
      </c>
      <c r="BO379" s="82">
        <f>$AG379-$AG380</f>
        <v/>
      </c>
      <c r="BP379" s="82">
        <f>$AJ379-$AJ380</f>
        <v/>
      </c>
    </row>
    <row r="380">
      <c r="AR380" s="81">
        <f>($G380+($H380-$G380)*0.5)+($P380-($O380+($Q380-$O380)*0.5))</f>
        <v/>
      </c>
      <c r="AS380" s="81">
        <f>($J380+($K380-$J380)*0.5)+($T380-($S380+($U380-$S380)*0.5))</f>
        <v/>
      </c>
      <c r="AT380" s="82">
        <f>($J380-$C380)*100</f>
        <v/>
      </c>
      <c r="AU380" s="82">
        <f>($H380-$F380)*100</f>
        <v/>
      </c>
      <c r="AV380" s="82">
        <f>($J380-$F380)*100</f>
        <v/>
      </c>
      <c r="AW380" s="82">
        <f>($L380-$F380)*100</f>
        <v/>
      </c>
      <c r="AX380" s="82">
        <f>($J380-$H380)*100</f>
        <v/>
      </c>
      <c r="AY380" s="82">
        <f>($L380-$H380)*100</f>
        <v/>
      </c>
      <c r="AZ380" s="82">
        <f>($L380-$J380)*100</f>
        <v/>
      </c>
      <c r="BA380" s="82">
        <f>(2*$H380-$F380-$J380)*100</f>
        <v/>
      </c>
      <c r="BB380" s="82">
        <f>(2*$J380-$H380-$L380)*100</f>
        <v/>
      </c>
      <c r="BC380" s="82">
        <f>($N380-$F380)*100</f>
        <v/>
      </c>
      <c r="BD380" s="82">
        <f>($Q380-$H380)*100</f>
        <v/>
      </c>
      <c r="BE380" s="82">
        <f>($S380-$J380)*100</f>
        <v/>
      </c>
      <c r="BF380" s="82">
        <f>($V380-$L380)*100</f>
        <v/>
      </c>
      <c r="BG380" s="82">
        <f>$AG380-$AF380</f>
        <v/>
      </c>
      <c r="BH380" s="81">
        <f>IFERROR($AG380/$AF380,"")</f>
        <v/>
      </c>
      <c r="BI380" s="82">
        <f>$AJ380-$AF380</f>
        <v/>
      </c>
      <c r="BJ380" s="81">
        <f>IFERROR($AJ380/$AG380,"")</f>
        <v/>
      </c>
      <c r="BK380" s="81">
        <f>$X380</f>
        <v/>
      </c>
      <c r="BL380" s="82">
        <f>($J380-$J381)*100</f>
        <v/>
      </c>
      <c r="BM380" s="82">
        <f>($F380-$F381)*100</f>
        <v/>
      </c>
      <c r="BN380" s="82">
        <f>$AF380-$AF381</f>
        <v/>
      </c>
      <c r="BO380" s="82">
        <f>$AG380-$AG381</f>
        <v/>
      </c>
      <c r="BP380" s="82">
        <f>$AJ380-$AJ381</f>
        <v/>
      </c>
    </row>
    <row r="381">
      <c r="AR381" s="81">
        <f>($G381+($H381-$G381)*0.5)+($P381-($O381+($Q381-$O381)*0.5))</f>
        <v/>
      </c>
      <c r="AS381" s="81">
        <f>($J381+($K381-$J381)*0.5)+($T381-($S381+($U381-$S381)*0.5))</f>
        <v/>
      </c>
      <c r="AT381" s="82">
        <f>($J381-$C381)*100</f>
        <v/>
      </c>
      <c r="AU381" s="82">
        <f>($H381-$F381)*100</f>
        <v/>
      </c>
      <c r="AV381" s="82">
        <f>($J381-$F381)*100</f>
        <v/>
      </c>
      <c r="AW381" s="82">
        <f>($L381-$F381)*100</f>
        <v/>
      </c>
      <c r="AX381" s="82">
        <f>($J381-$H381)*100</f>
        <v/>
      </c>
      <c r="AY381" s="82">
        <f>($L381-$H381)*100</f>
        <v/>
      </c>
      <c r="AZ381" s="82">
        <f>($L381-$J381)*100</f>
        <v/>
      </c>
      <c r="BA381" s="82">
        <f>(2*$H381-$F381-$J381)*100</f>
        <v/>
      </c>
      <c r="BB381" s="82">
        <f>(2*$J381-$H381-$L381)*100</f>
        <v/>
      </c>
      <c r="BC381" s="82">
        <f>($N381-$F381)*100</f>
        <v/>
      </c>
      <c r="BD381" s="82">
        <f>($Q381-$H381)*100</f>
        <v/>
      </c>
      <c r="BE381" s="82">
        <f>($S381-$J381)*100</f>
        <v/>
      </c>
      <c r="BF381" s="82">
        <f>($V381-$L381)*100</f>
        <v/>
      </c>
      <c r="BG381" s="82">
        <f>$AG381-$AF381</f>
        <v/>
      </c>
      <c r="BH381" s="81">
        <f>IFERROR($AG381/$AF381,"")</f>
        <v/>
      </c>
      <c r="BI381" s="82">
        <f>$AJ381-$AF381</f>
        <v/>
      </c>
      <c r="BJ381" s="81">
        <f>IFERROR($AJ381/$AG381,"")</f>
        <v/>
      </c>
      <c r="BK381" s="81">
        <f>$X381</f>
        <v/>
      </c>
      <c r="BL381" s="82">
        <f>($J381-$J382)*100</f>
        <v/>
      </c>
      <c r="BM381" s="82">
        <f>($F381-$F382)*100</f>
        <v/>
      </c>
      <c r="BN381" s="82">
        <f>$AF381-$AF382</f>
        <v/>
      </c>
      <c r="BO381" s="82">
        <f>$AG381-$AG382</f>
        <v/>
      </c>
      <c r="BP381" s="82">
        <f>$AJ381-$AJ382</f>
        <v/>
      </c>
    </row>
    <row r="382">
      <c r="AR382" s="81">
        <f>($G382+($H382-$G382)*0.5)+($P382-($O382+($Q382-$O382)*0.5))</f>
        <v/>
      </c>
      <c r="AS382" s="81">
        <f>($J382+($K382-$J382)*0.5)+($T382-($S382+($U382-$S382)*0.5))</f>
        <v/>
      </c>
      <c r="AT382" s="82">
        <f>($J382-$C382)*100</f>
        <v/>
      </c>
      <c r="AU382" s="82">
        <f>($H382-$F382)*100</f>
        <v/>
      </c>
      <c r="AV382" s="82">
        <f>($J382-$F382)*100</f>
        <v/>
      </c>
      <c r="AW382" s="82">
        <f>($L382-$F382)*100</f>
        <v/>
      </c>
      <c r="AX382" s="82">
        <f>($J382-$H382)*100</f>
        <v/>
      </c>
      <c r="AY382" s="82">
        <f>($L382-$H382)*100</f>
        <v/>
      </c>
      <c r="AZ382" s="82">
        <f>($L382-$J382)*100</f>
        <v/>
      </c>
      <c r="BA382" s="82">
        <f>(2*$H382-$F382-$J382)*100</f>
        <v/>
      </c>
      <c r="BB382" s="82">
        <f>(2*$J382-$H382-$L382)*100</f>
        <v/>
      </c>
      <c r="BC382" s="82">
        <f>($N382-$F382)*100</f>
        <v/>
      </c>
      <c r="BD382" s="82">
        <f>($Q382-$H382)*100</f>
        <v/>
      </c>
      <c r="BE382" s="82">
        <f>($S382-$J382)*100</f>
        <v/>
      </c>
      <c r="BF382" s="82">
        <f>($V382-$L382)*100</f>
        <v/>
      </c>
      <c r="BG382" s="82">
        <f>$AG382-$AF382</f>
        <v/>
      </c>
      <c r="BH382" s="81">
        <f>IFERROR($AG382/$AF382,"")</f>
        <v/>
      </c>
      <c r="BI382" s="82">
        <f>$AJ382-$AF382</f>
        <v/>
      </c>
      <c r="BJ382" s="81">
        <f>IFERROR($AJ382/$AG382,"")</f>
        <v/>
      </c>
      <c r="BK382" s="81">
        <f>$X382</f>
        <v/>
      </c>
      <c r="BL382" s="82">
        <f>($J382-$J383)*100</f>
        <v/>
      </c>
      <c r="BM382" s="82">
        <f>($F382-$F383)*100</f>
        <v/>
      </c>
      <c r="BN382" s="82">
        <f>$AF382-$AF383</f>
        <v/>
      </c>
      <c r="BO382" s="82">
        <f>$AG382-$AG383</f>
        <v/>
      </c>
      <c r="BP382" s="82">
        <f>$AJ382-$AJ383</f>
        <v/>
      </c>
    </row>
    <row r="383">
      <c r="AR383" s="81">
        <f>($G383+($H383-$G383)*0.5)+($P383-($O383+($Q383-$O383)*0.5))</f>
        <v/>
      </c>
      <c r="AS383" s="81">
        <f>($J383+($K383-$J383)*0.5)+($T383-($S383+($U383-$S383)*0.5))</f>
        <v/>
      </c>
      <c r="AT383" s="82">
        <f>($J383-$C383)*100</f>
        <v/>
      </c>
      <c r="AU383" s="82">
        <f>($H383-$F383)*100</f>
        <v/>
      </c>
      <c r="AV383" s="82">
        <f>($J383-$F383)*100</f>
        <v/>
      </c>
      <c r="AW383" s="82">
        <f>($L383-$F383)*100</f>
        <v/>
      </c>
      <c r="AX383" s="82">
        <f>($J383-$H383)*100</f>
        <v/>
      </c>
      <c r="AY383" s="82">
        <f>($L383-$H383)*100</f>
        <v/>
      </c>
      <c r="AZ383" s="82">
        <f>($L383-$J383)*100</f>
        <v/>
      </c>
      <c r="BA383" s="82">
        <f>(2*$H383-$F383-$J383)*100</f>
        <v/>
      </c>
      <c r="BB383" s="82">
        <f>(2*$J383-$H383-$L383)*100</f>
        <v/>
      </c>
      <c r="BC383" s="82">
        <f>($N383-$F383)*100</f>
        <v/>
      </c>
      <c r="BD383" s="82">
        <f>($Q383-$H383)*100</f>
        <v/>
      </c>
      <c r="BE383" s="82">
        <f>($S383-$J383)*100</f>
        <v/>
      </c>
      <c r="BF383" s="82">
        <f>($V383-$L383)*100</f>
        <v/>
      </c>
      <c r="BG383" s="82">
        <f>$AG383-$AF383</f>
        <v/>
      </c>
      <c r="BH383" s="81">
        <f>IFERROR($AG383/$AF383,"")</f>
        <v/>
      </c>
      <c r="BI383" s="82">
        <f>$AJ383-$AF383</f>
        <v/>
      </c>
      <c r="BJ383" s="81">
        <f>IFERROR($AJ383/$AG383,"")</f>
        <v/>
      </c>
      <c r="BK383" s="81">
        <f>$X383</f>
        <v/>
      </c>
      <c r="BL383" s="82">
        <f>($J383-$J384)*100</f>
        <v/>
      </c>
      <c r="BM383" s="82">
        <f>($F383-$F384)*100</f>
        <v/>
      </c>
      <c r="BN383" s="82">
        <f>$AF383-$AF384</f>
        <v/>
      </c>
      <c r="BO383" s="82">
        <f>$AG383-$AG384</f>
        <v/>
      </c>
      <c r="BP383" s="82">
        <f>$AJ383-$AJ384</f>
        <v/>
      </c>
    </row>
    <row r="384">
      <c r="AR384" s="81">
        <f>($G384+($H384-$G384)*0.5)+($P384-($O384+($Q384-$O384)*0.5))</f>
        <v/>
      </c>
      <c r="AS384" s="81">
        <f>($J384+($K384-$J384)*0.5)+($T384-($S384+($U384-$S384)*0.5))</f>
        <v/>
      </c>
      <c r="AT384" s="82">
        <f>($J384-$C384)*100</f>
        <v/>
      </c>
      <c r="AU384" s="82">
        <f>($H384-$F384)*100</f>
        <v/>
      </c>
      <c r="AV384" s="82">
        <f>($J384-$F384)*100</f>
        <v/>
      </c>
      <c r="AW384" s="82">
        <f>($L384-$F384)*100</f>
        <v/>
      </c>
      <c r="AX384" s="82">
        <f>($J384-$H384)*100</f>
        <v/>
      </c>
      <c r="AY384" s="82">
        <f>($L384-$H384)*100</f>
        <v/>
      </c>
      <c r="AZ384" s="82">
        <f>($L384-$J384)*100</f>
        <v/>
      </c>
      <c r="BA384" s="82">
        <f>(2*$H384-$F384-$J384)*100</f>
        <v/>
      </c>
      <c r="BB384" s="82">
        <f>(2*$J384-$H384-$L384)*100</f>
        <v/>
      </c>
      <c r="BC384" s="82">
        <f>($N384-$F384)*100</f>
        <v/>
      </c>
      <c r="BD384" s="82">
        <f>($Q384-$H384)*100</f>
        <v/>
      </c>
      <c r="BE384" s="82">
        <f>($S384-$J384)*100</f>
        <v/>
      </c>
      <c r="BF384" s="82">
        <f>($V384-$L384)*100</f>
        <v/>
      </c>
      <c r="BG384" s="82">
        <f>$AG384-$AF384</f>
        <v/>
      </c>
      <c r="BH384" s="81">
        <f>IFERROR($AG384/$AF384,"")</f>
        <v/>
      </c>
      <c r="BI384" s="82">
        <f>$AJ384-$AF384</f>
        <v/>
      </c>
      <c r="BJ384" s="81">
        <f>IFERROR($AJ384/$AG384,"")</f>
        <v/>
      </c>
      <c r="BK384" s="81">
        <f>$X384</f>
        <v/>
      </c>
      <c r="BL384" s="82">
        <f>($J384-$J385)*100</f>
        <v/>
      </c>
      <c r="BM384" s="82">
        <f>($F384-$F385)*100</f>
        <v/>
      </c>
      <c r="BN384" s="82">
        <f>$AF384-$AF385</f>
        <v/>
      </c>
      <c r="BO384" s="82">
        <f>$AG384-$AG385</f>
        <v/>
      </c>
      <c r="BP384" s="82">
        <f>$AJ384-$AJ385</f>
        <v/>
      </c>
    </row>
    <row r="385">
      <c r="AR385" s="81">
        <f>($G385+($H385-$G385)*0.5)+($P385-($O385+($Q385-$O385)*0.5))</f>
        <v/>
      </c>
      <c r="AS385" s="81">
        <f>($J385+($K385-$J385)*0.5)+($T385-($S385+($U385-$S385)*0.5))</f>
        <v/>
      </c>
      <c r="AT385" s="82">
        <f>($J385-$C385)*100</f>
        <v/>
      </c>
      <c r="AU385" s="82">
        <f>($H385-$F385)*100</f>
        <v/>
      </c>
      <c r="AV385" s="82">
        <f>($J385-$F385)*100</f>
        <v/>
      </c>
      <c r="AW385" s="82">
        <f>($L385-$F385)*100</f>
        <v/>
      </c>
      <c r="AX385" s="82">
        <f>($J385-$H385)*100</f>
        <v/>
      </c>
      <c r="AY385" s="82">
        <f>($L385-$H385)*100</f>
        <v/>
      </c>
      <c r="AZ385" s="82">
        <f>($L385-$J385)*100</f>
        <v/>
      </c>
      <c r="BA385" s="82">
        <f>(2*$H385-$F385-$J385)*100</f>
        <v/>
      </c>
      <c r="BB385" s="82">
        <f>(2*$J385-$H385-$L385)*100</f>
        <v/>
      </c>
      <c r="BC385" s="82">
        <f>($N385-$F385)*100</f>
        <v/>
      </c>
      <c r="BD385" s="82">
        <f>($Q385-$H385)*100</f>
        <v/>
      </c>
      <c r="BE385" s="82">
        <f>($S385-$J385)*100</f>
        <v/>
      </c>
      <c r="BF385" s="82">
        <f>($V385-$L385)*100</f>
        <v/>
      </c>
      <c r="BG385" s="82">
        <f>$AG385-$AF385</f>
        <v/>
      </c>
      <c r="BH385" s="81">
        <f>IFERROR($AG385/$AF385,"")</f>
        <v/>
      </c>
      <c r="BI385" s="82">
        <f>$AJ385-$AF385</f>
        <v/>
      </c>
      <c r="BJ385" s="81">
        <f>IFERROR($AJ385/$AG385,"")</f>
        <v/>
      </c>
      <c r="BK385" s="81">
        <f>$X385</f>
        <v/>
      </c>
      <c r="BL385" s="82">
        <f>($J385-$J386)*100</f>
        <v/>
      </c>
      <c r="BM385" s="82">
        <f>($F385-$F386)*100</f>
        <v/>
      </c>
      <c r="BN385" s="82">
        <f>$AF385-$AF386</f>
        <v/>
      </c>
      <c r="BO385" s="82">
        <f>$AG385-$AG386</f>
        <v/>
      </c>
      <c r="BP385" s="82">
        <f>$AJ385-$AJ386</f>
        <v/>
      </c>
    </row>
    <row r="386">
      <c r="AR386" s="81">
        <f>($G386+($H386-$G386)*0.5)+($P386-($O386+($Q386-$O386)*0.5))</f>
        <v/>
      </c>
      <c r="AS386" s="81">
        <f>($J386+($K386-$J386)*0.5)+($T386-($S386+($U386-$S386)*0.5))</f>
        <v/>
      </c>
      <c r="AT386" s="82">
        <f>($J386-$C386)*100</f>
        <v/>
      </c>
      <c r="AU386" s="82">
        <f>($H386-$F386)*100</f>
        <v/>
      </c>
      <c r="AV386" s="82">
        <f>($J386-$F386)*100</f>
        <v/>
      </c>
      <c r="AW386" s="82">
        <f>($L386-$F386)*100</f>
        <v/>
      </c>
      <c r="AX386" s="82">
        <f>($J386-$H386)*100</f>
        <v/>
      </c>
      <c r="AY386" s="82">
        <f>($L386-$H386)*100</f>
        <v/>
      </c>
      <c r="AZ386" s="82">
        <f>($L386-$J386)*100</f>
        <v/>
      </c>
      <c r="BA386" s="82">
        <f>(2*$H386-$F386-$J386)*100</f>
        <v/>
      </c>
      <c r="BB386" s="82">
        <f>(2*$J386-$H386-$L386)*100</f>
        <v/>
      </c>
      <c r="BC386" s="82">
        <f>($N386-$F386)*100</f>
        <v/>
      </c>
      <c r="BD386" s="82">
        <f>($Q386-$H386)*100</f>
        <v/>
      </c>
      <c r="BE386" s="82">
        <f>($S386-$J386)*100</f>
        <v/>
      </c>
      <c r="BF386" s="82">
        <f>($V386-$L386)*100</f>
        <v/>
      </c>
      <c r="BG386" s="82">
        <f>$AG386-$AF386</f>
        <v/>
      </c>
      <c r="BH386" s="81">
        <f>IFERROR($AG386/$AF386,"")</f>
        <v/>
      </c>
      <c r="BI386" s="82">
        <f>$AJ386-$AF386</f>
        <v/>
      </c>
      <c r="BJ386" s="81">
        <f>IFERROR($AJ386/$AG386,"")</f>
        <v/>
      </c>
      <c r="BK386" s="81">
        <f>$X386</f>
        <v/>
      </c>
      <c r="BL386" s="82">
        <f>($J386-$J387)*100</f>
        <v/>
      </c>
      <c r="BM386" s="82">
        <f>($F386-$F387)*100</f>
        <v/>
      </c>
      <c r="BN386" s="82">
        <f>$AF386-$AF387</f>
        <v/>
      </c>
      <c r="BO386" s="82">
        <f>$AG386-$AG387</f>
        <v/>
      </c>
      <c r="BP386" s="82">
        <f>$AJ386-$AJ387</f>
        <v/>
      </c>
    </row>
    <row r="387">
      <c r="AR387" s="81">
        <f>($G387+($H387-$G387)*0.5)+($P387-($O387+($Q387-$O387)*0.5))</f>
        <v/>
      </c>
      <c r="AS387" s="81">
        <f>($J387+($K387-$J387)*0.5)+($T387-($S387+($U387-$S387)*0.5))</f>
        <v/>
      </c>
      <c r="AT387" s="82">
        <f>($J387-$C387)*100</f>
        <v/>
      </c>
      <c r="AU387" s="82">
        <f>($H387-$F387)*100</f>
        <v/>
      </c>
      <c r="AV387" s="82">
        <f>($J387-$F387)*100</f>
        <v/>
      </c>
      <c r="AW387" s="82">
        <f>($L387-$F387)*100</f>
        <v/>
      </c>
      <c r="AX387" s="82">
        <f>($J387-$H387)*100</f>
        <v/>
      </c>
      <c r="AY387" s="82">
        <f>($L387-$H387)*100</f>
        <v/>
      </c>
      <c r="AZ387" s="82">
        <f>($L387-$J387)*100</f>
        <v/>
      </c>
      <c r="BA387" s="82">
        <f>(2*$H387-$F387-$J387)*100</f>
        <v/>
      </c>
      <c r="BB387" s="82">
        <f>(2*$J387-$H387-$L387)*100</f>
        <v/>
      </c>
      <c r="BC387" s="82">
        <f>($N387-$F387)*100</f>
        <v/>
      </c>
      <c r="BD387" s="82">
        <f>($Q387-$H387)*100</f>
        <v/>
      </c>
      <c r="BE387" s="82">
        <f>($S387-$J387)*100</f>
        <v/>
      </c>
      <c r="BF387" s="82">
        <f>($V387-$L387)*100</f>
        <v/>
      </c>
      <c r="BG387" s="82">
        <f>$AG387-$AF387</f>
        <v/>
      </c>
      <c r="BH387" s="81">
        <f>IFERROR($AG387/$AF387,"")</f>
        <v/>
      </c>
      <c r="BI387" s="82">
        <f>$AJ387-$AF387</f>
        <v/>
      </c>
      <c r="BJ387" s="81">
        <f>IFERROR($AJ387/$AG387,"")</f>
        <v/>
      </c>
      <c r="BK387" s="81">
        <f>$X387</f>
        <v/>
      </c>
      <c r="BL387" s="82">
        <f>($J387-$J388)*100</f>
        <v/>
      </c>
      <c r="BM387" s="82">
        <f>($F387-$F388)*100</f>
        <v/>
      </c>
      <c r="BN387" s="82">
        <f>$AF387-$AF388</f>
        <v/>
      </c>
      <c r="BO387" s="82">
        <f>$AG387-$AG388</f>
        <v/>
      </c>
      <c r="BP387" s="82">
        <f>$AJ387-$AJ388</f>
        <v/>
      </c>
    </row>
    <row r="388">
      <c r="AR388" s="81">
        <f>($G388+($H388-$G388)*0.5)+($P388-($O388+($Q388-$O388)*0.5))</f>
        <v/>
      </c>
      <c r="AS388" s="81">
        <f>($J388+($K388-$J388)*0.5)+($T388-($S388+($U388-$S388)*0.5))</f>
        <v/>
      </c>
      <c r="AT388" s="82">
        <f>($J388-$C388)*100</f>
        <v/>
      </c>
      <c r="AU388" s="82">
        <f>($H388-$F388)*100</f>
        <v/>
      </c>
      <c r="AV388" s="82">
        <f>($J388-$F388)*100</f>
        <v/>
      </c>
      <c r="AW388" s="82">
        <f>($L388-$F388)*100</f>
        <v/>
      </c>
      <c r="AX388" s="82">
        <f>($J388-$H388)*100</f>
        <v/>
      </c>
      <c r="AY388" s="82">
        <f>($L388-$H388)*100</f>
        <v/>
      </c>
      <c r="AZ388" s="82">
        <f>($L388-$J388)*100</f>
        <v/>
      </c>
      <c r="BA388" s="82">
        <f>(2*$H388-$F388-$J388)*100</f>
        <v/>
      </c>
      <c r="BB388" s="82">
        <f>(2*$J388-$H388-$L388)*100</f>
        <v/>
      </c>
      <c r="BC388" s="82">
        <f>($N388-$F388)*100</f>
        <v/>
      </c>
      <c r="BD388" s="82">
        <f>($Q388-$H388)*100</f>
        <v/>
      </c>
      <c r="BE388" s="82">
        <f>($S388-$J388)*100</f>
        <v/>
      </c>
      <c r="BF388" s="82">
        <f>($V388-$L388)*100</f>
        <v/>
      </c>
      <c r="BG388" s="82">
        <f>$AG388-$AF388</f>
        <v/>
      </c>
      <c r="BH388" s="81">
        <f>IFERROR($AG388/$AF388,"")</f>
        <v/>
      </c>
      <c r="BI388" s="82">
        <f>$AJ388-$AF388</f>
        <v/>
      </c>
      <c r="BJ388" s="81">
        <f>IFERROR($AJ388/$AG388,"")</f>
        <v/>
      </c>
      <c r="BK388" s="81">
        <f>$X388</f>
        <v/>
      </c>
      <c r="BL388" s="82">
        <f>($J388-$J389)*100</f>
        <v/>
      </c>
      <c r="BM388" s="82">
        <f>($F388-$F389)*100</f>
        <v/>
      </c>
      <c r="BN388" s="82">
        <f>$AF388-$AF389</f>
        <v/>
      </c>
      <c r="BO388" s="82">
        <f>$AG388-$AG389</f>
        <v/>
      </c>
      <c r="BP388" s="82">
        <f>$AJ388-$AJ389</f>
        <v/>
      </c>
    </row>
    <row r="389">
      <c r="AR389" s="81">
        <f>($G389+($H389-$G389)*0.5)+($P389-($O389+($Q389-$O389)*0.5))</f>
        <v/>
      </c>
      <c r="AS389" s="81">
        <f>($J389+($K389-$J389)*0.5)+($T389-($S389+($U389-$S389)*0.5))</f>
        <v/>
      </c>
      <c r="AT389" s="82">
        <f>($J389-$C389)*100</f>
        <v/>
      </c>
      <c r="AU389" s="82">
        <f>($H389-$F389)*100</f>
        <v/>
      </c>
      <c r="AV389" s="82">
        <f>($J389-$F389)*100</f>
        <v/>
      </c>
      <c r="AW389" s="82">
        <f>($L389-$F389)*100</f>
        <v/>
      </c>
      <c r="AX389" s="82">
        <f>($J389-$H389)*100</f>
        <v/>
      </c>
      <c r="AY389" s="82">
        <f>($L389-$H389)*100</f>
        <v/>
      </c>
      <c r="AZ389" s="82">
        <f>($L389-$J389)*100</f>
        <v/>
      </c>
      <c r="BA389" s="82">
        <f>(2*$H389-$F389-$J389)*100</f>
        <v/>
      </c>
      <c r="BB389" s="82">
        <f>(2*$J389-$H389-$L389)*100</f>
        <v/>
      </c>
      <c r="BC389" s="82">
        <f>($N389-$F389)*100</f>
        <v/>
      </c>
      <c r="BD389" s="82">
        <f>($Q389-$H389)*100</f>
        <v/>
      </c>
      <c r="BE389" s="82">
        <f>($S389-$J389)*100</f>
        <v/>
      </c>
      <c r="BF389" s="82">
        <f>($V389-$L389)*100</f>
        <v/>
      </c>
      <c r="BG389" s="82">
        <f>$AG389-$AF389</f>
        <v/>
      </c>
      <c r="BH389" s="81">
        <f>IFERROR($AG389/$AF389,"")</f>
        <v/>
      </c>
      <c r="BI389" s="82">
        <f>$AJ389-$AF389</f>
        <v/>
      </c>
      <c r="BJ389" s="81">
        <f>IFERROR($AJ389/$AG389,"")</f>
        <v/>
      </c>
      <c r="BK389" s="81">
        <f>$X389</f>
        <v/>
      </c>
      <c r="BL389" s="82">
        <f>($J389-$J390)*100</f>
        <v/>
      </c>
      <c r="BM389" s="82">
        <f>($F389-$F390)*100</f>
        <v/>
      </c>
      <c r="BN389" s="82">
        <f>$AF389-$AF390</f>
        <v/>
      </c>
      <c r="BO389" s="82">
        <f>$AG389-$AG390</f>
        <v/>
      </c>
      <c r="BP389" s="82">
        <f>$AJ389-$AJ390</f>
        <v/>
      </c>
    </row>
    <row r="390">
      <c r="AR390" s="81">
        <f>($G390+($H390-$G390)*0.5)+($P390-($O390+($Q390-$O390)*0.5))</f>
        <v/>
      </c>
      <c r="AS390" s="81">
        <f>($J390+($K390-$J390)*0.5)+($T390-($S390+($U390-$S390)*0.5))</f>
        <v/>
      </c>
      <c r="AT390" s="82">
        <f>($J390-$C390)*100</f>
        <v/>
      </c>
      <c r="AU390" s="82">
        <f>($H390-$F390)*100</f>
        <v/>
      </c>
      <c r="AV390" s="82">
        <f>($J390-$F390)*100</f>
        <v/>
      </c>
      <c r="AW390" s="82">
        <f>($L390-$F390)*100</f>
        <v/>
      </c>
      <c r="AX390" s="82">
        <f>($J390-$H390)*100</f>
        <v/>
      </c>
      <c r="AY390" s="82">
        <f>($L390-$H390)*100</f>
        <v/>
      </c>
      <c r="AZ390" s="82">
        <f>($L390-$J390)*100</f>
        <v/>
      </c>
      <c r="BA390" s="82">
        <f>(2*$H390-$F390-$J390)*100</f>
        <v/>
      </c>
      <c r="BB390" s="82">
        <f>(2*$J390-$H390-$L390)*100</f>
        <v/>
      </c>
      <c r="BC390" s="82">
        <f>($N390-$F390)*100</f>
        <v/>
      </c>
      <c r="BD390" s="82">
        <f>($Q390-$H390)*100</f>
        <v/>
      </c>
      <c r="BE390" s="82">
        <f>($S390-$J390)*100</f>
        <v/>
      </c>
      <c r="BF390" s="82">
        <f>($V390-$L390)*100</f>
        <v/>
      </c>
      <c r="BG390" s="82">
        <f>$AG390-$AF390</f>
        <v/>
      </c>
      <c r="BH390" s="81">
        <f>IFERROR($AG390/$AF390,"")</f>
        <v/>
      </c>
      <c r="BI390" s="82">
        <f>$AJ390-$AF390</f>
        <v/>
      </c>
      <c r="BJ390" s="81">
        <f>IFERROR($AJ390/$AG390,"")</f>
        <v/>
      </c>
      <c r="BK390" s="81">
        <f>$X390</f>
        <v/>
      </c>
      <c r="BL390" s="82">
        <f>($J390-$J391)*100</f>
        <v/>
      </c>
      <c r="BM390" s="82">
        <f>($F390-$F391)*100</f>
        <v/>
      </c>
      <c r="BN390" s="82">
        <f>$AF390-$AF391</f>
        <v/>
      </c>
      <c r="BO390" s="82">
        <f>$AG390-$AG391</f>
        <v/>
      </c>
      <c r="BP390" s="82">
        <f>$AJ390-$AJ391</f>
        <v/>
      </c>
    </row>
    <row r="391">
      <c r="AR391" s="81">
        <f>($G391+($H391-$G391)*0.5)+($P391-($O391+($Q391-$O391)*0.5))</f>
        <v/>
      </c>
      <c r="AS391" s="81">
        <f>($J391+($K391-$J391)*0.5)+($T391-($S391+($U391-$S391)*0.5))</f>
        <v/>
      </c>
      <c r="AT391" s="82">
        <f>($J391-$C391)*100</f>
        <v/>
      </c>
      <c r="AU391" s="82">
        <f>($H391-$F391)*100</f>
        <v/>
      </c>
      <c r="AV391" s="82">
        <f>($J391-$F391)*100</f>
        <v/>
      </c>
      <c r="AW391" s="82">
        <f>($L391-$F391)*100</f>
        <v/>
      </c>
      <c r="AX391" s="82">
        <f>($J391-$H391)*100</f>
        <v/>
      </c>
      <c r="AY391" s="82">
        <f>($L391-$H391)*100</f>
        <v/>
      </c>
      <c r="AZ391" s="82">
        <f>($L391-$J391)*100</f>
        <v/>
      </c>
      <c r="BA391" s="82">
        <f>(2*$H391-$F391-$J391)*100</f>
        <v/>
      </c>
      <c r="BB391" s="82">
        <f>(2*$J391-$H391-$L391)*100</f>
        <v/>
      </c>
      <c r="BC391" s="82">
        <f>($N391-$F391)*100</f>
        <v/>
      </c>
      <c r="BD391" s="82">
        <f>($Q391-$H391)*100</f>
        <v/>
      </c>
      <c r="BE391" s="82">
        <f>($S391-$J391)*100</f>
        <v/>
      </c>
      <c r="BF391" s="82">
        <f>($V391-$L391)*100</f>
        <v/>
      </c>
      <c r="BG391" s="82">
        <f>$AG391-$AF391</f>
        <v/>
      </c>
      <c r="BH391" s="81">
        <f>IFERROR($AG391/$AF391,"")</f>
        <v/>
      </c>
      <c r="BI391" s="82">
        <f>$AJ391-$AF391</f>
        <v/>
      </c>
      <c r="BJ391" s="81">
        <f>IFERROR($AJ391/$AG391,"")</f>
        <v/>
      </c>
      <c r="BK391" s="81">
        <f>$X391</f>
        <v/>
      </c>
      <c r="BL391" s="82">
        <f>($J391-$J392)*100</f>
        <v/>
      </c>
      <c r="BM391" s="82">
        <f>($F391-$F392)*100</f>
        <v/>
      </c>
      <c r="BN391" s="82">
        <f>$AF391-$AF392</f>
        <v/>
      </c>
      <c r="BO391" s="82">
        <f>$AG391-$AG392</f>
        <v/>
      </c>
      <c r="BP391" s="82">
        <f>$AJ391-$AJ392</f>
        <v/>
      </c>
    </row>
    <row r="392">
      <c r="AR392" s="81">
        <f>($G392+($H392-$G392)*0.5)+($P392-($O392+($Q392-$O392)*0.5))</f>
        <v/>
      </c>
      <c r="AS392" s="81">
        <f>($J392+($K392-$J392)*0.5)+($T392-($S392+($U392-$S392)*0.5))</f>
        <v/>
      </c>
      <c r="AT392" s="82">
        <f>($J392-$C392)*100</f>
        <v/>
      </c>
      <c r="AU392" s="82">
        <f>($H392-$F392)*100</f>
        <v/>
      </c>
      <c r="AV392" s="82">
        <f>($J392-$F392)*100</f>
        <v/>
      </c>
      <c r="AW392" s="82">
        <f>($L392-$F392)*100</f>
        <v/>
      </c>
      <c r="AX392" s="82">
        <f>($J392-$H392)*100</f>
        <v/>
      </c>
      <c r="AY392" s="82">
        <f>($L392-$H392)*100</f>
        <v/>
      </c>
      <c r="AZ392" s="82">
        <f>($L392-$J392)*100</f>
        <v/>
      </c>
      <c r="BA392" s="82">
        <f>(2*$H392-$F392-$J392)*100</f>
        <v/>
      </c>
      <c r="BB392" s="82">
        <f>(2*$J392-$H392-$L392)*100</f>
        <v/>
      </c>
      <c r="BC392" s="82">
        <f>($N392-$F392)*100</f>
        <v/>
      </c>
      <c r="BD392" s="82">
        <f>($Q392-$H392)*100</f>
        <v/>
      </c>
      <c r="BE392" s="82">
        <f>($S392-$J392)*100</f>
        <v/>
      </c>
      <c r="BF392" s="82">
        <f>($V392-$L392)*100</f>
        <v/>
      </c>
      <c r="BG392" s="82">
        <f>$AG392-$AF392</f>
        <v/>
      </c>
      <c r="BH392" s="81">
        <f>IFERROR($AG392/$AF392,"")</f>
        <v/>
      </c>
      <c r="BI392" s="82">
        <f>$AJ392-$AF392</f>
        <v/>
      </c>
      <c r="BJ392" s="81">
        <f>IFERROR($AJ392/$AG392,"")</f>
        <v/>
      </c>
      <c r="BK392" s="81">
        <f>$X392</f>
        <v/>
      </c>
      <c r="BL392" s="82">
        <f>($J392-$J393)*100</f>
        <v/>
      </c>
      <c r="BM392" s="82">
        <f>($F392-$F393)*100</f>
        <v/>
      </c>
      <c r="BN392" s="82">
        <f>$AF392-$AF393</f>
        <v/>
      </c>
      <c r="BO392" s="82">
        <f>$AG392-$AG393</f>
        <v/>
      </c>
      <c r="BP392" s="82">
        <f>$AJ392-$AJ393</f>
        <v/>
      </c>
    </row>
    <row r="393">
      <c r="AR393" s="81">
        <f>($G393+($H393-$G393)*0.5)+($P393-($O393+($Q393-$O393)*0.5))</f>
        <v/>
      </c>
      <c r="AS393" s="81">
        <f>($J393+($K393-$J393)*0.5)+($T393-($S393+($U393-$S393)*0.5))</f>
        <v/>
      </c>
      <c r="AT393" s="82">
        <f>($J393-$C393)*100</f>
        <v/>
      </c>
      <c r="AU393" s="82">
        <f>($H393-$F393)*100</f>
        <v/>
      </c>
      <c r="AV393" s="82">
        <f>($J393-$F393)*100</f>
        <v/>
      </c>
      <c r="AW393" s="82">
        <f>($L393-$F393)*100</f>
        <v/>
      </c>
      <c r="AX393" s="82">
        <f>($J393-$H393)*100</f>
        <v/>
      </c>
      <c r="AY393" s="82">
        <f>($L393-$H393)*100</f>
        <v/>
      </c>
      <c r="AZ393" s="82">
        <f>($L393-$J393)*100</f>
        <v/>
      </c>
      <c r="BA393" s="82">
        <f>(2*$H393-$F393-$J393)*100</f>
        <v/>
      </c>
      <c r="BB393" s="82">
        <f>(2*$J393-$H393-$L393)*100</f>
        <v/>
      </c>
      <c r="BC393" s="82">
        <f>($N393-$F393)*100</f>
        <v/>
      </c>
      <c r="BD393" s="82">
        <f>($Q393-$H393)*100</f>
        <v/>
      </c>
      <c r="BE393" s="82">
        <f>($S393-$J393)*100</f>
        <v/>
      </c>
      <c r="BF393" s="82">
        <f>($V393-$L393)*100</f>
        <v/>
      </c>
      <c r="BG393" s="82">
        <f>$AG393-$AF393</f>
        <v/>
      </c>
      <c r="BH393" s="81">
        <f>IFERROR($AG393/$AF393,"")</f>
        <v/>
      </c>
      <c r="BI393" s="82">
        <f>$AJ393-$AF393</f>
        <v/>
      </c>
      <c r="BJ393" s="81">
        <f>IFERROR($AJ393/$AG393,"")</f>
        <v/>
      </c>
      <c r="BK393" s="81">
        <f>$X393</f>
        <v/>
      </c>
      <c r="BL393" s="82">
        <f>($J393-$J394)*100</f>
        <v/>
      </c>
      <c r="BM393" s="82">
        <f>($F393-$F394)*100</f>
        <v/>
      </c>
      <c r="BN393" s="82">
        <f>$AF393-$AF394</f>
        <v/>
      </c>
      <c r="BO393" s="82">
        <f>$AG393-$AG394</f>
        <v/>
      </c>
      <c r="BP393" s="82">
        <f>$AJ393-$AJ394</f>
        <v/>
      </c>
    </row>
    <row r="394">
      <c r="AR394" s="81">
        <f>($G394+($H394-$G394)*0.5)+($P394-($O394+($Q394-$O394)*0.5))</f>
        <v/>
      </c>
      <c r="AS394" s="81">
        <f>($J394+($K394-$J394)*0.5)+($T394-($S394+($U394-$S394)*0.5))</f>
        <v/>
      </c>
      <c r="AT394" s="82">
        <f>($J394-$C394)*100</f>
        <v/>
      </c>
      <c r="AU394" s="82">
        <f>($H394-$F394)*100</f>
        <v/>
      </c>
      <c r="AV394" s="82">
        <f>($J394-$F394)*100</f>
        <v/>
      </c>
      <c r="AW394" s="82">
        <f>($L394-$F394)*100</f>
        <v/>
      </c>
      <c r="AX394" s="82">
        <f>($J394-$H394)*100</f>
        <v/>
      </c>
      <c r="AY394" s="82">
        <f>($L394-$H394)*100</f>
        <v/>
      </c>
      <c r="AZ394" s="82">
        <f>($L394-$J394)*100</f>
        <v/>
      </c>
      <c r="BA394" s="82">
        <f>(2*$H394-$F394-$J394)*100</f>
        <v/>
      </c>
      <c r="BB394" s="82">
        <f>(2*$J394-$H394-$L394)*100</f>
        <v/>
      </c>
      <c r="BC394" s="82">
        <f>($N394-$F394)*100</f>
        <v/>
      </c>
      <c r="BD394" s="82">
        <f>($Q394-$H394)*100</f>
        <v/>
      </c>
      <c r="BE394" s="82">
        <f>($S394-$J394)*100</f>
        <v/>
      </c>
      <c r="BF394" s="82">
        <f>($V394-$L394)*100</f>
        <v/>
      </c>
      <c r="BG394" s="82">
        <f>$AG394-$AF394</f>
        <v/>
      </c>
      <c r="BH394" s="81">
        <f>IFERROR($AG394/$AF394,"")</f>
        <v/>
      </c>
      <c r="BI394" s="82">
        <f>$AJ394-$AF394</f>
        <v/>
      </c>
      <c r="BJ394" s="81">
        <f>IFERROR($AJ394/$AG394,"")</f>
        <v/>
      </c>
      <c r="BK394" s="81">
        <f>$X394</f>
        <v/>
      </c>
      <c r="BL394" s="82">
        <f>($J394-$J395)*100</f>
        <v/>
      </c>
      <c r="BM394" s="82">
        <f>($F394-$F395)*100</f>
        <v/>
      </c>
      <c r="BN394" s="82">
        <f>$AF394-$AF395</f>
        <v/>
      </c>
      <c r="BO394" s="82">
        <f>$AG394-$AG395</f>
        <v/>
      </c>
      <c r="BP394" s="82">
        <f>$AJ394-$AJ395</f>
        <v/>
      </c>
    </row>
    <row r="395">
      <c r="AR395" s="81">
        <f>($G395+($H395-$G395)*0.5)+($P395-($O395+($Q395-$O395)*0.5))</f>
        <v/>
      </c>
      <c r="AS395" s="81">
        <f>($J395+($K395-$J395)*0.5)+($T395-($S395+($U395-$S395)*0.5))</f>
        <v/>
      </c>
      <c r="AT395" s="82">
        <f>($J395-$C395)*100</f>
        <v/>
      </c>
      <c r="AU395" s="82">
        <f>($H395-$F395)*100</f>
        <v/>
      </c>
      <c r="AV395" s="82">
        <f>($J395-$F395)*100</f>
        <v/>
      </c>
      <c r="AW395" s="82">
        <f>($L395-$F395)*100</f>
        <v/>
      </c>
      <c r="AX395" s="82">
        <f>($J395-$H395)*100</f>
        <v/>
      </c>
      <c r="AY395" s="82">
        <f>($L395-$H395)*100</f>
        <v/>
      </c>
      <c r="AZ395" s="82">
        <f>($L395-$J395)*100</f>
        <v/>
      </c>
      <c r="BA395" s="82">
        <f>(2*$H395-$F395-$J395)*100</f>
        <v/>
      </c>
      <c r="BB395" s="82">
        <f>(2*$J395-$H395-$L395)*100</f>
        <v/>
      </c>
      <c r="BC395" s="82">
        <f>($N395-$F395)*100</f>
        <v/>
      </c>
      <c r="BD395" s="82">
        <f>($Q395-$H395)*100</f>
        <v/>
      </c>
      <c r="BE395" s="82">
        <f>($S395-$J395)*100</f>
        <v/>
      </c>
      <c r="BF395" s="82">
        <f>($V395-$L395)*100</f>
        <v/>
      </c>
      <c r="BG395" s="82">
        <f>$AG395-$AF395</f>
        <v/>
      </c>
      <c r="BH395" s="81">
        <f>IFERROR($AG395/$AF395,"")</f>
        <v/>
      </c>
      <c r="BI395" s="82">
        <f>$AJ395-$AF395</f>
        <v/>
      </c>
      <c r="BJ395" s="81">
        <f>IFERROR($AJ395/$AG395,"")</f>
        <v/>
      </c>
      <c r="BK395" s="81">
        <f>$X395</f>
        <v/>
      </c>
      <c r="BL395" s="82">
        <f>($J395-$J396)*100</f>
        <v/>
      </c>
      <c r="BM395" s="82">
        <f>($F395-$F396)*100</f>
        <v/>
      </c>
      <c r="BN395" s="82">
        <f>$AF395-$AF396</f>
        <v/>
      </c>
      <c r="BO395" s="82">
        <f>$AG395-$AG396</f>
        <v/>
      </c>
      <c r="BP395" s="82">
        <f>$AJ395-$AJ396</f>
        <v/>
      </c>
    </row>
    <row r="396">
      <c r="AR396" s="81">
        <f>($G396+($H396-$G396)*0.5)+($P396-($O396+($Q396-$O396)*0.5))</f>
        <v/>
      </c>
      <c r="AS396" s="81">
        <f>($J396+($K396-$J396)*0.5)+($T396-($S396+($U396-$S396)*0.5))</f>
        <v/>
      </c>
      <c r="AT396" s="82">
        <f>($J396-$C396)*100</f>
        <v/>
      </c>
      <c r="AU396" s="82">
        <f>($H396-$F396)*100</f>
        <v/>
      </c>
      <c r="AV396" s="82">
        <f>($J396-$F396)*100</f>
        <v/>
      </c>
      <c r="AW396" s="82">
        <f>($L396-$F396)*100</f>
        <v/>
      </c>
      <c r="AX396" s="82">
        <f>($J396-$H396)*100</f>
        <v/>
      </c>
      <c r="AY396" s="82">
        <f>($L396-$H396)*100</f>
        <v/>
      </c>
      <c r="AZ396" s="82">
        <f>($L396-$J396)*100</f>
        <v/>
      </c>
      <c r="BA396" s="82">
        <f>(2*$H396-$F396-$J396)*100</f>
        <v/>
      </c>
      <c r="BB396" s="82">
        <f>(2*$J396-$H396-$L396)*100</f>
        <v/>
      </c>
      <c r="BC396" s="82">
        <f>($N396-$F396)*100</f>
        <v/>
      </c>
      <c r="BD396" s="82">
        <f>($Q396-$H396)*100</f>
        <v/>
      </c>
      <c r="BE396" s="82">
        <f>($S396-$J396)*100</f>
        <v/>
      </c>
      <c r="BF396" s="82">
        <f>($V396-$L396)*100</f>
        <v/>
      </c>
      <c r="BG396" s="82">
        <f>$AG396-$AF396</f>
        <v/>
      </c>
      <c r="BH396" s="81">
        <f>IFERROR($AG396/$AF396,"")</f>
        <v/>
      </c>
      <c r="BI396" s="82">
        <f>$AJ396-$AF396</f>
        <v/>
      </c>
      <c r="BJ396" s="81">
        <f>IFERROR($AJ396/$AG396,"")</f>
        <v/>
      </c>
      <c r="BK396" s="81">
        <f>$X396</f>
        <v/>
      </c>
      <c r="BL396" s="82">
        <f>($J396-$J397)*100</f>
        <v/>
      </c>
      <c r="BM396" s="82">
        <f>($F396-$F397)*100</f>
        <v/>
      </c>
      <c r="BN396" s="82">
        <f>$AF396-$AF397</f>
        <v/>
      </c>
      <c r="BO396" s="82">
        <f>$AG396-$AG397</f>
        <v/>
      </c>
      <c r="BP396" s="82">
        <f>$AJ396-$AJ397</f>
        <v/>
      </c>
    </row>
    <row r="397">
      <c r="AR397" s="81">
        <f>($G397+($H397-$G397)*0.5)+($P397-($O397+($Q397-$O397)*0.5))</f>
        <v/>
      </c>
      <c r="AS397" s="81">
        <f>($J397+($K397-$J397)*0.5)+($T397-($S397+($U397-$S397)*0.5))</f>
        <v/>
      </c>
      <c r="AT397" s="82">
        <f>($J397-$C397)*100</f>
        <v/>
      </c>
      <c r="AU397" s="82">
        <f>($H397-$F397)*100</f>
        <v/>
      </c>
      <c r="AV397" s="82">
        <f>($J397-$F397)*100</f>
        <v/>
      </c>
      <c r="AW397" s="82">
        <f>($L397-$F397)*100</f>
        <v/>
      </c>
      <c r="AX397" s="82">
        <f>($J397-$H397)*100</f>
        <v/>
      </c>
      <c r="AY397" s="82">
        <f>($L397-$H397)*100</f>
        <v/>
      </c>
      <c r="AZ397" s="82">
        <f>($L397-$J397)*100</f>
        <v/>
      </c>
      <c r="BA397" s="82">
        <f>(2*$H397-$F397-$J397)*100</f>
        <v/>
      </c>
      <c r="BB397" s="82">
        <f>(2*$J397-$H397-$L397)*100</f>
        <v/>
      </c>
      <c r="BC397" s="82">
        <f>($N397-$F397)*100</f>
        <v/>
      </c>
      <c r="BD397" s="82">
        <f>($Q397-$H397)*100</f>
        <v/>
      </c>
      <c r="BE397" s="82">
        <f>($S397-$J397)*100</f>
        <v/>
      </c>
      <c r="BF397" s="82">
        <f>($V397-$L397)*100</f>
        <v/>
      </c>
      <c r="BG397" s="82">
        <f>$AG397-$AF397</f>
        <v/>
      </c>
      <c r="BH397" s="81">
        <f>IFERROR($AG397/$AF397,"")</f>
        <v/>
      </c>
      <c r="BI397" s="82">
        <f>$AJ397-$AF397</f>
        <v/>
      </c>
      <c r="BJ397" s="81">
        <f>IFERROR($AJ397/$AG397,"")</f>
        <v/>
      </c>
      <c r="BK397" s="81">
        <f>$X397</f>
        <v/>
      </c>
      <c r="BL397" s="82">
        <f>($J397-$J398)*100</f>
        <v/>
      </c>
      <c r="BM397" s="82">
        <f>($F397-$F398)*100</f>
        <v/>
      </c>
      <c r="BN397" s="82">
        <f>$AF397-$AF398</f>
        <v/>
      </c>
      <c r="BO397" s="82">
        <f>$AG397-$AG398</f>
        <v/>
      </c>
      <c r="BP397" s="82">
        <f>$AJ397-$AJ398</f>
        <v/>
      </c>
    </row>
    <row r="398">
      <c r="AR398" s="81">
        <f>($G398+($H398-$G398)*0.5)+($P398-($O398+($Q398-$O398)*0.5))</f>
        <v/>
      </c>
      <c r="AS398" s="81">
        <f>($J398+($K398-$J398)*0.5)+($T398-($S398+($U398-$S398)*0.5))</f>
        <v/>
      </c>
      <c r="AT398" s="82">
        <f>($J398-$C398)*100</f>
        <v/>
      </c>
      <c r="AU398" s="82">
        <f>($H398-$F398)*100</f>
        <v/>
      </c>
      <c r="AV398" s="82">
        <f>($J398-$F398)*100</f>
        <v/>
      </c>
      <c r="AW398" s="82">
        <f>($L398-$F398)*100</f>
        <v/>
      </c>
      <c r="AX398" s="82">
        <f>($J398-$H398)*100</f>
        <v/>
      </c>
      <c r="AY398" s="82">
        <f>($L398-$H398)*100</f>
        <v/>
      </c>
      <c r="AZ398" s="82">
        <f>($L398-$J398)*100</f>
        <v/>
      </c>
      <c r="BA398" s="82">
        <f>(2*$H398-$F398-$J398)*100</f>
        <v/>
      </c>
      <c r="BB398" s="82">
        <f>(2*$J398-$H398-$L398)*100</f>
        <v/>
      </c>
      <c r="BC398" s="82">
        <f>($N398-$F398)*100</f>
        <v/>
      </c>
      <c r="BD398" s="82">
        <f>($Q398-$H398)*100</f>
        <v/>
      </c>
      <c r="BE398" s="82">
        <f>($S398-$J398)*100</f>
        <v/>
      </c>
      <c r="BF398" s="82">
        <f>($V398-$L398)*100</f>
        <v/>
      </c>
      <c r="BG398" s="82">
        <f>$AG398-$AF398</f>
        <v/>
      </c>
      <c r="BH398" s="81">
        <f>IFERROR($AG398/$AF398,"")</f>
        <v/>
      </c>
      <c r="BI398" s="82">
        <f>$AJ398-$AF398</f>
        <v/>
      </c>
      <c r="BJ398" s="81">
        <f>IFERROR($AJ398/$AG398,"")</f>
        <v/>
      </c>
      <c r="BK398" s="81">
        <f>$X398</f>
        <v/>
      </c>
      <c r="BL398" s="82">
        <f>($J398-$J399)*100</f>
        <v/>
      </c>
      <c r="BM398" s="82">
        <f>($F398-$F399)*100</f>
        <v/>
      </c>
      <c r="BN398" s="82">
        <f>$AF398-$AF399</f>
        <v/>
      </c>
      <c r="BO398" s="82">
        <f>$AG398-$AG399</f>
        <v/>
      </c>
      <c r="BP398" s="82">
        <f>$AJ398-$AJ399</f>
        <v/>
      </c>
    </row>
    <row r="399">
      <c r="AR399" s="81">
        <f>($G399+($H399-$G399)*0.5)+($P399-($O399+($Q399-$O399)*0.5))</f>
        <v/>
      </c>
      <c r="AS399" s="81">
        <f>($J399+($K399-$J399)*0.5)+($T399-($S399+($U399-$S399)*0.5))</f>
        <v/>
      </c>
      <c r="AT399" s="82">
        <f>($J399-$C399)*100</f>
        <v/>
      </c>
      <c r="AU399" s="82">
        <f>($H399-$F399)*100</f>
        <v/>
      </c>
      <c r="AV399" s="82">
        <f>($J399-$F399)*100</f>
        <v/>
      </c>
      <c r="AW399" s="82">
        <f>($L399-$F399)*100</f>
        <v/>
      </c>
      <c r="AX399" s="82">
        <f>($J399-$H399)*100</f>
        <v/>
      </c>
      <c r="AY399" s="82">
        <f>($L399-$H399)*100</f>
        <v/>
      </c>
      <c r="AZ399" s="82">
        <f>($L399-$J399)*100</f>
        <v/>
      </c>
      <c r="BA399" s="82">
        <f>(2*$H399-$F399-$J399)*100</f>
        <v/>
      </c>
      <c r="BB399" s="82">
        <f>(2*$J399-$H399-$L399)*100</f>
        <v/>
      </c>
      <c r="BC399" s="82">
        <f>($N399-$F399)*100</f>
        <v/>
      </c>
      <c r="BD399" s="82">
        <f>($Q399-$H399)*100</f>
        <v/>
      </c>
      <c r="BE399" s="82">
        <f>($S399-$J399)*100</f>
        <v/>
      </c>
      <c r="BF399" s="82">
        <f>($V399-$L399)*100</f>
        <v/>
      </c>
      <c r="BG399" s="82">
        <f>$AG399-$AF399</f>
        <v/>
      </c>
      <c r="BH399" s="81">
        <f>IFERROR($AG399/$AF399,"")</f>
        <v/>
      </c>
      <c r="BI399" s="82">
        <f>$AJ399-$AF399</f>
        <v/>
      </c>
      <c r="BJ399" s="81">
        <f>IFERROR($AJ399/$AG399,"")</f>
        <v/>
      </c>
      <c r="BK399" s="81">
        <f>$X399</f>
        <v/>
      </c>
      <c r="BL399" s="82">
        <f>($J399-$J400)*100</f>
        <v/>
      </c>
      <c r="BM399" s="82">
        <f>($F399-$F400)*100</f>
        <v/>
      </c>
      <c r="BN399" s="82">
        <f>$AF399-$AF400</f>
        <v/>
      </c>
      <c r="BO399" s="82">
        <f>$AG399-$AG400</f>
        <v/>
      </c>
      <c r="BP399" s="82">
        <f>$AJ399-$AJ400</f>
        <v/>
      </c>
    </row>
    <row r="400">
      <c r="AR400" s="81">
        <f>($G400+($H400-$G400)*0.5)+($P400-($O400+($Q400-$O400)*0.5))</f>
        <v/>
      </c>
      <c r="AS400" s="81">
        <f>($J400+($K400-$J400)*0.5)+($T400-($S400+($U400-$S400)*0.5))</f>
        <v/>
      </c>
      <c r="AT400" s="82">
        <f>($J400-$C400)*100</f>
        <v/>
      </c>
      <c r="AU400" s="82">
        <f>($H400-$F400)*100</f>
        <v/>
      </c>
      <c r="AV400" s="82">
        <f>($J400-$F400)*100</f>
        <v/>
      </c>
      <c r="AW400" s="82">
        <f>($L400-$F400)*100</f>
        <v/>
      </c>
      <c r="AX400" s="82">
        <f>($J400-$H400)*100</f>
        <v/>
      </c>
      <c r="AY400" s="82">
        <f>($L400-$H400)*100</f>
        <v/>
      </c>
      <c r="AZ400" s="82">
        <f>($L400-$J400)*100</f>
        <v/>
      </c>
      <c r="BA400" s="82">
        <f>(2*$H400-$F400-$J400)*100</f>
        <v/>
      </c>
      <c r="BB400" s="82">
        <f>(2*$J400-$H400-$L400)*100</f>
        <v/>
      </c>
      <c r="BC400" s="82">
        <f>($N400-$F400)*100</f>
        <v/>
      </c>
      <c r="BD400" s="82">
        <f>($Q400-$H400)*100</f>
        <v/>
      </c>
      <c r="BE400" s="82">
        <f>($S400-$J400)*100</f>
        <v/>
      </c>
      <c r="BF400" s="82">
        <f>($V400-$L400)*100</f>
        <v/>
      </c>
      <c r="BG400" s="82">
        <f>$AG400-$AF400</f>
        <v/>
      </c>
      <c r="BH400" s="81">
        <f>IFERROR($AG400/$AF400,"")</f>
        <v/>
      </c>
      <c r="BI400" s="82">
        <f>$AJ400-$AF400</f>
        <v/>
      </c>
      <c r="BJ400" s="81">
        <f>IFERROR($AJ400/$AG400,"")</f>
        <v/>
      </c>
      <c r="BK400" s="81">
        <f>$X400</f>
        <v/>
      </c>
      <c r="BL400" s="82">
        <f>($J400-$J401)*100</f>
        <v/>
      </c>
      <c r="BM400" s="82">
        <f>($F400-$F401)*100</f>
        <v/>
      </c>
      <c r="BN400" s="82">
        <f>$AF400-$AF401</f>
        <v/>
      </c>
      <c r="BO400" s="82">
        <f>$AG400-$AG401</f>
        <v/>
      </c>
      <c r="BP400" s="82">
        <f>$AJ400-$AJ401</f>
        <v/>
      </c>
    </row>
    <row r="401">
      <c r="AR401" s="81">
        <f>($G401+($H401-$G401)*0.5)+($P401-($O401+($Q401-$O401)*0.5))</f>
        <v/>
      </c>
      <c r="AS401" s="81">
        <f>($J401+($K401-$J401)*0.5)+($T401-($S401+($U401-$S401)*0.5))</f>
        <v/>
      </c>
      <c r="AT401" s="82">
        <f>($J401-$C401)*100</f>
        <v/>
      </c>
      <c r="AU401" s="82">
        <f>($H401-$F401)*100</f>
        <v/>
      </c>
      <c r="AV401" s="82">
        <f>($J401-$F401)*100</f>
        <v/>
      </c>
      <c r="AW401" s="82">
        <f>($L401-$F401)*100</f>
        <v/>
      </c>
      <c r="AX401" s="82">
        <f>($J401-$H401)*100</f>
        <v/>
      </c>
      <c r="AY401" s="82">
        <f>($L401-$H401)*100</f>
        <v/>
      </c>
      <c r="AZ401" s="82">
        <f>($L401-$J401)*100</f>
        <v/>
      </c>
      <c r="BA401" s="82">
        <f>(2*$H401-$F401-$J401)*100</f>
        <v/>
      </c>
      <c r="BB401" s="82">
        <f>(2*$J401-$H401-$L401)*100</f>
        <v/>
      </c>
      <c r="BC401" s="82">
        <f>($N401-$F401)*100</f>
        <v/>
      </c>
      <c r="BD401" s="82">
        <f>($Q401-$H401)*100</f>
        <v/>
      </c>
      <c r="BE401" s="82">
        <f>($S401-$J401)*100</f>
        <v/>
      </c>
      <c r="BF401" s="82">
        <f>($V401-$L401)*100</f>
        <v/>
      </c>
      <c r="BG401" s="82">
        <f>$AG401-$AF401</f>
        <v/>
      </c>
      <c r="BH401" s="81">
        <f>IFERROR($AG401/$AF401,"")</f>
        <v/>
      </c>
      <c r="BI401" s="82">
        <f>$AJ401-$AF401</f>
        <v/>
      </c>
      <c r="BJ401" s="81">
        <f>IFERROR($AJ401/$AG401,"")</f>
        <v/>
      </c>
      <c r="BK401" s="81">
        <f>$X401</f>
        <v/>
      </c>
      <c r="BL401" s="82">
        <f>($J401-$J402)*100</f>
        <v/>
      </c>
      <c r="BM401" s="82">
        <f>($F401-$F402)*100</f>
        <v/>
      </c>
      <c r="BN401" s="82">
        <f>$AF401-$AF402</f>
        <v/>
      </c>
      <c r="BO401" s="82">
        <f>$AG401-$AG402</f>
        <v/>
      </c>
      <c r="BP401" s="82">
        <f>$AJ401-$AJ402</f>
        <v/>
      </c>
    </row>
    <row r="402">
      <c r="AR402" s="81">
        <f>($G402+($H402-$G402)*0.5)+($P402-($O402+($Q402-$O402)*0.5))</f>
        <v/>
      </c>
      <c r="AS402" s="81">
        <f>($J402+($K402-$J402)*0.5)+($T402-($S402+($U402-$S402)*0.5))</f>
        <v/>
      </c>
      <c r="AT402" s="82">
        <f>($J402-$C402)*100</f>
        <v/>
      </c>
      <c r="AU402" s="82">
        <f>($H402-$F402)*100</f>
        <v/>
      </c>
      <c r="AV402" s="82">
        <f>($J402-$F402)*100</f>
        <v/>
      </c>
      <c r="AW402" s="82">
        <f>($L402-$F402)*100</f>
        <v/>
      </c>
      <c r="AX402" s="82">
        <f>($J402-$H402)*100</f>
        <v/>
      </c>
      <c r="AY402" s="82">
        <f>($L402-$H402)*100</f>
        <v/>
      </c>
      <c r="AZ402" s="82">
        <f>($L402-$J402)*100</f>
        <v/>
      </c>
      <c r="BA402" s="82">
        <f>(2*$H402-$F402-$J402)*100</f>
        <v/>
      </c>
      <c r="BB402" s="82">
        <f>(2*$J402-$H402-$L402)*100</f>
        <v/>
      </c>
      <c r="BC402" s="82">
        <f>($N402-$F402)*100</f>
        <v/>
      </c>
      <c r="BD402" s="82">
        <f>($Q402-$H402)*100</f>
        <v/>
      </c>
      <c r="BE402" s="82">
        <f>($S402-$J402)*100</f>
        <v/>
      </c>
      <c r="BF402" s="82">
        <f>($V402-$L402)*100</f>
        <v/>
      </c>
      <c r="BG402" s="82">
        <f>$AG402-$AF402</f>
        <v/>
      </c>
      <c r="BH402" s="81">
        <f>IFERROR($AG402/$AF402,"")</f>
        <v/>
      </c>
      <c r="BI402" s="82">
        <f>$AJ402-$AF402</f>
        <v/>
      </c>
      <c r="BJ402" s="81">
        <f>IFERROR($AJ402/$AG402,"")</f>
        <v/>
      </c>
      <c r="BK402" s="81">
        <f>$X402</f>
        <v/>
      </c>
      <c r="BL402" s="82">
        <f>($J402-$J403)*100</f>
        <v/>
      </c>
      <c r="BM402" s="82">
        <f>($F402-$F403)*100</f>
        <v/>
      </c>
      <c r="BN402" s="82">
        <f>$AF402-$AF403</f>
        <v/>
      </c>
      <c r="BO402" s="82">
        <f>$AG402-$AG403</f>
        <v/>
      </c>
      <c r="BP402" s="82">
        <f>$AJ402-$AJ403</f>
        <v/>
      </c>
    </row>
    <row r="403">
      <c r="AR403" s="81">
        <f>($G403+($H403-$G403)*0.5)+($P403-($O403+($Q403-$O403)*0.5))</f>
        <v/>
      </c>
      <c r="AS403" s="81">
        <f>($J403+($K403-$J403)*0.5)+($T403-($S403+($U403-$S403)*0.5))</f>
        <v/>
      </c>
      <c r="AT403" s="82">
        <f>($J403-$C403)*100</f>
        <v/>
      </c>
      <c r="AU403" s="82">
        <f>($H403-$F403)*100</f>
        <v/>
      </c>
      <c r="AV403" s="82">
        <f>($J403-$F403)*100</f>
        <v/>
      </c>
      <c r="AW403" s="82">
        <f>($L403-$F403)*100</f>
        <v/>
      </c>
      <c r="AX403" s="82">
        <f>($J403-$H403)*100</f>
        <v/>
      </c>
      <c r="AY403" s="82">
        <f>($L403-$H403)*100</f>
        <v/>
      </c>
      <c r="AZ403" s="82">
        <f>($L403-$J403)*100</f>
        <v/>
      </c>
      <c r="BA403" s="82">
        <f>(2*$H403-$F403-$J403)*100</f>
        <v/>
      </c>
      <c r="BB403" s="82">
        <f>(2*$J403-$H403-$L403)*100</f>
        <v/>
      </c>
      <c r="BC403" s="82">
        <f>($N403-$F403)*100</f>
        <v/>
      </c>
      <c r="BD403" s="82">
        <f>($Q403-$H403)*100</f>
        <v/>
      </c>
      <c r="BE403" s="82">
        <f>($S403-$J403)*100</f>
        <v/>
      </c>
      <c r="BF403" s="82">
        <f>($V403-$L403)*100</f>
        <v/>
      </c>
      <c r="BG403" s="82">
        <f>$AG403-$AF403</f>
        <v/>
      </c>
      <c r="BH403" s="81">
        <f>IFERROR($AG403/$AF403,"")</f>
        <v/>
      </c>
      <c r="BI403" s="82">
        <f>$AJ403-$AF403</f>
        <v/>
      </c>
      <c r="BJ403" s="81">
        <f>IFERROR($AJ403/$AG403,"")</f>
        <v/>
      </c>
      <c r="BK403" s="81">
        <f>$X403</f>
        <v/>
      </c>
      <c r="BL403" s="82">
        <f>($J403-$J404)*100</f>
        <v/>
      </c>
      <c r="BM403" s="82">
        <f>($F403-$F404)*100</f>
        <v/>
      </c>
      <c r="BN403" s="82">
        <f>$AF403-$AF404</f>
        <v/>
      </c>
      <c r="BO403" s="82">
        <f>$AG403-$AG404</f>
        <v/>
      </c>
      <c r="BP403" s="82">
        <f>$AJ403-$AJ404</f>
        <v/>
      </c>
    </row>
    <row r="404">
      <c r="AR404" s="81">
        <f>($G404+($H404-$G404)*0.5)+($P404-($O404+($Q404-$O404)*0.5))</f>
        <v/>
      </c>
      <c r="AS404" s="81">
        <f>($J404+($K404-$J404)*0.5)+($T404-($S404+($U404-$S404)*0.5))</f>
        <v/>
      </c>
      <c r="AT404" s="82">
        <f>($J404-$C404)*100</f>
        <v/>
      </c>
      <c r="AU404" s="82">
        <f>($H404-$F404)*100</f>
        <v/>
      </c>
      <c r="AV404" s="82">
        <f>($J404-$F404)*100</f>
        <v/>
      </c>
      <c r="AW404" s="82">
        <f>($L404-$F404)*100</f>
        <v/>
      </c>
      <c r="AX404" s="82">
        <f>($J404-$H404)*100</f>
        <v/>
      </c>
      <c r="AY404" s="82">
        <f>($L404-$H404)*100</f>
        <v/>
      </c>
      <c r="AZ404" s="82">
        <f>($L404-$J404)*100</f>
        <v/>
      </c>
      <c r="BA404" s="82">
        <f>(2*$H404-$F404-$J404)*100</f>
        <v/>
      </c>
      <c r="BB404" s="82">
        <f>(2*$J404-$H404-$L404)*100</f>
        <v/>
      </c>
      <c r="BC404" s="82">
        <f>($N404-$F404)*100</f>
        <v/>
      </c>
      <c r="BD404" s="82">
        <f>($Q404-$H404)*100</f>
        <v/>
      </c>
      <c r="BE404" s="82">
        <f>($S404-$J404)*100</f>
        <v/>
      </c>
      <c r="BF404" s="82">
        <f>($V404-$L404)*100</f>
        <v/>
      </c>
      <c r="BG404" s="82">
        <f>$AG404-$AF404</f>
        <v/>
      </c>
      <c r="BH404" s="81">
        <f>IFERROR($AG404/$AF404,"")</f>
        <v/>
      </c>
      <c r="BI404" s="82">
        <f>$AJ404-$AF404</f>
        <v/>
      </c>
      <c r="BJ404" s="81">
        <f>IFERROR($AJ404/$AG404,"")</f>
        <v/>
      </c>
      <c r="BK404" s="81">
        <f>$X404</f>
        <v/>
      </c>
      <c r="BL404" s="82">
        <f>($J404-$J405)*100</f>
        <v/>
      </c>
      <c r="BM404" s="82">
        <f>($F404-$F405)*100</f>
        <v/>
      </c>
      <c r="BN404" s="82">
        <f>$AF404-$AF405</f>
        <v/>
      </c>
      <c r="BO404" s="82">
        <f>$AG404-$AG405</f>
        <v/>
      </c>
      <c r="BP404" s="82">
        <f>$AJ404-$AJ405</f>
        <v/>
      </c>
    </row>
    <row r="405">
      <c r="AR405" s="81">
        <f>($G405+($H405-$G405)*0.5)+($P405-($O405+($Q405-$O405)*0.5))</f>
        <v/>
      </c>
      <c r="AS405" s="81">
        <f>($J405+($K405-$J405)*0.5)+($T405-($S405+($U405-$S405)*0.5))</f>
        <v/>
      </c>
      <c r="AT405" s="82">
        <f>($J405-$C405)*100</f>
        <v/>
      </c>
      <c r="AU405" s="82">
        <f>($H405-$F405)*100</f>
        <v/>
      </c>
      <c r="AV405" s="82">
        <f>($J405-$F405)*100</f>
        <v/>
      </c>
      <c r="AW405" s="82">
        <f>($L405-$F405)*100</f>
        <v/>
      </c>
      <c r="AX405" s="82">
        <f>($J405-$H405)*100</f>
        <v/>
      </c>
      <c r="AY405" s="82">
        <f>($L405-$H405)*100</f>
        <v/>
      </c>
      <c r="AZ405" s="82">
        <f>($L405-$J405)*100</f>
        <v/>
      </c>
      <c r="BA405" s="82">
        <f>(2*$H405-$F405-$J405)*100</f>
        <v/>
      </c>
      <c r="BB405" s="82">
        <f>(2*$J405-$H405-$L405)*100</f>
        <v/>
      </c>
      <c r="BC405" s="82">
        <f>($N405-$F405)*100</f>
        <v/>
      </c>
      <c r="BD405" s="82">
        <f>($Q405-$H405)*100</f>
        <v/>
      </c>
      <c r="BE405" s="82">
        <f>($S405-$J405)*100</f>
        <v/>
      </c>
      <c r="BF405" s="82">
        <f>($V405-$L405)*100</f>
        <v/>
      </c>
      <c r="BG405" s="82">
        <f>$AG405-$AF405</f>
        <v/>
      </c>
      <c r="BH405" s="81">
        <f>IFERROR($AG405/$AF405,"")</f>
        <v/>
      </c>
      <c r="BI405" s="82">
        <f>$AJ405-$AF405</f>
        <v/>
      </c>
      <c r="BJ405" s="81">
        <f>IFERROR($AJ405/$AG405,"")</f>
        <v/>
      </c>
      <c r="BK405" s="81">
        <f>$X405</f>
        <v/>
      </c>
      <c r="BL405" s="82">
        <f>($J405-$J406)*100</f>
        <v/>
      </c>
      <c r="BM405" s="82">
        <f>($F405-$F406)*100</f>
        <v/>
      </c>
      <c r="BN405" s="82">
        <f>$AF405-$AF406</f>
        <v/>
      </c>
      <c r="BO405" s="82">
        <f>$AG405-$AG406</f>
        <v/>
      </c>
      <c r="BP405" s="82">
        <f>$AJ405-$AJ406</f>
        <v/>
      </c>
    </row>
    <row r="406">
      <c r="AR406" s="81">
        <f>($G406+($H406-$G406)*0.5)+($P406-($O406+($Q406-$O406)*0.5))</f>
        <v/>
      </c>
      <c r="AS406" s="81">
        <f>($J406+($K406-$J406)*0.5)+($T406-($S406+($U406-$S406)*0.5))</f>
        <v/>
      </c>
      <c r="AT406" s="82">
        <f>($J406-$C406)*100</f>
        <v/>
      </c>
      <c r="AU406" s="82">
        <f>($H406-$F406)*100</f>
        <v/>
      </c>
      <c r="AV406" s="82">
        <f>($J406-$F406)*100</f>
        <v/>
      </c>
      <c r="AW406" s="82">
        <f>($L406-$F406)*100</f>
        <v/>
      </c>
      <c r="AX406" s="82">
        <f>($J406-$H406)*100</f>
        <v/>
      </c>
      <c r="AY406" s="82">
        <f>($L406-$H406)*100</f>
        <v/>
      </c>
      <c r="AZ406" s="82">
        <f>($L406-$J406)*100</f>
        <v/>
      </c>
      <c r="BA406" s="82">
        <f>(2*$H406-$F406-$J406)*100</f>
        <v/>
      </c>
      <c r="BB406" s="82">
        <f>(2*$J406-$H406-$L406)*100</f>
        <v/>
      </c>
      <c r="BC406" s="82">
        <f>($N406-$F406)*100</f>
        <v/>
      </c>
      <c r="BD406" s="82">
        <f>($Q406-$H406)*100</f>
        <v/>
      </c>
      <c r="BE406" s="82">
        <f>($S406-$J406)*100</f>
        <v/>
      </c>
      <c r="BF406" s="82">
        <f>($V406-$L406)*100</f>
        <v/>
      </c>
      <c r="BG406" s="82">
        <f>$AG406-$AF406</f>
        <v/>
      </c>
      <c r="BH406" s="81">
        <f>IFERROR($AG406/$AF406,"")</f>
        <v/>
      </c>
      <c r="BI406" s="82">
        <f>$AJ406-$AF406</f>
        <v/>
      </c>
      <c r="BJ406" s="81">
        <f>IFERROR($AJ406/$AG406,"")</f>
        <v/>
      </c>
      <c r="BK406" s="81">
        <f>$X406</f>
        <v/>
      </c>
      <c r="BL406" s="82">
        <f>($J406-$J407)*100</f>
        <v/>
      </c>
      <c r="BM406" s="82">
        <f>($F406-$F407)*100</f>
        <v/>
      </c>
      <c r="BN406" s="82">
        <f>$AF406-$AF407</f>
        <v/>
      </c>
      <c r="BO406" s="82">
        <f>$AG406-$AG407</f>
        <v/>
      </c>
      <c r="BP406" s="82">
        <f>$AJ406-$AJ407</f>
        <v/>
      </c>
    </row>
    <row r="407">
      <c r="AR407" s="81">
        <f>($G407+($H407-$G407)*0.5)+($P407-($O407+($Q407-$O407)*0.5))</f>
        <v/>
      </c>
      <c r="AS407" s="81">
        <f>($J407+($K407-$J407)*0.5)+($T407-($S407+($U407-$S407)*0.5))</f>
        <v/>
      </c>
      <c r="AT407" s="82">
        <f>($J407-$C407)*100</f>
        <v/>
      </c>
      <c r="AU407" s="82">
        <f>($H407-$F407)*100</f>
        <v/>
      </c>
      <c r="AV407" s="82">
        <f>($J407-$F407)*100</f>
        <v/>
      </c>
      <c r="AW407" s="82">
        <f>($L407-$F407)*100</f>
        <v/>
      </c>
      <c r="AX407" s="82">
        <f>($J407-$H407)*100</f>
        <v/>
      </c>
      <c r="AY407" s="82">
        <f>($L407-$H407)*100</f>
        <v/>
      </c>
      <c r="AZ407" s="82">
        <f>($L407-$J407)*100</f>
        <v/>
      </c>
      <c r="BA407" s="82">
        <f>(2*$H407-$F407-$J407)*100</f>
        <v/>
      </c>
      <c r="BB407" s="82">
        <f>(2*$J407-$H407-$L407)*100</f>
        <v/>
      </c>
      <c r="BC407" s="82">
        <f>($N407-$F407)*100</f>
        <v/>
      </c>
      <c r="BD407" s="82">
        <f>($Q407-$H407)*100</f>
        <v/>
      </c>
      <c r="BE407" s="82">
        <f>($S407-$J407)*100</f>
        <v/>
      </c>
      <c r="BF407" s="82">
        <f>($V407-$L407)*100</f>
        <v/>
      </c>
      <c r="BG407" s="82">
        <f>$AG407-$AF407</f>
        <v/>
      </c>
      <c r="BH407" s="81">
        <f>IFERROR($AG407/$AF407,"")</f>
        <v/>
      </c>
      <c r="BI407" s="82">
        <f>$AJ407-$AF407</f>
        <v/>
      </c>
      <c r="BJ407" s="81">
        <f>IFERROR($AJ407/$AG407,"")</f>
        <v/>
      </c>
      <c r="BK407" s="81">
        <f>$X407</f>
        <v/>
      </c>
      <c r="BL407" s="82">
        <f>($J407-$J408)*100</f>
        <v/>
      </c>
      <c r="BM407" s="82">
        <f>($F407-$F408)*100</f>
        <v/>
      </c>
      <c r="BN407" s="82">
        <f>$AF407-$AF408</f>
        <v/>
      </c>
      <c r="BO407" s="82">
        <f>$AG407-$AG408</f>
        <v/>
      </c>
      <c r="BP407" s="82">
        <f>$AJ407-$AJ408</f>
        <v/>
      </c>
    </row>
    <row r="408">
      <c r="AR408" s="81">
        <f>($G408+($H408-$G408)*0.5)+($P408-($O408+($Q408-$O408)*0.5))</f>
        <v/>
      </c>
      <c r="AS408" s="81">
        <f>($J408+($K408-$J408)*0.5)+($T408-($S408+($U408-$S408)*0.5))</f>
        <v/>
      </c>
      <c r="AT408" s="82">
        <f>($J408-$C408)*100</f>
        <v/>
      </c>
      <c r="AU408" s="82">
        <f>($H408-$F408)*100</f>
        <v/>
      </c>
      <c r="AV408" s="82">
        <f>($J408-$F408)*100</f>
        <v/>
      </c>
      <c r="AW408" s="82">
        <f>($L408-$F408)*100</f>
        <v/>
      </c>
      <c r="AX408" s="82">
        <f>($J408-$H408)*100</f>
        <v/>
      </c>
      <c r="AY408" s="82">
        <f>($L408-$H408)*100</f>
        <v/>
      </c>
      <c r="AZ408" s="82">
        <f>($L408-$J408)*100</f>
        <v/>
      </c>
      <c r="BA408" s="82">
        <f>(2*$H408-$F408-$J408)*100</f>
        <v/>
      </c>
      <c r="BB408" s="82">
        <f>(2*$J408-$H408-$L408)*100</f>
        <v/>
      </c>
      <c r="BC408" s="82">
        <f>($N408-$F408)*100</f>
        <v/>
      </c>
      <c r="BD408" s="82">
        <f>($Q408-$H408)*100</f>
        <v/>
      </c>
      <c r="BE408" s="82">
        <f>($S408-$J408)*100</f>
        <v/>
      </c>
      <c r="BF408" s="82">
        <f>($V408-$L408)*100</f>
        <v/>
      </c>
      <c r="BG408" s="82">
        <f>$AG408-$AF408</f>
        <v/>
      </c>
      <c r="BH408" s="81">
        <f>IFERROR($AG408/$AF408,"")</f>
        <v/>
      </c>
      <c r="BI408" s="82">
        <f>$AJ408-$AF408</f>
        <v/>
      </c>
      <c r="BJ408" s="81">
        <f>IFERROR($AJ408/$AG408,"")</f>
        <v/>
      </c>
      <c r="BK408" s="81">
        <f>$X408</f>
        <v/>
      </c>
      <c r="BL408" s="82">
        <f>($J408-$J409)*100</f>
        <v/>
      </c>
      <c r="BM408" s="82">
        <f>($F408-$F409)*100</f>
        <v/>
      </c>
      <c r="BN408" s="82">
        <f>$AF408-$AF409</f>
        <v/>
      </c>
      <c r="BO408" s="82">
        <f>$AG408-$AG409</f>
        <v/>
      </c>
      <c r="BP408" s="82">
        <f>$AJ408-$AJ409</f>
        <v/>
      </c>
    </row>
    <row r="409">
      <c r="AR409" s="81">
        <f>($G409+($H409-$G409)*0.5)+($P409-($O409+($Q409-$O409)*0.5))</f>
        <v/>
      </c>
      <c r="AS409" s="81">
        <f>($J409+($K409-$J409)*0.5)+($T409-($S409+($U409-$S409)*0.5))</f>
        <v/>
      </c>
      <c r="AT409" s="82">
        <f>($J409-$C409)*100</f>
        <v/>
      </c>
      <c r="AU409" s="82">
        <f>($H409-$F409)*100</f>
        <v/>
      </c>
      <c r="AV409" s="82">
        <f>($J409-$F409)*100</f>
        <v/>
      </c>
      <c r="AW409" s="82">
        <f>($L409-$F409)*100</f>
        <v/>
      </c>
      <c r="AX409" s="82">
        <f>($J409-$H409)*100</f>
        <v/>
      </c>
      <c r="AY409" s="82">
        <f>($L409-$H409)*100</f>
        <v/>
      </c>
      <c r="AZ409" s="82">
        <f>($L409-$J409)*100</f>
        <v/>
      </c>
      <c r="BA409" s="82">
        <f>(2*$H409-$F409-$J409)*100</f>
        <v/>
      </c>
      <c r="BB409" s="82">
        <f>(2*$J409-$H409-$L409)*100</f>
        <v/>
      </c>
      <c r="BC409" s="82">
        <f>($N409-$F409)*100</f>
        <v/>
      </c>
      <c r="BD409" s="82">
        <f>($Q409-$H409)*100</f>
        <v/>
      </c>
      <c r="BE409" s="82">
        <f>($S409-$J409)*100</f>
        <v/>
      </c>
      <c r="BF409" s="82">
        <f>($V409-$L409)*100</f>
        <v/>
      </c>
      <c r="BG409" s="82">
        <f>$AG409-$AF409</f>
        <v/>
      </c>
      <c r="BH409" s="81">
        <f>IFERROR($AG409/$AF409,"")</f>
        <v/>
      </c>
      <c r="BI409" s="82">
        <f>$AJ409-$AF409</f>
        <v/>
      </c>
      <c r="BJ409" s="81">
        <f>IFERROR($AJ409/$AG409,"")</f>
        <v/>
      </c>
      <c r="BK409" s="81">
        <f>$X409</f>
        <v/>
      </c>
      <c r="BL409" s="82">
        <f>($J409-$J410)*100</f>
        <v/>
      </c>
      <c r="BM409" s="82">
        <f>($F409-$F410)*100</f>
        <v/>
      </c>
      <c r="BN409" s="82">
        <f>$AF409-$AF410</f>
        <v/>
      </c>
      <c r="BO409" s="82">
        <f>$AG409-$AG410</f>
        <v/>
      </c>
      <c r="BP409" s="82">
        <f>$AJ409-$AJ410</f>
        <v/>
      </c>
    </row>
    <row r="410">
      <c r="AR410" s="81">
        <f>($G410+($H410-$G410)*0.5)+($P410-($O410+($Q410-$O410)*0.5))</f>
        <v/>
      </c>
      <c r="AS410" s="81">
        <f>($J410+($K410-$J410)*0.5)+($T410-($S410+($U410-$S410)*0.5))</f>
        <v/>
      </c>
      <c r="AT410" s="82">
        <f>($J410-$C410)*100</f>
        <v/>
      </c>
      <c r="AU410" s="82">
        <f>($H410-$F410)*100</f>
        <v/>
      </c>
      <c r="AV410" s="82">
        <f>($J410-$F410)*100</f>
        <v/>
      </c>
      <c r="AW410" s="82">
        <f>($L410-$F410)*100</f>
        <v/>
      </c>
      <c r="AX410" s="82">
        <f>($J410-$H410)*100</f>
        <v/>
      </c>
      <c r="AY410" s="82">
        <f>($L410-$H410)*100</f>
        <v/>
      </c>
      <c r="AZ410" s="82">
        <f>($L410-$J410)*100</f>
        <v/>
      </c>
      <c r="BA410" s="82">
        <f>(2*$H410-$F410-$J410)*100</f>
        <v/>
      </c>
      <c r="BB410" s="82">
        <f>(2*$J410-$H410-$L410)*100</f>
        <v/>
      </c>
      <c r="BC410" s="82">
        <f>($N410-$F410)*100</f>
        <v/>
      </c>
      <c r="BD410" s="82">
        <f>($Q410-$H410)*100</f>
        <v/>
      </c>
      <c r="BE410" s="82">
        <f>($S410-$J410)*100</f>
        <v/>
      </c>
      <c r="BF410" s="82">
        <f>($V410-$L410)*100</f>
        <v/>
      </c>
      <c r="BG410" s="82">
        <f>$AG410-$AF410</f>
        <v/>
      </c>
      <c r="BH410" s="81">
        <f>IFERROR($AG410/$AF410,"")</f>
        <v/>
      </c>
      <c r="BI410" s="82">
        <f>$AJ410-$AF410</f>
        <v/>
      </c>
      <c r="BJ410" s="81">
        <f>IFERROR($AJ410/$AG410,"")</f>
        <v/>
      </c>
      <c r="BK410" s="81">
        <f>$X410</f>
        <v/>
      </c>
      <c r="BL410" s="82">
        <f>($J410-$J411)*100</f>
        <v/>
      </c>
      <c r="BM410" s="82">
        <f>($F410-$F411)*100</f>
        <v/>
      </c>
      <c r="BN410" s="82">
        <f>$AF410-$AF411</f>
        <v/>
      </c>
      <c r="BO410" s="82">
        <f>$AG410-$AG411</f>
        <v/>
      </c>
      <c r="BP410" s="82">
        <f>$AJ410-$AJ411</f>
        <v/>
      </c>
    </row>
    <row r="411">
      <c r="AR411" s="81">
        <f>($G411+($H411-$G411)*0.5)+($P411-($O411+($Q411-$O411)*0.5))</f>
        <v/>
      </c>
      <c r="AS411" s="81">
        <f>($J411+($K411-$J411)*0.5)+($T411-($S411+($U411-$S411)*0.5))</f>
        <v/>
      </c>
      <c r="AT411" s="82">
        <f>($J411-$C411)*100</f>
        <v/>
      </c>
      <c r="AU411" s="82">
        <f>($H411-$F411)*100</f>
        <v/>
      </c>
      <c r="AV411" s="82">
        <f>($J411-$F411)*100</f>
        <v/>
      </c>
      <c r="AW411" s="82">
        <f>($L411-$F411)*100</f>
        <v/>
      </c>
      <c r="AX411" s="82">
        <f>($J411-$H411)*100</f>
        <v/>
      </c>
      <c r="AY411" s="82">
        <f>($L411-$H411)*100</f>
        <v/>
      </c>
      <c r="AZ411" s="82">
        <f>($L411-$J411)*100</f>
        <v/>
      </c>
      <c r="BA411" s="82">
        <f>(2*$H411-$F411-$J411)*100</f>
        <v/>
      </c>
      <c r="BB411" s="82">
        <f>(2*$J411-$H411-$L411)*100</f>
        <v/>
      </c>
      <c r="BC411" s="82">
        <f>($N411-$F411)*100</f>
        <v/>
      </c>
      <c r="BD411" s="82">
        <f>($Q411-$H411)*100</f>
        <v/>
      </c>
      <c r="BE411" s="82">
        <f>($S411-$J411)*100</f>
        <v/>
      </c>
      <c r="BF411" s="82">
        <f>($V411-$L411)*100</f>
        <v/>
      </c>
      <c r="BG411" s="82">
        <f>$AG411-$AF411</f>
        <v/>
      </c>
      <c r="BH411" s="81">
        <f>IFERROR($AG411/$AF411,"")</f>
        <v/>
      </c>
      <c r="BI411" s="82">
        <f>$AJ411-$AF411</f>
        <v/>
      </c>
      <c r="BJ411" s="81">
        <f>IFERROR($AJ411/$AG411,"")</f>
        <v/>
      </c>
      <c r="BK411" s="81">
        <f>$X411</f>
        <v/>
      </c>
      <c r="BL411" s="82">
        <f>($J411-$J412)*100</f>
        <v/>
      </c>
      <c r="BM411" s="82">
        <f>($F411-$F412)*100</f>
        <v/>
      </c>
      <c r="BN411" s="82">
        <f>$AF411-$AF412</f>
        <v/>
      </c>
      <c r="BO411" s="82">
        <f>$AG411-$AG412</f>
        <v/>
      </c>
      <c r="BP411" s="82">
        <f>$AJ411-$AJ412</f>
        <v/>
      </c>
    </row>
    <row r="412">
      <c r="AR412" s="81">
        <f>($G412+($H412-$G412)*0.5)+($P412-($O412+($Q412-$O412)*0.5))</f>
        <v/>
      </c>
      <c r="AS412" s="81">
        <f>($J412+($K412-$J412)*0.5)+($T412-($S412+($U412-$S412)*0.5))</f>
        <v/>
      </c>
      <c r="AT412" s="82">
        <f>($J412-$C412)*100</f>
        <v/>
      </c>
      <c r="AU412" s="82">
        <f>($H412-$F412)*100</f>
        <v/>
      </c>
      <c r="AV412" s="82">
        <f>($J412-$F412)*100</f>
        <v/>
      </c>
      <c r="AW412" s="82">
        <f>($L412-$F412)*100</f>
        <v/>
      </c>
      <c r="AX412" s="82">
        <f>($J412-$H412)*100</f>
        <v/>
      </c>
      <c r="AY412" s="82">
        <f>($L412-$H412)*100</f>
        <v/>
      </c>
      <c r="AZ412" s="82">
        <f>($L412-$J412)*100</f>
        <v/>
      </c>
      <c r="BA412" s="82">
        <f>(2*$H412-$F412-$J412)*100</f>
        <v/>
      </c>
      <c r="BB412" s="82">
        <f>(2*$J412-$H412-$L412)*100</f>
        <v/>
      </c>
      <c r="BC412" s="82">
        <f>($N412-$F412)*100</f>
        <v/>
      </c>
      <c r="BD412" s="82">
        <f>($Q412-$H412)*100</f>
        <v/>
      </c>
      <c r="BE412" s="82">
        <f>($S412-$J412)*100</f>
        <v/>
      </c>
      <c r="BF412" s="82">
        <f>($V412-$L412)*100</f>
        <v/>
      </c>
      <c r="BG412" s="82">
        <f>$AG412-$AF412</f>
        <v/>
      </c>
      <c r="BH412" s="81">
        <f>IFERROR($AG412/$AF412,"")</f>
        <v/>
      </c>
      <c r="BI412" s="82">
        <f>$AJ412-$AF412</f>
        <v/>
      </c>
      <c r="BJ412" s="81">
        <f>IFERROR($AJ412/$AG412,"")</f>
        <v/>
      </c>
      <c r="BK412" s="81">
        <f>$X412</f>
        <v/>
      </c>
      <c r="BL412" s="82">
        <f>($J412-$J413)*100</f>
        <v/>
      </c>
      <c r="BM412" s="82">
        <f>($F412-$F413)*100</f>
        <v/>
      </c>
      <c r="BN412" s="82">
        <f>$AF412-$AF413</f>
        <v/>
      </c>
      <c r="BO412" s="82">
        <f>$AG412-$AG413</f>
        <v/>
      </c>
      <c r="BP412" s="82">
        <f>$AJ412-$AJ413</f>
        <v/>
      </c>
    </row>
    <row r="413">
      <c r="AR413" s="81">
        <f>($G413+($H413-$G413)*0.5)+($P413-($O413+($Q413-$O413)*0.5))</f>
        <v/>
      </c>
      <c r="AS413" s="81">
        <f>($J413+($K413-$J413)*0.5)+($T413-($S413+($U413-$S413)*0.5))</f>
        <v/>
      </c>
      <c r="AT413" s="82">
        <f>($J413-$C413)*100</f>
        <v/>
      </c>
      <c r="AU413" s="82">
        <f>($H413-$F413)*100</f>
        <v/>
      </c>
      <c r="AV413" s="82">
        <f>($J413-$F413)*100</f>
        <v/>
      </c>
      <c r="AW413" s="82">
        <f>($L413-$F413)*100</f>
        <v/>
      </c>
      <c r="AX413" s="82">
        <f>($J413-$H413)*100</f>
        <v/>
      </c>
      <c r="AY413" s="82">
        <f>($L413-$H413)*100</f>
        <v/>
      </c>
      <c r="AZ413" s="82">
        <f>($L413-$J413)*100</f>
        <v/>
      </c>
      <c r="BA413" s="82">
        <f>(2*$H413-$F413-$J413)*100</f>
        <v/>
      </c>
      <c r="BB413" s="82">
        <f>(2*$J413-$H413-$L413)*100</f>
        <v/>
      </c>
      <c r="BC413" s="82">
        <f>($N413-$F413)*100</f>
        <v/>
      </c>
      <c r="BD413" s="82">
        <f>($Q413-$H413)*100</f>
        <v/>
      </c>
      <c r="BE413" s="82">
        <f>($S413-$J413)*100</f>
        <v/>
      </c>
      <c r="BF413" s="82">
        <f>($V413-$L413)*100</f>
        <v/>
      </c>
      <c r="BG413" s="82">
        <f>$AG413-$AF413</f>
        <v/>
      </c>
      <c r="BH413" s="81">
        <f>IFERROR($AG413/$AF413,"")</f>
        <v/>
      </c>
      <c r="BI413" s="82">
        <f>$AJ413-$AF413</f>
        <v/>
      </c>
      <c r="BJ413" s="81">
        <f>IFERROR($AJ413/$AG413,"")</f>
        <v/>
      </c>
      <c r="BK413" s="81">
        <f>$X413</f>
        <v/>
      </c>
      <c r="BL413" s="82">
        <f>($J413-$J414)*100</f>
        <v/>
      </c>
      <c r="BM413" s="82">
        <f>($F413-$F414)*100</f>
        <v/>
      </c>
      <c r="BN413" s="82">
        <f>$AF413-$AF414</f>
        <v/>
      </c>
      <c r="BO413" s="82">
        <f>$AG413-$AG414</f>
        <v/>
      </c>
      <c r="BP413" s="82">
        <f>$AJ413-$AJ414</f>
        <v/>
      </c>
    </row>
    <row r="414">
      <c r="AR414" s="81">
        <f>($G414+($H414-$G414)*0.5)+($P414-($O414+($Q414-$O414)*0.5))</f>
        <v/>
      </c>
      <c r="AS414" s="81">
        <f>($J414+($K414-$J414)*0.5)+($T414-($S414+($U414-$S414)*0.5))</f>
        <v/>
      </c>
      <c r="AT414" s="82">
        <f>($J414-$C414)*100</f>
        <v/>
      </c>
      <c r="AU414" s="82">
        <f>($H414-$F414)*100</f>
        <v/>
      </c>
      <c r="AV414" s="82">
        <f>($J414-$F414)*100</f>
        <v/>
      </c>
      <c r="AW414" s="82">
        <f>($L414-$F414)*100</f>
        <v/>
      </c>
      <c r="AX414" s="82">
        <f>($J414-$H414)*100</f>
        <v/>
      </c>
      <c r="AY414" s="82">
        <f>($L414-$H414)*100</f>
        <v/>
      </c>
      <c r="AZ414" s="82">
        <f>($L414-$J414)*100</f>
        <v/>
      </c>
      <c r="BA414" s="82">
        <f>(2*$H414-$F414-$J414)*100</f>
        <v/>
      </c>
      <c r="BB414" s="82">
        <f>(2*$J414-$H414-$L414)*100</f>
        <v/>
      </c>
      <c r="BC414" s="82">
        <f>($N414-$F414)*100</f>
        <v/>
      </c>
      <c r="BD414" s="82">
        <f>($Q414-$H414)*100</f>
        <v/>
      </c>
      <c r="BE414" s="82">
        <f>($S414-$J414)*100</f>
        <v/>
      </c>
      <c r="BF414" s="82">
        <f>($V414-$L414)*100</f>
        <v/>
      </c>
      <c r="BG414" s="82">
        <f>$AG414-$AF414</f>
        <v/>
      </c>
      <c r="BH414" s="81">
        <f>IFERROR($AG414/$AF414,"")</f>
        <v/>
      </c>
      <c r="BI414" s="82">
        <f>$AJ414-$AF414</f>
        <v/>
      </c>
      <c r="BJ414" s="81">
        <f>IFERROR($AJ414/$AG414,"")</f>
        <v/>
      </c>
      <c r="BK414" s="81">
        <f>$X414</f>
        <v/>
      </c>
      <c r="BL414" s="82">
        <f>($J414-$J415)*100</f>
        <v/>
      </c>
      <c r="BM414" s="82">
        <f>($F414-$F415)*100</f>
        <v/>
      </c>
      <c r="BN414" s="82">
        <f>$AF414-$AF415</f>
        <v/>
      </c>
      <c r="BO414" s="82">
        <f>$AG414-$AG415</f>
        <v/>
      </c>
      <c r="BP414" s="82">
        <f>$AJ414-$AJ415</f>
        <v/>
      </c>
    </row>
    <row r="415">
      <c r="AR415" s="81">
        <f>($G415+($H415-$G415)*0.5)+($P415-($O415+($Q415-$O415)*0.5))</f>
        <v/>
      </c>
      <c r="AS415" s="81">
        <f>($J415+($K415-$J415)*0.5)+($T415-($S415+($U415-$S415)*0.5))</f>
        <v/>
      </c>
      <c r="AT415" s="82">
        <f>($J415-$C415)*100</f>
        <v/>
      </c>
      <c r="AU415" s="82">
        <f>($H415-$F415)*100</f>
        <v/>
      </c>
      <c r="AV415" s="82">
        <f>($J415-$F415)*100</f>
        <v/>
      </c>
      <c r="AW415" s="82">
        <f>($L415-$F415)*100</f>
        <v/>
      </c>
      <c r="AX415" s="82">
        <f>($J415-$H415)*100</f>
        <v/>
      </c>
      <c r="AY415" s="82">
        <f>($L415-$H415)*100</f>
        <v/>
      </c>
      <c r="AZ415" s="82">
        <f>($L415-$J415)*100</f>
        <v/>
      </c>
      <c r="BA415" s="82">
        <f>(2*$H415-$F415-$J415)*100</f>
        <v/>
      </c>
      <c r="BB415" s="82">
        <f>(2*$J415-$H415-$L415)*100</f>
        <v/>
      </c>
      <c r="BC415" s="82">
        <f>($N415-$F415)*100</f>
        <v/>
      </c>
      <c r="BD415" s="82">
        <f>($Q415-$H415)*100</f>
        <v/>
      </c>
      <c r="BE415" s="82">
        <f>($S415-$J415)*100</f>
        <v/>
      </c>
      <c r="BF415" s="82">
        <f>($V415-$L415)*100</f>
        <v/>
      </c>
      <c r="BG415" s="82">
        <f>$AG415-$AF415</f>
        <v/>
      </c>
      <c r="BH415" s="81">
        <f>IFERROR($AG415/$AF415,"")</f>
        <v/>
      </c>
      <c r="BI415" s="82">
        <f>$AJ415-$AF415</f>
        <v/>
      </c>
      <c r="BJ415" s="81">
        <f>IFERROR($AJ415/$AG415,"")</f>
        <v/>
      </c>
      <c r="BK415" s="81">
        <f>$X415</f>
        <v/>
      </c>
      <c r="BL415" s="82">
        <f>($J415-$J416)*100</f>
        <v/>
      </c>
      <c r="BM415" s="82">
        <f>($F415-$F416)*100</f>
        <v/>
      </c>
      <c r="BN415" s="82">
        <f>$AF415-$AF416</f>
        <v/>
      </c>
      <c r="BO415" s="82">
        <f>$AG415-$AG416</f>
        <v/>
      </c>
      <c r="BP415" s="82">
        <f>$AJ415-$AJ416</f>
        <v/>
      </c>
    </row>
    <row r="416">
      <c r="AR416" s="81">
        <f>($G416+($H416-$G416)*0.5)+($P416-($O416+($Q416-$O416)*0.5))</f>
        <v/>
      </c>
      <c r="AS416" s="81">
        <f>($J416+($K416-$J416)*0.5)+($T416-($S416+($U416-$S416)*0.5))</f>
        <v/>
      </c>
      <c r="AT416" s="82">
        <f>($J416-$C416)*100</f>
        <v/>
      </c>
      <c r="AU416" s="82">
        <f>($H416-$F416)*100</f>
        <v/>
      </c>
      <c r="AV416" s="82">
        <f>($J416-$F416)*100</f>
        <v/>
      </c>
      <c r="AW416" s="82">
        <f>($L416-$F416)*100</f>
        <v/>
      </c>
      <c r="AX416" s="82">
        <f>($J416-$H416)*100</f>
        <v/>
      </c>
      <c r="AY416" s="82">
        <f>($L416-$H416)*100</f>
        <v/>
      </c>
      <c r="AZ416" s="82">
        <f>($L416-$J416)*100</f>
        <v/>
      </c>
      <c r="BA416" s="82">
        <f>(2*$H416-$F416-$J416)*100</f>
        <v/>
      </c>
      <c r="BB416" s="82">
        <f>(2*$J416-$H416-$L416)*100</f>
        <v/>
      </c>
      <c r="BC416" s="82">
        <f>($N416-$F416)*100</f>
        <v/>
      </c>
      <c r="BD416" s="82">
        <f>($Q416-$H416)*100</f>
        <v/>
      </c>
      <c r="BE416" s="82">
        <f>($S416-$J416)*100</f>
        <v/>
      </c>
      <c r="BF416" s="82">
        <f>($V416-$L416)*100</f>
        <v/>
      </c>
      <c r="BG416" s="82">
        <f>$AG416-$AF416</f>
        <v/>
      </c>
      <c r="BH416" s="81">
        <f>IFERROR($AG416/$AF416,"")</f>
        <v/>
      </c>
      <c r="BI416" s="82">
        <f>$AJ416-$AF416</f>
        <v/>
      </c>
      <c r="BJ416" s="81">
        <f>IFERROR($AJ416/$AG416,"")</f>
        <v/>
      </c>
      <c r="BK416" s="81">
        <f>$X416</f>
        <v/>
      </c>
      <c r="BL416" s="82">
        <f>($J416-$J417)*100</f>
        <v/>
      </c>
      <c r="BM416" s="82">
        <f>($F416-$F417)*100</f>
        <v/>
      </c>
      <c r="BN416" s="82">
        <f>$AF416-$AF417</f>
        <v/>
      </c>
      <c r="BO416" s="82">
        <f>$AG416-$AG417</f>
        <v/>
      </c>
      <c r="BP416" s="82">
        <f>$AJ416-$AJ417</f>
        <v/>
      </c>
    </row>
    <row r="417">
      <c r="AR417" s="81">
        <f>($G417+($H417-$G417)*0.5)+($P417-($O417+($Q417-$O417)*0.5))</f>
        <v/>
      </c>
      <c r="AS417" s="81">
        <f>($J417+($K417-$J417)*0.5)+($T417-($S417+($U417-$S417)*0.5))</f>
        <v/>
      </c>
      <c r="AT417" s="82">
        <f>($J417-$C417)*100</f>
        <v/>
      </c>
      <c r="AU417" s="82">
        <f>($H417-$F417)*100</f>
        <v/>
      </c>
      <c r="AV417" s="82">
        <f>($J417-$F417)*100</f>
        <v/>
      </c>
      <c r="AW417" s="82">
        <f>($L417-$F417)*100</f>
        <v/>
      </c>
      <c r="AX417" s="82">
        <f>($J417-$H417)*100</f>
        <v/>
      </c>
      <c r="AY417" s="82">
        <f>($L417-$H417)*100</f>
        <v/>
      </c>
      <c r="AZ417" s="82">
        <f>($L417-$J417)*100</f>
        <v/>
      </c>
      <c r="BA417" s="82">
        <f>(2*$H417-$F417-$J417)*100</f>
        <v/>
      </c>
      <c r="BB417" s="82">
        <f>(2*$J417-$H417-$L417)*100</f>
        <v/>
      </c>
      <c r="BC417" s="82">
        <f>($N417-$F417)*100</f>
        <v/>
      </c>
      <c r="BD417" s="82">
        <f>($Q417-$H417)*100</f>
        <v/>
      </c>
      <c r="BE417" s="82">
        <f>($S417-$J417)*100</f>
        <v/>
      </c>
      <c r="BF417" s="82">
        <f>($V417-$L417)*100</f>
        <v/>
      </c>
      <c r="BG417" s="82">
        <f>$AG417-$AF417</f>
        <v/>
      </c>
      <c r="BH417" s="81">
        <f>IFERROR($AG417/$AF417,"")</f>
        <v/>
      </c>
      <c r="BI417" s="82">
        <f>$AJ417-$AF417</f>
        <v/>
      </c>
      <c r="BJ417" s="81">
        <f>IFERROR($AJ417/$AG417,"")</f>
        <v/>
      </c>
      <c r="BK417" s="81">
        <f>$X417</f>
        <v/>
      </c>
      <c r="BL417" s="82">
        <f>($J417-$J418)*100</f>
        <v/>
      </c>
      <c r="BM417" s="82">
        <f>($F417-$F418)*100</f>
        <v/>
      </c>
      <c r="BN417" s="82">
        <f>$AF417-$AF418</f>
        <v/>
      </c>
      <c r="BO417" s="82">
        <f>$AG417-$AG418</f>
        <v/>
      </c>
      <c r="BP417" s="82">
        <f>$AJ417-$AJ418</f>
        <v/>
      </c>
    </row>
    <row r="418">
      <c r="AR418" s="81">
        <f>($G418+($H418-$G418)*0.5)+($P418-($O418+($Q418-$O418)*0.5))</f>
        <v/>
      </c>
      <c r="AS418" s="81">
        <f>($J418+($K418-$J418)*0.5)+($T418-($S418+($U418-$S418)*0.5))</f>
        <v/>
      </c>
      <c r="AT418" s="82">
        <f>($J418-$C418)*100</f>
        <v/>
      </c>
      <c r="AU418" s="82">
        <f>($H418-$F418)*100</f>
        <v/>
      </c>
      <c r="AV418" s="82">
        <f>($J418-$F418)*100</f>
        <v/>
      </c>
      <c r="AW418" s="82">
        <f>($L418-$F418)*100</f>
        <v/>
      </c>
      <c r="AX418" s="82">
        <f>($J418-$H418)*100</f>
        <v/>
      </c>
      <c r="AY418" s="82">
        <f>($L418-$H418)*100</f>
        <v/>
      </c>
      <c r="AZ418" s="82">
        <f>($L418-$J418)*100</f>
        <v/>
      </c>
      <c r="BA418" s="82">
        <f>(2*$H418-$F418-$J418)*100</f>
        <v/>
      </c>
      <c r="BB418" s="82">
        <f>(2*$J418-$H418-$L418)*100</f>
        <v/>
      </c>
      <c r="BC418" s="82">
        <f>($N418-$F418)*100</f>
        <v/>
      </c>
      <c r="BD418" s="82">
        <f>($Q418-$H418)*100</f>
        <v/>
      </c>
      <c r="BE418" s="82">
        <f>($S418-$J418)*100</f>
        <v/>
      </c>
      <c r="BF418" s="82">
        <f>($V418-$L418)*100</f>
        <v/>
      </c>
      <c r="BG418" s="82">
        <f>$AG418-$AF418</f>
        <v/>
      </c>
      <c r="BH418" s="81">
        <f>IFERROR($AG418/$AF418,"")</f>
        <v/>
      </c>
      <c r="BI418" s="82">
        <f>$AJ418-$AF418</f>
        <v/>
      </c>
      <c r="BJ418" s="81">
        <f>IFERROR($AJ418/$AG418,"")</f>
        <v/>
      </c>
      <c r="BK418" s="81">
        <f>$X418</f>
        <v/>
      </c>
      <c r="BL418" s="82">
        <f>($J418-$J419)*100</f>
        <v/>
      </c>
      <c r="BM418" s="82">
        <f>($F418-$F419)*100</f>
        <v/>
      </c>
      <c r="BN418" s="82">
        <f>$AF418-$AF419</f>
        <v/>
      </c>
      <c r="BO418" s="82">
        <f>$AG418-$AG419</f>
        <v/>
      </c>
      <c r="BP418" s="82">
        <f>$AJ418-$AJ419</f>
        <v/>
      </c>
    </row>
    <row r="419">
      <c r="AR419" s="81">
        <f>($G419+($H419-$G419)*0.5)+($P419-($O419+($Q419-$O419)*0.5))</f>
        <v/>
      </c>
      <c r="AS419" s="81">
        <f>($J419+($K419-$J419)*0.5)+($T419-($S419+($U419-$S419)*0.5))</f>
        <v/>
      </c>
      <c r="AT419" s="82">
        <f>($J419-$C419)*100</f>
        <v/>
      </c>
      <c r="AU419" s="82">
        <f>($H419-$F419)*100</f>
        <v/>
      </c>
      <c r="AV419" s="82">
        <f>($J419-$F419)*100</f>
        <v/>
      </c>
      <c r="AW419" s="82">
        <f>($L419-$F419)*100</f>
        <v/>
      </c>
      <c r="AX419" s="82">
        <f>($J419-$H419)*100</f>
        <v/>
      </c>
      <c r="AY419" s="82">
        <f>($L419-$H419)*100</f>
        <v/>
      </c>
      <c r="AZ419" s="82">
        <f>($L419-$J419)*100</f>
        <v/>
      </c>
      <c r="BA419" s="82">
        <f>(2*$H419-$F419-$J419)*100</f>
        <v/>
      </c>
      <c r="BB419" s="82">
        <f>(2*$J419-$H419-$L419)*100</f>
        <v/>
      </c>
      <c r="BC419" s="82">
        <f>($N419-$F419)*100</f>
        <v/>
      </c>
      <c r="BD419" s="82">
        <f>($Q419-$H419)*100</f>
        <v/>
      </c>
      <c r="BE419" s="82">
        <f>($S419-$J419)*100</f>
        <v/>
      </c>
      <c r="BF419" s="82">
        <f>($V419-$L419)*100</f>
        <v/>
      </c>
      <c r="BG419" s="82">
        <f>$AG419-$AF419</f>
        <v/>
      </c>
      <c r="BH419" s="81">
        <f>IFERROR($AG419/$AF419,"")</f>
        <v/>
      </c>
      <c r="BI419" s="82">
        <f>$AJ419-$AF419</f>
        <v/>
      </c>
      <c r="BJ419" s="81">
        <f>IFERROR($AJ419/$AG419,"")</f>
        <v/>
      </c>
      <c r="BK419" s="81">
        <f>$X419</f>
        <v/>
      </c>
      <c r="BL419" s="82">
        <f>($J419-$J420)*100</f>
        <v/>
      </c>
      <c r="BM419" s="82">
        <f>($F419-$F420)*100</f>
        <v/>
      </c>
      <c r="BN419" s="82">
        <f>$AF419-$AF420</f>
        <v/>
      </c>
      <c r="BO419" s="82">
        <f>$AG419-$AG420</f>
        <v/>
      </c>
      <c r="BP419" s="82">
        <f>$AJ419-$AJ420</f>
        <v/>
      </c>
    </row>
    <row r="420">
      <c r="AR420" s="81">
        <f>($G420+($H420-$G420)*0.5)+($P420-($O420+($Q420-$O420)*0.5))</f>
        <v/>
      </c>
      <c r="AS420" s="81">
        <f>($J420+($K420-$J420)*0.5)+($T420-($S420+($U420-$S420)*0.5))</f>
        <v/>
      </c>
      <c r="AT420" s="82">
        <f>($J420-$C420)*100</f>
        <v/>
      </c>
      <c r="AU420" s="82">
        <f>($H420-$F420)*100</f>
        <v/>
      </c>
      <c r="AV420" s="82">
        <f>($J420-$F420)*100</f>
        <v/>
      </c>
      <c r="AW420" s="82">
        <f>($L420-$F420)*100</f>
        <v/>
      </c>
      <c r="AX420" s="82">
        <f>($J420-$H420)*100</f>
        <v/>
      </c>
      <c r="AY420" s="82">
        <f>($L420-$H420)*100</f>
        <v/>
      </c>
      <c r="AZ420" s="82">
        <f>($L420-$J420)*100</f>
        <v/>
      </c>
      <c r="BA420" s="82">
        <f>(2*$H420-$F420-$J420)*100</f>
        <v/>
      </c>
      <c r="BB420" s="82">
        <f>(2*$J420-$H420-$L420)*100</f>
        <v/>
      </c>
      <c r="BC420" s="82">
        <f>($N420-$F420)*100</f>
        <v/>
      </c>
      <c r="BD420" s="82">
        <f>($Q420-$H420)*100</f>
        <v/>
      </c>
      <c r="BE420" s="82">
        <f>($S420-$J420)*100</f>
        <v/>
      </c>
      <c r="BF420" s="82">
        <f>($V420-$L420)*100</f>
        <v/>
      </c>
      <c r="BG420" s="82">
        <f>$AG420-$AF420</f>
        <v/>
      </c>
      <c r="BH420" s="81">
        <f>IFERROR($AG420/$AF420,"")</f>
        <v/>
      </c>
      <c r="BI420" s="82">
        <f>$AJ420-$AF420</f>
        <v/>
      </c>
      <c r="BJ420" s="81">
        <f>IFERROR($AJ420/$AG420,"")</f>
        <v/>
      </c>
      <c r="BK420" s="81">
        <f>$X420</f>
        <v/>
      </c>
      <c r="BL420" s="82">
        <f>($J420-$J421)*100</f>
        <v/>
      </c>
      <c r="BM420" s="82">
        <f>($F420-$F421)*100</f>
        <v/>
      </c>
      <c r="BN420" s="82">
        <f>$AF420-$AF421</f>
        <v/>
      </c>
      <c r="BO420" s="82">
        <f>$AG420-$AG421</f>
        <v/>
      </c>
      <c r="BP420" s="82">
        <f>$AJ420-$AJ421</f>
        <v/>
      </c>
    </row>
    <row r="421">
      <c r="AR421" s="81">
        <f>($G421+($H421-$G421)*0.5)+($P421-($O421+($Q421-$O421)*0.5))</f>
        <v/>
      </c>
      <c r="AS421" s="81">
        <f>($J421+($K421-$J421)*0.5)+($T421-($S421+($U421-$S421)*0.5))</f>
        <v/>
      </c>
      <c r="AT421" s="82">
        <f>($J421-$C421)*100</f>
        <v/>
      </c>
      <c r="AU421" s="82">
        <f>($H421-$F421)*100</f>
        <v/>
      </c>
      <c r="AV421" s="82">
        <f>($J421-$F421)*100</f>
        <v/>
      </c>
      <c r="AW421" s="82">
        <f>($L421-$F421)*100</f>
        <v/>
      </c>
      <c r="AX421" s="82">
        <f>($J421-$H421)*100</f>
        <v/>
      </c>
      <c r="AY421" s="82">
        <f>($L421-$H421)*100</f>
        <v/>
      </c>
      <c r="AZ421" s="82">
        <f>($L421-$J421)*100</f>
        <v/>
      </c>
      <c r="BA421" s="82">
        <f>(2*$H421-$F421-$J421)*100</f>
        <v/>
      </c>
      <c r="BB421" s="82">
        <f>(2*$J421-$H421-$L421)*100</f>
        <v/>
      </c>
      <c r="BC421" s="82">
        <f>($N421-$F421)*100</f>
        <v/>
      </c>
      <c r="BD421" s="82">
        <f>($Q421-$H421)*100</f>
        <v/>
      </c>
      <c r="BE421" s="82">
        <f>($S421-$J421)*100</f>
        <v/>
      </c>
      <c r="BF421" s="82">
        <f>($V421-$L421)*100</f>
        <v/>
      </c>
      <c r="BG421" s="82">
        <f>$AG421-$AF421</f>
        <v/>
      </c>
      <c r="BH421" s="81">
        <f>IFERROR($AG421/$AF421,"")</f>
        <v/>
      </c>
      <c r="BI421" s="82">
        <f>$AJ421-$AF421</f>
        <v/>
      </c>
      <c r="BJ421" s="81">
        <f>IFERROR($AJ421/$AG421,"")</f>
        <v/>
      </c>
      <c r="BK421" s="81">
        <f>$X421</f>
        <v/>
      </c>
      <c r="BL421" s="82">
        <f>($J421-$J422)*100</f>
        <v/>
      </c>
      <c r="BM421" s="82">
        <f>($F421-$F422)*100</f>
        <v/>
      </c>
      <c r="BN421" s="82">
        <f>$AF421-$AF422</f>
        <v/>
      </c>
      <c r="BO421" s="82">
        <f>$AG421-$AG422</f>
        <v/>
      </c>
      <c r="BP421" s="82">
        <f>$AJ421-$AJ422</f>
        <v/>
      </c>
    </row>
    <row r="422">
      <c r="AR422" s="81">
        <f>($G422+($H422-$G422)*0.5)+($P422-($O422+($Q422-$O422)*0.5))</f>
        <v/>
      </c>
      <c r="AS422" s="81">
        <f>($J422+($K422-$J422)*0.5)+($T422-($S422+($U422-$S422)*0.5))</f>
        <v/>
      </c>
      <c r="AT422" s="82">
        <f>($J422-$C422)*100</f>
        <v/>
      </c>
      <c r="AU422" s="82">
        <f>($H422-$F422)*100</f>
        <v/>
      </c>
      <c r="AV422" s="82">
        <f>($J422-$F422)*100</f>
        <v/>
      </c>
      <c r="AW422" s="82">
        <f>($L422-$F422)*100</f>
        <v/>
      </c>
      <c r="AX422" s="82">
        <f>($J422-$H422)*100</f>
        <v/>
      </c>
      <c r="AY422" s="82">
        <f>($L422-$H422)*100</f>
        <v/>
      </c>
      <c r="AZ422" s="82">
        <f>($L422-$J422)*100</f>
        <v/>
      </c>
      <c r="BA422" s="82">
        <f>(2*$H422-$F422-$J422)*100</f>
        <v/>
      </c>
      <c r="BB422" s="82">
        <f>(2*$J422-$H422-$L422)*100</f>
        <v/>
      </c>
      <c r="BC422" s="82">
        <f>($N422-$F422)*100</f>
        <v/>
      </c>
      <c r="BD422" s="82">
        <f>($Q422-$H422)*100</f>
        <v/>
      </c>
      <c r="BE422" s="82">
        <f>($S422-$J422)*100</f>
        <v/>
      </c>
      <c r="BF422" s="82">
        <f>($V422-$L422)*100</f>
        <v/>
      </c>
      <c r="BG422" s="82">
        <f>$AG422-$AF422</f>
        <v/>
      </c>
      <c r="BH422" s="81">
        <f>IFERROR($AG422/$AF422,"")</f>
        <v/>
      </c>
      <c r="BI422" s="82">
        <f>$AJ422-$AF422</f>
        <v/>
      </c>
      <c r="BJ422" s="81">
        <f>IFERROR($AJ422/$AG422,"")</f>
        <v/>
      </c>
      <c r="BK422" s="81">
        <f>$X422</f>
        <v/>
      </c>
      <c r="BL422" s="82">
        <f>($J422-$J423)*100</f>
        <v/>
      </c>
      <c r="BM422" s="82">
        <f>($F422-$F423)*100</f>
        <v/>
      </c>
      <c r="BN422" s="82">
        <f>$AF422-$AF423</f>
        <v/>
      </c>
      <c r="BO422" s="82">
        <f>$AG422-$AG423</f>
        <v/>
      </c>
      <c r="BP422" s="82">
        <f>$AJ422-$AJ423</f>
        <v/>
      </c>
    </row>
    <row r="423">
      <c r="AR423" s="81">
        <f>($G423+($H423-$G423)*0.5)+($P423-($O423+($Q423-$O423)*0.5))</f>
        <v/>
      </c>
      <c r="AS423" s="81">
        <f>($J423+($K423-$J423)*0.5)+($T423-($S423+($U423-$S423)*0.5))</f>
        <v/>
      </c>
      <c r="AT423" s="82">
        <f>($J423-$C423)*100</f>
        <v/>
      </c>
      <c r="AU423" s="82">
        <f>($H423-$F423)*100</f>
        <v/>
      </c>
      <c r="AV423" s="82">
        <f>($J423-$F423)*100</f>
        <v/>
      </c>
      <c r="AW423" s="82">
        <f>($L423-$F423)*100</f>
        <v/>
      </c>
      <c r="AX423" s="82">
        <f>($J423-$H423)*100</f>
        <v/>
      </c>
      <c r="AY423" s="82">
        <f>($L423-$H423)*100</f>
        <v/>
      </c>
      <c r="AZ423" s="82">
        <f>($L423-$J423)*100</f>
        <v/>
      </c>
      <c r="BA423" s="82">
        <f>(2*$H423-$F423-$J423)*100</f>
        <v/>
      </c>
      <c r="BB423" s="82">
        <f>(2*$J423-$H423-$L423)*100</f>
        <v/>
      </c>
      <c r="BC423" s="82">
        <f>($N423-$F423)*100</f>
        <v/>
      </c>
      <c r="BD423" s="82">
        <f>($Q423-$H423)*100</f>
        <v/>
      </c>
      <c r="BE423" s="82">
        <f>($S423-$J423)*100</f>
        <v/>
      </c>
      <c r="BF423" s="82">
        <f>($V423-$L423)*100</f>
        <v/>
      </c>
      <c r="BG423" s="82">
        <f>$AG423-$AF423</f>
        <v/>
      </c>
      <c r="BH423" s="81">
        <f>IFERROR($AG423/$AF423,"")</f>
        <v/>
      </c>
      <c r="BI423" s="82">
        <f>$AJ423-$AF423</f>
        <v/>
      </c>
      <c r="BJ423" s="81">
        <f>IFERROR($AJ423/$AG423,"")</f>
        <v/>
      </c>
      <c r="BK423" s="81">
        <f>$X423</f>
        <v/>
      </c>
      <c r="BL423" s="82">
        <f>($J423-$J424)*100</f>
        <v/>
      </c>
      <c r="BM423" s="82">
        <f>($F423-$F424)*100</f>
        <v/>
      </c>
      <c r="BN423" s="82">
        <f>$AF423-$AF424</f>
        <v/>
      </c>
      <c r="BO423" s="82">
        <f>$AG423-$AG424</f>
        <v/>
      </c>
      <c r="BP423" s="82">
        <f>$AJ423-$AJ424</f>
        <v/>
      </c>
    </row>
    <row r="424">
      <c r="AR424" s="81">
        <f>($G424+($H424-$G424)*0.5)+($P424-($O424+($Q424-$O424)*0.5))</f>
        <v/>
      </c>
      <c r="AS424" s="81">
        <f>($J424+($K424-$J424)*0.5)+($T424-($S424+($U424-$S424)*0.5))</f>
        <v/>
      </c>
      <c r="AT424" s="82">
        <f>($J424-$C424)*100</f>
        <v/>
      </c>
      <c r="AU424" s="82">
        <f>($H424-$F424)*100</f>
        <v/>
      </c>
      <c r="AV424" s="82">
        <f>($J424-$F424)*100</f>
        <v/>
      </c>
      <c r="AW424" s="82">
        <f>($L424-$F424)*100</f>
        <v/>
      </c>
      <c r="AX424" s="82">
        <f>($J424-$H424)*100</f>
        <v/>
      </c>
      <c r="AY424" s="82">
        <f>($L424-$H424)*100</f>
        <v/>
      </c>
      <c r="AZ424" s="82">
        <f>($L424-$J424)*100</f>
        <v/>
      </c>
      <c r="BA424" s="82">
        <f>(2*$H424-$F424-$J424)*100</f>
        <v/>
      </c>
      <c r="BB424" s="82">
        <f>(2*$J424-$H424-$L424)*100</f>
        <v/>
      </c>
      <c r="BC424" s="82">
        <f>($N424-$F424)*100</f>
        <v/>
      </c>
      <c r="BD424" s="82">
        <f>($Q424-$H424)*100</f>
        <v/>
      </c>
      <c r="BE424" s="82">
        <f>($S424-$J424)*100</f>
        <v/>
      </c>
      <c r="BF424" s="82">
        <f>($V424-$L424)*100</f>
        <v/>
      </c>
      <c r="BG424" s="82">
        <f>$AG424-$AF424</f>
        <v/>
      </c>
      <c r="BH424" s="81">
        <f>IFERROR($AG424/$AF424,"")</f>
        <v/>
      </c>
      <c r="BI424" s="82">
        <f>$AJ424-$AF424</f>
        <v/>
      </c>
      <c r="BJ424" s="81">
        <f>IFERROR($AJ424/$AG424,"")</f>
        <v/>
      </c>
      <c r="BK424" s="81">
        <f>$X424</f>
        <v/>
      </c>
      <c r="BL424" s="82">
        <f>($J424-$J425)*100</f>
        <v/>
      </c>
      <c r="BM424" s="82">
        <f>($F424-$F425)*100</f>
        <v/>
      </c>
      <c r="BN424" s="82">
        <f>$AF424-$AF425</f>
        <v/>
      </c>
      <c r="BO424" s="82">
        <f>$AG424-$AG425</f>
        <v/>
      </c>
      <c r="BP424" s="82">
        <f>$AJ424-$AJ425</f>
        <v/>
      </c>
    </row>
    <row r="425">
      <c r="AR425" s="81">
        <f>($G425+($H425-$G425)*0.5)+($P425-($O425+($Q425-$O425)*0.5))</f>
        <v/>
      </c>
      <c r="AS425" s="81">
        <f>($J425+($K425-$J425)*0.5)+($T425-($S425+($U425-$S425)*0.5))</f>
        <v/>
      </c>
      <c r="AT425" s="82">
        <f>($J425-$C425)*100</f>
        <v/>
      </c>
      <c r="AU425" s="82">
        <f>($H425-$F425)*100</f>
        <v/>
      </c>
      <c r="AV425" s="82">
        <f>($J425-$F425)*100</f>
        <v/>
      </c>
      <c r="AW425" s="82">
        <f>($L425-$F425)*100</f>
        <v/>
      </c>
      <c r="AX425" s="82">
        <f>($J425-$H425)*100</f>
        <v/>
      </c>
      <c r="AY425" s="82">
        <f>($L425-$H425)*100</f>
        <v/>
      </c>
      <c r="AZ425" s="82">
        <f>($L425-$J425)*100</f>
        <v/>
      </c>
      <c r="BA425" s="82">
        <f>(2*$H425-$F425-$J425)*100</f>
        <v/>
      </c>
      <c r="BB425" s="82">
        <f>(2*$J425-$H425-$L425)*100</f>
        <v/>
      </c>
      <c r="BC425" s="82">
        <f>($N425-$F425)*100</f>
        <v/>
      </c>
      <c r="BD425" s="82">
        <f>($Q425-$H425)*100</f>
        <v/>
      </c>
      <c r="BE425" s="82">
        <f>($S425-$J425)*100</f>
        <v/>
      </c>
      <c r="BF425" s="82">
        <f>($V425-$L425)*100</f>
        <v/>
      </c>
      <c r="BG425" s="82">
        <f>$AG425-$AF425</f>
        <v/>
      </c>
      <c r="BH425" s="81">
        <f>IFERROR($AG425/$AF425,"")</f>
        <v/>
      </c>
      <c r="BI425" s="82">
        <f>$AJ425-$AF425</f>
        <v/>
      </c>
      <c r="BJ425" s="81">
        <f>IFERROR($AJ425/$AG425,"")</f>
        <v/>
      </c>
      <c r="BK425" s="81">
        <f>$X425</f>
        <v/>
      </c>
      <c r="BL425" s="82">
        <f>($J425-$J426)*100</f>
        <v/>
      </c>
      <c r="BM425" s="82">
        <f>($F425-$F426)*100</f>
        <v/>
      </c>
      <c r="BN425" s="82">
        <f>$AF425-$AF426</f>
        <v/>
      </c>
      <c r="BO425" s="82">
        <f>$AG425-$AG426</f>
        <v/>
      </c>
      <c r="BP425" s="82">
        <f>$AJ425-$AJ426</f>
        <v/>
      </c>
    </row>
    <row r="426">
      <c r="AR426" s="81">
        <f>($G426+($H426-$G426)*0.5)+($P426-($O426+($Q426-$O426)*0.5))</f>
        <v/>
      </c>
      <c r="AS426" s="81">
        <f>($J426+($K426-$J426)*0.5)+($T426-($S426+($U426-$S426)*0.5))</f>
        <v/>
      </c>
      <c r="AT426" s="82">
        <f>($J426-$C426)*100</f>
        <v/>
      </c>
      <c r="AU426" s="82">
        <f>($H426-$F426)*100</f>
        <v/>
      </c>
      <c r="AV426" s="82">
        <f>($J426-$F426)*100</f>
        <v/>
      </c>
      <c r="AW426" s="82">
        <f>($L426-$F426)*100</f>
        <v/>
      </c>
      <c r="AX426" s="82">
        <f>($J426-$H426)*100</f>
        <v/>
      </c>
      <c r="AY426" s="82">
        <f>($L426-$H426)*100</f>
        <v/>
      </c>
      <c r="AZ426" s="82">
        <f>($L426-$J426)*100</f>
        <v/>
      </c>
      <c r="BA426" s="82">
        <f>(2*$H426-$F426-$J426)*100</f>
        <v/>
      </c>
      <c r="BB426" s="82">
        <f>(2*$J426-$H426-$L426)*100</f>
        <v/>
      </c>
      <c r="BC426" s="82">
        <f>($N426-$F426)*100</f>
        <v/>
      </c>
      <c r="BD426" s="82">
        <f>($Q426-$H426)*100</f>
        <v/>
      </c>
      <c r="BE426" s="82">
        <f>($S426-$J426)*100</f>
        <v/>
      </c>
      <c r="BF426" s="82">
        <f>($V426-$L426)*100</f>
        <v/>
      </c>
      <c r="BG426" s="82">
        <f>$AG426-$AF426</f>
        <v/>
      </c>
      <c r="BH426" s="81">
        <f>IFERROR($AG426/$AF426,"")</f>
        <v/>
      </c>
      <c r="BI426" s="82">
        <f>$AJ426-$AF426</f>
        <v/>
      </c>
      <c r="BJ426" s="81">
        <f>IFERROR($AJ426/$AG426,"")</f>
        <v/>
      </c>
      <c r="BK426" s="81">
        <f>$X426</f>
        <v/>
      </c>
      <c r="BL426" s="82">
        <f>($J426-$J427)*100</f>
        <v/>
      </c>
      <c r="BM426" s="82">
        <f>($F426-$F427)*100</f>
        <v/>
      </c>
      <c r="BN426" s="82">
        <f>$AF426-$AF427</f>
        <v/>
      </c>
      <c r="BO426" s="82">
        <f>$AG426-$AG427</f>
        <v/>
      </c>
      <c r="BP426" s="82">
        <f>$AJ426-$AJ427</f>
        <v/>
      </c>
    </row>
    <row r="427">
      <c r="AR427" s="81">
        <f>($G427+($H427-$G427)*0.5)+($P427-($O427+($Q427-$O427)*0.5))</f>
        <v/>
      </c>
      <c r="AS427" s="81">
        <f>($J427+($K427-$J427)*0.5)+($T427-($S427+($U427-$S427)*0.5))</f>
        <v/>
      </c>
      <c r="AT427" s="82">
        <f>($J427-$C427)*100</f>
        <v/>
      </c>
      <c r="AU427" s="82">
        <f>($H427-$F427)*100</f>
        <v/>
      </c>
      <c r="AV427" s="82">
        <f>($J427-$F427)*100</f>
        <v/>
      </c>
      <c r="AW427" s="82">
        <f>($L427-$F427)*100</f>
        <v/>
      </c>
      <c r="AX427" s="82">
        <f>($J427-$H427)*100</f>
        <v/>
      </c>
      <c r="AY427" s="82">
        <f>($L427-$H427)*100</f>
        <v/>
      </c>
      <c r="AZ427" s="82">
        <f>($L427-$J427)*100</f>
        <v/>
      </c>
      <c r="BA427" s="82">
        <f>(2*$H427-$F427-$J427)*100</f>
        <v/>
      </c>
      <c r="BB427" s="82">
        <f>(2*$J427-$H427-$L427)*100</f>
        <v/>
      </c>
      <c r="BC427" s="82">
        <f>($N427-$F427)*100</f>
        <v/>
      </c>
      <c r="BD427" s="82">
        <f>($Q427-$H427)*100</f>
        <v/>
      </c>
      <c r="BE427" s="82">
        <f>($S427-$J427)*100</f>
        <v/>
      </c>
      <c r="BF427" s="82">
        <f>($V427-$L427)*100</f>
        <v/>
      </c>
      <c r="BG427" s="82">
        <f>$AG427-$AF427</f>
        <v/>
      </c>
      <c r="BH427" s="81">
        <f>IFERROR($AG427/$AF427,"")</f>
        <v/>
      </c>
      <c r="BI427" s="82">
        <f>$AJ427-$AF427</f>
        <v/>
      </c>
      <c r="BJ427" s="81">
        <f>IFERROR($AJ427/$AG427,"")</f>
        <v/>
      </c>
      <c r="BK427" s="81">
        <f>$X427</f>
        <v/>
      </c>
      <c r="BL427" s="82">
        <f>($J427-$J428)*100</f>
        <v/>
      </c>
      <c r="BM427" s="82">
        <f>($F427-$F428)*100</f>
        <v/>
      </c>
      <c r="BN427" s="82">
        <f>$AF427-$AF428</f>
        <v/>
      </c>
      <c r="BO427" s="82">
        <f>$AG427-$AG428</f>
        <v/>
      </c>
      <c r="BP427" s="82">
        <f>$AJ427-$AJ428</f>
        <v/>
      </c>
    </row>
    <row r="428">
      <c r="AR428" s="81">
        <f>($G428+($H428-$G428)*0.5)+($P428-($O428+($Q428-$O428)*0.5))</f>
        <v/>
      </c>
      <c r="AS428" s="81">
        <f>($J428+($K428-$J428)*0.5)+($T428-($S428+($U428-$S428)*0.5))</f>
        <v/>
      </c>
      <c r="AT428" s="82">
        <f>($J428-$C428)*100</f>
        <v/>
      </c>
      <c r="AU428" s="82">
        <f>($H428-$F428)*100</f>
        <v/>
      </c>
      <c r="AV428" s="82">
        <f>($J428-$F428)*100</f>
        <v/>
      </c>
      <c r="AW428" s="82">
        <f>($L428-$F428)*100</f>
        <v/>
      </c>
      <c r="AX428" s="82">
        <f>($J428-$H428)*100</f>
        <v/>
      </c>
      <c r="AY428" s="82">
        <f>($L428-$H428)*100</f>
        <v/>
      </c>
      <c r="AZ428" s="82">
        <f>($L428-$J428)*100</f>
        <v/>
      </c>
      <c r="BA428" s="82">
        <f>(2*$H428-$F428-$J428)*100</f>
        <v/>
      </c>
      <c r="BB428" s="82">
        <f>(2*$J428-$H428-$L428)*100</f>
        <v/>
      </c>
      <c r="BC428" s="82">
        <f>($N428-$F428)*100</f>
        <v/>
      </c>
      <c r="BD428" s="82">
        <f>($Q428-$H428)*100</f>
        <v/>
      </c>
      <c r="BE428" s="82">
        <f>($S428-$J428)*100</f>
        <v/>
      </c>
      <c r="BF428" s="82">
        <f>($V428-$L428)*100</f>
        <v/>
      </c>
      <c r="BG428" s="82">
        <f>$AG428-$AF428</f>
        <v/>
      </c>
      <c r="BH428" s="81">
        <f>IFERROR($AG428/$AF428,"")</f>
        <v/>
      </c>
      <c r="BI428" s="82">
        <f>$AJ428-$AF428</f>
        <v/>
      </c>
      <c r="BJ428" s="81">
        <f>IFERROR($AJ428/$AG428,"")</f>
        <v/>
      </c>
      <c r="BK428" s="81">
        <f>$X428</f>
        <v/>
      </c>
      <c r="BL428" s="82">
        <f>($J428-$J429)*100</f>
        <v/>
      </c>
      <c r="BM428" s="82">
        <f>($F428-$F429)*100</f>
        <v/>
      </c>
      <c r="BN428" s="82">
        <f>$AF428-$AF429</f>
        <v/>
      </c>
      <c r="BO428" s="82">
        <f>$AG428-$AG429</f>
        <v/>
      </c>
      <c r="BP428" s="82">
        <f>$AJ428-$AJ429</f>
        <v/>
      </c>
    </row>
    <row r="429">
      <c r="AR429" s="81">
        <f>($G429+($H429-$G429)*0.5)+($P429-($O429+($Q429-$O429)*0.5))</f>
        <v/>
      </c>
      <c r="AS429" s="81">
        <f>($J429+($K429-$J429)*0.5)+($T429-($S429+($U429-$S429)*0.5))</f>
        <v/>
      </c>
      <c r="AT429" s="82">
        <f>($J429-$C429)*100</f>
        <v/>
      </c>
      <c r="AU429" s="82">
        <f>($H429-$F429)*100</f>
        <v/>
      </c>
      <c r="AV429" s="82">
        <f>($J429-$F429)*100</f>
        <v/>
      </c>
      <c r="AW429" s="82">
        <f>($L429-$F429)*100</f>
        <v/>
      </c>
      <c r="AX429" s="82">
        <f>($J429-$H429)*100</f>
        <v/>
      </c>
      <c r="AY429" s="82">
        <f>($L429-$H429)*100</f>
        <v/>
      </c>
      <c r="AZ429" s="82">
        <f>($L429-$J429)*100</f>
        <v/>
      </c>
      <c r="BA429" s="82">
        <f>(2*$H429-$F429-$J429)*100</f>
        <v/>
      </c>
      <c r="BB429" s="82">
        <f>(2*$J429-$H429-$L429)*100</f>
        <v/>
      </c>
      <c r="BC429" s="82">
        <f>($N429-$F429)*100</f>
        <v/>
      </c>
      <c r="BD429" s="82">
        <f>($Q429-$H429)*100</f>
        <v/>
      </c>
      <c r="BE429" s="82">
        <f>($S429-$J429)*100</f>
        <v/>
      </c>
      <c r="BF429" s="82">
        <f>($V429-$L429)*100</f>
        <v/>
      </c>
      <c r="BG429" s="82">
        <f>$AG429-$AF429</f>
        <v/>
      </c>
      <c r="BH429" s="81">
        <f>IFERROR($AG429/$AF429,"")</f>
        <v/>
      </c>
      <c r="BI429" s="82">
        <f>$AJ429-$AF429</f>
        <v/>
      </c>
      <c r="BJ429" s="81">
        <f>IFERROR($AJ429/$AG429,"")</f>
        <v/>
      </c>
      <c r="BK429" s="81">
        <f>$X429</f>
        <v/>
      </c>
      <c r="BL429" s="82">
        <f>($J429-$J430)*100</f>
        <v/>
      </c>
      <c r="BM429" s="82">
        <f>($F429-$F430)*100</f>
        <v/>
      </c>
      <c r="BN429" s="82">
        <f>$AF429-$AF430</f>
        <v/>
      </c>
      <c r="BO429" s="82">
        <f>$AG429-$AG430</f>
        <v/>
      </c>
      <c r="BP429" s="82">
        <f>$AJ429-$AJ430</f>
        <v/>
      </c>
    </row>
    <row r="430">
      <c r="AR430" s="81">
        <f>($G430+($H430-$G430)*0.5)+($P430-($O430+($Q430-$O430)*0.5))</f>
        <v/>
      </c>
      <c r="AS430" s="81">
        <f>($J430+($K430-$J430)*0.5)+($T430-($S430+($U430-$S430)*0.5))</f>
        <v/>
      </c>
      <c r="AT430" s="82">
        <f>($J430-$C430)*100</f>
        <v/>
      </c>
      <c r="AU430" s="82">
        <f>($H430-$F430)*100</f>
        <v/>
      </c>
      <c r="AV430" s="82">
        <f>($J430-$F430)*100</f>
        <v/>
      </c>
      <c r="AW430" s="82">
        <f>($L430-$F430)*100</f>
        <v/>
      </c>
      <c r="AX430" s="82">
        <f>($J430-$H430)*100</f>
        <v/>
      </c>
      <c r="AY430" s="82">
        <f>($L430-$H430)*100</f>
        <v/>
      </c>
      <c r="AZ430" s="82">
        <f>($L430-$J430)*100</f>
        <v/>
      </c>
      <c r="BA430" s="82">
        <f>(2*$H430-$F430-$J430)*100</f>
        <v/>
      </c>
      <c r="BB430" s="82">
        <f>(2*$J430-$H430-$L430)*100</f>
        <v/>
      </c>
      <c r="BC430" s="82">
        <f>($N430-$F430)*100</f>
        <v/>
      </c>
      <c r="BD430" s="82">
        <f>($Q430-$H430)*100</f>
        <v/>
      </c>
      <c r="BE430" s="82">
        <f>($S430-$J430)*100</f>
        <v/>
      </c>
      <c r="BF430" s="82">
        <f>($V430-$L430)*100</f>
        <v/>
      </c>
      <c r="BG430" s="82">
        <f>$AG430-$AF430</f>
        <v/>
      </c>
      <c r="BH430" s="81">
        <f>IFERROR($AG430/$AF430,"")</f>
        <v/>
      </c>
      <c r="BI430" s="82">
        <f>$AJ430-$AF430</f>
        <v/>
      </c>
      <c r="BJ430" s="81">
        <f>IFERROR($AJ430/$AG430,"")</f>
        <v/>
      </c>
      <c r="BK430" s="81">
        <f>$X430</f>
        <v/>
      </c>
      <c r="BL430" s="82">
        <f>($J430-$J431)*100</f>
        <v/>
      </c>
      <c r="BM430" s="82">
        <f>($F430-$F431)*100</f>
        <v/>
      </c>
      <c r="BN430" s="82">
        <f>$AF430-$AF431</f>
        <v/>
      </c>
      <c r="BO430" s="82">
        <f>$AG430-$AG431</f>
        <v/>
      </c>
      <c r="BP430" s="82">
        <f>$AJ430-$AJ431</f>
        <v/>
      </c>
    </row>
    <row r="431">
      <c r="AR431" s="81">
        <f>($G431+($H431-$G431)*0.5)+($P431-($O431+($Q431-$O431)*0.5))</f>
        <v/>
      </c>
      <c r="AS431" s="81">
        <f>($J431+($K431-$J431)*0.5)+($T431-($S431+($U431-$S431)*0.5))</f>
        <v/>
      </c>
      <c r="AT431" s="82">
        <f>($J431-$C431)*100</f>
        <v/>
      </c>
      <c r="AU431" s="82">
        <f>($H431-$F431)*100</f>
        <v/>
      </c>
      <c r="AV431" s="82">
        <f>($J431-$F431)*100</f>
        <v/>
      </c>
      <c r="AW431" s="82">
        <f>($L431-$F431)*100</f>
        <v/>
      </c>
      <c r="AX431" s="82">
        <f>($J431-$H431)*100</f>
        <v/>
      </c>
      <c r="AY431" s="82">
        <f>($L431-$H431)*100</f>
        <v/>
      </c>
      <c r="AZ431" s="82">
        <f>($L431-$J431)*100</f>
        <v/>
      </c>
      <c r="BA431" s="82">
        <f>(2*$H431-$F431-$J431)*100</f>
        <v/>
      </c>
      <c r="BB431" s="82">
        <f>(2*$J431-$H431-$L431)*100</f>
        <v/>
      </c>
      <c r="BC431" s="82">
        <f>($N431-$F431)*100</f>
        <v/>
      </c>
      <c r="BD431" s="82">
        <f>($Q431-$H431)*100</f>
        <v/>
      </c>
      <c r="BE431" s="82">
        <f>($S431-$J431)*100</f>
        <v/>
      </c>
      <c r="BF431" s="82">
        <f>($V431-$L431)*100</f>
        <v/>
      </c>
      <c r="BG431" s="82">
        <f>$AG431-$AF431</f>
        <v/>
      </c>
      <c r="BH431" s="81">
        <f>IFERROR($AG431/$AF431,"")</f>
        <v/>
      </c>
      <c r="BI431" s="82">
        <f>$AJ431-$AF431</f>
        <v/>
      </c>
      <c r="BJ431" s="81">
        <f>IFERROR($AJ431/$AG431,"")</f>
        <v/>
      </c>
      <c r="BK431" s="81">
        <f>$X431</f>
        <v/>
      </c>
      <c r="BL431" s="82">
        <f>($J431-$J432)*100</f>
        <v/>
      </c>
      <c r="BM431" s="82">
        <f>($F431-$F432)*100</f>
        <v/>
      </c>
      <c r="BN431" s="82">
        <f>$AF431-$AF432</f>
        <v/>
      </c>
      <c r="BO431" s="82">
        <f>$AG431-$AG432</f>
        <v/>
      </c>
      <c r="BP431" s="82">
        <f>$AJ431-$AJ432</f>
        <v/>
      </c>
    </row>
    <row r="432">
      <c r="AR432" s="81">
        <f>($G432+($H432-$G432)*0.5)+($P432-($O432+($Q432-$O432)*0.5))</f>
        <v/>
      </c>
      <c r="AS432" s="81">
        <f>($J432+($K432-$J432)*0.5)+($T432-($S432+($U432-$S432)*0.5))</f>
        <v/>
      </c>
      <c r="AT432" s="82">
        <f>($J432-$C432)*100</f>
        <v/>
      </c>
      <c r="AU432" s="82">
        <f>($H432-$F432)*100</f>
        <v/>
      </c>
      <c r="AV432" s="82">
        <f>($J432-$F432)*100</f>
        <v/>
      </c>
      <c r="AW432" s="82">
        <f>($L432-$F432)*100</f>
        <v/>
      </c>
      <c r="AX432" s="82">
        <f>($J432-$H432)*100</f>
        <v/>
      </c>
      <c r="AY432" s="82">
        <f>($L432-$H432)*100</f>
        <v/>
      </c>
      <c r="AZ432" s="82">
        <f>($L432-$J432)*100</f>
        <v/>
      </c>
      <c r="BA432" s="82">
        <f>(2*$H432-$F432-$J432)*100</f>
        <v/>
      </c>
      <c r="BB432" s="82">
        <f>(2*$J432-$H432-$L432)*100</f>
        <v/>
      </c>
      <c r="BC432" s="82">
        <f>($N432-$F432)*100</f>
        <v/>
      </c>
      <c r="BD432" s="82">
        <f>($Q432-$H432)*100</f>
        <v/>
      </c>
      <c r="BE432" s="82">
        <f>($S432-$J432)*100</f>
        <v/>
      </c>
      <c r="BF432" s="82">
        <f>($V432-$L432)*100</f>
        <v/>
      </c>
      <c r="BG432" s="82">
        <f>$AG432-$AF432</f>
        <v/>
      </c>
      <c r="BH432" s="81">
        <f>IFERROR($AG432/$AF432,"")</f>
        <v/>
      </c>
      <c r="BI432" s="82">
        <f>$AJ432-$AF432</f>
        <v/>
      </c>
      <c r="BJ432" s="81">
        <f>IFERROR($AJ432/$AG432,"")</f>
        <v/>
      </c>
      <c r="BK432" s="81">
        <f>$X432</f>
        <v/>
      </c>
      <c r="BL432" s="82">
        <f>($J432-$J433)*100</f>
        <v/>
      </c>
      <c r="BM432" s="82">
        <f>($F432-$F433)*100</f>
        <v/>
      </c>
      <c r="BN432" s="82">
        <f>$AF432-$AF433</f>
        <v/>
      </c>
      <c r="BO432" s="82">
        <f>$AG432-$AG433</f>
        <v/>
      </c>
      <c r="BP432" s="82">
        <f>$AJ432-$AJ433</f>
        <v/>
      </c>
    </row>
    <row r="433">
      <c r="AR433" s="81">
        <f>($G433+($H433-$G433)*0.5)+($P433-($O433+($Q433-$O433)*0.5))</f>
        <v/>
      </c>
      <c r="AS433" s="81">
        <f>($J433+($K433-$J433)*0.5)+($T433-($S433+($U433-$S433)*0.5))</f>
        <v/>
      </c>
      <c r="AT433" s="82">
        <f>($J433-$C433)*100</f>
        <v/>
      </c>
      <c r="AU433" s="82">
        <f>($H433-$F433)*100</f>
        <v/>
      </c>
      <c r="AV433" s="82">
        <f>($J433-$F433)*100</f>
        <v/>
      </c>
      <c r="AW433" s="82">
        <f>($L433-$F433)*100</f>
        <v/>
      </c>
      <c r="AX433" s="82">
        <f>($J433-$H433)*100</f>
        <v/>
      </c>
      <c r="AY433" s="82">
        <f>($L433-$H433)*100</f>
        <v/>
      </c>
      <c r="AZ433" s="82">
        <f>($L433-$J433)*100</f>
        <v/>
      </c>
      <c r="BA433" s="82">
        <f>(2*$H433-$F433-$J433)*100</f>
        <v/>
      </c>
      <c r="BB433" s="82">
        <f>(2*$J433-$H433-$L433)*100</f>
        <v/>
      </c>
      <c r="BC433" s="82">
        <f>($N433-$F433)*100</f>
        <v/>
      </c>
      <c r="BD433" s="82">
        <f>($Q433-$H433)*100</f>
        <v/>
      </c>
      <c r="BE433" s="82">
        <f>($S433-$J433)*100</f>
        <v/>
      </c>
      <c r="BF433" s="82">
        <f>($V433-$L433)*100</f>
        <v/>
      </c>
      <c r="BG433" s="82">
        <f>$AG433-$AF433</f>
        <v/>
      </c>
      <c r="BH433" s="81">
        <f>IFERROR($AG433/$AF433,"")</f>
        <v/>
      </c>
      <c r="BI433" s="82">
        <f>$AJ433-$AF433</f>
        <v/>
      </c>
      <c r="BJ433" s="81">
        <f>IFERROR($AJ433/$AG433,"")</f>
        <v/>
      </c>
      <c r="BK433" s="81">
        <f>$X433</f>
        <v/>
      </c>
      <c r="BL433" s="82">
        <f>($J433-$J434)*100</f>
        <v/>
      </c>
      <c r="BM433" s="82">
        <f>($F433-$F434)*100</f>
        <v/>
      </c>
      <c r="BN433" s="82">
        <f>$AF433-$AF434</f>
        <v/>
      </c>
      <c r="BO433" s="82">
        <f>$AG433-$AG434</f>
        <v/>
      </c>
      <c r="BP433" s="82">
        <f>$AJ433-$AJ434</f>
        <v/>
      </c>
    </row>
    <row r="434">
      <c r="AR434" s="81">
        <f>($G434+($H434-$G434)*0.5)+($P434-($O434+($Q434-$O434)*0.5))</f>
        <v/>
      </c>
      <c r="AS434" s="81">
        <f>($J434+($K434-$J434)*0.5)+($T434-($S434+($U434-$S434)*0.5))</f>
        <v/>
      </c>
      <c r="AT434" s="82">
        <f>($J434-$C434)*100</f>
        <v/>
      </c>
      <c r="AU434" s="82">
        <f>($H434-$F434)*100</f>
        <v/>
      </c>
      <c r="AV434" s="82">
        <f>($J434-$F434)*100</f>
        <v/>
      </c>
      <c r="AW434" s="82">
        <f>($L434-$F434)*100</f>
        <v/>
      </c>
      <c r="AX434" s="82">
        <f>($J434-$H434)*100</f>
        <v/>
      </c>
      <c r="AY434" s="82">
        <f>($L434-$H434)*100</f>
        <v/>
      </c>
      <c r="AZ434" s="82">
        <f>($L434-$J434)*100</f>
        <v/>
      </c>
      <c r="BA434" s="82">
        <f>(2*$H434-$F434-$J434)*100</f>
        <v/>
      </c>
      <c r="BB434" s="82">
        <f>(2*$J434-$H434-$L434)*100</f>
        <v/>
      </c>
      <c r="BC434" s="82">
        <f>($N434-$F434)*100</f>
        <v/>
      </c>
      <c r="BD434" s="82">
        <f>($Q434-$H434)*100</f>
        <v/>
      </c>
      <c r="BE434" s="82">
        <f>($S434-$J434)*100</f>
        <v/>
      </c>
      <c r="BF434" s="82">
        <f>($V434-$L434)*100</f>
        <v/>
      </c>
      <c r="BG434" s="82">
        <f>$AG434-$AF434</f>
        <v/>
      </c>
      <c r="BH434" s="81">
        <f>IFERROR($AG434/$AF434,"")</f>
        <v/>
      </c>
      <c r="BI434" s="82">
        <f>$AJ434-$AF434</f>
        <v/>
      </c>
      <c r="BJ434" s="81">
        <f>IFERROR($AJ434/$AG434,"")</f>
        <v/>
      </c>
      <c r="BK434" s="81">
        <f>$X434</f>
        <v/>
      </c>
      <c r="BL434" s="82">
        <f>($J434-$J435)*100</f>
        <v/>
      </c>
      <c r="BM434" s="82">
        <f>($F434-$F435)*100</f>
        <v/>
      </c>
      <c r="BN434" s="82">
        <f>$AF434-$AF435</f>
        <v/>
      </c>
      <c r="BO434" s="82">
        <f>$AG434-$AG435</f>
        <v/>
      </c>
      <c r="BP434" s="82">
        <f>$AJ434-$AJ435</f>
        <v/>
      </c>
    </row>
    <row r="435">
      <c r="AR435" s="81">
        <f>($G435+($H435-$G435)*0.5)+($P435-($O435+($Q435-$O435)*0.5))</f>
        <v/>
      </c>
      <c r="AS435" s="81">
        <f>($J435+($K435-$J435)*0.5)+($T435-($S435+($U435-$S435)*0.5))</f>
        <v/>
      </c>
      <c r="AT435" s="82">
        <f>($J435-$C435)*100</f>
        <v/>
      </c>
      <c r="AU435" s="82">
        <f>($H435-$F435)*100</f>
        <v/>
      </c>
      <c r="AV435" s="82">
        <f>($J435-$F435)*100</f>
        <v/>
      </c>
      <c r="AW435" s="82">
        <f>($L435-$F435)*100</f>
        <v/>
      </c>
      <c r="AX435" s="82">
        <f>($J435-$H435)*100</f>
        <v/>
      </c>
      <c r="AY435" s="82">
        <f>($L435-$H435)*100</f>
        <v/>
      </c>
      <c r="AZ435" s="82">
        <f>($L435-$J435)*100</f>
        <v/>
      </c>
      <c r="BA435" s="82">
        <f>(2*$H435-$F435-$J435)*100</f>
        <v/>
      </c>
      <c r="BB435" s="82">
        <f>(2*$J435-$H435-$L435)*100</f>
        <v/>
      </c>
      <c r="BC435" s="82">
        <f>($N435-$F435)*100</f>
        <v/>
      </c>
      <c r="BD435" s="82">
        <f>($Q435-$H435)*100</f>
        <v/>
      </c>
      <c r="BE435" s="82">
        <f>($S435-$J435)*100</f>
        <v/>
      </c>
      <c r="BF435" s="82">
        <f>($V435-$L435)*100</f>
        <v/>
      </c>
      <c r="BG435" s="82">
        <f>$AG435-$AF435</f>
        <v/>
      </c>
      <c r="BH435" s="81">
        <f>IFERROR($AG435/$AF435,"")</f>
        <v/>
      </c>
      <c r="BI435" s="82">
        <f>$AJ435-$AF435</f>
        <v/>
      </c>
      <c r="BJ435" s="81">
        <f>IFERROR($AJ435/$AG435,"")</f>
        <v/>
      </c>
      <c r="BK435" s="81">
        <f>$X435</f>
        <v/>
      </c>
      <c r="BL435" s="82">
        <f>($J435-$J436)*100</f>
        <v/>
      </c>
      <c r="BM435" s="82">
        <f>($F435-$F436)*100</f>
        <v/>
      </c>
      <c r="BN435" s="82">
        <f>$AF435-$AF436</f>
        <v/>
      </c>
      <c r="BO435" s="82">
        <f>$AG435-$AG436</f>
        <v/>
      </c>
      <c r="BP435" s="82">
        <f>$AJ435-$AJ436</f>
        <v/>
      </c>
    </row>
    <row r="436">
      <c r="AR436" s="81">
        <f>($G436+($H436-$G436)*0.5)+($P436-($O436+($Q436-$O436)*0.5))</f>
        <v/>
      </c>
      <c r="AS436" s="81">
        <f>($J436+($K436-$J436)*0.5)+($T436-($S436+($U436-$S436)*0.5))</f>
        <v/>
      </c>
      <c r="AT436" s="82">
        <f>($J436-$C436)*100</f>
        <v/>
      </c>
      <c r="AU436" s="82">
        <f>($H436-$F436)*100</f>
        <v/>
      </c>
      <c r="AV436" s="82">
        <f>($J436-$F436)*100</f>
        <v/>
      </c>
      <c r="AW436" s="82">
        <f>($L436-$F436)*100</f>
        <v/>
      </c>
      <c r="AX436" s="82">
        <f>($J436-$H436)*100</f>
        <v/>
      </c>
      <c r="AY436" s="82">
        <f>($L436-$H436)*100</f>
        <v/>
      </c>
      <c r="AZ436" s="82">
        <f>($L436-$J436)*100</f>
        <v/>
      </c>
      <c r="BA436" s="82">
        <f>(2*$H436-$F436-$J436)*100</f>
        <v/>
      </c>
      <c r="BB436" s="82">
        <f>(2*$J436-$H436-$L436)*100</f>
        <v/>
      </c>
      <c r="BC436" s="82">
        <f>($N436-$F436)*100</f>
        <v/>
      </c>
      <c r="BD436" s="82">
        <f>($Q436-$H436)*100</f>
        <v/>
      </c>
      <c r="BE436" s="82">
        <f>($S436-$J436)*100</f>
        <v/>
      </c>
      <c r="BF436" s="82">
        <f>($V436-$L436)*100</f>
        <v/>
      </c>
      <c r="BG436" s="82">
        <f>$AG436-$AF436</f>
        <v/>
      </c>
      <c r="BH436" s="81">
        <f>IFERROR($AG436/$AF436,"")</f>
        <v/>
      </c>
      <c r="BI436" s="82">
        <f>$AJ436-$AF436</f>
        <v/>
      </c>
      <c r="BJ436" s="81">
        <f>IFERROR($AJ436/$AG436,"")</f>
        <v/>
      </c>
      <c r="BK436" s="81">
        <f>$X436</f>
        <v/>
      </c>
      <c r="BL436" s="82">
        <f>($J436-$J437)*100</f>
        <v/>
      </c>
      <c r="BM436" s="82">
        <f>($F436-$F437)*100</f>
        <v/>
      </c>
      <c r="BN436" s="82">
        <f>$AF436-$AF437</f>
        <v/>
      </c>
      <c r="BO436" s="82">
        <f>$AG436-$AG437</f>
        <v/>
      </c>
      <c r="BP436" s="82">
        <f>$AJ436-$AJ437</f>
        <v/>
      </c>
    </row>
    <row r="437">
      <c r="AR437" s="81">
        <f>($G437+($H437-$G437)*0.5)+($P437-($O437+($Q437-$O437)*0.5))</f>
        <v/>
      </c>
      <c r="AS437" s="81">
        <f>($J437+($K437-$J437)*0.5)+($T437-($S437+($U437-$S437)*0.5))</f>
        <v/>
      </c>
      <c r="AT437" s="82">
        <f>($J437-$C437)*100</f>
        <v/>
      </c>
      <c r="AU437" s="82">
        <f>($H437-$F437)*100</f>
        <v/>
      </c>
      <c r="AV437" s="82">
        <f>($J437-$F437)*100</f>
        <v/>
      </c>
      <c r="AW437" s="82">
        <f>($L437-$F437)*100</f>
        <v/>
      </c>
      <c r="AX437" s="82">
        <f>($J437-$H437)*100</f>
        <v/>
      </c>
      <c r="AY437" s="82">
        <f>($L437-$H437)*100</f>
        <v/>
      </c>
      <c r="AZ437" s="82">
        <f>($L437-$J437)*100</f>
        <v/>
      </c>
      <c r="BA437" s="82">
        <f>(2*$H437-$F437-$J437)*100</f>
        <v/>
      </c>
      <c r="BB437" s="82">
        <f>(2*$J437-$H437-$L437)*100</f>
        <v/>
      </c>
      <c r="BC437" s="82">
        <f>($N437-$F437)*100</f>
        <v/>
      </c>
      <c r="BD437" s="82">
        <f>($Q437-$H437)*100</f>
        <v/>
      </c>
      <c r="BE437" s="82">
        <f>($S437-$J437)*100</f>
        <v/>
      </c>
      <c r="BF437" s="82">
        <f>($V437-$L437)*100</f>
        <v/>
      </c>
      <c r="BG437" s="82">
        <f>$AG437-$AF437</f>
        <v/>
      </c>
      <c r="BH437" s="81">
        <f>IFERROR($AG437/$AF437,"")</f>
        <v/>
      </c>
      <c r="BI437" s="82">
        <f>$AJ437-$AF437</f>
        <v/>
      </c>
      <c r="BJ437" s="81">
        <f>IFERROR($AJ437/$AG437,"")</f>
        <v/>
      </c>
      <c r="BK437" s="81">
        <f>$X437</f>
        <v/>
      </c>
      <c r="BL437" s="82">
        <f>($J437-$J438)*100</f>
        <v/>
      </c>
      <c r="BM437" s="82">
        <f>($F437-$F438)*100</f>
        <v/>
      </c>
      <c r="BN437" s="82">
        <f>$AF437-$AF438</f>
        <v/>
      </c>
      <c r="BO437" s="82">
        <f>$AG437-$AG438</f>
        <v/>
      </c>
      <c r="BP437" s="82">
        <f>$AJ437-$AJ438</f>
        <v/>
      </c>
    </row>
    <row r="438">
      <c r="AR438" s="81">
        <f>($G438+($H438-$G438)*0.5)+($P438-($O438+($Q438-$O438)*0.5))</f>
        <v/>
      </c>
      <c r="AS438" s="81">
        <f>($J438+($K438-$J438)*0.5)+($T438-($S438+($U438-$S438)*0.5))</f>
        <v/>
      </c>
      <c r="AT438" s="82">
        <f>($J438-$C438)*100</f>
        <v/>
      </c>
      <c r="AU438" s="82">
        <f>($H438-$F438)*100</f>
        <v/>
      </c>
      <c r="AV438" s="82">
        <f>($J438-$F438)*100</f>
        <v/>
      </c>
      <c r="AW438" s="82">
        <f>($L438-$F438)*100</f>
        <v/>
      </c>
      <c r="AX438" s="82">
        <f>($J438-$H438)*100</f>
        <v/>
      </c>
      <c r="AY438" s="82">
        <f>($L438-$H438)*100</f>
        <v/>
      </c>
      <c r="AZ438" s="82">
        <f>($L438-$J438)*100</f>
        <v/>
      </c>
      <c r="BA438" s="82">
        <f>(2*$H438-$F438-$J438)*100</f>
        <v/>
      </c>
      <c r="BB438" s="82">
        <f>(2*$J438-$H438-$L438)*100</f>
        <v/>
      </c>
      <c r="BC438" s="82">
        <f>($N438-$F438)*100</f>
        <v/>
      </c>
      <c r="BD438" s="82">
        <f>($Q438-$H438)*100</f>
        <v/>
      </c>
      <c r="BE438" s="82">
        <f>($S438-$J438)*100</f>
        <v/>
      </c>
      <c r="BF438" s="82">
        <f>($V438-$L438)*100</f>
        <v/>
      </c>
      <c r="BG438" s="82">
        <f>$AG438-$AF438</f>
        <v/>
      </c>
      <c r="BH438" s="81">
        <f>IFERROR($AG438/$AF438,"")</f>
        <v/>
      </c>
      <c r="BI438" s="82">
        <f>$AJ438-$AF438</f>
        <v/>
      </c>
      <c r="BJ438" s="81">
        <f>IFERROR($AJ438/$AG438,"")</f>
        <v/>
      </c>
      <c r="BK438" s="81">
        <f>$X438</f>
        <v/>
      </c>
      <c r="BL438" s="82">
        <f>($J438-$J439)*100</f>
        <v/>
      </c>
      <c r="BM438" s="82">
        <f>($F438-$F439)*100</f>
        <v/>
      </c>
      <c r="BN438" s="82">
        <f>$AF438-$AF439</f>
        <v/>
      </c>
      <c r="BO438" s="82">
        <f>$AG438-$AG439</f>
        <v/>
      </c>
      <c r="BP438" s="82">
        <f>$AJ438-$AJ439</f>
        <v/>
      </c>
    </row>
    <row r="439">
      <c r="AR439" s="81">
        <f>($G439+($H439-$G439)*0.5)+($P439-($O439+($Q439-$O439)*0.5))</f>
        <v/>
      </c>
      <c r="AS439" s="81">
        <f>($J439+($K439-$J439)*0.5)+($T439-($S439+($U439-$S439)*0.5))</f>
        <v/>
      </c>
      <c r="AT439" s="82">
        <f>($J439-$C439)*100</f>
        <v/>
      </c>
      <c r="AU439" s="82">
        <f>($H439-$F439)*100</f>
        <v/>
      </c>
      <c r="AV439" s="82">
        <f>($J439-$F439)*100</f>
        <v/>
      </c>
      <c r="AW439" s="82">
        <f>($L439-$F439)*100</f>
        <v/>
      </c>
      <c r="AX439" s="82">
        <f>($J439-$H439)*100</f>
        <v/>
      </c>
      <c r="AY439" s="82">
        <f>($L439-$H439)*100</f>
        <v/>
      </c>
      <c r="AZ439" s="82">
        <f>($L439-$J439)*100</f>
        <v/>
      </c>
      <c r="BA439" s="82">
        <f>(2*$H439-$F439-$J439)*100</f>
        <v/>
      </c>
      <c r="BB439" s="82">
        <f>(2*$J439-$H439-$L439)*100</f>
        <v/>
      </c>
      <c r="BC439" s="82">
        <f>($N439-$F439)*100</f>
        <v/>
      </c>
      <c r="BD439" s="82">
        <f>($Q439-$H439)*100</f>
        <v/>
      </c>
      <c r="BE439" s="82">
        <f>($S439-$J439)*100</f>
        <v/>
      </c>
      <c r="BF439" s="82">
        <f>($V439-$L439)*100</f>
        <v/>
      </c>
      <c r="BG439" s="82">
        <f>$AG439-$AF439</f>
        <v/>
      </c>
      <c r="BH439" s="81">
        <f>IFERROR($AG439/$AF439,"")</f>
        <v/>
      </c>
      <c r="BI439" s="82">
        <f>$AJ439-$AF439</f>
        <v/>
      </c>
      <c r="BJ439" s="81">
        <f>IFERROR($AJ439/$AG439,"")</f>
        <v/>
      </c>
      <c r="BK439" s="81">
        <f>$X439</f>
        <v/>
      </c>
      <c r="BL439" s="82">
        <f>($J439-$J440)*100</f>
        <v/>
      </c>
      <c r="BM439" s="82">
        <f>($F439-$F440)*100</f>
        <v/>
      </c>
      <c r="BN439" s="82">
        <f>$AF439-$AF440</f>
        <v/>
      </c>
      <c r="BO439" s="82">
        <f>$AG439-$AG440</f>
        <v/>
      </c>
      <c r="BP439" s="82">
        <f>$AJ439-$AJ440</f>
        <v/>
      </c>
    </row>
    <row r="440">
      <c r="AR440" s="81">
        <f>($G440+($H440-$G440)*0.5)+($P440-($O440+($Q440-$O440)*0.5))</f>
        <v/>
      </c>
      <c r="AS440" s="81">
        <f>($J440+($K440-$J440)*0.5)+($T440-($S440+($U440-$S440)*0.5))</f>
        <v/>
      </c>
      <c r="AT440" s="82">
        <f>($J440-$C440)*100</f>
        <v/>
      </c>
      <c r="AU440" s="82">
        <f>($H440-$F440)*100</f>
        <v/>
      </c>
      <c r="AV440" s="82">
        <f>($J440-$F440)*100</f>
        <v/>
      </c>
      <c r="AW440" s="82">
        <f>($L440-$F440)*100</f>
        <v/>
      </c>
      <c r="AX440" s="82">
        <f>($J440-$H440)*100</f>
        <v/>
      </c>
      <c r="AY440" s="82">
        <f>($L440-$H440)*100</f>
        <v/>
      </c>
      <c r="AZ440" s="82">
        <f>($L440-$J440)*100</f>
        <v/>
      </c>
      <c r="BA440" s="82">
        <f>(2*$H440-$F440-$J440)*100</f>
        <v/>
      </c>
      <c r="BB440" s="82">
        <f>(2*$J440-$H440-$L440)*100</f>
        <v/>
      </c>
      <c r="BC440" s="82">
        <f>($N440-$F440)*100</f>
        <v/>
      </c>
      <c r="BD440" s="82">
        <f>($Q440-$H440)*100</f>
        <v/>
      </c>
      <c r="BE440" s="82">
        <f>($S440-$J440)*100</f>
        <v/>
      </c>
      <c r="BF440" s="82">
        <f>($V440-$L440)*100</f>
        <v/>
      </c>
      <c r="BG440" s="82">
        <f>$AG440-$AF440</f>
        <v/>
      </c>
      <c r="BH440" s="81">
        <f>IFERROR($AG440/$AF440,"")</f>
        <v/>
      </c>
      <c r="BI440" s="82">
        <f>$AJ440-$AF440</f>
        <v/>
      </c>
      <c r="BJ440" s="81">
        <f>IFERROR($AJ440/$AG440,"")</f>
        <v/>
      </c>
      <c r="BK440" s="81">
        <f>$X440</f>
        <v/>
      </c>
      <c r="BL440" s="82">
        <f>($J440-$J441)*100</f>
        <v/>
      </c>
      <c r="BM440" s="82">
        <f>($F440-$F441)*100</f>
        <v/>
      </c>
      <c r="BN440" s="82">
        <f>$AF440-$AF441</f>
        <v/>
      </c>
      <c r="BO440" s="82">
        <f>$AG440-$AG441</f>
        <v/>
      </c>
      <c r="BP440" s="82">
        <f>$AJ440-$AJ441</f>
        <v/>
      </c>
    </row>
    <row r="441">
      <c r="AR441" s="81">
        <f>($G441+($H441-$G441)*0.5)+($P441-($O441+($Q441-$O441)*0.5))</f>
        <v/>
      </c>
      <c r="AS441" s="81">
        <f>($J441+($K441-$J441)*0.5)+($T441-($S441+($U441-$S441)*0.5))</f>
        <v/>
      </c>
      <c r="AT441" s="82">
        <f>($J441-$C441)*100</f>
        <v/>
      </c>
      <c r="AU441" s="82">
        <f>($H441-$F441)*100</f>
        <v/>
      </c>
      <c r="AV441" s="82">
        <f>($J441-$F441)*100</f>
        <v/>
      </c>
      <c r="AW441" s="82">
        <f>($L441-$F441)*100</f>
        <v/>
      </c>
      <c r="AX441" s="82">
        <f>($J441-$H441)*100</f>
        <v/>
      </c>
      <c r="AY441" s="82">
        <f>($L441-$H441)*100</f>
        <v/>
      </c>
      <c r="AZ441" s="82">
        <f>($L441-$J441)*100</f>
        <v/>
      </c>
      <c r="BA441" s="82">
        <f>(2*$H441-$F441-$J441)*100</f>
        <v/>
      </c>
      <c r="BB441" s="82">
        <f>(2*$J441-$H441-$L441)*100</f>
        <v/>
      </c>
      <c r="BC441" s="82">
        <f>($N441-$F441)*100</f>
        <v/>
      </c>
      <c r="BD441" s="82">
        <f>($Q441-$H441)*100</f>
        <v/>
      </c>
      <c r="BE441" s="82">
        <f>($S441-$J441)*100</f>
        <v/>
      </c>
      <c r="BF441" s="82">
        <f>($V441-$L441)*100</f>
        <v/>
      </c>
      <c r="BG441" s="82">
        <f>$AG441-$AF441</f>
        <v/>
      </c>
      <c r="BH441" s="81">
        <f>IFERROR($AG441/$AF441,"")</f>
        <v/>
      </c>
      <c r="BI441" s="82">
        <f>$AJ441-$AF441</f>
        <v/>
      </c>
      <c r="BJ441" s="81">
        <f>IFERROR($AJ441/$AG441,"")</f>
        <v/>
      </c>
      <c r="BK441" s="81">
        <f>$X441</f>
        <v/>
      </c>
      <c r="BL441" s="82">
        <f>($J441-$J442)*100</f>
        <v/>
      </c>
      <c r="BM441" s="82">
        <f>($F441-$F442)*100</f>
        <v/>
      </c>
      <c r="BN441" s="82">
        <f>$AF441-$AF442</f>
        <v/>
      </c>
      <c r="BO441" s="82">
        <f>$AG441-$AG442</f>
        <v/>
      </c>
      <c r="BP441" s="82">
        <f>$AJ441-$AJ442</f>
        <v/>
      </c>
    </row>
    <row r="442">
      <c r="AR442" s="81">
        <f>($G442+($H442-$G442)*0.5)+($P442-($O442+($Q442-$O442)*0.5))</f>
        <v/>
      </c>
      <c r="AS442" s="81">
        <f>($J442+($K442-$J442)*0.5)+($T442-($S442+($U442-$S442)*0.5))</f>
        <v/>
      </c>
      <c r="AT442" s="82">
        <f>($J442-$C442)*100</f>
        <v/>
      </c>
      <c r="AU442" s="82">
        <f>($H442-$F442)*100</f>
        <v/>
      </c>
      <c r="AV442" s="82">
        <f>($J442-$F442)*100</f>
        <v/>
      </c>
      <c r="AW442" s="82">
        <f>($L442-$F442)*100</f>
        <v/>
      </c>
      <c r="AX442" s="82">
        <f>($J442-$H442)*100</f>
        <v/>
      </c>
      <c r="AY442" s="82">
        <f>($L442-$H442)*100</f>
        <v/>
      </c>
      <c r="AZ442" s="82">
        <f>($L442-$J442)*100</f>
        <v/>
      </c>
      <c r="BA442" s="82">
        <f>(2*$H442-$F442-$J442)*100</f>
        <v/>
      </c>
      <c r="BB442" s="82">
        <f>(2*$J442-$H442-$L442)*100</f>
        <v/>
      </c>
      <c r="BC442" s="82">
        <f>($N442-$F442)*100</f>
        <v/>
      </c>
      <c r="BD442" s="82">
        <f>($Q442-$H442)*100</f>
        <v/>
      </c>
      <c r="BE442" s="82">
        <f>($S442-$J442)*100</f>
        <v/>
      </c>
      <c r="BF442" s="82">
        <f>($V442-$L442)*100</f>
        <v/>
      </c>
      <c r="BG442" s="82">
        <f>$AG442-$AF442</f>
        <v/>
      </c>
      <c r="BH442" s="81">
        <f>IFERROR($AG442/$AF442,"")</f>
        <v/>
      </c>
      <c r="BI442" s="82">
        <f>$AJ442-$AF442</f>
        <v/>
      </c>
      <c r="BJ442" s="81">
        <f>IFERROR($AJ442/$AG442,"")</f>
        <v/>
      </c>
      <c r="BK442" s="81">
        <f>$X442</f>
        <v/>
      </c>
      <c r="BL442" s="82">
        <f>($J442-$J443)*100</f>
        <v/>
      </c>
      <c r="BM442" s="82">
        <f>($F442-$F443)*100</f>
        <v/>
      </c>
      <c r="BN442" s="82">
        <f>$AF442-$AF443</f>
        <v/>
      </c>
      <c r="BO442" s="82">
        <f>$AG442-$AG443</f>
        <v/>
      </c>
      <c r="BP442" s="82">
        <f>$AJ442-$AJ443</f>
        <v/>
      </c>
    </row>
    <row r="443">
      <c r="AR443" s="81">
        <f>($G443+($H443-$G443)*0.5)+($P443-($O443+($Q443-$O443)*0.5))</f>
        <v/>
      </c>
      <c r="AS443" s="81">
        <f>($J443+($K443-$J443)*0.5)+($T443-($S443+($U443-$S443)*0.5))</f>
        <v/>
      </c>
      <c r="AT443" s="82">
        <f>($J443-$C443)*100</f>
        <v/>
      </c>
      <c r="AU443" s="82">
        <f>($H443-$F443)*100</f>
        <v/>
      </c>
      <c r="AV443" s="82">
        <f>($J443-$F443)*100</f>
        <v/>
      </c>
      <c r="AW443" s="82">
        <f>($L443-$F443)*100</f>
        <v/>
      </c>
      <c r="AX443" s="82">
        <f>($J443-$H443)*100</f>
        <v/>
      </c>
      <c r="AY443" s="82">
        <f>($L443-$H443)*100</f>
        <v/>
      </c>
      <c r="AZ443" s="82">
        <f>($L443-$J443)*100</f>
        <v/>
      </c>
      <c r="BA443" s="82">
        <f>(2*$H443-$F443-$J443)*100</f>
        <v/>
      </c>
      <c r="BB443" s="82">
        <f>(2*$J443-$H443-$L443)*100</f>
        <v/>
      </c>
      <c r="BC443" s="82">
        <f>($N443-$F443)*100</f>
        <v/>
      </c>
      <c r="BD443" s="82">
        <f>($Q443-$H443)*100</f>
        <v/>
      </c>
      <c r="BE443" s="82">
        <f>($S443-$J443)*100</f>
        <v/>
      </c>
      <c r="BF443" s="82">
        <f>($V443-$L443)*100</f>
        <v/>
      </c>
      <c r="BG443" s="82">
        <f>$AG443-$AF443</f>
        <v/>
      </c>
      <c r="BH443" s="81">
        <f>IFERROR($AG443/$AF443,"")</f>
        <v/>
      </c>
      <c r="BI443" s="82">
        <f>$AJ443-$AF443</f>
        <v/>
      </c>
      <c r="BJ443" s="81">
        <f>IFERROR($AJ443/$AG443,"")</f>
        <v/>
      </c>
      <c r="BK443" s="81">
        <f>$X443</f>
        <v/>
      </c>
      <c r="BL443" s="82">
        <f>($J443-$J444)*100</f>
        <v/>
      </c>
      <c r="BM443" s="82">
        <f>($F443-$F444)*100</f>
        <v/>
      </c>
      <c r="BN443" s="82">
        <f>$AF443-$AF444</f>
        <v/>
      </c>
      <c r="BO443" s="82">
        <f>$AG443-$AG444</f>
        <v/>
      </c>
      <c r="BP443" s="82">
        <f>$AJ443-$AJ444</f>
        <v/>
      </c>
    </row>
    <row r="444">
      <c r="AR444" s="81">
        <f>($G444+($H444-$G444)*0.5)+($P444-($O444+($Q444-$O444)*0.5))</f>
        <v/>
      </c>
      <c r="AS444" s="81">
        <f>($J444+($K444-$J444)*0.5)+($T444-($S444+($U444-$S444)*0.5))</f>
        <v/>
      </c>
      <c r="AT444" s="82">
        <f>($J444-$C444)*100</f>
        <v/>
      </c>
      <c r="AU444" s="82">
        <f>($H444-$F444)*100</f>
        <v/>
      </c>
      <c r="AV444" s="82">
        <f>($J444-$F444)*100</f>
        <v/>
      </c>
      <c r="AW444" s="82">
        <f>($L444-$F444)*100</f>
        <v/>
      </c>
      <c r="AX444" s="82">
        <f>($J444-$H444)*100</f>
        <v/>
      </c>
      <c r="AY444" s="82">
        <f>($L444-$H444)*100</f>
        <v/>
      </c>
      <c r="AZ444" s="82">
        <f>($L444-$J444)*100</f>
        <v/>
      </c>
      <c r="BA444" s="82">
        <f>(2*$H444-$F444-$J444)*100</f>
        <v/>
      </c>
      <c r="BB444" s="82">
        <f>(2*$J444-$H444-$L444)*100</f>
        <v/>
      </c>
      <c r="BC444" s="82">
        <f>($N444-$F444)*100</f>
        <v/>
      </c>
      <c r="BD444" s="82">
        <f>($Q444-$H444)*100</f>
        <v/>
      </c>
      <c r="BE444" s="82">
        <f>($S444-$J444)*100</f>
        <v/>
      </c>
      <c r="BF444" s="82">
        <f>($V444-$L444)*100</f>
        <v/>
      </c>
      <c r="BG444" s="82">
        <f>$AG444-$AF444</f>
        <v/>
      </c>
      <c r="BH444" s="81">
        <f>IFERROR($AG444/$AF444,"")</f>
        <v/>
      </c>
      <c r="BI444" s="82">
        <f>$AJ444-$AF444</f>
        <v/>
      </c>
      <c r="BJ444" s="81">
        <f>IFERROR($AJ444/$AG444,"")</f>
        <v/>
      </c>
      <c r="BK444" s="81">
        <f>$X444</f>
        <v/>
      </c>
      <c r="BL444" s="82">
        <f>($J444-$J445)*100</f>
        <v/>
      </c>
      <c r="BM444" s="82">
        <f>($F444-$F445)*100</f>
        <v/>
      </c>
      <c r="BN444" s="82">
        <f>$AF444-$AF445</f>
        <v/>
      </c>
      <c r="BO444" s="82">
        <f>$AG444-$AG445</f>
        <v/>
      </c>
      <c r="BP444" s="82">
        <f>$AJ444-$AJ445</f>
        <v/>
      </c>
    </row>
    <row r="445">
      <c r="AR445" s="81">
        <f>($G445+($H445-$G445)*0.5)+($P445-($O445+($Q445-$O445)*0.5))</f>
        <v/>
      </c>
      <c r="AS445" s="81">
        <f>($J445+($K445-$J445)*0.5)+($T445-($S445+($U445-$S445)*0.5))</f>
        <v/>
      </c>
      <c r="AT445" s="82">
        <f>($J445-$C445)*100</f>
        <v/>
      </c>
      <c r="AU445" s="82">
        <f>($H445-$F445)*100</f>
        <v/>
      </c>
      <c r="AV445" s="82">
        <f>($J445-$F445)*100</f>
        <v/>
      </c>
      <c r="AW445" s="82">
        <f>($L445-$F445)*100</f>
        <v/>
      </c>
      <c r="AX445" s="82">
        <f>($J445-$H445)*100</f>
        <v/>
      </c>
      <c r="AY445" s="82">
        <f>($L445-$H445)*100</f>
        <v/>
      </c>
      <c r="AZ445" s="82">
        <f>($L445-$J445)*100</f>
        <v/>
      </c>
      <c r="BA445" s="82">
        <f>(2*$H445-$F445-$J445)*100</f>
        <v/>
      </c>
      <c r="BB445" s="82">
        <f>(2*$J445-$H445-$L445)*100</f>
        <v/>
      </c>
      <c r="BC445" s="82">
        <f>($N445-$F445)*100</f>
        <v/>
      </c>
      <c r="BD445" s="82">
        <f>($Q445-$H445)*100</f>
        <v/>
      </c>
      <c r="BE445" s="82">
        <f>($S445-$J445)*100</f>
        <v/>
      </c>
      <c r="BF445" s="82">
        <f>($V445-$L445)*100</f>
        <v/>
      </c>
      <c r="BG445" s="82">
        <f>$AG445-$AF445</f>
        <v/>
      </c>
      <c r="BH445" s="81">
        <f>IFERROR($AG445/$AF445,"")</f>
        <v/>
      </c>
      <c r="BI445" s="82">
        <f>$AJ445-$AF445</f>
        <v/>
      </c>
      <c r="BJ445" s="81">
        <f>IFERROR($AJ445/$AG445,"")</f>
        <v/>
      </c>
      <c r="BK445" s="81">
        <f>$X445</f>
        <v/>
      </c>
      <c r="BL445" s="82">
        <f>($J445-$J446)*100</f>
        <v/>
      </c>
      <c r="BM445" s="82">
        <f>($F445-$F446)*100</f>
        <v/>
      </c>
      <c r="BN445" s="82">
        <f>$AF445-$AF446</f>
        <v/>
      </c>
      <c r="BO445" s="82">
        <f>$AG445-$AG446</f>
        <v/>
      </c>
      <c r="BP445" s="82">
        <f>$AJ445-$AJ446</f>
        <v/>
      </c>
    </row>
    <row r="446">
      <c r="AR446" s="81">
        <f>($G446+($H446-$G446)*0.5)+($P446-($O446+($Q446-$O446)*0.5))</f>
        <v/>
      </c>
      <c r="AS446" s="81">
        <f>($J446+($K446-$J446)*0.5)+($T446-($S446+($U446-$S446)*0.5))</f>
        <v/>
      </c>
      <c r="AT446" s="82">
        <f>($J446-$C446)*100</f>
        <v/>
      </c>
      <c r="AU446" s="82">
        <f>($H446-$F446)*100</f>
        <v/>
      </c>
      <c r="AV446" s="82">
        <f>($J446-$F446)*100</f>
        <v/>
      </c>
      <c r="AW446" s="82">
        <f>($L446-$F446)*100</f>
        <v/>
      </c>
      <c r="AX446" s="82">
        <f>($J446-$H446)*100</f>
        <v/>
      </c>
      <c r="AY446" s="82">
        <f>($L446-$H446)*100</f>
        <v/>
      </c>
      <c r="AZ446" s="82">
        <f>($L446-$J446)*100</f>
        <v/>
      </c>
      <c r="BA446" s="82">
        <f>(2*$H446-$F446-$J446)*100</f>
        <v/>
      </c>
      <c r="BB446" s="82">
        <f>(2*$J446-$H446-$L446)*100</f>
        <v/>
      </c>
      <c r="BC446" s="82">
        <f>($N446-$F446)*100</f>
        <v/>
      </c>
      <c r="BD446" s="82">
        <f>($Q446-$H446)*100</f>
        <v/>
      </c>
      <c r="BE446" s="82">
        <f>($S446-$J446)*100</f>
        <v/>
      </c>
      <c r="BF446" s="82">
        <f>($V446-$L446)*100</f>
        <v/>
      </c>
      <c r="BG446" s="82">
        <f>$AG446-$AF446</f>
        <v/>
      </c>
      <c r="BH446" s="81">
        <f>IFERROR($AG446/$AF446,"")</f>
        <v/>
      </c>
      <c r="BI446" s="82">
        <f>$AJ446-$AF446</f>
        <v/>
      </c>
      <c r="BJ446" s="81">
        <f>IFERROR($AJ446/$AG446,"")</f>
        <v/>
      </c>
      <c r="BK446" s="81">
        <f>$X446</f>
        <v/>
      </c>
      <c r="BL446" s="82">
        <f>($J446-$J447)*100</f>
        <v/>
      </c>
      <c r="BM446" s="82">
        <f>($F446-$F447)*100</f>
        <v/>
      </c>
      <c r="BN446" s="82">
        <f>$AF446-$AF447</f>
        <v/>
      </c>
      <c r="BO446" s="82">
        <f>$AG446-$AG447</f>
        <v/>
      </c>
      <c r="BP446" s="82">
        <f>$AJ446-$AJ447</f>
        <v/>
      </c>
    </row>
    <row r="447">
      <c r="AR447" s="81">
        <f>($G447+($H447-$G447)*0.5)+($P447-($O447+($Q447-$O447)*0.5))</f>
        <v/>
      </c>
      <c r="AS447" s="81">
        <f>($J447+($K447-$J447)*0.5)+($T447-($S447+($U447-$S447)*0.5))</f>
        <v/>
      </c>
      <c r="AT447" s="82">
        <f>($J447-$C447)*100</f>
        <v/>
      </c>
      <c r="AU447" s="82">
        <f>($H447-$F447)*100</f>
        <v/>
      </c>
      <c r="AV447" s="82">
        <f>($J447-$F447)*100</f>
        <v/>
      </c>
      <c r="AW447" s="82">
        <f>($L447-$F447)*100</f>
        <v/>
      </c>
      <c r="AX447" s="82">
        <f>($J447-$H447)*100</f>
        <v/>
      </c>
      <c r="AY447" s="82">
        <f>($L447-$H447)*100</f>
        <v/>
      </c>
      <c r="AZ447" s="82">
        <f>($L447-$J447)*100</f>
        <v/>
      </c>
      <c r="BA447" s="82">
        <f>(2*$H447-$F447-$J447)*100</f>
        <v/>
      </c>
      <c r="BB447" s="82">
        <f>(2*$J447-$H447-$L447)*100</f>
        <v/>
      </c>
      <c r="BC447" s="82">
        <f>($N447-$F447)*100</f>
        <v/>
      </c>
      <c r="BD447" s="82">
        <f>($Q447-$H447)*100</f>
        <v/>
      </c>
      <c r="BE447" s="82">
        <f>($S447-$J447)*100</f>
        <v/>
      </c>
      <c r="BF447" s="82">
        <f>($V447-$L447)*100</f>
        <v/>
      </c>
      <c r="BG447" s="82">
        <f>$AG447-$AF447</f>
        <v/>
      </c>
      <c r="BH447" s="81">
        <f>IFERROR($AG447/$AF447,"")</f>
        <v/>
      </c>
      <c r="BI447" s="82">
        <f>$AJ447-$AF447</f>
        <v/>
      </c>
      <c r="BJ447" s="81">
        <f>IFERROR($AJ447/$AG447,"")</f>
        <v/>
      </c>
      <c r="BK447" s="81">
        <f>$X447</f>
        <v/>
      </c>
      <c r="BL447" s="82">
        <f>($J447-$J448)*100</f>
        <v/>
      </c>
      <c r="BM447" s="82">
        <f>($F447-$F448)*100</f>
        <v/>
      </c>
      <c r="BN447" s="82">
        <f>$AF447-$AF448</f>
        <v/>
      </c>
      <c r="BO447" s="82">
        <f>$AG447-$AG448</f>
        <v/>
      </c>
      <c r="BP447" s="82">
        <f>$AJ447-$AJ448</f>
        <v/>
      </c>
    </row>
    <row r="448">
      <c r="AR448" s="81">
        <f>($G448+($H448-$G448)*0.5)+($P448-($O448+($Q448-$O448)*0.5))</f>
        <v/>
      </c>
      <c r="AS448" s="81">
        <f>($J448+($K448-$J448)*0.5)+($T448-($S448+($U448-$S448)*0.5))</f>
        <v/>
      </c>
      <c r="AT448" s="82">
        <f>($J448-$C448)*100</f>
        <v/>
      </c>
      <c r="AU448" s="82">
        <f>($H448-$F448)*100</f>
        <v/>
      </c>
      <c r="AV448" s="82">
        <f>($J448-$F448)*100</f>
        <v/>
      </c>
      <c r="AW448" s="82">
        <f>($L448-$F448)*100</f>
        <v/>
      </c>
      <c r="AX448" s="82">
        <f>($J448-$H448)*100</f>
        <v/>
      </c>
      <c r="AY448" s="82">
        <f>($L448-$H448)*100</f>
        <v/>
      </c>
      <c r="AZ448" s="82">
        <f>($L448-$J448)*100</f>
        <v/>
      </c>
      <c r="BA448" s="82">
        <f>(2*$H448-$F448-$J448)*100</f>
        <v/>
      </c>
      <c r="BB448" s="82">
        <f>(2*$J448-$H448-$L448)*100</f>
        <v/>
      </c>
      <c r="BC448" s="82">
        <f>($N448-$F448)*100</f>
        <v/>
      </c>
      <c r="BD448" s="82">
        <f>($Q448-$H448)*100</f>
        <v/>
      </c>
      <c r="BE448" s="82">
        <f>($S448-$J448)*100</f>
        <v/>
      </c>
      <c r="BF448" s="82">
        <f>($V448-$L448)*100</f>
        <v/>
      </c>
      <c r="BG448" s="82">
        <f>$AG448-$AF448</f>
        <v/>
      </c>
      <c r="BH448" s="81">
        <f>IFERROR($AG448/$AF448,"")</f>
        <v/>
      </c>
      <c r="BI448" s="82">
        <f>$AJ448-$AF448</f>
        <v/>
      </c>
      <c r="BJ448" s="81">
        <f>IFERROR($AJ448/$AG448,"")</f>
        <v/>
      </c>
      <c r="BK448" s="81">
        <f>$X448</f>
        <v/>
      </c>
      <c r="BL448" s="82">
        <f>($J448-$J449)*100</f>
        <v/>
      </c>
      <c r="BM448" s="82">
        <f>($F448-$F449)*100</f>
        <v/>
      </c>
      <c r="BN448" s="82">
        <f>$AF448-$AF449</f>
        <v/>
      </c>
      <c r="BO448" s="82">
        <f>$AG448-$AG449</f>
        <v/>
      </c>
      <c r="BP448" s="82">
        <f>$AJ448-$AJ449</f>
        <v/>
      </c>
    </row>
    <row r="449">
      <c r="AR449" s="81">
        <f>($G449+($H449-$G449)*0.5)+($P449-($O449+($Q449-$O449)*0.5))</f>
        <v/>
      </c>
      <c r="AS449" s="81">
        <f>($J449+($K449-$J449)*0.5)+($T449-($S449+($U449-$S449)*0.5))</f>
        <v/>
      </c>
      <c r="AT449" s="82">
        <f>($J449-$C449)*100</f>
        <v/>
      </c>
      <c r="AU449" s="82">
        <f>($H449-$F449)*100</f>
        <v/>
      </c>
      <c r="AV449" s="82">
        <f>($J449-$F449)*100</f>
        <v/>
      </c>
      <c r="AW449" s="82">
        <f>($L449-$F449)*100</f>
        <v/>
      </c>
      <c r="AX449" s="82">
        <f>($J449-$H449)*100</f>
        <v/>
      </c>
      <c r="AY449" s="82">
        <f>($L449-$H449)*100</f>
        <v/>
      </c>
      <c r="AZ449" s="82">
        <f>($L449-$J449)*100</f>
        <v/>
      </c>
      <c r="BA449" s="82">
        <f>(2*$H449-$F449-$J449)*100</f>
        <v/>
      </c>
      <c r="BB449" s="82">
        <f>(2*$J449-$H449-$L449)*100</f>
        <v/>
      </c>
      <c r="BC449" s="82">
        <f>($N449-$F449)*100</f>
        <v/>
      </c>
      <c r="BD449" s="82">
        <f>($Q449-$H449)*100</f>
        <v/>
      </c>
      <c r="BE449" s="82">
        <f>($S449-$J449)*100</f>
        <v/>
      </c>
      <c r="BF449" s="82">
        <f>($V449-$L449)*100</f>
        <v/>
      </c>
      <c r="BG449" s="82">
        <f>$AG449-$AF449</f>
        <v/>
      </c>
      <c r="BH449" s="81">
        <f>IFERROR($AG449/$AF449,"")</f>
        <v/>
      </c>
      <c r="BI449" s="82">
        <f>$AJ449-$AF449</f>
        <v/>
      </c>
      <c r="BJ449" s="81">
        <f>IFERROR($AJ449/$AG449,"")</f>
        <v/>
      </c>
      <c r="BK449" s="81">
        <f>$X449</f>
        <v/>
      </c>
      <c r="BL449" s="82">
        <f>($J449-$J450)*100</f>
        <v/>
      </c>
      <c r="BM449" s="82">
        <f>($F449-$F450)*100</f>
        <v/>
      </c>
      <c r="BN449" s="82">
        <f>$AF449-$AF450</f>
        <v/>
      </c>
      <c r="BO449" s="82">
        <f>$AG449-$AG450</f>
        <v/>
      </c>
      <c r="BP449" s="82">
        <f>$AJ449-$AJ450</f>
        <v/>
      </c>
    </row>
    <row r="450">
      <c r="AR450" s="81">
        <f>($G450+($H450-$G450)*0.5)+($P450-($O450+($Q450-$O450)*0.5))</f>
        <v/>
      </c>
      <c r="AS450" s="81">
        <f>($J450+($K450-$J450)*0.5)+($T450-($S450+($U450-$S450)*0.5))</f>
        <v/>
      </c>
      <c r="AT450" s="82">
        <f>($J450-$C450)*100</f>
        <v/>
      </c>
      <c r="AU450" s="82">
        <f>($H450-$F450)*100</f>
        <v/>
      </c>
      <c r="AV450" s="82">
        <f>($J450-$F450)*100</f>
        <v/>
      </c>
      <c r="AW450" s="82">
        <f>($L450-$F450)*100</f>
        <v/>
      </c>
      <c r="AX450" s="82">
        <f>($J450-$H450)*100</f>
        <v/>
      </c>
      <c r="AY450" s="82">
        <f>($L450-$H450)*100</f>
        <v/>
      </c>
      <c r="AZ450" s="82">
        <f>($L450-$J450)*100</f>
        <v/>
      </c>
      <c r="BA450" s="82">
        <f>(2*$H450-$F450-$J450)*100</f>
        <v/>
      </c>
      <c r="BB450" s="82">
        <f>(2*$J450-$H450-$L450)*100</f>
        <v/>
      </c>
      <c r="BC450" s="82">
        <f>($N450-$F450)*100</f>
        <v/>
      </c>
      <c r="BD450" s="82">
        <f>($Q450-$H450)*100</f>
        <v/>
      </c>
      <c r="BE450" s="82">
        <f>($S450-$J450)*100</f>
        <v/>
      </c>
      <c r="BF450" s="82">
        <f>($V450-$L450)*100</f>
        <v/>
      </c>
      <c r="BG450" s="82">
        <f>$AG450-$AF450</f>
        <v/>
      </c>
      <c r="BH450" s="81">
        <f>IFERROR($AG450/$AF450,"")</f>
        <v/>
      </c>
      <c r="BI450" s="82">
        <f>$AJ450-$AF450</f>
        <v/>
      </c>
      <c r="BJ450" s="81">
        <f>IFERROR($AJ450/$AG450,"")</f>
        <v/>
      </c>
      <c r="BK450" s="81">
        <f>$X450</f>
        <v/>
      </c>
      <c r="BL450" s="82">
        <f>($J450-$J451)*100</f>
        <v/>
      </c>
      <c r="BM450" s="82">
        <f>($F450-$F451)*100</f>
        <v/>
      </c>
      <c r="BN450" s="82">
        <f>$AF450-$AF451</f>
        <v/>
      </c>
      <c r="BO450" s="82">
        <f>$AG450-$AG451</f>
        <v/>
      </c>
      <c r="BP450" s="82">
        <f>$AJ450-$AJ451</f>
        <v/>
      </c>
    </row>
    <row r="451">
      <c r="AR451" s="81">
        <f>($G451+($H451-$G451)*0.5)+($P451-($O451+($Q451-$O451)*0.5))</f>
        <v/>
      </c>
      <c r="AS451" s="81">
        <f>($J451+($K451-$J451)*0.5)+($T451-($S451+($U451-$S451)*0.5))</f>
        <v/>
      </c>
      <c r="AT451" s="82">
        <f>($J451-$C451)*100</f>
        <v/>
      </c>
      <c r="AU451" s="82">
        <f>($H451-$F451)*100</f>
        <v/>
      </c>
      <c r="AV451" s="82">
        <f>($J451-$F451)*100</f>
        <v/>
      </c>
      <c r="AW451" s="82">
        <f>($L451-$F451)*100</f>
        <v/>
      </c>
      <c r="AX451" s="82">
        <f>($J451-$H451)*100</f>
        <v/>
      </c>
      <c r="AY451" s="82">
        <f>($L451-$H451)*100</f>
        <v/>
      </c>
      <c r="AZ451" s="82">
        <f>($L451-$J451)*100</f>
        <v/>
      </c>
      <c r="BA451" s="82">
        <f>(2*$H451-$F451-$J451)*100</f>
        <v/>
      </c>
      <c r="BB451" s="82">
        <f>(2*$J451-$H451-$L451)*100</f>
        <v/>
      </c>
      <c r="BC451" s="82">
        <f>($N451-$F451)*100</f>
        <v/>
      </c>
      <c r="BD451" s="82">
        <f>($Q451-$H451)*100</f>
        <v/>
      </c>
      <c r="BE451" s="82">
        <f>($S451-$J451)*100</f>
        <v/>
      </c>
      <c r="BF451" s="82">
        <f>($V451-$L451)*100</f>
        <v/>
      </c>
      <c r="BG451" s="82">
        <f>$AG451-$AF451</f>
        <v/>
      </c>
      <c r="BH451" s="81">
        <f>IFERROR($AG451/$AF451,"")</f>
        <v/>
      </c>
      <c r="BI451" s="82">
        <f>$AJ451-$AF451</f>
        <v/>
      </c>
      <c r="BJ451" s="81">
        <f>IFERROR($AJ451/$AG451,"")</f>
        <v/>
      </c>
      <c r="BK451" s="81">
        <f>$X451</f>
        <v/>
      </c>
      <c r="BL451" s="82">
        <f>($J451-$J452)*100</f>
        <v/>
      </c>
      <c r="BM451" s="82">
        <f>($F451-$F452)*100</f>
        <v/>
      </c>
      <c r="BN451" s="82">
        <f>$AF451-$AF452</f>
        <v/>
      </c>
      <c r="BO451" s="82">
        <f>$AG451-$AG452</f>
        <v/>
      </c>
      <c r="BP451" s="82">
        <f>$AJ451-$AJ452</f>
        <v/>
      </c>
    </row>
    <row r="452">
      <c r="AR452" s="81">
        <f>($G452+($H452-$G452)*0.5)+($P452-($O452+($Q452-$O452)*0.5))</f>
        <v/>
      </c>
      <c r="AS452" s="81">
        <f>($J452+($K452-$J452)*0.5)+($T452-($S452+($U452-$S452)*0.5))</f>
        <v/>
      </c>
      <c r="AT452" s="82">
        <f>($J452-$C452)*100</f>
        <v/>
      </c>
      <c r="AU452" s="82">
        <f>($H452-$F452)*100</f>
        <v/>
      </c>
      <c r="AV452" s="82">
        <f>($J452-$F452)*100</f>
        <v/>
      </c>
      <c r="AW452" s="82">
        <f>($L452-$F452)*100</f>
        <v/>
      </c>
      <c r="AX452" s="82">
        <f>($J452-$H452)*100</f>
        <v/>
      </c>
      <c r="AY452" s="82">
        <f>($L452-$H452)*100</f>
        <v/>
      </c>
      <c r="AZ452" s="82">
        <f>($L452-$J452)*100</f>
        <v/>
      </c>
      <c r="BA452" s="82">
        <f>(2*$H452-$F452-$J452)*100</f>
        <v/>
      </c>
      <c r="BB452" s="82">
        <f>(2*$J452-$H452-$L452)*100</f>
        <v/>
      </c>
      <c r="BC452" s="82">
        <f>($N452-$F452)*100</f>
        <v/>
      </c>
      <c r="BD452" s="82">
        <f>($Q452-$H452)*100</f>
        <v/>
      </c>
      <c r="BE452" s="82">
        <f>($S452-$J452)*100</f>
        <v/>
      </c>
      <c r="BF452" s="82">
        <f>($V452-$L452)*100</f>
        <v/>
      </c>
      <c r="BG452" s="82">
        <f>$AG452-$AF452</f>
        <v/>
      </c>
      <c r="BH452" s="81">
        <f>IFERROR($AG452/$AF452,"")</f>
        <v/>
      </c>
      <c r="BI452" s="82">
        <f>$AJ452-$AF452</f>
        <v/>
      </c>
      <c r="BJ452" s="81">
        <f>IFERROR($AJ452/$AG452,"")</f>
        <v/>
      </c>
      <c r="BK452" s="81">
        <f>$X452</f>
        <v/>
      </c>
      <c r="BL452" s="82">
        <f>($J452-$J453)*100</f>
        <v/>
      </c>
      <c r="BM452" s="82">
        <f>($F452-$F453)*100</f>
        <v/>
      </c>
      <c r="BN452" s="82">
        <f>$AF452-$AF453</f>
        <v/>
      </c>
      <c r="BO452" s="82">
        <f>$AG452-$AG453</f>
        <v/>
      </c>
      <c r="BP452" s="82">
        <f>$AJ452-$AJ453</f>
        <v/>
      </c>
    </row>
    <row r="453">
      <c r="AR453" s="81">
        <f>($G453+($H453-$G453)*0.5)+($P453-($O453+($Q453-$O453)*0.5))</f>
        <v/>
      </c>
      <c r="AS453" s="81">
        <f>($J453+($K453-$J453)*0.5)+($T453-($S453+($U453-$S453)*0.5))</f>
        <v/>
      </c>
      <c r="AT453" s="82">
        <f>($J453-$C453)*100</f>
        <v/>
      </c>
      <c r="AU453" s="82">
        <f>($H453-$F453)*100</f>
        <v/>
      </c>
      <c r="AV453" s="82">
        <f>($J453-$F453)*100</f>
        <v/>
      </c>
      <c r="AW453" s="82">
        <f>($L453-$F453)*100</f>
        <v/>
      </c>
      <c r="AX453" s="82">
        <f>($J453-$H453)*100</f>
        <v/>
      </c>
      <c r="AY453" s="82">
        <f>($L453-$H453)*100</f>
        <v/>
      </c>
      <c r="AZ453" s="82">
        <f>($L453-$J453)*100</f>
        <v/>
      </c>
      <c r="BA453" s="82">
        <f>(2*$H453-$F453-$J453)*100</f>
        <v/>
      </c>
      <c r="BB453" s="82">
        <f>(2*$J453-$H453-$L453)*100</f>
        <v/>
      </c>
      <c r="BC453" s="82">
        <f>($N453-$F453)*100</f>
        <v/>
      </c>
      <c r="BD453" s="82">
        <f>($Q453-$H453)*100</f>
        <v/>
      </c>
      <c r="BE453" s="82">
        <f>($S453-$J453)*100</f>
        <v/>
      </c>
      <c r="BF453" s="82">
        <f>($V453-$L453)*100</f>
        <v/>
      </c>
      <c r="BG453" s="82">
        <f>$AG453-$AF453</f>
        <v/>
      </c>
      <c r="BH453" s="81">
        <f>IFERROR($AG453/$AF453,"")</f>
        <v/>
      </c>
      <c r="BI453" s="82">
        <f>$AJ453-$AF453</f>
        <v/>
      </c>
      <c r="BJ453" s="81">
        <f>IFERROR($AJ453/$AG453,"")</f>
        <v/>
      </c>
      <c r="BK453" s="81">
        <f>$X453</f>
        <v/>
      </c>
      <c r="BL453" s="82">
        <f>($J453-$J454)*100</f>
        <v/>
      </c>
      <c r="BM453" s="82">
        <f>($F453-$F454)*100</f>
        <v/>
      </c>
      <c r="BN453" s="82">
        <f>$AF453-$AF454</f>
        <v/>
      </c>
      <c r="BO453" s="82">
        <f>$AG453-$AG454</f>
        <v/>
      </c>
      <c r="BP453" s="82">
        <f>$AJ453-$AJ454</f>
        <v/>
      </c>
    </row>
    <row r="454">
      <c r="AR454" s="81">
        <f>($G454+($H454-$G454)*0.5)+($P454-($O454+($Q454-$O454)*0.5))</f>
        <v/>
      </c>
      <c r="AS454" s="81">
        <f>($J454+($K454-$J454)*0.5)+($T454-($S454+($U454-$S454)*0.5))</f>
        <v/>
      </c>
      <c r="AT454" s="82">
        <f>($J454-$C454)*100</f>
        <v/>
      </c>
      <c r="AU454" s="82">
        <f>($H454-$F454)*100</f>
        <v/>
      </c>
      <c r="AV454" s="82">
        <f>($J454-$F454)*100</f>
        <v/>
      </c>
      <c r="AW454" s="82">
        <f>($L454-$F454)*100</f>
        <v/>
      </c>
      <c r="AX454" s="82">
        <f>($J454-$H454)*100</f>
        <v/>
      </c>
      <c r="AY454" s="82">
        <f>($L454-$H454)*100</f>
        <v/>
      </c>
      <c r="AZ454" s="82">
        <f>($L454-$J454)*100</f>
        <v/>
      </c>
      <c r="BA454" s="82">
        <f>(2*$H454-$F454-$J454)*100</f>
        <v/>
      </c>
      <c r="BB454" s="82">
        <f>(2*$J454-$H454-$L454)*100</f>
        <v/>
      </c>
      <c r="BC454" s="82">
        <f>($N454-$F454)*100</f>
        <v/>
      </c>
      <c r="BD454" s="82">
        <f>($Q454-$H454)*100</f>
        <v/>
      </c>
      <c r="BE454" s="82">
        <f>($S454-$J454)*100</f>
        <v/>
      </c>
      <c r="BF454" s="82">
        <f>($V454-$L454)*100</f>
        <v/>
      </c>
      <c r="BG454" s="82">
        <f>$AG454-$AF454</f>
        <v/>
      </c>
      <c r="BH454" s="81">
        <f>IFERROR($AG454/$AF454,"")</f>
        <v/>
      </c>
      <c r="BI454" s="82">
        <f>$AJ454-$AF454</f>
        <v/>
      </c>
      <c r="BJ454" s="81">
        <f>IFERROR($AJ454/$AG454,"")</f>
        <v/>
      </c>
      <c r="BK454" s="81">
        <f>$X454</f>
        <v/>
      </c>
      <c r="BL454" s="82">
        <f>($J454-$J455)*100</f>
        <v/>
      </c>
      <c r="BM454" s="82">
        <f>($F454-$F455)*100</f>
        <v/>
      </c>
      <c r="BN454" s="82">
        <f>$AF454-$AF455</f>
        <v/>
      </c>
      <c r="BO454" s="82">
        <f>$AG454-$AG455</f>
        <v/>
      </c>
      <c r="BP454" s="82">
        <f>$AJ454-$AJ455</f>
        <v/>
      </c>
    </row>
    <row r="455">
      <c r="AR455" s="81">
        <f>($G455+($H455-$G455)*0.5)+($P455-($O455+($Q455-$O455)*0.5))</f>
        <v/>
      </c>
      <c r="AS455" s="81">
        <f>($J455+($K455-$J455)*0.5)+($T455-($S455+($U455-$S455)*0.5))</f>
        <v/>
      </c>
      <c r="AT455" s="82">
        <f>($J455-$C455)*100</f>
        <v/>
      </c>
      <c r="AU455" s="82">
        <f>($H455-$F455)*100</f>
        <v/>
      </c>
      <c r="AV455" s="82">
        <f>($J455-$F455)*100</f>
        <v/>
      </c>
      <c r="AW455" s="82">
        <f>($L455-$F455)*100</f>
        <v/>
      </c>
      <c r="AX455" s="82">
        <f>($J455-$H455)*100</f>
        <v/>
      </c>
      <c r="AY455" s="82">
        <f>($L455-$H455)*100</f>
        <v/>
      </c>
      <c r="AZ455" s="82">
        <f>($L455-$J455)*100</f>
        <v/>
      </c>
      <c r="BA455" s="82">
        <f>(2*$H455-$F455-$J455)*100</f>
        <v/>
      </c>
      <c r="BB455" s="82">
        <f>(2*$J455-$H455-$L455)*100</f>
        <v/>
      </c>
      <c r="BC455" s="82">
        <f>($N455-$F455)*100</f>
        <v/>
      </c>
      <c r="BD455" s="82">
        <f>($Q455-$H455)*100</f>
        <v/>
      </c>
      <c r="BE455" s="82">
        <f>($S455-$J455)*100</f>
        <v/>
      </c>
      <c r="BF455" s="82">
        <f>($V455-$L455)*100</f>
        <v/>
      </c>
      <c r="BG455" s="82">
        <f>$AG455-$AF455</f>
        <v/>
      </c>
      <c r="BH455" s="81">
        <f>IFERROR($AG455/$AF455,"")</f>
        <v/>
      </c>
      <c r="BI455" s="82">
        <f>$AJ455-$AF455</f>
        <v/>
      </c>
      <c r="BJ455" s="81">
        <f>IFERROR($AJ455/$AG455,"")</f>
        <v/>
      </c>
      <c r="BK455" s="81">
        <f>$X455</f>
        <v/>
      </c>
      <c r="BL455" s="82">
        <f>($J455-$J456)*100</f>
        <v/>
      </c>
      <c r="BM455" s="82">
        <f>($F455-$F456)*100</f>
        <v/>
      </c>
      <c r="BN455" s="82">
        <f>$AF455-$AF456</f>
        <v/>
      </c>
      <c r="BO455" s="82">
        <f>$AG455-$AG456</f>
        <v/>
      </c>
      <c r="BP455" s="82">
        <f>$AJ455-$AJ456</f>
        <v/>
      </c>
    </row>
    <row r="456">
      <c r="AR456" s="81">
        <f>($G456+($H456-$G456)*0.5)+($P456-($O456+($Q456-$O456)*0.5))</f>
        <v/>
      </c>
      <c r="AS456" s="81">
        <f>($J456+($K456-$J456)*0.5)+($T456-($S456+($U456-$S456)*0.5))</f>
        <v/>
      </c>
      <c r="AT456" s="82">
        <f>($J456-$C456)*100</f>
        <v/>
      </c>
      <c r="AU456" s="82">
        <f>($H456-$F456)*100</f>
        <v/>
      </c>
      <c r="AV456" s="82">
        <f>($J456-$F456)*100</f>
        <v/>
      </c>
      <c r="AW456" s="82">
        <f>($L456-$F456)*100</f>
        <v/>
      </c>
      <c r="AX456" s="82">
        <f>($J456-$H456)*100</f>
        <v/>
      </c>
      <c r="AY456" s="82">
        <f>($L456-$H456)*100</f>
        <v/>
      </c>
      <c r="AZ456" s="82">
        <f>($L456-$J456)*100</f>
        <v/>
      </c>
      <c r="BA456" s="82">
        <f>(2*$H456-$F456-$J456)*100</f>
        <v/>
      </c>
      <c r="BB456" s="82">
        <f>(2*$J456-$H456-$L456)*100</f>
        <v/>
      </c>
      <c r="BC456" s="82">
        <f>($N456-$F456)*100</f>
        <v/>
      </c>
      <c r="BD456" s="82">
        <f>($Q456-$H456)*100</f>
        <v/>
      </c>
      <c r="BE456" s="82">
        <f>($S456-$J456)*100</f>
        <v/>
      </c>
      <c r="BF456" s="82">
        <f>($V456-$L456)*100</f>
        <v/>
      </c>
      <c r="BG456" s="82">
        <f>$AG456-$AF456</f>
        <v/>
      </c>
      <c r="BH456" s="81">
        <f>IFERROR($AG456/$AF456,"")</f>
        <v/>
      </c>
      <c r="BI456" s="82">
        <f>$AJ456-$AF456</f>
        <v/>
      </c>
      <c r="BJ456" s="81">
        <f>IFERROR($AJ456/$AG456,"")</f>
        <v/>
      </c>
      <c r="BK456" s="81">
        <f>$X456</f>
        <v/>
      </c>
      <c r="BL456" s="82">
        <f>($J456-$J457)*100</f>
        <v/>
      </c>
      <c r="BM456" s="82">
        <f>($F456-$F457)*100</f>
        <v/>
      </c>
      <c r="BN456" s="82">
        <f>$AF456-$AF457</f>
        <v/>
      </c>
      <c r="BO456" s="82">
        <f>$AG456-$AG457</f>
        <v/>
      </c>
      <c r="BP456" s="82">
        <f>$AJ456-$AJ457</f>
        <v/>
      </c>
    </row>
    <row r="457">
      <c r="AR457" s="81">
        <f>($G457+($H457-$G457)*0.5)+($P457-($O457+($Q457-$O457)*0.5))</f>
        <v/>
      </c>
      <c r="AS457" s="81">
        <f>($J457+($K457-$J457)*0.5)+($T457-($S457+($U457-$S457)*0.5))</f>
        <v/>
      </c>
      <c r="AT457" s="82">
        <f>($J457-$C457)*100</f>
        <v/>
      </c>
      <c r="AU457" s="82">
        <f>($H457-$F457)*100</f>
        <v/>
      </c>
      <c r="AV457" s="82">
        <f>($J457-$F457)*100</f>
        <v/>
      </c>
      <c r="AW457" s="82">
        <f>($L457-$F457)*100</f>
        <v/>
      </c>
      <c r="AX457" s="82">
        <f>($J457-$H457)*100</f>
        <v/>
      </c>
      <c r="AY457" s="82">
        <f>($L457-$H457)*100</f>
        <v/>
      </c>
      <c r="AZ457" s="82">
        <f>($L457-$J457)*100</f>
        <v/>
      </c>
      <c r="BA457" s="82">
        <f>(2*$H457-$F457-$J457)*100</f>
        <v/>
      </c>
      <c r="BB457" s="82">
        <f>(2*$J457-$H457-$L457)*100</f>
        <v/>
      </c>
      <c r="BC457" s="82">
        <f>($N457-$F457)*100</f>
        <v/>
      </c>
      <c r="BD457" s="82">
        <f>($Q457-$H457)*100</f>
        <v/>
      </c>
      <c r="BE457" s="82">
        <f>($S457-$J457)*100</f>
        <v/>
      </c>
      <c r="BF457" s="82">
        <f>($V457-$L457)*100</f>
        <v/>
      </c>
      <c r="BG457" s="82">
        <f>$AG457-$AF457</f>
        <v/>
      </c>
      <c r="BH457" s="81">
        <f>IFERROR($AG457/$AF457,"")</f>
        <v/>
      </c>
      <c r="BI457" s="82">
        <f>$AJ457-$AF457</f>
        <v/>
      </c>
      <c r="BJ457" s="81">
        <f>IFERROR($AJ457/$AG457,"")</f>
        <v/>
      </c>
      <c r="BK457" s="81">
        <f>$X457</f>
        <v/>
      </c>
      <c r="BL457" s="82">
        <f>($J457-$J458)*100</f>
        <v/>
      </c>
      <c r="BM457" s="82">
        <f>($F457-$F458)*100</f>
        <v/>
      </c>
      <c r="BN457" s="82">
        <f>$AF457-$AF458</f>
        <v/>
      </c>
      <c r="BO457" s="82">
        <f>$AG457-$AG458</f>
        <v/>
      </c>
      <c r="BP457" s="82">
        <f>$AJ457-$AJ458</f>
        <v/>
      </c>
    </row>
    <row r="458">
      <c r="AR458" s="81">
        <f>($G458+($H458-$G458)*0.5)+($P458-($O458+($Q458-$O458)*0.5))</f>
        <v/>
      </c>
      <c r="AS458" s="81">
        <f>($J458+($K458-$J458)*0.5)+($T458-($S458+($U458-$S458)*0.5))</f>
        <v/>
      </c>
      <c r="AT458" s="82">
        <f>($J458-$C458)*100</f>
        <v/>
      </c>
      <c r="AU458" s="82">
        <f>($H458-$F458)*100</f>
        <v/>
      </c>
      <c r="AV458" s="82">
        <f>($J458-$F458)*100</f>
        <v/>
      </c>
      <c r="AW458" s="82">
        <f>($L458-$F458)*100</f>
        <v/>
      </c>
      <c r="AX458" s="82">
        <f>($J458-$H458)*100</f>
        <v/>
      </c>
      <c r="AY458" s="82">
        <f>($L458-$H458)*100</f>
        <v/>
      </c>
      <c r="AZ458" s="82">
        <f>($L458-$J458)*100</f>
        <v/>
      </c>
      <c r="BA458" s="82">
        <f>(2*$H458-$F458-$J458)*100</f>
        <v/>
      </c>
      <c r="BB458" s="82">
        <f>(2*$J458-$H458-$L458)*100</f>
        <v/>
      </c>
      <c r="BC458" s="82">
        <f>($N458-$F458)*100</f>
        <v/>
      </c>
      <c r="BD458" s="82">
        <f>($Q458-$H458)*100</f>
        <v/>
      </c>
      <c r="BE458" s="82">
        <f>($S458-$J458)*100</f>
        <v/>
      </c>
      <c r="BF458" s="82">
        <f>($V458-$L458)*100</f>
        <v/>
      </c>
      <c r="BG458" s="82">
        <f>$AG458-$AF458</f>
        <v/>
      </c>
      <c r="BH458" s="81">
        <f>IFERROR($AG458/$AF458,"")</f>
        <v/>
      </c>
      <c r="BI458" s="82">
        <f>$AJ458-$AF458</f>
        <v/>
      </c>
      <c r="BJ458" s="81">
        <f>IFERROR($AJ458/$AG458,"")</f>
        <v/>
      </c>
      <c r="BK458" s="81">
        <f>$X458</f>
        <v/>
      </c>
      <c r="BL458" s="82">
        <f>($J458-$J459)*100</f>
        <v/>
      </c>
      <c r="BM458" s="82">
        <f>($F458-$F459)*100</f>
        <v/>
      </c>
      <c r="BN458" s="82">
        <f>$AF458-$AF459</f>
        <v/>
      </c>
      <c r="BO458" s="82">
        <f>$AG458-$AG459</f>
        <v/>
      </c>
      <c r="BP458" s="82">
        <f>$AJ458-$AJ459</f>
        <v/>
      </c>
    </row>
    <row r="459">
      <c r="AR459" s="81">
        <f>($G459+($H459-$G459)*0.5)+($P459-($O459+($Q459-$O459)*0.5))</f>
        <v/>
      </c>
      <c r="AS459" s="81">
        <f>($J459+($K459-$J459)*0.5)+($T459-($S459+($U459-$S459)*0.5))</f>
        <v/>
      </c>
      <c r="AT459" s="82">
        <f>($J459-$C459)*100</f>
        <v/>
      </c>
      <c r="AU459" s="82">
        <f>($H459-$F459)*100</f>
        <v/>
      </c>
      <c r="AV459" s="82">
        <f>($J459-$F459)*100</f>
        <v/>
      </c>
      <c r="AW459" s="82">
        <f>($L459-$F459)*100</f>
        <v/>
      </c>
      <c r="AX459" s="82">
        <f>($J459-$H459)*100</f>
        <v/>
      </c>
      <c r="AY459" s="82">
        <f>($L459-$H459)*100</f>
        <v/>
      </c>
      <c r="AZ459" s="82">
        <f>($L459-$J459)*100</f>
        <v/>
      </c>
      <c r="BA459" s="82">
        <f>(2*$H459-$F459-$J459)*100</f>
        <v/>
      </c>
      <c r="BB459" s="82">
        <f>(2*$J459-$H459-$L459)*100</f>
        <v/>
      </c>
      <c r="BC459" s="82">
        <f>($N459-$F459)*100</f>
        <v/>
      </c>
      <c r="BD459" s="82">
        <f>($Q459-$H459)*100</f>
        <v/>
      </c>
      <c r="BE459" s="82">
        <f>($S459-$J459)*100</f>
        <v/>
      </c>
      <c r="BF459" s="82">
        <f>($V459-$L459)*100</f>
        <v/>
      </c>
      <c r="BG459" s="82">
        <f>$AG459-$AF459</f>
        <v/>
      </c>
      <c r="BH459" s="81">
        <f>IFERROR($AG459/$AF459,"")</f>
        <v/>
      </c>
      <c r="BI459" s="82">
        <f>$AJ459-$AF459</f>
        <v/>
      </c>
      <c r="BJ459" s="81">
        <f>IFERROR($AJ459/$AG459,"")</f>
        <v/>
      </c>
      <c r="BK459" s="81">
        <f>$X459</f>
        <v/>
      </c>
      <c r="BL459" s="82">
        <f>($J459-$J460)*100</f>
        <v/>
      </c>
      <c r="BM459" s="82">
        <f>($F459-$F460)*100</f>
        <v/>
      </c>
      <c r="BN459" s="82">
        <f>$AF459-$AF460</f>
        <v/>
      </c>
      <c r="BO459" s="82">
        <f>$AG459-$AG460</f>
        <v/>
      </c>
      <c r="BP459" s="82">
        <f>$AJ459-$AJ460</f>
        <v/>
      </c>
    </row>
    <row r="460">
      <c r="AR460" s="81">
        <f>($G460+($H460-$G460)*0.5)+($P460-($O460+($Q460-$O460)*0.5))</f>
        <v/>
      </c>
      <c r="AS460" s="81">
        <f>($J460+($K460-$J460)*0.5)+($T460-($S460+($U460-$S460)*0.5))</f>
        <v/>
      </c>
      <c r="AT460" s="82">
        <f>($J460-$C460)*100</f>
        <v/>
      </c>
      <c r="AU460" s="82">
        <f>($H460-$F460)*100</f>
        <v/>
      </c>
      <c r="AV460" s="82">
        <f>($J460-$F460)*100</f>
        <v/>
      </c>
      <c r="AW460" s="82">
        <f>($L460-$F460)*100</f>
        <v/>
      </c>
      <c r="AX460" s="82">
        <f>($J460-$H460)*100</f>
        <v/>
      </c>
      <c r="AY460" s="82">
        <f>($L460-$H460)*100</f>
        <v/>
      </c>
      <c r="AZ460" s="82">
        <f>($L460-$J460)*100</f>
        <v/>
      </c>
      <c r="BA460" s="82">
        <f>(2*$H460-$F460-$J460)*100</f>
        <v/>
      </c>
      <c r="BB460" s="82">
        <f>(2*$J460-$H460-$L460)*100</f>
        <v/>
      </c>
      <c r="BC460" s="82">
        <f>($N460-$F460)*100</f>
        <v/>
      </c>
      <c r="BD460" s="82">
        <f>($Q460-$H460)*100</f>
        <v/>
      </c>
      <c r="BE460" s="82">
        <f>($S460-$J460)*100</f>
        <v/>
      </c>
      <c r="BF460" s="82">
        <f>($V460-$L460)*100</f>
        <v/>
      </c>
      <c r="BG460" s="82">
        <f>$AG460-$AF460</f>
        <v/>
      </c>
      <c r="BH460" s="81">
        <f>IFERROR($AG460/$AF460,"")</f>
        <v/>
      </c>
      <c r="BI460" s="82">
        <f>$AJ460-$AF460</f>
        <v/>
      </c>
      <c r="BJ460" s="81">
        <f>IFERROR($AJ460/$AG460,"")</f>
        <v/>
      </c>
      <c r="BK460" s="81">
        <f>$X460</f>
        <v/>
      </c>
      <c r="BL460" s="82">
        <f>($J460-$J461)*100</f>
        <v/>
      </c>
      <c r="BM460" s="82">
        <f>($F460-$F461)*100</f>
        <v/>
      </c>
      <c r="BN460" s="82">
        <f>$AF460-$AF461</f>
        <v/>
      </c>
      <c r="BO460" s="82">
        <f>$AG460-$AG461</f>
        <v/>
      </c>
      <c r="BP460" s="82">
        <f>$AJ460-$AJ461</f>
        <v/>
      </c>
    </row>
    <row r="461">
      <c r="AR461" s="81">
        <f>($G461+($H461-$G461)*0.5)+($P461-($O461+($Q461-$O461)*0.5))</f>
        <v/>
      </c>
      <c r="AS461" s="81">
        <f>($J461+($K461-$J461)*0.5)+($T461-($S461+($U461-$S461)*0.5))</f>
        <v/>
      </c>
      <c r="AT461" s="82">
        <f>($J461-$C461)*100</f>
        <v/>
      </c>
      <c r="AU461" s="82">
        <f>($H461-$F461)*100</f>
        <v/>
      </c>
      <c r="AV461" s="82">
        <f>($J461-$F461)*100</f>
        <v/>
      </c>
      <c r="AW461" s="82">
        <f>($L461-$F461)*100</f>
        <v/>
      </c>
      <c r="AX461" s="82">
        <f>($J461-$H461)*100</f>
        <v/>
      </c>
      <c r="AY461" s="82">
        <f>($L461-$H461)*100</f>
        <v/>
      </c>
      <c r="AZ461" s="82">
        <f>($L461-$J461)*100</f>
        <v/>
      </c>
      <c r="BA461" s="82">
        <f>(2*$H461-$F461-$J461)*100</f>
        <v/>
      </c>
      <c r="BB461" s="82">
        <f>(2*$J461-$H461-$L461)*100</f>
        <v/>
      </c>
      <c r="BC461" s="82">
        <f>($N461-$F461)*100</f>
        <v/>
      </c>
      <c r="BD461" s="82">
        <f>($Q461-$H461)*100</f>
        <v/>
      </c>
      <c r="BE461" s="82">
        <f>($S461-$J461)*100</f>
        <v/>
      </c>
      <c r="BF461" s="82">
        <f>($V461-$L461)*100</f>
        <v/>
      </c>
      <c r="BG461" s="82">
        <f>$AG461-$AF461</f>
        <v/>
      </c>
      <c r="BH461" s="81">
        <f>IFERROR($AG461/$AF461,"")</f>
        <v/>
      </c>
      <c r="BI461" s="82">
        <f>$AJ461-$AF461</f>
        <v/>
      </c>
      <c r="BJ461" s="81">
        <f>IFERROR($AJ461/$AG461,"")</f>
        <v/>
      </c>
      <c r="BK461" s="81">
        <f>$X461</f>
        <v/>
      </c>
      <c r="BL461" s="82">
        <f>($J461-$J462)*100</f>
        <v/>
      </c>
      <c r="BM461" s="82">
        <f>($F461-$F462)*100</f>
        <v/>
      </c>
      <c r="BN461" s="82">
        <f>$AF461-$AF462</f>
        <v/>
      </c>
      <c r="BO461" s="82">
        <f>$AG461-$AG462</f>
        <v/>
      </c>
      <c r="BP461" s="82">
        <f>$AJ461-$AJ462</f>
        <v/>
      </c>
    </row>
    <row r="462">
      <c r="AR462" s="81">
        <f>($G462+($H462-$G462)*0.5)+($P462-($O462+($Q462-$O462)*0.5))</f>
        <v/>
      </c>
      <c r="AS462" s="81">
        <f>($J462+($K462-$J462)*0.5)+($T462-($S462+($U462-$S462)*0.5))</f>
        <v/>
      </c>
      <c r="AT462" s="82">
        <f>($J462-$C462)*100</f>
        <v/>
      </c>
      <c r="AU462" s="82">
        <f>($H462-$F462)*100</f>
        <v/>
      </c>
      <c r="AV462" s="82">
        <f>($J462-$F462)*100</f>
        <v/>
      </c>
      <c r="AW462" s="82">
        <f>($L462-$F462)*100</f>
        <v/>
      </c>
      <c r="AX462" s="82">
        <f>($J462-$H462)*100</f>
        <v/>
      </c>
      <c r="AY462" s="82">
        <f>($L462-$H462)*100</f>
        <v/>
      </c>
      <c r="AZ462" s="82">
        <f>($L462-$J462)*100</f>
        <v/>
      </c>
      <c r="BA462" s="82">
        <f>(2*$H462-$F462-$J462)*100</f>
        <v/>
      </c>
      <c r="BB462" s="82">
        <f>(2*$J462-$H462-$L462)*100</f>
        <v/>
      </c>
      <c r="BC462" s="82">
        <f>($N462-$F462)*100</f>
        <v/>
      </c>
      <c r="BD462" s="82">
        <f>($Q462-$H462)*100</f>
        <v/>
      </c>
      <c r="BE462" s="82">
        <f>($S462-$J462)*100</f>
        <v/>
      </c>
      <c r="BF462" s="82">
        <f>($V462-$L462)*100</f>
        <v/>
      </c>
      <c r="BG462" s="82">
        <f>$AG462-$AF462</f>
        <v/>
      </c>
      <c r="BH462" s="81">
        <f>IFERROR($AG462/$AF462,"")</f>
        <v/>
      </c>
      <c r="BI462" s="82">
        <f>$AJ462-$AF462</f>
        <v/>
      </c>
      <c r="BJ462" s="81">
        <f>IFERROR($AJ462/$AG462,"")</f>
        <v/>
      </c>
      <c r="BK462" s="81">
        <f>$X462</f>
        <v/>
      </c>
      <c r="BL462" s="82">
        <f>($J462-$J463)*100</f>
        <v/>
      </c>
      <c r="BM462" s="82">
        <f>($F462-$F463)*100</f>
        <v/>
      </c>
      <c r="BN462" s="82">
        <f>$AF462-$AF463</f>
        <v/>
      </c>
      <c r="BO462" s="82">
        <f>$AG462-$AG463</f>
        <v/>
      </c>
      <c r="BP462" s="82">
        <f>$AJ462-$AJ463</f>
        <v/>
      </c>
    </row>
    <row r="463">
      <c r="AR463" s="81">
        <f>($G463+($H463-$G463)*0.5)+($P463-($O463+($Q463-$O463)*0.5))</f>
        <v/>
      </c>
      <c r="AS463" s="81">
        <f>($J463+($K463-$J463)*0.5)+($T463-($S463+($U463-$S463)*0.5))</f>
        <v/>
      </c>
      <c r="AT463" s="82">
        <f>($J463-$C463)*100</f>
        <v/>
      </c>
      <c r="AU463" s="82">
        <f>($H463-$F463)*100</f>
        <v/>
      </c>
      <c r="AV463" s="82">
        <f>($J463-$F463)*100</f>
        <v/>
      </c>
      <c r="AW463" s="82">
        <f>($L463-$F463)*100</f>
        <v/>
      </c>
      <c r="AX463" s="82">
        <f>($J463-$H463)*100</f>
        <v/>
      </c>
      <c r="AY463" s="82">
        <f>($L463-$H463)*100</f>
        <v/>
      </c>
      <c r="AZ463" s="82">
        <f>($L463-$J463)*100</f>
        <v/>
      </c>
      <c r="BA463" s="82">
        <f>(2*$H463-$F463-$J463)*100</f>
        <v/>
      </c>
      <c r="BB463" s="82">
        <f>(2*$J463-$H463-$L463)*100</f>
        <v/>
      </c>
      <c r="BC463" s="82">
        <f>($N463-$F463)*100</f>
        <v/>
      </c>
      <c r="BD463" s="82">
        <f>($Q463-$H463)*100</f>
        <v/>
      </c>
      <c r="BE463" s="82">
        <f>($S463-$J463)*100</f>
        <v/>
      </c>
      <c r="BF463" s="82">
        <f>($V463-$L463)*100</f>
        <v/>
      </c>
      <c r="BG463" s="82">
        <f>$AG463-$AF463</f>
        <v/>
      </c>
      <c r="BH463" s="81">
        <f>IFERROR($AG463/$AF463,"")</f>
        <v/>
      </c>
      <c r="BI463" s="82">
        <f>$AJ463-$AF463</f>
        <v/>
      </c>
      <c r="BJ463" s="81">
        <f>IFERROR($AJ463/$AG463,"")</f>
        <v/>
      </c>
      <c r="BK463" s="81">
        <f>$X463</f>
        <v/>
      </c>
      <c r="BL463" s="82">
        <f>($J463-$J464)*100</f>
        <v/>
      </c>
      <c r="BM463" s="82">
        <f>($F463-$F464)*100</f>
        <v/>
      </c>
      <c r="BN463" s="82">
        <f>$AF463-$AF464</f>
        <v/>
      </c>
      <c r="BO463" s="82">
        <f>$AG463-$AG464</f>
        <v/>
      </c>
      <c r="BP463" s="82">
        <f>$AJ463-$AJ464</f>
        <v/>
      </c>
    </row>
    <row r="464">
      <c r="AR464" s="81">
        <f>($G464+($H464-$G464)*0.5)+($P464-($O464+($Q464-$O464)*0.5))</f>
        <v/>
      </c>
      <c r="AS464" s="81">
        <f>($J464+($K464-$J464)*0.5)+($T464-($S464+($U464-$S464)*0.5))</f>
        <v/>
      </c>
      <c r="AT464" s="82">
        <f>($J464-$C464)*100</f>
        <v/>
      </c>
      <c r="AU464" s="82">
        <f>($H464-$F464)*100</f>
        <v/>
      </c>
      <c r="AV464" s="82">
        <f>($J464-$F464)*100</f>
        <v/>
      </c>
      <c r="AW464" s="82">
        <f>($L464-$F464)*100</f>
        <v/>
      </c>
      <c r="AX464" s="82">
        <f>($J464-$H464)*100</f>
        <v/>
      </c>
      <c r="AY464" s="82">
        <f>($L464-$H464)*100</f>
        <v/>
      </c>
      <c r="AZ464" s="82">
        <f>($L464-$J464)*100</f>
        <v/>
      </c>
      <c r="BA464" s="82">
        <f>(2*$H464-$F464-$J464)*100</f>
        <v/>
      </c>
      <c r="BB464" s="82">
        <f>(2*$J464-$H464-$L464)*100</f>
        <v/>
      </c>
      <c r="BC464" s="82">
        <f>($N464-$F464)*100</f>
        <v/>
      </c>
      <c r="BD464" s="82">
        <f>($Q464-$H464)*100</f>
        <v/>
      </c>
      <c r="BE464" s="82">
        <f>($S464-$J464)*100</f>
        <v/>
      </c>
      <c r="BF464" s="82">
        <f>($V464-$L464)*100</f>
        <v/>
      </c>
      <c r="BG464" s="82">
        <f>$AG464-$AF464</f>
        <v/>
      </c>
      <c r="BH464" s="81">
        <f>IFERROR($AG464/$AF464,"")</f>
        <v/>
      </c>
      <c r="BI464" s="82">
        <f>$AJ464-$AF464</f>
        <v/>
      </c>
      <c r="BJ464" s="81">
        <f>IFERROR($AJ464/$AG464,"")</f>
        <v/>
      </c>
      <c r="BK464" s="81">
        <f>$X464</f>
        <v/>
      </c>
      <c r="BL464" s="82">
        <f>($J464-$J465)*100</f>
        <v/>
      </c>
      <c r="BM464" s="82">
        <f>($F464-$F465)*100</f>
        <v/>
      </c>
      <c r="BN464" s="82">
        <f>$AF464-$AF465</f>
        <v/>
      </c>
      <c r="BO464" s="82">
        <f>$AG464-$AG465</f>
        <v/>
      </c>
      <c r="BP464" s="82">
        <f>$AJ464-$AJ465</f>
        <v/>
      </c>
    </row>
    <row r="465">
      <c r="AR465" s="81">
        <f>($G465+($H465-$G465)*0.5)+($P465-($O465+($Q465-$O465)*0.5))</f>
        <v/>
      </c>
      <c r="AS465" s="81">
        <f>($J465+($K465-$J465)*0.5)+($T465-($S465+($U465-$S465)*0.5))</f>
        <v/>
      </c>
      <c r="AT465" s="82">
        <f>($J465-$C465)*100</f>
        <v/>
      </c>
      <c r="AU465" s="82">
        <f>($H465-$F465)*100</f>
        <v/>
      </c>
      <c r="AV465" s="82">
        <f>($J465-$F465)*100</f>
        <v/>
      </c>
      <c r="AW465" s="82">
        <f>($L465-$F465)*100</f>
        <v/>
      </c>
      <c r="AX465" s="82">
        <f>($J465-$H465)*100</f>
        <v/>
      </c>
      <c r="AY465" s="82">
        <f>($L465-$H465)*100</f>
        <v/>
      </c>
      <c r="AZ465" s="82">
        <f>($L465-$J465)*100</f>
        <v/>
      </c>
      <c r="BA465" s="82">
        <f>(2*$H465-$F465-$J465)*100</f>
        <v/>
      </c>
      <c r="BB465" s="82">
        <f>(2*$J465-$H465-$L465)*100</f>
        <v/>
      </c>
      <c r="BC465" s="82">
        <f>($N465-$F465)*100</f>
        <v/>
      </c>
      <c r="BD465" s="82">
        <f>($Q465-$H465)*100</f>
        <v/>
      </c>
      <c r="BE465" s="82">
        <f>($S465-$J465)*100</f>
        <v/>
      </c>
      <c r="BF465" s="82">
        <f>($V465-$L465)*100</f>
        <v/>
      </c>
      <c r="BG465" s="82">
        <f>$AG465-$AF465</f>
        <v/>
      </c>
      <c r="BH465" s="81">
        <f>IFERROR($AG465/$AF465,"")</f>
        <v/>
      </c>
      <c r="BI465" s="82">
        <f>$AJ465-$AF465</f>
        <v/>
      </c>
      <c r="BJ465" s="81">
        <f>IFERROR($AJ465/$AG465,"")</f>
        <v/>
      </c>
      <c r="BK465" s="81">
        <f>$X465</f>
        <v/>
      </c>
      <c r="BL465" s="82">
        <f>($J465-$J466)*100</f>
        <v/>
      </c>
      <c r="BM465" s="82">
        <f>($F465-$F466)*100</f>
        <v/>
      </c>
      <c r="BN465" s="82">
        <f>$AF465-$AF466</f>
        <v/>
      </c>
      <c r="BO465" s="82">
        <f>$AG465-$AG466</f>
        <v/>
      </c>
      <c r="BP465" s="82">
        <f>$AJ465-$AJ466</f>
        <v/>
      </c>
    </row>
    <row r="466">
      <c r="AR466" s="81">
        <f>($G466+($H466-$G466)*0.5)+($P466-($O466+($Q466-$O466)*0.5))</f>
        <v/>
      </c>
      <c r="AS466" s="81">
        <f>($J466+($K466-$J466)*0.5)+($T466-($S466+($U466-$S466)*0.5))</f>
        <v/>
      </c>
      <c r="AT466" s="82">
        <f>($J466-$C466)*100</f>
        <v/>
      </c>
      <c r="AU466" s="82">
        <f>($H466-$F466)*100</f>
        <v/>
      </c>
      <c r="AV466" s="82">
        <f>($J466-$F466)*100</f>
        <v/>
      </c>
      <c r="AW466" s="82">
        <f>($L466-$F466)*100</f>
        <v/>
      </c>
      <c r="AX466" s="82">
        <f>($J466-$H466)*100</f>
        <v/>
      </c>
      <c r="AY466" s="82">
        <f>($L466-$H466)*100</f>
        <v/>
      </c>
      <c r="AZ466" s="82">
        <f>($L466-$J466)*100</f>
        <v/>
      </c>
      <c r="BA466" s="82">
        <f>(2*$H466-$F466-$J466)*100</f>
        <v/>
      </c>
      <c r="BB466" s="82">
        <f>(2*$J466-$H466-$L466)*100</f>
        <v/>
      </c>
      <c r="BC466" s="82">
        <f>($N466-$F466)*100</f>
        <v/>
      </c>
      <c r="BD466" s="82">
        <f>($Q466-$H466)*100</f>
        <v/>
      </c>
      <c r="BE466" s="82">
        <f>($S466-$J466)*100</f>
        <v/>
      </c>
      <c r="BF466" s="82">
        <f>($V466-$L466)*100</f>
        <v/>
      </c>
      <c r="BG466" s="82">
        <f>$AG466-$AF466</f>
        <v/>
      </c>
      <c r="BH466" s="81">
        <f>IFERROR($AG466/$AF466,"")</f>
        <v/>
      </c>
      <c r="BI466" s="82">
        <f>$AJ466-$AF466</f>
        <v/>
      </c>
      <c r="BJ466" s="81">
        <f>IFERROR($AJ466/$AG466,"")</f>
        <v/>
      </c>
      <c r="BK466" s="81">
        <f>$X466</f>
        <v/>
      </c>
      <c r="BL466" s="82">
        <f>($J466-$J467)*100</f>
        <v/>
      </c>
      <c r="BM466" s="82">
        <f>($F466-$F467)*100</f>
        <v/>
      </c>
      <c r="BN466" s="82">
        <f>$AF466-$AF467</f>
        <v/>
      </c>
      <c r="BO466" s="82">
        <f>$AG466-$AG467</f>
        <v/>
      </c>
      <c r="BP466" s="82">
        <f>$AJ466-$AJ467</f>
        <v/>
      </c>
    </row>
    <row r="467">
      <c r="AR467" s="81">
        <f>($G467+($H467-$G467)*0.5)+($P467-($O467+($Q467-$O467)*0.5))</f>
        <v/>
      </c>
      <c r="AS467" s="81">
        <f>($J467+($K467-$J467)*0.5)+($T467-($S467+($U467-$S467)*0.5))</f>
        <v/>
      </c>
      <c r="AT467" s="82">
        <f>($J467-$C467)*100</f>
        <v/>
      </c>
      <c r="AU467" s="82">
        <f>($H467-$F467)*100</f>
        <v/>
      </c>
      <c r="AV467" s="82">
        <f>($J467-$F467)*100</f>
        <v/>
      </c>
      <c r="AW467" s="82">
        <f>($L467-$F467)*100</f>
        <v/>
      </c>
      <c r="AX467" s="82">
        <f>($J467-$H467)*100</f>
        <v/>
      </c>
      <c r="AY467" s="82">
        <f>($L467-$H467)*100</f>
        <v/>
      </c>
      <c r="AZ467" s="82">
        <f>($L467-$J467)*100</f>
        <v/>
      </c>
      <c r="BA467" s="82">
        <f>(2*$H467-$F467-$J467)*100</f>
        <v/>
      </c>
      <c r="BB467" s="82">
        <f>(2*$J467-$H467-$L467)*100</f>
        <v/>
      </c>
      <c r="BC467" s="82">
        <f>($N467-$F467)*100</f>
        <v/>
      </c>
      <c r="BD467" s="82">
        <f>($Q467-$H467)*100</f>
        <v/>
      </c>
      <c r="BE467" s="82">
        <f>($S467-$J467)*100</f>
        <v/>
      </c>
      <c r="BF467" s="82">
        <f>($V467-$L467)*100</f>
        <v/>
      </c>
      <c r="BG467" s="82">
        <f>$AG467-$AF467</f>
        <v/>
      </c>
      <c r="BH467" s="81">
        <f>IFERROR($AG467/$AF467,"")</f>
        <v/>
      </c>
      <c r="BI467" s="82">
        <f>$AJ467-$AF467</f>
        <v/>
      </c>
      <c r="BJ467" s="81">
        <f>IFERROR($AJ467/$AG467,"")</f>
        <v/>
      </c>
      <c r="BK467" s="81">
        <f>$X467</f>
        <v/>
      </c>
      <c r="BL467" s="82">
        <f>($J467-$J468)*100</f>
        <v/>
      </c>
      <c r="BM467" s="82">
        <f>($F467-$F468)*100</f>
        <v/>
      </c>
      <c r="BN467" s="82">
        <f>$AF467-$AF468</f>
        <v/>
      </c>
      <c r="BO467" s="82">
        <f>$AG467-$AG468</f>
        <v/>
      </c>
      <c r="BP467" s="82">
        <f>$AJ467-$AJ468</f>
        <v/>
      </c>
    </row>
    <row r="468">
      <c r="AR468" s="81">
        <f>($G468+($H468-$G468)*0.5)+($P468-($O468+($Q468-$O468)*0.5))</f>
        <v/>
      </c>
      <c r="AS468" s="81">
        <f>($J468+($K468-$J468)*0.5)+($T468-($S468+($U468-$S468)*0.5))</f>
        <v/>
      </c>
      <c r="AT468" s="82">
        <f>($J468-$C468)*100</f>
        <v/>
      </c>
      <c r="AU468" s="82">
        <f>($H468-$F468)*100</f>
        <v/>
      </c>
      <c r="AV468" s="82">
        <f>($J468-$F468)*100</f>
        <v/>
      </c>
      <c r="AW468" s="82">
        <f>($L468-$F468)*100</f>
        <v/>
      </c>
      <c r="AX468" s="82">
        <f>($J468-$H468)*100</f>
        <v/>
      </c>
      <c r="AY468" s="82">
        <f>($L468-$H468)*100</f>
        <v/>
      </c>
      <c r="AZ468" s="82">
        <f>($L468-$J468)*100</f>
        <v/>
      </c>
      <c r="BA468" s="82">
        <f>(2*$H468-$F468-$J468)*100</f>
        <v/>
      </c>
      <c r="BB468" s="82">
        <f>(2*$J468-$H468-$L468)*100</f>
        <v/>
      </c>
      <c r="BC468" s="82">
        <f>($N468-$F468)*100</f>
        <v/>
      </c>
      <c r="BD468" s="82">
        <f>($Q468-$H468)*100</f>
        <v/>
      </c>
      <c r="BE468" s="82">
        <f>($S468-$J468)*100</f>
        <v/>
      </c>
      <c r="BF468" s="82">
        <f>($V468-$L468)*100</f>
        <v/>
      </c>
      <c r="BG468" s="82">
        <f>$AG468-$AF468</f>
        <v/>
      </c>
      <c r="BH468" s="81">
        <f>IFERROR($AG468/$AF468,"")</f>
        <v/>
      </c>
      <c r="BI468" s="82">
        <f>$AJ468-$AF468</f>
        <v/>
      </c>
      <c r="BJ468" s="81">
        <f>IFERROR($AJ468/$AG468,"")</f>
        <v/>
      </c>
      <c r="BK468" s="81">
        <f>$X468</f>
        <v/>
      </c>
      <c r="BL468" s="82">
        <f>($J468-$J469)*100</f>
        <v/>
      </c>
      <c r="BM468" s="82">
        <f>($F468-$F469)*100</f>
        <v/>
      </c>
      <c r="BN468" s="82">
        <f>$AF468-$AF469</f>
        <v/>
      </c>
      <c r="BO468" s="82">
        <f>$AG468-$AG469</f>
        <v/>
      </c>
      <c r="BP468" s="82">
        <f>$AJ468-$AJ469</f>
        <v/>
      </c>
    </row>
    <row r="469">
      <c r="AR469" s="81">
        <f>($G469+($H469-$G469)*0.5)+($P469-($O469+($Q469-$O469)*0.5))</f>
        <v/>
      </c>
      <c r="AS469" s="81">
        <f>($J469+($K469-$J469)*0.5)+($T469-($S469+($U469-$S469)*0.5))</f>
        <v/>
      </c>
      <c r="AT469" s="82">
        <f>($J469-$C469)*100</f>
        <v/>
      </c>
      <c r="AU469" s="82">
        <f>($H469-$F469)*100</f>
        <v/>
      </c>
      <c r="AV469" s="82">
        <f>($J469-$F469)*100</f>
        <v/>
      </c>
      <c r="AW469" s="82">
        <f>($L469-$F469)*100</f>
        <v/>
      </c>
      <c r="AX469" s="82">
        <f>($J469-$H469)*100</f>
        <v/>
      </c>
      <c r="AY469" s="82">
        <f>($L469-$H469)*100</f>
        <v/>
      </c>
      <c r="AZ469" s="82">
        <f>($L469-$J469)*100</f>
        <v/>
      </c>
      <c r="BA469" s="82">
        <f>(2*$H469-$F469-$J469)*100</f>
        <v/>
      </c>
      <c r="BB469" s="82">
        <f>(2*$J469-$H469-$L469)*100</f>
        <v/>
      </c>
      <c r="BC469" s="82">
        <f>($N469-$F469)*100</f>
        <v/>
      </c>
      <c r="BD469" s="82">
        <f>($Q469-$H469)*100</f>
        <v/>
      </c>
      <c r="BE469" s="82">
        <f>($S469-$J469)*100</f>
        <v/>
      </c>
      <c r="BF469" s="82">
        <f>($V469-$L469)*100</f>
        <v/>
      </c>
      <c r="BG469" s="82">
        <f>$AG469-$AF469</f>
        <v/>
      </c>
      <c r="BH469" s="81">
        <f>IFERROR($AG469/$AF469,"")</f>
        <v/>
      </c>
      <c r="BI469" s="82">
        <f>$AJ469-$AF469</f>
        <v/>
      </c>
      <c r="BJ469" s="81">
        <f>IFERROR($AJ469/$AG469,"")</f>
        <v/>
      </c>
      <c r="BK469" s="81">
        <f>$X469</f>
        <v/>
      </c>
      <c r="BL469" s="82">
        <f>($J469-$J470)*100</f>
        <v/>
      </c>
      <c r="BM469" s="82">
        <f>($F469-$F470)*100</f>
        <v/>
      </c>
      <c r="BN469" s="82">
        <f>$AF469-$AF470</f>
        <v/>
      </c>
      <c r="BO469" s="82">
        <f>$AG469-$AG470</f>
        <v/>
      </c>
      <c r="BP469" s="82">
        <f>$AJ469-$AJ470</f>
        <v/>
      </c>
    </row>
    <row r="470">
      <c r="AR470" s="81">
        <f>($G470+($H470-$G470)*0.5)+($P470-($O470+($Q470-$O470)*0.5))</f>
        <v/>
      </c>
      <c r="AS470" s="81">
        <f>($J470+($K470-$J470)*0.5)+($T470-($S470+($U470-$S470)*0.5))</f>
        <v/>
      </c>
      <c r="AT470" s="82">
        <f>($J470-$C470)*100</f>
        <v/>
      </c>
      <c r="AU470" s="82">
        <f>($H470-$F470)*100</f>
        <v/>
      </c>
      <c r="AV470" s="82">
        <f>($J470-$F470)*100</f>
        <v/>
      </c>
      <c r="AW470" s="82">
        <f>($L470-$F470)*100</f>
        <v/>
      </c>
      <c r="AX470" s="82">
        <f>($J470-$H470)*100</f>
        <v/>
      </c>
      <c r="AY470" s="82">
        <f>($L470-$H470)*100</f>
        <v/>
      </c>
      <c r="AZ470" s="82">
        <f>($L470-$J470)*100</f>
        <v/>
      </c>
      <c r="BA470" s="82">
        <f>(2*$H470-$F470-$J470)*100</f>
        <v/>
      </c>
      <c r="BB470" s="82">
        <f>(2*$J470-$H470-$L470)*100</f>
        <v/>
      </c>
      <c r="BC470" s="82">
        <f>($N470-$F470)*100</f>
        <v/>
      </c>
      <c r="BD470" s="82">
        <f>($Q470-$H470)*100</f>
        <v/>
      </c>
      <c r="BE470" s="82">
        <f>($S470-$J470)*100</f>
        <v/>
      </c>
      <c r="BF470" s="82">
        <f>($V470-$L470)*100</f>
        <v/>
      </c>
      <c r="BG470" s="82">
        <f>$AG470-$AF470</f>
        <v/>
      </c>
      <c r="BH470" s="81">
        <f>IFERROR($AG470/$AF470,"")</f>
        <v/>
      </c>
      <c r="BI470" s="82">
        <f>$AJ470-$AF470</f>
        <v/>
      </c>
      <c r="BJ470" s="81">
        <f>IFERROR($AJ470/$AG470,"")</f>
        <v/>
      </c>
      <c r="BK470" s="81">
        <f>$X470</f>
        <v/>
      </c>
      <c r="BL470" s="82">
        <f>($J470-$J471)*100</f>
        <v/>
      </c>
      <c r="BM470" s="82">
        <f>($F470-$F471)*100</f>
        <v/>
      </c>
      <c r="BN470" s="82">
        <f>$AF470-$AF471</f>
        <v/>
      </c>
      <c r="BO470" s="82">
        <f>$AG470-$AG471</f>
        <v/>
      </c>
      <c r="BP470" s="82">
        <f>$AJ470-$AJ471</f>
        <v/>
      </c>
    </row>
    <row r="471">
      <c r="AR471" s="81">
        <f>($G471+($H471-$G471)*0.5)+($P471-($O471+($Q471-$O471)*0.5))</f>
        <v/>
      </c>
      <c r="AS471" s="81">
        <f>($J471+($K471-$J471)*0.5)+($T471-($S471+($U471-$S471)*0.5))</f>
        <v/>
      </c>
      <c r="AT471" s="82">
        <f>($J471-$C471)*100</f>
        <v/>
      </c>
      <c r="AU471" s="82">
        <f>($H471-$F471)*100</f>
        <v/>
      </c>
      <c r="AV471" s="82">
        <f>($J471-$F471)*100</f>
        <v/>
      </c>
      <c r="AW471" s="82">
        <f>($L471-$F471)*100</f>
        <v/>
      </c>
      <c r="AX471" s="82">
        <f>($J471-$H471)*100</f>
        <v/>
      </c>
      <c r="AY471" s="82">
        <f>($L471-$H471)*100</f>
        <v/>
      </c>
      <c r="AZ471" s="82">
        <f>($L471-$J471)*100</f>
        <v/>
      </c>
      <c r="BA471" s="82">
        <f>(2*$H471-$F471-$J471)*100</f>
        <v/>
      </c>
      <c r="BB471" s="82">
        <f>(2*$J471-$H471-$L471)*100</f>
        <v/>
      </c>
      <c r="BC471" s="82">
        <f>($N471-$F471)*100</f>
        <v/>
      </c>
      <c r="BD471" s="82">
        <f>($Q471-$H471)*100</f>
        <v/>
      </c>
      <c r="BE471" s="82">
        <f>($S471-$J471)*100</f>
        <v/>
      </c>
      <c r="BF471" s="82">
        <f>($V471-$L471)*100</f>
        <v/>
      </c>
      <c r="BG471" s="82">
        <f>$AG471-$AF471</f>
        <v/>
      </c>
      <c r="BH471" s="81">
        <f>IFERROR($AG471/$AF471,"")</f>
        <v/>
      </c>
      <c r="BI471" s="82">
        <f>$AJ471-$AF471</f>
        <v/>
      </c>
      <c r="BJ471" s="81">
        <f>IFERROR($AJ471/$AG471,"")</f>
        <v/>
      </c>
      <c r="BK471" s="81">
        <f>$X471</f>
        <v/>
      </c>
      <c r="BL471" s="82">
        <f>($J471-$J472)*100</f>
        <v/>
      </c>
      <c r="BM471" s="82">
        <f>($F471-$F472)*100</f>
        <v/>
      </c>
      <c r="BN471" s="82">
        <f>$AF471-$AF472</f>
        <v/>
      </c>
      <c r="BO471" s="82">
        <f>$AG471-$AG472</f>
        <v/>
      </c>
      <c r="BP471" s="82">
        <f>$AJ471-$AJ472</f>
        <v/>
      </c>
    </row>
    <row r="472">
      <c r="AR472" s="81">
        <f>($G472+($H472-$G472)*0.5)+($P472-($O472+($Q472-$O472)*0.5))</f>
        <v/>
      </c>
      <c r="AS472" s="81">
        <f>($J472+($K472-$J472)*0.5)+($T472-($S472+($U472-$S472)*0.5))</f>
        <v/>
      </c>
      <c r="AT472" s="82">
        <f>($J472-$C472)*100</f>
        <v/>
      </c>
      <c r="AU472" s="82">
        <f>($H472-$F472)*100</f>
        <v/>
      </c>
      <c r="AV472" s="82">
        <f>($J472-$F472)*100</f>
        <v/>
      </c>
      <c r="AW472" s="82">
        <f>($L472-$F472)*100</f>
        <v/>
      </c>
      <c r="AX472" s="82">
        <f>($J472-$H472)*100</f>
        <v/>
      </c>
      <c r="AY472" s="82">
        <f>($L472-$H472)*100</f>
        <v/>
      </c>
      <c r="AZ472" s="82">
        <f>($L472-$J472)*100</f>
        <v/>
      </c>
      <c r="BA472" s="82">
        <f>(2*$H472-$F472-$J472)*100</f>
        <v/>
      </c>
      <c r="BB472" s="82">
        <f>(2*$J472-$H472-$L472)*100</f>
        <v/>
      </c>
      <c r="BC472" s="82">
        <f>($N472-$F472)*100</f>
        <v/>
      </c>
      <c r="BD472" s="82">
        <f>($Q472-$H472)*100</f>
        <v/>
      </c>
      <c r="BE472" s="82">
        <f>($S472-$J472)*100</f>
        <v/>
      </c>
      <c r="BF472" s="82">
        <f>($V472-$L472)*100</f>
        <v/>
      </c>
      <c r="BG472" s="82">
        <f>$AG472-$AF472</f>
        <v/>
      </c>
      <c r="BH472" s="81">
        <f>IFERROR($AG472/$AF472,"")</f>
        <v/>
      </c>
      <c r="BI472" s="82">
        <f>$AJ472-$AF472</f>
        <v/>
      </c>
      <c r="BJ472" s="81">
        <f>IFERROR($AJ472/$AG472,"")</f>
        <v/>
      </c>
      <c r="BK472" s="81">
        <f>$X472</f>
        <v/>
      </c>
      <c r="BL472" s="82">
        <f>($J472-$J473)*100</f>
        <v/>
      </c>
      <c r="BM472" s="82">
        <f>($F472-$F473)*100</f>
        <v/>
      </c>
      <c r="BN472" s="82">
        <f>$AF472-$AF473</f>
        <v/>
      </c>
      <c r="BO472" s="82">
        <f>$AG472-$AG473</f>
        <v/>
      </c>
      <c r="BP472" s="82">
        <f>$AJ472-$AJ473</f>
        <v/>
      </c>
    </row>
    <row r="473">
      <c r="AR473" s="81">
        <f>($G473+($H473-$G473)*0.5)+($P473-($O473+($Q473-$O473)*0.5))</f>
        <v/>
      </c>
      <c r="AS473" s="81">
        <f>($J473+($K473-$J473)*0.5)+($T473-($S473+($U473-$S473)*0.5))</f>
        <v/>
      </c>
      <c r="AT473" s="82">
        <f>($J473-$C473)*100</f>
        <v/>
      </c>
      <c r="AU473" s="82">
        <f>($H473-$F473)*100</f>
        <v/>
      </c>
      <c r="AV473" s="82">
        <f>($J473-$F473)*100</f>
        <v/>
      </c>
      <c r="AW473" s="82">
        <f>($L473-$F473)*100</f>
        <v/>
      </c>
      <c r="AX473" s="82">
        <f>($J473-$H473)*100</f>
        <v/>
      </c>
      <c r="AY473" s="82">
        <f>($L473-$H473)*100</f>
        <v/>
      </c>
      <c r="AZ473" s="82">
        <f>($L473-$J473)*100</f>
        <v/>
      </c>
      <c r="BA473" s="82">
        <f>(2*$H473-$F473-$J473)*100</f>
        <v/>
      </c>
      <c r="BB473" s="82">
        <f>(2*$J473-$H473-$L473)*100</f>
        <v/>
      </c>
      <c r="BC473" s="82">
        <f>($N473-$F473)*100</f>
        <v/>
      </c>
      <c r="BD473" s="82">
        <f>($Q473-$H473)*100</f>
        <v/>
      </c>
      <c r="BE473" s="82">
        <f>($S473-$J473)*100</f>
        <v/>
      </c>
      <c r="BF473" s="82">
        <f>($V473-$L473)*100</f>
        <v/>
      </c>
      <c r="BG473" s="82">
        <f>$AG473-$AF473</f>
        <v/>
      </c>
      <c r="BH473" s="81">
        <f>IFERROR($AG473/$AF473,"")</f>
        <v/>
      </c>
      <c r="BI473" s="82">
        <f>$AJ473-$AF473</f>
        <v/>
      </c>
      <c r="BJ473" s="81">
        <f>IFERROR($AJ473/$AG473,"")</f>
        <v/>
      </c>
      <c r="BK473" s="81">
        <f>$X473</f>
        <v/>
      </c>
      <c r="BL473" s="82">
        <f>($J473-$J474)*100</f>
        <v/>
      </c>
      <c r="BM473" s="82">
        <f>($F473-$F474)*100</f>
        <v/>
      </c>
      <c r="BN473" s="82">
        <f>$AF473-$AF474</f>
        <v/>
      </c>
      <c r="BO473" s="82">
        <f>$AG473-$AG474</f>
        <v/>
      </c>
      <c r="BP473" s="82">
        <f>$AJ473-$AJ474</f>
        <v/>
      </c>
    </row>
    <row r="474">
      <c r="AR474" s="81">
        <f>($G474+($H474-$G474)*0.5)+($P474-($O474+($Q474-$O474)*0.5))</f>
        <v/>
      </c>
      <c r="AS474" s="81">
        <f>($J474+($K474-$J474)*0.5)+($T474-($S474+($U474-$S474)*0.5))</f>
        <v/>
      </c>
      <c r="AT474" s="82">
        <f>($J474-$C474)*100</f>
        <v/>
      </c>
      <c r="AU474" s="82">
        <f>($H474-$F474)*100</f>
        <v/>
      </c>
      <c r="AV474" s="82">
        <f>($J474-$F474)*100</f>
        <v/>
      </c>
      <c r="AW474" s="82">
        <f>($L474-$F474)*100</f>
        <v/>
      </c>
      <c r="AX474" s="82">
        <f>($J474-$H474)*100</f>
        <v/>
      </c>
      <c r="AY474" s="82">
        <f>($L474-$H474)*100</f>
        <v/>
      </c>
      <c r="AZ474" s="82">
        <f>($L474-$J474)*100</f>
        <v/>
      </c>
      <c r="BA474" s="82">
        <f>(2*$H474-$F474-$J474)*100</f>
        <v/>
      </c>
      <c r="BB474" s="82">
        <f>(2*$J474-$H474-$L474)*100</f>
        <v/>
      </c>
      <c r="BC474" s="82">
        <f>($N474-$F474)*100</f>
        <v/>
      </c>
      <c r="BD474" s="82">
        <f>($Q474-$H474)*100</f>
        <v/>
      </c>
      <c r="BE474" s="82">
        <f>($S474-$J474)*100</f>
        <v/>
      </c>
      <c r="BF474" s="82">
        <f>($V474-$L474)*100</f>
        <v/>
      </c>
      <c r="BG474" s="82">
        <f>$AG474-$AF474</f>
        <v/>
      </c>
      <c r="BH474" s="81">
        <f>IFERROR($AG474/$AF474,"")</f>
        <v/>
      </c>
      <c r="BI474" s="82">
        <f>$AJ474-$AF474</f>
        <v/>
      </c>
      <c r="BJ474" s="81">
        <f>IFERROR($AJ474/$AG474,"")</f>
        <v/>
      </c>
      <c r="BK474" s="81">
        <f>$X474</f>
        <v/>
      </c>
      <c r="BL474" s="82">
        <f>($J474-$J475)*100</f>
        <v/>
      </c>
      <c r="BM474" s="82">
        <f>($F474-$F475)*100</f>
        <v/>
      </c>
      <c r="BN474" s="82">
        <f>$AF474-$AF475</f>
        <v/>
      </c>
      <c r="BO474" s="82">
        <f>$AG474-$AG475</f>
        <v/>
      </c>
      <c r="BP474" s="82">
        <f>$AJ474-$AJ475</f>
        <v/>
      </c>
    </row>
    <row r="475">
      <c r="AR475" s="81">
        <f>($G475+($H475-$G475)*0.5)+($P475-($O475+($Q475-$O475)*0.5))</f>
        <v/>
      </c>
      <c r="AS475" s="81">
        <f>($J475+($K475-$J475)*0.5)+($T475-($S475+($U475-$S475)*0.5))</f>
        <v/>
      </c>
      <c r="AT475" s="82">
        <f>($J475-$C475)*100</f>
        <v/>
      </c>
      <c r="AU475" s="82">
        <f>($H475-$F475)*100</f>
        <v/>
      </c>
      <c r="AV475" s="82">
        <f>($J475-$F475)*100</f>
        <v/>
      </c>
      <c r="AW475" s="82">
        <f>($L475-$F475)*100</f>
        <v/>
      </c>
      <c r="AX475" s="82">
        <f>($J475-$H475)*100</f>
        <v/>
      </c>
      <c r="AY475" s="82">
        <f>($L475-$H475)*100</f>
        <v/>
      </c>
      <c r="AZ475" s="82">
        <f>($L475-$J475)*100</f>
        <v/>
      </c>
      <c r="BA475" s="82">
        <f>(2*$H475-$F475-$J475)*100</f>
        <v/>
      </c>
      <c r="BB475" s="82">
        <f>(2*$J475-$H475-$L475)*100</f>
        <v/>
      </c>
      <c r="BC475" s="82">
        <f>($N475-$F475)*100</f>
        <v/>
      </c>
      <c r="BD475" s="82">
        <f>($Q475-$H475)*100</f>
        <v/>
      </c>
      <c r="BE475" s="82">
        <f>($S475-$J475)*100</f>
        <v/>
      </c>
      <c r="BF475" s="82">
        <f>($V475-$L475)*100</f>
        <v/>
      </c>
      <c r="BG475" s="82">
        <f>$AG475-$AF475</f>
        <v/>
      </c>
      <c r="BH475" s="81">
        <f>IFERROR($AG475/$AF475,"")</f>
        <v/>
      </c>
      <c r="BI475" s="82">
        <f>$AJ475-$AF475</f>
        <v/>
      </c>
      <c r="BJ475" s="81">
        <f>IFERROR($AJ475/$AG475,"")</f>
        <v/>
      </c>
      <c r="BK475" s="81">
        <f>$X475</f>
        <v/>
      </c>
      <c r="BL475" s="82">
        <f>($J475-$J476)*100</f>
        <v/>
      </c>
      <c r="BM475" s="82">
        <f>($F475-$F476)*100</f>
        <v/>
      </c>
      <c r="BN475" s="82">
        <f>$AF475-$AF476</f>
        <v/>
      </c>
      <c r="BO475" s="82">
        <f>$AG475-$AG476</f>
        <v/>
      </c>
      <c r="BP475" s="82">
        <f>$AJ475-$AJ476</f>
        <v/>
      </c>
    </row>
    <row r="476">
      <c r="AR476" s="81">
        <f>($G476+($H476-$G476)*0.5)+($P476-($O476+($Q476-$O476)*0.5))</f>
        <v/>
      </c>
      <c r="AS476" s="81">
        <f>($J476+($K476-$J476)*0.5)+($T476-($S476+($U476-$S476)*0.5))</f>
        <v/>
      </c>
      <c r="AT476" s="82">
        <f>($J476-$C476)*100</f>
        <v/>
      </c>
      <c r="AU476" s="82">
        <f>($H476-$F476)*100</f>
        <v/>
      </c>
      <c r="AV476" s="82">
        <f>($J476-$F476)*100</f>
        <v/>
      </c>
      <c r="AW476" s="82">
        <f>($L476-$F476)*100</f>
        <v/>
      </c>
      <c r="AX476" s="82">
        <f>($J476-$H476)*100</f>
        <v/>
      </c>
      <c r="AY476" s="82">
        <f>($L476-$H476)*100</f>
        <v/>
      </c>
      <c r="AZ476" s="82">
        <f>($L476-$J476)*100</f>
        <v/>
      </c>
      <c r="BA476" s="82">
        <f>(2*$H476-$F476-$J476)*100</f>
        <v/>
      </c>
      <c r="BB476" s="82">
        <f>(2*$J476-$H476-$L476)*100</f>
        <v/>
      </c>
      <c r="BC476" s="82">
        <f>($N476-$F476)*100</f>
        <v/>
      </c>
      <c r="BD476" s="82">
        <f>($Q476-$H476)*100</f>
        <v/>
      </c>
      <c r="BE476" s="82">
        <f>($S476-$J476)*100</f>
        <v/>
      </c>
      <c r="BF476" s="82">
        <f>($V476-$L476)*100</f>
        <v/>
      </c>
      <c r="BG476" s="82">
        <f>$AG476-$AF476</f>
        <v/>
      </c>
      <c r="BH476" s="81">
        <f>IFERROR($AG476/$AF476,"")</f>
        <v/>
      </c>
      <c r="BI476" s="82">
        <f>$AJ476-$AF476</f>
        <v/>
      </c>
      <c r="BJ476" s="81">
        <f>IFERROR($AJ476/$AG476,"")</f>
        <v/>
      </c>
      <c r="BK476" s="81">
        <f>$X476</f>
        <v/>
      </c>
      <c r="BL476" s="82">
        <f>($J476-$J477)*100</f>
        <v/>
      </c>
      <c r="BM476" s="82">
        <f>($F476-$F477)*100</f>
        <v/>
      </c>
      <c r="BN476" s="82">
        <f>$AF476-$AF477</f>
        <v/>
      </c>
      <c r="BO476" s="82">
        <f>$AG476-$AG477</f>
        <v/>
      </c>
      <c r="BP476" s="82">
        <f>$AJ476-$AJ477</f>
        <v/>
      </c>
    </row>
    <row r="477">
      <c r="AR477" s="81">
        <f>($G477+($H477-$G477)*0.5)+($P477-($O477+($Q477-$O477)*0.5))</f>
        <v/>
      </c>
      <c r="AS477" s="81">
        <f>($J477+($K477-$J477)*0.5)+($T477-($S477+($U477-$S477)*0.5))</f>
        <v/>
      </c>
      <c r="AT477" s="82">
        <f>($J477-$C477)*100</f>
        <v/>
      </c>
      <c r="AU477" s="82">
        <f>($H477-$F477)*100</f>
        <v/>
      </c>
      <c r="AV477" s="82">
        <f>($J477-$F477)*100</f>
        <v/>
      </c>
      <c r="AW477" s="82">
        <f>($L477-$F477)*100</f>
        <v/>
      </c>
      <c r="AX477" s="82">
        <f>($J477-$H477)*100</f>
        <v/>
      </c>
      <c r="AY477" s="82">
        <f>($L477-$H477)*100</f>
        <v/>
      </c>
      <c r="AZ477" s="82">
        <f>($L477-$J477)*100</f>
        <v/>
      </c>
      <c r="BA477" s="82">
        <f>(2*$H477-$F477-$J477)*100</f>
        <v/>
      </c>
      <c r="BB477" s="82">
        <f>(2*$J477-$H477-$L477)*100</f>
        <v/>
      </c>
      <c r="BC477" s="82">
        <f>($N477-$F477)*100</f>
        <v/>
      </c>
      <c r="BD477" s="82">
        <f>($Q477-$H477)*100</f>
        <v/>
      </c>
      <c r="BE477" s="82">
        <f>($S477-$J477)*100</f>
        <v/>
      </c>
      <c r="BF477" s="82">
        <f>($V477-$L477)*100</f>
        <v/>
      </c>
      <c r="BG477" s="82">
        <f>$AG477-$AF477</f>
        <v/>
      </c>
      <c r="BH477" s="81">
        <f>IFERROR($AG477/$AF477,"")</f>
        <v/>
      </c>
      <c r="BI477" s="82">
        <f>$AJ477-$AF477</f>
        <v/>
      </c>
      <c r="BJ477" s="81">
        <f>IFERROR($AJ477/$AG477,"")</f>
        <v/>
      </c>
      <c r="BK477" s="81">
        <f>$X477</f>
        <v/>
      </c>
      <c r="BL477" s="82">
        <f>($J477-$J478)*100</f>
        <v/>
      </c>
      <c r="BM477" s="82">
        <f>($F477-$F478)*100</f>
        <v/>
      </c>
      <c r="BN477" s="82">
        <f>$AF477-$AF478</f>
        <v/>
      </c>
      <c r="BO477" s="82">
        <f>$AG477-$AG478</f>
        <v/>
      </c>
      <c r="BP477" s="82">
        <f>$AJ477-$AJ478</f>
        <v/>
      </c>
    </row>
    <row r="478">
      <c r="AR478" s="81">
        <f>($G478+($H478-$G478)*0.5)+($P478-($O478+($Q478-$O478)*0.5))</f>
        <v/>
      </c>
      <c r="AS478" s="81">
        <f>($J478+($K478-$J478)*0.5)+($T478-($S478+($U478-$S478)*0.5))</f>
        <v/>
      </c>
      <c r="AT478" s="82">
        <f>($J478-$C478)*100</f>
        <v/>
      </c>
      <c r="AU478" s="82">
        <f>($H478-$F478)*100</f>
        <v/>
      </c>
      <c r="AV478" s="82">
        <f>($J478-$F478)*100</f>
        <v/>
      </c>
      <c r="AW478" s="82">
        <f>($L478-$F478)*100</f>
        <v/>
      </c>
      <c r="AX478" s="82">
        <f>($J478-$H478)*100</f>
        <v/>
      </c>
      <c r="AY478" s="82">
        <f>($L478-$H478)*100</f>
        <v/>
      </c>
      <c r="AZ478" s="82">
        <f>($L478-$J478)*100</f>
        <v/>
      </c>
      <c r="BA478" s="82">
        <f>(2*$H478-$F478-$J478)*100</f>
        <v/>
      </c>
      <c r="BB478" s="82">
        <f>(2*$J478-$H478-$L478)*100</f>
        <v/>
      </c>
      <c r="BC478" s="82">
        <f>($N478-$F478)*100</f>
        <v/>
      </c>
      <c r="BD478" s="82">
        <f>($Q478-$H478)*100</f>
        <v/>
      </c>
      <c r="BE478" s="82">
        <f>($S478-$J478)*100</f>
        <v/>
      </c>
      <c r="BF478" s="82">
        <f>($V478-$L478)*100</f>
        <v/>
      </c>
      <c r="BG478" s="82">
        <f>$AG478-$AF478</f>
        <v/>
      </c>
      <c r="BH478" s="81">
        <f>IFERROR($AG478/$AF478,"")</f>
        <v/>
      </c>
      <c r="BI478" s="82">
        <f>$AJ478-$AF478</f>
        <v/>
      </c>
      <c r="BJ478" s="81">
        <f>IFERROR($AJ478/$AG478,"")</f>
        <v/>
      </c>
      <c r="BK478" s="81">
        <f>$X478</f>
        <v/>
      </c>
      <c r="BL478" s="82">
        <f>($J478-$J479)*100</f>
        <v/>
      </c>
      <c r="BM478" s="82">
        <f>($F478-$F479)*100</f>
        <v/>
      </c>
      <c r="BN478" s="82">
        <f>$AF478-$AF479</f>
        <v/>
      </c>
      <c r="BO478" s="82">
        <f>$AG478-$AG479</f>
        <v/>
      </c>
      <c r="BP478" s="82">
        <f>$AJ478-$AJ479</f>
        <v/>
      </c>
    </row>
    <row r="479">
      <c r="AR479" s="81">
        <f>($G479+($H479-$G479)*0.5)+($P479-($O479+($Q479-$O479)*0.5))</f>
        <v/>
      </c>
      <c r="AS479" s="81">
        <f>($J479+($K479-$J479)*0.5)+($T479-($S479+($U479-$S479)*0.5))</f>
        <v/>
      </c>
      <c r="AT479" s="82">
        <f>($J479-$C479)*100</f>
        <v/>
      </c>
      <c r="AU479" s="82">
        <f>($H479-$F479)*100</f>
        <v/>
      </c>
      <c r="AV479" s="82">
        <f>($J479-$F479)*100</f>
        <v/>
      </c>
      <c r="AW479" s="82">
        <f>($L479-$F479)*100</f>
        <v/>
      </c>
      <c r="AX479" s="82">
        <f>($J479-$H479)*100</f>
        <v/>
      </c>
      <c r="AY479" s="82">
        <f>($L479-$H479)*100</f>
        <v/>
      </c>
      <c r="AZ479" s="82">
        <f>($L479-$J479)*100</f>
        <v/>
      </c>
      <c r="BA479" s="82">
        <f>(2*$H479-$F479-$J479)*100</f>
        <v/>
      </c>
      <c r="BB479" s="82">
        <f>(2*$J479-$H479-$L479)*100</f>
        <v/>
      </c>
      <c r="BC479" s="82">
        <f>($N479-$F479)*100</f>
        <v/>
      </c>
      <c r="BD479" s="82">
        <f>($Q479-$H479)*100</f>
        <v/>
      </c>
      <c r="BE479" s="82">
        <f>($S479-$J479)*100</f>
        <v/>
      </c>
      <c r="BF479" s="82">
        <f>($V479-$L479)*100</f>
        <v/>
      </c>
      <c r="BG479" s="82">
        <f>$AG479-$AF479</f>
        <v/>
      </c>
      <c r="BH479" s="81">
        <f>IFERROR($AG479/$AF479,"")</f>
        <v/>
      </c>
      <c r="BI479" s="82">
        <f>$AJ479-$AF479</f>
        <v/>
      </c>
      <c r="BJ479" s="81">
        <f>IFERROR($AJ479/$AG479,"")</f>
        <v/>
      </c>
      <c r="BK479" s="81">
        <f>$X479</f>
        <v/>
      </c>
      <c r="BL479" s="82">
        <f>($J479-$J480)*100</f>
        <v/>
      </c>
      <c r="BM479" s="82">
        <f>($F479-$F480)*100</f>
        <v/>
      </c>
      <c r="BN479" s="82">
        <f>$AF479-$AF480</f>
        <v/>
      </c>
      <c r="BO479" s="82">
        <f>$AG479-$AG480</f>
        <v/>
      </c>
      <c r="BP479" s="82">
        <f>$AJ479-$AJ480</f>
        <v/>
      </c>
    </row>
    <row r="480">
      <c r="AR480" s="81">
        <f>($G480+($H480-$G480)*0.5)+($P480-($O480+($Q480-$O480)*0.5))</f>
        <v/>
      </c>
      <c r="AS480" s="81">
        <f>($J480+($K480-$J480)*0.5)+($T480-($S480+($U480-$S480)*0.5))</f>
        <v/>
      </c>
      <c r="AT480" s="82">
        <f>($J480-$C480)*100</f>
        <v/>
      </c>
      <c r="AU480" s="82">
        <f>($H480-$F480)*100</f>
        <v/>
      </c>
      <c r="AV480" s="82">
        <f>($J480-$F480)*100</f>
        <v/>
      </c>
      <c r="AW480" s="82">
        <f>($L480-$F480)*100</f>
        <v/>
      </c>
      <c r="AX480" s="82">
        <f>($J480-$H480)*100</f>
        <v/>
      </c>
      <c r="AY480" s="82">
        <f>($L480-$H480)*100</f>
        <v/>
      </c>
      <c r="AZ480" s="82">
        <f>($L480-$J480)*100</f>
        <v/>
      </c>
      <c r="BA480" s="82">
        <f>(2*$H480-$F480-$J480)*100</f>
        <v/>
      </c>
      <c r="BB480" s="82">
        <f>(2*$J480-$H480-$L480)*100</f>
        <v/>
      </c>
      <c r="BC480" s="82">
        <f>($N480-$F480)*100</f>
        <v/>
      </c>
      <c r="BD480" s="82">
        <f>($Q480-$H480)*100</f>
        <v/>
      </c>
      <c r="BE480" s="82">
        <f>($S480-$J480)*100</f>
        <v/>
      </c>
      <c r="BF480" s="82">
        <f>($V480-$L480)*100</f>
        <v/>
      </c>
      <c r="BG480" s="82">
        <f>$AG480-$AF480</f>
        <v/>
      </c>
      <c r="BH480" s="81">
        <f>IFERROR($AG480/$AF480,"")</f>
        <v/>
      </c>
      <c r="BI480" s="82">
        <f>$AJ480-$AF480</f>
        <v/>
      </c>
      <c r="BJ480" s="81">
        <f>IFERROR($AJ480/$AG480,"")</f>
        <v/>
      </c>
      <c r="BK480" s="81">
        <f>$X480</f>
        <v/>
      </c>
      <c r="BL480" s="82">
        <f>($J480-$J481)*100</f>
        <v/>
      </c>
      <c r="BM480" s="82">
        <f>($F480-$F481)*100</f>
        <v/>
      </c>
      <c r="BN480" s="82">
        <f>$AF480-$AF481</f>
        <v/>
      </c>
      <c r="BO480" s="82">
        <f>$AG480-$AG481</f>
        <v/>
      </c>
      <c r="BP480" s="82">
        <f>$AJ480-$AJ481</f>
        <v/>
      </c>
    </row>
    <row r="481">
      <c r="AR481" s="81">
        <f>($G481+($H481-$G481)*0.5)+($P481-($O481+($Q481-$O481)*0.5))</f>
        <v/>
      </c>
      <c r="AS481" s="81">
        <f>($J481+($K481-$J481)*0.5)+($T481-($S481+($U481-$S481)*0.5))</f>
        <v/>
      </c>
      <c r="AT481" s="82">
        <f>($J481-$C481)*100</f>
        <v/>
      </c>
      <c r="AU481" s="82">
        <f>($H481-$F481)*100</f>
        <v/>
      </c>
      <c r="AV481" s="82">
        <f>($J481-$F481)*100</f>
        <v/>
      </c>
      <c r="AW481" s="82">
        <f>($L481-$F481)*100</f>
        <v/>
      </c>
      <c r="AX481" s="82">
        <f>($J481-$H481)*100</f>
        <v/>
      </c>
      <c r="AY481" s="82">
        <f>($L481-$H481)*100</f>
        <v/>
      </c>
      <c r="AZ481" s="82">
        <f>($L481-$J481)*100</f>
        <v/>
      </c>
      <c r="BA481" s="82">
        <f>(2*$H481-$F481-$J481)*100</f>
        <v/>
      </c>
      <c r="BB481" s="82">
        <f>(2*$J481-$H481-$L481)*100</f>
        <v/>
      </c>
      <c r="BC481" s="82">
        <f>($N481-$F481)*100</f>
        <v/>
      </c>
      <c r="BD481" s="82">
        <f>($Q481-$H481)*100</f>
        <v/>
      </c>
      <c r="BE481" s="82">
        <f>($S481-$J481)*100</f>
        <v/>
      </c>
      <c r="BF481" s="82">
        <f>($V481-$L481)*100</f>
        <v/>
      </c>
      <c r="BG481" s="82">
        <f>$AG481-$AF481</f>
        <v/>
      </c>
      <c r="BH481" s="81">
        <f>IFERROR($AG481/$AF481,"")</f>
        <v/>
      </c>
      <c r="BI481" s="82">
        <f>$AJ481-$AF481</f>
        <v/>
      </c>
      <c r="BJ481" s="81">
        <f>IFERROR($AJ481/$AG481,"")</f>
        <v/>
      </c>
      <c r="BK481" s="81">
        <f>$X481</f>
        <v/>
      </c>
      <c r="BL481" s="82">
        <f>($J481-$J482)*100</f>
        <v/>
      </c>
      <c r="BM481" s="82">
        <f>($F481-$F482)*100</f>
        <v/>
      </c>
      <c r="BN481" s="82">
        <f>$AF481-$AF482</f>
        <v/>
      </c>
      <c r="BO481" s="82">
        <f>$AG481-$AG482</f>
        <v/>
      </c>
      <c r="BP481" s="82">
        <f>$AJ481-$AJ482</f>
        <v/>
      </c>
    </row>
    <row r="482">
      <c r="AR482" s="81">
        <f>($G482+($H482-$G482)*0.5)+($P482-($O482+($Q482-$O482)*0.5))</f>
        <v/>
      </c>
      <c r="AS482" s="81">
        <f>($J482+($K482-$J482)*0.5)+($T482-($S482+($U482-$S482)*0.5))</f>
        <v/>
      </c>
      <c r="AT482" s="82">
        <f>($J482-$C482)*100</f>
        <v/>
      </c>
      <c r="AU482" s="82">
        <f>($H482-$F482)*100</f>
        <v/>
      </c>
      <c r="AV482" s="82">
        <f>($J482-$F482)*100</f>
        <v/>
      </c>
      <c r="AW482" s="82">
        <f>($L482-$F482)*100</f>
        <v/>
      </c>
      <c r="AX482" s="82">
        <f>($J482-$H482)*100</f>
        <v/>
      </c>
      <c r="AY482" s="82">
        <f>($L482-$H482)*100</f>
        <v/>
      </c>
      <c r="AZ482" s="82">
        <f>($L482-$J482)*100</f>
        <v/>
      </c>
      <c r="BA482" s="82">
        <f>(2*$H482-$F482-$J482)*100</f>
        <v/>
      </c>
      <c r="BB482" s="82">
        <f>(2*$J482-$H482-$L482)*100</f>
        <v/>
      </c>
      <c r="BC482" s="82">
        <f>($N482-$F482)*100</f>
        <v/>
      </c>
      <c r="BD482" s="82">
        <f>($Q482-$H482)*100</f>
        <v/>
      </c>
      <c r="BE482" s="82">
        <f>($S482-$J482)*100</f>
        <v/>
      </c>
      <c r="BF482" s="82">
        <f>($V482-$L482)*100</f>
        <v/>
      </c>
      <c r="BG482" s="82">
        <f>$AG482-$AF482</f>
        <v/>
      </c>
      <c r="BH482" s="81">
        <f>IFERROR($AG482/$AF482,"")</f>
        <v/>
      </c>
      <c r="BI482" s="82">
        <f>$AJ482-$AF482</f>
        <v/>
      </c>
      <c r="BJ482" s="81">
        <f>IFERROR($AJ482/$AG482,"")</f>
        <v/>
      </c>
      <c r="BK482" s="81">
        <f>$X482</f>
        <v/>
      </c>
      <c r="BL482" s="82">
        <f>($J482-$J483)*100</f>
        <v/>
      </c>
      <c r="BM482" s="82">
        <f>($F482-$F483)*100</f>
        <v/>
      </c>
      <c r="BN482" s="82">
        <f>$AF482-$AF483</f>
        <v/>
      </c>
      <c r="BO482" s="82">
        <f>$AG482-$AG483</f>
        <v/>
      </c>
      <c r="BP482" s="82">
        <f>$AJ482-$AJ483</f>
        <v/>
      </c>
    </row>
    <row r="483">
      <c r="AR483" s="81">
        <f>($G483+($H483-$G483)*0.5)+($P483-($O483+($Q483-$O483)*0.5))</f>
        <v/>
      </c>
      <c r="AS483" s="81">
        <f>($J483+($K483-$J483)*0.5)+($T483-($S483+($U483-$S483)*0.5))</f>
        <v/>
      </c>
      <c r="AT483" s="82">
        <f>($J483-$C483)*100</f>
        <v/>
      </c>
      <c r="AU483" s="82">
        <f>($H483-$F483)*100</f>
        <v/>
      </c>
      <c r="AV483" s="82">
        <f>($J483-$F483)*100</f>
        <v/>
      </c>
      <c r="AW483" s="82">
        <f>($L483-$F483)*100</f>
        <v/>
      </c>
      <c r="AX483" s="82">
        <f>($J483-$H483)*100</f>
        <v/>
      </c>
      <c r="AY483" s="82">
        <f>($L483-$H483)*100</f>
        <v/>
      </c>
      <c r="AZ483" s="82">
        <f>($L483-$J483)*100</f>
        <v/>
      </c>
      <c r="BA483" s="82">
        <f>(2*$H483-$F483-$J483)*100</f>
        <v/>
      </c>
      <c r="BB483" s="82">
        <f>(2*$J483-$H483-$L483)*100</f>
        <v/>
      </c>
      <c r="BC483" s="82">
        <f>($N483-$F483)*100</f>
        <v/>
      </c>
      <c r="BD483" s="82">
        <f>($Q483-$H483)*100</f>
        <v/>
      </c>
      <c r="BE483" s="82">
        <f>($S483-$J483)*100</f>
        <v/>
      </c>
      <c r="BF483" s="82">
        <f>($V483-$L483)*100</f>
        <v/>
      </c>
      <c r="BG483" s="82">
        <f>$AG483-$AF483</f>
        <v/>
      </c>
      <c r="BH483" s="81">
        <f>IFERROR($AG483/$AF483,"")</f>
        <v/>
      </c>
      <c r="BI483" s="82">
        <f>$AJ483-$AF483</f>
        <v/>
      </c>
      <c r="BJ483" s="81">
        <f>IFERROR($AJ483/$AG483,"")</f>
        <v/>
      </c>
      <c r="BK483" s="81">
        <f>$X483</f>
        <v/>
      </c>
      <c r="BL483" s="82">
        <f>($J483-$J484)*100</f>
        <v/>
      </c>
      <c r="BM483" s="82">
        <f>($F483-$F484)*100</f>
        <v/>
      </c>
      <c r="BN483" s="82">
        <f>$AF483-$AF484</f>
        <v/>
      </c>
      <c r="BO483" s="82">
        <f>$AG483-$AG484</f>
        <v/>
      </c>
      <c r="BP483" s="82">
        <f>$AJ483-$AJ484</f>
        <v/>
      </c>
    </row>
    <row r="484">
      <c r="AR484" s="81">
        <f>($G484+($H484-$G484)*0.5)+($P484-($O484+($Q484-$O484)*0.5))</f>
        <v/>
      </c>
      <c r="AS484" s="81">
        <f>($J484+($K484-$J484)*0.5)+($T484-($S484+($U484-$S484)*0.5))</f>
        <v/>
      </c>
      <c r="AT484" s="82">
        <f>($J484-$C484)*100</f>
        <v/>
      </c>
      <c r="AU484" s="82">
        <f>($H484-$F484)*100</f>
        <v/>
      </c>
      <c r="AV484" s="82">
        <f>($J484-$F484)*100</f>
        <v/>
      </c>
      <c r="AW484" s="82">
        <f>($L484-$F484)*100</f>
        <v/>
      </c>
      <c r="AX484" s="82">
        <f>($J484-$H484)*100</f>
        <v/>
      </c>
      <c r="AY484" s="82">
        <f>($L484-$H484)*100</f>
        <v/>
      </c>
      <c r="AZ484" s="82">
        <f>($L484-$J484)*100</f>
        <v/>
      </c>
      <c r="BA484" s="82">
        <f>(2*$H484-$F484-$J484)*100</f>
        <v/>
      </c>
      <c r="BB484" s="82">
        <f>(2*$J484-$H484-$L484)*100</f>
        <v/>
      </c>
      <c r="BC484" s="82">
        <f>($N484-$F484)*100</f>
        <v/>
      </c>
      <c r="BD484" s="82">
        <f>($Q484-$H484)*100</f>
        <v/>
      </c>
      <c r="BE484" s="82">
        <f>($S484-$J484)*100</f>
        <v/>
      </c>
      <c r="BF484" s="82">
        <f>($V484-$L484)*100</f>
        <v/>
      </c>
      <c r="BG484" s="82">
        <f>$AG484-$AF484</f>
        <v/>
      </c>
      <c r="BH484" s="81">
        <f>IFERROR($AG484/$AF484,"")</f>
        <v/>
      </c>
      <c r="BI484" s="82">
        <f>$AJ484-$AF484</f>
        <v/>
      </c>
      <c r="BJ484" s="81">
        <f>IFERROR($AJ484/$AG484,"")</f>
        <v/>
      </c>
      <c r="BK484" s="81">
        <f>$X484</f>
        <v/>
      </c>
      <c r="BL484" s="82">
        <f>($J484-$J485)*100</f>
        <v/>
      </c>
      <c r="BM484" s="82">
        <f>($F484-$F485)*100</f>
        <v/>
      </c>
      <c r="BN484" s="82">
        <f>$AF484-$AF485</f>
        <v/>
      </c>
      <c r="BO484" s="82">
        <f>$AG484-$AG485</f>
        <v/>
      </c>
      <c r="BP484" s="82">
        <f>$AJ484-$AJ485</f>
        <v/>
      </c>
    </row>
    <row r="485">
      <c r="AR485" s="81">
        <f>($G485+($H485-$G485)*0.5)+($P485-($O485+($Q485-$O485)*0.5))</f>
        <v/>
      </c>
      <c r="AS485" s="81">
        <f>($J485+($K485-$J485)*0.5)+($T485-($S485+($U485-$S485)*0.5))</f>
        <v/>
      </c>
      <c r="AT485" s="82">
        <f>($J485-$C485)*100</f>
        <v/>
      </c>
      <c r="AU485" s="82">
        <f>($H485-$F485)*100</f>
        <v/>
      </c>
      <c r="AV485" s="82">
        <f>($J485-$F485)*100</f>
        <v/>
      </c>
      <c r="AW485" s="82">
        <f>($L485-$F485)*100</f>
        <v/>
      </c>
      <c r="AX485" s="82">
        <f>($J485-$H485)*100</f>
        <v/>
      </c>
      <c r="AY485" s="82">
        <f>($L485-$H485)*100</f>
        <v/>
      </c>
      <c r="AZ485" s="82">
        <f>($L485-$J485)*100</f>
        <v/>
      </c>
      <c r="BA485" s="82">
        <f>(2*$H485-$F485-$J485)*100</f>
        <v/>
      </c>
      <c r="BB485" s="82">
        <f>(2*$J485-$H485-$L485)*100</f>
        <v/>
      </c>
      <c r="BC485" s="82">
        <f>($N485-$F485)*100</f>
        <v/>
      </c>
      <c r="BD485" s="82">
        <f>($Q485-$H485)*100</f>
        <v/>
      </c>
      <c r="BE485" s="82">
        <f>($S485-$J485)*100</f>
        <v/>
      </c>
      <c r="BF485" s="82">
        <f>($V485-$L485)*100</f>
        <v/>
      </c>
      <c r="BG485" s="82">
        <f>$AG485-$AF485</f>
        <v/>
      </c>
      <c r="BH485" s="81">
        <f>IFERROR($AG485/$AF485,"")</f>
        <v/>
      </c>
      <c r="BI485" s="82">
        <f>$AJ485-$AF485</f>
        <v/>
      </c>
      <c r="BJ485" s="81">
        <f>IFERROR($AJ485/$AG485,"")</f>
        <v/>
      </c>
      <c r="BK485" s="81">
        <f>$X485</f>
        <v/>
      </c>
      <c r="BL485" s="82">
        <f>($J485-$J486)*100</f>
        <v/>
      </c>
      <c r="BM485" s="82">
        <f>($F485-$F486)*100</f>
        <v/>
      </c>
      <c r="BN485" s="82">
        <f>$AF485-$AF486</f>
        <v/>
      </c>
      <c r="BO485" s="82">
        <f>$AG485-$AG486</f>
        <v/>
      </c>
      <c r="BP485" s="82">
        <f>$AJ485-$AJ486</f>
        <v/>
      </c>
    </row>
    <row r="486">
      <c r="AR486" s="81">
        <f>($G486+($H486-$G486)*0.5)+($P486-($O486+($Q486-$O486)*0.5))</f>
        <v/>
      </c>
      <c r="AS486" s="81">
        <f>($J486+($K486-$J486)*0.5)+($T486-($S486+($U486-$S486)*0.5))</f>
        <v/>
      </c>
      <c r="AT486" s="82">
        <f>($J486-$C486)*100</f>
        <v/>
      </c>
      <c r="AU486" s="82">
        <f>($H486-$F486)*100</f>
        <v/>
      </c>
      <c r="AV486" s="82">
        <f>($J486-$F486)*100</f>
        <v/>
      </c>
      <c r="AW486" s="82">
        <f>($L486-$F486)*100</f>
        <v/>
      </c>
      <c r="AX486" s="82">
        <f>($J486-$H486)*100</f>
        <v/>
      </c>
      <c r="AY486" s="82">
        <f>($L486-$H486)*100</f>
        <v/>
      </c>
      <c r="AZ486" s="82">
        <f>($L486-$J486)*100</f>
        <v/>
      </c>
      <c r="BA486" s="82">
        <f>(2*$H486-$F486-$J486)*100</f>
        <v/>
      </c>
      <c r="BB486" s="82">
        <f>(2*$J486-$H486-$L486)*100</f>
        <v/>
      </c>
      <c r="BC486" s="82">
        <f>($N486-$F486)*100</f>
        <v/>
      </c>
      <c r="BD486" s="82">
        <f>($Q486-$H486)*100</f>
        <v/>
      </c>
      <c r="BE486" s="82">
        <f>($S486-$J486)*100</f>
        <v/>
      </c>
      <c r="BF486" s="82">
        <f>($V486-$L486)*100</f>
        <v/>
      </c>
      <c r="BG486" s="82">
        <f>$AG486-$AF486</f>
        <v/>
      </c>
      <c r="BH486" s="81">
        <f>IFERROR($AG486/$AF486,"")</f>
        <v/>
      </c>
      <c r="BI486" s="82">
        <f>$AJ486-$AF486</f>
        <v/>
      </c>
      <c r="BJ486" s="81">
        <f>IFERROR($AJ486/$AG486,"")</f>
        <v/>
      </c>
      <c r="BK486" s="81">
        <f>$X486</f>
        <v/>
      </c>
      <c r="BL486" s="82">
        <f>($J486-$J487)*100</f>
        <v/>
      </c>
      <c r="BM486" s="82">
        <f>($F486-$F487)*100</f>
        <v/>
      </c>
      <c r="BN486" s="82">
        <f>$AF486-$AF487</f>
        <v/>
      </c>
      <c r="BO486" s="82">
        <f>$AG486-$AG487</f>
        <v/>
      </c>
      <c r="BP486" s="82">
        <f>$AJ486-$AJ487</f>
        <v/>
      </c>
    </row>
    <row r="487">
      <c r="AR487" s="81">
        <f>($G487+($H487-$G487)*0.5)+($P487-($O487+($Q487-$O487)*0.5))</f>
        <v/>
      </c>
      <c r="AS487" s="81">
        <f>($J487+($K487-$J487)*0.5)+($T487-($S487+($U487-$S487)*0.5))</f>
        <v/>
      </c>
      <c r="AT487" s="82">
        <f>($J487-$C487)*100</f>
        <v/>
      </c>
      <c r="AU487" s="82">
        <f>($H487-$F487)*100</f>
        <v/>
      </c>
      <c r="AV487" s="82">
        <f>($J487-$F487)*100</f>
        <v/>
      </c>
      <c r="AW487" s="82">
        <f>($L487-$F487)*100</f>
        <v/>
      </c>
      <c r="AX487" s="82">
        <f>($J487-$H487)*100</f>
        <v/>
      </c>
      <c r="AY487" s="82">
        <f>($L487-$H487)*100</f>
        <v/>
      </c>
      <c r="AZ487" s="82">
        <f>($L487-$J487)*100</f>
        <v/>
      </c>
      <c r="BA487" s="82">
        <f>(2*$H487-$F487-$J487)*100</f>
        <v/>
      </c>
      <c r="BB487" s="82">
        <f>(2*$J487-$H487-$L487)*100</f>
        <v/>
      </c>
      <c r="BC487" s="82">
        <f>($N487-$F487)*100</f>
        <v/>
      </c>
      <c r="BD487" s="82">
        <f>($Q487-$H487)*100</f>
        <v/>
      </c>
      <c r="BE487" s="82">
        <f>($S487-$J487)*100</f>
        <v/>
      </c>
      <c r="BF487" s="82">
        <f>($V487-$L487)*100</f>
        <v/>
      </c>
      <c r="BG487" s="82">
        <f>$AG487-$AF487</f>
        <v/>
      </c>
      <c r="BH487" s="81">
        <f>IFERROR($AG487/$AF487,"")</f>
        <v/>
      </c>
      <c r="BI487" s="82">
        <f>$AJ487-$AF487</f>
        <v/>
      </c>
      <c r="BJ487" s="81">
        <f>IFERROR($AJ487/$AG487,"")</f>
        <v/>
      </c>
      <c r="BK487" s="81">
        <f>$X487</f>
        <v/>
      </c>
      <c r="BL487" s="82">
        <f>($J487-$J488)*100</f>
        <v/>
      </c>
      <c r="BM487" s="82">
        <f>($F487-$F488)*100</f>
        <v/>
      </c>
      <c r="BN487" s="82">
        <f>$AF487-$AF488</f>
        <v/>
      </c>
      <c r="BO487" s="82">
        <f>$AG487-$AG488</f>
        <v/>
      </c>
      <c r="BP487" s="82">
        <f>$AJ487-$AJ488</f>
        <v/>
      </c>
    </row>
    <row r="488">
      <c r="AR488" s="81">
        <f>($G488+($H488-$G488)*0.5)+($P488-($O488+($Q488-$O488)*0.5))</f>
        <v/>
      </c>
      <c r="AS488" s="81">
        <f>($J488+($K488-$J488)*0.5)+($T488-($S488+($U488-$S488)*0.5))</f>
        <v/>
      </c>
      <c r="AT488" s="82">
        <f>($J488-$C488)*100</f>
        <v/>
      </c>
      <c r="AU488" s="82">
        <f>($H488-$F488)*100</f>
        <v/>
      </c>
      <c r="AV488" s="82">
        <f>($J488-$F488)*100</f>
        <v/>
      </c>
      <c r="AW488" s="82">
        <f>($L488-$F488)*100</f>
        <v/>
      </c>
      <c r="AX488" s="82">
        <f>($J488-$H488)*100</f>
        <v/>
      </c>
      <c r="AY488" s="82">
        <f>($L488-$H488)*100</f>
        <v/>
      </c>
      <c r="AZ488" s="82">
        <f>($L488-$J488)*100</f>
        <v/>
      </c>
      <c r="BA488" s="82">
        <f>(2*$H488-$F488-$J488)*100</f>
        <v/>
      </c>
      <c r="BB488" s="82">
        <f>(2*$J488-$H488-$L488)*100</f>
        <v/>
      </c>
      <c r="BC488" s="82">
        <f>($N488-$F488)*100</f>
        <v/>
      </c>
      <c r="BD488" s="82">
        <f>($Q488-$H488)*100</f>
        <v/>
      </c>
      <c r="BE488" s="82">
        <f>($S488-$J488)*100</f>
        <v/>
      </c>
      <c r="BF488" s="82">
        <f>($V488-$L488)*100</f>
        <v/>
      </c>
      <c r="BG488" s="82">
        <f>$AG488-$AF488</f>
        <v/>
      </c>
      <c r="BH488" s="81">
        <f>IFERROR($AG488/$AF488,"")</f>
        <v/>
      </c>
      <c r="BI488" s="82">
        <f>$AJ488-$AF488</f>
        <v/>
      </c>
      <c r="BJ488" s="81">
        <f>IFERROR($AJ488/$AG488,"")</f>
        <v/>
      </c>
      <c r="BK488" s="81">
        <f>$X488</f>
        <v/>
      </c>
      <c r="BL488" s="82">
        <f>($J488-$J489)*100</f>
        <v/>
      </c>
      <c r="BM488" s="82">
        <f>($F488-$F489)*100</f>
        <v/>
      </c>
      <c r="BN488" s="82">
        <f>$AF488-$AF489</f>
        <v/>
      </c>
      <c r="BO488" s="82">
        <f>$AG488-$AG489</f>
        <v/>
      </c>
      <c r="BP488" s="82">
        <f>$AJ488-$AJ489</f>
        <v/>
      </c>
    </row>
    <row r="489">
      <c r="AR489" s="81">
        <f>($G489+($H489-$G489)*0.5)+($P489-($O489+($Q489-$O489)*0.5))</f>
        <v/>
      </c>
      <c r="AS489" s="81">
        <f>($J489+($K489-$J489)*0.5)+($T489-($S489+($U489-$S489)*0.5))</f>
        <v/>
      </c>
      <c r="AT489" s="82">
        <f>($J489-$C489)*100</f>
        <v/>
      </c>
      <c r="AU489" s="82">
        <f>($H489-$F489)*100</f>
        <v/>
      </c>
      <c r="AV489" s="82">
        <f>($J489-$F489)*100</f>
        <v/>
      </c>
      <c r="AW489" s="82">
        <f>($L489-$F489)*100</f>
        <v/>
      </c>
      <c r="AX489" s="82">
        <f>($J489-$H489)*100</f>
        <v/>
      </c>
      <c r="AY489" s="82">
        <f>($L489-$H489)*100</f>
        <v/>
      </c>
      <c r="AZ489" s="82">
        <f>($L489-$J489)*100</f>
        <v/>
      </c>
      <c r="BA489" s="82">
        <f>(2*$H489-$F489-$J489)*100</f>
        <v/>
      </c>
      <c r="BB489" s="82">
        <f>(2*$J489-$H489-$L489)*100</f>
        <v/>
      </c>
      <c r="BC489" s="82">
        <f>($N489-$F489)*100</f>
        <v/>
      </c>
      <c r="BD489" s="82">
        <f>($Q489-$H489)*100</f>
        <v/>
      </c>
      <c r="BE489" s="82">
        <f>($S489-$J489)*100</f>
        <v/>
      </c>
      <c r="BF489" s="82">
        <f>($V489-$L489)*100</f>
        <v/>
      </c>
      <c r="BG489" s="82">
        <f>$AG489-$AF489</f>
        <v/>
      </c>
      <c r="BH489" s="81">
        <f>IFERROR($AG489/$AF489,"")</f>
        <v/>
      </c>
      <c r="BI489" s="82">
        <f>$AJ489-$AF489</f>
        <v/>
      </c>
      <c r="BJ489" s="81">
        <f>IFERROR($AJ489/$AG489,"")</f>
        <v/>
      </c>
      <c r="BK489" s="81">
        <f>$X489</f>
        <v/>
      </c>
      <c r="BL489" s="82">
        <f>($J489-$J490)*100</f>
        <v/>
      </c>
      <c r="BM489" s="82">
        <f>($F489-$F490)*100</f>
        <v/>
      </c>
      <c r="BN489" s="82">
        <f>$AF489-$AF490</f>
        <v/>
      </c>
      <c r="BO489" s="82">
        <f>$AG489-$AG490</f>
        <v/>
      </c>
      <c r="BP489" s="82">
        <f>$AJ489-$AJ490</f>
        <v/>
      </c>
    </row>
    <row r="490">
      <c r="AR490" s="81">
        <f>($G490+($H490-$G490)*0.5)+($P490-($O490+($Q490-$O490)*0.5))</f>
        <v/>
      </c>
      <c r="AS490" s="81">
        <f>($J490+($K490-$J490)*0.5)+($T490-($S490+($U490-$S490)*0.5))</f>
        <v/>
      </c>
      <c r="AT490" s="82">
        <f>($J490-$C490)*100</f>
        <v/>
      </c>
      <c r="AU490" s="82">
        <f>($H490-$F490)*100</f>
        <v/>
      </c>
      <c r="AV490" s="82">
        <f>($J490-$F490)*100</f>
        <v/>
      </c>
      <c r="AW490" s="82">
        <f>($L490-$F490)*100</f>
        <v/>
      </c>
      <c r="AX490" s="82">
        <f>($J490-$H490)*100</f>
        <v/>
      </c>
      <c r="AY490" s="82">
        <f>($L490-$H490)*100</f>
        <v/>
      </c>
      <c r="AZ490" s="82">
        <f>($L490-$J490)*100</f>
        <v/>
      </c>
      <c r="BA490" s="82">
        <f>(2*$H490-$F490-$J490)*100</f>
        <v/>
      </c>
      <c r="BB490" s="82">
        <f>(2*$J490-$H490-$L490)*100</f>
        <v/>
      </c>
      <c r="BC490" s="82">
        <f>($N490-$F490)*100</f>
        <v/>
      </c>
      <c r="BD490" s="82">
        <f>($Q490-$H490)*100</f>
        <v/>
      </c>
      <c r="BE490" s="82">
        <f>($S490-$J490)*100</f>
        <v/>
      </c>
      <c r="BF490" s="82">
        <f>($V490-$L490)*100</f>
        <v/>
      </c>
      <c r="BG490" s="82">
        <f>$AG490-$AF490</f>
        <v/>
      </c>
      <c r="BH490" s="81">
        <f>IFERROR($AG490/$AF490,"")</f>
        <v/>
      </c>
      <c r="BI490" s="82">
        <f>$AJ490-$AF490</f>
        <v/>
      </c>
      <c r="BJ490" s="81">
        <f>IFERROR($AJ490/$AG490,"")</f>
        <v/>
      </c>
      <c r="BK490" s="81">
        <f>$X490</f>
        <v/>
      </c>
      <c r="BL490" s="82">
        <f>($J490-$J491)*100</f>
        <v/>
      </c>
      <c r="BM490" s="82">
        <f>($F490-$F491)*100</f>
        <v/>
      </c>
      <c r="BN490" s="82">
        <f>$AF490-$AF491</f>
        <v/>
      </c>
      <c r="BO490" s="82">
        <f>$AG490-$AG491</f>
        <v/>
      </c>
      <c r="BP490" s="82">
        <f>$AJ490-$AJ491</f>
        <v/>
      </c>
    </row>
    <row r="491">
      <c r="AR491" s="81">
        <f>($G491+($H491-$G491)*0.5)+($P491-($O491+($Q491-$O491)*0.5))</f>
        <v/>
      </c>
      <c r="AS491" s="81">
        <f>($J491+($K491-$J491)*0.5)+($T491-($S491+($U491-$S491)*0.5))</f>
        <v/>
      </c>
      <c r="AT491" s="82">
        <f>($J491-$C491)*100</f>
        <v/>
      </c>
      <c r="AU491" s="82">
        <f>($H491-$F491)*100</f>
        <v/>
      </c>
      <c r="AV491" s="82">
        <f>($J491-$F491)*100</f>
        <v/>
      </c>
      <c r="AW491" s="82">
        <f>($L491-$F491)*100</f>
        <v/>
      </c>
      <c r="AX491" s="82">
        <f>($J491-$H491)*100</f>
        <v/>
      </c>
      <c r="AY491" s="82">
        <f>($L491-$H491)*100</f>
        <v/>
      </c>
      <c r="AZ491" s="82">
        <f>($L491-$J491)*100</f>
        <v/>
      </c>
      <c r="BA491" s="82">
        <f>(2*$H491-$F491-$J491)*100</f>
        <v/>
      </c>
      <c r="BB491" s="82">
        <f>(2*$J491-$H491-$L491)*100</f>
        <v/>
      </c>
      <c r="BC491" s="82">
        <f>($N491-$F491)*100</f>
        <v/>
      </c>
      <c r="BD491" s="82">
        <f>($Q491-$H491)*100</f>
        <v/>
      </c>
      <c r="BE491" s="82">
        <f>($S491-$J491)*100</f>
        <v/>
      </c>
      <c r="BF491" s="82">
        <f>($V491-$L491)*100</f>
        <v/>
      </c>
      <c r="BG491" s="82">
        <f>$AG491-$AF491</f>
        <v/>
      </c>
      <c r="BH491" s="81">
        <f>IFERROR($AG491/$AF491,"")</f>
        <v/>
      </c>
      <c r="BI491" s="82">
        <f>$AJ491-$AF491</f>
        <v/>
      </c>
      <c r="BJ491" s="81">
        <f>IFERROR($AJ491/$AG491,"")</f>
        <v/>
      </c>
      <c r="BK491" s="81">
        <f>$X491</f>
        <v/>
      </c>
      <c r="BL491" s="82">
        <f>($J491-$J492)*100</f>
        <v/>
      </c>
      <c r="BM491" s="82">
        <f>($F491-$F492)*100</f>
        <v/>
      </c>
      <c r="BN491" s="82">
        <f>$AF491-$AF492</f>
        <v/>
      </c>
      <c r="BO491" s="82">
        <f>$AG491-$AG492</f>
        <v/>
      </c>
      <c r="BP491" s="82">
        <f>$AJ491-$AJ492</f>
        <v/>
      </c>
    </row>
    <row r="492">
      <c r="AR492" s="81">
        <f>($G492+($H492-$G492)*0.5)+($P492-($O492+($Q492-$O492)*0.5))</f>
        <v/>
      </c>
      <c r="AS492" s="81">
        <f>($J492+($K492-$J492)*0.5)+($T492-($S492+($U492-$S492)*0.5))</f>
        <v/>
      </c>
      <c r="AT492" s="82">
        <f>($J492-$C492)*100</f>
        <v/>
      </c>
      <c r="AU492" s="82">
        <f>($H492-$F492)*100</f>
        <v/>
      </c>
      <c r="AV492" s="82">
        <f>($J492-$F492)*100</f>
        <v/>
      </c>
      <c r="AW492" s="82">
        <f>($L492-$F492)*100</f>
        <v/>
      </c>
      <c r="AX492" s="82">
        <f>($J492-$H492)*100</f>
        <v/>
      </c>
      <c r="AY492" s="82">
        <f>($L492-$H492)*100</f>
        <v/>
      </c>
      <c r="AZ492" s="82">
        <f>($L492-$J492)*100</f>
        <v/>
      </c>
      <c r="BA492" s="82">
        <f>(2*$H492-$F492-$J492)*100</f>
        <v/>
      </c>
      <c r="BB492" s="82">
        <f>(2*$J492-$H492-$L492)*100</f>
        <v/>
      </c>
      <c r="BC492" s="82">
        <f>($N492-$F492)*100</f>
        <v/>
      </c>
      <c r="BD492" s="82">
        <f>($Q492-$H492)*100</f>
        <v/>
      </c>
      <c r="BE492" s="82">
        <f>($S492-$J492)*100</f>
        <v/>
      </c>
      <c r="BF492" s="82">
        <f>($V492-$L492)*100</f>
        <v/>
      </c>
      <c r="BG492" s="82">
        <f>$AG492-$AF492</f>
        <v/>
      </c>
      <c r="BH492" s="81">
        <f>IFERROR($AG492/$AF492,"")</f>
        <v/>
      </c>
      <c r="BI492" s="82">
        <f>$AJ492-$AF492</f>
        <v/>
      </c>
      <c r="BJ492" s="81">
        <f>IFERROR($AJ492/$AG492,"")</f>
        <v/>
      </c>
      <c r="BK492" s="81">
        <f>$X492</f>
        <v/>
      </c>
      <c r="BL492" s="82">
        <f>($J492-$J493)*100</f>
        <v/>
      </c>
      <c r="BM492" s="82">
        <f>($F492-$F493)*100</f>
        <v/>
      </c>
      <c r="BN492" s="82">
        <f>$AF492-$AF493</f>
        <v/>
      </c>
      <c r="BO492" s="82">
        <f>$AG492-$AG493</f>
        <v/>
      </c>
      <c r="BP492" s="82">
        <f>$AJ492-$AJ493</f>
        <v/>
      </c>
    </row>
    <row r="493">
      <c r="AR493" s="81">
        <f>($G493+($H493-$G493)*0.5)+($P493-($O493+($Q493-$O493)*0.5))</f>
        <v/>
      </c>
      <c r="AS493" s="81">
        <f>($J493+($K493-$J493)*0.5)+($T493-($S493+($U493-$S493)*0.5))</f>
        <v/>
      </c>
      <c r="AT493" s="82">
        <f>($J493-$C493)*100</f>
        <v/>
      </c>
      <c r="AU493" s="82">
        <f>($H493-$F493)*100</f>
        <v/>
      </c>
      <c r="AV493" s="82">
        <f>($J493-$F493)*100</f>
        <v/>
      </c>
      <c r="AW493" s="82">
        <f>($L493-$F493)*100</f>
        <v/>
      </c>
      <c r="AX493" s="82">
        <f>($J493-$H493)*100</f>
        <v/>
      </c>
      <c r="AY493" s="82">
        <f>($L493-$H493)*100</f>
        <v/>
      </c>
      <c r="AZ493" s="82">
        <f>($L493-$J493)*100</f>
        <v/>
      </c>
      <c r="BA493" s="82">
        <f>(2*$H493-$F493-$J493)*100</f>
        <v/>
      </c>
      <c r="BB493" s="82">
        <f>(2*$J493-$H493-$L493)*100</f>
        <v/>
      </c>
      <c r="BC493" s="82">
        <f>($N493-$F493)*100</f>
        <v/>
      </c>
      <c r="BD493" s="82">
        <f>($Q493-$H493)*100</f>
        <v/>
      </c>
      <c r="BE493" s="82">
        <f>($S493-$J493)*100</f>
        <v/>
      </c>
      <c r="BF493" s="82">
        <f>($V493-$L493)*100</f>
        <v/>
      </c>
      <c r="BG493" s="82">
        <f>$AG493-$AF493</f>
        <v/>
      </c>
      <c r="BH493" s="81">
        <f>IFERROR($AG493/$AF493,"")</f>
        <v/>
      </c>
      <c r="BI493" s="82">
        <f>$AJ493-$AF493</f>
        <v/>
      </c>
      <c r="BJ493" s="81">
        <f>IFERROR($AJ493/$AG493,"")</f>
        <v/>
      </c>
      <c r="BK493" s="81">
        <f>$X493</f>
        <v/>
      </c>
      <c r="BL493" s="82">
        <f>($J493-$J494)*100</f>
        <v/>
      </c>
      <c r="BM493" s="82">
        <f>($F493-$F494)*100</f>
        <v/>
      </c>
      <c r="BN493" s="82">
        <f>$AF493-$AF494</f>
        <v/>
      </c>
      <c r="BO493" s="82">
        <f>$AG493-$AG494</f>
        <v/>
      </c>
      <c r="BP493" s="82">
        <f>$AJ493-$AJ494</f>
        <v/>
      </c>
    </row>
    <row r="494">
      <c r="AR494" s="81">
        <f>($G494+($H494-$G494)*0.5)+($P494-($O494+($Q494-$O494)*0.5))</f>
        <v/>
      </c>
      <c r="AS494" s="81">
        <f>($J494+($K494-$J494)*0.5)+($T494-($S494+($U494-$S494)*0.5))</f>
        <v/>
      </c>
      <c r="AT494" s="82">
        <f>($J494-$C494)*100</f>
        <v/>
      </c>
      <c r="AU494" s="82">
        <f>($H494-$F494)*100</f>
        <v/>
      </c>
      <c r="AV494" s="82">
        <f>($J494-$F494)*100</f>
        <v/>
      </c>
      <c r="AW494" s="82">
        <f>($L494-$F494)*100</f>
        <v/>
      </c>
      <c r="AX494" s="82">
        <f>($J494-$H494)*100</f>
        <v/>
      </c>
      <c r="AY494" s="82">
        <f>($L494-$H494)*100</f>
        <v/>
      </c>
      <c r="AZ494" s="82">
        <f>($L494-$J494)*100</f>
        <v/>
      </c>
      <c r="BA494" s="82">
        <f>(2*$H494-$F494-$J494)*100</f>
        <v/>
      </c>
      <c r="BB494" s="82">
        <f>(2*$J494-$H494-$L494)*100</f>
        <v/>
      </c>
      <c r="BC494" s="82">
        <f>($N494-$F494)*100</f>
        <v/>
      </c>
      <c r="BD494" s="82">
        <f>($Q494-$H494)*100</f>
        <v/>
      </c>
      <c r="BE494" s="82">
        <f>($S494-$J494)*100</f>
        <v/>
      </c>
      <c r="BF494" s="82">
        <f>($V494-$L494)*100</f>
        <v/>
      </c>
      <c r="BG494" s="82">
        <f>$AG494-$AF494</f>
        <v/>
      </c>
      <c r="BH494" s="81">
        <f>IFERROR($AG494/$AF494,"")</f>
        <v/>
      </c>
      <c r="BI494" s="82">
        <f>$AJ494-$AF494</f>
        <v/>
      </c>
      <c r="BJ494" s="81">
        <f>IFERROR($AJ494/$AG494,"")</f>
        <v/>
      </c>
      <c r="BK494" s="81">
        <f>$X494</f>
        <v/>
      </c>
      <c r="BL494" s="82">
        <f>($J494-$J495)*100</f>
        <v/>
      </c>
      <c r="BM494" s="82">
        <f>($F494-$F495)*100</f>
        <v/>
      </c>
      <c r="BN494" s="82">
        <f>$AF494-$AF495</f>
        <v/>
      </c>
      <c r="BO494" s="82">
        <f>$AG494-$AG495</f>
        <v/>
      </c>
      <c r="BP494" s="82">
        <f>$AJ494-$AJ495</f>
        <v/>
      </c>
    </row>
    <row r="495">
      <c r="AR495" s="81">
        <f>($G495+($H495-$G495)*0.5)+($P495-($O495+($Q495-$O495)*0.5))</f>
        <v/>
      </c>
      <c r="AS495" s="81">
        <f>($J495+($K495-$J495)*0.5)+($T495-($S495+($U495-$S495)*0.5))</f>
        <v/>
      </c>
      <c r="AT495" s="82">
        <f>($J495-$C495)*100</f>
        <v/>
      </c>
      <c r="AU495" s="82">
        <f>($H495-$F495)*100</f>
        <v/>
      </c>
      <c r="AV495" s="82">
        <f>($J495-$F495)*100</f>
        <v/>
      </c>
      <c r="AW495" s="82">
        <f>($L495-$F495)*100</f>
        <v/>
      </c>
      <c r="AX495" s="82">
        <f>($J495-$H495)*100</f>
        <v/>
      </c>
      <c r="AY495" s="82">
        <f>($L495-$H495)*100</f>
        <v/>
      </c>
      <c r="AZ495" s="82">
        <f>($L495-$J495)*100</f>
        <v/>
      </c>
      <c r="BA495" s="82">
        <f>(2*$H495-$F495-$J495)*100</f>
        <v/>
      </c>
      <c r="BB495" s="82">
        <f>(2*$J495-$H495-$L495)*100</f>
        <v/>
      </c>
      <c r="BC495" s="82">
        <f>($N495-$F495)*100</f>
        <v/>
      </c>
      <c r="BD495" s="82">
        <f>($Q495-$H495)*100</f>
        <v/>
      </c>
      <c r="BE495" s="82">
        <f>($S495-$J495)*100</f>
        <v/>
      </c>
      <c r="BF495" s="82">
        <f>($V495-$L495)*100</f>
        <v/>
      </c>
      <c r="BG495" s="82">
        <f>$AG495-$AF495</f>
        <v/>
      </c>
      <c r="BH495" s="81">
        <f>IFERROR($AG495/$AF495,"")</f>
        <v/>
      </c>
      <c r="BI495" s="82">
        <f>$AJ495-$AF495</f>
        <v/>
      </c>
      <c r="BJ495" s="81">
        <f>IFERROR($AJ495/$AG495,"")</f>
        <v/>
      </c>
      <c r="BK495" s="81">
        <f>$X495</f>
        <v/>
      </c>
      <c r="BL495" s="82">
        <f>($J495-$J496)*100</f>
        <v/>
      </c>
      <c r="BM495" s="82">
        <f>($F495-$F496)*100</f>
        <v/>
      </c>
      <c r="BN495" s="82">
        <f>$AF495-$AF496</f>
        <v/>
      </c>
      <c r="BO495" s="82">
        <f>$AG495-$AG496</f>
        <v/>
      </c>
      <c r="BP495" s="82">
        <f>$AJ495-$AJ496</f>
        <v/>
      </c>
    </row>
    <row r="496">
      <c r="AR496" s="81">
        <f>($G496+($H496-$G496)*0.5)+($P496-($O496+($Q496-$O496)*0.5))</f>
        <v/>
      </c>
      <c r="AS496" s="81">
        <f>($J496+($K496-$J496)*0.5)+($T496-($S496+($U496-$S496)*0.5))</f>
        <v/>
      </c>
      <c r="AT496" s="82">
        <f>($J496-$C496)*100</f>
        <v/>
      </c>
      <c r="AU496" s="82">
        <f>($H496-$F496)*100</f>
        <v/>
      </c>
      <c r="AV496" s="82">
        <f>($J496-$F496)*100</f>
        <v/>
      </c>
      <c r="AW496" s="82">
        <f>($L496-$F496)*100</f>
        <v/>
      </c>
      <c r="AX496" s="82">
        <f>($J496-$H496)*100</f>
        <v/>
      </c>
      <c r="AY496" s="82">
        <f>($L496-$H496)*100</f>
        <v/>
      </c>
      <c r="AZ496" s="82">
        <f>($L496-$J496)*100</f>
        <v/>
      </c>
      <c r="BA496" s="82">
        <f>(2*$H496-$F496-$J496)*100</f>
        <v/>
      </c>
      <c r="BB496" s="82">
        <f>(2*$J496-$H496-$L496)*100</f>
        <v/>
      </c>
      <c r="BC496" s="82">
        <f>($N496-$F496)*100</f>
        <v/>
      </c>
      <c r="BD496" s="82">
        <f>($Q496-$H496)*100</f>
        <v/>
      </c>
      <c r="BE496" s="82">
        <f>($S496-$J496)*100</f>
        <v/>
      </c>
      <c r="BF496" s="82">
        <f>($V496-$L496)*100</f>
        <v/>
      </c>
      <c r="BG496" s="82">
        <f>$AG496-$AF496</f>
        <v/>
      </c>
      <c r="BH496" s="81">
        <f>IFERROR($AG496/$AF496,"")</f>
        <v/>
      </c>
      <c r="BI496" s="82">
        <f>$AJ496-$AF496</f>
        <v/>
      </c>
      <c r="BJ496" s="81">
        <f>IFERROR($AJ496/$AG496,"")</f>
        <v/>
      </c>
      <c r="BK496" s="81">
        <f>$X496</f>
        <v/>
      </c>
      <c r="BL496" s="82">
        <f>($J496-$J497)*100</f>
        <v/>
      </c>
      <c r="BM496" s="82">
        <f>($F496-$F497)*100</f>
        <v/>
      </c>
      <c r="BN496" s="82">
        <f>$AF496-$AF497</f>
        <v/>
      </c>
      <c r="BO496" s="82">
        <f>$AG496-$AG497</f>
        <v/>
      </c>
      <c r="BP496" s="82">
        <f>$AJ496-$AJ497</f>
        <v/>
      </c>
    </row>
    <row r="497">
      <c r="AR497" s="81">
        <f>($G497+($H497-$G497)*0.5)+($P497-($O497+($Q497-$O497)*0.5))</f>
        <v/>
      </c>
      <c r="AS497" s="81">
        <f>($J497+($K497-$J497)*0.5)+($T497-($S497+($U497-$S497)*0.5))</f>
        <v/>
      </c>
      <c r="AT497" s="82">
        <f>($J497-$C497)*100</f>
        <v/>
      </c>
      <c r="AU497" s="82">
        <f>($H497-$F497)*100</f>
        <v/>
      </c>
      <c r="AV497" s="82">
        <f>($J497-$F497)*100</f>
        <v/>
      </c>
      <c r="AW497" s="82">
        <f>($L497-$F497)*100</f>
        <v/>
      </c>
      <c r="AX497" s="82">
        <f>($J497-$H497)*100</f>
        <v/>
      </c>
      <c r="AY497" s="82">
        <f>($L497-$H497)*100</f>
        <v/>
      </c>
      <c r="AZ497" s="82">
        <f>($L497-$J497)*100</f>
        <v/>
      </c>
      <c r="BA497" s="82">
        <f>(2*$H497-$F497-$J497)*100</f>
        <v/>
      </c>
      <c r="BB497" s="82">
        <f>(2*$J497-$H497-$L497)*100</f>
        <v/>
      </c>
      <c r="BC497" s="82">
        <f>($N497-$F497)*100</f>
        <v/>
      </c>
      <c r="BD497" s="82">
        <f>($Q497-$H497)*100</f>
        <v/>
      </c>
      <c r="BE497" s="82">
        <f>($S497-$J497)*100</f>
        <v/>
      </c>
      <c r="BF497" s="82">
        <f>($V497-$L497)*100</f>
        <v/>
      </c>
      <c r="BG497" s="82">
        <f>$AG497-$AF497</f>
        <v/>
      </c>
      <c r="BH497" s="81">
        <f>IFERROR($AG497/$AF497,"")</f>
        <v/>
      </c>
      <c r="BI497" s="82">
        <f>$AJ497-$AF497</f>
        <v/>
      </c>
      <c r="BJ497" s="81">
        <f>IFERROR($AJ497/$AG497,"")</f>
        <v/>
      </c>
      <c r="BK497" s="81">
        <f>$X497</f>
        <v/>
      </c>
      <c r="BL497" s="82">
        <f>($J497-$J498)*100</f>
        <v/>
      </c>
      <c r="BM497" s="82">
        <f>($F497-$F498)*100</f>
        <v/>
      </c>
      <c r="BN497" s="82">
        <f>$AF497-$AF498</f>
        <v/>
      </c>
      <c r="BO497" s="82">
        <f>$AG497-$AG498</f>
        <v/>
      </c>
      <c r="BP497" s="82">
        <f>$AJ497-$AJ498</f>
        <v/>
      </c>
    </row>
    <row r="498">
      <c r="AR498" s="81">
        <f>($G498+($H498-$G498)*0.5)+($P498-($O498+($Q498-$O498)*0.5))</f>
        <v/>
      </c>
      <c r="AS498" s="81">
        <f>($J498+($K498-$J498)*0.5)+($T498-($S498+($U498-$S498)*0.5))</f>
        <v/>
      </c>
      <c r="AT498" s="82">
        <f>($J498-$C498)*100</f>
        <v/>
      </c>
      <c r="AU498" s="82">
        <f>($H498-$F498)*100</f>
        <v/>
      </c>
      <c r="AV498" s="82">
        <f>($J498-$F498)*100</f>
        <v/>
      </c>
      <c r="AW498" s="82">
        <f>($L498-$F498)*100</f>
        <v/>
      </c>
      <c r="AX498" s="82">
        <f>($J498-$H498)*100</f>
        <v/>
      </c>
      <c r="AY498" s="82">
        <f>($L498-$H498)*100</f>
        <v/>
      </c>
      <c r="AZ498" s="82">
        <f>($L498-$J498)*100</f>
        <v/>
      </c>
      <c r="BA498" s="82">
        <f>(2*$H498-$F498-$J498)*100</f>
        <v/>
      </c>
      <c r="BB498" s="82">
        <f>(2*$J498-$H498-$L498)*100</f>
        <v/>
      </c>
      <c r="BC498" s="82">
        <f>($N498-$F498)*100</f>
        <v/>
      </c>
      <c r="BD498" s="82">
        <f>($Q498-$H498)*100</f>
        <v/>
      </c>
      <c r="BE498" s="82">
        <f>($S498-$J498)*100</f>
        <v/>
      </c>
      <c r="BF498" s="82">
        <f>($V498-$L498)*100</f>
        <v/>
      </c>
      <c r="BG498" s="82">
        <f>$AG498-$AF498</f>
        <v/>
      </c>
      <c r="BH498" s="81">
        <f>IFERROR($AG498/$AF498,"")</f>
        <v/>
      </c>
      <c r="BI498" s="82">
        <f>$AJ498-$AF498</f>
        <v/>
      </c>
      <c r="BJ498" s="81">
        <f>IFERROR($AJ498/$AG498,"")</f>
        <v/>
      </c>
      <c r="BK498" s="81">
        <f>$X498</f>
        <v/>
      </c>
      <c r="BL498" s="82">
        <f>($J498-$J499)*100</f>
        <v/>
      </c>
      <c r="BM498" s="82">
        <f>($F498-$F499)*100</f>
        <v/>
      </c>
      <c r="BN498" s="82">
        <f>$AF498-$AF499</f>
        <v/>
      </c>
      <c r="BO498" s="82">
        <f>$AG498-$AG499</f>
        <v/>
      </c>
      <c r="BP498" s="82">
        <f>$AJ498-$AJ499</f>
        <v/>
      </c>
    </row>
    <row r="499">
      <c r="AR499" s="81">
        <f>($G499+($H499-$G499)*0.5)+($P499-($O499+($Q499-$O499)*0.5))</f>
        <v/>
      </c>
      <c r="AS499" s="81">
        <f>($J499+($K499-$J499)*0.5)+($T499-($S499+($U499-$S499)*0.5))</f>
        <v/>
      </c>
      <c r="AT499" s="82">
        <f>($J499-$C499)*100</f>
        <v/>
      </c>
      <c r="AU499" s="82">
        <f>($H499-$F499)*100</f>
        <v/>
      </c>
      <c r="AV499" s="82">
        <f>($J499-$F499)*100</f>
        <v/>
      </c>
      <c r="AW499" s="82">
        <f>($L499-$F499)*100</f>
        <v/>
      </c>
      <c r="AX499" s="82">
        <f>($J499-$H499)*100</f>
        <v/>
      </c>
      <c r="AY499" s="82">
        <f>($L499-$H499)*100</f>
        <v/>
      </c>
      <c r="AZ499" s="82">
        <f>($L499-$J499)*100</f>
        <v/>
      </c>
      <c r="BA499" s="82">
        <f>(2*$H499-$F499-$J499)*100</f>
        <v/>
      </c>
      <c r="BB499" s="82">
        <f>(2*$J499-$H499-$L499)*100</f>
        <v/>
      </c>
      <c r="BC499" s="82">
        <f>($N499-$F499)*100</f>
        <v/>
      </c>
      <c r="BD499" s="82">
        <f>($Q499-$H499)*100</f>
        <v/>
      </c>
      <c r="BE499" s="82">
        <f>($S499-$J499)*100</f>
        <v/>
      </c>
      <c r="BF499" s="82">
        <f>($V499-$L499)*100</f>
        <v/>
      </c>
      <c r="BG499" s="82">
        <f>$AG499-$AF499</f>
        <v/>
      </c>
      <c r="BH499" s="81">
        <f>IFERROR($AG499/$AF499,"")</f>
        <v/>
      </c>
      <c r="BI499" s="82">
        <f>$AJ499-$AF499</f>
        <v/>
      </c>
      <c r="BJ499" s="81">
        <f>IFERROR($AJ499/$AG499,"")</f>
        <v/>
      </c>
      <c r="BK499" s="81">
        <f>$X499</f>
        <v/>
      </c>
      <c r="BL499" s="82">
        <f>($J499-$J500)*100</f>
        <v/>
      </c>
      <c r="BM499" s="82">
        <f>($F499-$F500)*100</f>
        <v/>
      </c>
      <c r="BN499" s="82">
        <f>$AF499-$AF500</f>
        <v/>
      </c>
      <c r="BO499" s="82">
        <f>$AG499-$AG500</f>
        <v/>
      </c>
      <c r="BP499" s="82">
        <f>$AJ499-$AJ500</f>
        <v/>
      </c>
    </row>
    <row r="500">
      <c r="AR500" s="81">
        <f>($G500+($H500-$G500)*0.5)+($P500-($O500+($Q500-$O500)*0.5))</f>
        <v/>
      </c>
      <c r="AS500" s="81">
        <f>($J500+($K500-$J500)*0.5)+($T500-($S500+($U500-$S500)*0.5))</f>
        <v/>
      </c>
      <c r="AT500" s="82">
        <f>($J500-$C500)*100</f>
        <v/>
      </c>
      <c r="AU500" s="82">
        <f>($H500-$F500)*100</f>
        <v/>
      </c>
      <c r="AV500" s="82">
        <f>($J500-$F500)*100</f>
        <v/>
      </c>
      <c r="AW500" s="82">
        <f>($L500-$F500)*100</f>
        <v/>
      </c>
      <c r="AX500" s="82">
        <f>($J500-$H500)*100</f>
        <v/>
      </c>
      <c r="AY500" s="82">
        <f>($L500-$H500)*100</f>
        <v/>
      </c>
      <c r="AZ500" s="82">
        <f>($L500-$J500)*100</f>
        <v/>
      </c>
      <c r="BA500" s="82">
        <f>(2*$H500-$F500-$J500)*100</f>
        <v/>
      </c>
      <c r="BB500" s="82">
        <f>(2*$J500-$H500-$L500)*100</f>
        <v/>
      </c>
      <c r="BC500" s="82">
        <f>($N500-$F500)*100</f>
        <v/>
      </c>
      <c r="BD500" s="82">
        <f>($Q500-$H500)*100</f>
        <v/>
      </c>
      <c r="BE500" s="82">
        <f>($S500-$J500)*100</f>
        <v/>
      </c>
      <c r="BF500" s="82">
        <f>($V500-$L500)*100</f>
        <v/>
      </c>
      <c r="BG500" s="82">
        <f>$AG500-$AF500</f>
        <v/>
      </c>
      <c r="BH500" s="81">
        <f>IFERROR($AG500/$AF500,"")</f>
        <v/>
      </c>
      <c r="BI500" s="82">
        <f>$AJ500-$AF500</f>
        <v/>
      </c>
      <c r="BJ500" s="81">
        <f>IFERROR($AJ500/$AG500,"")</f>
        <v/>
      </c>
      <c r="BK500" s="81">
        <f>$X500</f>
        <v/>
      </c>
      <c r="BL500" s="82">
        <f>($J500-$J501)*100</f>
        <v/>
      </c>
      <c r="BM500" s="82">
        <f>($F500-$F501)*100</f>
        <v/>
      </c>
      <c r="BN500" s="82">
        <f>$AF500-$AF501</f>
        <v/>
      </c>
      <c r="BO500" s="82">
        <f>$AG500-$AG501</f>
        <v/>
      </c>
      <c r="BP500" s="82">
        <f>$AJ500-$AJ501</f>
        <v/>
      </c>
    </row>
    <row r="501">
      <c r="AR501" s="81">
        <f>($G501+($H501-$G501)*0.5)+($P501-($O501+($Q501-$O501)*0.5))</f>
        <v/>
      </c>
      <c r="AS501" s="81">
        <f>($J501+($K501-$J501)*0.5)+($T501-($S501+($U501-$S501)*0.5))</f>
        <v/>
      </c>
      <c r="AT501" s="82">
        <f>($J501-$C501)*100</f>
        <v/>
      </c>
      <c r="AU501" s="82">
        <f>($H501-$F501)*100</f>
        <v/>
      </c>
      <c r="AV501" s="82">
        <f>($J501-$F501)*100</f>
        <v/>
      </c>
      <c r="AW501" s="82">
        <f>($L501-$F501)*100</f>
        <v/>
      </c>
      <c r="AX501" s="82">
        <f>($J501-$H501)*100</f>
        <v/>
      </c>
      <c r="AY501" s="82">
        <f>($L501-$H501)*100</f>
        <v/>
      </c>
      <c r="AZ501" s="82">
        <f>($L501-$J501)*100</f>
        <v/>
      </c>
      <c r="BA501" s="82">
        <f>(2*$H501-$F501-$J501)*100</f>
        <v/>
      </c>
      <c r="BB501" s="82">
        <f>(2*$J501-$H501-$L501)*100</f>
        <v/>
      </c>
      <c r="BC501" s="82">
        <f>($N501-$F501)*100</f>
        <v/>
      </c>
      <c r="BD501" s="82">
        <f>($Q501-$H501)*100</f>
        <v/>
      </c>
      <c r="BE501" s="82">
        <f>($S501-$J501)*100</f>
        <v/>
      </c>
      <c r="BF501" s="82">
        <f>($V501-$L501)*100</f>
        <v/>
      </c>
      <c r="BG501" s="82">
        <f>$AG501-$AF501</f>
        <v/>
      </c>
      <c r="BH501" s="81">
        <f>IFERROR($AG501/$AF501,"")</f>
        <v/>
      </c>
      <c r="BI501" s="82">
        <f>$AJ501-$AF501</f>
        <v/>
      </c>
      <c r="BJ501" s="81">
        <f>IFERROR($AJ501/$AG501,"")</f>
        <v/>
      </c>
      <c r="BK501" s="81">
        <f>$X501</f>
        <v/>
      </c>
      <c r="BL501" s="82">
        <f>($J501-$J502)*100</f>
        <v/>
      </c>
      <c r="BM501" s="82">
        <f>($F501-$F502)*100</f>
        <v/>
      </c>
      <c r="BN501" s="82">
        <f>$AF501-$AF502</f>
        <v/>
      </c>
      <c r="BO501" s="82">
        <f>$AG501-$AG502</f>
        <v/>
      </c>
      <c r="BP501" s="82">
        <f>$AJ501-$AJ502</f>
        <v/>
      </c>
    </row>
    <row r="502">
      <c r="AR502" s="81">
        <f>($G502+($H502-$G502)*0.5)+($P502-($O502+($Q502-$O502)*0.5))</f>
        <v/>
      </c>
      <c r="AS502" s="81">
        <f>($J502+($K502-$J502)*0.5)+($T502-($S502+($U502-$S502)*0.5))</f>
        <v/>
      </c>
      <c r="AT502" s="82">
        <f>($J502-$C502)*100</f>
        <v/>
      </c>
      <c r="AU502" s="82">
        <f>($H502-$F502)*100</f>
        <v/>
      </c>
      <c r="AV502" s="82">
        <f>($J502-$F502)*100</f>
        <v/>
      </c>
      <c r="AW502" s="82">
        <f>($L502-$F502)*100</f>
        <v/>
      </c>
      <c r="AX502" s="82">
        <f>($J502-$H502)*100</f>
        <v/>
      </c>
      <c r="AY502" s="82">
        <f>($L502-$H502)*100</f>
        <v/>
      </c>
      <c r="AZ502" s="82">
        <f>($L502-$J502)*100</f>
        <v/>
      </c>
      <c r="BA502" s="82">
        <f>(2*$H502-$F502-$J502)*100</f>
        <v/>
      </c>
      <c r="BB502" s="82">
        <f>(2*$J502-$H502-$L502)*100</f>
        <v/>
      </c>
      <c r="BC502" s="82">
        <f>($N502-$F502)*100</f>
        <v/>
      </c>
      <c r="BD502" s="82">
        <f>($Q502-$H502)*100</f>
        <v/>
      </c>
      <c r="BE502" s="82">
        <f>($S502-$J502)*100</f>
        <v/>
      </c>
      <c r="BF502" s="82">
        <f>($V502-$L502)*100</f>
        <v/>
      </c>
      <c r="BG502" s="82">
        <f>$AG502-$AF502</f>
        <v/>
      </c>
      <c r="BH502" s="81">
        <f>IFERROR($AG502/$AF502,"")</f>
        <v/>
      </c>
      <c r="BI502" s="82">
        <f>$AJ502-$AF502</f>
        <v/>
      </c>
      <c r="BJ502" s="81">
        <f>IFERROR($AJ502/$AG502,"")</f>
        <v/>
      </c>
      <c r="BK502" s="81">
        <f>$X502</f>
        <v/>
      </c>
      <c r="BL502" s="82">
        <f>($J502-$J503)*100</f>
        <v/>
      </c>
      <c r="BM502" s="82">
        <f>($F502-$F503)*100</f>
        <v/>
      </c>
      <c r="BN502" s="82">
        <f>$AF502-$AF503</f>
        <v/>
      </c>
      <c r="BO502" s="82">
        <f>$AG502-$AG503</f>
        <v/>
      </c>
      <c r="BP502" s="82">
        <f>$AJ502-$AJ503</f>
        <v/>
      </c>
    </row>
    <row r="503">
      <c r="AR503" s="81">
        <f>($G503+($H503-$G503)*0.5)+($P503-($O503+($Q503-$O503)*0.5))</f>
        <v/>
      </c>
      <c r="AS503" s="81">
        <f>($J503+($K503-$J503)*0.5)+($T503-($S503+($U503-$S503)*0.5))</f>
        <v/>
      </c>
      <c r="AT503" s="82">
        <f>($J503-$C503)*100</f>
        <v/>
      </c>
      <c r="AU503" s="82">
        <f>($H503-$F503)*100</f>
        <v/>
      </c>
      <c r="AV503" s="82">
        <f>($J503-$F503)*100</f>
        <v/>
      </c>
      <c r="AW503" s="82">
        <f>($L503-$F503)*100</f>
        <v/>
      </c>
      <c r="AX503" s="82">
        <f>($J503-$H503)*100</f>
        <v/>
      </c>
      <c r="AY503" s="82">
        <f>($L503-$H503)*100</f>
        <v/>
      </c>
      <c r="AZ503" s="82">
        <f>($L503-$J503)*100</f>
        <v/>
      </c>
      <c r="BA503" s="82">
        <f>(2*$H503-$F503-$J503)*100</f>
        <v/>
      </c>
      <c r="BB503" s="82">
        <f>(2*$J503-$H503-$L503)*100</f>
        <v/>
      </c>
      <c r="BC503" s="82">
        <f>($N503-$F503)*100</f>
        <v/>
      </c>
      <c r="BD503" s="82">
        <f>($Q503-$H503)*100</f>
        <v/>
      </c>
      <c r="BE503" s="82">
        <f>($S503-$J503)*100</f>
        <v/>
      </c>
      <c r="BF503" s="82">
        <f>($V503-$L503)*100</f>
        <v/>
      </c>
      <c r="BG503" s="82">
        <f>$AG503-$AF503</f>
        <v/>
      </c>
      <c r="BH503" s="81">
        <f>IFERROR($AG503/$AF503,"")</f>
        <v/>
      </c>
      <c r="BI503" s="82">
        <f>$AJ503-$AF503</f>
        <v/>
      </c>
      <c r="BJ503" s="81">
        <f>IFERROR($AJ503/$AG503,"")</f>
        <v/>
      </c>
      <c r="BK503" s="81">
        <f>$X503</f>
        <v/>
      </c>
      <c r="BL503" s="82">
        <f>($J503-$J504)*100</f>
        <v/>
      </c>
      <c r="BM503" s="82">
        <f>($F503-$F504)*100</f>
        <v/>
      </c>
      <c r="BN503" s="82">
        <f>$AF503-$AF504</f>
        <v/>
      </c>
      <c r="BO503" s="82">
        <f>$AG503-$AG504</f>
        <v/>
      </c>
      <c r="BP503" s="82">
        <f>$AJ503-$AJ504</f>
        <v/>
      </c>
    </row>
    <row r="504">
      <c r="AR504" s="81">
        <f>($G504+($H504-$G504)*0.5)+($P504-($O504+($Q504-$O504)*0.5))</f>
        <v/>
      </c>
      <c r="AS504" s="81">
        <f>($J504+($K504-$J504)*0.5)+($T504-($S504+($U504-$S504)*0.5))</f>
        <v/>
      </c>
      <c r="AT504" s="82">
        <f>($J504-$C504)*100</f>
        <v/>
      </c>
      <c r="AU504" s="82">
        <f>($H504-$F504)*100</f>
        <v/>
      </c>
      <c r="AV504" s="82">
        <f>($J504-$F504)*100</f>
        <v/>
      </c>
      <c r="AW504" s="82">
        <f>($L504-$F504)*100</f>
        <v/>
      </c>
      <c r="AX504" s="82">
        <f>($J504-$H504)*100</f>
        <v/>
      </c>
      <c r="AY504" s="82">
        <f>($L504-$H504)*100</f>
        <v/>
      </c>
      <c r="AZ504" s="82">
        <f>($L504-$J504)*100</f>
        <v/>
      </c>
      <c r="BA504" s="82">
        <f>(2*$H504-$F504-$J504)*100</f>
        <v/>
      </c>
      <c r="BB504" s="82">
        <f>(2*$J504-$H504-$L504)*100</f>
        <v/>
      </c>
      <c r="BC504" s="82">
        <f>($N504-$F504)*100</f>
        <v/>
      </c>
      <c r="BD504" s="82">
        <f>($Q504-$H504)*100</f>
        <v/>
      </c>
      <c r="BE504" s="82">
        <f>($S504-$J504)*100</f>
        <v/>
      </c>
      <c r="BF504" s="82">
        <f>($V504-$L504)*100</f>
        <v/>
      </c>
      <c r="BG504" s="82">
        <f>$AG504-$AF504</f>
        <v/>
      </c>
      <c r="BH504" s="81">
        <f>IFERROR($AG504/$AF504,"")</f>
        <v/>
      </c>
      <c r="BI504" s="82">
        <f>$AJ504-$AF504</f>
        <v/>
      </c>
      <c r="BJ504" s="81">
        <f>IFERROR($AJ504/$AG504,"")</f>
        <v/>
      </c>
      <c r="BK504" s="81">
        <f>$X504</f>
        <v/>
      </c>
      <c r="BL504" s="82">
        <f>($J504-$J505)*100</f>
        <v/>
      </c>
      <c r="BM504" s="82">
        <f>($F504-$F505)*100</f>
        <v/>
      </c>
      <c r="BN504" s="82">
        <f>$AF504-$AF505</f>
        <v/>
      </c>
      <c r="BO504" s="82">
        <f>$AG504-$AG505</f>
        <v/>
      </c>
      <c r="BP504" s="82">
        <f>$AJ504-$AJ505</f>
        <v/>
      </c>
    </row>
    <row r="505">
      <c r="AR505" s="81">
        <f>($G505+($H505-$G505)*0.5)+($P505-($O505+($Q505-$O505)*0.5))</f>
        <v/>
      </c>
      <c r="AS505" s="81">
        <f>($J505+($K505-$J505)*0.5)+($T505-($S505+($U505-$S505)*0.5))</f>
        <v/>
      </c>
      <c r="AT505" s="82">
        <f>($J505-$C505)*100</f>
        <v/>
      </c>
      <c r="AU505" s="82">
        <f>($H505-$F505)*100</f>
        <v/>
      </c>
      <c r="AV505" s="82">
        <f>($J505-$F505)*100</f>
        <v/>
      </c>
      <c r="AW505" s="82">
        <f>($L505-$F505)*100</f>
        <v/>
      </c>
      <c r="AX505" s="82">
        <f>($J505-$H505)*100</f>
        <v/>
      </c>
      <c r="AY505" s="82">
        <f>($L505-$H505)*100</f>
        <v/>
      </c>
      <c r="AZ505" s="82">
        <f>($L505-$J505)*100</f>
        <v/>
      </c>
      <c r="BA505" s="82">
        <f>(2*$H505-$F505-$J505)*100</f>
        <v/>
      </c>
      <c r="BB505" s="82">
        <f>(2*$J505-$H505-$L505)*100</f>
        <v/>
      </c>
      <c r="BC505" s="82">
        <f>($N505-$F505)*100</f>
        <v/>
      </c>
      <c r="BD505" s="82">
        <f>($Q505-$H505)*100</f>
        <v/>
      </c>
      <c r="BE505" s="82">
        <f>($S505-$J505)*100</f>
        <v/>
      </c>
      <c r="BF505" s="82">
        <f>($V505-$L505)*100</f>
        <v/>
      </c>
      <c r="BG505" s="82">
        <f>$AG505-$AF505</f>
        <v/>
      </c>
      <c r="BH505" s="81">
        <f>IFERROR($AG505/$AF505,"")</f>
        <v/>
      </c>
      <c r="BI505" s="82">
        <f>$AJ505-$AF505</f>
        <v/>
      </c>
      <c r="BJ505" s="81">
        <f>IFERROR($AJ505/$AG505,"")</f>
        <v/>
      </c>
      <c r="BK505" s="81">
        <f>$X505</f>
        <v/>
      </c>
      <c r="BL505" s="82">
        <f>($J505-$J506)*100</f>
        <v/>
      </c>
      <c r="BM505" s="82">
        <f>($F505-$F506)*100</f>
        <v/>
      </c>
      <c r="BN505" s="82">
        <f>$AF505-$AF506</f>
        <v/>
      </c>
      <c r="BO505" s="82">
        <f>$AG505-$AG506</f>
        <v/>
      </c>
      <c r="BP505" s="82">
        <f>$AJ505-$AJ506</f>
        <v/>
      </c>
    </row>
    <row r="506">
      <c r="AR506" s="81">
        <f>($G506+($H506-$G506)*0.5)+($P506-($O506+($Q506-$O506)*0.5))</f>
        <v/>
      </c>
      <c r="AS506" s="81">
        <f>($J506+($K506-$J506)*0.5)+($T506-($S506+($U506-$S506)*0.5))</f>
        <v/>
      </c>
      <c r="AT506" s="82">
        <f>($J506-$C506)*100</f>
        <v/>
      </c>
      <c r="AU506" s="82">
        <f>($H506-$F506)*100</f>
        <v/>
      </c>
      <c r="AV506" s="82">
        <f>($J506-$F506)*100</f>
        <v/>
      </c>
      <c r="AW506" s="82">
        <f>($L506-$F506)*100</f>
        <v/>
      </c>
      <c r="AX506" s="82">
        <f>($J506-$H506)*100</f>
        <v/>
      </c>
      <c r="AY506" s="82">
        <f>($L506-$H506)*100</f>
        <v/>
      </c>
      <c r="AZ506" s="82">
        <f>($L506-$J506)*100</f>
        <v/>
      </c>
      <c r="BA506" s="82">
        <f>(2*$H506-$F506-$J506)*100</f>
        <v/>
      </c>
      <c r="BB506" s="82">
        <f>(2*$J506-$H506-$L506)*100</f>
        <v/>
      </c>
      <c r="BC506" s="82">
        <f>($N506-$F506)*100</f>
        <v/>
      </c>
      <c r="BD506" s="82">
        <f>($Q506-$H506)*100</f>
        <v/>
      </c>
      <c r="BE506" s="82">
        <f>($S506-$J506)*100</f>
        <v/>
      </c>
      <c r="BF506" s="82">
        <f>($V506-$L506)*100</f>
        <v/>
      </c>
      <c r="BG506" s="82">
        <f>$AG506-$AF506</f>
        <v/>
      </c>
      <c r="BH506" s="81">
        <f>IFERROR($AG506/$AF506,"")</f>
        <v/>
      </c>
      <c r="BI506" s="82">
        <f>$AJ506-$AF506</f>
        <v/>
      </c>
      <c r="BJ506" s="81">
        <f>IFERROR($AJ506/$AG506,"")</f>
        <v/>
      </c>
      <c r="BK506" s="81">
        <f>$X506</f>
        <v/>
      </c>
      <c r="BL506" s="82">
        <f>($J506-$J507)*100</f>
        <v/>
      </c>
      <c r="BM506" s="82">
        <f>($F506-$F507)*100</f>
        <v/>
      </c>
      <c r="BN506" s="82">
        <f>$AF506-$AF507</f>
        <v/>
      </c>
      <c r="BO506" s="82">
        <f>$AG506-$AG507</f>
        <v/>
      </c>
      <c r="BP506" s="82">
        <f>$AJ506-$AJ507</f>
        <v/>
      </c>
    </row>
    <row r="507">
      <c r="AR507" s="81">
        <f>($G507+($H507-$G507)*0.5)+($P507-($O507+($Q507-$O507)*0.5))</f>
        <v/>
      </c>
      <c r="AS507" s="81">
        <f>($J507+($K507-$J507)*0.5)+($T507-($S507+($U507-$S507)*0.5))</f>
        <v/>
      </c>
      <c r="AT507" s="82">
        <f>($J507-$C507)*100</f>
        <v/>
      </c>
      <c r="AU507" s="82">
        <f>($H507-$F507)*100</f>
        <v/>
      </c>
      <c r="AV507" s="82">
        <f>($J507-$F507)*100</f>
        <v/>
      </c>
      <c r="AW507" s="82">
        <f>($L507-$F507)*100</f>
        <v/>
      </c>
      <c r="AX507" s="82">
        <f>($J507-$H507)*100</f>
        <v/>
      </c>
      <c r="AY507" s="82">
        <f>($L507-$H507)*100</f>
        <v/>
      </c>
      <c r="AZ507" s="82">
        <f>($L507-$J507)*100</f>
        <v/>
      </c>
      <c r="BA507" s="82">
        <f>(2*$H507-$F507-$J507)*100</f>
        <v/>
      </c>
      <c r="BB507" s="82">
        <f>(2*$J507-$H507-$L507)*100</f>
        <v/>
      </c>
      <c r="BC507" s="82">
        <f>($N507-$F507)*100</f>
        <v/>
      </c>
      <c r="BD507" s="82">
        <f>($Q507-$H507)*100</f>
        <v/>
      </c>
      <c r="BE507" s="82">
        <f>($S507-$J507)*100</f>
        <v/>
      </c>
      <c r="BF507" s="82">
        <f>($V507-$L507)*100</f>
        <v/>
      </c>
      <c r="BG507" s="82">
        <f>$AG507-$AF507</f>
        <v/>
      </c>
      <c r="BH507" s="81">
        <f>IFERROR($AG507/$AF507,"")</f>
        <v/>
      </c>
      <c r="BI507" s="82">
        <f>$AJ507-$AF507</f>
        <v/>
      </c>
      <c r="BJ507" s="81">
        <f>IFERROR($AJ507/$AG507,"")</f>
        <v/>
      </c>
      <c r="BK507" s="81">
        <f>$X507</f>
        <v/>
      </c>
      <c r="BL507" s="82">
        <f>($J507-$J508)*100</f>
        <v/>
      </c>
      <c r="BM507" s="82">
        <f>($F507-$F508)*100</f>
        <v/>
      </c>
      <c r="BN507" s="82">
        <f>$AF507-$AF508</f>
        <v/>
      </c>
      <c r="BO507" s="82">
        <f>$AG507-$AG508</f>
        <v/>
      </c>
      <c r="BP507" s="82">
        <f>$AJ507-$AJ508</f>
        <v/>
      </c>
    </row>
    <row r="508">
      <c r="AR508" s="81">
        <f>($G508+($H508-$G508)*0.5)+($P508-($O508+($Q508-$O508)*0.5))</f>
        <v/>
      </c>
      <c r="AS508" s="81">
        <f>($J508+($K508-$J508)*0.5)+($T508-($S508+($U508-$S508)*0.5))</f>
        <v/>
      </c>
      <c r="AT508" s="82">
        <f>($J508-$C508)*100</f>
        <v/>
      </c>
      <c r="AU508" s="82">
        <f>($H508-$F508)*100</f>
        <v/>
      </c>
      <c r="AV508" s="82">
        <f>($J508-$F508)*100</f>
        <v/>
      </c>
      <c r="AW508" s="82">
        <f>($L508-$F508)*100</f>
        <v/>
      </c>
      <c r="AX508" s="82">
        <f>($J508-$H508)*100</f>
        <v/>
      </c>
      <c r="AY508" s="82">
        <f>($L508-$H508)*100</f>
        <v/>
      </c>
      <c r="AZ508" s="82">
        <f>($L508-$J508)*100</f>
        <v/>
      </c>
      <c r="BA508" s="82">
        <f>(2*$H508-$F508-$J508)*100</f>
        <v/>
      </c>
      <c r="BB508" s="82">
        <f>(2*$J508-$H508-$L508)*100</f>
        <v/>
      </c>
      <c r="BC508" s="82">
        <f>($N508-$F508)*100</f>
        <v/>
      </c>
      <c r="BD508" s="82">
        <f>($Q508-$H508)*100</f>
        <v/>
      </c>
      <c r="BE508" s="82">
        <f>($S508-$J508)*100</f>
        <v/>
      </c>
      <c r="BF508" s="82">
        <f>($V508-$L508)*100</f>
        <v/>
      </c>
      <c r="BG508" s="82">
        <f>$AG508-$AF508</f>
        <v/>
      </c>
      <c r="BH508" s="81">
        <f>IFERROR($AG508/$AF508,"")</f>
        <v/>
      </c>
      <c r="BI508" s="82">
        <f>$AJ508-$AF508</f>
        <v/>
      </c>
      <c r="BJ508" s="81">
        <f>IFERROR($AJ508/$AG508,"")</f>
        <v/>
      </c>
      <c r="BK508" s="81">
        <f>$X508</f>
        <v/>
      </c>
      <c r="BL508" s="82">
        <f>($J508-$J509)*100</f>
        <v/>
      </c>
      <c r="BM508" s="82">
        <f>($F508-$F509)*100</f>
        <v/>
      </c>
      <c r="BN508" s="82">
        <f>$AF508-$AF509</f>
        <v/>
      </c>
      <c r="BO508" s="82">
        <f>$AG508-$AG509</f>
        <v/>
      </c>
      <c r="BP508" s="82">
        <f>$AJ508-$AJ509</f>
        <v/>
      </c>
    </row>
    <row r="509">
      <c r="AR509" s="81">
        <f>($G509+($H509-$G509)*0.5)+($P509-($O509+($Q509-$O509)*0.5))</f>
        <v/>
      </c>
      <c r="AS509" s="81">
        <f>($J509+($K509-$J509)*0.5)+($T509-($S509+($U509-$S509)*0.5))</f>
        <v/>
      </c>
      <c r="AT509" s="82">
        <f>($J509-$C509)*100</f>
        <v/>
      </c>
      <c r="AU509" s="82">
        <f>($H509-$F509)*100</f>
        <v/>
      </c>
      <c r="AV509" s="82">
        <f>($J509-$F509)*100</f>
        <v/>
      </c>
      <c r="AW509" s="82">
        <f>($L509-$F509)*100</f>
        <v/>
      </c>
      <c r="AX509" s="82">
        <f>($J509-$H509)*100</f>
        <v/>
      </c>
      <c r="AY509" s="82">
        <f>($L509-$H509)*100</f>
        <v/>
      </c>
      <c r="AZ509" s="82">
        <f>($L509-$J509)*100</f>
        <v/>
      </c>
      <c r="BA509" s="82">
        <f>(2*$H509-$F509-$J509)*100</f>
        <v/>
      </c>
      <c r="BB509" s="82">
        <f>(2*$J509-$H509-$L509)*100</f>
        <v/>
      </c>
      <c r="BC509" s="82">
        <f>($N509-$F509)*100</f>
        <v/>
      </c>
      <c r="BD509" s="82">
        <f>($Q509-$H509)*100</f>
        <v/>
      </c>
      <c r="BE509" s="82">
        <f>($S509-$J509)*100</f>
        <v/>
      </c>
      <c r="BF509" s="82">
        <f>($V509-$L509)*100</f>
        <v/>
      </c>
      <c r="BG509" s="82">
        <f>$AG509-$AF509</f>
        <v/>
      </c>
      <c r="BH509" s="81">
        <f>IFERROR($AG509/$AF509,"")</f>
        <v/>
      </c>
      <c r="BI509" s="82">
        <f>$AJ509-$AF509</f>
        <v/>
      </c>
      <c r="BJ509" s="81">
        <f>IFERROR($AJ509/$AG509,"")</f>
        <v/>
      </c>
      <c r="BK509" s="81">
        <f>$X509</f>
        <v/>
      </c>
      <c r="BL509" s="82">
        <f>($J509-$J510)*100</f>
        <v/>
      </c>
      <c r="BM509" s="82">
        <f>($F509-$F510)*100</f>
        <v/>
      </c>
      <c r="BN509" s="82">
        <f>$AF509-$AF510</f>
        <v/>
      </c>
      <c r="BO509" s="82">
        <f>$AG509-$AG510</f>
        <v/>
      </c>
      <c r="BP509" s="82">
        <f>$AJ509-$AJ510</f>
        <v/>
      </c>
    </row>
    <row r="510">
      <c r="AR510" s="81">
        <f>($G510+($H510-$G510)*0.5)+($P510-($O510+($Q510-$O510)*0.5))</f>
        <v/>
      </c>
      <c r="AS510" s="81">
        <f>($J510+($K510-$J510)*0.5)+($T510-($S510+($U510-$S510)*0.5))</f>
        <v/>
      </c>
      <c r="AT510" s="82">
        <f>($J510-$C510)*100</f>
        <v/>
      </c>
      <c r="AU510" s="82">
        <f>($H510-$F510)*100</f>
        <v/>
      </c>
      <c r="AV510" s="82">
        <f>($J510-$F510)*100</f>
        <v/>
      </c>
      <c r="AW510" s="82">
        <f>($L510-$F510)*100</f>
        <v/>
      </c>
      <c r="AX510" s="82">
        <f>($J510-$H510)*100</f>
        <v/>
      </c>
      <c r="AY510" s="82">
        <f>($L510-$H510)*100</f>
        <v/>
      </c>
      <c r="AZ510" s="82">
        <f>($L510-$J510)*100</f>
        <v/>
      </c>
      <c r="BA510" s="82">
        <f>(2*$H510-$F510-$J510)*100</f>
        <v/>
      </c>
      <c r="BB510" s="82">
        <f>(2*$J510-$H510-$L510)*100</f>
        <v/>
      </c>
      <c r="BC510" s="82">
        <f>($N510-$F510)*100</f>
        <v/>
      </c>
      <c r="BD510" s="82">
        <f>($Q510-$H510)*100</f>
        <v/>
      </c>
      <c r="BE510" s="82">
        <f>($S510-$J510)*100</f>
        <v/>
      </c>
      <c r="BF510" s="82">
        <f>($V510-$L510)*100</f>
        <v/>
      </c>
      <c r="BG510" s="82">
        <f>$AG510-$AF510</f>
        <v/>
      </c>
      <c r="BH510" s="81">
        <f>IFERROR($AG510/$AF510,"")</f>
        <v/>
      </c>
      <c r="BI510" s="82">
        <f>$AJ510-$AF510</f>
        <v/>
      </c>
      <c r="BJ510" s="81">
        <f>IFERROR($AJ510/$AG510,"")</f>
        <v/>
      </c>
      <c r="BK510" s="81">
        <f>$X510</f>
        <v/>
      </c>
      <c r="BL510" s="82">
        <f>($J510-$J511)*100</f>
        <v/>
      </c>
      <c r="BM510" s="82">
        <f>($F510-$F511)*100</f>
        <v/>
      </c>
      <c r="BN510" s="82">
        <f>$AF510-$AF511</f>
        <v/>
      </c>
      <c r="BO510" s="82">
        <f>$AG510-$AG511</f>
        <v/>
      </c>
      <c r="BP510" s="82">
        <f>$AJ510-$AJ511</f>
        <v/>
      </c>
    </row>
    <row r="511">
      <c r="AR511" s="81">
        <f>($G511+($H511-$G511)*0.5)+($P511-($O511+($Q511-$O511)*0.5))</f>
        <v/>
      </c>
      <c r="AS511" s="81">
        <f>($J511+($K511-$J511)*0.5)+($T511-($S511+($U511-$S511)*0.5))</f>
        <v/>
      </c>
      <c r="AT511" s="82">
        <f>($J511-$C511)*100</f>
        <v/>
      </c>
      <c r="AU511" s="82">
        <f>($H511-$F511)*100</f>
        <v/>
      </c>
      <c r="AV511" s="82">
        <f>($J511-$F511)*100</f>
        <v/>
      </c>
      <c r="AW511" s="82">
        <f>($L511-$F511)*100</f>
        <v/>
      </c>
      <c r="AX511" s="82">
        <f>($J511-$H511)*100</f>
        <v/>
      </c>
      <c r="AY511" s="82">
        <f>($L511-$H511)*100</f>
        <v/>
      </c>
      <c r="AZ511" s="82">
        <f>($L511-$J511)*100</f>
        <v/>
      </c>
      <c r="BA511" s="82">
        <f>(2*$H511-$F511-$J511)*100</f>
        <v/>
      </c>
      <c r="BB511" s="82">
        <f>(2*$J511-$H511-$L511)*100</f>
        <v/>
      </c>
      <c r="BC511" s="82">
        <f>($N511-$F511)*100</f>
        <v/>
      </c>
      <c r="BD511" s="82">
        <f>($Q511-$H511)*100</f>
        <v/>
      </c>
      <c r="BE511" s="82">
        <f>($S511-$J511)*100</f>
        <v/>
      </c>
      <c r="BF511" s="82">
        <f>($V511-$L511)*100</f>
        <v/>
      </c>
      <c r="BG511" s="82">
        <f>$AG511-$AF511</f>
        <v/>
      </c>
      <c r="BH511" s="81">
        <f>IFERROR($AG511/$AF511,"")</f>
        <v/>
      </c>
      <c r="BI511" s="82">
        <f>$AJ511-$AF511</f>
        <v/>
      </c>
      <c r="BJ511" s="81">
        <f>IFERROR($AJ511/$AG511,"")</f>
        <v/>
      </c>
      <c r="BK511" s="81">
        <f>$X511</f>
        <v/>
      </c>
      <c r="BL511" s="82">
        <f>($J511-$J512)*100</f>
        <v/>
      </c>
      <c r="BM511" s="82">
        <f>($F511-$F512)*100</f>
        <v/>
      </c>
      <c r="BN511" s="82">
        <f>$AF511-$AF512</f>
        <v/>
      </c>
      <c r="BO511" s="82">
        <f>$AG511-$AG512</f>
        <v/>
      </c>
      <c r="BP511" s="82">
        <f>$AJ511-$AJ512</f>
        <v/>
      </c>
    </row>
    <row r="512">
      <c r="AR512" s="81">
        <f>($G512+($H512-$G512)*0.5)+($P512-($O512+($Q512-$O512)*0.5))</f>
        <v/>
      </c>
      <c r="AS512" s="81">
        <f>($J512+($K512-$J512)*0.5)+($T512-($S512+($U512-$S512)*0.5))</f>
        <v/>
      </c>
      <c r="AT512" s="82">
        <f>($J512-$C512)*100</f>
        <v/>
      </c>
      <c r="AU512" s="82">
        <f>($H512-$F512)*100</f>
        <v/>
      </c>
      <c r="AV512" s="82">
        <f>($J512-$F512)*100</f>
        <v/>
      </c>
      <c r="AW512" s="82">
        <f>($L512-$F512)*100</f>
        <v/>
      </c>
      <c r="AX512" s="82">
        <f>($J512-$H512)*100</f>
        <v/>
      </c>
      <c r="AY512" s="82">
        <f>($L512-$H512)*100</f>
        <v/>
      </c>
      <c r="AZ512" s="82">
        <f>($L512-$J512)*100</f>
        <v/>
      </c>
      <c r="BA512" s="82">
        <f>(2*$H512-$F512-$J512)*100</f>
        <v/>
      </c>
      <c r="BB512" s="82">
        <f>(2*$J512-$H512-$L512)*100</f>
        <v/>
      </c>
      <c r="BC512" s="82">
        <f>($N512-$F512)*100</f>
        <v/>
      </c>
      <c r="BD512" s="82">
        <f>($Q512-$H512)*100</f>
        <v/>
      </c>
      <c r="BE512" s="82">
        <f>($S512-$J512)*100</f>
        <v/>
      </c>
      <c r="BF512" s="82">
        <f>($V512-$L512)*100</f>
        <v/>
      </c>
      <c r="BG512" s="82">
        <f>$AG512-$AF512</f>
        <v/>
      </c>
      <c r="BH512" s="81">
        <f>IFERROR($AG512/$AF512,"")</f>
        <v/>
      </c>
      <c r="BI512" s="82">
        <f>$AJ512-$AF512</f>
        <v/>
      </c>
      <c r="BJ512" s="81">
        <f>IFERROR($AJ512/$AG512,"")</f>
        <v/>
      </c>
      <c r="BK512" s="81">
        <f>$X512</f>
        <v/>
      </c>
      <c r="BL512" s="82">
        <f>($J512-$J513)*100</f>
        <v/>
      </c>
      <c r="BM512" s="82">
        <f>($F512-$F513)*100</f>
        <v/>
      </c>
      <c r="BN512" s="82">
        <f>$AF512-$AF513</f>
        <v/>
      </c>
      <c r="BO512" s="82">
        <f>$AG512-$AG513</f>
        <v/>
      </c>
      <c r="BP512" s="82">
        <f>$AJ512-$AJ513</f>
        <v/>
      </c>
    </row>
    <row r="513">
      <c r="AR513" s="81">
        <f>($G513+($H513-$G513)*0.5)+($P513-($O513+($Q513-$O513)*0.5))</f>
        <v/>
      </c>
      <c r="AS513" s="81">
        <f>($J513+($K513-$J513)*0.5)+($T513-($S513+($U513-$S513)*0.5))</f>
        <v/>
      </c>
      <c r="AT513" s="82">
        <f>($J513-$C513)*100</f>
        <v/>
      </c>
      <c r="AU513" s="82">
        <f>($H513-$F513)*100</f>
        <v/>
      </c>
      <c r="AV513" s="82">
        <f>($J513-$F513)*100</f>
        <v/>
      </c>
      <c r="AW513" s="82">
        <f>($L513-$F513)*100</f>
        <v/>
      </c>
      <c r="AX513" s="82">
        <f>($J513-$H513)*100</f>
        <v/>
      </c>
      <c r="AY513" s="82">
        <f>($L513-$H513)*100</f>
        <v/>
      </c>
      <c r="AZ513" s="82">
        <f>($L513-$J513)*100</f>
        <v/>
      </c>
      <c r="BA513" s="82">
        <f>(2*$H513-$F513-$J513)*100</f>
        <v/>
      </c>
      <c r="BB513" s="82">
        <f>(2*$J513-$H513-$L513)*100</f>
        <v/>
      </c>
      <c r="BC513" s="82">
        <f>($N513-$F513)*100</f>
        <v/>
      </c>
      <c r="BD513" s="82">
        <f>($Q513-$H513)*100</f>
        <v/>
      </c>
      <c r="BE513" s="82">
        <f>($S513-$J513)*100</f>
        <v/>
      </c>
      <c r="BF513" s="82">
        <f>($V513-$L513)*100</f>
        <v/>
      </c>
      <c r="BG513" s="82">
        <f>$AG513-$AF513</f>
        <v/>
      </c>
      <c r="BH513" s="81">
        <f>IFERROR($AG513/$AF513,"")</f>
        <v/>
      </c>
      <c r="BI513" s="82">
        <f>$AJ513-$AF513</f>
        <v/>
      </c>
      <c r="BJ513" s="81">
        <f>IFERROR($AJ513/$AG513,"")</f>
        <v/>
      </c>
      <c r="BK513" s="81">
        <f>$X513</f>
        <v/>
      </c>
      <c r="BL513" s="82">
        <f>($J513-$J514)*100</f>
        <v/>
      </c>
      <c r="BM513" s="82">
        <f>($F513-$F514)*100</f>
        <v/>
      </c>
      <c r="BN513" s="82">
        <f>$AF513-$AF514</f>
        <v/>
      </c>
      <c r="BO513" s="82">
        <f>$AG513-$AG514</f>
        <v/>
      </c>
      <c r="BP513" s="82">
        <f>$AJ513-$AJ514</f>
        <v/>
      </c>
    </row>
    <row r="514">
      <c r="AR514" s="81">
        <f>($G514+($H514-$G514)*0.5)+($P514-($O514+($Q514-$O514)*0.5))</f>
        <v/>
      </c>
      <c r="AS514" s="81">
        <f>($J514+($K514-$J514)*0.5)+($T514-($S514+($U514-$S514)*0.5))</f>
        <v/>
      </c>
      <c r="AT514" s="82">
        <f>($J514-$C514)*100</f>
        <v/>
      </c>
      <c r="AU514" s="82">
        <f>($H514-$F514)*100</f>
        <v/>
      </c>
      <c r="AV514" s="82">
        <f>($J514-$F514)*100</f>
        <v/>
      </c>
      <c r="AW514" s="82">
        <f>($L514-$F514)*100</f>
        <v/>
      </c>
      <c r="AX514" s="82">
        <f>($J514-$H514)*100</f>
        <v/>
      </c>
      <c r="AY514" s="82">
        <f>($L514-$H514)*100</f>
        <v/>
      </c>
      <c r="AZ514" s="82">
        <f>($L514-$J514)*100</f>
        <v/>
      </c>
      <c r="BA514" s="82">
        <f>(2*$H514-$F514-$J514)*100</f>
        <v/>
      </c>
      <c r="BB514" s="82">
        <f>(2*$J514-$H514-$L514)*100</f>
        <v/>
      </c>
      <c r="BC514" s="82">
        <f>($N514-$F514)*100</f>
        <v/>
      </c>
      <c r="BD514" s="82">
        <f>($Q514-$H514)*100</f>
        <v/>
      </c>
      <c r="BE514" s="82">
        <f>($S514-$J514)*100</f>
        <v/>
      </c>
      <c r="BF514" s="82">
        <f>($V514-$L514)*100</f>
        <v/>
      </c>
      <c r="BG514" s="82">
        <f>$AG514-$AF514</f>
        <v/>
      </c>
      <c r="BH514" s="81">
        <f>IFERROR($AG514/$AF514,"")</f>
        <v/>
      </c>
      <c r="BI514" s="82">
        <f>$AJ514-$AF514</f>
        <v/>
      </c>
      <c r="BJ514" s="81">
        <f>IFERROR($AJ514/$AG514,"")</f>
        <v/>
      </c>
      <c r="BK514" s="81">
        <f>$X514</f>
        <v/>
      </c>
      <c r="BL514" s="82">
        <f>($J514-$J515)*100</f>
        <v/>
      </c>
      <c r="BM514" s="82">
        <f>($F514-$F515)*100</f>
        <v/>
      </c>
      <c r="BN514" s="82">
        <f>$AF514-$AF515</f>
        <v/>
      </c>
      <c r="BO514" s="82">
        <f>$AG514-$AG515</f>
        <v/>
      </c>
      <c r="BP514" s="82">
        <f>$AJ514-$AJ515</f>
        <v/>
      </c>
    </row>
    <row r="515">
      <c r="AR515" s="81">
        <f>($G515+($H515-$G515)*0.5)+($P515-($O515+($Q515-$O515)*0.5))</f>
        <v/>
      </c>
      <c r="AS515" s="81">
        <f>($J515+($K515-$J515)*0.5)+($T515-($S515+($U515-$S515)*0.5))</f>
        <v/>
      </c>
      <c r="AT515" s="82">
        <f>($J515-$C515)*100</f>
        <v/>
      </c>
      <c r="AU515" s="82">
        <f>($H515-$F515)*100</f>
        <v/>
      </c>
      <c r="AV515" s="82">
        <f>($J515-$F515)*100</f>
        <v/>
      </c>
      <c r="AW515" s="82">
        <f>($L515-$F515)*100</f>
        <v/>
      </c>
      <c r="AX515" s="82">
        <f>($J515-$H515)*100</f>
        <v/>
      </c>
      <c r="AY515" s="82">
        <f>($L515-$H515)*100</f>
        <v/>
      </c>
      <c r="AZ515" s="82">
        <f>($L515-$J515)*100</f>
        <v/>
      </c>
      <c r="BA515" s="82">
        <f>(2*$H515-$F515-$J515)*100</f>
        <v/>
      </c>
      <c r="BB515" s="82">
        <f>(2*$J515-$H515-$L515)*100</f>
        <v/>
      </c>
      <c r="BC515" s="82">
        <f>($N515-$F515)*100</f>
        <v/>
      </c>
      <c r="BD515" s="82">
        <f>($Q515-$H515)*100</f>
        <v/>
      </c>
      <c r="BE515" s="82">
        <f>($S515-$J515)*100</f>
        <v/>
      </c>
      <c r="BF515" s="82">
        <f>($V515-$L515)*100</f>
        <v/>
      </c>
      <c r="BG515" s="82">
        <f>$AG515-$AF515</f>
        <v/>
      </c>
      <c r="BH515" s="81">
        <f>IFERROR($AG515/$AF515,"")</f>
        <v/>
      </c>
      <c r="BI515" s="82">
        <f>$AJ515-$AF515</f>
        <v/>
      </c>
      <c r="BJ515" s="81">
        <f>IFERROR($AJ515/$AG515,"")</f>
        <v/>
      </c>
      <c r="BK515" s="81">
        <f>$X515</f>
        <v/>
      </c>
      <c r="BL515" s="82">
        <f>($J515-$J516)*100</f>
        <v/>
      </c>
      <c r="BM515" s="82">
        <f>($F515-$F516)*100</f>
        <v/>
      </c>
      <c r="BN515" s="82">
        <f>$AF515-$AF516</f>
        <v/>
      </c>
      <c r="BO515" s="82">
        <f>$AG515-$AG516</f>
        <v/>
      </c>
      <c r="BP515" s="82">
        <f>$AJ515-$AJ516</f>
        <v/>
      </c>
    </row>
    <row r="516">
      <c r="AR516" s="81">
        <f>($G516+($H516-$G516)*0.5)+($P516-($O516+($Q516-$O516)*0.5))</f>
        <v/>
      </c>
      <c r="AS516" s="81">
        <f>($J516+($K516-$J516)*0.5)+($T516-($S516+($U516-$S516)*0.5))</f>
        <v/>
      </c>
      <c r="AT516" s="82">
        <f>($J516-$C516)*100</f>
        <v/>
      </c>
      <c r="AU516" s="82">
        <f>($H516-$F516)*100</f>
        <v/>
      </c>
      <c r="AV516" s="82">
        <f>($J516-$F516)*100</f>
        <v/>
      </c>
      <c r="AW516" s="82">
        <f>($L516-$F516)*100</f>
        <v/>
      </c>
      <c r="AX516" s="82">
        <f>($J516-$H516)*100</f>
        <v/>
      </c>
      <c r="AY516" s="82">
        <f>($L516-$H516)*100</f>
        <v/>
      </c>
      <c r="AZ516" s="82">
        <f>($L516-$J516)*100</f>
        <v/>
      </c>
      <c r="BA516" s="82">
        <f>(2*$H516-$F516-$J516)*100</f>
        <v/>
      </c>
      <c r="BB516" s="82">
        <f>(2*$J516-$H516-$L516)*100</f>
        <v/>
      </c>
      <c r="BC516" s="82">
        <f>($N516-$F516)*100</f>
        <v/>
      </c>
      <c r="BD516" s="82">
        <f>($Q516-$H516)*100</f>
        <v/>
      </c>
      <c r="BE516" s="82">
        <f>($S516-$J516)*100</f>
        <v/>
      </c>
      <c r="BF516" s="82">
        <f>($V516-$L516)*100</f>
        <v/>
      </c>
      <c r="BG516" s="82">
        <f>$AG516-$AF516</f>
        <v/>
      </c>
      <c r="BH516" s="81">
        <f>IFERROR($AG516/$AF516,"")</f>
        <v/>
      </c>
      <c r="BI516" s="82">
        <f>$AJ516-$AF516</f>
        <v/>
      </c>
      <c r="BJ516" s="81">
        <f>IFERROR($AJ516/$AG516,"")</f>
        <v/>
      </c>
      <c r="BK516" s="81">
        <f>$X516</f>
        <v/>
      </c>
      <c r="BL516" s="82">
        <f>($J516-$J517)*100</f>
        <v/>
      </c>
      <c r="BM516" s="82">
        <f>($F516-$F517)*100</f>
        <v/>
      </c>
      <c r="BN516" s="82">
        <f>$AF516-$AF517</f>
        <v/>
      </c>
      <c r="BO516" s="82">
        <f>$AG516-$AG517</f>
        <v/>
      </c>
      <c r="BP516" s="82">
        <f>$AJ516-$AJ517</f>
        <v/>
      </c>
    </row>
    <row r="517">
      <c r="AR517" s="81">
        <f>($G517+($H517-$G517)*0.5)+($P517-($O517+($Q517-$O517)*0.5))</f>
        <v/>
      </c>
      <c r="AS517" s="81">
        <f>($J517+($K517-$J517)*0.5)+($T517-($S517+($U517-$S517)*0.5))</f>
        <v/>
      </c>
      <c r="AT517" s="82">
        <f>($J517-$C517)*100</f>
        <v/>
      </c>
      <c r="AU517" s="82">
        <f>($H517-$F517)*100</f>
        <v/>
      </c>
      <c r="AV517" s="82">
        <f>($J517-$F517)*100</f>
        <v/>
      </c>
      <c r="AW517" s="82">
        <f>($L517-$F517)*100</f>
        <v/>
      </c>
      <c r="AX517" s="82">
        <f>($J517-$H517)*100</f>
        <v/>
      </c>
      <c r="AY517" s="82">
        <f>($L517-$H517)*100</f>
        <v/>
      </c>
      <c r="AZ517" s="82">
        <f>($L517-$J517)*100</f>
        <v/>
      </c>
      <c r="BA517" s="82">
        <f>(2*$H517-$F517-$J517)*100</f>
        <v/>
      </c>
      <c r="BB517" s="82">
        <f>(2*$J517-$H517-$L517)*100</f>
        <v/>
      </c>
      <c r="BC517" s="82">
        <f>($N517-$F517)*100</f>
        <v/>
      </c>
      <c r="BD517" s="82">
        <f>($Q517-$H517)*100</f>
        <v/>
      </c>
      <c r="BE517" s="82">
        <f>($S517-$J517)*100</f>
        <v/>
      </c>
      <c r="BF517" s="82">
        <f>($V517-$L517)*100</f>
        <v/>
      </c>
      <c r="BG517" s="82">
        <f>$AG517-$AF517</f>
        <v/>
      </c>
      <c r="BH517" s="81">
        <f>IFERROR($AG517/$AF517,"")</f>
        <v/>
      </c>
      <c r="BI517" s="82">
        <f>$AJ517-$AF517</f>
        <v/>
      </c>
      <c r="BJ517" s="81">
        <f>IFERROR($AJ517/$AG517,"")</f>
        <v/>
      </c>
      <c r="BK517" s="81">
        <f>$X517</f>
        <v/>
      </c>
      <c r="BL517" s="82">
        <f>($J517-$J518)*100</f>
        <v/>
      </c>
      <c r="BM517" s="82">
        <f>($F517-$F518)*100</f>
        <v/>
      </c>
      <c r="BN517" s="82">
        <f>$AF517-$AF518</f>
        <v/>
      </c>
      <c r="BO517" s="82">
        <f>$AG517-$AG518</f>
        <v/>
      </c>
      <c r="BP517" s="82">
        <f>$AJ517-$AJ518</f>
        <v/>
      </c>
    </row>
    <row r="518">
      <c r="AR518" s="81">
        <f>($G518+($H518-$G518)*0.5)+($P518-($O518+($Q518-$O518)*0.5))</f>
        <v/>
      </c>
      <c r="AS518" s="81">
        <f>($J518+($K518-$J518)*0.5)+($T518-($S518+($U518-$S518)*0.5))</f>
        <v/>
      </c>
      <c r="AT518" s="82">
        <f>($J518-$C518)*100</f>
        <v/>
      </c>
      <c r="AU518" s="82">
        <f>($H518-$F518)*100</f>
        <v/>
      </c>
      <c r="AV518" s="82">
        <f>($J518-$F518)*100</f>
        <v/>
      </c>
      <c r="AW518" s="82">
        <f>($L518-$F518)*100</f>
        <v/>
      </c>
      <c r="AX518" s="82">
        <f>($J518-$H518)*100</f>
        <v/>
      </c>
      <c r="AY518" s="82">
        <f>($L518-$H518)*100</f>
        <v/>
      </c>
      <c r="AZ518" s="82">
        <f>($L518-$J518)*100</f>
        <v/>
      </c>
      <c r="BA518" s="82">
        <f>(2*$H518-$F518-$J518)*100</f>
        <v/>
      </c>
      <c r="BB518" s="82">
        <f>(2*$J518-$H518-$L518)*100</f>
        <v/>
      </c>
      <c r="BC518" s="82">
        <f>($N518-$F518)*100</f>
        <v/>
      </c>
      <c r="BD518" s="82">
        <f>($Q518-$H518)*100</f>
        <v/>
      </c>
      <c r="BE518" s="82">
        <f>($S518-$J518)*100</f>
        <v/>
      </c>
      <c r="BF518" s="82">
        <f>($V518-$L518)*100</f>
        <v/>
      </c>
      <c r="BG518" s="82">
        <f>$AG518-$AF518</f>
        <v/>
      </c>
      <c r="BH518" s="81">
        <f>IFERROR($AG518/$AF518,"")</f>
        <v/>
      </c>
      <c r="BI518" s="82">
        <f>$AJ518-$AF518</f>
        <v/>
      </c>
      <c r="BJ518" s="81">
        <f>IFERROR($AJ518/$AG518,"")</f>
        <v/>
      </c>
      <c r="BK518" s="81">
        <f>$X518</f>
        <v/>
      </c>
      <c r="BL518" s="82">
        <f>($J518-$J519)*100</f>
        <v/>
      </c>
      <c r="BM518" s="82">
        <f>($F518-$F519)*100</f>
        <v/>
      </c>
      <c r="BN518" s="82">
        <f>$AF518-$AF519</f>
        <v/>
      </c>
      <c r="BO518" s="82">
        <f>$AG518-$AG519</f>
        <v/>
      </c>
      <c r="BP518" s="82">
        <f>$AJ518-$AJ519</f>
        <v/>
      </c>
    </row>
    <row r="519">
      <c r="AR519" s="81">
        <f>($G519+($H519-$G519)*0.5)+($P519-($O519+($Q519-$O519)*0.5))</f>
        <v/>
      </c>
      <c r="AS519" s="81">
        <f>($J519+($K519-$J519)*0.5)+($T519-($S519+($U519-$S519)*0.5))</f>
        <v/>
      </c>
      <c r="AT519" s="82">
        <f>($J519-$C519)*100</f>
        <v/>
      </c>
      <c r="AU519" s="82">
        <f>($H519-$F519)*100</f>
        <v/>
      </c>
      <c r="AV519" s="82">
        <f>($J519-$F519)*100</f>
        <v/>
      </c>
      <c r="AW519" s="82">
        <f>($L519-$F519)*100</f>
        <v/>
      </c>
      <c r="AX519" s="82">
        <f>($J519-$H519)*100</f>
        <v/>
      </c>
      <c r="AY519" s="82">
        <f>($L519-$H519)*100</f>
        <v/>
      </c>
      <c r="AZ519" s="82">
        <f>($L519-$J519)*100</f>
        <v/>
      </c>
      <c r="BA519" s="82">
        <f>(2*$H519-$F519-$J519)*100</f>
        <v/>
      </c>
      <c r="BB519" s="82">
        <f>(2*$J519-$H519-$L519)*100</f>
        <v/>
      </c>
      <c r="BC519" s="82">
        <f>($N519-$F519)*100</f>
        <v/>
      </c>
      <c r="BD519" s="82">
        <f>($Q519-$H519)*100</f>
        <v/>
      </c>
      <c r="BE519" s="82">
        <f>($S519-$J519)*100</f>
        <v/>
      </c>
      <c r="BF519" s="82">
        <f>($V519-$L519)*100</f>
        <v/>
      </c>
      <c r="BG519" s="82">
        <f>$AG519-$AF519</f>
        <v/>
      </c>
      <c r="BH519" s="81">
        <f>IFERROR($AG519/$AF519,"")</f>
        <v/>
      </c>
      <c r="BI519" s="82">
        <f>$AJ519-$AF519</f>
        <v/>
      </c>
      <c r="BJ519" s="81">
        <f>IFERROR($AJ519/$AG519,"")</f>
        <v/>
      </c>
      <c r="BK519" s="81">
        <f>$X519</f>
        <v/>
      </c>
      <c r="BL519" s="82">
        <f>($J519-$J520)*100</f>
        <v/>
      </c>
      <c r="BM519" s="82">
        <f>($F519-$F520)*100</f>
        <v/>
      </c>
      <c r="BN519" s="82">
        <f>$AF519-$AF520</f>
        <v/>
      </c>
      <c r="BO519" s="82">
        <f>$AG519-$AG520</f>
        <v/>
      </c>
      <c r="BP519" s="82">
        <f>$AJ519-$AJ520</f>
        <v/>
      </c>
    </row>
    <row r="520">
      <c r="AR520" s="81">
        <f>($G520+($H520-$G520)*0.5)+($P520-($O520+($Q520-$O520)*0.5))</f>
        <v/>
      </c>
      <c r="AS520" s="81">
        <f>($J520+($K520-$J520)*0.5)+($T520-($S520+($U520-$S520)*0.5))</f>
        <v/>
      </c>
      <c r="AT520" s="82">
        <f>($J520-$C520)*100</f>
        <v/>
      </c>
      <c r="AU520" s="82">
        <f>($H520-$F520)*100</f>
        <v/>
      </c>
      <c r="AV520" s="82">
        <f>($J520-$F520)*100</f>
        <v/>
      </c>
      <c r="AW520" s="82">
        <f>($L520-$F520)*100</f>
        <v/>
      </c>
      <c r="AX520" s="82">
        <f>($J520-$H520)*100</f>
        <v/>
      </c>
      <c r="AY520" s="82">
        <f>($L520-$H520)*100</f>
        <v/>
      </c>
      <c r="AZ520" s="82">
        <f>($L520-$J520)*100</f>
        <v/>
      </c>
      <c r="BA520" s="82">
        <f>(2*$H520-$F520-$J520)*100</f>
        <v/>
      </c>
      <c r="BB520" s="82">
        <f>(2*$J520-$H520-$L520)*100</f>
        <v/>
      </c>
      <c r="BC520" s="82">
        <f>($N520-$F520)*100</f>
        <v/>
      </c>
      <c r="BD520" s="82">
        <f>($Q520-$H520)*100</f>
        <v/>
      </c>
      <c r="BE520" s="82">
        <f>($S520-$J520)*100</f>
        <v/>
      </c>
      <c r="BF520" s="82">
        <f>($V520-$L520)*100</f>
        <v/>
      </c>
      <c r="BG520" s="82">
        <f>$AG520-$AF520</f>
        <v/>
      </c>
      <c r="BH520" s="81">
        <f>IFERROR($AG520/$AF520,"")</f>
        <v/>
      </c>
      <c r="BI520" s="82">
        <f>$AJ520-$AF520</f>
        <v/>
      </c>
      <c r="BJ520" s="81">
        <f>IFERROR($AJ520/$AG520,"")</f>
        <v/>
      </c>
      <c r="BK520" s="81">
        <f>$X520</f>
        <v/>
      </c>
      <c r="BL520" s="82">
        <f>($J520-$J521)*100</f>
        <v/>
      </c>
      <c r="BM520" s="82">
        <f>($F520-$F521)*100</f>
        <v/>
      </c>
      <c r="BN520" s="82">
        <f>$AF520-$AF521</f>
        <v/>
      </c>
      <c r="BO520" s="82">
        <f>$AG520-$AG521</f>
        <v/>
      </c>
      <c r="BP520" s="82">
        <f>$AJ520-$AJ521</f>
        <v/>
      </c>
    </row>
    <row r="521">
      <c r="AR521" s="81">
        <f>($G521+($H521-$G521)*0.5)+($P521-($O521+($Q521-$O521)*0.5))</f>
        <v/>
      </c>
      <c r="AS521" s="81">
        <f>($J521+($K521-$J521)*0.5)+($T521-($S521+($U521-$S521)*0.5))</f>
        <v/>
      </c>
      <c r="AT521" s="82">
        <f>($J521-$C521)*100</f>
        <v/>
      </c>
      <c r="AU521" s="82">
        <f>($H521-$F521)*100</f>
        <v/>
      </c>
      <c r="AV521" s="82">
        <f>($J521-$F521)*100</f>
        <v/>
      </c>
      <c r="AW521" s="82">
        <f>($L521-$F521)*100</f>
        <v/>
      </c>
      <c r="AX521" s="82">
        <f>($J521-$H521)*100</f>
        <v/>
      </c>
      <c r="AY521" s="82">
        <f>($L521-$H521)*100</f>
        <v/>
      </c>
      <c r="AZ521" s="82">
        <f>($L521-$J521)*100</f>
        <v/>
      </c>
      <c r="BA521" s="82">
        <f>(2*$H521-$F521-$J521)*100</f>
        <v/>
      </c>
      <c r="BB521" s="82">
        <f>(2*$J521-$H521-$L521)*100</f>
        <v/>
      </c>
      <c r="BC521" s="82">
        <f>($N521-$F521)*100</f>
        <v/>
      </c>
      <c r="BD521" s="82">
        <f>($Q521-$H521)*100</f>
        <v/>
      </c>
      <c r="BE521" s="82">
        <f>($S521-$J521)*100</f>
        <v/>
      </c>
      <c r="BF521" s="82">
        <f>($V521-$L521)*100</f>
        <v/>
      </c>
      <c r="BG521" s="82">
        <f>$AG521-$AF521</f>
        <v/>
      </c>
      <c r="BH521" s="81">
        <f>IFERROR($AG521/$AF521,"")</f>
        <v/>
      </c>
      <c r="BI521" s="82">
        <f>$AJ521-$AF521</f>
        <v/>
      </c>
      <c r="BJ521" s="81">
        <f>IFERROR($AJ521/$AG521,"")</f>
        <v/>
      </c>
      <c r="BK521" s="81">
        <f>$X521</f>
        <v/>
      </c>
      <c r="BL521" s="82">
        <f>($J521-$J522)*100</f>
        <v/>
      </c>
      <c r="BM521" s="82">
        <f>($F521-$F522)*100</f>
        <v/>
      </c>
      <c r="BN521" s="82">
        <f>$AF521-$AF522</f>
        <v/>
      </c>
      <c r="BO521" s="82">
        <f>$AG521-$AG522</f>
        <v/>
      </c>
      <c r="BP521" s="82">
        <f>$AJ521-$AJ522</f>
        <v/>
      </c>
    </row>
    <row r="522">
      <c r="AR522" s="81">
        <f>($G522+($H522-$G522)*0.5)+($P522-($O522+($Q522-$O522)*0.5))</f>
        <v/>
      </c>
      <c r="AS522" s="81">
        <f>($J522+($K522-$J522)*0.5)+($T522-($S522+($U522-$S522)*0.5))</f>
        <v/>
      </c>
      <c r="AT522" s="82">
        <f>($J522-$C522)*100</f>
        <v/>
      </c>
      <c r="AU522" s="82">
        <f>($H522-$F522)*100</f>
        <v/>
      </c>
      <c r="AV522" s="82">
        <f>($J522-$F522)*100</f>
        <v/>
      </c>
      <c r="AW522" s="82">
        <f>($L522-$F522)*100</f>
        <v/>
      </c>
      <c r="AX522" s="82">
        <f>($J522-$H522)*100</f>
        <v/>
      </c>
      <c r="AY522" s="82">
        <f>($L522-$H522)*100</f>
        <v/>
      </c>
      <c r="AZ522" s="82">
        <f>($L522-$J522)*100</f>
        <v/>
      </c>
      <c r="BA522" s="82">
        <f>(2*$H522-$F522-$J522)*100</f>
        <v/>
      </c>
      <c r="BB522" s="82">
        <f>(2*$J522-$H522-$L522)*100</f>
        <v/>
      </c>
      <c r="BC522" s="82">
        <f>($N522-$F522)*100</f>
        <v/>
      </c>
      <c r="BD522" s="82">
        <f>($Q522-$H522)*100</f>
        <v/>
      </c>
      <c r="BE522" s="82">
        <f>($S522-$J522)*100</f>
        <v/>
      </c>
      <c r="BF522" s="82">
        <f>($V522-$L522)*100</f>
        <v/>
      </c>
      <c r="BG522" s="82">
        <f>$AG522-$AF522</f>
        <v/>
      </c>
      <c r="BH522" s="81">
        <f>IFERROR($AG522/$AF522,"")</f>
        <v/>
      </c>
      <c r="BI522" s="82">
        <f>$AJ522-$AF522</f>
        <v/>
      </c>
      <c r="BJ522" s="81">
        <f>IFERROR($AJ522/$AG522,"")</f>
        <v/>
      </c>
      <c r="BK522" s="81">
        <f>$X522</f>
        <v/>
      </c>
      <c r="BL522" s="82">
        <f>($J522-$J523)*100</f>
        <v/>
      </c>
      <c r="BM522" s="82">
        <f>($F522-$F523)*100</f>
        <v/>
      </c>
      <c r="BN522" s="82">
        <f>$AF522-$AF523</f>
        <v/>
      </c>
      <c r="BO522" s="82">
        <f>$AG522-$AG523</f>
        <v/>
      </c>
      <c r="BP522" s="82">
        <f>$AJ522-$AJ523</f>
        <v/>
      </c>
    </row>
    <row r="523">
      <c r="AR523" s="81">
        <f>($G523+($H523-$G523)*0.5)+($P523-($O523+($Q523-$O523)*0.5))</f>
        <v/>
      </c>
      <c r="AS523" s="81">
        <f>($J523+($K523-$J523)*0.5)+($T523-($S523+($U523-$S523)*0.5))</f>
        <v/>
      </c>
      <c r="AT523" s="82">
        <f>($J523-$C523)*100</f>
        <v/>
      </c>
      <c r="AU523" s="82">
        <f>($H523-$F523)*100</f>
        <v/>
      </c>
      <c r="AV523" s="82">
        <f>($J523-$F523)*100</f>
        <v/>
      </c>
      <c r="AW523" s="82">
        <f>($L523-$F523)*100</f>
        <v/>
      </c>
      <c r="AX523" s="82">
        <f>($J523-$H523)*100</f>
        <v/>
      </c>
      <c r="AY523" s="82">
        <f>($L523-$H523)*100</f>
        <v/>
      </c>
      <c r="AZ523" s="82">
        <f>($L523-$J523)*100</f>
        <v/>
      </c>
      <c r="BA523" s="82">
        <f>(2*$H523-$F523-$J523)*100</f>
        <v/>
      </c>
      <c r="BB523" s="82">
        <f>(2*$J523-$H523-$L523)*100</f>
        <v/>
      </c>
      <c r="BC523" s="82">
        <f>($N523-$F523)*100</f>
        <v/>
      </c>
      <c r="BD523" s="82">
        <f>($Q523-$H523)*100</f>
        <v/>
      </c>
      <c r="BE523" s="82">
        <f>($S523-$J523)*100</f>
        <v/>
      </c>
      <c r="BF523" s="82">
        <f>($V523-$L523)*100</f>
        <v/>
      </c>
      <c r="BG523" s="82">
        <f>$AG523-$AF523</f>
        <v/>
      </c>
      <c r="BH523" s="81">
        <f>IFERROR($AG523/$AF523,"")</f>
        <v/>
      </c>
      <c r="BI523" s="82">
        <f>$AJ523-$AF523</f>
        <v/>
      </c>
      <c r="BJ523" s="81">
        <f>IFERROR($AJ523/$AG523,"")</f>
        <v/>
      </c>
      <c r="BK523" s="81">
        <f>$X523</f>
        <v/>
      </c>
      <c r="BL523" s="82">
        <f>($J523-$J524)*100</f>
        <v/>
      </c>
      <c r="BM523" s="82">
        <f>($F523-$F524)*100</f>
        <v/>
      </c>
      <c r="BN523" s="82">
        <f>$AF523-$AF524</f>
        <v/>
      </c>
      <c r="BO523" s="82">
        <f>$AG523-$AG524</f>
        <v/>
      </c>
      <c r="BP523" s="82">
        <f>$AJ523-$AJ524</f>
        <v/>
      </c>
    </row>
    <row r="524">
      <c r="AR524" s="81">
        <f>($G524+($H524-$G524)*0.5)+($P524-($O524+($Q524-$O524)*0.5))</f>
        <v/>
      </c>
      <c r="AS524" s="81">
        <f>($J524+($K524-$J524)*0.5)+($T524-($S524+($U524-$S524)*0.5))</f>
        <v/>
      </c>
      <c r="AT524" s="82">
        <f>($J524-$C524)*100</f>
        <v/>
      </c>
      <c r="AU524" s="82">
        <f>($H524-$F524)*100</f>
        <v/>
      </c>
      <c r="AV524" s="82">
        <f>($J524-$F524)*100</f>
        <v/>
      </c>
      <c r="AW524" s="82">
        <f>($L524-$F524)*100</f>
        <v/>
      </c>
      <c r="AX524" s="82">
        <f>($J524-$H524)*100</f>
        <v/>
      </c>
      <c r="AY524" s="82">
        <f>($L524-$H524)*100</f>
        <v/>
      </c>
      <c r="AZ524" s="82">
        <f>($L524-$J524)*100</f>
        <v/>
      </c>
      <c r="BA524" s="82">
        <f>(2*$H524-$F524-$J524)*100</f>
        <v/>
      </c>
      <c r="BB524" s="82">
        <f>(2*$J524-$H524-$L524)*100</f>
        <v/>
      </c>
      <c r="BC524" s="82">
        <f>($N524-$F524)*100</f>
        <v/>
      </c>
      <c r="BD524" s="82">
        <f>($Q524-$H524)*100</f>
        <v/>
      </c>
      <c r="BE524" s="82">
        <f>($S524-$J524)*100</f>
        <v/>
      </c>
      <c r="BF524" s="82">
        <f>($V524-$L524)*100</f>
        <v/>
      </c>
      <c r="BG524" s="82">
        <f>$AG524-$AF524</f>
        <v/>
      </c>
      <c r="BH524" s="81">
        <f>IFERROR($AG524/$AF524,"")</f>
        <v/>
      </c>
      <c r="BI524" s="82">
        <f>$AJ524-$AF524</f>
        <v/>
      </c>
      <c r="BJ524" s="81">
        <f>IFERROR($AJ524/$AG524,"")</f>
        <v/>
      </c>
      <c r="BK524" s="81">
        <f>$X524</f>
        <v/>
      </c>
      <c r="BL524" s="82">
        <f>($J524-$J525)*100</f>
        <v/>
      </c>
      <c r="BM524" s="82">
        <f>($F524-$F525)*100</f>
        <v/>
      </c>
      <c r="BN524" s="82">
        <f>$AF524-$AF525</f>
        <v/>
      </c>
      <c r="BO524" s="82">
        <f>$AG524-$AG525</f>
        <v/>
      </c>
      <c r="BP524" s="82">
        <f>$AJ524-$AJ525</f>
        <v/>
      </c>
    </row>
    <row r="525">
      <c r="AR525" s="81">
        <f>($G525+($H525-$G525)*0.5)+($P525-($O525+($Q525-$O525)*0.5))</f>
        <v/>
      </c>
      <c r="AS525" s="81">
        <f>($J525+($K525-$J525)*0.5)+($T525-($S525+($U525-$S525)*0.5))</f>
        <v/>
      </c>
      <c r="AT525" s="82">
        <f>($J525-$C525)*100</f>
        <v/>
      </c>
      <c r="AU525" s="82">
        <f>($H525-$F525)*100</f>
        <v/>
      </c>
      <c r="AV525" s="82">
        <f>($J525-$F525)*100</f>
        <v/>
      </c>
      <c r="AW525" s="82">
        <f>($L525-$F525)*100</f>
        <v/>
      </c>
      <c r="AX525" s="82">
        <f>($J525-$H525)*100</f>
        <v/>
      </c>
      <c r="AY525" s="82">
        <f>($L525-$H525)*100</f>
        <v/>
      </c>
      <c r="AZ525" s="82">
        <f>($L525-$J525)*100</f>
        <v/>
      </c>
      <c r="BA525" s="82">
        <f>(2*$H525-$F525-$J525)*100</f>
        <v/>
      </c>
      <c r="BB525" s="82">
        <f>(2*$J525-$H525-$L525)*100</f>
        <v/>
      </c>
      <c r="BC525" s="82">
        <f>($N525-$F525)*100</f>
        <v/>
      </c>
      <c r="BD525" s="82">
        <f>($Q525-$H525)*100</f>
        <v/>
      </c>
      <c r="BE525" s="82">
        <f>($S525-$J525)*100</f>
        <v/>
      </c>
      <c r="BF525" s="82">
        <f>($V525-$L525)*100</f>
        <v/>
      </c>
      <c r="BG525" s="82">
        <f>$AG525-$AF525</f>
        <v/>
      </c>
      <c r="BH525" s="81">
        <f>IFERROR($AG525/$AF525,"")</f>
        <v/>
      </c>
      <c r="BI525" s="82">
        <f>$AJ525-$AF525</f>
        <v/>
      </c>
      <c r="BJ525" s="81">
        <f>IFERROR($AJ525/$AG525,"")</f>
        <v/>
      </c>
      <c r="BK525" s="81">
        <f>$X525</f>
        <v/>
      </c>
      <c r="BL525" s="82">
        <f>($J525-$J526)*100</f>
        <v/>
      </c>
      <c r="BM525" s="82">
        <f>($F525-$F526)*100</f>
        <v/>
      </c>
      <c r="BN525" s="82">
        <f>$AF525-$AF526</f>
        <v/>
      </c>
      <c r="BO525" s="82">
        <f>$AG525-$AG526</f>
        <v/>
      </c>
      <c r="BP525" s="82">
        <f>$AJ525-$AJ526</f>
        <v/>
      </c>
    </row>
    <row r="526">
      <c r="AR526" s="81">
        <f>($G526+($H526-$G526)*0.5)+($P526-($O526+($Q526-$O526)*0.5))</f>
        <v/>
      </c>
      <c r="AS526" s="81">
        <f>($J526+($K526-$J526)*0.5)+($T526-($S526+($U526-$S526)*0.5))</f>
        <v/>
      </c>
      <c r="AT526" s="82">
        <f>($J526-$C526)*100</f>
        <v/>
      </c>
      <c r="AU526" s="82">
        <f>($H526-$F526)*100</f>
        <v/>
      </c>
      <c r="AV526" s="82">
        <f>($J526-$F526)*100</f>
        <v/>
      </c>
      <c r="AW526" s="82">
        <f>($L526-$F526)*100</f>
        <v/>
      </c>
      <c r="AX526" s="82">
        <f>($J526-$H526)*100</f>
        <v/>
      </c>
      <c r="AY526" s="82">
        <f>($L526-$H526)*100</f>
        <v/>
      </c>
      <c r="AZ526" s="82">
        <f>($L526-$J526)*100</f>
        <v/>
      </c>
      <c r="BA526" s="82">
        <f>(2*$H526-$F526-$J526)*100</f>
        <v/>
      </c>
      <c r="BB526" s="82">
        <f>(2*$J526-$H526-$L526)*100</f>
        <v/>
      </c>
      <c r="BC526" s="82">
        <f>($N526-$F526)*100</f>
        <v/>
      </c>
      <c r="BD526" s="82">
        <f>($Q526-$H526)*100</f>
        <v/>
      </c>
      <c r="BE526" s="82">
        <f>($S526-$J526)*100</f>
        <v/>
      </c>
      <c r="BF526" s="82">
        <f>($V526-$L526)*100</f>
        <v/>
      </c>
      <c r="BG526" s="82">
        <f>$AG526-$AF526</f>
        <v/>
      </c>
      <c r="BH526" s="81">
        <f>IFERROR($AG526/$AF526,"")</f>
        <v/>
      </c>
      <c r="BI526" s="82">
        <f>$AJ526-$AF526</f>
        <v/>
      </c>
      <c r="BJ526" s="81">
        <f>IFERROR($AJ526/$AG526,"")</f>
        <v/>
      </c>
      <c r="BK526" s="81">
        <f>$X526</f>
        <v/>
      </c>
      <c r="BL526" s="82">
        <f>($J526-$J527)*100</f>
        <v/>
      </c>
      <c r="BM526" s="82">
        <f>($F526-$F527)*100</f>
        <v/>
      </c>
      <c r="BN526" s="82">
        <f>$AF526-$AF527</f>
        <v/>
      </c>
      <c r="BO526" s="82">
        <f>$AG526-$AG527</f>
        <v/>
      </c>
      <c r="BP526" s="82">
        <f>$AJ526-$AJ527</f>
        <v/>
      </c>
    </row>
    <row r="527">
      <c r="AR527" s="81">
        <f>($G527+($H527-$G527)*0.5)+($P527-($O527+($Q527-$O527)*0.5))</f>
        <v/>
      </c>
      <c r="AS527" s="81">
        <f>($J527+($K527-$J527)*0.5)+($T527-($S527+($U527-$S527)*0.5))</f>
        <v/>
      </c>
      <c r="AT527" s="82">
        <f>($J527-$C527)*100</f>
        <v/>
      </c>
      <c r="AU527" s="82">
        <f>($H527-$F527)*100</f>
        <v/>
      </c>
      <c r="AV527" s="82">
        <f>($J527-$F527)*100</f>
        <v/>
      </c>
      <c r="AW527" s="82">
        <f>($L527-$F527)*100</f>
        <v/>
      </c>
      <c r="AX527" s="82">
        <f>($J527-$H527)*100</f>
        <v/>
      </c>
      <c r="AY527" s="82">
        <f>($L527-$H527)*100</f>
        <v/>
      </c>
      <c r="AZ527" s="82">
        <f>($L527-$J527)*100</f>
        <v/>
      </c>
      <c r="BA527" s="82">
        <f>(2*$H527-$F527-$J527)*100</f>
        <v/>
      </c>
      <c r="BB527" s="82">
        <f>(2*$J527-$H527-$L527)*100</f>
        <v/>
      </c>
      <c r="BC527" s="82">
        <f>($N527-$F527)*100</f>
        <v/>
      </c>
      <c r="BD527" s="82">
        <f>($Q527-$H527)*100</f>
        <v/>
      </c>
      <c r="BE527" s="82">
        <f>($S527-$J527)*100</f>
        <v/>
      </c>
      <c r="BF527" s="82">
        <f>($V527-$L527)*100</f>
        <v/>
      </c>
      <c r="BG527" s="82">
        <f>$AG527-$AF527</f>
        <v/>
      </c>
      <c r="BH527" s="81">
        <f>IFERROR($AG527/$AF527,"")</f>
        <v/>
      </c>
      <c r="BI527" s="82">
        <f>$AJ527-$AF527</f>
        <v/>
      </c>
      <c r="BJ527" s="81">
        <f>IFERROR($AJ527/$AG527,"")</f>
        <v/>
      </c>
      <c r="BK527" s="81">
        <f>$X527</f>
        <v/>
      </c>
      <c r="BL527" s="82">
        <f>($J527-$J528)*100</f>
        <v/>
      </c>
      <c r="BM527" s="82">
        <f>($F527-$F528)*100</f>
        <v/>
      </c>
      <c r="BN527" s="82">
        <f>$AF527-$AF528</f>
        <v/>
      </c>
      <c r="BO527" s="82">
        <f>$AG527-$AG528</f>
        <v/>
      </c>
      <c r="BP527" s="82">
        <f>$AJ527-$AJ528</f>
        <v/>
      </c>
    </row>
    <row r="528">
      <c r="AR528" s="81">
        <f>($G528+($H528-$G528)*0.5)+($P528-($O528+($Q528-$O528)*0.5))</f>
        <v/>
      </c>
      <c r="AS528" s="81">
        <f>($J528+($K528-$J528)*0.5)+($T528-($S528+($U528-$S528)*0.5))</f>
        <v/>
      </c>
      <c r="AT528" s="82">
        <f>($J528-$C528)*100</f>
        <v/>
      </c>
      <c r="AU528" s="82">
        <f>($H528-$F528)*100</f>
        <v/>
      </c>
      <c r="AV528" s="82">
        <f>($J528-$F528)*100</f>
        <v/>
      </c>
      <c r="AW528" s="82">
        <f>($L528-$F528)*100</f>
        <v/>
      </c>
      <c r="AX528" s="82">
        <f>($J528-$H528)*100</f>
        <v/>
      </c>
      <c r="AY528" s="82">
        <f>($L528-$H528)*100</f>
        <v/>
      </c>
      <c r="AZ528" s="82">
        <f>($L528-$J528)*100</f>
        <v/>
      </c>
      <c r="BA528" s="82">
        <f>(2*$H528-$F528-$J528)*100</f>
        <v/>
      </c>
      <c r="BB528" s="82">
        <f>(2*$J528-$H528-$L528)*100</f>
        <v/>
      </c>
      <c r="BC528" s="82">
        <f>($N528-$F528)*100</f>
        <v/>
      </c>
      <c r="BD528" s="82">
        <f>($Q528-$H528)*100</f>
        <v/>
      </c>
      <c r="BE528" s="82">
        <f>($S528-$J528)*100</f>
        <v/>
      </c>
      <c r="BF528" s="82">
        <f>($V528-$L528)*100</f>
        <v/>
      </c>
      <c r="BG528" s="82">
        <f>$AG528-$AF528</f>
        <v/>
      </c>
      <c r="BH528" s="81">
        <f>IFERROR($AG528/$AF528,"")</f>
        <v/>
      </c>
      <c r="BI528" s="82">
        <f>$AJ528-$AF528</f>
        <v/>
      </c>
      <c r="BJ528" s="81">
        <f>IFERROR($AJ528/$AG528,"")</f>
        <v/>
      </c>
      <c r="BK528" s="81">
        <f>$X528</f>
        <v/>
      </c>
      <c r="BL528" s="82">
        <f>($J528-$J529)*100</f>
        <v/>
      </c>
      <c r="BM528" s="82">
        <f>($F528-$F529)*100</f>
        <v/>
      </c>
      <c r="BN528" s="82">
        <f>$AF528-$AF529</f>
        <v/>
      </c>
      <c r="BO528" s="82">
        <f>$AG528-$AG529</f>
        <v/>
      </c>
      <c r="BP528" s="82">
        <f>$AJ528-$AJ529</f>
        <v/>
      </c>
    </row>
    <row r="529">
      <c r="AR529" s="81">
        <f>($G529+($H529-$G529)*0.5)+($P529-($O529+($Q529-$O529)*0.5))</f>
        <v/>
      </c>
      <c r="AS529" s="81">
        <f>($J529+($K529-$J529)*0.5)+($T529-($S529+($U529-$S529)*0.5))</f>
        <v/>
      </c>
      <c r="AT529" s="82">
        <f>($J529-$C529)*100</f>
        <v/>
      </c>
      <c r="AU529" s="82">
        <f>($H529-$F529)*100</f>
        <v/>
      </c>
      <c r="AV529" s="82">
        <f>($J529-$F529)*100</f>
        <v/>
      </c>
      <c r="AW529" s="82">
        <f>($L529-$F529)*100</f>
        <v/>
      </c>
      <c r="AX529" s="82">
        <f>($J529-$H529)*100</f>
        <v/>
      </c>
      <c r="AY529" s="82">
        <f>($L529-$H529)*100</f>
        <v/>
      </c>
      <c r="AZ529" s="82">
        <f>($L529-$J529)*100</f>
        <v/>
      </c>
      <c r="BA529" s="82">
        <f>(2*$H529-$F529-$J529)*100</f>
        <v/>
      </c>
      <c r="BB529" s="82">
        <f>(2*$J529-$H529-$L529)*100</f>
        <v/>
      </c>
      <c r="BC529" s="82">
        <f>($N529-$F529)*100</f>
        <v/>
      </c>
      <c r="BD529" s="82">
        <f>($Q529-$H529)*100</f>
        <v/>
      </c>
      <c r="BE529" s="82">
        <f>($S529-$J529)*100</f>
        <v/>
      </c>
      <c r="BF529" s="82">
        <f>($V529-$L529)*100</f>
        <v/>
      </c>
      <c r="BG529" s="82">
        <f>$AG529-$AF529</f>
        <v/>
      </c>
      <c r="BH529" s="81">
        <f>IFERROR($AG529/$AF529,"")</f>
        <v/>
      </c>
      <c r="BI529" s="82">
        <f>$AJ529-$AF529</f>
        <v/>
      </c>
      <c r="BJ529" s="81">
        <f>IFERROR($AJ529/$AG529,"")</f>
        <v/>
      </c>
      <c r="BK529" s="81">
        <f>$X529</f>
        <v/>
      </c>
      <c r="BL529" s="82">
        <f>($J529-$J530)*100</f>
        <v/>
      </c>
      <c r="BM529" s="82">
        <f>($F529-$F530)*100</f>
        <v/>
      </c>
      <c r="BN529" s="82">
        <f>$AF529-$AF530</f>
        <v/>
      </c>
      <c r="BO529" s="82">
        <f>$AG529-$AG530</f>
        <v/>
      </c>
      <c r="BP529" s="82">
        <f>$AJ529-$AJ530</f>
        <v/>
      </c>
    </row>
    <row r="530">
      <c r="AR530" s="81">
        <f>($G530+($H530-$G530)*0.5)+($P530-($O530+($Q530-$O530)*0.5))</f>
        <v/>
      </c>
      <c r="AS530" s="81">
        <f>($J530+($K530-$J530)*0.5)+($T530-($S530+($U530-$S530)*0.5))</f>
        <v/>
      </c>
      <c r="AT530" s="82">
        <f>($J530-$C530)*100</f>
        <v/>
      </c>
      <c r="AU530" s="82">
        <f>($H530-$F530)*100</f>
        <v/>
      </c>
      <c r="AV530" s="82">
        <f>($J530-$F530)*100</f>
        <v/>
      </c>
      <c r="AW530" s="82">
        <f>($L530-$F530)*100</f>
        <v/>
      </c>
      <c r="AX530" s="82">
        <f>($J530-$H530)*100</f>
        <v/>
      </c>
      <c r="AY530" s="82">
        <f>($L530-$H530)*100</f>
        <v/>
      </c>
      <c r="AZ530" s="82">
        <f>($L530-$J530)*100</f>
        <v/>
      </c>
      <c r="BA530" s="82">
        <f>(2*$H530-$F530-$J530)*100</f>
        <v/>
      </c>
      <c r="BB530" s="82">
        <f>(2*$J530-$H530-$L530)*100</f>
        <v/>
      </c>
      <c r="BC530" s="82">
        <f>($N530-$F530)*100</f>
        <v/>
      </c>
      <c r="BD530" s="82">
        <f>($Q530-$H530)*100</f>
        <v/>
      </c>
      <c r="BE530" s="82">
        <f>($S530-$J530)*100</f>
        <v/>
      </c>
      <c r="BF530" s="82">
        <f>($V530-$L530)*100</f>
        <v/>
      </c>
      <c r="BG530" s="82">
        <f>$AG530-$AF530</f>
        <v/>
      </c>
      <c r="BH530" s="81">
        <f>IFERROR($AG530/$AF530,"")</f>
        <v/>
      </c>
      <c r="BI530" s="82">
        <f>$AJ530-$AF530</f>
        <v/>
      </c>
      <c r="BJ530" s="81">
        <f>IFERROR($AJ530/$AG530,"")</f>
        <v/>
      </c>
      <c r="BK530" s="81">
        <f>$X530</f>
        <v/>
      </c>
      <c r="BL530" s="82">
        <f>($J530-$J531)*100</f>
        <v/>
      </c>
      <c r="BM530" s="82">
        <f>($F530-$F531)*100</f>
        <v/>
      </c>
      <c r="BN530" s="82">
        <f>$AF530-$AF531</f>
        <v/>
      </c>
      <c r="BO530" s="82">
        <f>$AG530-$AG531</f>
        <v/>
      </c>
      <c r="BP530" s="82">
        <f>$AJ530-$AJ531</f>
        <v/>
      </c>
    </row>
    <row r="531">
      <c r="AR531" s="81">
        <f>($G531+($H531-$G531)*0.5)+($P531-($O531+($Q531-$O531)*0.5))</f>
        <v/>
      </c>
      <c r="AS531" s="81">
        <f>($J531+($K531-$J531)*0.5)+($T531-($S531+($U531-$S531)*0.5))</f>
        <v/>
      </c>
      <c r="AT531" s="82">
        <f>($J531-$C531)*100</f>
        <v/>
      </c>
      <c r="AU531" s="82">
        <f>($H531-$F531)*100</f>
        <v/>
      </c>
      <c r="AV531" s="82">
        <f>($J531-$F531)*100</f>
        <v/>
      </c>
      <c r="AW531" s="82">
        <f>($L531-$F531)*100</f>
        <v/>
      </c>
      <c r="AX531" s="82">
        <f>($J531-$H531)*100</f>
        <v/>
      </c>
      <c r="AY531" s="82">
        <f>($L531-$H531)*100</f>
        <v/>
      </c>
      <c r="AZ531" s="82">
        <f>($L531-$J531)*100</f>
        <v/>
      </c>
      <c r="BA531" s="82">
        <f>(2*$H531-$F531-$J531)*100</f>
        <v/>
      </c>
      <c r="BB531" s="82">
        <f>(2*$J531-$H531-$L531)*100</f>
        <v/>
      </c>
      <c r="BC531" s="82">
        <f>($N531-$F531)*100</f>
        <v/>
      </c>
      <c r="BD531" s="82">
        <f>($Q531-$H531)*100</f>
        <v/>
      </c>
      <c r="BE531" s="82">
        <f>($S531-$J531)*100</f>
        <v/>
      </c>
      <c r="BF531" s="82">
        <f>($V531-$L531)*100</f>
        <v/>
      </c>
      <c r="BG531" s="82">
        <f>$AG531-$AF531</f>
        <v/>
      </c>
      <c r="BH531" s="81">
        <f>IFERROR($AG531/$AF531,"")</f>
        <v/>
      </c>
      <c r="BI531" s="82">
        <f>$AJ531-$AF531</f>
        <v/>
      </c>
      <c r="BJ531" s="81">
        <f>IFERROR($AJ531/$AG531,"")</f>
        <v/>
      </c>
      <c r="BK531" s="81">
        <f>$X531</f>
        <v/>
      </c>
      <c r="BL531" s="82">
        <f>($J531-$J532)*100</f>
        <v/>
      </c>
      <c r="BM531" s="82">
        <f>($F531-$F532)*100</f>
        <v/>
      </c>
      <c r="BN531" s="82">
        <f>$AF531-$AF532</f>
        <v/>
      </c>
      <c r="BO531" s="82">
        <f>$AG531-$AG532</f>
        <v/>
      </c>
      <c r="BP531" s="82">
        <f>$AJ531-$AJ532</f>
        <v/>
      </c>
    </row>
    <row r="532">
      <c r="AR532" s="81">
        <f>($G532+($H532-$G532)*0.5)+($P532-($O532+($Q532-$O532)*0.5))</f>
        <v/>
      </c>
      <c r="AS532" s="81">
        <f>($J532+($K532-$J532)*0.5)+($T532-($S532+($U532-$S532)*0.5))</f>
        <v/>
      </c>
      <c r="AT532" s="82">
        <f>($J532-$C532)*100</f>
        <v/>
      </c>
      <c r="AU532" s="82">
        <f>($H532-$F532)*100</f>
        <v/>
      </c>
      <c r="AV532" s="82">
        <f>($J532-$F532)*100</f>
        <v/>
      </c>
      <c r="AW532" s="82">
        <f>($L532-$F532)*100</f>
        <v/>
      </c>
      <c r="AX532" s="82">
        <f>($J532-$H532)*100</f>
        <v/>
      </c>
      <c r="AY532" s="82">
        <f>($L532-$H532)*100</f>
        <v/>
      </c>
      <c r="AZ532" s="82">
        <f>($L532-$J532)*100</f>
        <v/>
      </c>
      <c r="BA532" s="82">
        <f>(2*$H532-$F532-$J532)*100</f>
        <v/>
      </c>
      <c r="BB532" s="82">
        <f>(2*$J532-$H532-$L532)*100</f>
        <v/>
      </c>
      <c r="BC532" s="82">
        <f>($N532-$F532)*100</f>
        <v/>
      </c>
      <c r="BD532" s="82">
        <f>($Q532-$H532)*100</f>
        <v/>
      </c>
      <c r="BE532" s="82">
        <f>($S532-$J532)*100</f>
        <v/>
      </c>
      <c r="BF532" s="82">
        <f>($V532-$L532)*100</f>
        <v/>
      </c>
      <c r="BG532" s="82">
        <f>$AG532-$AF532</f>
        <v/>
      </c>
      <c r="BH532" s="81">
        <f>IFERROR($AG532/$AF532,"")</f>
        <v/>
      </c>
      <c r="BI532" s="82">
        <f>$AJ532-$AF532</f>
        <v/>
      </c>
      <c r="BJ532" s="81">
        <f>IFERROR($AJ532/$AG532,"")</f>
        <v/>
      </c>
      <c r="BK532" s="81">
        <f>$X532</f>
        <v/>
      </c>
      <c r="BL532" s="82">
        <f>($J532-$J533)*100</f>
        <v/>
      </c>
      <c r="BM532" s="82">
        <f>($F532-$F533)*100</f>
        <v/>
      </c>
      <c r="BN532" s="82">
        <f>$AF532-$AF533</f>
        <v/>
      </c>
      <c r="BO532" s="82">
        <f>$AG532-$AG533</f>
        <v/>
      </c>
      <c r="BP532" s="82">
        <f>$AJ532-$AJ533</f>
        <v/>
      </c>
    </row>
    <row r="533">
      <c r="AR533" s="81">
        <f>($G533+($H533-$G533)*0.5)+($P533-($O533+($Q533-$O533)*0.5))</f>
        <v/>
      </c>
      <c r="AS533" s="81">
        <f>($J533+($K533-$J533)*0.5)+($T533-($S533+($U533-$S533)*0.5))</f>
        <v/>
      </c>
      <c r="AT533" s="82">
        <f>($J533-$C533)*100</f>
        <v/>
      </c>
      <c r="AU533" s="82">
        <f>($H533-$F533)*100</f>
        <v/>
      </c>
      <c r="AV533" s="82">
        <f>($J533-$F533)*100</f>
        <v/>
      </c>
      <c r="AW533" s="82">
        <f>($L533-$F533)*100</f>
        <v/>
      </c>
      <c r="AX533" s="82">
        <f>($J533-$H533)*100</f>
        <v/>
      </c>
      <c r="AY533" s="82">
        <f>($L533-$H533)*100</f>
        <v/>
      </c>
      <c r="AZ533" s="82">
        <f>($L533-$J533)*100</f>
        <v/>
      </c>
      <c r="BA533" s="82">
        <f>(2*$H533-$F533-$J533)*100</f>
        <v/>
      </c>
      <c r="BB533" s="82">
        <f>(2*$J533-$H533-$L533)*100</f>
        <v/>
      </c>
      <c r="BC533" s="82">
        <f>($N533-$F533)*100</f>
        <v/>
      </c>
      <c r="BD533" s="82">
        <f>($Q533-$H533)*100</f>
        <v/>
      </c>
      <c r="BE533" s="82">
        <f>($S533-$J533)*100</f>
        <v/>
      </c>
      <c r="BF533" s="82">
        <f>($V533-$L533)*100</f>
        <v/>
      </c>
      <c r="BG533" s="82">
        <f>$AG533-$AF533</f>
        <v/>
      </c>
      <c r="BH533" s="81">
        <f>IFERROR($AG533/$AF533,"")</f>
        <v/>
      </c>
      <c r="BI533" s="82">
        <f>$AJ533-$AF533</f>
        <v/>
      </c>
      <c r="BJ533" s="81">
        <f>IFERROR($AJ533/$AG533,"")</f>
        <v/>
      </c>
      <c r="BK533" s="81">
        <f>$X533</f>
        <v/>
      </c>
      <c r="BL533" s="82">
        <f>($J533-$J534)*100</f>
        <v/>
      </c>
      <c r="BM533" s="82">
        <f>($F533-$F534)*100</f>
        <v/>
      </c>
      <c r="BN533" s="82">
        <f>$AF533-$AF534</f>
        <v/>
      </c>
      <c r="BO533" s="82">
        <f>$AG533-$AG534</f>
        <v/>
      </c>
      <c r="BP533" s="82">
        <f>$AJ533-$AJ534</f>
        <v/>
      </c>
    </row>
    <row r="534">
      <c r="AR534" s="81">
        <f>($G534+($H534-$G534)*0.5)+($P534-($O534+($Q534-$O534)*0.5))</f>
        <v/>
      </c>
      <c r="AS534" s="81">
        <f>($J534+($K534-$J534)*0.5)+($T534-($S534+($U534-$S534)*0.5))</f>
        <v/>
      </c>
      <c r="AT534" s="82">
        <f>($J534-$C534)*100</f>
        <v/>
      </c>
      <c r="AU534" s="82">
        <f>($H534-$F534)*100</f>
        <v/>
      </c>
      <c r="AV534" s="82">
        <f>($J534-$F534)*100</f>
        <v/>
      </c>
      <c r="AW534" s="82">
        <f>($L534-$F534)*100</f>
        <v/>
      </c>
      <c r="AX534" s="82">
        <f>($J534-$H534)*100</f>
        <v/>
      </c>
      <c r="AY534" s="82">
        <f>($L534-$H534)*100</f>
        <v/>
      </c>
      <c r="AZ534" s="82">
        <f>($L534-$J534)*100</f>
        <v/>
      </c>
      <c r="BA534" s="82">
        <f>(2*$H534-$F534-$J534)*100</f>
        <v/>
      </c>
      <c r="BB534" s="82">
        <f>(2*$J534-$H534-$L534)*100</f>
        <v/>
      </c>
      <c r="BC534" s="82">
        <f>($N534-$F534)*100</f>
        <v/>
      </c>
      <c r="BD534" s="82">
        <f>($Q534-$H534)*100</f>
        <v/>
      </c>
      <c r="BE534" s="82">
        <f>($S534-$J534)*100</f>
        <v/>
      </c>
      <c r="BF534" s="82">
        <f>($V534-$L534)*100</f>
        <v/>
      </c>
      <c r="BG534" s="82">
        <f>$AG534-$AF534</f>
        <v/>
      </c>
      <c r="BH534" s="81">
        <f>IFERROR($AG534/$AF534,"")</f>
        <v/>
      </c>
      <c r="BI534" s="82">
        <f>$AJ534-$AF534</f>
        <v/>
      </c>
      <c r="BJ534" s="81">
        <f>IFERROR($AJ534/$AG534,"")</f>
        <v/>
      </c>
      <c r="BK534" s="81">
        <f>$X534</f>
        <v/>
      </c>
      <c r="BL534" s="82">
        <f>($J534-$J535)*100</f>
        <v/>
      </c>
      <c r="BM534" s="82">
        <f>($F534-$F535)*100</f>
        <v/>
      </c>
      <c r="BN534" s="82">
        <f>$AF534-$AF535</f>
        <v/>
      </c>
      <c r="BO534" s="82">
        <f>$AG534-$AG535</f>
        <v/>
      </c>
      <c r="BP534" s="82">
        <f>$AJ534-$AJ535</f>
        <v/>
      </c>
    </row>
    <row r="535">
      <c r="AR535" s="81">
        <f>($G535+($H535-$G535)*0.5)+($P535-($O535+($Q535-$O535)*0.5))</f>
        <v/>
      </c>
      <c r="AS535" s="81">
        <f>($J535+($K535-$J535)*0.5)+($T535-($S535+($U535-$S535)*0.5))</f>
        <v/>
      </c>
      <c r="AT535" s="82">
        <f>($J535-$C535)*100</f>
        <v/>
      </c>
      <c r="AU535" s="82">
        <f>($H535-$F535)*100</f>
        <v/>
      </c>
      <c r="AV535" s="82">
        <f>($J535-$F535)*100</f>
        <v/>
      </c>
      <c r="AW535" s="82">
        <f>($L535-$F535)*100</f>
        <v/>
      </c>
      <c r="AX535" s="82">
        <f>($J535-$H535)*100</f>
        <v/>
      </c>
      <c r="AY535" s="82">
        <f>($L535-$H535)*100</f>
        <v/>
      </c>
      <c r="AZ535" s="82">
        <f>($L535-$J535)*100</f>
        <v/>
      </c>
      <c r="BA535" s="82">
        <f>(2*$H535-$F535-$J535)*100</f>
        <v/>
      </c>
      <c r="BB535" s="82">
        <f>(2*$J535-$H535-$L535)*100</f>
        <v/>
      </c>
      <c r="BC535" s="82">
        <f>($N535-$F535)*100</f>
        <v/>
      </c>
      <c r="BD535" s="82">
        <f>($Q535-$H535)*100</f>
        <v/>
      </c>
      <c r="BE535" s="82">
        <f>($S535-$J535)*100</f>
        <v/>
      </c>
      <c r="BF535" s="82">
        <f>($V535-$L535)*100</f>
        <v/>
      </c>
      <c r="BG535" s="82">
        <f>$AG535-$AF535</f>
        <v/>
      </c>
      <c r="BH535" s="81">
        <f>IFERROR($AG535/$AF535,"")</f>
        <v/>
      </c>
      <c r="BI535" s="82">
        <f>$AJ535-$AF535</f>
        <v/>
      </c>
      <c r="BJ535" s="81">
        <f>IFERROR($AJ535/$AG535,"")</f>
        <v/>
      </c>
      <c r="BK535" s="81">
        <f>$X535</f>
        <v/>
      </c>
      <c r="BL535" s="82">
        <f>($J535-$J536)*100</f>
        <v/>
      </c>
      <c r="BM535" s="82">
        <f>($F535-$F536)*100</f>
        <v/>
      </c>
      <c r="BN535" s="82">
        <f>$AF535-$AF536</f>
        <v/>
      </c>
      <c r="BO535" s="82">
        <f>$AG535-$AG536</f>
        <v/>
      </c>
      <c r="BP535" s="82">
        <f>$AJ535-$AJ536</f>
        <v/>
      </c>
    </row>
    <row r="536">
      <c r="AR536" s="81">
        <f>($G536+($H536-$G536)*0.5)+($P536-($O536+($Q536-$O536)*0.5))</f>
        <v/>
      </c>
      <c r="AS536" s="81">
        <f>($J536+($K536-$J536)*0.5)+($T536-($S536+($U536-$S536)*0.5))</f>
        <v/>
      </c>
      <c r="AT536" s="82">
        <f>($J536-$C536)*100</f>
        <v/>
      </c>
      <c r="AU536" s="82">
        <f>($H536-$F536)*100</f>
        <v/>
      </c>
      <c r="AV536" s="82">
        <f>($J536-$F536)*100</f>
        <v/>
      </c>
      <c r="AW536" s="82">
        <f>($L536-$F536)*100</f>
        <v/>
      </c>
      <c r="AX536" s="82">
        <f>($J536-$H536)*100</f>
        <v/>
      </c>
      <c r="AY536" s="82">
        <f>($L536-$H536)*100</f>
        <v/>
      </c>
      <c r="AZ536" s="82">
        <f>($L536-$J536)*100</f>
        <v/>
      </c>
      <c r="BA536" s="82">
        <f>(2*$H536-$F536-$J536)*100</f>
        <v/>
      </c>
      <c r="BB536" s="82">
        <f>(2*$J536-$H536-$L536)*100</f>
        <v/>
      </c>
      <c r="BC536" s="82">
        <f>($N536-$F536)*100</f>
        <v/>
      </c>
      <c r="BD536" s="82">
        <f>($Q536-$H536)*100</f>
        <v/>
      </c>
      <c r="BE536" s="82">
        <f>($S536-$J536)*100</f>
        <v/>
      </c>
      <c r="BF536" s="82">
        <f>($V536-$L536)*100</f>
        <v/>
      </c>
      <c r="BG536" s="82">
        <f>$AG536-$AF536</f>
        <v/>
      </c>
      <c r="BH536" s="81">
        <f>IFERROR($AG536/$AF536,"")</f>
        <v/>
      </c>
      <c r="BI536" s="82">
        <f>$AJ536-$AF536</f>
        <v/>
      </c>
      <c r="BJ536" s="81">
        <f>IFERROR($AJ536/$AG536,"")</f>
        <v/>
      </c>
      <c r="BK536" s="81">
        <f>$X536</f>
        <v/>
      </c>
      <c r="BL536" s="82">
        <f>($J536-$J537)*100</f>
        <v/>
      </c>
      <c r="BM536" s="82">
        <f>($F536-$F537)*100</f>
        <v/>
      </c>
      <c r="BN536" s="82">
        <f>$AF536-$AF537</f>
        <v/>
      </c>
      <c r="BO536" s="82">
        <f>$AG536-$AG537</f>
        <v/>
      </c>
      <c r="BP536" s="82">
        <f>$AJ536-$AJ537</f>
        <v/>
      </c>
    </row>
    <row r="537">
      <c r="AR537" s="81">
        <f>($G537+($H537-$G537)*0.5)+($P537-($O537+($Q537-$O537)*0.5))</f>
        <v/>
      </c>
      <c r="AS537" s="81">
        <f>($J537+($K537-$J537)*0.5)+($T537-($S537+($U537-$S537)*0.5))</f>
        <v/>
      </c>
      <c r="AT537" s="82">
        <f>($J537-$C537)*100</f>
        <v/>
      </c>
      <c r="AU537" s="82">
        <f>($H537-$F537)*100</f>
        <v/>
      </c>
      <c r="AV537" s="82">
        <f>($J537-$F537)*100</f>
        <v/>
      </c>
      <c r="AW537" s="82">
        <f>($L537-$F537)*100</f>
        <v/>
      </c>
      <c r="AX537" s="82">
        <f>($J537-$H537)*100</f>
        <v/>
      </c>
      <c r="AY537" s="82">
        <f>($L537-$H537)*100</f>
        <v/>
      </c>
      <c r="AZ537" s="82">
        <f>($L537-$J537)*100</f>
        <v/>
      </c>
      <c r="BA537" s="82">
        <f>(2*$H537-$F537-$J537)*100</f>
        <v/>
      </c>
      <c r="BB537" s="82">
        <f>(2*$J537-$H537-$L537)*100</f>
        <v/>
      </c>
      <c r="BC537" s="82">
        <f>($N537-$F537)*100</f>
        <v/>
      </c>
      <c r="BD537" s="82">
        <f>($Q537-$H537)*100</f>
        <v/>
      </c>
      <c r="BE537" s="82">
        <f>($S537-$J537)*100</f>
        <v/>
      </c>
      <c r="BF537" s="82">
        <f>($V537-$L537)*100</f>
        <v/>
      </c>
      <c r="BG537" s="82">
        <f>$AG537-$AF537</f>
        <v/>
      </c>
      <c r="BH537" s="81">
        <f>IFERROR($AG537/$AF537,"")</f>
        <v/>
      </c>
      <c r="BI537" s="82">
        <f>$AJ537-$AF537</f>
        <v/>
      </c>
      <c r="BJ537" s="81">
        <f>IFERROR($AJ537/$AG537,"")</f>
        <v/>
      </c>
      <c r="BK537" s="81">
        <f>$X537</f>
        <v/>
      </c>
      <c r="BL537" s="82">
        <f>($J537-$J538)*100</f>
        <v/>
      </c>
      <c r="BM537" s="82">
        <f>($F537-$F538)*100</f>
        <v/>
      </c>
      <c r="BN537" s="82">
        <f>$AF537-$AF538</f>
        <v/>
      </c>
      <c r="BO537" s="82">
        <f>$AG537-$AG538</f>
        <v/>
      </c>
      <c r="BP537" s="82">
        <f>$AJ537-$AJ538</f>
        <v/>
      </c>
    </row>
    <row r="538">
      <c r="AR538" s="81">
        <f>($G538+($H538-$G538)*0.5)+($P538-($O538+($Q538-$O538)*0.5))</f>
        <v/>
      </c>
      <c r="AS538" s="81">
        <f>($J538+($K538-$J538)*0.5)+($T538-($S538+($U538-$S538)*0.5))</f>
        <v/>
      </c>
      <c r="AT538" s="82">
        <f>($J538-$C538)*100</f>
        <v/>
      </c>
      <c r="AU538" s="82">
        <f>($H538-$F538)*100</f>
        <v/>
      </c>
      <c r="AV538" s="82">
        <f>($J538-$F538)*100</f>
        <v/>
      </c>
      <c r="AW538" s="82">
        <f>($L538-$F538)*100</f>
        <v/>
      </c>
      <c r="AX538" s="82">
        <f>($J538-$H538)*100</f>
        <v/>
      </c>
      <c r="AY538" s="82">
        <f>($L538-$H538)*100</f>
        <v/>
      </c>
      <c r="AZ538" s="82">
        <f>($L538-$J538)*100</f>
        <v/>
      </c>
      <c r="BA538" s="82">
        <f>(2*$H538-$F538-$J538)*100</f>
        <v/>
      </c>
      <c r="BB538" s="82">
        <f>(2*$J538-$H538-$L538)*100</f>
        <v/>
      </c>
      <c r="BC538" s="82">
        <f>($N538-$F538)*100</f>
        <v/>
      </c>
      <c r="BD538" s="82">
        <f>($Q538-$H538)*100</f>
        <v/>
      </c>
      <c r="BE538" s="82">
        <f>($S538-$J538)*100</f>
        <v/>
      </c>
      <c r="BF538" s="82">
        <f>($V538-$L538)*100</f>
        <v/>
      </c>
      <c r="BG538" s="82">
        <f>$AG538-$AF538</f>
        <v/>
      </c>
      <c r="BH538" s="81">
        <f>IFERROR($AG538/$AF538,"")</f>
        <v/>
      </c>
      <c r="BI538" s="82">
        <f>$AJ538-$AF538</f>
        <v/>
      </c>
      <c r="BJ538" s="81">
        <f>IFERROR($AJ538/$AG538,"")</f>
        <v/>
      </c>
      <c r="BK538" s="81">
        <f>$X538</f>
        <v/>
      </c>
      <c r="BL538" s="82">
        <f>($J538-$J539)*100</f>
        <v/>
      </c>
      <c r="BM538" s="82">
        <f>($F538-$F539)*100</f>
        <v/>
      </c>
      <c r="BN538" s="82">
        <f>$AF538-$AF539</f>
        <v/>
      </c>
      <c r="BO538" s="82">
        <f>$AG538-$AG539</f>
        <v/>
      </c>
      <c r="BP538" s="82">
        <f>$AJ538-$AJ539</f>
        <v/>
      </c>
    </row>
    <row r="539">
      <c r="AR539" s="81">
        <f>($G539+($H539-$G539)*0.5)+($P539-($O539+($Q539-$O539)*0.5))</f>
        <v/>
      </c>
      <c r="AS539" s="81">
        <f>($J539+($K539-$J539)*0.5)+($T539-($S539+($U539-$S539)*0.5))</f>
        <v/>
      </c>
      <c r="AT539" s="82">
        <f>($J539-$C539)*100</f>
        <v/>
      </c>
      <c r="AU539" s="82">
        <f>($H539-$F539)*100</f>
        <v/>
      </c>
      <c r="AV539" s="82">
        <f>($J539-$F539)*100</f>
        <v/>
      </c>
      <c r="AW539" s="82">
        <f>($L539-$F539)*100</f>
        <v/>
      </c>
      <c r="AX539" s="82">
        <f>($J539-$H539)*100</f>
        <v/>
      </c>
      <c r="AY539" s="82">
        <f>($L539-$H539)*100</f>
        <v/>
      </c>
      <c r="AZ539" s="82">
        <f>($L539-$J539)*100</f>
        <v/>
      </c>
      <c r="BA539" s="82">
        <f>(2*$H539-$F539-$J539)*100</f>
        <v/>
      </c>
      <c r="BB539" s="82">
        <f>(2*$J539-$H539-$L539)*100</f>
        <v/>
      </c>
      <c r="BC539" s="82">
        <f>($N539-$F539)*100</f>
        <v/>
      </c>
      <c r="BD539" s="82">
        <f>($Q539-$H539)*100</f>
        <v/>
      </c>
      <c r="BE539" s="82">
        <f>($S539-$J539)*100</f>
        <v/>
      </c>
      <c r="BF539" s="82">
        <f>($V539-$L539)*100</f>
        <v/>
      </c>
      <c r="BG539" s="82">
        <f>$AG539-$AF539</f>
        <v/>
      </c>
      <c r="BH539" s="81">
        <f>IFERROR($AG539/$AF539,"")</f>
        <v/>
      </c>
      <c r="BI539" s="82">
        <f>$AJ539-$AF539</f>
        <v/>
      </c>
      <c r="BJ539" s="81">
        <f>IFERROR($AJ539/$AG539,"")</f>
        <v/>
      </c>
      <c r="BK539" s="81">
        <f>$X539</f>
        <v/>
      </c>
      <c r="BL539" s="82">
        <f>($J539-$J540)*100</f>
        <v/>
      </c>
      <c r="BM539" s="82">
        <f>($F539-$F540)*100</f>
        <v/>
      </c>
      <c r="BN539" s="82">
        <f>$AF539-$AF540</f>
        <v/>
      </c>
      <c r="BO539" s="82">
        <f>$AG539-$AG540</f>
        <v/>
      </c>
      <c r="BP539" s="82">
        <f>$AJ539-$AJ540</f>
        <v/>
      </c>
    </row>
    <row r="540">
      <c r="AR540" s="81">
        <f>($G540+($H540-$G540)*0.5)+($P540-($O540+($Q540-$O540)*0.5))</f>
        <v/>
      </c>
      <c r="AS540" s="81">
        <f>($J540+($K540-$J540)*0.5)+($T540-($S540+($U540-$S540)*0.5))</f>
        <v/>
      </c>
      <c r="AT540" s="82">
        <f>($J540-$C540)*100</f>
        <v/>
      </c>
      <c r="AU540" s="82">
        <f>($H540-$F540)*100</f>
        <v/>
      </c>
      <c r="AV540" s="82">
        <f>($J540-$F540)*100</f>
        <v/>
      </c>
      <c r="AW540" s="82">
        <f>($L540-$F540)*100</f>
        <v/>
      </c>
      <c r="AX540" s="82">
        <f>($J540-$H540)*100</f>
        <v/>
      </c>
      <c r="AY540" s="82">
        <f>($L540-$H540)*100</f>
        <v/>
      </c>
      <c r="AZ540" s="82">
        <f>($L540-$J540)*100</f>
        <v/>
      </c>
      <c r="BA540" s="82">
        <f>(2*$H540-$F540-$J540)*100</f>
        <v/>
      </c>
      <c r="BB540" s="82">
        <f>(2*$J540-$H540-$L540)*100</f>
        <v/>
      </c>
      <c r="BC540" s="82">
        <f>($N540-$F540)*100</f>
        <v/>
      </c>
      <c r="BD540" s="82">
        <f>($Q540-$H540)*100</f>
        <v/>
      </c>
      <c r="BE540" s="82">
        <f>($S540-$J540)*100</f>
        <v/>
      </c>
      <c r="BF540" s="82">
        <f>($V540-$L540)*100</f>
        <v/>
      </c>
      <c r="BG540" s="82">
        <f>$AG540-$AF540</f>
        <v/>
      </c>
      <c r="BH540" s="81">
        <f>IFERROR($AG540/$AF540,"")</f>
        <v/>
      </c>
      <c r="BI540" s="82">
        <f>$AJ540-$AF540</f>
        <v/>
      </c>
      <c r="BJ540" s="81">
        <f>IFERROR($AJ540/$AG540,"")</f>
        <v/>
      </c>
      <c r="BK540" s="81">
        <f>$X540</f>
        <v/>
      </c>
      <c r="BL540" s="82">
        <f>($J540-$J541)*100</f>
        <v/>
      </c>
      <c r="BM540" s="82">
        <f>($F540-$F541)*100</f>
        <v/>
      </c>
      <c r="BN540" s="82">
        <f>$AF540-$AF541</f>
        <v/>
      </c>
      <c r="BO540" s="82">
        <f>$AG540-$AG541</f>
        <v/>
      </c>
      <c r="BP540" s="82">
        <f>$AJ540-$AJ541</f>
        <v/>
      </c>
    </row>
    <row r="541">
      <c r="AR541" s="81">
        <f>($G541+($H541-$G541)*0.5)+($P541-($O541+($Q541-$O541)*0.5))</f>
        <v/>
      </c>
      <c r="AS541" s="81">
        <f>($J541+($K541-$J541)*0.5)+($T541-($S541+($U541-$S541)*0.5))</f>
        <v/>
      </c>
      <c r="AT541" s="82">
        <f>($J541-$C541)*100</f>
        <v/>
      </c>
      <c r="AU541" s="82">
        <f>($H541-$F541)*100</f>
        <v/>
      </c>
      <c r="AV541" s="82">
        <f>($J541-$F541)*100</f>
        <v/>
      </c>
      <c r="AW541" s="82">
        <f>($L541-$F541)*100</f>
        <v/>
      </c>
      <c r="AX541" s="82">
        <f>($J541-$H541)*100</f>
        <v/>
      </c>
      <c r="AY541" s="82">
        <f>($L541-$H541)*100</f>
        <v/>
      </c>
      <c r="AZ541" s="82">
        <f>($L541-$J541)*100</f>
        <v/>
      </c>
      <c r="BA541" s="82">
        <f>(2*$H541-$F541-$J541)*100</f>
        <v/>
      </c>
      <c r="BB541" s="82">
        <f>(2*$J541-$H541-$L541)*100</f>
        <v/>
      </c>
      <c r="BC541" s="82">
        <f>($N541-$F541)*100</f>
        <v/>
      </c>
      <c r="BD541" s="82">
        <f>($Q541-$H541)*100</f>
        <v/>
      </c>
      <c r="BE541" s="82">
        <f>($S541-$J541)*100</f>
        <v/>
      </c>
      <c r="BF541" s="82">
        <f>($V541-$L541)*100</f>
        <v/>
      </c>
      <c r="BG541" s="82">
        <f>$AG541-$AF541</f>
        <v/>
      </c>
      <c r="BH541" s="81">
        <f>IFERROR($AG541/$AF541,"")</f>
        <v/>
      </c>
      <c r="BI541" s="82">
        <f>$AJ541-$AF541</f>
        <v/>
      </c>
      <c r="BJ541" s="81">
        <f>IFERROR($AJ541/$AG541,"")</f>
        <v/>
      </c>
      <c r="BK541" s="81">
        <f>$X541</f>
        <v/>
      </c>
      <c r="BL541" s="82">
        <f>($J541-$J542)*100</f>
        <v/>
      </c>
      <c r="BM541" s="82">
        <f>($F541-$F542)*100</f>
        <v/>
      </c>
      <c r="BN541" s="82">
        <f>$AF541-$AF542</f>
        <v/>
      </c>
      <c r="BO541" s="82">
        <f>$AG541-$AG542</f>
        <v/>
      </c>
      <c r="BP541" s="82">
        <f>$AJ541-$AJ542</f>
        <v/>
      </c>
    </row>
    <row r="542">
      <c r="AR542" s="81">
        <f>($G542+($H542-$G542)*0.5)+($P542-($O542+($Q542-$O542)*0.5))</f>
        <v/>
      </c>
      <c r="AS542" s="81">
        <f>($J542+($K542-$J542)*0.5)+($T542-($S542+($U542-$S542)*0.5))</f>
        <v/>
      </c>
      <c r="AT542" s="82">
        <f>($J542-$C542)*100</f>
        <v/>
      </c>
      <c r="AU542" s="82">
        <f>($H542-$F542)*100</f>
        <v/>
      </c>
      <c r="AV542" s="82">
        <f>($J542-$F542)*100</f>
        <v/>
      </c>
      <c r="AW542" s="82">
        <f>($L542-$F542)*100</f>
        <v/>
      </c>
      <c r="AX542" s="82">
        <f>($J542-$H542)*100</f>
        <v/>
      </c>
      <c r="AY542" s="82">
        <f>($L542-$H542)*100</f>
        <v/>
      </c>
      <c r="AZ542" s="82">
        <f>($L542-$J542)*100</f>
        <v/>
      </c>
      <c r="BA542" s="82">
        <f>(2*$H542-$F542-$J542)*100</f>
        <v/>
      </c>
      <c r="BB542" s="82">
        <f>(2*$J542-$H542-$L542)*100</f>
        <v/>
      </c>
      <c r="BC542" s="82">
        <f>($N542-$F542)*100</f>
        <v/>
      </c>
      <c r="BD542" s="82">
        <f>($Q542-$H542)*100</f>
        <v/>
      </c>
      <c r="BE542" s="82">
        <f>($S542-$J542)*100</f>
        <v/>
      </c>
      <c r="BF542" s="82">
        <f>($V542-$L542)*100</f>
        <v/>
      </c>
      <c r="BG542" s="82">
        <f>$AG542-$AF542</f>
        <v/>
      </c>
      <c r="BH542" s="81">
        <f>IFERROR($AG542/$AF542,"")</f>
        <v/>
      </c>
      <c r="BI542" s="82">
        <f>$AJ542-$AF542</f>
        <v/>
      </c>
      <c r="BJ542" s="81">
        <f>IFERROR($AJ542/$AG542,"")</f>
        <v/>
      </c>
      <c r="BK542" s="81">
        <f>$X542</f>
        <v/>
      </c>
      <c r="BL542" s="82">
        <f>($J542-$J543)*100</f>
        <v/>
      </c>
      <c r="BM542" s="82">
        <f>($F542-$F543)*100</f>
        <v/>
      </c>
      <c r="BN542" s="82">
        <f>$AF542-$AF543</f>
        <v/>
      </c>
      <c r="BO542" s="82">
        <f>$AG542-$AG543</f>
        <v/>
      </c>
      <c r="BP542" s="82">
        <f>$AJ542-$AJ543</f>
        <v/>
      </c>
    </row>
    <row r="543">
      <c r="AR543" s="81">
        <f>($G543+($H543-$G543)*0.5)+($P543-($O543+($Q543-$O543)*0.5))</f>
        <v/>
      </c>
      <c r="AS543" s="81">
        <f>($J543+($K543-$J543)*0.5)+($T543-($S543+($U543-$S543)*0.5))</f>
        <v/>
      </c>
      <c r="AT543" s="82">
        <f>($J543-$C543)*100</f>
        <v/>
      </c>
      <c r="AU543" s="82">
        <f>($H543-$F543)*100</f>
        <v/>
      </c>
      <c r="AV543" s="82">
        <f>($J543-$F543)*100</f>
        <v/>
      </c>
      <c r="AW543" s="82">
        <f>($L543-$F543)*100</f>
        <v/>
      </c>
      <c r="AX543" s="82">
        <f>($J543-$H543)*100</f>
        <v/>
      </c>
      <c r="AY543" s="82">
        <f>($L543-$H543)*100</f>
        <v/>
      </c>
      <c r="AZ543" s="82">
        <f>($L543-$J543)*100</f>
        <v/>
      </c>
      <c r="BA543" s="82">
        <f>(2*$H543-$F543-$J543)*100</f>
        <v/>
      </c>
      <c r="BB543" s="82">
        <f>(2*$J543-$H543-$L543)*100</f>
        <v/>
      </c>
      <c r="BC543" s="82">
        <f>($N543-$F543)*100</f>
        <v/>
      </c>
      <c r="BD543" s="82">
        <f>($Q543-$H543)*100</f>
        <v/>
      </c>
      <c r="BE543" s="82">
        <f>($S543-$J543)*100</f>
        <v/>
      </c>
      <c r="BF543" s="82">
        <f>($V543-$L543)*100</f>
        <v/>
      </c>
      <c r="BG543" s="82">
        <f>$AG543-$AF543</f>
        <v/>
      </c>
      <c r="BH543" s="81">
        <f>IFERROR($AG543/$AF543,"")</f>
        <v/>
      </c>
      <c r="BI543" s="82">
        <f>$AJ543-$AF543</f>
        <v/>
      </c>
      <c r="BJ543" s="81">
        <f>IFERROR($AJ543/$AG543,"")</f>
        <v/>
      </c>
      <c r="BK543" s="81">
        <f>$X543</f>
        <v/>
      </c>
      <c r="BL543" s="82">
        <f>($J543-$J544)*100</f>
        <v/>
      </c>
      <c r="BM543" s="82">
        <f>($F543-$F544)*100</f>
        <v/>
      </c>
      <c r="BN543" s="82">
        <f>$AF543-$AF544</f>
        <v/>
      </c>
      <c r="BO543" s="82">
        <f>$AG543-$AG544</f>
        <v/>
      </c>
      <c r="BP543" s="82">
        <f>$AJ543-$AJ544</f>
        <v/>
      </c>
    </row>
    <row r="544">
      <c r="AR544" s="81">
        <f>($G544+($H544-$G544)*0.5)+($P544-($O544+($Q544-$O544)*0.5))</f>
        <v/>
      </c>
      <c r="AS544" s="81">
        <f>($J544+($K544-$J544)*0.5)+($T544-($S544+($U544-$S544)*0.5))</f>
        <v/>
      </c>
      <c r="AT544" s="82">
        <f>($J544-$C544)*100</f>
        <v/>
      </c>
      <c r="AU544" s="82">
        <f>($H544-$F544)*100</f>
        <v/>
      </c>
      <c r="AV544" s="82">
        <f>($J544-$F544)*100</f>
        <v/>
      </c>
      <c r="AW544" s="82">
        <f>($L544-$F544)*100</f>
        <v/>
      </c>
      <c r="AX544" s="82">
        <f>($J544-$H544)*100</f>
        <v/>
      </c>
      <c r="AY544" s="82">
        <f>($L544-$H544)*100</f>
        <v/>
      </c>
      <c r="AZ544" s="82">
        <f>($L544-$J544)*100</f>
        <v/>
      </c>
      <c r="BA544" s="82">
        <f>(2*$H544-$F544-$J544)*100</f>
        <v/>
      </c>
      <c r="BB544" s="82">
        <f>(2*$J544-$H544-$L544)*100</f>
        <v/>
      </c>
      <c r="BC544" s="82">
        <f>($N544-$F544)*100</f>
        <v/>
      </c>
      <c r="BD544" s="82">
        <f>($Q544-$H544)*100</f>
        <v/>
      </c>
      <c r="BE544" s="82">
        <f>($S544-$J544)*100</f>
        <v/>
      </c>
      <c r="BF544" s="82">
        <f>($V544-$L544)*100</f>
        <v/>
      </c>
      <c r="BG544" s="82">
        <f>$AG544-$AF544</f>
        <v/>
      </c>
      <c r="BH544" s="81">
        <f>IFERROR($AG544/$AF544,"")</f>
        <v/>
      </c>
      <c r="BI544" s="82">
        <f>$AJ544-$AF544</f>
        <v/>
      </c>
      <c r="BJ544" s="81">
        <f>IFERROR($AJ544/$AG544,"")</f>
        <v/>
      </c>
      <c r="BK544" s="81">
        <f>$X544</f>
        <v/>
      </c>
      <c r="BL544" s="82">
        <f>($J544-$J545)*100</f>
        <v/>
      </c>
      <c r="BM544" s="82">
        <f>($F544-$F545)*100</f>
        <v/>
      </c>
      <c r="BN544" s="82">
        <f>$AF544-$AF545</f>
        <v/>
      </c>
      <c r="BO544" s="82">
        <f>$AG544-$AG545</f>
        <v/>
      </c>
      <c r="BP544" s="82">
        <f>$AJ544-$AJ545</f>
        <v/>
      </c>
    </row>
    <row r="545">
      <c r="AR545" s="81">
        <f>($G545+($H545-$G545)*0.5)+($P545-($O545+($Q545-$O545)*0.5))</f>
        <v/>
      </c>
      <c r="AS545" s="81">
        <f>($J545+($K545-$J545)*0.5)+($T545-($S545+($U545-$S545)*0.5))</f>
        <v/>
      </c>
      <c r="AT545" s="82">
        <f>($J545-$C545)*100</f>
        <v/>
      </c>
      <c r="AU545" s="82">
        <f>($H545-$F545)*100</f>
        <v/>
      </c>
      <c r="AV545" s="82">
        <f>($J545-$F545)*100</f>
        <v/>
      </c>
      <c r="AW545" s="82">
        <f>($L545-$F545)*100</f>
        <v/>
      </c>
      <c r="AX545" s="82">
        <f>($J545-$H545)*100</f>
        <v/>
      </c>
      <c r="AY545" s="82">
        <f>($L545-$H545)*100</f>
        <v/>
      </c>
      <c r="AZ545" s="82">
        <f>($L545-$J545)*100</f>
        <v/>
      </c>
      <c r="BA545" s="82">
        <f>(2*$H545-$F545-$J545)*100</f>
        <v/>
      </c>
      <c r="BB545" s="82">
        <f>(2*$J545-$H545-$L545)*100</f>
        <v/>
      </c>
      <c r="BC545" s="82">
        <f>($N545-$F545)*100</f>
        <v/>
      </c>
      <c r="BD545" s="82">
        <f>($Q545-$H545)*100</f>
        <v/>
      </c>
      <c r="BE545" s="82">
        <f>($S545-$J545)*100</f>
        <v/>
      </c>
      <c r="BF545" s="82">
        <f>($V545-$L545)*100</f>
        <v/>
      </c>
      <c r="BG545" s="82">
        <f>$AG545-$AF545</f>
        <v/>
      </c>
      <c r="BH545" s="81">
        <f>IFERROR($AG545/$AF545,"")</f>
        <v/>
      </c>
      <c r="BI545" s="82">
        <f>$AJ545-$AF545</f>
        <v/>
      </c>
      <c r="BJ545" s="81">
        <f>IFERROR($AJ545/$AG545,"")</f>
        <v/>
      </c>
      <c r="BK545" s="81">
        <f>$X545</f>
        <v/>
      </c>
      <c r="BL545" s="82">
        <f>($J545-$J546)*100</f>
        <v/>
      </c>
      <c r="BM545" s="82">
        <f>($F545-$F546)*100</f>
        <v/>
      </c>
      <c r="BN545" s="82">
        <f>$AF545-$AF546</f>
        <v/>
      </c>
      <c r="BO545" s="82">
        <f>$AG545-$AG546</f>
        <v/>
      </c>
      <c r="BP545" s="82">
        <f>$AJ545-$AJ546</f>
        <v/>
      </c>
    </row>
    <row r="546">
      <c r="AR546" s="81">
        <f>($G546+($H546-$G546)*0.5)+($P546-($O546+($Q546-$O546)*0.5))</f>
        <v/>
      </c>
      <c r="AS546" s="81">
        <f>($J546+($K546-$J546)*0.5)+($T546-($S546+($U546-$S546)*0.5))</f>
        <v/>
      </c>
      <c r="AT546" s="82">
        <f>($J546-$C546)*100</f>
        <v/>
      </c>
      <c r="AU546" s="82">
        <f>($H546-$F546)*100</f>
        <v/>
      </c>
      <c r="AV546" s="82">
        <f>($J546-$F546)*100</f>
        <v/>
      </c>
      <c r="AW546" s="82">
        <f>($L546-$F546)*100</f>
        <v/>
      </c>
      <c r="AX546" s="82">
        <f>($J546-$H546)*100</f>
        <v/>
      </c>
      <c r="AY546" s="82">
        <f>($L546-$H546)*100</f>
        <v/>
      </c>
      <c r="AZ546" s="82">
        <f>($L546-$J546)*100</f>
        <v/>
      </c>
      <c r="BA546" s="82">
        <f>(2*$H546-$F546-$J546)*100</f>
        <v/>
      </c>
      <c r="BB546" s="82">
        <f>(2*$J546-$H546-$L546)*100</f>
        <v/>
      </c>
      <c r="BC546" s="82">
        <f>($N546-$F546)*100</f>
        <v/>
      </c>
      <c r="BD546" s="82">
        <f>($Q546-$H546)*100</f>
        <v/>
      </c>
      <c r="BE546" s="82">
        <f>($S546-$J546)*100</f>
        <v/>
      </c>
      <c r="BF546" s="82">
        <f>($V546-$L546)*100</f>
        <v/>
      </c>
      <c r="BG546" s="82">
        <f>$AG546-$AF546</f>
        <v/>
      </c>
      <c r="BH546" s="81">
        <f>IFERROR($AG546/$AF546,"")</f>
        <v/>
      </c>
      <c r="BI546" s="82">
        <f>$AJ546-$AF546</f>
        <v/>
      </c>
      <c r="BJ546" s="81">
        <f>IFERROR($AJ546/$AG546,"")</f>
        <v/>
      </c>
      <c r="BK546" s="81">
        <f>$X546</f>
        <v/>
      </c>
      <c r="BL546" s="82">
        <f>($J546-$J547)*100</f>
        <v/>
      </c>
      <c r="BM546" s="82">
        <f>($F546-$F547)*100</f>
        <v/>
      </c>
      <c r="BN546" s="82">
        <f>$AF546-$AF547</f>
        <v/>
      </c>
      <c r="BO546" s="82">
        <f>$AG546-$AG547</f>
        <v/>
      </c>
      <c r="BP546" s="82">
        <f>$AJ546-$AJ547</f>
        <v/>
      </c>
    </row>
    <row r="547">
      <c r="AR547" s="81">
        <f>($G547+($H547-$G547)*0.5)+($P547-($O547+($Q547-$O547)*0.5))</f>
        <v/>
      </c>
      <c r="AS547" s="81">
        <f>($J547+($K547-$J547)*0.5)+($T547-($S547+($U547-$S547)*0.5))</f>
        <v/>
      </c>
      <c r="AT547" s="82">
        <f>($J547-$C547)*100</f>
        <v/>
      </c>
      <c r="AU547" s="82">
        <f>($H547-$F547)*100</f>
        <v/>
      </c>
      <c r="AV547" s="82">
        <f>($J547-$F547)*100</f>
        <v/>
      </c>
      <c r="AW547" s="82">
        <f>($L547-$F547)*100</f>
        <v/>
      </c>
      <c r="AX547" s="82">
        <f>($J547-$H547)*100</f>
        <v/>
      </c>
      <c r="AY547" s="82">
        <f>($L547-$H547)*100</f>
        <v/>
      </c>
      <c r="AZ547" s="82">
        <f>($L547-$J547)*100</f>
        <v/>
      </c>
      <c r="BA547" s="82">
        <f>(2*$H547-$F547-$J547)*100</f>
        <v/>
      </c>
      <c r="BB547" s="82">
        <f>(2*$J547-$H547-$L547)*100</f>
        <v/>
      </c>
      <c r="BC547" s="82">
        <f>($N547-$F547)*100</f>
        <v/>
      </c>
      <c r="BD547" s="82">
        <f>($Q547-$H547)*100</f>
        <v/>
      </c>
      <c r="BE547" s="82">
        <f>($S547-$J547)*100</f>
        <v/>
      </c>
      <c r="BF547" s="82">
        <f>($V547-$L547)*100</f>
        <v/>
      </c>
      <c r="BG547" s="82">
        <f>$AG547-$AF547</f>
        <v/>
      </c>
      <c r="BH547" s="81">
        <f>IFERROR($AG547/$AF547,"")</f>
        <v/>
      </c>
      <c r="BI547" s="82">
        <f>$AJ547-$AF547</f>
        <v/>
      </c>
      <c r="BJ547" s="81">
        <f>IFERROR($AJ547/$AG547,"")</f>
        <v/>
      </c>
      <c r="BK547" s="81">
        <f>$X547</f>
        <v/>
      </c>
      <c r="BL547" s="82">
        <f>($J547-$J548)*100</f>
        <v/>
      </c>
      <c r="BM547" s="82">
        <f>($F547-$F548)*100</f>
        <v/>
      </c>
      <c r="BN547" s="82">
        <f>$AF547-$AF548</f>
        <v/>
      </c>
      <c r="BO547" s="82">
        <f>$AG547-$AG548</f>
        <v/>
      </c>
      <c r="BP547" s="82">
        <f>$AJ547-$AJ548</f>
        <v/>
      </c>
    </row>
    <row r="548">
      <c r="AR548" s="81">
        <f>($G548+($H548-$G548)*0.5)+($P548-($O548+($Q548-$O548)*0.5))</f>
        <v/>
      </c>
      <c r="AS548" s="81">
        <f>($J548+($K548-$J548)*0.5)+($T548-($S548+($U548-$S548)*0.5))</f>
        <v/>
      </c>
      <c r="AT548" s="82">
        <f>($J548-$C548)*100</f>
        <v/>
      </c>
      <c r="AU548" s="82">
        <f>($H548-$F548)*100</f>
        <v/>
      </c>
      <c r="AV548" s="82">
        <f>($J548-$F548)*100</f>
        <v/>
      </c>
      <c r="AW548" s="82">
        <f>($L548-$F548)*100</f>
        <v/>
      </c>
      <c r="AX548" s="82">
        <f>($J548-$H548)*100</f>
        <v/>
      </c>
      <c r="AY548" s="82">
        <f>($L548-$H548)*100</f>
        <v/>
      </c>
      <c r="AZ548" s="82">
        <f>($L548-$J548)*100</f>
        <v/>
      </c>
      <c r="BA548" s="82">
        <f>(2*$H548-$F548-$J548)*100</f>
        <v/>
      </c>
      <c r="BB548" s="82">
        <f>(2*$J548-$H548-$L548)*100</f>
        <v/>
      </c>
      <c r="BC548" s="82">
        <f>($N548-$F548)*100</f>
        <v/>
      </c>
      <c r="BD548" s="82">
        <f>($Q548-$H548)*100</f>
        <v/>
      </c>
      <c r="BE548" s="82">
        <f>($S548-$J548)*100</f>
        <v/>
      </c>
      <c r="BF548" s="82">
        <f>($V548-$L548)*100</f>
        <v/>
      </c>
      <c r="BG548" s="82">
        <f>$AG548-$AF548</f>
        <v/>
      </c>
      <c r="BH548" s="81">
        <f>IFERROR($AG548/$AF548,"")</f>
        <v/>
      </c>
      <c r="BI548" s="82">
        <f>$AJ548-$AF548</f>
        <v/>
      </c>
      <c r="BJ548" s="81">
        <f>IFERROR($AJ548/$AG548,"")</f>
        <v/>
      </c>
      <c r="BK548" s="81">
        <f>$X548</f>
        <v/>
      </c>
      <c r="BL548" s="82">
        <f>($J548-$J549)*100</f>
        <v/>
      </c>
      <c r="BM548" s="82">
        <f>($F548-$F549)*100</f>
        <v/>
      </c>
      <c r="BN548" s="82">
        <f>$AF548-$AF549</f>
        <v/>
      </c>
      <c r="BO548" s="82">
        <f>$AG548-$AG549</f>
        <v/>
      </c>
      <c r="BP548" s="82">
        <f>$AJ548-$AJ549</f>
        <v/>
      </c>
    </row>
    <row r="549">
      <c r="AR549" s="81">
        <f>($G549+($H549-$G549)*0.5)+($P549-($O549+($Q549-$O549)*0.5))</f>
        <v/>
      </c>
      <c r="AS549" s="81">
        <f>($J549+($K549-$J549)*0.5)+($T549-($S549+($U549-$S549)*0.5))</f>
        <v/>
      </c>
      <c r="AT549" s="82">
        <f>($J549-$C549)*100</f>
        <v/>
      </c>
      <c r="AU549" s="82">
        <f>($H549-$F549)*100</f>
        <v/>
      </c>
      <c r="AV549" s="82">
        <f>($J549-$F549)*100</f>
        <v/>
      </c>
      <c r="AW549" s="82">
        <f>($L549-$F549)*100</f>
        <v/>
      </c>
      <c r="AX549" s="82">
        <f>($J549-$H549)*100</f>
        <v/>
      </c>
      <c r="AY549" s="82">
        <f>($L549-$H549)*100</f>
        <v/>
      </c>
      <c r="AZ549" s="82">
        <f>($L549-$J549)*100</f>
        <v/>
      </c>
      <c r="BA549" s="82">
        <f>(2*$H549-$F549-$J549)*100</f>
        <v/>
      </c>
      <c r="BB549" s="82">
        <f>(2*$J549-$H549-$L549)*100</f>
        <v/>
      </c>
      <c r="BC549" s="82">
        <f>($N549-$F549)*100</f>
        <v/>
      </c>
      <c r="BD549" s="82">
        <f>($Q549-$H549)*100</f>
        <v/>
      </c>
      <c r="BE549" s="82">
        <f>($S549-$J549)*100</f>
        <v/>
      </c>
      <c r="BF549" s="82">
        <f>($V549-$L549)*100</f>
        <v/>
      </c>
      <c r="BG549" s="82">
        <f>$AG549-$AF549</f>
        <v/>
      </c>
      <c r="BH549" s="81">
        <f>IFERROR($AG549/$AF549,"")</f>
        <v/>
      </c>
      <c r="BI549" s="82">
        <f>$AJ549-$AF549</f>
        <v/>
      </c>
      <c r="BJ549" s="81">
        <f>IFERROR($AJ549/$AG549,"")</f>
        <v/>
      </c>
      <c r="BK549" s="81">
        <f>$X549</f>
        <v/>
      </c>
      <c r="BL549" s="82">
        <f>($J549-$J550)*100</f>
        <v/>
      </c>
      <c r="BM549" s="82">
        <f>($F549-$F550)*100</f>
        <v/>
      </c>
      <c r="BN549" s="82">
        <f>$AF549-$AF550</f>
        <v/>
      </c>
      <c r="BO549" s="82">
        <f>$AG549-$AG550</f>
        <v/>
      </c>
      <c r="BP549" s="82">
        <f>$AJ549-$AJ550</f>
        <v/>
      </c>
    </row>
    <row r="550">
      <c r="AR550" s="81">
        <f>($G550+($H550-$G550)*0.5)+($P550-($O550+($Q550-$O550)*0.5))</f>
        <v/>
      </c>
      <c r="AS550" s="81">
        <f>($J550+($K550-$J550)*0.5)+($T550-($S550+($U550-$S550)*0.5))</f>
        <v/>
      </c>
      <c r="AT550" s="82">
        <f>($J550-$C550)*100</f>
        <v/>
      </c>
      <c r="AU550" s="82">
        <f>($H550-$F550)*100</f>
        <v/>
      </c>
      <c r="AV550" s="82">
        <f>($J550-$F550)*100</f>
        <v/>
      </c>
      <c r="AW550" s="82">
        <f>($L550-$F550)*100</f>
        <v/>
      </c>
      <c r="AX550" s="82">
        <f>($J550-$H550)*100</f>
        <v/>
      </c>
      <c r="AY550" s="82">
        <f>($L550-$H550)*100</f>
        <v/>
      </c>
      <c r="AZ550" s="82">
        <f>($L550-$J550)*100</f>
        <v/>
      </c>
      <c r="BA550" s="82">
        <f>(2*$H550-$F550-$J550)*100</f>
        <v/>
      </c>
      <c r="BB550" s="82">
        <f>(2*$J550-$H550-$L550)*100</f>
        <v/>
      </c>
      <c r="BC550" s="82">
        <f>($N550-$F550)*100</f>
        <v/>
      </c>
      <c r="BD550" s="82">
        <f>($Q550-$H550)*100</f>
        <v/>
      </c>
      <c r="BE550" s="82">
        <f>($S550-$J550)*100</f>
        <v/>
      </c>
      <c r="BF550" s="82">
        <f>($V550-$L550)*100</f>
        <v/>
      </c>
      <c r="BG550" s="82">
        <f>$AG550-$AF550</f>
        <v/>
      </c>
      <c r="BH550" s="81">
        <f>IFERROR($AG550/$AF550,"")</f>
        <v/>
      </c>
      <c r="BI550" s="82">
        <f>$AJ550-$AF550</f>
        <v/>
      </c>
      <c r="BJ550" s="81">
        <f>IFERROR($AJ550/$AG550,"")</f>
        <v/>
      </c>
      <c r="BK550" s="81">
        <f>$X550</f>
        <v/>
      </c>
      <c r="BL550" s="82">
        <f>($J550-$J551)*100</f>
        <v/>
      </c>
      <c r="BM550" s="82">
        <f>($F550-$F551)*100</f>
        <v/>
      </c>
      <c r="BN550" s="82">
        <f>$AF550-$AF551</f>
        <v/>
      </c>
      <c r="BO550" s="82">
        <f>$AG550-$AG551</f>
        <v/>
      </c>
      <c r="BP550" s="82">
        <f>$AJ550-$AJ551</f>
        <v/>
      </c>
    </row>
    <row r="551">
      <c r="AR551" s="81">
        <f>($G551+($H551-$G551)*0.5)+($P551-($O551+($Q551-$O551)*0.5))</f>
        <v/>
      </c>
      <c r="AS551" s="81">
        <f>($J551+($K551-$J551)*0.5)+($T551-($S551+($U551-$S551)*0.5))</f>
        <v/>
      </c>
      <c r="AT551" s="82">
        <f>($J551-$C551)*100</f>
        <v/>
      </c>
      <c r="AU551" s="82">
        <f>($H551-$F551)*100</f>
        <v/>
      </c>
      <c r="AV551" s="82">
        <f>($J551-$F551)*100</f>
        <v/>
      </c>
      <c r="AW551" s="82">
        <f>($L551-$F551)*100</f>
        <v/>
      </c>
      <c r="AX551" s="82">
        <f>($J551-$H551)*100</f>
        <v/>
      </c>
      <c r="AY551" s="82">
        <f>($L551-$H551)*100</f>
        <v/>
      </c>
      <c r="AZ551" s="82">
        <f>($L551-$J551)*100</f>
        <v/>
      </c>
      <c r="BA551" s="82">
        <f>(2*$H551-$F551-$J551)*100</f>
        <v/>
      </c>
      <c r="BB551" s="82">
        <f>(2*$J551-$H551-$L551)*100</f>
        <v/>
      </c>
      <c r="BC551" s="82">
        <f>($N551-$F551)*100</f>
        <v/>
      </c>
      <c r="BD551" s="82">
        <f>($Q551-$H551)*100</f>
        <v/>
      </c>
      <c r="BE551" s="82">
        <f>($S551-$J551)*100</f>
        <v/>
      </c>
      <c r="BF551" s="82">
        <f>($V551-$L551)*100</f>
        <v/>
      </c>
      <c r="BG551" s="82">
        <f>$AG551-$AF551</f>
        <v/>
      </c>
      <c r="BH551" s="81">
        <f>IFERROR($AG551/$AF551,"")</f>
        <v/>
      </c>
      <c r="BI551" s="82">
        <f>$AJ551-$AF551</f>
        <v/>
      </c>
      <c r="BJ551" s="81">
        <f>IFERROR($AJ551/$AG551,"")</f>
        <v/>
      </c>
      <c r="BK551" s="81">
        <f>$X551</f>
        <v/>
      </c>
      <c r="BL551" s="82">
        <f>($J551-$J552)*100</f>
        <v/>
      </c>
      <c r="BM551" s="82">
        <f>($F551-$F552)*100</f>
        <v/>
      </c>
      <c r="BN551" s="82">
        <f>$AF551-$AF552</f>
        <v/>
      </c>
      <c r="BO551" s="82">
        <f>$AG551-$AG552</f>
        <v/>
      </c>
      <c r="BP551" s="82">
        <f>$AJ551-$AJ552</f>
        <v/>
      </c>
    </row>
    <row r="552">
      <c r="AR552" s="81">
        <f>($G552+($H552-$G552)*0.5)+($P552-($O552+($Q552-$O552)*0.5))</f>
        <v/>
      </c>
      <c r="AS552" s="81">
        <f>($J552+($K552-$J552)*0.5)+($T552-($S552+($U552-$S552)*0.5))</f>
        <v/>
      </c>
      <c r="AT552" s="82">
        <f>($J552-$C552)*100</f>
        <v/>
      </c>
      <c r="AU552" s="82">
        <f>($H552-$F552)*100</f>
        <v/>
      </c>
      <c r="AV552" s="82">
        <f>($J552-$F552)*100</f>
        <v/>
      </c>
      <c r="AW552" s="82">
        <f>($L552-$F552)*100</f>
        <v/>
      </c>
      <c r="AX552" s="82">
        <f>($J552-$H552)*100</f>
        <v/>
      </c>
      <c r="AY552" s="82">
        <f>($L552-$H552)*100</f>
        <v/>
      </c>
      <c r="AZ552" s="82">
        <f>($L552-$J552)*100</f>
        <v/>
      </c>
      <c r="BA552" s="82">
        <f>(2*$H552-$F552-$J552)*100</f>
        <v/>
      </c>
      <c r="BB552" s="82">
        <f>(2*$J552-$H552-$L552)*100</f>
        <v/>
      </c>
      <c r="BC552" s="82">
        <f>($N552-$F552)*100</f>
        <v/>
      </c>
      <c r="BD552" s="82">
        <f>($Q552-$H552)*100</f>
        <v/>
      </c>
      <c r="BE552" s="82">
        <f>($S552-$J552)*100</f>
        <v/>
      </c>
      <c r="BF552" s="82">
        <f>($V552-$L552)*100</f>
        <v/>
      </c>
      <c r="BG552" s="82">
        <f>$AG552-$AF552</f>
        <v/>
      </c>
      <c r="BH552" s="81">
        <f>IFERROR($AG552/$AF552,"")</f>
        <v/>
      </c>
      <c r="BI552" s="82">
        <f>$AJ552-$AF552</f>
        <v/>
      </c>
      <c r="BJ552" s="81">
        <f>IFERROR($AJ552/$AG552,"")</f>
        <v/>
      </c>
      <c r="BK552" s="81">
        <f>$X552</f>
        <v/>
      </c>
      <c r="BL552" s="82">
        <f>($J552-$J553)*100</f>
        <v/>
      </c>
      <c r="BM552" s="82">
        <f>($F552-$F553)*100</f>
        <v/>
      </c>
      <c r="BN552" s="82">
        <f>$AF552-$AF553</f>
        <v/>
      </c>
      <c r="BO552" s="82">
        <f>$AG552-$AG553</f>
        <v/>
      </c>
      <c r="BP552" s="82">
        <f>$AJ552-$AJ553</f>
        <v/>
      </c>
    </row>
    <row r="553">
      <c r="AR553" s="81">
        <f>($G553+($H553-$G553)*0.5)+($P553-($O553+($Q553-$O553)*0.5))</f>
        <v/>
      </c>
      <c r="AS553" s="81">
        <f>($J553+($K553-$J553)*0.5)+($T553-($S553+($U553-$S553)*0.5))</f>
        <v/>
      </c>
      <c r="AT553" s="82">
        <f>($J553-$C553)*100</f>
        <v/>
      </c>
      <c r="AU553" s="82">
        <f>($H553-$F553)*100</f>
        <v/>
      </c>
      <c r="AV553" s="82">
        <f>($J553-$F553)*100</f>
        <v/>
      </c>
      <c r="AW553" s="82">
        <f>($L553-$F553)*100</f>
        <v/>
      </c>
      <c r="AX553" s="82">
        <f>($J553-$H553)*100</f>
        <v/>
      </c>
      <c r="AY553" s="82">
        <f>($L553-$H553)*100</f>
        <v/>
      </c>
      <c r="AZ553" s="82">
        <f>($L553-$J553)*100</f>
        <v/>
      </c>
      <c r="BA553" s="82">
        <f>(2*$H553-$F553-$J553)*100</f>
        <v/>
      </c>
      <c r="BB553" s="82">
        <f>(2*$J553-$H553-$L553)*100</f>
        <v/>
      </c>
      <c r="BC553" s="82">
        <f>($N553-$F553)*100</f>
        <v/>
      </c>
      <c r="BD553" s="82">
        <f>($Q553-$H553)*100</f>
        <v/>
      </c>
      <c r="BE553" s="82">
        <f>($S553-$J553)*100</f>
        <v/>
      </c>
      <c r="BF553" s="82">
        <f>($V553-$L553)*100</f>
        <v/>
      </c>
      <c r="BG553" s="82">
        <f>$AG553-$AF553</f>
        <v/>
      </c>
      <c r="BH553" s="81">
        <f>IFERROR($AG553/$AF553,"")</f>
        <v/>
      </c>
      <c r="BI553" s="82">
        <f>$AJ553-$AF553</f>
        <v/>
      </c>
      <c r="BJ553" s="81">
        <f>IFERROR($AJ553/$AG553,"")</f>
        <v/>
      </c>
      <c r="BK553" s="81">
        <f>$X553</f>
        <v/>
      </c>
      <c r="BL553" s="82">
        <f>($J553-$J554)*100</f>
        <v/>
      </c>
      <c r="BM553" s="82">
        <f>($F553-$F554)*100</f>
        <v/>
      </c>
      <c r="BN553" s="82">
        <f>$AF553-$AF554</f>
        <v/>
      </c>
      <c r="BO553" s="82">
        <f>$AG553-$AG554</f>
        <v/>
      </c>
      <c r="BP553" s="82">
        <f>$AJ553-$AJ554</f>
        <v/>
      </c>
    </row>
    <row r="554">
      <c r="AR554" s="81">
        <f>($G554+($H554-$G554)*0.5)+($P554-($O554+($Q554-$O554)*0.5))</f>
        <v/>
      </c>
      <c r="AS554" s="81">
        <f>($J554+($K554-$J554)*0.5)+($T554-($S554+($U554-$S554)*0.5))</f>
        <v/>
      </c>
      <c r="AT554" s="82">
        <f>($J554-$C554)*100</f>
        <v/>
      </c>
      <c r="AU554" s="82">
        <f>($H554-$F554)*100</f>
        <v/>
      </c>
      <c r="AV554" s="82">
        <f>($J554-$F554)*100</f>
        <v/>
      </c>
      <c r="AW554" s="82">
        <f>($L554-$F554)*100</f>
        <v/>
      </c>
      <c r="AX554" s="82">
        <f>($J554-$H554)*100</f>
        <v/>
      </c>
      <c r="AY554" s="82">
        <f>($L554-$H554)*100</f>
        <v/>
      </c>
      <c r="AZ554" s="82">
        <f>($L554-$J554)*100</f>
        <v/>
      </c>
      <c r="BA554" s="82">
        <f>(2*$H554-$F554-$J554)*100</f>
        <v/>
      </c>
      <c r="BB554" s="82">
        <f>(2*$J554-$H554-$L554)*100</f>
        <v/>
      </c>
      <c r="BC554" s="82">
        <f>($N554-$F554)*100</f>
        <v/>
      </c>
      <c r="BD554" s="82">
        <f>($Q554-$H554)*100</f>
        <v/>
      </c>
      <c r="BE554" s="82">
        <f>($S554-$J554)*100</f>
        <v/>
      </c>
      <c r="BF554" s="82">
        <f>($V554-$L554)*100</f>
        <v/>
      </c>
      <c r="BG554" s="82">
        <f>$AG554-$AF554</f>
        <v/>
      </c>
      <c r="BH554" s="81">
        <f>IFERROR($AG554/$AF554,"")</f>
        <v/>
      </c>
      <c r="BI554" s="82">
        <f>$AJ554-$AF554</f>
        <v/>
      </c>
      <c r="BJ554" s="81">
        <f>IFERROR($AJ554/$AG554,"")</f>
        <v/>
      </c>
      <c r="BK554" s="81">
        <f>$X554</f>
        <v/>
      </c>
      <c r="BL554" s="82">
        <f>($J554-$J555)*100</f>
        <v/>
      </c>
      <c r="BM554" s="82">
        <f>($F554-$F555)*100</f>
        <v/>
      </c>
      <c r="BN554" s="82">
        <f>$AF554-$AF555</f>
        <v/>
      </c>
      <c r="BO554" s="82">
        <f>$AG554-$AG555</f>
        <v/>
      </c>
      <c r="BP554" s="82">
        <f>$AJ554-$AJ555</f>
        <v/>
      </c>
    </row>
    <row r="555">
      <c r="AR555" s="81">
        <f>($G555+($H555-$G555)*0.5)+($P555-($O555+($Q555-$O555)*0.5))</f>
        <v/>
      </c>
      <c r="AS555" s="81">
        <f>($J555+($K555-$J555)*0.5)+($T555-($S555+($U555-$S555)*0.5))</f>
        <v/>
      </c>
      <c r="AT555" s="82">
        <f>($J555-$C555)*100</f>
        <v/>
      </c>
      <c r="AU555" s="82">
        <f>($H555-$F555)*100</f>
        <v/>
      </c>
      <c r="AV555" s="82">
        <f>($J555-$F555)*100</f>
        <v/>
      </c>
      <c r="AW555" s="82">
        <f>($L555-$F555)*100</f>
        <v/>
      </c>
      <c r="AX555" s="82">
        <f>($J555-$H555)*100</f>
        <v/>
      </c>
      <c r="AY555" s="82">
        <f>($L555-$H555)*100</f>
        <v/>
      </c>
      <c r="AZ555" s="82">
        <f>($L555-$J555)*100</f>
        <v/>
      </c>
      <c r="BA555" s="82">
        <f>(2*$H555-$F555-$J555)*100</f>
        <v/>
      </c>
      <c r="BB555" s="82">
        <f>(2*$J555-$H555-$L555)*100</f>
        <v/>
      </c>
      <c r="BC555" s="82">
        <f>($N555-$F555)*100</f>
        <v/>
      </c>
      <c r="BD555" s="82">
        <f>($Q555-$H555)*100</f>
        <v/>
      </c>
      <c r="BE555" s="82">
        <f>($S555-$J555)*100</f>
        <v/>
      </c>
      <c r="BF555" s="82">
        <f>($V555-$L555)*100</f>
        <v/>
      </c>
      <c r="BG555" s="82">
        <f>$AG555-$AF555</f>
        <v/>
      </c>
      <c r="BH555" s="81">
        <f>IFERROR($AG555/$AF555,"")</f>
        <v/>
      </c>
      <c r="BI555" s="82">
        <f>$AJ555-$AF555</f>
        <v/>
      </c>
      <c r="BJ555" s="81">
        <f>IFERROR($AJ555/$AG555,"")</f>
        <v/>
      </c>
      <c r="BK555" s="81">
        <f>$X555</f>
        <v/>
      </c>
      <c r="BL555" s="82">
        <f>($J555-$J556)*100</f>
        <v/>
      </c>
      <c r="BM555" s="82">
        <f>($F555-$F556)*100</f>
        <v/>
      </c>
      <c r="BN555" s="82">
        <f>$AF555-$AF556</f>
        <v/>
      </c>
      <c r="BO555" s="82">
        <f>$AG555-$AG556</f>
        <v/>
      </c>
      <c r="BP555" s="82">
        <f>$AJ555-$AJ556</f>
        <v/>
      </c>
    </row>
    <row r="556">
      <c r="AR556" s="81">
        <f>($G556+($H556-$G556)*0.5)+($P556-($O556+($Q556-$O556)*0.5))</f>
        <v/>
      </c>
      <c r="AS556" s="81">
        <f>($J556+($K556-$J556)*0.5)+($T556-($S556+($U556-$S556)*0.5))</f>
        <v/>
      </c>
      <c r="AT556" s="82">
        <f>($J556-$C556)*100</f>
        <v/>
      </c>
      <c r="AU556" s="82">
        <f>($H556-$F556)*100</f>
        <v/>
      </c>
      <c r="AV556" s="82">
        <f>($J556-$F556)*100</f>
        <v/>
      </c>
      <c r="AW556" s="82">
        <f>($L556-$F556)*100</f>
        <v/>
      </c>
      <c r="AX556" s="82">
        <f>($J556-$H556)*100</f>
        <v/>
      </c>
      <c r="AY556" s="82">
        <f>($L556-$H556)*100</f>
        <v/>
      </c>
      <c r="AZ556" s="82">
        <f>($L556-$J556)*100</f>
        <v/>
      </c>
      <c r="BA556" s="82">
        <f>(2*$H556-$F556-$J556)*100</f>
        <v/>
      </c>
      <c r="BB556" s="82">
        <f>(2*$J556-$H556-$L556)*100</f>
        <v/>
      </c>
      <c r="BC556" s="82">
        <f>($N556-$F556)*100</f>
        <v/>
      </c>
      <c r="BD556" s="82">
        <f>($Q556-$H556)*100</f>
        <v/>
      </c>
      <c r="BE556" s="82">
        <f>($S556-$J556)*100</f>
        <v/>
      </c>
      <c r="BF556" s="82">
        <f>($V556-$L556)*100</f>
        <v/>
      </c>
      <c r="BG556" s="82">
        <f>$AG556-$AF556</f>
        <v/>
      </c>
      <c r="BH556" s="81">
        <f>IFERROR($AG556/$AF556,"")</f>
        <v/>
      </c>
      <c r="BI556" s="82">
        <f>$AJ556-$AF556</f>
        <v/>
      </c>
      <c r="BJ556" s="81">
        <f>IFERROR($AJ556/$AG556,"")</f>
        <v/>
      </c>
      <c r="BK556" s="81">
        <f>$X556</f>
        <v/>
      </c>
      <c r="BL556" s="82">
        <f>($J556-$J557)*100</f>
        <v/>
      </c>
      <c r="BM556" s="82">
        <f>($F556-$F557)*100</f>
        <v/>
      </c>
      <c r="BN556" s="82">
        <f>$AF556-$AF557</f>
        <v/>
      </c>
      <c r="BO556" s="82">
        <f>$AG556-$AG557</f>
        <v/>
      </c>
      <c r="BP556" s="82">
        <f>$AJ556-$AJ557</f>
        <v/>
      </c>
    </row>
    <row r="557">
      <c r="AR557" s="81">
        <f>($G557+($H557-$G557)*0.5)+($P557-($O557+($Q557-$O557)*0.5))</f>
        <v/>
      </c>
      <c r="AS557" s="81">
        <f>($J557+($K557-$J557)*0.5)+($T557-($S557+($U557-$S557)*0.5))</f>
        <v/>
      </c>
      <c r="AT557" s="82">
        <f>($J557-$C557)*100</f>
        <v/>
      </c>
      <c r="AU557" s="82">
        <f>($H557-$F557)*100</f>
        <v/>
      </c>
      <c r="AV557" s="82">
        <f>($J557-$F557)*100</f>
        <v/>
      </c>
      <c r="AW557" s="82">
        <f>($L557-$F557)*100</f>
        <v/>
      </c>
      <c r="AX557" s="82">
        <f>($J557-$H557)*100</f>
        <v/>
      </c>
      <c r="AY557" s="82">
        <f>($L557-$H557)*100</f>
        <v/>
      </c>
      <c r="AZ557" s="82">
        <f>($L557-$J557)*100</f>
        <v/>
      </c>
      <c r="BA557" s="82">
        <f>(2*$H557-$F557-$J557)*100</f>
        <v/>
      </c>
      <c r="BB557" s="82">
        <f>(2*$J557-$H557-$L557)*100</f>
        <v/>
      </c>
      <c r="BC557" s="82">
        <f>($N557-$F557)*100</f>
        <v/>
      </c>
      <c r="BD557" s="82">
        <f>($Q557-$H557)*100</f>
        <v/>
      </c>
      <c r="BE557" s="82">
        <f>($S557-$J557)*100</f>
        <v/>
      </c>
      <c r="BF557" s="82">
        <f>($V557-$L557)*100</f>
        <v/>
      </c>
      <c r="BG557" s="82">
        <f>$AG557-$AF557</f>
        <v/>
      </c>
      <c r="BH557" s="81">
        <f>IFERROR($AG557/$AF557,"")</f>
        <v/>
      </c>
      <c r="BI557" s="82">
        <f>$AJ557-$AF557</f>
        <v/>
      </c>
      <c r="BJ557" s="81">
        <f>IFERROR($AJ557/$AG557,"")</f>
        <v/>
      </c>
      <c r="BK557" s="81">
        <f>$X557</f>
        <v/>
      </c>
      <c r="BL557" s="82">
        <f>($J557-$J558)*100</f>
        <v/>
      </c>
      <c r="BM557" s="82">
        <f>($F557-$F558)*100</f>
        <v/>
      </c>
      <c r="BN557" s="82">
        <f>$AF557-$AF558</f>
        <v/>
      </c>
      <c r="BO557" s="82">
        <f>$AG557-$AG558</f>
        <v/>
      </c>
      <c r="BP557" s="82">
        <f>$AJ557-$AJ558</f>
        <v/>
      </c>
    </row>
    <row r="558">
      <c r="AR558" s="81">
        <f>($G558+($H558-$G558)*0.5)+($P558-($O558+($Q558-$O558)*0.5))</f>
        <v/>
      </c>
      <c r="AS558" s="81">
        <f>($J558+($K558-$J558)*0.5)+($T558-($S558+($U558-$S558)*0.5))</f>
        <v/>
      </c>
      <c r="AT558" s="82">
        <f>($J558-$C558)*100</f>
        <v/>
      </c>
      <c r="AU558" s="82">
        <f>($H558-$F558)*100</f>
        <v/>
      </c>
      <c r="AV558" s="82">
        <f>($J558-$F558)*100</f>
        <v/>
      </c>
      <c r="AW558" s="82">
        <f>($L558-$F558)*100</f>
        <v/>
      </c>
      <c r="AX558" s="82">
        <f>($J558-$H558)*100</f>
        <v/>
      </c>
      <c r="AY558" s="82">
        <f>($L558-$H558)*100</f>
        <v/>
      </c>
      <c r="AZ558" s="82">
        <f>($L558-$J558)*100</f>
        <v/>
      </c>
      <c r="BA558" s="82">
        <f>(2*$H558-$F558-$J558)*100</f>
        <v/>
      </c>
      <c r="BB558" s="82">
        <f>(2*$J558-$H558-$L558)*100</f>
        <v/>
      </c>
      <c r="BC558" s="82">
        <f>($N558-$F558)*100</f>
        <v/>
      </c>
      <c r="BD558" s="82">
        <f>($Q558-$H558)*100</f>
        <v/>
      </c>
      <c r="BE558" s="82">
        <f>($S558-$J558)*100</f>
        <v/>
      </c>
      <c r="BF558" s="82">
        <f>($V558-$L558)*100</f>
        <v/>
      </c>
      <c r="BG558" s="82">
        <f>$AG558-$AF558</f>
        <v/>
      </c>
      <c r="BH558" s="81">
        <f>IFERROR($AG558/$AF558,"")</f>
        <v/>
      </c>
      <c r="BI558" s="82">
        <f>$AJ558-$AF558</f>
        <v/>
      </c>
      <c r="BJ558" s="81">
        <f>IFERROR($AJ558/$AG558,"")</f>
        <v/>
      </c>
      <c r="BK558" s="81">
        <f>$X558</f>
        <v/>
      </c>
      <c r="BL558" s="82">
        <f>($J558-$J559)*100</f>
        <v/>
      </c>
      <c r="BM558" s="82">
        <f>($F558-$F559)*100</f>
        <v/>
      </c>
      <c r="BN558" s="82">
        <f>$AF558-$AF559</f>
        <v/>
      </c>
      <c r="BO558" s="82">
        <f>$AG558-$AG559</f>
        <v/>
      </c>
      <c r="BP558" s="82">
        <f>$AJ558-$AJ559</f>
        <v/>
      </c>
    </row>
    <row r="559">
      <c r="AR559" s="81">
        <f>($G559+($H559-$G559)*0.5)+($P559-($O559+($Q559-$O559)*0.5))</f>
        <v/>
      </c>
      <c r="AS559" s="81">
        <f>($J559+($K559-$J559)*0.5)+($T559-($S559+($U559-$S559)*0.5))</f>
        <v/>
      </c>
      <c r="AT559" s="82">
        <f>($J559-$C559)*100</f>
        <v/>
      </c>
      <c r="AU559" s="82">
        <f>($H559-$F559)*100</f>
        <v/>
      </c>
      <c r="AV559" s="82">
        <f>($J559-$F559)*100</f>
        <v/>
      </c>
      <c r="AW559" s="82">
        <f>($L559-$F559)*100</f>
        <v/>
      </c>
      <c r="AX559" s="82">
        <f>($J559-$H559)*100</f>
        <v/>
      </c>
      <c r="AY559" s="82">
        <f>($L559-$H559)*100</f>
        <v/>
      </c>
      <c r="AZ559" s="82">
        <f>($L559-$J559)*100</f>
        <v/>
      </c>
      <c r="BA559" s="82">
        <f>(2*$H559-$F559-$J559)*100</f>
        <v/>
      </c>
      <c r="BB559" s="82">
        <f>(2*$J559-$H559-$L559)*100</f>
        <v/>
      </c>
      <c r="BC559" s="82">
        <f>($N559-$F559)*100</f>
        <v/>
      </c>
      <c r="BD559" s="82">
        <f>($Q559-$H559)*100</f>
        <v/>
      </c>
      <c r="BE559" s="82">
        <f>($S559-$J559)*100</f>
        <v/>
      </c>
      <c r="BF559" s="82">
        <f>($V559-$L559)*100</f>
        <v/>
      </c>
      <c r="BG559" s="82">
        <f>$AG559-$AF559</f>
        <v/>
      </c>
      <c r="BH559" s="81">
        <f>IFERROR($AG559/$AF559,"")</f>
        <v/>
      </c>
      <c r="BI559" s="82">
        <f>$AJ559-$AF559</f>
        <v/>
      </c>
      <c r="BJ559" s="81">
        <f>IFERROR($AJ559/$AG559,"")</f>
        <v/>
      </c>
      <c r="BK559" s="81">
        <f>$X559</f>
        <v/>
      </c>
      <c r="BL559" s="82">
        <f>($J559-$J560)*100</f>
        <v/>
      </c>
      <c r="BM559" s="82">
        <f>($F559-$F560)*100</f>
        <v/>
      </c>
      <c r="BN559" s="82">
        <f>$AF559-$AF560</f>
        <v/>
      </c>
      <c r="BO559" s="82">
        <f>$AG559-$AG560</f>
        <v/>
      </c>
      <c r="BP559" s="82">
        <f>$AJ559-$AJ560</f>
        <v/>
      </c>
    </row>
    <row r="560">
      <c r="AR560" s="81">
        <f>($G560+($H560-$G560)*0.5)+($P560-($O560+($Q560-$O560)*0.5))</f>
        <v/>
      </c>
      <c r="AS560" s="81">
        <f>($J560+($K560-$J560)*0.5)+($T560-($S560+($U560-$S560)*0.5))</f>
        <v/>
      </c>
      <c r="AT560" s="82">
        <f>($J560-$C560)*100</f>
        <v/>
      </c>
      <c r="AU560" s="82">
        <f>($H560-$F560)*100</f>
        <v/>
      </c>
      <c r="AV560" s="82">
        <f>($J560-$F560)*100</f>
        <v/>
      </c>
      <c r="AW560" s="82">
        <f>($L560-$F560)*100</f>
        <v/>
      </c>
      <c r="AX560" s="82">
        <f>($J560-$H560)*100</f>
        <v/>
      </c>
      <c r="AY560" s="82">
        <f>($L560-$H560)*100</f>
        <v/>
      </c>
      <c r="AZ560" s="82">
        <f>($L560-$J560)*100</f>
        <v/>
      </c>
      <c r="BA560" s="82">
        <f>(2*$H560-$F560-$J560)*100</f>
        <v/>
      </c>
      <c r="BB560" s="82">
        <f>(2*$J560-$H560-$L560)*100</f>
        <v/>
      </c>
      <c r="BC560" s="82">
        <f>($N560-$F560)*100</f>
        <v/>
      </c>
      <c r="BD560" s="82">
        <f>($Q560-$H560)*100</f>
        <v/>
      </c>
      <c r="BE560" s="82">
        <f>($S560-$J560)*100</f>
        <v/>
      </c>
      <c r="BF560" s="82">
        <f>($V560-$L560)*100</f>
        <v/>
      </c>
      <c r="BG560" s="82">
        <f>$AG560-$AF560</f>
        <v/>
      </c>
      <c r="BH560" s="81">
        <f>IFERROR($AG560/$AF560,"")</f>
        <v/>
      </c>
      <c r="BI560" s="82">
        <f>$AJ560-$AF560</f>
        <v/>
      </c>
      <c r="BJ560" s="81">
        <f>IFERROR($AJ560/$AG560,"")</f>
        <v/>
      </c>
      <c r="BK560" s="81">
        <f>$X560</f>
        <v/>
      </c>
      <c r="BL560" s="82">
        <f>($J560-$J561)*100</f>
        <v/>
      </c>
      <c r="BM560" s="82">
        <f>($F560-$F561)*100</f>
        <v/>
      </c>
      <c r="BN560" s="82">
        <f>$AF560-$AF561</f>
        <v/>
      </c>
      <c r="BO560" s="82">
        <f>$AG560-$AG561</f>
        <v/>
      </c>
      <c r="BP560" s="82">
        <f>$AJ560-$AJ561</f>
        <v/>
      </c>
    </row>
    <row r="561">
      <c r="AR561" s="81">
        <f>($G561+($H561-$G561)*0.5)+($P561-($O561+($Q561-$O561)*0.5))</f>
        <v/>
      </c>
      <c r="AS561" s="81">
        <f>($J561+($K561-$J561)*0.5)+($T561-($S561+($U561-$S561)*0.5))</f>
        <v/>
      </c>
      <c r="AT561" s="82">
        <f>($J561-$C561)*100</f>
        <v/>
      </c>
      <c r="AU561" s="82">
        <f>($H561-$F561)*100</f>
        <v/>
      </c>
      <c r="AV561" s="82">
        <f>($J561-$F561)*100</f>
        <v/>
      </c>
      <c r="AW561" s="82">
        <f>($L561-$F561)*100</f>
        <v/>
      </c>
      <c r="AX561" s="82">
        <f>($J561-$H561)*100</f>
        <v/>
      </c>
      <c r="AY561" s="82">
        <f>($L561-$H561)*100</f>
        <v/>
      </c>
      <c r="AZ561" s="82">
        <f>($L561-$J561)*100</f>
        <v/>
      </c>
      <c r="BA561" s="82">
        <f>(2*$H561-$F561-$J561)*100</f>
        <v/>
      </c>
      <c r="BB561" s="82">
        <f>(2*$J561-$H561-$L561)*100</f>
        <v/>
      </c>
      <c r="BC561" s="82">
        <f>($N561-$F561)*100</f>
        <v/>
      </c>
      <c r="BD561" s="82">
        <f>($Q561-$H561)*100</f>
        <v/>
      </c>
      <c r="BE561" s="82">
        <f>($S561-$J561)*100</f>
        <v/>
      </c>
      <c r="BF561" s="82">
        <f>($V561-$L561)*100</f>
        <v/>
      </c>
      <c r="BG561" s="82">
        <f>$AG561-$AF561</f>
        <v/>
      </c>
      <c r="BH561" s="81">
        <f>IFERROR($AG561/$AF561,"")</f>
        <v/>
      </c>
      <c r="BI561" s="82">
        <f>$AJ561-$AF561</f>
        <v/>
      </c>
      <c r="BJ561" s="81">
        <f>IFERROR($AJ561/$AG561,"")</f>
        <v/>
      </c>
      <c r="BK561" s="81">
        <f>$X561</f>
        <v/>
      </c>
      <c r="BL561" s="82">
        <f>($J561-$J562)*100</f>
        <v/>
      </c>
      <c r="BM561" s="82">
        <f>($F561-$F562)*100</f>
        <v/>
      </c>
      <c r="BN561" s="82">
        <f>$AF561-$AF562</f>
        <v/>
      </c>
      <c r="BO561" s="82">
        <f>$AG561-$AG562</f>
        <v/>
      </c>
      <c r="BP561" s="82">
        <f>$AJ561-$AJ562</f>
        <v/>
      </c>
    </row>
    <row r="562">
      <c r="AR562" s="81">
        <f>($G562+($H562-$G562)*0.5)+($P562-($O562+($Q562-$O562)*0.5))</f>
        <v/>
      </c>
      <c r="AS562" s="81">
        <f>($J562+($K562-$J562)*0.5)+($T562-($S562+($U562-$S562)*0.5))</f>
        <v/>
      </c>
      <c r="AT562" s="82">
        <f>($J562-$C562)*100</f>
        <v/>
      </c>
      <c r="AU562" s="82">
        <f>($H562-$F562)*100</f>
        <v/>
      </c>
      <c r="AV562" s="82">
        <f>($J562-$F562)*100</f>
        <v/>
      </c>
      <c r="AW562" s="82">
        <f>($L562-$F562)*100</f>
        <v/>
      </c>
      <c r="AX562" s="82">
        <f>($J562-$H562)*100</f>
        <v/>
      </c>
      <c r="AY562" s="82">
        <f>($L562-$H562)*100</f>
        <v/>
      </c>
      <c r="AZ562" s="82">
        <f>($L562-$J562)*100</f>
        <v/>
      </c>
      <c r="BA562" s="82">
        <f>(2*$H562-$F562-$J562)*100</f>
        <v/>
      </c>
      <c r="BB562" s="82">
        <f>(2*$J562-$H562-$L562)*100</f>
        <v/>
      </c>
      <c r="BC562" s="82">
        <f>($N562-$F562)*100</f>
        <v/>
      </c>
      <c r="BD562" s="82">
        <f>($Q562-$H562)*100</f>
        <v/>
      </c>
      <c r="BE562" s="82">
        <f>($S562-$J562)*100</f>
        <v/>
      </c>
      <c r="BF562" s="82">
        <f>($V562-$L562)*100</f>
        <v/>
      </c>
      <c r="BG562" s="82">
        <f>$AG562-$AF562</f>
        <v/>
      </c>
      <c r="BH562" s="81">
        <f>IFERROR($AG562/$AF562,"")</f>
        <v/>
      </c>
      <c r="BI562" s="82">
        <f>$AJ562-$AF562</f>
        <v/>
      </c>
      <c r="BJ562" s="81">
        <f>IFERROR($AJ562/$AG562,"")</f>
        <v/>
      </c>
      <c r="BK562" s="81">
        <f>$X562</f>
        <v/>
      </c>
      <c r="BL562" s="82">
        <f>($J562-$J563)*100</f>
        <v/>
      </c>
      <c r="BM562" s="82">
        <f>($F562-$F563)*100</f>
        <v/>
      </c>
      <c r="BN562" s="82">
        <f>$AF562-$AF563</f>
        <v/>
      </c>
      <c r="BO562" s="82">
        <f>$AG562-$AG563</f>
        <v/>
      </c>
      <c r="BP562" s="82">
        <f>$AJ562-$AJ563</f>
        <v/>
      </c>
    </row>
    <row r="563">
      <c r="AR563" s="81">
        <f>($G563+($H563-$G563)*0.5)+($P563-($O563+($Q563-$O563)*0.5))</f>
        <v/>
      </c>
      <c r="AS563" s="81">
        <f>($J563+($K563-$J563)*0.5)+($T563-($S563+($U563-$S563)*0.5))</f>
        <v/>
      </c>
      <c r="AT563" s="82">
        <f>($J563-$C563)*100</f>
        <v/>
      </c>
      <c r="AU563" s="82">
        <f>($H563-$F563)*100</f>
        <v/>
      </c>
      <c r="AV563" s="82">
        <f>($J563-$F563)*100</f>
        <v/>
      </c>
      <c r="AW563" s="82">
        <f>($L563-$F563)*100</f>
        <v/>
      </c>
      <c r="AX563" s="82">
        <f>($J563-$H563)*100</f>
        <v/>
      </c>
      <c r="AY563" s="82">
        <f>($L563-$H563)*100</f>
        <v/>
      </c>
      <c r="AZ563" s="82">
        <f>($L563-$J563)*100</f>
        <v/>
      </c>
      <c r="BA563" s="82">
        <f>(2*$H563-$F563-$J563)*100</f>
        <v/>
      </c>
      <c r="BB563" s="82">
        <f>(2*$J563-$H563-$L563)*100</f>
        <v/>
      </c>
      <c r="BC563" s="82">
        <f>($N563-$F563)*100</f>
        <v/>
      </c>
      <c r="BD563" s="82">
        <f>($Q563-$H563)*100</f>
        <v/>
      </c>
      <c r="BE563" s="82">
        <f>($S563-$J563)*100</f>
        <v/>
      </c>
      <c r="BF563" s="82">
        <f>($V563-$L563)*100</f>
        <v/>
      </c>
      <c r="BG563" s="82">
        <f>$AG563-$AF563</f>
        <v/>
      </c>
      <c r="BH563" s="81">
        <f>IFERROR($AG563/$AF563,"")</f>
        <v/>
      </c>
      <c r="BI563" s="82">
        <f>$AJ563-$AF563</f>
        <v/>
      </c>
      <c r="BJ563" s="81">
        <f>IFERROR($AJ563/$AG563,"")</f>
        <v/>
      </c>
      <c r="BK563" s="81">
        <f>$X563</f>
        <v/>
      </c>
      <c r="BL563" s="82">
        <f>($J563-$J564)*100</f>
        <v/>
      </c>
      <c r="BM563" s="82">
        <f>($F563-$F564)*100</f>
        <v/>
      </c>
      <c r="BN563" s="82">
        <f>$AF563-$AF564</f>
        <v/>
      </c>
      <c r="BO563" s="82">
        <f>$AG563-$AG564</f>
        <v/>
      </c>
      <c r="BP563" s="82">
        <f>$AJ563-$AJ564</f>
        <v/>
      </c>
    </row>
    <row r="564">
      <c r="AR564" s="81">
        <f>($G564+($H564-$G564)*0.5)+($P564-($O564+($Q564-$O564)*0.5))</f>
        <v/>
      </c>
      <c r="AS564" s="81">
        <f>($J564+($K564-$J564)*0.5)+($T564-($S564+($U564-$S564)*0.5))</f>
        <v/>
      </c>
      <c r="AT564" s="82">
        <f>($J564-$C564)*100</f>
        <v/>
      </c>
      <c r="AU564" s="82">
        <f>($H564-$F564)*100</f>
        <v/>
      </c>
      <c r="AV564" s="82">
        <f>($J564-$F564)*100</f>
        <v/>
      </c>
      <c r="AW564" s="82">
        <f>($L564-$F564)*100</f>
        <v/>
      </c>
      <c r="AX564" s="82">
        <f>($J564-$H564)*100</f>
        <v/>
      </c>
      <c r="AY564" s="82">
        <f>($L564-$H564)*100</f>
        <v/>
      </c>
      <c r="AZ564" s="82">
        <f>($L564-$J564)*100</f>
        <v/>
      </c>
      <c r="BA564" s="82">
        <f>(2*$H564-$F564-$J564)*100</f>
        <v/>
      </c>
      <c r="BB564" s="82">
        <f>(2*$J564-$H564-$L564)*100</f>
        <v/>
      </c>
      <c r="BC564" s="82">
        <f>($N564-$F564)*100</f>
        <v/>
      </c>
      <c r="BD564" s="82">
        <f>($Q564-$H564)*100</f>
        <v/>
      </c>
      <c r="BE564" s="82">
        <f>($S564-$J564)*100</f>
        <v/>
      </c>
      <c r="BF564" s="82">
        <f>($V564-$L564)*100</f>
        <v/>
      </c>
      <c r="BG564" s="82">
        <f>$AG564-$AF564</f>
        <v/>
      </c>
      <c r="BH564" s="81">
        <f>IFERROR($AG564/$AF564,"")</f>
        <v/>
      </c>
      <c r="BI564" s="82">
        <f>$AJ564-$AF564</f>
        <v/>
      </c>
      <c r="BJ564" s="81">
        <f>IFERROR($AJ564/$AG564,"")</f>
        <v/>
      </c>
      <c r="BK564" s="81">
        <f>$X564</f>
        <v/>
      </c>
      <c r="BL564" s="82">
        <f>($J564-$J565)*100</f>
        <v/>
      </c>
      <c r="BM564" s="82">
        <f>($F564-$F565)*100</f>
        <v/>
      </c>
      <c r="BN564" s="82">
        <f>$AF564-$AF565</f>
        <v/>
      </c>
      <c r="BO564" s="82">
        <f>$AG564-$AG565</f>
        <v/>
      </c>
      <c r="BP564" s="82">
        <f>$AJ564-$AJ565</f>
        <v/>
      </c>
    </row>
    <row r="565">
      <c r="AR565" s="81">
        <f>($G565+($H565-$G565)*0.5)+($P565-($O565+($Q565-$O565)*0.5))</f>
        <v/>
      </c>
      <c r="AS565" s="81">
        <f>($J565+($K565-$J565)*0.5)+($T565-($S565+($U565-$S565)*0.5))</f>
        <v/>
      </c>
      <c r="AT565" s="82">
        <f>($J565-$C565)*100</f>
        <v/>
      </c>
      <c r="AU565" s="82">
        <f>($H565-$F565)*100</f>
        <v/>
      </c>
      <c r="AV565" s="82">
        <f>($J565-$F565)*100</f>
        <v/>
      </c>
      <c r="AW565" s="82">
        <f>($L565-$F565)*100</f>
        <v/>
      </c>
      <c r="AX565" s="82">
        <f>($J565-$H565)*100</f>
        <v/>
      </c>
      <c r="AY565" s="82">
        <f>($L565-$H565)*100</f>
        <v/>
      </c>
      <c r="AZ565" s="82">
        <f>($L565-$J565)*100</f>
        <v/>
      </c>
      <c r="BA565" s="82">
        <f>(2*$H565-$F565-$J565)*100</f>
        <v/>
      </c>
      <c r="BB565" s="82">
        <f>(2*$J565-$H565-$L565)*100</f>
        <v/>
      </c>
      <c r="BC565" s="82">
        <f>($N565-$F565)*100</f>
        <v/>
      </c>
      <c r="BD565" s="82">
        <f>($Q565-$H565)*100</f>
        <v/>
      </c>
      <c r="BE565" s="82">
        <f>($S565-$J565)*100</f>
        <v/>
      </c>
      <c r="BF565" s="82">
        <f>($V565-$L565)*100</f>
        <v/>
      </c>
      <c r="BG565" s="82">
        <f>$AG565-$AF565</f>
        <v/>
      </c>
      <c r="BH565" s="81">
        <f>IFERROR($AG565/$AF565,"")</f>
        <v/>
      </c>
      <c r="BI565" s="82">
        <f>$AJ565-$AF565</f>
        <v/>
      </c>
      <c r="BJ565" s="81">
        <f>IFERROR($AJ565/$AG565,"")</f>
        <v/>
      </c>
      <c r="BK565" s="81">
        <f>$X565</f>
        <v/>
      </c>
      <c r="BL565" s="82">
        <f>($J565-$J566)*100</f>
        <v/>
      </c>
      <c r="BM565" s="82">
        <f>($F565-$F566)*100</f>
        <v/>
      </c>
      <c r="BN565" s="82">
        <f>$AF565-$AF566</f>
        <v/>
      </c>
      <c r="BO565" s="82">
        <f>$AG565-$AG566</f>
        <v/>
      </c>
      <c r="BP565" s="82">
        <f>$AJ565-$AJ566</f>
        <v/>
      </c>
    </row>
    <row r="566">
      <c r="AR566" s="81">
        <f>($G566+($H566-$G566)*0.5)+($P566-($O566+($Q566-$O566)*0.5))</f>
        <v/>
      </c>
      <c r="AS566" s="81">
        <f>($J566+($K566-$J566)*0.5)+($T566-($S566+($U566-$S566)*0.5))</f>
        <v/>
      </c>
      <c r="AT566" s="82">
        <f>($J566-$C566)*100</f>
        <v/>
      </c>
      <c r="AU566" s="82">
        <f>($H566-$F566)*100</f>
        <v/>
      </c>
      <c r="AV566" s="82">
        <f>($J566-$F566)*100</f>
        <v/>
      </c>
      <c r="AW566" s="82">
        <f>($L566-$F566)*100</f>
        <v/>
      </c>
      <c r="AX566" s="82">
        <f>($J566-$H566)*100</f>
        <v/>
      </c>
      <c r="AY566" s="82">
        <f>($L566-$H566)*100</f>
        <v/>
      </c>
      <c r="AZ566" s="82">
        <f>($L566-$J566)*100</f>
        <v/>
      </c>
      <c r="BA566" s="82">
        <f>(2*$H566-$F566-$J566)*100</f>
        <v/>
      </c>
      <c r="BB566" s="82">
        <f>(2*$J566-$H566-$L566)*100</f>
        <v/>
      </c>
      <c r="BC566" s="82">
        <f>($N566-$F566)*100</f>
        <v/>
      </c>
      <c r="BD566" s="82">
        <f>($Q566-$H566)*100</f>
        <v/>
      </c>
      <c r="BE566" s="82">
        <f>($S566-$J566)*100</f>
        <v/>
      </c>
      <c r="BF566" s="82">
        <f>($V566-$L566)*100</f>
        <v/>
      </c>
      <c r="BG566" s="82">
        <f>$AG566-$AF566</f>
        <v/>
      </c>
      <c r="BH566" s="81">
        <f>IFERROR($AG566/$AF566,"")</f>
        <v/>
      </c>
      <c r="BI566" s="82">
        <f>$AJ566-$AF566</f>
        <v/>
      </c>
      <c r="BJ566" s="81">
        <f>IFERROR($AJ566/$AG566,"")</f>
        <v/>
      </c>
      <c r="BK566" s="81">
        <f>$X566</f>
        <v/>
      </c>
      <c r="BL566" s="82">
        <f>($J566-$J567)*100</f>
        <v/>
      </c>
      <c r="BM566" s="82">
        <f>($F566-$F567)*100</f>
        <v/>
      </c>
      <c r="BN566" s="82">
        <f>$AF566-$AF567</f>
        <v/>
      </c>
      <c r="BO566" s="82">
        <f>$AG566-$AG567</f>
        <v/>
      </c>
      <c r="BP566" s="82">
        <f>$AJ566-$AJ567</f>
        <v/>
      </c>
    </row>
    <row r="567">
      <c r="AR567" s="81">
        <f>($G567+($H567-$G567)*0.5)+($P567-($O567+($Q567-$O567)*0.5))</f>
        <v/>
      </c>
      <c r="AS567" s="81">
        <f>($J567+($K567-$J567)*0.5)+($T567-($S567+($U567-$S567)*0.5))</f>
        <v/>
      </c>
      <c r="AT567" s="82">
        <f>($J567-$C567)*100</f>
        <v/>
      </c>
      <c r="AU567" s="82">
        <f>($H567-$F567)*100</f>
        <v/>
      </c>
      <c r="AV567" s="82">
        <f>($J567-$F567)*100</f>
        <v/>
      </c>
      <c r="AW567" s="82">
        <f>($L567-$F567)*100</f>
        <v/>
      </c>
      <c r="AX567" s="82">
        <f>($J567-$H567)*100</f>
        <v/>
      </c>
      <c r="AY567" s="82">
        <f>($L567-$H567)*100</f>
        <v/>
      </c>
      <c r="AZ567" s="82">
        <f>($L567-$J567)*100</f>
        <v/>
      </c>
      <c r="BA567" s="82">
        <f>(2*$H567-$F567-$J567)*100</f>
        <v/>
      </c>
      <c r="BB567" s="82">
        <f>(2*$J567-$H567-$L567)*100</f>
        <v/>
      </c>
      <c r="BC567" s="82">
        <f>($N567-$F567)*100</f>
        <v/>
      </c>
      <c r="BD567" s="82">
        <f>($Q567-$H567)*100</f>
        <v/>
      </c>
      <c r="BE567" s="82">
        <f>($S567-$J567)*100</f>
        <v/>
      </c>
      <c r="BF567" s="82">
        <f>($V567-$L567)*100</f>
        <v/>
      </c>
      <c r="BG567" s="82">
        <f>$AG567-$AF567</f>
        <v/>
      </c>
      <c r="BH567" s="81">
        <f>IFERROR($AG567/$AF567,"")</f>
        <v/>
      </c>
      <c r="BI567" s="82">
        <f>$AJ567-$AF567</f>
        <v/>
      </c>
      <c r="BJ567" s="81">
        <f>IFERROR($AJ567/$AG567,"")</f>
        <v/>
      </c>
      <c r="BK567" s="81">
        <f>$X567</f>
        <v/>
      </c>
      <c r="BL567" s="82">
        <f>($J567-$J568)*100</f>
        <v/>
      </c>
      <c r="BM567" s="82">
        <f>($F567-$F568)*100</f>
        <v/>
      </c>
      <c r="BN567" s="82">
        <f>$AF567-$AF568</f>
        <v/>
      </c>
      <c r="BO567" s="82">
        <f>$AG567-$AG568</f>
        <v/>
      </c>
      <c r="BP567" s="82">
        <f>$AJ567-$AJ568</f>
        <v/>
      </c>
    </row>
    <row r="568">
      <c r="AR568" s="81">
        <f>($G568+($H568-$G568)*0.5)+($P568-($O568+($Q568-$O568)*0.5))</f>
        <v/>
      </c>
      <c r="AS568" s="81">
        <f>($J568+($K568-$J568)*0.5)+($T568-($S568+($U568-$S568)*0.5))</f>
        <v/>
      </c>
      <c r="AT568" s="82">
        <f>($J568-$C568)*100</f>
        <v/>
      </c>
      <c r="AU568" s="82">
        <f>($H568-$F568)*100</f>
        <v/>
      </c>
      <c r="AV568" s="82">
        <f>($J568-$F568)*100</f>
        <v/>
      </c>
      <c r="AW568" s="82">
        <f>($L568-$F568)*100</f>
        <v/>
      </c>
      <c r="AX568" s="82">
        <f>($J568-$H568)*100</f>
        <v/>
      </c>
      <c r="AY568" s="82">
        <f>($L568-$H568)*100</f>
        <v/>
      </c>
      <c r="AZ568" s="82">
        <f>($L568-$J568)*100</f>
        <v/>
      </c>
      <c r="BA568" s="82">
        <f>(2*$H568-$F568-$J568)*100</f>
        <v/>
      </c>
      <c r="BB568" s="82">
        <f>(2*$J568-$H568-$L568)*100</f>
        <v/>
      </c>
      <c r="BC568" s="82">
        <f>($N568-$F568)*100</f>
        <v/>
      </c>
      <c r="BD568" s="82">
        <f>($Q568-$H568)*100</f>
        <v/>
      </c>
      <c r="BE568" s="82">
        <f>($S568-$J568)*100</f>
        <v/>
      </c>
      <c r="BF568" s="82">
        <f>($V568-$L568)*100</f>
        <v/>
      </c>
      <c r="BG568" s="82">
        <f>$AG568-$AF568</f>
        <v/>
      </c>
      <c r="BH568" s="81">
        <f>IFERROR($AG568/$AF568,"")</f>
        <v/>
      </c>
      <c r="BI568" s="82">
        <f>$AJ568-$AF568</f>
        <v/>
      </c>
      <c r="BJ568" s="81">
        <f>IFERROR($AJ568/$AG568,"")</f>
        <v/>
      </c>
      <c r="BK568" s="81">
        <f>$X568</f>
        <v/>
      </c>
      <c r="BL568" s="82">
        <f>($J568-$J569)*100</f>
        <v/>
      </c>
      <c r="BM568" s="82">
        <f>($F568-$F569)*100</f>
        <v/>
      </c>
      <c r="BN568" s="82">
        <f>$AF568-$AF569</f>
        <v/>
      </c>
      <c r="BO568" s="82">
        <f>$AG568-$AG569</f>
        <v/>
      </c>
      <c r="BP568" s="82">
        <f>$AJ568-$AJ569</f>
        <v/>
      </c>
    </row>
    <row r="569">
      <c r="AR569" s="81">
        <f>($G569+($H569-$G569)*0.5)+($P569-($O569+($Q569-$O569)*0.5))</f>
        <v/>
      </c>
      <c r="AS569" s="81">
        <f>($J569+($K569-$J569)*0.5)+($T569-($S569+($U569-$S569)*0.5))</f>
        <v/>
      </c>
      <c r="AT569" s="82">
        <f>($J569-$C569)*100</f>
        <v/>
      </c>
      <c r="AU569" s="82">
        <f>($H569-$F569)*100</f>
        <v/>
      </c>
      <c r="AV569" s="82">
        <f>($J569-$F569)*100</f>
        <v/>
      </c>
      <c r="AW569" s="82">
        <f>($L569-$F569)*100</f>
        <v/>
      </c>
      <c r="AX569" s="82">
        <f>($J569-$H569)*100</f>
        <v/>
      </c>
      <c r="AY569" s="82">
        <f>($L569-$H569)*100</f>
        <v/>
      </c>
      <c r="AZ569" s="82">
        <f>($L569-$J569)*100</f>
        <v/>
      </c>
      <c r="BA569" s="82">
        <f>(2*$H569-$F569-$J569)*100</f>
        <v/>
      </c>
      <c r="BB569" s="82">
        <f>(2*$J569-$H569-$L569)*100</f>
        <v/>
      </c>
      <c r="BC569" s="82">
        <f>($N569-$F569)*100</f>
        <v/>
      </c>
      <c r="BD569" s="82">
        <f>($Q569-$H569)*100</f>
        <v/>
      </c>
      <c r="BE569" s="82">
        <f>($S569-$J569)*100</f>
        <v/>
      </c>
      <c r="BF569" s="82">
        <f>($V569-$L569)*100</f>
        <v/>
      </c>
      <c r="BG569" s="82">
        <f>$AG569-$AF569</f>
        <v/>
      </c>
      <c r="BH569" s="81">
        <f>IFERROR($AG569/$AF569,"")</f>
        <v/>
      </c>
      <c r="BI569" s="82">
        <f>$AJ569-$AF569</f>
        <v/>
      </c>
      <c r="BJ569" s="81">
        <f>IFERROR($AJ569/$AG569,"")</f>
        <v/>
      </c>
      <c r="BK569" s="81">
        <f>$X569</f>
        <v/>
      </c>
      <c r="BL569" s="82">
        <f>($J569-$J570)*100</f>
        <v/>
      </c>
      <c r="BM569" s="82">
        <f>($F569-$F570)*100</f>
        <v/>
      </c>
      <c r="BN569" s="82">
        <f>$AF569-$AF570</f>
        <v/>
      </c>
      <c r="BO569" s="82">
        <f>$AG569-$AG570</f>
        <v/>
      </c>
      <c r="BP569" s="82">
        <f>$AJ569-$AJ570</f>
        <v/>
      </c>
    </row>
    <row r="570">
      <c r="AR570" s="81">
        <f>($G570+($H570-$G570)*0.5)+($P570-($O570+($Q570-$O570)*0.5))</f>
        <v/>
      </c>
      <c r="AS570" s="81">
        <f>($J570+($K570-$J570)*0.5)+($T570-($S570+($U570-$S570)*0.5))</f>
        <v/>
      </c>
      <c r="AT570" s="82">
        <f>($J570-$C570)*100</f>
        <v/>
      </c>
      <c r="AU570" s="82">
        <f>($H570-$F570)*100</f>
        <v/>
      </c>
      <c r="AV570" s="82">
        <f>($J570-$F570)*100</f>
        <v/>
      </c>
      <c r="AW570" s="82">
        <f>($L570-$F570)*100</f>
        <v/>
      </c>
      <c r="AX570" s="82">
        <f>($J570-$H570)*100</f>
        <v/>
      </c>
      <c r="AY570" s="82">
        <f>($L570-$H570)*100</f>
        <v/>
      </c>
      <c r="AZ570" s="82">
        <f>($L570-$J570)*100</f>
        <v/>
      </c>
      <c r="BA570" s="82">
        <f>(2*$H570-$F570-$J570)*100</f>
        <v/>
      </c>
      <c r="BB570" s="82">
        <f>(2*$J570-$H570-$L570)*100</f>
        <v/>
      </c>
      <c r="BC570" s="82">
        <f>($N570-$F570)*100</f>
        <v/>
      </c>
      <c r="BD570" s="82">
        <f>($Q570-$H570)*100</f>
        <v/>
      </c>
      <c r="BE570" s="82">
        <f>($S570-$J570)*100</f>
        <v/>
      </c>
      <c r="BF570" s="82">
        <f>($V570-$L570)*100</f>
        <v/>
      </c>
      <c r="BG570" s="82">
        <f>$AG570-$AF570</f>
        <v/>
      </c>
      <c r="BH570" s="81">
        <f>IFERROR($AG570/$AF570,"")</f>
        <v/>
      </c>
      <c r="BI570" s="82">
        <f>$AJ570-$AF570</f>
        <v/>
      </c>
      <c r="BJ570" s="81">
        <f>IFERROR($AJ570/$AG570,"")</f>
        <v/>
      </c>
      <c r="BK570" s="81">
        <f>$X570</f>
        <v/>
      </c>
      <c r="BL570" s="82">
        <f>($J570-$J571)*100</f>
        <v/>
      </c>
      <c r="BM570" s="82">
        <f>($F570-$F571)*100</f>
        <v/>
      </c>
      <c r="BN570" s="82">
        <f>$AF570-$AF571</f>
        <v/>
      </c>
      <c r="BO570" s="82">
        <f>$AG570-$AG571</f>
        <v/>
      </c>
      <c r="BP570" s="82">
        <f>$AJ570-$AJ571</f>
        <v/>
      </c>
    </row>
    <row r="571">
      <c r="AR571" s="81">
        <f>($G571+($H571-$G571)*0.5)+($P571-($O571+($Q571-$O571)*0.5))</f>
        <v/>
      </c>
      <c r="AS571" s="81">
        <f>($J571+($K571-$J571)*0.5)+($T571-($S571+($U571-$S571)*0.5))</f>
        <v/>
      </c>
      <c r="AT571" s="82">
        <f>($J571-$C571)*100</f>
        <v/>
      </c>
      <c r="AU571" s="82">
        <f>($H571-$F571)*100</f>
        <v/>
      </c>
      <c r="AV571" s="82">
        <f>($J571-$F571)*100</f>
        <v/>
      </c>
      <c r="AW571" s="82">
        <f>($L571-$F571)*100</f>
        <v/>
      </c>
      <c r="AX571" s="82">
        <f>($J571-$H571)*100</f>
        <v/>
      </c>
      <c r="AY571" s="82">
        <f>($L571-$H571)*100</f>
        <v/>
      </c>
      <c r="AZ571" s="82">
        <f>($L571-$J571)*100</f>
        <v/>
      </c>
      <c r="BA571" s="82">
        <f>(2*$H571-$F571-$J571)*100</f>
        <v/>
      </c>
      <c r="BB571" s="82">
        <f>(2*$J571-$H571-$L571)*100</f>
        <v/>
      </c>
      <c r="BC571" s="82">
        <f>($N571-$F571)*100</f>
        <v/>
      </c>
      <c r="BD571" s="82">
        <f>($Q571-$H571)*100</f>
        <v/>
      </c>
      <c r="BE571" s="82">
        <f>($S571-$J571)*100</f>
        <v/>
      </c>
      <c r="BF571" s="82">
        <f>($V571-$L571)*100</f>
        <v/>
      </c>
      <c r="BG571" s="82">
        <f>$AG571-$AF571</f>
        <v/>
      </c>
      <c r="BH571" s="81">
        <f>IFERROR($AG571/$AF571,"")</f>
        <v/>
      </c>
      <c r="BI571" s="82">
        <f>$AJ571-$AF571</f>
        <v/>
      </c>
      <c r="BJ571" s="81">
        <f>IFERROR($AJ571/$AG571,"")</f>
        <v/>
      </c>
      <c r="BK571" s="81">
        <f>$X571</f>
        <v/>
      </c>
      <c r="BL571" s="82">
        <f>($J571-$J572)*100</f>
        <v/>
      </c>
      <c r="BM571" s="82">
        <f>($F571-$F572)*100</f>
        <v/>
      </c>
      <c r="BN571" s="82">
        <f>$AF571-$AF572</f>
        <v/>
      </c>
      <c r="BO571" s="82">
        <f>$AG571-$AG572</f>
        <v/>
      </c>
      <c r="BP571" s="82">
        <f>$AJ571-$AJ572</f>
        <v/>
      </c>
    </row>
    <row r="572">
      <c r="AR572" s="81">
        <f>($G572+($H572-$G572)*0.5)+($P572-($O572+($Q572-$O572)*0.5))</f>
        <v/>
      </c>
      <c r="AS572" s="81">
        <f>($J572+($K572-$J572)*0.5)+($T572-($S572+($U572-$S572)*0.5))</f>
        <v/>
      </c>
      <c r="AT572" s="82">
        <f>($J572-$C572)*100</f>
        <v/>
      </c>
      <c r="AU572" s="82">
        <f>($H572-$F572)*100</f>
        <v/>
      </c>
      <c r="AV572" s="82">
        <f>($J572-$F572)*100</f>
        <v/>
      </c>
      <c r="AW572" s="82">
        <f>($L572-$F572)*100</f>
        <v/>
      </c>
      <c r="AX572" s="82">
        <f>($J572-$H572)*100</f>
        <v/>
      </c>
      <c r="AY572" s="82">
        <f>($L572-$H572)*100</f>
        <v/>
      </c>
      <c r="AZ572" s="82">
        <f>($L572-$J572)*100</f>
        <v/>
      </c>
      <c r="BA572" s="82">
        <f>(2*$H572-$F572-$J572)*100</f>
        <v/>
      </c>
      <c r="BB572" s="82">
        <f>(2*$J572-$H572-$L572)*100</f>
        <v/>
      </c>
      <c r="BC572" s="82">
        <f>($N572-$F572)*100</f>
        <v/>
      </c>
      <c r="BD572" s="82">
        <f>($Q572-$H572)*100</f>
        <v/>
      </c>
      <c r="BE572" s="82">
        <f>($S572-$J572)*100</f>
        <v/>
      </c>
      <c r="BF572" s="82">
        <f>($V572-$L572)*100</f>
        <v/>
      </c>
      <c r="BG572" s="82">
        <f>$AG572-$AF572</f>
        <v/>
      </c>
      <c r="BH572" s="81">
        <f>IFERROR($AG572/$AF572,"")</f>
        <v/>
      </c>
      <c r="BI572" s="82">
        <f>$AJ572-$AF572</f>
        <v/>
      </c>
      <c r="BJ572" s="81">
        <f>IFERROR($AJ572/$AG572,"")</f>
        <v/>
      </c>
      <c r="BK572" s="81">
        <f>$X572</f>
        <v/>
      </c>
      <c r="BL572" s="82">
        <f>($J572-$J573)*100</f>
        <v/>
      </c>
      <c r="BM572" s="82">
        <f>($F572-$F573)*100</f>
        <v/>
      </c>
      <c r="BN572" s="82">
        <f>$AF572-$AF573</f>
        <v/>
      </c>
      <c r="BO572" s="82">
        <f>$AG572-$AG573</f>
        <v/>
      </c>
      <c r="BP572" s="82">
        <f>$AJ572-$AJ573</f>
        <v/>
      </c>
    </row>
    <row r="573">
      <c r="AR573" s="81">
        <f>($G573+($H573-$G573)*0.5)+($P573-($O573+($Q573-$O573)*0.5))</f>
        <v/>
      </c>
      <c r="AS573" s="81">
        <f>($J573+($K573-$J573)*0.5)+($T573-($S573+($U573-$S573)*0.5))</f>
        <v/>
      </c>
      <c r="AT573" s="82">
        <f>($J573-$C573)*100</f>
        <v/>
      </c>
      <c r="AU573" s="82">
        <f>($H573-$F573)*100</f>
        <v/>
      </c>
      <c r="AV573" s="82">
        <f>($J573-$F573)*100</f>
        <v/>
      </c>
      <c r="AW573" s="82">
        <f>($L573-$F573)*100</f>
        <v/>
      </c>
      <c r="AX573" s="82">
        <f>($J573-$H573)*100</f>
        <v/>
      </c>
      <c r="AY573" s="82">
        <f>($L573-$H573)*100</f>
        <v/>
      </c>
      <c r="AZ573" s="82">
        <f>($L573-$J573)*100</f>
        <v/>
      </c>
      <c r="BA573" s="82">
        <f>(2*$H573-$F573-$J573)*100</f>
        <v/>
      </c>
      <c r="BB573" s="82">
        <f>(2*$J573-$H573-$L573)*100</f>
        <v/>
      </c>
      <c r="BC573" s="82">
        <f>($N573-$F573)*100</f>
        <v/>
      </c>
      <c r="BD573" s="82">
        <f>($Q573-$H573)*100</f>
        <v/>
      </c>
      <c r="BE573" s="82">
        <f>($S573-$J573)*100</f>
        <v/>
      </c>
      <c r="BF573" s="82">
        <f>($V573-$L573)*100</f>
        <v/>
      </c>
      <c r="BG573" s="82">
        <f>$AG573-$AF573</f>
        <v/>
      </c>
      <c r="BH573" s="81">
        <f>IFERROR($AG573/$AF573,"")</f>
        <v/>
      </c>
      <c r="BI573" s="82">
        <f>$AJ573-$AF573</f>
        <v/>
      </c>
      <c r="BJ573" s="81">
        <f>IFERROR($AJ573/$AG573,"")</f>
        <v/>
      </c>
      <c r="BK573" s="81">
        <f>$X573</f>
        <v/>
      </c>
      <c r="BL573" s="82">
        <f>($J573-$J574)*100</f>
        <v/>
      </c>
      <c r="BM573" s="82">
        <f>($F573-$F574)*100</f>
        <v/>
      </c>
      <c r="BN573" s="82">
        <f>$AF573-$AF574</f>
        <v/>
      </c>
      <c r="BO573" s="82">
        <f>$AG573-$AG574</f>
        <v/>
      </c>
      <c r="BP573" s="82">
        <f>$AJ573-$AJ574</f>
        <v/>
      </c>
    </row>
    <row r="574">
      <c r="AR574" s="81">
        <f>($G574+($H574-$G574)*0.5)+($P574-($O574+($Q574-$O574)*0.5))</f>
        <v/>
      </c>
      <c r="AS574" s="81">
        <f>($J574+($K574-$J574)*0.5)+($T574-($S574+($U574-$S574)*0.5))</f>
        <v/>
      </c>
      <c r="AT574" s="82">
        <f>($J574-$C574)*100</f>
        <v/>
      </c>
      <c r="AU574" s="82">
        <f>($H574-$F574)*100</f>
        <v/>
      </c>
      <c r="AV574" s="82">
        <f>($J574-$F574)*100</f>
        <v/>
      </c>
      <c r="AW574" s="82">
        <f>($L574-$F574)*100</f>
        <v/>
      </c>
      <c r="AX574" s="82">
        <f>($J574-$H574)*100</f>
        <v/>
      </c>
      <c r="AY574" s="82">
        <f>($L574-$H574)*100</f>
        <v/>
      </c>
      <c r="AZ574" s="82">
        <f>($L574-$J574)*100</f>
        <v/>
      </c>
      <c r="BA574" s="82">
        <f>(2*$H574-$F574-$J574)*100</f>
        <v/>
      </c>
      <c r="BB574" s="82">
        <f>(2*$J574-$H574-$L574)*100</f>
        <v/>
      </c>
      <c r="BC574" s="82">
        <f>($N574-$F574)*100</f>
        <v/>
      </c>
      <c r="BD574" s="82">
        <f>($Q574-$H574)*100</f>
        <v/>
      </c>
      <c r="BE574" s="82">
        <f>($S574-$J574)*100</f>
        <v/>
      </c>
      <c r="BF574" s="82">
        <f>($V574-$L574)*100</f>
        <v/>
      </c>
      <c r="BG574" s="82">
        <f>$AG574-$AF574</f>
        <v/>
      </c>
      <c r="BH574" s="81">
        <f>IFERROR($AG574/$AF574,"")</f>
        <v/>
      </c>
      <c r="BI574" s="82">
        <f>$AJ574-$AF574</f>
        <v/>
      </c>
      <c r="BJ574" s="81">
        <f>IFERROR($AJ574/$AG574,"")</f>
        <v/>
      </c>
      <c r="BK574" s="81">
        <f>$X574</f>
        <v/>
      </c>
      <c r="BL574" s="82">
        <f>($J574-$J575)*100</f>
        <v/>
      </c>
      <c r="BM574" s="82">
        <f>($F574-$F575)*100</f>
        <v/>
      </c>
      <c r="BN574" s="82">
        <f>$AF574-$AF575</f>
        <v/>
      </c>
      <c r="BO574" s="82">
        <f>$AG574-$AG575</f>
        <v/>
      </c>
      <c r="BP574" s="82">
        <f>$AJ574-$AJ575</f>
        <v/>
      </c>
    </row>
    <row r="575">
      <c r="AR575" s="81">
        <f>($G575+($H575-$G575)*0.5)+($P575-($O575+($Q575-$O575)*0.5))</f>
        <v/>
      </c>
      <c r="AS575" s="81">
        <f>($J575+($K575-$J575)*0.5)+($T575-($S575+($U575-$S575)*0.5))</f>
        <v/>
      </c>
      <c r="AT575" s="82">
        <f>($J575-$C575)*100</f>
        <v/>
      </c>
      <c r="AU575" s="82">
        <f>($H575-$F575)*100</f>
        <v/>
      </c>
      <c r="AV575" s="82">
        <f>($J575-$F575)*100</f>
        <v/>
      </c>
      <c r="AW575" s="82">
        <f>($L575-$F575)*100</f>
        <v/>
      </c>
      <c r="AX575" s="82">
        <f>($J575-$H575)*100</f>
        <v/>
      </c>
      <c r="AY575" s="82">
        <f>($L575-$H575)*100</f>
        <v/>
      </c>
      <c r="AZ575" s="82">
        <f>($L575-$J575)*100</f>
        <v/>
      </c>
      <c r="BA575" s="82">
        <f>(2*$H575-$F575-$J575)*100</f>
        <v/>
      </c>
      <c r="BB575" s="82">
        <f>(2*$J575-$H575-$L575)*100</f>
        <v/>
      </c>
      <c r="BC575" s="82">
        <f>($N575-$F575)*100</f>
        <v/>
      </c>
      <c r="BD575" s="82">
        <f>($Q575-$H575)*100</f>
        <v/>
      </c>
      <c r="BE575" s="82">
        <f>($S575-$J575)*100</f>
        <v/>
      </c>
      <c r="BF575" s="82">
        <f>($V575-$L575)*100</f>
        <v/>
      </c>
      <c r="BG575" s="82">
        <f>$AG575-$AF575</f>
        <v/>
      </c>
      <c r="BH575" s="81">
        <f>IFERROR($AG575/$AF575,"")</f>
        <v/>
      </c>
      <c r="BI575" s="82">
        <f>$AJ575-$AF575</f>
        <v/>
      </c>
      <c r="BJ575" s="81">
        <f>IFERROR($AJ575/$AG575,"")</f>
        <v/>
      </c>
      <c r="BK575" s="81">
        <f>$X575</f>
        <v/>
      </c>
      <c r="BL575" s="82">
        <f>($J575-$J576)*100</f>
        <v/>
      </c>
      <c r="BM575" s="82">
        <f>($F575-$F576)*100</f>
        <v/>
      </c>
      <c r="BN575" s="82">
        <f>$AF575-$AF576</f>
        <v/>
      </c>
      <c r="BO575" s="82">
        <f>$AG575-$AG576</f>
        <v/>
      </c>
      <c r="BP575" s="82">
        <f>$AJ575-$AJ576</f>
        <v/>
      </c>
    </row>
    <row r="576">
      <c r="AR576" s="81">
        <f>($G576+($H576-$G576)*0.5)+($P576-($O576+($Q576-$O576)*0.5))</f>
        <v/>
      </c>
      <c r="AS576" s="81">
        <f>($J576+($K576-$J576)*0.5)+($T576-($S576+($U576-$S576)*0.5))</f>
        <v/>
      </c>
      <c r="AT576" s="82">
        <f>($J576-$C576)*100</f>
        <v/>
      </c>
      <c r="AU576" s="82">
        <f>($H576-$F576)*100</f>
        <v/>
      </c>
      <c r="AV576" s="82">
        <f>($J576-$F576)*100</f>
        <v/>
      </c>
      <c r="AW576" s="82">
        <f>($L576-$F576)*100</f>
        <v/>
      </c>
      <c r="AX576" s="82">
        <f>($J576-$H576)*100</f>
        <v/>
      </c>
      <c r="AY576" s="82">
        <f>($L576-$H576)*100</f>
        <v/>
      </c>
      <c r="AZ576" s="82">
        <f>($L576-$J576)*100</f>
        <v/>
      </c>
      <c r="BA576" s="82">
        <f>(2*$H576-$F576-$J576)*100</f>
        <v/>
      </c>
      <c r="BB576" s="82">
        <f>(2*$J576-$H576-$L576)*100</f>
        <v/>
      </c>
      <c r="BC576" s="82">
        <f>($N576-$F576)*100</f>
        <v/>
      </c>
      <c r="BD576" s="82">
        <f>($Q576-$H576)*100</f>
        <v/>
      </c>
      <c r="BE576" s="82">
        <f>($S576-$J576)*100</f>
        <v/>
      </c>
      <c r="BF576" s="82">
        <f>($V576-$L576)*100</f>
        <v/>
      </c>
      <c r="BG576" s="82">
        <f>$AG576-$AF576</f>
        <v/>
      </c>
      <c r="BH576" s="81">
        <f>IFERROR($AG576/$AF576,"")</f>
        <v/>
      </c>
      <c r="BI576" s="82">
        <f>$AJ576-$AF576</f>
        <v/>
      </c>
      <c r="BJ576" s="81">
        <f>IFERROR($AJ576/$AG576,"")</f>
        <v/>
      </c>
      <c r="BK576" s="81">
        <f>$X576</f>
        <v/>
      </c>
      <c r="BL576" s="82">
        <f>($J576-$J577)*100</f>
        <v/>
      </c>
      <c r="BM576" s="82">
        <f>($F576-$F577)*100</f>
        <v/>
      </c>
      <c r="BN576" s="82">
        <f>$AF576-$AF577</f>
        <v/>
      </c>
      <c r="BO576" s="82">
        <f>$AG576-$AG577</f>
        <v/>
      </c>
      <c r="BP576" s="82">
        <f>$AJ576-$AJ577</f>
        <v/>
      </c>
    </row>
    <row r="577">
      <c r="AR577" s="81">
        <f>($G577+($H577-$G577)*0.5)+($P577-($O577+($Q577-$O577)*0.5))</f>
        <v/>
      </c>
      <c r="AS577" s="81">
        <f>($J577+($K577-$J577)*0.5)+($T577-($S577+($U577-$S577)*0.5))</f>
        <v/>
      </c>
      <c r="AT577" s="82">
        <f>($J577-$C577)*100</f>
        <v/>
      </c>
      <c r="AU577" s="82">
        <f>($H577-$F577)*100</f>
        <v/>
      </c>
      <c r="AV577" s="82">
        <f>($J577-$F577)*100</f>
        <v/>
      </c>
      <c r="AW577" s="82">
        <f>($L577-$F577)*100</f>
        <v/>
      </c>
      <c r="AX577" s="82">
        <f>($J577-$H577)*100</f>
        <v/>
      </c>
      <c r="AY577" s="82">
        <f>($L577-$H577)*100</f>
        <v/>
      </c>
      <c r="AZ577" s="82">
        <f>($L577-$J577)*100</f>
        <v/>
      </c>
      <c r="BA577" s="82">
        <f>(2*$H577-$F577-$J577)*100</f>
        <v/>
      </c>
      <c r="BB577" s="82">
        <f>(2*$J577-$H577-$L577)*100</f>
        <v/>
      </c>
      <c r="BC577" s="82">
        <f>($N577-$F577)*100</f>
        <v/>
      </c>
      <c r="BD577" s="82">
        <f>($Q577-$H577)*100</f>
        <v/>
      </c>
      <c r="BE577" s="82">
        <f>($S577-$J577)*100</f>
        <v/>
      </c>
      <c r="BF577" s="82">
        <f>($V577-$L577)*100</f>
        <v/>
      </c>
      <c r="BG577" s="82">
        <f>$AG577-$AF577</f>
        <v/>
      </c>
      <c r="BH577" s="81">
        <f>IFERROR($AG577/$AF577,"")</f>
        <v/>
      </c>
      <c r="BI577" s="82">
        <f>$AJ577-$AF577</f>
        <v/>
      </c>
      <c r="BJ577" s="81">
        <f>IFERROR($AJ577/$AG577,"")</f>
        <v/>
      </c>
      <c r="BK577" s="81">
        <f>$X577</f>
        <v/>
      </c>
      <c r="BL577" s="82">
        <f>($J577-$J578)*100</f>
        <v/>
      </c>
      <c r="BM577" s="82">
        <f>($F577-$F578)*100</f>
        <v/>
      </c>
      <c r="BN577" s="82">
        <f>$AF577-$AF578</f>
        <v/>
      </c>
      <c r="BO577" s="82">
        <f>$AG577-$AG578</f>
        <v/>
      </c>
      <c r="BP577" s="82">
        <f>$AJ577-$AJ578</f>
        <v/>
      </c>
    </row>
    <row r="578">
      <c r="AR578" s="81">
        <f>($G578+($H578-$G578)*0.5)+($P578-($O578+($Q578-$O578)*0.5))</f>
        <v/>
      </c>
      <c r="AS578" s="81">
        <f>($J578+($K578-$J578)*0.5)+($T578-($S578+($U578-$S578)*0.5))</f>
        <v/>
      </c>
      <c r="AT578" s="82">
        <f>($J578-$C578)*100</f>
        <v/>
      </c>
      <c r="AU578" s="82">
        <f>($H578-$F578)*100</f>
        <v/>
      </c>
      <c r="AV578" s="82">
        <f>($J578-$F578)*100</f>
        <v/>
      </c>
      <c r="AW578" s="82">
        <f>($L578-$F578)*100</f>
        <v/>
      </c>
      <c r="AX578" s="82">
        <f>($J578-$H578)*100</f>
        <v/>
      </c>
      <c r="AY578" s="82">
        <f>($L578-$H578)*100</f>
        <v/>
      </c>
      <c r="AZ578" s="82">
        <f>($L578-$J578)*100</f>
        <v/>
      </c>
      <c r="BA578" s="82">
        <f>(2*$H578-$F578-$J578)*100</f>
        <v/>
      </c>
      <c r="BB578" s="82">
        <f>(2*$J578-$H578-$L578)*100</f>
        <v/>
      </c>
      <c r="BC578" s="82">
        <f>($N578-$F578)*100</f>
        <v/>
      </c>
      <c r="BD578" s="82">
        <f>($Q578-$H578)*100</f>
        <v/>
      </c>
      <c r="BE578" s="82">
        <f>($S578-$J578)*100</f>
        <v/>
      </c>
      <c r="BF578" s="82">
        <f>($V578-$L578)*100</f>
        <v/>
      </c>
      <c r="BG578" s="82">
        <f>$AG578-$AF578</f>
        <v/>
      </c>
      <c r="BH578" s="81">
        <f>IFERROR($AG578/$AF578,"")</f>
        <v/>
      </c>
      <c r="BI578" s="82">
        <f>$AJ578-$AF578</f>
        <v/>
      </c>
      <c r="BJ578" s="81">
        <f>IFERROR($AJ578/$AG578,"")</f>
        <v/>
      </c>
      <c r="BK578" s="81">
        <f>$X578</f>
        <v/>
      </c>
      <c r="BL578" s="82">
        <f>($J578-$J579)*100</f>
        <v/>
      </c>
      <c r="BM578" s="82">
        <f>($F578-$F579)*100</f>
        <v/>
      </c>
      <c r="BN578" s="82">
        <f>$AF578-$AF579</f>
        <v/>
      </c>
      <c r="BO578" s="82">
        <f>$AG578-$AG579</f>
        <v/>
      </c>
      <c r="BP578" s="82">
        <f>$AJ578-$AJ579</f>
        <v/>
      </c>
    </row>
    <row r="579">
      <c r="AR579" s="81">
        <f>($G579+($H579-$G579)*0.5)+($P579-($O579+($Q579-$O579)*0.5))</f>
        <v/>
      </c>
      <c r="AS579" s="81">
        <f>($J579+($K579-$J579)*0.5)+($T579-($S579+($U579-$S579)*0.5))</f>
        <v/>
      </c>
      <c r="AT579" s="82">
        <f>($J579-$C579)*100</f>
        <v/>
      </c>
      <c r="AU579" s="82">
        <f>($H579-$F579)*100</f>
        <v/>
      </c>
      <c r="AV579" s="82">
        <f>($J579-$F579)*100</f>
        <v/>
      </c>
      <c r="AW579" s="82">
        <f>($L579-$F579)*100</f>
        <v/>
      </c>
      <c r="AX579" s="82">
        <f>($J579-$H579)*100</f>
        <v/>
      </c>
      <c r="AY579" s="82">
        <f>($L579-$H579)*100</f>
        <v/>
      </c>
      <c r="AZ579" s="82">
        <f>($L579-$J579)*100</f>
        <v/>
      </c>
      <c r="BA579" s="82">
        <f>(2*$H579-$F579-$J579)*100</f>
        <v/>
      </c>
      <c r="BB579" s="82">
        <f>(2*$J579-$H579-$L579)*100</f>
        <v/>
      </c>
      <c r="BC579" s="82">
        <f>($N579-$F579)*100</f>
        <v/>
      </c>
      <c r="BD579" s="82">
        <f>($Q579-$H579)*100</f>
        <v/>
      </c>
      <c r="BE579" s="82">
        <f>($S579-$J579)*100</f>
        <v/>
      </c>
      <c r="BF579" s="82">
        <f>($V579-$L579)*100</f>
        <v/>
      </c>
      <c r="BG579" s="82">
        <f>$AG579-$AF579</f>
        <v/>
      </c>
      <c r="BH579" s="81">
        <f>IFERROR($AG579/$AF579,"")</f>
        <v/>
      </c>
      <c r="BI579" s="82">
        <f>$AJ579-$AF579</f>
        <v/>
      </c>
      <c r="BJ579" s="81">
        <f>IFERROR($AJ579/$AG579,"")</f>
        <v/>
      </c>
      <c r="BK579" s="81">
        <f>$X579</f>
        <v/>
      </c>
      <c r="BL579" s="82">
        <f>($J579-$J580)*100</f>
        <v/>
      </c>
      <c r="BM579" s="82">
        <f>($F579-$F580)*100</f>
        <v/>
      </c>
      <c r="BN579" s="82">
        <f>$AF579-$AF580</f>
        <v/>
      </c>
      <c r="BO579" s="82">
        <f>$AG579-$AG580</f>
        <v/>
      </c>
      <c r="BP579" s="82">
        <f>$AJ579-$AJ580</f>
        <v/>
      </c>
    </row>
    <row r="580">
      <c r="AR580" s="81">
        <f>($G580+($H580-$G580)*0.5)+($P580-($O580+($Q580-$O580)*0.5))</f>
        <v/>
      </c>
      <c r="AS580" s="81">
        <f>($J580+($K580-$J580)*0.5)+($T580-($S580+($U580-$S580)*0.5))</f>
        <v/>
      </c>
      <c r="AT580" s="82">
        <f>($J580-$C580)*100</f>
        <v/>
      </c>
      <c r="AU580" s="82">
        <f>($H580-$F580)*100</f>
        <v/>
      </c>
      <c r="AV580" s="82">
        <f>($J580-$F580)*100</f>
        <v/>
      </c>
      <c r="AW580" s="82">
        <f>($L580-$F580)*100</f>
        <v/>
      </c>
      <c r="AX580" s="82">
        <f>($J580-$H580)*100</f>
        <v/>
      </c>
      <c r="AY580" s="82">
        <f>($L580-$H580)*100</f>
        <v/>
      </c>
      <c r="AZ580" s="82">
        <f>($L580-$J580)*100</f>
        <v/>
      </c>
      <c r="BA580" s="82">
        <f>(2*$H580-$F580-$J580)*100</f>
        <v/>
      </c>
      <c r="BB580" s="82">
        <f>(2*$J580-$H580-$L580)*100</f>
        <v/>
      </c>
      <c r="BC580" s="82">
        <f>($N580-$F580)*100</f>
        <v/>
      </c>
      <c r="BD580" s="82">
        <f>($Q580-$H580)*100</f>
        <v/>
      </c>
      <c r="BE580" s="82">
        <f>($S580-$J580)*100</f>
        <v/>
      </c>
      <c r="BF580" s="82">
        <f>($V580-$L580)*100</f>
        <v/>
      </c>
      <c r="BG580" s="82">
        <f>$AG580-$AF580</f>
        <v/>
      </c>
      <c r="BH580" s="81">
        <f>IFERROR($AG580/$AF580,"")</f>
        <v/>
      </c>
      <c r="BI580" s="82">
        <f>$AJ580-$AF580</f>
        <v/>
      </c>
      <c r="BJ580" s="81">
        <f>IFERROR($AJ580/$AG580,"")</f>
        <v/>
      </c>
      <c r="BK580" s="81">
        <f>$X580</f>
        <v/>
      </c>
      <c r="BL580" s="82">
        <f>($J580-$J581)*100</f>
        <v/>
      </c>
      <c r="BM580" s="82">
        <f>($F580-$F581)*100</f>
        <v/>
      </c>
      <c r="BN580" s="82">
        <f>$AF580-$AF581</f>
        <v/>
      </c>
      <c r="BO580" s="82">
        <f>$AG580-$AG581</f>
        <v/>
      </c>
      <c r="BP580" s="82">
        <f>$AJ580-$AJ581</f>
        <v/>
      </c>
    </row>
    <row r="581">
      <c r="AR581" s="81">
        <f>($G581+($H581-$G581)*0.5)+($P581-($O581+($Q581-$O581)*0.5))</f>
        <v/>
      </c>
      <c r="AS581" s="81">
        <f>($J581+($K581-$J581)*0.5)+($T581-($S581+($U581-$S581)*0.5))</f>
        <v/>
      </c>
      <c r="AT581" s="82">
        <f>($J581-$C581)*100</f>
        <v/>
      </c>
      <c r="AU581" s="82">
        <f>($H581-$F581)*100</f>
        <v/>
      </c>
      <c r="AV581" s="82">
        <f>($J581-$F581)*100</f>
        <v/>
      </c>
      <c r="AW581" s="82">
        <f>($L581-$F581)*100</f>
        <v/>
      </c>
      <c r="AX581" s="82">
        <f>($J581-$H581)*100</f>
        <v/>
      </c>
      <c r="AY581" s="82">
        <f>($L581-$H581)*100</f>
        <v/>
      </c>
      <c r="AZ581" s="82">
        <f>($L581-$J581)*100</f>
        <v/>
      </c>
      <c r="BA581" s="82">
        <f>(2*$H581-$F581-$J581)*100</f>
        <v/>
      </c>
      <c r="BB581" s="82">
        <f>(2*$J581-$H581-$L581)*100</f>
        <v/>
      </c>
      <c r="BC581" s="82">
        <f>($N581-$F581)*100</f>
        <v/>
      </c>
      <c r="BD581" s="82">
        <f>($Q581-$H581)*100</f>
        <v/>
      </c>
      <c r="BE581" s="82">
        <f>($S581-$J581)*100</f>
        <v/>
      </c>
      <c r="BF581" s="82">
        <f>($V581-$L581)*100</f>
        <v/>
      </c>
      <c r="BG581" s="82">
        <f>$AG581-$AF581</f>
        <v/>
      </c>
      <c r="BH581" s="81">
        <f>IFERROR($AG581/$AF581,"")</f>
        <v/>
      </c>
      <c r="BI581" s="82">
        <f>$AJ581-$AF581</f>
        <v/>
      </c>
      <c r="BJ581" s="81">
        <f>IFERROR($AJ581/$AG581,"")</f>
        <v/>
      </c>
      <c r="BK581" s="81">
        <f>$X581</f>
        <v/>
      </c>
      <c r="BL581" s="82">
        <f>($J581-$J582)*100</f>
        <v/>
      </c>
      <c r="BM581" s="82">
        <f>($F581-$F582)*100</f>
        <v/>
      </c>
      <c r="BN581" s="82">
        <f>$AF581-$AF582</f>
        <v/>
      </c>
      <c r="BO581" s="82">
        <f>$AG581-$AG582</f>
        <v/>
      </c>
      <c r="BP581" s="82">
        <f>$AJ581-$AJ582</f>
        <v/>
      </c>
    </row>
    <row r="582">
      <c r="AR582" s="81">
        <f>($G582+($H582-$G582)*0.5)+($P582-($O582+($Q582-$O582)*0.5))</f>
        <v/>
      </c>
      <c r="AS582" s="81">
        <f>($J582+($K582-$J582)*0.5)+($T582-($S582+($U582-$S582)*0.5))</f>
        <v/>
      </c>
      <c r="AT582" s="82">
        <f>($J582-$C582)*100</f>
        <v/>
      </c>
      <c r="AU582" s="82">
        <f>($H582-$F582)*100</f>
        <v/>
      </c>
      <c r="AV582" s="82">
        <f>($J582-$F582)*100</f>
        <v/>
      </c>
      <c r="AW582" s="82">
        <f>($L582-$F582)*100</f>
        <v/>
      </c>
      <c r="AX582" s="82">
        <f>($J582-$H582)*100</f>
        <v/>
      </c>
      <c r="AY582" s="82">
        <f>($L582-$H582)*100</f>
        <v/>
      </c>
      <c r="AZ582" s="82">
        <f>($L582-$J582)*100</f>
        <v/>
      </c>
      <c r="BA582" s="82">
        <f>(2*$H582-$F582-$J582)*100</f>
        <v/>
      </c>
      <c r="BB582" s="82">
        <f>(2*$J582-$H582-$L582)*100</f>
        <v/>
      </c>
      <c r="BC582" s="82">
        <f>($N582-$F582)*100</f>
        <v/>
      </c>
      <c r="BD582" s="82">
        <f>($Q582-$H582)*100</f>
        <v/>
      </c>
      <c r="BE582" s="82">
        <f>($S582-$J582)*100</f>
        <v/>
      </c>
      <c r="BF582" s="82">
        <f>($V582-$L582)*100</f>
        <v/>
      </c>
      <c r="BG582" s="82">
        <f>$AG582-$AF582</f>
        <v/>
      </c>
      <c r="BH582" s="81">
        <f>IFERROR($AG582/$AF582,"")</f>
        <v/>
      </c>
      <c r="BI582" s="82">
        <f>$AJ582-$AF582</f>
        <v/>
      </c>
      <c r="BJ582" s="81">
        <f>IFERROR($AJ582/$AG582,"")</f>
        <v/>
      </c>
      <c r="BK582" s="81">
        <f>$X582</f>
        <v/>
      </c>
      <c r="BL582" s="82">
        <f>($J582-$J583)*100</f>
        <v/>
      </c>
      <c r="BM582" s="82">
        <f>($F582-$F583)*100</f>
        <v/>
      </c>
      <c r="BN582" s="82">
        <f>$AF582-$AF583</f>
        <v/>
      </c>
      <c r="BO582" s="82">
        <f>$AG582-$AG583</f>
        <v/>
      </c>
      <c r="BP582" s="82">
        <f>$AJ582-$AJ583</f>
        <v/>
      </c>
    </row>
    <row r="583">
      <c r="AR583" s="81">
        <f>($G583+($H583-$G583)*0.5)+($P583-($O583+($Q583-$O583)*0.5))</f>
        <v/>
      </c>
      <c r="AS583" s="81">
        <f>($J583+($K583-$J583)*0.5)+($T583-($S583+($U583-$S583)*0.5))</f>
        <v/>
      </c>
      <c r="AT583" s="82">
        <f>($J583-$C583)*100</f>
        <v/>
      </c>
      <c r="AU583" s="82">
        <f>($H583-$F583)*100</f>
        <v/>
      </c>
      <c r="AV583" s="82">
        <f>($J583-$F583)*100</f>
        <v/>
      </c>
      <c r="AW583" s="82">
        <f>($L583-$F583)*100</f>
        <v/>
      </c>
      <c r="AX583" s="82">
        <f>($J583-$H583)*100</f>
        <v/>
      </c>
      <c r="AY583" s="82">
        <f>($L583-$H583)*100</f>
        <v/>
      </c>
      <c r="AZ583" s="82">
        <f>($L583-$J583)*100</f>
        <v/>
      </c>
      <c r="BA583" s="82">
        <f>(2*$H583-$F583-$J583)*100</f>
        <v/>
      </c>
      <c r="BB583" s="82">
        <f>(2*$J583-$H583-$L583)*100</f>
        <v/>
      </c>
      <c r="BC583" s="82">
        <f>($N583-$F583)*100</f>
        <v/>
      </c>
      <c r="BD583" s="82">
        <f>($Q583-$H583)*100</f>
        <v/>
      </c>
      <c r="BE583" s="82">
        <f>($S583-$J583)*100</f>
        <v/>
      </c>
      <c r="BF583" s="82">
        <f>($V583-$L583)*100</f>
        <v/>
      </c>
      <c r="BG583" s="82">
        <f>$AG583-$AF583</f>
        <v/>
      </c>
      <c r="BH583" s="81">
        <f>IFERROR($AG583/$AF583,"")</f>
        <v/>
      </c>
      <c r="BI583" s="82">
        <f>$AJ583-$AF583</f>
        <v/>
      </c>
      <c r="BJ583" s="81">
        <f>IFERROR($AJ583/$AG583,"")</f>
        <v/>
      </c>
      <c r="BK583" s="81">
        <f>$X583</f>
        <v/>
      </c>
      <c r="BL583" s="82">
        <f>($J583-$J584)*100</f>
        <v/>
      </c>
      <c r="BM583" s="82">
        <f>($F583-$F584)*100</f>
        <v/>
      </c>
      <c r="BN583" s="82">
        <f>$AF583-$AF584</f>
        <v/>
      </c>
      <c r="BO583" s="82">
        <f>$AG583-$AG584</f>
        <v/>
      </c>
      <c r="BP583" s="82">
        <f>$AJ583-$AJ584</f>
        <v/>
      </c>
    </row>
    <row r="584">
      <c r="AR584" s="81">
        <f>($G584+($H584-$G584)*0.5)+($P584-($O584+($Q584-$O584)*0.5))</f>
        <v/>
      </c>
      <c r="AS584" s="81">
        <f>($J584+($K584-$J584)*0.5)+($T584-($S584+($U584-$S584)*0.5))</f>
        <v/>
      </c>
      <c r="AT584" s="82">
        <f>($J584-$C584)*100</f>
        <v/>
      </c>
      <c r="AU584" s="82">
        <f>($H584-$F584)*100</f>
        <v/>
      </c>
      <c r="AV584" s="82">
        <f>($J584-$F584)*100</f>
        <v/>
      </c>
      <c r="AW584" s="82">
        <f>($L584-$F584)*100</f>
        <v/>
      </c>
      <c r="AX584" s="82">
        <f>($J584-$H584)*100</f>
        <v/>
      </c>
      <c r="AY584" s="82">
        <f>($L584-$H584)*100</f>
        <v/>
      </c>
      <c r="AZ584" s="82">
        <f>($L584-$J584)*100</f>
        <v/>
      </c>
      <c r="BA584" s="82">
        <f>(2*$H584-$F584-$J584)*100</f>
        <v/>
      </c>
      <c r="BB584" s="82">
        <f>(2*$J584-$H584-$L584)*100</f>
        <v/>
      </c>
      <c r="BC584" s="82">
        <f>($N584-$F584)*100</f>
        <v/>
      </c>
      <c r="BD584" s="82">
        <f>($Q584-$H584)*100</f>
        <v/>
      </c>
      <c r="BE584" s="82">
        <f>($S584-$J584)*100</f>
        <v/>
      </c>
      <c r="BF584" s="82">
        <f>($V584-$L584)*100</f>
        <v/>
      </c>
      <c r="BG584" s="82">
        <f>$AG584-$AF584</f>
        <v/>
      </c>
      <c r="BH584" s="81">
        <f>IFERROR($AG584/$AF584,"")</f>
        <v/>
      </c>
      <c r="BI584" s="82">
        <f>$AJ584-$AF584</f>
        <v/>
      </c>
      <c r="BJ584" s="81">
        <f>IFERROR($AJ584/$AG584,"")</f>
        <v/>
      </c>
      <c r="BK584" s="81">
        <f>$X584</f>
        <v/>
      </c>
      <c r="BL584" s="82">
        <f>($J584-$J585)*100</f>
        <v/>
      </c>
      <c r="BM584" s="82">
        <f>($F584-$F585)*100</f>
        <v/>
      </c>
      <c r="BN584" s="82">
        <f>$AF584-$AF585</f>
        <v/>
      </c>
      <c r="BO584" s="82">
        <f>$AG584-$AG585</f>
        <v/>
      </c>
      <c r="BP584" s="82">
        <f>$AJ584-$AJ585</f>
        <v/>
      </c>
    </row>
    <row r="585">
      <c r="AR585" s="81">
        <f>($G585+($H585-$G585)*0.5)+($P585-($O585+($Q585-$O585)*0.5))</f>
        <v/>
      </c>
      <c r="AS585" s="81">
        <f>($J585+($K585-$J585)*0.5)+($T585-($S585+($U585-$S585)*0.5))</f>
        <v/>
      </c>
      <c r="AT585" s="82">
        <f>($J585-$C585)*100</f>
        <v/>
      </c>
      <c r="AU585" s="82">
        <f>($H585-$F585)*100</f>
        <v/>
      </c>
      <c r="AV585" s="82">
        <f>($J585-$F585)*100</f>
        <v/>
      </c>
      <c r="AW585" s="82">
        <f>($L585-$F585)*100</f>
        <v/>
      </c>
      <c r="AX585" s="82">
        <f>($J585-$H585)*100</f>
        <v/>
      </c>
      <c r="AY585" s="82">
        <f>($L585-$H585)*100</f>
        <v/>
      </c>
      <c r="AZ585" s="82">
        <f>($L585-$J585)*100</f>
        <v/>
      </c>
      <c r="BA585" s="82">
        <f>(2*$H585-$F585-$J585)*100</f>
        <v/>
      </c>
      <c r="BB585" s="82">
        <f>(2*$J585-$H585-$L585)*100</f>
        <v/>
      </c>
      <c r="BC585" s="82">
        <f>($N585-$F585)*100</f>
        <v/>
      </c>
      <c r="BD585" s="82">
        <f>($Q585-$H585)*100</f>
        <v/>
      </c>
      <c r="BE585" s="82">
        <f>($S585-$J585)*100</f>
        <v/>
      </c>
      <c r="BF585" s="82">
        <f>($V585-$L585)*100</f>
        <v/>
      </c>
      <c r="BG585" s="82">
        <f>$AG585-$AF585</f>
        <v/>
      </c>
      <c r="BH585" s="81">
        <f>IFERROR($AG585/$AF585,"")</f>
        <v/>
      </c>
      <c r="BI585" s="82">
        <f>$AJ585-$AF585</f>
        <v/>
      </c>
      <c r="BJ585" s="81">
        <f>IFERROR($AJ585/$AG585,"")</f>
        <v/>
      </c>
      <c r="BK585" s="81">
        <f>$X585</f>
        <v/>
      </c>
      <c r="BL585" s="82">
        <f>($J585-$J586)*100</f>
        <v/>
      </c>
      <c r="BM585" s="82">
        <f>($F585-$F586)*100</f>
        <v/>
      </c>
      <c r="BN585" s="82">
        <f>$AF585-$AF586</f>
        <v/>
      </c>
      <c r="BO585" s="82">
        <f>$AG585-$AG586</f>
        <v/>
      </c>
      <c r="BP585" s="82">
        <f>$AJ585-$AJ586</f>
        <v/>
      </c>
    </row>
    <row r="586">
      <c r="AR586" s="81">
        <f>($G586+($H586-$G586)*0.5)+($P586-($O586+($Q586-$O586)*0.5))</f>
        <v/>
      </c>
      <c r="AS586" s="81">
        <f>($J586+($K586-$J586)*0.5)+($T586-($S586+($U586-$S586)*0.5))</f>
        <v/>
      </c>
      <c r="AT586" s="82">
        <f>($J586-$C586)*100</f>
        <v/>
      </c>
      <c r="AU586" s="82">
        <f>($H586-$F586)*100</f>
        <v/>
      </c>
      <c r="AV586" s="82">
        <f>($J586-$F586)*100</f>
        <v/>
      </c>
      <c r="AW586" s="82">
        <f>($L586-$F586)*100</f>
        <v/>
      </c>
      <c r="AX586" s="82">
        <f>($J586-$H586)*100</f>
        <v/>
      </c>
      <c r="AY586" s="82">
        <f>($L586-$H586)*100</f>
        <v/>
      </c>
      <c r="AZ586" s="82">
        <f>($L586-$J586)*100</f>
        <v/>
      </c>
      <c r="BA586" s="82">
        <f>(2*$H586-$F586-$J586)*100</f>
        <v/>
      </c>
      <c r="BB586" s="82">
        <f>(2*$J586-$H586-$L586)*100</f>
        <v/>
      </c>
      <c r="BC586" s="82">
        <f>($N586-$F586)*100</f>
        <v/>
      </c>
      <c r="BD586" s="82">
        <f>($Q586-$H586)*100</f>
        <v/>
      </c>
      <c r="BE586" s="82">
        <f>($S586-$J586)*100</f>
        <v/>
      </c>
      <c r="BF586" s="82">
        <f>($V586-$L586)*100</f>
        <v/>
      </c>
      <c r="BG586" s="82">
        <f>$AG586-$AF586</f>
        <v/>
      </c>
      <c r="BH586" s="81">
        <f>IFERROR($AG586/$AF586,"")</f>
        <v/>
      </c>
      <c r="BI586" s="82">
        <f>$AJ586-$AF586</f>
        <v/>
      </c>
      <c r="BJ586" s="81">
        <f>IFERROR($AJ586/$AG586,"")</f>
        <v/>
      </c>
      <c r="BK586" s="81">
        <f>$X586</f>
        <v/>
      </c>
      <c r="BL586" s="82">
        <f>($J586-$J587)*100</f>
        <v/>
      </c>
      <c r="BM586" s="82">
        <f>($F586-$F587)*100</f>
        <v/>
      </c>
      <c r="BN586" s="82">
        <f>$AF586-$AF587</f>
        <v/>
      </c>
      <c r="BO586" s="82">
        <f>$AG586-$AG587</f>
        <v/>
      </c>
      <c r="BP586" s="82">
        <f>$AJ586-$AJ587</f>
        <v/>
      </c>
    </row>
    <row r="587">
      <c r="AR587" s="81">
        <f>($G587+($H587-$G587)*0.5)+($P587-($O587+($Q587-$O587)*0.5))</f>
        <v/>
      </c>
      <c r="AS587" s="81">
        <f>($J587+($K587-$J587)*0.5)+($T587-($S587+($U587-$S587)*0.5))</f>
        <v/>
      </c>
      <c r="AT587" s="82">
        <f>($J587-$C587)*100</f>
        <v/>
      </c>
      <c r="AU587" s="82">
        <f>($H587-$F587)*100</f>
        <v/>
      </c>
      <c r="AV587" s="82">
        <f>($J587-$F587)*100</f>
        <v/>
      </c>
      <c r="AW587" s="82">
        <f>($L587-$F587)*100</f>
        <v/>
      </c>
      <c r="AX587" s="82">
        <f>($J587-$H587)*100</f>
        <v/>
      </c>
      <c r="AY587" s="82">
        <f>($L587-$H587)*100</f>
        <v/>
      </c>
      <c r="AZ587" s="82">
        <f>($L587-$J587)*100</f>
        <v/>
      </c>
      <c r="BA587" s="82">
        <f>(2*$H587-$F587-$J587)*100</f>
        <v/>
      </c>
      <c r="BB587" s="82">
        <f>(2*$J587-$H587-$L587)*100</f>
        <v/>
      </c>
      <c r="BC587" s="82">
        <f>($N587-$F587)*100</f>
        <v/>
      </c>
      <c r="BD587" s="82">
        <f>($Q587-$H587)*100</f>
        <v/>
      </c>
      <c r="BE587" s="82">
        <f>($S587-$J587)*100</f>
        <v/>
      </c>
      <c r="BF587" s="82">
        <f>($V587-$L587)*100</f>
        <v/>
      </c>
      <c r="BG587" s="82">
        <f>$AG587-$AF587</f>
        <v/>
      </c>
      <c r="BH587" s="81">
        <f>IFERROR($AG587/$AF587,"")</f>
        <v/>
      </c>
      <c r="BI587" s="82">
        <f>$AJ587-$AF587</f>
        <v/>
      </c>
      <c r="BJ587" s="81">
        <f>IFERROR($AJ587/$AG587,"")</f>
        <v/>
      </c>
      <c r="BK587" s="81">
        <f>$X587</f>
        <v/>
      </c>
      <c r="BL587" s="82">
        <f>($J587-$J588)*100</f>
        <v/>
      </c>
      <c r="BM587" s="82">
        <f>($F587-$F588)*100</f>
        <v/>
      </c>
      <c r="BN587" s="82">
        <f>$AF587-$AF588</f>
        <v/>
      </c>
      <c r="BO587" s="82">
        <f>$AG587-$AG588</f>
        <v/>
      </c>
      <c r="BP587" s="82">
        <f>$AJ587-$AJ588</f>
        <v/>
      </c>
    </row>
    <row r="588">
      <c r="AR588" s="81">
        <f>($G588+($H588-$G588)*0.5)+($P588-($O588+($Q588-$O588)*0.5))</f>
        <v/>
      </c>
      <c r="AS588" s="81">
        <f>($J588+($K588-$J588)*0.5)+($T588-($S588+($U588-$S588)*0.5))</f>
        <v/>
      </c>
      <c r="AT588" s="82">
        <f>($J588-$C588)*100</f>
        <v/>
      </c>
      <c r="AU588" s="82">
        <f>($H588-$F588)*100</f>
        <v/>
      </c>
      <c r="AV588" s="82">
        <f>($J588-$F588)*100</f>
        <v/>
      </c>
      <c r="AW588" s="82">
        <f>($L588-$F588)*100</f>
        <v/>
      </c>
      <c r="AX588" s="82">
        <f>($J588-$H588)*100</f>
        <v/>
      </c>
      <c r="AY588" s="82">
        <f>($L588-$H588)*100</f>
        <v/>
      </c>
      <c r="AZ588" s="82">
        <f>($L588-$J588)*100</f>
        <v/>
      </c>
      <c r="BA588" s="82">
        <f>(2*$H588-$F588-$J588)*100</f>
        <v/>
      </c>
      <c r="BB588" s="82">
        <f>(2*$J588-$H588-$L588)*100</f>
        <v/>
      </c>
      <c r="BC588" s="82">
        <f>($N588-$F588)*100</f>
        <v/>
      </c>
      <c r="BD588" s="82">
        <f>($Q588-$H588)*100</f>
        <v/>
      </c>
      <c r="BE588" s="82">
        <f>($S588-$J588)*100</f>
        <v/>
      </c>
      <c r="BF588" s="82">
        <f>($V588-$L588)*100</f>
        <v/>
      </c>
      <c r="BG588" s="82">
        <f>$AG588-$AF588</f>
        <v/>
      </c>
      <c r="BH588" s="81">
        <f>IFERROR($AG588/$AF588,"")</f>
        <v/>
      </c>
      <c r="BI588" s="82">
        <f>$AJ588-$AF588</f>
        <v/>
      </c>
      <c r="BJ588" s="81">
        <f>IFERROR($AJ588/$AG588,"")</f>
        <v/>
      </c>
      <c r="BK588" s="81">
        <f>$X588</f>
        <v/>
      </c>
      <c r="BL588" s="82">
        <f>($J588-$J589)*100</f>
        <v/>
      </c>
      <c r="BM588" s="82">
        <f>($F588-$F589)*100</f>
        <v/>
      </c>
      <c r="BN588" s="82">
        <f>$AF588-$AF589</f>
        <v/>
      </c>
      <c r="BO588" s="82">
        <f>$AG588-$AG589</f>
        <v/>
      </c>
      <c r="BP588" s="82">
        <f>$AJ588-$AJ589</f>
        <v/>
      </c>
    </row>
    <row r="589">
      <c r="AR589" s="81">
        <f>($G589+($H589-$G589)*0.5)+($P589-($O589+($Q589-$O589)*0.5))</f>
        <v/>
      </c>
      <c r="AS589" s="81">
        <f>($J589+($K589-$J589)*0.5)+($T589-($S589+($U589-$S589)*0.5))</f>
        <v/>
      </c>
      <c r="AT589" s="82">
        <f>($J589-$C589)*100</f>
        <v/>
      </c>
      <c r="AU589" s="82">
        <f>($H589-$F589)*100</f>
        <v/>
      </c>
      <c r="AV589" s="82">
        <f>($J589-$F589)*100</f>
        <v/>
      </c>
      <c r="AW589" s="82">
        <f>($L589-$F589)*100</f>
        <v/>
      </c>
      <c r="AX589" s="82">
        <f>($J589-$H589)*100</f>
        <v/>
      </c>
      <c r="AY589" s="82">
        <f>($L589-$H589)*100</f>
        <v/>
      </c>
      <c r="AZ589" s="82">
        <f>($L589-$J589)*100</f>
        <v/>
      </c>
      <c r="BA589" s="82">
        <f>(2*$H589-$F589-$J589)*100</f>
        <v/>
      </c>
      <c r="BB589" s="82">
        <f>(2*$J589-$H589-$L589)*100</f>
        <v/>
      </c>
      <c r="BC589" s="82">
        <f>($N589-$F589)*100</f>
        <v/>
      </c>
      <c r="BD589" s="82">
        <f>($Q589-$H589)*100</f>
        <v/>
      </c>
      <c r="BE589" s="82">
        <f>($S589-$J589)*100</f>
        <v/>
      </c>
      <c r="BF589" s="82">
        <f>($V589-$L589)*100</f>
        <v/>
      </c>
      <c r="BG589" s="82">
        <f>$AG589-$AF589</f>
        <v/>
      </c>
      <c r="BH589" s="81">
        <f>IFERROR($AG589/$AF589,"")</f>
        <v/>
      </c>
      <c r="BI589" s="82">
        <f>$AJ589-$AF589</f>
        <v/>
      </c>
      <c r="BJ589" s="81">
        <f>IFERROR($AJ589/$AG589,"")</f>
        <v/>
      </c>
      <c r="BK589" s="81">
        <f>$X589</f>
        <v/>
      </c>
      <c r="BL589" s="82">
        <f>($J589-$J590)*100</f>
        <v/>
      </c>
      <c r="BM589" s="82">
        <f>($F589-$F590)*100</f>
        <v/>
      </c>
      <c r="BN589" s="82">
        <f>$AF589-$AF590</f>
        <v/>
      </c>
      <c r="BO589" s="82">
        <f>$AG589-$AG590</f>
        <v/>
      </c>
      <c r="BP589" s="82">
        <f>$AJ589-$AJ590</f>
        <v/>
      </c>
    </row>
    <row r="590">
      <c r="AR590" s="81">
        <f>($G590+($H590-$G590)*0.5)+($P590-($O590+($Q590-$O590)*0.5))</f>
        <v/>
      </c>
      <c r="AS590" s="81">
        <f>($J590+($K590-$J590)*0.5)+($T590-($S590+($U590-$S590)*0.5))</f>
        <v/>
      </c>
      <c r="AT590" s="82">
        <f>($J590-$C590)*100</f>
        <v/>
      </c>
      <c r="AU590" s="82">
        <f>($H590-$F590)*100</f>
        <v/>
      </c>
      <c r="AV590" s="82">
        <f>($J590-$F590)*100</f>
        <v/>
      </c>
      <c r="AW590" s="82">
        <f>($L590-$F590)*100</f>
        <v/>
      </c>
      <c r="AX590" s="82">
        <f>($J590-$H590)*100</f>
        <v/>
      </c>
      <c r="AY590" s="82">
        <f>($L590-$H590)*100</f>
        <v/>
      </c>
      <c r="AZ590" s="82">
        <f>($L590-$J590)*100</f>
        <v/>
      </c>
      <c r="BA590" s="82">
        <f>(2*$H590-$F590-$J590)*100</f>
        <v/>
      </c>
      <c r="BB590" s="82">
        <f>(2*$J590-$H590-$L590)*100</f>
        <v/>
      </c>
      <c r="BC590" s="82">
        <f>($N590-$F590)*100</f>
        <v/>
      </c>
      <c r="BD590" s="82">
        <f>($Q590-$H590)*100</f>
        <v/>
      </c>
      <c r="BE590" s="82">
        <f>($S590-$J590)*100</f>
        <v/>
      </c>
      <c r="BF590" s="82">
        <f>($V590-$L590)*100</f>
        <v/>
      </c>
      <c r="BG590" s="82">
        <f>$AG590-$AF590</f>
        <v/>
      </c>
      <c r="BH590" s="81">
        <f>IFERROR($AG590/$AF590,"")</f>
        <v/>
      </c>
      <c r="BI590" s="82">
        <f>$AJ590-$AF590</f>
        <v/>
      </c>
      <c r="BJ590" s="81">
        <f>IFERROR($AJ590/$AG590,"")</f>
        <v/>
      </c>
      <c r="BK590" s="81">
        <f>$X590</f>
        <v/>
      </c>
      <c r="BL590" s="82">
        <f>($J590-$J591)*100</f>
        <v/>
      </c>
      <c r="BM590" s="82">
        <f>($F590-$F591)*100</f>
        <v/>
      </c>
      <c r="BN590" s="82">
        <f>$AF590-$AF591</f>
        <v/>
      </c>
      <c r="BO590" s="82">
        <f>$AG590-$AG591</f>
        <v/>
      </c>
      <c r="BP590" s="82">
        <f>$AJ590-$AJ591</f>
        <v/>
      </c>
    </row>
    <row r="591">
      <c r="AR591" s="81">
        <f>($G591+($H591-$G591)*0.5)+($P591-($O591+($Q591-$O591)*0.5))</f>
        <v/>
      </c>
      <c r="AS591" s="81">
        <f>($J591+($K591-$J591)*0.5)+($T591-($S591+($U591-$S591)*0.5))</f>
        <v/>
      </c>
      <c r="AT591" s="82">
        <f>($J591-$C591)*100</f>
        <v/>
      </c>
      <c r="AU591" s="82">
        <f>($H591-$F591)*100</f>
        <v/>
      </c>
      <c r="AV591" s="82">
        <f>($J591-$F591)*100</f>
        <v/>
      </c>
      <c r="AW591" s="82">
        <f>($L591-$F591)*100</f>
        <v/>
      </c>
      <c r="AX591" s="82">
        <f>($J591-$H591)*100</f>
        <v/>
      </c>
      <c r="AY591" s="82">
        <f>($L591-$H591)*100</f>
        <v/>
      </c>
      <c r="AZ591" s="82">
        <f>($L591-$J591)*100</f>
        <v/>
      </c>
      <c r="BA591" s="82">
        <f>(2*$H591-$F591-$J591)*100</f>
        <v/>
      </c>
      <c r="BB591" s="82">
        <f>(2*$J591-$H591-$L591)*100</f>
        <v/>
      </c>
      <c r="BC591" s="82">
        <f>($N591-$F591)*100</f>
        <v/>
      </c>
      <c r="BD591" s="82">
        <f>($Q591-$H591)*100</f>
        <v/>
      </c>
      <c r="BE591" s="82">
        <f>($S591-$J591)*100</f>
        <v/>
      </c>
      <c r="BF591" s="82">
        <f>($V591-$L591)*100</f>
        <v/>
      </c>
      <c r="BG591" s="82">
        <f>$AG591-$AF591</f>
        <v/>
      </c>
      <c r="BH591" s="81">
        <f>IFERROR($AG591/$AF591,"")</f>
        <v/>
      </c>
      <c r="BI591" s="82">
        <f>$AJ591-$AF591</f>
        <v/>
      </c>
      <c r="BJ591" s="81">
        <f>IFERROR($AJ591/$AG591,"")</f>
        <v/>
      </c>
      <c r="BK591" s="81">
        <f>$X591</f>
        <v/>
      </c>
      <c r="BL591" s="82">
        <f>($J591-$J592)*100</f>
        <v/>
      </c>
      <c r="BM591" s="82">
        <f>($F591-$F592)*100</f>
        <v/>
      </c>
      <c r="BN591" s="82">
        <f>$AF591-$AF592</f>
        <v/>
      </c>
      <c r="BO591" s="82">
        <f>$AG591-$AG592</f>
        <v/>
      </c>
      <c r="BP591" s="82">
        <f>$AJ591-$AJ592</f>
        <v/>
      </c>
    </row>
    <row r="592">
      <c r="AR592" s="81">
        <f>($G592+($H592-$G592)*0.5)+($P592-($O592+($Q592-$O592)*0.5))</f>
        <v/>
      </c>
      <c r="AS592" s="81">
        <f>($J592+($K592-$J592)*0.5)+($T592-($S592+($U592-$S592)*0.5))</f>
        <v/>
      </c>
      <c r="AT592" s="82">
        <f>($J592-$C592)*100</f>
        <v/>
      </c>
      <c r="AU592" s="82">
        <f>($H592-$F592)*100</f>
        <v/>
      </c>
      <c r="AV592" s="82">
        <f>($J592-$F592)*100</f>
        <v/>
      </c>
      <c r="AW592" s="82">
        <f>($L592-$F592)*100</f>
        <v/>
      </c>
      <c r="AX592" s="82">
        <f>($J592-$H592)*100</f>
        <v/>
      </c>
      <c r="AY592" s="82">
        <f>($L592-$H592)*100</f>
        <v/>
      </c>
      <c r="AZ592" s="82">
        <f>($L592-$J592)*100</f>
        <v/>
      </c>
      <c r="BA592" s="82">
        <f>(2*$H592-$F592-$J592)*100</f>
        <v/>
      </c>
      <c r="BB592" s="82">
        <f>(2*$J592-$H592-$L592)*100</f>
        <v/>
      </c>
      <c r="BC592" s="82">
        <f>($N592-$F592)*100</f>
        <v/>
      </c>
      <c r="BD592" s="82">
        <f>($Q592-$H592)*100</f>
        <v/>
      </c>
      <c r="BE592" s="82">
        <f>($S592-$J592)*100</f>
        <v/>
      </c>
      <c r="BF592" s="82">
        <f>($V592-$L592)*100</f>
        <v/>
      </c>
      <c r="BG592" s="82">
        <f>$AG592-$AF592</f>
        <v/>
      </c>
      <c r="BH592" s="81">
        <f>IFERROR($AG592/$AF592,"")</f>
        <v/>
      </c>
      <c r="BI592" s="82">
        <f>$AJ592-$AF592</f>
        <v/>
      </c>
      <c r="BJ592" s="81">
        <f>IFERROR($AJ592/$AG592,"")</f>
        <v/>
      </c>
      <c r="BK592" s="81">
        <f>$X592</f>
        <v/>
      </c>
      <c r="BL592" s="82">
        <f>($J592-$J593)*100</f>
        <v/>
      </c>
      <c r="BM592" s="82">
        <f>($F592-$F593)*100</f>
        <v/>
      </c>
      <c r="BN592" s="82">
        <f>$AF592-$AF593</f>
        <v/>
      </c>
      <c r="BO592" s="82">
        <f>$AG592-$AG593</f>
        <v/>
      </c>
      <c r="BP592" s="82">
        <f>$AJ592-$AJ593</f>
        <v/>
      </c>
    </row>
    <row r="593">
      <c r="AR593" s="81">
        <f>($G593+($H593-$G593)*0.5)+($P593-($O593+($Q593-$O593)*0.5))</f>
        <v/>
      </c>
      <c r="AS593" s="81">
        <f>($J593+($K593-$J593)*0.5)+($T593-($S593+($U593-$S593)*0.5))</f>
        <v/>
      </c>
      <c r="AT593" s="82">
        <f>($J593-$C593)*100</f>
        <v/>
      </c>
      <c r="AU593" s="82">
        <f>($H593-$F593)*100</f>
        <v/>
      </c>
      <c r="AV593" s="82">
        <f>($J593-$F593)*100</f>
        <v/>
      </c>
      <c r="AW593" s="82">
        <f>($L593-$F593)*100</f>
        <v/>
      </c>
      <c r="AX593" s="82">
        <f>($J593-$H593)*100</f>
        <v/>
      </c>
      <c r="AY593" s="82">
        <f>($L593-$H593)*100</f>
        <v/>
      </c>
      <c r="AZ593" s="82">
        <f>($L593-$J593)*100</f>
        <v/>
      </c>
      <c r="BA593" s="82">
        <f>(2*$H593-$F593-$J593)*100</f>
        <v/>
      </c>
      <c r="BB593" s="82">
        <f>(2*$J593-$H593-$L593)*100</f>
        <v/>
      </c>
      <c r="BC593" s="82">
        <f>($N593-$F593)*100</f>
        <v/>
      </c>
      <c r="BD593" s="82">
        <f>($Q593-$H593)*100</f>
        <v/>
      </c>
      <c r="BE593" s="82">
        <f>($S593-$J593)*100</f>
        <v/>
      </c>
      <c r="BF593" s="82">
        <f>($V593-$L593)*100</f>
        <v/>
      </c>
      <c r="BG593" s="82">
        <f>$AG593-$AF593</f>
        <v/>
      </c>
      <c r="BH593" s="81">
        <f>IFERROR($AG593/$AF593,"")</f>
        <v/>
      </c>
      <c r="BI593" s="82">
        <f>$AJ593-$AF593</f>
        <v/>
      </c>
      <c r="BJ593" s="81">
        <f>IFERROR($AJ593/$AG593,"")</f>
        <v/>
      </c>
      <c r="BK593" s="81">
        <f>$X593</f>
        <v/>
      </c>
      <c r="BL593" s="82">
        <f>($J593-$J594)*100</f>
        <v/>
      </c>
      <c r="BM593" s="82">
        <f>($F593-$F594)*100</f>
        <v/>
      </c>
      <c r="BN593" s="82">
        <f>$AF593-$AF594</f>
        <v/>
      </c>
      <c r="BO593" s="82">
        <f>$AG593-$AG594</f>
        <v/>
      </c>
      <c r="BP593" s="82">
        <f>$AJ593-$AJ594</f>
        <v/>
      </c>
    </row>
    <row r="594">
      <c r="AR594" s="81">
        <f>($G594+($H594-$G594)*0.5)+($P594-($O594+($Q594-$O594)*0.5))</f>
        <v/>
      </c>
      <c r="AS594" s="81">
        <f>($J594+($K594-$J594)*0.5)+($T594-($S594+($U594-$S594)*0.5))</f>
        <v/>
      </c>
      <c r="AT594" s="82">
        <f>($J594-$C594)*100</f>
        <v/>
      </c>
      <c r="AU594" s="82">
        <f>($H594-$F594)*100</f>
        <v/>
      </c>
      <c r="AV594" s="82">
        <f>($J594-$F594)*100</f>
        <v/>
      </c>
      <c r="AW594" s="82">
        <f>($L594-$F594)*100</f>
        <v/>
      </c>
      <c r="AX594" s="82">
        <f>($J594-$H594)*100</f>
        <v/>
      </c>
      <c r="AY594" s="82">
        <f>($L594-$H594)*100</f>
        <v/>
      </c>
      <c r="AZ594" s="82">
        <f>($L594-$J594)*100</f>
        <v/>
      </c>
      <c r="BA594" s="82">
        <f>(2*$H594-$F594-$J594)*100</f>
        <v/>
      </c>
      <c r="BB594" s="82">
        <f>(2*$J594-$H594-$L594)*100</f>
        <v/>
      </c>
      <c r="BC594" s="82">
        <f>($N594-$F594)*100</f>
        <v/>
      </c>
      <c r="BD594" s="82">
        <f>($Q594-$H594)*100</f>
        <v/>
      </c>
      <c r="BE594" s="82">
        <f>($S594-$J594)*100</f>
        <v/>
      </c>
      <c r="BF594" s="82">
        <f>($V594-$L594)*100</f>
        <v/>
      </c>
      <c r="BG594" s="82">
        <f>$AG594-$AF594</f>
        <v/>
      </c>
      <c r="BH594" s="81">
        <f>IFERROR($AG594/$AF594,"")</f>
        <v/>
      </c>
      <c r="BI594" s="82">
        <f>$AJ594-$AF594</f>
        <v/>
      </c>
      <c r="BJ594" s="81">
        <f>IFERROR($AJ594/$AG594,"")</f>
        <v/>
      </c>
      <c r="BK594" s="81">
        <f>$X594</f>
        <v/>
      </c>
      <c r="BL594" s="82">
        <f>($J594-$J595)*100</f>
        <v/>
      </c>
      <c r="BM594" s="82">
        <f>($F594-$F595)*100</f>
        <v/>
      </c>
      <c r="BN594" s="82">
        <f>$AF594-$AF595</f>
        <v/>
      </c>
      <c r="BO594" s="82">
        <f>$AG594-$AG595</f>
        <v/>
      </c>
      <c r="BP594" s="82">
        <f>$AJ594-$AJ595</f>
        <v/>
      </c>
    </row>
    <row r="595">
      <c r="AR595" s="81">
        <f>($G595+($H595-$G595)*0.5)+($P595-($O595+($Q595-$O595)*0.5))</f>
        <v/>
      </c>
      <c r="AS595" s="81">
        <f>($J595+($K595-$J595)*0.5)+($T595-($S595+($U595-$S595)*0.5))</f>
        <v/>
      </c>
      <c r="AT595" s="82">
        <f>($J595-$C595)*100</f>
        <v/>
      </c>
      <c r="AU595" s="82">
        <f>($H595-$F595)*100</f>
        <v/>
      </c>
      <c r="AV595" s="82">
        <f>($J595-$F595)*100</f>
        <v/>
      </c>
      <c r="AW595" s="82">
        <f>($L595-$F595)*100</f>
        <v/>
      </c>
      <c r="AX595" s="82">
        <f>($J595-$H595)*100</f>
        <v/>
      </c>
      <c r="AY595" s="82">
        <f>($L595-$H595)*100</f>
        <v/>
      </c>
      <c r="AZ595" s="82">
        <f>($L595-$J595)*100</f>
        <v/>
      </c>
      <c r="BA595" s="82">
        <f>(2*$H595-$F595-$J595)*100</f>
        <v/>
      </c>
      <c r="BB595" s="82">
        <f>(2*$J595-$H595-$L595)*100</f>
        <v/>
      </c>
      <c r="BC595" s="82">
        <f>($N595-$F595)*100</f>
        <v/>
      </c>
      <c r="BD595" s="82">
        <f>($Q595-$H595)*100</f>
        <v/>
      </c>
      <c r="BE595" s="82">
        <f>($S595-$J595)*100</f>
        <v/>
      </c>
      <c r="BF595" s="82">
        <f>($V595-$L595)*100</f>
        <v/>
      </c>
      <c r="BG595" s="82">
        <f>$AG595-$AF595</f>
        <v/>
      </c>
      <c r="BH595" s="81">
        <f>IFERROR($AG595/$AF595,"")</f>
        <v/>
      </c>
      <c r="BI595" s="82">
        <f>$AJ595-$AF595</f>
        <v/>
      </c>
      <c r="BJ595" s="81">
        <f>IFERROR($AJ595/$AG595,"")</f>
        <v/>
      </c>
      <c r="BK595" s="81">
        <f>$X595</f>
        <v/>
      </c>
      <c r="BL595" s="82">
        <f>($J595-$J596)*100</f>
        <v/>
      </c>
      <c r="BM595" s="82">
        <f>($F595-$F596)*100</f>
        <v/>
      </c>
      <c r="BN595" s="82">
        <f>$AF595-$AF596</f>
        <v/>
      </c>
      <c r="BO595" s="82">
        <f>$AG595-$AG596</f>
        <v/>
      </c>
      <c r="BP595" s="82">
        <f>$AJ595-$AJ596</f>
        <v/>
      </c>
    </row>
    <row r="596">
      <c r="AR596" s="81">
        <f>($G596+($H596-$G596)*0.5)+($P596-($O596+($Q596-$O596)*0.5))</f>
        <v/>
      </c>
      <c r="AS596" s="81">
        <f>($J596+($K596-$J596)*0.5)+($T596-($S596+($U596-$S596)*0.5))</f>
        <v/>
      </c>
      <c r="AT596" s="82">
        <f>($J596-$C596)*100</f>
        <v/>
      </c>
      <c r="AU596" s="82">
        <f>($H596-$F596)*100</f>
        <v/>
      </c>
      <c r="AV596" s="82">
        <f>($J596-$F596)*100</f>
        <v/>
      </c>
      <c r="AW596" s="82">
        <f>($L596-$F596)*100</f>
        <v/>
      </c>
      <c r="AX596" s="82">
        <f>($J596-$H596)*100</f>
        <v/>
      </c>
      <c r="AY596" s="82">
        <f>($L596-$H596)*100</f>
        <v/>
      </c>
      <c r="AZ596" s="82">
        <f>($L596-$J596)*100</f>
        <v/>
      </c>
      <c r="BA596" s="82">
        <f>(2*$H596-$F596-$J596)*100</f>
        <v/>
      </c>
      <c r="BB596" s="82">
        <f>(2*$J596-$H596-$L596)*100</f>
        <v/>
      </c>
      <c r="BC596" s="82">
        <f>($N596-$F596)*100</f>
        <v/>
      </c>
      <c r="BD596" s="82">
        <f>($Q596-$H596)*100</f>
        <v/>
      </c>
      <c r="BE596" s="82">
        <f>($S596-$J596)*100</f>
        <v/>
      </c>
      <c r="BF596" s="82">
        <f>($V596-$L596)*100</f>
        <v/>
      </c>
      <c r="BG596" s="82">
        <f>$AG596-$AF596</f>
        <v/>
      </c>
      <c r="BH596" s="81">
        <f>IFERROR($AG596/$AF596,"")</f>
        <v/>
      </c>
      <c r="BI596" s="82">
        <f>$AJ596-$AF596</f>
        <v/>
      </c>
      <c r="BJ596" s="81">
        <f>IFERROR($AJ596/$AG596,"")</f>
        <v/>
      </c>
      <c r="BK596" s="81">
        <f>$X596</f>
        <v/>
      </c>
      <c r="BL596" s="82">
        <f>($J596-$J597)*100</f>
        <v/>
      </c>
      <c r="BM596" s="82">
        <f>($F596-$F597)*100</f>
        <v/>
      </c>
      <c r="BN596" s="82">
        <f>$AF596-$AF597</f>
        <v/>
      </c>
      <c r="BO596" s="82">
        <f>$AG596-$AG597</f>
        <v/>
      </c>
      <c r="BP596" s="82">
        <f>$AJ596-$AJ597</f>
        <v/>
      </c>
    </row>
    <row r="597">
      <c r="AR597" s="81">
        <f>($G597+($H597-$G597)*0.5)+($P597-($O597+($Q597-$O597)*0.5))</f>
        <v/>
      </c>
      <c r="AS597" s="81">
        <f>($J597+($K597-$J597)*0.5)+($T597-($S597+($U597-$S597)*0.5))</f>
        <v/>
      </c>
      <c r="AT597" s="82">
        <f>($J597-$C597)*100</f>
        <v/>
      </c>
      <c r="AU597" s="82">
        <f>($H597-$F597)*100</f>
        <v/>
      </c>
      <c r="AV597" s="82">
        <f>($J597-$F597)*100</f>
        <v/>
      </c>
      <c r="AW597" s="82">
        <f>($L597-$F597)*100</f>
        <v/>
      </c>
      <c r="AX597" s="82">
        <f>($J597-$H597)*100</f>
        <v/>
      </c>
      <c r="AY597" s="82">
        <f>($L597-$H597)*100</f>
        <v/>
      </c>
      <c r="AZ597" s="82">
        <f>($L597-$J597)*100</f>
        <v/>
      </c>
      <c r="BA597" s="82">
        <f>(2*$H597-$F597-$J597)*100</f>
        <v/>
      </c>
      <c r="BB597" s="82">
        <f>(2*$J597-$H597-$L597)*100</f>
        <v/>
      </c>
      <c r="BC597" s="82">
        <f>($N597-$F597)*100</f>
        <v/>
      </c>
      <c r="BD597" s="82">
        <f>($Q597-$H597)*100</f>
        <v/>
      </c>
      <c r="BE597" s="82">
        <f>($S597-$J597)*100</f>
        <v/>
      </c>
      <c r="BF597" s="82">
        <f>($V597-$L597)*100</f>
        <v/>
      </c>
      <c r="BG597" s="82">
        <f>$AG597-$AF597</f>
        <v/>
      </c>
      <c r="BH597" s="81">
        <f>IFERROR($AG597/$AF597,"")</f>
        <v/>
      </c>
      <c r="BI597" s="82">
        <f>$AJ597-$AF597</f>
        <v/>
      </c>
      <c r="BJ597" s="81">
        <f>IFERROR($AJ597/$AG597,"")</f>
        <v/>
      </c>
      <c r="BK597" s="81">
        <f>$X597</f>
        <v/>
      </c>
      <c r="BL597" s="82">
        <f>($J597-$J598)*100</f>
        <v/>
      </c>
      <c r="BM597" s="82">
        <f>($F597-$F598)*100</f>
        <v/>
      </c>
      <c r="BN597" s="82">
        <f>$AF597-$AF598</f>
        <v/>
      </c>
      <c r="BO597" s="82">
        <f>$AG597-$AG598</f>
        <v/>
      </c>
      <c r="BP597" s="82">
        <f>$AJ597-$AJ598</f>
        <v/>
      </c>
    </row>
    <row r="598">
      <c r="AR598" s="81">
        <f>($G598+($H598-$G598)*0.5)+($P598-($O598+($Q598-$O598)*0.5))</f>
        <v/>
      </c>
      <c r="AS598" s="81">
        <f>($J598+($K598-$J598)*0.5)+($T598-($S598+($U598-$S598)*0.5))</f>
        <v/>
      </c>
      <c r="AT598" s="82">
        <f>($J598-$C598)*100</f>
        <v/>
      </c>
      <c r="AU598" s="82">
        <f>($H598-$F598)*100</f>
        <v/>
      </c>
      <c r="AV598" s="82">
        <f>($J598-$F598)*100</f>
        <v/>
      </c>
      <c r="AW598" s="82">
        <f>($L598-$F598)*100</f>
        <v/>
      </c>
      <c r="AX598" s="82">
        <f>($J598-$H598)*100</f>
        <v/>
      </c>
      <c r="AY598" s="82">
        <f>($L598-$H598)*100</f>
        <v/>
      </c>
      <c r="AZ598" s="82">
        <f>($L598-$J598)*100</f>
        <v/>
      </c>
      <c r="BA598" s="82">
        <f>(2*$H598-$F598-$J598)*100</f>
        <v/>
      </c>
      <c r="BB598" s="82">
        <f>(2*$J598-$H598-$L598)*100</f>
        <v/>
      </c>
      <c r="BC598" s="82">
        <f>($N598-$F598)*100</f>
        <v/>
      </c>
      <c r="BD598" s="82">
        <f>($Q598-$H598)*100</f>
        <v/>
      </c>
      <c r="BE598" s="82">
        <f>($S598-$J598)*100</f>
        <v/>
      </c>
      <c r="BF598" s="82">
        <f>($V598-$L598)*100</f>
        <v/>
      </c>
      <c r="BG598" s="82">
        <f>$AG598-$AF598</f>
        <v/>
      </c>
      <c r="BH598" s="81">
        <f>IFERROR($AG598/$AF598,"")</f>
        <v/>
      </c>
      <c r="BI598" s="82">
        <f>$AJ598-$AF598</f>
        <v/>
      </c>
      <c r="BJ598" s="81">
        <f>IFERROR($AJ598/$AG598,"")</f>
        <v/>
      </c>
      <c r="BK598" s="81">
        <f>$X598</f>
        <v/>
      </c>
      <c r="BL598" s="82">
        <f>($J598-$J599)*100</f>
        <v/>
      </c>
      <c r="BM598" s="82">
        <f>($F598-$F599)*100</f>
        <v/>
      </c>
      <c r="BN598" s="82">
        <f>$AF598-$AF599</f>
        <v/>
      </c>
      <c r="BO598" s="82">
        <f>$AG598-$AG599</f>
        <v/>
      </c>
      <c r="BP598" s="82">
        <f>$AJ598-$AJ599</f>
        <v/>
      </c>
    </row>
    <row r="599">
      <c r="AR599" s="81">
        <f>($G599+($H599-$G599)*0.5)+($P599-($O599+($Q599-$O599)*0.5))</f>
        <v/>
      </c>
      <c r="AS599" s="81">
        <f>($J599+($K599-$J599)*0.5)+($T599-($S599+($U599-$S599)*0.5))</f>
        <v/>
      </c>
      <c r="AT599" s="82">
        <f>($J599-$C599)*100</f>
        <v/>
      </c>
      <c r="AU599" s="82">
        <f>($H599-$F599)*100</f>
        <v/>
      </c>
      <c r="AV599" s="82">
        <f>($J599-$F599)*100</f>
        <v/>
      </c>
      <c r="AW599" s="82">
        <f>($L599-$F599)*100</f>
        <v/>
      </c>
      <c r="AX599" s="82">
        <f>($J599-$H599)*100</f>
        <v/>
      </c>
      <c r="AY599" s="82">
        <f>($L599-$H599)*100</f>
        <v/>
      </c>
      <c r="AZ599" s="82">
        <f>($L599-$J599)*100</f>
        <v/>
      </c>
      <c r="BA599" s="82">
        <f>(2*$H599-$F599-$J599)*100</f>
        <v/>
      </c>
      <c r="BB599" s="82">
        <f>(2*$J599-$H599-$L599)*100</f>
        <v/>
      </c>
      <c r="BC599" s="82">
        <f>($N599-$F599)*100</f>
        <v/>
      </c>
      <c r="BD599" s="82">
        <f>($Q599-$H599)*100</f>
        <v/>
      </c>
      <c r="BE599" s="82">
        <f>($S599-$J599)*100</f>
        <v/>
      </c>
      <c r="BF599" s="82">
        <f>($V599-$L599)*100</f>
        <v/>
      </c>
      <c r="BG599" s="82">
        <f>$AG599-$AF599</f>
        <v/>
      </c>
      <c r="BH599" s="81">
        <f>IFERROR($AG599/$AF599,"")</f>
        <v/>
      </c>
      <c r="BI599" s="82">
        <f>$AJ599-$AF599</f>
        <v/>
      </c>
      <c r="BJ599" s="81">
        <f>IFERROR($AJ599/$AG599,"")</f>
        <v/>
      </c>
      <c r="BK599" s="81">
        <f>$X599</f>
        <v/>
      </c>
      <c r="BL599" s="82">
        <f>($J599-$J600)*100</f>
        <v/>
      </c>
      <c r="BM599" s="82">
        <f>($F599-$F600)*100</f>
        <v/>
      </c>
      <c r="BN599" s="82">
        <f>$AF599-$AF600</f>
        <v/>
      </c>
      <c r="BO599" s="82">
        <f>$AG599-$AG600</f>
        <v/>
      </c>
      <c r="BP599" s="82">
        <f>$AJ599-$AJ600</f>
        <v/>
      </c>
    </row>
    <row r="600">
      <c r="AR600" s="81">
        <f>($G600+($H600-$G600)*0.5)+($P600-($O600+($Q600-$O600)*0.5))</f>
        <v/>
      </c>
      <c r="AS600" s="81">
        <f>($J600+($K600-$J600)*0.5)+($T600-($S600+($U600-$S600)*0.5))</f>
        <v/>
      </c>
      <c r="AT600" s="82">
        <f>($J600-$C600)*100</f>
        <v/>
      </c>
      <c r="AU600" s="82">
        <f>($H600-$F600)*100</f>
        <v/>
      </c>
      <c r="AV600" s="82">
        <f>($J600-$F600)*100</f>
        <v/>
      </c>
      <c r="AW600" s="82">
        <f>($L600-$F600)*100</f>
        <v/>
      </c>
      <c r="AX600" s="82">
        <f>($J600-$H600)*100</f>
        <v/>
      </c>
      <c r="AY600" s="82">
        <f>($L600-$H600)*100</f>
        <v/>
      </c>
      <c r="AZ600" s="82">
        <f>($L600-$J600)*100</f>
        <v/>
      </c>
      <c r="BA600" s="82">
        <f>(2*$H600-$F600-$J600)*100</f>
        <v/>
      </c>
      <c r="BB600" s="82">
        <f>(2*$J600-$H600-$L600)*100</f>
        <v/>
      </c>
      <c r="BC600" s="82">
        <f>($N600-$F600)*100</f>
        <v/>
      </c>
      <c r="BD600" s="82">
        <f>($Q600-$H600)*100</f>
        <v/>
      </c>
      <c r="BE600" s="82">
        <f>($S600-$J600)*100</f>
        <v/>
      </c>
      <c r="BF600" s="82">
        <f>($V600-$L600)*100</f>
        <v/>
      </c>
      <c r="BG600" s="82">
        <f>$AG600-$AF600</f>
        <v/>
      </c>
      <c r="BH600" s="81">
        <f>IFERROR($AG600/$AF600,"")</f>
        <v/>
      </c>
      <c r="BI600" s="82">
        <f>$AJ600-$AF600</f>
        <v/>
      </c>
      <c r="BJ600" s="81">
        <f>IFERROR($AJ600/$AG600,"")</f>
        <v/>
      </c>
      <c r="BK600" s="81">
        <f>$X600</f>
        <v/>
      </c>
      <c r="BL600" s="82">
        <f>($J600-$J601)*100</f>
        <v/>
      </c>
      <c r="BM600" s="82">
        <f>($F600-$F601)*100</f>
        <v/>
      </c>
      <c r="BN600" s="82">
        <f>$AF600-$AF601</f>
        <v/>
      </c>
      <c r="BO600" s="82">
        <f>$AG600-$AG601</f>
        <v/>
      </c>
      <c r="BP600" s="82">
        <f>$AJ600-$AJ601</f>
        <v/>
      </c>
    </row>
    <row r="601">
      <c r="AR601" s="81">
        <f>($G601+($H601-$G601)*0.5)+($P601-($O601+($Q601-$O601)*0.5))</f>
        <v/>
      </c>
      <c r="AS601" s="81">
        <f>($J601+($K601-$J601)*0.5)+($T601-($S601+($U601-$S601)*0.5))</f>
        <v/>
      </c>
      <c r="AT601" s="82">
        <f>($J601-$C601)*100</f>
        <v/>
      </c>
      <c r="AU601" s="82">
        <f>($H601-$F601)*100</f>
        <v/>
      </c>
      <c r="AV601" s="82">
        <f>($J601-$F601)*100</f>
        <v/>
      </c>
      <c r="AW601" s="82">
        <f>($L601-$F601)*100</f>
        <v/>
      </c>
      <c r="AX601" s="82">
        <f>($J601-$H601)*100</f>
        <v/>
      </c>
      <c r="AY601" s="82">
        <f>($L601-$H601)*100</f>
        <v/>
      </c>
      <c r="AZ601" s="82">
        <f>($L601-$J601)*100</f>
        <v/>
      </c>
      <c r="BA601" s="82">
        <f>(2*$H601-$F601-$J601)*100</f>
        <v/>
      </c>
      <c r="BB601" s="82">
        <f>(2*$J601-$H601-$L601)*100</f>
        <v/>
      </c>
      <c r="BC601" s="82">
        <f>($N601-$F601)*100</f>
        <v/>
      </c>
      <c r="BD601" s="82">
        <f>($Q601-$H601)*100</f>
        <v/>
      </c>
      <c r="BE601" s="82">
        <f>($S601-$J601)*100</f>
        <v/>
      </c>
      <c r="BF601" s="82">
        <f>($V601-$L601)*100</f>
        <v/>
      </c>
      <c r="BG601" s="82">
        <f>$AG601-$AF601</f>
        <v/>
      </c>
      <c r="BH601" s="81">
        <f>IFERROR($AG601/$AF601,"")</f>
        <v/>
      </c>
      <c r="BI601" s="82">
        <f>$AJ601-$AF601</f>
        <v/>
      </c>
      <c r="BJ601" s="81">
        <f>IFERROR($AJ601/$AG601,"")</f>
        <v/>
      </c>
      <c r="BK601" s="81">
        <f>$X601</f>
        <v/>
      </c>
      <c r="BL601" s="82">
        <f>($J601-$J602)*100</f>
        <v/>
      </c>
      <c r="BM601" s="82">
        <f>($F601-$F602)*100</f>
        <v/>
      </c>
      <c r="BN601" s="82">
        <f>$AF601-$AF602</f>
        <v/>
      </c>
      <c r="BO601" s="82">
        <f>$AG601-$AG602</f>
        <v/>
      </c>
      <c r="BP601" s="82">
        <f>$AJ601-$AJ602</f>
        <v/>
      </c>
    </row>
    <row r="602">
      <c r="AR602" s="81">
        <f>($G602+($H602-$G602)*0.5)+($P602-($O602+($Q602-$O602)*0.5))</f>
        <v/>
      </c>
      <c r="AS602" s="81">
        <f>($J602+($K602-$J602)*0.5)+($T602-($S602+($U602-$S602)*0.5))</f>
        <v/>
      </c>
      <c r="AT602" s="82">
        <f>($J602-$C602)*100</f>
        <v/>
      </c>
      <c r="AU602" s="82">
        <f>($H602-$F602)*100</f>
        <v/>
      </c>
      <c r="AV602" s="82">
        <f>($J602-$F602)*100</f>
        <v/>
      </c>
      <c r="AW602" s="82">
        <f>($L602-$F602)*100</f>
        <v/>
      </c>
      <c r="AX602" s="82">
        <f>($J602-$H602)*100</f>
        <v/>
      </c>
      <c r="AY602" s="82">
        <f>($L602-$H602)*100</f>
        <v/>
      </c>
      <c r="AZ602" s="82">
        <f>($L602-$J602)*100</f>
        <v/>
      </c>
      <c r="BA602" s="82">
        <f>(2*$H602-$F602-$J602)*100</f>
        <v/>
      </c>
      <c r="BB602" s="82">
        <f>(2*$J602-$H602-$L602)*100</f>
        <v/>
      </c>
      <c r="BC602" s="82">
        <f>($N602-$F602)*100</f>
        <v/>
      </c>
      <c r="BD602" s="82">
        <f>($Q602-$H602)*100</f>
        <v/>
      </c>
      <c r="BE602" s="82">
        <f>($S602-$J602)*100</f>
        <v/>
      </c>
      <c r="BF602" s="82">
        <f>($V602-$L602)*100</f>
        <v/>
      </c>
      <c r="BG602" s="82">
        <f>$AG602-$AF602</f>
        <v/>
      </c>
      <c r="BH602" s="81">
        <f>IFERROR($AG602/$AF602,"")</f>
        <v/>
      </c>
      <c r="BI602" s="82">
        <f>$AJ602-$AF602</f>
        <v/>
      </c>
      <c r="BJ602" s="81">
        <f>IFERROR($AJ602/$AG602,"")</f>
        <v/>
      </c>
      <c r="BK602" s="81">
        <f>$X602</f>
        <v/>
      </c>
      <c r="BL602" s="82">
        <f>($J602-$J603)*100</f>
        <v/>
      </c>
      <c r="BM602" s="82">
        <f>($F602-$F603)*100</f>
        <v/>
      </c>
      <c r="BN602" s="82">
        <f>$AF602-$AF603</f>
        <v/>
      </c>
      <c r="BO602" s="82">
        <f>$AG602-$AG603</f>
        <v/>
      </c>
      <c r="BP602" s="82">
        <f>$AJ602-$AJ603</f>
        <v/>
      </c>
    </row>
    <row r="603">
      <c r="AR603" s="81">
        <f>($G603+($H603-$G603)*0.5)+($P603-($O603+($Q603-$O603)*0.5))</f>
        <v/>
      </c>
      <c r="AS603" s="81">
        <f>($J603+($K603-$J603)*0.5)+($T603-($S603+($U603-$S603)*0.5))</f>
        <v/>
      </c>
      <c r="AT603" s="82">
        <f>($J603-$C603)*100</f>
        <v/>
      </c>
      <c r="AU603" s="82">
        <f>($H603-$F603)*100</f>
        <v/>
      </c>
      <c r="AV603" s="82">
        <f>($J603-$F603)*100</f>
        <v/>
      </c>
      <c r="AW603" s="82">
        <f>($L603-$F603)*100</f>
        <v/>
      </c>
      <c r="AX603" s="82">
        <f>($J603-$H603)*100</f>
        <v/>
      </c>
      <c r="AY603" s="82">
        <f>($L603-$H603)*100</f>
        <v/>
      </c>
      <c r="AZ603" s="82">
        <f>($L603-$J603)*100</f>
        <v/>
      </c>
      <c r="BA603" s="82">
        <f>(2*$H603-$F603-$J603)*100</f>
        <v/>
      </c>
      <c r="BB603" s="82">
        <f>(2*$J603-$H603-$L603)*100</f>
        <v/>
      </c>
      <c r="BC603" s="82">
        <f>($N603-$F603)*100</f>
        <v/>
      </c>
      <c r="BD603" s="82">
        <f>($Q603-$H603)*100</f>
        <v/>
      </c>
      <c r="BE603" s="82">
        <f>($S603-$J603)*100</f>
        <v/>
      </c>
      <c r="BF603" s="82">
        <f>($V603-$L603)*100</f>
        <v/>
      </c>
      <c r="BG603" s="82">
        <f>$AG603-$AF603</f>
        <v/>
      </c>
      <c r="BH603" s="81">
        <f>IFERROR($AG603/$AF603,"")</f>
        <v/>
      </c>
      <c r="BI603" s="82">
        <f>$AJ603-$AF603</f>
        <v/>
      </c>
      <c r="BJ603" s="81">
        <f>IFERROR($AJ603/$AG603,"")</f>
        <v/>
      </c>
      <c r="BK603" s="81">
        <f>$X603</f>
        <v/>
      </c>
      <c r="BL603" s="82">
        <f>($J603-$J604)*100</f>
        <v/>
      </c>
      <c r="BM603" s="82">
        <f>($F603-$F604)*100</f>
        <v/>
      </c>
      <c r="BN603" s="82">
        <f>$AF603-$AF604</f>
        <v/>
      </c>
      <c r="BO603" s="82">
        <f>$AG603-$AG604</f>
        <v/>
      </c>
      <c r="BP603" s="82">
        <f>$AJ603-$AJ604</f>
        <v/>
      </c>
    </row>
    <row r="604">
      <c r="AR604" s="81">
        <f>($G604+($H604-$G604)*0.5)+($P604-($O604+($Q604-$O604)*0.5))</f>
        <v/>
      </c>
      <c r="AS604" s="81">
        <f>($J604+($K604-$J604)*0.5)+($T604-($S604+($U604-$S604)*0.5))</f>
        <v/>
      </c>
      <c r="AT604" s="82">
        <f>($J604-$C604)*100</f>
        <v/>
      </c>
      <c r="AU604" s="82">
        <f>($H604-$F604)*100</f>
        <v/>
      </c>
      <c r="AV604" s="82">
        <f>($J604-$F604)*100</f>
        <v/>
      </c>
      <c r="AW604" s="82">
        <f>($L604-$F604)*100</f>
        <v/>
      </c>
      <c r="AX604" s="82">
        <f>($J604-$H604)*100</f>
        <v/>
      </c>
      <c r="AY604" s="82">
        <f>($L604-$H604)*100</f>
        <v/>
      </c>
      <c r="AZ604" s="82">
        <f>($L604-$J604)*100</f>
        <v/>
      </c>
      <c r="BA604" s="82">
        <f>(2*$H604-$F604-$J604)*100</f>
        <v/>
      </c>
      <c r="BB604" s="82">
        <f>(2*$J604-$H604-$L604)*100</f>
        <v/>
      </c>
      <c r="BC604" s="82">
        <f>($N604-$F604)*100</f>
        <v/>
      </c>
      <c r="BD604" s="82">
        <f>($Q604-$H604)*100</f>
        <v/>
      </c>
      <c r="BE604" s="82">
        <f>($S604-$J604)*100</f>
        <v/>
      </c>
      <c r="BF604" s="82">
        <f>($V604-$L604)*100</f>
        <v/>
      </c>
      <c r="BG604" s="82">
        <f>$AG604-$AF604</f>
        <v/>
      </c>
      <c r="BH604" s="81">
        <f>IFERROR($AG604/$AF604,"")</f>
        <v/>
      </c>
      <c r="BI604" s="82">
        <f>$AJ604-$AF604</f>
        <v/>
      </c>
      <c r="BJ604" s="81">
        <f>IFERROR($AJ604/$AG604,"")</f>
        <v/>
      </c>
      <c r="BK604" s="81">
        <f>$X604</f>
        <v/>
      </c>
      <c r="BL604" s="82">
        <f>($J604-$J605)*100</f>
        <v/>
      </c>
      <c r="BM604" s="82">
        <f>($F604-$F605)*100</f>
        <v/>
      </c>
      <c r="BN604" s="82">
        <f>$AF604-$AF605</f>
        <v/>
      </c>
      <c r="BO604" s="82">
        <f>$AG604-$AG605</f>
        <v/>
      </c>
      <c r="BP604" s="82">
        <f>$AJ604-$AJ605</f>
        <v/>
      </c>
    </row>
    <row r="605">
      <c r="AR605" s="81">
        <f>($G605+($H605-$G605)*0.5)+($P605-($O605+($Q605-$O605)*0.5))</f>
        <v/>
      </c>
      <c r="AS605" s="81">
        <f>($J605+($K605-$J605)*0.5)+($T605-($S605+($U605-$S605)*0.5))</f>
        <v/>
      </c>
      <c r="AT605" s="82">
        <f>($J605-$C605)*100</f>
        <v/>
      </c>
      <c r="AU605" s="82">
        <f>($H605-$F605)*100</f>
        <v/>
      </c>
      <c r="AV605" s="82">
        <f>($J605-$F605)*100</f>
        <v/>
      </c>
      <c r="AW605" s="82">
        <f>($L605-$F605)*100</f>
        <v/>
      </c>
      <c r="AX605" s="82">
        <f>($J605-$H605)*100</f>
        <v/>
      </c>
      <c r="AY605" s="82">
        <f>($L605-$H605)*100</f>
        <v/>
      </c>
      <c r="AZ605" s="82">
        <f>($L605-$J605)*100</f>
        <v/>
      </c>
      <c r="BA605" s="82">
        <f>(2*$H605-$F605-$J605)*100</f>
        <v/>
      </c>
      <c r="BB605" s="82">
        <f>(2*$J605-$H605-$L605)*100</f>
        <v/>
      </c>
      <c r="BC605" s="82">
        <f>($N605-$F605)*100</f>
        <v/>
      </c>
      <c r="BD605" s="82">
        <f>($Q605-$H605)*100</f>
        <v/>
      </c>
      <c r="BE605" s="82">
        <f>($S605-$J605)*100</f>
        <v/>
      </c>
      <c r="BF605" s="82">
        <f>($V605-$L605)*100</f>
        <v/>
      </c>
      <c r="BG605" s="82">
        <f>$AG605-$AF605</f>
        <v/>
      </c>
      <c r="BH605" s="81">
        <f>IFERROR($AG605/$AF605,"")</f>
        <v/>
      </c>
      <c r="BI605" s="82">
        <f>$AJ605-$AF605</f>
        <v/>
      </c>
      <c r="BJ605" s="81">
        <f>IFERROR($AJ605/$AG605,"")</f>
        <v/>
      </c>
      <c r="BK605" s="81">
        <f>$X605</f>
        <v/>
      </c>
      <c r="BL605" s="82">
        <f>($J605-$J606)*100</f>
        <v/>
      </c>
      <c r="BM605" s="82">
        <f>($F605-$F606)*100</f>
        <v/>
      </c>
      <c r="BN605" s="82">
        <f>$AF605-$AF606</f>
        <v/>
      </c>
      <c r="BO605" s="82">
        <f>$AG605-$AG606</f>
        <v/>
      </c>
      <c r="BP605" s="82">
        <f>$AJ605-$AJ606</f>
        <v/>
      </c>
    </row>
    <row r="606">
      <c r="AR606" s="81">
        <f>($G606+($H606-$G606)*0.5)+($P606-($O606+($Q606-$O606)*0.5))</f>
        <v/>
      </c>
      <c r="AS606" s="81">
        <f>($J606+($K606-$J606)*0.5)+($T606-($S606+($U606-$S606)*0.5))</f>
        <v/>
      </c>
      <c r="AT606" s="82">
        <f>($J606-$C606)*100</f>
        <v/>
      </c>
      <c r="AU606" s="82">
        <f>($H606-$F606)*100</f>
        <v/>
      </c>
      <c r="AV606" s="82">
        <f>($J606-$F606)*100</f>
        <v/>
      </c>
      <c r="AW606" s="82">
        <f>($L606-$F606)*100</f>
        <v/>
      </c>
      <c r="AX606" s="82">
        <f>($J606-$H606)*100</f>
        <v/>
      </c>
      <c r="AY606" s="82">
        <f>($L606-$H606)*100</f>
        <v/>
      </c>
      <c r="AZ606" s="82">
        <f>($L606-$J606)*100</f>
        <v/>
      </c>
      <c r="BA606" s="82">
        <f>(2*$H606-$F606-$J606)*100</f>
        <v/>
      </c>
      <c r="BB606" s="82">
        <f>(2*$J606-$H606-$L606)*100</f>
        <v/>
      </c>
      <c r="BC606" s="82">
        <f>($N606-$F606)*100</f>
        <v/>
      </c>
      <c r="BD606" s="82">
        <f>($Q606-$H606)*100</f>
        <v/>
      </c>
      <c r="BE606" s="82">
        <f>($S606-$J606)*100</f>
        <v/>
      </c>
      <c r="BF606" s="82">
        <f>($V606-$L606)*100</f>
        <v/>
      </c>
      <c r="BG606" s="82">
        <f>$AG606-$AF606</f>
        <v/>
      </c>
      <c r="BH606" s="81">
        <f>IFERROR($AG606/$AF606,"")</f>
        <v/>
      </c>
      <c r="BI606" s="82">
        <f>$AJ606-$AF606</f>
        <v/>
      </c>
      <c r="BJ606" s="81">
        <f>IFERROR($AJ606/$AG606,"")</f>
        <v/>
      </c>
      <c r="BK606" s="81">
        <f>$X606</f>
        <v/>
      </c>
      <c r="BL606" s="82">
        <f>($J606-$J607)*100</f>
        <v/>
      </c>
      <c r="BM606" s="82">
        <f>($F606-$F607)*100</f>
        <v/>
      </c>
      <c r="BN606" s="82">
        <f>$AF606-$AF607</f>
        <v/>
      </c>
      <c r="BO606" s="82">
        <f>$AG606-$AG607</f>
        <v/>
      </c>
      <c r="BP606" s="82">
        <f>$AJ606-$AJ607</f>
        <v/>
      </c>
    </row>
    <row r="607">
      <c r="AR607" s="81">
        <f>($G607+($H607-$G607)*0.5)+($P607-($O607+($Q607-$O607)*0.5))</f>
        <v/>
      </c>
      <c r="AS607" s="81">
        <f>($J607+($K607-$J607)*0.5)+($T607-($S607+($U607-$S607)*0.5))</f>
        <v/>
      </c>
      <c r="AT607" s="82">
        <f>($J607-$C607)*100</f>
        <v/>
      </c>
      <c r="AU607" s="82">
        <f>($H607-$F607)*100</f>
        <v/>
      </c>
      <c r="AV607" s="82">
        <f>($J607-$F607)*100</f>
        <v/>
      </c>
      <c r="AW607" s="82">
        <f>($L607-$F607)*100</f>
        <v/>
      </c>
      <c r="AX607" s="82">
        <f>($J607-$H607)*100</f>
        <v/>
      </c>
      <c r="AY607" s="82">
        <f>($L607-$H607)*100</f>
        <v/>
      </c>
      <c r="AZ607" s="82">
        <f>($L607-$J607)*100</f>
        <v/>
      </c>
      <c r="BA607" s="82">
        <f>(2*$H607-$F607-$J607)*100</f>
        <v/>
      </c>
      <c r="BB607" s="82">
        <f>(2*$J607-$H607-$L607)*100</f>
        <v/>
      </c>
      <c r="BC607" s="82">
        <f>($N607-$F607)*100</f>
        <v/>
      </c>
      <c r="BD607" s="82">
        <f>($Q607-$H607)*100</f>
        <v/>
      </c>
      <c r="BE607" s="82">
        <f>($S607-$J607)*100</f>
        <v/>
      </c>
      <c r="BF607" s="82">
        <f>($V607-$L607)*100</f>
        <v/>
      </c>
      <c r="BG607" s="82">
        <f>$AG607-$AF607</f>
        <v/>
      </c>
      <c r="BH607" s="81">
        <f>IFERROR($AG607/$AF607,"")</f>
        <v/>
      </c>
      <c r="BI607" s="82">
        <f>$AJ607-$AF607</f>
        <v/>
      </c>
      <c r="BJ607" s="81">
        <f>IFERROR($AJ607/$AG607,"")</f>
        <v/>
      </c>
      <c r="BK607" s="81">
        <f>$X607</f>
        <v/>
      </c>
      <c r="BL607" s="82">
        <f>($J607-$J608)*100</f>
        <v/>
      </c>
      <c r="BM607" s="82">
        <f>($F607-$F608)*100</f>
        <v/>
      </c>
      <c r="BN607" s="82">
        <f>$AF607-$AF608</f>
        <v/>
      </c>
      <c r="BO607" s="82">
        <f>$AG607-$AG608</f>
        <v/>
      </c>
      <c r="BP607" s="82">
        <f>$AJ607-$AJ608</f>
        <v/>
      </c>
    </row>
    <row r="608">
      <c r="AR608" s="81">
        <f>($G608+($H608-$G608)*0.5)+($P608-($O608+($Q608-$O608)*0.5))</f>
        <v/>
      </c>
      <c r="AS608" s="81">
        <f>($J608+($K608-$J608)*0.5)+($T608-($S608+($U608-$S608)*0.5))</f>
        <v/>
      </c>
      <c r="AT608" s="82">
        <f>($J608-$C608)*100</f>
        <v/>
      </c>
      <c r="AU608" s="82">
        <f>($H608-$F608)*100</f>
        <v/>
      </c>
      <c r="AV608" s="82">
        <f>($J608-$F608)*100</f>
        <v/>
      </c>
      <c r="AW608" s="82">
        <f>($L608-$F608)*100</f>
        <v/>
      </c>
      <c r="AX608" s="82">
        <f>($J608-$H608)*100</f>
        <v/>
      </c>
      <c r="AY608" s="82">
        <f>($L608-$H608)*100</f>
        <v/>
      </c>
      <c r="AZ608" s="82">
        <f>($L608-$J608)*100</f>
        <v/>
      </c>
      <c r="BA608" s="82">
        <f>(2*$H608-$F608-$J608)*100</f>
        <v/>
      </c>
      <c r="BB608" s="82">
        <f>(2*$J608-$H608-$L608)*100</f>
        <v/>
      </c>
      <c r="BC608" s="82">
        <f>($N608-$F608)*100</f>
        <v/>
      </c>
      <c r="BD608" s="82">
        <f>($Q608-$H608)*100</f>
        <v/>
      </c>
      <c r="BE608" s="82">
        <f>($S608-$J608)*100</f>
        <v/>
      </c>
      <c r="BF608" s="82">
        <f>($V608-$L608)*100</f>
        <v/>
      </c>
      <c r="BG608" s="82">
        <f>$AG608-$AF608</f>
        <v/>
      </c>
      <c r="BH608" s="81">
        <f>IFERROR($AG608/$AF608,"")</f>
        <v/>
      </c>
      <c r="BI608" s="82">
        <f>$AJ608-$AF608</f>
        <v/>
      </c>
      <c r="BJ608" s="81">
        <f>IFERROR($AJ608/$AG608,"")</f>
        <v/>
      </c>
      <c r="BK608" s="81">
        <f>$X608</f>
        <v/>
      </c>
      <c r="BL608" s="82">
        <f>($J608-$J609)*100</f>
        <v/>
      </c>
      <c r="BM608" s="82">
        <f>($F608-$F609)*100</f>
        <v/>
      </c>
      <c r="BN608" s="82">
        <f>$AF608-$AF609</f>
        <v/>
      </c>
      <c r="BO608" s="82">
        <f>$AG608-$AG609</f>
        <v/>
      </c>
      <c r="BP608" s="82">
        <f>$AJ608-$AJ609</f>
        <v/>
      </c>
    </row>
    <row r="609">
      <c r="AR609" s="81">
        <f>($G609+($H609-$G609)*0.5)+($P609-($O609+($Q609-$O609)*0.5))</f>
        <v/>
      </c>
      <c r="AS609" s="81">
        <f>($J609+($K609-$J609)*0.5)+($T609-($S609+($U609-$S609)*0.5))</f>
        <v/>
      </c>
      <c r="AT609" s="82">
        <f>($J609-$C609)*100</f>
        <v/>
      </c>
      <c r="AU609" s="82">
        <f>($H609-$F609)*100</f>
        <v/>
      </c>
      <c r="AV609" s="82">
        <f>($J609-$F609)*100</f>
        <v/>
      </c>
      <c r="AW609" s="82">
        <f>($L609-$F609)*100</f>
        <v/>
      </c>
      <c r="AX609" s="82">
        <f>($J609-$H609)*100</f>
        <v/>
      </c>
      <c r="AY609" s="82">
        <f>($L609-$H609)*100</f>
        <v/>
      </c>
      <c r="AZ609" s="82">
        <f>($L609-$J609)*100</f>
        <v/>
      </c>
      <c r="BA609" s="82">
        <f>(2*$H609-$F609-$J609)*100</f>
        <v/>
      </c>
      <c r="BB609" s="82">
        <f>(2*$J609-$H609-$L609)*100</f>
        <v/>
      </c>
      <c r="BC609" s="82">
        <f>($N609-$F609)*100</f>
        <v/>
      </c>
      <c r="BD609" s="82">
        <f>($Q609-$H609)*100</f>
        <v/>
      </c>
      <c r="BE609" s="82">
        <f>($S609-$J609)*100</f>
        <v/>
      </c>
      <c r="BF609" s="82">
        <f>($V609-$L609)*100</f>
        <v/>
      </c>
      <c r="BG609" s="82">
        <f>$AG609-$AF609</f>
        <v/>
      </c>
      <c r="BH609" s="81">
        <f>IFERROR($AG609/$AF609,"")</f>
        <v/>
      </c>
      <c r="BI609" s="82">
        <f>$AJ609-$AF609</f>
        <v/>
      </c>
      <c r="BJ609" s="81">
        <f>IFERROR($AJ609/$AG609,"")</f>
        <v/>
      </c>
      <c r="BK609" s="81">
        <f>$X609</f>
        <v/>
      </c>
      <c r="BL609" s="82">
        <f>($J609-$J610)*100</f>
        <v/>
      </c>
      <c r="BM609" s="82">
        <f>($F609-$F610)*100</f>
        <v/>
      </c>
      <c r="BN609" s="82">
        <f>$AF609-$AF610</f>
        <v/>
      </c>
      <c r="BO609" s="82">
        <f>$AG609-$AG610</f>
        <v/>
      </c>
      <c r="BP609" s="82">
        <f>$AJ609-$AJ610</f>
        <v/>
      </c>
    </row>
    <row r="610">
      <c r="AR610" s="81">
        <f>($G610+($H610-$G610)*0.5)+($P610-($O610+($Q610-$O610)*0.5))</f>
        <v/>
      </c>
      <c r="AS610" s="81">
        <f>($J610+($K610-$J610)*0.5)+($T610-($S610+($U610-$S610)*0.5))</f>
        <v/>
      </c>
      <c r="AT610" s="82">
        <f>($J610-$C610)*100</f>
        <v/>
      </c>
      <c r="AU610" s="82">
        <f>($H610-$F610)*100</f>
        <v/>
      </c>
      <c r="AV610" s="82">
        <f>($J610-$F610)*100</f>
        <v/>
      </c>
      <c r="AW610" s="82">
        <f>($L610-$F610)*100</f>
        <v/>
      </c>
      <c r="AX610" s="82">
        <f>($J610-$H610)*100</f>
        <v/>
      </c>
      <c r="AY610" s="82">
        <f>($L610-$H610)*100</f>
        <v/>
      </c>
      <c r="AZ610" s="82">
        <f>($L610-$J610)*100</f>
        <v/>
      </c>
      <c r="BA610" s="82">
        <f>(2*$H610-$F610-$J610)*100</f>
        <v/>
      </c>
      <c r="BB610" s="82">
        <f>(2*$J610-$H610-$L610)*100</f>
        <v/>
      </c>
      <c r="BC610" s="82">
        <f>($N610-$F610)*100</f>
        <v/>
      </c>
      <c r="BD610" s="82">
        <f>($Q610-$H610)*100</f>
        <v/>
      </c>
      <c r="BE610" s="82">
        <f>($S610-$J610)*100</f>
        <v/>
      </c>
      <c r="BF610" s="82">
        <f>($V610-$L610)*100</f>
        <v/>
      </c>
      <c r="BG610" s="82">
        <f>$AG610-$AF610</f>
        <v/>
      </c>
      <c r="BH610" s="81">
        <f>IFERROR($AG610/$AF610,"")</f>
        <v/>
      </c>
      <c r="BI610" s="82">
        <f>$AJ610-$AF610</f>
        <v/>
      </c>
      <c r="BJ610" s="81">
        <f>IFERROR($AJ610/$AG610,"")</f>
        <v/>
      </c>
      <c r="BK610" s="81">
        <f>$X610</f>
        <v/>
      </c>
      <c r="BL610" s="82">
        <f>($J610-$J611)*100</f>
        <v/>
      </c>
      <c r="BM610" s="82">
        <f>($F610-$F611)*100</f>
        <v/>
      </c>
      <c r="BN610" s="82">
        <f>$AF610-$AF611</f>
        <v/>
      </c>
      <c r="BO610" s="82">
        <f>$AG610-$AG611</f>
        <v/>
      </c>
      <c r="BP610" s="82">
        <f>$AJ610-$AJ611</f>
        <v/>
      </c>
    </row>
    <row r="611">
      <c r="AR611" s="81">
        <f>($G611+($H611-$G611)*0.5)+($P611-($O611+($Q611-$O611)*0.5))</f>
        <v/>
      </c>
      <c r="AS611" s="81">
        <f>($J611+($K611-$J611)*0.5)+($T611-($S611+($U611-$S611)*0.5))</f>
        <v/>
      </c>
      <c r="AT611" s="82">
        <f>($J611-$C611)*100</f>
        <v/>
      </c>
      <c r="AU611" s="82">
        <f>($H611-$F611)*100</f>
        <v/>
      </c>
      <c r="AV611" s="82">
        <f>($J611-$F611)*100</f>
        <v/>
      </c>
      <c r="AW611" s="82">
        <f>($L611-$F611)*100</f>
        <v/>
      </c>
      <c r="AX611" s="82">
        <f>($J611-$H611)*100</f>
        <v/>
      </c>
      <c r="AY611" s="82">
        <f>($L611-$H611)*100</f>
        <v/>
      </c>
      <c r="AZ611" s="82">
        <f>($L611-$J611)*100</f>
        <v/>
      </c>
      <c r="BA611" s="82">
        <f>(2*$H611-$F611-$J611)*100</f>
        <v/>
      </c>
      <c r="BB611" s="82">
        <f>(2*$J611-$H611-$L611)*100</f>
        <v/>
      </c>
      <c r="BC611" s="82">
        <f>($N611-$F611)*100</f>
        <v/>
      </c>
      <c r="BD611" s="82">
        <f>($Q611-$H611)*100</f>
        <v/>
      </c>
      <c r="BE611" s="82">
        <f>($S611-$J611)*100</f>
        <v/>
      </c>
      <c r="BF611" s="82">
        <f>($V611-$L611)*100</f>
        <v/>
      </c>
      <c r="BG611" s="82">
        <f>$AG611-$AF611</f>
        <v/>
      </c>
      <c r="BH611" s="81">
        <f>IFERROR($AG611/$AF611,"")</f>
        <v/>
      </c>
      <c r="BI611" s="82">
        <f>$AJ611-$AF611</f>
        <v/>
      </c>
      <c r="BJ611" s="81">
        <f>IFERROR($AJ611/$AG611,"")</f>
        <v/>
      </c>
      <c r="BK611" s="81">
        <f>$X611</f>
        <v/>
      </c>
      <c r="BL611" s="82">
        <f>($J611-$J612)*100</f>
        <v/>
      </c>
      <c r="BM611" s="82">
        <f>($F611-$F612)*100</f>
        <v/>
      </c>
      <c r="BN611" s="82">
        <f>$AF611-$AF612</f>
        <v/>
      </c>
      <c r="BO611" s="82">
        <f>$AG611-$AG612</f>
        <v/>
      </c>
      <c r="BP611" s="82">
        <f>$AJ611-$AJ612</f>
        <v/>
      </c>
    </row>
    <row r="612">
      <c r="AR612" s="81">
        <f>($G612+($H612-$G612)*0.5)+($P612-($O612+($Q612-$O612)*0.5))</f>
        <v/>
      </c>
      <c r="AS612" s="81">
        <f>($J612+($K612-$J612)*0.5)+($T612-($S612+($U612-$S612)*0.5))</f>
        <v/>
      </c>
      <c r="AT612" s="82">
        <f>($J612-$C612)*100</f>
        <v/>
      </c>
      <c r="AU612" s="82">
        <f>($H612-$F612)*100</f>
        <v/>
      </c>
      <c r="AV612" s="82">
        <f>($J612-$F612)*100</f>
        <v/>
      </c>
      <c r="AW612" s="82">
        <f>($L612-$F612)*100</f>
        <v/>
      </c>
      <c r="AX612" s="82">
        <f>($J612-$H612)*100</f>
        <v/>
      </c>
      <c r="AY612" s="82">
        <f>($L612-$H612)*100</f>
        <v/>
      </c>
      <c r="AZ612" s="82">
        <f>($L612-$J612)*100</f>
        <v/>
      </c>
      <c r="BA612" s="82">
        <f>(2*$H612-$F612-$J612)*100</f>
        <v/>
      </c>
      <c r="BB612" s="82">
        <f>(2*$J612-$H612-$L612)*100</f>
        <v/>
      </c>
      <c r="BC612" s="82">
        <f>($N612-$F612)*100</f>
        <v/>
      </c>
      <c r="BD612" s="82">
        <f>($Q612-$H612)*100</f>
        <v/>
      </c>
      <c r="BE612" s="82">
        <f>($S612-$J612)*100</f>
        <v/>
      </c>
      <c r="BF612" s="82">
        <f>($V612-$L612)*100</f>
        <v/>
      </c>
      <c r="BG612" s="82">
        <f>$AG612-$AF612</f>
        <v/>
      </c>
      <c r="BH612" s="81">
        <f>IFERROR($AG612/$AF612,"")</f>
        <v/>
      </c>
      <c r="BI612" s="82">
        <f>$AJ612-$AF612</f>
        <v/>
      </c>
      <c r="BJ612" s="81">
        <f>IFERROR($AJ612/$AG612,"")</f>
        <v/>
      </c>
      <c r="BK612" s="81">
        <f>$X612</f>
        <v/>
      </c>
      <c r="BL612" s="82">
        <f>($J612-$J613)*100</f>
        <v/>
      </c>
      <c r="BM612" s="82">
        <f>($F612-$F613)*100</f>
        <v/>
      </c>
      <c r="BN612" s="82">
        <f>$AF612-$AF613</f>
        <v/>
      </c>
      <c r="BO612" s="82">
        <f>$AG612-$AG613</f>
        <v/>
      </c>
      <c r="BP612" s="82">
        <f>$AJ612-$AJ613</f>
        <v/>
      </c>
    </row>
    <row r="613">
      <c r="AR613" s="81">
        <f>($G613+($H613-$G613)*0.5)+($P613-($O613+($Q613-$O613)*0.5))</f>
        <v/>
      </c>
      <c r="AS613" s="81">
        <f>($J613+($K613-$J613)*0.5)+($T613-($S613+($U613-$S613)*0.5))</f>
        <v/>
      </c>
      <c r="AT613" s="82">
        <f>($J613-$C613)*100</f>
        <v/>
      </c>
      <c r="AU613" s="82">
        <f>($H613-$F613)*100</f>
        <v/>
      </c>
      <c r="AV613" s="82">
        <f>($J613-$F613)*100</f>
        <v/>
      </c>
      <c r="AW613" s="82">
        <f>($L613-$F613)*100</f>
        <v/>
      </c>
      <c r="AX613" s="82">
        <f>($J613-$H613)*100</f>
        <v/>
      </c>
      <c r="AY613" s="82">
        <f>($L613-$H613)*100</f>
        <v/>
      </c>
      <c r="AZ613" s="82">
        <f>($L613-$J613)*100</f>
        <v/>
      </c>
      <c r="BA613" s="82">
        <f>(2*$H613-$F613-$J613)*100</f>
        <v/>
      </c>
      <c r="BB613" s="82">
        <f>(2*$J613-$H613-$L613)*100</f>
        <v/>
      </c>
      <c r="BC613" s="82">
        <f>($N613-$F613)*100</f>
        <v/>
      </c>
      <c r="BD613" s="82">
        <f>($Q613-$H613)*100</f>
        <v/>
      </c>
      <c r="BE613" s="82">
        <f>($S613-$J613)*100</f>
        <v/>
      </c>
      <c r="BF613" s="82">
        <f>($V613-$L613)*100</f>
        <v/>
      </c>
      <c r="BG613" s="82">
        <f>$AG613-$AF613</f>
        <v/>
      </c>
      <c r="BH613" s="81">
        <f>IFERROR($AG613/$AF613,"")</f>
        <v/>
      </c>
      <c r="BI613" s="82">
        <f>$AJ613-$AF613</f>
        <v/>
      </c>
      <c r="BJ613" s="81">
        <f>IFERROR($AJ613/$AG613,"")</f>
        <v/>
      </c>
      <c r="BK613" s="81">
        <f>$X613</f>
        <v/>
      </c>
      <c r="BL613" s="82">
        <f>($J613-$J614)*100</f>
        <v/>
      </c>
      <c r="BM613" s="82">
        <f>($F613-$F614)*100</f>
        <v/>
      </c>
      <c r="BN613" s="82">
        <f>$AF613-$AF614</f>
        <v/>
      </c>
      <c r="BO613" s="82">
        <f>$AG613-$AG614</f>
        <v/>
      </c>
      <c r="BP613" s="82">
        <f>$AJ613-$AJ614</f>
        <v/>
      </c>
    </row>
    <row r="614">
      <c r="AR614" s="81">
        <f>($G614+($H614-$G614)*0.5)+($P614-($O614+($Q614-$O614)*0.5))</f>
        <v/>
      </c>
      <c r="AS614" s="81">
        <f>($J614+($K614-$J614)*0.5)+($T614-($S614+($U614-$S614)*0.5))</f>
        <v/>
      </c>
      <c r="AT614" s="82">
        <f>($J614-$C614)*100</f>
        <v/>
      </c>
      <c r="AU614" s="82">
        <f>($H614-$F614)*100</f>
        <v/>
      </c>
      <c r="AV614" s="82">
        <f>($J614-$F614)*100</f>
        <v/>
      </c>
      <c r="AW614" s="82">
        <f>($L614-$F614)*100</f>
        <v/>
      </c>
      <c r="AX614" s="82">
        <f>($J614-$H614)*100</f>
        <v/>
      </c>
      <c r="AY614" s="82">
        <f>($L614-$H614)*100</f>
        <v/>
      </c>
      <c r="AZ614" s="82">
        <f>($L614-$J614)*100</f>
        <v/>
      </c>
      <c r="BA614" s="82">
        <f>(2*$H614-$F614-$J614)*100</f>
        <v/>
      </c>
      <c r="BB614" s="82">
        <f>(2*$J614-$H614-$L614)*100</f>
        <v/>
      </c>
      <c r="BC614" s="82">
        <f>($N614-$F614)*100</f>
        <v/>
      </c>
      <c r="BD614" s="82">
        <f>($Q614-$H614)*100</f>
        <v/>
      </c>
      <c r="BE614" s="82">
        <f>($S614-$J614)*100</f>
        <v/>
      </c>
      <c r="BF614" s="82">
        <f>($V614-$L614)*100</f>
        <v/>
      </c>
      <c r="BG614" s="82">
        <f>$AG614-$AF614</f>
        <v/>
      </c>
      <c r="BH614" s="81">
        <f>IFERROR($AG614/$AF614,"")</f>
        <v/>
      </c>
      <c r="BI614" s="82">
        <f>$AJ614-$AF614</f>
        <v/>
      </c>
      <c r="BJ614" s="81">
        <f>IFERROR($AJ614/$AG614,"")</f>
        <v/>
      </c>
      <c r="BK614" s="81">
        <f>$X614</f>
        <v/>
      </c>
      <c r="BL614" s="82">
        <f>($J614-$J615)*100</f>
        <v/>
      </c>
      <c r="BM614" s="82">
        <f>($F614-$F615)*100</f>
        <v/>
      </c>
      <c r="BN614" s="82">
        <f>$AF614-$AF615</f>
        <v/>
      </c>
      <c r="BO614" s="82">
        <f>$AG614-$AG615</f>
        <v/>
      </c>
      <c r="BP614" s="82">
        <f>$AJ614-$AJ615</f>
        <v/>
      </c>
    </row>
    <row r="615">
      <c r="AR615" s="81">
        <f>($G615+($H615-$G615)*0.5)+($P615-($O615+($Q615-$O615)*0.5))</f>
        <v/>
      </c>
      <c r="AS615" s="81">
        <f>($J615+($K615-$J615)*0.5)+($T615-($S615+($U615-$S615)*0.5))</f>
        <v/>
      </c>
      <c r="AT615" s="82">
        <f>($J615-$C615)*100</f>
        <v/>
      </c>
      <c r="AU615" s="82">
        <f>($H615-$F615)*100</f>
        <v/>
      </c>
      <c r="AV615" s="82">
        <f>($J615-$F615)*100</f>
        <v/>
      </c>
      <c r="AW615" s="82">
        <f>($L615-$F615)*100</f>
        <v/>
      </c>
      <c r="AX615" s="82">
        <f>($J615-$H615)*100</f>
        <v/>
      </c>
      <c r="AY615" s="82">
        <f>($L615-$H615)*100</f>
        <v/>
      </c>
      <c r="AZ615" s="82">
        <f>($L615-$J615)*100</f>
        <v/>
      </c>
      <c r="BA615" s="82">
        <f>(2*$H615-$F615-$J615)*100</f>
        <v/>
      </c>
      <c r="BB615" s="82">
        <f>(2*$J615-$H615-$L615)*100</f>
        <v/>
      </c>
      <c r="BC615" s="82">
        <f>($N615-$F615)*100</f>
        <v/>
      </c>
      <c r="BD615" s="82">
        <f>($Q615-$H615)*100</f>
        <v/>
      </c>
      <c r="BE615" s="82">
        <f>($S615-$J615)*100</f>
        <v/>
      </c>
      <c r="BF615" s="82">
        <f>($V615-$L615)*100</f>
        <v/>
      </c>
      <c r="BG615" s="82">
        <f>$AG615-$AF615</f>
        <v/>
      </c>
      <c r="BH615" s="81">
        <f>IFERROR($AG615/$AF615,"")</f>
        <v/>
      </c>
      <c r="BI615" s="82">
        <f>$AJ615-$AF615</f>
        <v/>
      </c>
      <c r="BJ615" s="81">
        <f>IFERROR($AJ615/$AG615,"")</f>
        <v/>
      </c>
      <c r="BK615" s="81">
        <f>$X615</f>
        <v/>
      </c>
      <c r="BL615" s="82">
        <f>($J615-$J616)*100</f>
        <v/>
      </c>
      <c r="BM615" s="82">
        <f>($F615-$F616)*100</f>
        <v/>
      </c>
      <c r="BN615" s="82">
        <f>$AF615-$AF616</f>
        <v/>
      </c>
      <c r="BO615" s="82">
        <f>$AG615-$AG616</f>
        <v/>
      </c>
      <c r="BP615" s="82">
        <f>$AJ615-$AJ616</f>
        <v/>
      </c>
    </row>
    <row r="616">
      <c r="AR616" s="81">
        <f>($G616+($H616-$G616)*0.5)+($P616-($O616+($Q616-$O616)*0.5))</f>
        <v/>
      </c>
      <c r="AS616" s="81">
        <f>($J616+($K616-$J616)*0.5)+($T616-($S616+($U616-$S616)*0.5))</f>
        <v/>
      </c>
      <c r="AT616" s="82">
        <f>($J616-$C616)*100</f>
        <v/>
      </c>
      <c r="AU616" s="82">
        <f>($H616-$F616)*100</f>
        <v/>
      </c>
      <c r="AV616" s="82">
        <f>($J616-$F616)*100</f>
        <v/>
      </c>
      <c r="AW616" s="82">
        <f>($L616-$F616)*100</f>
        <v/>
      </c>
      <c r="AX616" s="82">
        <f>($J616-$H616)*100</f>
        <v/>
      </c>
      <c r="AY616" s="82">
        <f>($L616-$H616)*100</f>
        <v/>
      </c>
      <c r="AZ616" s="82">
        <f>($L616-$J616)*100</f>
        <v/>
      </c>
      <c r="BA616" s="82">
        <f>(2*$H616-$F616-$J616)*100</f>
        <v/>
      </c>
      <c r="BB616" s="82">
        <f>(2*$J616-$H616-$L616)*100</f>
        <v/>
      </c>
      <c r="BC616" s="82">
        <f>($N616-$F616)*100</f>
        <v/>
      </c>
      <c r="BD616" s="82">
        <f>($Q616-$H616)*100</f>
        <v/>
      </c>
      <c r="BE616" s="82">
        <f>($S616-$J616)*100</f>
        <v/>
      </c>
      <c r="BF616" s="82">
        <f>($V616-$L616)*100</f>
        <v/>
      </c>
      <c r="BG616" s="82">
        <f>$AG616-$AF616</f>
        <v/>
      </c>
      <c r="BH616" s="81">
        <f>IFERROR($AG616/$AF616,"")</f>
        <v/>
      </c>
      <c r="BI616" s="82">
        <f>$AJ616-$AF616</f>
        <v/>
      </c>
      <c r="BJ616" s="81">
        <f>IFERROR($AJ616/$AG616,"")</f>
        <v/>
      </c>
      <c r="BK616" s="81">
        <f>$X616</f>
        <v/>
      </c>
      <c r="BL616" s="82">
        <f>($J616-$J617)*100</f>
        <v/>
      </c>
      <c r="BM616" s="82">
        <f>($F616-$F617)*100</f>
        <v/>
      </c>
      <c r="BN616" s="82">
        <f>$AF616-$AF617</f>
        <v/>
      </c>
      <c r="BO616" s="82">
        <f>$AG616-$AG617</f>
        <v/>
      </c>
      <c r="BP616" s="82">
        <f>$AJ616-$AJ617</f>
        <v/>
      </c>
    </row>
    <row r="617">
      <c r="AR617" s="81">
        <f>($G617+($H617-$G617)*0.5)+($P617-($O617+($Q617-$O617)*0.5))</f>
        <v/>
      </c>
      <c r="AS617" s="81">
        <f>($J617+($K617-$J617)*0.5)+($T617-($S617+($U617-$S617)*0.5))</f>
        <v/>
      </c>
      <c r="AT617" s="82">
        <f>($J617-$C617)*100</f>
        <v/>
      </c>
      <c r="AU617" s="82">
        <f>($H617-$F617)*100</f>
        <v/>
      </c>
      <c r="AV617" s="82">
        <f>($J617-$F617)*100</f>
        <v/>
      </c>
      <c r="AW617" s="82">
        <f>($L617-$F617)*100</f>
        <v/>
      </c>
      <c r="AX617" s="82">
        <f>($J617-$H617)*100</f>
        <v/>
      </c>
      <c r="AY617" s="82">
        <f>($L617-$H617)*100</f>
        <v/>
      </c>
      <c r="AZ617" s="82">
        <f>($L617-$J617)*100</f>
        <v/>
      </c>
      <c r="BA617" s="82">
        <f>(2*$H617-$F617-$J617)*100</f>
        <v/>
      </c>
      <c r="BB617" s="82">
        <f>(2*$J617-$H617-$L617)*100</f>
        <v/>
      </c>
      <c r="BC617" s="82">
        <f>($N617-$F617)*100</f>
        <v/>
      </c>
      <c r="BD617" s="82">
        <f>($Q617-$H617)*100</f>
        <v/>
      </c>
      <c r="BE617" s="82">
        <f>($S617-$J617)*100</f>
        <v/>
      </c>
      <c r="BF617" s="82">
        <f>($V617-$L617)*100</f>
        <v/>
      </c>
      <c r="BG617" s="82">
        <f>$AG617-$AF617</f>
        <v/>
      </c>
      <c r="BH617" s="81">
        <f>IFERROR($AG617/$AF617,"")</f>
        <v/>
      </c>
      <c r="BI617" s="82">
        <f>$AJ617-$AF617</f>
        <v/>
      </c>
      <c r="BJ617" s="81">
        <f>IFERROR($AJ617/$AG617,"")</f>
        <v/>
      </c>
      <c r="BK617" s="81">
        <f>$X617</f>
        <v/>
      </c>
      <c r="BL617" s="82">
        <f>($J617-$J618)*100</f>
        <v/>
      </c>
      <c r="BM617" s="82">
        <f>($F617-$F618)*100</f>
        <v/>
      </c>
      <c r="BN617" s="82">
        <f>$AF617-$AF618</f>
        <v/>
      </c>
      <c r="BO617" s="82">
        <f>$AG617-$AG618</f>
        <v/>
      </c>
      <c r="BP617" s="82">
        <f>$AJ617-$AJ618</f>
        <v/>
      </c>
    </row>
    <row r="618">
      <c r="AR618" s="81">
        <f>($G618+($H618-$G618)*0.5)+($P618-($O618+($Q618-$O618)*0.5))</f>
        <v/>
      </c>
      <c r="AS618" s="81">
        <f>($J618+($K618-$J618)*0.5)+($T618-($S618+($U618-$S618)*0.5))</f>
        <v/>
      </c>
      <c r="AT618" s="82">
        <f>($J618-$C618)*100</f>
        <v/>
      </c>
      <c r="AU618" s="82">
        <f>($H618-$F618)*100</f>
        <v/>
      </c>
      <c r="AV618" s="82">
        <f>($J618-$F618)*100</f>
        <v/>
      </c>
      <c r="AW618" s="82">
        <f>($L618-$F618)*100</f>
        <v/>
      </c>
      <c r="AX618" s="82">
        <f>($J618-$H618)*100</f>
        <v/>
      </c>
      <c r="AY618" s="82">
        <f>($L618-$H618)*100</f>
        <v/>
      </c>
      <c r="AZ618" s="82">
        <f>($L618-$J618)*100</f>
        <v/>
      </c>
      <c r="BA618" s="82">
        <f>(2*$H618-$F618-$J618)*100</f>
        <v/>
      </c>
      <c r="BB618" s="82">
        <f>(2*$J618-$H618-$L618)*100</f>
        <v/>
      </c>
      <c r="BC618" s="82">
        <f>($N618-$F618)*100</f>
        <v/>
      </c>
      <c r="BD618" s="82">
        <f>($Q618-$H618)*100</f>
        <v/>
      </c>
      <c r="BE618" s="82">
        <f>($S618-$J618)*100</f>
        <v/>
      </c>
      <c r="BF618" s="82">
        <f>($V618-$L618)*100</f>
        <v/>
      </c>
      <c r="BG618" s="82">
        <f>$AG618-$AF618</f>
        <v/>
      </c>
      <c r="BH618" s="81">
        <f>IFERROR($AG618/$AF618,"")</f>
        <v/>
      </c>
      <c r="BI618" s="82">
        <f>$AJ618-$AF618</f>
        <v/>
      </c>
      <c r="BJ618" s="81">
        <f>IFERROR($AJ618/$AG618,"")</f>
        <v/>
      </c>
      <c r="BK618" s="81">
        <f>$X618</f>
        <v/>
      </c>
      <c r="BL618" s="82">
        <f>($J618-$J619)*100</f>
        <v/>
      </c>
      <c r="BM618" s="82">
        <f>($F618-$F619)*100</f>
        <v/>
      </c>
      <c r="BN618" s="82">
        <f>$AF618-$AF619</f>
        <v/>
      </c>
      <c r="BO618" s="82">
        <f>$AG618-$AG619</f>
        <v/>
      </c>
      <c r="BP618" s="82">
        <f>$AJ618-$AJ619</f>
        <v/>
      </c>
    </row>
    <row r="619">
      <c r="AR619" s="81">
        <f>($G619+($H619-$G619)*0.5)+($P619-($O619+($Q619-$O619)*0.5))</f>
        <v/>
      </c>
      <c r="AS619" s="81">
        <f>($J619+($K619-$J619)*0.5)+($T619-($S619+($U619-$S619)*0.5))</f>
        <v/>
      </c>
      <c r="AT619" s="82">
        <f>($J619-$C619)*100</f>
        <v/>
      </c>
      <c r="AU619" s="82">
        <f>($H619-$F619)*100</f>
        <v/>
      </c>
      <c r="AV619" s="82">
        <f>($J619-$F619)*100</f>
        <v/>
      </c>
      <c r="AW619" s="82">
        <f>($L619-$F619)*100</f>
        <v/>
      </c>
      <c r="AX619" s="82">
        <f>($J619-$H619)*100</f>
        <v/>
      </c>
      <c r="AY619" s="82">
        <f>($L619-$H619)*100</f>
        <v/>
      </c>
      <c r="AZ619" s="82">
        <f>($L619-$J619)*100</f>
        <v/>
      </c>
      <c r="BA619" s="82">
        <f>(2*$H619-$F619-$J619)*100</f>
        <v/>
      </c>
      <c r="BB619" s="82">
        <f>(2*$J619-$H619-$L619)*100</f>
        <v/>
      </c>
      <c r="BC619" s="82">
        <f>($N619-$F619)*100</f>
        <v/>
      </c>
      <c r="BD619" s="82">
        <f>($Q619-$H619)*100</f>
        <v/>
      </c>
      <c r="BE619" s="82">
        <f>($S619-$J619)*100</f>
        <v/>
      </c>
      <c r="BF619" s="82">
        <f>($V619-$L619)*100</f>
        <v/>
      </c>
      <c r="BG619" s="82">
        <f>$AG619-$AF619</f>
        <v/>
      </c>
      <c r="BH619" s="81">
        <f>IFERROR($AG619/$AF619,"")</f>
        <v/>
      </c>
      <c r="BI619" s="82">
        <f>$AJ619-$AF619</f>
        <v/>
      </c>
      <c r="BJ619" s="81">
        <f>IFERROR($AJ619/$AG619,"")</f>
        <v/>
      </c>
      <c r="BK619" s="81">
        <f>$X619</f>
        <v/>
      </c>
      <c r="BL619" s="82">
        <f>($J619-$J620)*100</f>
        <v/>
      </c>
      <c r="BM619" s="82">
        <f>($F619-$F620)*100</f>
        <v/>
      </c>
      <c r="BN619" s="82">
        <f>$AF619-$AF620</f>
        <v/>
      </c>
      <c r="BO619" s="82">
        <f>$AG619-$AG620</f>
        <v/>
      </c>
      <c r="BP619" s="82">
        <f>$AJ619-$AJ620</f>
        <v/>
      </c>
    </row>
    <row r="620">
      <c r="AR620" s="81">
        <f>($G620+($H620-$G620)*0.5)+($P620-($O620+($Q620-$O620)*0.5))</f>
        <v/>
      </c>
      <c r="AS620" s="81">
        <f>($J620+($K620-$J620)*0.5)+($T620-($S620+($U620-$S620)*0.5))</f>
        <v/>
      </c>
      <c r="AT620" s="82">
        <f>($J620-$C620)*100</f>
        <v/>
      </c>
      <c r="AU620" s="82">
        <f>($H620-$F620)*100</f>
        <v/>
      </c>
      <c r="AV620" s="82">
        <f>($J620-$F620)*100</f>
        <v/>
      </c>
      <c r="AW620" s="82">
        <f>($L620-$F620)*100</f>
        <v/>
      </c>
      <c r="AX620" s="82">
        <f>($J620-$H620)*100</f>
        <v/>
      </c>
      <c r="AY620" s="82">
        <f>($L620-$H620)*100</f>
        <v/>
      </c>
      <c r="AZ620" s="82">
        <f>($L620-$J620)*100</f>
        <v/>
      </c>
      <c r="BA620" s="82">
        <f>(2*$H620-$F620-$J620)*100</f>
        <v/>
      </c>
      <c r="BB620" s="82">
        <f>(2*$J620-$H620-$L620)*100</f>
        <v/>
      </c>
      <c r="BC620" s="82">
        <f>($N620-$F620)*100</f>
        <v/>
      </c>
      <c r="BD620" s="82">
        <f>($Q620-$H620)*100</f>
        <v/>
      </c>
      <c r="BE620" s="82">
        <f>($S620-$J620)*100</f>
        <v/>
      </c>
      <c r="BF620" s="82">
        <f>($V620-$L620)*100</f>
        <v/>
      </c>
      <c r="BG620" s="82">
        <f>$AG620-$AF620</f>
        <v/>
      </c>
      <c r="BH620" s="81">
        <f>IFERROR($AG620/$AF620,"")</f>
        <v/>
      </c>
      <c r="BI620" s="82">
        <f>$AJ620-$AF620</f>
        <v/>
      </c>
      <c r="BJ620" s="81">
        <f>IFERROR($AJ620/$AG620,"")</f>
        <v/>
      </c>
      <c r="BK620" s="81">
        <f>$X620</f>
        <v/>
      </c>
      <c r="BL620" s="82">
        <f>($J620-$J621)*100</f>
        <v/>
      </c>
      <c r="BM620" s="82">
        <f>($F620-$F621)*100</f>
        <v/>
      </c>
      <c r="BN620" s="82">
        <f>$AF620-$AF621</f>
        <v/>
      </c>
      <c r="BO620" s="82">
        <f>$AG620-$AG621</f>
        <v/>
      </c>
      <c r="BP620" s="82">
        <f>$AJ620-$AJ621</f>
        <v/>
      </c>
    </row>
    <row r="621">
      <c r="AR621" s="81">
        <f>($G621+($H621-$G621)*0.5)+($P621-($O621+($Q621-$O621)*0.5))</f>
        <v/>
      </c>
      <c r="AS621" s="81">
        <f>($J621+($K621-$J621)*0.5)+($T621-($S621+($U621-$S621)*0.5))</f>
        <v/>
      </c>
      <c r="AT621" s="82">
        <f>($J621-$C621)*100</f>
        <v/>
      </c>
      <c r="AU621" s="82">
        <f>($H621-$F621)*100</f>
        <v/>
      </c>
      <c r="AV621" s="82">
        <f>($J621-$F621)*100</f>
        <v/>
      </c>
      <c r="AW621" s="82">
        <f>($L621-$F621)*100</f>
        <v/>
      </c>
      <c r="AX621" s="82">
        <f>($J621-$H621)*100</f>
        <v/>
      </c>
      <c r="AY621" s="82">
        <f>($L621-$H621)*100</f>
        <v/>
      </c>
      <c r="AZ621" s="82">
        <f>($L621-$J621)*100</f>
        <v/>
      </c>
      <c r="BA621" s="82">
        <f>(2*$H621-$F621-$J621)*100</f>
        <v/>
      </c>
      <c r="BB621" s="82">
        <f>(2*$J621-$H621-$L621)*100</f>
        <v/>
      </c>
      <c r="BC621" s="82">
        <f>($N621-$F621)*100</f>
        <v/>
      </c>
      <c r="BD621" s="82">
        <f>($Q621-$H621)*100</f>
        <v/>
      </c>
      <c r="BE621" s="82">
        <f>($S621-$J621)*100</f>
        <v/>
      </c>
      <c r="BF621" s="82">
        <f>($V621-$L621)*100</f>
        <v/>
      </c>
      <c r="BG621" s="82">
        <f>$AG621-$AF621</f>
        <v/>
      </c>
      <c r="BH621" s="81">
        <f>IFERROR($AG621/$AF621,"")</f>
        <v/>
      </c>
      <c r="BI621" s="82">
        <f>$AJ621-$AF621</f>
        <v/>
      </c>
      <c r="BJ621" s="81">
        <f>IFERROR($AJ621/$AG621,"")</f>
        <v/>
      </c>
      <c r="BK621" s="81">
        <f>$X621</f>
        <v/>
      </c>
      <c r="BL621" s="82">
        <f>($J621-$J622)*100</f>
        <v/>
      </c>
      <c r="BM621" s="82">
        <f>($F621-$F622)*100</f>
        <v/>
      </c>
      <c r="BN621" s="82">
        <f>$AF621-$AF622</f>
        <v/>
      </c>
      <c r="BO621" s="82">
        <f>$AG621-$AG622</f>
        <v/>
      </c>
      <c r="BP621" s="82">
        <f>$AJ621-$AJ622</f>
        <v/>
      </c>
    </row>
    <row r="622">
      <c r="AR622" s="81">
        <f>($G622+($H622-$G622)*0.5)+($P622-($O622+($Q622-$O622)*0.5))</f>
        <v/>
      </c>
      <c r="AS622" s="81">
        <f>($J622+($K622-$J622)*0.5)+($T622-($S622+($U622-$S622)*0.5))</f>
        <v/>
      </c>
      <c r="AT622" s="82">
        <f>($J622-$C622)*100</f>
        <v/>
      </c>
      <c r="AU622" s="82">
        <f>($H622-$F622)*100</f>
        <v/>
      </c>
      <c r="AV622" s="82">
        <f>($J622-$F622)*100</f>
        <v/>
      </c>
      <c r="AW622" s="82">
        <f>($L622-$F622)*100</f>
        <v/>
      </c>
      <c r="AX622" s="82">
        <f>($J622-$H622)*100</f>
        <v/>
      </c>
      <c r="AY622" s="82">
        <f>($L622-$H622)*100</f>
        <v/>
      </c>
      <c r="AZ622" s="82">
        <f>($L622-$J622)*100</f>
        <v/>
      </c>
      <c r="BA622" s="82">
        <f>(2*$H622-$F622-$J622)*100</f>
        <v/>
      </c>
      <c r="BB622" s="82">
        <f>(2*$J622-$H622-$L622)*100</f>
        <v/>
      </c>
      <c r="BC622" s="82">
        <f>($N622-$F622)*100</f>
        <v/>
      </c>
      <c r="BD622" s="82">
        <f>($Q622-$H622)*100</f>
        <v/>
      </c>
      <c r="BE622" s="82">
        <f>($S622-$J622)*100</f>
        <v/>
      </c>
      <c r="BF622" s="82">
        <f>($V622-$L622)*100</f>
        <v/>
      </c>
      <c r="BG622" s="82">
        <f>$AG622-$AF622</f>
        <v/>
      </c>
      <c r="BH622" s="81">
        <f>IFERROR($AG622/$AF622,"")</f>
        <v/>
      </c>
      <c r="BI622" s="82">
        <f>$AJ622-$AF622</f>
        <v/>
      </c>
      <c r="BJ622" s="81">
        <f>IFERROR($AJ622/$AG622,"")</f>
        <v/>
      </c>
      <c r="BK622" s="81">
        <f>$X622</f>
        <v/>
      </c>
      <c r="BL622" s="82">
        <f>($J622-$J623)*100</f>
        <v/>
      </c>
      <c r="BM622" s="82">
        <f>($F622-$F623)*100</f>
        <v/>
      </c>
      <c r="BN622" s="82">
        <f>$AF622-$AF623</f>
        <v/>
      </c>
      <c r="BO622" s="82">
        <f>$AG622-$AG623</f>
        <v/>
      </c>
      <c r="BP622" s="82">
        <f>$AJ622-$AJ623</f>
        <v/>
      </c>
    </row>
    <row r="623">
      <c r="AR623" s="81">
        <f>($G623+($H623-$G623)*0.5)+($P623-($O623+($Q623-$O623)*0.5))</f>
        <v/>
      </c>
      <c r="AS623" s="81">
        <f>($J623+($K623-$J623)*0.5)+($T623-($S623+($U623-$S623)*0.5))</f>
        <v/>
      </c>
      <c r="AT623" s="82">
        <f>($J623-$C623)*100</f>
        <v/>
      </c>
      <c r="AU623" s="82">
        <f>($H623-$F623)*100</f>
        <v/>
      </c>
      <c r="AV623" s="82">
        <f>($J623-$F623)*100</f>
        <v/>
      </c>
      <c r="AW623" s="82">
        <f>($L623-$F623)*100</f>
        <v/>
      </c>
      <c r="AX623" s="82">
        <f>($J623-$H623)*100</f>
        <v/>
      </c>
      <c r="AY623" s="82">
        <f>($L623-$H623)*100</f>
        <v/>
      </c>
      <c r="AZ623" s="82">
        <f>($L623-$J623)*100</f>
        <v/>
      </c>
      <c r="BA623" s="82">
        <f>(2*$H623-$F623-$J623)*100</f>
        <v/>
      </c>
      <c r="BB623" s="82">
        <f>(2*$J623-$H623-$L623)*100</f>
        <v/>
      </c>
      <c r="BC623" s="82">
        <f>($N623-$F623)*100</f>
        <v/>
      </c>
      <c r="BD623" s="82">
        <f>($Q623-$H623)*100</f>
        <v/>
      </c>
      <c r="BE623" s="82">
        <f>($S623-$J623)*100</f>
        <v/>
      </c>
      <c r="BF623" s="82">
        <f>($V623-$L623)*100</f>
        <v/>
      </c>
      <c r="BG623" s="82">
        <f>$AG623-$AF623</f>
        <v/>
      </c>
      <c r="BH623" s="81">
        <f>IFERROR($AG623/$AF623,"")</f>
        <v/>
      </c>
      <c r="BI623" s="82">
        <f>$AJ623-$AF623</f>
        <v/>
      </c>
      <c r="BJ623" s="81">
        <f>IFERROR($AJ623/$AG623,"")</f>
        <v/>
      </c>
      <c r="BK623" s="81">
        <f>$X623</f>
        <v/>
      </c>
      <c r="BL623" s="82">
        <f>($J623-$J624)*100</f>
        <v/>
      </c>
      <c r="BM623" s="82">
        <f>($F623-$F624)*100</f>
        <v/>
      </c>
      <c r="BN623" s="82">
        <f>$AF623-$AF624</f>
        <v/>
      </c>
      <c r="BO623" s="82">
        <f>$AG623-$AG624</f>
        <v/>
      </c>
      <c r="BP623" s="82">
        <f>$AJ623-$AJ624</f>
        <v/>
      </c>
    </row>
    <row r="624">
      <c r="AR624" s="81">
        <f>($G624+($H624-$G624)*0.5)+($P624-($O624+($Q624-$O624)*0.5))</f>
        <v/>
      </c>
      <c r="AS624" s="81">
        <f>($J624+($K624-$J624)*0.5)+($T624-($S624+($U624-$S624)*0.5))</f>
        <v/>
      </c>
      <c r="AT624" s="82">
        <f>($J624-$C624)*100</f>
        <v/>
      </c>
      <c r="AU624" s="82">
        <f>($H624-$F624)*100</f>
        <v/>
      </c>
      <c r="AV624" s="82">
        <f>($J624-$F624)*100</f>
        <v/>
      </c>
      <c r="AW624" s="82">
        <f>($L624-$F624)*100</f>
        <v/>
      </c>
      <c r="AX624" s="82">
        <f>($J624-$H624)*100</f>
        <v/>
      </c>
      <c r="AY624" s="82">
        <f>($L624-$H624)*100</f>
        <v/>
      </c>
      <c r="AZ624" s="82">
        <f>($L624-$J624)*100</f>
        <v/>
      </c>
      <c r="BA624" s="82">
        <f>(2*$H624-$F624-$J624)*100</f>
        <v/>
      </c>
      <c r="BB624" s="82">
        <f>(2*$J624-$H624-$L624)*100</f>
        <v/>
      </c>
      <c r="BC624" s="82">
        <f>($N624-$F624)*100</f>
        <v/>
      </c>
      <c r="BD624" s="82">
        <f>($Q624-$H624)*100</f>
        <v/>
      </c>
      <c r="BE624" s="82">
        <f>($S624-$J624)*100</f>
        <v/>
      </c>
      <c r="BF624" s="82">
        <f>($V624-$L624)*100</f>
        <v/>
      </c>
      <c r="BG624" s="82">
        <f>$AG624-$AF624</f>
        <v/>
      </c>
      <c r="BH624" s="81">
        <f>IFERROR($AG624/$AF624,"")</f>
        <v/>
      </c>
      <c r="BI624" s="82">
        <f>$AJ624-$AF624</f>
        <v/>
      </c>
      <c r="BJ624" s="81">
        <f>IFERROR($AJ624/$AG624,"")</f>
        <v/>
      </c>
      <c r="BK624" s="81">
        <f>$X624</f>
        <v/>
      </c>
      <c r="BL624" s="82">
        <f>($J624-$J625)*100</f>
        <v/>
      </c>
      <c r="BM624" s="82">
        <f>($F624-$F625)*100</f>
        <v/>
      </c>
      <c r="BN624" s="82">
        <f>$AF624-$AF625</f>
        <v/>
      </c>
      <c r="BO624" s="82">
        <f>$AG624-$AG625</f>
        <v/>
      </c>
      <c r="BP624" s="82">
        <f>$AJ624-$AJ625</f>
        <v/>
      </c>
    </row>
    <row r="625">
      <c r="AR625" s="81">
        <f>($G625+($H625-$G625)*0.5)+($P625-($O625+($Q625-$O625)*0.5))</f>
        <v/>
      </c>
      <c r="AS625" s="81">
        <f>($J625+($K625-$J625)*0.5)+($T625-($S625+($U625-$S625)*0.5))</f>
        <v/>
      </c>
      <c r="AT625" s="82">
        <f>($J625-$C625)*100</f>
        <v/>
      </c>
      <c r="AU625" s="82">
        <f>($H625-$F625)*100</f>
        <v/>
      </c>
      <c r="AV625" s="82">
        <f>($J625-$F625)*100</f>
        <v/>
      </c>
      <c r="AW625" s="82">
        <f>($L625-$F625)*100</f>
        <v/>
      </c>
      <c r="AX625" s="82">
        <f>($J625-$H625)*100</f>
        <v/>
      </c>
      <c r="AY625" s="82">
        <f>($L625-$H625)*100</f>
        <v/>
      </c>
      <c r="AZ625" s="82">
        <f>($L625-$J625)*100</f>
        <v/>
      </c>
      <c r="BA625" s="82">
        <f>(2*$H625-$F625-$J625)*100</f>
        <v/>
      </c>
      <c r="BB625" s="82">
        <f>(2*$J625-$H625-$L625)*100</f>
        <v/>
      </c>
      <c r="BC625" s="82">
        <f>($N625-$F625)*100</f>
        <v/>
      </c>
      <c r="BD625" s="82">
        <f>($Q625-$H625)*100</f>
        <v/>
      </c>
      <c r="BE625" s="82">
        <f>($S625-$J625)*100</f>
        <v/>
      </c>
      <c r="BF625" s="82">
        <f>($V625-$L625)*100</f>
        <v/>
      </c>
      <c r="BG625" s="82">
        <f>$AG625-$AF625</f>
        <v/>
      </c>
      <c r="BH625" s="81">
        <f>IFERROR($AG625/$AF625,"")</f>
        <v/>
      </c>
      <c r="BI625" s="82">
        <f>$AJ625-$AF625</f>
        <v/>
      </c>
      <c r="BJ625" s="81">
        <f>IFERROR($AJ625/$AG625,"")</f>
        <v/>
      </c>
      <c r="BK625" s="81">
        <f>$X625</f>
        <v/>
      </c>
      <c r="BL625" s="82">
        <f>($J625-$J626)*100</f>
        <v/>
      </c>
      <c r="BM625" s="82">
        <f>($F625-$F626)*100</f>
        <v/>
      </c>
      <c r="BN625" s="82">
        <f>$AF625-$AF626</f>
        <v/>
      </c>
      <c r="BO625" s="82">
        <f>$AG625-$AG626</f>
        <v/>
      </c>
      <c r="BP625" s="82">
        <f>$AJ625-$AJ626</f>
        <v/>
      </c>
    </row>
    <row r="626">
      <c r="AR626" s="81">
        <f>($G626+($H626-$G626)*0.5)+($P626-($O626+($Q626-$O626)*0.5))</f>
        <v/>
      </c>
      <c r="AS626" s="81">
        <f>($J626+($K626-$J626)*0.5)+($T626-($S626+($U626-$S626)*0.5))</f>
        <v/>
      </c>
      <c r="AT626" s="82">
        <f>($J626-$C626)*100</f>
        <v/>
      </c>
      <c r="AU626" s="82">
        <f>($H626-$F626)*100</f>
        <v/>
      </c>
      <c r="AV626" s="82">
        <f>($J626-$F626)*100</f>
        <v/>
      </c>
      <c r="AW626" s="82">
        <f>($L626-$F626)*100</f>
        <v/>
      </c>
      <c r="AX626" s="82">
        <f>($J626-$H626)*100</f>
        <v/>
      </c>
      <c r="AY626" s="82">
        <f>($L626-$H626)*100</f>
        <v/>
      </c>
      <c r="AZ626" s="82">
        <f>($L626-$J626)*100</f>
        <v/>
      </c>
      <c r="BA626" s="82">
        <f>(2*$H626-$F626-$J626)*100</f>
        <v/>
      </c>
      <c r="BB626" s="82">
        <f>(2*$J626-$H626-$L626)*100</f>
        <v/>
      </c>
      <c r="BC626" s="82">
        <f>($N626-$F626)*100</f>
        <v/>
      </c>
      <c r="BD626" s="82">
        <f>($Q626-$H626)*100</f>
        <v/>
      </c>
      <c r="BE626" s="82">
        <f>($S626-$J626)*100</f>
        <v/>
      </c>
      <c r="BF626" s="82">
        <f>($V626-$L626)*100</f>
        <v/>
      </c>
      <c r="BG626" s="82">
        <f>$AG626-$AF626</f>
        <v/>
      </c>
      <c r="BH626" s="81">
        <f>IFERROR($AG626/$AF626,"")</f>
        <v/>
      </c>
      <c r="BI626" s="82">
        <f>$AJ626-$AF626</f>
        <v/>
      </c>
      <c r="BJ626" s="81">
        <f>IFERROR($AJ626/$AG626,"")</f>
        <v/>
      </c>
      <c r="BK626" s="81">
        <f>$X626</f>
        <v/>
      </c>
      <c r="BL626" s="82">
        <f>($J626-$J627)*100</f>
        <v/>
      </c>
      <c r="BM626" s="82">
        <f>($F626-$F627)*100</f>
        <v/>
      </c>
      <c r="BN626" s="82">
        <f>$AF626-$AF627</f>
        <v/>
      </c>
      <c r="BO626" s="82">
        <f>$AG626-$AG627</f>
        <v/>
      </c>
      <c r="BP626" s="82">
        <f>$AJ626-$AJ627</f>
        <v/>
      </c>
    </row>
    <row r="627">
      <c r="AR627" s="81">
        <f>($G627+($H627-$G627)*0.5)+($P627-($O627+($Q627-$O627)*0.5))</f>
        <v/>
      </c>
      <c r="AS627" s="81">
        <f>($J627+($K627-$J627)*0.5)+($T627-($S627+($U627-$S627)*0.5))</f>
        <v/>
      </c>
      <c r="AT627" s="82">
        <f>($J627-$C627)*100</f>
        <v/>
      </c>
      <c r="AU627" s="82">
        <f>($H627-$F627)*100</f>
        <v/>
      </c>
      <c r="AV627" s="82">
        <f>($J627-$F627)*100</f>
        <v/>
      </c>
      <c r="AW627" s="82">
        <f>($L627-$F627)*100</f>
        <v/>
      </c>
      <c r="AX627" s="82">
        <f>($J627-$H627)*100</f>
        <v/>
      </c>
      <c r="AY627" s="82">
        <f>($L627-$H627)*100</f>
        <v/>
      </c>
      <c r="AZ627" s="82">
        <f>($L627-$J627)*100</f>
        <v/>
      </c>
      <c r="BA627" s="82">
        <f>(2*$H627-$F627-$J627)*100</f>
        <v/>
      </c>
      <c r="BB627" s="82">
        <f>(2*$J627-$H627-$L627)*100</f>
        <v/>
      </c>
      <c r="BC627" s="82">
        <f>($N627-$F627)*100</f>
        <v/>
      </c>
      <c r="BD627" s="82">
        <f>($Q627-$H627)*100</f>
        <v/>
      </c>
      <c r="BE627" s="82">
        <f>($S627-$J627)*100</f>
        <v/>
      </c>
      <c r="BF627" s="82">
        <f>($V627-$L627)*100</f>
        <v/>
      </c>
      <c r="BG627" s="82">
        <f>$AG627-$AF627</f>
        <v/>
      </c>
      <c r="BH627" s="81">
        <f>IFERROR($AG627/$AF627,"")</f>
        <v/>
      </c>
      <c r="BI627" s="82">
        <f>$AJ627-$AF627</f>
        <v/>
      </c>
      <c r="BJ627" s="81">
        <f>IFERROR($AJ627/$AG627,"")</f>
        <v/>
      </c>
      <c r="BK627" s="81">
        <f>$X627</f>
        <v/>
      </c>
      <c r="BL627" s="82">
        <f>($J627-$J628)*100</f>
        <v/>
      </c>
      <c r="BM627" s="82">
        <f>($F627-$F628)*100</f>
        <v/>
      </c>
      <c r="BN627" s="82">
        <f>$AF627-$AF628</f>
        <v/>
      </c>
      <c r="BO627" s="82">
        <f>$AG627-$AG628</f>
        <v/>
      </c>
      <c r="BP627" s="82">
        <f>$AJ627-$AJ628</f>
        <v/>
      </c>
    </row>
    <row r="628">
      <c r="AR628" s="81">
        <f>($G628+($H628-$G628)*0.5)+($P628-($O628+($Q628-$O628)*0.5))</f>
        <v/>
      </c>
      <c r="AS628" s="81">
        <f>($J628+($K628-$J628)*0.5)+($T628-($S628+($U628-$S628)*0.5))</f>
        <v/>
      </c>
      <c r="AT628" s="82">
        <f>($J628-$C628)*100</f>
        <v/>
      </c>
      <c r="AU628" s="82">
        <f>($H628-$F628)*100</f>
        <v/>
      </c>
      <c r="AV628" s="82">
        <f>($J628-$F628)*100</f>
        <v/>
      </c>
      <c r="AW628" s="82">
        <f>($L628-$F628)*100</f>
        <v/>
      </c>
      <c r="AX628" s="82">
        <f>($J628-$H628)*100</f>
        <v/>
      </c>
      <c r="AY628" s="82">
        <f>($L628-$H628)*100</f>
        <v/>
      </c>
      <c r="AZ628" s="82">
        <f>($L628-$J628)*100</f>
        <v/>
      </c>
      <c r="BA628" s="82">
        <f>(2*$H628-$F628-$J628)*100</f>
        <v/>
      </c>
      <c r="BB628" s="82">
        <f>(2*$J628-$H628-$L628)*100</f>
        <v/>
      </c>
      <c r="BC628" s="82">
        <f>($N628-$F628)*100</f>
        <v/>
      </c>
      <c r="BD628" s="82">
        <f>($Q628-$H628)*100</f>
        <v/>
      </c>
      <c r="BE628" s="82">
        <f>($S628-$J628)*100</f>
        <v/>
      </c>
      <c r="BF628" s="82">
        <f>($V628-$L628)*100</f>
        <v/>
      </c>
      <c r="BG628" s="82">
        <f>$AG628-$AF628</f>
        <v/>
      </c>
      <c r="BH628" s="81">
        <f>IFERROR($AG628/$AF628,"")</f>
        <v/>
      </c>
      <c r="BI628" s="82">
        <f>$AJ628-$AF628</f>
        <v/>
      </c>
      <c r="BJ628" s="81">
        <f>IFERROR($AJ628/$AG628,"")</f>
        <v/>
      </c>
      <c r="BK628" s="81">
        <f>$X628</f>
        <v/>
      </c>
      <c r="BL628" s="82">
        <f>($J628-$J629)*100</f>
        <v/>
      </c>
      <c r="BM628" s="82">
        <f>($F628-$F629)*100</f>
        <v/>
      </c>
      <c r="BN628" s="82">
        <f>$AF628-$AF629</f>
        <v/>
      </c>
      <c r="BO628" s="82">
        <f>$AG628-$AG629</f>
        <v/>
      </c>
      <c r="BP628" s="82">
        <f>$AJ628-$AJ629</f>
        <v/>
      </c>
    </row>
    <row r="629">
      <c r="AR629" s="81">
        <f>($G629+($H629-$G629)*0.5)+($P629-($O629+($Q629-$O629)*0.5))</f>
        <v/>
      </c>
      <c r="AS629" s="81">
        <f>($J629+($K629-$J629)*0.5)+($T629-($S629+($U629-$S629)*0.5))</f>
        <v/>
      </c>
      <c r="AT629" s="82">
        <f>($J629-$C629)*100</f>
        <v/>
      </c>
      <c r="AU629" s="82">
        <f>($H629-$F629)*100</f>
        <v/>
      </c>
      <c r="AV629" s="82">
        <f>($J629-$F629)*100</f>
        <v/>
      </c>
      <c r="AW629" s="82">
        <f>($L629-$F629)*100</f>
        <v/>
      </c>
      <c r="AX629" s="82">
        <f>($J629-$H629)*100</f>
        <v/>
      </c>
      <c r="AY629" s="82">
        <f>($L629-$H629)*100</f>
        <v/>
      </c>
      <c r="AZ629" s="82">
        <f>($L629-$J629)*100</f>
        <v/>
      </c>
      <c r="BA629" s="82">
        <f>(2*$H629-$F629-$J629)*100</f>
        <v/>
      </c>
      <c r="BB629" s="82">
        <f>(2*$J629-$H629-$L629)*100</f>
        <v/>
      </c>
      <c r="BC629" s="82">
        <f>($N629-$F629)*100</f>
        <v/>
      </c>
      <c r="BD629" s="82">
        <f>($Q629-$H629)*100</f>
        <v/>
      </c>
      <c r="BE629" s="82">
        <f>($S629-$J629)*100</f>
        <v/>
      </c>
      <c r="BF629" s="82">
        <f>($V629-$L629)*100</f>
        <v/>
      </c>
      <c r="BG629" s="82">
        <f>$AG629-$AF629</f>
        <v/>
      </c>
      <c r="BH629" s="81">
        <f>IFERROR($AG629/$AF629,"")</f>
        <v/>
      </c>
      <c r="BI629" s="82">
        <f>$AJ629-$AF629</f>
        <v/>
      </c>
      <c r="BJ629" s="81">
        <f>IFERROR($AJ629/$AG629,"")</f>
        <v/>
      </c>
      <c r="BK629" s="81">
        <f>$X629</f>
        <v/>
      </c>
      <c r="BL629" s="82">
        <f>($J629-$J630)*100</f>
        <v/>
      </c>
      <c r="BM629" s="82">
        <f>($F629-$F630)*100</f>
        <v/>
      </c>
      <c r="BN629" s="82">
        <f>$AF629-$AF630</f>
        <v/>
      </c>
      <c r="BO629" s="82">
        <f>$AG629-$AG630</f>
        <v/>
      </c>
      <c r="BP629" s="82">
        <f>$AJ629-$AJ630</f>
        <v/>
      </c>
    </row>
    <row r="630">
      <c r="AR630" s="81">
        <f>($G630+($H630-$G630)*0.5)+($P630-($O630+($Q630-$O630)*0.5))</f>
        <v/>
      </c>
      <c r="AS630" s="81">
        <f>($J630+($K630-$J630)*0.5)+($T630-($S630+($U630-$S630)*0.5))</f>
        <v/>
      </c>
      <c r="AT630" s="82">
        <f>($J630-$C630)*100</f>
        <v/>
      </c>
      <c r="AU630" s="82">
        <f>($H630-$F630)*100</f>
        <v/>
      </c>
      <c r="AV630" s="82">
        <f>($J630-$F630)*100</f>
        <v/>
      </c>
      <c r="AW630" s="82">
        <f>($L630-$F630)*100</f>
        <v/>
      </c>
      <c r="AX630" s="82">
        <f>($J630-$H630)*100</f>
        <v/>
      </c>
      <c r="AY630" s="82">
        <f>($L630-$H630)*100</f>
        <v/>
      </c>
      <c r="AZ630" s="82">
        <f>($L630-$J630)*100</f>
        <v/>
      </c>
      <c r="BA630" s="82">
        <f>(2*$H630-$F630-$J630)*100</f>
        <v/>
      </c>
      <c r="BB630" s="82">
        <f>(2*$J630-$H630-$L630)*100</f>
        <v/>
      </c>
      <c r="BC630" s="82">
        <f>($N630-$F630)*100</f>
        <v/>
      </c>
      <c r="BD630" s="82">
        <f>($Q630-$H630)*100</f>
        <v/>
      </c>
      <c r="BE630" s="82">
        <f>($S630-$J630)*100</f>
        <v/>
      </c>
      <c r="BF630" s="82">
        <f>($V630-$L630)*100</f>
        <v/>
      </c>
      <c r="BG630" s="82">
        <f>$AG630-$AF630</f>
        <v/>
      </c>
      <c r="BH630" s="81">
        <f>IFERROR($AG630/$AF630,"")</f>
        <v/>
      </c>
      <c r="BI630" s="82">
        <f>$AJ630-$AF630</f>
        <v/>
      </c>
      <c r="BJ630" s="81">
        <f>IFERROR($AJ630/$AG630,"")</f>
        <v/>
      </c>
      <c r="BK630" s="81">
        <f>$X630</f>
        <v/>
      </c>
      <c r="BL630" s="82">
        <f>($J630-$J631)*100</f>
        <v/>
      </c>
      <c r="BM630" s="82">
        <f>($F630-$F631)*100</f>
        <v/>
      </c>
      <c r="BN630" s="82">
        <f>$AF630-$AF631</f>
        <v/>
      </c>
      <c r="BO630" s="82">
        <f>$AG630-$AG631</f>
        <v/>
      </c>
      <c r="BP630" s="82">
        <f>$AJ630-$AJ631</f>
        <v/>
      </c>
    </row>
    <row r="631">
      <c r="AR631" s="81">
        <f>($G631+($H631-$G631)*0.5)+($P631-($O631+($Q631-$O631)*0.5))</f>
        <v/>
      </c>
      <c r="AS631" s="81">
        <f>($J631+($K631-$J631)*0.5)+($T631-($S631+($U631-$S631)*0.5))</f>
        <v/>
      </c>
      <c r="AT631" s="82">
        <f>($J631-$C631)*100</f>
        <v/>
      </c>
      <c r="AU631" s="82">
        <f>($H631-$F631)*100</f>
        <v/>
      </c>
      <c r="AV631" s="82">
        <f>($J631-$F631)*100</f>
        <v/>
      </c>
      <c r="AW631" s="82">
        <f>($L631-$F631)*100</f>
        <v/>
      </c>
      <c r="AX631" s="82">
        <f>($J631-$H631)*100</f>
        <v/>
      </c>
      <c r="AY631" s="82">
        <f>($L631-$H631)*100</f>
        <v/>
      </c>
      <c r="AZ631" s="82">
        <f>($L631-$J631)*100</f>
        <v/>
      </c>
      <c r="BA631" s="82">
        <f>(2*$H631-$F631-$J631)*100</f>
        <v/>
      </c>
      <c r="BB631" s="82">
        <f>(2*$J631-$H631-$L631)*100</f>
        <v/>
      </c>
      <c r="BC631" s="82">
        <f>($N631-$F631)*100</f>
        <v/>
      </c>
      <c r="BD631" s="82">
        <f>($Q631-$H631)*100</f>
        <v/>
      </c>
      <c r="BE631" s="82">
        <f>($S631-$J631)*100</f>
        <v/>
      </c>
      <c r="BF631" s="82">
        <f>($V631-$L631)*100</f>
        <v/>
      </c>
      <c r="BG631" s="82">
        <f>$AG631-$AF631</f>
        <v/>
      </c>
      <c r="BH631" s="81">
        <f>IFERROR($AG631/$AF631,"")</f>
        <v/>
      </c>
      <c r="BI631" s="82">
        <f>$AJ631-$AF631</f>
        <v/>
      </c>
      <c r="BJ631" s="81">
        <f>IFERROR($AJ631/$AG631,"")</f>
        <v/>
      </c>
      <c r="BK631" s="81">
        <f>$X631</f>
        <v/>
      </c>
      <c r="BL631" s="82">
        <f>($J631-$J632)*100</f>
        <v/>
      </c>
      <c r="BM631" s="82">
        <f>($F631-$F632)*100</f>
        <v/>
      </c>
      <c r="BN631" s="82">
        <f>$AF631-$AF632</f>
        <v/>
      </c>
      <c r="BO631" s="82">
        <f>$AG631-$AG632</f>
        <v/>
      </c>
      <c r="BP631" s="82">
        <f>$AJ631-$AJ632</f>
        <v/>
      </c>
    </row>
    <row r="632">
      <c r="AR632" s="81">
        <f>($G632+($H632-$G632)*0.5)+($P632-($O632+($Q632-$O632)*0.5))</f>
        <v/>
      </c>
      <c r="AS632" s="81">
        <f>($J632+($K632-$J632)*0.5)+($T632-($S632+($U632-$S632)*0.5))</f>
        <v/>
      </c>
      <c r="AT632" s="82">
        <f>($J632-$C632)*100</f>
        <v/>
      </c>
      <c r="AU632" s="82">
        <f>($H632-$F632)*100</f>
        <v/>
      </c>
      <c r="AV632" s="82">
        <f>($J632-$F632)*100</f>
        <v/>
      </c>
      <c r="AW632" s="82">
        <f>($L632-$F632)*100</f>
        <v/>
      </c>
      <c r="AX632" s="82">
        <f>($J632-$H632)*100</f>
        <v/>
      </c>
      <c r="AY632" s="82">
        <f>($L632-$H632)*100</f>
        <v/>
      </c>
      <c r="AZ632" s="82">
        <f>($L632-$J632)*100</f>
        <v/>
      </c>
      <c r="BA632" s="82">
        <f>(2*$H632-$F632-$J632)*100</f>
        <v/>
      </c>
      <c r="BB632" s="82">
        <f>(2*$J632-$H632-$L632)*100</f>
        <v/>
      </c>
      <c r="BC632" s="82">
        <f>($N632-$F632)*100</f>
        <v/>
      </c>
      <c r="BD632" s="82">
        <f>($Q632-$H632)*100</f>
        <v/>
      </c>
      <c r="BE632" s="82">
        <f>($S632-$J632)*100</f>
        <v/>
      </c>
      <c r="BF632" s="82">
        <f>($V632-$L632)*100</f>
        <v/>
      </c>
      <c r="BG632" s="82">
        <f>$AG632-$AF632</f>
        <v/>
      </c>
      <c r="BH632" s="81">
        <f>IFERROR($AG632/$AF632,"")</f>
        <v/>
      </c>
      <c r="BI632" s="82">
        <f>$AJ632-$AF632</f>
        <v/>
      </c>
      <c r="BJ632" s="81">
        <f>IFERROR($AJ632/$AG632,"")</f>
        <v/>
      </c>
      <c r="BK632" s="81">
        <f>$X632</f>
        <v/>
      </c>
      <c r="BL632" s="82">
        <f>($J632-$J633)*100</f>
        <v/>
      </c>
      <c r="BM632" s="82">
        <f>($F632-$F633)*100</f>
        <v/>
      </c>
      <c r="BN632" s="82">
        <f>$AF632-$AF633</f>
        <v/>
      </c>
      <c r="BO632" s="82">
        <f>$AG632-$AG633</f>
        <v/>
      </c>
      <c r="BP632" s="82">
        <f>$AJ632-$AJ633</f>
        <v/>
      </c>
    </row>
    <row r="633">
      <c r="AR633" s="81">
        <f>($G633+($H633-$G633)*0.5)+($P633-($O633+($Q633-$O633)*0.5))</f>
        <v/>
      </c>
      <c r="AS633" s="81">
        <f>($J633+($K633-$J633)*0.5)+($T633-($S633+($U633-$S633)*0.5))</f>
        <v/>
      </c>
      <c r="AT633" s="82">
        <f>($J633-$C633)*100</f>
        <v/>
      </c>
      <c r="AU633" s="82">
        <f>($H633-$F633)*100</f>
        <v/>
      </c>
      <c r="AV633" s="82">
        <f>($J633-$F633)*100</f>
        <v/>
      </c>
      <c r="AW633" s="82">
        <f>($L633-$F633)*100</f>
        <v/>
      </c>
      <c r="AX633" s="82">
        <f>($J633-$H633)*100</f>
        <v/>
      </c>
      <c r="AY633" s="82">
        <f>($L633-$H633)*100</f>
        <v/>
      </c>
      <c r="AZ633" s="82">
        <f>($L633-$J633)*100</f>
        <v/>
      </c>
      <c r="BA633" s="82">
        <f>(2*$H633-$F633-$J633)*100</f>
        <v/>
      </c>
      <c r="BB633" s="82">
        <f>(2*$J633-$H633-$L633)*100</f>
        <v/>
      </c>
      <c r="BC633" s="82">
        <f>($N633-$F633)*100</f>
        <v/>
      </c>
      <c r="BD633" s="82">
        <f>($Q633-$H633)*100</f>
        <v/>
      </c>
      <c r="BE633" s="82">
        <f>($S633-$J633)*100</f>
        <v/>
      </c>
      <c r="BF633" s="82">
        <f>($V633-$L633)*100</f>
        <v/>
      </c>
      <c r="BG633" s="82">
        <f>$AG633-$AF633</f>
        <v/>
      </c>
      <c r="BH633" s="81">
        <f>IFERROR($AG633/$AF633,"")</f>
        <v/>
      </c>
      <c r="BI633" s="82">
        <f>$AJ633-$AF633</f>
        <v/>
      </c>
      <c r="BJ633" s="81">
        <f>IFERROR($AJ633/$AG633,"")</f>
        <v/>
      </c>
      <c r="BK633" s="81">
        <f>$X633</f>
        <v/>
      </c>
      <c r="BL633" s="82">
        <f>($J633-$J634)*100</f>
        <v/>
      </c>
      <c r="BM633" s="82">
        <f>($F633-$F634)*100</f>
        <v/>
      </c>
      <c r="BN633" s="82">
        <f>$AF633-$AF634</f>
        <v/>
      </c>
      <c r="BO633" s="82">
        <f>$AG633-$AG634</f>
        <v/>
      </c>
      <c r="BP633" s="82">
        <f>$AJ633-$AJ634</f>
        <v/>
      </c>
    </row>
    <row r="634">
      <c r="AR634" s="81">
        <f>($G634+($H634-$G634)*0.5)+($P634-($O634+($Q634-$O634)*0.5))</f>
        <v/>
      </c>
      <c r="AS634" s="81">
        <f>($J634+($K634-$J634)*0.5)+($T634-($S634+($U634-$S634)*0.5))</f>
        <v/>
      </c>
      <c r="AT634" s="82">
        <f>($J634-$C634)*100</f>
        <v/>
      </c>
      <c r="AU634" s="82">
        <f>($H634-$F634)*100</f>
        <v/>
      </c>
      <c r="AV634" s="82">
        <f>($J634-$F634)*100</f>
        <v/>
      </c>
      <c r="AW634" s="82">
        <f>($L634-$F634)*100</f>
        <v/>
      </c>
      <c r="AX634" s="82">
        <f>($J634-$H634)*100</f>
        <v/>
      </c>
      <c r="AY634" s="82">
        <f>($L634-$H634)*100</f>
        <v/>
      </c>
      <c r="AZ634" s="82">
        <f>($L634-$J634)*100</f>
        <v/>
      </c>
      <c r="BA634" s="82">
        <f>(2*$H634-$F634-$J634)*100</f>
        <v/>
      </c>
      <c r="BB634" s="82">
        <f>(2*$J634-$H634-$L634)*100</f>
        <v/>
      </c>
      <c r="BC634" s="82">
        <f>($N634-$F634)*100</f>
        <v/>
      </c>
      <c r="BD634" s="82">
        <f>($Q634-$H634)*100</f>
        <v/>
      </c>
      <c r="BE634" s="82">
        <f>($S634-$J634)*100</f>
        <v/>
      </c>
      <c r="BF634" s="82">
        <f>($V634-$L634)*100</f>
        <v/>
      </c>
      <c r="BG634" s="82">
        <f>$AG634-$AF634</f>
        <v/>
      </c>
      <c r="BH634" s="81">
        <f>IFERROR($AG634/$AF634,"")</f>
        <v/>
      </c>
      <c r="BI634" s="82">
        <f>$AJ634-$AF634</f>
        <v/>
      </c>
      <c r="BJ634" s="81">
        <f>IFERROR($AJ634/$AG634,"")</f>
        <v/>
      </c>
      <c r="BK634" s="81">
        <f>$X634</f>
        <v/>
      </c>
      <c r="BL634" s="82">
        <f>($J634-$J635)*100</f>
        <v/>
      </c>
      <c r="BM634" s="82">
        <f>($F634-$F635)*100</f>
        <v/>
      </c>
      <c r="BN634" s="82">
        <f>$AF634-$AF635</f>
        <v/>
      </c>
      <c r="BO634" s="82">
        <f>$AG634-$AG635</f>
        <v/>
      </c>
      <c r="BP634" s="82">
        <f>$AJ634-$AJ635</f>
        <v/>
      </c>
    </row>
    <row r="635">
      <c r="AR635" s="81">
        <f>($G635+($H635-$G635)*0.5)+($P635-($O635+($Q635-$O635)*0.5))</f>
        <v/>
      </c>
      <c r="AS635" s="81">
        <f>($J635+($K635-$J635)*0.5)+($T635-($S635+($U635-$S635)*0.5))</f>
        <v/>
      </c>
      <c r="AT635" s="82">
        <f>($J635-$C635)*100</f>
        <v/>
      </c>
      <c r="AU635" s="82">
        <f>($H635-$F635)*100</f>
        <v/>
      </c>
      <c r="AV635" s="82">
        <f>($J635-$F635)*100</f>
        <v/>
      </c>
      <c r="AW635" s="82">
        <f>($L635-$F635)*100</f>
        <v/>
      </c>
      <c r="AX635" s="82">
        <f>($J635-$H635)*100</f>
        <v/>
      </c>
      <c r="AY635" s="82">
        <f>($L635-$H635)*100</f>
        <v/>
      </c>
      <c r="AZ635" s="82">
        <f>($L635-$J635)*100</f>
        <v/>
      </c>
      <c r="BA635" s="82">
        <f>(2*$H635-$F635-$J635)*100</f>
        <v/>
      </c>
      <c r="BB635" s="82">
        <f>(2*$J635-$H635-$L635)*100</f>
        <v/>
      </c>
      <c r="BC635" s="82">
        <f>($N635-$F635)*100</f>
        <v/>
      </c>
      <c r="BD635" s="82">
        <f>($Q635-$H635)*100</f>
        <v/>
      </c>
      <c r="BE635" s="82">
        <f>($S635-$J635)*100</f>
        <v/>
      </c>
      <c r="BF635" s="82">
        <f>($V635-$L635)*100</f>
        <v/>
      </c>
      <c r="BG635" s="82">
        <f>$AG635-$AF635</f>
        <v/>
      </c>
      <c r="BH635" s="81">
        <f>IFERROR($AG635/$AF635,"")</f>
        <v/>
      </c>
      <c r="BI635" s="82">
        <f>$AJ635-$AF635</f>
        <v/>
      </c>
      <c r="BJ635" s="81">
        <f>IFERROR($AJ635/$AG635,"")</f>
        <v/>
      </c>
      <c r="BK635" s="81">
        <f>$X635</f>
        <v/>
      </c>
      <c r="BL635" s="82">
        <f>($J635-$J636)*100</f>
        <v/>
      </c>
      <c r="BM635" s="82">
        <f>($F635-$F636)*100</f>
        <v/>
      </c>
      <c r="BN635" s="82">
        <f>$AF635-$AF636</f>
        <v/>
      </c>
      <c r="BO635" s="82">
        <f>$AG635-$AG636</f>
        <v/>
      </c>
      <c r="BP635" s="82">
        <f>$AJ635-$AJ636</f>
        <v/>
      </c>
    </row>
    <row r="636">
      <c r="AR636" s="81">
        <f>($G636+($H636-$G636)*0.5)+($P636-($O636+($Q636-$O636)*0.5))</f>
        <v/>
      </c>
      <c r="AS636" s="81">
        <f>($J636+($K636-$J636)*0.5)+($T636-($S636+($U636-$S636)*0.5))</f>
        <v/>
      </c>
      <c r="AT636" s="82">
        <f>($J636-$C636)*100</f>
        <v/>
      </c>
      <c r="AU636" s="82">
        <f>($H636-$F636)*100</f>
        <v/>
      </c>
      <c r="AV636" s="82">
        <f>($J636-$F636)*100</f>
        <v/>
      </c>
      <c r="AW636" s="82">
        <f>($L636-$F636)*100</f>
        <v/>
      </c>
      <c r="AX636" s="82">
        <f>($J636-$H636)*100</f>
        <v/>
      </c>
      <c r="AY636" s="82">
        <f>($L636-$H636)*100</f>
        <v/>
      </c>
      <c r="AZ636" s="82">
        <f>($L636-$J636)*100</f>
        <v/>
      </c>
      <c r="BA636" s="82">
        <f>(2*$H636-$F636-$J636)*100</f>
        <v/>
      </c>
      <c r="BB636" s="82">
        <f>(2*$J636-$H636-$L636)*100</f>
        <v/>
      </c>
      <c r="BC636" s="82">
        <f>($N636-$F636)*100</f>
        <v/>
      </c>
      <c r="BD636" s="82">
        <f>($Q636-$H636)*100</f>
        <v/>
      </c>
      <c r="BE636" s="82">
        <f>($S636-$J636)*100</f>
        <v/>
      </c>
      <c r="BF636" s="82">
        <f>($V636-$L636)*100</f>
        <v/>
      </c>
      <c r="BG636" s="82">
        <f>$AG636-$AF636</f>
        <v/>
      </c>
      <c r="BH636" s="81">
        <f>IFERROR($AG636/$AF636,"")</f>
        <v/>
      </c>
      <c r="BI636" s="82">
        <f>$AJ636-$AF636</f>
        <v/>
      </c>
      <c r="BJ636" s="81">
        <f>IFERROR($AJ636/$AG636,"")</f>
        <v/>
      </c>
      <c r="BK636" s="81">
        <f>$X636</f>
        <v/>
      </c>
      <c r="BL636" s="82">
        <f>($J636-$J637)*100</f>
        <v/>
      </c>
      <c r="BM636" s="82">
        <f>($F636-$F637)*100</f>
        <v/>
      </c>
      <c r="BN636" s="82">
        <f>$AF636-$AF637</f>
        <v/>
      </c>
      <c r="BO636" s="82">
        <f>$AG636-$AG637</f>
        <v/>
      </c>
      <c r="BP636" s="82">
        <f>$AJ636-$AJ637</f>
        <v/>
      </c>
    </row>
    <row r="637">
      <c r="AR637" s="81">
        <f>($G637+($H637-$G637)*0.5)+($P637-($O637+($Q637-$O637)*0.5))</f>
        <v/>
      </c>
      <c r="AS637" s="81">
        <f>($J637+($K637-$J637)*0.5)+($T637-($S637+($U637-$S637)*0.5))</f>
        <v/>
      </c>
      <c r="AT637" s="82">
        <f>($J637-$C637)*100</f>
        <v/>
      </c>
      <c r="AU637" s="82">
        <f>($H637-$F637)*100</f>
        <v/>
      </c>
      <c r="AV637" s="82">
        <f>($J637-$F637)*100</f>
        <v/>
      </c>
      <c r="AW637" s="82">
        <f>($L637-$F637)*100</f>
        <v/>
      </c>
      <c r="AX637" s="82">
        <f>($J637-$H637)*100</f>
        <v/>
      </c>
      <c r="AY637" s="82">
        <f>($L637-$H637)*100</f>
        <v/>
      </c>
      <c r="AZ637" s="82">
        <f>($L637-$J637)*100</f>
        <v/>
      </c>
      <c r="BA637" s="82">
        <f>(2*$H637-$F637-$J637)*100</f>
        <v/>
      </c>
      <c r="BB637" s="82">
        <f>(2*$J637-$H637-$L637)*100</f>
        <v/>
      </c>
      <c r="BC637" s="82">
        <f>($N637-$F637)*100</f>
        <v/>
      </c>
      <c r="BD637" s="82">
        <f>($Q637-$H637)*100</f>
        <v/>
      </c>
      <c r="BE637" s="82">
        <f>($S637-$J637)*100</f>
        <v/>
      </c>
      <c r="BF637" s="82">
        <f>($V637-$L637)*100</f>
        <v/>
      </c>
      <c r="BG637" s="82">
        <f>$AG637-$AF637</f>
        <v/>
      </c>
      <c r="BH637" s="81">
        <f>IFERROR($AG637/$AF637,"")</f>
        <v/>
      </c>
      <c r="BI637" s="82">
        <f>$AJ637-$AF637</f>
        <v/>
      </c>
      <c r="BJ637" s="81">
        <f>IFERROR($AJ637/$AG637,"")</f>
        <v/>
      </c>
      <c r="BK637" s="81">
        <f>$X637</f>
        <v/>
      </c>
      <c r="BL637" s="82">
        <f>($J637-$J638)*100</f>
        <v/>
      </c>
      <c r="BM637" s="82">
        <f>($F637-$F638)*100</f>
        <v/>
      </c>
      <c r="BN637" s="82">
        <f>$AF637-$AF638</f>
        <v/>
      </c>
      <c r="BO637" s="82">
        <f>$AG637-$AG638</f>
        <v/>
      </c>
      <c r="BP637" s="82">
        <f>$AJ637-$AJ638</f>
        <v/>
      </c>
    </row>
    <row r="638">
      <c r="AR638" s="81">
        <f>($G638+($H638-$G638)*0.5)+($P638-($O638+($Q638-$O638)*0.5))</f>
        <v/>
      </c>
      <c r="AS638" s="81">
        <f>($J638+($K638-$J638)*0.5)+($T638-($S638+($U638-$S638)*0.5))</f>
        <v/>
      </c>
      <c r="AT638" s="82">
        <f>($J638-$C638)*100</f>
        <v/>
      </c>
      <c r="AU638" s="82">
        <f>($H638-$F638)*100</f>
        <v/>
      </c>
      <c r="AV638" s="82">
        <f>($J638-$F638)*100</f>
        <v/>
      </c>
      <c r="AW638" s="82">
        <f>($L638-$F638)*100</f>
        <v/>
      </c>
      <c r="AX638" s="82">
        <f>($J638-$H638)*100</f>
        <v/>
      </c>
      <c r="AY638" s="82">
        <f>($L638-$H638)*100</f>
        <v/>
      </c>
      <c r="AZ638" s="82">
        <f>($L638-$J638)*100</f>
        <v/>
      </c>
      <c r="BA638" s="82">
        <f>(2*$H638-$F638-$J638)*100</f>
        <v/>
      </c>
      <c r="BB638" s="82">
        <f>(2*$J638-$H638-$L638)*100</f>
        <v/>
      </c>
      <c r="BC638" s="82">
        <f>($N638-$F638)*100</f>
        <v/>
      </c>
      <c r="BD638" s="82">
        <f>($Q638-$H638)*100</f>
        <v/>
      </c>
      <c r="BE638" s="82">
        <f>($S638-$J638)*100</f>
        <v/>
      </c>
      <c r="BF638" s="82">
        <f>($V638-$L638)*100</f>
        <v/>
      </c>
      <c r="BG638" s="82">
        <f>$AG638-$AF638</f>
        <v/>
      </c>
      <c r="BH638" s="81">
        <f>IFERROR($AG638/$AF638,"")</f>
        <v/>
      </c>
      <c r="BI638" s="82">
        <f>$AJ638-$AF638</f>
        <v/>
      </c>
      <c r="BJ638" s="81">
        <f>IFERROR($AJ638/$AG638,"")</f>
        <v/>
      </c>
      <c r="BK638" s="81">
        <f>$X638</f>
        <v/>
      </c>
      <c r="BL638" s="82">
        <f>($J638-$J639)*100</f>
        <v/>
      </c>
      <c r="BM638" s="82">
        <f>($F638-$F639)*100</f>
        <v/>
      </c>
      <c r="BN638" s="82">
        <f>$AF638-$AF639</f>
        <v/>
      </c>
      <c r="BO638" s="82">
        <f>$AG638-$AG639</f>
        <v/>
      </c>
      <c r="BP638" s="82">
        <f>$AJ638-$AJ639</f>
        <v/>
      </c>
    </row>
    <row r="639">
      <c r="AR639" s="81">
        <f>($G639+($H639-$G639)*0.5)+($P639-($O639+($Q639-$O639)*0.5))</f>
        <v/>
      </c>
      <c r="AS639" s="81">
        <f>($J639+($K639-$J639)*0.5)+($T639-($S639+($U639-$S639)*0.5))</f>
        <v/>
      </c>
      <c r="AT639" s="82">
        <f>($J639-$C639)*100</f>
        <v/>
      </c>
      <c r="AU639" s="82">
        <f>($H639-$F639)*100</f>
        <v/>
      </c>
      <c r="AV639" s="82">
        <f>($J639-$F639)*100</f>
        <v/>
      </c>
      <c r="AW639" s="82">
        <f>($L639-$F639)*100</f>
        <v/>
      </c>
      <c r="AX639" s="82">
        <f>($J639-$H639)*100</f>
        <v/>
      </c>
      <c r="AY639" s="82">
        <f>($L639-$H639)*100</f>
        <v/>
      </c>
      <c r="AZ639" s="82">
        <f>($L639-$J639)*100</f>
        <v/>
      </c>
      <c r="BA639" s="82">
        <f>(2*$H639-$F639-$J639)*100</f>
        <v/>
      </c>
      <c r="BB639" s="82">
        <f>(2*$J639-$H639-$L639)*100</f>
        <v/>
      </c>
      <c r="BC639" s="82">
        <f>($N639-$F639)*100</f>
        <v/>
      </c>
      <c r="BD639" s="82">
        <f>($Q639-$H639)*100</f>
        <v/>
      </c>
      <c r="BE639" s="82">
        <f>($S639-$J639)*100</f>
        <v/>
      </c>
      <c r="BF639" s="82">
        <f>($V639-$L639)*100</f>
        <v/>
      </c>
      <c r="BG639" s="82">
        <f>$AG639-$AF639</f>
        <v/>
      </c>
      <c r="BH639" s="81">
        <f>IFERROR($AG639/$AF639,"")</f>
        <v/>
      </c>
      <c r="BI639" s="82">
        <f>$AJ639-$AF639</f>
        <v/>
      </c>
      <c r="BJ639" s="81">
        <f>IFERROR($AJ639/$AG639,"")</f>
        <v/>
      </c>
      <c r="BK639" s="81">
        <f>$X639</f>
        <v/>
      </c>
      <c r="BL639" s="82">
        <f>($J639-$J640)*100</f>
        <v/>
      </c>
      <c r="BM639" s="82">
        <f>($F639-$F640)*100</f>
        <v/>
      </c>
      <c r="BN639" s="82">
        <f>$AF639-$AF640</f>
        <v/>
      </c>
      <c r="BO639" s="82">
        <f>$AG639-$AG640</f>
        <v/>
      </c>
      <c r="BP639" s="82">
        <f>$AJ639-$AJ640</f>
        <v/>
      </c>
    </row>
    <row r="640">
      <c r="AR640" s="81">
        <f>($G640+($H640-$G640)*0.5)+($P640-($O640+($Q640-$O640)*0.5))</f>
        <v/>
      </c>
      <c r="AS640" s="81">
        <f>($J640+($K640-$J640)*0.5)+($T640-($S640+($U640-$S640)*0.5))</f>
        <v/>
      </c>
      <c r="AT640" s="82">
        <f>($J640-$C640)*100</f>
        <v/>
      </c>
      <c r="AU640" s="82">
        <f>($H640-$F640)*100</f>
        <v/>
      </c>
      <c r="AV640" s="82">
        <f>($J640-$F640)*100</f>
        <v/>
      </c>
      <c r="AW640" s="82">
        <f>($L640-$F640)*100</f>
        <v/>
      </c>
      <c r="AX640" s="82">
        <f>($J640-$H640)*100</f>
        <v/>
      </c>
      <c r="AY640" s="82">
        <f>($L640-$H640)*100</f>
        <v/>
      </c>
      <c r="AZ640" s="82">
        <f>($L640-$J640)*100</f>
        <v/>
      </c>
      <c r="BA640" s="82">
        <f>(2*$H640-$F640-$J640)*100</f>
        <v/>
      </c>
      <c r="BB640" s="82">
        <f>(2*$J640-$H640-$L640)*100</f>
        <v/>
      </c>
      <c r="BC640" s="82">
        <f>($N640-$F640)*100</f>
        <v/>
      </c>
      <c r="BD640" s="82">
        <f>($Q640-$H640)*100</f>
        <v/>
      </c>
      <c r="BE640" s="82">
        <f>($S640-$J640)*100</f>
        <v/>
      </c>
      <c r="BF640" s="82">
        <f>($V640-$L640)*100</f>
        <v/>
      </c>
      <c r="BG640" s="82">
        <f>$AG640-$AF640</f>
        <v/>
      </c>
      <c r="BH640" s="81">
        <f>IFERROR($AG640/$AF640,"")</f>
        <v/>
      </c>
      <c r="BI640" s="82">
        <f>$AJ640-$AF640</f>
        <v/>
      </c>
      <c r="BJ640" s="81">
        <f>IFERROR($AJ640/$AG640,"")</f>
        <v/>
      </c>
      <c r="BK640" s="81">
        <f>$X640</f>
        <v/>
      </c>
      <c r="BL640" s="82">
        <f>($J640-$J641)*100</f>
        <v/>
      </c>
      <c r="BM640" s="82">
        <f>($F640-$F641)*100</f>
        <v/>
      </c>
      <c r="BN640" s="82">
        <f>$AF640-$AF641</f>
        <v/>
      </c>
      <c r="BO640" s="82">
        <f>$AG640-$AG641</f>
        <v/>
      </c>
      <c r="BP640" s="82">
        <f>$AJ640-$AJ641</f>
        <v/>
      </c>
    </row>
    <row r="641">
      <c r="AR641" s="81">
        <f>($G641+($H641-$G641)*0.5)+($P641-($O641+($Q641-$O641)*0.5))</f>
        <v/>
      </c>
      <c r="AS641" s="81">
        <f>($J641+($K641-$J641)*0.5)+($T641-($S641+($U641-$S641)*0.5))</f>
        <v/>
      </c>
      <c r="AT641" s="82">
        <f>($J641-$C641)*100</f>
        <v/>
      </c>
      <c r="AU641" s="82">
        <f>($H641-$F641)*100</f>
        <v/>
      </c>
      <c r="AV641" s="82">
        <f>($J641-$F641)*100</f>
        <v/>
      </c>
      <c r="AW641" s="82">
        <f>($L641-$F641)*100</f>
        <v/>
      </c>
      <c r="AX641" s="82">
        <f>($J641-$H641)*100</f>
        <v/>
      </c>
      <c r="AY641" s="82">
        <f>($L641-$H641)*100</f>
        <v/>
      </c>
      <c r="AZ641" s="82">
        <f>($L641-$J641)*100</f>
        <v/>
      </c>
      <c r="BA641" s="82">
        <f>(2*$H641-$F641-$J641)*100</f>
        <v/>
      </c>
      <c r="BB641" s="82">
        <f>(2*$J641-$H641-$L641)*100</f>
        <v/>
      </c>
      <c r="BC641" s="82">
        <f>($N641-$F641)*100</f>
        <v/>
      </c>
      <c r="BD641" s="82">
        <f>($Q641-$H641)*100</f>
        <v/>
      </c>
      <c r="BE641" s="82">
        <f>($S641-$J641)*100</f>
        <v/>
      </c>
      <c r="BF641" s="82">
        <f>($V641-$L641)*100</f>
        <v/>
      </c>
      <c r="BG641" s="82">
        <f>$AG641-$AF641</f>
        <v/>
      </c>
      <c r="BH641" s="81">
        <f>IFERROR($AG641/$AF641,"")</f>
        <v/>
      </c>
      <c r="BI641" s="82">
        <f>$AJ641-$AF641</f>
        <v/>
      </c>
      <c r="BJ641" s="81">
        <f>IFERROR($AJ641/$AG641,"")</f>
        <v/>
      </c>
      <c r="BK641" s="81">
        <f>$X641</f>
        <v/>
      </c>
      <c r="BL641" s="82">
        <f>($J641-$J642)*100</f>
        <v/>
      </c>
      <c r="BM641" s="82">
        <f>($F641-$F642)*100</f>
        <v/>
      </c>
      <c r="BN641" s="82">
        <f>$AF641-$AF642</f>
        <v/>
      </c>
      <c r="BO641" s="82">
        <f>$AG641-$AG642</f>
        <v/>
      </c>
      <c r="BP641" s="82">
        <f>$AJ641-$AJ642</f>
        <v/>
      </c>
    </row>
    <row r="642">
      <c r="AR642" s="81">
        <f>($G642+($H642-$G642)*0.5)+($P642-($O642+($Q642-$O642)*0.5))</f>
        <v/>
      </c>
      <c r="AS642" s="81">
        <f>($J642+($K642-$J642)*0.5)+($T642-($S642+($U642-$S642)*0.5))</f>
        <v/>
      </c>
      <c r="AT642" s="82">
        <f>($J642-$C642)*100</f>
        <v/>
      </c>
      <c r="AU642" s="82">
        <f>($H642-$F642)*100</f>
        <v/>
      </c>
      <c r="AV642" s="82">
        <f>($J642-$F642)*100</f>
        <v/>
      </c>
      <c r="AW642" s="82">
        <f>($L642-$F642)*100</f>
        <v/>
      </c>
      <c r="AX642" s="82">
        <f>($J642-$H642)*100</f>
        <v/>
      </c>
      <c r="AY642" s="82">
        <f>($L642-$H642)*100</f>
        <v/>
      </c>
      <c r="AZ642" s="82">
        <f>($L642-$J642)*100</f>
        <v/>
      </c>
      <c r="BA642" s="82">
        <f>(2*$H642-$F642-$J642)*100</f>
        <v/>
      </c>
      <c r="BB642" s="82">
        <f>(2*$J642-$H642-$L642)*100</f>
        <v/>
      </c>
      <c r="BC642" s="82">
        <f>($N642-$F642)*100</f>
        <v/>
      </c>
      <c r="BD642" s="82">
        <f>($Q642-$H642)*100</f>
        <v/>
      </c>
      <c r="BE642" s="82">
        <f>($S642-$J642)*100</f>
        <v/>
      </c>
      <c r="BF642" s="82">
        <f>($V642-$L642)*100</f>
        <v/>
      </c>
      <c r="BG642" s="82">
        <f>$AG642-$AF642</f>
        <v/>
      </c>
      <c r="BH642" s="81">
        <f>IFERROR($AG642/$AF642,"")</f>
        <v/>
      </c>
      <c r="BI642" s="82">
        <f>$AJ642-$AF642</f>
        <v/>
      </c>
      <c r="BJ642" s="81">
        <f>IFERROR($AJ642/$AG642,"")</f>
        <v/>
      </c>
      <c r="BK642" s="81">
        <f>$X642</f>
        <v/>
      </c>
      <c r="BL642" s="82">
        <f>($J642-$J643)*100</f>
        <v/>
      </c>
      <c r="BM642" s="82">
        <f>($F642-$F643)*100</f>
        <v/>
      </c>
      <c r="BN642" s="82">
        <f>$AF642-$AF643</f>
        <v/>
      </c>
      <c r="BO642" s="82">
        <f>$AG642-$AG643</f>
        <v/>
      </c>
      <c r="BP642" s="82">
        <f>$AJ642-$AJ643</f>
        <v/>
      </c>
    </row>
    <row r="643">
      <c r="AR643" s="81">
        <f>($G643+($H643-$G643)*0.5)+($P643-($O643+($Q643-$O643)*0.5))</f>
        <v/>
      </c>
      <c r="AS643" s="81">
        <f>($J643+($K643-$J643)*0.5)+($T643-($S643+($U643-$S643)*0.5))</f>
        <v/>
      </c>
      <c r="AT643" s="82">
        <f>($J643-$C643)*100</f>
        <v/>
      </c>
      <c r="AU643" s="82">
        <f>($H643-$F643)*100</f>
        <v/>
      </c>
      <c r="AV643" s="82">
        <f>($J643-$F643)*100</f>
        <v/>
      </c>
      <c r="AW643" s="82">
        <f>($L643-$F643)*100</f>
        <v/>
      </c>
      <c r="AX643" s="82">
        <f>($J643-$H643)*100</f>
        <v/>
      </c>
      <c r="AY643" s="82">
        <f>($L643-$H643)*100</f>
        <v/>
      </c>
      <c r="AZ643" s="82">
        <f>($L643-$J643)*100</f>
        <v/>
      </c>
      <c r="BA643" s="82">
        <f>(2*$H643-$F643-$J643)*100</f>
        <v/>
      </c>
      <c r="BB643" s="82">
        <f>(2*$J643-$H643-$L643)*100</f>
        <v/>
      </c>
      <c r="BC643" s="82">
        <f>($N643-$F643)*100</f>
        <v/>
      </c>
      <c r="BD643" s="82">
        <f>($Q643-$H643)*100</f>
        <v/>
      </c>
      <c r="BE643" s="82">
        <f>($S643-$J643)*100</f>
        <v/>
      </c>
      <c r="BF643" s="82">
        <f>($V643-$L643)*100</f>
        <v/>
      </c>
      <c r="BG643" s="82">
        <f>$AG643-$AF643</f>
        <v/>
      </c>
      <c r="BH643" s="81">
        <f>IFERROR($AG643/$AF643,"")</f>
        <v/>
      </c>
      <c r="BI643" s="82">
        <f>$AJ643-$AF643</f>
        <v/>
      </c>
      <c r="BJ643" s="81">
        <f>IFERROR($AJ643/$AG643,"")</f>
        <v/>
      </c>
      <c r="BK643" s="81">
        <f>$X643</f>
        <v/>
      </c>
      <c r="BL643" s="82">
        <f>($J643-$J644)*100</f>
        <v/>
      </c>
      <c r="BM643" s="82">
        <f>($F643-$F644)*100</f>
        <v/>
      </c>
      <c r="BN643" s="82">
        <f>$AF643-$AF644</f>
        <v/>
      </c>
      <c r="BO643" s="82">
        <f>$AG643-$AG644</f>
        <v/>
      </c>
      <c r="BP643" s="82">
        <f>$AJ643-$AJ644</f>
        <v/>
      </c>
    </row>
    <row r="644">
      <c r="AR644" s="81">
        <f>($G644+($H644-$G644)*0.5)+($P644-($O644+($Q644-$O644)*0.5))</f>
        <v/>
      </c>
      <c r="AS644" s="81">
        <f>($J644+($K644-$J644)*0.5)+($T644-($S644+($U644-$S644)*0.5))</f>
        <v/>
      </c>
      <c r="AT644" s="82">
        <f>($J644-$C644)*100</f>
        <v/>
      </c>
      <c r="AU644" s="82">
        <f>($H644-$F644)*100</f>
        <v/>
      </c>
      <c r="AV644" s="82">
        <f>($J644-$F644)*100</f>
        <v/>
      </c>
      <c r="AW644" s="82">
        <f>($L644-$F644)*100</f>
        <v/>
      </c>
      <c r="AX644" s="82">
        <f>($J644-$H644)*100</f>
        <v/>
      </c>
      <c r="AY644" s="82">
        <f>($L644-$H644)*100</f>
        <v/>
      </c>
      <c r="AZ644" s="82">
        <f>($L644-$J644)*100</f>
        <v/>
      </c>
      <c r="BA644" s="82">
        <f>(2*$H644-$F644-$J644)*100</f>
        <v/>
      </c>
      <c r="BB644" s="82">
        <f>(2*$J644-$H644-$L644)*100</f>
        <v/>
      </c>
      <c r="BC644" s="82">
        <f>($N644-$F644)*100</f>
        <v/>
      </c>
      <c r="BD644" s="82">
        <f>($Q644-$H644)*100</f>
        <v/>
      </c>
      <c r="BE644" s="82">
        <f>($S644-$J644)*100</f>
        <v/>
      </c>
      <c r="BF644" s="82">
        <f>($V644-$L644)*100</f>
        <v/>
      </c>
      <c r="BG644" s="82">
        <f>$AG644-$AF644</f>
        <v/>
      </c>
      <c r="BH644" s="81">
        <f>IFERROR($AG644/$AF644,"")</f>
        <v/>
      </c>
      <c r="BI644" s="82">
        <f>$AJ644-$AF644</f>
        <v/>
      </c>
      <c r="BJ644" s="81">
        <f>IFERROR($AJ644/$AG644,"")</f>
        <v/>
      </c>
      <c r="BK644" s="81">
        <f>$X644</f>
        <v/>
      </c>
      <c r="BL644" s="82">
        <f>($J644-$J645)*100</f>
        <v/>
      </c>
      <c r="BM644" s="82">
        <f>($F644-$F645)*100</f>
        <v/>
      </c>
      <c r="BN644" s="82">
        <f>$AF644-$AF645</f>
        <v/>
      </c>
      <c r="BO644" s="82">
        <f>$AG644-$AG645</f>
        <v/>
      </c>
      <c r="BP644" s="82">
        <f>$AJ644-$AJ645</f>
        <v/>
      </c>
    </row>
    <row r="645">
      <c r="AR645" s="81">
        <f>($G645+($H645-$G645)*0.5)+($P645-($O645+($Q645-$O645)*0.5))</f>
        <v/>
      </c>
      <c r="AS645" s="81">
        <f>($J645+($K645-$J645)*0.5)+($T645-($S645+($U645-$S645)*0.5))</f>
        <v/>
      </c>
      <c r="AT645" s="82">
        <f>($J645-$C645)*100</f>
        <v/>
      </c>
      <c r="AU645" s="82">
        <f>($H645-$F645)*100</f>
        <v/>
      </c>
      <c r="AV645" s="82">
        <f>($J645-$F645)*100</f>
        <v/>
      </c>
      <c r="AW645" s="82">
        <f>($L645-$F645)*100</f>
        <v/>
      </c>
      <c r="AX645" s="82">
        <f>($J645-$H645)*100</f>
        <v/>
      </c>
      <c r="AY645" s="82">
        <f>($L645-$H645)*100</f>
        <v/>
      </c>
      <c r="AZ645" s="82">
        <f>($L645-$J645)*100</f>
        <v/>
      </c>
      <c r="BA645" s="82">
        <f>(2*$H645-$F645-$J645)*100</f>
        <v/>
      </c>
      <c r="BB645" s="82">
        <f>(2*$J645-$H645-$L645)*100</f>
        <v/>
      </c>
      <c r="BC645" s="82">
        <f>($N645-$F645)*100</f>
        <v/>
      </c>
      <c r="BD645" s="82">
        <f>($Q645-$H645)*100</f>
        <v/>
      </c>
      <c r="BE645" s="82">
        <f>($S645-$J645)*100</f>
        <v/>
      </c>
      <c r="BF645" s="82">
        <f>($V645-$L645)*100</f>
        <v/>
      </c>
      <c r="BG645" s="82">
        <f>$AG645-$AF645</f>
        <v/>
      </c>
      <c r="BH645" s="81">
        <f>IFERROR($AG645/$AF645,"")</f>
        <v/>
      </c>
      <c r="BI645" s="82">
        <f>$AJ645-$AF645</f>
        <v/>
      </c>
      <c r="BJ645" s="81">
        <f>IFERROR($AJ645/$AG645,"")</f>
        <v/>
      </c>
      <c r="BK645" s="81">
        <f>$X645</f>
        <v/>
      </c>
      <c r="BL645" s="82">
        <f>($J645-$J646)*100</f>
        <v/>
      </c>
      <c r="BM645" s="82">
        <f>($F645-$F646)*100</f>
        <v/>
      </c>
      <c r="BN645" s="82">
        <f>$AF645-$AF646</f>
        <v/>
      </c>
      <c r="BO645" s="82">
        <f>$AG645-$AG646</f>
        <v/>
      </c>
      <c r="BP645" s="82">
        <f>$AJ645-$AJ646</f>
        <v/>
      </c>
    </row>
    <row r="646">
      <c r="AR646" s="81">
        <f>($G646+($H646-$G646)*0.5)+($P646-($O646+($Q646-$O646)*0.5))</f>
        <v/>
      </c>
      <c r="AS646" s="81">
        <f>($J646+($K646-$J646)*0.5)+($T646-($S646+($U646-$S646)*0.5))</f>
        <v/>
      </c>
      <c r="AT646" s="82">
        <f>($J646-$C646)*100</f>
        <v/>
      </c>
      <c r="AU646" s="82">
        <f>($H646-$F646)*100</f>
        <v/>
      </c>
      <c r="AV646" s="82">
        <f>($J646-$F646)*100</f>
        <v/>
      </c>
      <c r="AW646" s="82">
        <f>($L646-$F646)*100</f>
        <v/>
      </c>
      <c r="AX646" s="82">
        <f>($J646-$H646)*100</f>
        <v/>
      </c>
      <c r="AY646" s="82">
        <f>($L646-$H646)*100</f>
        <v/>
      </c>
      <c r="AZ646" s="82">
        <f>($L646-$J646)*100</f>
        <v/>
      </c>
      <c r="BA646" s="82">
        <f>(2*$H646-$F646-$J646)*100</f>
        <v/>
      </c>
      <c r="BB646" s="82">
        <f>(2*$J646-$H646-$L646)*100</f>
        <v/>
      </c>
      <c r="BC646" s="82">
        <f>($N646-$F646)*100</f>
        <v/>
      </c>
      <c r="BD646" s="82">
        <f>($Q646-$H646)*100</f>
        <v/>
      </c>
      <c r="BE646" s="82">
        <f>($S646-$J646)*100</f>
        <v/>
      </c>
      <c r="BF646" s="82">
        <f>($V646-$L646)*100</f>
        <v/>
      </c>
      <c r="BG646" s="82">
        <f>$AG646-$AF646</f>
        <v/>
      </c>
      <c r="BH646" s="81">
        <f>IFERROR($AG646/$AF646,"")</f>
        <v/>
      </c>
      <c r="BI646" s="82">
        <f>$AJ646-$AF646</f>
        <v/>
      </c>
      <c r="BJ646" s="81">
        <f>IFERROR($AJ646/$AG646,"")</f>
        <v/>
      </c>
      <c r="BK646" s="81">
        <f>$X646</f>
        <v/>
      </c>
      <c r="BL646" s="82">
        <f>($J646-$J647)*100</f>
        <v/>
      </c>
      <c r="BM646" s="82">
        <f>($F646-$F647)*100</f>
        <v/>
      </c>
      <c r="BN646" s="82">
        <f>$AF646-$AF647</f>
        <v/>
      </c>
      <c r="BO646" s="82">
        <f>$AG646-$AG647</f>
        <v/>
      </c>
      <c r="BP646" s="82">
        <f>$AJ646-$AJ647</f>
        <v/>
      </c>
    </row>
    <row r="647">
      <c r="AR647" s="81">
        <f>($G647+($H647-$G647)*0.5)+($P647-($O647+($Q647-$O647)*0.5))</f>
        <v/>
      </c>
      <c r="AS647" s="81">
        <f>($J647+($K647-$J647)*0.5)+($T647-($S647+($U647-$S647)*0.5))</f>
        <v/>
      </c>
      <c r="AT647" s="82">
        <f>($J647-$C647)*100</f>
        <v/>
      </c>
      <c r="AU647" s="82">
        <f>($H647-$F647)*100</f>
        <v/>
      </c>
      <c r="AV647" s="82">
        <f>($J647-$F647)*100</f>
        <v/>
      </c>
      <c r="AW647" s="82">
        <f>($L647-$F647)*100</f>
        <v/>
      </c>
      <c r="AX647" s="82">
        <f>($J647-$H647)*100</f>
        <v/>
      </c>
      <c r="AY647" s="82">
        <f>($L647-$H647)*100</f>
        <v/>
      </c>
      <c r="AZ647" s="82">
        <f>($L647-$J647)*100</f>
        <v/>
      </c>
      <c r="BA647" s="82">
        <f>(2*$H647-$F647-$J647)*100</f>
        <v/>
      </c>
      <c r="BB647" s="82">
        <f>(2*$J647-$H647-$L647)*100</f>
        <v/>
      </c>
      <c r="BC647" s="82">
        <f>($N647-$F647)*100</f>
        <v/>
      </c>
      <c r="BD647" s="82">
        <f>($Q647-$H647)*100</f>
        <v/>
      </c>
      <c r="BE647" s="82">
        <f>($S647-$J647)*100</f>
        <v/>
      </c>
      <c r="BF647" s="82">
        <f>($V647-$L647)*100</f>
        <v/>
      </c>
      <c r="BG647" s="82">
        <f>$AG647-$AF647</f>
        <v/>
      </c>
      <c r="BH647" s="81">
        <f>IFERROR($AG647/$AF647,"")</f>
        <v/>
      </c>
      <c r="BI647" s="82">
        <f>$AJ647-$AF647</f>
        <v/>
      </c>
      <c r="BJ647" s="81">
        <f>IFERROR($AJ647/$AG647,"")</f>
        <v/>
      </c>
      <c r="BK647" s="81">
        <f>$X647</f>
        <v/>
      </c>
      <c r="BL647" s="82">
        <f>($J647-$J648)*100</f>
        <v/>
      </c>
      <c r="BM647" s="82">
        <f>($F647-$F648)*100</f>
        <v/>
      </c>
      <c r="BN647" s="82">
        <f>$AF647-$AF648</f>
        <v/>
      </c>
      <c r="BO647" s="82">
        <f>$AG647-$AG648</f>
        <v/>
      </c>
      <c r="BP647" s="82">
        <f>$AJ647-$AJ648</f>
        <v/>
      </c>
    </row>
    <row r="648">
      <c r="AR648" s="81">
        <f>($G648+($H648-$G648)*0.5)+($P648-($O648+($Q648-$O648)*0.5))</f>
        <v/>
      </c>
      <c r="AS648" s="81">
        <f>($J648+($K648-$J648)*0.5)+($T648-($S648+($U648-$S648)*0.5))</f>
        <v/>
      </c>
      <c r="AT648" s="82">
        <f>($J648-$C648)*100</f>
        <v/>
      </c>
      <c r="AU648" s="82">
        <f>($H648-$F648)*100</f>
        <v/>
      </c>
      <c r="AV648" s="82">
        <f>($J648-$F648)*100</f>
        <v/>
      </c>
      <c r="AW648" s="82">
        <f>($L648-$F648)*100</f>
        <v/>
      </c>
      <c r="AX648" s="82">
        <f>($J648-$H648)*100</f>
        <v/>
      </c>
      <c r="AY648" s="82">
        <f>($L648-$H648)*100</f>
        <v/>
      </c>
      <c r="AZ648" s="82">
        <f>($L648-$J648)*100</f>
        <v/>
      </c>
      <c r="BA648" s="82">
        <f>(2*$H648-$F648-$J648)*100</f>
        <v/>
      </c>
      <c r="BB648" s="82">
        <f>(2*$J648-$H648-$L648)*100</f>
        <v/>
      </c>
      <c r="BC648" s="82">
        <f>($N648-$F648)*100</f>
        <v/>
      </c>
      <c r="BD648" s="82">
        <f>($Q648-$H648)*100</f>
        <v/>
      </c>
      <c r="BE648" s="82">
        <f>($S648-$J648)*100</f>
        <v/>
      </c>
      <c r="BF648" s="82">
        <f>($V648-$L648)*100</f>
        <v/>
      </c>
      <c r="BG648" s="82">
        <f>$AG648-$AF648</f>
        <v/>
      </c>
      <c r="BH648" s="81">
        <f>IFERROR($AG648/$AF648,"")</f>
        <v/>
      </c>
      <c r="BI648" s="82">
        <f>$AJ648-$AF648</f>
        <v/>
      </c>
      <c r="BJ648" s="81">
        <f>IFERROR($AJ648/$AG648,"")</f>
        <v/>
      </c>
      <c r="BK648" s="81">
        <f>$X648</f>
        <v/>
      </c>
      <c r="BL648" s="82">
        <f>($J648-$J649)*100</f>
        <v/>
      </c>
      <c r="BM648" s="82">
        <f>($F648-$F649)*100</f>
        <v/>
      </c>
      <c r="BN648" s="82">
        <f>$AF648-$AF649</f>
        <v/>
      </c>
      <c r="BO648" s="82">
        <f>$AG648-$AG649</f>
        <v/>
      </c>
      <c r="BP648" s="82">
        <f>$AJ648-$AJ649</f>
        <v/>
      </c>
    </row>
    <row r="649">
      <c r="AR649" s="81">
        <f>($G649+($H649-$G649)*0.5)+($P649-($O649+($Q649-$O649)*0.5))</f>
        <v/>
      </c>
      <c r="AS649" s="81">
        <f>($J649+($K649-$J649)*0.5)+($T649-($S649+($U649-$S649)*0.5))</f>
        <v/>
      </c>
      <c r="AT649" s="82">
        <f>($J649-$C649)*100</f>
        <v/>
      </c>
      <c r="AU649" s="82">
        <f>($H649-$F649)*100</f>
        <v/>
      </c>
      <c r="AV649" s="82">
        <f>($J649-$F649)*100</f>
        <v/>
      </c>
      <c r="AW649" s="82">
        <f>($L649-$F649)*100</f>
        <v/>
      </c>
      <c r="AX649" s="82">
        <f>($J649-$H649)*100</f>
        <v/>
      </c>
      <c r="AY649" s="82">
        <f>($L649-$H649)*100</f>
        <v/>
      </c>
      <c r="AZ649" s="82">
        <f>($L649-$J649)*100</f>
        <v/>
      </c>
      <c r="BA649" s="82">
        <f>(2*$H649-$F649-$J649)*100</f>
        <v/>
      </c>
      <c r="BB649" s="82">
        <f>(2*$J649-$H649-$L649)*100</f>
        <v/>
      </c>
      <c r="BC649" s="82">
        <f>($N649-$F649)*100</f>
        <v/>
      </c>
      <c r="BD649" s="82">
        <f>($Q649-$H649)*100</f>
        <v/>
      </c>
      <c r="BE649" s="82">
        <f>($S649-$J649)*100</f>
        <v/>
      </c>
      <c r="BF649" s="82">
        <f>($V649-$L649)*100</f>
        <v/>
      </c>
      <c r="BG649" s="82">
        <f>$AG649-$AF649</f>
        <v/>
      </c>
      <c r="BH649" s="81">
        <f>IFERROR($AG649/$AF649,"")</f>
        <v/>
      </c>
      <c r="BI649" s="82">
        <f>$AJ649-$AF649</f>
        <v/>
      </c>
      <c r="BJ649" s="81">
        <f>IFERROR($AJ649/$AG649,"")</f>
        <v/>
      </c>
      <c r="BK649" s="81">
        <f>$X649</f>
        <v/>
      </c>
      <c r="BL649" s="82">
        <f>($J649-$J650)*100</f>
        <v/>
      </c>
      <c r="BM649" s="82">
        <f>($F649-$F650)*100</f>
        <v/>
      </c>
      <c r="BN649" s="82">
        <f>$AF649-$AF650</f>
        <v/>
      </c>
      <c r="BO649" s="82">
        <f>$AG649-$AG650</f>
        <v/>
      </c>
      <c r="BP649" s="82">
        <f>$AJ649-$AJ650</f>
        <v/>
      </c>
    </row>
    <row r="650">
      <c r="AR650" s="81">
        <f>($G650+($H650-$G650)*0.5)+($P650-($O650+($Q650-$O650)*0.5))</f>
        <v/>
      </c>
      <c r="AS650" s="81">
        <f>($J650+($K650-$J650)*0.5)+($T650-($S650+($U650-$S650)*0.5))</f>
        <v/>
      </c>
      <c r="AT650" s="82">
        <f>($J650-$C650)*100</f>
        <v/>
      </c>
      <c r="AU650" s="82">
        <f>($H650-$F650)*100</f>
        <v/>
      </c>
      <c r="AV650" s="82">
        <f>($J650-$F650)*100</f>
        <v/>
      </c>
      <c r="AW650" s="82">
        <f>($L650-$F650)*100</f>
        <v/>
      </c>
      <c r="AX650" s="82">
        <f>($J650-$H650)*100</f>
        <v/>
      </c>
      <c r="AY650" s="82">
        <f>($L650-$H650)*100</f>
        <v/>
      </c>
      <c r="AZ650" s="82">
        <f>($L650-$J650)*100</f>
        <v/>
      </c>
      <c r="BA650" s="82">
        <f>(2*$H650-$F650-$J650)*100</f>
        <v/>
      </c>
      <c r="BB650" s="82">
        <f>(2*$J650-$H650-$L650)*100</f>
        <v/>
      </c>
      <c r="BC650" s="82">
        <f>($N650-$F650)*100</f>
        <v/>
      </c>
      <c r="BD650" s="82">
        <f>($Q650-$H650)*100</f>
        <v/>
      </c>
      <c r="BE650" s="82">
        <f>($S650-$J650)*100</f>
        <v/>
      </c>
      <c r="BF650" s="82">
        <f>($V650-$L650)*100</f>
        <v/>
      </c>
      <c r="BG650" s="82">
        <f>$AG650-$AF650</f>
        <v/>
      </c>
      <c r="BH650" s="81">
        <f>IFERROR($AG650/$AF650,"")</f>
        <v/>
      </c>
      <c r="BI650" s="82">
        <f>$AJ650-$AF650</f>
        <v/>
      </c>
      <c r="BJ650" s="81">
        <f>IFERROR($AJ650/$AG650,"")</f>
        <v/>
      </c>
      <c r="BK650" s="81">
        <f>$X650</f>
        <v/>
      </c>
      <c r="BL650" s="82">
        <f>($J650-$J651)*100</f>
        <v/>
      </c>
      <c r="BM650" s="82">
        <f>($F650-$F651)*100</f>
        <v/>
      </c>
      <c r="BN650" s="82">
        <f>$AF650-$AF651</f>
        <v/>
      </c>
      <c r="BO650" s="82">
        <f>$AG650-$AG651</f>
        <v/>
      </c>
      <c r="BP650" s="82">
        <f>$AJ650-$AJ651</f>
        <v/>
      </c>
    </row>
    <row r="651">
      <c r="AR651" s="81">
        <f>($G651+($H651-$G651)*0.5)+($P651-($O651+($Q651-$O651)*0.5))</f>
        <v/>
      </c>
      <c r="AS651" s="81">
        <f>($J651+($K651-$J651)*0.5)+($T651-($S651+($U651-$S651)*0.5))</f>
        <v/>
      </c>
      <c r="AT651" s="82">
        <f>($J651-$C651)*100</f>
        <v/>
      </c>
      <c r="AU651" s="82">
        <f>($H651-$F651)*100</f>
        <v/>
      </c>
      <c r="AV651" s="82">
        <f>($J651-$F651)*100</f>
        <v/>
      </c>
      <c r="AW651" s="82">
        <f>($L651-$F651)*100</f>
        <v/>
      </c>
      <c r="AX651" s="82">
        <f>($J651-$H651)*100</f>
        <v/>
      </c>
      <c r="AY651" s="82">
        <f>($L651-$H651)*100</f>
        <v/>
      </c>
      <c r="AZ651" s="82">
        <f>($L651-$J651)*100</f>
        <v/>
      </c>
      <c r="BA651" s="82">
        <f>(2*$H651-$F651-$J651)*100</f>
        <v/>
      </c>
      <c r="BB651" s="82">
        <f>(2*$J651-$H651-$L651)*100</f>
        <v/>
      </c>
      <c r="BC651" s="82">
        <f>($N651-$F651)*100</f>
        <v/>
      </c>
      <c r="BD651" s="82">
        <f>($Q651-$H651)*100</f>
        <v/>
      </c>
      <c r="BE651" s="82">
        <f>($S651-$J651)*100</f>
        <v/>
      </c>
      <c r="BF651" s="82">
        <f>($V651-$L651)*100</f>
        <v/>
      </c>
      <c r="BG651" s="82">
        <f>$AG651-$AF651</f>
        <v/>
      </c>
      <c r="BH651" s="81">
        <f>IFERROR($AG651/$AF651,"")</f>
        <v/>
      </c>
      <c r="BI651" s="82">
        <f>$AJ651-$AF651</f>
        <v/>
      </c>
      <c r="BJ651" s="81">
        <f>IFERROR($AJ651/$AG651,"")</f>
        <v/>
      </c>
      <c r="BK651" s="81">
        <f>$X651</f>
        <v/>
      </c>
      <c r="BL651" s="82">
        <f>($J651-$J652)*100</f>
        <v/>
      </c>
      <c r="BM651" s="82">
        <f>($F651-$F652)*100</f>
        <v/>
      </c>
      <c r="BN651" s="82">
        <f>$AF651-$AF652</f>
        <v/>
      </c>
      <c r="BO651" s="82">
        <f>$AG651-$AG652</f>
        <v/>
      </c>
      <c r="BP651" s="82">
        <f>$AJ651-$AJ652</f>
        <v/>
      </c>
    </row>
    <row r="652">
      <c r="AR652" s="81">
        <f>($G652+($H652-$G652)*0.5)+($P652-($O652+($Q652-$O652)*0.5))</f>
        <v/>
      </c>
      <c r="AS652" s="81">
        <f>($J652+($K652-$J652)*0.5)+($T652-($S652+($U652-$S652)*0.5))</f>
        <v/>
      </c>
      <c r="AT652" s="82">
        <f>($J652-$C652)*100</f>
        <v/>
      </c>
      <c r="AU652" s="82">
        <f>($H652-$F652)*100</f>
        <v/>
      </c>
      <c r="AV652" s="82">
        <f>($J652-$F652)*100</f>
        <v/>
      </c>
      <c r="AW652" s="82">
        <f>($L652-$F652)*100</f>
        <v/>
      </c>
      <c r="AX652" s="82">
        <f>($J652-$H652)*100</f>
        <v/>
      </c>
      <c r="AY652" s="82">
        <f>($L652-$H652)*100</f>
        <v/>
      </c>
      <c r="AZ652" s="82">
        <f>($L652-$J652)*100</f>
        <v/>
      </c>
      <c r="BA652" s="82">
        <f>(2*$H652-$F652-$J652)*100</f>
        <v/>
      </c>
      <c r="BB652" s="82">
        <f>(2*$J652-$H652-$L652)*100</f>
        <v/>
      </c>
      <c r="BC652" s="82">
        <f>($N652-$F652)*100</f>
        <v/>
      </c>
      <c r="BD652" s="82">
        <f>($Q652-$H652)*100</f>
        <v/>
      </c>
      <c r="BE652" s="82">
        <f>($S652-$J652)*100</f>
        <v/>
      </c>
      <c r="BF652" s="82">
        <f>($V652-$L652)*100</f>
        <v/>
      </c>
      <c r="BG652" s="82">
        <f>$AG652-$AF652</f>
        <v/>
      </c>
      <c r="BH652" s="81">
        <f>IFERROR($AG652/$AF652,"")</f>
        <v/>
      </c>
      <c r="BI652" s="82">
        <f>$AJ652-$AF652</f>
        <v/>
      </c>
      <c r="BJ652" s="81">
        <f>IFERROR($AJ652/$AG652,"")</f>
        <v/>
      </c>
      <c r="BK652" s="81">
        <f>$X652</f>
        <v/>
      </c>
      <c r="BL652" s="82">
        <f>($J652-$J653)*100</f>
        <v/>
      </c>
      <c r="BM652" s="82">
        <f>($F652-$F653)*100</f>
        <v/>
      </c>
      <c r="BN652" s="82">
        <f>$AF652-$AF653</f>
        <v/>
      </c>
      <c r="BO652" s="82">
        <f>$AG652-$AG653</f>
        <v/>
      </c>
      <c r="BP652" s="82">
        <f>$AJ652-$AJ653</f>
        <v/>
      </c>
    </row>
    <row r="653">
      <c r="AR653" s="81">
        <f>($G653+($H653-$G653)*0.5)+($P653-($O653+($Q653-$O653)*0.5))</f>
        <v/>
      </c>
      <c r="AS653" s="81">
        <f>($J653+($K653-$J653)*0.5)+($T653-($S653+($U653-$S653)*0.5))</f>
        <v/>
      </c>
      <c r="AT653" s="82">
        <f>($J653-$C653)*100</f>
        <v/>
      </c>
      <c r="AU653" s="82">
        <f>($H653-$F653)*100</f>
        <v/>
      </c>
      <c r="AV653" s="82">
        <f>($J653-$F653)*100</f>
        <v/>
      </c>
      <c r="AW653" s="82">
        <f>($L653-$F653)*100</f>
        <v/>
      </c>
      <c r="AX653" s="82">
        <f>($J653-$H653)*100</f>
        <v/>
      </c>
      <c r="AY653" s="82">
        <f>($L653-$H653)*100</f>
        <v/>
      </c>
      <c r="AZ653" s="82">
        <f>($L653-$J653)*100</f>
        <v/>
      </c>
      <c r="BA653" s="82">
        <f>(2*$H653-$F653-$J653)*100</f>
        <v/>
      </c>
      <c r="BB653" s="82">
        <f>(2*$J653-$H653-$L653)*100</f>
        <v/>
      </c>
      <c r="BC653" s="82">
        <f>($N653-$F653)*100</f>
        <v/>
      </c>
      <c r="BD653" s="82">
        <f>($Q653-$H653)*100</f>
        <v/>
      </c>
      <c r="BE653" s="82">
        <f>($S653-$J653)*100</f>
        <v/>
      </c>
      <c r="BF653" s="82">
        <f>($V653-$L653)*100</f>
        <v/>
      </c>
      <c r="BG653" s="82">
        <f>$AG653-$AF653</f>
        <v/>
      </c>
      <c r="BH653" s="81">
        <f>IFERROR($AG653/$AF653,"")</f>
        <v/>
      </c>
      <c r="BI653" s="82">
        <f>$AJ653-$AF653</f>
        <v/>
      </c>
      <c r="BJ653" s="81">
        <f>IFERROR($AJ653/$AG653,"")</f>
        <v/>
      </c>
      <c r="BK653" s="81">
        <f>$X653</f>
        <v/>
      </c>
      <c r="BL653" s="82">
        <f>($J653-$J654)*100</f>
        <v/>
      </c>
      <c r="BM653" s="82">
        <f>($F653-$F654)*100</f>
        <v/>
      </c>
      <c r="BN653" s="82">
        <f>$AF653-$AF654</f>
        <v/>
      </c>
      <c r="BO653" s="82">
        <f>$AG653-$AG654</f>
        <v/>
      </c>
      <c r="BP653" s="82">
        <f>$AJ653-$AJ654</f>
        <v/>
      </c>
    </row>
    <row r="654">
      <c r="AR654" s="81">
        <f>($G654+($H654-$G654)*0.5)+($P654-($O654+($Q654-$O654)*0.5))</f>
        <v/>
      </c>
      <c r="AS654" s="81">
        <f>($J654+($K654-$J654)*0.5)+($T654-($S654+($U654-$S654)*0.5))</f>
        <v/>
      </c>
      <c r="AT654" s="82">
        <f>($J654-$C654)*100</f>
        <v/>
      </c>
      <c r="AU654" s="82">
        <f>($H654-$F654)*100</f>
        <v/>
      </c>
      <c r="AV654" s="82">
        <f>($J654-$F654)*100</f>
        <v/>
      </c>
      <c r="AW654" s="82">
        <f>($L654-$F654)*100</f>
        <v/>
      </c>
      <c r="AX654" s="82">
        <f>($J654-$H654)*100</f>
        <v/>
      </c>
      <c r="AY654" s="82">
        <f>($L654-$H654)*100</f>
        <v/>
      </c>
      <c r="AZ654" s="82">
        <f>($L654-$J654)*100</f>
        <v/>
      </c>
      <c r="BA654" s="82">
        <f>(2*$H654-$F654-$J654)*100</f>
        <v/>
      </c>
      <c r="BB654" s="82">
        <f>(2*$J654-$H654-$L654)*100</f>
        <v/>
      </c>
      <c r="BC654" s="82">
        <f>($N654-$F654)*100</f>
        <v/>
      </c>
      <c r="BD654" s="82">
        <f>($Q654-$H654)*100</f>
        <v/>
      </c>
      <c r="BE654" s="82">
        <f>($S654-$J654)*100</f>
        <v/>
      </c>
      <c r="BF654" s="82">
        <f>($V654-$L654)*100</f>
        <v/>
      </c>
      <c r="BG654" s="82">
        <f>$AG654-$AF654</f>
        <v/>
      </c>
      <c r="BH654" s="81">
        <f>IFERROR($AG654/$AF654,"")</f>
        <v/>
      </c>
      <c r="BI654" s="82">
        <f>$AJ654-$AF654</f>
        <v/>
      </c>
      <c r="BJ654" s="81">
        <f>IFERROR($AJ654/$AG654,"")</f>
        <v/>
      </c>
      <c r="BK654" s="81">
        <f>$X654</f>
        <v/>
      </c>
      <c r="BL654" s="82">
        <f>($J654-$J655)*100</f>
        <v/>
      </c>
      <c r="BM654" s="82">
        <f>($F654-$F655)*100</f>
        <v/>
      </c>
      <c r="BN654" s="82">
        <f>$AF654-$AF655</f>
        <v/>
      </c>
      <c r="BO654" s="82">
        <f>$AG654-$AG655</f>
        <v/>
      </c>
      <c r="BP654" s="82">
        <f>$AJ654-$AJ655</f>
        <v/>
      </c>
    </row>
    <row r="655">
      <c r="AR655" s="81">
        <f>($G655+($H655-$G655)*0.5)+($P655-($O655+($Q655-$O655)*0.5))</f>
        <v/>
      </c>
      <c r="AS655" s="81">
        <f>($J655+($K655-$J655)*0.5)+($T655-($S655+($U655-$S655)*0.5))</f>
        <v/>
      </c>
      <c r="AT655" s="82">
        <f>($J655-$C655)*100</f>
        <v/>
      </c>
      <c r="AU655" s="82">
        <f>($H655-$F655)*100</f>
        <v/>
      </c>
      <c r="AV655" s="82">
        <f>($J655-$F655)*100</f>
        <v/>
      </c>
      <c r="AW655" s="82">
        <f>($L655-$F655)*100</f>
        <v/>
      </c>
      <c r="AX655" s="82">
        <f>($J655-$H655)*100</f>
        <v/>
      </c>
      <c r="AY655" s="82">
        <f>($L655-$H655)*100</f>
        <v/>
      </c>
      <c r="AZ655" s="82">
        <f>($L655-$J655)*100</f>
        <v/>
      </c>
      <c r="BA655" s="82">
        <f>(2*$H655-$F655-$J655)*100</f>
        <v/>
      </c>
      <c r="BB655" s="82">
        <f>(2*$J655-$H655-$L655)*100</f>
        <v/>
      </c>
      <c r="BC655" s="82">
        <f>($N655-$F655)*100</f>
        <v/>
      </c>
      <c r="BD655" s="82">
        <f>($Q655-$H655)*100</f>
        <v/>
      </c>
      <c r="BE655" s="82">
        <f>($S655-$J655)*100</f>
        <v/>
      </c>
      <c r="BF655" s="82">
        <f>($V655-$L655)*100</f>
        <v/>
      </c>
      <c r="BG655" s="82">
        <f>$AG655-$AF655</f>
        <v/>
      </c>
      <c r="BH655" s="81">
        <f>IFERROR($AG655/$AF655,"")</f>
        <v/>
      </c>
      <c r="BI655" s="82">
        <f>$AJ655-$AF655</f>
        <v/>
      </c>
      <c r="BJ655" s="81">
        <f>IFERROR($AJ655/$AG655,"")</f>
        <v/>
      </c>
      <c r="BK655" s="81">
        <f>$X655</f>
        <v/>
      </c>
      <c r="BL655" s="82">
        <f>($J655-$J656)*100</f>
        <v/>
      </c>
      <c r="BM655" s="82">
        <f>($F655-$F656)*100</f>
        <v/>
      </c>
      <c r="BN655" s="82">
        <f>$AF655-$AF656</f>
        <v/>
      </c>
      <c r="BO655" s="82">
        <f>$AG655-$AG656</f>
        <v/>
      </c>
      <c r="BP655" s="82">
        <f>$AJ655-$AJ656</f>
        <v/>
      </c>
    </row>
    <row r="656">
      <c r="AR656" s="81">
        <f>($G656+($H656-$G656)*0.5)+($P656-($O656+($Q656-$O656)*0.5))</f>
        <v/>
      </c>
      <c r="AS656" s="81">
        <f>($J656+($K656-$J656)*0.5)+($T656-($S656+($U656-$S656)*0.5))</f>
        <v/>
      </c>
      <c r="AT656" s="82">
        <f>($J656-$C656)*100</f>
        <v/>
      </c>
      <c r="AU656" s="82">
        <f>($H656-$F656)*100</f>
        <v/>
      </c>
      <c r="AV656" s="82">
        <f>($J656-$F656)*100</f>
        <v/>
      </c>
      <c r="AW656" s="82">
        <f>($L656-$F656)*100</f>
        <v/>
      </c>
      <c r="AX656" s="82">
        <f>($J656-$H656)*100</f>
        <v/>
      </c>
      <c r="AY656" s="82">
        <f>($L656-$H656)*100</f>
        <v/>
      </c>
      <c r="AZ656" s="82">
        <f>($L656-$J656)*100</f>
        <v/>
      </c>
      <c r="BA656" s="82">
        <f>(2*$H656-$F656-$J656)*100</f>
        <v/>
      </c>
      <c r="BB656" s="82">
        <f>(2*$J656-$H656-$L656)*100</f>
        <v/>
      </c>
      <c r="BC656" s="82">
        <f>($N656-$F656)*100</f>
        <v/>
      </c>
      <c r="BD656" s="82">
        <f>($Q656-$H656)*100</f>
        <v/>
      </c>
      <c r="BE656" s="82">
        <f>($S656-$J656)*100</f>
        <v/>
      </c>
      <c r="BF656" s="82">
        <f>($V656-$L656)*100</f>
        <v/>
      </c>
      <c r="BG656" s="82">
        <f>$AG656-$AF656</f>
        <v/>
      </c>
      <c r="BH656" s="81">
        <f>IFERROR($AG656/$AF656,"")</f>
        <v/>
      </c>
      <c r="BI656" s="82">
        <f>$AJ656-$AF656</f>
        <v/>
      </c>
      <c r="BJ656" s="81">
        <f>IFERROR($AJ656/$AG656,"")</f>
        <v/>
      </c>
      <c r="BK656" s="81">
        <f>$X656</f>
        <v/>
      </c>
      <c r="BL656" s="82">
        <f>($J656-$J657)*100</f>
        <v/>
      </c>
      <c r="BM656" s="82">
        <f>($F656-$F657)*100</f>
        <v/>
      </c>
      <c r="BN656" s="82">
        <f>$AF656-$AF657</f>
        <v/>
      </c>
      <c r="BO656" s="82">
        <f>$AG656-$AG657</f>
        <v/>
      </c>
      <c r="BP656" s="82">
        <f>$AJ656-$AJ657</f>
        <v/>
      </c>
    </row>
    <row r="657">
      <c r="AR657" s="81">
        <f>($G657+($H657-$G657)*0.5)+($P657-($O657+($Q657-$O657)*0.5))</f>
        <v/>
      </c>
      <c r="AS657" s="81">
        <f>($J657+($K657-$J657)*0.5)+($T657-($S657+($U657-$S657)*0.5))</f>
        <v/>
      </c>
      <c r="AT657" s="82">
        <f>($J657-$C657)*100</f>
        <v/>
      </c>
      <c r="AU657" s="82">
        <f>($H657-$F657)*100</f>
        <v/>
      </c>
      <c r="AV657" s="82">
        <f>($J657-$F657)*100</f>
        <v/>
      </c>
      <c r="AW657" s="82">
        <f>($L657-$F657)*100</f>
        <v/>
      </c>
      <c r="AX657" s="82">
        <f>($J657-$H657)*100</f>
        <v/>
      </c>
      <c r="AY657" s="82">
        <f>($L657-$H657)*100</f>
        <v/>
      </c>
      <c r="AZ657" s="82">
        <f>($L657-$J657)*100</f>
        <v/>
      </c>
      <c r="BA657" s="82">
        <f>(2*$H657-$F657-$J657)*100</f>
        <v/>
      </c>
      <c r="BB657" s="82">
        <f>(2*$J657-$H657-$L657)*100</f>
        <v/>
      </c>
      <c r="BC657" s="82">
        <f>($N657-$F657)*100</f>
        <v/>
      </c>
      <c r="BD657" s="82">
        <f>($Q657-$H657)*100</f>
        <v/>
      </c>
      <c r="BE657" s="82">
        <f>($S657-$J657)*100</f>
        <v/>
      </c>
      <c r="BF657" s="82">
        <f>($V657-$L657)*100</f>
        <v/>
      </c>
      <c r="BG657" s="82">
        <f>$AG657-$AF657</f>
        <v/>
      </c>
      <c r="BH657" s="81">
        <f>IFERROR($AG657/$AF657,"")</f>
        <v/>
      </c>
      <c r="BI657" s="82">
        <f>$AJ657-$AF657</f>
        <v/>
      </c>
      <c r="BJ657" s="81">
        <f>IFERROR($AJ657/$AG657,"")</f>
        <v/>
      </c>
      <c r="BK657" s="81">
        <f>$X657</f>
        <v/>
      </c>
      <c r="BL657" s="82">
        <f>($J657-$J658)*100</f>
        <v/>
      </c>
      <c r="BM657" s="82">
        <f>($F657-$F658)*100</f>
        <v/>
      </c>
      <c r="BN657" s="82">
        <f>$AF657-$AF658</f>
        <v/>
      </c>
      <c r="BO657" s="82">
        <f>$AG657-$AG658</f>
        <v/>
      </c>
      <c r="BP657" s="82">
        <f>$AJ657-$AJ658</f>
        <v/>
      </c>
    </row>
    <row r="658">
      <c r="AR658" s="81">
        <f>($G658+($H658-$G658)*0.5)+($P658-($O658+($Q658-$O658)*0.5))</f>
        <v/>
      </c>
      <c r="AS658" s="81">
        <f>($J658+($K658-$J658)*0.5)+($T658-($S658+($U658-$S658)*0.5))</f>
        <v/>
      </c>
      <c r="AT658" s="82">
        <f>($J658-$C658)*100</f>
        <v/>
      </c>
      <c r="AU658" s="82">
        <f>($H658-$F658)*100</f>
        <v/>
      </c>
      <c r="AV658" s="82">
        <f>($J658-$F658)*100</f>
        <v/>
      </c>
      <c r="AW658" s="82">
        <f>($L658-$F658)*100</f>
        <v/>
      </c>
      <c r="AX658" s="82">
        <f>($J658-$H658)*100</f>
        <v/>
      </c>
      <c r="AY658" s="82">
        <f>($L658-$H658)*100</f>
        <v/>
      </c>
      <c r="AZ658" s="82">
        <f>($L658-$J658)*100</f>
        <v/>
      </c>
      <c r="BA658" s="82">
        <f>(2*$H658-$F658-$J658)*100</f>
        <v/>
      </c>
      <c r="BB658" s="82">
        <f>(2*$J658-$H658-$L658)*100</f>
        <v/>
      </c>
      <c r="BC658" s="82">
        <f>($N658-$F658)*100</f>
        <v/>
      </c>
      <c r="BD658" s="82">
        <f>($Q658-$H658)*100</f>
        <v/>
      </c>
      <c r="BE658" s="82">
        <f>($S658-$J658)*100</f>
        <v/>
      </c>
      <c r="BF658" s="82">
        <f>($V658-$L658)*100</f>
        <v/>
      </c>
      <c r="BG658" s="82">
        <f>$AG658-$AF658</f>
        <v/>
      </c>
      <c r="BH658" s="81">
        <f>IFERROR($AG658/$AF658,"")</f>
        <v/>
      </c>
      <c r="BI658" s="82">
        <f>$AJ658-$AF658</f>
        <v/>
      </c>
      <c r="BJ658" s="81">
        <f>IFERROR($AJ658/$AG658,"")</f>
        <v/>
      </c>
      <c r="BK658" s="81">
        <f>$X658</f>
        <v/>
      </c>
      <c r="BL658" s="82">
        <f>($J658-$J659)*100</f>
        <v/>
      </c>
      <c r="BM658" s="82">
        <f>($F658-$F659)*100</f>
        <v/>
      </c>
      <c r="BN658" s="82">
        <f>$AF658-$AF659</f>
        <v/>
      </c>
      <c r="BO658" s="82">
        <f>$AG658-$AG659</f>
        <v/>
      </c>
      <c r="BP658" s="82">
        <f>$AJ658-$AJ659</f>
        <v/>
      </c>
    </row>
    <row r="659">
      <c r="AR659" s="81">
        <f>($G659+($H659-$G659)*0.5)+($P659-($O659+($Q659-$O659)*0.5))</f>
        <v/>
      </c>
      <c r="AS659" s="81">
        <f>($J659+($K659-$J659)*0.5)+($T659-($S659+($U659-$S659)*0.5))</f>
        <v/>
      </c>
      <c r="AT659" s="82">
        <f>($J659-$C659)*100</f>
        <v/>
      </c>
      <c r="AU659" s="82">
        <f>($H659-$F659)*100</f>
        <v/>
      </c>
      <c r="AV659" s="82">
        <f>($J659-$F659)*100</f>
        <v/>
      </c>
      <c r="AW659" s="82">
        <f>($L659-$F659)*100</f>
        <v/>
      </c>
      <c r="AX659" s="82">
        <f>($J659-$H659)*100</f>
        <v/>
      </c>
      <c r="AY659" s="82">
        <f>($L659-$H659)*100</f>
        <v/>
      </c>
      <c r="AZ659" s="82">
        <f>($L659-$J659)*100</f>
        <v/>
      </c>
      <c r="BA659" s="82">
        <f>(2*$H659-$F659-$J659)*100</f>
        <v/>
      </c>
      <c r="BB659" s="82">
        <f>(2*$J659-$H659-$L659)*100</f>
        <v/>
      </c>
      <c r="BC659" s="82">
        <f>($N659-$F659)*100</f>
        <v/>
      </c>
      <c r="BD659" s="82">
        <f>($Q659-$H659)*100</f>
        <v/>
      </c>
      <c r="BE659" s="82">
        <f>($S659-$J659)*100</f>
        <v/>
      </c>
      <c r="BF659" s="82">
        <f>($V659-$L659)*100</f>
        <v/>
      </c>
      <c r="BG659" s="82">
        <f>$AG659-$AF659</f>
        <v/>
      </c>
      <c r="BH659" s="81">
        <f>IFERROR($AG659/$AF659,"")</f>
        <v/>
      </c>
      <c r="BI659" s="82">
        <f>$AJ659-$AF659</f>
        <v/>
      </c>
      <c r="BJ659" s="81">
        <f>IFERROR($AJ659/$AG659,"")</f>
        <v/>
      </c>
      <c r="BK659" s="81">
        <f>$X659</f>
        <v/>
      </c>
      <c r="BL659" s="82">
        <f>($J659-$J660)*100</f>
        <v/>
      </c>
      <c r="BM659" s="82">
        <f>($F659-$F660)*100</f>
        <v/>
      </c>
      <c r="BN659" s="82">
        <f>$AF659-$AF660</f>
        <v/>
      </c>
      <c r="BO659" s="82">
        <f>$AG659-$AG660</f>
        <v/>
      </c>
      <c r="BP659" s="82">
        <f>$AJ659-$AJ660</f>
        <v/>
      </c>
    </row>
    <row r="660">
      <c r="AR660" s="81">
        <f>($G660+($H660-$G660)*0.5)+($P660-($O660+($Q660-$O660)*0.5))</f>
        <v/>
      </c>
      <c r="AS660" s="81">
        <f>($J660+($K660-$J660)*0.5)+($T660-($S660+($U660-$S660)*0.5))</f>
        <v/>
      </c>
      <c r="AT660" s="82">
        <f>($J660-$C660)*100</f>
        <v/>
      </c>
      <c r="AU660" s="82">
        <f>($H660-$F660)*100</f>
        <v/>
      </c>
      <c r="AV660" s="82">
        <f>($J660-$F660)*100</f>
        <v/>
      </c>
      <c r="AW660" s="82">
        <f>($L660-$F660)*100</f>
        <v/>
      </c>
      <c r="AX660" s="82">
        <f>($J660-$H660)*100</f>
        <v/>
      </c>
      <c r="AY660" s="82">
        <f>($L660-$H660)*100</f>
        <v/>
      </c>
      <c r="AZ660" s="82">
        <f>($L660-$J660)*100</f>
        <v/>
      </c>
      <c r="BA660" s="82">
        <f>(2*$H660-$F660-$J660)*100</f>
        <v/>
      </c>
      <c r="BB660" s="82">
        <f>(2*$J660-$H660-$L660)*100</f>
        <v/>
      </c>
      <c r="BC660" s="82">
        <f>($N660-$F660)*100</f>
        <v/>
      </c>
      <c r="BD660" s="82">
        <f>($Q660-$H660)*100</f>
        <v/>
      </c>
      <c r="BE660" s="82">
        <f>($S660-$J660)*100</f>
        <v/>
      </c>
      <c r="BF660" s="82">
        <f>($V660-$L660)*100</f>
        <v/>
      </c>
      <c r="BG660" s="82">
        <f>$AG660-$AF660</f>
        <v/>
      </c>
      <c r="BH660" s="81">
        <f>IFERROR($AG660/$AF660,"")</f>
        <v/>
      </c>
      <c r="BI660" s="82">
        <f>$AJ660-$AF660</f>
        <v/>
      </c>
      <c r="BJ660" s="81">
        <f>IFERROR($AJ660/$AG660,"")</f>
        <v/>
      </c>
      <c r="BK660" s="81">
        <f>$X660</f>
        <v/>
      </c>
      <c r="BL660" s="82">
        <f>($J660-$J661)*100</f>
        <v/>
      </c>
      <c r="BM660" s="82">
        <f>($F660-$F661)*100</f>
        <v/>
      </c>
      <c r="BN660" s="82">
        <f>$AF660-$AF661</f>
        <v/>
      </c>
      <c r="BO660" s="82">
        <f>$AG660-$AG661</f>
        <v/>
      </c>
      <c r="BP660" s="82">
        <f>$AJ660-$AJ661</f>
        <v/>
      </c>
    </row>
    <row r="661">
      <c r="AR661" s="81">
        <f>($G661+($H661-$G661)*0.5)+($P661-($O661+($Q661-$O661)*0.5))</f>
        <v/>
      </c>
      <c r="AS661" s="81">
        <f>($J661+($K661-$J661)*0.5)+($T661-($S661+($U661-$S661)*0.5))</f>
        <v/>
      </c>
      <c r="AT661" s="82">
        <f>($J661-$C661)*100</f>
        <v/>
      </c>
      <c r="AU661" s="82">
        <f>($H661-$F661)*100</f>
        <v/>
      </c>
      <c r="AV661" s="82">
        <f>($J661-$F661)*100</f>
        <v/>
      </c>
      <c r="AW661" s="82">
        <f>($L661-$F661)*100</f>
        <v/>
      </c>
      <c r="AX661" s="82">
        <f>($J661-$H661)*100</f>
        <v/>
      </c>
      <c r="AY661" s="82">
        <f>($L661-$H661)*100</f>
        <v/>
      </c>
      <c r="AZ661" s="82">
        <f>($L661-$J661)*100</f>
        <v/>
      </c>
      <c r="BA661" s="82">
        <f>(2*$H661-$F661-$J661)*100</f>
        <v/>
      </c>
      <c r="BB661" s="82">
        <f>(2*$J661-$H661-$L661)*100</f>
        <v/>
      </c>
      <c r="BC661" s="82">
        <f>($N661-$F661)*100</f>
        <v/>
      </c>
      <c r="BD661" s="82">
        <f>($Q661-$H661)*100</f>
        <v/>
      </c>
      <c r="BE661" s="82">
        <f>($S661-$J661)*100</f>
        <v/>
      </c>
      <c r="BF661" s="82">
        <f>($V661-$L661)*100</f>
        <v/>
      </c>
      <c r="BG661" s="82">
        <f>$AG661-$AF661</f>
        <v/>
      </c>
      <c r="BH661" s="81">
        <f>IFERROR($AG661/$AF661,"")</f>
        <v/>
      </c>
      <c r="BI661" s="82">
        <f>$AJ661-$AF661</f>
        <v/>
      </c>
      <c r="BJ661" s="81">
        <f>IFERROR($AJ661/$AG661,"")</f>
        <v/>
      </c>
      <c r="BK661" s="81">
        <f>$X661</f>
        <v/>
      </c>
      <c r="BL661" s="82">
        <f>($J661-$J662)*100</f>
        <v/>
      </c>
      <c r="BM661" s="82">
        <f>($F661-$F662)*100</f>
        <v/>
      </c>
      <c r="BN661" s="82">
        <f>$AF661-$AF662</f>
        <v/>
      </c>
      <c r="BO661" s="82">
        <f>$AG661-$AG662</f>
        <v/>
      </c>
      <c r="BP661" s="82">
        <f>$AJ661-$AJ662</f>
        <v/>
      </c>
    </row>
    <row r="662">
      <c r="AR662" s="81">
        <f>($G662+($H662-$G662)*0.5)+($P662-($O662+($Q662-$O662)*0.5))</f>
        <v/>
      </c>
      <c r="AS662" s="81">
        <f>($J662+($K662-$J662)*0.5)+($T662-($S662+($U662-$S662)*0.5))</f>
        <v/>
      </c>
      <c r="AT662" s="82">
        <f>($J662-$C662)*100</f>
        <v/>
      </c>
      <c r="AU662" s="82">
        <f>($H662-$F662)*100</f>
        <v/>
      </c>
      <c r="AV662" s="82">
        <f>($J662-$F662)*100</f>
        <v/>
      </c>
      <c r="AW662" s="82">
        <f>($L662-$F662)*100</f>
        <v/>
      </c>
      <c r="AX662" s="82">
        <f>($J662-$H662)*100</f>
        <v/>
      </c>
      <c r="AY662" s="82">
        <f>($L662-$H662)*100</f>
        <v/>
      </c>
      <c r="AZ662" s="82">
        <f>($L662-$J662)*100</f>
        <v/>
      </c>
      <c r="BA662" s="82">
        <f>(2*$H662-$F662-$J662)*100</f>
        <v/>
      </c>
      <c r="BB662" s="82">
        <f>(2*$J662-$H662-$L662)*100</f>
        <v/>
      </c>
      <c r="BC662" s="82">
        <f>($N662-$F662)*100</f>
        <v/>
      </c>
      <c r="BD662" s="82">
        <f>($Q662-$H662)*100</f>
        <v/>
      </c>
      <c r="BE662" s="82">
        <f>($S662-$J662)*100</f>
        <v/>
      </c>
      <c r="BF662" s="82">
        <f>($V662-$L662)*100</f>
        <v/>
      </c>
      <c r="BG662" s="82">
        <f>$AG662-$AF662</f>
        <v/>
      </c>
      <c r="BH662" s="81">
        <f>IFERROR($AG662/$AF662,"")</f>
        <v/>
      </c>
      <c r="BI662" s="82">
        <f>$AJ662-$AF662</f>
        <v/>
      </c>
      <c r="BJ662" s="81">
        <f>IFERROR($AJ662/$AG662,"")</f>
        <v/>
      </c>
      <c r="BK662" s="81">
        <f>$X662</f>
        <v/>
      </c>
      <c r="BL662" s="82">
        <f>($J662-$J663)*100</f>
        <v/>
      </c>
      <c r="BM662" s="82">
        <f>($F662-$F663)*100</f>
        <v/>
      </c>
      <c r="BN662" s="82">
        <f>$AF662-$AF663</f>
        <v/>
      </c>
      <c r="BO662" s="82">
        <f>$AG662-$AG663</f>
        <v/>
      </c>
      <c r="BP662" s="82">
        <f>$AJ662-$AJ663</f>
        <v/>
      </c>
    </row>
    <row r="663">
      <c r="AR663" s="81">
        <f>($G663+($H663-$G663)*0.5)+($P663-($O663+($Q663-$O663)*0.5))</f>
        <v/>
      </c>
      <c r="AS663" s="81">
        <f>($J663+($K663-$J663)*0.5)+($T663-($S663+($U663-$S663)*0.5))</f>
        <v/>
      </c>
      <c r="AT663" s="82">
        <f>($J663-$C663)*100</f>
        <v/>
      </c>
      <c r="AU663" s="82">
        <f>($H663-$F663)*100</f>
        <v/>
      </c>
      <c r="AV663" s="82">
        <f>($J663-$F663)*100</f>
        <v/>
      </c>
      <c r="AW663" s="82">
        <f>($L663-$F663)*100</f>
        <v/>
      </c>
      <c r="AX663" s="82">
        <f>($J663-$H663)*100</f>
        <v/>
      </c>
      <c r="AY663" s="82">
        <f>($L663-$H663)*100</f>
        <v/>
      </c>
      <c r="AZ663" s="82">
        <f>($L663-$J663)*100</f>
        <v/>
      </c>
      <c r="BA663" s="82">
        <f>(2*$H663-$F663-$J663)*100</f>
        <v/>
      </c>
      <c r="BB663" s="82">
        <f>(2*$J663-$H663-$L663)*100</f>
        <v/>
      </c>
      <c r="BC663" s="82">
        <f>($N663-$F663)*100</f>
        <v/>
      </c>
      <c r="BD663" s="82">
        <f>($Q663-$H663)*100</f>
        <v/>
      </c>
      <c r="BE663" s="82">
        <f>($S663-$J663)*100</f>
        <v/>
      </c>
      <c r="BF663" s="82">
        <f>($V663-$L663)*100</f>
        <v/>
      </c>
      <c r="BG663" s="82">
        <f>$AG663-$AF663</f>
        <v/>
      </c>
      <c r="BH663" s="81">
        <f>IFERROR($AG663/$AF663,"")</f>
        <v/>
      </c>
      <c r="BI663" s="82">
        <f>$AJ663-$AF663</f>
        <v/>
      </c>
      <c r="BJ663" s="81">
        <f>IFERROR($AJ663/$AG663,"")</f>
        <v/>
      </c>
      <c r="BK663" s="81">
        <f>$X663</f>
        <v/>
      </c>
      <c r="BL663" s="82">
        <f>($J663-$J664)*100</f>
        <v/>
      </c>
      <c r="BM663" s="82">
        <f>($F663-$F664)*100</f>
        <v/>
      </c>
      <c r="BN663" s="82">
        <f>$AF663-$AF664</f>
        <v/>
      </c>
      <c r="BO663" s="82">
        <f>$AG663-$AG664</f>
        <v/>
      </c>
      <c r="BP663" s="82">
        <f>$AJ663-$AJ664</f>
        <v/>
      </c>
    </row>
    <row r="664">
      <c r="AR664" s="81">
        <f>($G664+($H664-$G664)*0.5)+($P664-($O664+($Q664-$O664)*0.5))</f>
        <v/>
      </c>
      <c r="AS664" s="81">
        <f>($J664+($K664-$J664)*0.5)+($T664-($S664+($U664-$S664)*0.5))</f>
        <v/>
      </c>
      <c r="AT664" s="82">
        <f>($J664-$C664)*100</f>
        <v/>
      </c>
      <c r="AU664" s="82">
        <f>($H664-$F664)*100</f>
        <v/>
      </c>
      <c r="AV664" s="82">
        <f>($J664-$F664)*100</f>
        <v/>
      </c>
      <c r="AW664" s="82">
        <f>($L664-$F664)*100</f>
        <v/>
      </c>
      <c r="AX664" s="82">
        <f>($J664-$H664)*100</f>
        <v/>
      </c>
      <c r="AY664" s="82">
        <f>($L664-$H664)*100</f>
        <v/>
      </c>
      <c r="AZ664" s="82">
        <f>($L664-$J664)*100</f>
        <v/>
      </c>
      <c r="BA664" s="82">
        <f>(2*$H664-$F664-$J664)*100</f>
        <v/>
      </c>
      <c r="BB664" s="82">
        <f>(2*$J664-$H664-$L664)*100</f>
        <v/>
      </c>
      <c r="BC664" s="82">
        <f>($N664-$F664)*100</f>
        <v/>
      </c>
      <c r="BD664" s="82">
        <f>($Q664-$H664)*100</f>
        <v/>
      </c>
      <c r="BE664" s="82">
        <f>($S664-$J664)*100</f>
        <v/>
      </c>
      <c r="BF664" s="82">
        <f>($V664-$L664)*100</f>
        <v/>
      </c>
      <c r="BG664" s="82">
        <f>$AG664-$AF664</f>
        <v/>
      </c>
      <c r="BH664" s="81">
        <f>IFERROR($AG664/$AF664,"")</f>
        <v/>
      </c>
      <c r="BI664" s="82">
        <f>$AJ664-$AF664</f>
        <v/>
      </c>
      <c r="BJ664" s="81">
        <f>IFERROR($AJ664/$AG664,"")</f>
        <v/>
      </c>
      <c r="BK664" s="81">
        <f>$X664</f>
        <v/>
      </c>
      <c r="BL664" s="82">
        <f>($J664-$J665)*100</f>
        <v/>
      </c>
      <c r="BM664" s="82">
        <f>($F664-$F665)*100</f>
        <v/>
      </c>
      <c r="BN664" s="82">
        <f>$AF664-$AF665</f>
        <v/>
      </c>
      <c r="BO664" s="82">
        <f>$AG664-$AG665</f>
        <v/>
      </c>
      <c r="BP664" s="82">
        <f>$AJ664-$AJ665</f>
        <v/>
      </c>
    </row>
    <row r="665">
      <c r="AR665" s="81">
        <f>($G665+($H665-$G665)*0.5)+($P665-($O665+($Q665-$O665)*0.5))</f>
        <v/>
      </c>
      <c r="AS665" s="81">
        <f>($J665+($K665-$J665)*0.5)+($T665-($S665+($U665-$S665)*0.5))</f>
        <v/>
      </c>
      <c r="AT665" s="82">
        <f>($J665-$C665)*100</f>
        <v/>
      </c>
      <c r="AU665" s="82">
        <f>($H665-$F665)*100</f>
        <v/>
      </c>
      <c r="AV665" s="82">
        <f>($J665-$F665)*100</f>
        <v/>
      </c>
      <c r="AW665" s="82">
        <f>($L665-$F665)*100</f>
        <v/>
      </c>
      <c r="AX665" s="82">
        <f>($J665-$H665)*100</f>
        <v/>
      </c>
      <c r="AY665" s="82">
        <f>($L665-$H665)*100</f>
        <v/>
      </c>
      <c r="AZ665" s="82">
        <f>($L665-$J665)*100</f>
        <v/>
      </c>
      <c r="BA665" s="82">
        <f>(2*$H665-$F665-$J665)*100</f>
        <v/>
      </c>
      <c r="BB665" s="82">
        <f>(2*$J665-$H665-$L665)*100</f>
        <v/>
      </c>
      <c r="BC665" s="82">
        <f>($N665-$F665)*100</f>
        <v/>
      </c>
      <c r="BD665" s="82">
        <f>($Q665-$H665)*100</f>
        <v/>
      </c>
      <c r="BE665" s="82">
        <f>($S665-$J665)*100</f>
        <v/>
      </c>
      <c r="BF665" s="82">
        <f>($V665-$L665)*100</f>
        <v/>
      </c>
      <c r="BG665" s="82">
        <f>$AG665-$AF665</f>
        <v/>
      </c>
      <c r="BH665" s="81">
        <f>IFERROR($AG665/$AF665,"")</f>
        <v/>
      </c>
      <c r="BI665" s="82">
        <f>$AJ665-$AF665</f>
        <v/>
      </c>
      <c r="BJ665" s="81">
        <f>IFERROR($AJ665/$AG665,"")</f>
        <v/>
      </c>
      <c r="BK665" s="81">
        <f>$X665</f>
        <v/>
      </c>
      <c r="BL665" s="82">
        <f>($J665-$J666)*100</f>
        <v/>
      </c>
      <c r="BM665" s="82">
        <f>($F665-$F666)*100</f>
        <v/>
      </c>
      <c r="BN665" s="82">
        <f>$AF665-$AF666</f>
        <v/>
      </c>
      <c r="BO665" s="82">
        <f>$AG665-$AG666</f>
        <v/>
      </c>
      <c r="BP665" s="82">
        <f>$AJ665-$AJ666</f>
        <v/>
      </c>
    </row>
    <row r="666">
      <c r="AR666" s="81">
        <f>($G666+($H666-$G666)*0.5)+($P666-($O666+($Q666-$O666)*0.5))</f>
        <v/>
      </c>
      <c r="AS666" s="81">
        <f>($J666+($K666-$J666)*0.5)+($T666-($S666+($U666-$S666)*0.5))</f>
        <v/>
      </c>
      <c r="AT666" s="82">
        <f>($J666-$C666)*100</f>
        <v/>
      </c>
      <c r="AU666" s="82">
        <f>($H666-$F666)*100</f>
        <v/>
      </c>
      <c r="AV666" s="82">
        <f>($J666-$F666)*100</f>
        <v/>
      </c>
      <c r="AW666" s="82">
        <f>($L666-$F666)*100</f>
        <v/>
      </c>
      <c r="AX666" s="82">
        <f>($J666-$H666)*100</f>
        <v/>
      </c>
      <c r="AY666" s="82">
        <f>($L666-$H666)*100</f>
        <v/>
      </c>
      <c r="AZ666" s="82">
        <f>($L666-$J666)*100</f>
        <v/>
      </c>
      <c r="BA666" s="82">
        <f>(2*$H666-$F666-$J666)*100</f>
        <v/>
      </c>
      <c r="BB666" s="82">
        <f>(2*$J666-$H666-$L666)*100</f>
        <v/>
      </c>
      <c r="BC666" s="82">
        <f>($N666-$F666)*100</f>
        <v/>
      </c>
      <c r="BD666" s="82">
        <f>($Q666-$H666)*100</f>
        <v/>
      </c>
      <c r="BE666" s="82">
        <f>($S666-$J666)*100</f>
        <v/>
      </c>
      <c r="BF666" s="82">
        <f>($V666-$L666)*100</f>
        <v/>
      </c>
      <c r="BG666" s="82">
        <f>$AG666-$AF666</f>
        <v/>
      </c>
      <c r="BH666" s="81">
        <f>IFERROR($AG666/$AF666,"")</f>
        <v/>
      </c>
      <c r="BI666" s="82">
        <f>$AJ666-$AF666</f>
        <v/>
      </c>
      <c r="BJ666" s="81">
        <f>IFERROR($AJ666/$AG666,"")</f>
        <v/>
      </c>
      <c r="BK666" s="81">
        <f>$X666</f>
        <v/>
      </c>
      <c r="BL666" s="82">
        <f>($J666-$J667)*100</f>
        <v/>
      </c>
      <c r="BM666" s="82">
        <f>($F666-$F667)*100</f>
        <v/>
      </c>
      <c r="BN666" s="82">
        <f>$AF666-$AF667</f>
        <v/>
      </c>
      <c r="BO666" s="82">
        <f>$AG666-$AG667</f>
        <v/>
      </c>
      <c r="BP666" s="82">
        <f>$AJ666-$AJ667</f>
        <v/>
      </c>
    </row>
    <row r="667">
      <c r="AR667" s="81">
        <f>($G667+($H667-$G667)*0.5)+($P667-($O667+($Q667-$O667)*0.5))</f>
        <v/>
      </c>
      <c r="AS667" s="81">
        <f>($J667+($K667-$J667)*0.5)+($T667-($S667+($U667-$S667)*0.5))</f>
        <v/>
      </c>
      <c r="AT667" s="82">
        <f>($J667-$C667)*100</f>
        <v/>
      </c>
      <c r="AU667" s="82">
        <f>($H667-$F667)*100</f>
        <v/>
      </c>
      <c r="AV667" s="82">
        <f>($J667-$F667)*100</f>
        <v/>
      </c>
      <c r="AW667" s="82">
        <f>($L667-$F667)*100</f>
        <v/>
      </c>
      <c r="AX667" s="82">
        <f>($J667-$H667)*100</f>
        <v/>
      </c>
      <c r="AY667" s="82">
        <f>($L667-$H667)*100</f>
        <v/>
      </c>
      <c r="AZ667" s="82">
        <f>($L667-$J667)*100</f>
        <v/>
      </c>
      <c r="BA667" s="82">
        <f>(2*$H667-$F667-$J667)*100</f>
        <v/>
      </c>
      <c r="BB667" s="82">
        <f>(2*$J667-$H667-$L667)*100</f>
        <v/>
      </c>
      <c r="BC667" s="82">
        <f>($N667-$F667)*100</f>
        <v/>
      </c>
      <c r="BD667" s="82">
        <f>($Q667-$H667)*100</f>
        <v/>
      </c>
      <c r="BE667" s="82">
        <f>($S667-$J667)*100</f>
        <v/>
      </c>
      <c r="BF667" s="82">
        <f>($V667-$L667)*100</f>
        <v/>
      </c>
      <c r="BG667" s="82">
        <f>$AG667-$AF667</f>
        <v/>
      </c>
      <c r="BH667" s="81">
        <f>IFERROR($AG667/$AF667,"")</f>
        <v/>
      </c>
      <c r="BI667" s="82">
        <f>$AJ667-$AF667</f>
        <v/>
      </c>
      <c r="BJ667" s="81">
        <f>IFERROR($AJ667/$AG667,"")</f>
        <v/>
      </c>
      <c r="BK667" s="81">
        <f>$X667</f>
        <v/>
      </c>
      <c r="BL667" s="82">
        <f>($J667-$J668)*100</f>
        <v/>
      </c>
      <c r="BM667" s="82">
        <f>($F667-$F668)*100</f>
        <v/>
      </c>
      <c r="BN667" s="82">
        <f>$AF667-$AF668</f>
        <v/>
      </c>
      <c r="BO667" s="82">
        <f>$AG667-$AG668</f>
        <v/>
      </c>
      <c r="BP667" s="82">
        <f>$AJ667-$AJ668</f>
        <v/>
      </c>
    </row>
    <row r="668">
      <c r="AR668" s="81">
        <f>($G668+($H668-$G668)*0.5)+($P668-($O668+($Q668-$O668)*0.5))</f>
        <v/>
      </c>
      <c r="AS668" s="81">
        <f>($J668+($K668-$J668)*0.5)+($T668-($S668+($U668-$S668)*0.5))</f>
        <v/>
      </c>
      <c r="AT668" s="82">
        <f>($J668-$C668)*100</f>
        <v/>
      </c>
      <c r="AU668" s="82">
        <f>($H668-$F668)*100</f>
        <v/>
      </c>
      <c r="AV668" s="82">
        <f>($J668-$F668)*100</f>
        <v/>
      </c>
      <c r="AW668" s="82">
        <f>($L668-$F668)*100</f>
        <v/>
      </c>
      <c r="AX668" s="82">
        <f>($J668-$H668)*100</f>
        <v/>
      </c>
      <c r="AY668" s="82">
        <f>($L668-$H668)*100</f>
        <v/>
      </c>
      <c r="AZ668" s="82">
        <f>($L668-$J668)*100</f>
        <v/>
      </c>
      <c r="BA668" s="82">
        <f>(2*$H668-$F668-$J668)*100</f>
        <v/>
      </c>
      <c r="BB668" s="82">
        <f>(2*$J668-$H668-$L668)*100</f>
        <v/>
      </c>
      <c r="BC668" s="82">
        <f>($N668-$F668)*100</f>
        <v/>
      </c>
      <c r="BD668" s="82">
        <f>($Q668-$H668)*100</f>
        <v/>
      </c>
      <c r="BE668" s="82">
        <f>($S668-$J668)*100</f>
        <v/>
      </c>
      <c r="BF668" s="82">
        <f>($V668-$L668)*100</f>
        <v/>
      </c>
      <c r="BG668" s="82">
        <f>$AG668-$AF668</f>
        <v/>
      </c>
      <c r="BH668" s="81">
        <f>IFERROR($AG668/$AF668,"")</f>
        <v/>
      </c>
      <c r="BI668" s="82">
        <f>$AJ668-$AF668</f>
        <v/>
      </c>
      <c r="BJ668" s="81">
        <f>IFERROR($AJ668/$AG668,"")</f>
        <v/>
      </c>
      <c r="BK668" s="81">
        <f>$X668</f>
        <v/>
      </c>
      <c r="BL668" s="82">
        <f>($J668-$J669)*100</f>
        <v/>
      </c>
      <c r="BM668" s="82">
        <f>($F668-$F669)*100</f>
        <v/>
      </c>
      <c r="BN668" s="82">
        <f>$AF668-$AF669</f>
        <v/>
      </c>
      <c r="BO668" s="82">
        <f>$AG668-$AG669</f>
        <v/>
      </c>
      <c r="BP668" s="82">
        <f>$AJ668-$AJ669</f>
        <v/>
      </c>
    </row>
    <row r="669">
      <c r="AR669" s="81">
        <f>($G669+($H669-$G669)*0.5)+($P669-($O669+($Q669-$O669)*0.5))</f>
        <v/>
      </c>
      <c r="AS669" s="81">
        <f>($J669+($K669-$J669)*0.5)+($T669-($S669+($U669-$S669)*0.5))</f>
        <v/>
      </c>
      <c r="AT669" s="82">
        <f>($J669-$C669)*100</f>
        <v/>
      </c>
      <c r="AU669" s="82">
        <f>($H669-$F669)*100</f>
        <v/>
      </c>
      <c r="AV669" s="82">
        <f>($J669-$F669)*100</f>
        <v/>
      </c>
      <c r="AW669" s="82">
        <f>($L669-$F669)*100</f>
        <v/>
      </c>
      <c r="AX669" s="82">
        <f>($J669-$H669)*100</f>
        <v/>
      </c>
      <c r="AY669" s="82">
        <f>($L669-$H669)*100</f>
        <v/>
      </c>
      <c r="AZ669" s="82">
        <f>($L669-$J669)*100</f>
        <v/>
      </c>
      <c r="BA669" s="82">
        <f>(2*$H669-$F669-$J669)*100</f>
        <v/>
      </c>
      <c r="BB669" s="82">
        <f>(2*$J669-$H669-$L669)*100</f>
        <v/>
      </c>
      <c r="BC669" s="82">
        <f>($N669-$F669)*100</f>
        <v/>
      </c>
      <c r="BD669" s="82">
        <f>($Q669-$H669)*100</f>
        <v/>
      </c>
      <c r="BE669" s="82">
        <f>($S669-$J669)*100</f>
        <v/>
      </c>
      <c r="BF669" s="82">
        <f>($V669-$L669)*100</f>
        <v/>
      </c>
      <c r="BG669" s="82">
        <f>$AG669-$AF669</f>
        <v/>
      </c>
      <c r="BH669" s="81">
        <f>IFERROR($AG669/$AF669,"")</f>
        <v/>
      </c>
      <c r="BI669" s="82">
        <f>$AJ669-$AF669</f>
        <v/>
      </c>
      <c r="BJ669" s="81">
        <f>IFERROR($AJ669/$AG669,"")</f>
        <v/>
      </c>
      <c r="BK669" s="81">
        <f>$X669</f>
        <v/>
      </c>
      <c r="BL669" s="82">
        <f>($J669-$J670)*100</f>
        <v/>
      </c>
      <c r="BM669" s="82">
        <f>($F669-$F670)*100</f>
        <v/>
      </c>
      <c r="BN669" s="82">
        <f>$AF669-$AF670</f>
        <v/>
      </c>
      <c r="BO669" s="82">
        <f>$AG669-$AG670</f>
        <v/>
      </c>
      <c r="BP669" s="82">
        <f>$AJ669-$AJ670</f>
        <v/>
      </c>
    </row>
    <row r="670">
      <c r="AR670" s="81">
        <f>($G670+($H670-$G670)*0.5)+($P670-($O670+($Q670-$O670)*0.5))</f>
        <v/>
      </c>
      <c r="AS670" s="81">
        <f>($J670+($K670-$J670)*0.5)+($T670-($S670+($U670-$S670)*0.5))</f>
        <v/>
      </c>
      <c r="AT670" s="82">
        <f>($J670-$C670)*100</f>
        <v/>
      </c>
      <c r="AU670" s="82">
        <f>($H670-$F670)*100</f>
        <v/>
      </c>
      <c r="AV670" s="82">
        <f>($J670-$F670)*100</f>
        <v/>
      </c>
      <c r="AW670" s="82">
        <f>($L670-$F670)*100</f>
        <v/>
      </c>
      <c r="AX670" s="82">
        <f>($J670-$H670)*100</f>
        <v/>
      </c>
      <c r="AY670" s="82">
        <f>($L670-$H670)*100</f>
        <v/>
      </c>
      <c r="AZ670" s="82">
        <f>($L670-$J670)*100</f>
        <v/>
      </c>
      <c r="BA670" s="82">
        <f>(2*$H670-$F670-$J670)*100</f>
        <v/>
      </c>
      <c r="BB670" s="82">
        <f>(2*$J670-$H670-$L670)*100</f>
        <v/>
      </c>
      <c r="BC670" s="82">
        <f>($N670-$F670)*100</f>
        <v/>
      </c>
      <c r="BD670" s="82">
        <f>($Q670-$H670)*100</f>
        <v/>
      </c>
      <c r="BE670" s="82">
        <f>($S670-$J670)*100</f>
        <v/>
      </c>
      <c r="BF670" s="82">
        <f>($V670-$L670)*100</f>
        <v/>
      </c>
      <c r="BG670" s="82">
        <f>$AG670-$AF670</f>
        <v/>
      </c>
      <c r="BH670" s="81">
        <f>IFERROR($AG670/$AF670,"")</f>
        <v/>
      </c>
      <c r="BI670" s="82">
        <f>$AJ670-$AF670</f>
        <v/>
      </c>
      <c r="BJ670" s="81">
        <f>IFERROR($AJ670/$AG670,"")</f>
        <v/>
      </c>
      <c r="BK670" s="81">
        <f>$X670</f>
        <v/>
      </c>
      <c r="BL670" s="82">
        <f>($J670-$J671)*100</f>
        <v/>
      </c>
      <c r="BM670" s="82">
        <f>($F670-$F671)*100</f>
        <v/>
      </c>
      <c r="BN670" s="82">
        <f>$AF670-$AF671</f>
        <v/>
      </c>
      <c r="BO670" s="82">
        <f>$AG670-$AG671</f>
        <v/>
      </c>
      <c r="BP670" s="82">
        <f>$AJ670-$AJ671</f>
        <v/>
      </c>
    </row>
    <row r="671">
      <c r="AR671" s="81">
        <f>($G671+($H671-$G671)*0.5)+($P671-($O671+($Q671-$O671)*0.5))</f>
        <v/>
      </c>
      <c r="AS671" s="81">
        <f>($J671+($K671-$J671)*0.5)+($T671-($S671+($U671-$S671)*0.5))</f>
        <v/>
      </c>
      <c r="AT671" s="82">
        <f>($J671-$C671)*100</f>
        <v/>
      </c>
      <c r="AU671" s="82">
        <f>($H671-$F671)*100</f>
        <v/>
      </c>
      <c r="AV671" s="82">
        <f>($J671-$F671)*100</f>
        <v/>
      </c>
      <c r="AW671" s="82">
        <f>($L671-$F671)*100</f>
        <v/>
      </c>
      <c r="AX671" s="82">
        <f>($J671-$H671)*100</f>
        <v/>
      </c>
      <c r="AY671" s="82">
        <f>($L671-$H671)*100</f>
        <v/>
      </c>
      <c r="AZ671" s="82">
        <f>($L671-$J671)*100</f>
        <v/>
      </c>
      <c r="BA671" s="82">
        <f>(2*$H671-$F671-$J671)*100</f>
        <v/>
      </c>
      <c r="BB671" s="82">
        <f>(2*$J671-$H671-$L671)*100</f>
        <v/>
      </c>
      <c r="BC671" s="82">
        <f>($N671-$F671)*100</f>
        <v/>
      </c>
      <c r="BD671" s="82">
        <f>($Q671-$H671)*100</f>
        <v/>
      </c>
      <c r="BE671" s="82">
        <f>($S671-$J671)*100</f>
        <v/>
      </c>
      <c r="BF671" s="82">
        <f>($V671-$L671)*100</f>
        <v/>
      </c>
      <c r="BG671" s="82">
        <f>$AG671-$AF671</f>
        <v/>
      </c>
      <c r="BH671" s="81">
        <f>IFERROR($AG671/$AF671,"")</f>
        <v/>
      </c>
      <c r="BI671" s="82">
        <f>$AJ671-$AF671</f>
        <v/>
      </c>
      <c r="BJ671" s="81">
        <f>IFERROR($AJ671/$AG671,"")</f>
        <v/>
      </c>
      <c r="BK671" s="81">
        <f>$X671</f>
        <v/>
      </c>
      <c r="BL671" s="82">
        <f>($J671-$J672)*100</f>
        <v/>
      </c>
      <c r="BM671" s="82">
        <f>($F671-$F672)*100</f>
        <v/>
      </c>
      <c r="BN671" s="82">
        <f>$AF671-$AF672</f>
        <v/>
      </c>
      <c r="BO671" s="82">
        <f>$AG671-$AG672</f>
        <v/>
      </c>
      <c r="BP671" s="82">
        <f>$AJ671-$AJ672</f>
        <v/>
      </c>
    </row>
    <row r="672">
      <c r="AR672" s="81">
        <f>($G672+($H672-$G672)*0.5)+($P672-($O672+($Q672-$O672)*0.5))</f>
        <v/>
      </c>
      <c r="AS672" s="81">
        <f>($J672+($K672-$J672)*0.5)+($T672-($S672+($U672-$S672)*0.5))</f>
        <v/>
      </c>
      <c r="AT672" s="82">
        <f>($J672-$C672)*100</f>
        <v/>
      </c>
      <c r="AU672" s="82">
        <f>($H672-$F672)*100</f>
        <v/>
      </c>
      <c r="AV672" s="82">
        <f>($J672-$F672)*100</f>
        <v/>
      </c>
      <c r="AW672" s="82">
        <f>($L672-$F672)*100</f>
        <v/>
      </c>
      <c r="AX672" s="82">
        <f>($J672-$H672)*100</f>
        <v/>
      </c>
      <c r="AY672" s="82">
        <f>($L672-$H672)*100</f>
        <v/>
      </c>
      <c r="AZ672" s="82">
        <f>($L672-$J672)*100</f>
        <v/>
      </c>
      <c r="BA672" s="82">
        <f>(2*$H672-$F672-$J672)*100</f>
        <v/>
      </c>
      <c r="BB672" s="82">
        <f>(2*$J672-$H672-$L672)*100</f>
        <v/>
      </c>
      <c r="BC672" s="82">
        <f>($N672-$F672)*100</f>
        <v/>
      </c>
      <c r="BD672" s="82">
        <f>($Q672-$H672)*100</f>
        <v/>
      </c>
      <c r="BE672" s="82">
        <f>($S672-$J672)*100</f>
        <v/>
      </c>
      <c r="BF672" s="82">
        <f>($V672-$L672)*100</f>
        <v/>
      </c>
      <c r="BG672" s="82">
        <f>$AG672-$AF672</f>
        <v/>
      </c>
      <c r="BH672" s="81">
        <f>IFERROR($AG672/$AF672,"")</f>
        <v/>
      </c>
      <c r="BI672" s="82">
        <f>$AJ672-$AF672</f>
        <v/>
      </c>
      <c r="BJ672" s="81">
        <f>IFERROR($AJ672/$AG672,"")</f>
        <v/>
      </c>
      <c r="BK672" s="81">
        <f>$X672</f>
        <v/>
      </c>
      <c r="BL672" s="82">
        <f>($J672-$J673)*100</f>
        <v/>
      </c>
      <c r="BM672" s="82">
        <f>($F672-$F673)*100</f>
        <v/>
      </c>
      <c r="BN672" s="82">
        <f>$AF672-$AF673</f>
        <v/>
      </c>
      <c r="BO672" s="82">
        <f>$AG672-$AG673</f>
        <v/>
      </c>
      <c r="BP672" s="82">
        <f>$AJ672-$AJ673</f>
        <v/>
      </c>
    </row>
    <row r="673">
      <c r="AR673" s="81">
        <f>($G673+($H673-$G673)*0.5)+($P673-($O673+($Q673-$O673)*0.5))</f>
        <v/>
      </c>
      <c r="AS673" s="81">
        <f>($J673+($K673-$J673)*0.5)+($T673-($S673+($U673-$S673)*0.5))</f>
        <v/>
      </c>
      <c r="AT673" s="82">
        <f>($J673-$C673)*100</f>
        <v/>
      </c>
      <c r="AU673" s="82">
        <f>($H673-$F673)*100</f>
        <v/>
      </c>
      <c r="AV673" s="82">
        <f>($J673-$F673)*100</f>
        <v/>
      </c>
      <c r="AW673" s="82">
        <f>($L673-$F673)*100</f>
        <v/>
      </c>
      <c r="AX673" s="82">
        <f>($J673-$H673)*100</f>
        <v/>
      </c>
      <c r="AY673" s="82">
        <f>($L673-$H673)*100</f>
        <v/>
      </c>
      <c r="AZ673" s="82">
        <f>($L673-$J673)*100</f>
        <v/>
      </c>
      <c r="BA673" s="82">
        <f>(2*$H673-$F673-$J673)*100</f>
        <v/>
      </c>
      <c r="BB673" s="82">
        <f>(2*$J673-$H673-$L673)*100</f>
        <v/>
      </c>
      <c r="BC673" s="82">
        <f>($N673-$F673)*100</f>
        <v/>
      </c>
      <c r="BD673" s="82">
        <f>($Q673-$H673)*100</f>
        <v/>
      </c>
      <c r="BE673" s="82">
        <f>($S673-$J673)*100</f>
        <v/>
      </c>
      <c r="BF673" s="82">
        <f>($V673-$L673)*100</f>
        <v/>
      </c>
      <c r="BG673" s="82">
        <f>$AG673-$AF673</f>
        <v/>
      </c>
      <c r="BH673" s="81">
        <f>IFERROR($AG673/$AF673,"")</f>
        <v/>
      </c>
      <c r="BI673" s="82">
        <f>$AJ673-$AF673</f>
        <v/>
      </c>
      <c r="BJ673" s="81">
        <f>IFERROR($AJ673/$AG673,"")</f>
        <v/>
      </c>
      <c r="BK673" s="81">
        <f>$X673</f>
        <v/>
      </c>
      <c r="BL673" s="82">
        <f>($J673-$J674)*100</f>
        <v/>
      </c>
      <c r="BM673" s="82">
        <f>($F673-$F674)*100</f>
        <v/>
      </c>
      <c r="BN673" s="82">
        <f>$AF673-$AF674</f>
        <v/>
      </c>
      <c r="BO673" s="82">
        <f>$AG673-$AG674</f>
        <v/>
      </c>
      <c r="BP673" s="82">
        <f>$AJ673-$AJ674</f>
        <v/>
      </c>
    </row>
    <row r="674">
      <c r="AR674" s="81">
        <f>($G674+($H674-$G674)*0.5)+($P674-($O674+($Q674-$O674)*0.5))</f>
        <v/>
      </c>
      <c r="AS674" s="81">
        <f>($J674+($K674-$J674)*0.5)+($T674-($S674+($U674-$S674)*0.5))</f>
        <v/>
      </c>
      <c r="AT674" s="82">
        <f>($J674-$C674)*100</f>
        <v/>
      </c>
      <c r="AU674" s="82">
        <f>($H674-$F674)*100</f>
        <v/>
      </c>
      <c r="AV674" s="82">
        <f>($J674-$F674)*100</f>
        <v/>
      </c>
      <c r="AW674" s="82">
        <f>($L674-$F674)*100</f>
        <v/>
      </c>
      <c r="AX674" s="82">
        <f>($J674-$H674)*100</f>
        <v/>
      </c>
      <c r="AY674" s="82">
        <f>($L674-$H674)*100</f>
        <v/>
      </c>
      <c r="AZ674" s="82">
        <f>($L674-$J674)*100</f>
        <v/>
      </c>
      <c r="BA674" s="82">
        <f>(2*$H674-$F674-$J674)*100</f>
        <v/>
      </c>
      <c r="BB674" s="82">
        <f>(2*$J674-$H674-$L674)*100</f>
        <v/>
      </c>
      <c r="BC674" s="82">
        <f>($N674-$F674)*100</f>
        <v/>
      </c>
      <c r="BD674" s="82">
        <f>($Q674-$H674)*100</f>
        <v/>
      </c>
      <c r="BE674" s="82">
        <f>($S674-$J674)*100</f>
        <v/>
      </c>
      <c r="BF674" s="82">
        <f>($V674-$L674)*100</f>
        <v/>
      </c>
      <c r="BG674" s="82">
        <f>$AG674-$AF674</f>
        <v/>
      </c>
      <c r="BH674" s="81">
        <f>IFERROR($AG674/$AF674,"")</f>
        <v/>
      </c>
      <c r="BI674" s="82">
        <f>$AJ674-$AF674</f>
        <v/>
      </c>
      <c r="BJ674" s="81">
        <f>IFERROR($AJ674/$AG674,"")</f>
        <v/>
      </c>
      <c r="BK674" s="81">
        <f>$X674</f>
        <v/>
      </c>
      <c r="BL674" s="82">
        <f>($J674-$J675)*100</f>
        <v/>
      </c>
      <c r="BM674" s="82">
        <f>($F674-$F675)*100</f>
        <v/>
      </c>
      <c r="BN674" s="82">
        <f>$AF674-$AF675</f>
        <v/>
      </c>
      <c r="BO674" s="82">
        <f>$AG674-$AG675</f>
        <v/>
      </c>
      <c r="BP674" s="82">
        <f>$AJ674-$AJ675</f>
        <v/>
      </c>
    </row>
    <row r="675">
      <c r="AR675" s="81">
        <f>($G675+($H675-$G675)*0.5)+($P675-($O675+($Q675-$O675)*0.5))</f>
        <v/>
      </c>
      <c r="AS675" s="81">
        <f>($J675+($K675-$J675)*0.5)+($T675-($S675+($U675-$S675)*0.5))</f>
        <v/>
      </c>
      <c r="AT675" s="82">
        <f>($J675-$C675)*100</f>
        <v/>
      </c>
      <c r="AU675" s="82">
        <f>($H675-$F675)*100</f>
        <v/>
      </c>
      <c r="AV675" s="82">
        <f>($J675-$F675)*100</f>
        <v/>
      </c>
      <c r="AW675" s="82">
        <f>($L675-$F675)*100</f>
        <v/>
      </c>
      <c r="AX675" s="82">
        <f>($J675-$H675)*100</f>
        <v/>
      </c>
      <c r="AY675" s="82">
        <f>($L675-$H675)*100</f>
        <v/>
      </c>
      <c r="AZ675" s="82">
        <f>($L675-$J675)*100</f>
        <v/>
      </c>
      <c r="BA675" s="82">
        <f>(2*$H675-$F675-$J675)*100</f>
        <v/>
      </c>
      <c r="BB675" s="82">
        <f>(2*$J675-$H675-$L675)*100</f>
        <v/>
      </c>
      <c r="BC675" s="82">
        <f>($N675-$F675)*100</f>
        <v/>
      </c>
      <c r="BD675" s="82">
        <f>($Q675-$H675)*100</f>
        <v/>
      </c>
      <c r="BE675" s="82">
        <f>($S675-$J675)*100</f>
        <v/>
      </c>
      <c r="BF675" s="82">
        <f>($V675-$L675)*100</f>
        <v/>
      </c>
      <c r="BG675" s="82">
        <f>$AG675-$AF675</f>
        <v/>
      </c>
      <c r="BH675" s="81">
        <f>IFERROR($AG675/$AF675,"")</f>
        <v/>
      </c>
      <c r="BI675" s="82">
        <f>$AJ675-$AF675</f>
        <v/>
      </c>
      <c r="BJ675" s="81">
        <f>IFERROR($AJ675/$AG675,"")</f>
        <v/>
      </c>
      <c r="BK675" s="81">
        <f>$X675</f>
        <v/>
      </c>
      <c r="BL675" s="82">
        <f>($J675-$J676)*100</f>
        <v/>
      </c>
      <c r="BM675" s="82">
        <f>($F675-$F676)*100</f>
        <v/>
      </c>
      <c r="BN675" s="82">
        <f>$AF675-$AF676</f>
        <v/>
      </c>
      <c r="BO675" s="82">
        <f>$AG675-$AG676</f>
        <v/>
      </c>
      <c r="BP675" s="82">
        <f>$AJ675-$AJ676</f>
        <v/>
      </c>
    </row>
    <row r="676">
      <c r="AR676" s="81">
        <f>($G676+($H676-$G676)*0.5)+($P676-($O676+($Q676-$O676)*0.5))</f>
        <v/>
      </c>
      <c r="AS676" s="81">
        <f>($J676+($K676-$J676)*0.5)+($T676-($S676+($U676-$S676)*0.5))</f>
        <v/>
      </c>
      <c r="AT676" s="82">
        <f>($J676-$C676)*100</f>
        <v/>
      </c>
      <c r="AU676" s="82">
        <f>($H676-$F676)*100</f>
        <v/>
      </c>
      <c r="AV676" s="82">
        <f>($J676-$F676)*100</f>
        <v/>
      </c>
      <c r="AW676" s="82">
        <f>($L676-$F676)*100</f>
        <v/>
      </c>
      <c r="AX676" s="82">
        <f>($J676-$H676)*100</f>
        <v/>
      </c>
      <c r="AY676" s="82">
        <f>($L676-$H676)*100</f>
        <v/>
      </c>
      <c r="AZ676" s="82">
        <f>($L676-$J676)*100</f>
        <v/>
      </c>
      <c r="BA676" s="82">
        <f>(2*$H676-$F676-$J676)*100</f>
        <v/>
      </c>
      <c r="BB676" s="82">
        <f>(2*$J676-$H676-$L676)*100</f>
        <v/>
      </c>
      <c r="BC676" s="82">
        <f>($N676-$F676)*100</f>
        <v/>
      </c>
      <c r="BD676" s="82">
        <f>($Q676-$H676)*100</f>
        <v/>
      </c>
      <c r="BE676" s="82">
        <f>($S676-$J676)*100</f>
        <v/>
      </c>
      <c r="BF676" s="82">
        <f>($V676-$L676)*100</f>
        <v/>
      </c>
      <c r="BG676" s="82">
        <f>$AG676-$AF676</f>
        <v/>
      </c>
      <c r="BH676" s="81">
        <f>IFERROR($AG676/$AF676,"")</f>
        <v/>
      </c>
      <c r="BI676" s="82">
        <f>$AJ676-$AF676</f>
        <v/>
      </c>
      <c r="BJ676" s="81">
        <f>IFERROR($AJ676/$AG676,"")</f>
        <v/>
      </c>
      <c r="BK676" s="81">
        <f>$X676</f>
        <v/>
      </c>
      <c r="BL676" s="82">
        <f>($J676-$J677)*100</f>
        <v/>
      </c>
      <c r="BM676" s="82">
        <f>($F676-$F677)*100</f>
        <v/>
      </c>
      <c r="BN676" s="82">
        <f>$AF676-$AF677</f>
        <v/>
      </c>
      <c r="BO676" s="82">
        <f>$AG676-$AG677</f>
        <v/>
      </c>
      <c r="BP676" s="82">
        <f>$AJ676-$AJ677</f>
        <v/>
      </c>
    </row>
    <row r="677">
      <c r="AR677" s="81">
        <f>($G677+($H677-$G677)*0.5)+($P677-($O677+($Q677-$O677)*0.5))</f>
        <v/>
      </c>
      <c r="AS677" s="81">
        <f>($J677+($K677-$J677)*0.5)+($T677-($S677+($U677-$S677)*0.5))</f>
        <v/>
      </c>
      <c r="AT677" s="82">
        <f>($J677-$C677)*100</f>
        <v/>
      </c>
      <c r="AU677" s="82">
        <f>($H677-$F677)*100</f>
        <v/>
      </c>
      <c r="AV677" s="82">
        <f>($J677-$F677)*100</f>
        <v/>
      </c>
      <c r="AW677" s="82">
        <f>($L677-$F677)*100</f>
        <v/>
      </c>
      <c r="AX677" s="82">
        <f>($J677-$H677)*100</f>
        <v/>
      </c>
      <c r="AY677" s="82">
        <f>($L677-$H677)*100</f>
        <v/>
      </c>
      <c r="AZ677" s="82">
        <f>($L677-$J677)*100</f>
        <v/>
      </c>
      <c r="BA677" s="82">
        <f>(2*$H677-$F677-$J677)*100</f>
        <v/>
      </c>
      <c r="BB677" s="82">
        <f>(2*$J677-$H677-$L677)*100</f>
        <v/>
      </c>
      <c r="BC677" s="82">
        <f>($N677-$F677)*100</f>
        <v/>
      </c>
      <c r="BD677" s="82">
        <f>($Q677-$H677)*100</f>
        <v/>
      </c>
      <c r="BE677" s="82">
        <f>($S677-$J677)*100</f>
        <v/>
      </c>
      <c r="BF677" s="82">
        <f>($V677-$L677)*100</f>
        <v/>
      </c>
      <c r="BG677" s="82">
        <f>$AG677-$AF677</f>
        <v/>
      </c>
      <c r="BH677" s="81">
        <f>IFERROR($AG677/$AF677,"")</f>
        <v/>
      </c>
      <c r="BI677" s="82">
        <f>$AJ677-$AF677</f>
        <v/>
      </c>
      <c r="BJ677" s="81">
        <f>IFERROR($AJ677/$AG677,"")</f>
        <v/>
      </c>
      <c r="BK677" s="81">
        <f>$X677</f>
        <v/>
      </c>
      <c r="BL677" s="82">
        <f>($J677-$J678)*100</f>
        <v/>
      </c>
      <c r="BM677" s="82">
        <f>($F677-$F678)*100</f>
        <v/>
      </c>
      <c r="BN677" s="82">
        <f>$AF677-$AF678</f>
        <v/>
      </c>
      <c r="BO677" s="82">
        <f>$AG677-$AG678</f>
        <v/>
      </c>
      <c r="BP677" s="82">
        <f>$AJ677-$AJ678</f>
        <v/>
      </c>
    </row>
    <row r="678">
      <c r="AR678" s="81">
        <f>($G678+($H678-$G678)*0.5)+($P678-($O678+($Q678-$O678)*0.5))</f>
        <v/>
      </c>
      <c r="AS678" s="81">
        <f>($J678+($K678-$J678)*0.5)+($T678-($S678+($U678-$S678)*0.5))</f>
        <v/>
      </c>
      <c r="AT678" s="82">
        <f>($J678-$C678)*100</f>
        <v/>
      </c>
      <c r="AU678" s="82">
        <f>($H678-$F678)*100</f>
        <v/>
      </c>
      <c r="AV678" s="82">
        <f>($J678-$F678)*100</f>
        <v/>
      </c>
      <c r="AW678" s="82">
        <f>($L678-$F678)*100</f>
        <v/>
      </c>
      <c r="AX678" s="82">
        <f>($J678-$H678)*100</f>
        <v/>
      </c>
      <c r="AY678" s="82">
        <f>($L678-$H678)*100</f>
        <v/>
      </c>
      <c r="AZ678" s="82">
        <f>($L678-$J678)*100</f>
        <v/>
      </c>
      <c r="BA678" s="82">
        <f>(2*$H678-$F678-$J678)*100</f>
        <v/>
      </c>
      <c r="BB678" s="82">
        <f>(2*$J678-$H678-$L678)*100</f>
        <v/>
      </c>
      <c r="BC678" s="82">
        <f>($N678-$F678)*100</f>
        <v/>
      </c>
      <c r="BD678" s="82">
        <f>($Q678-$H678)*100</f>
        <v/>
      </c>
      <c r="BE678" s="82">
        <f>($S678-$J678)*100</f>
        <v/>
      </c>
      <c r="BF678" s="82">
        <f>($V678-$L678)*100</f>
        <v/>
      </c>
      <c r="BG678" s="82">
        <f>$AG678-$AF678</f>
        <v/>
      </c>
      <c r="BH678" s="81">
        <f>IFERROR($AG678/$AF678,"")</f>
        <v/>
      </c>
      <c r="BI678" s="82">
        <f>$AJ678-$AF678</f>
        <v/>
      </c>
      <c r="BJ678" s="81">
        <f>IFERROR($AJ678/$AG678,"")</f>
        <v/>
      </c>
      <c r="BK678" s="81">
        <f>$X678</f>
        <v/>
      </c>
      <c r="BL678" s="82">
        <f>($J678-$J679)*100</f>
        <v/>
      </c>
      <c r="BM678" s="82">
        <f>($F678-$F679)*100</f>
        <v/>
      </c>
      <c r="BN678" s="82">
        <f>$AF678-$AF679</f>
        <v/>
      </c>
      <c r="BO678" s="82">
        <f>$AG678-$AG679</f>
        <v/>
      </c>
      <c r="BP678" s="82">
        <f>$AJ678-$AJ679</f>
        <v/>
      </c>
    </row>
    <row r="679">
      <c r="AR679" s="81">
        <f>($G679+($H679-$G679)*0.5)+($P679-($O679+($Q679-$O679)*0.5))</f>
        <v/>
      </c>
      <c r="AS679" s="81">
        <f>($J679+($K679-$J679)*0.5)+($T679-($S679+($U679-$S679)*0.5))</f>
        <v/>
      </c>
      <c r="AT679" s="82">
        <f>($J679-$C679)*100</f>
        <v/>
      </c>
      <c r="AU679" s="82">
        <f>($H679-$F679)*100</f>
        <v/>
      </c>
      <c r="AV679" s="82">
        <f>($J679-$F679)*100</f>
        <v/>
      </c>
      <c r="AW679" s="82">
        <f>($L679-$F679)*100</f>
        <v/>
      </c>
      <c r="AX679" s="82">
        <f>($J679-$H679)*100</f>
        <v/>
      </c>
      <c r="AY679" s="82">
        <f>($L679-$H679)*100</f>
        <v/>
      </c>
      <c r="AZ679" s="82">
        <f>($L679-$J679)*100</f>
        <v/>
      </c>
      <c r="BA679" s="82">
        <f>(2*$H679-$F679-$J679)*100</f>
        <v/>
      </c>
      <c r="BB679" s="82">
        <f>(2*$J679-$H679-$L679)*100</f>
        <v/>
      </c>
      <c r="BC679" s="82">
        <f>($N679-$F679)*100</f>
        <v/>
      </c>
      <c r="BD679" s="82">
        <f>($Q679-$H679)*100</f>
        <v/>
      </c>
      <c r="BE679" s="82">
        <f>($S679-$J679)*100</f>
        <v/>
      </c>
      <c r="BF679" s="82">
        <f>($V679-$L679)*100</f>
        <v/>
      </c>
      <c r="BG679" s="82">
        <f>$AG679-$AF679</f>
        <v/>
      </c>
      <c r="BH679" s="81">
        <f>IFERROR($AG679/$AF679,"")</f>
        <v/>
      </c>
      <c r="BI679" s="82">
        <f>$AJ679-$AF679</f>
        <v/>
      </c>
      <c r="BJ679" s="81">
        <f>IFERROR($AJ679/$AG679,"")</f>
        <v/>
      </c>
      <c r="BK679" s="81">
        <f>$X679</f>
        <v/>
      </c>
      <c r="BL679" s="82">
        <f>($J679-$J680)*100</f>
        <v/>
      </c>
      <c r="BM679" s="82">
        <f>($F679-$F680)*100</f>
        <v/>
      </c>
      <c r="BN679" s="82">
        <f>$AF679-$AF680</f>
        <v/>
      </c>
      <c r="BO679" s="82">
        <f>$AG679-$AG680</f>
        <v/>
      </c>
      <c r="BP679" s="82">
        <f>$AJ679-$AJ680</f>
        <v/>
      </c>
    </row>
    <row r="680">
      <c r="AR680" s="81">
        <f>($G680+($H680-$G680)*0.5)+($P680-($O680+($Q680-$O680)*0.5))</f>
        <v/>
      </c>
      <c r="AS680" s="81">
        <f>($J680+($K680-$J680)*0.5)+($T680-($S680+($U680-$S680)*0.5))</f>
        <v/>
      </c>
      <c r="AT680" s="82">
        <f>($J680-$C680)*100</f>
        <v/>
      </c>
      <c r="AU680" s="82">
        <f>($H680-$F680)*100</f>
        <v/>
      </c>
      <c r="AV680" s="82">
        <f>($J680-$F680)*100</f>
        <v/>
      </c>
      <c r="AW680" s="82">
        <f>($L680-$F680)*100</f>
        <v/>
      </c>
      <c r="AX680" s="82">
        <f>($J680-$H680)*100</f>
        <v/>
      </c>
      <c r="AY680" s="82">
        <f>($L680-$H680)*100</f>
        <v/>
      </c>
      <c r="AZ680" s="82">
        <f>($L680-$J680)*100</f>
        <v/>
      </c>
      <c r="BA680" s="82">
        <f>(2*$H680-$F680-$J680)*100</f>
        <v/>
      </c>
      <c r="BB680" s="82">
        <f>(2*$J680-$H680-$L680)*100</f>
        <v/>
      </c>
      <c r="BC680" s="82">
        <f>($N680-$F680)*100</f>
        <v/>
      </c>
      <c r="BD680" s="82">
        <f>($Q680-$H680)*100</f>
        <v/>
      </c>
      <c r="BE680" s="82">
        <f>($S680-$J680)*100</f>
        <v/>
      </c>
      <c r="BF680" s="82">
        <f>($V680-$L680)*100</f>
        <v/>
      </c>
      <c r="BG680" s="82">
        <f>$AG680-$AF680</f>
        <v/>
      </c>
      <c r="BH680" s="81">
        <f>IFERROR($AG680/$AF680,"")</f>
        <v/>
      </c>
      <c r="BI680" s="82">
        <f>$AJ680-$AF680</f>
        <v/>
      </c>
      <c r="BJ680" s="81">
        <f>IFERROR($AJ680/$AG680,"")</f>
        <v/>
      </c>
      <c r="BK680" s="81">
        <f>$X680</f>
        <v/>
      </c>
      <c r="BL680" s="82">
        <f>($J680-$J681)*100</f>
        <v/>
      </c>
      <c r="BM680" s="82">
        <f>($F680-$F681)*100</f>
        <v/>
      </c>
      <c r="BN680" s="82">
        <f>$AF680-$AF681</f>
        <v/>
      </c>
      <c r="BO680" s="82">
        <f>$AG680-$AG681</f>
        <v/>
      </c>
      <c r="BP680" s="82">
        <f>$AJ680-$AJ681</f>
        <v/>
      </c>
    </row>
    <row r="681">
      <c r="AR681" s="81">
        <f>($G681+($H681-$G681)*0.5)+($P681-($O681+($Q681-$O681)*0.5))</f>
        <v/>
      </c>
      <c r="AS681" s="81">
        <f>($J681+($K681-$J681)*0.5)+($T681-($S681+($U681-$S681)*0.5))</f>
        <v/>
      </c>
      <c r="AT681" s="82">
        <f>($J681-$C681)*100</f>
        <v/>
      </c>
      <c r="AU681" s="82">
        <f>($H681-$F681)*100</f>
        <v/>
      </c>
      <c r="AV681" s="82">
        <f>($J681-$F681)*100</f>
        <v/>
      </c>
      <c r="AW681" s="82">
        <f>($L681-$F681)*100</f>
        <v/>
      </c>
      <c r="AX681" s="82">
        <f>($J681-$H681)*100</f>
        <v/>
      </c>
      <c r="AY681" s="82">
        <f>($L681-$H681)*100</f>
        <v/>
      </c>
      <c r="AZ681" s="82">
        <f>($L681-$J681)*100</f>
        <v/>
      </c>
      <c r="BA681" s="82">
        <f>(2*$H681-$F681-$J681)*100</f>
        <v/>
      </c>
      <c r="BB681" s="82">
        <f>(2*$J681-$H681-$L681)*100</f>
        <v/>
      </c>
      <c r="BC681" s="82">
        <f>($N681-$F681)*100</f>
        <v/>
      </c>
      <c r="BD681" s="82">
        <f>($Q681-$H681)*100</f>
        <v/>
      </c>
      <c r="BE681" s="82">
        <f>($S681-$J681)*100</f>
        <v/>
      </c>
      <c r="BF681" s="82">
        <f>($V681-$L681)*100</f>
        <v/>
      </c>
      <c r="BG681" s="82">
        <f>$AG681-$AF681</f>
        <v/>
      </c>
      <c r="BH681" s="81">
        <f>IFERROR($AG681/$AF681,"")</f>
        <v/>
      </c>
      <c r="BI681" s="82">
        <f>$AJ681-$AF681</f>
        <v/>
      </c>
      <c r="BJ681" s="81">
        <f>IFERROR($AJ681/$AG681,"")</f>
        <v/>
      </c>
      <c r="BK681" s="81">
        <f>$X681</f>
        <v/>
      </c>
      <c r="BL681" s="82">
        <f>($J681-$J682)*100</f>
        <v/>
      </c>
      <c r="BM681" s="82">
        <f>($F681-$F682)*100</f>
        <v/>
      </c>
      <c r="BN681" s="82">
        <f>$AF681-$AF682</f>
        <v/>
      </c>
      <c r="BO681" s="82">
        <f>$AG681-$AG682</f>
        <v/>
      </c>
      <c r="BP681" s="82">
        <f>$AJ681-$AJ682</f>
        <v/>
      </c>
    </row>
    <row r="682">
      <c r="AR682" s="81">
        <f>($G682+($H682-$G682)*0.5)+($P682-($O682+($Q682-$O682)*0.5))</f>
        <v/>
      </c>
      <c r="AS682" s="81">
        <f>($J682+($K682-$J682)*0.5)+($T682-($S682+($U682-$S682)*0.5))</f>
        <v/>
      </c>
      <c r="AT682" s="82">
        <f>($J682-$C682)*100</f>
        <v/>
      </c>
      <c r="AU682" s="82">
        <f>($H682-$F682)*100</f>
        <v/>
      </c>
      <c r="AV682" s="82">
        <f>($J682-$F682)*100</f>
        <v/>
      </c>
      <c r="AW682" s="82">
        <f>($L682-$F682)*100</f>
        <v/>
      </c>
      <c r="AX682" s="82">
        <f>($J682-$H682)*100</f>
        <v/>
      </c>
      <c r="AY682" s="82">
        <f>($L682-$H682)*100</f>
        <v/>
      </c>
      <c r="AZ682" s="82">
        <f>($L682-$J682)*100</f>
        <v/>
      </c>
      <c r="BA682" s="82">
        <f>(2*$H682-$F682-$J682)*100</f>
        <v/>
      </c>
      <c r="BB682" s="82">
        <f>(2*$J682-$H682-$L682)*100</f>
        <v/>
      </c>
      <c r="BC682" s="82">
        <f>($N682-$F682)*100</f>
        <v/>
      </c>
      <c r="BD682" s="82">
        <f>($Q682-$H682)*100</f>
        <v/>
      </c>
      <c r="BE682" s="82">
        <f>($S682-$J682)*100</f>
        <v/>
      </c>
      <c r="BF682" s="82">
        <f>($V682-$L682)*100</f>
        <v/>
      </c>
      <c r="BG682" s="82">
        <f>$AG682-$AF682</f>
        <v/>
      </c>
      <c r="BH682" s="81">
        <f>IFERROR($AG682/$AF682,"")</f>
        <v/>
      </c>
      <c r="BI682" s="82">
        <f>$AJ682-$AF682</f>
        <v/>
      </c>
      <c r="BJ682" s="81">
        <f>IFERROR($AJ682/$AG682,"")</f>
        <v/>
      </c>
      <c r="BK682" s="81">
        <f>$X682</f>
        <v/>
      </c>
      <c r="BL682" s="82">
        <f>($J682-$J683)*100</f>
        <v/>
      </c>
      <c r="BM682" s="82">
        <f>($F682-$F683)*100</f>
        <v/>
      </c>
      <c r="BN682" s="82">
        <f>$AF682-$AF683</f>
        <v/>
      </c>
      <c r="BO682" s="82">
        <f>$AG682-$AG683</f>
        <v/>
      </c>
      <c r="BP682" s="82">
        <f>$AJ682-$AJ683</f>
        <v/>
      </c>
    </row>
    <row r="683">
      <c r="AR683" s="81">
        <f>($G683+($H683-$G683)*0.5)+($P683-($O683+($Q683-$O683)*0.5))</f>
        <v/>
      </c>
      <c r="AS683" s="81">
        <f>($J683+($K683-$J683)*0.5)+($T683-($S683+($U683-$S683)*0.5))</f>
        <v/>
      </c>
      <c r="AT683" s="82">
        <f>($J683-$C683)*100</f>
        <v/>
      </c>
      <c r="AU683" s="82">
        <f>($H683-$F683)*100</f>
        <v/>
      </c>
      <c r="AV683" s="82">
        <f>($J683-$F683)*100</f>
        <v/>
      </c>
      <c r="AW683" s="82">
        <f>($L683-$F683)*100</f>
        <v/>
      </c>
      <c r="AX683" s="82">
        <f>($J683-$H683)*100</f>
        <v/>
      </c>
      <c r="AY683" s="82">
        <f>($L683-$H683)*100</f>
        <v/>
      </c>
      <c r="AZ683" s="82">
        <f>($L683-$J683)*100</f>
        <v/>
      </c>
      <c r="BA683" s="82">
        <f>(2*$H683-$F683-$J683)*100</f>
        <v/>
      </c>
      <c r="BB683" s="82">
        <f>(2*$J683-$H683-$L683)*100</f>
        <v/>
      </c>
      <c r="BC683" s="82">
        <f>($N683-$F683)*100</f>
        <v/>
      </c>
      <c r="BD683" s="82">
        <f>($Q683-$H683)*100</f>
        <v/>
      </c>
      <c r="BE683" s="82">
        <f>($S683-$J683)*100</f>
        <v/>
      </c>
      <c r="BF683" s="82">
        <f>($V683-$L683)*100</f>
        <v/>
      </c>
      <c r="BG683" s="82">
        <f>$AG683-$AF683</f>
        <v/>
      </c>
      <c r="BH683" s="81">
        <f>IFERROR($AG683/$AF683,"")</f>
        <v/>
      </c>
      <c r="BI683" s="82">
        <f>$AJ683-$AF683</f>
        <v/>
      </c>
      <c r="BJ683" s="81">
        <f>IFERROR($AJ683/$AG683,"")</f>
        <v/>
      </c>
      <c r="BK683" s="81">
        <f>$X683</f>
        <v/>
      </c>
      <c r="BL683" s="82">
        <f>($J683-$J684)*100</f>
        <v/>
      </c>
      <c r="BM683" s="82">
        <f>($F683-$F684)*100</f>
        <v/>
      </c>
      <c r="BN683" s="82">
        <f>$AF683-$AF684</f>
        <v/>
      </c>
      <c r="BO683" s="82">
        <f>$AG683-$AG684</f>
        <v/>
      </c>
      <c r="BP683" s="82">
        <f>$AJ683-$AJ684</f>
        <v/>
      </c>
    </row>
    <row r="684">
      <c r="AR684" s="81">
        <f>($G684+($H684-$G684)*0.5)+($P684-($O684+($Q684-$O684)*0.5))</f>
        <v/>
      </c>
      <c r="AS684" s="81">
        <f>($J684+($K684-$J684)*0.5)+($T684-($S684+($U684-$S684)*0.5))</f>
        <v/>
      </c>
      <c r="AT684" s="82">
        <f>($J684-$C684)*100</f>
        <v/>
      </c>
      <c r="AU684" s="82">
        <f>($H684-$F684)*100</f>
        <v/>
      </c>
      <c r="AV684" s="82">
        <f>($J684-$F684)*100</f>
        <v/>
      </c>
      <c r="AW684" s="82">
        <f>($L684-$F684)*100</f>
        <v/>
      </c>
      <c r="AX684" s="82">
        <f>($J684-$H684)*100</f>
        <v/>
      </c>
      <c r="AY684" s="82">
        <f>($L684-$H684)*100</f>
        <v/>
      </c>
      <c r="AZ684" s="82">
        <f>($L684-$J684)*100</f>
        <v/>
      </c>
      <c r="BA684" s="82">
        <f>(2*$H684-$F684-$J684)*100</f>
        <v/>
      </c>
      <c r="BB684" s="82">
        <f>(2*$J684-$H684-$L684)*100</f>
        <v/>
      </c>
      <c r="BC684" s="82">
        <f>($N684-$F684)*100</f>
        <v/>
      </c>
      <c r="BD684" s="82">
        <f>($Q684-$H684)*100</f>
        <v/>
      </c>
      <c r="BE684" s="82">
        <f>($S684-$J684)*100</f>
        <v/>
      </c>
      <c r="BF684" s="82">
        <f>($V684-$L684)*100</f>
        <v/>
      </c>
      <c r="BG684" s="82">
        <f>$AG684-$AF684</f>
        <v/>
      </c>
      <c r="BH684" s="81">
        <f>IFERROR($AG684/$AF684,"")</f>
        <v/>
      </c>
      <c r="BI684" s="82">
        <f>$AJ684-$AF684</f>
        <v/>
      </c>
      <c r="BJ684" s="81">
        <f>IFERROR($AJ684/$AG684,"")</f>
        <v/>
      </c>
      <c r="BK684" s="81">
        <f>$X684</f>
        <v/>
      </c>
      <c r="BL684" s="82">
        <f>($J684-$J685)*100</f>
        <v/>
      </c>
      <c r="BM684" s="82">
        <f>($F684-$F685)*100</f>
        <v/>
      </c>
      <c r="BN684" s="82">
        <f>$AF684-$AF685</f>
        <v/>
      </c>
      <c r="BO684" s="82">
        <f>$AG684-$AG685</f>
        <v/>
      </c>
      <c r="BP684" s="82">
        <f>$AJ684-$AJ685</f>
        <v/>
      </c>
    </row>
    <row r="685">
      <c r="AR685" s="81">
        <f>($G685+($H685-$G685)*0.5)+($P685-($O685+($Q685-$O685)*0.5))</f>
        <v/>
      </c>
      <c r="AS685" s="81">
        <f>($J685+($K685-$J685)*0.5)+($T685-($S685+($U685-$S685)*0.5))</f>
        <v/>
      </c>
      <c r="AT685" s="82">
        <f>($J685-$C685)*100</f>
        <v/>
      </c>
      <c r="AU685" s="82">
        <f>($H685-$F685)*100</f>
        <v/>
      </c>
      <c r="AV685" s="82">
        <f>($J685-$F685)*100</f>
        <v/>
      </c>
      <c r="AW685" s="82">
        <f>($L685-$F685)*100</f>
        <v/>
      </c>
      <c r="AX685" s="82">
        <f>($J685-$H685)*100</f>
        <v/>
      </c>
      <c r="AY685" s="82">
        <f>($L685-$H685)*100</f>
        <v/>
      </c>
      <c r="AZ685" s="82">
        <f>($L685-$J685)*100</f>
        <v/>
      </c>
      <c r="BA685" s="82">
        <f>(2*$H685-$F685-$J685)*100</f>
        <v/>
      </c>
      <c r="BB685" s="82">
        <f>(2*$J685-$H685-$L685)*100</f>
        <v/>
      </c>
      <c r="BC685" s="82">
        <f>($N685-$F685)*100</f>
        <v/>
      </c>
      <c r="BD685" s="82">
        <f>($Q685-$H685)*100</f>
        <v/>
      </c>
      <c r="BE685" s="82">
        <f>($S685-$J685)*100</f>
        <v/>
      </c>
      <c r="BF685" s="82">
        <f>($V685-$L685)*100</f>
        <v/>
      </c>
      <c r="BG685" s="82">
        <f>$AG685-$AF685</f>
        <v/>
      </c>
      <c r="BH685" s="81">
        <f>IFERROR($AG685/$AF685,"")</f>
        <v/>
      </c>
      <c r="BI685" s="82">
        <f>$AJ685-$AF685</f>
        <v/>
      </c>
      <c r="BJ685" s="81">
        <f>IFERROR($AJ685/$AG685,"")</f>
        <v/>
      </c>
      <c r="BK685" s="81">
        <f>$X685</f>
        <v/>
      </c>
      <c r="BL685" s="82">
        <f>($J685-$J686)*100</f>
        <v/>
      </c>
      <c r="BM685" s="82">
        <f>($F685-$F686)*100</f>
        <v/>
      </c>
      <c r="BN685" s="82">
        <f>$AF685-$AF686</f>
        <v/>
      </c>
      <c r="BO685" s="82">
        <f>$AG685-$AG686</f>
        <v/>
      </c>
      <c r="BP685" s="82">
        <f>$AJ685-$AJ686</f>
        <v/>
      </c>
    </row>
    <row r="686">
      <c r="AR686" s="81">
        <f>($G686+($H686-$G686)*0.5)+($P686-($O686+($Q686-$O686)*0.5))</f>
        <v/>
      </c>
      <c r="AS686" s="81">
        <f>($J686+($K686-$J686)*0.5)+($T686-($S686+($U686-$S686)*0.5))</f>
        <v/>
      </c>
      <c r="AT686" s="82">
        <f>($J686-$C686)*100</f>
        <v/>
      </c>
      <c r="AU686" s="82">
        <f>($H686-$F686)*100</f>
        <v/>
      </c>
      <c r="AV686" s="82">
        <f>($J686-$F686)*100</f>
        <v/>
      </c>
      <c r="AW686" s="82">
        <f>($L686-$F686)*100</f>
        <v/>
      </c>
      <c r="AX686" s="82">
        <f>($J686-$H686)*100</f>
        <v/>
      </c>
      <c r="AY686" s="82">
        <f>($L686-$H686)*100</f>
        <v/>
      </c>
      <c r="AZ686" s="82">
        <f>($L686-$J686)*100</f>
        <v/>
      </c>
      <c r="BA686" s="82">
        <f>(2*$H686-$F686-$J686)*100</f>
        <v/>
      </c>
      <c r="BB686" s="82">
        <f>(2*$J686-$H686-$L686)*100</f>
        <v/>
      </c>
      <c r="BC686" s="82">
        <f>($N686-$F686)*100</f>
        <v/>
      </c>
      <c r="BD686" s="82">
        <f>($Q686-$H686)*100</f>
        <v/>
      </c>
      <c r="BE686" s="82">
        <f>($S686-$J686)*100</f>
        <v/>
      </c>
      <c r="BF686" s="82">
        <f>($V686-$L686)*100</f>
        <v/>
      </c>
      <c r="BG686" s="82">
        <f>$AG686-$AF686</f>
        <v/>
      </c>
      <c r="BH686" s="81">
        <f>IFERROR($AG686/$AF686,"")</f>
        <v/>
      </c>
      <c r="BI686" s="82">
        <f>$AJ686-$AF686</f>
        <v/>
      </c>
      <c r="BJ686" s="81">
        <f>IFERROR($AJ686/$AG686,"")</f>
        <v/>
      </c>
      <c r="BK686" s="81">
        <f>$X686</f>
        <v/>
      </c>
      <c r="BL686" s="82">
        <f>($J686-$J687)*100</f>
        <v/>
      </c>
      <c r="BM686" s="82">
        <f>($F686-$F687)*100</f>
        <v/>
      </c>
      <c r="BN686" s="82">
        <f>$AF686-$AF687</f>
        <v/>
      </c>
      <c r="BO686" s="82">
        <f>$AG686-$AG687</f>
        <v/>
      </c>
      <c r="BP686" s="82">
        <f>$AJ686-$AJ687</f>
        <v/>
      </c>
    </row>
    <row r="687">
      <c r="AR687" s="81">
        <f>($G687+($H687-$G687)*0.5)+($P687-($O687+($Q687-$O687)*0.5))</f>
        <v/>
      </c>
      <c r="AS687" s="81">
        <f>($J687+($K687-$J687)*0.5)+($T687-($S687+($U687-$S687)*0.5))</f>
        <v/>
      </c>
      <c r="AT687" s="82">
        <f>($J687-$C687)*100</f>
        <v/>
      </c>
      <c r="AU687" s="82">
        <f>($H687-$F687)*100</f>
        <v/>
      </c>
      <c r="AV687" s="82">
        <f>($J687-$F687)*100</f>
        <v/>
      </c>
      <c r="AW687" s="82">
        <f>($L687-$F687)*100</f>
        <v/>
      </c>
      <c r="AX687" s="82">
        <f>($J687-$H687)*100</f>
        <v/>
      </c>
      <c r="AY687" s="82">
        <f>($L687-$H687)*100</f>
        <v/>
      </c>
      <c r="AZ687" s="82">
        <f>($L687-$J687)*100</f>
        <v/>
      </c>
      <c r="BA687" s="82">
        <f>(2*$H687-$F687-$J687)*100</f>
        <v/>
      </c>
      <c r="BB687" s="82">
        <f>(2*$J687-$H687-$L687)*100</f>
        <v/>
      </c>
      <c r="BC687" s="82">
        <f>($N687-$F687)*100</f>
        <v/>
      </c>
      <c r="BD687" s="82">
        <f>($Q687-$H687)*100</f>
        <v/>
      </c>
      <c r="BE687" s="82">
        <f>($S687-$J687)*100</f>
        <v/>
      </c>
      <c r="BF687" s="82">
        <f>($V687-$L687)*100</f>
        <v/>
      </c>
      <c r="BG687" s="82">
        <f>$AG687-$AF687</f>
        <v/>
      </c>
      <c r="BH687" s="81">
        <f>IFERROR($AG687/$AF687,"")</f>
        <v/>
      </c>
      <c r="BI687" s="82">
        <f>$AJ687-$AF687</f>
        <v/>
      </c>
      <c r="BJ687" s="81">
        <f>IFERROR($AJ687/$AG687,"")</f>
        <v/>
      </c>
      <c r="BK687" s="81">
        <f>$X687</f>
        <v/>
      </c>
      <c r="BL687" s="82">
        <f>($J687-$J688)*100</f>
        <v/>
      </c>
      <c r="BM687" s="82">
        <f>($F687-$F688)*100</f>
        <v/>
      </c>
      <c r="BN687" s="82">
        <f>$AF687-$AF688</f>
        <v/>
      </c>
      <c r="BO687" s="82">
        <f>$AG687-$AG688</f>
        <v/>
      </c>
      <c r="BP687" s="82">
        <f>$AJ687-$AJ688</f>
        <v/>
      </c>
    </row>
    <row r="688">
      <c r="AR688" s="81">
        <f>($G688+($H688-$G688)*0.5)+($P688-($O688+($Q688-$O688)*0.5))</f>
        <v/>
      </c>
      <c r="AS688" s="81">
        <f>($J688+($K688-$J688)*0.5)+($T688-($S688+($U688-$S688)*0.5))</f>
        <v/>
      </c>
      <c r="AT688" s="82">
        <f>($J688-$C688)*100</f>
        <v/>
      </c>
      <c r="AU688" s="82">
        <f>($H688-$F688)*100</f>
        <v/>
      </c>
      <c r="AV688" s="82">
        <f>($J688-$F688)*100</f>
        <v/>
      </c>
      <c r="AW688" s="82">
        <f>($L688-$F688)*100</f>
        <v/>
      </c>
      <c r="AX688" s="82">
        <f>($J688-$H688)*100</f>
        <v/>
      </c>
      <c r="AY688" s="82">
        <f>($L688-$H688)*100</f>
        <v/>
      </c>
      <c r="AZ688" s="82">
        <f>($L688-$J688)*100</f>
        <v/>
      </c>
      <c r="BA688" s="82">
        <f>(2*$H688-$F688-$J688)*100</f>
        <v/>
      </c>
      <c r="BB688" s="82">
        <f>(2*$J688-$H688-$L688)*100</f>
        <v/>
      </c>
      <c r="BC688" s="82">
        <f>($N688-$F688)*100</f>
        <v/>
      </c>
      <c r="BD688" s="82">
        <f>($Q688-$H688)*100</f>
        <v/>
      </c>
      <c r="BE688" s="82">
        <f>($S688-$J688)*100</f>
        <v/>
      </c>
      <c r="BF688" s="82">
        <f>($V688-$L688)*100</f>
        <v/>
      </c>
      <c r="BG688" s="82">
        <f>$AG688-$AF688</f>
        <v/>
      </c>
      <c r="BH688" s="81">
        <f>IFERROR($AG688/$AF688,"")</f>
        <v/>
      </c>
      <c r="BI688" s="82">
        <f>$AJ688-$AF688</f>
        <v/>
      </c>
      <c r="BJ688" s="81">
        <f>IFERROR($AJ688/$AG688,"")</f>
        <v/>
      </c>
      <c r="BK688" s="81">
        <f>$X688</f>
        <v/>
      </c>
      <c r="BL688" s="82">
        <f>($J688-$J689)*100</f>
        <v/>
      </c>
      <c r="BM688" s="82">
        <f>($F688-$F689)*100</f>
        <v/>
      </c>
      <c r="BN688" s="82">
        <f>$AF688-$AF689</f>
        <v/>
      </c>
      <c r="BO688" s="82">
        <f>$AG688-$AG689</f>
        <v/>
      </c>
      <c r="BP688" s="82">
        <f>$AJ688-$AJ689</f>
        <v/>
      </c>
    </row>
    <row r="689">
      <c r="AR689" s="81">
        <f>($G689+($H689-$G689)*0.5)+($P689-($O689+($Q689-$O689)*0.5))</f>
        <v/>
      </c>
      <c r="AS689" s="81">
        <f>($J689+($K689-$J689)*0.5)+($T689-($S689+($U689-$S689)*0.5))</f>
        <v/>
      </c>
      <c r="AT689" s="82">
        <f>($J689-$C689)*100</f>
        <v/>
      </c>
      <c r="AU689" s="82">
        <f>($H689-$F689)*100</f>
        <v/>
      </c>
      <c r="AV689" s="82">
        <f>($J689-$F689)*100</f>
        <v/>
      </c>
      <c r="AW689" s="82">
        <f>($L689-$F689)*100</f>
        <v/>
      </c>
      <c r="AX689" s="82">
        <f>($J689-$H689)*100</f>
        <v/>
      </c>
      <c r="AY689" s="82">
        <f>($L689-$H689)*100</f>
        <v/>
      </c>
      <c r="AZ689" s="82">
        <f>($L689-$J689)*100</f>
        <v/>
      </c>
      <c r="BA689" s="82">
        <f>(2*$H689-$F689-$J689)*100</f>
        <v/>
      </c>
      <c r="BB689" s="82">
        <f>(2*$J689-$H689-$L689)*100</f>
        <v/>
      </c>
      <c r="BC689" s="82">
        <f>($N689-$F689)*100</f>
        <v/>
      </c>
      <c r="BD689" s="82">
        <f>($Q689-$H689)*100</f>
        <v/>
      </c>
      <c r="BE689" s="82">
        <f>($S689-$J689)*100</f>
        <v/>
      </c>
      <c r="BF689" s="82">
        <f>($V689-$L689)*100</f>
        <v/>
      </c>
      <c r="BG689" s="82">
        <f>$AG689-$AF689</f>
        <v/>
      </c>
      <c r="BH689" s="81">
        <f>IFERROR($AG689/$AF689,"")</f>
        <v/>
      </c>
      <c r="BI689" s="82">
        <f>$AJ689-$AF689</f>
        <v/>
      </c>
      <c r="BJ689" s="81">
        <f>IFERROR($AJ689/$AG689,"")</f>
        <v/>
      </c>
      <c r="BK689" s="81">
        <f>$X689</f>
        <v/>
      </c>
      <c r="BL689" s="82">
        <f>($J689-$J690)*100</f>
        <v/>
      </c>
      <c r="BM689" s="82">
        <f>($F689-$F690)*100</f>
        <v/>
      </c>
      <c r="BN689" s="82">
        <f>$AF689-$AF690</f>
        <v/>
      </c>
      <c r="BO689" s="82">
        <f>$AG689-$AG690</f>
        <v/>
      </c>
      <c r="BP689" s="82">
        <f>$AJ689-$AJ690</f>
        <v/>
      </c>
    </row>
    <row r="690">
      <c r="AR690" s="81">
        <f>($G690+($H690-$G690)*0.5)+($P690-($O690+($Q690-$O690)*0.5))</f>
        <v/>
      </c>
      <c r="AS690" s="81">
        <f>($J690+($K690-$J690)*0.5)+($T690-($S690+($U690-$S690)*0.5))</f>
        <v/>
      </c>
      <c r="AT690" s="82">
        <f>($J690-$C690)*100</f>
        <v/>
      </c>
      <c r="AU690" s="82">
        <f>($H690-$F690)*100</f>
        <v/>
      </c>
      <c r="AV690" s="82">
        <f>($J690-$F690)*100</f>
        <v/>
      </c>
      <c r="AW690" s="82">
        <f>($L690-$F690)*100</f>
        <v/>
      </c>
      <c r="AX690" s="82">
        <f>($J690-$H690)*100</f>
        <v/>
      </c>
      <c r="AY690" s="82">
        <f>($L690-$H690)*100</f>
        <v/>
      </c>
      <c r="AZ690" s="82">
        <f>($L690-$J690)*100</f>
        <v/>
      </c>
      <c r="BA690" s="82">
        <f>(2*$H690-$F690-$J690)*100</f>
        <v/>
      </c>
      <c r="BB690" s="82">
        <f>(2*$J690-$H690-$L690)*100</f>
        <v/>
      </c>
      <c r="BC690" s="82">
        <f>($N690-$F690)*100</f>
        <v/>
      </c>
      <c r="BD690" s="82">
        <f>($Q690-$H690)*100</f>
        <v/>
      </c>
      <c r="BE690" s="82">
        <f>($S690-$J690)*100</f>
        <v/>
      </c>
      <c r="BF690" s="82">
        <f>($V690-$L690)*100</f>
        <v/>
      </c>
      <c r="BG690" s="82">
        <f>$AG690-$AF690</f>
        <v/>
      </c>
      <c r="BH690" s="81">
        <f>IFERROR($AG690/$AF690,"")</f>
        <v/>
      </c>
      <c r="BI690" s="82">
        <f>$AJ690-$AF690</f>
        <v/>
      </c>
      <c r="BJ690" s="81">
        <f>IFERROR($AJ690/$AG690,"")</f>
        <v/>
      </c>
      <c r="BK690" s="81">
        <f>$X690</f>
        <v/>
      </c>
      <c r="BL690" s="82">
        <f>($J690-$J691)*100</f>
        <v/>
      </c>
      <c r="BM690" s="82">
        <f>($F690-$F691)*100</f>
        <v/>
      </c>
      <c r="BN690" s="82">
        <f>$AF690-$AF691</f>
        <v/>
      </c>
      <c r="BO690" s="82">
        <f>$AG690-$AG691</f>
        <v/>
      </c>
      <c r="BP690" s="82">
        <f>$AJ690-$AJ691</f>
        <v/>
      </c>
    </row>
    <row r="691">
      <c r="AR691" s="81">
        <f>($G691+($H691-$G691)*0.5)+($P691-($O691+($Q691-$O691)*0.5))</f>
        <v/>
      </c>
      <c r="AS691" s="81">
        <f>($J691+($K691-$J691)*0.5)+($T691-($S691+($U691-$S691)*0.5))</f>
        <v/>
      </c>
      <c r="AT691" s="82">
        <f>($J691-$C691)*100</f>
        <v/>
      </c>
      <c r="AU691" s="82">
        <f>($H691-$F691)*100</f>
        <v/>
      </c>
      <c r="AV691" s="82">
        <f>($J691-$F691)*100</f>
        <v/>
      </c>
      <c r="AW691" s="82">
        <f>($L691-$F691)*100</f>
        <v/>
      </c>
      <c r="AX691" s="82">
        <f>($J691-$H691)*100</f>
        <v/>
      </c>
      <c r="AY691" s="82">
        <f>($L691-$H691)*100</f>
        <v/>
      </c>
      <c r="AZ691" s="82">
        <f>($L691-$J691)*100</f>
        <v/>
      </c>
      <c r="BA691" s="82">
        <f>(2*$H691-$F691-$J691)*100</f>
        <v/>
      </c>
      <c r="BB691" s="82">
        <f>(2*$J691-$H691-$L691)*100</f>
        <v/>
      </c>
      <c r="BC691" s="82">
        <f>($N691-$F691)*100</f>
        <v/>
      </c>
      <c r="BD691" s="82">
        <f>($Q691-$H691)*100</f>
        <v/>
      </c>
      <c r="BE691" s="82">
        <f>($S691-$J691)*100</f>
        <v/>
      </c>
      <c r="BF691" s="82">
        <f>($V691-$L691)*100</f>
        <v/>
      </c>
      <c r="BG691" s="82">
        <f>$AG691-$AF691</f>
        <v/>
      </c>
      <c r="BH691" s="81">
        <f>IFERROR($AG691/$AF691,"")</f>
        <v/>
      </c>
      <c r="BI691" s="82">
        <f>$AJ691-$AF691</f>
        <v/>
      </c>
      <c r="BJ691" s="81">
        <f>IFERROR($AJ691/$AG691,"")</f>
        <v/>
      </c>
      <c r="BK691" s="81">
        <f>$X691</f>
        <v/>
      </c>
      <c r="BL691" s="82">
        <f>($J691-$J692)*100</f>
        <v/>
      </c>
      <c r="BM691" s="82">
        <f>($F691-$F692)*100</f>
        <v/>
      </c>
      <c r="BN691" s="82">
        <f>$AF691-$AF692</f>
        <v/>
      </c>
      <c r="BO691" s="82">
        <f>$AG691-$AG692</f>
        <v/>
      </c>
      <c r="BP691" s="82">
        <f>$AJ691-$AJ692</f>
        <v/>
      </c>
    </row>
    <row r="692">
      <c r="AR692" s="81">
        <f>($G692+($H692-$G692)*0.5)+($P692-($O692+($Q692-$O692)*0.5))</f>
        <v/>
      </c>
      <c r="AS692" s="81">
        <f>($J692+($K692-$J692)*0.5)+($T692-($S692+($U692-$S692)*0.5))</f>
        <v/>
      </c>
      <c r="AT692" s="82">
        <f>($J692-$C692)*100</f>
        <v/>
      </c>
      <c r="AU692" s="82">
        <f>($H692-$F692)*100</f>
        <v/>
      </c>
      <c r="AV692" s="82">
        <f>($J692-$F692)*100</f>
        <v/>
      </c>
      <c r="AW692" s="82">
        <f>($L692-$F692)*100</f>
        <v/>
      </c>
      <c r="AX692" s="82">
        <f>($J692-$H692)*100</f>
        <v/>
      </c>
      <c r="AY692" s="82">
        <f>($L692-$H692)*100</f>
        <v/>
      </c>
      <c r="AZ692" s="82">
        <f>($L692-$J692)*100</f>
        <v/>
      </c>
      <c r="BA692" s="82">
        <f>(2*$H692-$F692-$J692)*100</f>
        <v/>
      </c>
      <c r="BB692" s="82">
        <f>(2*$J692-$H692-$L692)*100</f>
        <v/>
      </c>
      <c r="BC692" s="82">
        <f>($N692-$F692)*100</f>
        <v/>
      </c>
      <c r="BD692" s="82">
        <f>($Q692-$H692)*100</f>
        <v/>
      </c>
      <c r="BE692" s="82">
        <f>($S692-$J692)*100</f>
        <v/>
      </c>
      <c r="BF692" s="82">
        <f>($V692-$L692)*100</f>
        <v/>
      </c>
      <c r="BG692" s="82">
        <f>$AG692-$AF692</f>
        <v/>
      </c>
      <c r="BH692" s="81">
        <f>IFERROR($AG692/$AF692,"")</f>
        <v/>
      </c>
      <c r="BI692" s="82">
        <f>$AJ692-$AF692</f>
        <v/>
      </c>
      <c r="BJ692" s="81">
        <f>IFERROR($AJ692/$AG692,"")</f>
        <v/>
      </c>
      <c r="BK692" s="81">
        <f>$X692</f>
        <v/>
      </c>
      <c r="BL692" s="82">
        <f>($J692-$J693)*100</f>
        <v/>
      </c>
      <c r="BM692" s="82">
        <f>($F692-$F693)*100</f>
        <v/>
      </c>
      <c r="BN692" s="82">
        <f>$AF692-$AF693</f>
        <v/>
      </c>
      <c r="BO692" s="82">
        <f>$AG692-$AG693</f>
        <v/>
      </c>
      <c r="BP692" s="82">
        <f>$AJ692-$AJ693</f>
        <v/>
      </c>
    </row>
    <row r="693">
      <c r="AR693" s="81">
        <f>($G693+($H693-$G693)*0.5)+($P693-($O693+($Q693-$O693)*0.5))</f>
        <v/>
      </c>
      <c r="AS693" s="81">
        <f>($J693+($K693-$J693)*0.5)+($T693-($S693+($U693-$S693)*0.5))</f>
        <v/>
      </c>
      <c r="AT693" s="82">
        <f>($J693-$C693)*100</f>
        <v/>
      </c>
      <c r="AU693" s="82">
        <f>($H693-$F693)*100</f>
        <v/>
      </c>
      <c r="AV693" s="82">
        <f>($J693-$F693)*100</f>
        <v/>
      </c>
      <c r="AW693" s="82">
        <f>($L693-$F693)*100</f>
        <v/>
      </c>
      <c r="AX693" s="82">
        <f>($J693-$H693)*100</f>
        <v/>
      </c>
      <c r="AY693" s="82">
        <f>($L693-$H693)*100</f>
        <v/>
      </c>
      <c r="AZ693" s="82">
        <f>($L693-$J693)*100</f>
        <v/>
      </c>
      <c r="BA693" s="82">
        <f>(2*$H693-$F693-$J693)*100</f>
        <v/>
      </c>
      <c r="BB693" s="82">
        <f>(2*$J693-$H693-$L693)*100</f>
        <v/>
      </c>
      <c r="BC693" s="82">
        <f>($N693-$F693)*100</f>
        <v/>
      </c>
      <c r="BD693" s="82">
        <f>($Q693-$H693)*100</f>
        <v/>
      </c>
      <c r="BE693" s="82">
        <f>($S693-$J693)*100</f>
        <v/>
      </c>
      <c r="BF693" s="82">
        <f>($V693-$L693)*100</f>
        <v/>
      </c>
      <c r="BG693" s="82">
        <f>$AG693-$AF693</f>
        <v/>
      </c>
      <c r="BH693" s="81">
        <f>IFERROR($AG693/$AF693,"")</f>
        <v/>
      </c>
      <c r="BI693" s="82">
        <f>$AJ693-$AF693</f>
        <v/>
      </c>
      <c r="BJ693" s="81">
        <f>IFERROR($AJ693/$AG693,"")</f>
        <v/>
      </c>
      <c r="BK693" s="81">
        <f>$X693</f>
        <v/>
      </c>
      <c r="BL693" s="82">
        <f>($J693-$J694)*100</f>
        <v/>
      </c>
      <c r="BM693" s="82">
        <f>($F693-$F694)*100</f>
        <v/>
      </c>
      <c r="BN693" s="82">
        <f>$AF693-$AF694</f>
        <v/>
      </c>
      <c r="BO693" s="82">
        <f>$AG693-$AG694</f>
        <v/>
      </c>
      <c r="BP693" s="82">
        <f>$AJ693-$AJ694</f>
        <v/>
      </c>
    </row>
    <row r="694">
      <c r="AR694" s="81">
        <f>($G694+($H694-$G694)*0.5)+($P694-($O694+($Q694-$O694)*0.5))</f>
        <v/>
      </c>
      <c r="AS694" s="81">
        <f>($J694+($K694-$J694)*0.5)+($T694-($S694+($U694-$S694)*0.5))</f>
        <v/>
      </c>
      <c r="AT694" s="82">
        <f>($J694-$C694)*100</f>
        <v/>
      </c>
      <c r="AU694" s="82">
        <f>($H694-$F694)*100</f>
        <v/>
      </c>
      <c r="AV694" s="82">
        <f>($J694-$F694)*100</f>
        <v/>
      </c>
      <c r="AW694" s="82">
        <f>($L694-$F694)*100</f>
        <v/>
      </c>
      <c r="AX694" s="82">
        <f>($J694-$H694)*100</f>
        <v/>
      </c>
      <c r="AY694" s="82">
        <f>($L694-$H694)*100</f>
        <v/>
      </c>
      <c r="AZ694" s="82">
        <f>($L694-$J694)*100</f>
        <v/>
      </c>
      <c r="BA694" s="82">
        <f>(2*$H694-$F694-$J694)*100</f>
        <v/>
      </c>
      <c r="BB694" s="82">
        <f>(2*$J694-$H694-$L694)*100</f>
        <v/>
      </c>
      <c r="BC694" s="82">
        <f>($N694-$F694)*100</f>
        <v/>
      </c>
      <c r="BD694" s="82">
        <f>($Q694-$H694)*100</f>
        <v/>
      </c>
      <c r="BE694" s="82">
        <f>($S694-$J694)*100</f>
        <v/>
      </c>
      <c r="BF694" s="82">
        <f>($V694-$L694)*100</f>
        <v/>
      </c>
      <c r="BG694" s="82">
        <f>$AG694-$AF694</f>
        <v/>
      </c>
      <c r="BH694" s="81">
        <f>IFERROR($AG694/$AF694,"")</f>
        <v/>
      </c>
      <c r="BI694" s="82">
        <f>$AJ694-$AF694</f>
        <v/>
      </c>
      <c r="BJ694" s="81">
        <f>IFERROR($AJ694/$AG694,"")</f>
        <v/>
      </c>
      <c r="BK694" s="81">
        <f>$X694</f>
        <v/>
      </c>
      <c r="BL694" s="82">
        <f>($J694-$J695)*100</f>
        <v/>
      </c>
      <c r="BM694" s="82">
        <f>($F694-$F695)*100</f>
        <v/>
      </c>
      <c r="BN694" s="82">
        <f>$AF694-$AF695</f>
        <v/>
      </c>
      <c r="BO694" s="82">
        <f>$AG694-$AG695</f>
        <v/>
      </c>
      <c r="BP694" s="82">
        <f>$AJ694-$AJ695</f>
        <v/>
      </c>
    </row>
    <row r="695">
      <c r="AR695" s="81">
        <f>($G695+($H695-$G695)*0.5)+($P695-($O695+($Q695-$O695)*0.5))</f>
        <v/>
      </c>
      <c r="AS695" s="81">
        <f>($J695+($K695-$J695)*0.5)+($T695-($S695+($U695-$S695)*0.5))</f>
        <v/>
      </c>
      <c r="AT695" s="82">
        <f>($J695-$C695)*100</f>
        <v/>
      </c>
      <c r="AU695" s="82">
        <f>($H695-$F695)*100</f>
        <v/>
      </c>
      <c r="AV695" s="82">
        <f>($J695-$F695)*100</f>
        <v/>
      </c>
      <c r="AW695" s="82">
        <f>($L695-$F695)*100</f>
        <v/>
      </c>
      <c r="AX695" s="82">
        <f>($J695-$H695)*100</f>
        <v/>
      </c>
      <c r="AY695" s="82">
        <f>($L695-$H695)*100</f>
        <v/>
      </c>
      <c r="AZ695" s="82">
        <f>($L695-$J695)*100</f>
        <v/>
      </c>
      <c r="BA695" s="82">
        <f>(2*$H695-$F695-$J695)*100</f>
        <v/>
      </c>
      <c r="BB695" s="82">
        <f>(2*$J695-$H695-$L695)*100</f>
        <v/>
      </c>
      <c r="BC695" s="82">
        <f>($N695-$F695)*100</f>
        <v/>
      </c>
      <c r="BD695" s="82">
        <f>($Q695-$H695)*100</f>
        <v/>
      </c>
      <c r="BE695" s="82">
        <f>($S695-$J695)*100</f>
        <v/>
      </c>
      <c r="BF695" s="82">
        <f>($V695-$L695)*100</f>
        <v/>
      </c>
      <c r="BG695" s="82">
        <f>$AG695-$AF695</f>
        <v/>
      </c>
      <c r="BH695" s="81">
        <f>IFERROR($AG695/$AF695,"")</f>
        <v/>
      </c>
      <c r="BI695" s="82">
        <f>$AJ695-$AF695</f>
        <v/>
      </c>
      <c r="BJ695" s="81">
        <f>IFERROR($AJ695/$AG695,"")</f>
        <v/>
      </c>
      <c r="BK695" s="81">
        <f>$X695</f>
        <v/>
      </c>
      <c r="BL695" s="82">
        <f>($J695-$J696)*100</f>
        <v/>
      </c>
      <c r="BM695" s="82">
        <f>($F695-$F696)*100</f>
        <v/>
      </c>
      <c r="BN695" s="82">
        <f>$AF695-$AF696</f>
        <v/>
      </c>
      <c r="BO695" s="82">
        <f>$AG695-$AG696</f>
        <v/>
      </c>
      <c r="BP695" s="82">
        <f>$AJ695-$AJ696</f>
        <v/>
      </c>
    </row>
    <row r="696">
      <c r="AR696" s="81">
        <f>($G696+($H696-$G696)*0.5)+($P696-($O696+($Q696-$O696)*0.5))</f>
        <v/>
      </c>
      <c r="AS696" s="81">
        <f>($J696+($K696-$J696)*0.5)+($T696-($S696+($U696-$S696)*0.5))</f>
        <v/>
      </c>
      <c r="AT696" s="82">
        <f>($J696-$C696)*100</f>
        <v/>
      </c>
      <c r="AU696" s="82">
        <f>($H696-$F696)*100</f>
        <v/>
      </c>
      <c r="AV696" s="82">
        <f>($J696-$F696)*100</f>
        <v/>
      </c>
      <c r="AW696" s="82">
        <f>($L696-$F696)*100</f>
        <v/>
      </c>
      <c r="AX696" s="82">
        <f>($J696-$H696)*100</f>
        <v/>
      </c>
      <c r="AY696" s="82">
        <f>($L696-$H696)*100</f>
        <v/>
      </c>
      <c r="AZ696" s="82">
        <f>($L696-$J696)*100</f>
        <v/>
      </c>
      <c r="BA696" s="82">
        <f>(2*$H696-$F696-$J696)*100</f>
        <v/>
      </c>
      <c r="BB696" s="82">
        <f>(2*$J696-$H696-$L696)*100</f>
        <v/>
      </c>
      <c r="BC696" s="82">
        <f>($N696-$F696)*100</f>
        <v/>
      </c>
      <c r="BD696" s="82">
        <f>($Q696-$H696)*100</f>
        <v/>
      </c>
      <c r="BE696" s="82">
        <f>($S696-$J696)*100</f>
        <v/>
      </c>
      <c r="BF696" s="82">
        <f>($V696-$L696)*100</f>
        <v/>
      </c>
      <c r="BG696" s="82">
        <f>$AG696-$AF696</f>
        <v/>
      </c>
      <c r="BH696" s="81">
        <f>IFERROR($AG696/$AF696,"")</f>
        <v/>
      </c>
      <c r="BI696" s="82">
        <f>$AJ696-$AF696</f>
        <v/>
      </c>
      <c r="BJ696" s="81">
        <f>IFERROR($AJ696/$AG696,"")</f>
        <v/>
      </c>
      <c r="BK696" s="81">
        <f>$X696</f>
        <v/>
      </c>
      <c r="BL696" s="82">
        <f>($J696-$J697)*100</f>
        <v/>
      </c>
      <c r="BM696" s="82">
        <f>($F696-$F697)*100</f>
        <v/>
      </c>
      <c r="BN696" s="82">
        <f>$AF696-$AF697</f>
        <v/>
      </c>
      <c r="BO696" s="82">
        <f>$AG696-$AG697</f>
        <v/>
      </c>
      <c r="BP696" s="82">
        <f>$AJ696-$AJ697</f>
        <v/>
      </c>
    </row>
    <row r="697">
      <c r="AR697" s="81">
        <f>($G697+($H697-$G697)*0.5)+($P697-($O697+($Q697-$O697)*0.5))</f>
        <v/>
      </c>
      <c r="AS697" s="81">
        <f>($J697+($K697-$J697)*0.5)+($T697-($S697+($U697-$S697)*0.5))</f>
        <v/>
      </c>
      <c r="AT697" s="82">
        <f>($J697-$C697)*100</f>
        <v/>
      </c>
      <c r="AU697" s="82">
        <f>($H697-$F697)*100</f>
        <v/>
      </c>
      <c r="AV697" s="82">
        <f>($J697-$F697)*100</f>
        <v/>
      </c>
      <c r="AW697" s="82">
        <f>($L697-$F697)*100</f>
        <v/>
      </c>
      <c r="AX697" s="82">
        <f>($J697-$H697)*100</f>
        <v/>
      </c>
      <c r="AY697" s="82">
        <f>($L697-$H697)*100</f>
        <v/>
      </c>
      <c r="AZ697" s="82">
        <f>($L697-$J697)*100</f>
        <v/>
      </c>
      <c r="BA697" s="82">
        <f>(2*$H697-$F697-$J697)*100</f>
        <v/>
      </c>
      <c r="BB697" s="82">
        <f>(2*$J697-$H697-$L697)*100</f>
        <v/>
      </c>
      <c r="BC697" s="82">
        <f>($N697-$F697)*100</f>
        <v/>
      </c>
      <c r="BD697" s="82">
        <f>($Q697-$H697)*100</f>
        <v/>
      </c>
      <c r="BE697" s="82">
        <f>($S697-$J697)*100</f>
        <v/>
      </c>
      <c r="BF697" s="82">
        <f>($V697-$L697)*100</f>
        <v/>
      </c>
      <c r="BG697" s="82">
        <f>$AG697-$AF697</f>
        <v/>
      </c>
      <c r="BH697" s="81">
        <f>IFERROR($AG697/$AF697,"")</f>
        <v/>
      </c>
      <c r="BI697" s="82">
        <f>$AJ697-$AF697</f>
        <v/>
      </c>
      <c r="BJ697" s="81">
        <f>IFERROR($AJ697/$AG697,"")</f>
        <v/>
      </c>
      <c r="BK697" s="81">
        <f>$X697</f>
        <v/>
      </c>
      <c r="BL697" s="82">
        <f>($J697-$J698)*100</f>
        <v/>
      </c>
      <c r="BM697" s="82">
        <f>($F697-$F698)*100</f>
        <v/>
      </c>
      <c r="BN697" s="82">
        <f>$AF697-$AF698</f>
        <v/>
      </c>
      <c r="BO697" s="82">
        <f>$AG697-$AG698</f>
        <v/>
      </c>
      <c r="BP697" s="82">
        <f>$AJ697-$AJ698</f>
        <v/>
      </c>
    </row>
    <row r="698">
      <c r="AR698" s="81">
        <f>($G698+($H698-$G698)*0.5)+($P698-($O698+($Q698-$O698)*0.5))</f>
        <v/>
      </c>
      <c r="AS698" s="81">
        <f>($J698+($K698-$J698)*0.5)+($T698-($S698+($U698-$S698)*0.5))</f>
        <v/>
      </c>
      <c r="AT698" s="82">
        <f>($J698-$C698)*100</f>
        <v/>
      </c>
      <c r="AU698" s="82">
        <f>($H698-$F698)*100</f>
        <v/>
      </c>
      <c r="AV698" s="82">
        <f>($J698-$F698)*100</f>
        <v/>
      </c>
      <c r="AW698" s="82">
        <f>($L698-$F698)*100</f>
        <v/>
      </c>
      <c r="AX698" s="82">
        <f>($J698-$H698)*100</f>
        <v/>
      </c>
      <c r="AY698" s="82">
        <f>($L698-$H698)*100</f>
        <v/>
      </c>
      <c r="AZ698" s="82">
        <f>($L698-$J698)*100</f>
        <v/>
      </c>
      <c r="BA698" s="82">
        <f>(2*$H698-$F698-$J698)*100</f>
        <v/>
      </c>
      <c r="BB698" s="82">
        <f>(2*$J698-$H698-$L698)*100</f>
        <v/>
      </c>
      <c r="BC698" s="82">
        <f>($N698-$F698)*100</f>
        <v/>
      </c>
      <c r="BD698" s="82">
        <f>($Q698-$H698)*100</f>
        <v/>
      </c>
      <c r="BE698" s="82">
        <f>($S698-$J698)*100</f>
        <v/>
      </c>
      <c r="BF698" s="82">
        <f>($V698-$L698)*100</f>
        <v/>
      </c>
      <c r="BG698" s="82">
        <f>$AG698-$AF698</f>
        <v/>
      </c>
      <c r="BH698" s="81">
        <f>IFERROR($AG698/$AF698,"")</f>
        <v/>
      </c>
      <c r="BI698" s="82">
        <f>$AJ698-$AF698</f>
        <v/>
      </c>
      <c r="BJ698" s="81">
        <f>IFERROR($AJ698/$AG698,"")</f>
        <v/>
      </c>
      <c r="BK698" s="81">
        <f>$X698</f>
        <v/>
      </c>
      <c r="BL698" s="82">
        <f>($J698-$J699)*100</f>
        <v/>
      </c>
      <c r="BM698" s="82">
        <f>($F698-$F699)*100</f>
        <v/>
      </c>
      <c r="BN698" s="82">
        <f>$AF698-$AF699</f>
        <v/>
      </c>
      <c r="BO698" s="82">
        <f>$AG698-$AG699</f>
        <v/>
      </c>
      <c r="BP698" s="82">
        <f>$AJ698-$AJ699</f>
        <v/>
      </c>
    </row>
    <row r="699">
      <c r="AR699" s="81">
        <f>($G699+($H699-$G699)*0.5)+($P699-($O699+($Q699-$O699)*0.5))</f>
        <v/>
      </c>
      <c r="AS699" s="81">
        <f>($J699+($K699-$J699)*0.5)+($T699-($S699+($U699-$S699)*0.5))</f>
        <v/>
      </c>
      <c r="AT699" s="82">
        <f>($J699-$C699)*100</f>
        <v/>
      </c>
      <c r="AU699" s="82">
        <f>($H699-$F699)*100</f>
        <v/>
      </c>
      <c r="AV699" s="82">
        <f>($J699-$F699)*100</f>
        <v/>
      </c>
      <c r="AW699" s="82">
        <f>($L699-$F699)*100</f>
        <v/>
      </c>
      <c r="AX699" s="82">
        <f>($J699-$H699)*100</f>
        <v/>
      </c>
      <c r="AY699" s="82">
        <f>($L699-$H699)*100</f>
        <v/>
      </c>
      <c r="AZ699" s="82">
        <f>($L699-$J699)*100</f>
        <v/>
      </c>
      <c r="BA699" s="82">
        <f>(2*$H699-$F699-$J699)*100</f>
        <v/>
      </c>
      <c r="BB699" s="82">
        <f>(2*$J699-$H699-$L699)*100</f>
        <v/>
      </c>
      <c r="BC699" s="82">
        <f>($N699-$F699)*100</f>
        <v/>
      </c>
      <c r="BD699" s="82">
        <f>($Q699-$H699)*100</f>
        <v/>
      </c>
      <c r="BE699" s="82">
        <f>($S699-$J699)*100</f>
        <v/>
      </c>
      <c r="BF699" s="82">
        <f>($V699-$L699)*100</f>
        <v/>
      </c>
      <c r="BG699" s="82">
        <f>$AG699-$AF699</f>
        <v/>
      </c>
      <c r="BH699" s="81">
        <f>IFERROR($AG699/$AF699,"")</f>
        <v/>
      </c>
      <c r="BI699" s="82">
        <f>$AJ699-$AF699</f>
        <v/>
      </c>
      <c r="BJ699" s="81">
        <f>IFERROR($AJ699/$AG699,"")</f>
        <v/>
      </c>
      <c r="BK699" s="81">
        <f>$X699</f>
        <v/>
      </c>
      <c r="BL699" s="82">
        <f>($J699-$J700)*100</f>
        <v/>
      </c>
      <c r="BM699" s="82">
        <f>($F699-$F700)*100</f>
        <v/>
      </c>
      <c r="BN699" s="82">
        <f>$AF699-$AF700</f>
        <v/>
      </c>
      <c r="BO699" s="82">
        <f>$AG699-$AG700</f>
        <v/>
      </c>
      <c r="BP699" s="82">
        <f>$AJ699-$AJ700</f>
        <v/>
      </c>
    </row>
    <row r="700">
      <c r="AR700" s="81">
        <f>($G700+($H700-$G700)*0.5)+($P700-($O700+($Q700-$O700)*0.5))</f>
        <v/>
      </c>
      <c r="AS700" s="81">
        <f>($J700+($K700-$J700)*0.5)+($T700-($S700+($U700-$S700)*0.5))</f>
        <v/>
      </c>
      <c r="AT700" s="82">
        <f>($J700-$C700)*100</f>
        <v/>
      </c>
      <c r="AU700" s="82">
        <f>($H700-$F700)*100</f>
        <v/>
      </c>
      <c r="AV700" s="82">
        <f>($J700-$F700)*100</f>
        <v/>
      </c>
      <c r="AW700" s="82">
        <f>($L700-$F700)*100</f>
        <v/>
      </c>
      <c r="AX700" s="82">
        <f>($J700-$H700)*100</f>
        <v/>
      </c>
      <c r="AY700" s="82">
        <f>($L700-$H700)*100</f>
        <v/>
      </c>
      <c r="AZ700" s="82">
        <f>($L700-$J700)*100</f>
        <v/>
      </c>
      <c r="BA700" s="82">
        <f>(2*$H700-$F700-$J700)*100</f>
        <v/>
      </c>
      <c r="BB700" s="82">
        <f>(2*$J700-$H700-$L700)*100</f>
        <v/>
      </c>
      <c r="BC700" s="82">
        <f>($N700-$F700)*100</f>
        <v/>
      </c>
      <c r="BD700" s="82">
        <f>($Q700-$H700)*100</f>
        <v/>
      </c>
      <c r="BE700" s="82">
        <f>($S700-$J700)*100</f>
        <v/>
      </c>
      <c r="BF700" s="82">
        <f>($V700-$L700)*100</f>
        <v/>
      </c>
      <c r="BG700" s="82">
        <f>$AG700-$AF700</f>
        <v/>
      </c>
      <c r="BH700" s="81">
        <f>IFERROR($AG700/$AF700,"")</f>
        <v/>
      </c>
      <c r="BI700" s="82">
        <f>$AJ700-$AF700</f>
        <v/>
      </c>
      <c r="BJ700" s="81">
        <f>IFERROR($AJ700/$AG700,"")</f>
        <v/>
      </c>
      <c r="BK700" s="81">
        <f>$X700</f>
        <v/>
      </c>
      <c r="BL700" s="82">
        <f>($J700-$J701)*100</f>
        <v/>
      </c>
      <c r="BM700" s="82">
        <f>($F700-$F701)*100</f>
        <v/>
      </c>
      <c r="BN700" s="82">
        <f>$AF700-$AF701</f>
        <v/>
      </c>
      <c r="BO700" s="82">
        <f>$AG700-$AG701</f>
        <v/>
      </c>
      <c r="BP700" s="82">
        <f>$AJ700-$AJ701</f>
        <v/>
      </c>
    </row>
    <row r="701">
      <c r="AR701" s="81">
        <f>($G701+($H701-$G701)*0.5)+($P701-($O701+($Q701-$O701)*0.5))</f>
        <v/>
      </c>
      <c r="AS701" s="81">
        <f>($J701+($K701-$J701)*0.5)+($T701-($S701+($U701-$S701)*0.5))</f>
        <v/>
      </c>
      <c r="AT701" s="82">
        <f>($J701-$C701)*100</f>
        <v/>
      </c>
      <c r="AU701" s="82">
        <f>($H701-$F701)*100</f>
        <v/>
      </c>
      <c r="AV701" s="82">
        <f>($J701-$F701)*100</f>
        <v/>
      </c>
      <c r="AW701" s="82">
        <f>($L701-$F701)*100</f>
        <v/>
      </c>
      <c r="AX701" s="82">
        <f>($J701-$H701)*100</f>
        <v/>
      </c>
      <c r="AY701" s="82">
        <f>($L701-$H701)*100</f>
        <v/>
      </c>
      <c r="AZ701" s="82">
        <f>($L701-$J701)*100</f>
        <v/>
      </c>
      <c r="BA701" s="82">
        <f>(2*$H701-$F701-$J701)*100</f>
        <v/>
      </c>
      <c r="BB701" s="82">
        <f>(2*$J701-$H701-$L701)*100</f>
        <v/>
      </c>
      <c r="BC701" s="82">
        <f>($N701-$F701)*100</f>
        <v/>
      </c>
      <c r="BD701" s="82">
        <f>($Q701-$H701)*100</f>
        <v/>
      </c>
      <c r="BE701" s="82">
        <f>($S701-$J701)*100</f>
        <v/>
      </c>
      <c r="BF701" s="82">
        <f>($V701-$L701)*100</f>
        <v/>
      </c>
      <c r="BG701" s="82">
        <f>$AG701-$AF701</f>
        <v/>
      </c>
      <c r="BH701" s="81">
        <f>IFERROR($AG701/$AF701,"")</f>
        <v/>
      </c>
      <c r="BI701" s="82">
        <f>$AJ701-$AF701</f>
        <v/>
      </c>
      <c r="BJ701" s="81">
        <f>IFERROR($AJ701/$AG701,"")</f>
        <v/>
      </c>
      <c r="BK701" s="81">
        <f>$X701</f>
        <v/>
      </c>
      <c r="BL701" s="82">
        <f>($J701-$J702)*100</f>
        <v/>
      </c>
      <c r="BM701" s="82">
        <f>($F701-$F702)*100</f>
        <v/>
      </c>
      <c r="BN701" s="82">
        <f>$AF701-$AF702</f>
        <v/>
      </c>
      <c r="BO701" s="82">
        <f>$AG701-$AG702</f>
        <v/>
      </c>
      <c r="BP701" s="82">
        <f>$AJ701-$AJ702</f>
        <v/>
      </c>
    </row>
    <row r="702">
      <c r="AR702" s="81">
        <f>($G702+($H702-$G702)*0.5)+($P702-($O702+($Q702-$O702)*0.5))</f>
        <v/>
      </c>
      <c r="AS702" s="81">
        <f>($J702+($K702-$J702)*0.5)+($T702-($S702+($U702-$S702)*0.5))</f>
        <v/>
      </c>
      <c r="AT702" s="82">
        <f>($J702-$C702)*100</f>
        <v/>
      </c>
      <c r="AU702" s="82">
        <f>($H702-$F702)*100</f>
        <v/>
      </c>
      <c r="AV702" s="82">
        <f>($J702-$F702)*100</f>
        <v/>
      </c>
      <c r="AW702" s="82">
        <f>($L702-$F702)*100</f>
        <v/>
      </c>
      <c r="AX702" s="82">
        <f>($J702-$H702)*100</f>
        <v/>
      </c>
      <c r="AY702" s="82">
        <f>($L702-$H702)*100</f>
        <v/>
      </c>
      <c r="AZ702" s="82">
        <f>($L702-$J702)*100</f>
        <v/>
      </c>
      <c r="BA702" s="82">
        <f>(2*$H702-$F702-$J702)*100</f>
        <v/>
      </c>
      <c r="BB702" s="82">
        <f>(2*$J702-$H702-$L702)*100</f>
        <v/>
      </c>
      <c r="BC702" s="82">
        <f>($N702-$F702)*100</f>
        <v/>
      </c>
      <c r="BD702" s="82">
        <f>($Q702-$H702)*100</f>
        <v/>
      </c>
      <c r="BE702" s="82">
        <f>($S702-$J702)*100</f>
        <v/>
      </c>
      <c r="BF702" s="82">
        <f>($V702-$L702)*100</f>
        <v/>
      </c>
      <c r="BG702" s="82">
        <f>$AG702-$AF702</f>
        <v/>
      </c>
      <c r="BH702" s="81">
        <f>IFERROR($AG702/$AF702,"")</f>
        <v/>
      </c>
      <c r="BI702" s="82">
        <f>$AJ702-$AF702</f>
        <v/>
      </c>
      <c r="BJ702" s="81">
        <f>IFERROR($AJ702/$AG702,"")</f>
        <v/>
      </c>
      <c r="BK702" s="81">
        <f>$X702</f>
        <v/>
      </c>
      <c r="BL702" s="82">
        <f>($J702-$J703)*100</f>
        <v/>
      </c>
      <c r="BM702" s="82">
        <f>($F702-$F703)*100</f>
        <v/>
      </c>
      <c r="BN702" s="82">
        <f>$AF702-$AF703</f>
        <v/>
      </c>
      <c r="BO702" s="82">
        <f>$AG702-$AG703</f>
        <v/>
      </c>
      <c r="BP702" s="82">
        <f>$AJ702-$AJ703</f>
        <v/>
      </c>
    </row>
    <row r="703">
      <c r="AR703" s="81">
        <f>($G703+($H703-$G703)*0.5)+($P703-($O703+($Q703-$O703)*0.5))</f>
        <v/>
      </c>
      <c r="AS703" s="81">
        <f>($J703+($K703-$J703)*0.5)+($T703-($S703+($U703-$S703)*0.5))</f>
        <v/>
      </c>
      <c r="AT703" s="82">
        <f>($J703-$C703)*100</f>
        <v/>
      </c>
      <c r="AU703" s="82">
        <f>($H703-$F703)*100</f>
        <v/>
      </c>
      <c r="AV703" s="82">
        <f>($J703-$F703)*100</f>
        <v/>
      </c>
      <c r="AW703" s="82">
        <f>($L703-$F703)*100</f>
        <v/>
      </c>
      <c r="AX703" s="82">
        <f>($J703-$H703)*100</f>
        <v/>
      </c>
      <c r="AY703" s="82">
        <f>($L703-$H703)*100</f>
        <v/>
      </c>
      <c r="AZ703" s="82">
        <f>($L703-$J703)*100</f>
        <v/>
      </c>
      <c r="BA703" s="82">
        <f>(2*$H703-$F703-$J703)*100</f>
        <v/>
      </c>
      <c r="BB703" s="82">
        <f>(2*$J703-$H703-$L703)*100</f>
        <v/>
      </c>
      <c r="BC703" s="82">
        <f>($N703-$F703)*100</f>
        <v/>
      </c>
      <c r="BD703" s="82">
        <f>($Q703-$H703)*100</f>
        <v/>
      </c>
      <c r="BE703" s="82">
        <f>($S703-$J703)*100</f>
        <v/>
      </c>
      <c r="BF703" s="82">
        <f>($V703-$L703)*100</f>
        <v/>
      </c>
      <c r="BG703" s="82">
        <f>$AG703-$AF703</f>
        <v/>
      </c>
      <c r="BH703" s="81">
        <f>IFERROR($AG703/$AF703,"")</f>
        <v/>
      </c>
      <c r="BI703" s="82">
        <f>$AJ703-$AF703</f>
        <v/>
      </c>
      <c r="BJ703" s="81">
        <f>IFERROR($AJ703/$AG703,"")</f>
        <v/>
      </c>
      <c r="BK703" s="81">
        <f>$X703</f>
        <v/>
      </c>
      <c r="BL703" s="82">
        <f>($J703-$J704)*100</f>
        <v/>
      </c>
      <c r="BM703" s="82">
        <f>($F703-$F704)*100</f>
        <v/>
      </c>
      <c r="BN703" s="82">
        <f>$AF703-$AF704</f>
        <v/>
      </c>
      <c r="BO703" s="82">
        <f>$AG703-$AG704</f>
        <v/>
      </c>
      <c r="BP703" s="82">
        <f>$AJ703-$AJ704</f>
        <v/>
      </c>
    </row>
    <row r="704">
      <c r="AR704" s="81">
        <f>($G704+($H704-$G704)*0.5)+($P704-($O704+($Q704-$O704)*0.5))</f>
        <v/>
      </c>
      <c r="AS704" s="81">
        <f>($J704+($K704-$J704)*0.5)+($T704-($S704+($U704-$S704)*0.5))</f>
        <v/>
      </c>
      <c r="AT704" s="82">
        <f>($J704-$C704)*100</f>
        <v/>
      </c>
      <c r="AU704" s="82">
        <f>($H704-$F704)*100</f>
        <v/>
      </c>
      <c r="AV704" s="82">
        <f>($J704-$F704)*100</f>
        <v/>
      </c>
      <c r="AW704" s="82">
        <f>($L704-$F704)*100</f>
        <v/>
      </c>
      <c r="AX704" s="82">
        <f>($J704-$H704)*100</f>
        <v/>
      </c>
      <c r="AY704" s="82">
        <f>($L704-$H704)*100</f>
        <v/>
      </c>
      <c r="AZ704" s="82">
        <f>($L704-$J704)*100</f>
        <v/>
      </c>
      <c r="BA704" s="82">
        <f>(2*$H704-$F704-$J704)*100</f>
        <v/>
      </c>
      <c r="BB704" s="82">
        <f>(2*$J704-$H704-$L704)*100</f>
        <v/>
      </c>
      <c r="BC704" s="82">
        <f>($N704-$F704)*100</f>
        <v/>
      </c>
      <c r="BD704" s="82">
        <f>($Q704-$H704)*100</f>
        <v/>
      </c>
      <c r="BE704" s="82">
        <f>($S704-$J704)*100</f>
        <v/>
      </c>
      <c r="BF704" s="82">
        <f>($V704-$L704)*100</f>
        <v/>
      </c>
      <c r="BG704" s="82">
        <f>$AG704-$AF704</f>
        <v/>
      </c>
      <c r="BH704" s="81">
        <f>IFERROR($AG704/$AF704,"")</f>
        <v/>
      </c>
      <c r="BI704" s="82">
        <f>$AJ704-$AF704</f>
        <v/>
      </c>
      <c r="BJ704" s="81">
        <f>IFERROR($AJ704/$AG704,"")</f>
        <v/>
      </c>
      <c r="BK704" s="81">
        <f>$X704</f>
        <v/>
      </c>
      <c r="BL704" s="82">
        <f>($J704-$J705)*100</f>
        <v/>
      </c>
      <c r="BM704" s="82">
        <f>($F704-$F705)*100</f>
        <v/>
      </c>
      <c r="BN704" s="82">
        <f>$AF704-$AF705</f>
        <v/>
      </c>
      <c r="BO704" s="82">
        <f>$AG704-$AG705</f>
        <v/>
      </c>
      <c r="BP704" s="82">
        <f>$AJ704-$AJ705</f>
        <v/>
      </c>
    </row>
    <row r="705">
      <c r="AR705" s="81">
        <f>($G705+($H705-$G705)*0.5)+($P705-($O705+($Q705-$O705)*0.5))</f>
        <v/>
      </c>
      <c r="AS705" s="81">
        <f>($J705+($K705-$J705)*0.5)+($T705-($S705+($U705-$S705)*0.5))</f>
        <v/>
      </c>
      <c r="AT705" s="82">
        <f>($J705-$C705)*100</f>
        <v/>
      </c>
      <c r="AU705" s="82">
        <f>($H705-$F705)*100</f>
        <v/>
      </c>
      <c r="AV705" s="82">
        <f>($J705-$F705)*100</f>
        <v/>
      </c>
      <c r="AW705" s="82">
        <f>($L705-$F705)*100</f>
        <v/>
      </c>
      <c r="AX705" s="82">
        <f>($J705-$H705)*100</f>
        <v/>
      </c>
      <c r="AY705" s="82">
        <f>($L705-$H705)*100</f>
        <v/>
      </c>
      <c r="AZ705" s="82">
        <f>($L705-$J705)*100</f>
        <v/>
      </c>
      <c r="BA705" s="82">
        <f>(2*$H705-$F705-$J705)*100</f>
        <v/>
      </c>
      <c r="BB705" s="82">
        <f>(2*$J705-$H705-$L705)*100</f>
        <v/>
      </c>
      <c r="BC705" s="82">
        <f>($N705-$F705)*100</f>
        <v/>
      </c>
      <c r="BD705" s="82">
        <f>($Q705-$H705)*100</f>
        <v/>
      </c>
      <c r="BE705" s="82">
        <f>($S705-$J705)*100</f>
        <v/>
      </c>
      <c r="BF705" s="82">
        <f>($V705-$L705)*100</f>
        <v/>
      </c>
      <c r="BG705" s="82">
        <f>$AG705-$AF705</f>
        <v/>
      </c>
      <c r="BH705" s="81">
        <f>IFERROR($AG705/$AF705,"")</f>
        <v/>
      </c>
      <c r="BI705" s="82">
        <f>$AJ705-$AF705</f>
        <v/>
      </c>
      <c r="BJ705" s="81">
        <f>IFERROR($AJ705/$AG705,"")</f>
        <v/>
      </c>
      <c r="BK705" s="81">
        <f>$X705</f>
        <v/>
      </c>
      <c r="BL705" s="82">
        <f>($J705-$J706)*100</f>
        <v/>
      </c>
      <c r="BM705" s="82">
        <f>($F705-$F706)*100</f>
        <v/>
      </c>
      <c r="BN705" s="82">
        <f>$AF705-$AF706</f>
        <v/>
      </c>
      <c r="BO705" s="82">
        <f>$AG705-$AG706</f>
        <v/>
      </c>
      <c r="BP705" s="82">
        <f>$AJ705-$AJ706</f>
        <v/>
      </c>
    </row>
    <row r="706">
      <c r="AR706" s="81">
        <f>($G706+($H706-$G706)*0.5)+($P706-($O706+($Q706-$O706)*0.5))</f>
        <v/>
      </c>
      <c r="AS706" s="81">
        <f>($J706+($K706-$J706)*0.5)+($T706-($S706+($U706-$S706)*0.5))</f>
        <v/>
      </c>
      <c r="AT706" s="82">
        <f>($J706-$C706)*100</f>
        <v/>
      </c>
      <c r="AU706" s="82">
        <f>($H706-$F706)*100</f>
        <v/>
      </c>
      <c r="AV706" s="82">
        <f>($J706-$F706)*100</f>
        <v/>
      </c>
      <c r="AW706" s="82">
        <f>($L706-$F706)*100</f>
        <v/>
      </c>
      <c r="AX706" s="82">
        <f>($J706-$H706)*100</f>
        <v/>
      </c>
      <c r="AY706" s="82">
        <f>($L706-$H706)*100</f>
        <v/>
      </c>
      <c r="AZ706" s="82">
        <f>($L706-$J706)*100</f>
        <v/>
      </c>
      <c r="BA706" s="82">
        <f>(2*$H706-$F706-$J706)*100</f>
        <v/>
      </c>
      <c r="BB706" s="82">
        <f>(2*$J706-$H706-$L706)*100</f>
        <v/>
      </c>
      <c r="BC706" s="82">
        <f>($N706-$F706)*100</f>
        <v/>
      </c>
      <c r="BD706" s="82">
        <f>($Q706-$H706)*100</f>
        <v/>
      </c>
      <c r="BE706" s="82">
        <f>($S706-$J706)*100</f>
        <v/>
      </c>
      <c r="BF706" s="82">
        <f>($V706-$L706)*100</f>
        <v/>
      </c>
      <c r="BG706" s="82">
        <f>$AG706-$AF706</f>
        <v/>
      </c>
      <c r="BH706" s="81">
        <f>IFERROR($AG706/$AF706,"")</f>
        <v/>
      </c>
      <c r="BI706" s="82">
        <f>$AJ706-$AF706</f>
        <v/>
      </c>
      <c r="BJ706" s="81">
        <f>IFERROR($AJ706/$AG706,"")</f>
        <v/>
      </c>
      <c r="BK706" s="81">
        <f>$X706</f>
        <v/>
      </c>
      <c r="BL706" s="82">
        <f>($J706-$J707)*100</f>
        <v/>
      </c>
      <c r="BM706" s="82">
        <f>($F706-$F707)*100</f>
        <v/>
      </c>
      <c r="BN706" s="82">
        <f>$AF706-$AF707</f>
        <v/>
      </c>
      <c r="BO706" s="82">
        <f>$AG706-$AG707</f>
        <v/>
      </c>
      <c r="BP706" s="82">
        <f>$AJ706-$AJ707</f>
        <v/>
      </c>
    </row>
    <row r="707">
      <c r="AR707" s="81">
        <f>($G707+($H707-$G707)*0.5)+($P707-($O707+($Q707-$O707)*0.5))</f>
        <v/>
      </c>
      <c r="AS707" s="81">
        <f>($J707+($K707-$J707)*0.5)+($T707-($S707+($U707-$S707)*0.5))</f>
        <v/>
      </c>
      <c r="AT707" s="82">
        <f>($J707-$C707)*100</f>
        <v/>
      </c>
      <c r="AU707" s="82">
        <f>($H707-$F707)*100</f>
        <v/>
      </c>
      <c r="AV707" s="82">
        <f>($J707-$F707)*100</f>
        <v/>
      </c>
      <c r="AW707" s="82">
        <f>($L707-$F707)*100</f>
        <v/>
      </c>
      <c r="AX707" s="82">
        <f>($J707-$H707)*100</f>
        <v/>
      </c>
      <c r="AY707" s="82">
        <f>($L707-$H707)*100</f>
        <v/>
      </c>
      <c r="AZ707" s="82">
        <f>($L707-$J707)*100</f>
        <v/>
      </c>
      <c r="BA707" s="82">
        <f>(2*$H707-$F707-$J707)*100</f>
        <v/>
      </c>
      <c r="BB707" s="82">
        <f>(2*$J707-$H707-$L707)*100</f>
        <v/>
      </c>
      <c r="BC707" s="82">
        <f>($N707-$F707)*100</f>
        <v/>
      </c>
      <c r="BD707" s="82">
        <f>($Q707-$H707)*100</f>
        <v/>
      </c>
      <c r="BE707" s="82">
        <f>($S707-$J707)*100</f>
        <v/>
      </c>
      <c r="BF707" s="82">
        <f>($V707-$L707)*100</f>
        <v/>
      </c>
      <c r="BG707" s="82">
        <f>$AG707-$AF707</f>
        <v/>
      </c>
      <c r="BH707" s="81">
        <f>IFERROR($AG707/$AF707,"")</f>
        <v/>
      </c>
      <c r="BI707" s="82">
        <f>$AJ707-$AF707</f>
        <v/>
      </c>
      <c r="BJ707" s="81">
        <f>IFERROR($AJ707/$AG707,"")</f>
        <v/>
      </c>
      <c r="BK707" s="81">
        <f>$X707</f>
        <v/>
      </c>
      <c r="BL707" s="82">
        <f>($J707-$J708)*100</f>
        <v/>
      </c>
      <c r="BM707" s="82">
        <f>($F707-$F708)*100</f>
        <v/>
      </c>
      <c r="BN707" s="82">
        <f>$AF707-$AF708</f>
        <v/>
      </c>
      <c r="BO707" s="82">
        <f>$AG707-$AG708</f>
        <v/>
      </c>
      <c r="BP707" s="82">
        <f>$AJ707-$AJ708</f>
        <v/>
      </c>
    </row>
    <row r="708">
      <c r="AR708" s="81">
        <f>($G708+($H708-$G708)*0.5)+($P708-($O708+($Q708-$O708)*0.5))</f>
        <v/>
      </c>
      <c r="AS708" s="81">
        <f>($J708+($K708-$J708)*0.5)+($T708-($S708+($U708-$S708)*0.5))</f>
        <v/>
      </c>
      <c r="AT708" s="82">
        <f>($J708-$C708)*100</f>
        <v/>
      </c>
      <c r="AU708" s="82">
        <f>($H708-$F708)*100</f>
        <v/>
      </c>
      <c r="AV708" s="82">
        <f>($J708-$F708)*100</f>
        <v/>
      </c>
      <c r="AW708" s="82">
        <f>($L708-$F708)*100</f>
        <v/>
      </c>
      <c r="AX708" s="82">
        <f>($J708-$H708)*100</f>
        <v/>
      </c>
      <c r="AY708" s="82">
        <f>($L708-$H708)*100</f>
        <v/>
      </c>
      <c r="AZ708" s="82">
        <f>($L708-$J708)*100</f>
        <v/>
      </c>
      <c r="BA708" s="82">
        <f>(2*$H708-$F708-$J708)*100</f>
        <v/>
      </c>
      <c r="BB708" s="82">
        <f>(2*$J708-$H708-$L708)*100</f>
        <v/>
      </c>
      <c r="BC708" s="82">
        <f>($N708-$F708)*100</f>
        <v/>
      </c>
      <c r="BD708" s="82">
        <f>($Q708-$H708)*100</f>
        <v/>
      </c>
      <c r="BE708" s="82">
        <f>($S708-$J708)*100</f>
        <v/>
      </c>
      <c r="BF708" s="82">
        <f>($V708-$L708)*100</f>
        <v/>
      </c>
      <c r="BG708" s="82">
        <f>$AG708-$AF708</f>
        <v/>
      </c>
      <c r="BH708" s="81">
        <f>IFERROR($AG708/$AF708,"")</f>
        <v/>
      </c>
      <c r="BI708" s="82">
        <f>$AJ708-$AF708</f>
        <v/>
      </c>
      <c r="BJ708" s="81">
        <f>IFERROR($AJ708/$AG708,"")</f>
        <v/>
      </c>
      <c r="BK708" s="81">
        <f>$X708</f>
        <v/>
      </c>
      <c r="BL708" s="82">
        <f>($J708-$J709)*100</f>
        <v/>
      </c>
      <c r="BM708" s="82">
        <f>($F708-$F709)*100</f>
        <v/>
      </c>
      <c r="BN708" s="82">
        <f>$AF708-$AF709</f>
        <v/>
      </c>
      <c r="BO708" s="82">
        <f>$AG708-$AG709</f>
        <v/>
      </c>
      <c r="BP708" s="82">
        <f>$AJ708-$AJ709</f>
        <v/>
      </c>
    </row>
    <row r="709">
      <c r="AR709" s="81">
        <f>($G709+($H709-$G709)*0.5)+($P709-($O709+($Q709-$O709)*0.5))</f>
        <v/>
      </c>
      <c r="AS709" s="81">
        <f>($J709+($K709-$J709)*0.5)+($T709-($S709+($U709-$S709)*0.5))</f>
        <v/>
      </c>
      <c r="AT709" s="82">
        <f>($J709-$C709)*100</f>
        <v/>
      </c>
      <c r="AU709" s="82">
        <f>($H709-$F709)*100</f>
        <v/>
      </c>
      <c r="AV709" s="82">
        <f>($J709-$F709)*100</f>
        <v/>
      </c>
      <c r="AW709" s="82">
        <f>($L709-$F709)*100</f>
        <v/>
      </c>
      <c r="AX709" s="82">
        <f>($J709-$H709)*100</f>
        <v/>
      </c>
      <c r="AY709" s="82">
        <f>($L709-$H709)*100</f>
        <v/>
      </c>
      <c r="AZ709" s="82">
        <f>($L709-$J709)*100</f>
        <v/>
      </c>
      <c r="BA709" s="82">
        <f>(2*$H709-$F709-$J709)*100</f>
        <v/>
      </c>
      <c r="BB709" s="82">
        <f>(2*$J709-$H709-$L709)*100</f>
        <v/>
      </c>
      <c r="BC709" s="82">
        <f>($N709-$F709)*100</f>
        <v/>
      </c>
      <c r="BD709" s="82">
        <f>($Q709-$H709)*100</f>
        <v/>
      </c>
      <c r="BE709" s="82">
        <f>($S709-$J709)*100</f>
        <v/>
      </c>
      <c r="BF709" s="82">
        <f>($V709-$L709)*100</f>
        <v/>
      </c>
      <c r="BG709" s="82">
        <f>$AG709-$AF709</f>
        <v/>
      </c>
      <c r="BH709" s="81">
        <f>IFERROR($AG709/$AF709,"")</f>
        <v/>
      </c>
      <c r="BI709" s="82">
        <f>$AJ709-$AF709</f>
        <v/>
      </c>
      <c r="BJ709" s="81">
        <f>IFERROR($AJ709/$AG709,"")</f>
        <v/>
      </c>
      <c r="BK709" s="81">
        <f>$X709</f>
        <v/>
      </c>
      <c r="BL709" s="82">
        <f>($J709-$J710)*100</f>
        <v/>
      </c>
      <c r="BM709" s="82">
        <f>($F709-$F710)*100</f>
        <v/>
      </c>
      <c r="BN709" s="82">
        <f>$AF709-$AF710</f>
        <v/>
      </c>
      <c r="BO709" s="82">
        <f>$AG709-$AG710</f>
        <v/>
      </c>
      <c r="BP709" s="82">
        <f>$AJ709-$AJ710</f>
        <v/>
      </c>
    </row>
    <row r="710">
      <c r="AR710" s="81">
        <f>($G710+($H710-$G710)*0.5)+($P710-($O710+($Q710-$O710)*0.5))</f>
        <v/>
      </c>
      <c r="AS710" s="81">
        <f>($J710+($K710-$J710)*0.5)+($T710-($S710+($U710-$S710)*0.5))</f>
        <v/>
      </c>
      <c r="AT710" s="82">
        <f>($J710-$C710)*100</f>
        <v/>
      </c>
      <c r="AU710" s="82">
        <f>($H710-$F710)*100</f>
        <v/>
      </c>
      <c r="AV710" s="82">
        <f>($J710-$F710)*100</f>
        <v/>
      </c>
      <c r="AW710" s="82">
        <f>($L710-$F710)*100</f>
        <v/>
      </c>
      <c r="AX710" s="82">
        <f>($J710-$H710)*100</f>
        <v/>
      </c>
      <c r="AY710" s="82">
        <f>($L710-$H710)*100</f>
        <v/>
      </c>
      <c r="AZ710" s="82">
        <f>($L710-$J710)*100</f>
        <v/>
      </c>
      <c r="BA710" s="82">
        <f>(2*$H710-$F710-$J710)*100</f>
        <v/>
      </c>
      <c r="BB710" s="82">
        <f>(2*$J710-$H710-$L710)*100</f>
        <v/>
      </c>
      <c r="BC710" s="82">
        <f>($N710-$F710)*100</f>
        <v/>
      </c>
      <c r="BD710" s="82">
        <f>($Q710-$H710)*100</f>
        <v/>
      </c>
      <c r="BE710" s="82">
        <f>($S710-$J710)*100</f>
        <v/>
      </c>
      <c r="BF710" s="82">
        <f>($V710-$L710)*100</f>
        <v/>
      </c>
      <c r="BG710" s="82">
        <f>$AG710-$AF710</f>
        <v/>
      </c>
      <c r="BH710" s="81">
        <f>IFERROR($AG710/$AF710,"")</f>
        <v/>
      </c>
      <c r="BI710" s="82">
        <f>$AJ710-$AF710</f>
        <v/>
      </c>
      <c r="BJ710" s="81">
        <f>IFERROR($AJ710/$AG710,"")</f>
        <v/>
      </c>
      <c r="BK710" s="81">
        <f>$X710</f>
        <v/>
      </c>
      <c r="BL710" s="82">
        <f>($J710-$J711)*100</f>
        <v/>
      </c>
      <c r="BM710" s="82">
        <f>($F710-$F711)*100</f>
        <v/>
      </c>
      <c r="BN710" s="82">
        <f>$AF710-$AF711</f>
        <v/>
      </c>
      <c r="BO710" s="82">
        <f>$AG710-$AG711</f>
        <v/>
      </c>
      <c r="BP710" s="82">
        <f>$AJ710-$AJ711</f>
        <v/>
      </c>
    </row>
    <row r="711">
      <c r="AR711" s="81">
        <f>($G711+($H711-$G711)*0.5)+($P711-($O711+($Q711-$O711)*0.5))</f>
        <v/>
      </c>
      <c r="AS711" s="81">
        <f>($J711+($K711-$J711)*0.5)+($T711-($S711+($U711-$S711)*0.5))</f>
        <v/>
      </c>
      <c r="AT711" s="82">
        <f>($J711-$C711)*100</f>
        <v/>
      </c>
      <c r="AU711" s="82">
        <f>($H711-$F711)*100</f>
        <v/>
      </c>
      <c r="AV711" s="82">
        <f>($J711-$F711)*100</f>
        <v/>
      </c>
      <c r="AW711" s="82">
        <f>($L711-$F711)*100</f>
        <v/>
      </c>
      <c r="AX711" s="82">
        <f>($J711-$H711)*100</f>
        <v/>
      </c>
      <c r="AY711" s="82">
        <f>($L711-$H711)*100</f>
        <v/>
      </c>
      <c r="AZ711" s="82">
        <f>($L711-$J711)*100</f>
        <v/>
      </c>
      <c r="BA711" s="82">
        <f>(2*$H711-$F711-$J711)*100</f>
        <v/>
      </c>
      <c r="BB711" s="82">
        <f>(2*$J711-$H711-$L711)*100</f>
        <v/>
      </c>
      <c r="BC711" s="82">
        <f>($N711-$F711)*100</f>
        <v/>
      </c>
      <c r="BD711" s="82">
        <f>($Q711-$H711)*100</f>
        <v/>
      </c>
      <c r="BE711" s="82">
        <f>($S711-$J711)*100</f>
        <v/>
      </c>
      <c r="BF711" s="82">
        <f>($V711-$L711)*100</f>
        <v/>
      </c>
      <c r="BG711" s="82">
        <f>$AG711-$AF711</f>
        <v/>
      </c>
      <c r="BH711" s="81">
        <f>IFERROR($AG711/$AF711,"")</f>
        <v/>
      </c>
      <c r="BI711" s="82">
        <f>$AJ711-$AF711</f>
        <v/>
      </c>
      <c r="BJ711" s="81">
        <f>IFERROR($AJ711/$AG711,"")</f>
        <v/>
      </c>
      <c r="BK711" s="81">
        <f>$X711</f>
        <v/>
      </c>
      <c r="BL711" s="82">
        <f>($J711-$J712)*100</f>
        <v/>
      </c>
      <c r="BM711" s="82">
        <f>($F711-$F712)*100</f>
        <v/>
      </c>
      <c r="BN711" s="82">
        <f>$AF711-$AF712</f>
        <v/>
      </c>
      <c r="BO711" s="82">
        <f>$AG711-$AG712</f>
        <v/>
      </c>
      <c r="BP711" s="82">
        <f>$AJ711-$AJ712</f>
        <v/>
      </c>
    </row>
    <row r="712">
      <c r="AR712" s="81">
        <f>($G712+($H712-$G712)*0.5)+($P712-($O712+($Q712-$O712)*0.5))</f>
        <v/>
      </c>
      <c r="AS712" s="81">
        <f>($J712+($K712-$J712)*0.5)+($T712-($S712+($U712-$S712)*0.5))</f>
        <v/>
      </c>
      <c r="AT712" s="82">
        <f>($J712-$C712)*100</f>
        <v/>
      </c>
      <c r="AU712" s="82">
        <f>($H712-$F712)*100</f>
        <v/>
      </c>
      <c r="AV712" s="82">
        <f>($J712-$F712)*100</f>
        <v/>
      </c>
      <c r="AW712" s="82">
        <f>($L712-$F712)*100</f>
        <v/>
      </c>
      <c r="AX712" s="82">
        <f>($J712-$H712)*100</f>
        <v/>
      </c>
      <c r="AY712" s="82">
        <f>($L712-$H712)*100</f>
        <v/>
      </c>
      <c r="AZ712" s="82">
        <f>($L712-$J712)*100</f>
        <v/>
      </c>
      <c r="BA712" s="82">
        <f>(2*$H712-$F712-$J712)*100</f>
        <v/>
      </c>
      <c r="BB712" s="82">
        <f>(2*$J712-$H712-$L712)*100</f>
        <v/>
      </c>
      <c r="BC712" s="82">
        <f>($N712-$F712)*100</f>
        <v/>
      </c>
      <c r="BD712" s="82">
        <f>($Q712-$H712)*100</f>
        <v/>
      </c>
      <c r="BE712" s="82">
        <f>($S712-$J712)*100</f>
        <v/>
      </c>
      <c r="BF712" s="82">
        <f>($V712-$L712)*100</f>
        <v/>
      </c>
      <c r="BG712" s="82">
        <f>$AG712-$AF712</f>
        <v/>
      </c>
      <c r="BH712" s="81">
        <f>IFERROR($AG712/$AF712,"")</f>
        <v/>
      </c>
      <c r="BI712" s="82">
        <f>$AJ712-$AF712</f>
        <v/>
      </c>
      <c r="BJ712" s="81">
        <f>IFERROR($AJ712/$AG712,"")</f>
        <v/>
      </c>
      <c r="BK712" s="81">
        <f>$X712</f>
        <v/>
      </c>
      <c r="BL712" s="82">
        <f>($J712-$J713)*100</f>
        <v/>
      </c>
      <c r="BM712" s="82">
        <f>($F712-$F713)*100</f>
        <v/>
      </c>
      <c r="BN712" s="82">
        <f>$AF712-$AF713</f>
        <v/>
      </c>
      <c r="BO712" s="82">
        <f>$AG712-$AG713</f>
        <v/>
      </c>
      <c r="BP712" s="82">
        <f>$AJ712-$AJ713</f>
        <v/>
      </c>
    </row>
    <row r="713">
      <c r="AR713" s="81">
        <f>($G713+($H713-$G713)*0.5)+($P713-($O713+($Q713-$O713)*0.5))</f>
        <v/>
      </c>
      <c r="AS713" s="81">
        <f>($J713+($K713-$J713)*0.5)+($T713-($S713+($U713-$S713)*0.5))</f>
        <v/>
      </c>
      <c r="AT713" s="82">
        <f>($J713-$C713)*100</f>
        <v/>
      </c>
      <c r="AU713" s="82">
        <f>($H713-$F713)*100</f>
        <v/>
      </c>
      <c r="AV713" s="82">
        <f>($J713-$F713)*100</f>
        <v/>
      </c>
      <c r="AW713" s="82">
        <f>($L713-$F713)*100</f>
        <v/>
      </c>
      <c r="AX713" s="82">
        <f>($J713-$H713)*100</f>
        <v/>
      </c>
      <c r="AY713" s="82">
        <f>($L713-$H713)*100</f>
        <v/>
      </c>
      <c r="AZ713" s="82">
        <f>($L713-$J713)*100</f>
        <v/>
      </c>
      <c r="BA713" s="82">
        <f>(2*$H713-$F713-$J713)*100</f>
        <v/>
      </c>
      <c r="BB713" s="82">
        <f>(2*$J713-$H713-$L713)*100</f>
        <v/>
      </c>
      <c r="BC713" s="82">
        <f>($N713-$F713)*100</f>
        <v/>
      </c>
      <c r="BD713" s="82">
        <f>($Q713-$H713)*100</f>
        <v/>
      </c>
      <c r="BE713" s="82">
        <f>($S713-$J713)*100</f>
        <v/>
      </c>
      <c r="BF713" s="82">
        <f>($V713-$L713)*100</f>
        <v/>
      </c>
      <c r="BG713" s="82">
        <f>$AG713-$AF713</f>
        <v/>
      </c>
      <c r="BH713" s="81">
        <f>IFERROR($AG713/$AF713,"")</f>
        <v/>
      </c>
      <c r="BI713" s="82">
        <f>$AJ713-$AF713</f>
        <v/>
      </c>
      <c r="BJ713" s="81">
        <f>IFERROR($AJ713/$AG713,"")</f>
        <v/>
      </c>
      <c r="BK713" s="81">
        <f>$X713</f>
        <v/>
      </c>
      <c r="BL713" s="82">
        <f>($J713-$J714)*100</f>
        <v/>
      </c>
      <c r="BM713" s="82">
        <f>($F713-$F714)*100</f>
        <v/>
      </c>
      <c r="BN713" s="82">
        <f>$AF713-$AF714</f>
        <v/>
      </c>
      <c r="BO713" s="82">
        <f>$AG713-$AG714</f>
        <v/>
      </c>
      <c r="BP713" s="82">
        <f>$AJ713-$AJ714</f>
        <v/>
      </c>
    </row>
    <row r="714">
      <c r="AR714" s="81">
        <f>($G714+($H714-$G714)*0.5)+($P714-($O714+($Q714-$O714)*0.5))</f>
        <v/>
      </c>
      <c r="AS714" s="81">
        <f>($J714+($K714-$J714)*0.5)+($T714-($S714+($U714-$S714)*0.5))</f>
        <v/>
      </c>
      <c r="AT714" s="82">
        <f>($J714-$C714)*100</f>
        <v/>
      </c>
      <c r="AU714" s="82">
        <f>($H714-$F714)*100</f>
        <v/>
      </c>
      <c r="AV714" s="82">
        <f>($J714-$F714)*100</f>
        <v/>
      </c>
      <c r="AW714" s="82">
        <f>($L714-$F714)*100</f>
        <v/>
      </c>
      <c r="AX714" s="82">
        <f>($J714-$H714)*100</f>
        <v/>
      </c>
      <c r="AY714" s="82">
        <f>($L714-$H714)*100</f>
        <v/>
      </c>
      <c r="AZ714" s="82">
        <f>($L714-$J714)*100</f>
        <v/>
      </c>
      <c r="BA714" s="82">
        <f>(2*$H714-$F714-$J714)*100</f>
        <v/>
      </c>
      <c r="BB714" s="82">
        <f>(2*$J714-$H714-$L714)*100</f>
        <v/>
      </c>
      <c r="BC714" s="82">
        <f>($N714-$F714)*100</f>
        <v/>
      </c>
      <c r="BD714" s="82">
        <f>($Q714-$H714)*100</f>
        <v/>
      </c>
      <c r="BE714" s="82">
        <f>($S714-$J714)*100</f>
        <v/>
      </c>
      <c r="BF714" s="82">
        <f>($V714-$L714)*100</f>
        <v/>
      </c>
      <c r="BG714" s="82">
        <f>$AG714-$AF714</f>
        <v/>
      </c>
      <c r="BH714" s="81">
        <f>IFERROR($AG714/$AF714,"")</f>
        <v/>
      </c>
      <c r="BI714" s="82">
        <f>$AJ714-$AF714</f>
        <v/>
      </c>
      <c r="BJ714" s="81">
        <f>IFERROR($AJ714/$AG714,"")</f>
        <v/>
      </c>
      <c r="BK714" s="81">
        <f>$X714</f>
        <v/>
      </c>
      <c r="BL714" s="82">
        <f>($J714-$J715)*100</f>
        <v/>
      </c>
      <c r="BM714" s="82">
        <f>($F714-$F715)*100</f>
        <v/>
      </c>
      <c r="BN714" s="82">
        <f>$AF714-$AF715</f>
        <v/>
      </c>
      <c r="BO714" s="82">
        <f>$AG714-$AG715</f>
        <v/>
      </c>
      <c r="BP714" s="82">
        <f>$AJ714-$AJ715</f>
        <v/>
      </c>
    </row>
    <row r="715">
      <c r="AR715" s="81">
        <f>($G715+($H715-$G715)*0.5)+($P715-($O715+($Q715-$O715)*0.5))</f>
        <v/>
      </c>
      <c r="AS715" s="81">
        <f>($J715+($K715-$J715)*0.5)+($T715-($S715+($U715-$S715)*0.5))</f>
        <v/>
      </c>
      <c r="AT715" s="82">
        <f>($J715-$C715)*100</f>
        <v/>
      </c>
      <c r="AU715" s="82">
        <f>($H715-$F715)*100</f>
        <v/>
      </c>
      <c r="AV715" s="82">
        <f>($J715-$F715)*100</f>
        <v/>
      </c>
      <c r="AW715" s="82">
        <f>($L715-$F715)*100</f>
        <v/>
      </c>
      <c r="AX715" s="82">
        <f>($J715-$H715)*100</f>
        <v/>
      </c>
      <c r="AY715" s="82">
        <f>($L715-$H715)*100</f>
        <v/>
      </c>
      <c r="AZ715" s="82">
        <f>($L715-$J715)*100</f>
        <v/>
      </c>
      <c r="BA715" s="82">
        <f>(2*$H715-$F715-$J715)*100</f>
        <v/>
      </c>
      <c r="BB715" s="82">
        <f>(2*$J715-$H715-$L715)*100</f>
        <v/>
      </c>
      <c r="BC715" s="82">
        <f>($N715-$F715)*100</f>
        <v/>
      </c>
      <c r="BD715" s="82">
        <f>($Q715-$H715)*100</f>
        <v/>
      </c>
      <c r="BE715" s="82">
        <f>($S715-$J715)*100</f>
        <v/>
      </c>
      <c r="BF715" s="82">
        <f>($V715-$L715)*100</f>
        <v/>
      </c>
      <c r="BG715" s="82">
        <f>$AG715-$AF715</f>
        <v/>
      </c>
      <c r="BH715" s="81">
        <f>IFERROR($AG715/$AF715,"")</f>
        <v/>
      </c>
      <c r="BI715" s="82">
        <f>$AJ715-$AF715</f>
        <v/>
      </c>
      <c r="BJ715" s="81">
        <f>IFERROR($AJ715/$AG715,"")</f>
        <v/>
      </c>
      <c r="BK715" s="81">
        <f>$X715</f>
        <v/>
      </c>
      <c r="BL715" s="82">
        <f>($J715-$J716)*100</f>
        <v/>
      </c>
      <c r="BM715" s="82">
        <f>($F715-$F716)*100</f>
        <v/>
      </c>
      <c r="BN715" s="82">
        <f>$AF715-$AF716</f>
        <v/>
      </c>
      <c r="BO715" s="82">
        <f>$AG715-$AG716</f>
        <v/>
      </c>
      <c r="BP715" s="82">
        <f>$AJ715-$AJ716</f>
        <v/>
      </c>
    </row>
    <row r="716">
      <c r="AR716" s="81">
        <f>($G716+($H716-$G716)*0.5)+($P716-($O716+($Q716-$O716)*0.5))</f>
        <v/>
      </c>
      <c r="AS716" s="81">
        <f>($J716+($K716-$J716)*0.5)+($T716-($S716+($U716-$S716)*0.5))</f>
        <v/>
      </c>
      <c r="AT716" s="82">
        <f>($J716-$C716)*100</f>
        <v/>
      </c>
      <c r="AU716" s="82">
        <f>($H716-$F716)*100</f>
        <v/>
      </c>
      <c r="AV716" s="82">
        <f>($J716-$F716)*100</f>
        <v/>
      </c>
      <c r="AW716" s="82">
        <f>($L716-$F716)*100</f>
        <v/>
      </c>
      <c r="AX716" s="82">
        <f>($J716-$H716)*100</f>
        <v/>
      </c>
      <c r="AY716" s="82">
        <f>($L716-$H716)*100</f>
        <v/>
      </c>
      <c r="AZ716" s="82">
        <f>($L716-$J716)*100</f>
        <v/>
      </c>
      <c r="BA716" s="82">
        <f>(2*$H716-$F716-$J716)*100</f>
        <v/>
      </c>
      <c r="BB716" s="82">
        <f>(2*$J716-$H716-$L716)*100</f>
        <v/>
      </c>
      <c r="BC716" s="82">
        <f>($N716-$F716)*100</f>
        <v/>
      </c>
      <c r="BD716" s="82">
        <f>($Q716-$H716)*100</f>
        <v/>
      </c>
      <c r="BE716" s="82">
        <f>($S716-$J716)*100</f>
        <v/>
      </c>
      <c r="BF716" s="82">
        <f>($V716-$L716)*100</f>
        <v/>
      </c>
      <c r="BG716" s="82">
        <f>$AG716-$AF716</f>
        <v/>
      </c>
      <c r="BH716" s="81">
        <f>IFERROR($AG716/$AF716,"")</f>
        <v/>
      </c>
      <c r="BI716" s="82">
        <f>$AJ716-$AF716</f>
        <v/>
      </c>
      <c r="BJ716" s="81">
        <f>IFERROR($AJ716/$AG716,"")</f>
        <v/>
      </c>
      <c r="BK716" s="81">
        <f>$X716</f>
        <v/>
      </c>
      <c r="BL716" s="82">
        <f>($J716-$J717)*100</f>
        <v/>
      </c>
      <c r="BM716" s="82">
        <f>($F716-$F717)*100</f>
        <v/>
      </c>
      <c r="BN716" s="82">
        <f>$AF716-$AF717</f>
        <v/>
      </c>
      <c r="BO716" s="82">
        <f>$AG716-$AG717</f>
        <v/>
      </c>
      <c r="BP716" s="82">
        <f>$AJ716-$AJ717</f>
        <v/>
      </c>
    </row>
    <row r="717">
      <c r="AR717" s="81">
        <f>($G717+($H717-$G717)*0.5)+($P717-($O717+($Q717-$O717)*0.5))</f>
        <v/>
      </c>
      <c r="AS717" s="81">
        <f>($J717+($K717-$J717)*0.5)+($T717-($S717+($U717-$S717)*0.5))</f>
        <v/>
      </c>
      <c r="AT717" s="82">
        <f>($J717-$C717)*100</f>
        <v/>
      </c>
      <c r="AU717" s="82">
        <f>($H717-$F717)*100</f>
        <v/>
      </c>
      <c r="AV717" s="82">
        <f>($J717-$F717)*100</f>
        <v/>
      </c>
      <c r="AW717" s="82">
        <f>($L717-$F717)*100</f>
        <v/>
      </c>
      <c r="AX717" s="82">
        <f>($J717-$H717)*100</f>
        <v/>
      </c>
      <c r="AY717" s="82">
        <f>($L717-$H717)*100</f>
        <v/>
      </c>
      <c r="AZ717" s="82">
        <f>($L717-$J717)*100</f>
        <v/>
      </c>
      <c r="BA717" s="82">
        <f>(2*$H717-$F717-$J717)*100</f>
        <v/>
      </c>
      <c r="BB717" s="82">
        <f>(2*$J717-$H717-$L717)*100</f>
        <v/>
      </c>
      <c r="BC717" s="82">
        <f>($N717-$F717)*100</f>
        <v/>
      </c>
      <c r="BD717" s="82">
        <f>($Q717-$H717)*100</f>
        <v/>
      </c>
      <c r="BE717" s="82">
        <f>($S717-$J717)*100</f>
        <v/>
      </c>
      <c r="BF717" s="82">
        <f>($V717-$L717)*100</f>
        <v/>
      </c>
      <c r="BG717" s="82">
        <f>$AG717-$AF717</f>
        <v/>
      </c>
      <c r="BH717" s="81">
        <f>IFERROR($AG717/$AF717,"")</f>
        <v/>
      </c>
      <c r="BI717" s="82">
        <f>$AJ717-$AF717</f>
        <v/>
      </c>
      <c r="BJ717" s="81">
        <f>IFERROR($AJ717/$AG717,"")</f>
        <v/>
      </c>
      <c r="BK717" s="81">
        <f>$X717</f>
        <v/>
      </c>
      <c r="BL717" s="82">
        <f>($J717-$J718)*100</f>
        <v/>
      </c>
      <c r="BM717" s="82">
        <f>($F717-$F718)*100</f>
        <v/>
      </c>
      <c r="BN717" s="82">
        <f>$AF717-$AF718</f>
        <v/>
      </c>
      <c r="BO717" s="82">
        <f>$AG717-$AG718</f>
        <v/>
      </c>
      <c r="BP717" s="82">
        <f>$AJ717-$AJ718</f>
        <v/>
      </c>
    </row>
    <row r="718">
      <c r="AR718" s="81">
        <f>($G718+($H718-$G718)*0.5)+($P718-($O718+($Q718-$O718)*0.5))</f>
        <v/>
      </c>
      <c r="AS718" s="81">
        <f>($J718+($K718-$J718)*0.5)+($T718-($S718+($U718-$S718)*0.5))</f>
        <v/>
      </c>
      <c r="AT718" s="82">
        <f>($J718-$C718)*100</f>
        <v/>
      </c>
      <c r="AU718" s="82">
        <f>($H718-$F718)*100</f>
        <v/>
      </c>
      <c r="AV718" s="82">
        <f>($J718-$F718)*100</f>
        <v/>
      </c>
      <c r="AW718" s="82">
        <f>($L718-$F718)*100</f>
        <v/>
      </c>
      <c r="AX718" s="82">
        <f>($J718-$H718)*100</f>
        <v/>
      </c>
      <c r="AY718" s="82">
        <f>($L718-$H718)*100</f>
        <v/>
      </c>
      <c r="AZ718" s="82">
        <f>($L718-$J718)*100</f>
        <v/>
      </c>
      <c r="BA718" s="82">
        <f>(2*$H718-$F718-$J718)*100</f>
        <v/>
      </c>
      <c r="BB718" s="82">
        <f>(2*$J718-$H718-$L718)*100</f>
        <v/>
      </c>
      <c r="BC718" s="82">
        <f>($N718-$F718)*100</f>
        <v/>
      </c>
      <c r="BD718" s="82">
        <f>($Q718-$H718)*100</f>
        <v/>
      </c>
      <c r="BE718" s="82">
        <f>($S718-$J718)*100</f>
        <v/>
      </c>
      <c r="BF718" s="82">
        <f>($V718-$L718)*100</f>
        <v/>
      </c>
      <c r="BG718" s="82">
        <f>$AG718-$AF718</f>
        <v/>
      </c>
      <c r="BH718" s="81">
        <f>IFERROR($AG718/$AF718,"")</f>
        <v/>
      </c>
      <c r="BI718" s="82">
        <f>$AJ718-$AF718</f>
        <v/>
      </c>
      <c r="BJ718" s="81">
        <f>IFERROR($AJ718/$AG718,"")</f>
        <v/>
      </c>
      <c r="BK718" s="81">
        <f>$X718</f>
        <v/>
      </c>
      <c r="BL718" s="82">
        <f>($J718-$J719)*100</f>
        <v/>
      </c>
      <c r="BM718" s="82">
        <f>($F718-$F719)*100</f>
        <v/>
      </c>
      <c r="BN718" s="82">
        <f>$AF718-$AF719</f>
        <v/>
      </c>
      <c r="BO718" s="82">
        <f>$AG718-$AG719</f>
        <v/>
      </c>
      <c r="BP718" s="82">
        <f>$AJ718-$AJ719</f>
        <v/>
      </c>
    </row>
    <row r="719">
      <c r="AR719" s="81">
        <f>($G719+($H719-$G719)*0.5)+($P719-($O719+($Q719-$O719)*0.5))</f>
        <v/>
      </c>
      <c r="AS719" s="81">
        <f>($J719+($K719-$J719)*0.5)+($T719-($S719+($U719-$S719)*0.5))</f>
        <v/>
      </c>
      <c r="AT719" s="82">
        <f>($J719-$C719)*100</f>
        <v/>
      </c>
      <c r="AU719" s="82">
        <f>($H719-$F719)*100</f>
        <v/>
      </c>
      <c r="AV719" s="82">
        <f>($J719-$F719)*100</f>
        <v/>
      </c>
      <c r="AW719" s="82">
        <f>($L719-$F719)*100</f>
        <v/>
      </c>
      <c r="AX719" s="82">
        <f>($J719-$H719)*100</f>
        <v/>
      </c>
      <c r="AY719" s="82">
        <f>($L719-$H719)*100</f>
        <v/>
      </c>
      <c r="AZ719" s="82">
        <f>($L719-$J719)*100</f>
        <v/>
      </c>
      <c r="BA719" s="82">
        <f>(2*$H719-$F719-$J719)*100</f>
        <v/>
      </c>
      <c r="BB719" s="82">
        <f>(2*$J719-$H719-$L719)*100</f>
        <v/>
      </c>
      <c r="BC719" s="82">
        <f>($N719-$F719)*100</f>
        <v/>
      </c>
      <c r="BD719" s="82">
        <f>($Q719-$H719)*100</f>
        <v/>
      </c>
      <c r="BE719" s="82">
        <f>($S719-$J719)*100</f>
        <v/>
      </c>
      <c r="BF719" s="82">
        <f>($V719-$L719)*100</f>
        <v/>
      </c>
      <c r="BG719" s="82">
        <f>$AG719-$AF719</f>
        <v/>
      </c>
      <c r="BH719" s="81">
        <f>IFERROR($AG719/$AF719,"")</f>
        <v/>
      </c>
      <c r="BI719" s="82">
        <f>$AJ719-$AF719</f>
        <v/>
      </c>
      <c r="BJ719" s="81">
        <f>IFERROR($AJ719/$AG719,"")</f>
        <v/>
      </c>
      <c r="BK719" s="81">
        <f>$X719</f>
        <v/>
      </c>
      <c r="BL719" s="82">
        <f>($J719-$J720)*100</f>
        <v/>
      </c>
      <c r="BM719" s="82">
        <f>($F719-$F720)*100</f>
        <v/>
      </c>
      <c r="BN719" s="82">
        <f>$AF719-$AF720</f>
        <v/>
      </c>
      <c r="BO719" s="82">
        <f>$AG719-$AG720</f>
        <v/>
      </c>
      <c r="BP719" s="82">
        <f>$AJ719-$AJ720</f>
        <v/>
      </c>
    </row>
    <row r="720">
      <c r="AR720" s="81">
        <f>($G720+($H720-$G720)*0.5)+($P720-($O720+($Q720-$O720)*0.5))</f>
        <v/>
      </c>
      <c r="AS720" s="81">
        <f>($J720+($K720-$J720)*0.5)+($T720-($S720+($U720-$S720)*0.5))</f>
        <v/>
      </c>
      <c r="AT720" s="82">
        <f>($J720-$C720)*100</f>
        <v/>
      </c>
      <c r="AU720" s="82">
        <f>($H720-$F720)*100</f>
        <v/>
      </c>
      <c r="AV720" s="82">
        <f>($J720-$F720)*100</f>
        <v/>
      </c>
      <c r="AW720" s="82">
        <f>($L720-$F720)*100</f>
        <v/>
      </c>
      <c r="AX720" s="82">
        <f>($J720-$H720)*100</f>
        <v/>
      </c>
      <c r="AY720" s="82">
        <f>($L720-$H720)*100</f>
        <v/>
      </c>
      <c r="AZ720" s="82">
        <f>($L720-$J720)*100</f>
        <v/>
      </c>
      <c r="BA720" s="82">
        <f>(2*$H720-$F720-$J720)*100</f>
        <v/>
      </c>
      <c r="BB720" s="82">
        <f>(2*$J720-$H720-$L720)*100</f>
        <v/>
      </c>
      <c r="BC720" s="82">
        <f>($N720-$F720)*100</f>
        <v/>
      </c>
      <c r="BD720" s="82">
        <f>($Q720-$H720)*100</f>
        <v/>
      </c>
      <c r="BE720" s="82">
        <f>($S720-$J720)*100</f>
        <v/>
      </c>
      <c r="BF720" s="82">
        <f>($V720-$L720)*100</f>
        <v/>
      </c>
      <c r="BG720" s="82">
        <f>$AG720-$AF720</f>
        <v/>
      </c>
      <c r="BH720" s="81">
        <f>IFERROR($AG720/$AF720,"")</f>
        <v/>
      </c>
      <c r="BI720" s="82">
        <f>$AJ720-$AF720</f>
        <v/>
      </c>
      <c r="BJ720" s="81">
        <f>IFERROR($AJ720/$AG720,"")</f>
        <v/>
      </c>
      <c r="BK720" s="81">
        <f>$X720</f>
        <v/>
      </c>
      <c r="BL720" s="82">
        <f>($J720-$J721)*100</f>
        <v/>
      </c>
      <c r="BM720" s="82">
        <f>($F720-$F721)*100</f>
        <v/>
      </c>
      <c r="BN720" s="82">
        <f>$AF720-$AF721</f>
        <v/>
      </c>
      <c r="BO720" s="82">
        <f>$AG720-$AG721</f>
        <v/>
      </c>
      <c r="BP720" s="82">
        <f>$AJ720-$AJ721</f>
        <v/>
      </c>
    </row>
    <row r="721">
      <c r="AR721" s="81">
        <f>($G721+($H721-$G721)*0.5)+($P721-($O721+($Q721-$O721)*0.5))</f>
        <v/>
      </c>
      <c r="AS721" s="81">
        <f>($J721+($K721-$J721)*0.5)+($T721-($S721+($U721-$S721)*0.5))</f>
        <v/>
      </c>
      <c r="AT721" s="82">
        <f>($J721-$C721)*100</f>
        <v/>
      </c>
      <c r="AU721" s="82">
        <f>($H721-$F721)*100</f>
        <v/>
      </c>
      <c r="AV721" s="82">
        <f>($J721-$F721)*100</f>
        <v/>
      </c>
      <c r="AW721" s="82">
        <f>($L721-$F721)*100</f>
        <v/>
      </c>
      <c r="AX721" s="82">
        <f>($J721-$H721)*100</f>
        <v/>
      </c>
      <c r="AY721" s="82">
        <f>($L721-$H721)*100</f>
        <v/>
      </c>
      <c r="AZ721" s="82">
        <f>($L721-$J721)*100</f>
        <v/>
      </c>
      <c r="BA721" s="82">
        <f>(2*$H721-$F721-$J721)*100</f>
        <v/>
      </c>
      <c r="BB721" s="82">
        <f>(2*$J721-$H721-$L721)*100</f>
        <v/>
      </c>
      <c r="BC721" s="82">
        <f>($N721-$F721)*100</f>
        <v/>
      </c>
      <c r="BD721" s="82">
        <f>($Q721-$H721)*100</f>
        <v/>
      </c>
      <c r="BE721" s="82">
        <f>($S721-$J721)*100</f>
        <v/>
      </c>
      <c r="BF721" s="82">
        <f>($V721-$L721)*100</f>
        <v/>
      </c>
      <c r="BG721" s="82">
        <f>$AG721-$AF721</f>
        <v/>
      </c>
      <c r="BH721" s="81">
        <f>IFERROR($AG721/$AF721,"")</f>
        <v/>
      </c>
      <c r="BI721" s="82">
        <f>$AJ721-$AF721</f>
        <v/>
      </c>
      <c r="BJ721" s="81">
        <f>IFERROR($AJ721/$AG721,"")</f>
        <v/>
      </c>
      <c r="BK721" s="81">
        <f>$X721</f>
        <v/>
      </c>
      <c r="BL721" s="82">
        <f>($J721-$J722)*100</f>
        <v/>
      </c>
      <c r="BM721" s="82">
        <f>($F721-$F722)*100</f>
        <v/>
      </c>
      <c r="BN721" s="82">
        <f>$AF721-$AF722</f>
        <v/>
      </c>
      <c r="BO721" s="82">
        <f>$AG721-$AG722</f>
        <v/>
      </c>
      <c r="BP721" s="82">
        <f>$AJ721-$AJ722</f>
        <v/>
      </c>
    </row>
    <row r="722">
      <c r="AR722" s="81">
        <f>($G722+($H722-$G722)*0.5)+($P722-($O722+($Q722-$O722)*0.5))</f>
        <v/>
      </c>
      <c r="AS722" s="81">
        <f>($J722+($K722-$J722)*0.5)+($T722-($S722+($U722-$S722)*0.5))</f>
        <v/>
      </c>
      <c r="AT722" s="82">
        <f>($J722-$C722)*100</f>
        <v/>
      </c>
      <c r="AU722" s="82">
        <f>($H722-$F722)*100</f>
        <v/>
      </c>
      <c r="AV722" s="82">
        <f>($J722-$F722)*100</f>
        <v/>
      </c>
      <c r="AW722" s="82">
        <f>($L722-$F722)*100</f>
        <v/>
      </c>
      <c r="AX722" s="82">
        <f>($J722-$H722)*100</f>
        <v/>
      </c>
      <c r="AY722" s="82">
        <f>($L722-$H722)*100</f>
        <v/>
      </c>
      <c r="AZ722" s="82">
        <f>($L722-$J722)*100</f>
        <v/>
      </c>
      <c r="BA722" s="82">
        <f>(2*$H722-$F722-$J722)*100</f>
        <v/>
      </c>
      <c r="BB722" s="82">
        <f>(2*$J722-$H722-$L722)*100</f>
        <v/>
      </c>
      <c r="BC722" s="82">
        <f>($N722-$F722)*100</f>
        <v/>
      </c>
      <c r="BD722" s="82">
        <f>($Q722-$H722)*100</f>
        <v/>
      </c>
      <c r="BE722" s="82">
        <f>($S722-$J722)*100</f>
        <v/>
      </c>
      <c r="BF722" s="82">
        <f>($V722-$L722)*100</f>
        <v/>
      </c>
      <c r="BG722" s="82">
        <f>$AG722-$AF722</f>
        <v/>
      </c>
      <c r="BH722" s="81">
        <f>IFERROR($AG722/$AF722,"")</f>
        <v/>
      </c>
      <c r="BI722" s="82">
        <f>$AJ722-$AF722</f>
        <v/>
      </c>
      <c r="BJ722" s="81">
        <f>IFERROR($AJ722/$AG722,"")</f>
        <v/>
      </c>
      <c r="BK722" s="81">
        <f>$X722</f>
        <v/>
      </c>
      <c r="BL722" s="82">
        <f>($J722-$J723)*100</f>
        <v/>
      </c>
      <c r="BM722" s="82">
        <f>($F722-$F723)*100</f>
        <v/>
      </c>
      <c r="BN722" s="82">
        <f>$AF722-$AF723</f>
        <v/>
      </c>
      <c r="BO722" s="82">
        <f>$AG722-$AG723</f>
        <v/>
      </c>
      <c r="BP722" s="82">
        <f>$AJ722-$AJ723</f>
        <v/>
      </c>
    </row>
    <row r="723">
      <c r="AR723" s="81">
        <f>($G723+($H723-$G723)*0.5)+($P723-($O723+($Q723-$O723)*0.5))</f>
        <v/>
      </c>
      <c r="AS723" s="81">
        <f>($J723+($K723-$J723)*0.5)+($T723-($S723+($U723-$S723)*0.5))</f>
        <v/>
      </c>
      <c r="AT723" s="82">
        <f>($J723-$C723)*100</f>
        <v/>
      </c>
      <c r="AU723" s="82">
        <f>($H723-$F723)*100</f>
        <v/>
      </c>
      <c r="AV723" s="82">
        <f>($J723-$F723)*100</f>
        <v/>
      </c>
      <c r="AW723" s="82">
        <f>($L723-$F723)*100</f>
        <v/>
      </c>
      <c r="AX723" s="82">
        <f>($J723-$H723)*100</f>
        <v/>
      </c>
      <c r="AY723" s="82">
        <f>($L723-$H723)*100</f>
        <v/>
      </c>
      <c r="AZ723" s="82">
        <f>($L723-$J723)*100</f>
        <v/>
      </c>
      <c r="BA723" s="82">
        <f>(2*$H723-$F723-$J723)*100</f>
        <v/>
      </c>
      <c r="BB723" s="82">
        <f>(2*$J723-$H723-$L723)*100</f>
        <v/>
      </c>
      <c r="BC723" s="82">
        <f>($N723-$F723)*100</f>
        <v/>
      </c>
      <c r="BD723" s="82">
        <f>($Q723-$H723)*100</f>
        <v/>
      </c>
      <c r="BE723" s="82">
        <f>($S723-$J723)*100</f>
        <v/>
      </c>
      <c r="BF723" s="82">
        <f>($V723-$L723)*100</f>
        <v/>
      </c>
      <c r="BG723" s="82">
        <f>$AG723-$AF723</f>
        <v/>
      </c>
      <c r="BH723" s="81">
        <f>IFERROR($AG723/$AF723,"")</f>
        <v/>
      </c>
      <c r="BI723" s="82">
        <f>$AJ723-$AF723</f>
        <v/>
      </c>
      <c r="BJ723" s="81">
        <f>IFERROR($AJ723/$AG723,"")</f>
        <v/>
      </c>
      <c r="BK723" s="81">
        <f>$X723</f>
        <v/>
      </c>
      <c r="BL723" s="82">
        <f>($J723-$J724)*100</f>
        <v/>
      </c>
      <c r="BM723" s="82">
        <f>($F723-$F724)*100</f>
        <v/>
      </c>
      <c r="BN723" s="82">
        <f>$AF723-$AF724</f>
        <v/>
      </c>
      <c r="BO723" s="82">
        <f>$AG723-$AG724</f>
        <v/>
      </c>
      <c r="BP723" s="82">
        <f>$AJ723-$AJ724</f>
        <v/>
      </c>
    </row>
    <row r="724">
      <c r="AR724" s="81">
        <f>($G724+($H724-$G724)*0.5)+($P724-($O724+($Q724-$O724)*0.5))</f>
        <v/>
      </c>
      <c r="AS724" s="81">
        <f>($J724+($K724-$J724)*0.5)+($T724-($S724+($U724-$S724)*0.5))</f>
        <v/>
      </c>
      <c r="AT724" s="82">
        <f>($J724-$C724)*100</f>
        <v/>
      </c>
      <c r="AU724" s="82">
        <f>($H724-$F724)*100</f>
        <v/>
      </c>
      <c r="AV724" s="82">
        <f>($J724-$F724)*100</f>
        <v/>
      </c>
      <c r="AW724" s="82">
        <f>($L724-$F724)*100</f>
        <v/>
      </c>
      <c r="AX724" s="82">
        <f>($J724-$H724)*100</f>
        <v/>
      </c>
      <c r="AY724" s="82">
        <f>($L724-$H724)*100</f>
        <v/>
      </c>
      <c r="AZ724" s="82">
        <f>($L724-$J724)*100</f>
        <v/>
      </c>
      <c r="BA724" s="82">
        <f>(2*$H724-$F724-$J724)*100</f>
        <v/>
      </c>
      <c r="BB724" s="82">
        <f>(2*$J724-$H724-$L724)*100</f>
        <v/>
      </c>
      <c r="BC724" s="82">
        <f>($N724-$F724)*100</f>
        <v/>
      </c>
      <c r="BD724" s="82">
        <f>($Q724-$H724)*100</f>
        <v/>
      </c>
      <c r="BE724" s="82">
        <f>($S724-$J724)*100</f>
        <v/>
      </c>
      <c r="BF724" s="82">
        <f>($V724-$L724)*100</f>
        <v/>
      </c>
      <c r="BG724" s="82">
        <f>$AG724-$AF724</f>
        <v/>
      </c>
      <c r="BH724" s="81">
        <f>IFERROR($AG724/$AF724,"")</f>
        <v/>
      </c>
      <c r="BI724" s="82">
        <f>$AJ724-$AF724</f>
        <v/>
      </c>
      <c r="BJ724" s="81">
        <f>IFERROR($AJ724/$AG724,"")</f>
        <v/>
      </c>
      <c r="BK724" s="81">
        <f>$X724</f>
        <v/>
      </c>
      <c r="BL724" s="82">
        <f>($J724-$J725)*100</f>
        <v/>
      </c>
      <c r="BM724" s="82">
        <f>($F724-$F725)*100</f>
        <v/>
      </c>
      <c r="BN724" s="82">
        <f>$AF724-$AF725</f>
        <v/>
      </c>
      <c r="BO724" s="82">
        <f>$AG724-$AG725</f>
        <v/>
      </c>
      <c r="BP724" s="82">
        <f>$AJ724-$AJ725</f>
        <v/>
      </c>
    </row>
    <row r="725">
      <c r="AR725" s="81">
        <f>($G725+($H725-$G725)*0.5)+($P725-($O725+($Q725-$O725)*0.5))</f>
        <v/>
      </c>
      <c r="AS725" s="81">
        <f>($J725+($K725-$J725)*0.5)+($T725-($S725+($U725-$S725)*0.5))</f>
        <v/>
      </c>
      <c r="AT725" s="82">
        <f>($J725-$C725)*100</f>
        <v/>
      </c>
      <c r="AU725" s="82">
        <f>($H725-$F725)*100</f>
        <v/>
      </c>
      <c r="AV725" s="82">
        <f>($J725-$F725)*100</f>
        <v/>
      </c>
      <c r="AW725" s="82">
        <f>($L725-$F725)*100</f>
        <v/>
      </c>
      <c r="AX725" s="82">
        <f>($J725-$H725)*100</f>
        <v/>
      </c>
      <c r="AY725" s="82">
        <f>($L725-$H725)*100</f>
        <v/>
      </c>
      <c r="AZ725" s="82">
        <f>($L725-$J725)*100</f>
        <v/>
      </c>
      <c r="BA725" s="82">
        <f>(2*$H725-$F725-$J725)*100</f>
        <v/>
      </c>
      <c r="BB725" s="82">
        <f>(2*$J725-$H725-$L725)*100</f>
        <v/>
      </c>
      <c r="BC725" s="82">
        <f>($N725-$F725)*100</f>
        <v/>
      </c>
      <c r="BD725" s="82">
        <f>($Q725-$H725)*100</f>
        <v/>
      </c>
      <c r="BE725" s="82">
        <f>($S725-$J725)*100</f>
        <v/>
      </c>
      <c r="BF725" s="82">
        <f>($V725-$L725)*100</f>
        <v/>
      </c>
      <c r="BG725" s="82">
        <f>$AG725-$AF725</f>
        <v/>
      </c>
      <c r="BH725" s="81">
        <f>IFERROR($AG725/$AF725,"")</f>
        <v/>
      </c>
      <c r="BI725" s="82">
        <f>$AJ725-$AF725</f>
        <v/>
      </c>
      <c r="BJ725" s="81">
        <f>IFERROR($AJ725/$AG725,"")</f>
        <v/>
      </c>
      <c r="BK725" s="81">
        <f>$X725</f>
        <v/>
      </c>
      <c r="BL725" s="82">
        <f>($J725-$J726)*100</f>
        <v/>
      </c>
      <c r="BM725" s="82">
        <f>($F725-$F726)*100</f>
        <v/>
      </c>
      <c r="BN725" s="82">
        <f>$AF725-$AF726</f>
        <v/>
      </c>
      <c r="BO725" s="82">
        <f>$AG725-$AG726</f>
        <v/>
      </c>
      <c r="BP725" s="82">
        <f>$AJ725-$AJ726</f>
        <v/>
      </c>
    </row>
    <row r="726">
      <c r="AR726" s="81">
        <f>($G726+($H726-$G726)*0.5)+($P726-($O726+($Q726-$O726)*0.5))</f>
        <v/>
      </c>
      <c r="AS726" s="81">
        <f>($J726+($K726-$J726)*0.5)+($T726-($S726+($U726-$S726)*0.5))</f>
        <v/>
      </c>
      <c r="AT726" s="82">
        <f>($J726-$C726)*100</f>
        <v/>
      </c>
      <c r="AU726" s="82">
        <f>($H726-$F726)*100</f>
        <v/>
      </c>
      <c r="AV726" s="82">
        <f>($J726-$F726)*100</f>
        <v/>
      </c>
      <c r="AW726" s="82">
        <f>($L726-$F726)*100</f>
        <v/>
      </c>
      <c r="AX726" s="82">
        <f>($J726-$H726)*100</f>
        <v/>
      </c>
      <c r="AY726" s="82">
        <f>($L726-$H726)*100</f>
        <v/>
      </c>
      <c r="AZ726" s="82">
        <f>($L726-$J726)*100</f>
        <v/>
      </c>
      <c r="BA726" s="82">
        <f>(2*$H726-$F726-$J726)*100</f>
        <v/>
      </c>
      <c r="BB726" s="82">
        <f>(2*$J726-$H726-$L726)*100</f>
        <v/>
      </c>
      <c r="BC726" s="82">
        <f>($N726-$F726)*100</f>
        <v/>
      </c>
      <c r="BD726" s="82">
        <f>($Q726-$H726)*100</f>
        <v/>
      </c>
      <c r="BE726" s="82">
        <f>($S726-$J726)*100</f>
        <v/>
      </c>
      <c r="BF726" s="82">
        <f>($V726-$L726)*100</f>
        <v/>
      </c>
      <c r="BG726" s="82">
        <f>$AG726-$AF726</f>
        <v/>
      </c>
      <c r="BH726" s="81">
        <f>IFERROR($AG726/$AF726,"")</f>
        <v/>
      </c>
      <c r="BI726" s="82">
        <f>$AJ726-$AF726</f>
        <v/>
      </c>
      <c r="BJ726" s="81">
        <f>IFERROR($AJ726/$AG726,"")</f>
        <v/>
      </c>
      <c r="BK726" s="81">
        <f>$X726</f>
        <v/>
      </c>
      <c r="BL726" s="82">
        <f>($J726-$J727)*100</f>
        <v/>
      </c>
      <c r="BM726" s="82">
        <f>($F726-$F727)*100</f>
        <v/>
      </c>
      <c r="BN726" s="82">
        <f>$AF726-$AF727</f>
        <v/>
      </c>
      <c r="BO726" s="82">
        <f>$AG726-$AG727</f>
        <v/>
      </c>
      <c r="BP726" s="82">
        <f>$AJ726-$AJ727</f>
        <v/>
      </c>
    </row>
    <row r="727">
      <c r="AR727" s="81">
        <f>($G727+($H727-$G727)*0.5)+($P727-($O727+($Q727-$O727)*0.5))</f>
        <v/>
      </c>
      <c r="AS727" s="81">
        <f>($J727+($K727-$J727)*0.5)+($T727-($S727+($U727-$S727)*0.5))</f>
        <v/>
      </c>
      <c r="AT727" s="82">
        <f>($J727-$C727)*100</f>
        <v/>
      </c>
      <c r="AU727" s="82">
        <f>($H727-$F727)*100</f>
        <v/>
      </c>
      <c r="AV727" s="82">
        <f>($J727-$F727)*100</f>
        <v/>
      </c>
      <c r="AW727" s="82">
        <f>($L727-$F727)*100</f>
        <v/>
      </c>
      <c r="AX727" s="82">
        <f>($J727-$H727)*100</f>
        <v/>
      </c>
      <c r="AY727" s="82">
        <f>($L727-$H727)*100</f>
        <v/>
      </c>
      <c r="AZ727" s="82">
        <f>($L727-$J727)*100</f>
        <v/>
      </c>
      <c r="BA727" s="82">
        <f>(2*$H727-$F727-$J727)*100</f>
        <v/>
      </c>
      <c r="BB727" s="82">
        <f>(2*$J727-$H727-$L727)*100</f>
        <v/>
      </c>
      <c r="BC727" s="82">
        <f>($N727-$F727)*100</f>
        <v/>
      </c>
      <c r="BD727" s="82">
        <f>($Q727-$H727)*100</f>
        <v/>
      </c>
      <c r="BE727" s="82">
        <f>($S727-$J727)*100</f>
        <v/>
      </c>
      <c r="BF727" s="82">
        <f>($V727-$L727)*100</f>
        <v/>
      </c>
      <c r="BG727" s="82">
        <f>$AG727-$AF727</f>
        <v/>
      </c>
      <c r="BH727" s="81">
        <f>IFERROR($AG727/$AF727,"")</f>
        <v/>
      </c>
      <c r="BI727" s="82">
        <f>$AJ727-$AF727</f>
        <v/>
      </c>
      <c r="BJ727" s="81">
        <f>IFERROR($AJ727/$AG727,"")</f>
        <v/>
      </c>
      <c r="BK727" s="81">
        <f>$X727</f>
        <v/>
      </c>
      <c r="BL727" s="82">
        <f>($J727-$J728)*100</f>
        <v/>
      </c>
      <c r="BM727" s="82">
        <f>($F727-$F728)*100</f>
        <v/>
      </c>
      <c r="BN727" s="82">
        <f>$AF727-$AF728</f>
        <v/>
      </c>
      <c r="BO727" s="82">
        <f>$AG727-$AG728</f>
        <v/>
      </c>
      <c r="BP727" s="82">
        <f>$AJ727-$AJ728</f>
        <v/>
      </c>
    </row>
    <row r="728">
      <c r="AR728" s="81">
        <f>($G728+($H728-$G728)*0.5)+($P728-($O728+($Q728-$O728)*0.5))</f>
        <v/>
      </c>
      <c r="AS728" s="81">
        <f>($J728+($K728-$J728)*0.5)+($T728-($S728+($U728-$S728)*0.5))</f>
        <v/>
      </c>
      <c r="AT728" s="82">
        <f>($J728-$C728)*100</f>
        <v/>
      </c>
      <c r="AU728" s="82">
        <f>($H728-$F728)*100</f>
        <v/>
      </c>
      <c r="AV728" s="82">
        <f>($J728-$F728)*100</f>
        <v/>
      </c>
      <c r="AW728" s="82">
        <f>($L728-$F728)*100</f>
        <v/>
      </c>
      <c r="AX728" s="82">
        <f>($J728-$H728)*100</f>
        <v/>
      </c>
      <c r="AY728" s="82">
        <f>($L728-$H728)*100</f>
        <v/>
      </c>
      <c r="AZ728" s="82">
        <f>($L728-$J728)*100</f>
        <v/>
      </c>
      <c r="BA728" s="82">
        <f>(2*$H728-$F728-$J728)*100</f>
        <v/>
      </c>
      <c r="BB728" s="82">
        <f>(2*$J728-$H728-$L728)*100</f>
        <v/>
      </c>
      <c r="BC728" s="82">
        <f>($N728-$F728)*100</f>
        <v/>
      </c>
      <c r="BD728" s="82">
        <f>($Q728-$H728)*100</f>
        <v/>
      </c>
      <c r="BE728" s="82">
        <f>($S728-$J728)*100</f>
        <v/>
      </c>
      <c r="BF728" s="82">
        <f>($V728-$L728)*100</f>
        <v/>
      </c>
      <c r="BG728" s="82">
        <f>$AG728-$AF728</f>
        <v/>
      </c>
      <c r="BH728" s="81">
        <f>IFERROR($AG728/$AF728,"")</f>
        <v/>
      </c>
      <c r="BI728" s="82">
        <f>$AJ728-$AF728</f>
        <v/>
      </c>
      <c r="BJ728" s="81">
        <f>IFERROR($AJ728/$AG728,"")</f>
        <v/>
      </c>
      <c r="BK728" s="81">
        <f>$X728</f>
        <v/>
      </c>
      <c r="BL728" s="82">
        <f>($J728-$J729)*100</f>
        <v/>
      </c>
      <c r="BM728" s="82">
        <f>($F728-$F729)*100</f>
        <v/>
      </c>
      <c r="BN728" s="82">
        <f>$AF728-$AF729</f>
        <v/>
      </c>
      <c r="BO728" s="82">
        <f>$AG728-$AG729</f>
        <v/>
      </c>
      <c r="BP728" s="82">
        <f>$AJ728-$AJ729</f>
        <v/>
      </c>
    </row>
    <row r="729">
      <c r="AR729" s="81">
        <f>($G729+($H729-$G729)*0.5)+($P729-($O729+($Q729-$O729)*0.5))</f>
        <v/>
      </c>
      <c r="AS729" s="81">
        <f>($J729+($K729-$J729)*0.5)+($T729-($S729+($U729-$S729)*0.5))</f>
        <v/>
      </c>
      <c r="AT729" s="82">
        <f>($J729-$C729)*100</f>
        <v/>
      </c>
      <c r="AU729" s="82">
        <f>($H729-$F729)*100</f>
        <v/>
      </c>
      <c r="AV729" s="82">
        <f>($J729-$F729)*100</f>
        <v/>
      </c>
      <c r="AW729" s="82">
        <f>($L729-$F729)*100</f>
        <v/>
      </c>
      <c r="AX729" s="82">
        <f>($J729-$H729)*100</f>
        <v/>
      </c>
      <c r="AY729" s="82">
        <f>($L729-$H729)*100</f>
        <v/>
      </c>
      <c r="AZ729" s="82">
        <f>($L729-$J729)*100</f>
        <v/>
      </c>
      <c r="BA729" s="82">
        <f>(2*$H729-$F729-$J729)*100</f>
        <v/>
      </c>
      <c r="BB729" s="82">
        <f>(2*$J729-$H729-$L729)*100</f>
        <v/>
      </c>
      <c r="BC729" s="82">
        <f>($N729-$F729)*100</f>
        <v/>
      </c>
      <c r="BD729" s="82">
        <f>($Q729-$H729)*100</f>
        <v/>
      </c>
      <c r="BE729" s="82">
        <f>($S729-$J729)*100</f>
        <v/>
      </c>
      <c r="BF729" s="82">
        <f>($V729-$L729)*100</f>
        <v/>
      </c>
      <c r="BG729" s="82">
        <f>$AG729-$AF729</f>
        <v/>
      </c>
      <c r="BH729" s="81">
        <f>IFERROR($AG729/$AF729,"")</f>
        <v/>
      </c>
      <c r="BI729" s="82">
        <f>$AJ729-$AF729</f>
        <v/>
      </c>
      <c r="BJ729" s="81">
        <f>IFERROR($AJ729/$AG729,"")</f>
        <v/>
      </c>
      <c r="BK729" s="81">
        <f>$X729</f>
        <v/>
      </c>
      <c r="BL729" s="82">
        <f>($J729-$J730)*100</f>
        <v/>
      </c>
      <c r="BM729" s="82">
        <f>($F729-$F730)*100</f>
        <v/>
      </c>
      <c r="BN729" s="82">
        <f>$AF729-$AF730</f>
        <v/>
      </c>
      <c r="BO729" s="82">
        <f>$AG729-$AG730</f>
        <v/>
      </c>
      <c r="BP729" s="82">
        <f>$AJ729-$AJ730</f>
        <v/>
      </c>
    </row>
    <row r="730">
      <c r="AR730" s="81">
        <f>($G730+($H730-$G730)*0.5)+($P730-($O730+($Q730-$O730)*0.5))</f>
        <v/>
      </c>
      <c r="AS730" s="81">
        <f>($J730+($K730-$J730)*0.5)+($T730-($S730+($U730-$S730)*0.5))</f>
        <v/>
      </c>
      <c r="AT730" s="82">
        <f>($J730-$C730)*100</f>
        <v/>
      </c>
      <c r="AU730" s="82">
        <f>($H730-$F730)*100</f>
        <v/>
      </c>
      <c r="AV730" s="82">
        <f>($J730-$F730)*100</f>
        <v/>
      </c>
      <c r="AW730" s="82">
        <f>($L730-$F730)*100</f>
        <v/>
      </c>
      <c r="AX730" s="82">
        <f>($J730-$H730)*100</f>
        <v/>
      </c>
      <c r="AY730" s="82">
        <f>($L730-$H730)*100</f>
        <v/>
      </c>
      <c r="AZ730" s="82">
        <f>($L730-$J730)*100</f>
        <v/>
      </c>
      <c r="BA730" s="82">
        <f>(2*$H730-$F730-$J730)*100</f>
        <v/>
      </c>
      <c r="BB730" s="82">
        <f>(2*$J730-$H730-$L730)*100</f>
        <v/>
      </c>
      <c r="BC730" s="82">
        <f>($N730-$F730)*100</f>
        <v/>
      </c>
      <c r="BD730" s="82">
        <f>($Q730-$H730)*100</f>
        <v/>
      </c>
      <c r="BE730" s="82">
        <f>($S730-$J730)*100</f>
        <v/>
      </c>
      <c r="BF730" s="82">
        <f>($V730-$L730)*100</f>
        <v/>
      </c>
      <c r="BG730" s="82">
        <f>$AG730-$AF730</f>
        <v/>
      </c>
      <c r="BH730" s="81">
        <f>IFERROR($AG730/$AF730,"")</f>
        <v/>
      </c>
      <c r="BI730" s="82">
        <f>$AJ730-$AF730</f>
        <v/>
      </c>
      <c r="BJ730" s="81">
        <f>IFERROR($AJ730/$AG730,"")</f>
        <v/>
      </c>
      <c r="BK730" s="81">
        <f>$X730</f>
        <v/>
      </c>
      <c r="BL730" s="82">
        <f>($J730-$J731)*100</f>
        <v/>
      </c>
      <c r="BM730" s="82">
        <f>($F730-$F731)*100</f>
        <v/>
      </c>
      <c r="BN730" s="82">
        <f>$AF730-$AF731</f>
        <v/>
      </c>
      <c r="BO730" s="82">
        <f>$AG730-$AG731</f>
        <v/>
      </c>
      <c r="BP730" s="82">
        <f>$AJ730-$AJ731</f>
        <v/>
      </c>
    </row>
    <row r="731">
      <c r="AR731" s="81">
        <f>($G731+($H731-$G731)*0.5)+($P731-($O731+($Q731-$O731)*0.5))</f>
        <v/>
      </c>
      <c r="AS731" s="81">
        <f>($J731+($K731-$J731)*0.5)+($T731-($S731+($U731-$S731)*0.5))</f>
        <v/>
      </c>
      <c r="AT731" s="82">
        <f>($J731-$C731)*100</f>
        <v/>
      </c>
      <c r="AU731" s="82">
        <f>($H731-$F731)*100</f>
        <v/>
      </c>
      <c r="AV731" s="82">
        <f>($J731-$F731)*100</f>
        <v/>
      </c>
      <c r="AW731" s="82">
        <f>($L731-$F731)*100</f>
        <v/>
      </c>
      <c r="AX731" s="82">
        <f>($J731-$H731)*100</f>
        <v/>
      </c>
      <c r="AY731" s="82">
        <f>($L731-$H731)*100</f>
        <v/>
      </c>
      <c r="AZ731" s="82">
        <f>($L731-$J731)*100</f>
        <v/>
      </c>
      <c r="BA731" s="82">
        <f>(2*$H731-$F731-$J731)*100</f>
        <v/>
      </c>
      <c r="BB731" s="82">
        <f>(2*$J731-$H731-$L731)*100</f>
        <v/>
      </c>
      <c r="BC731" s="82">
        <f>($N731-$F731)*100</f>
        <v/>
      </c>
      <c r="BD731" s="82">
        <f>($Q731-$H731)*100</f>
        <v/>
      </c>
      <c r="BE731" s="82">
        <f>($S731-$J731)*100</f>
        <v/>
      </c>
      <c r="BF731" s="82">
        <f>($V731-$L731)*100</f>
        <v/>
      </c>
      <c r="BG731" s="82">
        <f>$AG731-$AF731</f>
        <v/>
      </c>
      <c r="BH731" s="81">
        <f>IFERROR($AG731/$AF731,"")</f>
        <v/>
      </c>
      <c r="BI731" s="82">
        <f>$AJ731-$AF731</f>
        <v/>
      </c>
      <c r="BJ731" s="81">
        <f>IFERROR($AJ731/$AG731,"")</f>
        <v/>
      </c>
      <c r="BK731" s="81">
        <f>$X731</f>
        <v/>
      </c>
      <c r="BL731" s="82">
        <f>($J731-$J732)*100</f>
        <v/>
      </c>
      <c r="BM731" s="82">
        <f>($F731-$F732)*100</f>
        <v/>
      </c>
      <c r="BN731" s="82">
        <f>$AF731-$AF732</f>
        <v/>
      </c>
      <c r="BO731" s="82">
        <f>$AG731-$AG732</f>
        <v/>
      </c>
      <c r="BP731" s="82">
        <f>$AJ731-$AJ732</f>
        <v/>
      </c>
    </row>
    <row r="732">
      <c r="AR732" s="81">
        <f>($G732+($H732-$G732)*0.5)+($P732-($O732+($Q732-$O732)*0.5))</f>
        <v/>
      </c>
      <c r="AS732" s="81">
        <f>($J732+($K732-$J732)*0.5)+($T732-($S732+($U732-$S732)*0.5))</f>
        <v/>
      </c>
      <c r="AT732" s="82">
        <f>($J732-$C732)*100</f>
        <v/>
      </c>
      <c r="AU732" s="82">
        <f>($H732-$F732)*100</f>
        <v/>
      </c>
      <c r="AV732" s="82">
        <f>($J732-$F732)*100</f>
        <v/>
      </c>
      <c r="AW732" s="82">
        <f>($L732-$F732)*100</f>
        <v/>
      </c>
      <c r="AX732" s="82">
        <f>($J732-$H732)*100</f>
        <v/>
      </c>
      <c r="AY732" s="82">
        <f>($L732-$H732)*100</f>
        <v/>
      </c>
      <c r="AZ732" s="82">
        <f>($L732-$J732)*100</f>
        <v/>
      </c>
      <c r="BA732" s="82">
        <f>(2*$H732-$F732-$J732)*100</f>
        <v/>
      </c>
      <c r="BB732" s="82">
        <f>(2*$J732-$H732-$L732)*100</f>
        <v/>
      </c>
      <c r="BC732" s="82">
        <f>($N732-$F732)*100</f>
        <v/>
      </c>
      <c r="BD732" s="82">
        <f>($Q732-$H732)*100</f>
        <v/>
      </c>
      <c r="BE732" s="82">
        <f>($S732-$J732)*100</f>
        <v/>
      </c>
      <c r="BF732" s="82">
        <f>($V732-$L732)*100</f>
        <v/>
      </c>
      <c r="BG732" s="82">
        <f>$AG732-$AF732</f>
        <v/>
      </c>
      <c r="BH732" s="81">
        <f>IFERROR($AG732/$AF732,"")</f>
        <v/>
      </c>
      <c r="BI732" s="82">
        <f>$AJ732-$AF732</f>
        <v/>
      </c>
      <c r="BJ732" s="81">
        <f>IFERROR($AJ732/$AG732,"")</f>
        <v/>
      </c>
      <c r="BK732" s="81">
        <f>$X732</f>
        <v/>
      </c>
      <c r="BL732" s="82">
        <f>($J732-$J733)*100</f>
        <v/>
      </c>
      <c r="BM732" s="82">
        <f>($F732-$F733)*100</f>
        <v/>
      </c>
      <c r="BN732" s="82">
        <f>$AF732-$AF733</f>
        <v/>
      </c>
      <c r="BO732" s="82">
        <f>$AG732-$AG733</f>
        <v/>
      </c>
      <c r="BP732" s="82">
        <f>$AJ732-$AJ733</f>
        <v/>
      </c>
    </row>
    <row r="733">
      <c r="AR733" s="81">
        <f>($G733+($H733-$G733)*0.5)+($P733-($O733+($Q733-$O733)*0.5))</f>
        <v/>
      </c>
      <c r="AS733" s="81">
        <f>($J733+($K733-$J733)*0.5)+($T733-($S733+($U733-$S733)*0.5))</f>
        <v/>
      </c>
      <c r="AT733" s="82">
        <f>($J733-$C733)*100</f>
        <v/>
      </c>
      <c r="AU733" s="82">
        <f>($H733-$F733)*100</f>
        <v/>
      </c>
      <c r="AV733" s="82">
        <f>($J733-$F733)*100</f>
        <v/>
      </c>
      <c r="AW733" s="82">
        <f>($L733-$F733)*100</f>
        <v/>
      </c>
      <c r="AX733" s="82">
        <f>($J733-$H733)*100</f>
        <v/>
      </c>
      <c r="AY733" s="82">
        <f>($L733-$H733)*100</f>
        <v/>
      </c>
      <c r="AZ733" s="82">
        <f>($L733-$J733)*100</f>
        <v/>
      </c>
      <c r="BA733" s="82">
        <f>(2*$H733-$F733-$J733)*100</f>
        <v/>
      </c>
      <c r="BB733" s="82">
        <f>(2*$J733-$H733-$L733)*100</f>
        <v/>
      </c>
      <c r="BC733" s="82">
        <f>($N733-$F733)*100</f>
        <v/>
      </c>
      <c r="BD733" s="82">
        <f>($Q733-$H733)*100</f>
        <v/>
      </c>
      <c r="BE733" s="82">
        <f>($S733-$J733)*100</f>
        <v/>
      </c>
      <c r="BF733" s="82">
        <f>($V733-$L733)*100</f>
        <v/>
      </c>
      <c r="BG733" s="82">
        <f>$AG733-$AF733</f>
        <v/>
      </c>
      <c r="BH733" s="81">
        <f>IFERROR($AG733/$AF733,"")</f>
        <v/>
      </c>
      <c r="BI733" s="82">
        <f>$AJ733-$AF733</f>
        <v/>
      </c>
      <c r="BJ733" s="81">
        <f>IFERROR($AJ733/$AG733,"")</f>
        <v/>
      </c>
      <c r="BK733" s="81">
        <f>$X733</f>
        <v/>
      </c>
      <c r="BL733" s="82">
        <f>($J733-$J734)*100</f>
        <v/>
      </c>
      <c r="BM733" s="82">
        <f>($F733-$F734)*100</f>
        <v/>
      </c>
      <c r="BN733" s="82">
        <f>$AF733-$AF734</f>
        <v/>
      </c>
      <c r="BO733" s="82">
        <f>$AG733-$AG734</f>
        <v/>
      </c>
      <c r="BP733" s="82">
        <f>$AJ733-$AJ734</f>
        <v/>
      </c>
    </row>
    <row r="734">
      <c r="AR734" s="81">
        <f>($G734+($H734-$G734)*0.5)+($P734-($O734+($Q734-$O734)*0.5))</f>
        <v/>
      </c>
      <c r="AS734" s="81">
        <f>($J734+($K734-$J734)*0.5)+($T734-($S734+($U734-$S734)*0.5))</f>
        <v/>
      </c>
      <c r="AT734" s="82">
        <f>($J734-$C734)*100</f>
        <v/>
      </c>
      <c r="AU734" s="82">
        <f>($H734-$F734)*100</f>
        <v/>
      </c>
      <c r="AV734" s="82">
        <f>($J734-$F734)*100</f>
        <v/>
      </c>
      <c r="AW734" s="82">
        <f>($L734-$F734)*100</f>
        <v/>
      </c>
      <c r="AX734" s="82">
        <f>($J734-$H734)*100</f>
        <v/>
      </c>
      <c r="AY734" s="82">
        <f>($L734-$H734)*100</f>
        <v/>
      </c>
      <c r="AZ734" s="82">
        <f>($L734-$J734)*100</f>
        <v/>
      </c>
      <c r="BA734" s="82">
        <f>(2*$H734-$F734-$J734)*100</f>
        <v/>
      </c>
      <c r="BB734" s="82">
        <f>(2*$J734-$H734-$L734)*100</f>
        <v/>
      </c>
      <c r="BC734" s="82">
        <f>($N734-$F734)*100</f>
        <v/>
      </c>
      <c r="BD734" s="82">
        <f>($Q734-$H734)*100</f>
        <v/>
      </c>
      <c r="BE734" s="82">
        <f>($S734-$J734)*100</f>
        <v/>
      </c>
      <c r="BF734" s="82">
        <f>($V734-$L734)*100</f>
        <v/>
      </c>
      <c r="BG734" s="82">
        <f>$AG734-$AF734</f>
        <v/>
      </c>
      <c r="BH734" s="81">
        <f>IFERROR($AG734/$AF734,"")</f>
        <v/>
      </c>
      <c r="BI734" s="82">
        <f>$AJ734-$AF734</f>
        <v/>
      </c>
      <c r="BJ734" s="81">
        <f>IFERROR($AJ734/$AG734,"")</f>
        <v/>
      </c>
      <c r="BK734" s="81">
        <f>$X734</f>
        <v/>
      </c>
      <c r="BL734" s="82">
        <f>($J734-$J735)*100</f>
        <v/>
      </c>
      <c r="BM734" s="82">
        <f>($F734-$F735)*100</f>
        <v/>
      </c>
      <c r="BN734" s="82">
        <f>$AF734-$AF735</f>
        <v/>
      </c>
      <c r="BO734" s="82">
        <f>$AG734-$AG735</f>
        <v/>
      </c>
      <c r="BP734" s="82">
        <f>$AJ734-$AJ735</f>
        <v/>
      </c>
    </row>
    <row r="735">
      <c r="AR735" s="81">
        <f>($G735+($H735-$G735)*0.5)+($P735-($O735+($Q735-$O735)*0.5))</f>
        <v/>
      </c>
      <c r="AS735" s="81">
        <f>($J735+($K735-$J735)*0.5)+($T735-($S735+($U735-$S735)*0.5))</f>
        <v/>
      </c>
      <c r="AT735" s="82">
        <f>($J735-$C735)*100</f>
        <v/>
      </c>
      <c r="AU735" s="82">
        <f>($H735-$F735)*100</f>
        <v/>
      </c>
      <c r="AV735" s="82">
        <f>($J735-$F735)*100</f>
        <v/>
      </c>
      <c r="AW735" s="82">
        <f>($L735-$F735)*100</f>
        <v/>
      </c>
      <c r="AX735" s="82">
        <f>($J735-$H735)*100</f>
        <v/>
      </c>
      <c r="AY735" s="82">
        <f>($L735-$H735)*100</f>
        <v/>
      </c>
      <c r="AZ735" s="82">
        <f>($L735-$J735)*100</f>
        <v/>
      </c>
      <c r="BA735" s="82">
        <f>(2*$H735-$F735-$J735)*100</f>
        <v/>
      </c>
      <c r="BB735" s="82">
        <f>(2*$J735-$H735-$L735)*100</f>
        <v/>
      </c>
      <c r="BC735" s="82">
        <f>($N735-$F735)*100</f>
        <v/>
      </c>
      <c r="BD735" s="82">
        <f>($Q735-$H735)*100</f>
        <v/>
      </c>
      <c r="BE735" s="82">
        <f>($S735-$J735)*100</f>
        <v/>
      </c>
      <c r="BF735" s="82">
        <f>($V735-$L735)*100</f>
        <v/>
      </c>
      <c r="BG735" s="82">
        <f>$AG735-$AF735</f>
        <v/>
      </c>
      <c r="BH735" s="81">
        <f>IFERROR($AG735/$AF735,"")</f>
        <v/>
      </c>
      <c r="BI735" s="82">
        <f>$AJ735-$AF735</f>
        <v/>
      </c>
      <c r="BJ735" s="81">
        <f>IFERROR($AJ735/$AG735,"")</f>
        <v/>
      </c>
      <c r="BK735" s="81">
        <f>$X735</f>
        <v/>
      </c>
      <c r="BL735" s="82">
        <f>($J735-$J736)*100</f>
        <v/>
      </c>
      <c r="BM735" s="82">
        <f>($F735-$F736)*100</f>
        <v/>
      </c>
      <c r="BN735" s="82">
        <f>$AF735-$AF736</f>
        <v/>
      </c>
      <c r="BO735" s="82">
        <f>$AG735-$AG736</f>
        <v/>
      </c>
      <c r="BP735" s="82">
        <f>$AJ735-$AJ736</f>
        <v/>
      </c>
    </row>
    <row r="736">
      <c r="AR736" s="81">
        <f>($G736+($H736-$G736)*0.5)+($P736-($O736+($Q736-$O736)*0.5))</f>
        <v/>
      </c>
      <c r="AS736" s="81">
        <f>($J736+($K736-$J736)*0.5)+($T736-($S736+($U736-$S736)*0.5))</f>
        <v/>
      </c>
      <c r="AT736" s="82">
        <f>($J736-$C736)*100</f>
        <v/>
      </c>
      <c r="AU736" s="82">
        <f>($H736-$F736)*100</f>
        <v/>
      </c>
      <c r="AV736" s="82">
        <f>($J736-$F736)*100</f>
        <v/>
      </c>
      <c r="AW736" s="82">
        <f>($L736-$F736)*100</f>
        <v/>
      </c>
      <c r="AX736" s="82">
        <f>($J736-$H736)*100</f>
        <v/>
      </c>
      <c r="AY736" s="82">
        <f>($L736-$H736)*100</f>
        <v/>
      </c>
      <c r="AZ736" s="82">
        <f>($L736-$J736)*100</f>
        <v/>
      </c>
      <c r="BA736" s="82">
        <f>(2*$H736-$F736-$J736)*100</f>
        <v/>
      </c>
      <c r="BB736" s="82">
        <f>(2*$J736-$H736-$L736)*100</f>
        <v/>
      </c>
      <c r="BC736" s="82">
        <f>($N736-$F736)*100</f>
        <v/>
      </c>
      <c r="BD736" s="82">
        <f>($Q736-$H736)*100</f>
        <v/>
      </c>
      <c r="BE736" s="82">
        <f>($S736-$J736)*100</f>
        <v/>
      </c>
      <c r="BF736" s="82">
        <f>($V736-$L736)*100</f>
        <v/>
      </c>
      <c r="BG736" s="82">
        <f>$AG736-$AF736</f>
        <v/>
      </c>
      <c r="BH736" s="81">
        <f>IFERROR($AG736/$AF736,"")</f>
        <v/>
      </c>
      <c r="BI736" s="82">
        <f>$AJ736-$AF736</f>
        <v/>
      </c>
      <c r="BJ736" s="81">
        <f>IFERROR($AJ736/$AG736,"")</f>
        <v/>
      </c>
      <c r="BK736" s="81">
        <f>$X736</f>
        <v/>
      </c>
      <c r="BL736" s="82">
        <f>($J736-$J737)*100</f>
        <v/>
      </c>
      <c r="BM736" s="82">
        <f>($F736-$F737)*100</f>
        <v/>
      </c>
      <c r="BN736" s="82">
        <f>$AF736-$AF737</f>
        <v/>
      </c>
      <c r="BO736" s="82">
        <f>$AG736-$AG737</f>
        <v/>
      </c>
      <c r="BP736" s="82">
        <f>$AJ736-$AJ737</f>
        <v/>
      </c>
    </row>
    <row r="737">
      <c r="AR737" s="81">
        <f>($G737+($H737-$G737)*0.5)+($P737-($O737+($Q737-$O737)*0.5))</f>
        <v/>
      </c>
      <c r="AS737" s="81">
        <f>($J737+($K737-$J737)*0.5)+($T737-($S737+($U737-$S737)*0.5))</f>
        <v/>
      </c>
      <c r="AT737" s="82">
        <f>($J737-$C737)*100</f>
        <v/>
      </c>
      <c r="AU737" s="82">
        <f>($H737-$F737)*100</f>
        <v/>
      </c>
      <c r="AV737" s="82">
        <f>($J737-$F737)*100</f>
        <v/>
      </c>
      <c r="AW737" s="82">
        <f>($L737-$F737)*100</f>
        <v/>
      </c>
      <c r="AX737" s="82">
        <f>($J737-$H737)*100</f>
        <v/>
      </c>
      <c r="AY737" s="82">
        <f>($L737-$H737)*100</f>
        <v/>
      </c>
      <c r="AZ737" s="82">
        <f>($L737-$J737)*100</f>
        <v/>
      </c>
      <c r="BA737" s="82">
        <f>(2*$H737-$F737-$J737)*100</f>
        <v/>
      </c>
      <c r="BB737" s="82">
        <f>(2*$J737-$H737-$L737)*100</f>
        <v/>
      </c>
      <c r="BC737" s="82">
        <f>($N737-$F737)*100</f>
        <v/>
      </c>
      <c r="BD737" s="82">
        <f>($Q737-$H737)*100</f>
        <v/>
      </c>
      <c r="BE737" s="82">
        <f>($S737-$J737)*100</f>
        <v/>
      </c>
      <c r="BF737" s="82">
        <f>($V737-$L737)*100</f>
        <v/>
      </c>
      <c r="BG737" s="82">
        <f>$AG737-$AF737</f>
        <v/>
      </c>
      <c r="BH737" s="81">
        <f>IFERROR($AG737/$AF737,"")</f>
        <v/>
      </c>
      <c r="BI737" s="82">
        <f>$AJ737-$AF737</f>
        <v/>
      </c>
      <c r="BJ737" s="81">
        <f>IFERROR($AJ737/$AG737,"")</f>
        <v/>
      </c>
      <c r="BK737" s="81">
        <f>$X737</f>
        <v/>
      </c>
      <c r="BL737" s="82">
        <f>($J737-$J738)*100</f>
        <v/>
      </c>
      <c r="BM737" s="82">
        <f>($F737-$F738)*100</f>
        <v/>
      </c>
      <c r="BN737" s="82">
        <f>$AF737-$AF738</f>
        <v/>
      </c>
      <c r="BO737" s="82">
        <f>$AG737-$AG738</f>
        <v/>
      </c>
      <c r="BP737" s="82">
        <f>$AJ737-$AJ738</f>
        <v/>
      </c>
    </row>
    <row r="738">
      <c r="AR738" s="81">
        <f>($G738+($H738-$G738)*0.5)+($P738-($O738+($Q738-$O738)*0.5))</f>
        <v/>
      </c>
      <c r="AS738" s="81">
        <f>($J738+($K738-$J738)*0.5)+($T738-($S738+($U738-$S738)*0.5))</f>
        <v/>
      </c>
      <c r="AT738" s="82">
        <f>($J738-$C738)*100</f>
        <v/>
      </c>
      <c r="AU738" s="82">
        <f>($H738-$F738)*100</f>
        <v/>
      </c>
      <c r="AV738" s="82">
        <f>($J738-$F738)*100</f>
        <v/>
      </c>
      <c r="AW738" s="82">
        <f>($L738-$F738)*100</f>
        <v/>
      </c>
      <c r="AX738" s="82">
        <f>($J738-$H738)*100</f>
        <v/>
      </c>
      <c r="AY738" s="82">
        <f>($L738-$H738)*100</f>
        <v/>
      </c>
      <c r="AZ738" s="82">
        <f>($L738-$J738)*100</f>
        <v/>
      </c>
      <c r="BA738" s="82">
        <f>(2*$H738-$F738-$J738)*100</f>
        <v/>
      </c>
      <c r="BB738" s="82">
        <f>(2*$J738-$H738-$L738)*100</f>
        <v/>
      </c>
      <c r="BC738" s="82">
        <f>($N738-$F738)*100</f>
        <v/>
      </c>
      <c r="BD738" s="82">
        <f>($Q738-$H738)*100</f>
        <v/>
      </c>
      <c r="BE738" s="82">
        <f>($S738-$J738)*100</f>
        <v/>
      </c>
      <c r="BF738" s="82">
        <f>($V738-$L738)*100</f>
        <v/>
      </c>
      <c r="BG738" s="82">
        <f>$AG738-$AF738</f>
        <v/>
      </c>
      <c r="BH738" s="81">
        <f>IFERROR($AG738/$AF738,"")</f>
        <v/>
      </c>
      <c r="BI738" s="82">
        <f>$AJ738-$AF738</f>
        <v/>
      </c>
      <c r="BJ738" s="81">
        <f>IFERROR($AJ738/$AG738,"")</f>
        <v/>
      </c>
      <c r="BK738" s="81">
        <f>$X738</f>
        <v/>
      </c>
      <c r="BL738" s="82">
        <f>($J738-$J739)*100</f>
        <v/>
      </c>
      <c r="BM738" s="82">
        <f>($F738-$F739)*100</f>
        <v/>
      </c>
      <c r="BN738" s="82">
        <f>$AF738-$AF739</f>
        <v/>
      </c>
      <c r="BO738" s="82">
        <f>$AG738-$AG739</f>
        <v/>
      </c>
      <c r="BP738" s="82">
        <f>$AJ738-$AJ739</f>
        <v/>
      </c>
    </row>
    <row r="739">
      <c r="AR739" s="81">
        <f>($G739+($H739-$G739)*0.5)+($P739-($O739+($Q739-$O739)*0.5))</f>
        <v/>
      </c>
      <c r="AS739" s="81">
        <f>($J739+($K739-$J739)*0.5)+($T739-($S739+($U739-$S739)*0.5))</f>
        <v/>
      </c>
      <c r="AT739" s="82">
        <f>($J739-$C739)*100</f>
        <v/>
      </c>
      <c r="AU739" s="82">
        <f>($H739-$F739)*100</f>
        <v/>
      </c>
      <c r="AV739" s="82">
        <f>($J739-$F739)*100</f>
        <v/>
      </c>
      <c r="AW739" s="82">
        <f>($L739-$F739)*100</f>
        <v/>
      </c>
      <c r="AX739" s="82">
        <f>($J739-$H739)*100</f>
        <v/>
      </c>
      <c r="AY739" s="82">
        <f>($L739-$H739)*100</f>
        <v/>
      </c>
      <c r="AZ739" s="82">
        <f>($L739-$J739)*100</f>
        <v/>
      </c>
      <c r="BA739" s="82">
        <f>(2*$H739-$F739-$J739)*100</f>
        <v/>
      </c>
      <c r="BB739" s="82">
        <f>(2*$J739-$H739-$L739)*100</f>
        <v/>
      </c>
      <c r="BC739" s="82">
        <f>($N739-$F739)*100</f>
        <v/>
      </c>
      <c r="BD739" s="82">
        <f>($Q739-$H739)*100</f>
        <v/>
      </c>
      <c r="BE739" s="82">
        <f>($S739-$J739)*100</f>
        <v/>
      </c>
      <c r="BF739" s="82">
        <f>($V739-$L739)*100</f>
        <v/>
      </c>
      <c r="BG739" s="82">
        <f>$AG739-$AF739</f>
        <v/>
      </c>
      <c r="BH739" s="81">
        <f>IFERROR($AG739/$AF739,"")</f>
        <v/>
      </c>
      <c r="BI739" s="82">
        <f>$AJ739-$AF739</f>
        <v/>
      </c>
      <c r="BJ739" s="81">
        <f>IFERROR($AJ739/$AG739,"")</f>
        <v/>
      </c>
      <c r="BK739" s="81">
        <f>$X739</f>
        <v/>
      </c>
      <c r="BL739" s="82">
        <f>($J739-$J740)*100</f>
        <v/>
      </c>
      <c r="BM739" s="82">
        <f>($F739-$F740)*100</f>
        <v/>
      </c>
      <c r="BN739" s="82">
        <f>$AF739-$AF740</f>
        <v/>
      </c>
      <c r="BO739" s="82">
        <f>$AG739-$AG740</f>
        <v/>
      </c>
      <c r="BP739" s="82">
        <f>$AJ739-$AJ740</f>
        <v/>
      </c>
    </row>
    <row r="740">
      <c r="AR740" s="81">
        <f>($G740+($H740-$G740)*0.5)+($P740-($O740+($Q740-$O740)*0.5))</f>
        <v/>
      </c>
      <c r="AS740" s="81">
        <f>($J740+($K740-$J740)*0.5)+($T740-($S740+($U740-$S740)*0.5))</f>
        <v/>
      </c>
      <c r="AT740" s="82">
        <f>($J740-$C740)*100</f>
        <v/>
      </c>
      <c r="AU740" s="82">
        <f>($H740-$F740)*100</f>
        <v/>
      </c>
      <c r="AV740" s="82">
        <f>($J740-$F740)*100</f>
        <v/>
      </c>
      <c r="AW740" s="82">
        <f>($L740-$F740)*100</f>
        <v/>
      </c>
      <c r="AX740" s="82">
        <f>($J740-$H740)*100</f>
        <v/>
      </c>
      <c r="AY740" s="82">
        <f>($L740-$H740)*100</f>
        <v/>
      </c>
      <c r="AZ740" s="82">
        <f>($L740-$J740)*100</f>
        <v/>
      </c>
      <c r="BA740" s="82">
        <f>(2*$H740-$F740-$J740)*100</f>
        <v/>
      </c>
      <c r="BB740" s="82">
        <f>(2*$J740-$H740-$L740)*100</f>
        <v/>
      </c>
      <c r="BC740" s="82">
        <f>($N740-$F740)*100</f>
        <v/>
      </c>
      <c r="BD740" s="82">
        <f>($Q740-$H740)*100</f>
        <v/>
      </c>
      <c r="BE740" s="82">
        <f>($S740-$J740)*100</f>
        <v/>
      </c>
      <c r="BF740" s="82">
        <f>($V740-$L740)*100</f>
        <v/>
      </c>
      <c r="BG740" s="82">
        <f>$AG740-$AF740</f>
        <v/>
      </c>
      <c r="BH740" s="81">
        <f>IFERROR($AG740/$AF740,"")</f>
        <v/>
      </c>
      <c r="BI740" s="82">
        <f>$AJ740-$AF740</f>
        <v/>
      </c>
      <c r="BJ740" s="81">
        <f>IFERROR($AJ740/$AG740,"")</f>
        <v/>
      </c>
      <c r="BK740" s="81">
        <f>$X740</f>
        <v/>
      </c>
      <c r="BL740" s="82">
        <f>($J740-$J741)*100</f>
        <v/>
      </c>
      <c r="BM740" s="82">
        <f>($F740-$F741)*100</f>
        <v/>
      </c>
      <c r="BN740" s="82">
        <f>$AF740-$AF741</f>
        <v/>
      </c>
      <c r="BO740" s="82">
        <f>$AG740-$AG741</f>
        <v/>
      </c>
      <c r="BP740" s="82">
        <f>$AJ740-$AJ741</f>
        <v/>
      </c>
    </row>
    <row r="741">
      <c r="AR741" s="81">
        <f>($G741+($H741-$G741)*0.5)+($P741-($O741+($Q741-$O741)*0.5))</f>
        <v/>
      </c>
      <c r="AS741" s="81">
        <f>($J741+($K741-$J741)*0.5)+($T741-($S741+($U741-$S741)*0.5))</f>
        <v/>
      </c>
      <c r="AT741" s="82">
        <f>($J741-$C741)*100</f>
        <v/>
      </c>
      <c r="AU741" s="82">
        <f>($H741-$F741)*100</f>
        <v/>
      </c>
      <c r="AV741" s="82">
        <f>($J741-$F741)*100</f>
        <v/>
      </c>
      <c r="AW741" s="82">
        <f>($L741-$F741)*100</f>
        <v/>
      </c>
      <c r="AX741" s="82">
        <f>($J741-$H741)*100</f>
        <v/>
      </c>
      <c r="AY741" s="82">
        <f>($L741-$H741)*100</f>
        <v/>
      </c>
      <c r="AZ741" s="82">
        <f>($L741-$J741)*100</f>
        <v/>
      </c>
      <c r="BA741" s="82">
        <f>(2*$H741-$F741-$J741)*100</f>
        <v/>
      </c>
      <c r="BB741" s="82">
        <f>(2*$J741-$H741-$L741)*100</f>
        <v/>
      </c>
      <c r="BC741" s="82">
        <f>($N741-$F741)*100</f>
        <v/>
      </c>
      <c r="BD741" s="82">
        <f>($Q741-$H741)*100</f>
        <v/>
      </c>
      <c r="BE741" s="82">
        <f>($S741-$J741)*100</f>
        <v/>
      </c>
      <c r="BF741" s="82">
        <f>($V741-$L741)*100</f>
        <v/>
      </c>
      <c r="BG741" s="82">
        <f>$AG741-$AF741</f>
        <v/>
      </c>
      <c r="BH741" s="81">
        <f>IFERROR($AG741/$AF741,"")</f>
        <v/>
      </c>
      <c r="BI741" s="82">
        <f>$AJ741-$AF741</f>
        <v/>
      </c>
      <c r="BJ741" s="81">
        <f>IFERROR($AJ741/$AG741,"")</f>
        <v/>
      </c>
      <c r="BK741" s="81">
        <f>$X741</f>
        <v/>
      </c>
      <c r="BL741" s="82">
        <f>($J741-$J742)*100</f>
        <v/>
      </c>
      <c r="BM741" s="82">
        <f>($F741-$F742)*100</f>
        <v/>
      </c>
      <c r="BN741" s="82">
        <f>$AF741-$AF742</f>
        <v/>
      </c>
      <c r="BO741" s="82">
        <f>$AG741-$AG742</f>
        <v/>
      </c>
      <c r="BP741" s="82">
        <f>$AJ741-$AJ742</f>
        <v/>
      </c>
    </row>
    <row r="742">
      <c r="AR742" s="81">
        <f>($G742+($H742-$G742)*0.5)+($P742-($O742+($Q742-$O742)*0.5))</f>
        <v/>
      </c>
      <c r="AS742" s="81">
        <f>($J742+($K742-$J742)*0.5)+($T742-($S742+($U742-$S742)*0.5))</f>
        <v/>
      </c>
      <c r="AT742" s="82">
        <f>($J742-$C742)*100</f>
        <v/>
      </c>
      <c r="AU742" s="82">
        <f>($H742-$F742)*100</f>
        <v/>
      </c>
      <c r="AV742" s="82">
        <f>($J742-$F742)*100</f>
        <v/>
      </c>
      <c r="AW742" s="82">
        <f>($L742-$F742)*100</f>
        <v/>
      </c>
      <c r="AX742" s="82">
        <f>($J742-$H742)*100</f>
        <v/>
      </c>
      <c r="AY742" s="82">
        <f>($L742-$H742)*100</f>
        <v/>
      </c>
      <c r="AZ742" s="82">
        <f>($L742-$J742)*100</f>
        <v/>
      </c>
      <c r="BA742" s="82">
        <f>(2*$H742-$F742-$J742)*100</f>
        <v/>
      </c>
      <c r="BB742" s="82">
        <f>(2*$J742-$H742-$L742)*100</f>
        <v/>
      </c>
      <c r="BC742" s="82">
        <f>($N742-$F742)*100</f>
        <v/>
      </c>
      <c r="BD742" s="82">
        <f>($Q742-$H742)*100</f>
        <v/>
      </c>
      <c r="BE742" s="82">
        <f>($S742-$J742)*100</f>
        <v/>
      </c>
      <c r="BF742" s="82">
        <f>($V742-$L742)*100</f>
        <v/>
      </c>
      <c r="BG742" s="82">
        <f>$AG742-$AF742</f>
        <v/>
      </c>
      <c r="BH742" s="81">
        <f>IFERROR($AG742/$AF742,"")</f>
        <v/>
      </c>
      <c r="BI742" s="82">
        <f>$AJ742-$AF742</f>
        <v/>
      </c>
      <c r="BJ742" s="81">
        <f>IFERROR($AJ742/$AG742,"")</f>
        <v/>
      </c>
      <c r="BK742" s="81">
        <f>$X742</f>
        <v/>
      </c>
      <c r="BL742" s="82">
        <f>($J742-$J743)*100</f>
        <v/>
      </c>
      <c r="BM742" s="82">
        <f>($F742-$F743)*100</f>
        <v/>
      </c>
      <c r="BN742" s="82">
        <f>$AF742-$AF743</f>
        <v/>
      </c>
      <c r="BO742" s="82">
        <f>$AG742-$AG743</f>
        <v/>
      </c>
      <c r="BP742" s="82">
        <f>$AJ742-$AJ743</f>
        <v/>
      </c>
    </row>
    <row r="743">
      <c r="AR743" s="81">
        <f>($G743+($H743-$G743)*0.5)+($P743-($O743+($Q743-$O743)*0.5))</f>
        <v/>
      </c>
      <c r="AS743" s="81">
        <f>($J743+($K743-$J743)*0.5)+($T743-($S743+($U743-$S743)*0.5))</f>
        <v/>
      </c>
      <c r="AT743" s="82">
        <f>($J743-$C743)*100</f>
        <v/>
      </c>
      <c r="AU743" s="82">
        <f>($H743-$F743)*100</f>
        <v/>
      </c>
      <c r="AV743" s="82">
        <f>($J743-$F743)*100</f>
        <v/>
      </c>
      <c r="AW743" s="82">
        <f>($L743-$F743)*100</f>
        <v/>
      </c>
      <c r="AX743" s="82">
        <f>($J743-$H743)*100</f>
        <v/>
      </c>
      <c r="AY743" s="82">
        <f>($L743-$H743)*100</f>
        <v/>
      </c>
      <c r="AZ743" s="82">
        <f>($L743-$J743)*100</f>
        <v/>
      </c>
      <c r="BA743" s="82">
        <f>(2*$H743-$F743-$J743)*100</f>
        <v/>
      </c>
      <c r="BB743" s="82">
        <f>(2*$J743-$H743-$L743)*100</f>
        <v/>
      </c>
      <c r="BC743" s="82">
        <f>($N743-$F743)*100</f>
        <v/>
      </c>
      <c r="BD743" s="82">
        <f>($Q743-$H743)*100</f>
        <v/>
      </c>
      <c r="BE743" s="82">
        <f>($S743-$J743)*100</f>
        <v/>
      </c>
      <c r="BF743" s="82">
        <f>($V743-$L743)*100</f>
        <v/>
      </c>
      <c r="BG743" s="82">
        <f>$AG743-$AF743</f>
        <v/>
      </c>
      <c r="BH743" s="81">
        <f>IFERROR($AG743/$AF743,"")</f>
        <v/>
      </c>
      <c r="BI743" s="82">
        <f>$AJ743-$AF743</f>
        <v/>
      </c>
      <c r="BJ743" s="81">
        <f>IFERROR($AJ743/$AG743,"")</f>
        <v/>
      </c>
      <c r="BK743" s="81">
        <f>$X743</f>
        <v/>
      </c>
      <c r="BL743" s="82">
        <f>($J743-$J744)*100</f>
        <v/>
      </c>
      <c r="BM743" s="82">
        <f>($F743-$F744)*100</f>
        <v/>
      </c>
      <c r="BN743" s="82">
        <f>$AF743-$AF744</f>
        <v/>
      </c>
      <c r="BO743" s="82">
        <f>$AG743-$AG744</f>
        <v/>
      </c>
      <c r="BP743" s="82">
        <f>$AJ743-$AJ744</f>
        <v/>
      </c>
    </row>
    <row r="744">
      <c r="AR744" s="81">
        <f>($G744+($H744-$G744)*0.5)+($P744-($O744+($Q744-$O744)*0.5))</f>
        <v/>
      </c>
      <c r="AS744" s="81">
        <f>($J744+($K744-$J744)*0.5)+($T744-($S744+($U744-$S744)*0.5))</f>
        <v/>
      </c>
      <c r="AT744" s="82">
        <f>($J744-$C744)*100</f>
        <v/>
      </c>
      <c r="AU744" s="82">
        <f>($H744-$F744)*100</f>
        <v/>
      </c>
      <c r="AV744" s="82">
        <f>($J744-$F744)*100</f>
        <v/>
      </c>
      <c r="AW744" s="82">
        <f>($L744-$F744)*100</f>
        <v/>
      </c>
      <c r="AX744" s="82">
        <f>($J744-$H744)*100</f>
        <v/>
      </c>
      <c r="AY744" s="82">
        <f>($L744-$H744)*100</f>
        <v/>
      </c>
      <c r="AZ744" s="82">
        <f>($L744-$J744)*100</f>
        <v/>
      </c>
      <c r="BA744" s="82">
        <f>(2*$H744-$F744-$J744)*100</f>
        <v/>
      </c>
      <c r="BB744" s="82">
        <f>(2*$J744-$H744-$L744)*100</f>
        <v/>
      </c>
      <c r="BC744" s="82">
        <f>($N744-$F744)*100</f>
        <v/>
      </c>
      <c r="BD744" s="82">
        <f>($Q744-$H744)*100</f>
        <v/>
      </c>
      <c r="BE744" s="82">
        <f>($S744-$J744)*100</f>
        <v/>
      </c>
      <c r="BF744" s="82">
        <f>($V744-$L744)*100</f>
        <v/>
      </c>
      <c r="BG744" s="82">
        <f>$AG744-$AF744</f>
        <v/>
      </c>
      <c r="BH744" s="81">
        <f>IFERROR($AG744/$AF744,"")</f>
        <v/>
      </c>
      <c r="BI744" s="82">
        <f>$AJ744-$AF744</f>
        <v/>
      </c>
      <c r="BJ744" s="81">
        <f>IFERROR($AJ744/$AG744,"")</f>
        <v/>
      </c>
      <c r="BK744" s="81">
        <f>$X744</f>
        <v/>
      </c>
      <c r="BL744" s="82">
        <f>($J744-$J745)*100</f>
        <v/>
      </c>
      <c r="BM744" s="82">
        <f>($F744-$F745)*100</f>
        <v/>
      </c>
      <c r="BN744" s="82">
        <f>$AF744-$AF745</f>
        <v/>
      </c>
      <c r="BO744" s="82">
        <f>$AG744-$AG745</f>
        <v/>
      </c>
      <c r="BP744" s="82">
        <f>$AJ744-$AJ745</f>
        <v/>
      </c>
    </row>
    <row r="745">
      <c r="AR745" s="81">
        <f>($G745+($H745-$G745)*0.5)+($P745-($O745+($Q745-$O745)*0.5))</f>
        <v/>
      </c>
      <c r="AS745" s="81">
        <f>($J745+($K745-$J745)*0.5)+($T745-($S745+($U745-$S745)*0.5))</f>
        <v/>
      </c>
      <c r="AT745" s="82">
        <f>($J745-$C745)*100</f>
        <v/>
      </c>
      <c r="AU745" s="82">
        <f>($H745-$F745)*100</f>
        <v/>
      </c>
      <c r="AV745" s="82">
        <f>($J745-$F745)*100</f>
        <v/>
      </c>
      <c r="AW745" s="82">
        <f>($L745-$F745)*100</f>
        <v/>
      </c>
      <c r="AX745" s="82">
        <f>($J745-$H745)*100</f>
        <v/>
      </c>
      <c r="AY745" s="82">
        <f>($L745-$H745)*100</f>
        <v/>
      </c>
      <c r="AZ745" s="82">
        <f>($L745-$J745)*100</f>
        <v/>
      </c>
      <c r="BA745" s="82">
        <f>(2*$H745-$F745-$J745)*100</f>
        <v/>
      </c>
      <c r="BB745" s="82">
        <f>(2*$J745-$H745-$L745)*100</f>
        <v/>
      </c>
      <c r="BC745" s="82">
        <f>($N745-$F745)*100</f>
        <v/>
      </c>
      <c r="BD745" s="82">
        <f>($Q745-$H745)*100</f>
        <v/>
      </c>
      <c r="BE745" s="82">
        <f>($S745-$J745)*100</f>
        <v/>
      </c>
      <c r="BF745" s="82">
        <f>($V745-$L745)*100</f>
        <v/>
      </c>
      <c r="BG745" s="82">
        <f>$AG745-$AF745</f>
        <v/>
      </c>
      <c r="BH745" s="81">
        <f>IFERROR($AG745/$AF745,"")</f>
        <v/>
      </c>
      <c r="BI745" s="82">
        <f>$AJ745-$AF745</f>
        <v/>
      </c>
      <c r="BJ745" s="81">
        <f>IFERROR($AJ745/$AG745,"")</f>
        <v/>
      </c>
      <c r="BK745" s="81">
        <f>$X745</f>
        <v/>
      </c>
      <c r="BL745" s="82">
        <f>($J745-$J746)*100</f>
        <v/>
      </c>
      <c r="BM745" s="82">
        <f>($F745-$F746)*100</f>
        <v/>
      </c>
      <c r="BN745" s="82">
        <f>$AF745-$AF746</f>
        <v/>
      </c>
      <c r="BO745" s="82">
        <f>$AG745-$AG746</f>
        <v/>
      </c>
      <c r="BP745" s="82">
        <f>$AJ745-$AJ746</f>
        <v/>
      </c>
    </row>
    <row r="746">
      <c r="AR746" s="81">
        <f>($G746+($H746-$G746)*0.5)+($P746-($O746+($Q746-$O746)*0.5))</f>
        <v/>
      </c>
      <c r="AS746" s="81">
        <f>($J746+($K746-$J746)*0.5)+($T746-($S746+($U746-$S746)*0.5))</f>
        <v/>
      </c>
      <c r="AT746" s="82">
        <f>($J746-$C746)*100</f>
        <v/>
      </c>
      <c r="AU746" s="82">
        <f>($H746-$F746)*100</f>
        <v/>
      </c>
      <c r="AV746" s="82">
        <f>($J746-$F746)*100</f>
        <v/>
      </c>
      <c r="AW746" s="82">
        <f>($L746-$F746)*100</f>
        <v/>
      </c>
      <c r="AX746" s="82">
        <f>($J746-$H746)*100</f>
        <v/>
      </c>
      <c r="AY746" s="82">
        <f>($L746-$H746)*100</f>
        <v/>
      </c>
      <c r="AZ746" s="82">
        <f>($L746-$J746)*100</f>
        <v/>
      </c>
      <c r="BA746" s="82">
        <f>(2*$H746-$F746-$J746)*100</f>
        <v/>
      </c>
      <c r="BB746" s="82">
        <f>(2*$J746-$H746-$L746)*100</f>
        <v/>
      </c>
      <c r="BC746" s="82">
        <f>($N746-$F746)*100</f>
        <v/>
      </c>
      <c r="BD746" s="82">
        <f>($Q746-$H746)*100</f>
        <v/>
      </c>
      <c r="BE746" s="82">
        <f>($S746-$J746)*100</f>
        <v/>
      </c>
      <c r="BF746" s="82">
        <f>($V746-$L746)*100</f>
        <v/>
      </c>
      <c r="BG746" s="82">
        <f>$AG746-$AF746</f>
        <v/>
      </c>
      <c r="BH746" s="81">
        <f>IFERROR($AG746/$AF746,"")</f>
        <v/>
      </c>
      <c r="BI746" s="82">
        <f>$AJ746-$AF746</f>
        <v/>
      </c>
      <c r="BJ746" s="81">
        <f>IFERROR($AJ746/$AG746,"")</f>
        <v/>
      </c>
      <c r="BK746" s="81">
        <f>$X746</f>
        <v/>
      </c>
      <c r="BL746" s="82">
        <f>($J746-$J747)*100</f>
        <v/>
      </c>
      <c r="BM746" s="82">
        <f>($F746-$F747)*100</f>
        <v/>
      </c>
      <c r="BN746" s="82">
        <f>$AF746-$AF747</f>
        <v/>
      </c>
      <c r="BO746" s="82">
        <f>$AG746-$AG747</f>
        <v/>
      </c>
      <c r="BP746" s="82">
        <f>$AJ746-$AJ747</f>
        <v/>
      </c>
    </row>
    <row r="747">
      <c r="AR747" s="81">
        <f>($G747+($H747-$G747)*0.5)+($P747-($O747+($Q747-$O747)*0.5))</f>
        <v/>
      </c>
      <c r="AS747" s="81">
        <f>($J747+($K747-$J747)*0.5)+($T747-($S747+($U747-$S747)*0.5))</f>
        <v/>
      </c>
      <c r="AT747" s="82">
        <f>($J747-$C747)*100</f>
        <v/>
      </c>
      <c r="AU747" s="82">
        <f>($H747-$F747)*100</f>
        <v/>
      </c>
      <c r="AV747" s="82">
        <f>($J747-$F747)*100</f>
        <v/>
      </c>
      <c r="AW747" s="82">
        <f>($L747-$F747)*100</f>
        <v/>
      </c>
      <c r="AX747" s="82">
        <f>($J747-$H747)*100</f>
        <v/>
      </c>
      <c r="AY747" s="82">
        <f>($L747-$H747)*100</f>
        <v/>
      </c>
      <c r="AZ747" s="82">
        <f>($L747-$J747)*100</f>
        <v/>
      </c>
      <c r="BA747" s="82">
        <f>(2*$H747-$F747-$J747)*100</f>
        <v/>
      </c>
      <c r="BB747" s="82">
        <f>(2*$J747-$H747-$L747)*100</f>
        <v/>
      </c>
      <c r="BC747" s="82">
        <f>($N747-$F747)*100</f>
        <v/>
      </c>
      <c r="BD747" s="82">
        <f>($Q747-$H747)*100</f>
        <v/>
      </c>
      <c r="BE747" s="82">
        <f>($S747-$J747)*100</f>
        <v/>
      </c>
      <c r="BF747" s="82">
        <f>($V747-$L747)*100</f>
        <v/>
      </c>
      <c r="BG747" s="82">
        <f>$AG747-$AF747</f>
        <v/>
      </c>
      <c r="BH747" s="81">
        <f>IFERROR($AG747/$AF747,"")</f>
        <v/>
      </c>
      <c r="BI747" s="82">
        <f>$AJ747-$AF747</f>
        <v/>
      </c>
      <c r="BJ747" s="81">
        <f>IFERROR($AJ747/$AG747,"")</f>
        <v/>
      </c>
      <c r="BK747" s="81">
        <f>$X747</f>
        <v/>
      </c>
      <c r="BL747" s="82">
        <f>($J747-$J748)*100</f>
        <v/>
      </c>
      <c r="BM747" s="82">
        <f>($F747-$F748)*100</f>
        <v/>
      </c>
      <c r="BN747" s="82">
        <f>$AF747-$AF748</f>
        <v/>
      </c>
      <c r="BO747" s="82">
        <f>$AG747-$AG748</f>
        <v/>
      </c>
      <c r="BP747" s="82">
        <f>$AJ747-$AJ748</f>
        <v/>
      </c>
    </row>
    <row r="748">
      <c r="AR748" s="81">
        <f>($G748+($H748-$G748)*0.5)+($P748-($O748+($Q748-$O748)*0.5))</f>
        <v/>
      </c>
      <c r="AS748" s="81">
        <f>($J748+($K748-$J748)*0.5)+($T748-($S748+($U748-$S748)*0.5))</f>
        <v/>
      </c>
      <c r="AT748" s="82">
        <f>($J748-$C748)*100</f>
        <v/>
      </c>
      <c r="AU748" s="82">
        <f>($H748-$F748)*100</f>
        <v/>
      </c>
      <c r="AV748" s="82">
        <f>($J748-$F748)*100</f>
        <v/>
      </c>
      <c r="AW748" s="82">
        <f>($L748-$F748)*100</f>
        <v/>
      </c>
      <c r="AX748" s="82">
        <f>($J748-$H748)*100</f>
        <v/>
      </c>
      <c r="AY748" s="82">
        <f>($L748-$H748)*100</f>
        <v/>
      </c>
      <c r="AZ748" s="82">
        <f>($L748-$J748)*100</f>
        <v/>
      </c>
      <c r="BA748" s="82">
        <f>(2*$H748-$F748-$J748)*100</f>
        <v/>
      </c>
      <c r="BB748" s="82">
        <f>(2*$J748-$H748-$L748)*100</f>
        <v/>
      </c>
      <c r="BC748" s="82">
        <f>($N748-$F748)*100</f>
        <v/>
      </c>
      <c r="BD748" s="82">
        <f>($Q748-$H748)*100</f>
        <v/>
      </c>
      <c r="BE748" s="82">
        <f>($S748-$J748)*100</f>
        <v/>
      </c>
      <c r="BF748" s="82">
        <f>($V748-$L748)*100</f>
        <v/>
      </c>
      <c r="BG748" s="82">
        <f>$AG748-$AF748</f>
        <v/>
      </c>
      <c r="BH748" s="81">
        <f>IFERROR($AG748/$AF748,"")</f>
        <v/>
      </c>
      <c r="BI748" s="82">
        <f>$AJ748-$AF748</f>
        <v/>
      </c>
      <c r="BJ748" s="81">
        <f>IFERROR($AJ748/$AG748,"")</f>
        <v/>
      </c>
      <c r="BK748" s="81">
        <f>$X748</f>
        <v/>
      </c>
      <c r="BL748" s="82">
        <f>($J748-$J749)*100</f>
        <v/>
      </c>
      <c r="BM748" s="82">
        <f>($F748-$F749)*100</f>
        <v/>
      </c>
      <c r="BN748" s="82">
        <f>$AF748-$AF749</f>
        <v/>
      </c>
      <c r="BO748" s="82">
        <f>$AG748-$AG749</f>
        <v/>
      </c>
      <c r="BP748" s="82">
        <f>$AJ748-$AJ749</f>
        <v/>
      </c>
    </row>
    <row r="749">
      <c r="AR749" s="81">
        <f>($G749+($H749-$G749)*0.5)+($P749-($O749+($Q749-$O749)*0.5))</f>
        <v/>
      </c>
      <c r="AS749" s="81">
        <f>($J749+($K749-$J749)*0.5)+($T749-($S749+($U749-$S749)*0.5))</f>
        <v/>
      </c>
      <c r="AT749" s="82">
        <f>($J749-$C749)*100</f>
        <v/>
      </c>
      <c r="AU749" s="82">
        <f>($H749-$F749)*100</f>
        <v/>
      </c>
      <c r="AV749" s="82">
        <f>($J749-$F749)*100</f>
        <v/>
      </c>
      <c r="AW749" s="82">
        <f>($L749-$F749)*100</f>
        <v/>
      </c>
      <c r="AX749" s="82">
        <f>($J749-$H749)*100</f>
        <v/>
      </c>
      <c r="AY749" s="82">
        <f>($L749-$H749)*100</f>
        <v/>
      </c>
      <c r="AZ749" s="82">
        <f>($L749-$J749)*100</f>
        <v/>
      </c>
      <c r="BA749" s="82">
        <f>(2*$H749-$F749-$J749)*100</f>
        <v/>
      </c>
      <c r="BB749" s="82">
        <f>(2*$J749-$H749-$L749)*100</f>
        <v/>
      </c>
      <c r="BC749" s="82">
        <f>($N749-$F749)*100</f>
        <v/>
      </c>
      <c r="BD749" s="82">
        <f>($Q749-$H749)*100</f>
        <v/>
      </c>
      <c r="BE749" s="82">
        <f>($S749-$J749)*100</f>
        <v/>
      </c>
      <c r="BF749" s="82">
        <f>($V749-$L749)*100</f>
        <v/>
      </c>
      <c r="BG749" s="82">
        <f>$AG749-$AF749</f>
        <v/>
      </c>
      <c r="BH749" s="81">
        <f>IFERROR($AG749/$AF749,"")</f>
        <v/>
      </c>
      <c r="BI749" s="82">
        <f>$AJ749-$AF749</f>
        <v/>
      </c>
      <c r="BJ749" s="81">
        <f>IFERROR($AJ749/$AG749,"")</f>
        <v/>
      </c>
      <c r="BK749" s="81">
        <f>$X749</f>
        <v/>
      </c>
      <c r="BL749" s="82">
        <f>($J749-$J750)*100</f>
        <v/>
      </c>
      <c r="BM749" s="82">
        <f>($F749-$F750)*100</f>
        <v/>
      </c>
      <c r="BN749" s="82">
        <f>$AF749-$AF750</f>
        <v/>
      </c>
      <c r="BO749" s="82">
        <f>$AG749-$AG750</f>
        <v/>
      </c>
      <c r="BP749" s="82">
        <f>$AJ749-$AJ750</f>
        <v/>
      </c>
    </row>
    <row r="750">
      <c r="AR750" s="81">
        <f>($G750+($H750-$G750)*0.5)+($P750-($O750+($Q750-$O750)*0.5))</f>
        <v/>
      </c>
      <c r="AS750" s="81">
        <f>($J750+($K750-$J750)*0.5)+($T750-($S750+($U750-$S750)*0.5))</f>
        <v/>
      </c>
      <c r="AT750" s="82">
        <f>($J750-$C750)*100</f>
        <v/>
      </c>
      <c r="AU750" s="82">
        <f>($H750-$F750)*100</f>
        <v/>
      </c>
      <c r="AV750" s="82">
        <f>($J750-$F750)*100</f>
        <v/>
      </c>
      <c r="AW750" s="82">
        <f>($L750-$F750)*100</f>
        <v/>
      </c>
      <c r="AX750" s="82">
        <f>($J750-$H750)*100</f>
        <v/>
      </c>
      <c r="AY750" s="82">
        <f>($L750-$H750)*100</f>
        <v/>
      </c>
      <c r="AZ750" s="82">
        <f>($L750-$J750)*100</f>
        <v/>
      </c>
      <c r="BA750" s="82">
        <f>(2*$H750-$F750-$J750)*100</f>
        <v/>
      </c>
      <c r="BB750" s="82">
        <f>(2*$J750-$H750-$L750)*100</f>
        <v/>
      </c>
      <c r="BC750" s="82">
        <f>($N750-$F750)*100</f>
        <v/>
      </c>
      <c r="BD750" s="82">
        <f>($Q750-$H750)*100</f>
        <v/>
      </c>
      <c r="BE750" s="82">
        <f>($S750-$J750)*100</f>
        <v/>
      </c>
      <c r="BF750" s="82">
        <f>($V750-$L750)*100</f>
        <v/>
      </c>
      <c r="BG750" s="82">
        <f>$AG750-$AF750</f>
        <v/>
      </c>
      <c r="BH750" s="81">
        <f>IFERROR($AG750/$AF750,"")</f>
        <v/>
      </c>
      <c r="BI750" s="82">
        <f>$AJ750-$AF750</f>
        <v/>
      </c>
      <c r="BJ750" s="81">
        <f>IFERROR($AJ750/$AG750,"")</f>
        <v/>
      </c>
      <c r="BK750" s="81">
        <f>$X750</f>
        <v/>
      </c>
      <c r="BL750" s="82">
        <f>($J750-$J751)*100</f>
        <v/>
      </c>
      <c r="BM750" s="82">
        <f>($F750-$F751)*100</f>
        <v/>
      </c>
      <c r="BN750" s="82">
        <f>$AF750-$AF751</f>
        <v/>
      </c>
      <c r="BO750" s="82">
        <f>$AG750-$AG751</f>
        <v/>
      </c>
      <c r="BP750" s="82">
        <f>$AJ750-$AJ751</f>
        <v/>
      </c>
    </row>
    <row r="751">
      <c r="AR751" s="81">
        <f>($G751+($H751-$G751)*0.5)+($P751-($O751+($Q751-$O751)*0.5))</f>
        <v/>
      </c>
      <c r="AS751" s="81">
        <f>($J751+($K751-$J751)*0.5)+($T751-($S751+($U751-$S751)*0.5))</f>
        <v/>
      </c>
      <c r="AT751" s="82">
        <f>($J751-$C751)*100</f>
        <v/>
      </c>
      <c r="AU751" s="82">
        <f>($H751-$F751)*100</f>
        <v/>
      </c>
      <c r="AV751" s="82">
        <f>($J751-$F751)*100</f>
        <v/>
      </c>
      <c r="AW751" s="82">
        <f>($L751-$F751)*100</f>
        <v/>
      </c>
      <c r="AX751" s="82">
        <f>($J751-$H751)*100</f>
        <v/>
      </c>
      <c r="AY751" s="82">
        <f>($L751-$H751)*100</f>
        <v/>
      </c>
      <c r="AZ751" s="82">
        <f>($L751-$J751)*100</f>
        <v/>
      </c>
      <c r="BA751" s="82">
        <f>(2*$H751-$F751-$J751)*100</f>
        <v/>
      </c>
      <c r="BB751" s="82">
        <f>(2*$J751-$H751-$L751)*100</f>
        <v/>
      </c>
      <c r="BC751" s="82">
        <f>($N751-$F751)*100</f>
        <v/>
      </c>
      <c r="BD751" s="82">
        <f>($Q751-$H751)*100</f>
        <v/>
      </c>
      <c r="BE751" s="82">
        <f>($S751-$J751)*100</f>
        <v/>
      </c>
      <c r="BF751" s="82">
        <f>($V751-$L751)*100</f>
        <v/>
      </c>
      <c r="BG751" s="82">
        <f>$AG751-$AF751</f>
        <v/>
      </c>
      <c r="BH751" s="81">
        <f>IFERROR($AG751/$AF751,"")</f>
        <v/>
      </c>
      <c r="BI751" s="82">
        <f>$AJ751-$AF751</f>
        <v/>
      </c>
      <c r="BJ751" s="81">
        <f>IFERROR($AJ751/$AG751,"")</f>
        <v/>
      </c>
      <c r="BK751" s="81">
        <f>$X751</f>
        <v/>
      </c>
      <c r="BL751" s="82">
        <f>($J751-$J752)*100</f>
        <v/>
      </c>
      <c r="BM751" s="82">
        <f>($F751-$F752)*100</f>
        <v/>
      </c>
      <c r="BN751" s="82">
        <f>$AF751-$AF752</f>
        <v/>
      </c>
      <c r="BO751" s="82">
        <f>$AG751-$AG752</f>
        <v/>
      </c>
      <c r="BP751" s="82">
        <f>$AJ751-$AJ752</f>
        <v/>
      </c>
    </row>
    <row r="752">
      <c r="AR752" s="81">
        <f>($G752+($H752-$G752)*0.5)+($P752-($O752+($Q752-$O752)*0.5))</f>
        <v/>
      </c>
      <c r="AS752" s="81">
        <f>($J752+($K752-$J752)*0.5)+($T752-($S752+($U752-$S752)*0.5))</f>
        <v/>
      </c>
      <c r="AT752" s="82">
        <f>($J752-$C752)*100</f>
        <v/>
      </c>
      <c r="AU752" s="82">
        <f>($H752-$F752)*100</f>
        <v/>
      </c>
      <c r="AV752" s="82">
        <f>($J752-$F752)*100</f>
        <v/>
      </c>
      <c r="AW752" s="82">
        <f>($L752-$F752)*100</f>
        <v/>
      </c>
      <c r="AX752" s="82">
        <f>($J752-$H752)*100</f>
        <v/>
      </c>
      <c r="AY752" s="82">
        <f>($L752-$H752)*100</f>
        <v/>
      </c>
      <c r="AZ752" s="82">
        <f>($L752-$J752)*100</f>
        <v/>
      </c>
      <c r="BA752" s="82">
        <f>(2*$H752-$F752-$J752)*100</f>
        <v/>
      </c>
      <c r="BB752" s="82">
        <f>(2*$J752-$H752-$L752)*100</f>
        <v/>
      </c>
      <c r="BC752" s="82">
        <f>($N752-$F752)*100</f>
        <v/>
      </c>
      <c r="BD752" s="82">
        <f>($Q752-$H752)*100</f>
        <v/>
      </c>
      <c r="BE752" s="82">
        <f>($S752-$J752)*100</f>
        <v/>
      </c>
      <c r="BF752" s="82">
        <f>($V752-$L752)*100</f>
        <v/>
      </c>
      <c r="BG752" s="82">
        <f>$AG752-$AF752</f>
        <v/>
      </c>
      <c r="BH752" s="81">
        <f>IFERROR($AG752/$AF752,"")</f>
        <v/>
      </c>
      <c r="BI752" s="82">
        <f>$AJ752-$AF752</f>
        <v/>
      </c>
      <c r="BJ752" s="81">
        <f>IFERROR($AJ752/$AG752,"")</f>
        <v/>
      </c>
      <c r="BK752" s="81">
        <f>$X752</f>
        <v/>
      </c>
      <c r="BL752" s="82">
        <f>($J752-$J753)*100</f>
        <v/>
      </c>
      <c r="BM752" s="82">
        <f>($F752-$F753)*100</f>
        <v/>
      </c>
      <c r="BN752" s="82">
        <f>$AF752-$AF753</f>
        <v/>
      </c>
      <c r="BO752" s="82">
        <f>$AG752-$AG753</f>
        <v/>
      </c>
      <c r="BP752" s="82">
        <f>$AJ752-$AJ753</f>
        <v/>
      </c>
    </row>
    <row r="753">
      <c r="AR753" s="81">
        <f>($G753+($H753-$G753)*0.5)+($P753-($O753+($Q753-$O753)*0.5))</f>
        <v/>
      </c>
      <c r="AS753" s="81">
        <f>($J753+($K753-$J753)*0.5)+($T753-($S753+($U753-$S753)*0.5))</f>
        <v/>
      </c>
      <c r="AT753" s="82">
        <f>($J753-$C753)*100</f>
        <v/>
      </c>
      <c r="AU753" s="82">
        <f>($H753-$F753)*100</f>
        <v/>
      </c>
      <c r="AV753" s="82">
        <f>($J753-$F753)*100</f>
        <v/>
      </c>
      <c r="AW753" s="82">
        <f>($L753-$F753)*100</f>
        <v/>
      </c>
      <c r="AX753" s="82">
        <f>($J753-$H753)*100</f>
        <v/>
      </c>
      <c r="AY753" s="82">
        <f>($L753-$H753)*100</f>
        <v/>
      </c>
      <c r="AZ753" s="82">
        <f>($L753-$J753)*100</f>
        <v/>
      </c>
      <c r="BA753" s="82">
        <f>(2*$H753-$F753-$J753)*100</f>
        <v/>
      </c>
      <c r="BB753" s="82">
        <f>(2*$J753-$H753-$L753)*100</f>
        <v/>
      </c>
      <c r="BC753" s="82">
        <f>($N753-$F753)*100</f>
        <v/>
      </c>
      <c r="BD753" s="82">
        <f>($Q753-$H753)*100</f>
        <v/>
      </c>
      <c r="BE753" s="82">
        <f>($S753-$J753)*100</f>
        <v/>
      </c>
      <c r="BF753" s="82">
        <f>($V753-$L753)*100</f>
        <v/>
      </c>
      <c r="BG753" s="82">
        <f>$AG753-$AF753</f>
        <v/>
      </c>
      <c r="BH753" s="81">
        <f>IFERROR($AG753/$AF753,"")</f>
        <v/>
      </c>
      <c r="BI753" s="82">
        <f>$AJ753-$AF753</f>
        <v/>
      </c>
      <c r="BJ753" s="81">
        <f>IFERROR($AJ753/$AG753,"")</f>
        <v/>
      </c>
      <c r="BK753" s="81">
        <f>$X753</f>
        <v/>
      </c>
      <c r="BL753" s="82">
        <f>($J753-$J754)*100</f>
        <v/>
      </c>
      <c r="BM753" s="82">
        <f>($F753-$F754)*100</f>
        <v/>
      </c>
      <c r="BN753" s="82">
        <f>$AF753-$AF754</f>
        <v/>
      </c>
      <c r="BO753" s="82">
        <f>$AG753-$AG754</f>
        <v/>
      </c>
      <c r="BP753" s="82">
        <f>$AJ753-$AJ754</f>
        <v/>
      </c>
    </row>
    <row r="754">
      <c r="AR754" s="81">
        <f>($G754+($H754-$G754)*0.5)+($P754-($O754+($Q754-$O754)*0.5))</f>
        <v/>
      </c>
      <c r="AS754" s="81">
        <f>($J754+($K754-$J754)*0.5)+($T754-($S754+($U754-$S754)*0.5))</f>
        <v/>
      </c>
      <c r="AT754" s="82">
        <f>($J754-$C754)*100</f>
        <v/>
      </c>
      <c r="AU754" s="82">
        <f>($H754-$F754)*100</f>
        <v/>
      </c>
      <c r="AV754" s="82">
        <f>($J754-$F754)*100</f>
        <v/>
      </c>
      <c r="AW754" s="82">
        <f>($L754-$F754)*100</f>
        <v/>
      </c>
      <c r="AX754" s="82">
        <f>($J754-$H754)*100</f>
        <v/>
      </c>
      <c r="AY754" s="82">
        <f>($L754-$H754)*100</f>
        <v/>
      </c>
      <c r="AZ754" s="82">
        <f>($L754-$J754)*100</f>
        <v/>
      </c>
      <c r="BA754" s="82">
        <f>(2*$H754-$F754-$J754)*100</f>
        <v/>
      </c>
      <c r="BB754" s="82">
        <f>(2*$J754-$H754-$L754)*100</f>
        <v/>
      </c>
      <c r="BC754" s="82">
        <f>($N754-$F754)*100</f>
        <v/>
      </c>
      <c r="BD754" s="82">
        <f>($Q754-$H754)*100</f>
        <v/>
      </c>
      <c r="BE754" s="82">
        <f>($S754-$J754)*100</f>
        <v/>
      </c>
      <c r="BF754" s="82">
        <f>($V754-$L754)*100</f>
        <v/>
      </c>
      <c r="BG754" s="82">
        <f>$AG754-$AF754</f>
        <v/>
      </c>
      <c r="BH754" s="81">
        <f>IFERROR($AG754/$AF754,"")</f>
        <v/>
      </c>
      <c r="BI754" s="82">
        <f>$AJ754-$AF754</f>
        <v/>
      </c>
      <c r="BJ754" s="81">
        <f>IFERROR($AJ754/$AG754,"")</f>
        <v/>
      </c>
      <c r="BK754" s="81">
        <f>$X754</f>
        <v/>
      </c>
      <c r="BL754" s="82">
        <f>($J754-$J755)*100</f>
        <v/>
      </c>
      <c r="BM754" s="82">
        <f>($F754-$F755)*100</f>
        <v/>
      </c>
      <c r="BN754" s="82">
        <f>$AF754-$AF755</f>
        <v/>
      </c>
      <c r="BO754" s="82">
        <f>$AG754-$AG755</f>
        <v/>
      </c>
      <c r="BP754" s="82">
        <f>$AJ754-$AJ755</f>
        <v/>
      </c>
    </row>
    <row r="755">
      <c r="AR755" s="81">
        <f>($G755+($H755-$G755)*0.5)+($P755-($O755+($Q755-$O755)*0.5))</f>
        <v/>
      </c>
      <c r="AS755" s="81">
        <f>($J755+($K755-$J755)*0.5)+($T755-($S755+($U755-$S755)*0.5))</f>
        <v/>
      </c>
      <c r="AT755" s="82">
        <f>($J755-$C755)*100</f>
        <v/>
      </c>
      <c r="AU755" s="82">
        <f>($H755-$F755)*100</f>
        <v/>
      </c>
      <c r="AV755" s="82">
        <f>($J755-$F755)*100</f>
        <v/>
      </c>
      <c r="AW755" s="82">
        <f>($L755-$F755)*100</f>
        <v/>
      </c>
      <c r="AX755" s="82">
        <f>($J755-$H755)*100</f>
        <v/>
      </c>
      <c r="AY755" s="82">
        <f>($L755-$H755)*100</f>
        <v/>
      </c>
      <c r="AZ755" s="82">
        <f>($L755-$J755)*100</f>
        <v/>
      </c>
      <c r="BA755" s="82">
        <f>(2*$H755-$F755-$J755)*100</f>
        <v/>
      </c>
      <c r="BB755" s="82">
        <f>(2*$J755-$H755-$L755)*100</f>
        <v/>
      </c>
      <c r="BC755" s="82">
        <f>($N755-$F755)*100</f>
        <v/>
      </c>
      <c r="BD755" s="82">
        <f>($Q755-$H755)*100</f>
        <v/>
      </c>
      <c r="BE755" s="82">
        <f>($S755-$J755)*100</f>
        <v/>
      </c>
      <c r="BF755" s="82">
        <f>($V755-$L755)*100</f>
        <v/>
      </c>
      <c r="BG755" s="82">
        <f>$AG755-$AF755</f>
        <v/>
      </c>
      <c r="BH755" s="81">
        <f>IFERROR($AG755/$AF755,"")</f>
        <v/>
      </c>
      <c r="BI755" s="82">
        <f>$AJ755-$AF755</f>
        <v/>
      </c>
      <c r="BJ755" s="81">
        <f>IFERROR($AJ755/$AG755,"")</f>
        <v/>
      </c>
      <c r="BK755" s="81">
        <f>$X755</f>
        <v/>
      </c>
      <c r="BL755" s="82">
        <f>($J755-$J756)*100</f>
        <v/>
      </c>
      <c r="BM755" s="82">
        <f>($F755-$F756)*100</f>
        <v/>
      </c>
      <c r="BN755" s="82">
        <f>$AF755-$AF756</f>
        <v/>
      </c>
      <c r="BO755" s="82">
        <f>$AG755-$AG756</f>
        <v/>
      </c>
      <c r="BP755" s="82">
        <f>$AJ755-$AJ756</f>
        <v/>
      </c>
    </row>
    <row r="756">
      <c r="AR756" s="81">
        <f>($G756+($H756-$G756)*0.5)+($P756-($O756+($Q756-$O756)*0.5))</f>
        <v/>
      </c>
      <c r="AS756" s="81">
        <f>($J756+($K756-$J756)*0.5)+($T756-($S756+($U756-$S756)*0.5))</f>
        <v/>
      </c>
      <c r="AT756" s="82">
        <f>($J756-$C756)*100</f>
        <v/>
      </c>
      <c r="AU756" s="82">
        <f>($H756-$F756)*100</f>
        <v/>
      </c>
      <c r="AV756" s="82">
        <f>($J756-$F756)*100</f>
        <v/>
      </c>
      <c r="AW756" s="82">
        <f>($L756-$F756)*100</f>
        <v/>
      </c>
      <c r="AX756" s="82">
        <f>($J756-$H756)*100</f>
        <v/>
      </c>
      <c r="AY756" s="82">
        <f>($L756-$H756)*100</f>
        <v/>
      </c>
      <c r="AZ756" s="82">
        <f>($L756-$J756)*100</f>
        <v/>
      </c>
      <c r="BA756" s="82">
        <f>(2*$H756-$F756-$J756)*100</f>
        <v/>
      </c>
      <c r="BB756" s="82">
        <f>(2*$J756-$H756-$L756)*100</f>
        <v/>
      </c>
      <c r="BC756" s="82">
        <f>($N756-$F756)*100</f>
        <v/>
      </c>
      <c r="BD756" s="82">
        <f>($Q756-$H756)*100</f>
        <v/>
      </c>
      <c r="BE756" s="82">
        <f>($S756-$J756)*100</f>
        <v/>
      </c>
      <c r="BF756" s="82">
        <f>($V756-$L756)*100</f>
        <v/>
      </c>
      <c r="BG756" s="82">
        <f>$AG756-$AF756</f>
        <v/>
      </c>
      <c r="BH756" s="81">
        <f>IFERROR($AG756/$AF756,"")</f>
        <v/>
      </c>
      <c r="BI756" s="82">
        <f>$AJ756-$AF756</f>
        <v/>
      </c>
      <c r="BJ756" s="81">
        <f>IFERROR($AJ756/$AG756,"")</f>
        <v/>
      </c>
      <c r="BK756" s="81">
        <f>$X756</f>
        <v/>
      </c>
      <c r="BL756" s="82">
        <f>($J756-$J757)*100</f>
        <v/>
      </c>
      <c r="BM756" s="82">
        <f>($F756-$F757)*100</f>
        <v/>
      </c>
      <c r="BN756" s="82">
        <f>$AF756-$AF757</f>
        <v/>
      </c>
      <c r="BO756" s="82">
        <f>$AG756-$AG757</f>
        <v/>
      </c>
      <c r="BP756" s="82">
        <f>$AJ756-$AJ757</f>
        <v/>
      </c>
    </row>
    <row r="757">
      <c r="AR757" s="81">
        <f>($G757+($H757-$G757)*0.5)+($P757-($O757+($Q757-$O757)*0.5))</f>
        <v/>
      </c>
      <c r="AS757" s="81">
        <f>($J757+($K757-$J757)*0.5)+($T757-($S757+($U757-$S757)*0.5))</f>
        <v/>
      </c>
      <c r="AT757" s="82">
        <f>($J757-$C757)*100</f>
        <v/>
      </c>
      <c r="AU757" s="82">
        <f>($H757-$F757)*100</f>
        <v/>
      </c>
      <c r="AV757" s="82">
        <f>($J757-$F757)*100</f>
        <v/>
      </c>
      <c r="AW757" s="82">
        <f>($L757-$F757)*100</f>
        <v/>
      </c>
      <c r="AX757" s="82">
        <f>($J757-$H757)*100</f>
        <v/>
      </c>
      <c r="AY757" s="82">
        <f>($L757-$H757)*100</f>
        <v/>
      </c>
      <c r="AZ757" s="82">
        <f>($L757-$J757)*100</f>
        <v/>
      </c>
      <c r="BA757" s="82">
        <f>(2*$H757-$F757-$J757)*100</f>
        <v/>
      </c>
      <c r="BB757" s="82">
        <f>(2*$J757-$H757-$L757)*100</f>
        <v/>
      </c>
      <c r="BC757" s="82">
        <f>($N757-$F757)*100</f>
        <v/>
      </c>
      <c r="BD757" s="82">
        <f>($Q757-$H757)*100</f>
        <v/>
      </c>
      <c r="BE757" s="82">
        <f>($S757-$J757)*100</f>
        <v/>
      </c>
      <c r="BF757" s="82">
        <f>($V757-$L757)*100</f>
        <v/>
      </c>
      <c r="BG757" s="82">
        <f>$AG757-$AF757</f>
        <v/>
      </c>
      <c r="BH757" s="81">
        <f>IFERROR($AG757/$AF757,"")</f>
        <v/>
      </c>
      <c r="BI757" s="82">
        <f>$AJ757-$AF757</f>
        <v/>
      </c>
      <c r="BJ757" s="81">
        <f>IFERROR($AJ757/$AG757,"")</f>
        <v/>
      </c>
      <c r="BK757" s="81">
        <f>$X757</f>
        <v/>
      </c>
      <c r="BL757" s="82">
        <f>($J757-$J758)*100</f>
        <v/>
      </c>
      <c r="BM757" s="82">
        <f>($F757-$F758)*100</f>
        <v/>
      </c>
      <c r="BN757" s="82">
        <f>$AF757-$AF758</f>
        <v/>
      </c>
      <c r="BO757" s="82">
        <f>$AG757-$AG758</f>
        <v/>
      </c>
      <c r="BP757" s="82">
        <f>$AJ757-$AJ758</f>
        <v/>
      </c>
    </row>
    <row r="758">
      <c r="AR758" s="81">
        <f>($G758+($H758-$G758)*0.5)+($P758-($O758+($Q758-$O758)*0.5))</f>
        <v/>
      </c>
      <c r="AS758" s="81">
        <f>($J758+($K758-$J758)*0.5)+($T758-($S758+($U758-$S758)*0.5))</f>
        <v/>
      </c>
      <c r="AT758" s="82">
        <f>($J758-$C758)*100</f>
        <v/>
      </c>
      <c r="AU758" s="82">
        <f>($H758-$F758)*100</f>
        <v/>
      </c>
      <c r="AV758" s="82">
        <f>($J758-$F758)*100</f>
        <v/>
      </c>
      <c r="AW758" s="82">
        <f>($L758-$F758)*100</f>
        <v/>
      </c>
      <c r="AX758" s="82">
        <f>($J758-$H758)*100</f>
        <v/>
      </c>
      <c r="AY758" s="82">
        <f>($L758-$H758)*100</f>
        <v/>
      </c>
      <c r="AZ758" s="82">
        <f>($L758-$J758)*100</f>
        <v/>
      </c>
      <c r="BA758" s="82">
        <f>(2*$H758-$F758-$J758)*100</f>
        <v/>
      </c>
      <c r="BB758" s="82">
        <f>(2*$J758-$H758-$L758)*100</f>
        <v/>
      </c>
      <c r="BC758" s="82">
        <f>($N758-$F758)*100</f>
        <v/>
      </c>
      <c r="BD758" s="82">
        <f>($Q758-$H758)*100</f>
        <v/>
      </c>
      <c r="BE758" s="82">
        <f>($S758-$J758)*100</f>
        <v/>
      </c>
      <c r="BF758" s="82">
        <f>($V758-$L758)*100</f>
        <v/>
      </c>
      <c r="BG758" s="82">
        <f>$AG758-$AF758</f>
        <v/>
      </c>
      <c r="BH758" s="81">
        <f>IFERROR($AG758/$AF758,"")</f>
        <v/>
      </c>
      <c r="BI758" s="82">
        <f>$AJ758-$AF758</f>
        <v/>
      </c>
      <c r="BJ758" s="81">
        <f>IFERROR($AJ758/$AG758,"")</f>
        <v/>
      </c>
      <c r="BK758" s="81">
        <f>$X758</f>
        <v/>
      </c>
      <c r="BL758" s="82">
        <f>($J758-$J759)*100</f>
        <v/>
      </c>
      <c r="BM758" s="82">
        <f>($F758-$F759)*100</f>
        <v/>
      </c>
      <c r="BN758" s="82">
        <f>$AF758-$AF759</f>
        <v/>
      </c>
      <c r="BO758" s="82">
        <f>$AG758-$AG759</f>
        <v/>
      </c>
      <c r="BP758" s="82">
        <f>$AJ758-$AJ759</f>
        <v/>
      </c>
    </row>
    <row r="759">
      <c r="AR759" s="81">
        <f>($G759+($H759-$G759)*0.5)+($P759-($O759+($Q759-$O759)*0.5))</f>
        <v/>
      </c>
      <c r="AS759" s="81">
        <f>($J759+($K759-$J759)*0.5)+($T759-($S759+($U759-$S759)*0.5))</f>
        <v/>
      </c>
      <c r="AT759" s="82">
        <f>($J759-$C759)*100</f>
        <v/>
      </c>
      <c r="AU759" s="82">
        <f>($H759-$F759)*100</f>
        <v/>
      </c>
      <c r="AV759" s="82">
        <f>($J759-$F759)*100</f>
        <v/>
      </c>
      <c r="AW759" s="82">
        <f>($L759-$F759)*100</f>
        <v/>
      </c>
      <c r="AX759" s="82">
        <f>($J759-$H759)*100</f>
        <v/>
      </c>
      <c r="AY759" s="82">
        <f>($L759-$H759)*100</f>
        <v/>
      </c>
      <c r="AZ759" s="82">
        <f>($L759-$J759)*100</f>
        <v/>
      </c>
      <c r="BA759" s="82">
        <f>(2*$H759-$F759-$J759)*100</f>
        <v/>
      </c>
      <c r="BB759" s="82">
        <f>(2*$J759-$H759-$L759)*100</f>
        <v/>
      </c>
      <c r="BC759" s="82">
        <f>($N759-$F759)*100</f>
        <v/>
      </c>
      <c r="BD759" s="82">
        <f>($Q759-$H759)*100</f>
        <v/>
      </c>
      <c r="BE759" s="82">
        <f>($S759-$J759)*100</f>
        <v/>
      </c>
      <c r="BF759" s="82">
        <f>($V759-$L759)*100</f>
        <v/>
      </c>
      <c r="BG759" s="82">
        <f>$AG759-$AF759</f>
        <v/>
      </c>
      <c r="BH759" s="81">
        <f>IFERROR($AG759/$AF759,"")</f>
        <v/>
      </c>
      <c r="BI759" s="82">
        <f>$AJ759-$AF759</f>
        <v/>
      </c>
      <c r="BJ759" s="81">
        <f>IFERROR($AJ759/$AG759,"")</f>
        <v/>
      </c>
      <c r="BK759" s="81">
        <f>$X759</f>
        <v/>
      </c>
      <c r="BL759" s="82">
        <f>($J759-$J760)*100</f>
        <v/>
      </c>
      <c r="BM759" s="82">
        <f>($F759-$F760)*100</f>
        <v/>
      </c>
      <c r="BN759" s="82">
        <f>$AF759-$AF760</f>
        <v/>
      </c>
      <c r="BO759" s="82">
        <f>$AG759-$AG760</f>
        <v/>
      </c>
      <c r="BP759" s="82">
        <f>$AJ759-$AJ760</f>
        <v/>
      </c>
    </row>
    <row r="760">
      <c r="AR760" s="81">
        <f>($G760+($H760-$G760)*0.5)+($P760-($O760+($Q760-$O760)*0.5))</f>
        <v/>
      </c>
      <c r="AS760" s="81">
        <f>($J760+($K760-$J760)*0.5)+($T760-($S760+($U760-$S760)*0.5))</f>
        <v/>
      </c>
      <c r="AT760" s="82">
        <f>($J760-$C760)*100</f>
        <v/>
      </c>
      <c r="AU760" s="82">
        <f>($H760-$F760)*100</f>
        <v/>
      </c>
      <c r="AV760" s="82">
        <f>($J760-$F760)*100</f>
        <v/>
      </c>
      <c r="AW760" s="82">
        <f>($L760-$F760)*100</f>
        <v/>
      </c>
      <c r="AX760" s="82">
        <f>($J760-$H760)*100</f>
        <v/>
      </c>
      <c r="AY760" s="82">
        <f>($L760-$H760)*100</f>
        <v/>
      </c>
      <c r="AZ760" s="82">
        <f>($L760-$J760)*100</f>
        <v/>
      </c>
      <c r="BA760" s="82">
        <f>(2*$H760-$F760-$J760)*100</f>
        <v/>
      </c>
      <c r="BB760" s="82">
        <f>(2*$J760-$H760-$L760)*100</f>
        <v/>
      </c>
      <c r="BC760" s="82">
        <f>($N760-$F760)*100</f>
        <v/>
      </c>
      <c r="BD760" s="82">
        <f>($Q760-$H760)*100</f>
        <v/>
      </c>
      <c r="BE760" s="82">
        <f>($S760-$J760)*100</f>
        <v/>
      </c>
      <c r="BF760" s="82">
        <f>($V760-$L760)*100</f>
        <v/>
      </c>
      <c r="BG760" s="82">
        <f>$AG760-$AF760</f>
        <v/>
      </c>
      <c r="BH760" s="81">
        <f>IFERROR($AG760/$AF760,"")</f>
        <v/>
      </c>
      <c r="BI760" s="82">
        <f>$AJ760-$AF760</f>
        <v/>
      </c>
      <c r="BJ760" s="81">
        <f>IFERROR($AJ760/$AG760,"")</f>
        <v/>
      </c>
      <c r="BK760" s="81">
        <f>$X760</f>
        <v/>
      </c>
      <c r="BL760" s="82">
        <f>($J760-$J761)*100</f>
        <v/>
      </c>
      <c r="BM760" s="82">
        <f>($F760-$F761)*100</f>
        <v/>
      </c>
      <c r="BN760" s="82">
        <f>$AF760-$AF761</f>
        <v/>
      </c>
      <c r="BO760" s="82">
        <f>$AG760-$AG761</f>
        <v/>
      </c>
      <c r="BP760" s="82">
        <f>$AJ760-$AJ761</f>
        <v/>
      </c>
    </row>
    <row r="761">
      <c r="AR761" s="81">
        <f>($G761+($H761-$G761)*0.5)+($P761-($O761+($Q761-$O761)*0.5))</f>
        <v/>
      </c>
      <c r="AS761" s="81">
        <f>($J761+($K761-$J761)*0.5)+($T761-($S761+($U761-$S761)*0.5))</f>
        <v/>
      </c>
      <c r="AT761" s="82">
        <f>($J761-$C761)*100</f>
        <v/>
      </c>
      <c r="AU761" s="82">
        <f>($H761-$F761)*100</f>
        <v/>
      </c>
      <c r="AV761" s="82">
        <f>($J761-$F761)*100</f>
        <v/>
      </c>
      <c r="AW761" s="82">
        <f>($L761-$F761)*100</f>
        <v/>
      </c>
      <c r="AX761" s="82">
        <f>($J761-$H761)*100</f>
        <v/>
      </c>
      <c r="AY761" s="82">
        <f>($L761-$H761)*100</f>
        <v/>
      </c>
      <c r="AZ761" s="82">
        <f>($L761-$J761)*100</f>
        <v/>
      </c>
      <c r="BA761" s="82">
        <f>(2*$H761-$F761-$J761)*100</f>
        <v/>
      </c>
      <c r="BB761" s="82">
        <f>(2*$J761-$H761-$L761)*100</f>
        <v/>
      </c>
      <c r="BC761" s="82">
        <f>($N761-$F761)*100</f>
        <v/>
      </c>
      <c r="BD761" s="82">
        <f>($Q761-$H761)*100</f>
        <v/>
      </c>
      <c r="BE761" s="82">
        <f>($S761-$J761)*100</f>
        <v/>
      </c>
      <c r="BF761" s="82">
        <f>($V761-$L761)*100</f>
        <v/>
      </c>
      <c r="BG761" s="82">
        <f>$AG761-$AF761</f>
        <v/>
      </c>
      <c r="BH761" s="81">
        <f>IFERROR($AG761/$AF761,"")</f>
        <v/>
      </c>
      <c r="BI761" s="82">
        <f>$AJ761-$AF761</f>
        <v/>
      </c>
      <c r="BJ761" s="81">
        <f>IFERROR($AJ761/$AG761,"")</f>
        <v/>
      </c>
      <c r="BK761" s="81">
        <f>$X761</f>
        <v/>
      </c>
      <c r="BL761" s="82">
        <f>($J761-$J762)*100</f>
        <v/>
      </c>
      <c r="BM761" s="82">
        <f>($F761-$F762)*100</f>
        <v/>
      </c>
      <c r="BN761" s="82">
        <f>$AF761-$AF762</f>
        <v/>
      </c>
      <c r="BO761" s="82">
        <f>$AG761-$AG762</f>
        <v/>
      </c>
      <c r="BP761" s="82">
        <f>$AJ761-$AJ762</f>
        <v/>
      </c>
    </row>
    <row r="762">
      <c r="AR762" s="81">
        <f>($G762+($H762-$G762)*0.5)+($P762-($O762+($Q762-$O762)*0.5))</f>
        <v/>
      </c>
      <c r="AS762" s="81">
        <f>($J762+($K762-$J762)*0.5)+($T762-($S762+($U762-$S762)*0.5))</f>
        <v/>
      </c>
      <c r="AT762" s="82">
        <f>($J762-$C762)*100</f>
        <v/>
      </c>
      <c r="AU762" s="82">
        <f>($H762-$F762)*100</f>
        <v/>
      </c>
      <c r="AV762" s="82">
        <f>($J762-$F762)*100</f>
        <v/>
      </c>
      <c r="AW762" s="82">
        <f>($L762-$F762)*100</f>
        <v/>
      </c>
      <c r="AX762" s="82">
        <f>($J762-$H762)*100</f>
        <v/>
      </c>
      <c r="AY762" s="82">
        <f>($L762-$H762)*100</f>
        <v/>
      </c>
      <c r="AZ762" s="82">
        <f>($L762-$J762)*100</f>
        <v/>
      </c>
      <c r="BA762" s="82">
        <f>(2*$H762-$F762-$J762)*100</f>
        <v/>
      </c>
      <c r="BB762" s="82">
        <f>(2*$J762-$H762-$L762)*100</f>
        <v/>
      </c>
      <c r="BC762" s="82">
        <f>($N762-$F762)*100</f>
        <v/>
      </c>
      <c r="BD762" s="82">
        <f>($Q762-$H762)*100</f>
        <v/>
      </c>
      <c r="BE762" s="82">
        <f>($S762-$J762)*100</f>
        <v/>
      </c>
      <c r="BF762" s="82">
        <f>($V762-$L762)*100</f>
        <v/>
      </c>
      <c r="BG762" s="82">
        <f>$AG762-$AF762</f>
        <v/>
      </c>
      <c r="BH762" s="81">
        <f>IFERROR($AG762/$AF762,"")</f>
        <v/>
      </c>
      <c r="BI762" s="82">
        <f>$AJ762-$AF762</f>
        <v/>
      </c>
      <c r="BJ762" s="81">
        <f>IFERROR($AJ762/$AG762,"")</f>
        <v/>
      </c>
      <c r="BK762" s="81">
        <f>$X762</f>
        <v/>
      </c>
      <c r="BL762" s="82">
        <f>($J762-$J763)*100</f>
        <v/>
      </c>
      <c r="BM762" s="82">
        <f>($F762-$F763)*100</f>
        <v/>
      </c>
      <c r="BN762" s="82">
        <f>$AF762-$AF763</f>
        <v/>
      </c>
      <c r="BO762" s="82">
        <f>$AG762-$AG763</f>
        <v/>
      </c>
      <c r="BP762" s="82">
        <f>$AJ762-$AJ763</f>
        <v/>
      </c>
    </row>
    <row r="763">
      <c r="AR763" s="81">
        <f>($G763+($H763-$G763)*0.5)+($P763-($O763+($Q763-$O763)*0.5))</f>
        <v/>
      </c>
      <c r="AS763" s="81">
        <f>($J763+($K763-$J763)*0.5)+($T763-($S763+($U763-$S763)*0.5))</f>
        <v/>
      </c>
      <c r="AT763" s="82">
        <f>($J763-$C763)*100</f>
        <v/>
      </c>
      <c r="AU763" s="82">
        <f>($H763-$F763)*100</f>
        <v/>
      </c>
      <c r="AV763" s="82">
        <f>($J763-$F763)*100</f>
        <v/>
      </c>
      <c r="AW763" s="82">
        <f>($L763-$F763)*100</f>
        <v/>
      </c>
      <c r="AX763" s="82">
        <f>($J763-$H763)*100</f>
        <v/>
      </c>
      <c r="AY763" s="82">
        <f>($L763-$H763)*100</f>
        <v/>
      </c>
      <c r="AZ763" s="82">
        <f>($L763-$J763)*100</f>
        <v/>
      </c>
      <c r="BA763" s="82">
        <f>(2*$H763-$F763-$J763)*100</f>
        <v/>
      </c>
      <c r="BB763" s="82">
        <f>(2*$J763-$H763-$L763)*100</f>
        <v/>
      </c>
      <c r="BC763" s="82">
        <f>($N763-$F763)*100</f>
        <v/>
      </c>
      <c r="BD763" s="82">
        <f>($Q763-$H763)*100</f>
        <v/>
      </c>
      <c r="BE763" s="82">
        <f>($S763-$J763)*100</f>
        <v/>
      </c>
      <c r="BF763" s="82">
        <f>($V763-$L763)*100</f>
        <v/>
      </c>
      <c r="BG763" s="82">
        <f>$AG763-$AF763</f>
        <v/>
      </c>
      <c r="BH763" s="81">
        <f>IFERROR($AG763/$AF763,"")</f>
        <v/>
      </c>
      <c r="BI763" s="82">
        <f>$AJ763-$AF763</f>
        <v/>
      </c>
      <c r="BJ763" s="81">
        <f>IFERROR($AJ763/$AG763,"")</f>
        <v/>
      </c>
      <c r="BK763" s="81">
        <f>$X763</f>
        <v/>
      </c>
      <c r="BL763" s="82">
        <f>($J763-$J764)*100</f>
        <v/>
      </c>
      <c r="BM763" s="82">
        <f>($F763-$F764)*100</f>
        <v/>
      </c>
      <c r="BN763" s="82">
        <f>$AF763-$AF764</f>
        <v/>
      </c>
      <c r="BO763" s="82">
        <f>$AG763-$AG764</f>
        <v/>
      </c>
      <c r="BP763" s="82">
        <f>$AJ763-$AJ764</f>
        <v/>
      </c>
    </row>
    <row r="764">
      <c r="AR764" s="81">
        <f>($G764+($H764-$G764)*0.5)+($P764-($O764+($Q764-$O764)*0.5))</f>
        <v/>
      </c>
      <c r="AS764" s="81">
        <f>($J764+($K764-$J764)*0.5)+($T764-($S764+($U764-$S764)*0.5))</f>
        <v/>
      </c>
      <c r="AT764" s="82">
        <f>($J764-$C764)*100</f>
        <v/>
      </c>
      <c r="AU764" s="82">
        <f>($H764-$F764)*100</f>
        <v/>
      </c>
      <c r="AV764" s="82">
        <f>($J764-$F764)*100</f>
        <v/>
      </c>
      <c r="AW764" s="82">
        <f>($L764-$F764)*100</f>
        <v/>
      </c>
      <c r="AX764" s="82">
        <f>($J764-$H764)*100</f>
        <v/>
      </c>
      <c r="AY764" s="82">
        <f>($L764-$H764)*100</f>
        <v/>
      </c>
      <c r="AZ764" s="82">
        <f>($L764-$J764)*100</f>
        <v/>
      </c>
      <c r="BA764" s="82">
        <f>(2*$H764-$F764-$J764)*100</f>
        <v/>
      </c>
      <c r="BB764" s="82">
        <f>(2*$J764-$H764-$L764)*100</f>
        <v/>
      </c>
      <c r="BC764" s="82">
        <f>($N764-$F764)*100</f>
        <v/>
      </c>
      <c r="BD764" s="82">
        <f>($Q764-$H764)*100</f>
        <v/>
      </c>
      <c r="BE764" s="82">
        <f>($S764-$J764)*100</f>
        <v/>
      </c>
      <c r="BF764" s="82">
        <f>($V764-$L764)*100</f>
        <v/>
      </c>
      <c r="BG764" s="82">
        <f>$AG764-$AF764</f>
        <v/>
      </c>
      <c r="BH764" s="81">
        <f>IFERROR($AG764/$AF764,"")</f>
        <v/>
      </c>
      <c r="BI764" s="82">
        <f>$AJ764-$AF764</f>
        <v/>
      </c>
      <c r="BJ764" s="81">
        <f>IFERROR($AJ764/$AG764,"")</f>
        <v/>
      </c>
      <c r="BK764" s="81">
        <f>$X764</f>
        <v/>
      </c>
      <c r="BL764" s="82">
        <f>($J764-$J765)*100</f>
        <v/>
      </c>
      <c r="BM764" s="82">
        <f>($F764-$F765)*100</f>
        <v/>
      </c>
      <c r="BN764" s="82">
        <f>$AF764-$AF765</f>
        <v/>
      </c>
      <c r="BO764" s="82">
        <f>$AG764-$AG765</f>
        <v/>
      </c>
      <c r="BP764" s="82">
        <f>$AJ764-$AJ765</f>
        <v/>
      </c>
    </row>
    <row r="765">
      <c r="AR765" s="81">
        <f>($G765+($H765-$G765)*0.5)+($P765-($O765+($Q765-$O765)*0.5))</f>
        <v/>
      </c>
      <c r="AS765" s="81">
        <f>($J765+($K765-$J765)*0.5)+($T765-($S765+($U765-$S765)*0.5))</f>
        <v/>
      </c>
      <c r="AT765" s="82">
        <f>($J765-$C765)*100</f>
        <v/>
      </c>
      <c r="AU765" s="82">
        <f>($H765-$F765)*100</f>
        <v/>
      </c>
      <c r="AV765" s="82">
        <f>($J765-$F765)*100</f>
        <v/>
      </c>
      <c r="AW765" s="82">
        <f>($L765-$F765)*100</f>
        <v/>
      </c>
      <c r="AX765" s="82">
        <f>($J765-$H765)*100</f>
        <v/>
      </c>
      <c r="AY765" s="82">
        <f>($L765-$H765)*100</f>
        <v/>
      </c>
      <c r="AZ765" s="82">
        <f>($L765-$J765)*100</f>
        <v/>
      </c>
      <c r="BA765" s="82">
        <f>(2*$H765-$F765-$J765)*100</f>
        <v/>
      </c>
      <c r="BB765" s="82">
        <f>(2*$J765-$H765-$L765)*100</f>
        <v/>
      </c>
      <c r="BC765" s="82">
        <f>($N765-$F765)*100</f>
        <v/>
      </c>
      <c r="BD765" s="82">
        <f>($Q765-$H765)*100</f>
        <v/>
      </c>
      <c r="BE765" s="82">
        <f>($S765-$J765)*100</f>
        <v/>
      </c>
      <c r="BF765" s="82">
        <f>($V765-$L765)*100</f>
        <v/>
      </c>
      <c r="BG765" s="82">
        <f>$AG765-$AF765</f>
        <v/>
      </c>
      <c r="BH765" s="81">
        <f>IFERROR($AG765/$AF765,"")</f>
        <v/>
      </c>
      <c r="BI765" s="82">
        <f>$AJ765-$AF765</f>
        <v/>
      </c>
      <c r="BJ765" s="81">
        <f>IFERROR($AJ765/$AG765,"")</f>
        <v/>
      </c>
      <c r="BK765" s="81">
        <f>$X765</f>
        <v/>
      </c>
      <c r="BL765" s="82">
        <f>($J765-$J766)*100</f>
        <v/>
      </c>
      <c r="BM765" s="82">
        <f>($F765-$F766)*100</f>
        <v/>
      </c>
      <c r="BN765" s="82">
        <f>$AF765-$AF766</f>
        <v/>
      </c>
      <c r="BO765" s="82">
        <f>$AG765-$AG766</f>
        <v/>
      </c>
      <c r="BP765" s="82">
        <f>$AJ765-$AJ766</f>
        <v/>
      </c>
    </row>
    <row r="766">
      <c r="AR766" s="81">
        <f>($G766+($H766-$G766)*0.5)+($P766-($O766+($Q766-$O766)*0.5))</f>
        <v/>
      </c>
      <c r="AS766" s="81">
        <f>($J766+($K766-$J766)*0.5)+($T766-($S766+($U766-$S766)*0.5))</f>
        <v/>
      </c>
      <c r="AT766" s="82">
        <f>($J766-$C766)*100</f>
        <v/>
      </c>
      <c r="AU766" s="82">
        <f>($H766-$F766)*100</f>
        <v/>
      </c>
      <c r="AV766" s="82">
        <f>($J766-$F766)*100</f>
        <v/>
      </c>
      <c r="AW766" s="82">
        <f>($L766-$F766)*100</f>
        <v/>
      </c>
      <c r="AX766" s="82">
        <f>($J766-$H766)*100</f>
        <v/>
      </c>
      <c r="AY766" s="82">
        <f>($L766-$H766)*100</f>
        <v/>
      </c>
      <c r="AZ766" s="82">
        <f>($L766-$J766)*100</f>
        <v/>
      </c>
      <c r="BA766" s="82">
        <f>(2*$H766-$F766-$J766)*100</f>
        <v/>
      </c>
      <c r="BB766" s="82">
        <f>(2*$J766-$H766-$L766)*100</f>
        <v/>
      </c>
      <c r="BC766" s="82">
        <f>($N766-$F766)*100</f>
        <v/>
      </c>
      <c r="BD766" s="82">
        <f>($Q766-$H766)*100</f>
        <v/>
      </c>
      <c r="BE766" s="82">
        <f>($S766-$J766)*100</f>
        <v/>
      </c>
      <c r="BF766" s="82">
        <f>($V766-$L766)*100</f>
        <v/>
      </c>
      <c r="BG766" s="82">
        <f>$AG766-$AF766</f>
        <v/>
      </c>
      <c r="BH766" s="81">
        <f>IFERROR($AG766/$AF766,"")</f>
        <v/>
      </c>
      <c r="BI766" s="82">
        <f>$AJ766-$AF766</f>
        <v/>
      </c>
      <c r="BJ766" s="81">
        <f>IFERROR($AJ766/$AG766,"")</f>
        <v/>
      </c>
      <c r="BK766" s="81">
        <f>$X766</f>
        <v/>
      </c>
      <c r="BL766" s="82">
        <f>($J766-$J767)*100</f>
        <v/>
      </c>
      <c r="BM766" s="82">
        <f>($F766-$F767)*100</f>
        <v/>
      </c>
      <c r="BN766" s="82">
        <f>$AF766-$AF767</f>
        <v/>
      </c>
      <c r="BO766" s="82">
        <f>$AG766-$AG767</f>
        <v/>
      </c>
      <c r="BP766" s="82">
        <f>$AJ766-$AJ767</f>
        <v/>
      </c>
    </row>
    <row r="767">
      <c r="AR767" s="81">
        <f>($G767+($H767-$G767)*0.5)+($P767-($O767+($Q767-$O767)*0.5))</f>
        <v/>
      </c>
      <c r="AS767" s="81">
        <f>($J767+($K767-$J767)*0.5)+($T767-($S767+($U767-$S767)*0.5))</f>
        <v/>
      </c>
      <c r="AT767" s="82">
        <f>($J767-$C767)*100</f>
        <v/>
      </c>
      <c r="AU767" s="82">
        <f>($H767-$F767)*100</f>
        <v/>
      </c>
      <c r="AV767" s="82">
        <f>($J767-$F767)*100</f>
        <v/>
      </c>
      <c r="AW767" s="82">
        <f>($L767-$F767)*100</f>
        <v/>
      </c>
      <c r="AX767" s="82">
        <f>($J767-$H767)*100</f>
        <v/>
      </c>
      <c r="AY767" s="82">
        <f>($L767-$H767)*100</f>
        <v/>
      </c>
      <c r="AZ767" s="82">
        <f>($L767-$J767)*100</f>
        <v/>
      </c>
      <c r="BA767" s="82">
        <f>(2*$H767-$F767-$J767)*100</f>
        <v/>
      </c>
      <c r="BB767" s="82">
        <f>(2*$J767-$H767-$L767)*100</f>
        <v/>
      </c>
      <c r="BC767" s="82">
        <f>($N767-$F767)*100</f>
        <v/>
      </c>
      <c r="BD767" s="82">
        <f>($Q767-$H767)*100</f>
        <v/>
      </c>
      <c r="BE767" s="82">
        <f>($S767-$J767)*100</f>
        <v/>
      </c>
      <c r="BF767" s="82">
        <f>($V767-$L767)*100</f>
        <v/>
      </c>
      <c r="BG767" s="82">
        <f>$AG767-$AF767</f>
        <v/>
      </c>
      <c r="BH767" s="81">
        <f>IFERROR($AG767/$AF767,"")</f>
        <v/>
      </c>
      <c r="BI767" s="82">
        <f>$AJ767-$AF767</f>
        <v/>
      </c>
      <c r="BJ767" s="81">
        <f>IFERROR($AJ767/$AG767,"")</f>
        <v/>
      </c>
      <c r="BK767" s="81">
        <f>$X767</f>
        <v/>
      </c>
      <c r="BL767" s="82">
        <f>($J767-$J768)*100</f>
        <v/>
      </c>
      <c r="BM767" s="82">
        <f>($F767-$F768)*100</f>
        <v/>
      </c>
      <c r="BN767" s="82">
        <f>$AF767-$AF768</f>
        <v/>
      </c>
      <c r="BO767" s="82">
        <f>$AG767-$AG768</f>
        <v/>
      </c>
      <c r="BP767" s="82">
        <f>$AJ767-$AJ768</f>
        <v/>
      </c>
    </row>
    <row r="768">
      <c r="AR768" s="81">
        <f>($G768+($H768-$G768)*0.5)+($P768-($O768+($Q768-$O768)*0.5))</f>
        <v/>
      </c>
      <c r="AS768" s="81">
        <f>($J768+($K768-$J768)*0.5)+($T768-($S768+($U768-$S768)*0.5))</f>
        <v/>
      </c>
      <c r="AT768" s="82">
        <f>($J768-$C768)*100</f>
        <v/>
      </c>
      <c r="AU768" s="82">
        <f>($H768-$F768)*100</f>
        <v/>
      </c>
      <c r="AV768" s="82">
        <f>($J768-$F768)*100</f>
        <v/>
      </c>
      <c r="AW768" s="82">
        <f>($L768-$F768)*100</f>
        <v/>
      </c>
      <c r="AX768" s="82">
        <f>($J768-$H768)*100</f>
        <v/>
      </c>
      <c r="AY768" s="82">
        <f>($L768-$H768)*100</f>
        <v/>
      </c>
      <c r="AZ768" s="82">
        <f>($L768-$J768)*100</f>
        <v/>
      </c>
      <c r="BA768" s="82">
        <f>(2*$H768-$F768-$J768)*100</f>
        <v/>
      </c>
      <c r="BB768" s="82">
        <f>(2*$J768-$H768-$L768)*100</f>
        <v/>
      </c>
      <c r="BC768" s="82">
        <f>($N768-$F768)*100</f>
        <v/>
      </c>
      <c r="BD768" s="82">
        <f>($Q768-$H768)*100</f>
        <v/>
      </c>
      <c r="BE768" s="82">
        <f>($S768-$J768)*100</f>
        <v/>
      </c>
      <c r="BF768" s="82">
        <f>($V768-$L768)*100</f>
        <v/>
      </c>
      <c r="BG768" s="82">
        <f>$AG768-$AF768</f>
        <v/>
      </c>
      <c r="BH768" s="81">
        <f>IFERROR($AG768/$AF768,"")</f>
        <v/>
      </c>
      <c r="BI768" s="82">
        <f>$AJ768-$AF768</f>
        <v/>
      </c>
      <c r="BJ768" s="81">
        <f>IFERROR($AJ768/$AG768,"")</f>
        <v/>
      </c>
      <c r="BK768" s="81">
        <f>$X768</f>
        <v/>
      </c>
      <c r="BL768" s="82">
        <f>($J768-$J769)*100</f>
        <v/>
      </c>
      <c r="BM768" s="82">
        <f>($F768-$F769)*100</f>
        <v/>
      </c>
      <c r="BN768" s="82">
        <f>$AF768-$AF769</f>
        <v/>
      </c>
      <c r="BO768" s="82">
        <f>$AG768-$AG769</f>
        <v/>
      </c>
      <c r="BP768" s="82">
        <f>$AJ768-$AJ769</f>
        <v/>
      </c>
    </row>
    <row r="769">
      <c r="AR769" s="81">
        <f>($G769+($H769-$G769)*0.5)+($P769-($O769+($Q769-$O769)*0.5))</f>
        <v/>
      </c>
      <c r="AS769" s="81">
        <f>($J769+($K769-$J769)*0.5)+($T769-($S769+($U769-$S769)*0.5))</f>
        <v/>
      </c>
      <c r="AT769" s="82">
        <f>($J769-$C769)*100</f>
        <v/>
      </c>
      <c r="AU769" s="82">
        <f>($H769-$F769)*100</f>
        <v/>
      </c>
      <c r="AV769" s="82">
        <f>($J769-$F769)*100</f>
        <v/>
      </c>
      <c r="AW769" s="82">
        <f>($L769-$F769)*100</f>
        <v/>
      </c>
      <c r="AX769" s="82">
        <f>($J769-$H769)*100</f>
        <v/>
      </c>
      <c r="AY769" s="82">
        <f>($L769-$H769)*100</f>
        <v/>
      </c>
      <c r="AZ769" s="82">
        <f>($L769-$J769)*100</f>
        <v/>
      </c>
      <c r="BA769" s="82">
        <f>(2*$H769-$F769-$J769)*100</f>
        <v/>
      </c>
      <c r="BB769" s="82">
        <f>(2*$J769-$H769-$L769)*100</f>
        <v/>
      </c>
      <c r="BC769" s="82">
        <f>($N769-$F769)*100</f>
        <v/>
      </c>
      <c r="BD769" s="82">
        <f>($Q769-$H769)*100</f>
        <v/>
      </c>
      <c r="BE769" s="82">
        <f>($S769-$J769)*100</f>
        <v/>
      </c>
      <c r="BF769" s="82">
        <f>($V769-$L769)*100</f>
        <v/>
      </c>
      <c r="BG769" s="82">
        <f>$AG769-$AF769</f>
        <v/>
      </c>
      <c r="BH769" s="81">
        <f>IFERROR($AG769/$AF769,"")</f>
        <v/>
      </c>
      <c r="BI769" s="82">
        <f>$AJ769-$AF769</f>
        <v/>
      </c>
      <c r="BJ769" s="81">
        <f>IFERROR($AJ769/$AG769,"")</f>
        <v/>
      </c>
      <c r="BK769" s="81">
        <f>$X769</f>
        <v/>
      </c>
      <c r="BL769" s="82">
        <f>($J769-$J770)*100</f>
        <v/>
      </c>
      <c r="BM769" s="82">
        <f>($F769-$F770)*100</f>
        <v/>
      </c>
      <c r="BN769" s="82">
        <f>$AF769-$AF770</f>
        <v/>
      </c>
      <c r="BO769" s="82">
        <f>$AG769-$AG770</f>
        <v/>
      </c>
      <c r="BP769" s="82">
        <f>$AJ769-$AJ770</f>
        <v/>
      </c>
    </row>
    <row r="770">
      <c r="AR770" s="81">
        <f>($G770+($H770-$G770)*0.5)+($P770-($O770+($Q770-$O770)*0.5))</f>
        <v/>
      </c>
      <c r="AS770" s="81">
        <f>($J770+($K770-$J770)*0.5)+($T770-($S770+($U770-$S770)*0.5))</f>
        <v/>
      </c>
      <c r="AT770" s="82">
        <f>($J770-$C770)*100</f>
        <v/>
      </c>
      <c r="AU770" s="82">
        <f>($H770-$F770)*100</f>
        <v/>
      </c>
      <c r="AV770" s="82">
        <f>($J770-$F770)*100</f>
        <v/>
      </c>
      <c r="AW770" s="82">
        <f>($L770-$F770)*100</f>
        <v/>
      </c>
      <c r="AX770" s="82">
        <f>($J770-$H770)*100</f>
        <v/>
      </c>
      <c r="AY770" s="82">
        <f>($L770-$H770)*100</f>
        <v/>
      </c>
      <c r="AZ770" s="82">
        <f>($L770-$J770)*100</f>
        <v/>
      </c>
      <c r="BA770" s="82">
        <f>(2*$H770-$F770-$J770)*100</f>
        <v/>
      </c>
      <c r="BB770" s="82">
        <f>(2*$J770-$H770-$L770)*100</f>
        <v/>
      </c>
      <c r="BC770" s="82">
        <f>($N770-$F770)*100</f>
        <v/>
      </c>
      <c r="BD770" s="82">
        <f>($Q770-$H770)*100</f>
        <v/>
      </c>
      <c r="BE770" s="82">
        <f>($S770-$J770)*100</f>
        <v/>
      </c>
      <c r="BF770" s="82">
        <f>($V770-$L770)*100</f>
        <v/>
      </c>
      <c r="BG770" s="82">
        <f>$AG770-$AF770</f>
        <v/>
      </c>
      <c r="BH770" s="81">
        <f>IFERROR($AG770/$AF770,"")</f>
        <v/>
      </c>
      <c r="BI770" s="82">
        <f>$AJ770-$AF770</f>
        <v/>
      </c>
      <c r="BJ770" s="81">
        <f>IFERROR($AJ770/$AG770,"")</f>
        <v/>
      </c>
      <c r="BK770" s="81">
        <f>$X770</f>
        <v/>
      </c>
      <c r="BL770" s="82">
        <f>($J770-$J771)*100</f>
        <v/>
      </c>
      <c r="BM770" s="82">
        <f>($F770-$F771)*100</f>
        <v/>
      </c>
      <c r="BN770" s="82">
        <f>$AF770-$AF771</f>
        <v/>
      </c>
      <c r="BO770" s="82">
        <f>$AG770-$AG771</f>
        <v/>
      </c>
      <c r="BP770" s="82">
        <f>$AJ770-$AJ771</f>
        <v/>
      </c>
    </row>
    <row r="771">
      <c r="AR771" s="81">
        <f>($G771+($H771-$G771)*0.5)+($P771-($O771+($Q771-$O771)*0.5))</f>
        <v/>
      </c>
      <c r="AS771" s="81">
        <f>($J771+($K771-$J771)*0.5)+($T771-($S771+($U771-$S771)*0.5))</f>
        <v/>
      </c>
      <c r="AT771" s="82">
        <f>($J771-$C771)*100</f>
        <v/>
      </c>
      <c r="AU771" s="82">
        <f>($H771-$F771)*100</f>
        <v/>
      </c>
      <c r="AV771" s="82">
        <f>($J771-$F771)*100</f>
        <v/>
      </c>
      <c r="AW771" s="82">
        <f>($L771-$F771)*100</f>
        <v/>
      </c>
      <c r="AX771" s="82">
        <f>($J771-$H771)*100</f>
        <v/>
      </c>
      <c r="AY771" s="82">
        <f>($L771-$H771)*100</f>
        <v/>
      </c>
      <c r="AZ771" s="82">
        <f>($L771-$J771)*100</f>
        <v/>
      </c>
      <c r="BA771" s="82">
        <f>(2*$H771-$F771-$J771)*100</f>
        <v/>
      </c>
      <c r="BB771" s="82">
        <f>(2*$J771-$H771-$L771)*100</f>
        <v/>
      </c>
      <c r="BC771" s="82">
        <f>($N771-$F771)*100</f>
        <v/>
      </c>
      <c r="BD771" s="82">
        <f>($Q771-$H771)*100</f>
        <v/>
      </c>
      <c r="BE771" s="82">
        <f>($S771-$J771)*100</f>
        <v/>
      </c>
      <c r="BF771" s="82">
        <f>($V771-$L771)*100</f>
        <v/>
      </c>
      <c r="BG771" s="82">
        <f>$AG771-$AF771</f>
        <v/>
      </c>
      <c r="BH771" s="81">
        <f>IFERROR($AG771/$AF771,"")</f>
        <v/>
      </c>
      <c r="BI771" s="82">
        <f>$AJ771-$AF771</f>
        <v/>
      </c>
      <c r="BJ771" s="81">
        <f>IFERROR($AJ771/$AG771,"")</f>
        <v/>
      </c>
      <c r="BK771" s="81">
        <f>$X771</f>
        <v/>
      </c>
      <c r="BL771" s="82">
        <f>($J771-$J772)*100</f>
        <v/>
      </c>
      <c r="BM771" s="82">
        <f>($F771-$F772)*100</f>
        <v/>
      </c>
      <c r="BN771" s="82">
        <f>$AF771-$AF772</f>
        <v/>
      </c>
      <c r="BO771" s="82">
        <f>$AG771-$AG772</f>
        <v/>
      </c>
      <c r="BP771" s="82">
        <f>$AJ771-$AJ772</f>
        <v/>
      </c>
    </row>
    <row r="772">
      <c r="AR772" s="81">
        <f>($G772+($H772-$G772)*0.5)+($P772-($O772+($Q772-$O772)*0.5))</f>
        <v/>
      </c>
      <c r="AS772" s="81">
        <f>($J772+($K772-$J772)*0.5)+($T772-($S772+($U772-$S772)*0.5))</f>
        <v/>
      </c>
      <c r="AT772" s="82">
        <f>($J772-$C772)*100</f>
        <v/>
      </c>
      <c r="AU772" s="82">
        <f>($H772-$F772)*100</f>
        <v/>
      </c>
      <c r="AV772" s="82">
        <f>($J772-$F772)*100</f>
        <v/>
      </c>
      <c r="AW772" s="82">
        <f>($L772-$F772)*100</f>
        <v/>
      </c>
      <c r="AX772" s="82">
        <f>($J772-$H772)*100</f>
        <v/>
      </c>
      <c r="AY772" s="82">
        <f>($L772-$H772)*100</f>
        <v/>
      </c>
      <c r="AZ772" s="82">
        <f>($L772-$J772)*100</f>
        <v/>
      </c>
      <c r="BA772" s="82">
        <f>(2*$H772-$F772-$J772)*100</f>
        <v/>
      </c>
      <c r="BB772" s="82">
        <f>(2*$J772-$H772-$L772)*100</f>
        <v/>
      </c>
      <c r="BC772" s="82">
        <f>($N772-$F772)*100</f>
        <v/>
      </c>
      <c r="BD772" s="82">
        <f>($Q772-$H772)*100</f>
        <v/>
      </c>
      <c r="BE772" s="82">
        <f>($S772-$J772)*100</f>
        <v/>
      </c>
      <c r="BF772" s="82">
        <f>($V772-$L772)*100</f>
        <v/>
      </c>
      <c r="BG772" s="82">
        <f>$AG772-$AF772</f>
        <v/>
      </c>
      <c r="BH772" s="81">
        <f>IFERROR($AG772/$AF772,"")</f>
        <v/>
      </c>
      <c r="BI772" s="82">
        <f>$AJ772-$AF772</f>
        <v/>
      </c>
      <c r="BJ772" s="81">
        <f>IFERROR($AJ772/$AG772,"")</f>
        <v/>
      </c>
      <c r="BK772" s="81">
        <f>$X772</f>
        <v/>
      </c>
      <c r="BL772" s="82">
        <f>($J772-$J773)*100</f>
        <v/>
      </c>
      <c r="BM772" s="82">
        <f>($F772-$F773)*100</f>
        <v/>
      </c>
      <c r="BN772" s="82">
        <f>$AF772-$AF773</f>
        <v/>
      </c>
      <c r="BO772" s="82">
        <f>$AG772-$AG773</f>
        <v/>
      </c>
      <c r="BP772" s="82">
        <f>$AJ772-$AJ773</f>
        <v/>
      </c>
    </row>
    <row r="773">
      <c r="AR773" s="81">
        <f>($G773+($H773-$G773)*0.5)+($P773-($O773+($Q773-$O773)*0.5))</f>
        <v/>
      </c>
      <c r="AS773" s="81">
        <f>($J773+($K773-$J773)*0.5)+($T773-($S773+($U773-$S773)*0.5))</f>
        <v/>
      </c>
      <c r="AT773" s="82">
        <f>($J773-$C773)*100</f>
        <v/>
      </c>
      <c r="AU773" s="82">
        <f>($H773-$F773)*100</f>
        <v/>
      </c>
      <c r="AV773" s="82">
        <f>($J773-$F773)*100</f>
        <v/>
      </c>
      <c r="AW773" s="82">
        <f>($L773-$F773)*100</f>
        <v/>
      </c>
      <c r="AX773" s="82">
        <f>($J773-$H773)*100</f>
        <v/>
      </c>
      <c r="AY773" s="82">
        <f>($L773-$H773)*100</f>
        <v/>
      </c>
      <c r="AZ773" s="82">
        <f>($L773-$J773)*100</f>
        <v/>
      </c>
      <c r="BA773" s="82">
        <f>(2*$H773-$F773-$J773)*100</f>
        <v/>
      </c>
      <c r="BB773" s="82">
        <f>(2*$J773-$H773-$L773)*100</f>
        <v/>
      </c>
      <c r="BC773" s="82">
        <f>($N773-$F773)*100</f>
        <v/>
      </c>
      <c r="BD773" s="82">
        <f>($Q773-$H773)*100</f>
        <v/>
      </c>
      <c r="BE773" s="82">
        <f>($S773-$J773)*100</f>
        <v/>
      </c>
      <c r="BF773" s="82">
        <f>($V773-$L773)*100</f>
        <v/>
      </c>
      <c r="BG773" s="82">
        <f>$AG773-$AF773</f>
        <v/>
      </c>
      <c r="BH773" s="81">
        <f>IFERROR($AG773/$AF773,"")</f>
        <v/>
      </c>
      <c r="BI773" s="82">
        <f>$AJ773-$AF773</f>
        <v/>
      </c>
      <c r="BJ773" s="81">
        <f>IFERROR($AJ773/$AG773,"")</f>
        <v/>
      </c>
      <c r="BK773" s="81">
        <f>$X773</f>
        <v/>
      </c>
      <c r="BL773" s="82">
        <f>($J773-$J774)*100</f>
        <v/>
      </c>
      <c r="BM773" s="82">
        <f>($F773-$F774)*100</f>
        <v/>
      </c>
      <c r="BN773" s="82">
        <f>$AF773-$AF774</f>
        <v/>
      </c>
      <c r="BO773" s="82">
        <f>$AG773-$AG774</f>
        <v/>
      </c>
      <c r="BP773" s="82">
        <f>$AJ773-$AJ774</f>
        <v/>
      </c>
    </row>
    <row r="774">
      <c r="AR774" s="81">
        <f>($G774+($H774-$G774)*0.5)+($P774-($O774+($Q774-$O774)*0.5))</f>
        <v/>
      </c>
      <c r="AS774" s="81">
        <f>($J774+($K774-$J774)*0.5)+($T774-($S774+($U774-$S774)*0.5))</f>
        <v/>
      </c>
      <c r="AT774" s="82">
        <f>($J774-$C774)*100</f>
        <v/>
      </c>
      <c r="AU774" s="82">
        <f>($H774-$F774)*100</f>
        <v/>
      </c>
      <c r="AV774" s="82">
        <f>($J774-$F774)*100</f>
        <v/>
      </c>
      <c r="AW774" s="82">
        <f>($L774-$F774)*100</f>
        <v/>
      </c>
      <c r="AX774" s="82">
        <f>($J774-$H774)*100</f>
        <v/>
      </c>
      <c r="AY774" s="82">
        <f>($L774-$H774)*100</f>
        <v/>
      </c>
      <c r="AZ774" s="82">
        <f>($L774-$J774)*100</f>
        <v/>
      </c>
      <c r="BA774" s="82">
        <f>(2*$H774-$F774-$J774)*100</f>
        <v/>
      </c>
      <c r="BB774" s="82">
        <f>(2*$J774-$H774-$L774)*100</f>
        <v/>
      </c>
      <c r="BC774" s="82">
        <f>($N774-$F774)*100</f>
        <v/>
      </c>
      <c r="BD774" s="82">
        <f>($Q774-$H774)*100</f>
        <v/>
      </c>
      <c r="BE774" s="82">
        <f>($S774-$J774)*100</f>
        <v/>
      </c>
      <c r="BF774" s="82">
        <f>($V774-$L774)*100</f>
        <v/>
      </c>
      <c r="BG774" s="82">
        <f>$AG774-$AF774</f>
        <v/>
      </c>
      <c r="BH774" s="81">
        <f>IFERROR($AG774/$AF774,"")</f>
        <v/>
      </c>
      <c r="BI774" s="82">
        <f>$AJ774-$AF774</f>
        <v/>
      </c>
      <c r="BJ774" s="81">
        <f>IFERROR($AJ774/$AG774,"")</f>
        <v/>
      </c>
      <c r="BK774" s="81">
        <f>$X774</f>
        <v/>
      </c>
      <c r="BL774" s="82">
        <f>($J774-$J775)*100</f>
        <v/>
      </c>
      <c r="BM774" s="82">
        <f>($F774-$F775)*100</f>
        <v/>
      </c>
      <c r="BN774" s="82">
        <f>$AF774-$AF775</f>
        <v/>
      </c>
      <c r="BO774" s="82">
        <f>$AG774-$AG775</f>
        <v/>
      </c>
      <c r="BP774" s="82">
        <f>$AJ774-$AJ775</f>
        <v/>
      </c>
    </row>
    <row r="775">
      <c r="AR775" s="81">
        <f>($G775+($H775-$G775)*0.5)+($P775-($O775+($Q775-$O775)*0.5))</f>
        <v/>
      </c>
      <c r="AS775" s="81">
        <f>($J775+($K775-$J775)*0.5)+($T775-($S775+($U775-$S775)*0.5))</f>
        <v/>
      </c>
      <c r="AT775" s="82">
        <f>($J775-$C775)*100</f>
        <v/>
      </c>
      <c r="AU775" s="82">
        <f>($H775-$F775)*100</f>
        <v/>
      </c>
      <c r="AV775" s="82">
        <f>($J775-$F775)*100</f>
        <v/>
      </c>
      <c r="AW775" s="82">
        <f>($L775-$F775)*100</f>
        <v/>
      </c>
      <c r="AX775" s="82">
        <f>($J775-$H775)*100</f>
        <v/>
      </c>
      <c r="AY775" s="82">
        <f>($L775-$H775)*100</f>
        <v/>
      </c>
      <c r="AZ775" s="82">
        <f>($L775-$J775)*100</f>
        <v/>
      </c>
      <c r="BA775" s="82">
        <f>(2*$H775-$F775-$J775)*100</f>
        <v/>
      </c>
      <c r="BB775" s="82">
        <f>(2*$J775-$H775-$L775)*100</f>
        <v/>
      </c>
      <c r="BC775" s="82">
        <f>($N775-$F775)*100</f>
        <v/>
      </c>
      <c r="BD775" s="82">
        <f>($Q775-$H775)*100</f>
        <v/>
      </c>
      <c r="BE775" s="82">
        <f>($S775-$J775)*100</f>
        <v/>
      </c>
      <c r="BF775" s="82">
        <f>($V775-$L775)*100</f>
        <v/>
      </c>
      <c r="BG775" s="82">
        <f>$AG775-$AF775</f>
        <v/>
      </c>
      <c r="BH775" s="81">
        <f>IFERROR($AG775/$AF775,"")</f>
        <v/>
      </c>
      <c r="BI775" s="82">
        <f>$AJ775-$AF775</f>
        <v/>
      </c>
      <c r="BJ775" s="81">
        <f>IFERROR($AJ775/$AG775,"")</f>
        <v/>
      </c>
      <c r="BK775" s="81">
        <f>$X775</f>
        <v/>
      </c>
      <c r="BL775" s="82">
        <f>($J775-$J776)*100</f>
        <v/>
      </c>
      <c r="BM775" s="82">
        <f>($F775-$F776)*100</f>
        <v/>
      </c>
      <c r="BN775" s="82">
        <f>$AF775-$AF776</f>
        <v/>
      </c>
      <c r="BO775" s="82">
        <f>$AG775-$AG776</f>
        <v/>
      </c>
      <c r="BP775" s="82">
        <f>$AJ775-$AJ776</f>
        <v/>
      </c>
    </row>
    <row r="776">
      <c r="AR776" s="81">
        <f>($G776+($H776-$G776)*0.5)+($P776-($O776+($Q776-$O776)*0.5))</f>
        <v/>
      </c>
      <c r="AS776" s="81">
        <f>($J776+($K776-$J776)*0.5)+($T776-($S776+($U776-$S776)*0.5))</f>
        <v/>
      </c>
      <c r="AT776" s="82">
        <f>($J776-$C776)*100</f>
        <v/>
      </c>
      <c r="AU776" s="82">
        <f>($H776-$F776)*100</f>
        <v/>
      </c>
      <c r="AV776" s="82">
        <f>($J776-$F776)*100</f>
        <v/>
      </c>
      <c r="AW776" s="82">
        <f>($L776-$F776)*100</f>
        <v/>
      </c>
      <c r="AX776" s="82">
        <f>($J776-$H776)*100</f>
        <v/>
      </c>
      <c r="AY776" s="82">
        <f>($L776-$H776)*100</f>
        <v/>
      </c>
      <c r="AZ776" s="82">
        <f>($L776-$J776)*100</f>
        <v/>
      </c>
      <c r="BA776" s="82">
        <f>(2*$H776-$F776-$J776)*100</f>
        <v/>
      </c>
      <c r="BB776" s="82">
        <f>(2*$J776-$H776-$L776)*100</f>
        <v/>
      </c>
      <c r="BC776" s="82">
        <f>($N776-$F776)*100</f>
        <v/>
      </c>
      <c r="BD776" s="82">
        <f>($Q776-$H776)*100</f>
        <v/>
      </c>
      <c r="BE776" s="82">
        <f>($S776-$J776)*100</f>
        <v/>
      </c>
      <c r="BF776" s="82">
        <f>($V776-$L776)*100</f>
        <v/>
      </c>
      <c r="BG776" s="82">
        <f>$AG776-$AF776</f>
        <v/>
      </c>
      <c r="BH776" s="81">
        <f>IFERROR($AG776/$AF776,"")</f>
        <v/>
      </c>
      <c r="BI776" s="82">
        <f>$AJ776-$AF776</f>
        <v/>
      </c>
      <c r="BJ776" s="81">
        <f>IFERROR($AJ776/$AG776,"")</f>
        <v/>
      </c>
      <c r="BK776" s="81">
        <f>$X776</f>
        <v/>
      </c>
      <c r="BL776" s="82">
        <f>($J776-$J777)*100</f>
        <v/>
      </c>
      <c r="BM776" s="82">
        <f>($F776-$F777)*100</f>
        <v/>
      </c>
      <c r="BN776" s="82">
        <f>$AF776-$AF777</f>
        <v/>
      </c>
      <c r="BO776" s="82">
        <f>$AG776-$AG777</f>
        <v/>
      </c>
      <c r="BP776" s="82">
        <f>$AJ776-$AJ777</f>
        <v/>
      </c>
    </row>
    <row r="777">
      <c r="AR777" s="81">
        <f>($G777+($H777-$G777)*0.5)+($P777-($O777+($Q777-$O777)*0.5))</f>
        <v/>
      </c>
      <c r="AS777" s="81">
        <f>($J777+($K777-$J777)*0.5)+($T777-($S777+($U777-$S777)*0.5))</f>
        <v/>
      </c>
      <c r="AT777" s="82">
        <f>($J777-$C777)*100</f>
        <v/>
      </c>
      <c r="AU777" s="82">
        <f>($H777-$F777)*100</f>
        <v/>
      </c>
      <c r="AV777" s="82">
        <f>($J777-$F777)*100</f>
        <v/>
      </c>
      <c r="AW777" s="82">
        <f>($L777-$F777)*100</f>
        <v/>
      </c>
      <c r="AX777" s="82">
        <f>($J777-$H777)*100</f>
        <v/>
      </c>
      <c r="AY777" s="82">
        <f>($L777-$H777)*100</f>
        <v/>
      </c>
      <c r="AZ777" s="82">
        <f>($L777-$J777)*100</f>
        <v/>
      </c>
      <c r="BA777" s="82">
        <f>(2*$H777-$F777-$J777)*100</f>
        <v/>
      </c>
      <c r="BB777" s="82">
        <f>(2*$J777-$H777-$L777)*100</f>
        <v/>
      </c>
      <c r="BC777" s="82">
        <f>($N777-$F777)*100</f>
        <v/>
      </c>
      <c r="BD777" s="82">
        <f>($Q777-$H777)*100</f>
        <v/>
      </c>
      <c r="BE777" s="82">
        <f>($S777-$J777)*100</f>
        <v/>
      </c>
      <c r="BF777" s="82">
        <f>($V777-$L777)*100</f>
        <v/>
      </c>
      <c r="BG777" s="82">
        <f>$AG777-$AF777</f>
        <v/>
      </c>
      <c r="BH777" s="81">
        <f>IFERROR($AG777/$AF777,"")</f>
        <v/>
      </c>
      <c r="BI777" s="82">
        <f>$AJ777-$AF777</f>
        <v/>
      </c>
      <c r="BJ777" s="81">
        <f>IFERROR($AJ777/$AG777,"")</f>
        <v/>
      </c>
      <c r="BK777" s="81">
        <f>$X777</f>
        <v/>
      </c>
      <c r="BL777" s="82">
        <f>($J777-$J778)*100</f>
        <v/>
      </c>
      <c r="BM777" s="82">
        <f>($F777-$F778)*100</f>
        <v/>
      </c>
      <c r="BN777" s="82">
        <f>$AF777-$AF778</f>
        <v/>
      </c>
      <c r="BO777" s="82">
        <f>$AG777-$AG778</f>
        <v/>
      </c>
      <c r="BP777" s="82">
        <f>$AJ777-$AJ778</f>
        <v/>
      </c>
    </row>
    <row r="778">
      <c r="AR778" s="81">
        <f>($G778+($H778-$G778)*0.5)+($P778-($O778+($Q778-$O778)*0.5))</f>
        <v/>
      </c>
      <c r="AS778" s="81">
        <f>($J778+($K778-$J778)*0.5)+($T778-($S778+($U778-$S778)*0.5))</f>
        <v/>
      </c>
      <c r="AT778" s="82">
        <f>($J778-$C778)*100</f>
        <v/>
      </c>
      <c r="AU778" s="82">
        <f>($H778-$F778)*100</f>
        <v/>
      </c>
      <c r="AV778" s="82">
        <f>($J778-$F778)*100</f>
        <v/>
      </c>
      <c r="AW778" s="82">
        <f>($L778-$F778)*100</f>
        <v/>
      </c>
      <c r="AX778" s="82">
        <f>($J778-$H778)*100</f>
        <v/>
      </c>
      <c r="AY778" s="82">
        <f>($L778-$H778)*100</f>
        <v/>
      </c>
      <c r="AZ778" s="82">
        <f>($L778-$J778)*100</f>
        <v/>
      </c>
      <c r="BA778" s="82">
        <f>(2*$H778-$F778-$J778)*100</f>
        <v/>
      </c>
      <c r="BB778" s="82">
        <f>(2*$J778-$H778-$L778)*100</f>
        <v/>
      </c>
      <c r="BC778" s="82">
        <f>($N778-$F778)*100</f>
        <v/>
      </c>
      <c r="BD778" s="82">
        <f>($Q778-$H778)*100</f>
        <v/>
      </c>
      <c r="BE778" s="82">
        <f>($S778-$J778)*100</f>
        <v/>
      </c>
      <c r="BF778" s="82">
        <f>($V778-$L778)*100</f>
        <v/>
      </c>
      <c r="BG778" s="82">
        <f>$AG778-$AF778</f>
        <v/>
      </c>
      <c r="BH778" s="81">
        <f>IFERROR($AG778/$AF778,"")</f>
        <v/>
      </c>
      <c r="BI778" s="82">
        <f>$AJ778-$AF778</f>
        <v/>
      </c>
      <c r="BJ778" s="81">
        <f>IFERROR($AJ778/$AG778,"")</f>
        <v/>
      </c>
      <c r="BK778" s="81">
        <f>$X778</f>
        <v/>
      </c>
      <c r="BL778" s="82">
        <f>($J778-$J779)*100</f>
        <v/>
      </c>
      <c r="BM778" s="82">
        <f>($F778-$F779)*100</f>
        <v/>
      </c>
      <c r="BN778" s="82">
        <f>$AF778-$AF779</f>
        <v/>
      </c>
      <c r="BO778" s="82">
        <f>$AG778-$AG779</f>
        <v/>
      </c>
      <c r="BP778" s="82">
        <f>$AJ778-$AJ779</f>
        <v/>
      </c>
    </row>
    <row r="779">
      <c r="AR779" s="81">
        <f>($G779+($H779-$G779)*0.5)+($P779-($O779+($Q779-$O779)*0.5))</f>
        <v/>
      </c>
      <c r="AS779" s="81">
        <f>($J779+($K779-$J779)*0.5)+($T779-($S779+($U779-$S779)*0.5))</f>
        <v/>
      </c>
      <c r="AT779" s="82">
        <f>($J779-$C779)*100</f>
        <v/>
      </c>
      <c r="AU779" s="82">
        <f>($H779-$F779)*100</f>
        <v/>
      </c>
      <c r="AV779" s="82">
        <f>($J779-$F779)*100</f>
        <v/>
      </c>
      <c r="AW779" s="82">
        <f>($L779-$F779)*100</f>
        <v/>
      </c>
      <c r="AX779" s="82">
        <f>($J779-$H779)*100</f>
        <v/>
      </c>
      <c r="AY779" s="82">
        <f>($L779-$H779)*100</f>
        <v/>
      </c>
      <c r="AZ779" s="82">
        <f>($L779-$J779)*100</f>
        <v/>
      </c>
      <c r="BA779" s="82">
        <f>(2*$H779-$F779-$J779)*100</f>
        <v/>
      </c>
      <c r="BB779" s="82">
        <f>(2*$J779-$H779-$L779)*100</f>
        <v/>
      </c>
      <c r="BC779" s="82">
        <f>($N779-$F779)*100</f>
        <v/>
      </c>
      <c r="BD779" s="82">
        <f>($Q779-$H779)*100</f>
        <v/>
      </c>
      <c r="BE779" s="82">
        <f>($S779-$J779)*100</f>
        <v/>
      </c>
      <c r="BF779" s="82">
        <f>($V779-$L779)*100</f>
        <v/>
      </c>
      <c r="BG779" s="82">
        <f>$AG779-$AF779</f>
        <v/>
      </c>
      <c r="BH779" s="81">
        <f>IFERROR($AG779/$AF779,"")</f>
        <v/>
      </c>
      <c r="BI779" s="82">
        <f>$AJ779-$AF779</f>
        <v/>
      </c>
      <c r="BJ779" s="81">
        <f>IFERROR($AJ779/$AG779,"")</f>
        <v/>
      </c>
      <c r="BK779" s="81">
        <f>$X779</f>
        <v/>
      </c>
      <c r="BL779" s="82">
        <f>($J779-$J780)*100</f>
        <v/>
      </c>
      <c r="BM779" s="82">
        <f>($F779-$F780)*100</f>
        <v/>
      </c>
      <c r="BN779" s="82">
        <f>$AF779-$AF780</f>
        <v/>
      </c>
      <c r="BO779" s="82">
        <f>$AG779-$AG780</f>
        <v/>
      </c>
      <c r="BP779" s="82">
        <f>$AJ779-$AJ780</f>
        <v/>
      </c>
    </row>
    <row r="780">
      <c r="AR780" s="81">
        <f>($G780+($H780-$G780)*0.5)+($P780-($O780+($Q780-$O780)*0.5))</f>
        <v/>
      </c>
      <c r="AS780" s="81">
        <f>($J780+($K780-$J780)*0.5)+($T780-($S780+($U780-$S780)*0.5))</f>
        <v/>
      </c>
      <c r="AT780" s="82">
        <f>($J780-$C780)*100</f>
        <v/>
      </c>
      <c r="AU780" s="82">
        <f>($H780-$F780)*100</f>
        <v/>
      </c>
      <c r="AV780" s="82">
        <f>($J780-$F780)*100</f>
        <v/>
      </c>
      <c r="AW780" s="82">
        <f>($L780-$F780)*100</f>
        <v/>
      </c>
      <c r="AX780" s="82">
        <f>($J780-$H780)*100</f>
        <v/>
      </c>
      <c r="AY780" s="82">
        <f>($L780-$H780)*100</f>
        <v/>
      </c>
      <c r="AZ780" s="82">
        <f>($L780-$J780)*100</f>
        <v/>
      </c>
      <c r="BA780" s="82">
        <f>(2*$H780-$F780-$J780)*100</f>
        <v/>
      </c>
      <c r="BB780" s="82">
        <f>(2*$J780-$H780-$L780)*100</f>
        <v/>
      </c>
      <c r="BC780" s="82">
        <f>($N780-$F780)*100</f>
        <v/>
      </c>
      <c r="BD780" s="82">
        <f>($Q780-$H780)*100</f>
        <v/>
      </c>
      <c r="BE780" s="82">
        <f>($S780-$J780)*100</f>
        <v/>
      </c>
      <c r="BF780" s="82">
        <f>($V780-$L780)*100</f>
        <v/>
      </c>
      <c r="BG780" s="82">
        <f>$AG780-$AF780</f>
        <v/>
      </c>
      <c r="BH780" s="81">
        <f>IFERROR($AG780/$AF780,"")</f>
        <v/>
      </c>
      <c r="BI780" s="82">
        <f>$AJ780-$AF780</f>
        <v/>
      </c>
      <c r="BJ780" s="81">
        <f>IFERROR($AJ780/$AG780,"")</f>
        <v/>
      </c>
      <c r="BK780" s="81">
        <f>$X780</f>
        <v/>
      </c>
      <c r="BL780" s="82">
        <f>($J780-$J781)*100</f>
        <v/>
      </c>
      <c r="BM780" s="82">
        <f>($F780-$F781)*100</f>
        <v/>
      </c>
      <c r="BN780" s="82">
        <f>$AF780-$AF781</f>
        <v/>
      </c>
      <c r="BO780" s="82">
        <f>$AG780-$AG781</f>
        <v/>
      </c>
      <c r="BP780" s="82">
        <f>$AJ780-$AJ781</f>
        <v/>
      </c>
    </row>
    <row r="781">
      <c r="AR781" s="81">
        <f>($G781+($H781-$G781)*0.5)+($P781-($O781+($Q781-$O781)*0.5))</f>
        <v/>
      </c>
      <c r="AS781" s="81">
        <f>($J781+($K781-$J781)*0.5)+($T781-($S781+($U781-$S781)*0.5))</f>
        <v/>
      </c>
      <c r="AT781" s="82">
        <f>($J781-$C781)*100</f>
        <v/>
      </c>
      <c r="AU781" s="82">
        <f>($H781-$F781)*100</f>
        <v/>
      </c>
      <c r="AV781" s="82">
        <f>($J781-$F781)*100</f>
        <v/>
      </c>
      <c r="AW781" s="82">
        <f>($L781-$F781)*100</f>
        <v/>
      </c>
      <c r="AX781" s="82">
        <f>($J781-$H781)*100</f>
        <v/>
      </c>
      <c r="AY781" s="82">
        <f>($L781-$H781)*100</f>
        <v/>
      </c>
      <c r="AZ781" s="82">
        <f>($L781-$J781)*100</f>
        <v/>
      </c>
      <c r="BA781" s="82">
        <f>(2*$H781-$F781-$J781)*100</f>
        <v/>
      </c>
      <c r="BB781" s="82">
        <f>(2*$J781-$H781-$L781)*100</f>
        <v/>
      </c>
      <c r="BC781" s="82">
        <f>($N781-$F781)*100</f>
        <v/>
      </c>
      <c r="BD781" s="82">
        <f>($Q781-$H781)*100</f>
        <v/>
      </c>
      <c r="BE781" s="82">
        <f>($S781-$J781)*100</f>
        <v/>
      </c>
      <c r="BF781" s="82">
        <f>($V781-$L781)*100</f>
        <v/>
      </c>
      <c r="BG781" s="82">
        <f>$AG781-$AF781</f>
        <v/>
      </c>
      <c r="BH781" s="81">
        <f>IFERROR($AG781/$AF781,"")</f>
        <v/>
      </c>
      <c r="BI781" s="82">
        <f>$AJ781-$AF781</f>
        <v/>
      </c>
      <c r="BJ781" s="81">
        <f>IFERROR($AJ781/$AG781,"")</f>
        <v/>
      </c>
      <c r="BK781" s="81">
        <f>$X781</f>
        <v/>
      </c>
      <c r="BL781" s="82">
        <f>($J781-$J782)*100</f>
        <v/>
      </c>
      <c r="BM781" s="82">
        <f>($F781-$F782)*100</f>
        <v/>
      </c>
      <c r="BN781" s="82">
        <f>$AF781-$AF782</f>
        <v/>
      </c>
      <c r="BO781" s="82">
        <f>$AG781-$AG782</f>
        <v/>
      </c>
      <c r="BP781" s="82">
        <f>$AJ781-$AJ782</f>
        <v/>
      </c>
    </row>
    <row r="782">
      <c r="AR782" s="81">
        <f>($G782+($H782-$G782)*0.5)+($P782-($O782+($Q782-$O782)*0.5))</f>
        <v/>
      </c>
      <c r="AS782" s="81">
        <f>($J782+($K782-$J782)*0.5)+($T782-($S782+($U782-$S782)*0.5))</f>
        <v/>
      </c>
      <c r="AT782" s="82">
        <f>($J782-$C782)*100</f>
        <v/>
      </c>
      <c r="AU782" s="82">
        <f>($H782-$F782)*100</f>
        <v/>
      </c>
      <c r="AV782" s="82">
        <f>($J782-$F782)*100</f>
        <v/>
      </c>
      <c r="AW782" s="82">
        <f>($L782-$F782)*100</f>
        <v/>
      </c>
      <c r="AX782" s="82">
        <f>($J782-$H782)*100</f>
        <v/>
      </c>
      <c r="AY782" s="82">
        <f>($L782-$H782)*100</f>
        <v/>
      </c>
      <c r="AZ782" s="82">
        <f>($L782-$J782)*100</f>
        <v/>
      </c>
      <c r="BA782" s="82">
        <f>(2*$H782-$F782-$J782)*100</f>
        <v/>
      </c>
      <c r="BB782" s="82">
        <f>(2*$J782-$H782-$L782)*100</f>
        <v/>
      </c>
      <c r="BC782" s="82">
        <f>($N782-$F782)*100</f>
        <v/>
      </c>
      <c r="BD782" s="82">
        <f>($Q782-$H782)*100</f>
        <v/>
      </c>
      <c r="BE782" s="82">
        <f>($S782-$J782)*100</f>
        <v/>
      </c>
      <c r="BF782" s="82">
        <f>($V782-$L782)*100</f>
        <v/>
      </c>
      <c r="BG782" s="82">
        <f>$AG782-$AF782</f>
        <v/>
      </c>
      <c r="BH782" s="81">
        <f>IFERROR($AG782/$AF782,"")</f>
        <v/>
      </c>
      <c r="BI782" s="82">
        <f>$AJ782-$AF782</f>
        <v/>
      </c>
      <c r="BJ782" s="81">
        <f>IFERROR($AJ782/$AG782,"")</f>
        <v/>
      </c>
      <c r="BK782" s="81">
        <f>$X782</f>
        <v/>
      </c>
      <c r="BL782" s="82">
        <f>($J782-$J783)*100</f>
        <v/>
      </c>
      <c r="BM782" s="82">
        <f>($F782-$F783)*100</f>
        <v/>
      </c>
      <c r="BN782" s="82">
        <f>$AF782-$AF783</f>
        <v/>
      </c>
      <c r="BO782" s="82">
        <f>$AG782-$AG783</f>
        <v/>
      </c>
      <c r="BP782" s="82">
        <f>$AJ782-$AJ783</f>
        <v/>
      </c>
    </row>
    <row r="783">
      <c r="AR783" s="81">
        <f>($G783+($H783-$G783)*0.5)+($P783-($O783+($Q783-$O783)*0.5))</f>
        <v/>
      </c>
      <c r="AS783" s="81">
        <f>($J783+($K783-$J783)*0.5)+($T783-($S783+($U783-$S783)*0.5))</f>
        <v/>
      </c>
      <c r="AT783" s="82">
        <f>($J783-$C783)*100</f>
        <v/>
      </c>
      <c r="AU783" s="82">
        <f>($H783-$F783)*100</f>
        <v/>
      </c>
      <c r="AV783" s="82">
        <f>($J783-$F783)*100</f>
        <v/>
      </c>
      <c r="AW783" s="82">
        <f>($L783-$F783)*100</f>
        <v/>
      </c>
      <c r="AX783" s="82">
        <f>($J783-$H783)*100</f>
        <v/>
      </c>
      <c r="AY783" s="82">
        <f>($L783-$H783)*100</f>
        <v/>
      </c>
      <c r="AZ783" s="82">
        <f>($L783-$J783)*100</f>
        <v/>
      </c>
      <c r="BA783" s="82">
        <f>(2*$H783-$F783-$J783)*100</f>
        <v/>
      </c>
      <c r="BB783" s="82">
        <f>(2*$J783-$H783-$L783)*100</f>
        <v/>
      </c>
      <c r="BC783" s="82">
        <f>($N783-$F783)*100</f>
        <v/>
      </c>
      <c r="BD783" s="82">
        <f>($Q783-$H783)*100</f>
        <v/>
      </c>
      <c r="BE783" s="82">
        <f>($S783-$J783)*100</f>
        <v/>
      </c>
      <c r="BF783" s="82">
        <f>($V783-$L783)*100</f>
        <v/>
      </c>
      <c r="BG783" s="82">
        <f>$AG783-$AF783</f>
        <v/>
      </c>
      <c r="BH783" s="81">
        <f>IFERROR($AG783/$AF783,"")</f>
        <v/>
      </c>
      <c r="BI783" s="82">
        <f>$AJ783-$AF783</f>
        <v/>
      </c>
      <c r="BJ783" s="81">
        <f>IFERROR($AJ783/$AG783,"")</f>
        <v/>
      </c>
      <c r="BK783" s="81">
        <f>$X783</f>
        <v/>
      </c>
      <c r="BL783" s="82">
        <f>($J783-$J784)*100</f>
        <v/>
      </c>
      <c r="BM783" s="82">
        <f>($F783-$F784)*100</f>
        <v/>
      </c>
      <c r="BN783" s="82">
        <f>$AF783-$AF784</f>
        <v/>
      </c>
      <c r="BO783" s="82">
        <f>$AG783-$AG784</f>
        <v/>
      </c>
      <c r="BP783" s="82">
        <f>$AJ783-$AJ784</f>
        <v/>
      </c>
    </row>
    <row r="784">
      <c r="AR784" s="81">
        <f>($G784+($H784-$G784)*0.5)+($P784-($O784+($Q784-$O784)*0.5))</f>
        <v/>
      </c>
      <c r="AS784" s="81">
        <f>($J784+($K784-$J784)*0.5)+($T784-($S784+($U784-$S784)*0.5))</f>
        <v/>
      </c>
      <c r="AT784" s="82">
        <f>($J784-$C784)*100</f>
        <v/>
      </c>
      <c r="AU784" s="82">
        <f>($H784-$F784)*100</f>
        <v/>
      </c>
      <c r="AV784" s="82">
        <f>($J784-$F784)*100</f>
        <v/>
      </c>
      <c r="AW784" s="82">
        <f>($L784-$F784)*100</f>
        <v/>
      </c>
      <c r="AX784" s="82">
        <f>($J784-$H784)*100</f>
        <v/>
      </c>
      <c r="AY784" s="82">
        <f>($L784-$H784)*100</f>
        <v/>
      </c>
      <c r="AZ784" s="82">
        <f>($L784-$J784)*100</f>
        <v/>
      </c>
      <c r="BA784" s="82">
        <f>(2*$H784-$F784-$J784)*100</f>
        <v/>
      </c>
      <c r="BB784" s="82">
        <f>(2*$J784-$H784-$L784)*100</f>
        <v/>
      </c>
      <c r="BC784" s="82">
        <f>($N784-$F784)*100</f>
        <v/>
      </c>
      <c r="BD784" s="82">
        <f>($Q784-$H784)*100</f>
        <v/>
      </c>
      <c r="BE784" s="82">
        <f>($S784-$J784)*100</f>
        <v/>
      </c>
      <c r="BF784" s="82">
        <f>($V784-$L784)*100</f>
        <v/>
      </c>
      <c r="BG784" s="82">
        <f>$AG784-$AF784</f>
        <v/>
      </c>
      <c r="BH784" s="81">
        <f>IFERROR($AG784/$AF784,"")</f>
        <v/>
      </c>
      <c r="BI784" s="82">
        <f>$AJ784-$AF784</f>
        <v/>
      </c>
      <c r="BJ784" s="81">
        <f>IFERROR($AJ784/$AG784,"")</f>
        <v/>
      </c>
      <c r="BK784" s="81">
        <f>$X784</f>
        <v/>
      </c>
      <c r="BL784" s="82">
        <f>($J784-$J785)*100</f>
        <v/>
      </c>
      <c r="BM784" s="82">
        <f>($F784-$F785)*100</f>
        <v/>
      </c>
      <c r="BN784" s="82">
        <f>$AF784-$AF785</f>
        <v/>
      </c>
      <c r="BO784" s="82">
        <f>$AG784-$AG785</f>
        <v/>
      </c>
      <c r="BP784" s="82">
        <f>$AJ784-$AJ785</f>
        <v/>
      </c>
    </row>
    <row r="785">
      <c r="AR785" s="81">
        <f>($G785+($H785-$G785)*0.5)+($P785-($O785+($Q785-$O785)*0.5))</f>
        <v/>
      </c>
      <c r="AS785" s="81">
        <f>($J785+($K785-$J785)*0.5)+($T785-($S785+($U785-$S785)*0.5))</f>
        <v/>
      </c>
      <c r="AT785" s="82">
        <f>($J785-$C785)*100</f>
        <v/>
      </c>
      <c r="AU785" s="82">
        <f>($H785-$F785)*100</f>
        <v/>
      </c>
      <c r="AV785" s="82">
        <f>($J785-$F785)*100</f>
        <v/>
      </c>
      <c r="AW785" s="82">
        <f>($L785-$F785)*100</f>
        <v/>
      </c>
      <c r="AX785" s="82">
        <f>($J785-$H785)*100</f>
        <v/>
      </c>
      <c r="AY785" s="82">
        <f>($L785-$H785)*100</f>
        <v/>
      </c>
      <c r="AZ785" s="82">
        <f>($L785-$J785)*100</f>
        <v/>
      </c>
      <c r="BA785" s="82">
        <f>(2*$H785-$F785-$J785)*100</f>
        <v/>
      </c>
      <c r="BB785" s="82">
        <f>(2*$J785-$H785-$L785)*100</f>
        <v/>
      </c>
      <c r="BC785" s="82">
        <f>($N785-$F785)*100</f>
        <v/>
      </c>
      <c r="BD785" s="82">
        <f>($Q785-$H785)*100</f>
        <v/>
      </c>
      <c r="BE785" s="82">
        <f>($S785-$J785)*100</f>
        <v/>
      </c>
      <c r="BF785" s="82">
        <f>($V785-$L785)*100</f>
        <v/>
      </c>
      <c r="BG785" s="82">
        <f>$AG785-$AF785</f>
        <v/>
      </c>
      <c r="BH785" s="81">
        <f>IFERROR($AG785/$AF785,"")</f>
        <v/>
      </c>
      <c r="BI785" s="82">
        <f>$AJ785-$AF785</f>
        <v/>
      </c>
      <c r="BJ785" s="81">
        <f>IFERROR($AJ785/$AG785,"")</f>
        <v/>
      </c>
      <c r="BK785" s="81">
        <f>$X785</f>
        <v/>
      </c>
      <c r="BL785" s="82">
        <f>($J785-$J786)*100</f>
        <v/>
      </c>
      <c r="BM785" s="82">
        <f>($F785-$F786)*100</f>
        <v/>
      </c>
      <c r="BN785" s="82">
        <f>$AF785-$AF786</f>
        <v/>
      </c>
      <c r="BO785" s="82">
        <f>$AG785-$AG786</f>
        <v/>
      </c>
      <c r="BP785" s="82">
        <f>$AJ785-$AJ786</f>
        <v/>
      </c>
    </row>
    <row r="786">
      <c r="AR786" s="81">
        <f>($G786+($H786-$G786)*0.5)+($P786-($O786+($Q786-$O786)*0.5))</f>
        <v/>
      </c>
      <c r="AS786" s="81">
        <f>($J786+($K786-$J786)*0.5)+($T786-($S786+($U786-$S786)*0.5))</f>
        <v/>
      </c>
      <c r="AT786" s="82">
        <f>($J786-$C786)*100</f>
        <v/>
      </c>
      <c r="AU786" s="82">
        <f>($H786-$F786)*100</f>
        <v/>
      </c>
      <c r="AV786" s="82">
        <f>($J786-$F786)*100</f>
        <v/>
      </c>
      <c r="AW786" s="82">
        <f>($L786-$F786)*100</f>
        <v/>
      </c>
      <c r="AX786" s="82">
        <f>($J786-$H786)*100</f>
        <v/>
      </c>
      <c r="AY786" s="82">
        <f>($L786-$H786)*100</f>
        <v/>
      </c>
      <c r="AZ786" s="82">
        <f>($L786-$J786)*100</f>
        <v/>
      </c>
      <c r="BA786" s="82">
        <f>(2*$H786-$F786-$J786)*100</f>
        <v/>
      </c>
      <c r="BB786" s="82">
        <f>(2*$J786-$H786-$L786)*100</f>
        <v/>
      </c>
      <c r="BC786" s="82">
        <f>($N786-$F786)*100</f>
        <v/>
      </c>
      <c r="BD786" s="82">
        <f>($Q786-$H786)*100</f>
        <v/>
      </c>
      <c r="BE786" s="82">
        <f>($S786-$J786)*100</f>
        <v/>
      </c>
      <c r="BF786" s="82">
        <f>($V786-$L786)*100</f>
        <v/>
      </c>
      <c r="BG786" s="82">
        <f>$AG786-$AF786</f>
        <v/>
      </c>
      <c r="BH786" s="81">
        <f>IFERROR($AG786/$AF786,"")</f>
        <v/>
      </c>
      <c r="BI786" s="82">
        <f>$AJ786-$AF786</f>
        <v/>
      </c>
      <c r="BJ786" s="81">
        <f>IFERROR($AJ786/$AG786,"")</f>
        <v/>
      </c>
      <c r="BK786" s="81">
        <f>$X786</f>
        <v/>
      </c>
      <c r="BL786" s="82">
        <f>($J786-$J787)*100</f>
        <v/>
      </c>
      <c r="BM786" s="82">
        <f>($F786-$F787)*100</f>
        <v/>
      </c>
      <c r="BN786" s="82">
        <f>$AF786-$AF787</f>
        <v/>
      </c>
      <c r="BO786" s="82">
        <f>$AG786-$AG787</f>
        <v/>
      </c>
      <c r="BP786" s="82">
        <f>$AJ786-$AJ787</f>
        <v/>
      </c>
    </row>
    <row r="787">
      <c r="AR787" s="81">
        <f>($G787+($H787-$G787)*0.5)+($P787-($O787+($Q787-$O787)*0.5))</f>
        <v/>
      </c>
      <c r="AS787" s="81">
        <f>($J787+($K787-$J787)*0.5)+($T787-($S787+($U787-$S787)*0.5))</f>
        <v/>
      </c>
      <c r="AT787" s="82">
        <f>($J787-$C787)*100</f>
        <v/>
      </c>
      <c r="AU787" s="82">
        <f>($H787-$F787)*100</f>
        <v/>
      </c>
      <c r="AV787" s="82">
        <f>($J787-$F787)*100</f>
        <v/>
      </c>
      <c r="AW787" s="82">
        <f>($L787-$F787)*100</f>
        <v/>
      </c>
      <c r="AX787" s="82">
        <f>($J787-$H787)*100</f>
        <v/>
      </c>
      <c r="AY787" s="82">
        <f>($L787-$H787)*100</f>
        <v/>
      </c>
      <c r="AZ787" s="82">
        <f>($L787-$J787)*100</f>
        <v/>
      </c>
      <c r="BA787" s="82">
        <f>(2*$H787-$F787-$J787)*100</f>
        <v/>
      </c>
      <c r="BB787" s="82">
        <f>(2*$J787-$H787-$L787)*100</f>
        <v/>
      </c>
      <c r="BC787" s="82">
        <f>($N787-$F787)*100</f>
        <v/>
      </c>
      <c r="BD787" s="82">
        <f>($Q787-$H787)*100</f>
        <v/>
      </c>
      <c r="BE787" s="82">
        <f>($S787-$J787)*100</f>
        <v/>
      </c>
      <c r="BF787" s="82">
        <f>($V787-$L787)*100</f>
        <v/>
      </c>
      <c r="BG787" s="82">
        <f>$AG787-$AF787</f>
        <v/>
      </c>
      <c r="BH787" s="81">
        <f>IFERROR($AG787/$AF787,"")</f>
        <v/>
      </c>
      <c r="BI787" s="82">
        <f>$AJ787-$AF787</f>
        <v/>
      </c>
      <c r="BJ787" s="81">
        <f>IFERROR($AJ787/$AG787,"")</f>
        <v/>
      </c>
      <c r="BK787" s="81">
        <f>$X787</f>
        <v/>
      </c>
      <c r="BL787" s="82">
        <f>($J787-$J788)*100</f>
        <v/>
      </c>
      <c r="BM787" s="82">
        <f>($F787-$F788)*100</f>
        <v/>
      </c>
      <c r="BN787" s="82">
        <f>$AF787-$AF788</f>
        <v/>
      </c>
      <c r="BO787" s="82">
        <f>$AG787-$AG788</f>
        <v/>
      </c>
      <c r="BP787" s="82">
        <f>$AJ787-$AJ788</f>
        <v/>
      </c>
    </row>
    <row r="788">
      <c r="AR788" s="81">
        <f>($G788+($H788-$G788)*0.5)+($P788-($O788+($Q788-$O788)*0.5))</f>
        <v/>
      </c>
      <c r="AS788" s="81">
        <f>($J788+($K788-$J788)*0.5)+($T788-($S788+($U788-$S788)*0.5))</f>
        <v/>
      </c>
      <c r="AT788" s="82">
        <f>($J788-$C788)*100</f>
        <v/>
      </c>
      <c r="AU788" s="82">
        <f>($H788-$F788)*100</f>
        <v/>
      </c>
      <c r="AV788" s="82">
        <f>($J788-$F788)*100</f>
        <v/>
      </c>
      <c r="AW788" s="82">
        <f>($L788-$F788)*100</f>
        <v/>
      </c>
      <c r="AX788" s="82">
        <f>($J788-$H788)*100</f>
        <v/>
      </c>
      <c r="AY788" s="82">
        <f>($L788-$H788)*100</f>
        <v/>
      </c>
      <c r="AZ788" s="82">
        <f>($L788-$J788)*100</f>
        <v/>
      </c>
      <c r="BA788" s="82">
        <f>(2*$H788-$F788-$J788)*100</f>
        <v/>
      </c>
      <c r="BB788" s="82">
        <f>(2*$J788-$H788-$L788)*100</f>
        <v/>
      </c>
      <c r="BC788" s="82">
        <f>($N788-$F788)*100</f>
        <v/>
      </c>
      <c r="BD788" s="82">
        <f>($Q788-$H788)*100</f>
        <v/>
      </c>
      <c r="BE788" s="82">
        <f>($S788-$J788)*100</f>
        <v/>
      </c>
      <c r="BF788" s="82">
        <f>($V788-$L788)*100</f>
        <v/>
      </c>
      <c r="BG788" s="82">
        <f>$AG788-$AF788</f>
        <v/>
      </c>
      <c r="BH788" s="81">
        <f>IFERROR($AG788/$AF788,"")</f>
        <v/>
      </c>
      <c r="BI788" s="82">
        <f>$AJ788-$AF788</f>
        <v/>
      </c>
      <c r="BJ788" s="81">
        <f>IFERROR($AJ788/$AG788,"")</f>
        <v/>
      </c>
      <c r="BK788" s="81">
        <f>$X788</f>
        <v/>
      </c>
      <c r="BL788" s="82">
        <f>($J788-$J789)*100</f>
        <v/>
      </c>
      <c r="BM788" s="82">
        <f>($F788-$F789)*100</f>
        <v/>
      </c>
      <c r="BN788" s="82">
        <f>$AF788-$AF789</f>
        <v/>
      </c>
      <c r="BO788" s="82">
        <f>$AG788-$AG789</f>
        <v/>
      </c>
      <c r="BP788" s="82">
        <f>$AJ788-$AJ789</f>
        <v/>
      </c>
    </row>
    <row r="789">
      <c r="AR789" s="81">
        <f>($G789+($H789-$G789)*0.5)+($P789-($O789+($Q789-$O789)*0.5))</f>
        <v/>
      </c>
      <c r="AS789" s="81">
        <f>($J789+($K789-$J789)*0.5)+($T789-($S789+($U789-$S789)*0.5))</f>
        <v/>
      </c>
      <c r="AT789" s="82">
        <f>($J789-$C789)*100</f>
        <v/>
      </c>
      <c r="AU789" s="82">
        <f>($H789-$F789)*100</f>
        <v/>
      </c>
      <c r="AV789" s="82">
        <f>($J789-$F789)*100</f>
        <v/>
      </c>
      <c r="AW789" s="82">
        <f>($L789-$F789)*100</f>
        <v/>
      </c>
      <c r="AX789" s="82">
        <f>($J789-$H789)*100</f>
        <v/>
      </c>
      <c r="AY789" s="82">
        <f>($L789-$H789)*100</f>
        <v/>
      </c>
      <c r="AZ789" s="82">
        <f>($L789-$J789)*100</f>
        <v/>
      </c>
      <c r="BA789" s="82">
        <f>(2*$H789-$F789-$J789)*100</f>
        <v/>
      </c>
      <c r="BB789" s="82">
        <f>(2*$J789-$H789-$L789)*100</f>
        <v/>
      </c>
      <c r="BC789" s="82">
        <f>($N789-$F789)*100</f>
        <v/>
      </c>
      <c r="BD789" s="82">
        <f>($Q789-$H789)*100</f>
        <v/>
      </c>
      <c r="BE789" s="82">
        <f>($S789-$J789)*100</f>
        <v/>
      </c>
      <c r="BF789" s="82">
        <f>($V789-$L789)*100</f>
        <v/>
      </c>
      <c r="BG789" s="82">
        <f>$AG789-$AF789</f>
        <v/>
      </c>
      <c r="BH789" s="81">
        <f>IFERROR($AG789/$AF789,"")</f>
        <v/>
      </c>
      <c r="BI789" s="82">
        <f>$AJ789-$AF789</f>
        <v/>
      </c>
      <c r="BJ789" s="81">
        <f>IFERROR($AJ789/$AG789,"")</f>
        <v/>
      </c>
      <c r="BK789" s="81">
        <f>$X789</f>
        <v/>
      </c>
      <c r="BL789" s="82">
        <f>($J789-$J790)*100</f>
        <v/>
      </c>
      <c r="BM789" s="82">
        <f>($F789-$F790)*100</f>
        <v/>
      </c>
      <c r="BN789" s="82">
        <f>$AF789-$AF790</f>
        <v/>
      </c>
      <c r="BO789" s="82">
        <f>$AG789-$AG790</f>
        <v/>
      </c>
      <c r="BP789" s="82">
        <f>$AJ789-$AJ790</f>
        <v/>
      </c>
    </row>
    <row r="790">
      <c r="AR790" s="81">
        <f>($G790+($H790-$G790)*0.5)+($P790-($O790+($Q790-$O790)*0.5))</f>
        <v/>
      </c>
      <c r="AS790" s="81">
        <f>($J790+($K790-$J790)*0.5)+($T790-($S790+($U790-$S790)*0.5))</f>
        <v/>
      </c>
      <c r="AT790" s="82">
        <f>($J790-$C790)*100</f>
        <v/>
      </c>
      <c r="AU790" s="82">
        <f>($H790-$F790)*100</f>
        <v/>
      </c>
      <c r="AV790" s="82">
        <f>($J790-$F790)*100</f>
        <v/>
      </c>
      <c r="AW790" s="82">
        <f>($L790-$F790)*100</f>
        <v/>
      </c>
      <c r="AX790" s="82">
        <f>($J790-$H790)*100</f>
        <v/>
      </c>
      <c r="AY790" s="82">
        <f>($L790-$H790)*100</f>
        <v/>
      </c>
      <c r="AZ790" s="82">
        <f>($L790-$J790)*100</f>
        <v/>
      </c>
      <c r="BA790" s="82">
        <f>(2*$H790-$F790-$J790)*100</f>
        <v/>
      </c>
      <c r="BB790" s="82">
        <f>(2*$J790-$H790-$L790)*100</f>
        <v/>
      </c>
      <c r="BC790" s="82">
        <f>($N790-$F790)*100</f>
        <v/>
      </c>
      <c r="BD790" s="82">
        <f>($Q790-$H790)*100</f>
        <v/>
      </c>
      <c r="BE790" s="82">
        <f>($S790-$J790)*100</f>
        <v/>
      </c>
      <c r="BF790" s="82">
        <f>($V790-$L790)*100</f>
        <v/>
      </c>
      <c r="BG790" s="82">
        <f>$AG790-$AF790</f>
        <v/>
      </c>
      <c r="BH790" s="81">
        <f>IFERROR($AG790/$AF790,"")</f>
        <v/>
      </c>
      <c r="BI790" s="82">
        <f>$AJ790-$AF790</f>
        <v/>
      </c>
      <c r="BJ790" s="81">
        <f>IFERROR($AJ790/$AG790,"")</f>
        <v/>
      </c>
      <c r="BK790" s="81">
        <f>$X790</f>
        <v/>
      </c>
      <c r="BL790" s="82">
        <f>($J790-$J791)*100</f>
        <v/>
      </c>
      <c r="BM790" s="82">
        <f>($F790-$F791)*100</f>
        <v/>
      </c>
      <c r="BN790" s="82">
        <f>$AF790-$AF791</f>
        <v/>
      </c>
      <c r="BO790" s="82">
        <f>$AG790-$AG791</f>
        <v/>
      </c>
      <c r="BP790" s="82">
        <f>$AJ790-$AJ791</f>
        <v/>
      </c>
    </row>
    <row r="791">
      <c r="AR791" s="81">
        <f>($G791+($H791-$G791)*0.5)+($P791-($O791+($Q791-$O791)*0.5))</f>
        <v/>
      </c>
      <c r="AS791" s="81">
        <f>($J791+($K791-$J791)*0.5)+($T791-($S791+($U791-$S791)*0.5))</f>
        <v/>
      </c>
      <c r="AT791" s="82">
        <f>($J791-$C791)*100</f>
        <v/>
      </c>
      <c r="AU791" s="82">
        <f>($H791-$F791)*100</f>
        <v/>
      </c>
      <c r="AV791" s="82">
        <f>($J791-$F791)*100</f>
        <v/>
      </c>
      <c r="AW791" s="82">
        <f>($L791-$F791)*100</f>
        <v/>
      </c>
      <c r="AX791" s="82">
        <f>($J791-$H791)*100</f>
        <v/>
      </c>
      <c r="AY791" s="82">
        <f>($L791-$H791)*100</f>
        <v/>
      </c>
      <c r="AZ791" s="82">
        <f>($L791-$J791)*100</f>
        <v/>
      </c>
      <c r="BA791" s="82">
        <f>(2*$H791-$F791-$J791)*100</f>
        <v/>
      </c>
      <c r="BB791" s="82">
        <f>(2*$J791-$H791-$L791)*100</f>
        <v/>
      </c>
      <c r="BC791" s="82">
        <f>($N791-$F791)*100</f>
        <v/>
      </c>
      <c r="BD791" s="82">
        <f>($Q791-$H791)*100</f>
        <v/>
      </c>
      <c r="BE791" s="82">
        <f>($S791-$J791)*100</f>
        <v/>
      </c>
      <c r="BF791" s="82">
        <f>($V791-$L791)*100</f>
        <v/>
      </c>
      <c r="BG791" s="82">
        <f>$AG791-$AF791</f>
        <v/>
      </c>
      <c r="BH791" s="81">
        <f>IFERROR($AG791/$AF791,"")</f>
        <v/>
      </c>
      <c r="BI791" s="82">
        <f>$AJ791-$AF791</f>
        <v/>
      </c>
      <c r="BJ791" s="81">
        <f>IFERROR($AJ791/$AG791,"")</f>
        <v/>
      </c>
      <c r="BK791" s="81">
        <f>$X791</f>
        <v/>
      </c>
      <c r="BL791" s="82">
        <f>($J791-$J792)*100</f>
        <v/>
      </c>
      <c r="BM791" s="82">
        <f>($F791-$F792)*100</f>
        <v/>
      </c>
      <c r="BN791" s="82">
        <f>$AF791-$AF792</f>
        <v/>
      </c>
      <c r="BO791" s="82">
        <f>$AG791-$AG792</f>
        <v/>
      </c>
      <c r="BP791" s="82">
        <f>$AJ791-$AJ792</f>
        <v/>
      </c>
    </row>
    <row r="792">
      <c r="AR792" s="81">
        <f>($G792+($H792-$G792)*0.5)+($P792-($O792+($Q792-$O792)*0.5))</f>
        <v/>
      </c>
      <c r="AS792" s="81">
        <f>($J792+($K792-$J792)*0.5)+($T792-($S792+($U792-$S792)*0.5))</f>
        <v/>
      </c>
      <c r="AT792" s="82">
        <f>($J792-$C792)*100</f>
        <v/>
      </c>
      <c r="AU792" s="82">
        <f>($H792-$F792)*100</f>
        <v/>
      </c>
      <c r="AV792" s="82">
        <f>($J792-$F792)*100</f>
        <v/>
      </c>
      <c r="AW792" s="82">
        <f>($L792-$F792)*100</f>
        <v/>
      </c>
      <c r="AX792" s="82">
        <f>($J792-$H792)*100</f>
        <v/>
      </c>
      <c r="AY792" s="82">
        <f>($L792-$H792)*100</f>
        <v/>
      </c>
      <c r="AZ792" s="82">
        <f>($L792-$J792)*100</f>
        <v/>
      </c>
      <c r="BA792" s="82">
        <f>(2*$H792-$F792-$J792)*100</f>
        <v/>
      </c>
      <c r="BB792" s="82">
        <f>(2*$J792-$H792-$L792)*100</f>
        <v/>
      </c>
      <c r="BC792" s="82">
        <f>($N792-$F792)*100</f>
        <v/>
      </c>
      <c r="BD792" s="82">
        <f>($Q792-$H792)*100</f>
        <v/>
      </c>
      <c r="BE792" s="82">
        <f>($S792-$J792)*100</f>
        <v/>
      </c>
      <c r="BF792" s="82">
        <f>($V792-$L792)*100</f>
        <v/>
      </c>
      <c r="BG792" s="82">
        <f>$AG792-$AF792</f>
        <v/>
      </c>
      <c r="BH792" s="81">
        <f>IFERROR($AG792/$AF792,"")</f>
        <v/>
      </c>
      <c r="BI792" s="82">
        <f>$AJ792-$AF792</f>
        <v/>
      </c>
      <c r="BJ792" s="81">
        <f>IFERROR($AJ792/$AG792,"")</f>
        <v/>
      </c>
      <c r="BK792" s="81">
        <f>$X792</f>
        <v/>
      </c>
      <c r="BL792" s="82">
        <f>($J792-$J793)*100</f>
        <v/>
      </c>
      <c r="BM792" s="82">
        <f>($F792-$F793)*100</f>
        <v/>
      </c>
      <c r="BN792" s="82">
        <f>$AF792-$AF793</f>
        <v/>
      </c>
      <c r="BO792" s="82">
        <f>$AG792-$AG793</f>
        <v/>
      </c>
      <c r="BP792" s="82">
        <f>$AJ792-$AJ793</f>
        <v/>
      </c>
    </row>
    <row r="793">
      <c r="AR793" s="81">
        <f>($G793+($H793-$G793)*0.5)+($P793-($O793+($Q793-$O793)*0.5))</f>
        <v/>
      </c>
      <c r="AS793" s="81">
        <f>($J793+($K793-$J793)*0.5)+($T793-($S793+($U793-$S793)*0.5))</f>
        <v/>
      </c>
      <c r="AT793" s="82">
        <f>($J793-$C793)*100</f>
        <v/>
      </c>
      <c r="AU793" s="82">
        <f>($H793-$F793)*100</f>
        <v/>
      </c>
      <c r="AV793" s="82">
        <f>($J793-$F793)*100</f>
        <v/>
      </c>
      <c r="AW793" s="82">
        <f>($L793-$F793)*100</f>
        <v/>
      </c>
      <c r="AX793" s="82">
        <f>($J793-$H793)*100</f>
        <v/>
      </c>
      <c r="AY793" s="82">
        <f>($L793-$H793)*100</f>
        <v/>
      </c>
      <c r="AZ793" s="82">
        <f>($L793-$J793)*100</f>
        <v/>
      </c>
      <c r="BA793" s="82">
        <f>(2*$H793-$F793-$J793)*100</f>
        <v/>
      </c>
      <c r="BB793" s="82">
        <f>(2*$J793-$H793-$L793)*100</f>
        <v/>
      </c>
      <c r="BC793" s="82">
        <f>($N793-$F793)*100</f>
        <v/>
      </c>
      <c r="BD793" s="82">
        <f>($Q793-$H793)*100</f>
        <v/>
      </c>
      <c r="BE793" s="82">
        <f>($S793-$J793)*100</f>
        <v/>
      </c>
      <c r="BF793" s="82">
        <f>($V793-$L793)*100</f>
        <v/>
      </c>
      <c r="BG793" s="82">
        <f>$AG793-$AF793</f>
        <v/>
      </c>
      <c r="BH793" s="81">
        <f>IFERROR($AG793/$AF793,"")</f>
        <v/>
      </c>
      <c r="BI793" s="82">
        <f>$AJ793-$AF793</f>
        <v/>
      </c>
      <c r="BJ793" s="81">
        <f>IFERROR($AJ793/$AG793,"")</f>
        <v/>
      </c>
      <c r="BK793" s="81">
        <f>$X793</f>
        <v/>
      </c>
      <c r="BL793" s="82">
        <f>($J793-$J794)*100</f>
        <v/>
      </c>
      <c r="BM793" s="82">
        <f>($F793-$F794)*100</f>
        <v/>
      </c>
      <c r="BN793" s="82">
        <f>$AF793-$AF794</f>
        <v/>
      </c>
      <c r="BO793" s="82">
        <f>$AG793-$AG794</f>
        <v/>
      </c>
      <c r="BP793" s="82">
        <f>$AJ793-$AJ794</f>
        <v/>
      </c>
    </row>
    <row r="794">
      <c r="AR794" s="81">
        <f>($G794+($H794-$G794)*0.5)+($P794-($O794+($Q794-$O794)*0.5))</f>
        <v/>
      </c>
      <c r="AS794" s="81">
        <f>($J794+($K794-$J794)*0.5)+($T794-($S794+($U794-$S794)*0.5))</f>
        <v/>
      </c>
      <c r="AT794" s="82">
        <f>($J794-$C794)*100</f>
        <v/>
      </c>
      <c r="AU794" s="82">
        <f>($H794-$F794)*100</f>
        <v/>
      </c>
      <c r="AV794" s="82">
        <f>($J794-$F794)*100</f>
        <v/>
      </c>
      <c r="AW794" s="82">
        <f>($L794-$F794)*100</f>
        <v/>
      </c>
      <c r="AX794" s="82">
        <f>($J794-$H794)*100</f>
        <v/>
      </c>
      <c r="AY794" s="82">
        <f>($L794-$H794)*100</f>
        <v/>
      </c>
      <c r="AZ794" s="82">
        <f>($L794-$J794)*100</f>
        <v/>
      </c>
      <c r="BA794" s="82">
        <f>(2*$H794-$F794-$J794)*100</f>
        <v/>
      </c>
      <c r="BB794" s="82">
        <f>(2*$J794-$H794-$L794)*100</f>
        <v/>
      </c>
      <c r="BC794" s="82">
        <f>($N794-$F794)*100</f>
        <v/>
      </c>
      <c r="BD794" s="82">
        <f>($Q794-$H794)*100</f>
        <v/>
      </c>
      <c r="BE794" s="82">
        <f>($S794-$J794)*100</f>
        <v/>
      </c>
      <c r="BF794" s="82">
        <f>($V794-$L794)*100</f>
        <v/>
      </c>
      <c r="BG794" s="82">
        <f>$AG794-$AF794</f>
        <v/>
      </c>
      <c r="BH794" s="81">
        <f>IFERROR($AG794/$AF794,"")</f>
        <v/>
      </c>
      <c r="BI794" s="82">
        <f>$AJ794-$AF794</f>
        <v/>
      </c>
      <c r="BJ794" s="81">
        <f>IFERROR($AJ794/$AG794,"")</f>
        <v/>
      </c>
      <c r="BK794" s="81">
        <f>$X794</f>
        <v/>
      </c>
      <c r="BL794" s="82">
        <f>($J794-$J795)*100</f>
        <v/>
      </c>
      <c r="BM794" s="82">
        <f>($F794-$F795)*100</f>
        <v/>
      </c>
      <c r="BN794" s="82">
        <f>$AF794-$AF795</f>
        <v/>
      </c>
      <c r="BO794" s="82">
        <f>$AG794-$AG795</f>
        <v/>
      </c>
      <c r="BP794" s="82">
        <f>$AJ794-$AJ795</f>
        <v/>
      </c>
    </row>
    <row r="795">
      <c r="AR795" s="81">
        <f>($G795+($H795-$G795)*0.5)+($P795-($O795+($Q795-$O795)*0.5))</f>
        <v/>
      </c>
      <c r="AS795" s="81">
        <f>($J795+($K795-$J795)*0.5)+($T795-($S795+($U795-$S795)*0.5))</f>
        <v/>
      </c>
      <c r="AT795" s="82">
        <f>($J795-$C795)*100</f>
        <v/>
      </c>
      <c r="AU795" s="82">
        <f>($H795-$F795)*100</f>
        <v/>
      </c>
      <c r="AV795" s="82">
        <f>($J795-$F795)*100</f>
        <v/>
      </c>
      <c r="AW795" s="82">
        <f>($L795-$F795)*100</f>
        <v/>
      </c>
      <c r="AX795" s="82">
        <f>($J795-$H795)*100</f>
        <v/>
      </c>
      <c r="AY795" s="82">
        <f>($L795-$H795)*100</f>
        <v/>
      </c>
      <c r="AZ795" s="82">
        <f>($L795-$J795)*100</f>
        <v/>
      </c>
      <c r="BA795" s="82">
        <f>(2*$H795-$F795-$J795)*100</f>
        <v/>
      </c>
      <c r="BB795" s="82">
        <f>(2*$J795-$H795-$L795)*100</f>
        <v/>
      </c>
      <c r="BC795" s="82">
        <f>($N795-$F795)*100</f>
        <v/>
      </c>
      <c r="BD795" s="82">
        <f>($Q795-$H795)*100</f>
        <v/>
      </c>
      <c r="BE795" s="82">
        <f>($S795-$J795)*100</f>
        <v/>
      </c>
      <c r="BF795" s="82">
        <f>($V795-$L795)*100</f>
        <v/>
      </c>
      <c r="BG795" s="82">
        <f>$AG795-$AF795</f>
        <v/>
      </c>
      <c r="BH795" s="81">
        <f>IFERROR($AG795/$AF795,"")</f>
        <v/>
      </c>
      <c r="BI795" s="82">
        <f>$AJ795-$AF795</f>
        <v/>
      </c>
      <c r="BJ795" s="81">
        <f>IFERROR($AJ795/$AG795,"")</f>
        <v/>
      </c>
      <c r="BK795" s="81">
        <f>$X795</f>
        <v/>
      </c>
      <c r="BL795" s="82">
        <f>($J795-$J796)*100</f>
        <v/>
      </c>
      <c r="BM795" s="82">
        <f>($F795-$F796)*100</f>
        <v/>
      </c>
      <c r="BN795" s="82">
        <f>$AF795-$AF796</f>
        <v/>
      </c>
      <c r="BO795" s="82">
        <f>$AG795-$AG796</f>
        <v/>
      </c>
      <c r="BP795" s="82">
        <f>$AJ795-$AJ796</f>
        <v/>
      </c>
    </row>
    <row r="796">
      <c r="AR796" s="81">
        <f>($G796+($H796-$G796)*0.5)+($P796-($O796+($Q796-$O796)*0.5))</f>
        <v/>
      </c>
      <c r="AS796" s="81">
        <f>($J796+($K796-$J796)*0.5)+($T796-($S796+($U796-$S796)*0.5))</f>
        <v/>
      </c>
      <c r="AT796" s="82">
        <f>($J796-$C796)*100</f>
        <v/>
      </c>
      <c r="AU796" s="82">
        <f>($H796-$F796)*100</f>
        <v/>
      </c>
      <c r="AV796" s="82">
        <f>($J796-$F796)*100</f>
        <v/>
      </c>
      <c r="AW796" s="82">
        <f>($L796-$F796)*100</f>
        <v/>
      </c>
      <c r="AX796" s="82">
        <f>($J796-$H796)*100</f>
        <v/>
      </c>
      <c r="AY796" s="82">
        <f>($L796-$H796)*100</f>
        <v/>
      </c>
      <c r="AZ796" s="82">
        <f>($L796-$J796)*100</f>
        <v/>
      </c>
      <c r="BA796" s="82">
        <f>(2*$H796-$F796-$J796)*100</f>
        <v/>
      </c>
      <c r="BB796" s="82">
        <f>(2*$J796-$H796-$L796)*100</f>
        <v/>
      </c>
      <c r="BC796" s="82">
        <f>($N796-$F796)*100</f>
        <v/>
      </c>
      <c r="BD796" s="82">
        <f>($Q796-$H796)*100</f>
        <v/>
      </c>
      <c r="BE796" s="82">
        <f>($S796-$J796)*100</f>
        <v/>
      </c>
      <c r="BF796" s="82">
        <f>($V796-$L796)*100</f>
        <v/>
      </c>
      <c r="BG796" s="82">
        <f>$AG796-$AF796</f>
        <v/>
      </c>
      <c r="BH796" s="81">
        <f>IFERROR($AG796/$AF796,"")</f>
        <v/>
      </c>
      <c r="BI796" s="82">
        <f>$AJ796-$AF796</f>
        <v/>
      </c>
      <c r="BJ796" s="81">
        <f>IFERROR($AJ796/$AG796,"")</f>
        <v/>
      </c>
      <c r="BK796" s="81">
        <f>$X796</f>
        <v/>
      </c>
      <c r="BL796" s="82">
        <f>($J796-$J797)*100</f>
        <v/>
      </c>
      <c r="BM796" s="82">
        <f>($F796-$F797)*100</f>
        <v/>
      </c>
      <c r="BN796" s="82">
        <f>$AF796-$AF797</f>
        <v/>
      </c>
      <c r="BO796" s="82">
        <f>$AG796-$AG797</f>
        <v/>
      </c>
      <c r="BP796" s="82">
        <f>$AJ796-$AJ797</f>
        <v/>
      </c>
    </row>
    <row r="797">
      <c r="AR797" s="81">
        <f>($G797+($H797-$G797)*0.5)+($P797-($O797+($Q797-$O797)*0.5))</f>
        <v/>
      </c>
      <c r="AS797" s="81">
        <f>($J797+($K797-$J797)*0.5)+($T797-($S797+($U797-$S797)*0.5))</f>
        <v/>
      </c>
      <c r="AT797" s="82">
        <f>($J797-$C797)*100</f>
        <v/>
      </c>
      <c r="AU797" s="82">
        <f>($H797-$F797)*100</f>
        <v/>
      </c>
      <c r="AV797" s="82">
        <f>($J797-$F797)*100</f>
        <v/>
      </c>
      <c r="AW797" s="82">
        <f>($L797-$F797)*100</f>
        <v/>
      </c>
      <c r="AX797" s="82">
        <f>($J797-$H797)*100</f>
        <v/>
      </c>
      <c r="AY797" s="82">
        <f>($L797-$H797)*100</f>
        <v/>
      </c>
      <c r="AZ797" s="82">
        <f>($L797-$J797)*100</f>
        <v/>
      </c>
      <c r="BA797" s="82">
        <f>(2*$H797-$F797-$J797)*100</f>
        <v/>
      </c>
      <c r="BB797" s="82">
        <f>(2*$J797-$H797-$L797)*100</f>
        <v/>
      </c>
      <c r="BC797" s="82">
        <f>($N797-$F797)*100</f>
        <v/>
      </c>
      <c r="BD797" s="82">
        <f>($Q797-$H797)*100</f>
        <v/>
      </c>
      <c r="BE797" s="82">
        <f>($S797-$J797)*100</f>
        <v/>
      </c>
      <c r="BF797" s="82">
        <f>($V797-$L797)*100</f>
        <v/>
      </c>
      <c r="BG797" s="82">
        <f>$AG797-$AF797</f>
        <v/>
      </c>
      <c r="BH797" s="81">
        <f>IFERROR($AG797/$AF797,"")</f>
        <v/>
      </c>
      <c r="BI797" s="82">
        <f>$AJ797-$AF797</f>
        <v/>
      </c>
      <c r="BJ797" s="81">
        <f>IFERROR($AJ797/$AG797,"")</f>
        <v/>
      </c>
      <c r="BK797" s="81">
        <f>$X797</f>
        <v/>
      </c>
      <c r="BL797" s="82">
        <f>($J797-$J798)*100</f>
        <v/>
      </c>
      <c r="BM797" s="82">
        <f>($F797-$F798)*100</f>
        <v/>
      </c>
      <c r="BN797" s="82">
        <f>$AF797-$AF798</f>
        <v/>
      </c>
      <c r="BO797" s="82">
        <f>$AG797-$AG798</f>
        <v/>
      </c>
      <c r="BP797" s="82">
        <f>$AJ797-$AJ798</f>
        <v/>
      </c>
    </row>
    <row r="798">
      <c r="AR798" s="81">
        <f>($G798+($H798-$G798)*0.5)+($P798-($O798+($Q798-$O798)*0.5))</f>
        <v/>
      </c>
      <c r="AS798" s="81">
        <f>($J798+($K798-$J798)*0.5)+($T798-($S798+($U798-$S798)*0.5))</f>
        <v/>
      </c>
      <c r="AT798" s="82">
        <f>($J798-$C798)*100</f>
        <v/>
      </c>
      <c r="AU798" s="82">
        <f>($H798-$F798)*100</f>
        <v/>
      </c>
      <c r="AV798" s="82">
        <f>($J798-$F798)*100</f>
        <v/>
      </c>
      <c r="AW798" s="82">
        <f>($L798-$F798)*100</f>
        <v/>
      </c>
      <c r="AX798" s="82">
        <f>($J798-$H798)*100</f>
        <v/>
      </c>
      <c r="AY798" s="82">
        <f>($L798-$H798)*100</f>
        <v/>
      </c>
      <c r="AZ798" s="82">
        <f>($L798-$J798)*100</f>
        <v/>
      </c>
      <c r="BA798" s="82">
        <f>(2*$H798-$F798-$J798)*100</f>
        <v/>
      </c>
      <c r="BB798" s="82">
        <f>(2*$J798-$H798-$L798)*100</f>
        <v/>
      </c>
      <c r="BC798" s="82">
        <f>($N798-$F798)*100</f>
        <v/>
      </c>
      <c r="BD798" s="82">
        <f>($Q798-$H798)*100</f>
        <v/>
      </c>
      <c r="BE798" s="82">
        <f>($S798-$J798)*100</f>
        <v/>
      </c>
      <c r="BF798" s="82">
        <f>($V798-$L798)*100</f>
        <v/>
      </c>
      <c r="BG798" s="82">
        <f>$AG798-$AF798</f>
        <v/>
      </c>
      <c r="BH798" s="81">
        <f>IFERROR($AG798/$AF798,"")</f>
        <v/>
      </c>
      <c r="BI798" s="82">
        <f>$AJ798-$AF798</f>
        <v/>
      </c>
      <c r="BJ798" s="81">
        <f>IFERROR($AJ798/$AG798,"")</f>
        <v/>
      </c>
      <c r="BK798" s="81">
        <f>$X798</f>
        <v/>
      </c>
      <c r="BL798" s="82">
        <f>($J798-$J799)*100</f>
        <v/>
      </c>
      <c r="BM798" s="82">
        <f>($F798-$F799)*100</f>
        <v/>
      </c>
      <c r="BN798" s="82">
        <f>$AF798-$AF799</f>
        <v/>
      </c>
      <c r="BO798" s="82">
        <f>$AG798-$AG799</f>
        <v/>
      </c>
      <c r="BP798" s="82">
        <f>$AJ798-$AJ799</f>
        <v/>
      </c>
    </row>
    <row r="799">
      <c r="AR799" s="81">
        <f>($G799+($H799-$G799)*0.5)+($P799-($O799+($Q799-$O799)*0.5))</f>
        <v/>
      </c>
      <c r="AS799" s="81">
        <f>($J799+($K799-$J799)*0.5)+($T799-($S799+($U799-$S799)*0.5))</f>
        <v/>
      </c>
      <c r="AT799" s="82">
        <f>($J799-$C799)*100</f>
        <v/>
      </c>
      <c r="AU799" s="82">
        <f>($H799-$F799)*100</f>
        <v/>
      </c>
      <c r="AV799" s="82">
        <f>($J799-$F799)*100</f>
        <v/>
      </c>
      <c r="AW799" s="82">
        <f>($L799-$F799)*100</f>
        <v/>
      </c>
      <c r="AX799" s="82">
        <f>($J799-$H799)*100</f>
        <v/>
      </c>
      <c r="AY799" s="82">
        <f>($L799-$H799)*100</f>
        <v/>
      </c>
      <c r="AZ799" s="82">
        <f>($L799-$J799)*100</f>
        <v/>
      </c>
      <c r="BA799" s="82">
        <f>(2*$H799-$F799-$J799)*100</f>
        <v/>
      </c>
      <c r="BB799" s="82">
        <f>(2*$J799-$H799-$L799)*100</f>
        <v/>
      </c>
      <c r="BC799" s="82">
        <f>($N799-$F799)*100</f>
        <v/>
      </c>
      <c r="BD799" s="82">
        <f>($Q799-$H799)*100</f>
        <v/>
      </c>
      <c r="BE799" s="82">
        <f>($S799-$J799)*100</f>
        <v/>
      </c>
      <c r="BF799" s="82">
        <f>($V799-$L799)*100</f>
        <v/>
      </c>
      <c r="BG799" s="82">
        <f>$AG799-$AF799</f>
        <v/>
      </c>
      <c r="BH799" s="81">
        <f>IFERROR($AG799/$AF799,"")</f>
        <v/>
      </c>
      <c r="BI799" s="82">
        <f>$AJ799-$AF799</f>
        <v/>
      </c>
      <c r="BJ799" s="81">
        <f>IFERROR($AJ799/$AG799,"")</f>
        <v/>
      </c>
      <c r="BK799" s="81">
        <f>$X799</f>
        <v/>
      </c>
      <c r="BL799" s="82">
        <f>($J799-$J800)*100</f>
        <v/>
      </c>
      <c r="BM799" s="82">
        <f>($F799-$F800)*100</f>
        <v/>
      </c>
      <c r="BN799" s="82">
        <f>$AF799-$AF800</f>
        <v/>
      </c>
      <c r="BO799" s="82">
        <f>$AG799-$AG800</f>
        <v/>
      </c>
      <c r="BP799" s="82">
        <f>$AJ799-$AJ800</f>
        <v/>
      </c>
    </row>
    <row r="800">
      <c r="AR800" s="81">
        <f>($G800+($H800-$G800)*0.5)+($P800-($O800+($Q800-$O800)*0.5))</f>
        <v/>
      </c>
      <c r="AS800" s="81">
        <f>($J800+($K800-$J800)*0.5)+($T800-($S800+($U800-$S800)*0.5))</f>
        <v/>
      </c>
      <c r="AT800" s="82">
        <f>($J800-$C800)*100</f>
        <v/>
      </c>
      <c r="AU800" s="82">
        <f>($H800-$F800)*100</f>
        <v/>
      </c>
      <c r="AV800" s="82">
        <f>($J800-$F800)*100</f>
        <v/>
      </c>
      <c r="AW800" s="82">
        <f>($L800-$F800)*100</f>
        <v/>
      </c>
      <c r="AX800" s="82">
        <f>($J800-$H800)*100</f>
        <v/>
      </c>
      <c r="AY800" s="82">
        <f>($L800-$H800)*100</f>
        <v/>
      </c>
      <c r="AZ800" s="82">
        <f>($L800-$J800)*100</f>
        <v/>
      </c>
      <c r="BA800" s="82">
        <f>(2*$H800-$F800-$J800)*100</f>
        <v/>
      </c>
      <c r="BB800" s="82">
        <f>(2*$J800-$H800-$L800)*100</f>
        <v/>
      </c>
      <c r="BC800" s="82">
        <f>($N800-$F800)*100</f>
        <v/>
      </c>
      <c r="BD800" s="82">
        <f>($Q800-$H800)*100</f>
        <v/>
      </c>
      <c r="BE800" s="82">
        <f>($S800-$J800)*100</f>
        <v/>
      </c>
      <c r="BF800" s="82">
        <f>($V800-$L800)*100</f>
        <v/>
      </c>
      <c r="BG800" s="82">
        <f>$AG800-$AF800</f>
        <v/>
      </c>
      <c r="BH800" s="81">
        <f>IFERROR($AG800/$AF800,"")</f>
        <v/>
      </c>
      <c r="BI800" s="82">
        <f>$AJ800-$AF800</f>
        <v/>
      </c>
      <c r="BJ800" s="81">
        <f>IFERROR($AJ800/$AG800,"")</f>
        <v/>
      </c>
      <c r="BK800" s="81">
        <f>$X800</f>
        <v/>
      </c>
      <c r="BL800" s="82">
        <f>($J800-$J801)*100</f>
        <v/>
      </c>
      <c r="BM800" s="82">
        <f>($F800-$F801)*100</f>
        <v/>
      </c>
      <c r="BN800" s="82">
        <f>$AF800-$AF801</f>
        <v/>
      </c>
      <c r="BO800" s="82">
        <f>$AG800-$AG801</f>
        <v/>
      </c>
      <c r="BP800" s="82">
        <f>$AJ800-$AJ801</f>
        <v/>
      </c>
    </row>
    <row r="801">
      <c r="AR801" s="81">
        <f>($G801+($H801-$G801)*0.5)+($P801-($O801+($Q801-$O801)*0.5))</f>
        <v/>
      </c>
      <c r="AS801" s="81">
        <f>($J801+($K801-$J801)*0.5)+($T801-($S801+($U801-$S801)*0.5))</f>
        <v/>
      </c>
      <c r="AT801" s="82">
        <f>($J801-$C801)*100</f>
        <v/>
      </c>
      <c r="AU801" s="82">
        <f>($H801-$F801)*100</f>
        <v/>
      </c>
      <c r="AV801" s="82">
        <f>($J801-$F801)*100</f>
        <v/>
      </c>
      <c r="AW801" s="82">
        <f>($L801-$F801)*100</f>
        <v/>
      </c>
      <c r="AX801" s="82">
        <f>($J801-$H801)*100</f>
        <v/>
      </c>
      <c r="AY801" s="82">
        <f>($L801-$H801)*100</f>
        <v/>
      </c>
      <c r="AZ801" s="82">
        <f>($L801-$J801)*100</f>
        <v/>
      </c>
      <c r="BA801" s="82">
        <f>(2*$H801-$F801-$J801)*100</f>
        <v/>
      </c>
      <c r="BB801" s="82">
        <f>(2*$J801-$H801-$L801)*100</f>
        <v/>
      </c>
      <c r="BC801" s="82">
        <f>($N801-$F801)*100</f>
        <v/>
      </c>
      <c r="BD801" s="82">
        <f>($Q801-$H801)*100</f>
        <v/>
      </c>
      <c r="BE801" s="82">
        <f>($S801-$J801)*100</f>
        <v/>
      </c>
      <c r="BF801" s="82">
        <f>($V801-$L801)*100</f>
        <v/>
      </c>
      <c r="BG801" s="82">
        <f>$AG801-$AF801</f>
        <v/>
      </c>
      <c r="BH801" s="81">
        <f>IFERROR($AG801/$AF801,"")</f>
        <v/>
      </c>
      <c r="BI801" s="82">
        <f>$AJ801-$AF801</f>
        <v/>
      </c>
      <c r="BJ801" s="81">
        <f>IFERROR($AJ801/$AG801,"")</f>
        <v/>
      </c>
      <c r="BK801" s="81">
        <f>$X801</f>
        <v/>
      </c>
      <c r="BL801" s="82">
        <f>($J801-$J802)*100</f>
        <v/>
      </c>
      <c r="BM801" s="82">
        <f>($F801-$F802)*100</f>
        <v/>
      </c>
      <c r="BN801" s="82">
        <f>$AF801-$AF802</f>
        <v/>
      </c>
      <c r="BO801" s="82">
        <f>$AG801-$AG802</f>
        <v/>
      </c>
      <c r="BP801" s="82">
        <f>$AJ801-$AJ802</f>
        <v/>
      </c>
    </row>
    <row r="802">
      <c r="AR802" s="81">
        <f>($G802+($H802-$G802)*0.5)+($P802-($O802+($Q802-$O802)*0.5))</f>
        <v/>
      </c>
      <c r="AS802" s="81">
        <f>($J802+($K802-$J802)*0.5)+($T802-($S802+($U802-$S802)*0.5))</f>
        <v/>
      </c>
      <c r="AT802" s="82">
        <f>($J802-$C802)*100</f>
        <v/>
      </c>
      <c r="AU802" s="82">
        <f>($H802-$F802)*100</f>
        <v/>
      </c>
      <c r="AV802" s="82">
        <f>($J802-$F802)*100</f>
        <v/>
      </c>
      <c r="AW802" s="82">
        <f>($L802-$F802)*100</f>
        <v/>
      </c>
      <c r="AX802" s="82">
        <f>($J802-$H802)*100</f>
        <v/>
      </c>
      <c r="AY802" s="82">
        <f>($L802-$H802)*100</f>
        <v/>
      </c>
      <c r="AZ802" s="82">
        <f>($L802-$J802)*100</f>
        <v/>
      </c>
      <c r="BA802" s="82">
        <f>(2*$H802-$F802-$J802)*100</f>
        <v/>
      </c>
      <c r="BB802" s="82">
        <f>(2*$J802-$H802-$L802)*100</f>
        <v/>
      </c>
      <c r="BC802" s="82">
        <f>($N802-$F802)*100</f>
        <v/>
      </c>
      <c r="BD802" s="82">
        <f>($Q802-$H802)*100</f>
        <v/>
      </c>
      <c r="BE802" s="82">
        <f>($S802-$J802)*100</f>
        <v/>
      </c>
      <c r="BF802" s="82">
        <f>($V802-$L802)*100</f>
        <v/>
      </c>
      <c r="BG802" s="82">
        <f>$AG802-$AF802</f>
        <v/>
      </c>
      <c r="BH802" s="81">
        <f>IFERROR($AG802/$AF802,"")</f>
        <v/>
      </c>
      <c r="BI802" s="82">
        <f>$AJ802-$AF802</f>
        <v/>
      </c>
      <c r="BJ802" s="81">
        <f>IFERROR($AJ802/$AG802,"")</f>
        <v/>
      </c>
      <c r="BK802" s="81">
        <f>$X802</f>
        <v/>
      </c>
      <c r="BL802" s="82">
        <f>($J802-$J803)*100</f>
        <v/>
      </c>
      <c r="BM802" s="82">
        <f>($F802-$F803)*100</f>
        <v/>
      </c>
      <c r="BN802" s="82">
        <f>$AF802-$AF803</f>
        <v/>
      </c>
      <c r="BO802" s="82">
        <f>$AG802-$AG803</f>
        <v/>
      </c>
      <c r="BP802" s="82">
        <f>$AJ802-$AJ803</f>
        <v/>
      </c>
    </row>
    <row r="803">
      <c r="AR803" s="81">
        <f>($G803+($H803-$G803)*0.5)+($P803-($O803+($Q803-$O803)*0.5))</f>
        <v/>
      </c>
      <c r="AS803" s="81">
        <f>($J803+($K803-$J803)*0.5)+($T803-($S803+($U803-$S803)*0.5))</f>
        <v/>
      </c>
      <c r="AT803" s="82">
        <f>($J803-$C803)*100</f>
        <v/>
      </c>
      <c r="AU803" s="82">
        <f>($H803-$F803)*100</f>
        <v/>
      </c>
      <c r="AV803" s="82">
        <f>($J803-$F803)*100</f>
        <v/>
      </c>
      <c r="AW803" s="82">
        <f>($L803-$F803)*100</f>
        <v/>
      </c>
      <c r="AX803" s="82">
        <f>($J803-$H803)*100</f>
        <v/>
      </c>
      <c r="AY803" s="82">
        <f>($L803-$H803)*100</f>
        <v/>
      </c>
      <c r="AZ803" s="82">
        <f>($L803-$J803)*100</f>
        <v/>
      </c>
      <c r="BA803" s="82">
        <f>(2*$H803-$F803-$J803)*100</f>
        <v/>
      </c>
      <c r="BB803" s="82">
        <f>(2*$J803-$H803-$L803)*100</f>
        <v/>
      </c>
      <c r="BC803" s="82">
        <f>($N803-$F803)*100</f>
        <v/>
      </c>
      <c r="BD803" s="82">
        <f>($Q803-$H803)*100</f>
        <v/>
      </c>
      <c r="BE803" s="82">
        <f>($S803-$J803)*100</f>
        <v/>
      </c>
      <c r="BF803" s="82">
        <f>($V803-$L803)*100</f>
        <v/>
      </c>
      <c r="BG803" s="82">
        <f>$AG803-$AF803</f>
        <v/>
      </c>
      <c r="BH803" s="81">
        <f>IFERROR($AG803/$AF803,"")</f>
        <v/>
      </c>
      <c r="BI803" s="82">
        <f>$AJ803-$AF803</f>
        <v/>
      </c>
      <c r="BJ803" s="81">
        <f>IFERROR($AJ803/$AG803,"")</f>
        <v/>
      </c>
      <c r="BK803" s="81">
        <f>$X803</f>
        <v/>
      </c>
      <c r="BL803" s="82">
        <f>($J803-$J804)*100</f>
        <v/>
      </c>
      <c r="BM803" s="82">
        <f>($F803-$F804)*100</f>
        <v/>
      </c>
      <c r="BN803" s="82">
        <f>$AF803-$AF804</f>
        <v/>
      </c>
      <c r="BO803" s="82">
        <f>$AG803-$AG804</f>
        <v/>
      </c>
      <c r="BP803" s="82">
        <f>$AJ803-$AJ804</f>
        <v/>
      </c>
    </row>
    <row r="804">
      <c r="AR804" s="81">
        <f>($G804+($H804-$G804)*0.5)+($P804-($O804+($Q804-$O804)*0.5))</f>
        <v/>
      </c>
      <c r="AS804" s="81">
        <f>($J804+($K804-$J804)*0.5)+($T804-($S804+($U804-$S804)*0.5))</f>
        <v/>
      </c>
      <c r="AT804" s="82">
        <f>($J804-$C804)*100</f>
        <v/>
      </c>
      <c r="AU804" s="82">
        <f>($H804-$F804)*100</f>
        <v/>
      </c>
      <c r="AV804" s="82">
        <f>($J804-$F804)*100</f>
        <v/>
      </c>
      <c r="AW804" s="82">
        <f>($L804-$F804)*100</f>
        <v/>
      </c>
      <c r="AX804" s="82">
        <f>($J804-$H804)*100</f>
        <v/>
      </c>
      <c r="AY804" s="82">
        <f>($L804-$H804)*100</f>
        <v/>
      </c>
      <c r="AZ804" s="82">
        <f>($L804-$J804)*100</f>
        <v/>
      </c>
      <c r="BA804" s="82">
        <f>(2*$H804-$F804-$J804)*100</f>
        <v/>
      </c>
      <c r="BB804" s="82">
        <f>(2*$J804-$H804-$L804)*100</f>
        <v/>
      </c>
      <c r="BC804" s="82">
        <f>($N804-$F804)*100</f>
        <v/>
      </c>
      <c r="BD804" s="82">
        <f>($Q804-$H804)*100</f>
        <v/>
      </c>
      <c r="BE804" s="82">
        <f>($S804-$J804)*100</f>
        <v/>
      </c>
      <c r="BF804" s="82">
        <f>($V804-$L804)*100</f>
        <v/>
      </c>
      <c r="BG804" s="82">
        <f>$AG804-$AF804</f>
        <v/>
      </c>
      <c r="BH804" s="81">
        <f>IFERROR($AG804/$AF804,"")</f>
        <v/>
      </c>
      <c r="BI804" s="82">
        <f>$AJ804-$AF804</f>
        <v/>
      </c>
      <c r="BJ804" s="81">
        <f>IFERROR($AJ804/$AG804,"")</f>
        <v/>
      </c>
      <c r="BK804" s="81">
        <f>$X804</f>
        <v/>
      </c>
      <c r="BL804" s="82">
        <f>($J804-$J805)*100</f>
        <v/>
      </c>
      <c r="BM804" s="82">
        <f>($F804-$F805)*100</f>
        <v/>
      </c>
      <c r="BN804" s="82">
        <f>$AF804-$AF805</f>
        <v/>
      </c>
      <c r="BO804" s="82">
        <f>$AG804-$AG805</f>
        <v/>
      </c>
      <c r="BP804" s="82">
        <f>$AJ804-$AJ805</f>
        <v/>
      </c>
    </row>
    <row r="805">
      <c r="AR805" s="81">
        <f>($G805+($H805-$G805)*0.5)+($P805-($O805+($Q805-$O805)*0.5))</f>
        <v/>
      </c>
      <c r="AS805" s="81">
        <f>($J805+($K805-$J805)*0.5)+($T805-($S805+($U805-$S805)*0.5))</f>
        <v/>
      </c>
      <c r="AT805" s="82">
        <f>($J805-$C805)*100</f>
        <v/>
      </c>
      <c r="AU805" s="82">
        <f>($H805-$F805)*100</f>
        <v/>
      </c>
      <c r="AV805" s="82">
        <f>($J805-$F805)*100</f>
        <v/>
      </c>
      <c r="AW805" s="82">
        <f>($L805-$F805)*100</f>
        <v/>
      </c>
      <c r="AX805" s="82">
        <f>($J805-$H805)*100</f>
        <v/>
      </c>
      <c r="AY805" s="82">
        <f>($L805-$H805)*100</f>
        <v/>
      </c>
      <c r="AZ805" s="82">
        <f>($L805-$J805)*100</f>
        <v/>
      </c>
      <c r="BA805" s="82">
        <f>(2*$H805-$F805-$J805)*100</f>
        <v/>
      </c>
      <c r="BB805" s="82">
        <f>(2*$J805-$H805-$L805)*100</f>
        <v/>
      </c>
      <c r="BC805" s="82">
        <f>($N805-$F805)*100</f>
        <v/>
      </c>
      <c r="BD805" s="82">
        <f>($Q805-$H805)*100</f>
        <v/>
      </c>
      <c r="BE805" s="82">
        <f>($S805-$J805)*100</f>
        <v/>
      </c>
      <c r="BF805" s="82">
        <f>($V805-$L805)*100</f>
        <v/>
      </c>
      <c r="BG805" s="82">
        <f>$AG805-$AF805</f>
        <v/>
      </c>
      <c r="BH805" s="81">
        <f>IFERROR($AG805/$AF805,"")</f>
        <v/>
      </c>
      <c r="BI805" s="82">
        <f>$AJ805-$AF805</f>
        <v/>
      </c>
      <c r="BJ805" s="81">
        <f>IFERROR($AJ805/$AG805,"")</f>
        <v/>
      </c>
      <c r="BK805" s="81">
        <f>$X805</f>
        <v/>
      </c>
      <c r="BL805" s="82">
        <f>($J805-$J806)*100</f>
        <v/>
      </c>
      <c r="BM805" s="82">
        <f>($F805-$F806)*100</f>
        <v/>
      </c>
      <c r="BN805" s="82">
        <f>$AF805-$AF806</f>
        <v/>
      </c>
      <c r="BO805" s="82">
        <f>$AG805-$AG806</f>
        <v/>
      </c>
      <c r="BP805" s="82">
        <f>$AJ805-$AJ806</f>
        <v/>
      </c>
    </row>
    <row r="806">
      <c r="AR806" s="81">
        <f>($G806+($H806-$G806)*0.5)+($P806-($O806+($Q806-$O806)*0.5))</f>
        <v/>
      </c>
      <c r="AS806" s="81">
        <f>($J806+($K806-$J806)*0.5)+($T806-($S806+($U806-$S806)*0.5))</f>
        <v/>
      </c>
      <c r="AT806" s="82">
        <f>($J806-$C806)*100</f>
        <v/>
      </c>
      <c r="AU806" s="82">
        <f>($H806-$F806)*100</f>
        <v/>
      </c>
      <c r="AV806" s="82">
        <f>($J806-$F806)*100</f>
        <v/>
      </c>
      <c r="AW806" s="82">
        <f>($L806-$F806)*100</f>
        <v/>
      </c>
      <c r="AX806" s="82">
        <f>($J806-$H806)*100</f>
        <v/>
      </c>
      <c r="AY806" s="82">
        <f>($L806-$H806)*100</f>
        <v/>
      </c>
      <c r="AZ806" s="82">
        <f>($L806-$J806)*100</f>
        <v/>
      </c>
      <c r="BA806" s="82">
        <f>(2*$H806-$F806-$J806)*100</f>
        <v/>
      </c>
      <c r="BB806" s="82">
        <f>(2*$J806-$H806-$L806)*100</f>
        <v/>
      </c>
      <c r="BC806" s="82">
        <f>($N806-$F806)*100</f>
        <v/>
      </c>
      <c r="BD806" s="82">
        <f>($Q806-$H806)*100</f>
        <v/>
      </c>
      <c r="BE806" s="82">
        <f>($S806-$J806)*100</f>
        <v/>
      </c>
      <c r="BF806" s="82">
        <f>($V806-$L806)*100</f>
        <v/>
      </c>
      <c r="BG806" s="82">
        <f>$AG806-$AF806</f>
        <v/>
      </c>
      <c r="BH806" s="81">
        <f>IFERROR($AG806/$AF806,"")</f>
        <v/>
      </c>
      <c r="BI806" s="82">
        <f>$AJ806-$AF806</f>
        <v/>
      </c>
      <c r="BJ806" s="81">
        <f>IFERROR($AJ806/$AG806,"")</f>
        <v/>
      </c>
      <c r="BK806" s="81">
        <f>$X806</f>
        <v/>
      </c>
      <c r="BL806" s="82">
        <f>($J806-$J807)*100</f>
        <v/>
      </c>
      <c r="BM806" s="82">
        <f>($F806-$F807)*100</f>
        <v/>
      </c>
      <c r="BN806" s="82">
        <f>$AF806-$AF807</f>
        <v/>
      </c>
      <c r="BO806" s="82">
        <f>$AG806-$AG807</f>
        <v/>
      </c>
      <c r="BP806" s="82">
        <f>$AJ806-$AJ807</f>
        <v/>
      </c>
    </row>
    <row r="807">
      <c r="AR807" s="81">
        <f>($G807+($H807-$G807)*0.5)+($P807-($O807+($Q807-$O807)*0.5))</f>
        <v/>
      </c>
      <c r="AS807" s="81">
        <f>($J807+($K807-$J807)*0.5)+($T807-($S807+($U807-$S807)*0.5))</f>
        <v/>
      </c>
      <c r="AT807" s="82">
        <f>($J807-$C807)*100</f>
        <v/>
      </c>
      <c r="AU807" s="82">
        <f>($H807-$F807)*100</f>
        <v/>
      </c>
      <c r="AV807" s="82">
        <f>($J807-$F807)*100</f>
        <v/>
      </c>
      <c r="AW807" s="82">
        <f>($L807-$F807)*100</f>
        <v/>
      </c>
      <c r="AX807" s="82">
        <f>($J807-$H807)*100</f>
        <v/>
      </c>
      <c r="AY807" s="82">
        <f>($L807-$H807)*100</f>
        <v/>
      </c>
      <c r="AZ807" s="82">
        <f>($L807-$J807)*100</f>
        <v/>
      </c>
      <c r="BA807" s="82">
        <f>(2*$H807-$F807-$J807)*100</f>
        <v/>
      </c>
      <c r="BB807" s="82">
        <f>(2*$J807-$H807-$L807)*100</f>
        <v/>
      </c>
      <c r="BC807" s="82">
        <f>($N807-$F807)*100</f>
        <v/>
      </c>
      <c r="BD807" s="82">
        <f>($Q807-$H807)*100</f>
        <v/>
      </c>
      <c r="BE807" s="82">
        <f>($S807-$J807)*100</f>
        <v/>
      </c>
      <c r="BF807" s="82">
        <f>($V807-$L807)*100</f>
        <v/>
      </c>
      <c r="BG807" s="82">
        <f>$AG807-$AF807</f>
        <v/>
      </c>
      <c r="BH807" s="81">
        <f>IFERROR($AG807/$AF807,"")</f>
        <v/>
      </c>
      <c r="BI807" s="82">
        <f>$AJ807-$AF807</f>
        <v/>
      </c>
      <c r="BJ807" s="81">
        <f>IFERROR($AJ807/$AG807,"")</f>
        <v/>
      </c>
      <c r="BK807" s="81">
        <f>$X807</f>
        <v/>
      </c>
      <c r="BL807" s="82">
        <f>($J807-$J808)*100</f>
        <v/>
      </c>
      <c r="BM807" s="82">
        <f>($F807-$F808)*100</f>
        <v/>
      </c>
      <c r="BN807" s="82">
        <f>$AF807-$AF808</f>
        <v/>
      </c>
      <c r="BO807" s="82">
        <f>$AG807-$AG808</f>
        <v/>
      </c>
      <c r="BP807" s="82">
        <f>$AJ807-$AJ808</f>
        <v/>
      </c>
    </row>
    <row r="808">
      <c r="AR808" s="81">
        <f>($G808+($H808-$G808)*0.5)+($P808-($O808+($Q808-$O808)*0.5))</f>
        <v/>
      </c>
      <c r="AS808" s="81">
        <f>($J808+($K808-$J808)*0.5)+($T808-($S808+($U808-$S808)*0.5))</f>
        <v/>
      </c>
      <c r="AT808" s="82">
        <f>($J808-$C808)*100</f>
        <v/>
      </c>
      <c r="AU808" s="82">
        <f>($H808-$F808)*100</f>
        <v/>
      </c>
      <c r="AV808" s="82">
        <f>($J808-$F808)*100</f>
        <v/>
      </c>
      <c r="AW808" s="82">
        <f>($L808-$F808)*100</f>
        <v/>
      </c>
      <c r="AX808" s="82">
        <f>($J808-$H808)*100</f>
        <v/>
      </c>
      <c r="AY808" s="82">
        <f>($L808-$H808)*100</f>
        <v/>
      </c>
      <c r="AZ808" s="82">
        <f>($L808-$J808)*100</f>
        <v/>
      </c>
      <c r="BA808" s="82">
        <f>(2*$H808-$F808-$J808)*100</f>
        <v/>
      </c>
      <c r="BB808" s="82">
        <f>(2*$J808-$H808-$L808)*100</f>
        <v/>
      </c>
      <c r="BC808" s="82">
        <f>($N808-$F808)*100</f>
        <v/>
      </c>
      <c r="BD808" s="82">
        <f>($Q808-$H808)*100</f>
        <v/>
      </c>
      <c r="BE808" s="82">
        <f>($S808-$J808)*100</f>
        <v/>
      </c>
      <c r="BF808" s="82">
        <f>($V808-$L808)*100</f>
        <v/>
      </c>
      <c r="BG808" s="82">
        <f>$AG808-$AF808</f>
        <v/>
      </c>
      <c r="BH808" s="81">
        <f>IFERROR($AG808/$AF808,"")</f>
        <v/>
      </c>
      <c r="BI808" s="82">
        <f>$AJ808-$AF808</f>
        <v/>
      </c>
      <c r="BJ808" s="81">
        <f>IFERROR($AJ808/$AG808,"")</f>
        <v/>
      </c>
      <c r="BK808" s="81">
        <f>$X808</f>
        <v/>
      </c>
      <c r="BL808" s="82">
        <f>($J808-$J809)*100</f>
        <v/>
      </c>
      <c r="BM808" s="82">
        <f>($F808-$F809)*100</f>
        <v/>
      </c>
      <c r="BN808" s="82">
        <f>$AF808-$AF809</f>
        <v/>
      </c>
      <c r="BO808" s="82">
        <f>$AG808-$AG809</f>
        <v/>
      </c>
      <c r="BP808" s="82">
        <f>$AJ808-$AJ809</f>
        <v/>
      </c>
    </row>
    <row r="809">
      <c r="AR809" s="81">
        <f>($G809+($H809-$G809)*0.5)+($P809-($O809+($Q809-$O809)*0.5))</f>
        <v/>
      </c>
      <c r="AS809" s="81">
        <f>($J809+($K809-$J809)*0.5)+($T809-($S809+($U809-$S809)*0.5))</f>
        <v/>
      </c>
      <c r="AT809" s="82">
        <f>($J809-$C809)*100</f>
        <v/>
      </c>
      <c r="AU809" s="82">
        <f>($H809-$F809)*100</f>
        <v/>
      </c>
      <c r="AV809" s="82">
        <f>($J809-$F809)*100</f>
        <v/>
      </c>
      <c r="AW809" s="82">
        <f>($L809-$F809)*100</f>
        <v/>
      </c>
      <c r="AX809" s="82">
        <f>($J809-$H809)*100</f>
        <v/>
      </c>
      <c r="AY809" s="82">
        <f>($L809-$H809)*100</f>
        <v/>
      </c>
      <c r="AZ809" s="82">
        <f>($L809-$J809)*100</f>
        <v/>
      </c>
      <c r="BA809" s="82">
        <f>(2*$H809-$F809-$J809)*100</f>
        <v/>
      </c>
      <c r="BB809" s="82">
        <f>(2*$J809-$H809-$L809)*100</f>
        <v/>
      </c>
      <c r="BC809" s="82">
        <f>($N809-$F809)*100</f>
        <v/>
      </c>
      <c r="BD809" s="82">
        <f>($Q809-$H809)*100</f>
        <v/>
      </c>
      <c r="BE809" s="82">
        <f>($S809-$J809)*100</f>
        <v/>
      </c>
      <c r="BF809" s="82">
        <f>($V809-$L809)*100</f>
        <v/>
      </c>
      <c r="BG809" s="82">
        <f>$AG809-$AF809</f>
        <v/>
      </c>
      <c r="BH809" s="81">
        <f>IFERROR($AG809/$AF809,"")</f>
        <v/>
      </c>
      <c r="BI809" s="82">
        <f>$AJ809-$AF809</f>
        <v/>
      </c>
      <c r="BJ809" s="81">
        <f>IFERROR($AJ809/$AG809,"")</f>
        <v/>
      </c>
      <c r="BK809" s="81">
        <f>$X809</f>
        <v/>
      </c>
      <c r="BL809" s="82">
        <f>($J809-$J810)*100</f>
        <v/>
      </c>
      <c r="BM809" s="82">
        <f>($F809-$F810)*100</f>
        <v/>
      </c>
      <c r="BN809" s="82">
        <f>$AF809-$AF810</f>
        <v/>
      </c>
      <c r="BO809" s="82">
        <f>$AG809-$AG810</f>
        <v/>
      </c>
      <c r="BP809" s="82">
        <f>$AJ809-$AJ810</f>
        <v/>
      </c>
    </row>
    <row r="810">
      <c r="AR810" s="81">
        <f>($G810+($H810-$G810)*0.5)+($P810-($O810+($Q810-$O810)*0.5))</f>
        <v/>
      </c>
      <c r="AS810" s="81">
        <f>($J810+($K810-$J810)*0.5)+($T810-($S810+($U810-$S810)*0.5))</f>
        <v/>
      </c>
      <c r="AT810" s="82">
        <f>($J810-$C810)*100</f>
        <v/>
      </c>
      <c r="AU810" s="82">
        <f>($H810-$F810)*100</f>
        <v/>
      </c>
      <c r="AV810" s="82">
        <f>($J810-$F810)*100</f>
        <v/>
      </c>
      <c r="AW810" s="82">
        <f>($L810-$F810)*100</f>
        <v/>
      </c>
      <c r="AX810" s="82">
        <f>($J810-$H810)*100</f>
        <v/>
      </c>
      <c r="AY810" s="82">
        <f>($L810-$H810)*100</f>
        <v/>
      </c>
      <c r="AZ810" s="82">
        <f>($L810-$J810)*100</f>
        <v/>
      </c>
      <c r="BA810" s="82">
        <f>(2*$H810-$F810-$J810)*100</f>
        <v/>
      </c>
      <c r="BB810" s="82">
        <f>(2*$J810-$H810-$L810)*100</f>
        <v/>
      </c>
      <c r="BC810" s="82">
        <f>($N810-$F810)*100</f>
        <v/>
      </c>
      <c r="BD810" s="82">
        <f>($Q810-$H810)*100</f>
        <v/>
      </c>
      <c r="BE810" s="82">
        <f>($S810-$J810)*100</f>
        <v/>
      </c>
      <c r="BF810" s="82">
        <f>($V810-$L810)*100</f>
        <v/>
      </c>
      <c r="BG810" s="82">
        <f>$AG810-$AF810</f>
        <v/>
      </c>
      <c r="BH810" s="81">
        <f>IFERROR($AG810/$AF810,"")</f>
        <v/>
      </c>
      <c r="BI810" s="82">
        <f>$AJ810-$AF810</f>
        <v/>
      </c>
      <c r="BJ810" s="81">
        <f>IFERROR($AJ810/$AG810,"")</f>
        <v/>
      </c>
      <c r="BK810" s="81">
        <f>$X810</f>
        <v/>
      </c>
      <c r="BL810" s="82">
        <f>($J810-$J811)*100</f>
        <v/>
      </c>
      <c r="BM810" s="82">
        <f>($F810-$F811)*100</f>
        <v/>
      </c>
      <c r="BN810" s="82">
        <f>$AF810-$AF811</f>
        <v/>
      </c>
      <c r="BO810" s="82">
        <f>$AG810-$AG811</f>
        <v/>
      </c>
      <c r="BP810" s="82">
        <f>$AJ810-$AJ811</f>
        <v/>
      </c>
    </row>
    <row r="811">
      <c r="AR811" s="81">
        <f>($G811+($H811-$G811)*0.5)+($P811-($O811+($Q811-$O811)*0.5))</f>
        <v/>
      </c>
      <c r="AS811" s="81">
        <f>($J811+($K811-$J811)*0.5)+($T811-($S811+($U811-$S811)*0.5))</f>
        <v/>
      </c>
      <c r="AT811" s="82">
        <f>($J811-$C811)*100</f>
        <v/>
      </c>
      <c r="AU811" s="82">
        <f>($H811-$F811)*100</f>
        <v/>
      </c>
      <c r="AV811" s="82">
        <f>($J811-$F811)*100</f>
        <v/>
      </c>
      <c r="AW811" s="82">
        <f>($L811-$F811)*100</f>
        <v/>
      </c>
      <c r="AX811" s="82">
        <f>($J811-$H811)*100</f>
        <v/>
      </c>
      <c r="AY811" s="82">
        <f>($L811-$H811)*100</f>
        <v/>
      </c>
      <c r="AZ811" s="82">
        <f>($L811-$J811)*100</f>
        <v/>
      </c>
      <c r="BA811" s="82">
        <f>(2*$H811-$F811-$J811)*100</f>
        <v/>
      </c>
      <c r="BB811" s="82">
        <f>(2*$J811-$H811-$L811)*100</f>
        <v/>
      </c>
      <c r="BC811" s="82">
        <f>($N811-$F811)*100</f>
        <v/>
      </c>
      <c r="BD811" s="82">
        <f>($Q811-$H811)*100</f>
        <v/>
      </c>
      <c r="BE811" s="82">
        <f>($S811-$J811)*100</f>
        <v/>
      </c>
      <c r="BF811" s="82">
        <f>($V811-$L811)*100</f>
        <v/>
      </c>
      <c r="BG811" s="82">
        <f>$AG811-$AF811</f>
        <v/>
      </c>
      <c r="BH811" s="81">
        <f>IFERROR($AG811/$AF811,"")</f>
        <v/>
      </c>
      <c r="BI811" s="82">
        <f>$AJ811-$AF811</f>
        <v/>
      </c>
      <c r="BJ811" s="81">
        <f>IFERROR($AJ811/$AG811,"")</f>
        <v/>
      </c>
      <c r="BK811" s="81">
        <f>$X811</f>
        <v/>
      </c>
      <c r="BL811" s="82">
        <f>($J811-$J812)*100</f>
        <v/>
      </c>
      <c r="BM811" s="82">
        <f>($F811-$F812)*100</f>
        <v/>
      </c>
      <c r="BN811" s="82">
        <f>$AF811-$AF812</f>
        <v/>
      </c>
      <c r="BO811" s="82">
        <f>$AG811-$AG812</f>
        <v/>
      </c>
      <c r="BP811" s="82">
        <f>$AJ811-$AJ812</f>
        <v/>
      </c>
    </row>
    <row r="812">
      <c r="AR812" s="81">
        <f>($G812+($H812-$G812)*0.5)+($P812-($O812+($Q812-$O812)*0.5))</f>
        <v/>
      </c>
      <c r="AS812" s="81">
        <f>($J812+($K812-$J812)*0.5)+($T812-($S812+($U812-$S812)*0.5))</f>
        <v/>
      </c>
      <c r="AT812" s="82">
        <f>($J812-$C812)*100</f>
        <v/>
      </c>
      <c r="AU812" s="82">
        <f>($H812-$F812)*100</f>
        <v/>
      </c>
      <c r="AV812" s="82">
        <f>($J812-$F812)*100</f>
        <v/>
      </c>
      <c r="AW812" s="82">
        <f>($L812-$F812)*100</f>
        <v/>
      </c>
      <c r="AX812" s="82">
        <f>($J812-$H812)*100</f>
        <v/>
      </c>
      <c r="AY812" s="82">
        <f>($L812-$H812)*100</f>
        <v/>
      </c>
      <c r="AZ812" s="82">
        <f>($L812-$J812)*100</f>
        <v/>
      </c>
      <c r="BA812" s="82">
        <f>(2*$H812-$F812-$J812)*100</f>
        <v/>
      </c>
      <c r="BB812" s="82">
        <f>(2*$J812-$H812-$L812)*100</f>
        <v/>
      </c>
      <c r="BC812" s="82">
        <f>($N812-$F812)*100</f>
        <v/>
      </c>
      <c r="BD812" s="82">
        <f>($Q812-$H812)*100</f>
        <v/>
      </c>
      <c r="BE812" s="82">
        <f>($S812-$J812)*100</f>
        <v/>
      </c>
      <c r="BF812" s="82">
        <f>($V812-$L812)*100</f>
        <v/>
      </c>
      <c r="BG812" s="82">
        <f>$AG812-$AF812</f>
        <v/>
      </c>
      <c r="BH812" s="81">
        <f>IFERROR($AG812/$AF812,"")</f>
        <v/>
      </c>
      <c r="BI812" s="82">
        <f>$AJ812-$AF812</f>
        <v/>
      </c>
      <c r="BJ812" s="81">
        <f>IFERROR($AJ812/$AG812,"")</f>
        <v/>
      </c>
      <c r="BK812" s="81">
        <f>$X812</f>
        <v/>
      </c>
      <c r="BL812" s="82">
        <f>($J812-$J813)*100</f>
        <v/>
      </c>
      <c r="BM812" s="82">
        <f>($F812-$F813)*100</f>
        <v/>
      </c>
      <c r="BN812" s="82">
        <f>$AF812-$AF813</f>
        <v/>
      </c>
      <c r="BO812" s="82">
        <f>$AG812-$AG813</f>
        <v/>
      </c>
      <c r="BP812" s="82">
        <f>$AJ812-$AJ813</f>
        <v/>
      </c>
    </row>
    <row r="813">
      <c r="AR813" s="81">
        <f>($G813+($H813-$G813)*0.5)+($P813-($O813+($Q813-$O813)*0.5))</f>
        <v/>
      </c>
      <c r="AS813" s="81">
        <f>($J813+($K813-$J813)*0.5)+($T813-($S813+($U813-$S813)*0.5))</f>
        <v/>
      </c>
      <c r="AT813" s="82">
        <f>($J813-$C813)*100</f>
        <v/>
      </c>
      <c r="AU813" s="82">
        <f>($H813-$F813)*100</f>
        <v/>
      </c>
      <c r="AV813" s="82">
        <f>($J813-$F813)*100</f>
        <v/>
      </c>
      <c r="AW813" s="82">
        <f>($L813-$F813)*100</f>
        <v/>
      </c>
      <c r="AX813" s="82">
        <f>($J813-$H813)*100</f>
        <v/>
      </c>
      <c r="AY813" s="82">
        <f>($L813-$H813)*100</f>
        <v/>
      </c>
      <c r="AZ813" s="82">
        <f>($L813-$J813)*100</f>
        <v/>
      </c>
      <c r="BA813" s="82">
        <f>(2*$H813-$F813-$J813)*100</f>
        <v/>
      </c>
      <c r="BB813" s="82">
        <f>(2*$J813-$H813-$L813)*100</f>
        <v/>
      </c>
      <c r="BC813" s="82">
        <f>($N813-$F813)*100</f>
        <v/>
      </c>
      <c r="BD813" s="82">
        <f>($Q813-$H813)*100</f>
        <v/>
      </c>
      <c r="BE813" s="82">
        <f>($S813-$J813)*100</f>
        <v/>
      </c>
      <c r="BF813" s="82">
        <f>($V813-$L813)*100</f>
        <v/>
      </c>
      <c r="BG813" s="82">
        <f>$AG813-$AF813</f>
        <v/>
      </c>
      <c r="BH813" s="81">
        <f>IFERROR($AG813/$AF813,"")</f>
        <v/>
      </c>
      <c r="BI813" s="82">
        <f>$AJ813-$AF813</f>
        <v/>
      </c>
      <c r="BJ813" s="81">
        <f>IFERROR($AJ813/$AG813,"")</f>
        <v/>
      </c>
      <c r="BK813" s="81">
        <f>$X813</f>
        <v/>
      </c>
      <c r="BL813" s="82">
        <f>($J813-$J814)*100</f>
        <v/>
      </c>
      <c r="BM813" s="82">
        <f>($F813-$F814)*100</f>
        <v/>
      </c>
      <c r="BN813" s="82">
        <f>$AF813-$AF814</f>
        <v/>
      </c>
      <c r="BO813" s="82">
        <f>$AG813-$AG814</f>
        <v/>
      </c>
      <c r="BP813" s="82">
        <f>$AJ813-$AJ814</f>
        <v/>
      </c>
    </row>
    <row r="814">
      <c r="AR814" s="81">
        <f>($G814+($H814-$G814)*0.5)+($P814-($O814+($Q814-$O814)*0.5))</f>
        <v/>
      </c>
      <c r="AS814" s="81">
        <f>($J814+($K814-$J814)*0.5)+($T814-($S814+($U814-$S814)*0.5))</f>
        <v/>
      </c>
      <c r="AT814" s="82">
        <f>($J814-$C814)*100</f>
        <v/>
      </c>
      <c r="AU814" s="82">
        <f>($H814-$F814)*100</f>
        <v/>
      </c>
      <c r="AV814" s="82">
        <f>($J814-$F814)*100</f>
        <v/>
      </c>
      <c r="AW814" s="82">
        <f>($L814-$F814)*100</f>
        <v/>
      </c>
      <c r="AX814" s="82">
        <f>($J814-$H814)*100</f>
        <v/>
      </c>
      <c r="AY814" s="82">
        <f>($L814-$H814)*100</f>
        <v/>
      </c>
      <c r="AZ814" s="82">
        <f>($L814-$J814)*100</f>
        <v/>
      </c>
      <c r="BA814" s="82">
        <f>(2*$H814-$F814-$J814)*100</f>
        <v/>
      </c>
      <c r="BB814" s="82">
        <f>(2*$J814-$H814-$L814)*100</f>
        <v/>
      </c>
      <c r="BC814" s="82">
        <f>($N814-$F814)*100</f>
        <v/>
      </c>
      <c r="BD814" s="82">
        <f>($Q814-$H814)*100</f>
        <v/>
      </c>
      <c r="BE814" s="82">
        <f>($S814-$J814)*100</f>
        <v/>
      </c>
      <c r="BF814" s="82">
        <f>($V814-$L814)*100</f>
        <v/>
      </c>
      <c r="BG814" s="82">
        <f>$AG814-$AF814</f>
        <v/>
      </c>
      <c r="BH814" s="81">
        <f>IFERROR($AG814/$AF814,"")</f>
        <v/>
      </c>
      <c r="BI814" s="82">
        <f>$AJ814-$AF814</f>
        <v/>
      </c>
      <c r="BJ814" s="81">
        <f>IFERROR($AJ814/$AG814,"")</f>
        <v/>
      </c>
      <c r="BK814" s="81">
        <f>$X814</f>
        <v/>
      </c>
      <c r="BL814" s="82">
        <f>($J814-$J815)*100</f>
        <v/>
      </c>
      <c r="BM814" s="82">
        <f>($F814-$F815)*100</f>
        <v/>
      </c>
      <c r="BN814" s="82">
        <f>$AF814-$AF815</f>
        <v/>
      </c>
      <c r="BO814" s="82">
        <f>$AG814-$AG815</f>
        <v/>
      </c>
      <c r="BP814" s="82">
        <f>$AJ814-$AJ815</f>
        <v/>
      </c>
    </row>
    <row r="815">
      <c r="AR815" s="81">
        <f>($G815+($H815-$G815)*0.5)+($P815-($O815+($Q815-$O815)*0.5))</f>
        <v/>
      </c>
      <c r="AS815" s="81">
        <f>($J815+($K815-$J815)*0.5)+($T815-($S815+($U815-$S815)*0.5))</f>
        <v/>
      </c>
      <c r="AT815" s="82">
        <f>($J815-$C815)*100</f>
        <v/>
      </c>
      <c r="AU815" s="82">
        <f>($H815-$F815)*100</f>
        <v/>
      </c>
      <c r="AV815" s="82">
        <f>($J815-$F815)*100</f>
        <v/>
      </c>
      <c r="AW815" s="82">
        <f>($L815-$F815)*100</f>
        <v/>
      </c>
      <c r="AX815" s="82">
        <f>($J815-$H815)*100</f>
        <v/>
      </c>
      <c r="AY815" s="82">
        <f>($L815-$H815)*100</f>
        <v/>
      </c>
      <c r="AZ815" s="82">
        <f>($L815-$J815)*100</f>
        <v/>
      </c>
      <c r="BA815" s="82">
        <f>(2*$H815-$F815-$J815)*100</f>
        <v/>
      </c>
      <c r="BB815" s="82">
        <f>(2*$J815-$H815-$L815)*100</f>
        <v/>
      </c>
      <c r="BC815" s="82">
        <f>($N815-$F815)*100</f>
        <v/>
      </c>
      <c r="BD815" s="82">
        <f>($Q815-$H815)*100</f>
        <v/>
      </c>
      <c r="BE815" s="82">
        <f>($S815-$J815)*100</f>
        <v/>
      </c>
      <c r="BF815" s="82">
        <f>($V815-$L815)*100</f>
        <v/>
      </c>
      <c r="BG815" s="82">
        <f>$AG815-$AF815</f>
        <v/>
      </c>
      <c r="BH815" s="81">
        <f>IFERROR($AG815/$AF815,"")</f>
        <v/>
      </c>
      <c r="BI815" s="82">
        <f>$AJ815-$AF815</f>
        <v/>
      </c>
      <c r="BJ815" s="81">
        <f>IFERROR($AJ815/$AG815,"")</f>
        <v/>
      </c>
      <c r="BK815" s="81">
        <f>$X815</f>
        <v/>
      </c>
      <c r="BL815" s="82">
        <f>($J815-$J816)*100</f>
        <v/>
      </c>
      <c r="BM815" s="82">
        <f>($F815-$F816)*100</f>
        <v/>
      </c>
      <c r="BN815" s="82">
        <f>$AF815-$AF816</f>
        <v/>
      </c>
      <c r="BO815" s="82">
        <f>$AG815-$AG816</f>
        <v/>
      </c>
      <c r="BP815" s="82">
        <f>$AJ815-$AJ816</f>
        <v/>
      </c>
    </row>
    <row r="816">
      <c r="AR816" s="81">
        <f>($G816+($H816-$G816)*0.5)+($P816-($O816+($Q816-$O816)*0.5))</f>
        <v/>
      </c>
      <c r="AS816" s="81">
        <f>($J816+($K816-$J816)*0.5)+($T816-($S816+($U816-$S816)*0.5))</f>
        <v/>
      </c>
      <c r="AT816" s="82">
        <f>($J816-$C816)*100</f>
        <v/>
      </c>
      <c r="AU816" s="82">
        <f>($H816-$F816)*100</f>
        <v/>
      </c>
      <c r="AV816" s="82">
        <f>($J816-$F816)*100</f>
        <v/>
      </c>
      <c r="AW816" s="82">
        <f>($L816-$F816)*100</f>
        <v/>
      </c>
      <c r="AX816" s="82">
        <f>($J816-$H816)*100</f>
        <v/>
      </c>
      <c r="AY816" s="82">
        <f>($L816-$H816)*100</f>
        <v/>
      </c>
      <c r="AZ816" s="82">
        <f>($L816-$J816)*100</f>
        <v/>
      </c>
      <c r="BA816" s="82">
        <f>(2*$H816-$F816-$J816)*100</f>
        <v/>
      </c>
      <c r="BB816" s="82">
        <f>(2*$J816-$H816-$L816)*100</f>
        <v/>
      </c>
      <c r="BC816" s="82">
        <f>($N816-$F816)*100</f>
        <v/>
      </c>
      <c r="BD816" s="82">
        <f>($Q816-$H816)*100</f>
        <v/>
      </c>
      <c r="BE816" s="82">
        <f>($S816-$J816)*100</f>
        <v/>
      </c>
      <c r="BF816" s="82">
        <f>($V816-$L816)*100</f>
        <v/>
      </c>
      <c r="BG816" s="82">
        <f>$AG816-$AF816</f>
        <v/>
      </c>
      <c r="BH816" s="81">
        <f>IFERROR($AG816/$AF816,"")</f>
        <v/>
      </c>
      <c r="BI816" s="82">
        <f>$AJ816-$AF816</f>
        <v/>
      </c>
      <c r="BJ816" s="81">
        <f>IFERROR($AJ816/$AG816,"")</f>
        <v/>
      </c>
      <c r="BK816" s="81">
        <f>$X816</f>
        <v/>
      </c>
      <c r="BL816" s="82">
        <f>($J816-$J817)*100</f>
        <v/>
      </c>
      <c r="BM816" s="82">
        <f>($F816-$F817)*100</f>
        <v/>
      </c>
      <c r="BN816" s="82">
        <f>$AF816-$AF817</f>
        <v/>
      </c>
      <c r="BO816" s="82">
        <f>$AG816-$AG817</f>
        <v/>
      </c>
      <c r="BP816" s="82">
        <f>$AJ816-$AJ817</f>
        <v/>
      </c>
    </row>
    <row r="817">
      <c r="AR817" s="81">
        <f>($G817+($H817-$G817)*0.5)+($P817-($O817+($Q817-$O817)*0.5))</f>
        <v/>
      </c>
      <c r="AS817" s="81">
        <f>($J817+($K817-$J817)*0.5)+($T817-($S817+($U817-$S817)*0.5))</f>
        <v/>
      </c>
      <c r="AT817" s="82">
        <f>($J817-$C817)*100</f>
        <v/>
      </c>
      <c r="AU817" s="82">
        <f>($H817-$F817)*100</f>
        <v/>
      </c>
      <c r="AV817" s="82">
        <f>($J817-$F817)*100</f>
        <v/>
      </c>
      <c r="AW817" s="82">
        <f>($L817-$F817)*100</f>
        <v/>
      </c>
      <c r="AX817" s="82">
        <f>($J817-$H817)*100</f>
        <v/>
      </c>
      <c r="AY817" s="82">
        <f>($L817-$H817)*100</f>
        <v/>
      </c>
      <c r="AZ817" s="82">
        <f>($L817-$J817)*100</f>
        <v/>
      </c>
      <c r="BA817" s="82">
        <f>(2*$H817-$F817-$J817)*100</f>
        <v/>
      </c>
      <c r="BB817" s="82">
        <f>(2*$J817-$H817-$L817)*100</f>
        <v/>
      </c>
      <c r="BC817" s="82">
        <f>($N817-$F817)*100</f>
        <v/>
      </c>
      <c r="BD817" s="82">
        <f>($Q817-$H817)*100</f>
        <v/>
      </c>
      <c r="BE817" s="82">
        <f>($S817-$J817)*100</f>
        <v/>
      </c>
      <c r="BF817" s="82">
        <f>($V817-$L817)*100</f>
        <v/>
      </c>
      <c r="BG817" s="82">
        <f>$AG817-$AF817</f>
        <v/>
      </c>
      <c r="BH817" s="81">
        <f>IFERROR($AG817/$AF817,"")</f>
        <v/>
      </c>
      <c r="BI817" s="82">
        <f>$AJ817-$AF817</f>
        <v/>
      </c>
      <c r="BJ817" s="81">
        <f>IFERROR($AJ817/$AG817,"")</f>
        <v/>
      </c>
      <c r="BK817" s="81">
        <f>$X817</f>
        <v/>
      </c>
      <c r="BL817" s="82">
        <f>($J817-$J818)*100</f>
        <v/>
      </c>
      <c r="BM817" s="82">
        <f>($F817-$F818)*100</f>
        <v/>
      </c>
      <c r="BN817" s="82">
        <f>$AF817-$AF818</f>
        <v/>
      </c>
      <c r="BO817" s="82">
        <f>$AG817-$AG818</f>
        <v/>
      </c>
      <c r="BP817" s="82">
        <f>$AJ817-$AJ818</f>
        <v/>
      </c>
    </row>
    <row r="818">
      <c r="AR818" s="81">
        <f>($G818+($H818-$G818)*0.5)+($P818-($O818+($Q818-$O818)*0.5))</f>
        <v/>
      </c>
      <c r="AS818" s="81">
        <f>($J818+($K818-$J818)*0.5)+($T818-($S818+($U818-$S818)*0.5))</f>
        <v/>
      </c>
      <c r="AT818" s="82">
        <f>($J818-$C818)*100</f>
        <v/>
      </c>
      <c r="AU818" s="82">
        <f>($H818-$F818)*100</f>
        <v/>
      </c>
      <c r="AV818" s="82">
        <f>($J818-$F818)*100</f>
        <v/>
      </c>
      <c r="AW818" s="82">
        <f>($L818-$F818)*100</f>
        <v/>
      </c>
      <c r="AX818" s="82">
        <f>($J818-$H818)*100</f>
        <v/>
      </c>
      <c r="AY818" s="82">
        <f>($L818-$H818)*100</f>
        <v/>
      </c>
      <c r="AZ818" s="82">
        <f>($L818-$J818)*100</f>
        <v/>
      </c>
      <c r="BA818" s="82">
        <f>(2*$H818-$F818-$J818)*100</f>
        <v/>
      </c>
      <c r="BB818" s="82">
        <f>(2*$J818-$H818-$L818)*100</f>
        <v/>
      </c>
      <c r="BC818" s="82">
        <f>($N818-$F818)*100</f>
        <v/>
      </c>
      <c r="BD818" s="82">
        <f>($Q818-$H818)*100</f>
        <v/>
      </c>
      <c r="BE818" s="82">
        <f>($S818-$J818)*100</f>
        <v/>
      </c>
      <c r="BF818" s="82">
        <f>($V818-$L818)*100</f>
        <v/>
      </c>
      <c r="BG818" s="82">
        <f>$AG818-$AF818</f>
        <v/>
      </c>
      <c r="BH818" s="81">
        <f>IFERROR($AG818/$AF818,"")</f>
        <v/>
      </c>
      <c r="BI818" s="82">
        <f>$AJ818-$AF818</f>
        <v/>
      </c>
      <c r="BJ818" s="81">
        <f>IFERROR($AJ818/$AG818,"")</f>
        <v/>
      </c>
      <c r="BK818" s="81">
        <f>$X818</f>
        <v/>
      </c>
      <c r="BL818" s="82">
        <f>($J818-$J819)*100</f>
        <v/>
      </c>
      <c r="BM818" s="82">
        <f>($F818-$F819)*100</f>
        <v/>
      </c>
      <c r="BN818" s="82">
        <f>$AF818-$AF819</f>
        <v/>
      </c>
      <c r="BO818" s="82">
        <f>$AG818-$AG819</f>
        <v/>
      </c>
      <c r="BP818" s="82">
        <f>$AJ818-$AJ819</f>
        <v/>
      </c>
    </row>
    <row r="819">
      <c r="AR819" s="81">
        <f>($G819+($H819-$G819)*0.5)+($P819-($O819+($Q819-$O819)*0.5))</f>
        <v/>
      </c>
      <c r="AS819" s="81">
        <f>($J819+($K819-$J819)*0.5)+($T819-($S819+($U819-$S819)*0.5))</f>
        <v/>
      </c>
      <c r="AT819" s="82">
        <f>($J819-$C819)*100</f>
        <v/>
      </c>
      <c r="AU819" s="82">
        <f>($H819-$F819)*100</f>
        <v/>
      </c>
      <c r="AV819" s="82">
        <f>($J819-$F819)*100</f>
        <v/>
      </c>
      <c r="AW819" s="82">
        <f>($L819-$F819)*100</f>
        <v/>
      </c>
      <c r="AX819" s="82">
        <f>($J819-$H819)*100</f>
        <v/>
      </c>
      <c r="AY819" s="82">
        <f>($L819-$H819)*100</f>
        <v/>
      </c>
      <c r="AZ819" s="82">
        <f>($L819-$J819)*100</f>
        <v/>
      </c>
      <c r="BA819" s="82">
        <f>(2*$H819-$F819-$J819)*100</f>
        <v/>
      </c>
      <c r="BB819" s="82">
        <f>(2*$J819-$H819-$L819)*100</f>
        <v/>
      </c>
      <c r="BC819" s="82">
        <f>($N819-$F819)*100</f>
        <v/>
      </c>
      <c r="BD819" s="82">
        <f>($Q819-$H819)*100</f>
        <v/>
      </c>
      <c r="BE819" s="82">
        <f>($S819-$J819)*100</f>
        <v/>
      </c>
      <c r="BF819" s="82">
        <f>($V819-$L819)*100</f>
        <v/>
      </c>
      <c r="BG819" s="82">
        <f>$AG819-$AF819</f>
        <v/>
      </c>
      <c r="BH819" s="81">
        <f>IFERROR($AG819/$AF819,"")</f>
        <v/>
      </c>
      <c r="BI819" s="82">
        <f>$AJ819-$AF819</f>
        <v/>
      </c>
      <c r="BJ819" s="81">
        <f>IFERROR($AJ819/$AG819,"")</f>
        <v/>
      </c>
      <c r="BK819" s="81">
        <f>$X819</f>
        <v/>
      </c>
      <c r="BL819" s="82">
        <f>($J819-$J820)*100</f>
        <v/>
      </c>
      <c r="BM819" s="82">
        <f>($F819-$F820)*100</f>
        <v/>
      </c>
      <c r="BN819" s="82">
        <f>$AF819-$AF820</f>
        <v/>
      </c>
      <c r="BO819" s="82">
        <f>$AG819-$AG820</f>
        <v/>
      </c>
      <c r="BP819" s="82">
        <f>$AJ819-$AJ820</f>
        <v/>
      </c>
    </row>
    <row r="820">
      <c r="AR820" s="81">
        <f>($G820+($H820-$G820)*0.5)+($P820-($O820+($Q820-$O820)*0.5))</f>
        <v/>
      </c>
      <c r="AS820" s="81">
        <f>($J820+($K820-$J820)*0.5)+($T820-($S820+($U820-$S820)*0.5))</f>
        <v/>
      </c>
      <c r="AT820" s="82">
        <f>($J820-$C820)*100</f>
        <v/>
      </c>
      <c r="AU820" s="82">
        <f>($H820-$F820)*100</f>
        <v/>
      </c>
      <c r="AV820" s="82">
        <f>($J820-$F820)*100</f>
        <v/>
      </c>
      <c r="AW820" s="82">
        <f>($L820-$F820)*100</f>
        <v/>
      </c>
      <c r="AX820" s="82">
        <f>($J820-$H820)*100</f>
        <v/>
      </c>
      <c r="AY820" s="82">
        <f>($L820-$H820)*100</f>
        <v/>
      </c>
      <c r="AZ820" s="82">
        <f>($L820-$J820)*100</f>
        <v/>
      </c>
      <c r="BA820" s="82">
        <f>(2*$H820-$F820-$J820)*100</f>
        <v/>
      </c>
      <c r="BB820" s="82">
        <f>(2*$J820-$H820-$L820)*100</f>
        <v/>
      </c>
      <c r="BC820" s="82">
        <f>($N820-$F820)*100</f>
        <v/>
      </c>
      <c r="BD820" s="82">
        <f>($Q820-$H820)*100</f>
        <v/>
      </c>
      <c r="BE820" s="82">
        <f>($S820-$J820)*100</f>
        <v/>
      </c>
      <c r="BF820" s="82">
        <f>($V820-$L820)*100</f>
        <v/>
      </c>
      <c r="BG820" s="82">
        <f>$AG820-$AF820</f>
        <v/>
      </c>
      <c r="BH820" s="81">
        <f>IFERROR($AG820/$AF820,"")</f>
        <v/>
      </c>
      <c r="BI820" s="82">
        <f>$AJ820-$AF820</f>
        <v/>
      </c>
      <c r="BJ820" s="81">
        <f>IFERROR($AJ820/$AG820,"")</f>
        <v/>
      </c>
      <c r="BK820" s="81">
        <f>$X820</f>
        <v/>
      </c>
      <c r="BL820" s="82">
        <f>($J820-$J821)*100</f>
        <v/>
      </c>
      <c r="BM820" s="82">
        <f>($F820-$F821)*100</f>
        <v/>
      </c>
      <c r="BN820" s="82">
        <f>$AF820-$AF821</f>
        <v/>
      </c>
      <c r="BO820" s="82">
        <f>$AG820-$AG821</f>
        <v/>
      </c>
      <c r="BP820" s="82">
        <f>$AJ820-$AJ821</f>
        <v/>
      </c>
    </row>
    <row r="821">
      <c r="AR821" s="81">
        <f>($G821+($H821-$G821)*0.5)+($P821-($O821+($Q821-$O821)*0.5))</f>
        <v/>
      </c>
      <c r="AS821" s="81">
        <f>($J821+($K821-$J821)*0.5)+($T821-($S821+($U821-$S821)*0.5))</f>
        <v/>
      </c>
      <c r="AT821" s="82">
        <f>($J821-$C821)*100</f>
        <v/>
      </c>
      <c r="AU821" s="82">
        <f>($H821-$F821)*100</f>
        <v/>
      </c>
      <c r="AV821" s="82">
        <f>($J821-$F821)*100</f>
        <v/>
      </c>
      <c r="AW821" s="82">
        <f>($L821-$F821)*100</f>
        <v/>
      </c>
      <c r="AX821" s="82">
        <f>($J821-$H821)*100</f>
        <v/>
      </c>
      <c r="AY821" s="82">
        <f>($L821-$H821)*100</f>
        <v/>
      </c>
      <c r="AZ821" s="82">
        <f>($L821-$J821)*100</f>
        <v/>
      </c>
      <c r="BA821" s="82">
        <f>(2*$H821-$F821-$J821)*100</f>
        <v/>
      </c>
      <c r="BB821" s="82">
        <f>(2*$J821-$H821-$L821)*100</f>
        <v/>
      </c>
      <c r="BC821" s="82">
        <f>($N821-$F821)*100</f>
        <v/>
      </c>
      <c r="BD821" s="82">
        <f>($Q821-$H821)*100</f>
        <v/>
      </c>
      <c r="BE821" s="82">
        <f>($S821-$J821)*100</f>
        <v/>
      </c>
      <c r="BF821" s="82">
        <f>($V821-$L821)*100</f>
        <v/>
      </c>
      <c r="BG821" s="82">
        <f>$AG821-$AF821</f>
        <v/>
      </c>
      <c r="BH821" s="81">
        <f>IFERROR($AG821/$AF821,"")</f>
        <v/>
      </c>
      <c r="BI821" s="82">
        <f>$AJ821-$AF821</f>
        <v/>
      </c>
      <c r="BJ821" s="81">
        <f>IFERROR($AJ821/$AG821,"")</f>
        <v/>
      </c>
      <c r="BK821" s="81">
        <f>$X821</f>
        <v/>
      </c>
      <c r="BL821" s="82">
        <f>($J821-$J822)*100</f>
        <v/>
      </c>
      <c r="BM821" s="82">
        <f>($F821-$F822)*100</f>
        <v/>
      </c>
      <c r="BN821" s="82">
        <f>$AF821-$AF822</f>
        <v/>
      </c>
      <c r="BO821" s="82">
        <f>$AG821-$AG822</f>
        <v/>
      </c>
      <c r="BP821" s="82">
        <f>$AJ821-$AJ822</f>
        <v/>
      </c>
    </row>
    <row r="822">
      <c r="AR822" s="81">
        <f>($G822+($H822-$G822)*0.5)+($P822-($O822+($Q822-$O822)*0.5))</f>
        <v/>
      </c>
      <c r="AS822" s="81">
        <f>($J822+($K822-$J822)*0.5)+($T822-($S822+($U822-$S822)*0.5))</f>
        <v/>
      </c>
      <c r="AT822" s="82">
        <f>($J822-$C822)*100</f>
        <v/>
      </c>
      <c r="AU822" s="82">
        <f>($H822-$F822)*100</f>
        <v/>
      </c>
      <c r="AV822" s="82">
        <f>($J822-$F822)*100</f>
        <v/>
      </c>
      <c r="AW822" s="82">
        <f>($L822-$F822)*100</f>
        <v/>
      </c>
      <c r="AX822" s="82">
        <f>($J822-$H822)*100</f>
        <v/>
      </c>
      <c r="AY822" s="82">
        <f>($L822-$H822)*100</f>
        <v/>
      </c>
      <c r="AZ822" s="82">
        <f>($L822-$J822)*100</f>
        <v/>
      </c>
      <c r="BA822" s="82">
        <f>(2*$H822-$F822-$J822)*100</f>
        <v/>
      </c>
      <c r="BB822" s="82">
        <f>(2*$J822-$H822-$L822)*100</f>
        <v/>
      </c>
      <c r="BC822" s="82">
        <f>($N822-$F822)*100</f>
        <v/>
      </c>
      <c r="BD822" s="82">
        <f>($Q822-$H822)*100</f>
        <v/>
      </c>
      <c r="BE822" s="82">
        <f>($S822-$J822)*100</f>
        <v/>
      </c>
      <c r="BF822" s="82">
        <f>($V822-$L822)*100</f>
        <v/>
      </c>
      <c r="BG822" s="82">
        <f>$AG822-$AF822</f>
        <v/>
      </c>
      <c r="BH822" s="81">
        <f>IFERROR($AG822/$AF822,"")</f>
        <v/>
      </c>
      <c r="BI822" s="82">
        <f>$AJ822-$AF822</f>
        <v/>
      </c>
      <c r="BJ822" s="81">
        <f>IFERROR($AJ822/$AG822,"")</f>
        <v/>
      </c>
      <c r="BK822" s="81">
        <f>$X822</f>
        <v/>
      </c>
      <c r="BL822" s="82">
        <f>($J822-$J823)*100</f>
        <v/>
      </c>
      <c r="BM822" s="82">
        <f>($F822-$F823)*100</f>
        <v/>
      </c>
      <c r="BN822" s="82">
        <f>$AF822-$AF823</f>
        <v/>
      </c>
      <c r="BO822" s="82">
        <f>$AG822-$AG823</f>
        <v/>
      </c>
      <c r="BP822" s="82">
        <f>$AJ822-$AJ823</f>
        <v/>
      </c>
    </row>
    <row r="823">
      <c r="AR823" s="81">
        <f>($G823+($H823-$G823)*0.5)+($P823-($O823+($Q823-$O823)*0.5))</f>
        <v/>
      </c>
      <c r="AS823" s="81">
        <f>($J823+($K823-$J823)*0.5)+($T823-($S823+($U823-$S823)*0.5))</f>
        <v/>
      </c>
      <c r="AT823" s="82">
        <f>($J823-$C823)*100</f>
        <v/>
      </c>
      <c r="AU823" s="82">
        <f>($H823-$F823)*100</f>
        <v/>
      </c>
      <c r="AV823" s="82">
        <f>($J823-$F823)*100</f>
        <v/>
      </c>
      <c r="AW823" s="82">
        <f>($L823-$F823)*100</f>
        <v/>
      </c>
      <c r="AX823" s="82">
        <f>($J823-$H823)*100</f>
        <v/>
      </c>
      <c r="AY823" s="82">
        <f>($L823-$H823)*100</f>
        <v/>
      </c>
      <c r="AZ823" s="82">
        <f>($L823-$J823)*100</f>
        <v/>
      </c>
      <c r="BA823" s="82">
        <f>(2*$H823-$F823-$J823)*100</f>
        <v/>
      </c>
      <c r="BB823" s="82">
        <f>(2*$J823-$H823-$L823)*100</f>
        <v/>
      </c>
      <c r="BC823" s="82">
        <f>($N823-$F823)*100</f>
        <v/>
      </c>
      <c r="BD823" s="82">
        <f>($Q823-$H823)*100</f>
        <v/>
      </c>
      <c r="BE823" s="82">
        <f>($S823-$J823)*100</f>
        <v/>
      </c>
      <c r="BF823" s="82">
        <f>($V823-$L823)*100</f>
        <v/>
      </c>
      <c r="BG823" s="82">
        <f>$AG823-$AF823</f>
        <v/>
      </c>
      <c r="BH823" s="81">
        <f>IFERROR($AG823/$AF823,"")</f>
        <v/>
      </c>
      <c r="BI823" s="82">
        <f>$AJ823-$AF823</f>
        <v/>
      </c>
      <c r="BJ823" s="81">
        <f>IFERROR($AJ823/$AG823,"")</f>
        <v/>
      </c>
      <c r="BK823" s="81">
        <f>$X823</f>
        <v/>
      </c>
      <c r="BL823" s="82">
        <f>($J823-$J824)*100</f>
        <v/>
      </c>
      <c r="BM823" s="82">
        <f>($F823-$F824)*100</f>
        <v/>
      </c>
      <c r="BN823" s="82">
        <f>$AF823-$AF824</f>
        <v/>
      </c>
      <c r="BO823" s="82">
        <f>$AG823-$AG824</f>
        <v/>
      </c>
      <c r="BP823" s="82">
        <f>$AJ823-$AJ824</f>
        <v/>
      </c>
    </row>
    <row r="824">
      <c r="AR824" s="81">
        <f>($G824+($H824-$G824)*0.5)+($P824-($O824+($Q824-$O824)*0.5))</f>
        <v/>
      </c>
      <c r="AS824" s="81">
        <f>($J824+($K824-$J824)*0.5)+($T824-($S824+($U824-$S824)*0.5))</f>
        <v/>
      </c>
      <c r="AT824" s="82">
        <f>($J824-$C824)*100</f>
        <v/>
      </c>
      <c r="AU824" s="82">
        <f>($H824-$F824)*100</f>
        <v/>
      </c>
      <c r="AV824" s="82">
        <f>($J824-$F824)*100</f>
        <v/>
      </c>
      <c r="AW824" s="82">
        <f>($L824-$F824)*100</f>
        <v/>
      </c>
      <c r="AX824" s="82">
        <f>($J824-$H824)*100</f>
        <v/>
      </c>
      <c r="AY824" s="82">
        <f>($L824-$H824)*100</f>
        <v/>
      </c>
      <c r="AZ824" s="82">
        <f>($L824-$J824)*100</f>
        <v/>
      </c>
      <c r="BA824" s="82">
        <f>(2*$H824-$F824-$J824)*100</f>
        <v/>
      </c>
      <c r="BB824" s="82">
        <f>(2*$J824-$H824-$L824)*100</f>
        <v/>
      </c>
      <c r="BC824" s="82">
        <f>($N824-$F824)*100</f>
        <v/>
      </c>
      <c r="BD824" s="82">
        <f>($Q824-$H824)*100</f>
        <v/>
      </c>
      <c r="BE824" s="82">
        <f>($S824-$J824)*100</f>
        <v/>
      </c>
      <c r="BF824" s="82">
        <f>($V824-$L824)*100</f>
        <v/>
      </c>
      <c r="BG824" s="82">
        <f>$AG824-$AF824</f>
        <v/>
      </c>
      <c r="BH824" s="81">
        <f>IFERROR($AG824/$AF824,"")</f>
        <v/>
      </c>
      <c r="BI824" s="82">
        <f>$AJ824-$AF824</f>
        <v/>
      </c>
      <c r="BJ824" s="81">
        <f>IFERROR($AJ824/$AG824,"")</f>
        <v/>
      </c>
      <c r="BK824" s="81">
        <f>$X824</f>
        <v/>
      </c>
      <c r="BL824" s="82">
        <f>($J824-$J825)*100</f>
        <v/>
      </c>
      <c r="BM824" s="82">
        <f>($F824-$F825)*100</f>
        <v/>
      </c>
      <c r="BN824" s="82">
        <f>$AF824-$AF825</f>
        <v/>
      </c>
      <c r="BO824" s="82">
        <f>$AG824-$AG825</f>
        <v/>
      </c>
      <c r="BP824" s="82">
        <f>$AJ824-$AJ825</f>
        <v/>
      </c>
    </row>
    <row r="825">
      <c r="AR825" s="81">
        <f>($G825+($H825-$G825)*0.5)+($P825-($O825+($Q825-$O825)*0.5))</f>
        <v/>
      </c>
      <c r="AS825" s="81">
        <f>($J825+($K825-$J825)*0.5)+($T825-($S825+($U825-$S825)*0.5))</f>
        <v/>
      </c>
      <c r="AT825" s="82">
        <f>($J825-$C825)*100</f>
        <v/>
      </c>
      <c r="AU825" s="82">
        <f>($H825-$F825)*100</f>
        <v/>
      </c>
      <c r="AV825" s="82">
        <f>($J825-$F825)*100</f>
        <v/>
      </c>
      <c r="AW825" s="82">
        <f>($L825-$F825)*100</f>
        <v/>
      </c>
      <c r="AX825" s="82">
        <f>($J825-$H825)*100</f>
        <v/>
      </c>
      <c r="AY825" s="82">
        <f>($L825-$H825)*100</f>
        <v/>
      </c>
      <c r="AZ825" s="82">
        <f>($L825-$J825)*100</f>
        <v/>
      </c>
      <c r="BA825" s="82">
        <f>(2*$H825-$F825-$J825)*100</f>
        <v/>
      </c>
      <c r="BB825" s="82">
        <f>(2*$J825-$H825-$L825)*100</f>
        <v/>
      </c>
      <c r="BC825" s="82">
        <f>($N825-$F825)*100</f>
        <v/>
      </c>
      <c r="BD825" s="82">
        <f>($Q825-$H825)*100</f>
        <v/>
      </c>
      <c r="BE825" s="82">
        <f>($S825-$J825)*100</f>
        <v/>
      </c>
      <c r="BF825" s="82">
        <f>($V825-$L825)*100</f>
        <v/>
      </c>
      <c r="BG825" s="82">
        <f>$AG825-$AF825</f>
        <v/>
      </c>
      <c r="BH825" s="81">
        <f>IFERROR($AG825/$AF825,"")</f>
        <v/>
      </c>
      <c r="BI825" s="82">
        <f>$AJ825-$AF825</f>
        <v/>
      </c>
      <c r="BJ825" s="81">
        <f>IFERROR($AJ825/$AG825,"")</f>
        <v/>
      </c>
      <c r="BK825" s="81">
        <f>$X825</f>
        <v/>
      </c>
      <c r="BL825" s="82">
        <f>($J825-$J826)*100</f>
        <v/>
      </c>
      <c r="BM825" s="82">
        <f>($F825-$F826)*100</f>
        <v/>
      </c>
      <c r="BN825" s="82">
        <f>$AF825-$AF826</f>
        <v/>
      </c>
      <c r="BO825" s="82">
        <f>$AG825-$AG826</f>
        <v/>
      </c>
      <c r="BP825" s="82">
        <f>$AJ825-$AJ826</f>
        <v/>
      </c>
    </row>
    <row r="826">
      <c r="AR826" s="81">
        <f>($G826+($H826-$G826)*0.5)+($P826-($O826+($Q826-$O826)*0.5))</f>
        <v/>
      </c>
      <c r="AS826" s="81">
        <f>($J826+($K826-$J826)*0.5)+($T826-($S826+($U826-$S826)*0.5))</f>
        <v/>
      </c>
      <c r="AT826" s="82">
        <f>($J826-$C826)*100</f>
        <v/>
      </c>
      <c r="AU826" s="82">
        <f>($H826-$F826)*100</f>
        <v/>
      </c>
      <c r="AV826" s="82">
        <f>($J826-$F826)*100</f>
        <v/>
      </c>
      <c r="AW826" s="82">
        <f>($L826-$F826)*100</f>
        <v/>
      </c>
      <c r="AX826" s="82">
        <f>($J826-$H826)*100</f>
        <v/>
      </c>
      <c r="AY826" s="82">
        <f>($L826-$H826)*100</f>
        <v/>
      </c>
      <c r="AZ826" s="82">
        <f>($L826-$J826)*100</f>
        <v/>
      </c>
      <c r="BA826" s="82">
        <f>(2*$H826-$F826-$J826)*100</f>
        <v/>
      </c>
      <c r="BB826" s="82">
        <f>(2*$J826-$H826-$L826)*100</f>
        <v/>
      </c>
      <c r="BC826" s="82">
        <f>($N826-$F826)*100</f>
        <v/>
      </c>
      <c r="BD826" s="82">
        <f>($Q826-$H826)*100</f>
        <v/>
      </c>
      <c r="BE826" s="82">
        <f>($S826-$J826)*100</f>
        <v/>
      </c>
      <c r="BF826" s="82">
        <f>($V826-$L826)*100</f>
        <v/>
      </c>
      <c r="BG826" s="82">
        <f>$AG826-$AF826</f>
        <v/>
      </c>
      <c r="BH826" s="81">
        <f>IFERROR($AG826/$AF826,"")</f>
        <v/>
      </c>
      <c r="BI826" s="82">
        <f>$AJ826-$AF826</f>
        <v/>
      </c>
      <c r="BJ826" s="81">
        <f>IFERROR($AJ826/$AG826,"")</f>
        <v/>
      </c>
      <c r="BK826" s="81">
        <f>$X826</f>
        <v/>
      </c>
      <c r="BL826" s="82">
        <f>($J826-$J827)*100</f>
        <v/>
      </c>
      <c r="BM826" s="82">
        <f>($F826-$F827)*100</f>
        <v/>
      </c>
      <c r="BN826" s="82">
        <f>$AF826-$AF827</f>
        <v/>
      </c>
      <c r="BO826" s="82">
        <f>$AG826-$AG827</f>
        <v/>
      </c>
      <c r="BP826" s="82">
        <f>$AJ826-$AJ827</f>
        <v/>
      </c>
    </row>
    <row r="827">
      <c r="AR827" s="81">
        <f>($G827+($H827-$G827)*0.5)+($P827-($O827+($Q827-$O827)*0.5))</f>
        <v/>
      </c>
      <c r="AS827" s="81">
        <f>($J827+($K827-$J827)*0.5)+($T827-($S827+($U827-$S827)*0.5))</f>
        <v/>
      </c>
      <c r="AT827" s="82">
        <f>($J827-$C827)*100</f>
        <v/>
      </c>
      <c r="AU827" s="82">
        <f>($H827-$F827)*100</f>
        <v/>
      </c>
      <c r="AV827" s="82">
        <f>($J827-$F827)*100</f>
        <v/>
      </c>
      <c r="AW827" s="82">
        <f>($L827-$F827)*100</f>
        <v/>
      </c>
      <c r="AX827" s="82">
        <f>($J827-$H827)*100</f>
        <v/>
      </c>
      <c r="AY827" s="82">
        <f>($L827-$H827)*100</f>
        <v/>
      </c>
      <c r="AZ827" s="82">
        <f>($L827-$J827)*100</f>
        <v/>
      </c>
      <c r="BA827" s="82">
        <f>(2*$H827-$F827-$J827)*100</f>
        <v/>
      </c>
      <c r="BB827" s="82">
        <f>(2*$J827-$H827-$L827)*100</f>
        <v/>
      </c>
      <c r="BC827" s="82">
        <f>($N827-$F827)*100</f>
        <v/>
      </c>
      <c r="BD827" s="82">
        <f>($Q827-$H827)*100</f>
        <v/>
      </c>
      <c r="BE827" s="82">
        <f>($S827-$J827)*100</f>
        <v/>
      </c>
      <c r="BF827" s="82">
        <f>($V827-$L827)*100</f>
        <v/>
      </c>
      <c r="BG827" s="82">
        <f>$AG827-$AF827</f>
        <v/>
      </c>
      <c r="BH827" s="81">
        <f>IFERROR($AG827/$AF827,"")</f>
        <v/>
      </c>
      <c r="BI827" s="82">
        <f>$AJ827-$AF827</f>
        <v/>
      </c>
      <c r="BJ827" s="81">
        <f>IFERROR($AJ827/$AG827,"")</f>
        <v/>
      </c>
      <c r="BK827" s="81">
        <f>$X827</f>
        <v/>
      </c>
      <c r="BL827" s="82">
        <f>($J827-$J828)*100</f>
        <v/>
      </c>
      <c r="BM827" s="82">
        <f>($F827-$F828)*100</f>
        <v/>
      </c>
      <c r="BN827" s="82">
        <f>$AF827-$AF828</f>
        <v/>
      </c>
      <c r="BO827" s="82">
        <f>$AG827-$AG828</f>
        <v/>
      </c>
      <c r="BP827" s="82">
        <f>$AJ827-$AJ828</f>
        <v/>
      </c>
    </row>
    <row r="828">
      <c r="AR828" s="81">
        <f>($G828+($H828-$G828)*0.5)+($P828-($O828+($Q828-$O828)*0.5))</f>
        <v/>
      </c>
      <c r="AS828" s="81">
        <f>($J828+($K828-$J828)*0.5)+($T828-($S828+($U828-$S828)*0.5))</f>
        <v/>
      </c>
      <c r="AT828" s="82">
        <f>($J828-$C828)*100</f>
        <v/>
      </c>
      <c r="AU828" s="82">
        <f>($H828-$F828)*100</f>
        <v/>
      </c>
      <c r="AV828" s="82">
        <f>($J828-$F828)*100</f>
        <v/>
      </c>
      <c r="AW828" s="82">
        <f>($L828-$F828)*100</f>
        <v/>
      </c>
      <c r="AX828" s="82">
        <f>($J828-$H828)*100</f>
        <v/>
      </c>
      <c r="AY828" s="82">
        <f>($L828-$H828)*100</f>
        <v/>
      </c>
      <c r="AZ828" s="82">
        <f>($L828-$J828)*100</f>
        <v/>
      </c>
      <c r="BA828" s="82">
        <f>(2*$H828-$F828-$J828)*100</f>
        <v/>
      </c>
      <c r="BB828" s="82">
        <f>(2*$J828-$H828-$L828)*100</f>
        <v/>
      </c>
      <c r="BC828" s="82">
        <f>($N828-$F828)*100</f>
        <v/>
      </c>
      <c r="BD828" s="82">
        <f>($Q828-$H828)*100</f>
        <v/>
      </c>
      <c r="BE828" s="82">
        <f>($S828-$J828)*100</f>
        <v/>
      </c>
      <c r="BF828" s="82">
        <f>($V828-$L828)*100</f>
        <v/>
      </c>
      <c r="BG828" s="82">
        <f>$AG828-$AF828</f>
        <v/>
      </c>
      <c r="BH828" s="81">
        <f>IFERROR($AG828/$AF828,"")</f>
        <v/>
      </c>
      <c r="BI828" s="82">
        <f>$AJ828-$AF828</f>
        <v/>
      </c>
      <c r="BJ828" s="81">
        <f>IFERROR($AJ828/$AG828,"")</f>
        <v/>
      </c>
      <c r="BK828" s="81">
        <f>$X828</f>
        <v/>
      </c>
      <c r="BL828" s="82">
        <f>($J828-$J829)*100</f>
        <v/>
      </c>
      <c r="BM828" s="82">
        <f>($F828-$F829)*100</f>
        <v/>
      </c>
      <c r="BN828" s="82">
        <f>$AF828-$AF829</f>
        <v/>
      </c>
      <c r="BO828" s="82">
        <f>$AG828-$AG829</f>
        <v/>
      </c>
      <c r="BP828" s="82">
        <f>$AJ828-$AJ829</f>
        <v/>
      </c>
    </row>
    <row r="829">
      <c r="AR829" s="81">
        <f>($G829+($H829-$G829)*0.5)+($P829-($O829+($Q829-$O829)*0.5))</f>
        <v/>
      </c>
      <c r="AS829" s="81">
        <f>($J829+($K829-$J829)*0.5)+($T829-($S829+($U829-$S829)*0.5))</f>
        <v/>
      </c>
      <c r="AT829" s="82">
        <f>($J829-$C829)*100</f>
        <v/>
      </c>
      <c r="AU829" s="82">
        <f>($H829-$F829)*100</f>
        <v/>
      </c>
      <c r="AV829" s="82">
        <f>($J829-$F829)*100</f>
        <v/>
      </c>
      <c r="AW829" s="82">
        <f>($L829-$F829)*100</f>
        <v/>
      </c>
      <c r="AX829" s="82">
        <f>($J829-$H829)*100</f>
        <v/>
      </c>
      <c r="AY829" s="82">
        <f>($L829-$H829)*100</f>
        <v/>
      </c>
      <c r="AZ829" s="82">
        <f>($L829-$J829)*100</f>
        <v/>
      </c>
      <c r="BA829" s="82">
        <f>(2*$H829-$F829-$J829)*100</f>
        <v/>
      </c>
      <c r="BB829" s="82">
        <f>(2*$J829-$H829-$L829)*100</f>
        <v/>
      </c>
      <c r="BC829" s="82">
        <f>($N829-$F829)*100</f>
        <v/>
      </c>
      <c r="BD829" s="82">
        <f>($Q829-$H829)*100</f>
        <v/>
      </c>
      <c r="BE829" s="82">
        <f>($S829-$J829)*100</f>
        <v/>
      </c>
      <c r="BF829" s="82">
        <f>($V829-$L829)*100</f>
        <v/>
      </c>
      <c r="BG829" s="82">
        <f>$AG829-$AF829</f>
        <v/>
      </c>
      <c r="BH829" s="81">
        <f>IFERROR($AG829/$AF829,"")</f>
        <v/>
      </c>
      <c r="BI829" s="82">
        <f>$AJ829-$AF829</f>
        <v/>
      </c>
      <c r="BJ829" s="81">
        <f>IFERROR($AJ829/$AG829,"")</f>
        <v/>
      </c>
      <c r="BK829" s="81">
        <f>$X829</f>
        <v/>
      </c>
      <c r="BL829" s="82">
        <f>($J829-$J830)*100</f>
        <v/>
      </c>
      <c r="BM829" s="82">
        <f>($F829-$F830)*100</f>
        <v/>
      </c>
      <c r="BN829" s="82">
        <f>$AF829-$AF830</f>
        <v/>
      </c>
      <c r="BO829" s="82">
        <f>$AG829-$AG830</f>
        <v/>
      </c>
      <c r="BP829" s="82">
        <f>$AJ829-$AJ830</f>
        <v/>
      </c>
    </row>
    <row r="830">
      <c r="AR830" s="81">
        <f>($G830+($H830-$G830)*0.5)+($P830-($O830+($Q830-$O830)*0.5))</f>
        <v/>
      </c>
      <c r="AS830" s="81">
        <f>($J830+($K830-$J830)*0.5)+($T830-($S830+($U830-$S830)*0.5))</f>
        <v/>
      </c>
      <c r="AT830" s="82">
        <f>($J830-$C830)*100</f>
        <v/>
      </c>
      <c r="AU830" s="82">
        <f>($H830-$F830)*100</f>
        <v/>
      </c>
      <c r="AV830" s="82">
        <f>($J830-$F830)*100</f>
        <v/>
      </c>
      <c r="AW830" s="82">
        <f>($L830-$F830)*100</f>
        <v/>
      </c>
      <c r="AX830" s="82">
        <f>($J830-$H830)*100</f>
        <v/>
      </c>
      <c r="AY830" s="82">
        <f>($L830-$H830)*100</f>
        <v/>
      </c>
      <c r="AZ830" s="82">
        <f>($L830-$J830)*100</f>
        <v/>
      </c>
      <c r="BA830" s="82">
        <f>(2*$H830-$F830-$J830)*100</f>
        <v/>
      </c>
      <c r="BB830" s="82">
        <f>(2*$J830-$H830-$L830)*100</f>
        <v/>
      </c>
      <c r="BC830" s="82">
        <f>($N830-$F830)*100</f>
        <v/>
      </c>
      <c r="BD830" s="82">
        <f>($Q830-$H830)*100</f>
        <v/>
      </c>
      <c r="BE830" s="82">
        <f>($S830-$J830)*100</f>
        <v/>
      </c>
      <c r="BF830" s="82">
        <f>($V830-$L830)*100</f>
        <v/>
      </c>
      <c r="BG830" s="82">
        <f>$AG830-$AF830</f>
        <v/>
      </c>
      <c r="BH830" s="81">
        <f>IFERROR($AG830/$AF830,"")</f>
        <v/>
      </c>
      <c r="BI830" s="82">
        <f>$AJ830-$AF830</f>
        <v/>
      </c>
      <c r="BJ830" s="81">
        <f>IFERROR($AJ830/$AG830,"")</f>
        <v/>
      </c>
      <c r="BK830" s="81">
        <f>$X830</f>
        <v/>
      </c>
      <c r="BL830" s="82">
        <f>($J830-$J831)*100</f>
        <v/>
      </c>
      <c r="BM830" s="82">
        <f>($F830-$F831)*100</f>
        <v/>
      </c>
      <c r="BN830" s="82">
        <f>$AF830-$AF831</f>
        <v/>
      </c>
      <c r="BO830" s="82">
        <f>$AG830-$AG831</f>
        <v/>
      </c>
      <c r="BP830" s="82">
        <f>$AJ830-$AJ831</f>
        <v/>
      </c>
    </row>
    <row r="831">
      <c r="AR831" s="81">
        <f>($G831+($H831-$G831)*0.5)+($P831-($O831+($Q831-$O831)*0.5))</f>
        <v/>
      </c>
      <c r="AS831" s="81">
        <f>($J831+($K831-$J831)*0.5)+($T831-($S831+($U831-$S831)*0.5))</f>
        <v/>
      </c>
      <c r="AT831" s="82">
        <f>($J831-$C831)*100</f>
        <v/>
      </c>
      <c r="AU831" s="82">
        <f>($H831-$F831)*100</f>
        <v/>
      </c>
      <c r="AV831" s="82">
        <f>($J831-$F831)*100</f>
        <v/>
      </c>
      <c r="AW831" s="82">
        <f>($L831-$F831)*100</f>
        <v/>
      </c>
      <c r="AX831" s="82">
        <f>($J831-$H831)*100</f>
        <v/>
      </c>
      <c r="AY831" s="82">
        <f>($L831-$H831)*100</f>
        <v/>
      </c>
      <c r="AZ831" s="82">
        <f>($L831-$J831)*100</f>
        <v/>
      </c>
      <c r="BA831" s="82">
        <f>(2*$H831-$F831-$J831)*100</f>
        <v/>
      </c>
      <c r="BB831" s="82">
        <f>(2*$J831-$H831-$L831)*100</f>
        <v/>
      </c>
      <c r="BC831" s="82">
        <f>($N831-$F831)*100</f>
        <v/>
      </c>
      <c r="BD831" s="82">
        <f>($Q831-$H831)*100</f>
        <v/>
      </c>
      <c r="BE831" s="82">
        <f>($S831-$J831)*100</f>
        <v/>
      </c>
      <c r="BF831" s="82">
        <f>($V831-$L831)*100</f>
        <v/>
      </c>
      <c r="BG831" s="82">
        <f>$AG831-$AF831</f>
        <v/>
      </c>
      <c r="BH831" s="81">
        <f>IFERROR($AG831/$AF831,"")</f>
        <v/>
      </c>
      <c r="BI831" s="82">
        <f>$AJ831-$AF831</f>
        <v/>
      </c>
      <c r="BJ831" s="81">
        <f>IFERROR($AJ831/$AG831,"")</f>
        <v/>
      </c>
      <c r="BK831" s="81">
        <f>$X831</f>
        <v/>
      </c>
      <c r="BL831" s="82">
        <f>($J831-$J832)*100</f>
        <v/>
      </c>
      <c r="BM831" s="82">
        <f>($F831-$F832)*100</f>
        <v/>
      </c>
      <c r="BN831" s="82">
        <f>$AF831-$AF832</f>
        <v/>
      </c>
      <c r="BO831" s="82">
        <f>$AG831-$AG832</f>
        <v/>
      </c>
      <c r="BP831" s="82">
        <f>$AJ831-$AJ832</f>
        <v/>
      </c>
    </row>
    <row r="832">
      <c r="AR832" s="81">
        <f>($G832+($H832-$G832)*0.5)+($P832-($O832+($Q832-$O832)*0.5))</f>
        <v/>
      </c>
      <c r="AS832" s="81">
        <f>($J832+($K832-$J832)*0.5)+($T832-($S832+($U832-$S832)*0.5))</f>
        <v/>
      </c>
      <c r="AT832" s="82">
        <f>($J832-$C832)*100</f>
        <v/>
      </c>
      <c r="AU832" s="82">
        <f>($H832-$F832)*100</f>
        <v/>
      </c>
      <c r="AV832" s="82">
        <f>($J832-$F832)*100</f>
        <v/>
      </c>
      <c r="AW832" s="82">
        <f>($L832-$F832)*100</f>
        <v/>
      </c>
      <c r="AX832" s="82">
        <f>($J832-$H832)*100</f>
        <v/>
      </c>
      <c r="AY832" s="82">
        <f>($L832-$H832)*100</f>
        <v/>
      </c>
      <c r="AZ832" s="82">
        <f>($L832-$J832)*100</f>
        <v/>
      </c>
      <c r="BA832" s="82">
        <f>(2*$H832-$F832-$J832)*100</f>
        <v/>
      </c>
      <c r="BB832" s="82">
        <f>(2*$J832-$H832-$L832)*100</f>
        <v/>
      </c>
      <c r="BC832" s="82">
        <f>($N832-$F832)*100</f>
        <v/>
      </c>
      <c r="BD832" s="82">
        <f>($Q832-$H832)*100</f>
        <v/>
      </c>
      <c r="BE832" s="82">
        <f>($S832-$J832)*100</f>
        <v/>
      </c>
      <c r="BF832" s="82">
        <f>($V832-$L832)*100</f>
        <v/>
      </c>
      <c r="BG832" s="82">
        <f>$AG832-$AF832</f>
        <v/>
      </c>
      <c r="BH832" s="81">
        <f>IFERROR($AG832/$AF832,"")</f>
        <v/>
      </c>
      <c r="BI832" s="82">
        <f>$AJ832-$AF832</f>
        <v/>
      </c>
      <c r="BJ832" s="81">
        <f>IFERROR($AJ832/$AG832,"")</f>
        <v/>
      </c>
      <c r="BK832" s="81">
        <f>$X832</f>
        <v/>
      </c>
      <c r="BL832" s="82">
        <f>($J832-$J833)*100</f>
        <v/>
      </c>
      <c r="BM832" s="82">
        <f>($F832-$F833)*100</f>
        <v/>
      </c>
      <c r="BN832" s="82">
        <f>$AF832-$AF833</f>
        <v/>
      </c>
      <c r="BO832" s="82">
        <f>$AG832-$AG833</f>
        <v/>
      </c>
      <c r="BP832" s="82">
        <f>$AJ832-$AJ833</f>
        <v/>
      </c>
    </row>
    <row r="833">
      <c r="AR833" s="81">
        <f>($G833+($H833-$G833)*0.5)+($P833-($O833+($Q833-$O833)*0.5))</f>
        <v/>
      </c>
      <c r="AS833" s="81">
        <f>($J833+($K833-$J833)*0.5)+($T833-($S833+($U833-$S833)*0.5))</f>
        <v/>
      </c>
      <c r="AT833" s="82">
        <f>($J833-$C833)*100</f>
        <v/>
      </c>
      <c r="AU833" s="82">
        <f>($H833-$F833)*100</f>
        <v/>
      </c>
      <c r="AV833" s="82">
        <f>($J833-$F833)*100</f>
        <v/>
      </c>
      <c r="AW833" s="82">
        <f>($L833-$F833)*100</f>
        <v/>
      </c>
      <c r="AX833" s="82">
        <f>($J833-$H833)*100</f>
        <v/>
      </c>
      <c r="AY833" s="82">
        <f>($L833-$H833)*100</f>
        <v/>
      </c>
      <c r="AZ833" s="82">
        <f>($L833-$J833)*100</f>
        <v/>
      </c>
      <c r="BA833" s="82">
        <f>(2*$H833-$F833-$J833)*100</f>
        <v/>
      </c>
      <c r="BB833" s="82">
        <f>(2*$J833-$H833-$L833)*100</f>
        <v/>
      </c>
      <c r="BC833" s="82">
        <f>($N833-$F833)*100</f>
        <v/>
      </c>
      <c r="BD833" s="82">
        <f>($Q833-$H833)*100</f>
        <v/>
      </c>
      <c r="BE833" s="82">
        <f>($S833-$J833)*100</f>
        <v/>
      </c>
      <c r="BF833" s="82">
        <f>($V833-$L833)*100</f>
        <v/>
      </c>
      <c r="BG833" s="82">
        <f>$AG833-$AF833</f>
        <v/>
      </c>
      <c r="BH833" s="81">
        <f>IFERROR($AG833/$AF833,"")</f>
        <v/>
      </c>
      <c r="BI833" s="82">
        <f>$AJ833-$AF833</f>
        <v/>
      </c>
      <c r="BJ833" s="81">
        <f>IFERROR($AJ833/$AG833,"")</f>
        <v/>
      </c>
      <c r="BK833" s="81">
        <f>$X833</f>
        <v/>
      </c>
      <c r="BL833" s="82">
        <f>($J833-$J834)*100</f>
        <v/>
      </c>
      <c r="BM833" s="82">
        <f>($F833-$F834)*100</f>
        <v/>
      </c>
      <c r="BN833" s="82">
        <f>$AF833-$AF834</f>
        <v/>
      </c>
      <c r="BO833" s="82">
        <f>$AG833-$AG834</f>
        <v/>
      </c>
      <c r="BP833" s="82">
        <f>$AJ833-$AJ834</f>
        <v/>
      </c>
    </row>
    <row r="834">
      <c r="AR834" s="81">
        <f>($G834+($H834-$G834)*0.5)+($P834-($O834+($Q834-$O834)*0.5))</f>
        <v/>
      </c>
      <c r="AS834" s="81">
        <f>($J834+($K834-$J834)*0.5)+($T834-($S834+($U834-$S834)*0.5))</f>
        <v/>
      </c>
      <c r="AT834" s="82">
        <f>($J834-$C834)*100</f>
        <v/>
      </c>
      <c r="AU834" s="82">
        <f>($H834-$F834)*100</f>
        <v/>
      </c>
      <c r="AV834" s="82">
        <f>($J834-$F834)*100</f>
        <v/>
      </c>
      <c r="AW834" s="82">
        <f>($L834-$F834)*100</f>
        <v/>
      </c>
      <c r="AX834" s="82">
        <f>($J834-$H834)*100</f>
        <v/>
      </c>
      <c r="AY834" s="82">
        <f>($L834-$H834)*100</f>
        <v/>
      </c>
      <c r="AZ834" s="82">
        <f>($L834-$J834)*100</f>
        <v/>
      </c>
      <c r="BA834" s="82">
        <f>(2*$H834-$F834-$J834)*100</f>
        <v/>
      </c>
      <c r="BB834" s="82">
        <f>(2*$J834-$H834-$L834)*100</f>
        <v/>
      </c>
      <c r="BC834" s="82">
        <f>($N834-$F834)*100</f>
        <v/>
      </c>
      <c r="BD834" s="82">
        <f>($Q834-$H834)*100</f>
        <v/>
      </c>
      <c r="BE834" s="82">
        <f>($S834-$J834)*100</f>
        <v/>
      </c>
      <c r="BF834" s="82">
        <f>($V834-$L834)*100</f>
        <v/>
      </c>
      <c r="BG834" s="82">
        <f>$AG834-$AF834</f>
        <v/>
      </c>
      <c r="BH834" s="81">
        <f>IFERROR($AG834/$AF834,"")</f>
        <v/>
      </c>
      <c r="BI834" s="82">
        <f>$AJ834-$AF834</f>
        <v/>
      </c>
      <c r="BJ834" s="81">
        <f>IFERROR($AJ834/$AG834,"")</f>
        <v/>
      </c>
      <c r="BK834" s="81">
        <f>$X834</f>
        <v/>
      </c>
      <c r="BL834" s="82">
        <f>($J834-$J835)*100</f>
        <v/>
      </c>
      <c r="BM834" s="82">
        <f>($F834-$F835)*100</f>
        <v/>
      </c>
      <c r="BN834" s="82">
        <f>$AF834-$AF835</f>
        <v/>
      </c>
      <c r="BO834" s="82">
        <f>$AG834-$AG835</f>
        <v/>
      </c>
      <c r="BP834" s="82">
        <f>$AJ834-$AJ835</f>
        <v/>
      </c>
    </row>
    <row r="835">
      <c r="AR835" s="81">
        <f>($G835+($H835-$G835)*0.5)+($P835-($O835+($Q835-$O835)*0.5))</f>
        <v/>
      </c>
      <c r="AS835" s="81">
        <f>($J835+($K835-$J835)*0.5)+($T835-($S835+($U835-$S835)*0.5))</f>
        <v/>
      </c>
      <c r="AT835" s="82">
        <f>($J835-$C835)*100</f>
        <v/>
      </c>
      <c r="AU835" s="82">
        <f>($H835-$F835)*100</f>
        <v/>
      </c>
      <c r="AV835" s="82">
        <f>($J835-$F835)*100</f>
        <v/>
      </c>
      <c r="AW835" s="82">
        <f>($L835-$F835)*100</f>
        <v/>
      </c>
      <c r="AX835" s="82">
        <f>($J835-$H835)*100</f>
        <v/>
      </c>
      <c r="AY835" s="82">
        <f>($L835-$H835)*100</f>
        <v/>
      </c>
      <c r="AZ835" s="82">
        <f>($L835-$J835)*100</f>
        <v/>
      </c>
      <c r="BA835" s="82">
        <f>(2*$H835-$F835-$J835)*100</f>
        <v/>
      </c>
      <c r="BB835" s="82">
        <f>(2*$J835-$H835-$L835)*100</f>
        <v/>
      </c>
      <c r="BC835" s="82">
        <f>($N835-$F835)*100</f>
        <v/>
      </c>
      <c r="BD835" s="82">
        <f>($Q835-$H835)*100</f>
        <v/>
      </c>
      <c r="BE835" s="82">
        <f>($S835-$J835)*100</f>
        <v/>
      </c>
      <c r="BF835" s="82">
        <f>($V835-$L835)*100</f>
        <v/>
      </c>
      <c r="BG835" s="82">
        <f>$AG835-$AF835</f>
        <v/>
      </c>
      <c r="BH835" s="81">
        <f>IFERROR($AG835/$AF835,"")</f>
        <v/>
      </c>
      <c r="BI835" s="82">
        <f>$AJ835-$AF835</f>
        <v/>
      </c>
      <c r="BJ835" s="81">
        <f>IFERROR($AJ835/$AG835,"")</f>
        <v/>
      </c>
      <c r="BK835" s="81">
        <f>$X835</f>
        <v/>
      </c>
      <c r="BL835" s="82">
        <f>($J835-$J836)*100</f>
        <v/>
      </c>
      <c r="BM835" s="82">
        <f>($F835-$F836)*100</f>
        <v/>
      </c>
      <c r="BN835" s="82">
        <f>$AF835-$AF836</f>
        <v/>
      </c>
      <c r="BO835" s="82">
        <f>$AG835-$AG836</f>
        <v/>
      </c>
      <c r="BP835" s="82">
        <f>$AJ835-$AJ836</f>
        <v/>
      </c>
    </row>
    <row r="836">
      <c r="AR836" s="81">
        <f>($G836+($H836-$G836)*0.5)+($P836-($O836+($Q836-$O836)*0.5))</f>
        <v/>
      </c>
      <c r="AS836" s="81">
        <f>($J836+($K836-$J836)*0.5)+($T836-($S836+($U836-$S836)*0.5))</f>
        <v/>
      </c>
      <c r="AT836" s="82">
        <f>($J836-$C836)*100</f>
        <v/>
      </c>
      <c r="AU836" s="82">
        <f>($H836-$F836)*100</f>
        <v/>
      </c>
      <c r="AV836" s="82">
        <f>($J836-$F836)*100</f>
        <v/>
      </c>
      <c r="AW836" s="82">
        <f>($L836-$F836)*100</f>
        <v/>
      </c>
      <c r="AX836" s="82">
        <f>($J836-$H836)*100</f>
        <v/>
      </c>
      <c r="AY836" s="82">
        <f>($L836-$H836)*100</f>
        <v/>
      </c>
      <c r="AZ836" s="82">
        <f>($L836-$J836)*100</f>
        <v/>
      </c>
      <c r="BA836" s="82">
        <f>(2*$H836-$F836-$J836)*100</f>
        <v/>
      </c>
      <c r="BB836" s="82">
        <f>(2*$J836-$H836-$L836)*100</f>
        <v/>
      </c>
      <c r="BC836" s="82">
        <f>($N836-$F836)*100</f>
        <v/>
      </c>
      <c r="BD836" s="82">
        <f>($Q836-$H836)*100</f>
        <v/>
      </c>
      <c r="BE836" s="82">
        <f>($S836-$J836)*100</f>
        <v/>
      </c>
      <c r="BF836" s="82">
        <f>($V836-$L836)*100</f>
        <v/>
      </c>
      <c r="BG836" s="82">
        <f>$AG836-$AF836</f>
        <v/>
      </c>
      <c r="BH836" s="81">
        <f>IFERROR($AG836/$AF836,"")</f>
        <v/>
      </c>
      <c r="BI836" s="82">
        <f>$AJ836-$AF836</f>
        <v/>
      </c>
      <c r="BJ836" s="81">
        <f>IFERROR($AJ836/$AG836,"")</f>
        <v/>
      </c>
      <c r="BK836" s="81">
        <f>$X836</f>
        <v/>
      </c>
      <c r="BL836" s="82">
        <f>($J836-$J837)*100</f>
        <v/>
      </c>
      <c r="BM836" s="82">
        <f>($F836-$F837)*100</f>
        <v/>
      </c>
      <c r="BN836" s="82">
        <f>$AF836-$AF837</f>
        <v/>
      </c>
      <c r="BO836" s="82">
        <f>$AG836-$AG837</f>
        <v/>
      </c>
      <c r="BP836" s="82">
        <f>$AJ836-$AJ837</f>
        <v/>
      </c>
    </row>
    <row r="837">
      <c r="AR837" s="81">
        <f>($G837+($H837-$G837)*0.5)+($P837-($O837+($Q837-$O837)*0.5))</f>
        <v/>
      </c>
      <c r="AS837" s="81">
        <f>($J837+($K837-$J837)*0.5)+($T837-($S837+($U837-$S837)*0.5))</f>
        <v/>
      </c>
      <c r="AT837" s="82">
        <f>($J837-$C837)*100</f>
        <v/>
      </c>
      <c r="AU837" s="82">
        <f>($H837-$F837)*100</f>
        <v/>
      </c>
      <c r="AV837" s="82">
        <f>($J837-$F837)*100</f>
        <v/>
      </c>
      <c r="AW837" s="82">
        <f>($L837-$F837)*100</f>
        <v/>
      </c>
      <c r="AX837" s="82">
        <f>($J837-$H837)*100</f>
        <v/>
      </c>
      <c r="AY837" s="82">
        <f>($L837-$H837)*100</f>
        <v/>
      </c>
      <c r="AZ837" s="82">
        <f>($L837-$J837)*100</f>
        <v/>
      </c>
      <c r="BA837" s="82">
        <f>(2*$H837-$F837-$J837)*100</f>
        <v/>
      </c>
      <c r="BB837" s="82">
        <f>(2*$J837-$H837-$L837)*100</f>
        <v/>
      </c>
      <c r="BC837" s="82">
        <f>($N837-$F837)*100</f>
        <v/>
      </c>
      <c r="BD837" s="82">
        <f>($Q837-$H837)*100</f>
        <v/>
      </c>
      <c r="BE837" s="82">
        <f>($S837-$J837)*100</f>
        <v/>
      </c>
      <c r="BF837" s="82">
        <f>($V837-$L837)*100</f>
        <v/>
      </c>
      <c r="BG837" s="82">
        <f>$AG837-$AF837</f>
        <v/>
      </c>
      <c r="BH837" s="81">
        <f>IFERROR($AG837/$AF837,"")</f>
        <v/>
      </c>
      <c r="BI837" s="82">
        <f>$AJ837-$AF837</f>
        <v/>
      </c>
      <c r="BJ837" s="81">
        <f>IFERROR($AJ837/$AG837,"")</f>
        <v/>
      </c>
      <c r="BK837" s="81">
        <f>$X837</f>
        <v/>
      </c>
      <c r="BL837" s="82">
        <f>($J837-$J838)*100</f>
        <v/>
      </c>
      <c r="BM837" s="82">
        <f>($F837-$F838)*100</f>
        <v/>
      </c>
      <c r="BN837" s="82">
        <f>$AF837-$AF838</f>
        <v/>
      </c>
      <c r="BO837" s="82">
        <f>$AG837-$AG838</f>
        <v/>
      </c>
      <c r="BP837" s="82">
        <f>$AJ837-$AJ838</f>
        <v/>
      </c>
    </row>
    <row r="838">
      <c r="AR838" s="81">
        <f>($G838+($H838-$G838)*0.5)+($P838-($O838+($Q838-$O838)*0.5))</f>
        <v/>
      </c>
      <c r="AS838" s="81">
        <f>($J838+($K838-$J838)*0.5)+($T838-($S838+($U838-$S838)*0.5))</f>
        <v/>
      </c>
      <c r="AT838" s="82">
        <f>($J838-$C838)*100</f>
        <v/>
      </c>
      <c r="AU838" s="82">
        <f>($H838-$F838)*100</f>
        <v/>
      </c>
      <c r="AV838" s="82">
        <f>($J838-$F838)*100</f>
        <v/>
      </c>
      <c r="AW838" s="82">
        <f>($L838-$F838)*100</f>
        <v/>
      </c>
      <c r="AX838" s="82">
        <f>($J838-$H838)*100</f>
        <v/>
      </c>
      <c r="AY838" s="82">
        <f>($L838-$H838)*100</f>
        <v/>
      </c>
      <c r="AZ838" s="82">
        <f>($L838-$J838)*100</f>
        <v/>
      </c>
      <c r="BA838" s="82">
        <f>(2*$H838-$F838-$J838)*100</f>
        <v/>
      </c>
      <c r="BB838" s="82">
        <f>(2*$J838-$H838-$L838)*100</f>
        <v/>
      </c>
      <c r="BC838" s="82">
        <f>($N838-$F838)*100</f>
        <v/>
      </c>
      <c r="BD838" s="82">
        <f>($Q838-$H838)*100</f>
        <v/>
      </c>
      <c r="BE838" s="82">
        <f>($S838-$J838)*100</f>
        <v/>
      </c>
      <c r="BF838" s="82">
        <f>($V838-$L838)*100</f>
        <v/>
      </c>
      <c r="BG838" s="82">
        <f>$AG838-$AF838</f>
        <v/>
      </c>
      <c r="BH838" s="81">
        <f>IFERROR($AG838/$AF838,"")</f>
        <v/>
      </c>
      <c r="BI838" s="82">
        <f>$AJ838-$AF838</f>
        <v/>
      </c>
      <c r="BJ838" s="81">
        <f>IFERROR($AJ838/$AG838,"")</f>
        <v/>
      </c>
      <c r="BK838" s="81">
        <f>$X838</f>
        <v/>
      </c>
      <c r="BL838" s="82">
        <f>($J838-$J839)*100</f>
        <v/>
      </c>
      <c r="BM838" s="82">
        <f>($F838-$F839)*100</f>
        <v/>
      </c>
      <c r="BN838" s="82">
        <f>$AF838-$AF839</f>
        <v/>
      </c>
      <c r="BO838" s="82">
        <f>$AG838-$AG839</f>
        <v/>
      </c>
      <c r="BP838" s="82">
        <f>$AJ838-$AJ839</f>
        <v/>
      </c>
    </row>
    <row r="839">
      <c r="AR839" s="81">
        <f>($G839+($H839-$G839)*0.5)+($P839-($O839+($Q839-$O839)*0.5))</f>
        <v/>
      </c>
      <c r="AS839" s="81">
        <f>($J839+($K839-$J839)*0.5)+($T839-($S839+($U839-$S839)*0.5))</f>
        <v/>
      </c>
      <c r="AT839" s="82">
        <f>($J839-$C839)*100</f>
        <v/>
      </c>
      <c r="AU839" s="82">
        <f>($H839-$F839)*100</f>
        <v/>
      </c>
      <c r="AV839" s="82">
        <f>($J839-$F839)*100</f>
        <v/>
      </c>
      <c r="AW839" s="82">
        <f>($L839-$F839)*100</f>
        <v/>
      </c>
      <c r="AX839" s="82">
        <f>($J839-$H839)*100</f>
        <v/>
      </c>
      <c r="AY839" s="82">
        <f>($L839-$H839)*100</f>
        <v/>
      </c>
      <c r="AZ839" s="82">
        <f>($L839-$J839)*100</f>
        <v/>
      </c>
      <c r="BA839" s="82">
        <f>(2*$H839-$F839-$J839)*100</f>
        <v/>
      </c>
      <c r="BB839" s="82">
        <f>(2*$J839-$H839-$L839)*100</f>
        <v/>
      </c>
      <c r="BC839" s="82">
        <f>($N839-$F839)*100</f>
        <v/>
      </c>
      <c r="BD839" s="82">
        <f>($Q839-$H839)*100</f>
        <v/>
      </c>
      <c r="BE839" s="82">
        <f>($S839-$J839)*100</f>
        <v/>
      </c>
      <c r="BF839" s="82">
        <f>($V839-$L839)*100</f>
        <v/>
      </c>
      <c r="BG839" s="82">
        <f>$AG839-$AF839</f>
        <v/>
      </c>
      <c r="BH839" s="81">
        <f>IFERROR($AG839/$AF839,"")</f>
        <v/>
      </c>
      <c r="BI839" s="82">
        <f>$AJ839-$AF839</f>
        <v/>
      </c>
      <c r="BJ839" s="81">
        <f>IFERROR($AJ839/$AG839,"")</f>
        <v/>
      </c>
      <c r="BK839" s="81">
        <f>$X839</f>
        <v/>
      </c>
      <c r="BL839" s="82">
        <f>($J839-$J840)*100</f>
        <v/>
      </c>
      <c r="BM839" s="82">
        <f>($F839-$F840)*100</f>
        <v/>
      </c>
      <c r="BN839" s="82">
        <f>$AF839-$AF840</f>
        <v/>
      </c>
      <c r="BO839" s="82">
        <f>$AG839-$AG840</f>
        <v/>
      </c>
      <c r="BP839" s="82">
        <f>$AJ839-$AJ840</f>
        <v/>
      </c>
    </row>
    <row r="840">
      <c r="AR840" s="81">
        <f>($G840+($H840-$G840)*0.5)+($P840-($O840+($Q840-$O840)*0.5))</f>
        <v/>
      </c>
      <c r="AS840" s="81">
        <f>($J840+($K840-$J840)*0.5)+($T840-($S840+($U840-$S840)*0.5))</f>
        <v/>
      </c>
      <c r="AT840" s="82">
        <f>($J840-$C840)*100</f>
        <v/>
      </c>
      <c r="AU840" s="82">
        <f>($H840-$F840)*100</f>
        <v/>
      </c>
      <c r="AV840" s="82">
        <f>($J840-$F840)*100</f>
        <v/>
      </c>
      <c r="AW840" s="82">
        <f>($L840-$F840)*100</f>
        <v/>
      </c>
      <c r="AX840" s="82">
        <f>($J840-$H840)*100</f>
        <v/>
      </c>
      <c r="AY840" s="82">
        <f>($L840-$H840)*100</f>
        <v/>
      </c>
      <c r="AZ840" s="82">
        <f>($L840-$J840)*100</f>
        <v/>
      </c>
      <c r="BA840" s="82">
        <f>(2*$H840-$F840-$J840)*100</f>
        <v/>
      </c>
      <c r="BB840" s="82">
        <f>(2*$J840-$H840-$L840)*100</f>
        <v/>
      </c>
      <c r="BC840" s="82">
        <f>($N840-$F840)*100</f>
        <v/>
      </c>
      <c r="BD840" s="82">
        <f>($Q840-$H840)*100</f>
        <v/>
      </c>
      <c r="BE840" s="82">
        <f>($S840-$J840)*100</f>
        <v/>
      </c>
      <c r="BF840" s="82">
        <f>($V840-$L840)*100</f>
        <v/>
      </c>
      <c r="BG840" s="82">
        <f>$AG840-$AF840</f>
        <v/>
      </c>
      <c r="BH840" s="81">
        <f>IFERROR($AG840/$AF840,"")</f>
        <v/>
      </c>
      <c r="BI840" s="82">
        <f>$AJ840-$AF840</f>
        <v/>
      </c>
      <c r="BJ840" s="81">
        <f>IFERROR($AJ840/$AG840,"")</f>
        <v/>
      </c>
      <c r="BK840" s="81">
        <f>$X840</f>
        <v/>
      </c>
      <c r="BL840" s="82">
        <f>($J840-$J841)*100</f>
        <v/>
      </c>
      <c r="BM840" s="82">
        <f>($F840-$F841)*100</f>
        <v/>
      </c>
      <c r="BN840" s="82">
        <f>$AF840-$AF841</f>
        <v/>
      </c>
      <c r="BO840" s="82">
        <f>$AG840-$AG841</f>
        <v/>
      </c>
      <c r="BP840" s="82">
        <f>$AJ840-$AJ841</f>
        <v/>
      </c>
    </row>
    <row r="841">
      <c r="AR841" s="81">
        <f>($G841+($H841-$G841)*0.5)+($P841-($O841+($Q841-$O841)*0.5))</f>
        <v/>
      </c>
      <c r="AS841" s="81">
        <f>($J841+($K841-$J841)*0.5)+($T841-($S841+($U841-$S841)*0.5))</f>
        <v/>
      </c>
      <c r="AT841" s="82">
        <f>($J841-$C841)*100</f>
        <v/>
      </c>
      <c r="AU841" s="82">
        <f>($H841-$F841)*100</f>
        <v/>
      </c>
      <c r="AV841" s="82">
        <f>($J841-$F841)*100</f>
        <v/>
      </c>
      <c r="AW841" s="82">
        <f>($L841-$F841)*100</f>
        <v/>
      </c>
      <c r="AX841" s="82">
        <f>($J841-$H841)*100</f>
        <v/>
      </c>
      <c r="AY841" s="82">
        <f>($L841-$H841)*100</f>
        <v/>
      </c>
      <c r="AZ841" s="82">
        <f>($L841-$J841)*100</f>
        <v/>
      </c>
      <c r="BA841" s="82">
        <f>(2*$H841-$F841-$J841)*100</f>
        <v/>
      </c>
      <c r="BB841" s="82">
        <f>(2*$J841-$H841-$L841)*100</f>
        <v/>
      </c>
      <c r="BC841" s="82">
        <f>($N841-$F841)*100</f>
        <v/>
      </c>
      <c r="BD841" s="82">
        <f>($Q841-$H841)*100</f>
        <v/>
      </c>
      <c r="BE841" s="82">
        <f>($S841-$J841)*100</f>
        <v/>
      </c>
      <c r="BF841" s="82">
        <f>($V841-$L841)*100</f>
        <v/>
      </c>
      <c r="BG841" s="82">
        <f>$AG841-$AF841</f>
        <v/>
      </c>
      <c r="BH841" s="81">
        <f>IFERROR($AG841/$AF841,"")</f>
        <v/>
      </c>
      <c r="BI841" s="82">
        <f>$AJ841-$AF841</f>
        <v/>
      </c>
      <c r="BJ841" s="81">
        <f>IFERROR($AJ841/$AG841,"")</f>
        <v/>
      </c>
      <c r="BK841" s="81">
        <f>$X841</f>
        <v/>
      </c>
      <c r="BL841" s="82">
        <f>($J841-$J842)*100</f>
        <v/>
      </c>
      <c r="BM841" s="82">
        <f>($F841-$F842)*100</f>
        <v/>
      </c>
      <c r="BN841" s="82">
        <f>$AF841-$AF842</f>
        <v/>
      </c>
      <c r="BO841" s="82">
        <f>$AG841-$AG842</f>
        <v/>
      </c>
      <c r="BP841" s="82">
        <f>$AJ841-$AJ842</f>
        <v/>
      </c>
    </row>
    <row r="842">
      <c r="AR842" s="81">
        <f>($G842+($H842-$G842)*0.5)+($P842-($O842+($Q842-$O842)*0.5))</f>
        <v/>
      </c>
      <c r="AS842" s="81">
        <f>($J842+($K842-$J842)*0.5)+($T842-($S842+($U842-$S842)*0.5))</f>
        <v/>
      </c>
      <c r="AT842" s="82">
        <f>($J842-$C842)*100</f>
        <v/>
      </c>
      <c r="AU842" s="82">
        <f>($H842-$F842)*100</f>
        <v/>
      </c>
      <c r="AV842" s="82">
        <f>($J842-$F842)*100</f>
        <v/>
      </c>
      <c r="AW842" s="82">
        <f>($L842-$F842)*100</f>
        <v/>
      </c>
      <c r="AX842" s="82">
        <f>($J842-$H842)*100</f>
        <v/>
      </c>
      <c r="AY842" s="82">
        <f>($L842-$H842)*100</f>
        <v/>
      </c>
      <c r="AZ842" s="82">
        <f>($L842-$J842)*100</f>
        <v/>
      </c>
      <c r="BA842" s="82">
        <f>(2*$H842-$F842-$J842)*100</f>
        <v/>
      </c>
      <c r="BB842" s="82">
        <f>(2*$J842-$H842-$L842)*100</f>
        <v/>
      </c>
      <c r="BC842" s="82">
        <f>($N842-$F842)*100</f>
        <v/>
      </c>
      <c r="BD842" s="82">
        <f>($Q842-$H842)*100</f>
        <v/>
      </c>
      <c r="BE842" s="82">
        <f>($S842-$J842)*100</f>
        <v/>
      </c>
      <c r="BF842" s="82">
        <f>($V842-$L842)*100</f>
        <v/>
      </c>
      <c r="BG842" s="82">
        <f>$AG842-$AF842</f>
        <v/>
      </c>
      <c r="BH842" s="81">
        <f>IFERROR($AG842/$AF842,"")</f>
        <v/>
      </c>
      <c r="BI842" s="82">
        <f>$AJ842-$AF842</f>
        <v/>
      </c>
      <c r="BJ842" s="81">
        <f>IFERROR($AJ842/$AG842,"")</f>
        <v/>
      </c>
      <c r="BK842" s="81">
        <f>$X842</f>
        <v/>
      </c>
      <c r="BL842" s="82">
        <f>($J842-$J843)*100</f>
        <v/>
      </c>
      <c r="BM842" s="82">
        <f>($F842-$F843)*100</f>
        <v/>
      </c>
      <c r="BN842" s="82">
        <f>$AF842-$AF843</f>
        <v/>
      </c>
      <c r="BO842" s="82">
        <f>$AG842-$AG843</f>
        <v/>
      </c>
      <c r="BP842" s="82">
        <f>$AJ842-$AJ843</f>
        <v/>
      </c>
    </row>
    <row r="843">
      <c r="AR843" s="81">
        <f>($G843+($H843-$G843)*0.5)+($P843-($O843+($Q843-$O843)*0.5))</f>
        <v/>
      </c>
      <c r="AS843" s="81">
        <f>($J843+($K843-$J843)*0.5)+($T843-($S843+($U843-$S843)*0.5))</f>
        <v/>
      </c>
      <c r="AT843" s="82">
        <f>($J843-$C843)*100</f>
        <v/>
      </c>
      <c r="AU843" s="82">
        <f>($H843-$F843)*100</f>
        <v/>
      </c>
      <c r="AV843" s="82">
        <f>($J843-$F843)*100</f>
        <v/>
      </c>
      <c r="AW843" s="82">
        <f>($L843-$F843)*100</f>
        <v/>
      </c>
      <c r="AX843" s="82">
        <f>($J843-$H843)*100</f>
        <v/>
      </c>
      <c r="AY843" s="82">
        <f>($L843-$H843)*100</f>
        <v/>
      </c>
      <c r="AZ843" s="82">
        <f>($L843-$J843)*100</f>
        <v/>
      </c>
      <c r="BA843" s="82">
        <f>(2*$H843-$F843-$J843)*100</f>
        <v/>
      </c>
      <c r="BB843" s="82">
        <f>(2*$J843-$H843-$L843)*100</f>
        <v/>
      </c>
      <c r="BC843" s="82">
        <f>($N843-$F843)*100</f>
        <v/>
      </c>
      <c r="BD843" s="82">
        <f>($Q843-$H843)*100</f>
        <v/>
      </c>
      <c r="BE843" s="82">
        <f>($S843-$J843)*100</f>
        <v/>
      </c>
      <c r="BF843" s="82">
        <f>($V843-$L843)*100</f>
        <v/>
      </c>
      <c r="BG843" s="82">
        <f>$AG843-$AF843</f>
        <v/>
      </c>
      <c r="BH843" s="81">
        <f>IFERROR($AG843/$AF843,"")</f>
        <v/>
      </c>
      <c r="BI843" s="82">
        <f>$AJ843-$AF843</f>
        <v/>
      </c>
      <c r="BJ843" s="81">
        <f>IFERROR($AJ843/$AG843,"")</f>
        <v/>
      </c>
      <c r="BK843" s="81">
        <f>$X843</f>
        <v/>
      </c>
      <c r="BL843" s="82">
        <f>($J843-$J844)*100</f>
        <v/>
      </c>
      <c r="BM843" s="82">
        <f>($F843-$F844)*100</f>
        <v/>
      </c>
      <c r="BN843" s="82">
        <f>$AF843-$AF844</f>
        <v/>
      </c>
      <c r="BO843" s="82">
        <f>$AG843-$AG844</f>
        <v/>
      </c>
      <c r="BP843" s="82">
        <f>$AJ843-$AJ844</f>
        <v/>
      </c>
    </row>
    <row r="844">
      <c r="AR844" s="81">
        <f>($G844+($H844-$G844)*0.5)+($P844-($O844+($Q844-$O844)*0.5))</f>
        <v/>
      </c>
      <c r="AS844" s="81">
        <f>($J844+($K844-$J844)*0.5)+($T844-($S844+($U844-$S844)*0.5))</f>
        <v/>
      </c>
      <c r="AT844" s="82">
        <f>($J844-$C844)*100</f>
        <v/>
      </c>
      <c r="AU844" s="82">
        <f>($H844-$F844)*100</f>
        <v/>
      </c>
      <c r="AV844" s="82">
        <f>($J844-$F844)*100</f>
        <v/>
      </c>
      <c r="AW844" s="82">
        <f>($L844-$F844)*100</f>
        <v/>
      </c>
      <c r="AX844" s="82">
        <f>($J844-$H844)*100</f>
        <v/>
      </c>
      <c r="AY844" s="82">
        <f>($L844-$H844)*100</f>
        <v/>
      </c>
      <c r="AZ844" s="82">
        <f>($L844-$J844)*100</f>
        <v/>
      </c>
      <c r="BA844" s="82">
        <f>(2*$H844-$F844-$J844)*100</f>
        <v/>
      </c>
      <c r="BB844" s="82">
        <f>(2*$J844-$H844-$L844)*100</f>
        <v/>
      </c>
      <c r="BC844" s="82">
        <f>($N844-$F844)*100</f>
        <v/>
      </c>
      <c r="BD844" s="82">
        <f>($Q844-$H844)*100</f>
        <v/>
      </c>
      <c r="BE844" s="82">
        <f>($S844-$J844)*100</f>
        <v/>
      </c>
      <c r="BF844" s="82">
        <f>($V844-$L844)*100</f>
        <v/>
      </c>
      <c r="BG844" s="82">
        <f>$AG844-$AF844</f>
        <v/>
      </c>
      <c r="BH844" s="81">
        <f>IFERROR($AG844/$AF844,"")</f>
        <v/>
      </c>
      <c r="BI844" s="82">
        <f>$AJ844-$AF844</f>
        <v/>
      </c>
      <c r="BJ844" s="81">
        <f>IFERROR($AJ844/$AG844,"")</f>
        <v/>
      </c>
      <c r="BK844" s="81">
        <f>$X844</f>
        <v/>
      </c>
      <c r="BL844" s="82">
        <f>($J844-$J845)*100</f>
        <v/>
      </c>
      <c r="BM844" s="82">
        <f>($F844-$F845)*100</f>
        <v/>
      </c>
      <c r="BN844" s="82">
        <f>$AF844-$AF845</f>
        <v/>
      </c>
      <c r="BO844" s="82">
        <f>$AG844-$AG845</f>
        <v/>
      </c>
      <c r="BP844" s="82">
        <f>$AJ844-$AJ845</f>
        <v/>
      </c>
    </row>
    <row r="845">
      <c r="AR845" s="81">
        <f>($G845+($H845-$G845)*0.5)+($P845-($O845+($Q845-$O845)*0.5))</f>
        <v/>
      </c>
      <c r="AS845" s="81">
        <f>($J845+($K845-$J845)*0.5)+($T845-($S845+($U845-$S845)*0.5))</f>
        <v/>
      </c>
      <c r="AT845" s="82">
        <f>($J845-$C845)*100</f>
        <v/>
      </c>
      <c r="AU845" s="82">
        <f>($H845-$F845)*100</f>
        <v/>
      </c>
      <c r="AV845" s="82">
        <f>($J845-$F845)*100</f>
        <v/>
      </c>
      <c r="AW845" s="82">
        <f>($L845-$F845)*100</f>
        <v/>
      </c>
      <c r="AX845" s="82">
        <f>($J845-$H845)*100</f>
        <v/>
      </c>
      <c r="AY845" s="82">
        <f>($L845-$H845)*100</f>
        <v/>
      </c>
      <c r="AZ845" s="82">
        <f>($L845-$J845)*100</f>
        <v/>
      </c>
      <c r="BA845" s="82">
        <f>(2*$H845-$F845-$J845)*100</f>
        <v/>
      </c>
      <c r="BB845" s="82">
        <f>(2*$J845-$H845-$L845)*100</f>
        <v/>
      </c>
      <c r="BC845" s="82">
        <f>($N845-$F845)*100</f>
        <v/>
      </c>
      <c r="BD845" s="82">
        <f>($Q845-$H845)*100</f>
        <v/>
      </c>
      <c r="BE845" s="82">
        <f>($S845-$J845)*100</f>
        <v/>
      </c>
      <c r="BF845" s="82">
        <f>($V845-$L845)*100</f>
        <v/>
      </c>
      <c r="BG845" s="82">
        <f>$AG845-$AF845</f>
        <v/>
      </c>
      <c r="BH845" s="81">
        <f>IFERROR($AG845/$AF845,"")</f>
        <v/>
      </c>
      <c r="BI845" s="82">
        <f>$AJ845-$AF845</f>
        <v/>
      </c>
      <c r="BJ845" s="81">
        <f>IFERROR($AJ845/$AG845,"")</f>
        <v/>
      </c>
      <c r="BK845" s="81">
        <f>$X845</f>
        <v/>
      </c>
      <c r="BL845" s="82">
        <f>($J845-$J846)*100</f>
        <v/>
      </c>
      <c r="BM845" s="82">
        <f>($F845-$F846)*100</f>
        <v/>
      </c>
      <c r="BN845" s="82">
        <f>$AF845-$AF846</f>
        <v/>
      </c>
      <c r="BO845" s="82">
        <f>$AG845-$AG846</f>
        <v/>
      </c>
      <c r="BP845" s="82">
        <f>$AJ845-$AJ846</f>
        <v/>
      </c>
    </row>
    <row r="846">
      <c r="AR846" s="81">
        <f>($G846+($H846-$G846)*0.5)+($P846-($O846+($Q846-$O846)*0.5))</f>
        <v/>
      </c>
      <c r="AS846" s="81">
        <f>($J846+($K846-$J846)*0.5)+($T846-($S846+($U846-$S846)*0.5))</f>
        <v/>
      </c>
      <c r="AT846" s="82">
        <f>($J846-$C846)*100</f>
        <v/>
      </c>
      <c r="AU846" s="82">
        <f>($H846-$F846)*100</f>
        <v/>
      </c>
      <c r="AV846" s="82">
        <f>($J846-$F846)*100</f>
        <v/>
      </c>
      <c r="AW846" s="82">
        <f>($L846-$F846)*100</f>
        <v/>
      </c>
      <c r="AX846" s="82">
        <f>($J846-$H846)*100</f>
        <v/>
      </c>
      <c r="AY846" s="82">
        <f>($L846-$H846)*100</f>
        <v/>
      </c>
      <c r="AZ846" s="82">
        <f>($L846-$J846)*100</f>
        <v/>
      </c>
      <c r="BA846" s="82">
        <f>(2*$H846-$F846-$J846)*100</f>
        <v/>
      </c>
      <c r="BB846" s="82">
        <f>(2*$J846-$H846-$L846)*100</f>
        <v/>
      </c>
      <c r="BC846" s="82">
        <f>($N846-$F846)*100</f>
        <v/>
      </c>
      <c r="BD846" s="82">
        <f>($Q846-$H846)*100</f>
        <v/>
      </c>
      <c r="BE846" s="82">
        <f>($S846-$J846)*100</f>
        <v/>
      </c>
      <c r="BF846" s="82">
        <f>($V846-$L846)*100</f>
        <v/>
      </c>
      <c r="BG846" s="82">
        <f>$AG846-$AF846</f>
        <v/>
      </c>
      <c r="BH846" s="81">
        <f>IFERROR($AG846/$AF846,"")</f>
        <v/>
      </c>
      <c r="BI846" s="82">
        <f>$AJ846-$AF846</f>
        <v/>
      </c>
      <c r="BJ846" s="81">
        <f>IFERROR($AJ846/$AG846,"")</f>
        <v/>
      </c>
      <c r="BK846" s="81">
        <f>$X846</f>
        <v/>
      </c>
      <c r="BL846" s="82">
        <f>($J846-$J847)*100</f>
        <v/>
      </c>
      <c r="BM846" s="82">
        <f>($F846-$F847)*100</f>
        <v/>
      </c>
      <c r="BN846" s="82">
        <f>$AF846-$AF847</f>
        <v/>
      </c>
      <c r="BO846" s="82">
        <f>$AG846-$AG847</f>
        <v/>
      </c>
      <c r="BP846" s="82">
        <f>$AJ846-$AJ847</f>
        <v/>
      </c>
    </row>
    <row r="847">
      <c r="AR847" s="81">
        <f>($G847+($H847-$G847)*0.5)+($P847-($O847+($Q847-$O847)*0.5))</f>
        <v/>
      </c>
      <c r="AS847" s="81">
        <f>($J847+($K847-$J847)*0.5)+($T847-($S847+($U847-$S847)*0.5))</f>
        <v/>
      </c>
      <c r="AT847" s="82">
        <f>($J847-$C847)*100</f>
        <v/>
      </c>
      <c r="AU847" s="82">
        <f>($H847-$F847)*100</f>
        <v/>
      </c>
      <c r="AV847" s="82">
        <f>($J847-$F847)*100</f>
        <v/>
      </c>
      <c r="AW847" s="82">
        <f>($L847-$F847)*100</f>
        <v/>
      </c>
      <c r="AX847" s="82">
        <f>($J847-$H847)*100</f>
        <v/>
      </c>
      <c r="AY847" s="82">
        <f>($L847-$H847)*100</f>
        <v/>
      </c>
      <c r="AZ847" s="82">
        <f>($L847-$J847)*100</f>
        <v/>
      </c>
      <c r="BA847" s="82">
        <f>(2*$H847-$F847-$J847)*100</f>
        <v/>
      </c>
      <c r="BB847" s="82">
        <f>(2*$J847-$H847-$L847)*100</f>
        <v/>
      </c>
      <c r="BC847" s="82">
        <f>($N847-$F847)*100</f>
        <v/>
      </c>
      <c r="BD847" s="82">
        <f>($Q847-$H847)*100</f>
        <v/>
      </c>
      <c r="BE847" s="82">
        <f>($S847-$J847)*100</f>
        <v/>
      </c>
      <c r="BF847" s="82">
        <f>($V847-$L847)*100</f>
        <v/>
      </c>
      <c r="BG847" s="82">
        <f>$AG847-$AF847</f>
        <v/>
      </c>
      <c r="BH847" s="81">
        <f>IFERROR($AG847/$AF847,"")</f>
        <v/>
      </c>
      <c r="BI847" s="82">
        <f>$AJ847-$AF847</f>
        <v/>
      </c>
      <c r="BJ847" s="81">
        <f>IFERROR($AJ847/$AG847,"")</f>
        <v/>
      </c>
      <c r="BK847" s="81">
        <f>$X847</f>
        <v/>
      </c>
      <c r="BL847" s="82">
        <f>($J847-$J848)*100</f>
        <v/>
      </c>
      <c r="BM847" s="82">
        <f>($F847-$F848)*100</f>
        <v/>
      </c>
      <c r="BN847" s="82">
        <f>$AF847-$AF848</f>
        <v/>
      </c>
      <c r="BO847" s="82">
        <f>$AG847-$AG848</f>
        <v/>
      </c>
      <c r="BP847" s="82">
        <f>$AJ847-$AJ848</f>
        <v/>
      </c>
    </row>
    <row r="848">
      <c r="AR848" s="81">
        <f>($G848+($H848-$G848)*0.5)+($P848-($O848+($Q848-$O848)*0.5))</f>
        <v/>
      </c>
      <c r="AS848" s="81">
        <f>($J848+($K848-$J848)*0.5)+($T848-($S848+($U848-$S848)*0.5))</f>
        <v/>
      </c>
      <c r="AT848" s="82">
        <f>($J848-$C848)*100</f>
        <v/>
      </c>
      <c r="AU848" s="82">
        <f>($H848-$F848)*100</f>
        <v/>
      </c>
      <c r="AV848" s="82">
        <f>($J848-$F848)*100</f>
        <v/>
      </c>
      <c r="AW848" s="82">
        <f>($L848-$F848)*100</f>
        <v/>
      </c>
      <c r="AX848" s="82">
        <f>($J848-$H848)*100</f>
        <v/>
      </c>
      <c r="AY848" s="82">
        <f>($L848-$H848)*100</f>
        <v/>
      </c>
      <c r="AZ848" s="82">
        <f>($L848-$J848)*100</f>
        <v/>
      </c>
      <c r="BA848" s="82">
        <f>(2*$H848-$F848-$J848)*100</f>
        <v/>
      </c>
      <c r="BB848" s="82">
        <f>(2*$J848-$H848-$L848)*100</f>
        <v/>
      </c>
      <c r="BC848" s="82">
        <f>($N848-$F848)*100</f>
        <v/>
      </c>
      <c r="BD848" s="82">
        <f>($Q848-$H848)*100</f>
        <v/>
      </c>
      <c r="BE848" s="82">
        <f>($S848-$J848)*100</f>
        <v/>
      </c>
      <c r="BF848" s="82">
        <f>($V848-$L848)*100</f>
        <v/>
      </c>
      <c r="BG848" s="82">
        <f>$AG848-$AF848</f>
        <v/>
      </c>
      <c r="BH848" s="81">
        <f>IFERROR($AG848/$AF848,"")</f>
        <v/>
      </c>
      <c r="BI848" s="82">
        <f>$AJ848-$AF848</f>
        <v/>
      </c>
      <c r="BJ848" s="81">
        <f>IFERROR($AJ848/$AG848,"")</f>
        <v/>
      </c>
      <c r="BK848" s="81">
        <f>$X848</f>
        <v/>
      </c>
      <c r="BL848" s="82">
        <f>($J848-$J849)*100</f>
        <v/>
      </c>
      <c r="BM848" s="82">
        <f>($F848-$F849)*100</f>
        <v/>
      </c>
      <c r="BN848" s="82">
        <f>$AF848-$AF849</f>
        <v/>
      </c>
      <c r="BO848" s="82">
        <f>$AG848-$AG849</f>
        <v/>
      </c>
      <c r="BP848" s="82">
        <f>$AJ848-$AJ849</f>
        <v/>
      </c>
    </row>
    <row r="849">
      <c r="AR849" s="81">
        <f>($G849+($H849-$G849)*0.5)+($P849-($O849+($Q849-$O849)*0.5))</f>
        <v/>
      </c>
      <c r="AS849" s="81">
        <f>($J849+($K849-$J849)*0.5)+($T849-($S849+($U849-$S849)*0.5))</f>
        <v/>
      </c>
      <c r="AT849" s="82">
        <f>($J849-$C849)*100</f>
        <v/>
      </c>
      <c r="AU849" s="82">
        <f>($H849-$F849)*100</f>
        <v/>
      </c>
      <c r="AV849" s="82">
        <f>($J849-$F849)*100</f>
        <v/>
      </c>
      <c r="AW849" s="82">
        <f>($L849-$F849)*100</f>
        <v/>
      </c>
      <c r="AX849" s="82">
        <f>($J849-$H849)*100</f>
        <v/>
      </c>
      <c r="AY849" s="82">
        <f>($L849-$H849)*100</f>
        <v/>
      </c>
      <c r="AZ849" s="82">
        <f>($L849-$J849)*100</f>
        <v/>
      </c>
      <c r="BA849" s="82">
        <f>(2*$H849-$F849-$J849)*100</f>
        <v/>
      </c>
      <c r="BB849" s="82">
        <f>(2*$J849-$H849-$L849)*100</f>
        <v/>
      </c>
      <c r="BC849" s="82">
        <f>($N849-$F849)*100</f>
        <v/>
      </c>
      <c r="BD849" s="82">
        <f>($Q849-$H849)*100</f>
        <v/>
      </c>
      <c r="BE849" s="82">
        <f>($S849-$J849)*100</f>
        <v/>
      </c>
      <c r="BF849" s="82">
        <f>($V849-$L849)*100</f>
        <v/>
      </c>
      <c r="BG849" s="82">
        <f>$AG849-$AF849</f>
        <v/>
      </c>
      <c r="BH849" s="81">
        <f>IFERROR($AG849/$AF849,"")</f>
        <v/>
      </c>
      <c r="BI849" s="82">
        <f>$AJ849-$AF849</f>
        <v/>
      </c>
      <c r="BJ849" s="81">
        <f>IFERROR($AJ849/$AG849,"")</f>
        <v/>
      </c>
      <c r="BK849" s="81">
        <f>$X849</f>
        <v/>
      </c>
      <c r="BL849" s="82">
        <f>($J849-$J850)*100</f>
        <v/>
      </c>
      <c r="BM849" s="82">
        <f>($F849-$F850)*100</f>
        <v/>
      </c>
      <c r="BN849" s="82">
        <f>$AF849-$AF850</f>
        <v/>
      </c>
      <c r="BO849" s="82">
        <f>$AG849-$AG850</f>
        <v/>
      </c>
      <c r="BP849" s="82">
        <f>$AJ849-$AJ850</f>
        <v/>
      </c>
    </row>
    <row r="850">
      <c r="AR850" s="81">
        <f>($G850+($H850-$G850)*0.5)+($P850-($O850+($Q850-$O850)*0.5))</f>
        <v/>
      </c>
      <c r="AS850" s="81">
        <f>($J850+($K850-$J850)*0.5)+($T850-($S850+($U850-$S850)*0.5))</f>
        <v/>
      </c>
      <c r="AT850" s="82">
        <f>($J850-$C850)*100</f>
        <v/>
      </c>
      <c r="AU850" s="82">
        <f>($H850-$F850)*100</f>
        <v/>
      </c>
      <c r="AV850" s="82">
        <f>($J850-$F850)*100</f>
        <v/>
      </c>
      <c r="AW850" s="82">
        <f>($L850-$F850)*100</f>
        <v/>
      </c>
      <c r="AX850" s="82">
        <f>($J850-$H850)*100</f>
        <v/>
      </c>
      <c r="AY850" s="82">
        <f>($L850-$H850)*100</f>
        <v/>
      </c>
      <c r="AZ850" s="82">
        <f>($L850-$J850)*100</f>
        <v/>
      </c>
      <c r="BA850" s="82">
        <f>(2*$H850-$F850-$J850)*100</f>
        <v/>
      </c>
      <c r="BB850" s="82">
        <f>(2*$J850-$H850-$L850)*100</f>
        <v/>
      </c>
      <c r="BC850" s="82">
        <f>($N850-$F850)*100</f>
        <v/>
      </c>
      <c r="BD850" s="82">
        <f>($Q850-$H850)*100</f>
        <v/>
      </c>
      <c r="BE850" s="82">
        <f>($S850-$J850)*100</f>
        <v/>
      </c>
      <c r="BF850" s="82">
        <f>($V850-$L850)*100</f>
        <v/>
      </c>
      <c r="BG850" s="82">
        <f>$AG850-$AF850</f>
        <v/>
      </c>
      <c r="BH850" s="81">
        <f>IFERROR($AG850/$AF850,"")</f>
        <v/>
      </c>
      <c r="BI850" s="82">
        <f>$AJ850-$AF850</f>
        <v/>
      </c>
      <c r="BJ850" s="81">
        <f>IFERROR($AJ850/$AG850,"")</f>
        <v/>
      </c>
      <c r="BK850" s="81">
        <f>$X850</f>
        <v/>
      </c>
      <c r="BL850" s="82">
        <f>($J850-$J851)*100</f>
        <v/>
      </c>
      <c r="BM850" s="82">
        <f>($F850-$F851)*100</f>
        <v/>
      </c>
      <c r="BN850" s="82">
        <f>$AF850-$AF851</f>
        <v/>
      </c>
      <c r="BO850" s="82">
        <f>$AG850-$AG851</f>
        <v/>
      </c>
      <c r="BP850" s="82">
        <f>$AJ850-$AJ851</f>
        <v/>
      </c>
    </row>
    <row r="851">
      <c r="AR851" s="81">
        <f>($G851+($H851-$G851)*0.5)+($P851-($O851+($Q851-$O851)*0.5))</f>
        <v/>
      </c>
      <c r="AS851" s="81">
        <f>($J851+($K851-$J851)*0.5)+($T851-($S851+($U851-$S851)*0.5))</f>
        <v/>
      </c>
      <c r="AT851" s="82">
        <f>($J851-$C851)*100</f>
        <v/>
      </c>
      <c r="AU851" s="82">
        <f>($H851-$F851)*100</f>
        <v/>
      </c>
      <c r="AV851" s="82">
        <f>($J851-$F851)*100</f>
        <v/>
      </c>
      <c r="AW851" s="82">
        <f>($L851-$F851)*100</f>
        <v/>
      </c>
      <c r="AX851" s="82">
        <f>($J851-$H851)*100</f>
        <v/>
      </c>
      <c r="AY851" s="82">
        <f>($L851-$H851)*100</f>
        <v/>
      </c>
      <c r="AZ851" s="82">
        <f>($L851-$J851)*100</f>
        <v/>
      </c>
      <c r="BA851" s="82">
        <f>(2*$H851-$F851-$J851)*100</f>
        <v/>
      </c>
      <c r="BB851" s="82">
        <f>(2*$J851-$H851-$L851)*100</f>
        <v/>
      </c>
      <c r="BC851" s="82">
        <f>($N851-$F851)*100</f>
        <v/>
      </c>
      <c r="BD851" s="82">
        <f>($Q851-$H851)*100</f>
        <v/>
      </c>
      <c r="BE851" s="82">
        <f>($S851-$J851)*100</f>
        <v/>
      </c>
      <c r="BF851" s="82">
        <f>($V851-$L851)*100</f>
        <v/>
      </c>
      <c r="BG851" s="82">
        <f>$AG851-$AF851</f>
        <v/>
      </c>
      <c r="BH851" s="81">
        <f>IFERROR($AG851/$AF851,"")</f>
        <v/>
      </c>
      <c r="BI851" s="82">
        <f>$AJ851-$AF851</f>
        <v/>
      </c>
      <c r="BJ851" s="81">
        <f>IFERROR($AJ851/$AG851,"")</f>
        <v/>
      </c>
      <c r="BK851" s="81">
        <f>$X851</f>
        <v/>
      </c>
      <c r="BL851" s="82">
        <f>($J851-$J852)*100</f>
        <v/>
      </c>
      <c r="BM851" s="82">
        <f>($F851-$F852)*100</f>
        <v/>
      </c>
      <c r="BN851" s="82">
        <f>$AF851-$AF852</f>
        <v/>
      </c>
      <c r="BO851" s="82">
        <f>$AG851-$AG852</f>
        <v/>
      </c>
      <c r="BP851" s="82">
        <f>$AJ851-$AJ852</f>
        <v/>
      </c>
    </row>
    <row r="852">
      <c r="AR852" s="81">
        <f>($G852+($H852-$G852)*0.5)+($P852-($O852+($Q852-$O852)*0.5))</f>
        <v/>
      </c>
      <c r="AS852" s="81">
        <f>($J852+($K852-$J852)*0.5)+($T852-($S852+($U852-$S852)*0.5))</f>
        <v/>
      </c>
      <c r="AT852" s="82">
        <f>($J852-$C852)*100</f>
        <v/>
      </c>
      <c r="AU852" s="82">
        <f>($H852-$F852)*100</f>
        <v/>
      </c>
      <c r="AV852" s="82">
        <f>($J852-$F852)*100</f>
        <v/>
      </c>
      <c r="AW852" s="82">
        <f>($L852-$F852)*100</f>
        <v/>
      </c>
      <c r="AX852" s="82">
        <f>($J852-$H852)*100</f>
        <v/>
      </c>
      <c r="AY852" s="82">
        <f>($L852-$H852)*100</f>
        <v/>
      </c>
      <c r="AZ852" s="82">
        <f>($L852-$J852)*100</f>
        <v/>
      </c>
      <c r="BA852" s="82">
        <f>(2*$H852-$F852-$J852)*100</f>
        <v/>
      </c>
      <c r="BB852" s="82">
        <f>(2*$J852-$H852-$L852)*100</f>
        <v/>
      </c>
      <c r="BC852" s="82">
        <f>($N852-$F852)*100</f>
        <v/>
      </c>
      <c r="BD852" s="82">
        <f>($Q852-$H852)*100</f>
        <v/>
      </c>
      <c r="BE852" s="82">
        <f>($S852-$J852)*100</f>
        <v/>
      </c>
      <c r="BF852" s="82">
        <f>($V852-$L852)*100</f>
        <v/>
      </c>
      <c r="BG852" s="82">
        <f>$AG852-$AF852</f>
        <v/>
      </c>
      <c r="BH852" s="81">
        <f>IFERROR($AG852/$AF852,"")</f>
        <v/>
      </c>
      <c r="BI852" s="82">
        <f>$AJ852-$AF852</f>
        <v/>
      </c>
      <c r="BJ852" s="81">
        <f>IFERROR($AJ852/$AG852,"")</f>
        <v/>
      </c>
      <c r="BK852" s="81">
        <f>$X852</f>
        <v/>
      </c>
      <c r="BL852" s="82">
        <f>($J852-$J853)*100</f>
        <v/>
      </c>
      <c r="BM852" s="82">
        <f>($F852-$F853)*100</f>
        <v/>
      </c>
      <c r="BN852" s="82">
        <f>$AF852-$AF853</f>
        <v/>
      </c>
      <c r="BO852" s="82">
        <f>$AG852-$AG853</f>
        <v/>
      </c>
      <c r="BP852" s="82">
        <f>$AJ852-$AJ853</f>
        <v/>
      </c>
    </row>
    <row r="853">
      <c r="AR853" s="81">
        <f>($G853+($H853-$G853)*0.5)+($P853-($O853+($Q853-$O853)*0.5))</f>
        <v/>
      </c>
      <c r="AS853" s="81">
        <f>($J853+($K853-$J853)*0.5)+($T853-($S853+($U853-$S853)*0.5))</f>
        <v/>
      </c>
      <c r="AT853" s="82">
        <f>($J853-$C853)*100</f>
        <v/>
      </c>
      <c r="AU853" s="82">
        <f>($H853-$F853)*100</f>
        <v/>
      </c>
      <c r="AV853" s="82">
        <f>($J853-$F853)*100</f>
        <v/>
      </c>
      <c r="AW853" s="82">
        <f>($L853-$F853)*100</f>
        <v/>
      </c>
      <c r="AX853" s="82">
        <f>($J853-$H853)*100</f>
        <v/>
      </c>
      <c r="AY853" s="82">
        <f>($L853-$H853)*100</f>
        <v/>
      </c>
      <c r="AZ853" s="82">
        <f>($L853-$J853)*100</f>
        <v/>
      </c>
      <c r="BA853" s="82">
        <f>(2*$H853-$F853-$J853)*100</f>
        <v/>
      </c>
      <c r="BB853" s="82">
        <f>(2*$J853-$H853-$L853)*100</f>
        <v/>
      </c>
      <c r="BC853" s="82">
        <f>($N853-$F853)*100</f>
        <v/>
      </c>
      <c r="BD853" s="82">
        <f>($Q853-$H853)*100</f>
        <v/>
      </c>
      <c r="BE853" s="82">
        <f>($S853-$J853)*100</f>
        <v/>
      </c>
      <c r="BF853" s="82">
        <f>($V853-$L853)*100</f>
        <v/>
      </c>
      <c r="BG853" s="82">
        <f>$AG853-$AF853</f>
        <v/>
      </c>
      <c r="BH853" s="81">
        <f>IFERROR($AG853/$AF853,"")</f>
        <v/>
      </c>
      <c r="BI853" s="82">
        <f>$AJ853-$AF853</f>
        <v/>
      </c>
      <c r="BJ853" s="81">
        <f>IFERROR($AJ853/$AG853,"")</f>
        <v/>
      </c>
      <c r="BK853" s="81">
        <f>$X853</f>
        <v/>
      </c>
      <c r="BL853" s="82">
        <f>($J853-$J854)*100</f>
        <v/>
      </c>
      <c r="BM853" s="82">
        <f>($F853-$F854)*100</f>
        <v/>
      </c>
      <c r="BN853" s="82">
        <f>$AF853-$AF854</f>
        <v/>
      </c>
      <c r="BO853" s="82">
        <f>$AG853-$AG854</f>
        <v/>
      </c>
      <c r="BP853" s="82">
        <f>$AJ853-$AJ854</f>
        <v/>
      </c>
    </row>
    <row r="854">
      <c r="AR854" s="81">
        <f>($G854+($H854-$G854)*0.5)+($P854-($O854+($Q854-$O854)*0.5))</f>
        <v/>
      </c>
      <c r="AS854" s="81">
        <f>($J854+($K854-$J854)*0.5)+($T854-($S854+($U854-$S854)*0.5))</f>
        <v/>
      </c>
      <c r="AT854" s="82">
        <f>($J854-$C854)*100</f>
        <v/>
      </c>
      <c r="AU854" s="82">
        <f>($H854-$F854)*100</f>
        <v/>
      </c>
      <c r="AV854" s="82">
        <f>($J854-$F854)*100</f>
        <v/>
      </c>
      <c r="AW854" s="82">
        <f>($L854-$F854)*100</f>
        <v/>
      </c>
      <c r="AX854" s="82">
        <f>($J854-$H854)*100</f>
        <v/>
      </c>
      <c r="AY854" s="82">
        <f>($L854-$H854)*100</f>
        <v/>
      </c>
      <c r="AZ854" s="82">
        <f>($L854-$J854)*100</f>
        <v/>
      </c>
      <c r="BA854" s="82">
        <f>(2*$H854-$F854-$J854)*100</f>
        <v/>
      </c>
      <c r="BB854" s="82">
        <f>(2*$J854-$H854-$L854)*100</f>
        <v/>
      </c>
      <c r="BC854" s="82">
        <f>($N854-$F854)*100</f>
        <v/>
      </c>
      <c r="BD854" s="82">
        <f>($Q854-$H854)*100</f>
        <v/>
      </c>
      <c r="BE854" s="82">
        <f>($S854-$J854)*100</f>
        <v/>
      </c>
      <c r="BF854" s="82">
        <f>($V854-$L854)*100</f>
        <v/>
      </c>
      <c r="BG854" s="82">
        <f>$AG854-$AF854</f>
        <v/>
      </c>
      <c r="BH854" s="81">
        <f>IFERROR($AG854/$AF854,"")</f>
        <v/>
      </c>
      <c r="BI854" s="82">
        <f>$AJ854-$AF854</f>
        <v/>
      </c>
      <c r="BJ854" s="81">
        <f>IFERROR($AJ854/$AG854,"")</f>
        <v/>
      </c>
      <c r="BK854" s="81">
        <f>$X854</f>
        <v/>
      </c>
      <c r="BL854" s="82">
        <f>($J854-$J855)*100</f>
        <v/>
      </c>
      <c r="BM854" s="82">
        <f>($F854-$F855)*100</f>
        <v/>
      </c>
      <c r="BN854" s="82">
        <f>$AF854-$AF855</f>
        <v/>
      </c>
      <c r="BO854" s="82">
        <f>$AG854-$AG855</f>
        <v/>
      </c>
      <c r="BP854" s="82">
        <f>$AJ854-$AJ855</f>
        <v/>
      </c>
    </row>
    <row r="855">
      <c r="AR855" s="81">
        <f>($G855+($H855-$G855)*0.5)+($P855-($O855+($Q855-$O855)*0.5))</f>
        <v/>
      </c>
      <c r="AS855" s="81">
        <f>($J855+($K855-$J855)*0.5)+($T855-($S855+($U855-$S855)*0.5))</f>
        <v/>
      </c>
      <c r="AT855" s="82">
        <f>($J855-$C855)*100</f>
        <v/>
      </c>
      <c r="AU855" s="82">
        <f>($H855-$F855)*100</f>
        <v/>
      </c>
      <c r="AV855" s="82">
        <f>($J855-$F855)*100</f>
        <v/>
      </c>
      <c r="AW855" s="82">
        <f>($L855-$F855)*100</f>
        <v/>
      </c>
      <c r="AX855" s="82">
        <f>($J855-$H855)*100</f>
        <v/>
      </c>
      <c r="AY855" s="82">
        <f>($L855-$H855)*100</f>
        <v/>
      </c>
      <c r="AZ855" s="82">
        <f>($L855-$J855)*100</f>
        <v/>
      </c>
      <c r="BA855" s="82">
        <f>(2*$H855-$F855-$J855)*100</f>
        <v/>
      </c>
      <c r="BB855" s="82">
        <f>(2*$J855-$H855-$L855)*100</f>
        <v/>
      </c>
      <c r="BC855" s="82">
        <f>($N855-$F855)*100</f>
        <v/>
      </c>
      <c r="BD855" s="82">
        <f>($Q855-$H855)*100</f>
        <v/>
      </c>
      <c r="BE855" s="82">
        <f>($S855-$J855)*100</f>
        <v/>
      </c>
      <c r="BF855" s="82">
        <f>($V855-$L855)*100</f>
        <v/>
      </c>
      <c r="BG855" s="82">
        <f>$AG855-$AF855</f>
        <v/>
      </c>
      <c r="BH855" s="81">
        <f>IFERROR($AG855/$AF855,"")</f>
        <v/>
      </c>
      <c r="BI855" s="82">
        <f>$AJ855-$AF855</f>
        <v/>
      </c>
      <c r="BJ855" s="81">
        <f>IFERROR($AJ855/$AG855,"")</f>
        <v/>
      </c>
      <c r="BK855" s="81">
        <f>$X855</f>
        <v/>
      </c>
      <c r="BL855" s="82">
        <f>($J855-$J856)*100</f>
        <v/>
      </c>
      <c r="BM855" s="82">
        <f>($F855-$F856)*100</f>
        <v/>
      </c>
      <c r="BN855" s="82">
        <f>$AF855-$AF856</f>
        <v/>
      </c>
      <c r="BO855" s="82">
        <f>$AG855-$AG856</f>
        <v/>
      </c>
      <c r="BP855" s="82">
        <f>$AJ855-$AJ856</f>
        <v/>
      </c>
    </row>
    <row r="856">
      <c r="AR856" s="81">
        <f>($G856+($H856-$G856)*0.5)+($P856-($O856+($Q856-$O856)*0.5))</f>
        <v/>
      </c>
      <c r="AS856" s="81">
        <f>($J856+($K856-$J856)*0.5)+($T856-($S856+($U856-$S856)*0.5))</f>
        <v/>
      </c>
      <c r="AT856" s="82">
        <f>($J856-$C856)*100</f>
        <v/>
      </c>
      <c r="AU856" s="82">
        <f>($H856-$F856)*100</f>
        <v/>
      </c>
      <c r="AV856" s="82">
        <f>($J856-$F856)*100</f>
        <v/>
      </c>
      <c r="AW856" s="82">
        <f>($L856-$F856)*100</f>
        <v/>
      </c>
      <c r="AX856" s="82">
        <f>($J856-$H856)*100</f>
        <v/>
      </c>
      <c r="AY856" s="82">
        <f>($L856-$H856)*100</f>
        <v/>
      </c>
      <c r="AZ856" s="82">
        <f>($L856-$J856)*100</f>
        <v/>
      </c>
      <c r="BA856" s="82">
        <f>(2*$H856-$F856-$J856)*100</f>
        <v/>
      </c>
      <c r="BB856" s="82">
        <f>(2*$J856-$H856-$L856)*100</f>
        <v/>
      </c>
      <c r="BC856" s="82">
        <f>($N856-$F856)*100</f>
        <v/>
      </c>
      <c r="BD856" s="82">
        <f>($Q856-$H856)*100</f>
        <v/>
      </c>
      <c r="BE856" s="82">
        <f>($S856-$J856)*100</f>
        <v/>
      </c>
      <c r="BF856" s="82">
        <f>($V856-$L856)*100</f>
        <v/>
      </c>
      <c r="BG856" s="82">
        <f>$AG856-$AF856</f>
        <v/>
      </c>
      <c r="BH856" s="81">
        <f>IFERROR($AG856/$AF856,"")</f>
        <v/>
      </c>
      <c r="BI856" s="82">
        <f>$AJ856-$AF856</f>
        <v/>
      </c>
      <c r="BJ856" s="81">
        <f>IFERROR($AJ856/$AG856,"")</f>
        <v/>
      </c>
      <c r="BK856" s="81">
        <f>$X856</f>
        <v/>
      </c>
      <c r="BL856" s="82">
        <f>($J856-$J857)*100</f>
        <v/>
      </c>
      <c r="BM856" s="82">
        <f>($F856-$F857)*100</f>
        <v/>
      </c>
      <c r="BN856" s="82">
        <f>$AF856-$AF857</f>
        <v/>
      </c>
      <c r="BO856" s="82">
        <f>$AG856-$AG857</f>
        <v/>
      </c>
      <c r="BP856" s="82">
        <f>$AJ856-$AJ857</f>
        <v/>
      </c>
    </row>
    <row r="857">
      <c r="AR857" s="81">
        <f>($G857+($H857-$G857)*0.5)+($P857-($O857+($Q857-$O857)*0.5))</f>
        <v/>
      </c>
      <c r="AS857" s="81">
        <f>($J857+($K857-$J857)*0.5)+($T857-($S857+($U857-$S857)*0.5))</f>
        <v/>
      </c>
      <c r="AT857" s="82">
        <f>($J857-$C857)*100</f>
        <v/>
      </c>
      <c r="AU857" s="82">
        <f>($H857-$F857)*100</f>
        <v/>
      </c>
      <c r="AV857" s="82">
        <f>($J857-$F857)*100</f>
        <v/>
      </c>
      <c r="AW857" s="82">
        <f>($L857-$F857)*100</f>
        <v/>
      </c>
      <c r="AX857" s="82">
        <f>($J857-$H857)*100</f>
        <v/>
      </c>
      <c r="AY857" s="82">
        <f>($L857-$H857)*100</f>
        <v/>
      </c>
      <c r="AZ857" s="82">
        <f>($L857-$J857)*100</f>
        <v/>
      </c>
      <c r="BA857" s="82">
        <f>(2*$H857-$F857-$J857)*100</f>
        <v/>
      </c>
      <c r="BB857" s="82">
        <f>(2*$J857-$H857-$L857)*100</f>
        <v/>
      </c>
      <c r="BC857" s="82">
        <f>($N857-$F857)*100</f>
        <v/>
      </c>
      <c r="BD857" s="82">
        <f>($Q857-$H857)*100</f>
        <v/>
      </c>
      <c r="BE857" s="82">
        <f>($S857-$J857)*100</f>
        <v/>
      </c>
      <c r="BF857" s="82">
        <f>($V857-$L857)*100</f>
        <v/>
      </c>
      <c r="BG857" s="82">
        <f>$AG857-$AF857</f>
        <v/>
      </c>
      <c r="BH857" s="81">
        <f>IFERROR($AG857/$AF857,"")</f>
        <v/>
      </c>
      <c r="BI857" s="82">
        <f>$AJ857-$AF857</f>
        <v/>
      </c>
      <c r="BJ857" s="81">
        <f>IFERROR($AJ857/$AG857,"")</f>
        <v/>
      </c>
      <c r="BK857" s="81">
        <f>$X857</f>
        <v/>
      </c>
      <c r="BL857" s="82">
        <f>($J857-$J858)*100</f>
        <v/>
      </c>
      <c r="BM857" s="82">
        <f>($F857-$F858)*100</f>
        <v/>
      </c>
      <c r="BN857" s="82">
        <f>$AF857-$AF858</f>
        <v/>
      </c>
      <c r="BO857" s="82">
        <f>$AG857-$AG858</f>
        <v/>
      </c>
      <c r="BP857" s="82">
        <f>$AJ857-$AJ858</f>
        <v/>
      </c>
    </row>
    <row r="858">
      <c r="AR858" s="81">
        <f>($G858+($H858-$G858)*0.5)+($P858-($O858+($Q858-$O858)*0.5))</f>
        <v/>
      </c>
      <c r="AS858" s="81">
        <f>($J858+($K858-$J858)*0.5)+($T858-($S858+($U858-$S858)*0.5))</f>
        <v/>
      </c>
      <c r="AT858" s="82">
        <f>($J858-$C858)*100</f>
        <v/>
      </c>
      <c r="AU858" s="82">
        <f>($H858-$F858)*100</f>
        <v/>
      </c>
      <c r="AV858" s="82">
        <f>($J858-$F858)*100</f>
        <v/>
      </c>
      <c r="AW858" s="82">
        <f>($L858-$F858)*100</f>
        <v/>
      </c>
      <c r="AX858" s="82">
        <f>($J858-$H858)*100</f>
        <v/>
      </c>
      <c r="AY858" s="82">
        <f>($L858-$H858)*100</f>
        <v/>
      </c>
      <c r="AZ858" s="82">
        <f>($L858-$J858)*100</f>
        <v/>
      </c>
      <c r="BA858" s="82">
        <f>(2*$H858-$F858-$J858)*100</f>
        <v/>
      </c>
      <c r="BB858" s="82">
        <f>(2*$J858-$H858-$L858)*100</f>
        <v/>
      </c>
      <c r="BC858" s="82">
        <f>($N858-$F858)*100</f>
        <v/>
      </c>
      <c r="BD858" s="82">
        <f>($Q858-$H858)*100</f>
        <v/>
      </c>
      <c r="BE858" s="82">
        <f>($S858-$J858)*100</f>
        <v/>
      </c>
      <c r="BF858" s="82">
        <f>($V858-$L858)*100</f>
        <v/>
      </c>
      <c r="BG858" s="82">
        <f>$AG858-$AF858</f>
        <v/>
      </c>
      <c r="BH858" s="81">
        <f>IFERROR($AG858/$AF858,"")</f>
        <v/>
      </c>
      <c r="BI858" s="82">
        <f>$AJ858-$AF858</f>
        <v/>
      </c>
      <c r="BJ858" s="81">
        <f>IFERROR($AJ858/$AG858,"")</f>
        <v/>
      </c>
      <c r="BK858" s="81">
        <f>$X858</f>
        <v/>
      </c>
      <c r="BL858" s="82">
        <f>($J858-$J859)*100</f>
        <v/>
      </c>
      <c r="BM858" s="82">
        <f>($F858-$F859)*100</f>
        <v/>
      </c>
      <c r="BN858" s="82">
        <f>$AF858-$AF859</f>
        <v/>
      </c>
      <c r="BO858" s="82">
        <f>$AG858-$AG859</f>
        <v/>
      </c>
      <c r="BP858" s="82">
        <f>$AJ858-$AJ859</f>
        <v/>
      </c>
    </row>
    <row r="859">
      <c r="AR859" s="81">
        <f>($G859+($H859-$G859)*0.5)+($P859-($O859+($Q859-$O859)*0.5))</f>
        <v/>
      </c>
      <c r="AS859" s="81">
        <f>($J859+($K859-$J859)*0.5)+($T859-($S859+($U859-$S859)*0.5))</f>
        <v/>
      </c>
      <c r="AT859" s="82">
        <f>($J859-$C859)*100</f>
        <v/>
      </c>
      <c r="AU859" s="82">
        <f>($H859-$F859)*100</f>
        <v/>
      </c>
      <c r="AV859" s="82">
        <f>($J859-$F859)*100</f>
        <v/>
      </c>
      <c r="AW859" s="82">
        <f>($L859-$F859)*100</f>
        <v/>
      </c>
      <c r="AX859" s="82">
        <f>($J859-$H859)*100</f>
        <v/>
      </c>
      <c r="AY859" s="82">
        <f>($L859-$H859)*100</f>
        <v/>
      </c>
      <c r="AZ859" s="82">
        <f>($L859-$J859)*100</f>
        <v/>
      </c>
      <c r="BA859" s="82">
        <f>(2*$H859-$F859-$J859)*100</f>
        <v/>
      </c>
      <c r="BB859" s="82">
        <f>(2*$J859-$H859-$L859)*100</f>
        <v/>
      </c>
      <c r="BC859" s="82">
        <f>($N859-$F859)*100</f>
        <v/>
      </c>
      <c r="BD859" s="82">
        <f>($Q859-$H859)*100</f>
        <v/>
      </c>
      <c r="BE859" s="82">
        <f>($S859-$J859)*100</f>
        <v/>
      </c>
      <c r="BF859" s="82">
        <f>($V859-$L859)*100</f>
        <v/>
      </c>
      <c r="BG859" s="82">
        <f>$AG859-$AF859</f>
        <v/>
      </c>
      <c r="BH859" s="81">
        <f>IFERROR($AG859/$AF859,"")</f>
        <v/>
      </c>
      <c r="BI859" s="82">
        <f>$AJ859-$AF859</f>
        <v/>
      </c>
      <c r="BJ859" s="81">
        <f>IFERROR($AJ859/$AG859,"")</f>
        <v/>
      </c>
      <c r="BK859" s="81">
        <f>$X859</f>
        <v/>
      </c>
      <c r="BL859" s="82">
        <f>($J859-$J860)*100</f>
        <v/>
      </c>
      <c r="BM859" s="82">
        <f>($F859-$F860)*100</f>
        <v/>
      </c>
      <c r="BN859" s="82">
        <f>$AF859-$AF860</f>
        <v/>
      </c>
      <c r="BO859" s="82">
        <f>$AG859-$AG860</f>
        <v/>
      </c>
      <c r="BP859" s="82">
        <f>$AJ859-$AJ860</f>
        <v/>
      </c>
    </row>
    <row r="860">
      <c r="AR860" s="81">
        <f>($G860+($H860-$G860)*0.5)+($P860-($O860+($Q860-$O860)*0.5))</f>
        <v/>
      </c>
      <c r="AS860" s="81">
        <f>($J860+($K860-$J860)*0.5)+($T860-($S860+($U860-$S860)*0.5))</f>
        <v/>
      </c>
      <c r="AT860" s="82">
        <f>($J860-$C860)*100</f>
        <v/>
      </c>
      <c r="AU860" s="82">
        <f>($H860-$F860)*100</f>
        <v/>
      </c>
      <c r="AV860" s="82">
        <f>($J860-$F860)*100</f>
        <v/>
      </c>
      <c r="AW860" s="82">
        <f>($L860-$F860)*100</f>
        <v/>
      </c>
      <c r="AX860" s="82">
        <f>($J860-$H860)*100</f>
        <v/>
      </c>
      <c r="AY860" s="82">
        <f>($L860-$H860)*100</f>
        <v/>
      </c>
      <c r="AZ860" s="82">
        <f>($L860-$J860)*100</f>
        <v/>
      </c>
      <c r="BA860" s="82">
        <f>(2*$H860-$F860-$J860)*100</f>
        <v/>
      </c>
      <c r="BB860" s="82">
        <f>(2*$J860-$H860-$L860)*100</f>
        <v/>
      </c>
      <c r="BC860" s="82">
        <f>($N860-$F860)*100</f>
        <v/>
      </c>
      <c r="BD860" s="82">
        <f>($Q860-$H860)*100</f>
        <v/>
      </c>
      <c r="BE860" s="82">
        <f>($S860-$J860)*100</f>
        <v/>
      </c>
      <c r="BF860" s="82">
        <f>($V860-$L860)*100</f>
        <v/>
      </c>
      <c r="BG860" s="82">
        <f>$AG860-$AF860</f>
        <v/>
      </c>
      <c r="BH860" s="81">
        <f>IFERROR($AG860/$AF860,"")</f>
        <v/>
      </c>
      <c r="BI860" s="82">
        <f>$AJ860-$AF860</f>
        <v/>
      </c>
      <c r="BJ860" s="81">
        <f>IFERROR($AJ860/$AG860,"")</f>
        <v/>
      </c>
      <c r="BK860" s="81">
        <f>$X860</f>
        <v/>
      </c>
      <c r="BL860" s="82">
        <f>($J860-$J861)*100</f>
        <v/>
      </c>
      <c r="BM860" s="82">
        <f>($F860-$F861)*100</f>
        <v/>
      </c>
      <c r="BN860" s="82">
        <f>$AF860-$AF861</f>
        <v/>
      </c>
      <c r="BO860" s="82">
        <f>$AG860-$AG861</f>
        <v/>
      </c>
      <c r="BP860" s="82">
        <f>$AJ860-$AJ861</f>
        <v/>
      </c>
    </row>
    <row r="861">
      <c r="AR861" s="81">
        <f>($G861+($H861-$G861)*0.5)+($P861-($O861+($Q861-$O861)*0.5))</f>
        <v/>
      </c>
      <c r="AS861" s="81">
        <f>($J861+($K861-$J861)*0.5)+($T861-($S861+($U861-$S861)*0.5))</f>
        <v/>
      </c>
      <c r="AT861" s="82">
        <f>($J861-$C861)*100</f>
        <v/>
      </c>
      <c r="AU861" s="82">
        <f>($H861-$F861)*100</f>
        <v/>
      </c>
      <c r="AV861" s="82">
        <f>($J861-$F861)*100</f>
        <v/>
      </c>
      <c r="AW861" s="82">
        <f>($L861-$F861)*100</f>
        <v/>
      </c>
      <c r="AX861" s="82">
        <f>($J861-$H861)*100</f>
        <v/>
      </c>
      <c r="AY861" s="82">
        <f>($L861-$H861)*100</f>
        <v/>
      </c>
      <c r="AZ861" s="82">
        <f>($L861-$J861)*100</f>
        <v/>
      </c>
      <c r="BA861" s="82">
        <f>(2*$H861-$F861-$J861)*100</f>
        <v/>
      </c>
      <c r="BB861" s="82">
        <f>(2*$J861-$H861-$L861)*100</f>
        <v/>
      </c>
      <c r="BC861" s="82">
        <f>($N861-$F861)*100</f>
        <v/>
      </c>
      <c r="BD861" s="82">
        <f>($Q861-$H861)*100</f>
        <v/>
      </c>
      <c r="BE861" s="82">
        <f>($S861-$J861)*100</f>
        <v/>
      </c>
      <c r="BF861" s="82">
        <f>($V861-$L861)*100</f>
        <v/>
      </c>
      <c r="BG861" s="82">
        <f>$AG861-$AF861</f>
        <v/>
      </c>
      <c r="BH861" s="81">
        <f>IFERROR($AG861/$AF861,"")</f>
        <v/>
      </c>
      <c r="BI861" s="82">
        <f>$AJ861-$AF861</f>
        <v/>
      </c>
      <c r="BJ861" s="81">
        <f>IFERROR($AJ861/$AG861,"")</f>
        <v/>
      </c>
      <c r="BK861" s="81">
        <f>$X861</f>
        <v/>
      </c>
      <c r="BL861" s="82">
        <f>($J861-$J862)*100</f>
        <v/>
      </c>
      <c r="BM861" s="82">
        <f>($F861-$F862)*100</f>
        <v/>
      </c>
      <c r="BN861" s="82">
        <f>$AF861-$AF862</f>
        <v/>
      </c>
      <c r="BO861" s="82">
        <f>$AG861-$AG862</f>
        <v/>
      </c>
      <c r="BP861" s="82">
        <f>$AJ861-$AJ862</f>
        <v/>
      </c>
    </row>
    <row r="862">
      <c r="AR862" s="81">
        <f>($G862+($H862-$G862)*0.5)+($P862-($O862+($Q862-$O862)*0.5))</f>
        <v/>
      </c>
      <c r="AS862" s="81">
        <f>($J862+($K862-$J862)*0.5)+($T862-($S862+($U862-$S862)*0.5))</f>
        <v/>
      </c>
      <c r="AT862" s="82">
        <f>($J862-$C862)*100</f>
        <v/>
      </c>
      <c r="AU862" s="82">
        <f>($H862-$F862)*100</f>
        <v/>
      </c>
      <c r="AV862" s="82">
        <f>($J862-$F862)*100</f>
        <v/>
      </c>
      <c r="AW862" s="82">
        <f>($L862-$F862)*100</f>
        <v/>
      </c>
      <c r="AX862" s="82">
        <f>($J862-$H862)*100</f>
        <v/>
      </c>
      <c r="AY862" s="82">
        <f>($L862-$H862)*100</f>
        <v/>
      </c>
      <c r="AZ862" s="82">
        <f>($L862-$J862)*100</f>
        <v/>
      </c>
      <c r="BA862" s="82">
        <f>(2*$H862-$F862-$J862)*100</f>
        <v/>
      </c>
      <c r="BB862" s="82">
        <f>(2*$J862-$H862-$L862)*100</f>
        <v/>
      </c>
      <c r="BC862" s="82">
        <f>($N862-$F862)*100</f>
        <v/>
      </c>
      <c r="BD862" s="82">
        <f>($Q862-$H862)*100</f>
        <v/>
      </c>
      <c r="BE862" s="82">
        <f>($S862-$J862)*100</f>
        <v/>
      </c>
      <c r="BF862" s="82">
        <f>($V862-$L862)*100</f>
        <v/>
      </c>
      <c r="BG862" s="82">
        <f>$AG862-$AF862</f>
        <v/>
      </c>
      <c r="BH862" s="81">
        <f>IFERROR($AG862/$AF862,"")</f>
        <v/>
      </c>
      <c r="BI862" s="82">
        <f>$AJ862-$AF862</f>
        <v/>
      </c>
      <c r="BJ862" s="81">
        <f>IFERROR($AJ862/$AG862,"")</f>
        <v/>
      </c>
      <c r="BK862" s="81">
        <f>$X862</f>
        <v/>
      </c>
      <c r="BL862" s="82">
        <f>($J862-$J863)*100</f>
        <v/>
      </c>
      <c r="BM862" s="82">
        <f>($F862-$F863)*100</f>
        <v/>
      </c>
      <c r="BN862" s="82">
        <f>$AF862-$AF863</f>
        <v/>
      </c>
      <c r="BO862" s="82">
        <f>$AG862-$AG863</f>
        <v/>
      </c>
      <c r="BP862" s="82">
        <f>$AJ862-$AJ863</f>
        <v/>
      </c>
    </row>
    <row r="863">
      <c r="AR863" s="81">
        <f>($G863+($H863-$G863)*0.5)+($P863-($O863+($Q863-$O863)*0.5))</f>
        <v/>
      </c>
      <c r="AS863" s="81">
        <f>($J863+($K863-$J863)*0.5)+($T863-($S863+($U863-$S863)*0.5))</f>
        <v/>
      </c>
      <c r="AT863" s="82">
        <f>($J863-$C863)*100</f>
        <v/>
      </c>
      <c r="AU863" s="82">
        <f>($H863-$F863)*100</f>
        <v/>
      </c>
      <c r="AV863" s="82">
        <f>($J863-$F863)*100</f>
        <v/>
      </c>
      <c r="AW863" s="82">
        <f>($L863-$F863)*100</f>
        <v/>
      </c>
      <c r="AX863" s="82">
        <f>($J863-$H863)*100</f>
        <v/>
      </c>
      <c r="AY863" s="82">
        <f>($L863-$H863)*100</f>
        <v/>
      </c>
      <c r="AZ863" s="82">
        <f>($L863-$J863)*100</f>
        <v/>
      </c>
      <c r="BA863" s="82">
        <f>(2*$H863-$F863-$J863)*100</f>
        <v/>
      </c>
      <c r="BB863" s="82">
        <f>(2*$J863-$H863-$L863)*100</f>
        <v/>
      </c>
      <c r="BC863" s="82">
        <f>($N863-$F863)*100</f>
        <v/>
      </c>
      <c r="BD863" s="82">
        <f>($Q863-$H863)*100</f>
        <v/>
      </c>
      <c r="BE863" s="82">
        <f>($S863-$J863)*100</f>
        <v/>
      </c>
      <c r="BF863" s="82">
        <f>($V863-$L863)*100</f>
        <v/>
      </c>
      <c r="BG863" s="82">
        <f>$AG863-$AF863</f>
        <v/>
      </c>
      <c r="BH863" s="81">
        <f>IFERROR($AG863/$AF863,"")</f>
        <v/>
      </c>
      <c r="BI863" s="82">
        <f>$AJ863-$AF863</f>
        <v/>
      </c>
      <c r="BJ863" s="81">
        <f>IFERROR($AJ863/$AG863,"")</f>
        <v/>
      </c>
      <c r="BK863" s="81">
        <f>$X863</f>
        <v/>
      </c>
      <c r="BL863" s="82">
        <f>($J863-$J864)*100</f>
        <v/>
      </c>
      <c r="BM863" s="82">
        <f>($F863-$F864)*100</f>
        <v/>
      </c>
      <c r="BN863" s="82">
        <f>$AF863-$AF864</f>
        <v/>
      </c>
      <c r="BO863" s="82">
        <f>$AG863-$AG864</f>
        <v/>
      </c>
      <c r="BP863" s="82">
        <f>$AJ863-$AJ864</f>
        <v/>
      </c>
    </row>
    <row r="864">
      <c r="AR864" s="81">
        <f>($G864+($H864-$G864)*0.5)+($P864-($O864+($Q864-$O864)*0.5))</f>
        <v/>
      </c>
      <c r="AS864" s="81">
        <f>($J864+($K864-$J864)*0.5)+($T864-($S864+($U864-$S864)*0.5))</f>
        <v/>
      </c>
      <c r="AT864" s="82">
        <f>($J864-$C864)*100</f>
        <v/>
      </c>
      <c r="AU864" s="82">
        <f>($H864-$F864)*100</f>
        <v/>
      </c>
      <c r="AV864" s="82">
        <f>($J864-$F864)*100</f>
        <v/>
      </c>
      <c r="AW864" s="82">
        <f>($L864-$F864)*100</f>
        <v/>
      </c>
      <c r="AX864" s="82">
        <f>($J864-$H864)*100</f>
        <v/>
      </c>
      <c r="AY864" s="82">
        <f>($L864-$H864)*100</f>
        <v/>
      </c>
      <c r="AZ864" s="82">
        <f>($L864-$J864)*100</f>
        <v/>
      </c>
      <c r="BA864" s="82">
        <f>(2*$H864-$F864-$J864)*100</f>
        <v/>
      </c>
      <c r="BB864" s="82">
        <f>(2*$J864-$H864-$L864)*100</f>
        <v/>
      </c>
      <c r="BC864" s="82">
        <f>($N864-$F864)*100</f>
        <v/>
      </c>
      <c r="BD864" s="82">
        <f>($Q864-$H864)*100</f>
        <v/>
      </c>
      <c r="BE864" s="82">
        <f>($S864-$J864)*100</f>
        <v/>
      </c>
      <c r="BF864" s="82">
        <f>($V864-$L864)*100</f>
        <v/>
      </c>
      <c r="BG864" s="82">
        <f>$AG864-$AF864</f>
        <v/>
      </c>
      <c r="BH864" s="81">
        <f>IFERROR($AG864/$AF864,"")</f>
        <v/>
      </c>
      <c r="BI864" s="82">
        <f>$AJ864-$AF864</f>
        <v/>
      </c>
      <c r="BJ864" s="81">
        <f>IFERROR($AJ864/$AG864,"")</f>
        <v/>
      </c>
      <c r="BK864" s="81">
        <f>$X864</f>
        <v/>
      </c>
      <c r="BL864" s="82">
        <f>($J864-$J865)*100</f>
        <v/>
      </c>
      <c r="BM864" s="82">
        <f>($F864-$F865)*100</f>
        <v/>
      </c>
      <c r="BN864" s="82">
        <f>$AF864-$AF865</f>
        <v/>
      </c>
      <c r="BO864" s="82">
        <f>$AG864-$AG865</f>
        <v/>
      </c>
      <c r="BP864" s="82">
        <f>$AJ864-$AJ865</f>
        <v/>
      </c>
    </row>
    <row r="865">
      <c r="AR865" s="81">
        <f>($G865+($H865-$G865)*0.5)+($P865-($O865+($Q865-$O865)*0.5))</f>
        <v/>
      </c>
      <c r="AS865" s="81">
        <f>($J865+($K865-$J865)*0.5)+($T865-($S865+($U865-$S865)*0.5))</f>
        <v/>
      </c>
      <c r="AT865" s="82">
        <f>($J865-$C865)*100</f>
        <v/>
      </c>
      <c r="AU865" s="82">
        <f>($H865-$F865)*100</f>
        <v/>
      </c>
      <c r="AV865" s="82">
        <f>($J865-$F865)*100</f>
        <v/>
      </c>
      <c r="AW865" s="82">
        <f>($L865-$F865)*100</f>
        <v/>
      </c>
      <c r="AX865" s="82">
        <f>($J865-$H865)*100</f>
        <v/>
      </c>
      <c r="AY865" s="82">
        <f>($L865-$H865)*100</f>
        <v/>
      </c>
      <c r="AZ865" s="82">
        <f>($L865-$J865)*100</f>
        <v/>
      </c>
      <c r="BA865" s="82">
        <f>(2*$H865-$F865-$J865)*100</f>
        <v/>
      </c>
      <c r="BB865" s="82">
        <f>(2*$J865-$H865-$L865)*100</f>
        <v/>
      </c>
      <c r="BC865" s="82">
        <f>($N865-$F865)*100</f>
        <v/>
      </c>
      <c r="BD865" s="82">
        <f>($Q865-$H865)*100</f>
        <v/>
      </c>
      <c r="BE865" s="82">
        <f>($S865-$J865)*100</f>
        <v/>
      </c>
      <c r="BF865" s="82">
        <f>($V865-$L865)*100</f>
        <v/>
      </c>
      <c r="BG865" s="82">
        <f>$AG865-$AF865</f>
        <v/>
      </c>
      <c r="BH865" s="81">
        <f>IFERROR($AG865/$AF865,"")</f>
        <v/>
      </c>
      <c r="BI865" s="82">
        <f>$AJ865-$AF865</f>
        <v/>
      </c>
      <c r="BJ865" s="81">
        <f>IFERROR($AJ865/$AG865,"")</f>
        <v/>
      </c>
      <c r="BK865" s="81">
        <f>$X865</f>
        <v/>
      </c>
      <c r="BL865" s="82">
        <f>($J865-$J866)*100</f>
        <v/>
      </c>
      <c r="BM865" s="82">
        <f>($F865-$F866)*100</f>
        <v/>
      </c>
      <c r="BN865" s="82">
        <f>$AF865-$AF866</f>
        <v/>
      </c>
      <c r="BO865" s="82">
        <f>$AG865-$AG866</f>
        <v/>
      </c>
      <c r="BP865" s="82">
        <f>$AJ865-$AJ866</f>
        <v/>
      </c>
    </row>
    <row r="866">
      <c r="AR866" s="81">
        <f>($G866+($H866-$G866)*0.5)+($P866-($O866+($Q866-$O866)*0.5))</f>
        <v/>
      </c>
      <c r="AS866" s="81">
        <f>($J866+($K866-$J866)*0.5)+($T866-($S866+($U866-$S866)*0.5))</f>
        <v/>
      </c>
      <c r="AT866" s="82">
        <f>($J866-$C866)*100</f>
        <v/>
      </c>
      <c r="AU866" s="82">
        <f>($H866-$F866)*100</f>
        <v/>
      </c>
      <c r="AV866" s="82">
        <f>($J866-$F866)*100</f>
        <v/>
      </c>
      <c r="AW866" s="82">
        <f>($L866-$F866)*100</f>
        <v/>
      </c>
      <c r="AX866" s="82">
        <f>($J866-$H866)*100</f>
        <v/>
      </c>
      <c r="AY866" s="82">
        <f>($L866-$H866)*100</f>
        <v/>
      </c>
      <c r="AZ866" s="82">
        <f>($L866-$J866)*100</f>
        <v/>
      </c>
      <c r="BA866" s="82">
        <f>(2*$H866-$F866-$J866)*100</f>
        <v/>
      </c>
      <c r="BB866" s="82">
        <f>(2*$J866-$H866-$L866)*100</f>
        <v/>
      </c>
      <c r="BC866" s="82">
        <f>($N866-$F866)*100</f>
        <v/>
      </c>
      <c r="BD866" s="82">
        <f>($Q866-$H866)*100</f>
        <v/>
      </c>
      <c r="BE866" s="82">
        <f>($S866-$J866)*100</f>
        <v/>
      </c>
      <c r="BF866" s="82">
        <f>($V866-$L866)*100</f>
        <v/>
      </c>
      <c r="BG866" s="82">
        <f>$AG866-$AF866</f>
        <v/>
      </c>
      <c r="BH866" s="81">
        <f>IFERROR($AG866/$AF866,"")</f>
        <v/>
      </c>
      <c r="BI866" s="82">
        <f>$AJ866-$AF866</f>
        <v/>
      </c>
      <c r="BJ866" s="81">
        <f>IFERROR($AJ866/$AG866,"")</f>
        <v/>
      </c>
      <c r="BK866" s="81">
        <f>$X866</f>
        <v/>
      </c>
      <c r="BL866" s="82">
        <f>($J866-$J867)*100</f>
        <v/>
      </c>
      <c r="BM866" s="82">
        <f>($F866-$F867)*100</f>
        <v/>
      </c>
      <c r="BN866" s="82">
        <f>$AF866-$AF867</f>
        <v/>
      </c>
      <c r="BO866" s="82">
        <f>$AG866-$AG867</f>
        <v/>
      </c>
      <c r="BP866" s="82">
        <f>$AJ866-$AJ867</f>
        <v/>
      </c>
    </row>
    <row r="867">
      <c r="AR867" s="81">
        <f>($G867+($H867-$G867)*0.5)+($P867-($O867+($Q867-$O867)*0.5))</f>
        <v/>
      </c>
      <c r="AS867" s="81">
        <f>($J867+($K867-$J867)*0.5)+($T867-($S867+($U867-$S867)*0.5))</f>
        <v/>
      </c>
      <c r="AT867" s="82">
        <f>($J867-$C867)*100</f>
        <v/>
      </c>
      <c r="AU867" s="82">
        <f>($H867-$F867)*100</f>
        <v/>
      </c>
      <c r="AV867" s="82">
        <f>($J867-$F867)*100</f>
        <v/>
      </c>
      <c r="AW867" s="82">
        <f>($L867-$F867)*100</f>
        <v/>
      </c>
      <c r="AX867" s="82">
        <f>($J867-$H867)*100</f>
        <v/>
      </c>
      <c r="AY867" s="82">
        <f>($L867-$H867)*100</f>
        <v/>
      </c>
      <c r="AZ867" s="82">
        <f>($L867-$J867)*100</f>
        <v/>
      </c>
      <c r="BA867" s="82">
        <f>(2*$H867-$F867-$J867)*100</f>
        <v/>
      </c>
      <c r="BB867" s="82">
        <f>(2*$J867-$H867-$L867)*100</f>
        <v/>
      </c>
      <c r="BC867" s="82">
        <f>($N867-$F867)*100</f>
        <v/>
      </c>
      <c r="BD867" s="82">
        <f>($Q867-$H867)*100</f>
        <v/>
      </c>
      <c r="BE867" s="82">
        <f>($S867-$J867)*100</f>
        <v/>
      </c>
      <c r="BF867" s="82">
        <f>($V867-$L867)*100</f>
        <v/>
      </c>
      <c r="BG867" s="82">
        <f>$AG867-$AF867</f>
        <v/>
      </c>
      <c r="BH867" s="81">
        <f>IFERROR($AG867/$AF867,"")</f>
        <v/>
      </c>
      <c r="BI867" s="82">
        <f>$AJ867-$AF867</f>
        <v/>
      </c>
      <c r="BJ867" s="81">
        <f>IFERROR($AJ867/$AG867,"")</f>
        <v/>
      </c>
      <c r="BK867" s="81">
        <f>$X867</f>
        <v/>
      </c>
      <c r="BL867" s="82">
        <f>($J867-$J868)*100</f>
        <v/>
      </c>
      <c r="BM867" s="82">
        <f>($F867-$F868)*100</f>
        <v/>
      </c>
      <c r="BN867" s="82">
        <f>$AF867-$AF868</f>
        <v/>
      </c>
      <c r="BO867" s="82">
        <f>$AG867-$AG868</f>
        <v/>
      </c>
      <c r="BP867" s="82">
        <f>$AJ867-$AJ868</f>
        <v/>
      </c>
    </row>
    <row r="868">
      <c r="AR868" s="81">
        <f>($G868+($H868-$G868)*0.5)+($P868-($O868+($Q868-$O868)*0.5))</f>
        <v/>
      </c>
      <c r="AS868" s="81">
        <f>($J868+($K868-$J868)*0.5)+($T868-($S868+($U868-$S868)*0.5))</f>
        <v/>
      </c>
      <c r="AT868" s="82">
        <f>($J868-$C868)*100</f>
        <v/>
      </c>
      <c r="AU868" s="82">
        <f>($H868-$F868)*100</f>
        <v/>
      </c>
      <c r="AV868" s="82">
        <f>($J868-$F868)*100</f>
        <v/>
      </c>
      <c r="AW868" s="82">
        <f>($L868-$F868)*100</f>
        <v/>
      </c>
      <c r="AX868" s="82">
        <f>($J868-$H868)*100</f>
        <v/>
      </c>
      <c r="AY868" s="82">
        <f>($L868-$H868)*100</f>
        <v/>
      </c>
      <c r="AZ868" s="82">
        <f>($L868-$J868)*100</f>
        <v/>
      </c>
      <c r="BA868" s="82">
        <f>(2*$H868-$F868-$J868)*100</f>
        <v/>
      </c>
      <c r="BB868" s="82">
        <f>(2*$J868-$H868-$L868)*100</f>
        <v/>
      </c>
      <c r="BC868" s="82">
        <f>($N868-$F868)*100</f>
        <v/>
      </c>
      <c r="BD868" s="82">
        <f>($Q868-$H868)*100</f>
        <v/>
      </c>
      <c r="BE868" s="82">
        <f>($S868-$J868)*100</f>
        <v/>
      </c>
      <c r="BF868" s="82">
        <f>($V868-$L868)*100</f>
        <v/>
      </c>
      <c r="BG868" s="82">
        <f>$AG868-$AF868</f>
        <v/>
      </c>
      <c r="BH868" s="81">
        <f>IFERROR($AG868/$AF868,"")</f>
        <v/>
      </c>
      <c r="BI868" s="82">
        <f>$AJ868-$AF868</f>
        <v/>
      </c>
      <c r="BJ868" s="81">
        <f>IFERROR($AJ868/$AG868,"")</f>
        <v/>
      </c>
      <c r="BK868" s="81">
        <f>$X868</f>
        <v/>
      </c>
      <c r="BL868" s="82">
        <f>($J868-$J869)*100</f>
        <v/>
      </c>
      <c r="BM868" s="82">
        <f>($F868-$F869)*100</f>
        <v/>
      </c>
      <c r="BN868" s="82">
        <f>$AF868-$AF869</f>
        <v/>
      </c>
      <c r="BO868" s="82">
        <f>$AG868-$AG869</f>
        <v/>
      </c>
      <c r="BP868" s="82">
        <f>$AJ868-$AJ869</f>
        <v/>
      </c>
    </row>
    <row r="869">
      <c r="AR869" s="81">
        <f>($G869+($H869-$G869)*0.5)+($P869-($O869+($Q869-$O869)*0.5))</f>
        <v/>
      </c>
      <c r="AS869" s="81">
        <f>($J869+($K869-$J869)*0.5)+($T869-($S869+($U869-$S869)*0.5))</f>
        <v/>
      </c>
      <c r="AT869" s="82">
        <f>($J869-$C869)*100</f>
        <v/>
      </c>
      <c r="AU869" s="82">
        <f>($H869-$F869)*100</f>
        <v/>
      </c>
      <c r="AV869" s="82">
        <f>($J869-$F869)*100</f>
        <v/>
      </c>
      <c r="AW869" s="82">
        <f>($L869-$F869)*100</f>
        <v/>
      </c>
      <c r="AX869" s="82">
        <f>($J869-$H869)*100</f>
        <v/>
      </c>
      <c r="AY869" s="82">
        <f>($L869-$H869)*100</f>
        <v/>
      </c>
      <c r="AZ869" s="82">
        <f>($L869-$J869)*100</f>
        <v/>
      </c>
      <c r="BA869" s="82">
        <f>(2*$H869-$F869-$J869)*100</f>
        <v/>
      </c>
      <c r="BB869" s="82">
        <f>(2*$J869-$H869-$L869)*100</f>
        <v/>
      </c>
      <c r="BC869" s="82">
        <f>($N869-$F869)*100</f>
        <v/>
      </c>
      <c r="BD869" s="82">
        <f>($Q869-$H869)*100</f>
        <v/>
      </c>
      <c r="BE869" s="82">
        <f>($S869-$J869)*100</f>
        <v/>
      </c>
      <c r="BF869" s="82">
        <f>($V869-$L869)*100</f>
        <v/>
      </c>
      <c r="BG869" s="82">
        <f>$AG869-$AF869</f>
        <v/>
      </c>
      <c r="BH869" s="81">
        <f>IFERROR($AG869/$AF869,"")</f>
        <v/>
      </c>
      <c r="BI869" s="82">
        <f>$AJ869-$AF869</f>
        <v/>
      </c>
      <c r="BJ869" s="81">
        <f>IFERROR($AJ869/$AG869,"")</f>
        <v/>
      </c>
      <c r="BK869" s="81">
        <f>$X869</f>
        <v/>
      </c>
      <c r="BL869" s="82">
        <f>($J869-$J870)*100</f>
        <v/>
      </c>
      <c r="BM869" s="82">
        <f>($F869-$F870)*100</f>
        <v/>
      </c>
      <c r="BN869" s="82">
        <f>$AF869-$AF870</f>
        <v/>
      </c>
      <c r="BO869" s="82">
        <f>$AG869-$AG870</f>
        <v/>
      </c>
      <c r="BP869" s="82">
        <f>$AJ869-$AJ870</f>
        <v/>
      </c>
    </row>
    <row r="870">
      <c r="AR870" s="81">
        <f>($G870+($H870-$G870)*0.5)+($P870-($O870+($Q870-$O870)*0.5))</f>
        <v/>
      </c>
      <c r="AS870" s="81">
        <f>($J870+($K870-$J870)*0.5)+($T870-($S870+($U870-$S870)*0.5))</f>
        <v/>
      </c>
      <c r="AT870" s="82">
        <f>($J870-$C870)*100</f>
        <v/>
      </c>
      <c r="AU870" s="82">
        <f>($H870-$F870)*100</f>
        <v/>
      </c>
      <c r="AV870" s="82">
        <f>($J870-$F870)*100</f>
        <v/>
      </c>
      <c r="AW870" s="82">
        <f>($L870-$F870)*100</f>
        <v/>
      </c>
      <c r="AX870" s="82">
        <f>($J870-$H870)*100</f>
        <v/>
      </c>
      <c r="AY870" s="82">
        <f>($L870-$H870)*100</f>
        <v/>
      </c>
      <c r="AZ870" s="82">
        <f>($L870-$J870)*100</f>
        <v/>
      </c>
      <c r="BA870" s="82">
        <f>(2*$H870-$F870-$J870)*100</f>
        <v/>
      </c>
      <c r="BB870" s="82">
        <f>(2*$J870-$H870-$L870)*100</f>
        <v/>
      </c>
      <c r="BC870" s="82">
        <f>($N870-$F870)*100</f>
        <v/>
      </c>
      <c r="BD870" s="82">
        <f>($Q870-$H870)*100</f>
        <v/>
      </c>
      <c r="BE870" s="82">
        <f>($S870-$J870)*100</f>
        <v/>
      </c>
      <c r="BF870" s="82">
        <f>($V870-$L870)*100</f>
        <v/>
      </c>
      <c r="BG870" s="82">
        <f>$AG870-$AF870</f>
        <v/>
      </c>
      <c r="BH870" s="81">
        <f>IFERROR($AG870/$AF870,"")</f>
        <v/>
      </c>
      <c r="BI870" s="82">
        <f>$AJ870-$AF870</f>
        <v/>
      </c>
      <c r="BJ870" s="81">
        <f>IFERROR($AJ870/$AG870,"")</f>
        <v/>
      </c>
      <c r="BK870" s="81">
        <f>$X870</f>
        <v/>
      </c>
      <c r="BL870" s="82">
        <f>($J870-$J871)*100</f>
        <v/>
      </c>
      <c r="BM870" s="82">
        <f>($F870-$F871)*100</f>
        <v/>
      </c>
      <c r="BN870" s="82">
        <f>$AF870-$AF871</f>
        <v/>
      </c>
      <c r="BO870" s="82">
        <f>$AG870-$AG871</f>
        <v/>
      </c>
      <c r="BP870" s="82">
        <f>$AJ870-$AJ871</f>
        <v/>
      </c>
    </row>
    <row r="871">
      <c r="AR871" s="81">
        <f>($G871+($H871-$G871)*0.5)+($P871-($O871+($Q871-$O871)*0.5))</f>
        <v/>
      </c>
      <c r="AS871" s="81">
        <f>($J871+($K871-$J871)*0.5)+($T871-($S871+($U871-$S871)*0.5))</f>
        <v/>
      </c>
      <c r="AT871" s="82">
        <f>($J871-$C871)*100</f>
        <v/>
      </c>
      <c r="AU871" s="82">
        <f>($H871-$F871)*100</f>
        <v/>
      </c>
      <c r="AV871" s="82">
        <f>($J871-$F871)*100</f>
        <v/>
      </c>
      <c r="AW871" s="82">
        <f>($L871-$F871)*100</f>
        <v/>
      </c>
      <c r="AX871" s="82">
        <f>($J871-$H871)*100</f>
        <v/>
      </c>
      <c r="AY871" s="82">
        <f>($L871-$H871)*100</f>
        <v/>
      </c>
      <c r="AZ871" s="82">
        <f>($L871-$J871)*100</f>
        <v/>
      </c>
      <c r="BA871" s="82">
        <f>(2*$H871-$F871-$J871)*100</f>
        <v/>
      </c>
      <c r="BB871" s="82">
        <f>(2*$J871-$H871-$L871)*100</f>
        <v/>
      </c>
      <c r="BC871" s="82">
        <f>($N871-$F871)*100</f>
        <v/>
      </c>
      <c r="BD871" s="82">
        <f>($Q871-$H871)*100</f>
        <v/>
      </c>
      <c r="BE871" s="82">
        <f>($S871-$J871)*100</f>
        <v/>
      </c>
      <c r="BF871" s="82">
        <f>($V871-$L871)*100</f>
        <v/>
      </c>
      <c r="BG871" s="82">
        <f>$AG871-$AF871</f>
        <v/>
      </c>
      <c r="BH871" s="81">
        <f>IFERROR($AG871/$AF871,"")</f>
        <v/>
      </c>
      <c r="BI871" s="82">
        <f>$AJ871-$AF871</f>
        <v/>
      </c>
      <c r="BJ871" s="81">
        <f>IFERROR($AJ871/$AG871,"")</f>
        <v/>
      </c>
      <c r="BK871" s="81">
        <f>$X871</f>
        <v/>
      </c>
      <c r="BL871" s="82">
        <f>($J871-$J872)*100</f>
        <v/>
      </c>
      <c r="BM871" s="82">
        <f>($F871-$F872)*100</f>
        <v/>
      </c>
      <c r="BN871" s="82">
        <f>$AF871-$AF872</f>
        <v/>
      </c>
      <c r="BO871" s="82">
        <f>$AG871-$AG872</f>
        <v/>
      </c>
      <c r="BP871" s="82">
        <f>$AJ871-$AJ872</f>
        <v/>
      </c>
    </row>
    <row r="872">
      <c r="AR872" s="81">
        <f>($G872+($H872-$G872)*0.5)+($P872-($O872+($Q872-$O872)*0.5))</f>
        <v/>
      </c>
      <c r="AS872" s="81">
        <f>($J872+($K872-$J872)*0.5)+($T872-($S872+($U872-$S872)*0.5))</f>
        <v/>
      </c>
      <c r="AT872" s="82">
        <f>($J872-$C872)*100</f>
        <v/>
      </c>
      <c r="AU872" s="82">
        <f>($H872-$F872)*100</f>
        <v/>
      </c>
      <c r="AV872" s="82">
        <f>($J872-$F872)*100</f>
        <v/>
      </c>
      <c r="AW872" s="82">
        <f>($L872-$F872)*100</f>
        <v/>
      </c>
      <c r="AX872" s="82">
        <f>($J872-$H872)*100</f>
        <v/>
      </c>
      <c r="AY872" s="82">
        <f>($L872-$H872)*100</f>
        <v/>
      </c>
      <c r="AZ872" s="82">
        <f>($L872-$J872)*100</f>
        <v/>
      </c>
      <c r="BA872" s="82">
        <f>(2*$H872-$F872-$J872)*100</f>
        <v/>
      </c>
      <c r="BB872" s="82">
        <f>(2*$J872-$H872-$L872)*100</f>
        <v/>
      </c>
      <c r="BC872" s="82">
        <f>($N872-$F872)*100</f>
        <v/>
      </c>
      <c r="BD872" s="82">
        <f>($Q872-$H872)*100</f>
        <v/>
      </c>
      <c r="BE872" s="82">
        <f>($S872-$J872)*100</f>
        <v/>
      </c>
      <c r="BF872" s="82">
        <f>($V872-$L872)*100</f>
        <v/>
      </c>
      <c r="BG872" s="82">
        <f>$AG872-$AF872</f>
        <v/>
      </c>
      <c r="BH872" s="81">
        <f>IFERROR($AG872/$AF872,"")</f>
        <v/>
      </c>
      <c r="BI872" s="82">
        <f>$AJ872-$AF872</f>
        <v/>
      </c>
      <c r="BJ872" s="81">
        <f>IFERROR($AJ872/$AG872,"")</f>
        <v/>
      </c>
      <c r="BK872" s="81">
        <f>$X872</f>
        <v/>
      </c>
      <c r="BL872" s="82">
        <f>($J872-$J873)*100</f>
        <v/>
      </c>
      <c r="BM872" s="82">
        <f>($F872-$F873)*100</f>
        <v/>
      </c>
      <c r="BN872" s="82">
        <f>$AF872-$AF873</f>
        <v/>
      </c>
      <c r="BO872" s="82">
        <f>$AG872-$AG873</f>
        <v/>
      </c>
      <c r="BP872" s="82">
        <f>$AJ872-$AJ873</f>
        <v/>
      </c>
    </row>
    <row r="873">
      <c r="AR873" s="81">
        <f>($G873+($H873-$G873)*0.5)+($P873-($O873+($Q873-$O873)*0.5))</f>
        <v/>
      </c>
      <c r="AS873" s="81">
        <f>($J873+($K873-$J873)*0.5)+($T873-($S873+($U873-$S873)*0.5))</f>
        <v/>
      </c>
      <c r="AT873" s="82">
        <f>($J873-$C873)*100</f>
        <v/>
      </c>
      <c r="AU873" s="82">
        <f>($H873-$F873)*100</f>
        <v/>
      </c>
      <c r="AV873" s="82">
        <f>($J873-$F873)*100</f>
        <v/>
      </c>
      <c r="AW873" s="82">
        <f>($L873-$F873)*100</f>
        <v/>
      </c>
      <c r="AX873" s="82">
        <f>($J873-$H873)*100</f>
        <v/>
      </c>
      <c r="AY873" s="82">
        <f>($L873-$H873)*100</f>
        <v/>
      </c>
      <c r="AZ873" s="82">
        <f>($L873-$J873)*100</f>
        <v/>
      </c>
      <c r="BA873" s="82">
        <f>(2*$H873-$F873-$J873)*100</f>
        <v/>
      </c>
      <c r="BB873" s="82">
        <f>(2*$J873-$H873-$L873)*100</f>
        <v/>
      </c>
      <c r="BC873" s="82">
        <f>($N873-$F873)*100</f>
        <v/>
      </c>
      <c r="BD873" s="82">
        <f>($Q873-$H873)*100</f>
        <v/>
      </c>
      <c r="BE873" s="82">
        <f>($S873-$J873)*100</f>
        <v/>
      </c>
      <c r="BF873" s="82">
        <f>($V873-$L873)*100</f>
        <v/>
      </c>
      <c r="BG873" s="82">
        <f>$AG873-$AF873</f>
        <v/>
      </c>
      <c r="BH873" s="81">
        <f>IFERROR($AG873/$AF873,"")</f>
        <v/>
      </c>
      <c r="BI873" s="82">
        <f>$AJ873-$AF873</f>
        <v/>
      </c>
      <c r="BJ873" s="81">
        <f>IFERROR($AJ873/$AG873,"")</f>
        <v/>
      </c>
      <c r="BK873" s="81">
        <f>$X873</f>
        <v/>
      </c>
      <c r="BL873" s="82">
        <f>($J873-$J874)*100</f>
        <v/>
      </c>
      <c r="BM873" s="82">
        <f>($F873-$F874)*100</f>
        <v/>
      </c>
      <c r="BN873" s="82">
        <f>$AF873-$AF874</f>
        <v/>
      </c>
      <c r="BO873" s="82">
        <f>$AG873-$AG874</f>
        <v/>
      </c>
      <c r="BP873" s="82">
        <f>$AJ873-$AJ874</f>
        <v/>
      </c>
    </row>
    <row r="874">
      <c r="AR874" s="81">
        <f>($G874+($H874-$G874)*0.5)+($P874-($O874+($Q874-$O874)*0.5))</f>
        <v/>
      </c>
      <c r="AS874" s="81">
        <f>($J874+($K874-$J874)*0.5)+($T874-($S874+($U874-$S874)*0.5))</f>
        <v/>
      </c>
      <c r="AT874" s="82">
        <f>($J874-$C874)*100</f>
        <v/>
      </c>
      <c r="AU874" s="82">
        <f>($H874-$F874)*100</f>
        <v/>
      </c>
      <c r="AV874" s="82">
        <f>($J874-$F874)*100</f>
        <v/>
      </c>
      <c r="AW874" s="82">
        <f>($L874-$F874)*100</f>
        <v/>
      </c>
      <c r="AX874" s="82">
        <f>($J874-$H874)*100</f>
        <v/>
      </c>
      <c r="AY874" s="82">
        <f>($L874-$H874)*100</f>
        <v/>
      </c>
      <c r="AZ874" s="82">
        <f>($L874-$J874)*100</f>
        <v/>
      </c>
      <c r="BA874" s="82">
        <f>(2*$H874-$F874-$J874)*100</f>
        <v/>
      </c>
      <c r="BB874" s="82">
        <f>(2*$J874-$H874-$L874)*100</f>
        <v/>
      </c>
      <c r="BC874" s="82">
        <f>($N874-$F874)*100</f>
        <v/>
      </c>
      <c r="BD874" s="82">
        <f>($Q874-$H874)*100</f>
        <v/>
      </c>
      <c r="BE874" s="82">
        <f>($S874-$J874)*100</f>
        <v/>
      </c>
      <c r="BF874" s="82">
        <f>($V874-$L874)*100</f>
        <v/>
      </c>
      <c r="BG874" s="82">
        <f>$AG874-$AF874</f>
        <v/>
      </c>
      <c r="BH874" s="81">
        <f>IFERROR($AG874/$AF874,"")</f>
        <v/>
      </c>
      <c r="BI874" s="82">
        <f>$AJ874-$AF874</f>
        <v/>
      </c>
      <c r="BJ874" s="81">
        <f>IFERROR($AJ874/$AG874,"")</f>
        <v/>
      </c>
      <c r="BK874" s="81">
        <f>$X874</f>
        <v/>
      </c>
      <c r="BL874" s="82">
        <f>($J874-$J875)*100</f>
        <v/>
      </c>
      <c r="BM874" s="82">
        <f>($F874-$F875)*100</f>
        <v/>
      </c>
      <c r="BN874" s="82">
        <f>$AF874-$AF875</f>
        <v/>
      </c>
      <c r="BO874" s="82">
        <f>$AG874-$AG875</f>
        <v/>
      </c>
      <c r="BP874" s="82">
        <f>$AJ874-$AJ875</f>
        <v/>
      </c>
    </row>
    <row r="875">
      <c r="AR875" s="81">
        <f>($G875+($H875-$G875)*0.5)+($P875-($O875+($Q875-$O875)*0.5))</f>
        <v/>
      </c>
      <c r="AS875" s="81">
        <f>($J875+($K875-$J875)*0.5)+($T875-($S875+($U875-$S875)*0.5))</f>
        <v/>
      </c>
      <c r="AT875" s="82">
        <f>($J875-$C875)*100</f>
        <v/>
      </c>
      <c r="AU875" s="82">
        <f>($H875-$F875)*100</f>
        <v/>
      </c>
      <c r="AV875" s="82">
        <f>($J875-$F875)*100</f>
        <v/>
      </c>
      <c r="AW875" s="82">
        <f>($L875-$F875)*100</f>
        <v/>
      </c>
      <c r="AX875" s="82">
        <f>($J875-$H875)*100</f>
        <v/>
      </c>
      <c r="AY875" s="82">
        <f>($L875-$H875)*100</f>
        <v/>
      </c>
      <c r="AZ875" s="82">
        <f>($L875-$J875)*100</f>
        <v/>
      </c>
      <c r="BA875" s="82">
        <f>(2*$H875-$F875-$J875)*100</f>
        <v/>
      </c>
      <c r="BB875" s="82">
        <f>(2*$J875-$H875-$L875)*100</f>
        <v/>
      </c>
      <c r="BC875" s="82">
        <f>($N875-$F875)*100</f>
        <v/>
      </c>
      <c r="BD875" s="82">
        <f>($Q875-$H875)*100</f>
        <v/>
      </c>
      <c r="BE875" s="82">
        <f>($S875-$J875)*100</f>
        <v/>
      </c>
      <c r="BF875" s="82">
        <f>($V875-$L875)*100</f>
        <v/>
      </c>
      <c r="BG875" s="82">
        <f>$AG875-$AF875</f>
        <v/>
      </c>
      <c r="BH875" s="81">
        <f>IFERROR($AG875/$AF875,"")</f>
        <v/>
      </c>
      <c r="BI875" s="82">
        <f>$AJ875-$AF875</f>
        <v/>
      </c>
      <c r="BJ875" s="81">
        <f>IFERROR($AJ875/$AG875,"")</f>
        <v/>
      </c>
      <c r="BK875" s="81">
        <f>$X875</f>
        <v/>
      </c>
      <c r="BL875" s="82">
        <f>($J875-$J876)*100</f>
        <v/>
      </c>
      <c r="BM875" s="82">
        <f>($F875-$F876)*100</f>
        <v/>
      </c>
      <c r="BN875" s="82">
        <f>$AF875-$AF876</f>
        <v/>
      </c>
      <c r="BO875" s="82">
        <f>$AG875-$AG876</f>
        <v/>
      </c>
      <c r="BP875" s="82">
        <f>$AJ875-$AJ876</f>
        <v/>
      </c>
    </row>
    <row r="876">
      <c r="AR876" s="81">
        <f>($G876+($H876-$G876)*0.5)+($P876-($O876+($Q876-$O876)*0.5))</f>
        <v/>
      </c>
      <c r="AS876" s="81">
        <f>($J876+($K876-$J876)*0.5)+($T876-($S876+($U876-$S876)*0.5))</f>
        <v/>
      </c>
      <c r="AT876" s="82">
        <f>($J876-$C876)*100</f>
        <v/>
      </c>
      <c r="AU876" s="82">
        <f>($H876-$F876)*100</f>
        <v/>
      </c>
      <c r="AV876" s="82">
        <f>($J876-$F876)*100</f>
        <v/>
      </c>
      <c r="AW876" s="82">
        <f>($L876-$F876)*100</f>
        <v/>
      </c>
      <c r="AX876" s="82">
        <f>($J876-$H876)*100</f>
        <v/>
      </c>
      <c r="AY876" s="82">
        <f>($L876-$H876)*100</f>
        <v/>
      </c>
      <c r="AZ876" s="82">
        <f>($L876-$J876)*100</f>
        <v/>
      </c>
      <c r="BA876" s="82">
        <f>(2*$H876-$F876-$J876)*100</f>
        <v/>
      </c>
      <c r="BB876" s="82">
        <f>(2*$J876-$H876-$L876)*100</f>
        <v/>
      </c>
      <c r="BC876" s="82">
        <f>($N876-$F876)*100</f>
        <v/>
      </c>
      <c r="BD876" s="82">
        <f>($Q876-$H876)*100</f>
        <v/>
      </c>
      <c r="BE876" s="82">
        <f>($S876-$J876)*100</f>
        <v/>
      </c>
      <c r="BF876" s="82">
        <f>($V876-$L876)*100</f>
        <v/>
      </c>
      <c r="BG876" s="82">
        <f>$AG876-$AF876</f>
        <v/>
      </c>
      <c r="BH876" s="81">
        <f>IFERROR($AG876/$AF876,"")</f>
        <v/>
      </c>
      <c r="BI876" s="82">
        <f>$AJ876-$AF876</f>
        <v/>
      </c>
      <c r="BJ876" s="81">
        <f>IFERROR($AJ876/$AG876,"")</f>
        <v/>
      </c>
      <c r="BK876" s="81">
        <f>$X876</f>
        <v/>
      </c>
      <c r="BL876" s="82">
        <f>($J876-$J877)*100</f>
        <v/>
      </c>
      <c r="BM876" s="82">
        <f>($F876-$F877)*100</f>
        <v/>
      </c>
      <c r="BN876" s="82">
        <f>$AF876-$AF877</f>
        <v/>
      </c>
      <c r="BO876" s="82">
        <f>$AG876-$AG877</f>
        <v/>
      </c>
      <c r="BP876" s="82">
        <f>$AJ876-$AJ877</f>
        <v/>
      </c>
    </row>
    <row r="877">
      <c r="AR877" s="81">
        <f>($G877+($H877-$G877)*0.5)+($P877-($O877+($Q877-$O877)*0.5))</f>
        <v/>
      </c>
      <c r="AS877" s="81">
        <f>($J877+($K877-$J877)*0.5)+($T877-($S877+($U877-$S877)*0.5))</f>
        <v/>
      </c>
      <c r="AT877" s="82">
        <f>($J877-$C877)*100</f>
        <v/>
      </c>
      <c r="AU877" s="82">
        <f>($H877-$F877)*100</f>
        <v/>
      </c>
      <c r="AV877" s="82">
        <f>($J877-$F877)*100</f>
        <v/>
      </c>
      <c r="AW877" s="82">
        <f>($L877-$F877)*100</f>
        <v/>
      </c>
      <c r="AX877" s="82">
        <f>($J877-$H877)*100</f>
        <v/>
      </c>
      <c r="AY877" s="82">
        <f>($L877-$H877)*100</f>
        <v/>
      </c>
      <c r="AZ877" s="82">
        <f>($L877-$J877)*100</f>
        <v/>
      </c>
      <c r="BA877" s="82">
        <f>(2*$H877-$F877-$J877)*100</f>
        <v/>
      </c>
      <c r="BB877" s="82">
        <f>(2*$J877-$H877-$L877)*100</f>
        <v/>
      </c>
      <c r="BC877" s="82">
        <f>($N877-$F877)*100</f>
        <v/>
      </c>
      <c r="BD877" s="82">
        <f>($Q877-$H877)*100</f>
        <v/>
      </c>
      <c r="BE877" s="82">
        <f>($S877-$J877)*100</f>
        <v/>
      </c>
      <c r="BF877" s="82">
        <f>($V877-$L877)*100</f>
        <v/>
      </c>
      <c r="BG877" s="82">
        <f>$AG877-$AF877</f>
        <v/>
      </c>
      <c r="BH877" s="81">
        <f>IFERROR($AG877/$AF877,"")</f>
        <v/>
      </c>
      <c r="BI877" s="82">
        <f>$AJ877-$AF877</f>
        <v/>
      </c>
      <c r="BJ877" s="81">
        <f>IFERROR($AJ877/$AG877,"")</f>
        <v/>
      </c>
      <c r="BK877" s="81">
        <f>$X877</f>
        <v/>
      </c>
      <c r="BL877" s="82">
        <f>($J877-$J878)*100</f>
        <v/>
      </c>
      <c r="BM877" s="82">
        <f>($F877-$F878)*100</f>
        <v/>
      </c>
      <c r="BN877" s="82">
        <f>$AF877-$AF878</f>
        <v/>
      </c>
      <c r="BO877" s="82">
        <f>$AG877-$AG878</f>
        <v/>
      </c>
      <c r="BP877" s="82">
        <f>$AJ877-$AJ878</f>
        <v/>
      </c>
    </row>
    <row r="878">
      <c r="AR878" s="81">
        <f>($G878+($H878-$G878)*0.5)+($P878-($O878+($Q878-$O878)*0.5))</f>
        <v/>
      </c>
      <c r="AS878" s="81">
        <f>($J878+($K878-$J878)*0.5)+($T878-($S878+($U878-$S878)*0.5))</f>
        <v/>
      </c>
      <c r="AT878" s="82">
        <f>($J878-$C878)*100</f>
        <v/>
      </c>
      <c r="AU878" s="82">
        <f>($H878-$F878)*100</f>
        <v/>
      </c>
      <c r="AV878" s="82">
        <f>($J878-$F878)*100</f>
        <v/>
      </c>
      <c r="AW878" s="82">
        <f>($L878-$F878)*100</f>
        <v/>
      </c>
      <c r="AX878" s="82">
        <f>($J878-$H878)*100</f>
        <v/>
      </c>
      <c r="AY878" s="82">
        <f>($L878-$H878)*100</f>
        <v/>
      </c>
      <c r="AZ878" s="82">
        <f>($L878-$J878)*100</f>
        <v/>
      </c>
      <c r="BA878" s="82">
        <f>(2*$H878-$F878-$J878)*100</f>
        <v/>
      </c>
      <c r="BB878" s="82">
        <f>(2*$J878-$H878-$L878)*100</f>
        <v/>
      </c>
      <c r="BC878" s="82">
        <f>($N878-$F878)*100</f>
        <v/>
      </c>
      <c r="BD878" s="82">
        <f>($Q878-$H878)*100</f>
        <v/>
      </c>
      <c r="BE878" s="82">
        <f>($S878-$J878)*100</f>
        <v/>
      </c>
      <c r="BF878" s="82">
        <f>($V878-$L878)*100</f>
        <v/>
      </c>
      <c r="BG878" s="82">
        <f>$AG878-$AF878</f>
        <v/>
      </c>
      <c r="BH878" s="81">
        <f>IFERROR($AG878/$AF878,"")</f>
        <v/>
      </c>
      <c r="BI878" s="82">
        <f>$AJ878-$AF878</f>
        <v/>
      </c>
      <c r="BJ878" s="81">
        <f>IFERROR($AJ878/$AG878,"")</f>
        <v/>
      </c>
      <c r="BK878" s="81">
        <f>$X878</f>
        <v/>
      </c>
      <c r="BL878" s="82">
        <f>($J878-$J879)*100</f>
        <v/>
      </c>
      <c r="BM878" s="82">
        <f>($F878-$F879)*100</f>
        <v/>
      </c>
      <c r="BN878" s="82">
        <f>$AF878-$AF879</f>
        <v/>
      </c>
      <c r="BO878" s="82">
        <f>$AG878-$AG879</f>
        <v/>
      </c>
      <c r="BP878" s="82">
        <f>$AJ878-$AJ879</f>
        <v/>
      </c>
    </row>
    <row r="879">
      <c r="AR879" s="81">
        <f>($G879+($H879-$G879)*0.5)+($P879-($O879+($Q879-$O879)*0.5))</f>
        <v/>
      </c>
      <c r="AS879" s="81">
        <f>($J879+($K879-$J879)*0.5)+($T879-($S879+($U879-$S879)*0.5))</f>
        <v/>
      </c>
      <c r="AT879" s="82">
        <f>($J879-$C879)*100</f>
        <v/>
      </c>
      <c r="AU879" s="82">
        <f>($H879-$F879)*100</f>
        <v/>
      </c>
      <c r="AV879" s="82">
        <f>($J879-$F879)*100</f>
        <v/>
      </c>
      <c r="AW879" s="82">
        <f>($L879-$F879)*100</f>
        <v/>
      </c>
      <c r="AX879" s="82">
        <f>($J879-$H879)*100</f>
        <v/>
      </c>
      <c r="AY879" s="82">
        <f>($L879-$H879)*100</f>
        <v/>
      </c>
      <c r="AZ879" s="82">
        <f>($L879-$J879)*100</f>
        <v/>
      </c>
      <c r="BA879" s="82">
        <f>(2*$H879-$F879-$J879)*100</f>
        <v/>
      </c>
      <c r="BB879" s="82">
        <f>(2*$J879-$H879-$L879)*100</f>
        <v/>
      </c>
      <c r="BC879" s="82">
        <f>($N879-$F879)*100</f>
        <v/>
      </c>
      <c r="BD879" s="82">
        <f>($Q879-$H879)*100</f>
        <v/>
      </c>
      <c r="BE879" s="82">
        <f>($S879-$J879)*100</f>
        <v/>
      </c>
      <c r="BF879" s="82">
        <f>($V879-$L879)*100</f>
        <v/>
      </c>
      <c r="BG879" s="82">
        <f>$AG879-$AF879</f>
        <v/>
      </c>
      <c r="BH879" s="81">
        <f>IFERROR($AG879/$AF879,"")</f>
        <v/>
      </c>
      <c r="BI879" s="82">
        <f>$AJ879-$AF879</f>
        <v/>
      </c>
      <c r="BJ879" s="81">
        <f>IFERROR($AJ879/$AG879,"")</f>
        <v/>
      </c>
      <c r="BK879" s="81">
        <f>$X879</f>
        <v/>
      </c>
      <c r="BL879" s="82">
        <f>($J879-$J880)*100</f>
        <v/>
      </c>
      <c r="BM879" s="82">
        <f>($F879-$F880)*100</f>
        <v/>
      </c>
      <c r="BN879" s="82">
        <f>$AF879-$AF880</f>
        <v/>
      </c>
      <c r="BO879" s="82">
        <f>$AG879-$AG880</f>
        <v/>
      </c>
      <c r="BP879" s="82">
        <f>$AJ879-$AJ880</f>
        <v/>
      </c>
    </row>
    <row r="880">
      <c r="AR880" s="81">
        <f>($G880+($H880-$G880)*0.5)+($P880-($O880+($Q880-$O880)*0.5))</f>
        <v/>
      </c>
      <c r="AS880" s="81">
        <f>($J880+($K880-$J880)*0.5)+($T880-($S880+($U880-$S880)*0.5))</f>
        <v/>
      </c>
      <c r="AT880" s="82">
        <f>($J880-$C880)*100</f>
        <v/>
      </c>
      <c r="AU880" s="82">
        <f>($H880-$F880)*100</f>
        <v/>
      </c>
      <c r="AV880" s="82">
        <f>($J880-$F880)*100</f>
        <v/>
      </c>
      <c r="AW880" s="82">
        <f>($L880-$F880)*100</f>
        <v/>
      </c>
      <c r="AX880" s="82">
        <f>($J880-$H880)*100</f>
        <v/>
      </c>
      <c r="AY880" s="82">
        <f>($L880-$H880)*100</f>
        <v/>
      </c>
      <c r="AZ880" s="82">
        <f>($L880-$J880)*100</f>
        <v/>
      </c>
      <c r="BA880" s="82">
        <f>(2*$H880-$F880-$J880)*100</f>
        <v/>
      </c>
      <c r="BB880" s="82">
        <f>(2*$J880-$H880-$L880)*100</f>
        <v/>
      </c>
      <c r="BC880" s="82">
        <f>($N880-$F880)*100</f>
        <v/>
      </c>
      <c r="BD880" s="82">
        <f>($Q880-$H880)*100</f>
        <v/>
      </c>
      <c r="BE880" s="82">
        <f>($S880-$J880)*100</f>
        <v/>
      </c>
      <c r="BF880" s="82">
        <f>($V880-$L880)*100</f>
        <v/>
      </c>
      <c r="BG880" s="82">
        <f>$AG880-$AF880</f>
        <v/>
      </c>
      <c r="BH880" s="81">
        <f>IFERROR($AG880/$AF880,"")</f>
        <v/>
      </c>
      <c r="BI880" s="82">
        <f>$AJ880-$AF880</f>
        <v/>
      </c>
      <c r="BJ880" s="81">
        <f>IFERROR($AJ880/$AG880,"")</f>
        <v/>
      </c>
      <c r="BK880" s="81">
        <f>$X880</f>
        <v/>
      </c>
      <c r="BL880" s="82">
        <f>($J880-$J881)*100</f>
        <v/>
      </c>
      <c r="BM880" s="82">
        <f>($F880-$F881)*100</f>
        <v/>
      </c>
      <c r="BN880" s="82">
        <f>$AF880-$AF881</f>
        <v/>
      </c>
      <c r="BO880" s="82">
        <f>$AG880-$AG881</f>
        <v/>
      </c>
      <c r="BP880" s="82">
        <f>$AJ880-$AJ881</f>
        <v/>
      </c>
    </row>
    <row r="881">
      <c r="AR881" s="81">
        <f>($G881+($H881-$G881)*0.5)+($P881-($O881+($Q881-$O881)*0.5))</f>
        <v/>
      </c>
      <c r="AS881" s="81">
        <f>($J881+($K881-$J881)*0.5)+($T881-($S881+($U881-$S881)*0.5))</f>
        <v/>
      </c>
      <c r="AT881" s="82">
        <f>($J881-$C881)*100</f>
        <v/>
      </c>
      <c r="AU881" s="82">
        <f>($H881-$F881)*100</f>
        <v/>
      </c>
      <c r="AV881" s="82">
        <f>($J881-$F881)*100</f>
        <v/>
      </c>
      <c r="AW881" s="82">
        <f>($L881-$F881)*100</f>
        <v/>
      </c>
      <c r="AX881" s="82">
        <f>($J881-$H881)*100</f>
        <v/>
      </c>
      <c r="AY881" s="82">
        <f>($L881-$H881)*100</f>
        <v/>
      </c>
      <c r="AZ881" s="82">
        <f>($L881-$J881)*100</f>
        <v/>
      </c>
      <c r="BA881" s="82">
        <f>(2*$H881-$F881-$J881)*100</f>
        <v/>
      </c>
      <c r="BB881" s="82">
        <f>(2*$J881-$H881-$L881)*100</f>
        <v/>
      </c>
      <c r="BC881" s="82">
        <f>($N881-$F881)*100</f>
        <v/>
      </c>
      <c r="BD881" s="82">
        <f>($Q881-$H881)*100</f>
        <v/>
      </c>
      <c r="BE881" s="82">
        <f>($S881-$J881)*100</f>
        <v/>
      </c>
      <c r="BF881" s="82">
        <f>($V881-$L881)*100</f>
        <v/>
      </c>
      <c r="BG881" s="82">
        <f>$AG881-$AF881</f>
        <v/>
      </c>
      <c r="BH881" s="81">
        <f>IFERROR($AG881/$AF881,"")</f>
        <v/>
      </c>
      <c r="BI881" s="82">
        <f>$AJ881-$AF881</f>
        <v/>
      </c>
      <c r="BJ881" s="81">
        <f>IFERROR($AJ881/$AG881,"")</f>
        <v/>
      </c>
      <c r="BK881" s="81">
        <f>$X881</f>
        <v/>
      </c>
      <c r="BL881" s="82">
        <f>($J881-$J882)*100</f>
        <v/>
      </c>
      <c r="BM881" s="82">
        <f>($F881-$F882)*100</f>
        <v/>
      </c>
      <c r="BN881" s="82">
        <f>$AF881-$AF882</f>
        <v/>
      </c>
      <c r="BO881" s="82">
        <f>$AG881-$AG882</f>
        <v/>
      </c>
      <c r="BP881" s="82">
        <f>$AJ881-$AJ882</f>
        <v/>
      </c>
    </row>
    <row r="882">
      <c r="AR882" s="81">
        <f>($G882+($H882-$G882)*0.5)+($P882-($O882+($Q882-$O882)*0.5))</f>
        <v/>
      </c>
      <c r="AS882" s="81">
        <f>($J882+($K882-$J882)*0.5)+($T882-($S882+($U882-$S882)*0.5))</f>
        <v/>
      </c>
      <c r="AT882" s="82">
        <f>($J882-$C882)*100</f>
        <v/>
      </c>
      <c r="AU882" s="82">
        <f>($H882-$F882)*100</f>
        <v/>
      </c>
      <c r="AV882" s="82">
        <f>($J882-$F882)*100</f>
        <v/>
      </c>
      <c r="AW882" s="82">
        <f>($L882-$F882)*100</f>
        <v/>
      </c>
      <c r="AX882" s="82">
        <f>($J882-$H882)*100</f>
        <v/>
      </c>
      <c r="AY882" s="82">
        <f>($L882-$H882)*100</f>
        <v/>
      </c>
      <c r="AZ882" s="82">
        <f>($L882-$J882)*100</f>
        <v/>
      </c>
      <c r="BA882" s="82">
        <f>(2*$H882-$F882-$J882)*100</f>
        <v/>
      </c>
      <c r="BB882" s="82">
        <f>(2*$J882-$H882-$L882)*100</f>
        <v/>
      </c>
      <c r="BC882" s="82">
        <f>($N882-$F882)*100</f>
        <v/>
      </c>
      <c r="BD882" s="82">
        <f>($Q882-$H882)*100</f>
        <v/>
      </c>
      <c r="BE882" s="82">
        <f>($S882-$J882)*100</f>
        <v/>
      </c>
      <c r="BF882" s="82">
        <f>($V882-$L882)*100</f>
        <v/>
      </c>
      <c r="BG882" s="82">
        <f>$AG882-$AF882</f>
        <v/>
      </c>
      <c r="BH882" s="81">
        <f>IFERROR($AG882/$AF882,"")</f>
        <v/>
      </c>
      <c r="BI882" s="82">
        <f>$AJ882-$AF882</f>
        <v/>
      </c>
      <c r="BJ882" s="81">
        <f>IFERROR($AJ882/$AG882,"")</f>
        <v/>
      </c>
      <c r="BK882" s="81">
        <f>$X882</f>
        <v/>
      </c>
      <c r="BL882" s="82">
        <f>($J882-$J883)*100</f>
        <v/>
      </c>
      <c r="BM882" s="82">
        <f>($F882-$F883)*100</f>
        <v/>
      </c>
      <c r="BN882" s="82">
        <f>$AF882-$AF883</f>
        <v/>
      </c>
      <c r="BO882" s="82">
        <f>$AG882-$AG883</f>
        <v/>
      </c>
      <c r="BP882" s="82">
        <f>$AJ882-$AJ883</f>
        <v/>
      </c>
    </row>
    <row r="883">
      <c r="AR883" s="81">
        <f>($G883+($H883-$G883)*0.5)+($P883-($O883+($Q883-$O883)*0.5))</f>
        <v/>
      </c>
      <c r="AS883" s="81">
        <f>($J883+($K883-$J883)*0.5)+($T883-($S883+($U883-$S883)*0.5))</f>
        <v/>
      </c>
      <c r="AT883" s="82">
        <f>($J883-$C883)*100</f>
        <v/>
      </c>
      <c r="AU883" s="82">
        <f>($H883-$F883)*100</f>
        <v/>
      </c>
      <c r="AV883" s="82">
        <f>($J883-$F883)*100</f>
        <v/>
      </c>
      <c r="AW883" s="82">
        <f>($L883-$F883)*100</f>
        <v/>
      </c>
      <c r="AX883" s="82">
        <f>($J883-$H883)*100</f>
        <v/>
      </c>
      <c r="AY883" s="82">
        <f>($L883-$H883)*100</f>
        <v/>
      </c>
      <c r="AZ883" s="82">
        <f>($L883-$J883)*100</f>
        <v/>
      </c>
      <c r="BA883" s="82">
        <f>(2*$H883-$F883-$J883)*100</f>
        <v/>
      </c>
      <c r="BB883" s="82">
        <f>(2*$J883-$H883-$L883)*100</f>
        <v/>
      </c>
      <c r="BC883" s="82">
        <f>($N883-$F883)*100</f>
        <v/>
      </c>
      <c r="BD883" s="82">
        <f>($Q883-$H883)*100</f>
        <v/>
      </c>
      <c r="BE883" s="82">
        <f>($S883-$J883)*100</f>
        <v/>
      </c>
      <c r="BF883" s="82">
        <f>($V883-$L883)*100</f>
        <v/>
      </c>
      <c r="BG883" s="82">
        <f>$AG883-$AF883</f>
        <v/>
      </c>
      <c r="BH883" s="81">
        <f>IFERROR($AG883/$AF883,"")</f>
        <v/>
      </c>
      <c r="BI883" s="82">
        <f>$AJ883-$AF883</f>
        <v/>
      </c>
      <c r="BJ883" s="81">
        <f>IFERROR($AJ883/$AG883,"")</f>
        <v/>
      </c>
      <c r="BK883" s="81">
        <f>$X883</f>
        <v/>
      </c>
      <c r="BL883" s="82">
        <f>($J883-$J884)*100</f>
        <v/>
      </c>
      <c r="BM883" s="82">
        <f>($F883-$F884)*100</f>
        <v/>
      </c>
      <c r="BN883" s="82">
        <f>$AF883-$AF884</f>
        <v/>
      </c>
      <c r="BO883" s="82">
        <f>$AG883-$AG884</f>
        <v/>
      </c>
      <c r="BP883" s="82">
        <f>$AJ883-$AJ884</f>
        <v/>
      </c>
    </row>
    <row r="884">
      <c r="AR884" s="81">
        <f>($G884+($H884-$G884)*0.5)+($P884-($O884+($Q884-$O884)*0.5))</f>
        <v/>
      </c>
      <c r="AS884" s="81">
        <f>($J884+($K884-$J884)*0.5)+($T884-($S884+($U884-$S884)*0.5))</f>
        <v/>
      </c>
      <c r="AT884" s="82">
        <f>($J884-$C884)*100</f>
        <v/>
      </c>
      <c r="AU884" s="82">
        <f>($H884-$F884)*100</f>
        <v/>
      </c>
      <c r="AV884" s="82">
        <f>($J884-$F884)*100</f>
        <v/>
      </c>
      <c r="AW884" s="82">
        <f>($L884-$F884)*100</f>
        <v/>
      </c>
      <c r="AX884" s="82">
        <f>($J884-$H884)*100</f>
        <v/>
      </c>
      <c r="AY884" s="82">
        <f>($L884-$H884)*100</f>
        <v/>
      </c>
      <c r="AZ884" s="82">
        <f>($L884-$J884)*100</f>
        <v/>
      </c>
      <c r="BA884" s="82">
        <f>(2*$H884-$F884-$J884)*100</f>
        <v/>
      </c>
      <c r="BB884" s="82">
        <f>(2*$J884-$H884-$L884)*100</f>
        <v/>
      </c>
      <c r="BC884" s="82">
        <f>($N884-$F884)*100</f>
        <v/>
      </c>
      <c r="BD884" s="82">
        <f>($Q884-$H884)*100</f>
        <v/>
      </c>
      <c r="BE884" s="82">
        <f>($S884-$J884)*100</f>
        <v/>
      </c>
      <c r="BF884" s="82">
        <f>($V884-$L884)*100</f>
        <v/>
      </c>
      <c r="BG884" s="82">
        <f>$AG884-$AF884</f>
        <v/>
      </c>
      <c r="BH884" s="81">
        <f>IFERROR($AG884/$AF884,"")</f>
        <v/>
      </c>
      <c r="BI884" s="82">
        <f>$AJ884-$AF884</f>
        <v/>
      </c>
      <c r="BJ884" s="81">
        <f>IFERROR($AJ884/$AG884,"")</f>
        <v/>
      </c>
      <c r="BK884" s="81">
        <f>$X884</f>
        <v/>
      </c>
      <c r="BL884" s="82">
        <f>($J884-$J885)*100</f>
        <v/>
      </c>
      <c r="BM884" s="82">
        <f>($F884-$F885)*100</f>
        <v/>
      </c>
      <c r="BN884" s="82">
        <f>$AF884-$AF885</f>
        <v/>
      </c>
      <c r="BO884" s="82">
        <f>$AG884-$AG885</f>
        <v/>
      </c>
      <c r="BP884" s="82">
        <f>$AJ884-$AJ885</f>
        <v/>
      </c>
    </row>
    <row r="885">
      <c r="AR885" s="81">
        <f>($G885+($H885-$G885)*0.5)+($P885-($O885+($Q885-$O885)*0.5))</f>
        <v/>
      </c>
      <c r="AS885" s="81">
        <f>($J885+($K885-$J885)*0.5)+($T885-($S885+($U885-$S885)*0.5))</f>
        <v/>
      </c>
      <c r="AT885" s="82">
        <f>($J885-$C885)*100</f>
        <v/>
      </c>
      <c r="AU885" s="82">
        <f>($H885-$F885)*100</f>
        <v/>
      </c>
      <c r="AV885" s="82">
        <f>($J885-$F885)*100</f>
        <v/>
      </c>
      <c r="AW885" s="82">
        <f>($L885-$F885)*100</f>
        <v/>
      </c>
      <c r="AX885" s="82">
        <f>($J885-$H885)*100</f>
        <v/>
      </c>
      <c r="AY885" s="82">
        <f>($L885-$H885)*100</f>
        <v/>
      </c>
      <c r="AZ885" s="82">
        <f>($L885-$J885)*100</f>
        <v/>
      </c>
      <c r="BA885" s="82">
        <f>(2*$H885-$F885-$J885)*100</f>
        <v/>
      </c>
      <c r="BB885" s="82">
        <f>(2*$J885-$H885-$L885)*100</f>
        <v/>
      </c>
      <c r="BC885" s="82">
        <f>($N885-$F885)*100</f>
        <v/>
      </c>
      <c r="BD885" s="82">
        <f>($Q885-$H885)*100</f>
        <v/>
      </c>
      <c r="BE885" s="82">
        <f>($S885-$J885)*100</f>
        <v/>
      </c>
      <c r="BF885" s="82">
        <f>($V885-$L885)*100</f>
        <v/>
      </c>
      <c r="BG885" s="82">
        <f>$AG885-$AF885</f>
        <v/>
      </c>
      <c r="BH885" s="81">
        <f>IFERROR($AG885/$AF885,"")</f>
        <v/>
      </c>
      <c r="BI885" s="82">
        <f>$AJ885-$AF885</f>
        <v/>
      </c>
      <c r="BJ885" s="81">
        <f>IFERROR($AJ885/$AG885,"")</f>
        <v/>
      </c>
      <c r="BK885" s="81">
        <f>$X885</f>
        <v/>
      </c>
      <c r="BL885" s="82">
        <f>($J885-$J886)*100</f>
        <v/>
      </c>
      <c r="BM885" s="82">
        <f>($F885-$F886)*100</f>
        <v/>
      </c>
      <c r="BN885" s="82">
        <f>$AF885-$AF886</f>
        <v/>
      </c>
      <c r="BO885" s="82">
        <f>$AG885-$AG886</f>
        <v/>
      </c>
      <c r="BP885" s="82">
        <f>$AJ885-$AJ886</f>
        <v/>
      </c>
    </row>
    <row r="886">
      <c r="AR886" s="81">
        <f>($G886+($H886-$G886)*0.5)+($P886-($O886+($Q886-$O886)*0.5))</f>
        <v/>
      </c>
      <c r="AS886" s="81">
        <f>($J886+($K886-$J886)*0.5)+($T886-($S886+($U886-$S886)*0.5))</f>
        <v/>
      </c>
      <c r="AT886" s="82">
        <f>($J886-$C886)*100</f>
        <v/>
      </c>
      <c r="AU886" s="82">
        <f>($H886-$F886)*100</f>
        <v/>
      </c>
      <c r="AV886" s="82">
        <f>($J886-$F886)*100</f>
        <v/>
      </c>
      <c r="AW886" s="82">
        <f>($L886-$F886)*100</f>
        <v/>
      </c>
      <c r="AX886" s="82">
        <f>($J886-$H886)*100</f>
        <v/>
      </c>
      <c r="AY886" s="82">
        <f>($L886-$H886)*100</f>
        <v/>
      </c>
      <c r="AZ886" s="82">
        <f>($L886-$J886)*100</f>
        <v/>
      </c>
      <c r="BA886" s="82">
        <f>(2*$H886-$F886-$J886)*100</f>
        <v/>
      </c>
      <c r="BB886" s="82">
        <f>(2*$J886-$H886-$L886)*100</f>
        <v/>
      </c>
      <c r="BC886" s="82">
        <f>($N886-$F886)*100</f>
        <v/>
      </c>
      <c r="BD886" s="82">
        <f>($Q886-$H886)*100</f>
        <v/>
      </c>
      <c r="BE886" s="82">
        <f>($S886-$J886)*100</f>
        <v/>
      </c>
      <c r="BF886" s="82">
        <f>($V886-$L886)*100</f>
        <v/>
      </c>
      <c r="BG886" s="82">
        <f>$AG886-$AF886</f>
        <v/>
      </c>
      <c r="BH886" s="81">
        <f>IFERROR($AG886/$AF886,"")</f>
        <v/>
      </c>
      <c r="BI886" s="82">
        <f>$AJ886-$AF886</f>
        <v/>
      </c>
      <c r="BJ886" s="81">
        <f>IFERROR($AJ886/$AG886,"")</f>
        <v/>
      </c>
      <c r="BK886" s="81">
        <f>$X886</f>
        <v/>
      </c>
      <c r="BL886" s="82">
        <f>($J886-$J887)*100</f>
        <v/>
      </c>
      <c r="BM886" s="82">
        <f>($F886-$F887)*100</f>
        <v/>
      </c>
      <c r="BN886" s="82">
        <f>$AF886-$AF887</f>
        <v/>
      </c>
      <c r="BO886" s="82">
        <f>$AG886-$AG887</f>
        <v/>
      </c>
      <c r="BP886" s="82">
        <f>$AJ886-$AJ887</f>
        <v/>
      </c>
    </row>
    <row r="887">
      <c r="AR887" s="81">
        <f>($G887+($H887-$G887)*0.5)+($P887-($O887+($Q887-$O887)*0.5))</f>
        <v/>
      </c>
      <c r="AS887" s="81">
        <f>($J887+($K887-$J887)*0.5)+($T887-($S887+($U887-$S887)*0.5))</f>
        <v/>
      </c>
      <c r="AT887" s="82">
        <f>($J887-$C887)*100</f>
        <v/>
      </c>
      <c r="AU887" s="82">
        <f>($H887-$F887)*100</f>
        <v/>
      </c>
      <c r="AV887" s="82">
        <f>($J887-$F887)*100</f>
        <v/>
      </c>
      <c r="AW887" s="82">
        <f>($L887-$F887)*100</f>
        <v/>
      </c>
      <c r="AX887" s="82">
        <f>($J887-$H887)*100</f>
        <v/>
      </c>
      <c r="AY887" s="82">
        <f>($L887-$H887)*100</f>
        <v/>
      </c>
      <c r="AZ887" s="82">
        <f>($L887-$J887)*100</f>
        <v/>
      </c>
      <c r="BA887" s="82">
        <f>(2*$H887-$F887-$J887)*100</f>
        <v/>
      </c>
      <c r="BB887" s="82">
        <f>(2*$J887-$H887-$L887)*100</f>
        <v/>
      </c>
      <c r="BC887" s="82">
        <f>($N887-$F887)*100</f>
        <v/>
      </c>
      <c r="BD887" s="82">
        <f>($Q887-$H887)*100</f>
        <v/>
      </c>
      <c r="BE887" s="82">
        <f>($S887-$J887)*100</f>
        <v/>
      </c>
      <c r="BF887" s="82">
        <f>($V887-$L887)*100</f>
        <v/>
      </c>
      <c r="BG887" s="82">
        <f>$AG887-$AF887</f>
        <v/>
      </c>
      <c r="BH887" s="81">
        <f>IFERROR($AG887/$AF887,"")</f>
        <v/>
      </c>
      <c r="BI887" s="82">
        <f>$AJ887-$AF887</f>
        <v/>
      </c>
      <c r="BJ887" s="81">
        <f>IFERROR($AJ887/$AG887,"")</f>
        <v/>
      </c>
      <c r="BK887" s="81">
        <f>$X887</f>
        <v/>
      </c>
      <c r="BL887" s="82">
        <f>($J887-$J888)*100</f>
        <v/>
      </c>
      <c r="BM887" s="82">
        <f>($F887-$F888)*100</f>
        <v/>
      </c>
      <c r="BN887" s="82">
        <f>$AF887-$AF888</f>
        <v/>
      </c>
      <c r="BO887" s="82">
        <f>$AG887-$AG888</f>
        <v/>
      </c>
      <c r="BP887" s="82">
        <f>$AJ887-$AJ888</f>
        <v/>
      </c>
    </row>
    <row r="888">
      <c r="AR888" s="81">
        <f>($G888+($H888-$G888)*0.5)+($P888-($O888+($Q888-$O888)*0.5))</f>
        <v/>
      </c>
      <c r="AS888" s="81">
        <f>($J888+($K888-$J888)*0.5)+($T888-($S888+($U888-$S888)*0.5))</f>
        <v/>
      </c>
      <c r="AT888" s="82">
        <f>($J888-$C888)*100</f>
        <v/>
      </c>
      <c r="AU888" s="82">
        <f>($H888-$F888)*100</f>
        <v/>
      </c>
      <c r="AV888" s="82">
        <f>($J888-$F888)*100</f>
        <v/>
      </c>
      <c r="AW888" s="82">
        <f>($L888-$F888)*100</f>
        <v/>
      </c>
      <c r="AX888" s="82">
        <f>($J888-$H888)*100</f>
        <v/>
      </c>
      <c r="AY888" s="82">
        <f>($L888-$H888)*100</f>
        <v/>
      </c>
      <c r="AZ888" s="82">
        <f>($L888-$J888)*100</f>
        <v/>
      </c>
      <c r="BA888" s="82">
        <f>(2*$H888-$F888-$J888)*100</f>
        <v/>
      </c>
      <c r="BB888" s="82">
        <f>(2*$J888-$H888-$L888)*100</f>
        <v/>
      </c>
      <c r="BC888" s="82">
        <f>($N888-$F888)*100</f>
        <v/>
      </c>
      <c r="BD888" s="82">
        <f>($Q888-$H888)*100</f>
        <v/>
      </c>
      <c r="BE888" s="82">
        <f>($S888-$J888)*100</f>
        <v/>
      </c>
      <c r="BF888" s="82">
        <f>($V888-$L888)*100</f>
        <v/>
      </c>
      <c r="BG888" s="82">
        <f>$AG888-$AF888</f>
        <v/>
      </c>
      <c r="BH888" s="81">
        <f>IFERROR($AG888/$AF888,"")</f>
        <v/>
      </c>
      <c r="BI888" s="82">
        <f>$AJ888-$AF888</f>
        <v/>
      </c>
      <c r="BJ888" s="81">
        <f>IFERROR($AJ888/$AG888,"")</f>
        <v/>
      </c>
      <c r="BK888" s="81">
        <f>$X888</f>
        <v/>
      </c>
      <c r="BL888" s="82">
        <f>($J888-$J889)*100</f>
        <v/>
      </c>
      <c r="BM888" s="82">
        <f>($F888-$F889)*100</f>
        <v/>
      </c>
      <c r="BN888" s="82">
        <f>$AF888-$AF889</f>
        <v/>
      </c>
      <c r="BO888" s="82">
        <f>$AG888-$AG889</f>
        <v/>
      </c>
      <c r="BP888" s="82">
        <f>$AJ888-$AJ889</f>
        <v/>
      </c>
    </row>
    <row r="889">
      <c r="AR889" s="81">
        <f>($G889+($H889-$G889)*0.5)+($P889-($O889+($Q889-$O889)*0.5))</f>
        <v/>
      </c>
      <c r="AS889" s="81">
        <f>($J889+($K889-$J889)*0.5)+($T889-($S889+($U889-$S889)*0.5))</f>
        <v/>
      </c>
      <c r="AT889" s="82">
        <f>($J889-$C889)*100</f>
        <v/>
      </c>
      <c r="AU889" s="82">
        <f>($H889-$F889)*100</f>
        <v/>
      </c>
      <c r="AV889" s="82">
        <f>($J889-$F889)*100</f>
        <v/>
      </c>
      <c r="AW889" s="82">
        <f>($L889-$F889)*100</f>
        <v/>
      </c>
      <c r="AX889" s="82">
        <f>($J889-$H889)*100</f>
        <v/>
      </c>
      <c r="AY889" s="82">
        <f>($L889-$H889)*100</f>
        <v/>
      </c>
      <c r="AZ889" s="82">
        <f>($L889-$J889)*100</f>
        <v/>
      </c>
      <c r="BA889" s="82">
        <f>(2*$H889-$F889-$J889)*100</f>
        <v/>
      </c>
      <c r="BB889" s="82">
        <f>(2*$J889-$H889-$L889)*100</f>
        <v/>
      </c>
      <c r="BC889" s="82">
        <f>($N889-$F889)*100</f>
        <v/>
      </c>
      <c r="BD889" s="82">
        <f>($Q889-$H889)*100</f>
        <v/>
      </c>
      <c r="BE889" s="82">
        <f>($S889-$J889)*100</f>
        <v/>
      </c>
      <c r="BF889" s="82">
        <f>($V889-$L889)*100</f>
        <v/>
      </c>
      <c r="BG889" s="82">
        <f>$AG889-$AF889</f>
        <v/>
      </c>
      <c r="BH889" s="81">
        <f>IFERROR($AG889/$AF889,"")</f>
        <v/>
      </c>
      <c r="BI889" s="82">
        <f>$AJ889-$AF889</f>
        <v/>
      </c>
      <c r="BJ889" s="81">
        <f>IFERROR($AJ889/$AG889,"")</f>
        <v/>
      </c>
      <c r="BK889" s="81">
        <f>$X889</f>
        <v/>
      </c>
      <c r="BL889" s="82">
        <f>($J889-$J890)*100</f>
        <v/>
      </c>
      <c r="BM889" s="82">
        <f>($F889-$F890)*100</f>
        <v/>
      </c>
      <c r="BN889" s="82">
        <f>$AF889-$AF890</f>
        <v/>
      </c>
      <c r="BO889" s="82">
        <f>$AG889-$AG890</f>
        <v/>
      </c>
      <c r="BP889" s="82">
        <f>$AJ889-$AJ890</f>
        <v/>
      </c>
    </row>
    <row r="890">
      <c r="AR890" s="81">
        <f>($G890+($H890-$G890)*0.5)+($P890-($O890+($Q890-$O890)*0.5))</f>
        <v/>
      </c>
      <c r="AS890" s="81">
        <f>($J890+($K890-$J890)*0.5)+($T890-($S890+($U890-$S890)*0.5))</f>
        <v/>
      </c>
      <c r="AT890" s="82">
        <f>($J890-$C890)*100</f>
        <v/>
      </c>
      <c r="AU890" s="82">
        <f>($H890-$F890)*100</f>
        <v/>
      </c>
      <c r="AV890" s="82">
        <f>($J890-$F890)*100</f>
        <v/>
      </c>
      <c r="AW890" s="82">
        <f>($L890-$F890)*100</f>
        <v/>
      </c>
      <c r="AX890" s="82">
        <f>($J890-$H890)*100</f>
        <v/>
      </c>
      <c r="AY890" s="82">
        <f>($L890-$H890)*100</f>
        <v/>
      </c>
      <c r="AZ890" s="82">
        <f>($L890-$J890)*100</f>
        <v/>
      </c>
      <c r="BA890" s="82">
        <f>(2*$H890-$F890-$J890)*100</f>
        <v/>
      </c>
      <c r="BB890" s="82">
        <f>(2*$J890-$H890-$L890)*100</f>
        <v/>
      </c>
      <c r="BC890" s="82">
        <f>($N890-$F890)*100</f>
        <v/>
      </c>
      <c r="BD890" s="82">
        <f>($Q890-$H890)*100</f>
        <v/>
      </c>
      <c r="BE890" s="82">
        <f>($S890-$J890)*100</f>
        <v/>
      </c>
      <c r="BF890" s="82">
        <f>($V890-$L890)*100</f>
        <v/>
      </c>
      <c r="BG890" s="82">
        <f>$AG890-$AF890</f>
        <v/>
      </c>
      <c r="BH890" s="81">
        <f>IFERROR($AG890/$AF890,"")</f>
        <v/>
      </c>
      <c r="BI890" s="82">
        <f>$AJ890-$AF890</f>
        <v/>
      </c>
      <c r="BJ890" s="81">
        <f>IFERROR($AJ890/$AG890,"")</f>
        <v/>
      </c>
      <c r="BK890" s="81">
        <f>$X890</f>
        <v/>
      </c>
      <c r="BL890" s="82">
        <f>($J890-$J891)*100</f>
        <v/>
      </c>
      <c r="BM890" s="82">
        <f>($F890-$F891)*100</f>
        <v/>
      </c>
      <c r="BN890" s="82">
        <f>$AF890-$AF891</f>
        <v/>
      </c>
      <c r="BO890" s="82">
        <f>$AG890-$AG891</f>
        <v/>
      </c>
      <c r="BP890" s="82">
        <f>$AJ890-$AJ891</f>
        <v/>
      </c>
    </row>
    <row r="891">
      <c r="AR891" s="81">
        <f>($G891+($H891-$G891)*0.5)+($P891-($O891+($Q891-$O891)*0.5))</f>
        <v/>
      </c>
      <c r="AS891" s="81">
        <f>($J891+($K891-$J891)*0.5)+($T891-($S891+($U891-$S891)*0.5))</f>
        <v/>
      </c>
      <c r="AT891" s="82">
        <f>($J891-$C891)*100</f>
        <v/>
      </c>
      <c r="AU891" s="82">
        <f>($H891-$F891)*100</f>
        <v/>
      </c>
      <c r="AV891" s="82">
        <f>($J891-$F891)*100</f>
        <v/>
      </c>
      <c r="AW891" s="82">
        <f>($L891-$F891)*100</f>
        <v/>
      </c>
      <c r="AX891" s="82">
        <f>($J891-$H891)*100</f>
        <v/>
      </c>
      <c r="AY891" s="82">
        <f>($L891-$H891)*100</f>
        <v/>
      </c>
      <c r="AZ891" s="82">
        <f>($L891-$J891)*100</f>
        <v/>
      </c>
      <c r="BA891" s="82">
        <f>(2*$H891-$F891-$J891)*100</f>
        <v/>
      </c>
      <c r="BB891" s="82">
        <f>(2*$J891-$H891-$L891)*100</f>
        <v/>
      </c>
      <c r="BC891" s="82">
        <f>($N891-$F891)*100</f>
        <v/>
      </c>
      <c r="BD891" s="82">
        <f>($Q891-$H891)*100</f>
        <v/>
      </c>
      <c r="BE891" s="82">
        <f>($S891-$J891)*100</f>
        <v/>
      </c>
      <c r="BF891" s="82">
        <f>($V891-$L891)*100</f>
        <v/>
      </c>
      <c r="BG891" s="82">
        <f>$AG891-$AF891</f>
        <v/>
      </c>
      <c r="BH891" s="81">
        <f>IFERROR($AG891/$AF891,"")</f>
        <v/>
      </c>
      <c r="BI891" s="82">
        <f>$AJ891-$AF891</f>
        <v/>
      </c>
      <c r="BJ891" s="81">
        <f>IFERROR($AJ891/$AG891,"")</f>
        <v/>
      </c>
      <c r="BK891" s="81">
        <f>$X891</f>
        <v/>
      </c>
      <c r="BL891" s="82">
        <f>($J891-$J892)*100</f>
        <v/>
      </c>
      <c r="BM891" s="82">
        <f>($F891-$F892)*100</f>
        <v/>
      </c>
      <c r="BN891" s="82">
        <f>$AF891-$AF892</f>
        <v/>
      </c>
      <c r="BO891" s="82">
        <f>$AG891-$AG892</f>
        <v/>
      </c>
      <c r="BP891" s="82">
        <f>$AJ891-$AJ892</f>
        <v/>
      </c>
    </row>
    <row r="892">
      <c r="AR892" s="81">
        <f>($G892+($H892-$G892)*0.5)+($P892-($O892+($Q892-$O892)*0.5))</f>
        <v/>
      </c>
      <c r="AS892" s="81">
        <f>($J892+($K892-$J892)*0.5)+($T892-($S892+($U892-$S892)*0.5))</f>
        <v/>
      </c>
      <c r="AT892" s="82">
        <f>($J892-$C892)*100</f>
        <v/>
      </c>
      <c r="AU892" s="82">
        <f>($H892-$F892)*100</f>
        <v/>
      </c>
      <c r="AV892" s="82">
        <f>($J892-$F892)*100</f>
        <v/>
      </c>
      <c r="AW892" s="82">
        <f>($L892-$F892)*100</f>
        <v/>
      </c>
      <c r="AX892" s="82">
        <f>($J892-$H892)*100</f>
        <v/>
      </c>
      <c r="AY892" s="82">
        <f>($L892-$H892)*100</f>
        <v/>
      </c>
      <c r="AZ892" s="82">
        <f>($L892-$J892)*100</f>
        <v/>
      </c>
      <c r="BA892" s="82">
        <f>(2*$H892-$F892-$J892)*100</f>
        <v/>
      </c>
      <c r="BB892" s="82">
        <f>(2*$J892-$H892-$L892)*100</f>
        <v/>
      </c>
      <c r="BC892" s="82">
        <f>($N892-$F892)*100</f>
        <v/>
      </c>
      <c r="BD892" s="82">
        <f>($Q892-$H892)*100</f>
        <v/>
      </c>
      <c r="BE892" s="82">
        <f>($S892-$J892)*100</f>
        <v/>
      </c>
      <c r="BF892" s="82">
        <f>($V892-$L892)*100</f>
        <v/>
      </c>
      <c r="BG892" s="82">
        <f>$AG892-$AF892</f>
        <v/>
      </c>
      <c r="BH892" s="81">
        <f>IFERROR($AG892/$AF892,"")</f>
        <v/>
      </c>
      <c r="BI892" s="82">
        <f>$AJ892-$AF892</f>
        <v/>
      </c>
      <c r="BJ892" s="81">
        <f>IFERROR($AJ892/$AG892,"")</f>
        <v/>
      </c>
      <c r="BK892" s="81">
        <f>$X892</f>
        <v/>
      </c>
      <c r="BL892" s="82">
        <f>($J892-$J893)*100</f>
        <v/>
      </c>
      <c r="BM892" s="82">
        <f>($F892-$F893)*100</f>
        <v/>
      </c>
      <c r="BN892" s="82">
        <f>$AF892-$AF893</f>
        <v/>
      </c>
      <c r="BO892" s="82">
        <f>$AG892-$AG893</f>
        <v/>
      </c>
      <c r="BP892" s="82">
        <f>$AJ892-$AJ893</f>
        <v/>
      </c>
    </row>
    <row r="893">
      <c r="AR893" s="81">
        <f>($G893+($H893-$G893)*0.5)+($P893-($O893+($Q893-$O893)*0.5))</f>
        <v/>
      </c>
      <c r="AS893" s="81">
        <f>($J893+($K893-$J893)*0.5)+($T893-($S893+($U893-$S893)*0.5))</f>
        <v/>
      </c>
      <c r="AT893" s="82">
        <f>($J893-$C893)*100</f>
        <v/>
      </c>
      <c r="AU893" s="82">
        <f>($H893-$F893)*100</f>
        <v/>
      </c>
      <c r="AV893" s="82">
        <f>($J893-$F893)*100</f>
        <v/>
      </c>
      <c r="AW893" s="82">
        <f>($L893-$F893)*100</f>
        <v/>
      </c>
      <c r="AX893" s="82">
        <f>($J893-$H893)*100</f>
        <v/>
      </c>
      <c r="AY893" s="82">
        <f>($L893-$H893)*100</f>
        <v/>
      </c>
      <c r="AZ893" s="82">
        <f>($L893-$J893)*100</f>
        <v/>
      </c>
      <c r="BA893" s="82">
        <f>(2*$H893-$F893-$J893)*100</f>
        <v/>
      </c>
      <c r="BB893" s="82">
        <f>(2*$J893-$H893-$L893)*100</f>
        <v/>
      </c>
      <c r="BC893" s="82">
        <f>($N893-$F893)*100</f>
        <v/>
      </c>
      <c r="BD893" s="82">
        <f>($Q893-$H893)*100</f>
        <v/>
      </c>
      <c r="BE893" s="82">
        <f>($S893-$J893)*100</f>
        <v/>
      </c>
      <c r="BF893" s="82">
        <f>($V893-$L893)*100</f>
        <v/>
      </c>
      <c r="BG893" s="82">
        <f>$AG893-$AF893</f>
        <v/>
      </c>
      <c r="BH893" s="81">
        <f>IFERROR($AG893/$AF893,"")</f>
        <v/>
      </c>
      <c r="BI893" s="82">
        <f>$AJ893-$AF893</f>
        <v/>
      </c>
      <c r="BJ893" s="81">
        <f>IFERROR($AJ893/$AG893,"")</f>
        <v/>
      </c>
      <c r="BK893" s="81">
        <f>$X893</f>
        <v/>
      </c>
      <c r="BL893" s="82">
        <f>($J893-$J894)*100</f>
        <v/>
      </c>
      <c r="BM893" s="82">
        <f>($F893-$F894)*100</f>
        <v/>
      </c>
      <c r="BN893" s="82">
        <f>$AF893-$AF894</f>
        <v/>
      </c>
      <c r="BO893" s="82">
        <f>$AG893-$AG894</f>
        <v/>
      </c>
      <c r="BP893" s="82">
        <f>$AJ893-$AJ894</f>
        <v/>
      </c>
    </row>
    <row r="894">
      <c r="AR894" s="81">
        <f>($G894+($H894-$G894)*0.5)+($P894-($O894+($Q894-$O894)*0.5))</f>
        <v/>
      </c>
      <c r="AS894" s="81">
        <f>($J894+($K894-$J894)*0.5)+($T894-($S894+($U894-$S894)*0.5))</f>
        <v/>
      </c>
      <c r="AT894" s="82">
        <f>($J894-$C894)*100</f>
        <v/>
      </c>
      <c r="AU894" s="82">
        <f>($H894-$F894)*100</f>
        <v/>
      </c>
      <c r="AV894" s="82">
        <f>($J894-$F894)*100</f>
        <v/>
      </c>
      <c r="AW894" s="82">
        <f>($L894-$F894)*100</f>
        <v/>
      </c>
      <c r="AX894" s="82">
        <f>($J894-$H894)*100</f>
        <v/>
      </c>
      <c r="AY894" s="82">
        <f>($L894-$H894)*100</f>
        <v/>
      </c>
      <c r="AZ894" s="82">
        <f>($L894-$J894)*100</f>
        <v/>
      </c>
      <c r="BA894" s="82">
        <f>(2*$H894-$F894-$J894)*100</f>
        <v/>
      </c>
      <c r="BB894" s="82">
        <f>(2*$J894-$H894-$L894)*100</f>
        <v/>
      </c>
      <c r="BC894" s="82">
        <f>($N894-$F894)*100</f>
        <v/>
      </c>
      <c r="BD894" s="82">
        <f>($Q894-$H894)*100</f>
        <v/>
      </c>
      <c r="BE894" s="82">
        <f>($S894-$J894)*100</f>
        <v/>
      </c>
      <c r="BF894" s="82">
        <f>($V894-$L894)*100</f>
        <v/>
      </c>
      <c r="BG894" s="82">
        <f>$AG894-$AF894</f>
        <v/>
      </c>
      <c r="BH894" s="81">
        <f>IFERROR($AG894/$AF894,"")</f>
        <v/>
      </c>
      <c r="BI894" s="82">
        <f>$AJ894-$AF894</f>
        <v/>
      </c>
      <c r="BJ894" s="81">
        <f>IFERROR($AJ894/$AG894,"")</f>
        <v/>
      </c>
      <c r="BK894" s="81">
        <f>$X894</f>
        <v/>
      </c>
      <c r="BL894" s="82">
        <f>($J894-$J895)*100</f>
        <v/>
      </c>
      <c r="BM894" s="82">
        <f>($F894-$F895)*100</f>
        <v/>
      </c>
      <c r="BN894" s="82">
        <f>$AF894-$AF895</f>
        <v/>
      </c>
      <c r="BO894" s="82">
        <f>$AG894-$AG895</f>
        <v/>
      </c>
      <c r="BP894" s="82">
        <f>$AJ894-$AJ895</f>
        <v/>
      </c>
    </row>
    <row r="895">
      <c r="AR895" s="81">
        <f>($G895+($H895-$G895)*0.5)+($P895-($O895+($Q895-$O895)*0.5))</f>
        <v/>
      </c>
      <c r="AS895" s="81">
        <f>($J895+($K895-$J895)*0.5)+($T895-($S895+($U895-$S895)*0.5))</f>
        <v/>
      </c>
      <c r="AT895" s="82">
        <f>($J895-$C895)*100</f>
        <v/>
      </c>
      <c r="AU895" s="82">
        <f>($H895-$F895)*100</f>
        <v/>
      </c>
      <c r="AV895" s="82">
        <f>($J895-$F895)*100</f>
        <v/>
      </c>
      <c r="AW895" s="82">
        <f>($L895-$F895)*100</f>
        <v/>
      </c>
      <c r="AX895" s="82">
        <f>($J895-$H895)*100</f>
        <v/>
      </c>
      <c r="AY895" s="82">
        <f>($L895-$H895)*100</f>
        <v/>
      </c>
      <c r="AZ895" s="82">
        <f>($L895-$J895)*100</f>
        <v/>
      </c>
      <c r="BA895" s="82">
        <f>(2*$H895-$F895-$J895)*100</f>
        <v/>
      </c>
      <c r="BB895" s="82">
        <f>(2*$J895-$H895-$L895)*100</f>
        <v/>
      </c>
      <c r="BC895" s="82">
        <f>($N895-$F895)*100</f>
        <v/>
      </c>
      <c r="BD895" s="82">
        <f>($Q895-$H895)*100</f>
        <v/>
      </c>
      <c r="BE895" s="82">
        <f>($S895-$J895)*100</f>
        <v/>
      </c>
      <c r="BF895" s="82">
        <f>($V895-$L895)*100</f>
        <v/>
      </c>
      <c r="BG895" s="82">
        <f>$AG895-$AF895</f>
        <v/>
      </c>
      <c r="BH895" s="81">
        <f>IFERROR($AG895/$AF895,"")</f>
        <v/>
      </c>
      <c r="BI895" s="82">
        <f>$AJ895-$AF895</f>
        <v/>
      </c>
      <c r="BJ895" s="81">
        <f>IFERROR($AJ895/$AG895,"")</f>
        <v/>
      </c>
      <c r="BK895" s="81">
        <f>$X895</f>
        <v/>
      </c>
      <c r="BL895" s="82">
        <f>($J895-$J896)*100</f>
        <v/>
      </c>
      <c r="BM895" s="82">
        <f>($F895-$F896)*100</f>
        <v/>
      </c>
      <c r="BN895" s="82">
        <f>$AF895-$AF896</f>
        <v/>
      </c>
      <c r="BO895" s="82">
        <f>$AG895-$AG896</f>
        <v/>
      </c>
      <c r="BP895" s="82">
        <f>$AJ895-$AJ896</f>
        <v/>
      </c>
    </row>
    <row r="896">
      <c r="AR896" s="81">
        <f>($G896+($H896-$G896)*0.5)+($P896-($O896+($Q896-$O896)*0.5))</f>
        <v/>
      </c>
      <c r="AS896" s="81">
        <f>($J896+($K896-$J896)*0.5)+($T896-($S896+($U896-$S896)*0.5))</f>
        <v/>
      </c>
      <c r="AT896" s="82">
        <f>($J896-$C896)*100</f>
        <v/>
      </c>
      <c r="AU896" s="82">
        <f>($H896-$F896)*100</f>
        <v/>
      </c>
      <c r="AV896" s="82">
        <f>($J896-$F896)*100</f>
        <v/>
      </c>
      <c r="AW896" s="82">
        <f>($L896-$F896)*100</f>
        <v/>
      </c>
      <c r="AX896" s="82">
        <f>($J896-$H896)*100</f>
        <v/>
      </c>
      <c r="AY896" s="82">
        <f>($L896-$H896)*100</f>
        <v/>
      </c>
      <c r="AZ896" s="82">
        <f>($L896-$J896)*100</f>
        <v/>
      </c>
      <c r="BA896" s="82">
        <f>(2*$H896-$F896-$J896)*100</f>
        <v/>
      </c>
      <c r="BB896" s="82">
        <f>(2*$J896-$H896-$L896)*100</f>
        <v/>
      </c>
      <c r="BC896" s="82">
        <f>($N896-$F896)*100</f>
        <v/>
      </c>
      <c r="BD896" s="82">
        <f>($Q896-$H896)*100</f>
        <v/>
      </c>
      <c r="BE896" s="82">
        <f>($S896-$J896)*100</f>
        <v/>
      </c>
      <c r="BF896" s="82">
        <f>($V896-$L896)*100</f>
        <v/>
      </c>
      <c r="BG896" s="82">
        <f>$AG896-$AF896</f>
        <v/>
      </c>
      <c r="BH896" s="81">
        <f>IFERROR($AG896/$AF896,"")</f>
        <v/>
      </c>
      <c r="BI896" s="82">
        <f>$AJ896-$AF896</f>
        <v/>
      </c>
      <c r="BJ896" s="81">
        <f>IFERROR($AJ896/$AG896,"")</f>
        <v/>
      </c>
      <c r="BK896" s="81">
        <f>$X896</f>
        <v/>
      </c>
      <c r="BL896" s="82">
        <f>($J896-$J897)*100</f>
        <v/>
      </c>
      <c r="BM896" s="82">
        <f>($F896-$F897)*100</f>
        <v/>
      </c>
      <c r="BN896" s="82">
        <f>$AF896-$AF897</f>
        <v/>
      </c>
      <c r="BO896" s="82">
        <f>$AG896-$AG897</f>
        <v/>
      </c>
      <c r="BP896" s="82">
        <f>$AJ896-$AJ897</f>
        <v/>
      </c>
    </row>
    <row r="897">
      <c r="AR897" s="81">
        <f>($G897+($H897-$G897)*0.5)+($P897-($O897+($Q897-$O897)*0.5))</f>
        <v/>
      </c>
      <c r="AS897" s="81">
        <f>($J897+($K897-$J897)*0.5)+($T897-($S897+($U897-$S897)*0.5))</f>
        <v/>
      </c>
      <c r="AT897" s="82">
        <f>($J897-$C897)*100</f>
        <v/>
      </c>
      <c r="AU897" s="82">
        <f>($H897-$F897)*100</f>
        <v/>
      </c>
      <c r="AV897" s="82">
        <f>($J897-$F897)*100</f>
        <v/>
      </c>
      <c r="AW897" s="82">
        <f>($L897-$F897)*100</f>
        <v/>
      </c>
      <c r="AX897" s="82">
        <f>($J897-$H897)*100</f>
        <v/>
      </c>
      <c r="AY897" s="82">
        <f>($L897-$H897)*100</f>
        <v/>
      </c>
      <c r="AZ897" s="82">
        <f>($L897-$J897)*100</f>
        <v/>
      </c>
      <c r="BA897" s="82">
        <f>(2*$H897-$F897-$J897)*100</f>
        <v/>
      </c>
      <c r="BB897" s="82">
        <f>(2*$J897-$H897-$L897)*100</f>
        <v/>
      </c>
      <c r="BC897" s="82">
        <f>($N897-$F897)*100</f>
        <v/>
      </c>
      <c r="BD897" s="82">
        <f>($Q897-$H897)*100</f>
        <v/>
      </c>
      <c r="BE897" s="82">
        <f>($S897-$J897)*100</f>
        <v/>
      </c>
      <c r="BF897" s="82">
        <f>($V897-$L897)*100</f>
        <v/>
      </c>
      <c r="BG897" s="82">
        <f>$AG897-$AF897</f>
        <v/>
      </c>
      <c r="BH897" s="81">
        <f>IFERROR($AG897/$AF897,"")</f>
        <v/>
      </c>
      <c r="BI897" s="82">
        <f>$AJ897-$AF897</f>
        <v/>
      </c>
      <c r="BJ897" s="81">
        <f>IFERROR($AJ897/$AG897,"")</f>
        <v/>
      </c>
      <c r="BK897" s="81">
        <f>$X897</f>
        <v/>
      </c>
      <c r="BL897" s="82">
        <f>($J897-$J898)*100</f>
        <v/>
      </c>
      <c r="BM897" s="82">
        <f>($F897-$F898)*100</f>
        <v/>
      </c>
      <c r="BN897" s="82">
        <f>$AF897-$AF898</f>
        <v/>
      </c>
      <c r="BO897" s="82">
        <f>$AG897-$AG898</f>
        <v/>
      </c>
      <c r="BP897" s="82">
        <f>$AJ897-$AJ898</f>
        <v/>
      </c>
    </row>
    <row r="898">
      <c r="AR898" s="81">
        <f>($G898+($H898-$G898)*0.5)+($P898-($O898+($Q898-$O898)*0.5))</f>
        <v/>
      </c>
      <c r="AS898" s="81">
        <f>($J898+($K898-$J898)*0.5)+($T898-($S898+($U898-$S898)*0.5))</f>
        <v/>
      </c>
      <c r="AT898" s="82">
        <f>($J898-$C898)*100</f>
        <v/>
      </c>
      <c r="AU898" s="82">
        <f>($H898-$F898)*100</f>
        <v/>
      </c>
      <c r="AV898" s="82">
        <f>($J898-$F898)*100</f>
        <v/>
      </c>
      <c r="AW898" s="82">
        <f>($L898-$F898)*100</f>
        <v/>
      </c>
      <c r="AX898" s="82">
        <f>($J898-$H898)*100</f>
        <v/>
      </c>
      <c r="AY898" s="82">
        <f>($L898-$H898)*100</f>
        <v/>
      </c>
      <c r="AZ898" s="82">
        <f>($L898-$J898)*100</f>
        <v/>
      </c>
      <c r="BA898" s="82">
        <f>(2*$H898-$F898-$J898)*100</f>
        <v/>
      </c>
      <c r="BB898" s="82">
        <f>(2*$J898-$H898-$L898)*100</f>
        <v/>
      </c>
      <c r="BC898" s="82">
        <f>($N898-$F898)*100</f>
        <v/>
      </c>
      <c r="BD898" s="82">
        <f>($Q898-$H898)*100</f>
        <v/>
      </c>
      <c r="BE898" s="82">
        <f>($S898-$J898)*100</f>
        <v/>
      </c>
      <c r="BF898" s="82">
        <f>($V898-$L898)*100</f>
        <v/>
      </c>
      <c r="BG898" s="82">
        <f>$AG898-$AF898</f>
        <v/>
      </c>
      <c r="BH898" s="81">
        <f>IFERROR($AG898/$AF898,"")</f>
        <v/>
      </c>
      <c r="BI898" s="82">
        <f>$AJ898-$AF898</f>
        <v/>
      </c>
      <c r="BJ898" s="81">
        <f>IFERROR($AJ898/$AG898,"")</f>
        <v/>
      </c>
      <c r="BK898" s="81">
        <f>$X898</f>
        <v/>
      </c>
      <c r="BL898" s="82">
        <f>($J898-$J899)*100</f>
        <v/>
      </c>
      <c r="BM898" s="82">
        <f>($F898-$F899)*100</f>
        <v/>
      </c>
      <c r="BN898" s="82">
        <f>$AF898-$AF899</f>
        <v/>
      </c>
      <c r="BO898" s="82">
        <f>$AG898-$AG899</f>
        <v/>
      </c>
      <c r="BP898" s="82">
        <f>$AJ898-$AJ899</f>
        <v/>
      </c>
    </row>
    <row r="899">
      <c r="AR899" s="81">
        <f>($G899+($H899-$G899)*0.5)+($P899-($O899+($Q899-$O899)*0.5))</f>
        <v/>
      </c>
      <c r="AS899" s="81">
        <f>($J899+($K899-$J899)*0.5)+($T899-($S899+($U899-$S899)*0.5))</f>
        <v/>
      </c>
      <c r="AT899" s="82">
        <f>($J899-$C899)*100</f>
        <v/>
      </c>
      <c r="AU899" s="82">
        <f>($H899-$F899)*100</f>
        <v/>
      </c>
      <c r="AV899" s="82">
        <f>($J899-$F899)*100</f>
        <v/>
      </c>
      <c r="AW899" s="82">
        <f>($L899-$F899)*100</f>
        <v/>
      </c>
      <c r="AX899" s="82">
        <f>($J899-$H899)*100</f>
        <v/>
      </c>
      <c r="AY899" s="82">
        <f>($L899-$H899)*100</f>
        <v/>
      </c>
      <c r="AZ899" s="82">
        <f>($L899-$J899)*100</f>
        <v/>
      </c>
      <c r="BA899" s="82">
        <f>(2*$H899-$F899-$J899)*100</f>
        <v/>
      </c>
      <c r="BB899" s="82">
        <f>(2*$J899-$H899-$L899)*100</f>
        <v/>
      </c>
      <c r="BC899" s="82">
        <f>($N899-$F899)*100</f>
        <v/>
      </c>
      <c r="BD899" s="82">
        <f>($Q899-$H899)*100</f>
        <v/>
      </c>
      <c r="BE899" s="82">
        <f>($S899-$J899)*100</f>
        <v/>
      </c>
      <c r="BF899" s="82">
        <f>($V899-$L899)*100</f>
        <v/>
      </c>
      <c r="BG899" s="82">
        <f>$AG899-$AF899</f>
        <v/>
      </c>
      <c r="BH899" s="81">
        <f>IFERROR($AG899/$AF899,"")</f>
        <v/>
      </c>
      <c r="BI899" s="82">
        <f>$AJ899-$AF899</f>
        <v/>
      </c>
      <c r="BJ899" s="81">
        <f>IFERROR($AJ899/$AG899,"")</f>
        <v/>
      </c>
      <c r="BK899" s="81">
        <f>$X899</f>
        <v/>
      </c>
      <c r="BL899" s="82">
        <f>($J899-$J900)*100</f>
        <v/>
      </c>
      <c r="BM899" s="82">
        <f>($F899-$F900)*100</f>
        <v/>
      </c>
      <c r="BN899" s="82">
        <f>$AF899-$AF900</f>
        <v/>
      </c>
      <c r="BO899" s="82">
        <f>$AG899-$AG900</f>
        <v/>
      </c>
      <c r="BP899" s="82">
        <f>$AJ899-$AJ900</f>
        <v/>
      </c>
    </row>
    <row r="900">
      <c r="AR900" s="81">
        <f>($G900+($H900-$G900)*0.5)+($P900-($O900+($Q900-$O900)*0.5))</f>
        <v/>
      </c>
      <c r="AS900" s="81">
        <f>($J900+($K900-$J900)*0.5)+($T900-($S900+($U900-$S900)*0.5))</f>
        <v/>
      </c>
      <c r="AT900" s="82">
        <f>($J900-$C900)*100</f>
        <v/>
      </c>
      <c r="AU900" s="82">
        <f>($H900-$F900)*100</f>
        <v/>
      </c>
      <c r="AV900" s="82">
        <f>($J900-$F900)*100</f>
        <v/>
      </c>
      <c r="AW900" s="82">
        <f>($L900-$F900)*100</f>
        <v/>
      </c>
      <c r="AX900" s="82">
        <f>($J900-$H900)*100</f>
        <v/>
      </c>
      <c r="AY900" s="82">
        <f>($L900-$H900)*100</f>
        <v/>
      </c>
      <c r="AZ900" s="82">
        <f>($L900-$J900)*100</f>
        <v/>
      </c>
      <c r="BA900" s="82">
        <f>(2*$H900-$F900-$J900)*100</f>
        <v/>
      </c>
      <c r="BB900" s="82">
        <f>(2*$J900-$H900-$L900)*100</f>
        <v/>
      </c>
      <c r="BC900" s="82">
        <f>($N900-$F900)*100</f>
        <v/>
      </c>
      <c r="BD900" s="82">
        <f>($Q900-$H900)*100</f>
        <v/>
      </c>
      <c r="BE900" s="82">
        <f>($S900-$J900)*100</f>
        <v/>
      </c>
      <c r="BF900" s="82">
        <f>($V900-$L900)*100</f>
        <v/>
      </c>
      <c r="BG900" s="82">
        <f>$AG900-$AF900</f>
        <v/>
      </c>
      <c r="BH900" s="81">
        <f>IFERROR($AG900/$AF900,"")</f>
        <v/>
      </c>
      <c r="BI900" s="82">
        <f>$AJ900-$AF900</f>
        <v/>
      </c>
      <c r="BJ900" s="81">
        <f>IFERROR($AJ900/$AG900,"")</f>
        <v/>
      </c>
      <c r="BK900" s="81">
        <f>$X900</f>
        <v/>
      </c>
      <c r="BL900" s="82">
        <f>($J900-$J901)*100</f>
        <v/>
      </c>
      <c r="BM900" s="82">
        <f>($F900-$F901)*100</f>
        <v/>
      </c>
      <c r="BN900" s="82">
        <f>$AF900-$AF901</f>
        <v/>
      </c>
      <c r="BO900" s="82">
        <f>$AG900-$AG901</f>
        <v/>
      </c>
      <c r="BP900" s="82">
        <f>$AJ900-$AJ901</f>
        <v/>
      </c>
    </row>
    <row r="901">
      <c r="AR901" s="81">
        <f>($G901+($H901-$G901)*0.5)+($P901-($O901+($Q901-$O901)*0.5))</f>
        <v/>
      </c>
      <c r="AS901" s="81">
        <f>($J901+($K901-$J901)*0.5)+($T901-($S901+($U901-$S901)*0.5))</f>
        <v/>
      </c>
      <c r="AT901" s="82">
        <f>($J901-$C901)*100</f>
        <v/>
      </c>
      <c r="AU901" s="82">
        <f>($H901-$F901)*100</f>
        <v/>
      </c>
      <c r="AV901" s="82">
        <f>($J901-$F901)*100</f>
        <v/>
      </c>
      <c r="AW901" s="82">
        <f>($L901-$F901)*100</f>
        <v/>
      </c>
      <c r="AX901" s="82">
        <f>($J901-$H901)*100</f>
        <v/>
      </c>
      <c r="AY901" s="82">
        <f>($L901-$H901)*100</f>
        <v/>
      </c>
      <c r="AZ901" s="82">
        <f>($L901-$J901)*100</f>
        <v/>
      </c>
      <c r="BA901" s="82">
        <f>(2*$H901-$F901-$J901)*100</f>
        <v/>
      </c>
      <c r="BB901" s="82">
        <f>(2*$J901-$H901-$L901)*100</f>
        <v/>
      </c>
      <c r="BC901" s="82">
        <f>($N901-$F901)*100</f>
        <v/>
      </c>
      <c r="BD901" s="82">
        <f>($Q901-$H901)*100</f>
        <v/>
      </c>
      <c r="BE901" s="82">
        <f>($S901-$J901)*100</f>
        <v/>
      </c>
      <c r="BF901" s="82">
        <f>($V901-$L901)*100</f>
        <v/>
      </c>
      <c r="BG901" s="82">
        <f>$AG901-$AF901</f>
        <v/>
      </c>
      <c r="BH901" s="81">
        <f>IFERROR($AG901/$AF901,"")</f>
        <v/>
      </c>
      <c r="BI901" s="82">
        <f>$AJ901-$AF901</f>
        <v/>
      </c>
      <c r="BJ901" s="81">
        <f>IFERROR($AJ901/$AG901,"")</f>
        <v/>
      </c>
      <c r="BK901" s="81">
        <f>$X901</f>
        <v/>
      </c>
      <c r="BL901" s="82">
        <f>($J901-$J902)*100</f>
        <v/>
      </c>
      <c r="BM901" s="82">
        <f>($F901-$F902)*100</f>
        <v/>
      </c>
      <c r="BN901" s="82">
        <f>$AF901-$AF902</f>
        <v/>
      </c>
      <c r="BO901" s="82">
        <f>$AG901-$AG902</f>
        <v/>
      </c>
      <c r="BP901" s="82">
        <f>$AJ901-$AJ902</f>
        <v/>
      </c>
    </row>
    <row r="902">
      <c r="AR902" s="81">
        <f>($G902+($H902-$G902)*0.5)+($P902-($O902+($Q902-$O902)*0.5))</f>
        <v/>
      </c>
      <c r="AS902" s="81">
        <f>($J902+($K902-$J902)*0.5)+($T902-($S902+($U902-$S902)*0.5))</f>
        <v/>
      </c>
      <c r="AT902" s="82">
        <f>($J902-$C902)*100</f>
        <v/>
      </c>
      <c r="AU902" s="82">
        <f>($H902-$F902)*100</f>
        <v/>
      </c>
      <c r="AV902" s="82">
        <f>($J902-$F902)*100</f>
        <v/>
      </c>
      <c r="AW902" s="82">
        <f>($L902-$F902)*100</f>
        <v/>
      </c>
      <c r="AX902" s="82">
        <f>($J902-$H902)*100</f>
        <v/>
      </c>
      <c r="AY902" s="82">
        <f>($L902-$H902)*100</f>
        <v/>
      </c>
      <c r="AZ902" s="82">
        <f>($L902-$J902)*100</f>
        <v/>
      </c>
      <c r="BA902" s="82">
        <f>(2*$H902-$F902-$J902)*100</f>
        <v/>
      </c>
      <c r="BB902" s="82">
        <f>(2*$J902-$H902-$L902)*100</f>
        <v/>
      </c>
      <c r="BC902" s="82">
        <f>($N902-$F902)*100</f>
        <v/>
      </c>
      <c r="BD902" s="82">
        <f>($Q902-$H902)*100</f>
        <v/>
      </c>
      <c r="BE902" s="82">
        <f>($S902-$J902)*100</f>
        <v/>
      </c>
      <c r="BF902" s="82">
        <f>($V902-$L902)*100</f>
        <v/>
      </c>
      <c r="BG902" s="82">
        <f>$AG902-$AF902</f>
        <v/>
      </c>
      <c r="BH902" s="81">
        <f>IFERROR($AG902/$AF902,"")</f>
        <v/>
      </c>
      <c r="BI902" s="82">
        <f>$AJ902-$AF902</f>
        <v/>
      </c>
      <c r="BJ902" s="81">
        <f>IFERROR($AJ902/$AG902,"")</f>
        <v/>
      </c>
      <c r="BK902" s="81">
        <f>$X902</f>
        <v/>
      </c>
      <c r="BL902" s="82">
        <f>($J902-$J903)*100</f>
        <v/>
      </c>
      <c r="BM902" s="82">
        <f>($F902-$F903)*100</f>
        <v/>
      </c>
      <c r="BN902" s="82">
        <f>$AF902-$AF903</f>
        <v/>
      </c>
      <c r="BO902" s="82">
        <f>$AG902-$AG903</f>
        <v/>
      </c>
      <c r="BP902" s="82">
        <f>$AJ902-$AJ903</f>
        <v/>
      </c>
    </row>
    <row r="903">
      <c r="AR903" s="81">
        <f>($G903+($H903-$G903)*0.5)+($P903-($O903+($Q903-$O903)*0.5))</f>
        <v/>
      </c>
      <c r="AS903" s="81">
        <f>($J903+($K903-$J903)*0.5)+($T903-($S903+($U903-$S903)*0.5))</f>
        <v/>
      </c>
      <c r="AT903" s="82">
        <f>($J903-$C903)*100</f>
        <v/>
      </c>
      <c r="AU903" s="82">
        <f>($H903-$F903)*100</f>
        <v/>
      </c>
      <c r="AV903" s="82">
        <f>($J903-$F903)*100</f>
        <v/>
      </c>
      <c r="AW903" s="82">
        <f>($L903-$F903)*100</f>
        <v/>
      </c>
      <c r="AX903" s="82">
        <f>($J903-$H903)*100</f>
        <v/>
      </c>
      <c r="AY903" s="82">
        <f>($L903-$H903)*100</f>
        <v/>
      </c>
      <c r="AZ903" s="82">
        <f>($L903-$J903)*100</f>
        <v/>
      </c>
      <c r="BA903" s="82">
        <f>(2*$H903-$F903-$J903)*100</f>
        <v/>
      </c>
      <c r="BB903" s="82">
        <f>(2*$J903-$H903-$L903)*100</f>
        <v/>
      </c>
      <c r="BC903" s="82">
        <f>($N903-$F903)*100</f>
        <v/>
      </c>
      <c r="BD903" s="82">
        <f>($Q903-$H903)*100</f>
        <v/>
      </c>
      <c r="BE903" s="82">
        <f>($S903-$J903)*100</f>
        <v/>
      </c>
      <c r="BF903" s="82">
        <f>($V903-$L903)*100</f>
        <v/>
      </c>
      <c r="BG903" s="82">
        <f>$AG903-$AF903</f>
        <v/>
      </c>
      <c r="BH903" s="81">
        <f>IFERROR($AG903/$AF903,"")</f>
        <v/>
      </c>
      <c r="BI903" s="82">
        <f>$AJ903-$AF903</f>
        <v/>
      </c>
      <c r="BJ903" s="81">
        <f>IFERROR($AJ903/$AG903,"")</f>
        <v/>
      </c>
      <c r="BK903" s="81">
        <f>$X903</f>
        <v/>
      </c>
      <c r="BL903" s="82">
        <f>($J903-$J904)*100</f>
        <v/>
      </c>
      <c r="BM903" s="82">
        <f>($F903-$F904)*100</f>
        <v/>
      </c>
      <c r="BN903" s="82">
        <f>$AF903-$AF904</f>
        <v/>
      </c>
      <c r="BO903" s="82">
        <f>$AG903-$AG904</f>
        <v/>
      </c>
      <c r="BP903" s="82">
        <f>$AJ903-$AJ904</f>
        <v/>
      </c>
    </row>
    <row r="904">
      <c r="AR904" s="81">
        <f>($G904+($H904-$G904)*0.5)+($P904-($O904+($Q904-$O904)*0.5))</f>
        <v/>
      </c>
      <c r="AS904" s="81">
        <f>($J904+($K904-$J904)*0.5)+($T904-($S904+($U904-$S904)*0.5))</f>
        <v/>
      </c>
      <c r="AT904" s="82">
        <f>($J904-$C904)*100</f>
        <v/>
      </c>
      <c r="AU904" s="82">
        <f>($H904-$F904)*100</f>
        <v/>
      </c>
      <c r="AV904" s="82">
        <f>($J904-$F904)*100</f>
        <v/>
      </c>
      <c r="AW904" s="82">
        <f>($L904-$F904)*100</f>
        <v/>
      </c>
      <c r="AX904" s="82">
        <f>($J904-$H904)*100</f>
        <v/>
      </c>
      <c r="AY904" s="82">
        <f>($L904-$H904)*100</f>
        <v/>
      </c>
      <c r="AZ904" s="82">
        <f>($L904-$J904)*100</f>
        <v/>
      </c>
      <c r="BA904" s="82">
        <f>(2*$H904-$F904-$J904)*100</f>
        <v/>
      </c>
      <c r="BB904" s="82">
        <f>(2*$J904-$H904-$L904)*100</f>
        <v/>
      </c>
      <c r="BC904" s="82">
        <f>($N904-$F904)*100</f>
        <v/>
      </c>
      <c r="BD904" s="82">
        <f>($Q904-$H904)*100</f>
        <v/>
      </c>
      <c r="BE904" s="82">
        <f>($S904-$J904)*100</f>
        <v/>
      </c>
      <c r="BF904" s="82">
        <f>($V904-$L904)*100</f>
        <v/>
      </c>
      <c r="BG904" s="82">
        <f>$AG904-$AF904</f>
        <v/>
      </c>
      <c r="BH904" s="81">
        <f>IFERROR($AG904/$AF904,"")</f>
        <v/>
      </c>
      <c r="BI904" s="82">
        <f>$AJ904-$AF904</f>
        <v/>
      </c>
      <c r="BJ904" s="81">
        <f>IFERROR($AJ904/$AG904,"")</f>
        <v/>
      </c>
      <c r="BK904" s="81">
        <f>$X904</f>
        <v/>
      </c>
      <c r="BL904" s="82">
        <f>($J904-$J905)*100</f>
        <v/>
      </c>
      <c r="BM904" s="82">
        <f>($F904-$F905)*100</f>
        <v/>
      </c>
      <c r="BN904" s="82">
        <f>$AF904-$AF905</f>
        <v/>
      </c>
      <c r="BO904" s="82">
        <f>$AG904-$AG905</f>
        <v/>
      </c>
      <c r="BP904" s="82">
        <f>$AJ904-$AJ905</f>
        <v/>
      </c>
    </row>
    <row r="905">
      <c r="AR905" s="81">
        <f>($G905+($H905-$G905)*0.5)+($P905-($O905+($Q905-$O905)*0.5))</f>
        <v/>
      </c>
      <c r="AS905" s="81">
        <f>($J905+($K905-$J905)*0.5)+($T905-($S905+($U905-$S905)*0.5))</f>
        <v/>
      </c>
      <c r="AT905" s="82">
        <f>($J905-$C905)*100</f>
        <v/>
      </c>
      <c r="AU905" s="82">
        <f>($H905-$F905)*100</f>
        <v/>
      </c>
      <c r="AV905" s="82">
        <f>($J905-$F905)*100</f>
        <v/>
      </c>
      <c r="AW905" s="82">
        <f>($L905-$F905)*100</f>
        <v/>
      </c>
      <c r="AX905" s="82">
        <f>($J905-$H905)*100</f>
        <v/>
      </c>
      <c r="AY905" s="82">
        <f>($L905-$H905)*100</f>
        <v/>
      </c>
      <c r="AZ905" s="82">
        <f>($L905-$J905)*100</f>
        <v/>
      </c>
      <c r="BA905" s="82">
        <f>(2*$H905-$F905-$J905)*100</f>
        <v/>
      </c>
      <c r="BB905" s="82">
        <f>(2*$J905-$H905-$L905)*100</f>
        <v/>
      </c>
      <c r="BC905" s="82">
        <f>($N905-$F905)*100</f>
        <v/>
      </c>
      <c r="BD905" s="82">
        <f>($Q905-$H905)*100</f>
        <v/>
      </c>
      <c r="BE905" s="82">
        <f>($S905-$J905)*100</f>
        <v/>
      </c>
      <c r="BF905" s="82">
        <f>($V905-$L905)*100</f>
        <v/>
      </c>
      <c r="BG905" s="82">
        <f>$AG905-$AF905</f>
        <v/>
      </c>
      <c r="BH905" s="81">
        <f>IFERROR($AG905/$AF905,"")</f>
        <v/>
      </c>
      <c r="BI905" s="82">
        <f>$AJ905-$AF905</f>
        <v/>
      </c>
      <c r="BJ905" s="81">
        <f>IFERROR($AJ905/$AG905,"")</f>
        <v/>
      </c>
      <c r="BK905" s="81">
        <f>$X905</f>
        <v/>
      </c>
      <c r="BL905" s="82">
        <f>($J905-$J906)*100</f>
        <v/>
      </c>
      <c r="BM905" s="82">
        <f>($F905-$F906)*100</f>
        <v/>
      </c>
      <c r="BN905" s="82">
        <f>$AF905-$AF906</f>
        <v/>
      </c>
      <c r="BO905" s="82">
        <f>$AG905-$AG906</f>
        <v/>
      </c>
      <c r="BP905" s="82">
        <f>$AJ905-$AJ906</f>
        <v/>
      </c>
    </row>
    <row r="906">
      <c r="AR906" s="81">
        <f>($G906+($H906-$G906)*0.5)+($P906-($O906+($Q906-$O906)*0.5))</f>
        <v/>
      </c>
      <c r="AS906" s="81">
        <f>($J906+($K906-$J906)*0.5)+($T906-($S906+($U906-$S906)*0.5))</f>
        <v/>
      </c>
      <c r="AT906" s="82">
        <f>($J906-$C906)*100</f>
        <v/>
      </c>
      <c r="AU906" s="82">
        <f>($H906-$F906)*100</f>
        <v/>
      </c>
      <c r="AV906" s="82">
        <f>($J906-$F906)*100</f>
        <v/>
      </c>
      <c r="AW906" s="82">
        <f>($L906-$F906)*100</f>
        <v/>
      </c>
      <c r="AX906" s="82">
        <f>($J906-$H906)*100</f>
        <v/>
      </c>
      <c r="AY906" s="82">
        <f>($L906-$H906)*100</f>
        <v/>
      </c>
      <c r="AZ906" s="82">
        <f>($L906-$J906)*100</f>
        <v/>
      </c>
      <c r="BA906" s="82">
        <f>(2*$H906-$F906-$J906)*100</f>
        <v/>
      </c>
      <c r="BB906" s="82">
        <f>(2*$J906-$H906-$L906)*100</f>
        <v/>
      </c>
      <c r="BC906" s="82">
        <f>($N906-$F906)*100</f>
        <v/>
      </c>
      <c r="BD906" s="82">
        <f>($Q906-$H906)*100</f>
        <v/>
      </c>
      <c r="BE906" s="82">
        <f>($S906-$J906)*100</f>
        <v/>
      </c>
      <c r="BF906" s="82">
        <f>($V906-$L906)*100</f>
        <v/>
      </c>
      <c r="BG906" s="82">
        <f>$AG906-$AF906</f>
        <v/>
      </c>
      <c r="BH906" s="81">
        <f>IFERROR($AG906/$AF906,"")</f>
        <v/>
      </c>
      <c r="BI906" s="82">
        <f>$AJ906-$AF906</f>
        <v/>
      </c>
      <c r="BJ906" s="81">
        <f>IFERROR($AJ906/$AG906,"")</f>
        <v/>
      </c>
      <c r="BK906" s="81">
        <f>$X906</f>
        <v/>
      </c>
      <c r="BL906" s="82">
        <f>($J906-$J907)*100</f>
        <v/>
      </c>
      <c r="BM906" s="82">
        <f>($F906-$F907)*100</f>
        <v/>
      </c>
      <c r="BN906" s="82">
        <f>$AF906-$AF907</f>
        <v/>
      </c>
      <c r="BO906" s="82">
        <f>$AG906-$AG907</f>
        <v/>
      </c>
      <c r="BP906" s="82">
        <f>$AJ906-$AJ907</f>
        <v/>
      </c>
    </row>
    <row r="907">
      <c r="AR907" s="81">
        <f>($G907+($H907-$G907)*0.5)+($P907-($O907+($Q907-$O907)*0.5))</f>
        <v/>
      </c>
      <c r="AS907" s="81">
        <f>($J907+($K907-$J907)*0.5)+($T907-($S907+($U907-$S907)*0.5))</f>
        <v/>
      </c>
      <c r="AT907" s="82">
        <f>($J907-$C907)*100</f>
        <v/>
      </c>
      <c r="AU907" s="82">
        <f>($H907-$F907)*100</f>
        <v/>
      </c>
      <c r="AV907" s="82">
        <f>($J907-$F907)*100</f>
        <v/>
      </c>
      <c r="AW907" s="82">
        <f>($L907-$F907)*100</f>
        <v/>
      </c>
      <c r="AX907" s="82">
        <f>($J907-$H907)*100</f>
        <v/>
      </c>
      <c r="AY907" s="82">
        <f>($L907-$H907)*100</f>
        <v/>
      </c>
      <c r="AZ907" s="82">
        <f>($L907-$J907)*100</f>
        <v/>
      </c>
      <c r="BA907" s="82">
        <f>(2*$H907-$F907-$J907)*100</f>
        <v/>
      </c>
      <c r="BB907" s="82">
        <f>(2*$J907-$H907-$L907)*100</f>
        <v/>
      </c>
      <c r="BC907" s="82">
        <f>($N907-$F907)*100</f>
        <v/>
      </c>
      <c r="BD907" s="82">
        <f>($Q907-$H907)*100</f>
        <v/>
      </c>
      <c r="BE907" s="82">
        <f>($S907-$J907)*100</f>
        <v/>
      </c>
      <c r="BF907" s="82">
        <f>($V907-$L907)*100</f>
        <v/>
      </c>
      <c r="BG907" s="82">
        <f>$AG907-$AF907</f>
        <v/>
      </c>
      <c r="BH907" s="81">
        <f>IFERROR($AG907/$AF907,"")</f>
        <v/>
      </c>
      <c r="BI907" s="82">
        <f>$AJ907-$AF907</f>
        <v/>
      </c>
      <c r="BJ907" s="81">
        <f>IFERROR($AJ907/$AG907,"")</f>
        <v/>
      </c>
      <c r="BK907" s="81">
        <f>$X907</f>
        <v/>
      </c>
      <c r="BL907" s="82">
        <f>($J907-$J908)*100</f>
        <v/>
      </c>
      <c r="BM907" s="82">
        <f>($F907-$F908)*100</f>
        <v/>
      </c>
      <c r="BN907" s="82">
        <f>$AF907-$AF908</f>
        <v/>
      </c>
      <c r="BO907" s="82">
        <f>$AG907-$AG908</f>
        <v/>
      </c>
      <c r="BP907" s="82">
        <f>$AJ907-$AJ908</f>
        <v/>
      </c>
    </row>
    <row r="908">
      <c r="AR908" s="81">
        <f>($G908+($H908-$G908)*0.5)+($P908-($O908+($Q908-$O908)*0.5))</f>
        <v/>
      </c>
      <c r="AS908" s="81">
        <f>($J908+($K908-$J908)*0.5)+($T908-($S908+($U908-$S908)*0.5))</f>
        <v/>
      </c>
      <c r="AT908" s="82">
        <f>($J908-$C908)*100</f>
        <v/>
      </c>
      <c r="AU908" s="82">
        <f>($H908-$F908)*100</f>
        <v/>
      </c>
      <c r="AV908" s="82">
        <f>($J908-$F908)*100</f>
        <v/>
      </c>
      <c r="AW908" s="82">
        <f>($L908-$F908)*100</f>
        <v/>
      </c>
      <c r="AX908" s="82">
        <f>($J908-$H908)*100</f>
        <v/>
      </c>
      <c r="AY908" s="82">
        <f>($L908-$H908)*100</f>
        <v/>
      </c>
      <c r="AZ908" s="82">
        <f>($L908-$J908)*100</f>
        <v/>
      </c>
      <c r="BA908" s="82">
        <f>(2*$H908-$F908-$J908)*100</f>
        <v/>
      </c>
      <c r="BB908" s="82">
        <f>(2*$J908-$H908-$L908)*100</f>
        <v/>
      </c>
      <c r="BC908" s="82">
        <f>($N908-$F908)*100</f>
        <v/>
      </c>
      <c r="BD908" s="82">
        <f>($Q908-$H908)*100</f>
        <v/>
      </c>
      <c r="BE908" s="82">
        <f>($S908-$J908)*100</f>
        <v/>
      </c>
      <c r="BF908" s="82">
        <f>($V908-$L908)*100</f>
        <v/>
      </c>
      <c r="BG908" s="82">
        <f>$AG908-$AF908</f>
        <v/>
      </c>
      <c r="BH908" s="81">
        <f>IFERROR($AG908/$AF908,"")</f>
        <v/>
      </c>
      <c r="BI908" s="82">
        <f>$AJ908-$AF908</f>
        <v/>
      </c>
      <c r="BJ908" s="81">
        <f>IFERROR($AJ908/$AG908,"")</f>
        <v/>
      </c>
      <c r="BK908" s="81">
        <f>$X908</f>
        <v/>
      </c>
      <c r="BL908" s="82">
        <f>($J908-$J909)*100</f>
        <v/>
      </c>
      <c r="BM908" s="82">
        <f>($F908-$F909)*100</f>
        <v/>
      </c>
      <c r="BN908" s="82">
        <f>$AF908-$AF909</f>
        <v/>
      </c>
      <c r="BO908" s="82">
        <f>$AG908-$AG909</f>
        <v/>
      </c>
      <c r="BP908" s="82">
        <f>$AJ908-$AJ909</f>
        <v/>
      </c>
    </row>
    <row r="909">
      <c r="AR909" s="81">
        <f>($G909+($H909-$G909)*0.5)+($P909-($O909+($Q909-$O909)*0.5))</f>
        <v/>
      </c>
      <c r="AS909" s="81">
        <f>($J909+($K909-$J909)*0.5)+($T909-($S909+($U909-$S909)*0.5))</f>
        <v/>
      </c>
      <c r="AT909" s="82">
        <f>($J909-$C909)*100</f>
        <v/>
      </c>
      <c r="AU909" s="82">
        <f>($H909-$F909)*100</f>
        <v/>
      </c>
      <c r="AV909" s="82">
        <f>($J909-$F909)*100</f>
        <v/>
      </c>
      <c r="AW909" s="82">
        <f>($L909-$F909)*100</f>
        <v/>
      </c>
      <c r="AX909" s="82">
        <f>($J909-$H909)*100</f>
        <v/>
      </c>
      <c r="AY909" s="82">
        <f>($L909-$H909)*100</f>
        <v/>
      </c>
      <c r="AZ909" s="82">
        <f>($L909-$J909)*100</f>
        <v/>
      </c>
      <c r="BA909" s="82">
        <f>(2*$H909-$F909-$J909)*100</f>
        <v/>
      </c>
      <c r="BB909" s="82">
        <f>(2*$J909-$H909-$L909)*100</f>
        <v/>
      </c>
      <c r="BC909" s="82">
        <f>($N909-$F909)*100</f>
        <v/>
      </c>
      <c r="BD909" s="82">
        <f>($Q909-$H909)*100</f>
        <v/>
      </c>
      <c r="BE909" s="82">
        <f>($S909-$J909)*100</f>
        <v/>
      </c>
      <c r="BF909" s="82">
        <f>($V909-$L909)*100</f>
        <v/>
      </c>
      <c r="BG909" s="82">
        <f>$AG909-$AF909</f>
        <v/>
      </c>
      <c r="BH909" s="81">
        <f>IFERROR($AG909/$AF909,"")</f>
        <v/>
      </c>
      <c r="BI909" s="82">
        <f>$AJ909-$AF909</f>
        <v/>
      </c>
      <c r="BJ909" s="81">
        <f>IFERROR($AJ909/$AG909,"")</f>
        <v/>
      </c>
      <c r="BK909" s="81">
        <f>$X909</f>
        <v/>
      </c>
      <c r="BL909" s="82">
        <f>($J909-$J910)*100</f>
        <v/>
      </c>
      <c r="BM909" s="82">
        <f>($F909-$F910)*100</f>
        <v/>
      </c>
      <c r="BN909" s="82">
        <f>$AF909-$AF910</f>
        <v/>
      </c>
      <c r="BO909" s="82">
        <f>$AG909-$AG910</f>
        <v/>
      </c>
      <c r="BP909" s="82">
        <f>$AJ909-$AJ910</f>
        <v/>
      </c>
    </row>
    <row r="910">
      <c r="AR910" s="81">
        <f>($G910+($H910-$G910)*0.5)+($P910-($O910+($Q910-$O910)*0.5))</f>
        <v/>
      </c>
      <c r="AS910" s="81">
        <f>($J910+($K910-$J910)*0.5)+($T910-($S910+($U910-$S910)*0.5))</f>
        <v/>
      </c>
      <c r="AT910" s="82">
        <f>($J910-$C910)*100</f>
        <v/>
      </c>
      <c r="AU910" s="82">
        <f>($H910-$F910)*100</f>
        <v/>
      </c>
      <c r="AV910" s="82">
        <f>($J910-$F910)*100</f>
        <v/>
      </c>
      <c r="AW910" s="82">
        <f>($L910-$F910)*100</f>
        <v/>
      </c>
      <c r="AX910" s="82">
        <f>($J910-$H910)*100</f>
        <v/>
      </c>
      <c r="AY910" s="82">
        <f>($L910-$H910)*100</f>
        <v/>
      </c>
      <c r="AZ910" s="82">
        <f>($L910-$J910)*100</f>
        <v/>
      </c>
      <c r="BA910" s="82">
        <f>(2*$H910-$F910-$J910)*100</f>
        <v/>
      </c>
      <c r="BB910" s="82">
        <f>(2*$J910-$H910-$L910)*100</f>
        <v/>
      </c>
      <c r="BC910" s="82">
        <f>($N910-$F910)*100</f>
        <v/>
      </c>
      <c r="BD910" s="82">
        <f>($Q910-$H910)*100</f>
        <v/>
      </c>
      <c r="BE910" s="82">
        <f>($S910-$J910)*100</f>
        <v/>
      </c>
      <c r="BF910" s="82">
        <f>($V910-$L910)*100</f>
        <v/>
      </c>
      <c r="BG910" s="82">
        <f>$AG910-$AF910</f>
        <v/>
      </c>
      <c r="BH910" s="81">
        <f>IFERROR($AG910/$AF910,"")</f>
        <v/>
      </c>
      <c r="BI910" s="82">
        <f>$AJ910-$AF910</f>
        <v/>
      </c>
      <c r="BJ910" s="81">
        <f>IFERROR($AJ910/$AG910,"")</f>
        <v/>
      </c>
      <c r="BK910" s="81">
        <f>$X910</f>
        <v/>
      </c>
      <c r="BL910" s="82">
        <f>($J910-$J911)*100</f>
        <v/>
      </c>
      <c r="BM910" s="82">
        <f>($F910-$F911)*100</f>
        <v/>
      </c>
      <c r="BN910" s="82">
        <f>$AF910-$AF911</f>
        <v/>
      </c>
      <c r="BO910" s="82">
        <f>$AG910-$AG911</f>
        <v/>
      </c>
      <c r="BP910" s="82">
        <f>$AJ910-$AJ911</f>
        <v/>
      </c>
    </row>
    <row r="911">
      <c r="AR911" s="81">
        <f>($G911+($H911-$G911)*0.5)+($P911-($O911+($Q911-$O911)*0.5))</f>
        <v/>
      </c>
      <c r="AS911" s="81">
        <f>($J911+($K911-$J911)*0.5)+($T911-($S911+($U911-$S911)*0.5))</f>
        <v/>
      </c>
      <c r="AT911" s="82">
        <f>($J911-$C911)*100</f>
        <v/>
      </c>
      <c r="AU911" s="82">
        <f>($H911-$F911)*100</f>
        <v/>
      </c>
      <c r="AV911" s="82">
        <f>($J911-$F911)*100</f>
        <v/>
      </c>
      <c r="AW911" s="82">
        <f>($L911-$F911)*100</f>
        <v/>
      </c>
      <c r="AX911" s="82">
        <f>($J911-$H911)*100</f>
        <v/>
      </c>
      <c r="AY911" s="82">
        <f>($L911-$H911)*100</f>
        <v/>
      </c>
      <c r="AZ911" s="82">
        <f>($L911-$J911)*100</f>
        <v/>
      </c>
      <c r="BA911" s="82">
        <f>(2*$H911-$F911-$J911)*100</f>
        <v/>
      </c>
      <c r="BB911" s="82">
        <f>(2*$J911-$H911-$L911)*100</f>
        <v/>
      </c>
      <c r="BC911" s="82">
        <f>($N911-$F911)*100</f>
        <v/>
      </c>
      <c r="BD911" s="82">
        <f>($Q911-$H911)*100</f>
        <v/>
      </c>
      <c r="BE911" s="82">
        <f>($S911-$J911)*100</f>
        <v/>
      </c>
      <c r="BF911" s="82">
        <f>($V911-$L911)*100</f>
        <v/>
      </c>
      <c r="BG911" s="82">
        <f>$AG911-$AF911</f>
        <v/>
      </c>
      <c r="BH911" s="81">
        <f>IFERROR($AG911/$AF911,"")</f>
        <v/>
      </c>
      <c r="BI911" s="82">
        <f>$AJ911-$AF911</f>
        <v/>
      </c>
      <c r="BJ911" s="81">
        <f>IFERROR($AJ911/$AG911,"")</f>
        <v/>
      </c>
      <c r="BK911" s="81">
        <f>$X911</f>
        <v/>
      </c>
      <c r="BL911" s="82">
        <f>($J911-$J912)*100</f>
        <v/>
      </c>
      <c r="BM911" s="82">
        <f>($F911-$F912)*100</f>
        <v/>
      </c>
      <c r="BN911" s="82">
        <f>$AF911-$AF912</f>
        <v/>
      </c>
      <c r="BO911" s="82">
        <f>$AG911-$AG912</f>
        <v/>
      </c>
      <c r="BP911" s="82">
        <f>$AJ911-$AJ912</f>
        <v/>
      </c>
    </row>
    <row r="912">
      <c r="AR912" s="81">
        <f>($G912+($H912-$G912)*0.5)+($P912-($O912+($Q912-$O912)*0.5))</f>
        <v/>
      </c>
      <c r="AS912" s="81">
        <f>($J912+($K912-$J912)*0.5)+($T912-($S912+($U912-$S912)*0.5))</f>
        <v/>
      </c>
      <c r="AT912" s="82">
        <f>($J912-$C912)*100</f>
        <v/>
      </c>
      <c r="AU912" s="82">
        <f>($H912-$F912)*100</f>
        <v/>
      </c>
      <c r="AV912" s="82">
        <f>($J912-$F912)*100</f>
        <v/>
      </c>
      <c r="AW912" s="82">
        <f>($L912-$F912)*100</f>
        <v/>
      </c>
      <c r="AX912" s="82">
        <f>($J912-$H912)*100</f>
        <v/>
      </c>
      <c r="AY912" s="82">
        <f>($L912-$H912)*100</f>
        <v/>
      </c>
      <c r="AZ912" s="82">
        <f>($L912-$J912)*100</f>
        <v/>
      </c>
      <c r="BA912" s="82">
        <f>(2*$H912-$F912-$J912)*100</f>
        <v/>
      </c>
      <c r="BB912" s="82">
        <f>(2*$J912-$H912-$L912)*100</f>
        <v/>
      </c>
      <c r="BC912" s="82">
        <f>($N912-$F912)*100</f>
        <v/>
      </c>
      <c r="BD912" s="82">
        <f>($Q912-$H912)*100</f>
        <v/>
      </c>
      <c r="BE912" s="82">
        <f>($S912-$J912)*100</f>
        <v/>
      </c>
      <c r="BF912" s="82">
        <f>($V912-$L912)*100</f>
        <v/>
      </c>
      <c r="BG912" s="82">
        <f>$AG912-$AF912</f>
        <v/>
      </c>
      <c r="BH912" s="81">
        <f>IFERROR($AG912/$AF912,"")</f>
        <v/>
      </c>
      <c r="BI912" s="82">
        <f>$AJ912-$AF912</f>
        <v/>
      </c>
      <c r="BJ912" s="81">
        <f>IFERROR($AJ912/$AG912,"")</f>
        <v/>
      </c>
      <c r="BK912" s="81">
        <f>$X912</f>
        <v/>
      </c>
      <c r="BL912" s="82">
        <f>($J912-$J913)*100</f>
        <v/>
      </c>
      <c r="BM912" s="82">
        <f>($F912-$F913)*100</f>
        <v/>
      </c>
      <c r="BN912" s="82">
        <f>$AF912-$AF913</f>
        <v/>
      </c>
      <c r="BO912" s="82">
        <f>$AG912-$AG913</f>
        <v/>
      </c>
      <c r="BP912" s="82">
        <f>$AJ912-$AJ913</f>
        <v/>
      </c>
    </row>
    <row r="913">
      <c r="AR913" s="81">
        <f>($G913+($H913-$G913)*0.5)+($P913-($O913+($Q913-$O913)*0.5))</f>
        <v/>
      </c>
      <c r="AS913" s="81">
        <f>($J913+($K913-$J913)*0.5)+($T913-($S913+($U913-$S913)*0.5))</f>
        <v/>
      </c>
      <c r="AT913" s="82">
        <f>($J913-$C913)*100</f>
        <v/>
      </c>
      <c r="AU913" s="82">
        <f>($H913-$F913)*100</f>
        <v/>
      </c>
      <c r="AV913" s="82">
        <f>($J913-$F913)*100</f>
        <v/>
      </c>
      <c r="AW913" s="82">
        <f>($L913-$F913)*100</f>
        <v/>
      </c>
      <c r="AX913" s="82">
        <f>($J913-$H913)*100</f>
        <v/>
      </c>
      <c r="AY913" s="82">
        <f>($L913-$H913)*100</f>
        <v/>
      </c>
      <c r="AZ913" s="82">
        <f>($L913-$J913)*100</f>
        <v/>
      </c>
      <c r="BA913" s="82">
        <f>(2*$H913-$F913-$J913)*100</f>
        <v/>
      </c>
      <c r="BB913" s="82">
        <f>(2*$J913-$H913-$L913)*100</f>
        <v/>
      </c>
      <c r="BC913" s="82">
        <f>($N913-$F913)*100</f>
        <v/>
      </c>
      <c r="BD913" s="82">
        <f>($Q913-$H913)*100</f>
        <v/>
      </c>
      <c r="BE913" s="82">
        <f>($S913-$J913)*100</f>
        <v/>
      </c>
      <c r="BF913" s="82">
        <f>($V913-$L913)*100</f>
        <v/>
      </c>
      <c r="BG913" s="82">
        <f>$AG913-$AF913</f>
        <v/>
      </c>
      <c r="BH913" s="81">
        <f>IFERROR($AG913/$AF913,"")</f>
        <v/>
      </c>
      <c r="BI913" s="82">
        <f>$AJ913-$AF913</f>
        <v/>
      </c>
      <c r="BJ913" s="81">
        <f>IFERROR($AJ913/$AG913,"")</f>
        <v/>
      </c>
      <c r="BK913" s="81">
        <f>$X913</f>
        <v/>
      </c>
      <c r="BL913" s="82">
        <f>($J913-$J914)*100</f>
        <v/>
      </c>
      <c r="BM913" s="82">
        <f>($F913-$F914)*100</f>
        <v/>
      </c>
      <c r="BN913" s="82">
        <f>$AF913-$AF914</f>
        <v/>
      </c>
      <c r="BO913" s="82">
        <f>$AG913-$AG914</f>
        <v/>
      </c>
      <c r="BP913" s="82">
        <f>$AJ913-$AJ914</f>
        <v/>
      </c>
    </row>
    <row r="914">
      <c r="AR914" s="81">
        <f>($G914+($H914-$G914)*0.5)+($P914-($O914+($Q914-$O914)*0.5))</f>
        <v/>
      </c>
      <c r="AS914" s="81">
        <f>($J914+($K914-$J914)*0.5)+($T914-($S914+($U914-$S914)*0.5))</f>
        <v/>
      </c>
      <c r="AT914" s="82">
        <f>($J914-$C914)*100</f>
        <v/>
      </c>
      <c r="AU914" s="82">
        <f>($H914-$F914)*100</f>
        <v/>
      </c>
      <c r="AV914" s="82">
        <f>($J914-$F914)*100</f>
        <v/>
      </c>
      <c r="AW914" s="82">
        <f>($L914-$F914)*100</f>
        <v/>
      </c>
      <c r="AX914" s="82">
        <f>($J914-$H914)*100</f>
        <v/>
      </c>
      <c r="AY914" s="82">
        <f>($L914-$H914)*100</f>
        <v/>
      </c>
      <c r="AZ914" s="82">
        <f>($L914-$J914)*100</f>
        <v/>
      </c>
      <c r="BA914" s="82">
        <f>(2*$H914-$F914-$J914)*100</f>
        <v/>
      </c>
      <c r="BB914" s="82">
        <f>(2*$J914-$H914-$L914)*100</f>
        <v/>
      </c>
      <c r="BC914" s="82">
        <f>($N914-$F914)*100</f>
        <v/>
      </c>
      <c r="BD914" s="82">
        <f>($Q914-$H914)*100</f>
        <v/>
      </c>
      <c r="BE914" s="82">
        <f>($S914-$J914)*100</f>
        <v/>
      </c>
      <c r="BF914" s="82">
        <f>($V914-$L914)*100</f>
        <v/>
      </c>
      <c r="BG914" s="82">
        <f>$AG914-$AF914</f>
        <v/>
      </c>
      <c r="BH914" s="81">
        <f>IFERROR($AG914/$AF914,"")</f>
        <v/>
      </c>
      <c r="BI914" s="82">
        <f>$AJ914-$AF914</f>
        <v/>
      </c>
      <c r="BJ914" s="81">
        <f>IFERROR($AJ914/$AG914,"")</f>
        <v/>
      </c>
      <c r="BK914" s="81">
        <f>$X914</f>
        <v/>
      </c>
      <c r="BL914" s="82">
        <f>($J914-$J915)*100</f>
        <v/>
      </c>
      <c r="BM914" s="82">
        <f>($F914-$F915)*100</f>
        <v/>
      </c>
      <c r="BN914" s="82">
        <f>$AF914-$AF915</f>
        <v/>
      </c>
      <c r="BO914" s="82">
        <f>$AG914-$AG915</f>
        <v/>
      </c>
      <c r="BP914" s="82">
        <f>$AJ914-$AJ915</f>
        <v/>
      </c>
    </row>
    <row r="915">
      <c r="AR915" s="81">
        <f>($G915+($H915-$G915)*0.5)+($P915-($O915+($Q915-$O915)*0.5))</f>
        <v/>
      </c>
      <c r="AS915" s="81">
        <f>($J915+($K915-$J915)*0.5)+($T915-($S915+($U915-$S915)*0.5))</f>
        <v/>
      </c>
      <c r="AT915" s="82">
        <f>($J915-$C915)*100</f>
        <v/>
      </c>
      <c r="AU915" s="82">
        <f>($H915-$F915)*100</f>
        <v/>
      </c>
      <c r="AV915" s="82">
        <f>($J915-$F915)*100</f>
        <v/>
      </c>
      <c r="AW915" s="82">
        <f>($L915-$F915)*100</f>
        <v/>
      </c>
      <c r="AX915" s="82">
        <f>($J915-$H915)*100</f>
        <v/>
      </c>
      <c r="AY915" s="82">
        <f>($L915-$H915)*100</f>
        <v/>
      </c>
      <c r="AZ915" s="82">
        <f>($L915-$J915)*100</f>
        <v/>
      </c>
      <c r="BA915" s="82">
        <f>(2*$H915-$F915-$J915)*100</f>
        <v/>
      </c>
      <c r="BB915" s="82">
        <f>(2*$J915-$H915-$L915)*100</f>
        <v/>
      </c>
      <c r="BC915" s="82">
        <f>($N915-$F915)*100</f>
        <v/>
      </c>
      <c r="BD915" s="82">
        <f>($Q915-$H915)*100</f>
        <v/>
      </c>
      <c r="BE915" s="82">
        <f>($S915-$J915)*100</f>
        <v/>
      </c>
      <c r="BF915" s="82">
        <f>($V915-$L915)*100</f>
        <v/>
      </c>
      <c r="BG915" s="82">
        <f>$AG915-$AF915</f>
        <v/>
      </c>
      <c r="BH915" s="81">
        <f>IFERROR($AG915/$AF915,"")</f>
        <v/>
      </c>
      <c r="BI915" s="82">
        <f>$AJ915-$AF915</f>
        <v/>
      </c>
      <c r="BJ915" s="81">
        <f>IFERROR($AJ915/$AG915,"")</f>
        <v/>
      </c>
      <c r="BK915" s="81">
        <f>$X915</f>
        <v/>
      </c>
      <c r="BL915" s="82">
        <f>($J915-$J916)*100</f>
        <v/>
      </c>
      <c r="BM915" s="82">
        <f>($F915-$F916)*100</f>
        <v/>
      </c>
      <c r="BN915" s="82">
        <f>$AF915-$AF916</f>
        <v/>
      </c>
      <c r="BO915" s="82">
        <f>$AG915-$AG916</f>
        <v/>
      </c>
      <c r="BP915" s="82">
        <f>$AJ915-$AJ916</f>
        <v/>
      </c>
    </row>
    <row r="916">
      <c r="AR916" s="81">
        <f>($G916+($H916-$G916)*0.5)+($P916-($O916+($Q916-$O916)*0.5))</f>
        <v/>
      </c>
      <c r="AS916" s="81">
        <f>($J916+($K916-$J916)*0.5)+($T916-($S916+($U916-$S916)*0.5))</f>
        <v/>
      </c>
      <c r="AT916" s="82">
        <f>($J916-$C916)*100</f>
        <v/>
      </c>
      <c r="AU916" s="82">
        <f>($H916-$F916)*100</f>
        <v/>
      </c>
      <c r="AV916" s="82">
        <f>($J916-$F916)*100</f>
        <v/>
      </c>
      <c r="AW916" s="82">
        <f>($L916-$F916)*100</f>
        <v/>
      </c>
      <c r="AX916" s="82">
        <f>($J916-$H916)*100</f>
        <v/>
      </c>
      <c r="AY916" s="82">
        <f>($L916-$H916)*100</f>
        <v/>
      </c>
      <c r="AZ916" s="82">
        <f>($L916-$J916)*100</f>
        <v/>
      </c>
      <c r="BA916" s="82">
        <f>(2*$H916-$F916-$J916)*100</f>
        <v/>
      </c>
      <c r="BB916" s="82">
        <f>(2*$J916-$H916-$L916)*100</f>
        <v/>
      </c>
      <c r="BC916" s="82">
        <f>($N916-$F916)*100</f>
        <v/>
      </c>
      <c r="BD916" s="82">
        <f>($Q916-$H916)*100</f>
        <v/>
      </c>
      <c r="BE916" s="82">
        <f>($S916-$J916)*100</f>
        <v/>
      </c>
      <c r="BF916" s="82">
        <f>($V916-$L916)*100</f>
        <v/>
      </c>
      <c r="BG916" s="82">
        <f>$AG916-$AF916</f>
        <v/>
      </c>
      <c r="BH916" s="81">
        <f>IFERROR($AG916/$AF916,"")</f>
        <v/>
      </c>
      <c r="BI916" s="82">
        <f>$AJ916-$AF916</f>
        <v/>
      </c>
      <c r="BJ916" s="81">
        <f>IFERROR($AJ916/$AG916,"")</f>
        <v/>
      </c>
      <c r="BK916" s="81">
        <f>$X916</f>
        <v/>
      </c>
      <c r="BL916" s="82">
        <f>($J916-$J917)*100</f>
        <v/>
      </c>
      <c r="BM916" s="82">
        <f>($F916-$F917)*100</f>
        <v/>
      </c>
      <c r="BN916" s="82">
        <f>$AF916-$AF917</f>
        <v/>
      </c>
      <c r="BO916" s="82">
        <f>$AG916-$AG917</f>
        <v/>
      </c>
      <c r="BP916" s="82">
        <f>$AJ916-$AJ917</f>
        <v/>
      </c>
    </row>
    <row r="917">
      <c r="AR917" s="81">
        <f>($G917+($H917-$G917)*0.5)+($P917-($O917+($Q917-$O917)*0.5))</f>
        <v/>
      </c>
      <c r="AS917" s="81">
        <f>($J917+($K917-$J917)*0.5)+($T917-($S917+($U917-$S917)*0.5))</f>
        <v/>
      </c>
      <c r="AT917" s="82">
        <f>($J917-$C917)*100</f>
        <v/>
      </c>
      <c r="AU917" s="82">
        <f>($H917-$F917)*100</f>
        <v/>
      </c>
      <c r="AV917" s="82">
        <f>($J917-$F917)*100</f>
        <v/>
      </c>
      <c r="AW917" s="82">
        <f>($L917-$F917)*100</f>
        <v/>
      </c>
      <c r="AX917" s="82">
        <f>($J917-$H917)*100</f>
        <v/>
      </c>
      <c r="AY917" s="82">
        <f>($L917-$H917)*100</f>
        <v/>
      </c>
      <c r="AZ917" s="82">
        <f>($L917-$J917)*100</f>
        <v/>
      </c>
      <c r="BA917" s="82">
        <f>(2*$H917-$F917-$J917)*100</f>
        <v/>
      </c>
      <c r="BB917" s="82">
        <f>(2*$J917-$H917-$L917)*100</f>
        <v/>
      </c>
      <c r="BC917" s="82">
        <f>($N917-$F917)*100</f>
        <v/>
      </c>
      <c r="BD917" s="82">
        <f>($Q917-$H917)*100</f>
        <v/>
      </c>
      <c r="BE917" s="82">
        <f>($S917-$J917)*100</f>
        <v/>
      </c>
      <c r="BF917" s="82">
        <f>($V917-$L917)*100</f>
        <v/>
      </c>
      <c r="BG917" s="82">
        <f>$AG917-$AF917</f>
        <v/>
      </c>
      <c r="BH917" s="81">
        <f>IFERROR($AG917/$AF917,"")</f>
        <v/>
      </c>
      <c r="BI917" s="82">
        <f>$AJ917-$AF917</f>
        <v/>
      </c>
      <c r="BJ917" s="81">
        <f>IFERROR($AJ917/$AG917,"")</f>
        <v/>
      </c>
      <c r="BK917" s="81">
        <f>$X917</f>
        <v/>
      </c>
      <c r="BL917" s="82">
        <f>($J917-$J918)*100</f>
        <v/>
      </c>
      <c r="BM917" s="82">
        <f>($F917-$F918)*100</f>
        <v/>
      </c>
      <c r="BN917" s="82">
        <f>$AF917-$AF918</f>
        <v/>
      </c>
      <c r="BO917" s="82">
        <f>$AG917-$AG918</f>
        <v/>
      </c>
      <c r="BP917" s="82">
        <f>$AJ917-$AJ918</f>
        <v/>
      </c>
    </row>
    <row r="918">
      <c r="AR918" s="81">
        <f>($G918+($H918-$G918)*0.5)+($P918-($O918+($Q918-$O918)*0.5))</f>
        <v/>
      </c>
      <c r="AS918" s="81">
        <f>($J918+($K918-$J918)*0.5)+($T918-($S918+($U918-$S918)*0.5))</f>
        <v/>
      </c>
      <c r="AT918" s="82">
        <f>($J918-$C918)*100</f>
        <v/>
      </c>
      <c r="AU918" s="82">
        <f>($H918-$F918)*100</f>
        <v/>
      </c>
      <c r="AV918" s="82">
        <f>($J918-$F918)*100</f>
        <v/>
      </c>
      <c r="AW918" s="82">
        <f>($L918-$F918)*100</f>
        <v/>
      </c>
      <c r="AX918" s="82">
        <f>($J918-$H918)*100</f>
        <v/>
      </c>
      <c r="AY918" s="82">
        <f>($L918-$H918)*100</f>
        <v/>
      </c>
      <c r="AZ918" s="82">
        <f>($L918-$J918)*100</f>
        <v/>
      </c>
      <c r="BA918" s="82">
        <f>(2*$H918-$F918-$J918)*100</f>
        <v/>
      </c>
      <c r="BB918" s="82">
        <f>(2*$J918-$H918-$L918)*100</f>
        <v/>
      </c>
      <c r="BC918" s="82">
        <f>($N918-$F918)*100</f>
        <v/>
      </c>
      <c r="BD918" s="82">
        <f>($Q918-$H918)*100</f>
        <v/>
      </c>
      <c r="BE918" s="82">
        <f>($S918-$J918)*100</f>
        <v/>
      </c>
      <c r="BF918" s="82">
        <f>($V918-$L918)*100</f>
        <v/>
      </c>
      <c r="BG918" s="82">
        <f>$AG918-$AF918</f>
        <v/>
      </c>
      <c r="BH918" s="81">
        <f>IFERROR($AG918/$AF918,"")</f>
        <v/>
      </c>
      <c r="BI918" s="82">
        <f>$AJ918-$AF918</f>
        <v/>
      </c>
      <c r="BJ918" s="81">
        <f>IFERROR($AJ918/$AG918,"")</f>
        <v/>
      </c>
      <c r="BK918" s="81">
        <f>$X918</f>
        <v/>
      </c>
      <c r="BL918" s="82">
        <f>($J918-$J919)*100</f>
        <v/>
      </c>
      <c r="BM918" s="82">
        <f>($F918-$F919)*100</f>
        <v/>
      </c>
      <c r="BN918" s="82">
        <f>$AF918-$AF919</f>
        <v/>
      </c>
      <c r="BO918" s="82">
        <f>$AG918-$AG919</f>
        <v/>
      </c>
      <c r="BP918" s="82">
        <f>$AJ918-$AJ919</f>
        <v/>
      </c>
    </row>
    <row r="919">
      <c r="AR919" s="81">
        <f>($G919+($H919-$G919)*0.5)+($P919-($O919+($Q919-$O919)*0.5))</f>
        <v/>
      </c>
      <c r="AS919" s="81">
        <f>($J919+($K919-$J919)*0.5)+($T919-($S919+($U919-$S919)*0.5))</f>
        <v/>
      </c>
      <c r="AT919" s="82">
        <f>($J919-$C919)*100</f>
        <v/>
      </c>
      <c r="AU919" s="82">
        <f>($H919-$F919)*100</f>
        <v/>
      </c>
      <c r="AV919" s="82">
        <f>($J919-$F919)*100</f>
        <v/>
      </c>
      <c r="AW919" s="82">
        <f>($L919-$F919)*100</f>
        <v/>
      </c>
      <c r="AX919" s="82">
        <f>($J919-$H919)*100</f>
        <v/>
      </c>
      <c r="AY919" s="82">
        <f>($L919-$H919)*100</f>
        <v/>
      </c>
      <c r="AZ919" s="82">
        <f>($L919-$J919)*100</f>
        <v/>
      </c>
      <c r="BA919" s="82">
        <f>(2*$H919-$F919-$J919)*100</f>
        <v/>
      </c>
      <c r="BB919" s="82">
        <f>(2*$J919-$H919-$L919)*100</f>
        <v/>
      </c>
      <c r="BC919" s="82">
        <f>($N919-$F919)*100</f>
        <v/>
      </c>
      <c r="BD919" s="82">
        <f>($Q919-$H919)*100</f>
        <v/>
      </c>
      <c r="BE919" s="82">
        <f>($S919-$J919)*100</f>
        <v/>
      </c>
      <c r="BF919" s="82">
        <f>($V919-$L919)*100</f>
        <v/>
      </c>
      <c r="BG919" s="82">
        <f>$AG919-$AF919</f>
        <v/>
      </c>
      <c r="BH919" s="81">
        <f>IFERROR($AG919/$AF919,"")</f>
        <v/>
      </c>
      <c r="BI919" s="82">
        <f>$AJ919-$AF919</f>
        <v/>
      </c>
      <c r="BJ919" s="81">
        <f>IFERROR($AJ919/$AG919,"")</f>
        <v/>
      </c>
      <c r="BK919" s="81">
        <f>$X919</f>
        <v/>
      </c>
      <c r="BL919" s="82">
        <f>($J919-$J920)*100</f>
        <v/>
      </c>
      <c r="BM919" s="82">
        <f>($F919-$F920)*100</f>
        <v/>
      </c>
      <c r="BN919" s="82">
        <f>$AF919-$AF920</f>
        <v/>
      </c>
      <c r="BO919" s="82">
        <f>$AG919-$AG920</f>
        <v/>
      </c>
      <c r="BP919" s="82">
        <f>$AJ919-$AJ920</f>
        <v/>
      </c>
    </row>
    <row r="920">
      <c r="AR920" s="81">
        <f>($G920+($H920-$G920)*0.5)+($P920-($O920+($Q920-$O920)*0.5))</f>
        <v/>
      </c>
      <c r="AS920" s="81">
        <f>($J920+($K920-$J920)*0.5)+($T920-($S920+($U920-$S920)*0.5))</f>
        <v/>
      </c>
      <c r="AT920" s="82">
        <f>($J920-$C920)*100</f>
        <v/>
      </c>
      <c r="AU920" s="82">
        <f>($H920-$F920)*100</f>
        <v/>
      </c>
      <c r="AV920" s="82">
        <f>($J920-$F920)*100</f>
        <v/>
      </c>
      <c r="AW920" s="82">
        <f>($L920-$F920)*100</f>
        <v/>
      </c>
      <c r="AX920" s="82">
        <f>($J920-$H920)*100</f>
        <v/>
      </c>
      <c r="AY920" s="82">
        <f>($L920-$H920)*100</f>
        <v/>
      </c>
      <c r="AZ920" s="82">
        <f>($L920-$J920)*100</f>
        <v/>
      </c>
      <c r="BA920" s="82">
        <f>(2*$H920-$F920-$J920)*100</f>
        <v/>
      </c>
      <c r="BB920" s="82">
        <f>(2*$J920-$H920-$L920)*100</f>
        <v/>
      </c>
      <c r="BC920" s="82">
        <f>($N920-$F920)*100</f>
        <v/>
      </c>
      <c r="BD920" s="82">
        <f>($Q920-$H920)*100</f>
        <v/>
      </c>
      <c r="BE920" s="82">
        <f>($S920-$J920)*100</f>
        <v/>
      </c>
      <c r="BF920" s="82">
        <f>($V920-$L920)*100</f>
        <v/>
      </c>
      <c r="BG920" s="82">
        <f>$AG920-$AF920</f>
        <v/>
      </c>
      <c r="BH920" s="81">
        <f>IFERROR($AG920/$AF920,"")</f>
        <v/>
      </c>
      <c r="BI920" s="82">
        <f>$AJ920-$AF920</f>
        <v/>
      </c>
      <c r="BJ920" s="81">
        <f>IFERROR($AJ920/$AG920,"")</f>
        <v/>
      </c>
      <c r="BK920" s="81">
        <f>$X920</f>
        <v/>
      </c>
      <c r="BL920" s="82">
        <f>($J920-$J921)*100</f>
        <v/>
      </c>
      <c r="BM920" s="82">
        <f>($F920-$F921)*100</f>
        <v/>
      </c>
      <c r="BN920" s="82">
        <f>$AF920-$AF921</f>
        <v/>
      </c>
      <c r="BO920" s="82">
        <f>$AG920-$AG921</f>
        <v/>
      </c>
      <c r="BP920" s="82">
        <f>$AJ920-$AJ921</f>
        <v/>
      </c>
    </row>
    <row r="921">
      <c r="AR921" s="81">
        <f>($G921+($H921-$G921)*0.5)+($P921-($O921+($Q921-$O921)*0.5))</f>
        <v/>
      </c>
      <c r="AS921" s="81">
        <f>($J921+($K921-$J921)*0.5)+($T921-($S921+($U921-$S921)*0.5))</f>
        <v/>
      </c>
      <c r="AT921" s="82">
        <f>($J921-$C921)*100</f>
        <v/>
      </c>
      <c r="AU921" s="82">
        <f>($H921-$F921)*100</f>
        <v/>
      </c>
      <c r="AV921" s="82">
        <f>($J921-$F921)*100</f>
        <v/>
      </c>
      <c r="AW921" s="82">
        <f>($L921-$F921)*100</f>
        <v/>
      </c>
      <c r="AX921" s="82">
        <f>($J921-$H921)*100</f>
        <v/>
      </c>
      <c r="AY921" s="82">
        <f>($L921-$H921)*100</f>
        <v/>
      </c>
      <c r="AZ921" s="82">
        <f>($L921-$J921)*100</f>
        <v/>
      </c>
      <c r="BA921" s="82">
        <f>(2*$H921-$F921-$J921)*100</f>
        <v/>
      </c>
      <c r="BB921" s="82">
        <f>(2*$J921-$H921-$L921)*100</f>
        <v/>
      </c>
      <c r="BC921" s="82">
        <f>($N921-$F921)*100</f>
        <v/>
      </c>
      <c r="BD921" s="82">
        <f>($Q921-$H921)*100</f>
        <v/>
      </c>
      <c r="BE921" s="82">
        <f>($S921-$J921)*100</f>
        <v/>
      </c>
      <c r="BF921" s="82">
        <f>($V921-$L921)*100</f>
        <v/>
      </c>
      <c r="BG921" s="82">
        <f>$AG921-$AF921</f>
        <v/>
      </c>
      <c r="BH921" s="81">
        <f>IFERROR($AG921/$AF921,"")</f>
        <v/>
      </c>
      <c r="BI921" s="82">
        <f>$AJ921-$AF921</f>
        <v/>
      </c>
      <c r="BJ921" s="81">
        <f>IFERROR($AJ921/$AG921,"")</f>
        <v/>
      </c>
      <c r="BK921" s="81">
        <f>$X921</f>
        <v/>
      </c>
      <c r="BL921" s="82">
        <f>($J921-$J922)*100</f>
        <v/>
      </c>
      <c r="BM921" s="82">
        <f>($F921-$F922)*100</f>
        <v/>
      </c>
      <c r="BN921" s="82">
        <f>$AF921-$AF922</f>
        <v/>
      </c>
      <c r="BO921" s="82">
        <f>$AG921-$AG922</f>
        <v/>
      </c>
      <c r="BP921" s="82">
        <f>$AJ921-$AJ922</f>
        <v/>
      </c>
    </row>
    <row r="922">
      <c r="AR922" s="81">
        <f>($G922+($H922-$G922)*0.5)+($P922-($O922+($Q922-$O922)*0.5))</f>
        <v/>
      </c>
      <c r="AS922" s="81">
        <f>($J922+($K922-$J922)*0.5)+($T922-($S922+($U922-$S922)*0.5))</f>
        <v/>
      </c>
      <c r="AT922" s="82">
        <f>($J922-$C922)*100</f>
        <v/>
      </c>
      <c r="AU922" s="82">
        <f>($H922-$F922)*100</f>
        <v/>
      </c>
      <c r="AV922" s="82">
        <f>($J922-$F922)*100</f>
        <v/>
      </c>
      <c r="AW922" s="82">
        <f>($L922-$F922)*100</f>
        <v/>
      </c>
      <c r="AX922" s="82">
        <f>($J922-$H922)*100</f>
        <v/>
      </c>
      <c r="AY922" s="82">
        <f>($L922-$H922)*100</f>
        <v/>
      </c>
      <c r="AZ922" s="82">
        <f>($L922-$J922)*100</f>
        <v/>
      </c>
      <c r="BA922" s="82">
        <f>(2*$H922-$F922-$J922)*100</f>
        <v/>
      </c>
      <c r="BB922" s="82">
        <f>(2*$J922-$H922-$L922)*100</f>
        <v/>
      </c>
      <c r="BC922" s="82">
        <f>($N922-$F922)*100</f>
        <v/>
      </c>
      <c r="BD922" s="82">
        <f>($Q922-$H922)*100</f>
        <v/>
      </c>
      <c r="BE922" s="82">
        <f>($S922-$J922)*100</f>
        <v/>
      </c>
      <c r="BF922" s="82">
        <f>($V922-$L922)*100</f>
        <v/>
      </c>
      <c r="BG922" s="82">
        <f>$AG922-$AF922</f>
        <v/>
      </c>
      <c r="BH922" s="81">
        <f>IFERROR($AG922/$AF922,"")</f>
        <v/>
      </c>
      <c r="BI922" s="82">
        <f>$AJ922-$AF922</f>
        <v/>
      </c>
      <c r="BJ922" s="81">
        <f>IFERROR($AJ922/$AG922,"")</f>
        <v/>
      </c>
      <c r="BK922" s="81">
        <f>$X922</f>
        <v/>
      </c>
      <c r="BL922" s="82">
        <f>($J922-$J923)*100</f>
        <v/>
      </c>
      <c r="BM922" s="82">
        <f>($F922-$F923)*100</f>
        <v/>
      </c>
      <c r="BN922" s="82">
        <f>$AF922-$AF923</f>
        <v/>
      </c>
      <c r="BO922" s="82">
        <f>$AG922-$AG923</f>
        <v/>
      </c>
      <c r="BP922" s="82">
        <f>$AJ922-$AJ923</f>
        <v/>
      </c>
    </row>
    <row r="923">
      <c r="AR923" s="81">
        <f>($G923+($H923-$G923)*0.5)+($P923-($O923+($Q923-$O923)*0.5))</f>
        <v/>
      </c>
      <c r="AS923" s="81">
        <f>($J923+($K923-$J923)*0.5)+($T923-($S923+($U923-$S923)*0.5))</f>
        <v/>
      </c>
      <c r="AT923" s="82">
        <f>($J923-$C923)*100</f>
        <v/>
      </c>
      <c r="AU923" s="82">
        <f>($H923-$F923)*100</f>
        <v/>
      </c>
      <c r="AV923" s="82">
        <f>($J923-$F923)*100</f>
        <v/>
      </c>
      <c r="AW923" s="82">
        <f>($L923-$F923)*100</f>
        <v/>
      </c>
      <c r="AX923" s="82">
        <f>($J923-$H923)*100</f>
        <v/>
      </c>
      <c r="AY923" s="82">
        <f>($L923-$H923)*100</f>
        <v/>
      </c>
      <c r="AZ923" s="82">
        <f>($L923-$J923)*100</f>
        <v/>
      </c>
      <c r="BA923" s="82">
        <f>(2*$H923-$F923-$J923)*100</f>
        <v/>
      </c>
      <c r="BB923" s="82">
        <f>(2*$J923-$H923-$L923)*100</f>
        <v/>
      </c>
      <c r="BC923" s="82">
        <f>($N923-$F923)*100</f>
        <v/>
      </c>
      <c r="BD923" s="82">
        <f>($Q923-$H923)*100</f>
        <v/>
      </c>
      <c r="BE923" s="82">
        <f>($S923-$J923)*100</f>
        <v/>
      </c>
      <c r="BF923" s="82">
        <f>($V923-$L923)*100</f>
        <v/>
      </c>
      <c r="BG923" s="82">
        <f>$AG923-$AF923</f>
        <v/>
      </c>
      <c r="BH923" s="81">
        <f>IFERROR($AG923/$AF923,"")</f>
        <v/>
      </c>
      <c r="BI923" s="82">
        <f>$AJ923-$AF923</f>
        <v/>
      </c>
      <c r="BJ923" s="81">
        <f>IFERROR($AJ923/$AG923,"")</f>
        <v/>
      </c>
      <c r="BK923" s="81">
        <f>$X923</f>
        <v/>
      </c>
      <c r="BL923" s="82">
        <f>($J923-$J924)*100</f>
        <v/>
      </c>
      <c r="BM923" s="82">
        <f>($F923-$F924)*100</f>
        <v/>
      </c>
      <c r="BN923" s="82">
        <f>$AF923-$AF924</f>
        <v/>
      </c>
      <c r="BO923" s="82">
        <f>$AG923-$AG924</f>
        <v/>
      </c>
      <c r="BP923" s="82">
        <f>$AJ923-$AJ924</f>
        <v/>
      </c>
    </row>
    <row r="924">
      <c r="AR924" s="81">
        <f>($G924+($H924-$G924)*0.5)+($P924-($O924+($Q924-$O924)*0.5))</f>
        <v/>
      </c>
      <c r="AS924" s="81">
        <f>($J924+($K924-$J924)*0.5)+($T924-($S924+($U924-$S924)*0.5))</f>
        <v/>
      </c>
      <c r="AT924" s="82">
        <f>($J924-$C924)*100</f>
        <v/>
      </c>
      <c r="AU924" s="82">
        <f>($H924-$F924)*100</f>
        <v/>
      </c>
      <c r="AV924" s="82">
        <f>($J924-$F924)*100</f>
        <v/>
      </c>
      <c r="AW924" s="82">
        <f>($L924-$F924)*100</f>
        <v/>
      </c>
      <c r="AX924" s="82">
        <f>($J924-$H924)*100</f>
        <v/>
      </c>
      <c r="AY924" s="82">
        <f>($L924-$H924)*100</f>
        <v/>
      </c>
      <c r="AZ924" s="82">
        <f>($L924-$J924)*100</f>
        <v/>
      </c>
      <c r="BA924" s="82">
        <f>(2*$H924-$F924-$J924)*100</f>
        <v/>
      </c>
      <c r="BB924" s="82">
        <f>(2*$J924-$H924-$L924)*100</f>
        <v/>
      </c>
      <c r="BC924" s="82">
        <f>($N924-$F924)*100</f>
        <v/>
      </c>
      <c r="BD924" s="82">
        <f>($Q924-$H924)*100</f>
        <v/>
      </c>
      <c r="BE924" s="82">
        <f>($S924-$J924)*100</f>
        <v/>
      </c>
      <c r="BF924" s="82">
        <f>($V924-$L924)*100</f>
        <v/>
      </c>
      <c r="BG924" s="82">
        <f>$AG924-$AF924</f>
        <v/>
      </c>
      <c r="BH924" s="81">
        <f>IFERROR($AG924/$AF924,"")</f>
        <v/>
      </c>
      <c r="BI924" s="82">
        <f>$AJ924-$AF924</f>
        <v/>
      </c>
      <c r="BJ924" s="81">
        <f>IFERROR($AJ924/$AG924,"")</f>
        <v/>
      </c>
      <c r="BK924" s="81">
        <f>$X924</f>
        <v/>
      </c>
      <c r="BL924" s="82">
        <f>($J924-$J925)*100</f>
        <v/>
      </c>
      <c r="BM924" s="82">
        <f>($F924-$F925)*100</f>
        <v/>
      </c>
      <c r="BN924" s="82">
        <f>$AF924-$AF925</f>
        <v/>
      </c>
      <c r="BO924" s="82">
        <f>$AG924-$AG925</f>
        <v/>
      </c>
      <c r="BP924" s="82">
        <f>$AJ924-$AJ925</f>
        <v/>
      </c>
    </row>
    <row r="925">
      <c r="AR925" s="81">
        <f>($G925+($H925-$G925)*0.5)+($P925-($O925+($Q925-$O925)*0.5))</f>
        <v/>
      </c>
      <c r="AS925" s="81">
        <f>($J925+($K925-$J925)*0.5)+($T925-($S925+($U925-$S925)*0.5))</f>
        <v/>
      </c>
      <c r="AT925" s="82">
        <f>($J925-$C925)*100</f>
        <v/>
      </c>
      <c r="AU925" s="82">
        <f>($H925-$F925)*100</f>
        <v/>
      </c>
      <c r="AV925" s="82">
        <f>($J925-$F925)*100</f>
        <v/>
      </c>
      <c r="AW925" s="82">
        <f>($L925-$F925)*100</f>
        <v/>
      </c>
      <c r="AX925" s="82">
        <f>($J925-$H925)*100</f>
        <v/>
      </c>
      <c r="AY925" s="82">
        <f>($L925-$H925)*100</f>
        <v/>
      </c>
      <c r="AZ925" s="82">
        <f>($L925-$J925)*100</f>
        <v/>
      </c>
      <c r="BA925" s="82">
        <f>(2*$H925-$F925-$J925)*100</f>
        <v/>
      </c>
      <c r="BB925" s="82">
        <f>(2*$J925-$H925-$L925)*100</f>
        <v/>
      </c>
      <c r="BC925" s="82">
        <f>($N925-$F925)*100</f>
        <v/>
      </c>
      <c r="BD925" s="82">
        <f>($Q925-$H925)*100</f>
        <v/>
      </c>
      <c r="BE925" s="82">
        <f>($S925-$J925)*100</f>
        <v/>
      </c>
      <c r="BF925" s="82">
        <f>($V925-$L925)*100</f>
        <v/>
      </c>
      <c r="BG925" s="82">
        <f>$AG925-$AF925</f>
        <v/>
      </c>
      <c r="BH925" s="81">
        <f>IFERROR($AG925/$AF925,"")</f>
        <v/>
      </c>
      <c r="BI925" s="82">
        <f>$AJ925-$AF925</f>
        <v/>
      </c>
      <c r="BJ925" s="81">
        <f>IFERROR($AJ925/$AG925,"")</f>
        <v/>
      </c>
      <c r="BK925" s="81">
        <f>$X925</f>
        <v/>
      </c>
      <c r="BL925" s="82">
        <f>($J925-$J926)*100</f>
        <v/>
      </c>
      <c r="BM925" s="82">
        <f>($F925-$F926)*100</f>
        <v/>
      </c>
      <c r="BN925" s="82">
        <f>$AF925-$AF926</f>
        <v/>
      </c>
      <c r="BO925" s="82">
        <f>$AG925-$AG926</f>
        <v/>
      </c>
      <c r="BP925" s="82">
        <f>$AJ925-$AJ926</f>
        <v/>
      </c>
    </row>
    <row r="926">
      <c r="AR926" s="81">
        <f>($G926+($H926-$G926)*0.5)+($P926-($O926+($Q926-$O926)*0.5))</f>
        <v/>
      </c>
      <c r="AS926" s="81">
        <f>($J926+($K926-$J926)*0.5)+($T926-($S926+($U926-$S926)*0.5))</f>
        <v/>
      </c>
      <c r="AT926" s="82">
        <f>($J926-$C926)*100</f>
        <v/>
      </c>
      <c r="AU926" s="82">
        <f>($H926-$F926)*100</f>
        <v/>
      </c>
      <c r="AV926" s="82">
        <f>($J926-$F926)*100</f>
        <v/>
      </c>
      <c r="AW926" s="82">
        <f>($L926-$F926)*100</f>
        <v/>
      </c>
      <c r="AX926" s="82">
        <f>($J926-$H926)*100</f>
        <v/>
      </c>
      <c r="AY926" s="82">
        <f>($L926-$H926)*100</f>
        <v/>
      </c>
      <c r="AZ926" s="82">
        <f>($L926-$J926)*100</f>
        <v/>
      </c>
      <c r="BA926" s="82">
        <f>(2*$H926-$F926-$J926)*100</f>
        <v/>
      </c>
      <c r="BB926" s="82">
        <f>(2*$J926-$H926-$L926)*100</f>
        <v/>
      </c>
      <c r="BC926" s="82">
        <f>($N926-$F926)*100</f>
        <v/>
      </c>
      <c r="BD926" s="82">
        <f>($Q926-$H926)*100</f>
        <v/>
      </c>
      <c r="BE926" s="82">
        <f>($S926-$J926)*100</f>
        <v/>
      </c>
      <c r="BF926" s="82">
        <f>($V926-$L926)*100</f>
        <v/>
      </c>
      <c r="BG926" s="82">
        <f>$AG926-$AF926</f>
        <v/>
      </c>
      <c r="BH926" s="81">
        <f>IFERROR($AG926/$AF926,"")</f>
        <v/>
      </c>
      <c r="BI926" s="82">
        <f>$AJ926-$AF926</f>
        <v/>
      </c>
      <c r="BJ926" s="81">
        <f>IFERROR($AJ926/$AG926,"")</f>
        <v/>
      </c>
      <c r="BK926" s="81">
        <f>$X926</f>
        <v/>
      </c>
      <c r="BL926" s="82">
        <f>($J926-$J927)*100</f>
        <v/>
      </c>
      <c r="BM926" s="82">
        <f>($F926-$F927)*100</f>
        <v/>
      </c>
      <c r="BN926" s="82">
        <f>$AF926-$AF927</f>
        <v/>
      </c>
      <c r="BO926" s="82">
        <f>$AG926-$AG927</f>
        <v/>
      </c>
      <c r="BP926" s="82">
        <f>$AJ926-$AJ927</f>
        <v/>
      </c>
    </row>
    <row r="927">
      <c r="AR927" s="81">
        <f>($G927+($H927-$G927)*0.5)+($P927-($O927+($Q927-$O927)*0.5))</f>
        <v/>
      </c>
      <c r="AS927" s="81">
        <f>($J927+($K927-$J927)*0.5)+($T927-($S927+($U927-$S927)*0.5))</f>
        <v/>
      </c>
      <c r="AT927" s="82">
        <f>($J927-$C927)*100</f>
        <v/>
      </c>
      <c r="AU927" s="82">
        <f>($H927-$F927)*100</f>
        <v/>
      </c>
      <c r="AV927" s="82">
        <f>($J927-$F927)*100</f>
        <v/>
      </c>
      <c r="AW927" s="82">
        <f>($L927-$F927)*100</f>
        <v/>
      </c>
      <c r="AX927" s="82">
        <f>($J927-$H927)*100</f>
        <v/>
      </c>
      <c r="AY927" s="82">
        <f>($L927-$H927)*100</f>
        <v/>
      </c>
      <c r="AZ927" s="82">
        <f>($L927-$J927)*100</f>
        <v/>
      </c>
      <c r="BA927" s="82">
        <f>(2*$H927-$F927-$J927)*100</f>
        <v/>
      </c>
      <c r="BB927" s="82">
        <f>(2*$J927-$H927-$L927)*100</f>
        <v/>
      </c>
      <c r="BC927" s="82">
        <f>($N927-$F927)*100</f>
        <v/>
      </c>
      <c r="BD927" s="82">
        <f>($Q927-$H927)*100</f>
        <v/>
      </c>
      <c r="BE927" s="82">
        <f>($S927-$J927)*100</f>
        <v/>
      </c>
      <c r="BF927" s="82">
        <f>($V927-$L927)*100</f>
        <v/>
      </c>
      <c r="BG927" s="82">
        <f>$AG927-$AF927</f>
        <v/>
      </c>
      <c r="BH927" s="81">
        <f>IFERROR($AG927/$AF927,"")</f>
        <v/>
      </c>
      <c r="BI927" s="82">
        <f>$AJ927-$AF927</f>
        <v/>
      </c>
      <c r="BJ927" s="81">
        <f>IFERROR($AJ927/$AG927,"")</f>
        <v/>
      </c>
      <c r="BK927" s="81">
        <f>$X927</f>
        <v/>
      </c>
      <c r="BL927" s="82">
        <f>($J927-$J928)*100</f>
        <v/>
      </c>
      <c r="BM927" s="82">
        <f>($F927-$F928)*100</f>
        <v/>
      </c>
      <c r="BN927" s="82">
        <f>$AF927-$AF928</f>
        <v/>
      </c>
      <c r="BO927" s="82">
        <f>$AG927-$AG928</f>
        <v/>
      </c>
      <c r="BP927" s="82">
        <f>$AJ927-$AJ928</f>
        <v/>
      </c>
    </row>
    <row r="928">
      <c r="AR928" s="81">
        <f>($G928+($H928-$G928)*0.5)+($P928-($O928+($Q928-$O928)*0.5))</f>
        <v/>
      </c>
      <c r="AS928" s="81">
        <f>($J928+($K928-$J928)*0.5)+($T928-($S928+($U928-$S928)*0.5))</f>
        <v/>
      </c>
      <c r="AT928" s="82">
        <f>($J928-$C928)*100</f>
        <v/>
      </c>
      <c r="AU928" s="82">
        <f>($H928-$F928)*100</f>
        <v/>
      </c>
      <c r="AV928" s="82">
        <f>($J928-$F928)*100</f>
        <v/>
      </c>
      <c r="AW928" s="82">
        <f>($L928-$F928)*100</f>
        <v/>
      </c>
      <c r="AX928" s="82">
        <f>($J928-$H928)*100</f>
        <v/>
      </c>
      <c r="AY928" s="82">
        <f>($L928-$H928)*100</f>
        <v/>
      </c>
      <c r="AZ928" s="82">
        <f>($L928-$J928)*100</f>
        <v/>
      </c>
      <c r="BA928" s="82">
        <f>(2*$H928-$F928-$J928)*100</f>
        <v/>
      </c>
      <c r="BB928" s="82">
        <f>(2*$J928-$H928-$L928)*100</f>
        <v/>
      </c>
      <c r="BC928" s="82">
        <f>($N928-$F928)*100</f>
        <v/>
      </c>
      <c r="BD928" s="82">
        <f>($Q928-$H928)*100</f>
        <v/>
      </c>
      <c r="BE928" s="82">
        <f>($S928-$J928)*100</f>
        <v/>
      </c>
      <c r="BF928" s="82">
        <f>($V928-$L928)*100</f>
        <v/>
      </c>
      <c r="BG928" s="82">
        <f>$AG928-$AF928</f>
        <v/>
      </c>
      <c r="BH928" s="81">
        <f>IFERROR($AG928/$AF928,"")</f>
        <v/>
      </c>
      <c r="BI928" s="82">
        <f>$AJ928-$AF928</f>
        <v/>
      </c>
      <c r="BJ928" s="81">
        <f>IFERROR($AJ928/$AG928,"")</f>
        <v/>
      </c>
      <c r="BK928" s="81">
        <f>$X928</f>
        <v/>
      </c>
      <c r="BL928" s="82">
        <f>($J928-$J929)*100</f>
        <v/>
      </c>
      <c r="BM928" s="82">
        <f>($F928-$F929)*100</f>
        <v/>
      </c>
      <c r="BN928" s="82">
        <f>$AF928-$AF929</f>
        <v/>
      </c>
      <c r="BO928" s="82">
        <f>$AG928-$AG929</f>
        <v/>
      </c>
      <c r="BP928" s="82">
        <f>$AJ928-$AJ929</f>
        <v/>
      </c>
    </row>
    <row r="929">
      <c r="AR929" s="81">
        <f>($G929+($H929-$G929)*0.5)+($P929-($O929+($Q929-$O929)*0.5))</f>
        <v/>
      </c>
      <c r="AS929" s="81">
        <f>($J929+($K929-$J929)*0.5)+($T929-($S929+($U929-$S929)*0.5))</f>
        <v/>
      </c>
      <c r="AT929" s="82">
        <f>($J929-$C929)*100</f>
        <v/>
      </c>
      <c r="AU929" s="82">
        <f>($H929-$F929)*100</f>
        <v/>
      </c>
      <c r="AV929" s="82">
        <f>($J929-$F929)*100</f>
        <v/>
      </c>
      <c r="AW929" s="82">
        <f>($L929-$F929)*100</f>
        <v/>
      </c>
      <c r="AX929" s="82">
        <f>($J929-$H929)*100</f>
        <v/>
      </c>
      <c r="AY929" s="82">
        <f>($L929-$H929)*100</f>
        <v/>
      </c>
      <c r="AZ929" s="82">
        <f>($L929-$J929)*100</f>
        <v/>
      </c>
      <c r="BA929" s="82">
        <f>(2*$H929-$F929-$J929)*100</f>
        <v/>
      </c>
      <c r="BB929" s="82">
        <f>(2*$J929-$H929-$L929)*100</f>
        <v/>
      </c>
      <c r="BC929" s="82">
        <f>($N929-$F929)*100</f>
        <v/>
      </c>
      <c r="BD929" s="82">
        <f>($Q929-$H929)*100</f>
        <v/>
      </c>
      <c r="BE929" s="82">
        <f>($S929-$J929)*100</f>
        <v/>
      </c>
      <c r="BF929" s="82">
        <f>($V929-$L929)*100</f>
        <v/>
      </c>
      <c r="BG929" s="82">
        <f>$AG929-$AF929</f>
        <v/>
      </c>
      <c r="BH929" s="81">
        <f>IFERROR($AG929/$AF929,"")</f>
        <v/>
      </c>
      <c r="BI929" s="82">
        <f>$AJ929-$AF929</f>
        <v/>
      </c>
      <c r="BJ929" s="81">
        <f>IFERROR($AJ929/$AG929,"")</f>
        <v/>
      </c>
      <c r="BK929" s="81">
        <f>$X929</f>
        <v/>
      </c>
      <c r="BL929" s="82">
        <f>($J929-$J930)*100</f>
        <v/>
      </c>
      <c r="BM929" s="82">
        <f>($F929-$F930)*100</f>
        <v/>
      </c>
      <c r="BN929" s="82">
        <f>$AF929-$AF930</f>
        <v/>
      </c>
      <c r="BO929" s="82">
        <f>$AG929-$AG930</f>
        <v/>
      </c>
      <c r="BP929" s="82">
        <f>$AJ929-$AJ930</f>
        <v/>
      </c>
    </row>
    <row r="930">
      <c r="AR930" s="81">
        <f>($G930+($H930-$G930)*0.5)+($P930-($O930+($Q930-$O930)*0.5))</f>
        <v/>
      </c>
      <c r="AS930" s="81">
        <f>($J930+($K930-$J930)*0.5)+($T930-($S930+($U930-$S930)*0.5))</f>
        <v/>
      </c>
      <c r="AT930" s="82">
        <f>($J930-$C930)*100</f>
        <v/>
      </c>
      <c r="AU930" s="82">
        <f>($H930-$F930)*100</f>
        <v/>
      </c>
      <c r="AV930" s="82">
        <f>($J930-$F930)*100</f>
        <v/>
      </c>
      <c r="AW930" s="82">
        <f>($L930-$F930)*100</f>
        <v/>
      </c>
      <c r="AX930" s="82">
        <f>($J930-$H930)*100</f>
        <v/>
      </c>
      <c r="AY930" s="82">
        <f>($L930-$H930)*100</f>
        <v/>
      </c>
      <c r="AZ930" s="82">
        <f>($L930-$J930)*100</f>
        <v/>
      </c>
      <c r="BA930" s="82">
        <f>(2*$H930-$F930-$J930)*100</f>
        <v/>
      </c>
      <c r="BB930" s="82">
        <f>(2*$J930-$H930-$L930)*100</f>
        <v/>
      </c>
      <c r="BC930" s="82">
        <f>($N930-$F930)*100</f>
        <v/>
      </c>
      <c r="BD930" s="82">
        <f>($Q930-$H930)*100</f>
        <v/>
      </c>
      <c r="BE930" s="82">
        <f>($S930-$J930)*100</f>
        <v/>
      </c>
      <c r="BF930" s="82">
        <f>($V930-$L930)*100</f>
        <v/>
      </c>
      <c r="BG930" s="82">
        <f>$AG930-$AF930</f>
        <v/>
      </c>
      <c r="BH930" s="81">
        <f>IFERROR($AG930/$AF930,"")</f>
        <v/>
      </c>
      <c r="BI930" s="82">
        <f>$AJ930-$AF930</f>
        <v/>
      </c>
      <c r="BJ930" s="81">
        <f>IFERROR($AJ930/$AG930,"")</f>
        <v/>
      </c>
      <c r="BK930" s="81">
        <f>$X930</f>
        <v/>
      </c>
      <c r="BL930" s="82">
        <f>($J930-$J931)*100</f>
        <v/>
      </c>
      <c r="BM930" s="82">
        <f>($F930-$F931)*100</f>
        <v/>
      </c>
      <c r="BN930" s="82">
        <f>$AF930-$AF931</f>
        <v/>
      </c>
      <c r="BO930" s="82">
        <f>$AG930-$AG931</f>
        <v/>
      </c>
      <c r="BP930" s="82">
        <f>$AJ930-$AJ931</f>
        <v/>
      </c>
    </row>
    <row r="931">
      <c r="AR931" s="81">
        <f>($G931+($H931-$G931)*0.5)+($P931-($O931+($Q931-$O931)*0.5))</f>
        <v/>
      </c>
      <c r="AS931" s="81">
        <f>($J931+($K931-$J931)*0.5)+($T931-($S931+($U931-$S931)*0.5))</f>
        <v/>
      </c>
      <c r="AT931" s="82">
        <f>($J931-$C931)*100</f>
        <v/>
      </c>
      <c r="AU931" s="82">
        <f>($H931-$F931)*100</f>
        <v/>
      </c>
      <c r="AV931" s="82">
        <f>($J931-$F931)*100</f>
        <v/>
      </c>
      <c r="AW931" s="82">
        <f>($L931-$F931)*100</f>
        <v/>
      </c>
      <c r="AX931" s="82">
        <f>($J931-$H931)*100</f>
        <v/>
      </c>
      <c r="AY931" s="82">
        <f>($L931-$H931)*100</f>
        <v/>
      </c>
      <c r="AZ931" s="82">
        <f>($L931-$J931)*100</f>
        <v/>
      </c>
      <c r="BA931" s="82">
        <f>(2*$H931-$F931-$J931)*100</f>
        <v/>
      </c>
      <c r="BB931" s="82">
        <f>(2*$J931-$H931-$L931)*100</f>
        <v/>
      </c>
      <c r="BC931" s="82">
        <f>($N931-$F931)*100</f>
        <v/>
      </c>
      <c r="BD931" s="82">
        <f>($Q931-$H931)*100</f>
        <v/>
      </c>
      <c r="BE931" s="82">
        <f>($S931-$J931)*100</f>
        <v/>
      </c>
      <c r="BF931" s="82">
        <f>($V931-$L931)*100</f>
        <v/>
      </c>
      <c r="BG931" s="82">
        <f>$AG931-$AF931</f>
        <v/>
      </c>
      <c r="BH931" s="81">
        <f>IFERROR($AG931/$AF931,"")</f>
        <v/>
      </c>
      <c r="BI931" s="82">
        <f>$AJ931-$AF931</f>
        <v/>
      </c>
      <c r="BJ931" s="81">
        <f>IFERROR($AJ931/$AG931,"")</f>
        <v/>
      </c>
      <c r="BK931" s="81">
        <f>$X931</f>
        <v/>
      </c>
      <c r="BL931" s="82">
        <f>($J931-$J932)*100</f>
        <v/>
      </c>
      <c r="BM931" s="82">
        <f>($F931-$F932)*100</f>
        <v/>
      </c>
      <c r="BN931" s="82">
        <f>$AF931-$AF932</f>
        <v/>
      </c>
      <c r="BO931" s="82">
        <f>$AG931-$AG932</f>
        <v/>
      </c>
      <c r="BP931" s="82">
        <f>$AJ931-$AJ932</f>
        <v/>
      </c>
    </row>
    <row r="932">
      <c r="AR932" s="81">
        <f>($G932+($H932-$G932)*0.5)+($P932-($O932+($Q932-$O932)*0.5))</f>
        <v/>
      </c>
      <c r="AS932" s="81">
        <f>($J932+($K932-$J932)*0.5)+($T932-($S932+($U932-$S932)*0.5))</f>
        <v/>
      </c>
      <c r="AT932" s="82">
        <f>($J932-$C932)*100</f>
        <v/>
      </c>
      <c r="AU932" s="82">
        <f>($H932-$F932)*100</f>
        <v/>
      </c>
      <c r="AV932" s="82">
        <f>($J932-$F932)*100</f>
        <v/>
      </c>
      <c r="AW932" s="82">
        <f>($L932-$F932)*100</f>
        <v/>
      </c>
      <c r="AX932" s="82">
        <f>($J932-$H932)*100</f>
        <v/>
      </c>
      <c r="AY932" s="82">
        <f>($L932-$H932)*100</f>
        <v/>
      </c>
      <c r="AZ932" s="82">
        <f>($L932-$J932)*100</f>
        <v/>
      </c>
      <c r="BA932" s="82">
        <f>(2*$H932-$F932-$J932)*100</f>
        <v/>
      </c>
      <c r="BB932" s="82">
        <f>(2*$J932-$H932-$L932)*100</f>
        <v/>
      </c>
      <c r="BC932" s="82">
        <f>($N932-$F932)*100</f>
        <v/>
      </c>
      <c r="BD932" s="82">
        <f>($Q932-$H932)*100</f>
        <v/>
      </c>
      <c r="BE932" s="82">
        <f>($S932-$J932)*100</f>
        <v/>
      </c>
      <c r="BF932" s="82">
        <f>($V932-$L932)*100</f>
        <v/>
      </c>
      <c r="BG932" s="82">
        <f>$AG932-$AF932</f>
        <v/>
      </c>
      <c r="BH932" s="81">
        <f>IFERROR($AG932/$AF932,"")</f>
        <v/>
      </c>
      <c r="BI932" s="82">
        <f>$AJ932-$AF932</f>
        <v/>
      </c>
      <c r="BJ932" s="81">
        <f>IFERROR($AJ932/$AG932,"")</f>
        <v/>
      </c>
      <c r="BK932" s="81">
        <f>$X932</f>
        <v/>
      </c>
      <c r="BL932" s="82">
        <f>($J932-$J933)*100</f>
        <v/>
      </c>
      <c r="BM932" s="82">
        <f>($F932-$F933)*100</f>
        <v/>
      </c>
      <c r="BN932" s="82">
        <f>$AF932-$AF933</f>
        <v/>
      </c>
      <c r="BO932" s="82">
        <f>$AG932-$AG933</f>
        <v/>
      </c>
      <c r="BP932" s="82">
        <f>$AJ932-$AJ933</f>
        <v/>
      </c>
    </row>
    <row r="933">
      <c r="AR933" s="81">
        <f>($G933+($H933-$G933)*0.5)+($P933-($O933+($Q933-$O933)*0.5))</f>
        <v/>
      </c>
      <c r="AS933" s="81">
        <f>($J933+($K933-$J933)*0.5)+($T933-($S933+($U933-$S933)*0.5))</f>
        <v/>
      </c>
      <c r="AT933" s="82">
        <f>($J933-$C933)*100</f>
        <v/>
      </c>
      <c r="AU933" s="82">
        <f>($H933-$F933)*100</f>
        <v/>
      </c>
      <c r="AV933" s="82">
        <f>($J933-$F933)*100</f>
        <v/>
      </c>
      <c r="AW933" s="82">
        <f>($L933-$F933)*100</f>
        <v/>
      </c>
      <c r="AX933" s="82">
        <f>($J933-$H933)*100</f>
        <v/>
      </c>
      <c r="AY933" s="82">
        <f>($L933-$H933)*100</f>
        <v/>
      </c>
      <c r="AZ933" s="82">
        <f>($L933-$J933)*100</f>
        <v/>
      </c>
      <c r="BA933" s="82">
        <f>(2*$H933-$F933-$J933)*100</f>
        <v/>
      </c>
      <c r="BB933" s="82">
        <f>(2*$J933-$H933-$L933)*100</f>
        <v/>
      </c>
      <c r="BC933" s="82">
        <f>($N933-$F933)*100</f>
        <v/>
      </c>
      <c r="BD933" s="82">
        <f>($Q933-$H933)*100</f>
        <v/>
      </c>
      <c r="BE933" s="82">
        <f>($S933-$J933)*100</f>
        <v/>
      </c>
      <c r="BF933" s="82">
        <f>($V933-$L933)*100</f>
        <v/>
      </c>
      <c r="BG933" s="82">
        <f>$AG933-$AF933</f>
        <v/>
      </c>
      <c r="BH933" s="81">
        <f>IFERROR($AG933/$AF933,"")</f>
        <v/>
      </c>
      <c r="BI933" s="82">
        <f>$AJ933-$AF933</f>
        <v/>
      </c>
      <c r="BJ933" s="81">
        <f>IFERROR($AJ933/$AG933,"")</f>
        <v/>
      </c>
      <c r="BK933" s="81">
        <f>$X933</f>
        <v/>
      </c>
      <c r="BL933" s="82">
        <f>($J933-$J934)*100</f>
        <v/>
      </c>
      <c r="BM933" s="82">
        <f>($F933-$F934)*100</f>
        <v/>
      </c>
      <c r="BN933" s="82">
        <f>$AF933-$AF934</f>
        <v/>
      </c>
      <c r="BO933" s="82">
        <f>$AG933-$AG934</f>
        <v/>
      </c>
      <c r="BP933" s="82">
        <f>$AJ933-$AJ934</f>
        <v/>
      </c>
    </row>
    <row r="934">
      <c r="AR934" s="81">
        <f>($G934+($H934-$G934)*0.5)+($P934-($O934+($Q934-$O934)*0.5))</f>
        <v/>
      </c>
      <c r="AS934" s="81">
        <f>($J934+($K934-$J934)*0.5)+($T934-($S934+($U934-$S934)*0.5))</f>
        <v/>
      </c>
      <c r="AT934" s="82">
        <f>($J934-$C934)*100</f>
        <v/>
      </c>
      <c r="AU934" s="82">
        <f>($H934-$F934)*100</f>
        <v/>
      </c>
      <c r="AV934" s="82">
        <f>($J934-$F934)*100</f>
        <v/>
      </c>
      <c r="AW934" s="82">
        <f>($L934-$F934)*100</f>
        <v/>
      </c>
      <c r="AX934" s="82">
        <f>($J934-$H934)*100</f>
        <v/>
      </c>
      <c r="AY934" s="82">
        <f>($L934-$H934)*100</f>
        <v/>
      </c>
      <c r="AZ934" s="82">
        <f>($L934-$J934)*100</f>
        <v/>
      </c>
      <c r="BA934" s="82">
        <f>(2*$H934-$F934-$J934)*100</f>
        <v/>
      </c>
      <c r="BB934" s="82">
        <f>(2*$J934-$H934-$L934)*100</f>
        <v/>
      </c>
      <c r="BC934" s="82">
        <f>($N934-$F934)*100</f>
        <v/>
      </c>
      <c r="BD934" s="82">
        <f>($Q934-$H934)*100</f>
        <v/>
      </c>
      <c r="BE934" s="82">
        <f>($S934-$J934)*100</f>
        <v/>
      </c>
      <c r="BF934" s="82">
        <f>($V934-$L934)*100</f>
        <v/>
      </c>
      <c r="BG934" s="82">
        <f>$AG934-$AF934</f>
        <v/>
      </c>
      <c r="BH934" s="81">
        <f>IFERROR($AG934/$AF934,"")</f>
        <v/>
      </c>
      <c r="BI934" s="82">
        <f>$AJ934-$AF934</f>
        <v/>
      </c>
      <c r="BJ934" s="81">
        <f>IFERROR($AJ934/$AG934,"")</f>
        <v/>
      </c>
      <c r="BK934" s="81">
        <f>$X934</f>
        <v/>
      </c>
      <c r="BL934" s="82">
        <f>($J934-$J935)*100</f>
        <v/>
      </c>
      <c r="BM934" s="82">
        <f>($F934-$F935)*100</f>
        <v/>
      </c>
      <c r="BN934" s="82">
        <f>$AF934-$AF935</f>
        <v/>
      </c>
      <c r="BO934" s="82">
        <f>$AG934-$AG935</f>
        <v/>
      </c>
      <c r="BP934" s="82">
        <f>$AJ934-$AJ935</f>
        <v/>
      </c>
    </row>
    <row r="935">
      <c r="AR935" s="81">
        <f>($G935+($H935-$G935)*0.5)+($P935-($O935+($Q935-$O935)*0.5))</f>
        <v/>
      </c>
      <c r="AS935" s="81">
        <f>($J935+($K935-$J935)*0.5)+($T935-($S935+($U935-$S935)*0.5))</f>
        <v/>
      </c>
      <c r="AT935" s="82">
        <f>($J935-$C935)*100</f>
        <v/>
      </c>
      <c r="AU935" s="82">
        <f>($H935-$F935)*100</f>
        <v/>
      </c>
      <c r="AV935" s="82">
        <f>($J935-$F935)*100</f>
        <v/>
      </c>
      <c r="AW935" s="82">
        <f>($L935-$F935)*100</f>
        <v/>
      </c>
      <c r="AX935" s="82">
        <f>($J935-$H935)*100</f>
        <v/>
      </c>
      <c r="AY935" s="82">
        <f>($L935-$H935)*100</f>
        <v/>
      </c>
      <c r="AZ935" s="82">
        <f>($L935-$J935)*100</f>
        <v/>
      </c>
      <c r="BA935" s="82">
        <f>(2*$H935-$F935-$J935)*100</f>
        <v/>
      </c>
      <c r="BB935" s="82">
        <f>(2*$J935-$H935-$L935)*100</f>
        <v/>
      </c>
      <c r="BC935" s="82">
        <f>($N935-$F935)*100</f>
        <v/>
      </c>
      <c r="BD935" s="82">
        <f>($Q935-$H935)*100</f>
        <v/>
      </c>
      <c r="BE935" s="82">
        <f>($S935-$J935)*100</f>
        <v/>
      </c>
      <c r="BF935" s="82">
        <f>($V935-$L935)*100</f>
        <v/>
      </c>
      <c r="BG935" s="82">
        <f>$AG935-$AF935</f>
        <v/>
      </c>
      <c r="BH935" s="81">
        <f>IFERROR($AG935/$AF935,"")</f>
        <v/>
      </c>
      <c r="BI935" s="82">
        <f>$AJ935-$AF935</f>
        <v/>
      </c>
      <c r="BJ935" s="81">
        <f>IFERROR($AJ935/$AG935,"")</f>
        <v/>
      </c>
      <c r="BK935" s="81">
        <f>$X935</f>
        <v/>
      </c>
      <c r="BL935" s="82">
        <f>($J935-$J936)*100</f>
        <v/>
      </c>
      <c r="BM935" s="82">
        <f>($F935-$F936)*100</f>
        <v/>
      </c>
      <c r="BN935" s="82">
        <f>$AF935-$AF936</f>
        <v/>
      </c>
      <c r="BO935" s="82">
        <f>$AG935-$AG936</f>
        <v/>
      </c>
      <c r="BP935" s="82">
        <f>$AJ935-$AJ936</f>
        <v/>
      </c>
    </row>
    <row r="936">
      <c r="AR936" s="81">
        <f>($G936+($H936-$G936)*0.5)+($P936-($O936+($Q936-$O936)*0.5))</f>
        <v/>
      </c>
      <c r="AS936" s="81">
        <f>($J936+($K936-$J936)*0.5)+($T936-($S936+($U936-$S936)*0.5))</f>
        <v/>
      </c>
      <c r="AT936" s="82">
        <f>($J936-$C936)*100</f>
        <v/>
      </c>
      <c r="AU936" s="82">
        <f>($H936-$F936)*100</f>
        <v/>
      </c>
      <c r="AV936" s="82">
        <f>($J936-$F936)*100</f>
        <v/>
      </c>
      <c r="AW936" s="82">
        <f>($L936-$F936)*100</f>
        <v/>
      </c>
      <c r="AX936" s="82">
        <f>($J936-$H936)*100</f>
        <v/>
      </c>
      <c r="AY936" s="82">
        <f>($L936-$H936)*100</f>
        <v/>
      </c>
      <c r="AZ936" s="82">
        <f>($L936-$J936)*100</f>
        <v/>
      </c>
      <c r="BA936" s="82">
        <f>(2*$H936-$F936-$J936)*100</f>
        <v/>
      </c>
      <c r="BB936" s="82">
        <f>(2*$J936-$H936-$L936)*100</f>
        <v/>
      </c>
      <c r="BC936" s="82">
        <f>($N936-$F936)*100</f>
        <v/>
      </c>
      <c r="BD936" s="82">
        <f>($Q936-$H936)*100</f>
        <v/>
      </c>
      <c r="BE936" s="82">
        <f>($S936-$J936)*100</f>
        <v/>
      </c>
      <c r="BF936" s="82">
        <f>($V936-$L936)*100</f>
        <v/>
      </c>
      <c r="BG936" s="82">
        <f>$AG936-$AF936</f>
        <v/>
      </c>
      <c r="BH936" s="81">
        <f>IFERROR($AG936/$AF936,"")</f>
        <v/>
      </c>
      <c r="BI936" s="82">
        <f>$AJ936-$AF936</f>
        <v/>
      </c>
      <c r="BJ936" s="81">
        <f>IFERROR($AJ936/$AG936,"")</f>
        <v/>
      </c>
      <c r="BK936" s="81">
        <f>$X936</f>
        <v/>
      </c>
      <c r="BL936" s="82">
        <f>($J936-$J937)*100</f>
        <v/>
      </c>
      <c r="BM936" s="82">
        <f>($F936-$F937)*100</f>
        <v/>
      </c>
      <c r="BN936" s="82">
        <f>$AF936-$AF937</f>
        <v/>
      </c>
      <c r="BO936" s="82">
        <f>$AG936-$AG937</f>
        <v/>
      </c>
      <c r="BP936" s="82">
        <f>$AJ936-$AJ937</f>
        <v/>
      </c>
    </row>
    <row r="937">
      <c r="AR937" s="81">
        <f>($G937+($H937-$G937)*0.5)+($P937-($O937+($Q937-$O937)*0.5))</f>
        <v/>
      </c>
      <c r="AS937" s="81">
        <f>($J937+($K937-$J937)*0.5)+($T937-($S937+($U937-$S937)*0.5))</f>
        <v/>
      </c>
      <c r="AT937" s="82">
        <f>($J937-$C937)*100</f>
        <v/>
      </c>
      <c r="AU937" s="82">
        <f>($H937-$F937)*100</f>
        <v/>
      </c>
      <c r="AV937" s="82">
        <f>($J937-$F937)*100</f>
        <v/>
      </c>
      <c r="AW937" s="82">
        <f>($L937-$F937)*100</f>
        <v/>
      </c>
      <c r="AX937" s="82">
        <f>($J937-$H937)*100</f>
        <v/>
      </c>
      <c r="AY937" s="82">
        <f>($L937-$H937)*100</f>
        <v/>
      </c>
      <c r="AZ937" s="82">
        <f>($L937-$J937)*100</f>
        <v/>
      </c>
      <c r="BA937" s="82">
        <f>(2*$H937-$F937-$J937)*100</f>
        <v/>
      </c>
      <c r="BB937" s="82">
        <f>(2*$J937-$H937-$L937)*100</f>
        <v/>
      </c>
      <c r="BC937" s="82">
        <f>($N937-$F937)*100</f>
        <v/>
      </c>
      <c r="BD937" s="82">
        <f>($Q937-$H937)*100</f>
        <v/>
      </c>
      <c r="BE937" s="82">
        <f>($S937-$J937)*100</f>
        <v/>
      </c>
      <c r="BF937" s="82">
        <f>($V937-$L937)*100</f>
        <v/>
      </c>
      <c r="BG937" s="82">
        <f>$AG937-$AF937</f>
        <v/>
      </c>
      <c r="BH937" s="81">
        <f>IFERROR($AG937/$AF937,"")</f>
        <v/>
      </c>
      <c r="BI937" s="82">
        <f>$AJ937-$AF937</f>
        <v/>
      </c>
      <c r="BJ937" s="81">
        <f>IFERROR($AJ937/$AG937,"")</f>
        <v/>
      </c>
      <c r="BK937" s="81">
        <f>$X937</f>
        <v/>
      </c>
      <c r="BL937" s="82">
        <f>($J937-$J938)*100</f>
        <v/>
      </c>
      <c r="BM937" s="82">
        <f>($F937-$F938)*100</f>
        <v/>
      </c>
      <c r="BN937" s="82">
        <f>$AF937-$AF938</f>
        <v/>
      </c>
      <c r="BO937" s="82">
        <f>$AG937-$AG938</f>
        <v/>
      </c>
      <c r="BP937" s="82">
        <f>$AJ937-$AJ938</f>
        <v/>
      </c>
    </row>
    <row r="938">
      <c r="AR938" s="81">
        <f>($G938+($H938-$G938)*0.5)+($P938-($O938+($Q938-$O938)*0.5))</f>
        <v/>
      </c>
      <c r="AS938" s="81">
        <f>($J938+($K938-$J938)*0.5)+($T938-($S938+($U938-$S938)*0.5))</f>
        <v/>
      </c>
      <c r="AT938" s="82">
        <f>($J938-$C938)*100</f>
        <v/>
      </c>
      <c r="AU938" s="82">
        <f>($H938-$F938)*100</f>
        <v/>
      </c>
      <c r="AV938" s="82">
        <f>($J938-$F938)*100</f>
        <v/>
      </c>
      <c r="AW938" s="82">
        <f>($L938-$F938)*100</f>
        <v/>
      </c>
      <c r="AX938" s="82">
        <f>($J938-$H938)*100</f>
        <v/>
      </c>
      <c r="AY938" s="82">
        <f>($L938-$H938)*100</f>
        <v/>
      </c>
      <c r="AZ938" s="82">
        <f>($L938-$J938)*100</f>
        <v/>
      </c>
      <c r="BA938" s="82">
        <f>(2*$H938-$F938-$J938)*100</f>
        <v/>
      </c>
      <c r="BB938" s="82">
        <f>(2*$J938-$H938-$L938)*100</f>
        <v/>
      </c>
      <c r="BC938" s="82">
        <f>($N938-$F938)*100</f>
        <v/>
      </c>
      <c r="BD938" s="82">
        <f>($Q938-$H938)*100</f>
        <v/>
      </c>
      <c r="BE938" s="82">
        <f>($S938-$J938)*100</f>
        <v/>
      </c>
      <c r="BF938" s="82">
        <f>($V938-$L938)*100</f>
        <v/>
      </c>
      <c r="BG938" s="82">
        <f>$AG938-$AF938</f>
        <v/>
      </c>
      <c r="BH938" s="81">
        <f>IFERROR($AG938/$AF938,"")</f>
        <v/>
      </c>
      <c r="BI938" s="82">
        <f>$AJ938-$AF938</f>
        <v/>
      </c>
      <c r="BJ938" s="81">
        <f>IFERROR($AJ938/$AG938,"")</f>
        <v/>
      </c>
      <c r="BK938" s="81">
        <f>$X938</f>
        <v/>
      </c>
      <c r="BL938" s="82">
        <f>($J938-$J939)*100</f>
        <v/>
      </c>
      <c r="BM938" s="82">
        <f>($F938-$F939)*100</f>
        <v/>
      </c>
      <c r="BN938" s="82">
        <f>$AF938-$AF939</f>
        <v/>
      </c>
      <c r="BO938" s="82">
        <f>$AG938-$AG939</f>
        <v/>
      </c>
      <c r="BP938" s="82">
        <f>$AJ938-$AJ939</f>
        <v/>
      </c>
    </row>
    <row r="939">
      <c r="AR939" s="81">
        <f>($G939+($H939-$G939)*0.5)+($P939-($O939+($Q939-$O939)*0.5))</f>
        <v/>
      </c>
      <c r="AS939" s="81">
        <f>($J939+($K939-$J939)*0.5)+($T939-($S939+($U939-$S939)*0.5))</f>
        <v/>
      </c>
      <c r="AT939" s="82">
        <f>($J939-$C939)*100</f>
        <v/>
      </c>
      <c r="AU939" s="82">
        <f>($H939-$F939)*100</f>
        <v/>
      </c>
      <c r="AV939" s="82">
        <f>($J939-$F939)*100</f>
        <v/>
      </c>
      <c r="AW939" s="82">
        <f>($L939-$F939)*100</f>
        <v/>
      </c>
      <c r="AX939" s="82">
        <f>($J939-$H939)*100</f>
        <v/>
      </c>
      <c r="AY939" s="82">
        <f>($L939-$H939)*100</f>
        <v/>
      </c>
      <c r="AZ939" s="82">
        <f>($L939-$J939)*100</f>
        <v/>
      </c>
      <c r="BA939" s="82">
        <f>(2*$H939-$F939-$J939)*100</f>
        <v/>
      </c>
      <c r="BB939" s="82">
        <f>(2*$J939-$H939-$L939)*100</f>
        <v/>
      </c>
      <c r="BC939" s="82">
        <f>($N939-$F939)*100</f>
        <v/>
      </c>
      <c r="BD939" s="82">
        <f>($Q939-$H939)*100</f>
        <v/>
      </c>
      <c r="BE939" s="82">
        <f>($S939-$J939)*100</f>
        <v/>
      </c>
      <c r="BF939" s="82">
        <f>($V939-$L939)*100</f>
        <v/>
      </c>
      <c r="BG939" s="82">
        <f>$AG939-$AF939</f>
        <v/>
      </c>
      <c r="BH939" s="81">
        <f>IFERROR($AG939/$AF939,"")</f>
        <v/>
      </c>
      <c r="BI939" s="82">
        <f>$AJ939-$AF939</f>
        <v/>
      </c>
      <c r="BJ939" s="81">
        <f>IFERROR($AJ939/$AG939,"")</f>
        <v/>
      </c>
      <c r="BK939" s="81">
        <f>$X939</f>
        <v/>
      </c>
      <c r="BL939" s="82">
        <f>($J939-$J940)*100</f>
        <v/>
      </c>
      <c r="BM939" s="82">
        <f>($F939-$F940)*100</f>
        <v/>
      </c>
      <c r="BN939" s="82">
        <f>$AF939-$AF940</f>
        <v/>
      </c>
      <c r="BO939" s="82">
        <f>$AG939-$AG940</f>
        <v/>
      </c>
      <c r="BP939" s="82">
        <f>$AJ939-$AJ940</f>
        <v/>
      </c>
    </row>
    <row r="940">
      <c r="AR940" s="81">
        <f>($G940+($H940-$G940)*0.5)+($P940-($O940+($Q940-$O940)*0.5))</f>
        <v/>
      </c>
      <c r="AS940" s="81">
        <f>($J940+($K940-$J940)*0.5)+($T940-($S940+($U940-$S940)*0.5))</f>
        <v/>
      </c>
      <c r="AT940" s="82">
        <f>($J940-$C940)*100</f>
        <v/>
      </c>
      <c r="AU940" s="82">
        <f>($H940-$F940)*100</f>
        <v/>
      </c>
      <c r="AV940" s="82">
        <f>($J940-$F940)*100</f>
        <v/>
      </c>
      <c r="AW940" s="82">
        <f>($L940-$F940)*100</f>
        <v/>
      </c>
      <c r="AX940" s="82">
        <f>($J940-$H940)*100</f>
        <v/>
      </c>
      <c r="AY940" s="82">
        <f>($L940-$H940)*100</f>
        <v/>
      </c>
      <c r="AZ940" s="82">
        <f>($L940-$J940)*100</f>
        <v/>
      </c>
      <c r="BA940" s="82">
        <f>(2*$H940-$F940-$J940)*100</f>
        <v/>
      </c>
      <c r="BB940" s="82">
        <f>(2*$J940-$H940-$L940)*100</f>
        <v/>
      </c>
      <c r="BC940" s="82">
        <f>($N940-$F940)*100</f>
        <v/>
      </c>
      <c r="BD940" s="82">
        <f>($Q940-$H940)*100</f>
        <v/>
      </c>
      <c r="BE940" s="82">
        <f>($S940-$J940)*100</f>
        <v/>
      </c>
      <c r="BF940" s="82">
        <f>($V940-$L940)*100</f>
        <v/>
      </c>
      <c r="BG940" s="82">
        <f>$AG940-$AF940</f>
        <v/>
      </c>
      <c r="BH940" s="81">
        <f>IFERROR($AG940/$AF940,"")</f>
        <v/>
      </c>
      <c r="BI940" s="82">
        <f>$AJ940-$AF940</f>
        <v/>
      </c>
      <c r="BJ940" s="81">
        <f>IFERROR($AJ940/$AG940,"")</f>
        <v/>
      </c>
      <c r="BK940" s="81">
        <f>$X940</f>
        <v/>
      </c>
      <c r="BL940" s="82">
        <f>($J940-$J941)*100</f>
        <v/>
      </c>
      <c r="BM940" s="82">
        <f>($F940-$F941)*100</f>
        <v/>
      </c>
      <c r="BN940" s="82">
        <f>$AF940-$AF941</f>
        <v/>
      </c>
      <c r="BO940" s="82">
        <f>$AG940-$AG941</f>
        <v/>
      </c>
      <c r="BP940" s="82">
        <f>$AJ940-$AJ941</f>
        <v/>
      </c>
    </row>
    <row r="941">
      <c r="AR941" s="81">
        <f>($G941+($H941-$G941)*0.5)+($P941-($O941+($Q941-$O941)*0.5))</f>
        <v/>
      </c>
      <c r="AS941" s="81">
        <f>($J941+($K941-$J941)*0.5)+($T941-($S941+($U941-$S941)*0.5))</f>
        <v/>
      </c>
      <c r="AT941" s="82">
        <f>($J941-$C941)*100</f>
        <v/>
      </c>
      <c r="AU941" s="82">
        <f>($H941-$F941)*100</f>
        <v/>
      </c>
      <c r="AV941" s="82">
        <f>($J941-$F941)*100</f>
        <v/>
      </c>
      <c r="AW941" s="82">
        <f>($L941-$F941)*100</f>
        <v/>
      </c>
      <c r="AX941" s="82">
        <f>($J941-$H941)*100</f>
        <v/>
      </c>
      <c r="AY941" s="82">
        <f>($L941-$H941)*100</f>
        <v/>
      </c>
      <c r="AZ941" s="82">
        <f>($L941-$J941)*100</f>
        <v/>
      </c>
      <c r="BA941" s="82">
        <f>(2*$H941-$F941-$J941)*100</f>
        <v/>
      </c>
      <c r="BB941" s="82">
        <f>(2*$J941-$H941-$L941)*100</f>
        <v/>
      </c>
      <c r="BC941" s="82">
        <f>($N941-$F941)*100</f>
        <v/>
      </c>
      <c r="BD941" s="82">
        <f>($Q941-$H941)*100</f>
        <v/>
      </c>
      <c r="BE941" s="82">
        <f>($S941-$J941)*100</f>
        <v/>
      </c>
      <c r="BF941" s="82">
        <f>($V941-$L941)*100</f>
        <v/>
      </c>
      <c r="BG941" s="82">
        <f>$AG941-$AF941</f>
        <v/>
      </c>
      <c r="BH941" s="81">
        <f>IFERROR($AG941/$AF941,"")</f>
        <v/>
      </c>
      <c r="BI941" s="82">
        <f>$AJ941-$AF941</f>
        <v/>
      </c>
      <c r="BJ941" s="81">
        <f>IFERROR($AJ941/$AG941,"")</f>
        <v/>
      </c>
      <c r="BK941" s="81">
        <f>$X941</f>
        <v/>
      </c>
      <c r="BL941" s="82">
        <f>($J941-$J942)*100</f>
        <v/>
      </c>
      <c r="BM941" s="82">
        <f>($F941-$F942)*100</f>
        <v/>
      </c>
      <c r="BN941" s="82">
        <f>$AF941-$AF942</f>
        <v/>
      </c>
      <c r="BO941" s="82">
        <f>$AG941-$AG942</f>
        <v/>
      </c>
      <c r="BP941" s="82">
        <f>$AJ941-$AJ942</f>
        <v/>
      </c>
    </row>
    <row r="942">
      <c r="AR942" s="81">
        <f>($G942+($H942-$G942)*0.5)+($P942-($O942+($Q942-$O942)*0.5))</f>
        <v/>
      </c>
      <c r="AS942" s="81">
        <f>($J942+($K942-$J942)*0.5)+($T942-($S942+($U942-$S942)*0.5))</f>
        <v/>
      </c>
      <c r="AT942" s="82">
        <f>($J942-$C942)*100</f>
        <v/>
      </c>
      <c r="AU942" s="82">
        <f>($H942-$F942)*100</f>
        <v/>
      </c>
      <c r="AV942" s="82">
        <f>($J942-$F942)*100</f>
        <v/>
      </c>
      <c r="AW942" s="82">
        <f>($L942-$F942)*100</f>
        <v/>
      </c>
      <c r="AX942" s="82">
        <f>($J942-$H942)*100</f>
        <v/>
      </c>
      <c r="AY942" s="82">
        <f>($L942-$H942)*100</f>
        <v/>
      </c>
      <c r="AZ942" s="82">
        <f>($L942-$J942)*100</f>
        <v/>
      </c>
      <c r="BA942" s="82">
        <f>(2*$H942-$F942-$J942)*100</f>
        <v/>
      </c>
      <c r="BB942" s="82">
        <f>(2*$J942-$H942-$L942)*100</f>
        <v/>
      </c>
      <c r="BC942" s="82">
        <f>($N942-$F942)*100</f>
        <v/>
      </c>
      <c r="BD942" s="82">
        <f>($Q942-$H942)*100</f>
        <v/>
      </c>
      <c r="BE942" s="82">
        <f>($S942-$J942)*100</f>
        <v/>
      </c>
      <c r="BF942" s="82">
        <f>($V942-$L942)*100</f>
        <v/>
      </c>
      <c r="BG942" s="82">
        <f>$AG942-$AF942</f>
        <v/>
      </c>
      <c r="BH942" s="81">
        <f>IFERROR($AG942/$AF942,"")</f>
        <v/>
      </c>
      <c r="BI942" s="82">
        <f>$AJ942-$AF942</f>
        <v/>
      </c>
      <c r="BJ942" s="81">
        <f>IFERROR($AJ942/$AG942,"")</f>
        <v/>
      </c>
      <c r="BK942" s="81">
        <f>$X942</f>
        <v/>
      </c>
      <c r="BL942" s="82">
        <f>($J942-$J943)*100</f>
        <v/>
      </c>
      <c r="BM942" s="82">
        <f>($F942-$F943)*100</f>
        <v/>
      </c>
      <c r="BN942" s="82">
        <f>$AF942-$AF943</f>
        <v/>
      </c>
      <c r="BO942" s="82">
        <f>$AG942-$AG943</f>
        <v/>
      </c>
      <c r="BP942" s="82">
        <f>$AJ942-$AJ943</f>
        <v/>
      </c>
    </row>
    <row r="943">
      <c r="AR943" s="81">
        <f>($G943+($H943-$G943)*0.5)+($P943-($O943+($Q943-$O943)*0.5))</f>
        <v/>
      </c>
      <c r="AS943" s="81">
        <f>($J943+($K943-$J943)*0.5)+($T943-($S943+($U943-$S943)*0.5))</f>
        <v/>
      </c>
      <c r="AT943" s="82">
        <f>($J943-$C943)*100</f>
        <v/>
      </c>
      <c r="AU943" s="82">
        <f>($H943-$F943)*100</f>
        <v/>
      </c>
      <c r="AV943" s="82">
        <f>($J943-$F943)*100</f>
        <v/>
      </c>
      <c r="AW943" s="82">
        <f>($L943-$F943)*100</f>
        <v/>
      </c>
      <c r="AX943" s="82">
        <f>($J943-$H943)*100</f>
        <v/>
      </c>
      <c r="AY943" s="82">
        <f>($L943-$H943)*100</f>
        <v/>
      </c>
      <c r="AZ943" s="82">
        <f>($L943-$J943)*100</f>
        <v/>
      </c>
      <c r="BA943" s="82">
        <f>(2*$H943-$F943-$J943)*100</f>
        <v/>
      </c>
      <c r="BB943" s="82">
        <f>(2*$J943-$H943-$L943)*100</f>
        <v/>
      </c>
      <c r="BC943" s="82">
        <f>($N943-$F943)*100</f>
        <v/>
      </c>
      <c r="BD943" s="82">
        <f>($Q943-$H943)*100</f>
        <v/>
      </c>
      <c r="BE943" s="82">
        <f>($S943-$J943)*100</f>
        <v/>
      </c>
      <c r="BF943" s="82">
        <f>($V943-$L943)*100</f>
        <v/>
      </c>
      <c r="BG943" s="82">
        <f>$AG943-$AF943</f>
        <v/>
      </c>
      <c r="BH943" s="81">
        <f>IFERROR($AG943/$AF943,"")</f>
        <v/>
      </c>
      <c r="BI943" s="82">
        <f>$AJ943-$AF943</f>
        <v/>
      </c>
      <c r="BJ943" s="81">
        <f>IFERROR($AJ943/$AG943,"")</f>
        <v/>
      </c>
      <c r="BK943" s="81">
        <f>$X943</f>
        <v/>
      </c>
      <c r="BL943" s="82">
        <f>($J943-$J944)*100</f>
        <v/>
      </c>
      <c r="BM943" s="82">
        <f>($F943-$F944)*100</f>
        <v/>
      </c>
      <c r="BN943" s="82">
        <f>$AF943-$AF944</f>
        <v/>
      </c>
      <c r="BO943" s="82">
        <f>$AG943-$AG944</f>
        <v/>
      </c>
      <c r="BP943" s="82">
        <f>$AJ943-$AJ944</f>
        <v/>
      </c>
    </row>
    <row r="944">
      <c r="AR944" s="81">
        <f>($G944+($H944-$G944)*0.5)+($P944-($O944+($Q944-$O944)*0.5))</f>
        <v/>
      </c>
      <c r="AS944" s="81">
        <f>($J944+($K944-$J944)*0.5)+($T944-($S944+($U944-$S944)*0.5))</f>
        <v/>
      </c>
      <c r="AT944" s="82">
        <f>($J944-$C944)*100</f>
        <v/>
      </c>
      <c r="AU944" s="82">
        <f>($H944-$F944)*100</f>
        <v/>
      </c>
      <c r="AV944" s="82">
        <f>($J944-$F944)*100</f>
        <v/>
      </c>
      <c r="AW944" s="82">
        <f>($L944-$F944)*100</f>
        <v/>
      </c>
      <c r="AX944" s="82">
        <f>($J944-$H944)*100</f>
        <v/>
      </c>
      <c r="AY944" s="82">
        <f>($L944-$H944)*100</f>
        <v/>
      </c>
      <c r="AZ944" s="82">
        <f>($L944-$J944)*100</f>
        <v/>
      </c>
      <c r="BA944" s="82">
        <f>(2*$H944-$F944-$J944)*100</f>
        <v/>
      </c>
      <c r="BB944" s="82">
        <f>(2*$J944-$H944-$L944)*100</f>
        <v/>
      </c>
      <c r="BC944" s="82">
        <f>($N944-$F944)*100</f>
        <v/>
      </c>
      <c r="BD944" s="82">
        <f>($Q944-$H944)*100</f>
        <v/>
      </c>
      <c r="BE944" s="82">
        <f>($S944-$J944)*100</f>
        <v/>
      </c>
      <c r="BF944" s="82">
        <f>($V944-$L944)*100</f>
        <v/>
      </c>
      <c r="BG944" s="82">
        <f>$AG944-$AF944</f>
        <v/>
      </c>
      <c r="BH944" s="81">
        <f>IFERROR($AG944/$AF944,"")</f>
        <v/>
      </c>
      <c r="BI944" s="82">
        <f>$AJ944-$AF944</f>
        <v/>
      </c>
      <c r="BJ944" s="81">
        <f>IFERROR($AJ944/$AG944,"")</f>
        <v/>
      </c>
      <c r="BK944" s="81">
        <f>$X944</f>
        <v/>
      </c>
      <c r="BL944" s="82">
        <f>($J944-$J945)*100</f>
        <v/>
      </c>
      <c r="BM944" s="82">
        <f>($F944-$F945)*100</f>
        <v/>
      </c>
      <c r="BN944" s="82">
        <f>$AF944-$AF945</f>
        <v/>
      </c>
      <c r="BO944" s="82">
        <f>$AG944-$AG945</f>
        <v/>
      </c>
      <c r="BP944" s="82">
        <f>$AJ944-$AJ945</f>
        <v/>
      </c>
    </row>
    <row r="945">
      <c r="AR945" s="81">
        <f>($G945+($H945-$G945)*0.5)+($P945-($O945+($Q945-$O945)*0.5))</f>
        <v/>
      </c>
      <c r="AS945" s="81">
        <f>($J945+($K945-$J945)*0.5)+($T945-($S945+($U945-$S945)*0.5))</f>
        <v/>
      </c>
      <c r="AT945" s="82">
        <f>($J945-$C945)*100</f>
        <v/>
      </c>
      <c r="AU945" s="82">
        <f>($H945-$F945)*100</f>
        <v/>
      </c>
      <c r="AV945" s="82">
        <f>($J945-$F945)*100</f>
        <v/>
      </c>
      <c r="AW945" s="82">
        <f>($L945-$F945)*100</f>
        <v/>
      </c>
      <c r="AX945" s="82">
        <f>($J945-$H945)*100</f>
        <v/>
      </c>
      <c r="AY945" s="82">
        <f>($L945-$H945)*100</f>
        <v/>
      </c>
      <c r="AZ945" s="82">
        <f>($L945-$J945)*100</f>
        <v/>
      </c>
      <c r="BA945" s="82">
        <f>(2*$H945-$F945-$J945)*100</f>
        <v/>
      </c>
      <c r="BB945" s="82">
        <f>(2*$J945-$H945-$L945)*100</f>
        <v/>
      </c>
      <c r="BC945" s="82">
        <f>($N945-$F945)*100</f>
        <v/>
      </c>
      <c r="BD945" s="82">
        <f>($Q945-$H945)*100</f>
        <v/>
      </c>
      <c r="BE945" s="82">
        <f>($S945-$J945)*100</f>
        <v/>
      </c>
      <c r="BF945" s="82">
        <f>($V945-$L945)*100</f>
        <v/>
      </c>
      <c r="BG945" s="82">
        <f>$AG945-$AF945</f>
        <v/>
      </c>
      <c r="BH945" s="81">
        <f>IFERROR($AG945/$AF945,"")</f>
        <v/>
      </c>
      <c r="BI945" s="82">
        <f>$AJ945-$AF945</f>
        <v/>
      </c>
      <c r="BJ945" s="81">
        <f>IFERROR($AJ945/$AG945,"")</f>
        <v/>
      </c>
      <c r="BK945" s="81">
        <f>$X945</f>
        <v/>
      </c>
      <c r="BL945" s="82">
        <f>($J945-$J946)*100</f>
        <v/>
      </c>
      <c r="BM945" s="82">
        <f>($F945-$F946)*100</f>
        <v/>
      </c>
      <c r="BN945" s="82">
        <f>$AF945-$AF946</f>
        <v/>
      </c>
      <c r="BO945" s="82">
        <f>$AG945-$AG946</f>
        <v/>
      </c>
      <c r="BP945" s="82">
        <f>$AJ945-$AJ946</f>
        <v/>
      </c>
    </row>
    <row r="946">
      <c r="AR946" s="81">
        <f>($G946+($H946-$G946)*0.5)+($P946-($O946+($Q946-$O946)*0.5))</f>
        <v/>
      </c>
      <c r="AS946" s="81">
        <f>($J946+($K946-$J946)*0.5)+($T946-($S946+($U946-$S946)*0.5))</f>
        <v/>
      </c>
      <c r="AT946" s="82">
        <f>($J946-$C946)*100</f>
        <v/>
      </c>
      <c r="AU946" s="82">
        <f>($H946-$F946)*100</f>
        <v/>
      </c>
      <c r="AV946" s="82">
        <f>($J946-$F946)*100</f>
        <v/>
      </c>
      <c r="AW946" s="82">
        <f>($L946-$F946)*100</f>
        <v/>
      </c>
      <c r="AX946" s="82">
        <f>($J946-$H946)*100</f>
        <v/>
      </c>
      <c r="AY946" s="82">
        <f>($L946-$H946)*100</f>
        <v/>
      </c>
      <c r="AZ946" s="82">
        <f>($L946-$J946)*100</f>
        <v/>
      </c>
      <c r="BA946" s="82">
        <f>(2*$H946-$F946-$J946)*100</f>
        <v/>
      </c>
      <c r="BB946" s="82">
        <f>(2*$J946-$H946-$L946)*100</f>
        <v/>
      </c>
      <c r="BC946" s="82">
        <f>($N946-$F946)*100</f>
        <v/>
      </c>
      <c r="BD946" s="82">
        <f>($Q946-$H946)*100</f>
        <v/>
      </c>
      <c r="BE946" s="82">
        <f>($S946-$J946)*100</f>
        <v/>
      </c>
      <c r="BF946" s="82">
        <f>($V946-$L946)*100</f>
        <v/>
      </c>
      <c r="BG946" s="82">
        <f>$AG946-$AF946</f>
        <v/>
      </c>
      <c r="BH946" s="81">
        <f>IFERROR($AG946/$AF946,"")</f>
        <v/>
      </c>
      <c r="BI946" s="82">
        <f>$AJ946-$AF946</f>
        <v/>
      </c>
      <c r="BJ946" s="81">
        <f>IFERROR($AJ946/$AG946,"")</f>
        <v/>
      </c>
      <c r="BK946" s="81">
        <f>$X946</f>
        <v/>
      </c>
      <c r="BL946" s="82">
        <f>($J946-$J947)*100</f>
        <v/>
      </c>
      <c r="BM946" s="82">
        <f>($F946-$F947)*100</f>
        <v/>
      </c>
      <c r="BN946" s="82">
        <f>$AF946-$AF947</f>
        <v/>
      </c>
      <c r="BO946" s="82">
        <f>$AG946-$AG947</f>
        <v/>
      </c>
      <c r="BP946" s="82">
        <f>$AJ946-$AJ947</f>
        <v/>
      </c>
    </row>
    <row r="947">
      <c r="AR947" s="81">
        <f>($G947+($H947-$G947)*0.5)+($P947-($O947+($Q947-$O947)*0.5))</f>
        <v/>
      </c>
      <c r="AS947" s="81">
        <f>($J947+($K947-$J947)*0.5)+($T947-($S947+($U947-$S947)*0.5))</f>
        <v/>
      </c>
      <c r="AT947" s="82">
        <f>($J947-$C947)*100</f>
        <v/>
      </c>
      <c r="AU947" s="82">
        <f>($H947-$F947)*100</f>
        <v/>
      </c>
      <c r="AV947" s="82">
        <f>($J947-$F947)*100</f>
        <v/>
      </c>
      <c r="AW947" s="82">
        <f>($L947-$F947)*100</f>
        <v/>
      </c>
      <c r="AX947" s="82">
        <f>($J947-$H947)*100</f>
        <v/>
      </c>
      <c r="AY947" s="82">
        <f>($L947-$H947)*100</f>
        <v/>
      </c>
      <c r="AZ947" s="82">
        <f>($L947-$J947)*100</f>
        <v/>
      </c>
      <c r="BA947" s="82">
        <f>(2*$H947-$F947-$J947)*100</f>
        <v/>
      </c>
      <c r="BB947" s="82">
        <f>(2*$J947-$H947-$L947)*100</f>
        <v/>
      </c>
      <c r="BC947" s="82">
        <f>($N947-$F947)*100</f>
        <v/>
      </c>
      <c r="BD947" s="82">
        <f>($Q947-$H947)*100</f>
        <v/>
      </c>
      <c r="BE947" s="82">
        <f>($S947-$J947)*100</f>
        <v/>
      </c>
      <c r="BF947" s="82">
        <f>($V947-$L947)*100</f>
        <v/>
      </c>
      <c r="BG947" s="82">
        <f>$AG947-$AF947</f>
        <v/>
      </c>
      <c r="BH947" s="81">
        <f>IFERROR($AG947/$AF947,"")</f>
        <v/>
      </c>
      <c r="BI947" s="82">
        <f>$AJ947-$AF947</f>
        <v/>
      </c>
      <c r="BJ947" s="81">
        <f>IFERROR($AJ947/$AG947,"")</f>
        <v/>
      </c>
      <c r="BK947" s="81">
        <f>$X947</f>
        <v/>
      </c>
      <c r="BL947" s="82">
        <f>($J947-$J948)*100</f>
        <v/>
      </c>
      <c r="BM947" s="82">
        <f>($F947-$F948)*100</f>
        <v/>
      </c>
      <c r="BN947" s="82">
        <f>$AF947-$AF948</f>
        <v/>
      </c>
      <c r="BO947" s="82">
        <f>$AG947-$AG948</f>
        <v/>
      </c>
      <c r="BP947" s="82">
        <f>$AJ947-$AJ948</f>
        <v/>
      </c>
    </row>
    <row r="948">
      <c r="AR948" s="81">
        <f>($G948+($H948-$G948)*0.5)+($P948-($O948+($Q948-$O948)*0.5))</f>
        <v/>
      </c>
      <c r="AS948" s="81">
        <f>($J948+($K948-$J948)*0.5)+($T948-($S948+($U948-$S948)*0.5))</f>
        <v/>
      </c>
      <c r="AT948" s="82">
        <f>($J948-$C948)*100</f>
        <v/>
      </c>
      <c r="AU948" s="82">
        <f>($H948-$F948)*100</f>
        <v/>
      </c>
      <c r="AV948" s="82">
        <f>($J948-$F948)*100</f>
        <v/>
      </c>
      <c r="AW948" s="82">
        <f>($L948-$F948)*100</f>
        <v/>
      </c>
      <c r="AX948" s="82">
        <f>($J948-$H948)*100</f>
        <v/>
      </c>
      <c r="AY948" s="82">
        <f>($L948-$H948)*100</f>
        <v/>
      </c>
      <c r="AZ948" s="82">
        <f>($L948-$J948)*100</f>
        <v/>
      </c>
      <c r="BA948" s="82">
        <f>(2*$H948-$F948-$J948)*100</f>
        <v/>
      </c>
      <c r="BB948" s="82">
        <f>(2*$J948-$H948-$L948)*100</f>
        <v/>
      </c>
      <c r="BC948" s="82">
        <f>($N948-$F948)*100</f>
        <v/>
      </c>
      <c r="BD948" s="82">
        <f>($Q948-$H948)*100</f>
        <v/>
      </c>
      <c r="BE948" s="82">
        <f>($S948-$J948)*100</f>
        <v/>
      </c>
      <c r="BF948" s="82">
        <f>($V948-$L948)*100</f>
        <v/>
      </c>
      <c r="BG948" s="82">
        <f>$AG948-$AF948</f>
        <v/>
      </c>
      <c r="BH948" s="81">
        <f>IFERROR($AG948/$AF948,"")</f>
        <v/>
      </c>
      <c r="BI948" s="82">
        <f>$AJ948-$AF948</f>
        <v/>
      </c>
      <c r="BJ948" s="81">
        <f>IFERROR($AJ948/$AG948,"")</f>
        <v/>
      </c>
      <c r="BK948" s="81">
        <f>$X948</f>
        <v/>
      </c>
      <c r="BL948" s="82">
        <f>($J948-$J949)*100</f>
        <v/>
      </c>
      <c r="BM948" s="82">
        <f>($F948-$F949)*100</f>
        <v/>
      </c>
      <c r="BN948" s="82">
        <f>$AF948-$AF949</f>
        <v/>
      </c>
      <c r="BO948" s="82">
        <f>$AG948-$AG949</f>
        <v/>
      </c>
      <c r="BP948" s="82">
        <f>$AJ948-$AJ949</f>
        <v/>
      </c>
    </row>
    <row r="949">
      <c r="AR949" s="81">
        <f>($G949+($H949-$G949)*0.5)+($P949-($O949+($Q949-$O949)*0.5))</f>
        <v/>
      </c>
      <c r="AS949" s="81">
        <f>($J949+($K949-$J949)*0.5)+($T949-($S949+($U949-$S949)*0.5))</f>
        <v/>
      </c>
      <c r="AT949" s="82">
        <f>($J949-$C949)*100</f>
        <v/>
      </c>
      <c r="AU949" s="82">
        <f>($H949-$F949)*100</f>
        <v/>
      </c>
      <c r="AV949" s="82">
        <f>($J949-$F949)*100</f>
        <v/>
      </c>
      <c r="AW949" s="82">
        <f>($L949-$F949)*100</f>
        <v/>
      </c>
      <c r="AX949" s="82">
        <f>($J949-$H949)*100</f>
        <v/>
      </c>
      <c r="AY949" s="82">
        <f>($L949-$H949)*100</f>
        <v/>
      </c>
      <c r="AZ949" s="82">
        <f>($L949-$J949)*100</f>
        <v/>
      </c>
      <c r="BA949" s="82">
        <f>(2*$H949-$F949-$J949)*100</f>
        <v/>
      </c>
      <c r="BB949" s="82">
        <f>(2*$J949-$H949-$L949)*100</f>
        <v/>
      </c>
      <c r="BC949" s="82">
        <f>($N949-$F949)*100</f>
        <v/>
      </c>
      <c r="BD949" s="82">
        <f>($Q949-$H949)*100</f>
        <v/>
      </c>
      <c r="BE949" s="82">
        <f>($S949-$J949)*100</f>
        <v/>
      </c>
      <c r="BF949" s="82">
        <f>($V949-$L949)*100</f>
        <v/>
      </c>
      <c r="BG949" s="82">
        <f>$AG949-$AF949</f>
        <v/>
      </c>
      <c r="BH949" s="81">
        <f>IFERROR($AG949/$AF949,"")</f>
        <v/>
      </c>
      <c r="BI949" s="82">
        <f>$AJ949-$AF949</f>
        <v/>
      </c>
      <c r="BJ949" s="81">
        <f>IFERROR($AJ949/$AG949,"")</f>
        <v/>
      </c>
      <c r="BK949" s="81">
        <f>$X949</f>
        <v/>
      </c>
      <c r="BL949" s="82">
        <f>($J949-$J950)*100</f>
        <v/>
      </c>
      <c r="BM949" s="82">
        <f>($F949-$F950)*100</f>
        <v/>
      </c>
      <c r="BN949" s="82">
        <f>$AF949-$AF950</f>
        <v/>
      </c>
      <c r="BO949" s="82">
        <f>$AG949-$AG950</f>
        <v/>
      </c>
      <c r="BP949" s="82">
        <f>$AJ949-$AJ950</f>
        <v/>
      </c>
    </row>
    <row r="950">
      <c r="AR950" s="81">
        <f>($G950+($H950-$G950)*0.5)+($P950-($O950+($Q950-$O950)*0.5))</f>
        <v/>
      </c>
      <c r="AS950" s="81">
        <f>($J950+($K950-$J950)*0.5)+($T950-($S950+($U950-$S950)*0.5))</f>
        <v/>
      </c>
      <c r="AT950" s="82">
        <f>($J950-$C950)*100</f>
        <v/>
      </c>
      <c r="AU950" s="82">
        <f>($H950-$F950)*100</f>
        <v/>
      </c>
      <c r="AV950" s="82">
        <f>($J950-$F950)*100</f>
        <v/>
      </c>
      <c r="AW950" s="82">
        <f>($L950-$F950)*100</f>
        <v/>
      </c>
      <c r="AX950" s="82">
        <f>($J950-$H950)*100</f>
        <v/>
      </c>
      <c r="AY950" s="82">
        <f>($L950-$H950)*100</f>
        <v/>
      </c>
      <c r="AZ950" s="82">
        <f>($L950-$J950)*100</f>
        <v/>
      </c>
      <c r="BA950" s="82">
        <f>(2*$H950-$F950-$J950)*100</f>
        <v/>
      </c>
      <c r="BB950" s="82">
        <f>(2*$J950-$H950-$L950)*100</f>
        <v/>
      </c>
      <c r="BC950" s="82">
        <f>($N950-$F950)*100</f>
        <v/>
      </c>
      <c r="BD950" s="82">
        <f>($Q950-$H950)*100</f>
        <v/>
      </c>
      <c r="BE950" s="82">
        <f>($S950-$J950)*100</f>
        <v/>
      </c>
      <c r="BF950" s="82">
        <f>($V950-$L950)*100</f>
        <v/>
      </c>
      <c r="BG950" s="82">
        <f>$AG950-$AF950</f>
        <v/>
      </c>
      <c r="BH950" s="81">
        <f>IFERROR($AG950/$AF950,"")</f>
        <v/>
      </c>
      <c r="BI950" s="82">
        <f>$AJ950-$AF950</f>
        <v/>
      </c>
      <c r="BJ950" s="81">
        <f>IFERROR($AJ950/$AG950,"")</f>
        <v/>
      </c>
      <c r="BK950" s="81">
        <f>$X950</f>
        <v/>
      </c>
      <c r="BL950" s="82">
        <f>($J950-$J951)*100</f>
        <v/>
      </c>
      <c r="BM950" s="82">
        <f>($F950-$F951)*100</f>
        <v/>
      </c>
      <c r="BN950" s="82">
        <f>$AF950-$AF951</f>
        <v/>
      </c>
      <c r="BO950" s="82">
        <f>$AG950-$AG951</f>
        <v/>
      </c>
      <c r="BP950" s="82">
        <f>$AJ950-$AJ951</f>
        <v/>
      </c>
    </row>
    <row r="951">
      <c r="AR951" s="81">
        <f>($G951+($H951-$G951)*0.5)+($P951-($O951+($Q951-$O951)*0.5))</f>
        <v/>
      </c>
      <c r="AS951" s="81">
        <f>($J951+($K951-$J951)*0.5)+($T951-($S951+($U951-$S951)*0.5))</f>
        <v/>
      </c>
      <c r="AT951" s="82">
        <f>($J951-$C951)*100</f>
        <v/>
      </c>
      <c r="AU951" s="82">
        <f>($H951-$F951)*100</f>
        <v/>
      </c>
      <c r="AV951" s="82">
        <f>($J951-$F951)*100</f>
        <v/>
      </c>
      <c r="AW951" s="82">
        <f>($L951-$F951)*100</f>
        <v/>
      </c>
      <c r="AX951" s="82">
        <f>($J951-$H951)*100</f>
        <v/>
      </c>
      <c r="AY951" s="82">
        <f>($L951-$H951)*100</f>
        <v/>
      </c>
      <c r="AZ951" s="82">
        <f>($L951-$J951)*100</f>
        <v/>
      </c>
      <c r="BA951" s="82">
        <f>(2*$H951-$F951-$J951)*100</f>
        <v/>
      </c>
      <c r="BB951" s="82">
        <f>(2*$J951-$H951-$L951)*100</f>
        <v/>
      </c>
      <c r="BC951" s="82">
        <f>($N951-$F951)*100</f>
        <v/>
      </c>
      <c r="BD951" s="82">
        <f>($Q951-$H951)*100</f>
        <v/>
      </c>
      <c r="BE951" s="82">
        <f>($S951-$J951)*100</f>
        <v/>
      </c>
      <c r="BF951" s="82">
        <f>($V951-$L951)*100</f>
        <v/>
      </c>
      <c r="BG951" s="82">
        <f>$AG951-$AF951</f>
        <v/>
      </c>
      <c r="BH951" s="81">
        <f>IFERROR($AG951/$AF951,"")</f>
        <v/>
      </c>
      <c r="BI951" s="82">
        <f>$AJ951-$AF951</f>
        <v/>
      </c>
      <c r="BJ951" s="81">
        <f>IFERROR($AJ951/$AG951,"")</f>
        <v/>
      </c>
      <c r="BK951" s="81">
        <f>$X951</f>
        <v/>
      </c>
      <c r="BL951" s="82">
        <f>($J951-$J952)*100</f>
        <v/>
      </c>
      <c r="BM951" s="82">
        <f>($F951-$F952)*100</f>
        <v/>
      </c>
      <c r="BN951" s="82">
        <f>$AF951-$AF952</f>
        <v/>
      </c>
      <c r="BO951" s="82">
        <f>$AG951-$AG952</f>
        <v/>
      </c>
      <c r="BP951" s="82">
        <f>$AJ951-$AJ952</f>
        <v/>
      </c>
    </row>
    <row r="952">
      <c r="AR952" s="81">
        <f>($G952+($H952-$G952)*0.5)+($P952-($O952+($Q952-$O952)*0.5))</f>
        <v/>
      </c>
      <c r="AS952" s="81">
        <f>($J952+($K952-$J952)*0.5)+($T952-($S952+($U952-$S952)*0.5))</f>
        <v/>
      </c>
      <c r="AT952" s="82">
        <f>($J952-$C952)*100</f>
        <v/>
      </c>
      <c r="AU952" s="82">
        <f>($H952-$F952)*100</f>
        <v/>
      </c>
      <c r="AV952" s="82">
        <f>($J952-$F952)*100</f>
        <v/>
      </c>
      <c r="AW952" s="82">
        <f>($L952-$F952)*100</f>
        <v/>
      </c>
      <c r="AX952" s="82">
        <f>($J952-$H952)*100</f>
        <v/>
      </c>
      <c r="AY952" s="82">
        <f>($L952-$H952)*100</f>
        <v/>
      </c>
      <c r="AZ952" s="82">
        <f>($L952-$J952)*100</f>
        <v/>
      </c>
      <c r="BA952" s="82">
        <f>(2*$H952-$F952-$J952)*100</f>
        <v/>
      </c>
      <c r="BB952" s="82">
        <f>(2*$J952-$H952-$L952)*100</f>
        <v/>
      </c>
      <c r="BC952" s="82">
        <f>($N952-$F952)*100</f>
        <v/>
      </c>
      <c r="BD952" s="82">
        <f>($Q952-$H952)*100</f>
        <v/>
      </c>
      <c r="BE952" s="82">
        <f>($S952-$J952)*100</f>
        <v/>
      </c>
      <c r="BF952" s="82">
        <f>($V952-$L952)*100</f>
        <v/>
      </c>
      <c r="BG952" s="82">
        <f>$AG952-$AF952</f>
        <v/>
      </c>
      <c r="BH952" s="81">
        <f>IFERROR($AG952/$AF952,"")</f>
        <v/>
      </c>
      <c r="BI952" s="82">
        <f>$AJ952-$AF952</f>
        <v/>
      </c>
      <c r="BJ952" s="81">
        <f>IFERROR($AJ952/$AG952,"")</f>
        <v/>
      </c>
      <c r="BK952" s="81">
        <f>$X952</f>
        <v/>
      </c>
      <c r="BL952" s="82">
        <f>($J952-$J953)*100</f>
        <v/>
      </c>
      <c r="BM952" s="82">
        <f>($F952-$F953)*100</f>
        <v/>
      </c>
      <c r="BN952" s="82">
        <f>$AF952-$AF953</f>
        <v/>
      </c>
      <c r="BO952" s="82">
        <f>$AG952-$AG953</f>
        <v/>
      </c>
      <c r="BP952" s="82">
        <f>$AJ952-$AJ953</f>
        <v/>
      </c>
    </row>
    <row r="953">
      <c r="AR953" s="81">
        <f>($G953+($H953-$G953)*0.5)+($P953-($O953+($Q953-$O953)*0.5))</f>
        <v/>
      </c>
      <c r="AS953" s="81">
        <f>($J953+($K953-$J953)*0.5)+($T953-($S953+($U953-$S953)*0.5))</f>
        <v/>
      </c>
      <c r="AT953" s="82">
        <f>($J953-$C953)*100</f>
        <v/>
      </c>
      <c r="AU953" s="82">
        <f>($H953-$F953)*100</f>
        <v/>
      </c>
      <c r="AV953" s="82">
        <f>($J953-$F953)*100</f>
        <v/>
      </c>
      <c r="AW953" s="82">
        <f>($L953-$F953)*100</f>
        <v/>
      </c>
      <c r="AX953" s="82">
        <f>($J953-$H953)*100</f>
        <v/>
      </c>
      <c r="AY953" s="82">
        <f>($L953-$H953)*100</f>
        <v/>
      </c>
      <c r="AZ953" s="82">
        <f>($L953-$J953)*100</f>
        <v/>
      </c>
      <c r="BA953" s="82">
        <f>(2*$H953-$F953-$J953)*100</f>
        <v/>
      </c>
      <c r="BB953" s="82">
        <f>(2*$J953-$H953-$L953)*100</f>
        <v/>
      </c>
      <c r="BC953" s="82">
        <f>($N953-$F953)*100</f>
        <v/>
      </c>
      <c r="BD953" s="82">
        <f>($Q953-$H953)*100</f>
        <v/>
      </c>
      <c r="BE953" s="82">
        <f>($S953-$J953)*100</f>
        <v/>
      </c>
      <c r="BF953" s="82">
        <f>($V953-$L953)*100</f>
        <v/>
      </c>
      <c r="BG953" s="82">
        <f>$AG953-$AF953</f>
        <v/>
      </c>
      <c r="BH953" s="81">
        <f>IFERROR($AG953/$AF953,"")</f>
        <v/>
      </c>
      <c r="BI953" s="82">
        <f>$AJ953-$AF953</f>
        <v/>
      </c>
      <c r="BJ953" s="81">
        <f>IFERROR($AJ953/$AG953,"")</f>
        <v/>
      </c>
      <c r="BK953" s="81">
        <f>$X953</f>
        <v/>
      </c>
      <c r="BL953" s="82">
        <f>($J953-$J954)*100</f>
        <v/>
      </c>
      <c r="BM953" s="82">
        <f>($F953-$F954)*100</f>
        <v/>
      </c>
      <c r="BN953" s="82">
        <f>$AF953-$AF954</f>
        <v/>
      </c>
      <c r="BO953" s="82">
        <f>$AG953-$AG954</f>
        <v/>
      </c>
      <c r="BP953" s="82">
        <f>$AJ953-$AJ954</f>
        <v/>
      </c>
    </row>
    <row r="954">
      <c r="AR954" s="81">
        <f>($G954+($H954-$G954)*0.5)+($P954-($O954+($Q954-$O954)*0.5))</f>
        <v/>
      </c>
      <c r="AS954" s="81">
        <f>($J954+($K954-$J954)*0.5)+($T954-($S954+($U954-$S954)*0.5))</f>
        <v/>
      </c>
      <c r="AT954" s="82">
        <f>($J954-$C954)*100</f>
        <v/>
      </c>
      <c r="AU954" s="82">
        <f>($H954-$F954)*100</f>
        <v/>
      </c>
      <c r="AV954" s="82">
        <f>($J954-$F954)*100</f>
        <v/>
      </c>
      <c r="AW954" s="82">
        <f>($L954-$F954)*100</f>
        <v/>
      </c>
      <c r="AX954" s="82">
        <f>($J954-$H954)*100</f>
        <v/>
      </c>
      <c r="AY954" s="82">
        <f>($L954-$H954)*100</f>
        <v/>
      </c>
      <c r="AZ954" s="82">
        <f>($L954-$J954)*100</f>
        <v/>
      </c>
      <c r="BA954" s="82">
        <f>(2*$H954-$F954-$J954)*100</f>
        <v/>
      </c>
      <c r="BB954" s="82">
        <f>(2*$J954-$H954-$L954)*100</f>
        <v/>
      </c>
      <c r="BC954" s="82">
        <f>($N954-$F954)*100</f>
        <v/>
      </c>
      <c r="BD954" s="82">
        <f>($Q954-$H954)*100</f>
        <v/>
      </c>
      <c r="BE954" s="82">
        <f>($S954-$J954)*100</f>
        <v/>
      </c>
      <c r="BF954" s="82">
        <f>($V954-$L954)*100</f>
        <v/>
      </c>
      <c r="BG954" s="82">
        <f>$AG954-$AF954</f>
        <v/>
      </c>
      <c r="BH954" s="81">
        <f>IFERROR($AG954/$AF954,"")</f>
        <v/>
      </c>
      <c r="BI954" s="82">
        <f>$AJ954-$AF954</f>
        <v/>
      </c>
      <c r="BJ954" s="81">
        <f>IFERROR($AJ954/$AG954,"")</f>
        <v/>
      </c>
      <c r="BK954" s="81">
        <f>$X954</f>
        <v/>
      </c>
      <c r="BL954" s="82">
        <f>($J954-$J955)*100</f>
        <v/>
      </c>
      <c r="BM954" s="82">
        <f>($F954-$F955)*100</f>
        <v/>
      </c>
      <c r="BN954" s="82">
        <f>$AF954-$AF955</f>
        <v/>
      </c>
      <c r="BO954" s="82">
        <f>$AG954-$AG955</f>
        <v/>
      </c>
      <c r="BP954" s="82">
        <f>$AJ954-$AJ955</f>
        <v/>
      </c>
    </row>
    <row r="955">
      <c r="AR955" s="81">
        <f>($G955+($H955-$G955)*0.5)+($P955-($O955+($Q955-$O955)*0.5))</f>
        <v/>
      </c>
      <c r="AS955" s="81">
        <f>($J955+($K955-$J955)*0.5)+($T955-($S955+($U955-$S955)*0.5))</f>
        <v/>
      </c>
      <c r="AT955" s="82">
        <f>($J955-$C955)*100</f>
        <v/>
      </c>
      <c r="AU955" s="82">
        <f>($H955-$F955)*100</f>
        <v/>
      </c>
      <c r="AV955" s="82">
        <f>($J955-$F955)*100</f>
        <v/>
      </c>
      <c r="AW955" s="82">
        <f>($L955-$F955)*100</f>
        <v/>
      </c>
      <c r="AX955" s="82">
        <f>($J955-$H955)*100</f>
        <v/>
      </c>
      <c r="AY955" s="82">
        <f>($L955-$H955)*100</f>
        <v/>
      </c>
      <c r="AZ955" s="82">
        <f>($L955-$J955)*100</f>
        <v/>
      </c>
      <c r="BA955" s="82">
        <f>(2*$H955-$F955-$J955)*100</f>
        <v/>
      </c>
      <c r="BB955" s="82">
        <f>(2*$J955-$H955-$L955)*100</f>
        <v/>
      </c>
      <c r="BC955" s="82">
        <f>($N955-$F955)*100</f>
        <v/>
      </c>
      <c r="BD955" s="82">
        <f>($Q955-$H955)*100</f>
        <v/>
      </c>
      <c r="BE955" s="82">
        <f>($S955-$J955)*100</f>
        <v/>
      </c>
      <c r="BF955" s="82">
        <f>($V955-$L955)*100</f>
        <v/>
      </c>
      <c r="BG955" s="82">
        <f>$AG955-$AF955</f>
        <v/>
      </c>
      <c r="BH955" s="81">
        <f>IFERROR($AG955/$AF955,"")</f>
        <v/>
      </c>
      <c r="BI955" s="82">
        <f>$AJ955-$AF955</f>
        <v/>
      </c>
      <c r="BJ955" s="81">
        <f>IFERROR($AJ955/$AG955,"")</f>
        <v/>
      </c>
      <c r="BK955" s="81">
        <f>$X955</f>
        <v/>
      </c>
      <c r="BL955" s="82">
        <f>($J955-$J956)*100</f>
        <v/>
      </c>
      <c r="BM955" s="82">
        <f>($F955-$F956)*100</f>
        <v/>
      </c>
      <c r="BN955" s="82">
        <f>$AF955-$AF956</f>
        <v/>
      </c>
      <c r="BO955" s="82">
        <f>$AG955-$AG956</f>
        <v/>
      </c>
      <c r="BP955" s="82">
        <f>$AJ955-$AJ956</f>
        <v/>
      </c>
    </row>
    <row r="956">
      <c r="AR956" s="81">
        <f>($G956+($H956-$G956)*0.5)+($P956-($O956+($Q956-$O956)*0.5))</f>
        <v/>
      </c>
      <c r="AS956" s="81">
        <f>($J956+($K956-$J956)*0.5)+($T956-($S956+($U956-$S956)*0.5))</f>
        <v/>
      </c>
      <c r="AT956" s="82">
        <f>($J956-$C956)*100</f>
        <v/>
      </c>
      <c r="AU956" s="82">
        <f>($H956-$F956)*100</f>
        <v/>
      </c>
      <c r="AV956" s="82">
        <f>($J956-$F956)*100</f>
        <v/>
      </c>
      <c r="AW956" s="82">
        <f>($L956-$F956)*100</f>
        <v/>
      </c>
      <c r="AX956" s="82">
        <f>($J956-$H956)*100</f>
        <v/>
      </c>
      <c r="AY956" s="82">
        <f>($L956-$H956)*100</f>
        <v/>
      </c>
      <c r="AZ956" s="82">
        <f>($L956-$J956)*100</f>
        <v/>
      </c>
      <c r="BA956" s="82">
        <f>(2*$H956-$F956-$J956)*100</f>
        <v/>
      </c>
      <c r="BB956" s="82">
        <f>(2*$J956-$H956-$L956)*100</f>
        <v/>
      </c>
      <c r="BC956" s="82">
        <f>($N956-$F956)*100</f>
        <v/>
      </c>
      <c r="BD956" s="82">
        <f>($Q956-$H956)*100</f>
        <v/>
      </c>
      <c r="BE956" s="82">
        <f>($S956-$J956)*100</f>
        <v/>
      </c>
      <c r="BF956" s="82">
        <f>($V956-$L956)*100</f>
        <v/>
      </c>
      <c r="BG956" s="82">
        <f>$AG956-$AF956</f>
        <v/>
      </c>
      <c r="BH956" s="81">
        <f>IFERROR($AG956/$AF956,"")</f>
        <v/>
      </c>
      <c r="BI956" s="82">
        <f>$AJ956-$AF956</f>
        <v/>
      </c>
      <c r="BJ956" s="81">
        <f>IFERROR($AJ956/$AG956,"")</f>
        <v/>
      </c>
      <c r="BK956" s="81">
        <f>$X956</f>
        <v/>
      </c>
      <c r="BL956" s="82">
        <f>($J956-$J957)*100</f>
        <v/>
      </c>
      <c r="BM956" s="82">
        <f>($F956-$F957)*100</f>
        <v/>
      </c>
      <c r="BN956" s="82">
        <f>$AF956-$AF957</f>
        <v/>
      </c>
      <c r="BO956" s="82">
        <f>$AG956-$AG957</f>
        <v/>
      </c>
      <c r="BP956" s="82">
        <f>$AJ956-$AJ957</f>
        <v/>
      </c>
    </row>
    <row r="957">
      <c r="AR957" s="81">
        <f>($G957+($H957-$G957)*0.5)+($P957-($O957+($Q957-$O957)*0.5))</f>
        <v/>
      </c>
      <c r="AS957" s="81">
        <f>($J957+($K957-$J957)*0.5)+($T957-($S957+($U957-$S957)*0.5))</f>
        <v/>
      </c>
      <c r="AT957" s="82">
        <f>($J957-$C957)*100</f>
        <v/>
      </c>
      <c r="AU957" s="82">
        <f>($H957-$F957)*100</f>
        <v/>
      </c>
      <c r="AV957" s="82">
        <f>($J957-$F957)*100</f>
        <v/>
      </c>
      <c r="AW957" s="82">
        <f>($L957-$F957)*100</f>
        <v/>
      </c>
      <c r="AX957" s="82">
        <f>($J957-$H957)*100</f>
        <v/>
      </c>
      <c r="AY957" s="82">
        <f>($L957-$H957)*100</f>
        <v/>
      </c>
      <c r="AZ957" s="82">
        <f>($L957-$J957)*100</f>
        <v/>
      </c>
      <c r="BA957" s="82">
        <f>(2*$H957-$F957-$J957)*100</f>
        <v/>
      </c>
      <c r="BB957" s="82">
        <f>(2*$J957-$H957-$L957)*100</f>
        <v/>
      </c>
      <c r="BC957" s="82">
        <f>($N957-$F957)*100</f>
        <v/>
      </c>
      <c r="BD957" s="82">
        <f>($Q957-$H957)*100</f>
        <v/>
      </c>
      <c r="BE957" s="82">
        <f>($S957-$J957)*100</f>
        <v/>
      </c>
      <c r="BF957" s="82">
        <f>($V957-$L957)*100</f>
        <v/>
      </c>
      <c r="BG957" s="82">
        <f>$AG957-$AF957</f>
        <v/>
      </c>
      <c r="BH957" s="81">
        <f>IFERROR($AG957/$AF957,"")</f>
        <v/>
      </c>
      <c r="BI957" s="82">
        <f>$AJ957-$AF957</f>
        <v/>
      </c>
      <c r="BJ957" s="81">
        <f>IFERROR($AJ957/$AG957,"")</f>
        <v/>
      </c>
      <c r="BK957" s="81">
        <f>$X957</f>
        <v/>
      </c>
      <c r="BL957" s="82">
        <f>($J957-$J958)*100</f>
        <v/>
      </c>
      <c r="BM957" s="82">
        <f>($F957-$F958)*100</f>
        <v/>
      </c>
      <c r="BN957" s="82">
        <f>$AF957-$AF958</f>
        <v/>
      </c>
      <c r="BO957" s="82">
        <f>$AG957-$AG958</f>
        <v/>
      </c>
      <c r="BP957" s="82">
        <f>$AJ957-$AJ958</f>
        <v/>
      </c>
    </row>
    <row r="958">
      <c r="AR958" s="81">
        <f>($G958+($H958-$G958)*0.5)+($P958-($O958+($Q958-$O958)*0.5))</f>
        <v/>
      </c>
      <c r="AS958" s="81">
        <f>($J958+($K958-$J958)*0.5)+($T958-($S958+($U958-$S958)*0.5))</f>
        <v/>
      </c>
      <c r="AT958" s="82">
        <f>($J958-$C958)*100</f>
        <v/>
      </c>
      <c r="AU958" s="82">
        <f>($H958-$F958)*100</f>
        <v/>
      </c>
      <c r="AV958" s="82">
        <f>($J958-$F958)*100</f>
        <v/>
      </c>
      <c r="AW958" s="82">
        <f>($L958-$F958)*100</f>
        <v/>
      </c>
      <c r="AX958" s="82">
        <f>($J958-$H958)*100</f>
        <v/>
      </c>
      <c r="AY958" s="82">
        <f>($L958-$H958)*100</f>
        <v/>
      </c>
      <c r="AZ958" s="82">
        <f>($L958-$J958)*100</f>
        <v/>
      </c>
      <c r="BA958" s="82">
        <f>(2*$H958-$F958-$J958)*100</f>
        <v/>
      </c>
      <c r="BB958" s="82">
        <f>(2*$J958-$H958-$L958)*100</f>
        <v/>
      </c>
      <c r="BC958" s="82">
        <f>($N958-$F958)*100</f>
        <v/>
      </c>
      <c r="BD958" s="82">
        <f>($Q958-$H958)*100</f>
        <v/>
      </c>
      <c r="BE958" s="82">
        <f>($S958-$J958)*100</f>
        <v/>
      </c>
      <c r="BF958" s="82">
        <f>($V958-$L958)*100</f>
        <v/>
      </c>
      <c r="BG958" s="82">
        <f>$AG958-$AF958</f>
        <v/>
      </c>
      <c r="BH958" s="81">
        <f>IFERROR($AG958/$AF958,"")</f>
        <v/>
      </c>
      <c r="BI958" s="82">
        <f>$AJ958-$AF958</f>
        <v/>
      </c>
      <c r="BJ958" s="81">
        <f>IFERROR($AJ958/$AG958,"")</f>
        <v/>
      </c>
      <c r="BK958" s="81">
        <f>$X958</f>
        <v/>
      </c>
      <c r="BL958" s="82">
        <f>($J958-$J959)*100</f>
        <v/>
      </c>
      <c r="BM958" s="82">
        <f>($F958-$F959)*100</f>
        <v/>
      </c>
      <c r="BN958" s="82">
        <f>$AF958-$AF959</f>
        <v/>
      </c>
      <c r="BO958" s="82">
        <f>$AG958-$AG959</f>
        <v/>
      </c>
      <c r="BP958" s="82">
        <f>$AJ958-$AJ959</f>
        <v/>
      </c>
    </row>
    <row r="959">
      <c r="AR959" s="81">
        <f>($G959+($H959-$G959)*0.5)+($P959-($O959+($Q959-$O959)*0.5))</f>
        <v/>
      </c>
      <c r="AS959" s="81">
        <f>($J959+($K959-$J959)*0.5)+($T959-($S959+($U959-$S959)*0.5))</f>
        <v/>
      </c>
      <c r="AT959" s="82">
        <f>($J959-$C959)*100</f>
        <v/>
      </c>
      <c r="AU959" s="82">
        <f>($H959-$F959)*100</f>
        <v/>
      </c>
      <c r="AV959" s="82">
        <f>($J959-$F959)*100</f>
        <v/>
      </c>
      <c r="AW959" s="82">
        <f>($L959-$F959)*100</f>
        <v/>
      </c>
      <c r="AX959" s="82">
        <f>($J959-$H959)*100</f>
        <v/>
      </c>
      <c r="AY959" s="82">
        <f>($L959-$H959)*100</f>
        <v/>
      </c>
      <c r="AZ959" s="82">
        <f>($L959-$J959)*100</f>
        <v/>
      </c>
      <c r="BA959" s="82">
        <f>(2*$H959-$F959-$J959)*100</f>
        <v/>
      </c>
      <c r="BB959" s="82">
        <f>(2*$J959-$H959-$L959)*100</f>
        <v/>
      </c>
      <c r="BC959" s="82">
        <f>($N959-$F959)*100</f>
        <v/>
      </c>
      <c r="BD959" s="82">
        <f>($Q959-$H959)*100</f>
        <v/>
      </c>
      <c r="BE959" s="82">
        <f>($S959-$J959)*100</f>
        <v/>
      </c>
      <c r="BF959" s="82">
        <f>($V959-$L959)*100</f>
        <v/>
      </c>
      <c r="BG959" s="82">
        <f>$AG959-$AF959</f>
        <v/>
      </c>
      <c r="BH959" s="81">
        <f>IFERROR($AG959/$AF959,"")</f>
        <v/>
      </c>
      <c r="BI959" s="82">
        <f>$AJ959-$AF959</f>
        <v/>
      </c>
      <c r="BJ959" s="81">
        <f>IFERROR($AJ959/$AG959,"")</f>
        <v/>
      </c>
      <c r="BK959" s="81">
        <f>$X959</f>
        <v/>
      </c>
      <c r="BL959" s="82">
        <f>($J959-$J960)*100</f>
        <v/>
      </c>
      <c r="BM959" s="82">
        <f>($F959-$F960)*100</f>
        <v/>
      </c>
      <c r="BN959" s="82">
        <f>$AF959-$AF960</f>
        <v/>
      </c>
      <c r="BO959" s="82">
        <f>$AG959-$AG960</f>
        <v/>
      </c>
      <c r="BP959" s="82">
        <f>$AJ959-$AJ960</f>
        <v/>
      </c>
    </row>
    <row r="960">
      <c r="AR960" s="81">
        <f>($G960+($H960-$G960)*0.5)+($P960-($O960+($Q960-$O960)*0.5))</f>
        <v/>
      </c>
      <c r="AS960" s="81">
        <f>($J960+($K960-$J960)*0.5)+($T960-($S960+($U960-$S960)*0.5))</f>
        <v/>
      </c>
      <c r="AT960" s="82">
        <f>($J960-$C960)*100</f>
        <v/>
      </c>
      <c r="AU960" s="82">
        <f>($H960-$F960)*100</f>
        <v/>
      </c>
      <c r="AV960" s="82">
        <f>($J960-$F960)*100</f>
        <v/>
      </c>
      <c r="AW960" s="82">
        <f>($L960-$F960)*100</f>
        <v/>
      </c>
      <c r="AX960" s="82">
        <f>($J960-$H960)*100</f>
        <v/>
      </c>
      <c r="AY960" s="82">
        <f>($L960-$H960)*100</f>
        <v/>
      </c>
      <c r="AZ960" s="82">
        <f>($L960-$J960)*100</f>
        <v/>
      </c>
      <c r="BA960" s="82">
        <f>(2*$H960-$F960-$J960)*100</f>
        <v/>
      </c>
      <c r="BB960" s="82">
        <f>(2*$J960-$H960-$L960)*100</f>
        <v/>
      </c>
      <c r="BC960" s="82">
        <f>($N960-$F960)*100</f>
        <v/>
      </c>
      <c r="BD960" s="82">
        <f>($Q960-$H960)*100</f>
        <v/>
      </c>
      <c r="BE960" s="82">
        <f>($S960-$J960)*100</f>
        <v/>
      </c>
      <c r="BF960" s="82">
        <f>($V960-$L960)*100</f>
        <v/>
      </c>
      <c r="BG960" s="82">
        <f>$AG960-$AF960</f>
        <v/>
      </c>
      <c r="BH960" s="81">
        <f>IFERROR($AG960/$AF960,"")</f>
        <v/>
      </c>
      <c r="BI960" s="82">
        <f>$AJ960-$AF960</f>
        <v/>
      </c>
      <c r="BJ960" s="81">
        <f>IFERROR($AJ960/$AG960,"")</f>
        <v/>
      </c>
      <c r="BK960" s="81">
        <f>$X960</f>
        <v/>
      </c>
      <c r="BL960" s="82">
        <f>($J960-$J961)*100</f>
        <v/>
      </c>
      <c r="BM960" s="82">
        <f>($F960-$F961)*100</f>
        <v/>
      </c>
      <c r="BN960" s="82">
        <f>$AF960-$AF961</f>
        <v/>
      </c>
      <c r="BO960" s="82">
        <f>$AG960-$AG961</f>
        <v/>
      </c>
      <c r="BP960" s="82">
        <f>$AJ960-$AJ961</f>
        <v/>
      </c>
    </row>
    <row r="961">
      <c r="AR961" s="81">
        <f>($G961+($H961-$G961)*0.5)+($P961-($O961+($Q961-$O961)*0.5))</f>
        <v/>
      </c>
      <c r="AS961" s="81">
        <f>($J961+($K961-$J961)*0.5)+($T961-($S961+($U961-$S961)*0.5))</f>
        <v/>
      </c>
      <c r="AT961" s="82">
        <f>($J961-$C961)*100</f>
        <v/>
      </c>
      <c r="AU961" s="82">
        <f>($H961-$F961)*100</f>
        <v/>
      </c>
      <c r="AV961" s="82">
        <f>($J961-$F961)*100</f>
        <v/>
      </c>
      <c r="AW961" s="82">
        <f>($L961-$F961)*100</f>
        <v/>
      </c>
      <c r="AX961" s="82">
        <f>($J961-$H961)*100</f>
        <v/>
      </c>
      <c r="AY961" s="82">
        <f>($L961-$H961)*100</f>
        <v/>
      </c>
      <c r="AZ961" s="82">
        <f>($L961-$J961)*100</f>
        <v/>
      </c>
      <c r="BA961" s="82">
        <f>(2*$H961-$F961-$J961)*100</f>
        <v/>
      </c>
      <c r="BB961" s="82">
        <f>(2*$J961-$H961-$L961)*100</f>
        <v/>
      </c>
      <c r="BC961" s="82">
        <f>($N961-$F961)*100</f>
        <v/>
      </c>
      <c r="BD961" s="82">
        <f>($Q961-$H961)*100</f>
        <v/>
      </c>
      <c r="BE961" s="82">
        <f>($S961-$J961)*100</f>
        <v/>
      </c>
      <c r="BF961" s="82">
        <f>($V961-$L961)*100</f>
        <v/>
      </c>
      <c r="BG961" s="82">
        <f>$AG961-$AF961</f>
        <v/>
      </c>
      <c r="BH961" s="81">
        <f>IFERROR($AG961/$AF961,"")</f>
        <v/>
      </c>
      <c r="BI961" s="82">
        <f>$AJ961-$AF961</f>
        <v/>
      </c>
      <c r="BJ961" s="81">
        <f>IFERROR($AJ961/$AG961,"")</f>
        <v/>
      </c>
      <c r="BK961" s="81">
        <f>$X961</f>
        <v/>
      </c>
      <c r="BL961" s="82">
        <f>($J961-$J962)*100</f>
        <v/>
      </c>
      <c r="BM961" s="82">
        <f>($F961-$F962)*100</f>
        <v/>
      </c>
      <c r="BN961" s="82">
        <f>$AF961-$AF962</f>
        <v/>
      </c>
      <c r="BO961" s="82">
        <f>$AG961-$AG962</f>
        <v/>
      </c>
      <c r="BP961" s="82">
        <f>$AJ961-$AJ962</f>
        <v/>
      </c>
    </row>
    <row r="962">
      <c r="AR962" s="81">
        <f>($G962+($H962-$G962)*0.5)+($P962-($O962+($Q962-$O962)*0.5))</f>
        <v/>
      </c>
      <c r="AS962" s="81">
        <f>($J962+($K962-$J962)*0.5)+($T962-($S962+($U962-$S962)*0.5))</f>
        <v/>
      </c>
      <c r="AT962" s="82">
        <f>($J962-$C962)*100</f>
        <v/>
      </c>
      <c r="AU962" s="82">
        <f>($H962-$F962)*100</f>
        <v/>
      </c>
      <c r="AV962" s="82">
        <f>($J962-$F962)*100</f>
        <v/>
      </c>
      <c r="AW962" s="82">
        <f>($L962-$F962)*100</f>
        <v/>
      </c>
      <c r="AX962" s="82">
        <f>($J962-$H962)*100</f>
        <v/>
      </c>
      <c r="AY962" s="82">
        <f>($L962-$H962)*100</f>
        <v/>
      </c>
      <c r="AZ962" s="82">
        <f>($L962-$J962)*100</f>
        <v/>
      </c>
      <c r="BA962" s="82">
        <f>(2*$H962-$F962-$J962)*100</f>
        <v/>
      </c>
      <c r="BB962" s="82">
        <f>(2*$J962-$H962-$L962)*100</f>
        <v/>
      </c>
      <c r="BC962" s="82">
        <f>($N962-$F962)*100</f>
        <v/>
      </c>
      <c r="BD962" s="82">
        <f>($Q962-$H962)*100</f>
        <v/>
      </c>
      <c r="BE962" s="82">
        <f>($S962-$J962)*100</f>
        <v/>
      </c>
      <c r="BF962" s="82">
        <f>($V962-$L962)*100</f>
        <v/>
      </c>
      <c r="BG962" s="82">
        <f>$AG962-$AF962</f>
        <v/>
      </c>
      <c r="BH962" s="81">
        <f>IFERROR($AG962/$AF962,"")</f>
        <v/>
      </c>
      <c r="BI962" s="82">
        <f>$AJ962-$AF962</f>
        <v/>
      </c>
      <c r="BJ962" s="81">
        <f>IFERROR($AJ962/$AG962,"")</f>
        <v/>
      </c>
      <c r="BK962" s="81">
        <f>$X962</f>
        <v/>
      </c>
      <c r="BL962" s="82">
        <f>($J962-$J963)*100</f>
        <v/>
      </c>
      <c r="BM962" s="82">
        <f>($F962-$F963)*100</f>
        <v/>
      </c>
      <c r="BN962" s="82">
        <f>$AF962-$AF963</f>
        <v/>
      </c>
      <c r="BO962" s="82">
        <f>$AG962-$AG963</f>
        <v/>
      </c>
      <c r="BP962" s="82">
        <f>$AJ962-$AJ963</f>
        <v/>
      </c>
    </row>
    <row r="963">
      <c r="AR963" s="81">
        <f>($G963+($H963-$G963)*0.5)+($P963-($O963+($Q963-$O963)*0.5))</f>
        <v/>
      </c>
      <c r="AS963" s="81">
        <f>($J963+($K963-$J963)*0.5)+($T963-($S963+($U963-$S963)*0.5))</f>
        <v/>
      </c>
      <c r="AT963" s="82">
        <f>($J963-$C963)*100</f>
        <v/>
      </c>
      <c r="AU963" s="82">
        <f>($H963-$F963)*100</f>
        <v/>
      </c>
      <c r="AV963" s="82">
        <f>($J963-$F963)*100</f>
        <v/>
      </c>
      <c r="AW963" s="82">
        <f>($L963-$F963)*100</f>
        <v/>
      </c>
      <c r="AX963" s="82">
        <f>($J963-$H963)*100</f>
        <v/>
      </c>
      <c r="AY963" s="82">
        <f>($L963-$H963)*100</f>
        <v/>
      </c>
      <c r="AZ963" s="82">
        <f>($L963-$J963)*100</f>
        <v/>
      </c>
      <c r="BA963" s="82">
        <f>(2*$H963-$F963-$J963)*100</f>
        <v/>
      </c>
      <c r="BB963" s="82">
        <f>(2*$J963-$H963-$L963)*100</f>
        <v/>
      </c>
      <c r="BC963" s="82">
        <f>($N963-$F963)*100</f>
        <v/>
      </c>
      <c r="BD963" s="82">
        <f>($Q963-$H963)*100</f>
        <v/>
      </c>
      <c r="BE963" s="82">
        <f>($S963-$J963)*100</f>
        <v/>
      </c>
      <c r="BF963" s="82">
        <f>($V963-$L963)*100</f>
        <v/>
      </c>
      <c r="BG963" s="82">
        <f>$AG963-$AF963</f>
        <v/>
      </c>
      <c r="BH963" s="81">
        <f>IFERROR($AG963/$AF963,"")</f>
        <v/>
      </c>
      <c r="BI963" s="82">
        <f>$AJ963-$AF963</f>
        <v/>
      </c>
      <c r="BJ963" s="81">
        <f>IFERROR($AJ963/$AG963,"")</f>
        <v/>
      </c>
      <c r="BK963" s="81">
        <f>$X963</f>
        <v/>
      </c>
      <c r="BL963" s="82">
        <f>($J963-$J964)*100</f>
        <v/>
      </c>
      <c r="BM963" s="82">
        <f>($F963-$F964)*100</f>
        <v/>
      </c>
      <c r="BN963" s="82">
        <f>$AF963-$AF964</f>
        <v/>
      </c>
      <c r="BO963" s="82">
        <f>$AG963-$AG964</f>
        <v/>
      </c>
      <c r="BP963" s="82">
        <f>$AJ963-$AJ964</f>
        <v/>
      </c>
    </row>
    <row r="964">
      <c r="AR964" s="81">
        <f>($G964+($H964-$G964)*0.5)+($P964-($O964+($Q964-$O964)*0.5))</f>
        <v/>
      </c>
      <c r="AS964" s="81">
        <f>($J964+($K964-$J964)*0.5)+($T964-($S964+($U964-$S964)*0.5))</f>
        <v/>
      </c>
      <c r="AT964" s="82">
        <f>($J964-$C964)*100</f>
        <v/>
      </c>
      <c r="AU964" s="82">
        <f>($H964-$F964)*100</f>
        <v/>
      </c>
      <c r="AV964" s="82">
        <f>($J964-$F964)*100</f>
        <v/>
      </c>
      <c r="AW964" s="82">
        <f>($L964-$F964)*100</f>
        <v/>
      </c>
      <c r="AX964" s="82">
        <f>($J964-$H964)*100</f>
        <v/>
      </c>
      <c r="AY964" s="82">
        <f>($L964-$H964)*100</f>
        <v/>
      </c>
      <c r="AZ964" s="82">
        <f>($L964-$J964)*100</f>
        <v/>
      </c>
      <c r="BA964" s="82">
        <f>(2*$H964-$F964-$J964)*100</f>
        <v/>
      </c>
      <c r="BB964" s="82">
        <f>(2*$J964-$H964-$L964)*100</f>
        <v/>
      </c>
      <c r="BC964" s="82">
        <f>($N964-$F964)*100</f>
        <v/>
      </c>
      <c r="BD964" s="82">
        <f>($Q964-$H964)*100</f>
        <v/>
      </c>
      <c r="BE964" s="82">
        <f>($S964-$J964)*100</f>
        <v/>
      </c>
      <c r="BF964" s="82">
        <f>($V964-$L964)*100</f>
        <v/>
      </c>
      <c r="BG964" s="82">
        <f>$AG964-$AF964</f>
        <v/>
      </c>
      <c r="BH964" s="81">
        <f>IFERROR($AG964/$AF964,"")</f>
        <v/>
      </c>
      <c r="BI964" s="82">
        <f>$AJ964-$AF964</f>
        <v/>
      </c>
      <c r="BJ964" s="81">
        <f>IFERROR($AJ964/$AG964,"")</f>
        <v/>
      </c>
      <c r="BK964" s="81">
        <f>$X964</f>
        <v/>
      </c>
      <c r="BL964" s="82">
        <f>($J964-$J965)*100</f>
        <v/>
      </c>
      <c r="BM964" s="82">
        <f>($F964-$F965)*100</f>
        <v/>
      </c>
      <c r="BN964" s="82">
        <f>$AF964-$AF965</f>
        <v/>
      </c>
      <c r="BO964" s="82">
        <f>$AG964-$AG965</f>
        <v/>
      </c>
      <c r="BP964" s="82">
        <f>$AJ964-$AJ965</f>
        <v/>
      </c>
    </row>
    <row r="965">
      <c r="AR965" s="81">
        <f>($G965+($H965-$G965)*0.5)+($P965-($O965+($Q965-$O965)*0.5))</f>
        <v/>
      </c>
      <c r="AS965" s="81">
        <f>($J965+($K965-$J965)*0.5)+($T965-($S965+($U965-$S965)*0.5))</f>
        <v/>
      </c>
      <c r="AT965" s="82">
        <f>($J965-$C965)*100</f>
        <v/>
      </c>
      <c r="AU965" s="82">
        <f>($H965-$F965)*100</f>
        <v/>
      </c>
      <c r="AV965" s="82">
        <f>($J965-$F965)*100</f>
        <v/>
      </c>
      <c r="AW965" s="82">
        <f>($L965-$F965)*100</f>
        <v/>
      </c>
      <c r="AX965" s="82">
        <f>($J965-$H965)*100</f>
        <v/>
      </c>
      <c r="AY965" s="82">
        <f>($L965-$H965)*100</f>
        <v/>
      </c>
      <c r="AZ965" s="82">
        <f>($L965-$J965)*100</f>
        <v/>
      </c>
      <c r="BA965" s="82">
        <f>(2*$H965-$F965-$J965)*100</f>
        <v/>
      </c>
      <c r="BB965" s="82">
        <f>(2*$J965-$H965-$L965)*100</f>
        <v/>
      </c>
      <c r="BC965" s="82">
        <f>($N965-$F965)*100</f>
        <v/>
      </c>
      <c r="BD965" s="82">
        <f>($Q965-$H965)*100</f>
        <v/>
      </c>
      <c r="BE965" s="82">
        <f>($S965-$J965)*100</f>
        <v/>
      </c>
      <c r="BF965" s="82">
        <f>($V965-$L965)*100</f>
        <v/>
      </c>
      <c r="BG965" s="82">
        <f>$AG965-$AF965</f>
        <v/>
      </c>
      <c r="BH965" s="81">
        <f>IFERROR($AG965/$AF965,"")</f>
        <v/>
      </c>
      <c r="BI965" s="82">
        <f>$AJ965-$AF965</f>
        <v/>
      </c>
      <c r="BJ965" s="81">
        <f>IFERROR($AJ965/$AG965,"")</f>
        <v/>
      </c>
      <c r="BK965" s="81">
        <f>$X965</f>
        <v/>
      </c>
      <c r="BL965" s="82">
        <f>($J965-$J966)*100</f>
        <v/>
      </c>
      <c r="BM965" s="82">
        <f>($F965-$F966)*100</f>
        <v/>
      </c>
      <c r="BN965" s="82">
        <f>$AF965-$AF966</f>
        <v/>
      </c>
      <c r="BO965" s="82">
        <f>$AG965-$AG966</f>
        <v/>
      </c>
      <c r="BP965" s="82">
        <f>$AJ965-$AJ966</f>
        <v/>
      </c>
    </row>
    <row r="966">
      <c r="AR966" s="81">
        <f>($G966+($H966-$G966)*0.5)+($P966-($O966+($Q966-$O966)*0.5))</f>
        <v/>
      </c>
      <c r="AS966" s="81">
        <f>($J966+($K966-$J966)*0.5)+($T966-($S966+($U966-$S966)*0.5))</f>
        <v/>
      </c>
      <c r="AT966" s="82">
        <f>($J966-$C966)*100</f>
        <v/>
      </c>
      <c r="AU966" s="82">
        <f>($H966-$F966)*100</f>
        <v/>
      </c>
      <c r="AV966" s="82">
        <f>($J966-$F966)*100</f>
        <v/>
      </c>
      <c r="AW966" s="82">
        <f>($L966-$F966)*100</f>
        <v/>
      </c>
      <c r="AX966" s="82">
        <f>($J966-$H966)*100</f>
        <v/>
      </c>
      <c r="AY966" s="82">
        <f>($L966-$H966)*100</f>
        <v/>
      </c>
      <c r="AZ966" s="82">
        <f>($L966-$J966)*100</f>
        <v/>
      </c>
      <c r="BA966" s="82">
        <f>(2*$H966-$F966-$J966)*100</f>
        <v/>
      </c>
      <c r="BB966" s="82">
        <f>(2*$J966-$H966-$L966)*100</f>
        <v/>
      </c>
      <c r="BC966" s="82">
        <f>($N966-$F966)*100</f>
        <v/>
      </c>
      <c r="BD966" s="82">
        <f>($Q966-$H966)*100</f>
        <v/>
      </c>
      <c r="BE966" s="82">
        <f>($S966-$J966)*100</f>
        <v/>
      </c>
      <c r="BF966" s="82">
        <f>($V966-$L966)*100</f>
        <v/>
      </c>
      <c r="BG966" s="82">
        <f>$AG966-$AF966</f>
        <v/>
      </c>
      <c r="BH966" s="81">
        <f>IFERROR($AG966/$AF966,"")</f>
        <v/>
      </c>
      <c r="BI966" s="82">
        <f>$AJ966-$AF966</f>
        <v/>
      </c>
      <c r="BJ966" s="81">
        <f>IFERROR($AJ966/$AG966,"")</f>
        <v/>
      </c>
      <c r="BK966" s="81">
        <f>$X966</f>
        <v/>
      </c>
      <c r="BL966" s="82">
        <f>($J966-$J967)*100</f>
        <v/>
      </c>
      <c r="BM966" s="82">
        <f>($F966-$F967)*100</f>
        <v/>
      </c>
      <c r="BN966" s="82">
        <f>$AF966-$AF967</f>
        <v/>
      </c>
      <c r="BO966" s="82">
        <f>$AG966-$AG967</f>
        <v/>
      </c>
      <c r="BP966" s="82">
        <f>$AJ966-$AJ967</f>
        <v/>
      </c>
    </row>
    <row r="967">
      <c r="AR967" s="81">
        <f>($G967+($H967-$G967)*0.5)+($P967-($O967+($Q967-$O967)*0.5))</f>
        <v/>
      </c>
      <c r="AS967" s="81">
        <f>($J967+($K967-$J967)*0.5)+($T967-($S967+($U967-$S967)*0.5))</f>
        <v/>
      </c>
      <c r="AT967" s="82">
        <f>($J967-$C967)*100</f>
        <v/>
      </c>
      <c r="AU967" s="82">
        <f>($H967-$F967)*100</f>
        <v/>
      </c>
      <c r="AV967" s="82">
        <f>($J967-$F967)*100</f>
        <v/>
      </c>
      <c r="AW967" s="82">
        <f>($L967-$F967)*100</f>
        <v/>
      </c>
      <c r="AX967" s="82">
        <f>($J967-$H967)*100</f>
        <v/>
      </c>
      <c r="AY967" s="82">
        <f>($L967-$H967)*100</f>
        <v/>
      </c>
      <c r="AZ967" s="82">
        <f>($L967-$J967)*100</f>
        <v/>
      </c>
      <c r="BA967" s="82">
        <f>(2*$H967-$F967-$J967)*100</f>
        <v/>
      </c>
      <c r="BB967" s="82">
        <f>(2*$J967-$H967-$L967)*100</f>
        <v/>
      </c>
      <c r="BC967" s="82">
        <f>($N967-$F967)*100</f>
        <v/>
      </c>
      <c r="BD967" s="82">
        <f>($Q967-$H967)*100</f>
        <v/>
      </c>
      <c r="BE967" s="82">
        <f>($S967-$J967)*100</f>
        <v/>
      </c>
      <c r="BF967" s="82">
        <f>($V967-$L967)*100</f>
        <v/>
      </c>
      <c r="BG967" s="82">
        <f>$AG967-$AF967</f>
        <v/>
      </c>
      <c r="BH967" s="81">
        <f>IFERROR($AG967/$AF967,"")</f>
        <v/>
      </c>
      <c r="BI967" s="82">
        <f>$AJ967-$AF967</f>
        <v/>
      </c>
      <c r="BJ967" s="81">
        <f>IFERROR($AJ967/$AG967,"")</f>
        <v/>
      </c>
      <c r="BK967" s="81">
        <f>$X967</f>
        <v/>
      </c>
      <c r="BL967" s="82">
        <f>($J967-$J968)*100</f>
        <v/>
      </c>
      <c r="BM967" s="82">
        <f>($F967-$F968)*100</f>
        <v/>
      </c>
      <c r="BN967" s="82">
        <f>$AF967-$AF968</f>
        <v/>
      </c>
      <c r="BO967" s="82">
        <f>$AG967-$AG968</f>
        <v/>
      </c>
      <c r="BP967" s="82">
        <f>$AJ967-$AJ968</f>
        <v/>
      </c>
    </row>
    <row r="968">
      <c r="AR968" s="81">
        <f>($G968+($H968-$G968)*0.5)+($P968-($O968+($Q968-$O968)*0.5))</f>
        <v/>
      </c>
      <c r="AS968" s="81">
        <f>($J968+($K968-$J968)*0.5)+($T968-($S968+($U968-$S968)*0.5))</f>
        <v/>
      </c>
      <c r="AT968" s="82">
        <f>($J968-$C968)*100</f>
        <v/>
      </c>
      <c r="AU968" s="82">
        <f>($H968-$F968)*100</f>
        <v/>
      </c>
      <c r="AV968" s="82">
        <f>($J968-$F968)*100</f>
        <v/>
      </c>
      <c r="AW968" s="82">
        <f>($L968-$F968)*100</f>
        <v/>
      </c>
      <c r="AX968" s="82">
        <f>($J968-$H968)*100</f>
        <v/>
      </c>
      <c r="AY968" s="82">
        <f>($L968-$H968)*100</f>
        <v/>
      </c>
      <c r="AZ968" s="82">
        <f>($L968-$J968)*100</f>
        <v/>
      </c>
      <c r="BA968" s="82">
        <f>(2*$H968-$F968-$J968)*100</f>
        <v/>
      </c>
      <c r="BB968" s="82">
        <f>(2*$J968-$H968-$L968)*100</f>
        <v/>
      </c>
      <c r="BC968" s="82">
        <f>($N968-$F968)*100</f>
        <v/>
      </c>
      <c r="BD968" s="82">
        <f>($Q968-$H968)*100</f>
        <v/>
      </c>
      <c r="BE968" s="82">
        <f>($S968-$J968)*100</f>
        <v/>
      </c>
      <c r="BF968" s="82">
        <f>($V968-$L968)*100</f>
        <v/>
      </c>
      <c r="BG968" s="82">
        <f>$AG968-$AF968</f>
        <v/>
      </c>
      <c r="BH968" s="81">
        <f>IFERROR($AG968/$AF968,"")</f>
        <v/>
      </c>
      <c r="BI968" s="82">
        <f>$AJ968-$AF968</f>
        <v/>
      </c>
      <c r="BJ968" s="81">
        <f>IFERROR($AJ968/$AG968,"")</f>
        <v/>
      </c>
      <c r="BK968" s="81">
        <f>$X968</f>
        <v/>
      </c>
      <c r="BL968" s="82">
        <f>($J968-$J969)*100</f>
        <v/>
      </c>
      <c r="BM968" s="82">
        <f>($F968-$F969)*100</f>
        <v/>
      </c>
      <c r="BN968" s="82">
        <f>$AF968-$AF969</f>
        <v/>
      </c>
      <c r="BO968" s="82">
        <f>$AG968-$AG969</f>
        <v/>
      </c>
      <c r="BP968" s="82">
        <f>$AJ968-$AJ969</f>
        <v/>
      </c>
    </row>
    <row r="969">
      <c r="AR969" s="81">
        <f>($G969+($H969-$G969)*0.5)+($P969-($O969+($Q969-$O969)*0.5))</f>
        <v/>
      </c>
      <c r="AS969" s="81">
        <f>($J969+($K969-$J969)*0.5)+($T969-($S969+($U969-$S969)*0.5))</f>
        <v/>
      </c>
      <c r="AT969" s="82">
        <f>($J969-$C969)*100</f>
        <v/>
      </c>
      <c r="AU969" s="82">
        <f>($H969-$F969)*100</f>
        <v/>
      </c>
      <c r="AV969" s="82">
        <f>($J969-$F969)*100</f>
        <v/>
      </c>
      <c r="AW969" s="82">
        <f>($L969-$F969)*100</f>
        <v/>
      </c>
      <c r="AX969" s="82">
        <f>($J969-$H969)*100</f>
        <v/>
      </c>
      <c r="AY969" s="82">
        <f>($L969-$H969)*100</f>
        <v/>
      </c>
      <c r="AZ969" s="82">
        <f>($L969-$J969)*100</f>
        <v/>
      </c>
      <c r="BA969" s="82">
        <f>(2*$H969-$F969-$J969)*100</f>
        <v/>
      </c>
      <c r="BB969" s="82">
        <f>(2*$J969-$H969-$L969)*100</f>
        <v/>
      </c>
      <c r="BC969" s="82">
        <f>($N969-$F969)*100</f>
        <v/>
      </c>
      <c r="BD969" s="82">
        <f>($Q969-$H969)*100</f>
        <v/>
      </c>
      <c r="BE969" s="82">
        <f>($S969-$J969)*100</f>
        <v/>
      </c>
      <c r="BF969" s="82">
        <f>($V969-$L969)*100</f>
        <v/>
      </c>
      <c r="BG969" s="82">
        <f>$AG969-$AF969</f>
        <v/>
      </c>
      <c r="BH969" s="81">
        <f>IFERROR($AG969/$AF969,"")</f>
        <v/>
      </c>
      <c r="BI969" s="82">
        <f>$AJ969-$AF969</f>
        <v/>
      </c>
      <c r="BJ969" s="81">
        <f>IFERROR($AJ969/$AG969,"")</f>
        <v/>
      </c>
      <c r="BK969" s="81">
        <f>$X969</f>
        <v/>
      </c>
      <c r="BL969" s="82">
        <f>($J969-$J970)*100</f>
        <v/>
      </c>
      <c r="BM969" s="82">
        <f>($F969-$F970)*100</f>
        <v/>
      </c>
      <c r="BN969" s="82">
        <f>$AF969-$AF970</f>
        <v/>
      </c>
      <c r="BO969" s="82">
        <f>$AG969-$AG970</f>
        <v/>
      </c>
      <c r="BP969" s="82">
        <f>$AJ969-$AJ970</f>
        <v/>
      </c>
    </row>
    <row r="970">
      <c r="AR970" s="81">
        <f>($G970+($H970-$G970)*0.5)+($P970-($O970+($Q970-$O970)*0.5))</f>
        <v/>
      </c>
      <c r="AS970" s="81">
        <f>($J970+($K970-$J970)*0.5)+($T970-($S970+($U970-$S970)*0.5))</f>
        <v/>
      </c>
      <c r="AT970" s="82">
        <f>($J970-$C970)*100</f>
        <v/>
      </c>
      <c r="AU970" s="82">
        <f>($H970-$F970)*100</f>
        <v/>
      </c>
      <c r="AV970" s="82">
        <f>($J970-$F970)*100</f>
        <v/>
      </c>
      <c r="AW970" s="82">
        <f>($L970-$F970)*100</f>
        <v/>
      </c>
      <c r="AX970" s="82">
        <f>($J970-$H970)*100</f>
        <v/>
      </c>
      <c r="AY970" s="82">
        <f>($L970-$H970)*100</f>
        <v/>
      </c>
      <c r="AZ970" s="82">
        <f>($L970-$J970)*100</f>
        <v/>
      </c>
      <c r="BA970" s="82">
        <f>(2*$H970-$F970-$J970)*100</f>
        <v/>
      </c>
      <c r="BB970" s="82">
        <f>(2*$J970-$H970-$L970)*100</f>
        <v/>
      </c>
      <c r="BC970" s="82">
        <f>($N970-$F970)*100</f>
        <v/>
      </c>
      <c r="BD970" s="82">
        <f>($Q970-$H970)*100</f>
        <v/>
      </c>
      <c r="BE970" s="82">
        <f>($S970-$J970)*100</f>
        <v/>
      </c>
      <c r="BF970" s="82">
        <f>($V970-$L970)*100</f>
        <v/>
      </c>
      <c r="BG970" s="82">
        <f>$AG970-$AF970</f>
        <v/>
      </c>
      <c r="BH970" s="81">
        <f>IFERROR($AG970/$AF970,"")</f>
        <v/>
      </c>
      <c r="BI970" s="82">
        <f>$AJ970-$AF970</f>
        <v/>
      </c>
      <c r="BJ970" s="81">
        <f>IFERROR($AJ970/$AG970,"")</f>
        <v/>
      </c>
      <c r="BK970" s="81">
        <f>$X970</f>
        <v/>
      </c>
      <c r="BL970" s="82">
        <f>($J970-$J971)*100</f>
        <v/>
      </c>
      <c r="BM970" s="82">
        <f>($F970-$F971)*100</f>
        <v/>
      </c>
      <c r="BN970" s="82">
        <f>$AF970-$AF971</f>
        <v/>
      </c>
      <c r="BO970" s="82">
        <f>$AG970-$AG971</f>
        <v/>
      </c>
      <c r="BP970" s="82">
        <f>$AJ970-$AJ971</f>
        <v/>
      </c>
    </row>
    <row r="971">
      <c r="AR971" s="81">
        <f>($G971+($H971-$G971)*0.5)+($P971-($O971+($Q971-$O971)*0.5))</f>
        <v/>
      </c>
      <c r="AS971" s="81">
        <f>($J971+($K971-$J971)*0.5)+($T971-($S971+($U971-$S971)*0.5))</f>
        <v/>
      </c>
      <c r="AT971" s="82">
        <f>($J971-$C971)*100</f>
        <v/>
      </c>
      <c r="AU971" s="82">
        <f>($H971-$F971)*100</f>
        <v/>
      </c>
      <c r="AV971" s="82">
        <f>($J971-$F971)*100</f>
        <v/>
      </c>
      <c r="AW971" s="82">
        <f>($L971-$F971)*100</f>
        <v/>
      </c>
      <c r="AX971" s="82">
        <f>($J971-$H971)*100</f>
        <v/>
      </c>
      <c r="AY971" s="82">
        <f>($L971-$H971)*100</f>
        <v/>
      </c>
      <c r="AZ971" s="82">
        <f>($L971-$J971)*100</f>
        <v/>
      </c>
      <c r="BA971" s="82">
        <f>(2*$H971-$F971-$J971)*100</f>
        <v/>
      </c>
      <c r="BB971" s="82">
        <f>(2*$J971-$H971-$L971)*100</f>
        <v/>
      </c>
      <c r="BC971" s="82">
        <f>($N971-$F971)*100</f>
        <v/>
      </c>
      <c r="BD971" s="82">
        <f>($Q971-$H971)*100</f>
        <v/>
      </c>
      <c r="BE971" s="82">
        <f>($S971-$J971)*100</f>
        <v/>
      </c>
      <c r="BF971" s="82">
        <f>($V971-$L971)*100</f>
        <v/>
      </c>
      <c r="BG971" s="82">
        <f>$AG971-$AF971</f>
        <v/>
      </c>
      <c r="BH971" s="81">
        <f>IFERROR($AG971/$AF971,"")</f>
        <v/>
      </c>
      <c r="BI971" s="82">
        <f>$AJ971-$AF971</f>
        <v/>
      </c>
      <c r="BJ971" s="81">
        <f>IFERROR($AJ971/$AG971,"")</f>
        <v/>
      </c>
      <c r="BK971" s="81">
        <f>$X971</f>
        <v/>
      </c>
      <c r="BL971" s="82">
        <f>($J971-$J972)*100</f>
        <v/>
      </c>
      <c r="BM971" s="82">
        <f>($F971-$F972)*100</f>
        <v/>
      </c>
      <c r="BN971" s="82">
        <f>$AF971-$AF972</f>
        <v/>
      </c>
      <c r="BO971" s="82">
        <f>$AG971-$AG972</f>
        <v/>
      </c>
      <c r="BP971" s="82">
        <f>$AJ971-$AJ972</f>
        <v/>
      </c>
    </row>
    <row r="972">
      <c r="AR972" s="81">
        <f>($G972+($H972-$G972)*0.5)+($P972-($O972+($Q972-$O972)*0.5))</f>
        <v/>
      </c>
      <c r="AS972" s="81">
        <f>($J972+($K972-$J972)*0.5)+($T972-($S972+($U972-$S972)*0.5))</f>
        <v/>
      </c>
      <c r="AT972" s="82">
        <f>($J972-$C972)*100</f>
        <v/>
      </c>
      <c r="AU972" s="82">
        <f>($H972-$F972)*100</f>
        <v/>
      </c>
      <c r="AV972" s="82">
        <f>($J972-$F972)*100</f>
        <v/>
      </c>
      <c r="AW972" s="82">
        <f>($L972-$F972)*100</f>
        <v/>
      </c>
      <c r="AX972" s="82">
        <f>($J972-$H972)*100</f>
        <v/>
      </c>
      <c r="AY972" s="82">
        <f>($L972-$H972)*100</f>
        <v/>
      </c>
      <c r="AZ972" s="82">
        <f>($L972-$J972)*100</f>
        <v/>
      </c>
      <c r="BA972" s="82">
        <f>(2*$H972-$F972-$J972)*100</f>
        <v/>
      </c>
      <c r="BB972" s="82">
        <f>(2*$J972-$H972-$L972)*100</f>
        <v/>
      </c>
      <c r="BC972" s="82">
        <f>($N972-$F972)*100</f>
        <v/>
      </c>
      <c r="BD972" s="82">
        <f>($Q972-$H972)*100</f>
        <v/>
      </c>
      <c r="BE972" s="82">
        <f>($S972-$J972)*100</f>
        <v/>
      </c>
      <c r="BF972" s="82">
        <f>($V972-$L972)*100</f>
        <v/>
      </c>
      <c r="BG972" s="82">
        <f>$AG972-$AF972</f>
        <v/>
      </c>
      <c r="BH972" s="81">
        <f>IFERROR($AG972/$AF972,"")</f>
        <v/>
      </c>
      <c r="BI972" s="82">
        <f>$AJ972-$AF972</f>
        <v/>
      </c>
      <c r="BJ972" s="81">
        <f>IFERROR($AJ972/$AG972,"")</f>
        <v/>
      </c>
      <c r="BK972" s="81">
        <f>$X972</f>
        <v/>
      </c>
      <c r="BL972" s="82">
        <f>($J972-$J973)*100</f>
        <v/>
      </c>
      <c r="BM972" s="82">
        <f>($F972-$F973)*100</f>
        <v/>
      </c>
      <c r="BN972" s="82">
        <f>$AF972-$AF973</f>
        <v/>
      </c>
      <c r="BO972" s="82">
        <f>$AG972-$AG973</f>
        <v/>
      </c>
      <c r="BP972" s="82">
        <f>$AJ972-$AJ973</f>
        <v/>
      </c>
    </row>
    <row r="973">
      <c r="AR973" s="81">
        <f>($G973+($H973-$G973)*0.5)+($P973-($O973+($Q973-$O973)*0.5))</f>
        <v/>
      </c>
      <c r="AS973" s="81">
        <f>($J973+($K973-$J973)*0.5)+($T973-($S973+($U973-$S973)*0.5))</f>
        <v/>
      </c>
      <c r="AT973" s="82">
        <f>($J973-$C973)*100</f>
        <v/>
      </c>
      <c r="AU973" s="82">
        <f>($H973-$F973)*100</f>
        <v/>
      </c>
      <c r="AV973" s="82">
        <f>($J973-$F973)*100</f>
        <v/>
      </c>
      <c r="AW973" s="82">
        <f>($L973-$F973)*100</f>
        <v/>
      </c>
      <c r="AX973" s="82">
        <f>($J973-$H973)*100</f>
        <v/>
      </c>
      <c r="AY973" s="82">
        <f>($L973-$H973)*100</f>
        <v/>
      </c>
      <c r="AZ973" s="82">
        <f>($L973-$J973)*100</f>
        <v/>
      </c>
      <c r="BA973" s="82">
        <f>(2*$H973-$F973-$J973)*100</f>
        <v/>
      </c>
      <c r="BB973" s="82">
        <f>(2*$J973-$H973-$L973)*100</f>
        <v/>
      </c>
      <c r="BC973" s="82">
        <f>($N973-$F973)*100</f>
        <v/>
      </c>
      <c r="BD973" s="82">
        <f>($Q973-$H973)*100</f>
        <v/>
      </c>
      <c r="BE973" s="82">
        <f>($S973-$J973)*100</f>
        <v/>
      </c>
      <c r="BF973" s="82">
        <f>($V973-$L973)*100</f>
        <v/>
      </c>
      <c r="BG973" s="82">
        <f>$AG973-$AF973</f>
        <v/>
      </c>
      <c r="BH973" s="81">
        <f>IFERROR($AG973/$AF973,"")</f>
        <v/>
      </c>
      <c r="BI973" s="82">
        <f>$AJ973-$AF973</f>
        <v/>
      </c>
      <c r="BJ973" s="81">
        <f>IFERROR($AJ973/$AG973,"")</f>
        <v/>
      </c>
      <c r="BK973" s="81">
        <f>$X973</f>
        <v/>
      </c>
      <c r="BL973" s="82">
        <f>($J973-$J974)*100</f>
        <v/>
      </c>
      <c r="BM973" s="82">
        <f>($F973-$F974)*100</f>
        <v/>
      </c>
      <c r="BN973" s="82">
        <f>$AF973-$AF974</f>
        <v/>
      </c>
      <c r="BO973" s="82">
        <f>$AG973-$AG974</f>
        <v/>
      </c>
      <c r="BP973" s="82">
        <f>$AJ973-$AJ974</f>
        <v/>
      </c>
    </row>
    <row r="974">
      <c r="AR974" s="81">
        <f>($G974+($H974-$G974)*0.5)+($P974-($O974+($Q974-$O974)*0.5))</f>
        <v/>
      </c>
      <c r="AS974" s="81">
        <f>($J974+($K974-$J974)*0.5)+($T974-($S974+($U974-$S974)*0.5))</f>
        <v/>
      </c>
      <c r="AT974" s="82">
        <f>($J974-$C974)*100</f>
        <v/>
      </c>
      <c r="AU974" s="82">
        <f>($H974-$F974)*100</f>
        <v/>
      </c>
      <c r="AV974" s="82">
        <f>($J974-$F974)*100</f>
        <v/>
      </c>
      <c r="AW974" s="82">
        <f>($L974-$F974)*100</f>
        <v/>
      </c>
      <c r="AX974" s="82">
        <f>($J974-$H974)*100</f>
        <v/>
      </c>
      <c r="AY974" s="82">
        <f>($L974-$H974)*100</f>
        <v/>
      </c>
      <c r="AZ974" s="82">
        <f>($L974-$J974)*100</f>
        <v/>
      </c>
      <c r="BA974" s="82">
        <f>(2*$H974-$F974-$J974)*100</f>
        <v/>
      </c>
      <c r="BB974" s="82">
        <f>(2*$J974-$H974-$L974)*100</f>
        <v/>
      </c>
      <c r="BC974" s="82">
        <f>($N974-$F974)*100</f>
        <v/>
      </c>
      <c r="BD974" s="82">
        <f>($Q974-$H974)*100</f>
        <v/>
      </c>
      <c r="BE974" s="82">
        <f>($S974-$J974)*100</f>
        <v/>
      </c>
      <c r="BF974" s="82">
        <f>($V974-$L974)*100</f>
        <v/>
      </c>
      <c r="BG974" s="82">
        <f>$AG974-$AF974</f>
        <v/>
      </c>
      <c r="BH974" s="81">
        <f>IFERROR($AG974/$AF974,"")</f>
        <v/>
      </c>
      <c r="BI974" s="82">
        <f>$AJ974-$AF974</f>
        <v/>
      </c>
      <c r="BJ974" s="81">
        <f>IFERROR($AJ974/$AG974,"")</f>
        <v/>
      </c>
      <c r="BK974" s="81">
        <f>$X974</f>
        <v/>
      </c>
      <c r="BL974" s="82">
        <f>($J974-$J975)*100</f>
        <v/>
      </c>
      <c r="BM974" s="82">
        <f>($F974-$F975)*100</f>
        <v/>
      </c>
      <c r="BN974" s="82">
        <f>$AF974-$AF975</f>
        <v/>
      </c>
      <c r="BO974" s="82">
        <f>$AG974-$AG975</f>
        <v/>
      </c>
      <c r="BP974" s="82">
        <f>$AJ974-$AJ975</f>
        <v/>
      </c>
    </row>
    <row r="975">
      <c r="AR975" s="81">
        <f>($G975+($H975-$G975)*0.5)+($P975-($O975+($Q975-$O975)*0.5))</f>
        <v/>
      </c>
      <c r="AS975" s="81">
        <f>($J975+($K975-$J975)*0.5)+($T975-($S975+($U975-$S975)*0.5))</f>
        <v/>
      </c>
      <c r="AT975" s="82">
        <f>($J975-$C975)*100</f>
        <v/>
      </c>
      <c r="AU975" s="82">
        <f>($H975-$F975)*100</f>
        <v/>
      </c>
      <c r="AV975" s="82">
        <f>($J975-$F975)*100</f>
        <v/>
      </c>
      <c r="AW975" s="82">
        <f>($L975-$F975)*100</f>
        <v/>
      </c>
      <c r="AX975" s="82">
        <f>($J975-$H975)*100</f>
        <v/>
      </c>
      <c r="AY975" s="82">
        <f>($L975-$H975)*100</f>
        <v/>
      </c>
      <c r="AZ975" s="82">
        <f>($L975-$J975)*100</f>
        <v/>
      </c>
      <c r="BA975" s="82">
        <f>(2*$H975-$F975-$J975)*100</f>
        <v/>
      </c>
      <c r="BB975" s="82">
        <f>(2*$J975-$H975-$L975)*100</f>
        <v/>
      </c>
      <c r="BC975" s="82">
        <f>($N975-$F975)*100</f>
        <v/>
      </c>
      <c r="BD975" s="82">
        <f>($Q975-$H975)*100</f>
        <v/>
      </c>
      <c r="BE975" s="82">
        <f>($S975-$J975)*100</f>
        <v/>
      </c>
      <c r="BF975" s="82">
        <f>($V975-$L975)*100</f>
        <v/>
      </c>
      <c r="BG975" s="82">
        <f>$AG975-$AF975</f>
        <v/>
      </c>
      <c r="BH975" s="81">
        <f>IFERROR($AG975/$AF975,"")</f>
        <v/>
      </c>
      <c r="BI975" s="82">
        <f>$AJ975-$AF975</f>
        <v/>
      </c>
      <c r="BJ975" s="81">
        <f>IFERROR($AJ975/$AG975,"")</f>
        <v/>
      </c>
      <c r="BK975" s="81">
        <f>$X975</f>
        <v/>
      </c>
      <c r="BL975" s="82">
        <f>($J975-$J976)*100</f>
        <v/>
      </c>
      <c r="BM975" s="82">
        <f>($F975-$F976)*100</f>
        <v/>
      </c>
      <c r="BN975" s="82">
        <f>$AF975-$AF976</f>
        <v/>
      </c>
      <c r="BO975" s="82">
        <f>$AG975-$AG976</f>
        <v/>
      </c>
      <c r="BP975" s="82">
        <f>$AJ975-$AJ976</f>
        <v/>
      </c>
    </row>
    <row r="976">
      <c r="AR976" s="81">
        <f>($G976+($H976-$G976)*0.5)+($P976-($O976+($Q976-$O976)*0.5))</f>
        <v/>
      </c>
      <c r="AS976" s="81">
        <f>($J976+($K976-$J976)*0.5)+($T976-($S976+($U976-$S976)*0.5))</f>
        <v/>
      </c>
      <c r="AT976" s="82">
        <f>($J976-$C976)*100</f>
        <v/>
      </c>
      <c r="AU976" s="82">
        <f>($H976-$F976)*100</f>
        <v/>
      </c>
      <c r="AV976" s="82">
        <f>($J976-$F976)*100</f>
        <v/>
      </c>
      <c r="AW976" s="82">
        <f>($L976-$F976)*100</f>
        <v/>
      </c>
      <c r="AX976" s="82">
        <f>($J976-$H976)*100</f>
        <v/>
      </c>
      <c r="AY976" s="82">
        <f>($L976-$H976)*100</f>
        <v/>
      </c>
      <c r="AZ976" s="82">
        <f>($L976-$J976)*100</f>
        <v/>
      </c>
      <c r="BA976" s="82">
        <f>(2*$H976-$F976-$J976)*100</f>
        <v/>
      </c>
      <c r="BB976" s="82">
        <f>(2*$J976-$H976-$L976)*100</f>
        <v/>
      </c>
      <c r="BC976" s="82">
        <f>($N976-$F976)*100</f>
        <v/>
      </c>
      <c r="BD976" s="82">
        <f>($Q976-$H976)*100</f>
        <v/>
      </c>
      <c r="BE976" s="82">
        <f>($S976-$J976)*100</f>
        <v/>
      </c>
      <c r="BF976" s="82">
        <f>($V976-$L976)*100</f>
        <v/>
      </c>
      <c r="BG976" s="82">
        <f>$AG976-$AF976</f>
        <v/>
      </c>
      <c r="BH976" s="81">
        <f>IFERROR($AG976/$AF976,"")</f>
        <v/>
      </c>
      <c r="BI976" s="82">
        <f>$AJ976-$AF976</f>
        <v/>
      </c>
      <c r="BJ976" s="81">
        <f>IFERROR($AJ976/$AG976,"")</f>
        <v/>
      </c>
      <c r="BK976" s="81">
        <f>$X976</f>
        <v/>
      </c>
      <c r="BL976" s="82">
        <f>($J976-$J977)*100</f>
        <v/>
      </c>
      <c r="BM976" s="82">
        <f>($F976-$F977)*100</f>
        <v/>
      </c>
      <c r="BN976" s="82">
        <f>$AF976-$AF977</f>
        <v/>
      </c>
      <c r="BO976" s="82">
        <f>$AG976-$AG977</f>
        <v/>
      </c>
      <c r="BP976" s="82">
        <f>$AJ976-$AJ977</f>
        <v/>
      </c>
    </row>
    <row r="977">
      <c r="AR977" s="81">
        <f>($G977+($H977-$G977)*0.5)+($P977-($O977+($Q977-$O977)*0.5))</f>
        <v/>
      </c>
      <c r="AS977" s="81">
        <f>($J977+($K977-$J977)*0.5)+($T977-($S977+($U977-$S977)*0.5))</f>
        <v/>
      </c>
      <c r="AT977" s="82">
        <f>($J977-$C977)*100</f>
        <v/>
      </c>
      <c r="AU977" s="82">
        <f>($H977-$F977)*100</f>
        <v/>
      </c>
      <c r="AV977" s="82">
        <f>($J977-$F977)*100</f>
        <v/>
      </c>
      <c r="AW977" s="82">
        <f>($L977-$F977)*100</f>
        <v/>
      </c>
      <c r="AX977" s="82">
        <f>($J977-$H977)*100</f>
        <v/>
      </c>
      <c r="AY977" s="82">
        <f>($L977-$H977)*100</f>
        <v/>
      </c>
      <c r="AZ977" s="82">
        <f>($L977-$J977)*100</f>
        <v/>
      </c>
      <c r="BA977" s="82">
        <f>(2*$H977-$F977-$J977)*100</f>
        <v/>
      </c>
      <c r="BB977" s="82">
        <f>(2*$J977-$H977-$L977)*100</f>
        <v/>
      </c>
      <c r="BC977" s="82">
        <f>($N977-$F977)*100</f>
        <v/>
      </c>
      <c r="BD977" s="82">
        <f>($Q977-$H977)*100</f>
        <v/>
      </c>
      <c r="BE977" s="82">
        <f>($S977-$J977)*100</f>
        <v/>
      </c>
      <c r="BF977" s="82">
        <f>($V977-$L977)*100</f>
        <v/>
      </c>
      <c r="BG977" s="82">
        <f>$AG977-$AF977</f>
        <v/>
      </c>
      <c r="BH977" s="81">
        <f>IFERROR($AG977/$AF977,"")</f>
        <v/>
      </c>
      <c r="BI977" s="82">
        <f>$AJ977-$AF977</f>
        <v/>
      </c>
      <c r="BJ977" s="81">
        <f>IFERROR($AJ977/$AG977,"")</f>
        <v/>
      </c>
      <c r="BK977" s="81">
        <f>$X977</f>
        <v/>
      </c>
      <c r="BL977" s="82">
        <f>($J977-$J978)*100</f>
        <v/>
      </c>
      <c r="BM977" s="82">
        <f>($F977-$F978)*100</f>
        <v/>
      </c>
      <c r="BN977" s="82">
        <f>$AF977-$AF978</f>
        <v/>
      </c>
      <c r="BO977" s="82">
        <f>$AG977-$AG978</f>
        <v/>
      </c>
      <c r="BP977" s="82">
        <f>$AJ977-$AJ978</f>
        <v/>
      </c>
    </row>
    <row r="978">
      <c r="AR978" s="81">
        <f>($G978+($H978-$G978)*0.5)+($P978-($O978+($Q978-$O978)*0.5))</f>
        <v/>
      </c>
      <c r="AS978" s="81">
        <f>($J978+($K978-$J978)*0.5)+($T978-($S978+($U978-$S978)*0.5))</f>
        <v/>
      </c>
      <c r="AT978" s="82">
        <f>($J978-$C978)*100</f>
        <v/>
      </c>
      <c r="AU978" s="82">
        <f>($H978-$F978)*100</f>
        <v/>
      </c>
      <c r="AV978" s="82">
        <f>($J978-$F978)*100</f>
        <v/>
      </c>
      <c r="AW978" s="82">
        <f>($L978-$F978)*100</f>
        <v/>
      </c>
      <c r="AX978" s="82">
        <f>($J978-$H978)*100</f>
        <v/>
      </c>
      <c r="AY978" s="82">
        <f>($L978-$H978)*100</f>
        <v/>
      </c>
      <c r="AZ978" s="82">
        <f>($L978-$J978)*100</f>
        <v/>
      </c>
      <c r="BA978" s="82">
        <f>(2*$H978-$F978-$J978)*100</f>
        <v/>
      </c>
      <c r="BB978" s="82">
        <f>(2*$J978-$H978-$L978)*100</f>
        <v/>
      </c>
      <c r="BC978" s="82">
        <f>($N978-$F978)*100</f>
        <v/>
      </c>
      <c r="BD978" s="82">
        <f>($Q978-$H978)*100</f>
        <v/>
      </c>
      <c r="BE978" s="82">
        <f>($S978-$J978)*100</f>
        <v/>
      </c>
      <c r="BF978" s="82">
        <f>($V978-$L978)*100</f>
        <v/>
      </c>
      <c r="BG978" s="82">
        <f>$AG978-$AF978</f>
        <v/>
      </c>
      <c r="BH978" s="81">
        <f>IFERROR($AG978/$AF978,"")</f>
        <v/>
      </c>
      <c r="BI978" s="82">
        <f>$AJ978-$AF978</f>
        <v/>
      </c>
      <c r="BJ978" s="81">
        <f>IFERROR($AJ978/$AG978,"")</f>
        <v/>
      </c>
      <c r="BK978" s="81">
        <f>$X978</f>
        <v/>
      </c>
      <c r="BL978" s="82">
        <f>($J978-$J979)*100</f>
        <v/>
      </c>
      <c r="BM978" s="82">
        <f>($F978-$F979)*100</f>
        <v/>
      </c>
      <c r="BN978" s="82">
        <f>$AF978-$AF979</f>
        <v/>
      </c>
      <c r="BO978" s="82">
        <f>$AG978-$AG979</f>
        <v/>
      </c>
      <c r="BP978" s="82">
        <f>$AJ978-$AJ979</f>
        <v/>
      </c>
    </row>
    <row r="979">
      <c r="AR979" s="81">
        <f>($G979+($H979-$G979)*0.5)+($P979-($O979+($Q979-$O979)*0.5))</f>
        <v/>
      </c>
      <c r="AS979" s="81">
        <f>($J979+($K979-$J979)*0.5)+($T979-($S979+($U979-$S979)*0.5))</f>
        <v/>
      </c>
      <c r="AT979" s="82">
        <f>($J979-$C979)*100</f>
        <v/>
      </c>
      <c r="AU979" s="82">
        <f>($H979-$F979)*100</f>
        <v/>
      </c>
      <c r="AV979" s="82">
        <f>($J979-$F979)*100</f>
        <v/>
      </c>
      <c r="AW979" s="82">
        <f>($L979-$F979)*100</f>
        <v/>
      </c>
      <c r="AX979" s="82">
        <f>($J979-$H979)*100</f>
        <v/>
      </c>
      <c r="AY979" s="82">
        <f>($L979-$H979)*100</f>
        <v/>
      </c>
      <c r="AZ979" s="82">
        <f>($L979-$J979)*100</f>
        <v/>
      </c>
      <c r="BA979" s="82">
        <f>(2*$H979-$F979-$J979)*100</f>
        <v/>
      </c>
      <c r="BB979" s="82">
        <f>(2*$J979-$H979-$L979)*100</f>
        <v/>
      </c>
      <c r="BC979" s="82">
        <f>($N979-$F979)*100</f>
        <v/>
      </c>
      <c r="BD979" s="82">
        <f>($Q979-$H979)*100</f>
        <v/>
      </c>
      <c r="BE979" s="82">
        <f>($S979-$J979)*100</f>
        <v/>
      </c>
      <c r="BF979" s="82">
        <f>($V979-$L979)*100</f>
        <v/>
      </c>
      <c r="BG979" s="82">
        <f>$AG979-$AF979</f>
        <v/>
      </c>
      <c r="BH979" s="81">
        <f>IFERROR($AG979/$AF979,"")</f>
        <v/>
      </c>
      <c r="BI979" s="82">
        <f>$AJ979-$AF979</f>
        <v/>
      </c>
      <c r="BJ979" s="81">
        <f>IFERROR($AJ979/$AG979,"")</f>
        <v/>
      </c>
      <c r="BK979" s="81">
        <f>$X979</f>
        <v/>
      </c>
      <c r="BL979" s="82">
        <f>($J979-$J980)*100</f>
        <v/>
      </c>
      <c r="BM979" s="82">
        <f>($F979-$F980)*100</f>
        <v/>
      </c>
      <c r="BN979" s="82">
        <f>$AF979-$AF980</f>
        <v/>
      </c>
      <c r="BO979" s="82">
        <f>$AG979-$AG980</f>
        <v/>
      </c>
      <c r="BP979" s="82">
        <f>$AJ979-$AJ980</f>
        <v/>
      </c>
    </row>
    <row r="980">
      <c r="AR980" s="81">
        <f>($G980+($H980-$G980)*0.5)+($P980-($O980+($Q980-$O980)*0.5))</f>
        <v/>
      </c>
      <c r="AS980" s="81">
        <f>($J980+($K980-$J980)*0.5)+($T980-($S980+($U980-$S980)*0.5))</f>
        <v/>
      </c>
      <c r="AT980" s="82">
        <f>($J980-$C980)*100</f>
        <v/>
      </c>
      <c r="AU980" s="82">
        <f>($H980-$F980)*100</f>
        <v/>
      </c>
      <c r="AV980" s="82">
        <f>($J980-$F980)*100</f>
        <v/>
      </c>
      <c r="AW980" s="82">
        <f>($L980-$F980)*100</f>
        <v/>
      </c>
      <c r="AX980" s="82">
        <f>($J980-$H980)*100</f>
        <v/>
      </c>
      <c r="AY980" s="82">
        <f>($L980-$H980)*100</f>
        <v/>
      </c>
      <c r="AZ980" s="82">
        <f>($L980-$J980)*100</f>
        <v/>
      </c>
      <c r="BA980" s="82">
        <f>(2*$H980-$F980-$J980)*100</f>
        <v/>
      </c>
      <c r="BB980" s="82">
        <f>(2*$J980-$H980-$L980)*100</f>
        <v/>
      </c>
      <c r="BC980" s="82">
        <f>($N980-$F980)*100</f>
        <v/>
      </c>
      <c r="BD980" s="82">
        <f>($Q980-$H980)*100</f>
        <v/>
      </c>
      <c r="BE980" s="82">
        <f>($S980-$J980)*100</f>
        <v/>
      </c>
      <c r="BF980" s="82">
        <f>($V980-$L980)*100</f>
        <v/>
      </c>
      <c r="BG980" s="82">
        <f>$AG980-$AF980</f>
        <v/>
      </c>
      <c r="BH980" s="81">
        <f>IFERROR($AG980/$AF980,"")</f>
        <v/>
      </c>
      <c r="BI980" s="82">
        <f>$AJ980-$AF980</f>
        <v/>
      </c>
      <c r="BJ980" s="81">
        <f>IFERROR($AJ980/$AG980,"")</f>
        <v/>
      </c>
      <c r="BK980" s="81">
        <f>$X980</f>
        <v/>
      </c>
      <c r="BL980" s="82">
        <f>($J980-$J981)*100</f>
        <v/>
      </c>
      <c r="BM980" s="82">
        <f>($F980-$F981)*100</f>
        <v/>
      </c>
      <c r="BN980" s="82">
        <f>$AF980-$AF981</f>
        <v/>
      </c>
      <c r="BO980" s="82">
        <f>$AG980-$AG981</f>
        <v/>
      </c>
      <c r="BP980" s="82">
        <f>$AJ980-$AJ981</f>
        <v/>
      </c>
    </row>
    <row r="981">
      <c r="AR981" s="81">
        <f>($G981+($H981-$G981)*0.5)+($P981-($O981+($Q981-$O981)*0.5))</f>
        <v/>
      </c>
      <c r="AS981" s="81">
        <f>($J981+($K981-$J981)*0.5)+($T981-($S981+($U981-$S981)*0.5))</f>
        <v/>
      </c>
      <c r="AT981" s="82">
        <f>($J981-$C981)*100</f>
        <v/>
      </c>
      <c r="AU981" s="82">
        <f>($H981-$F981)*100</f>
        <v/>
      </c>
      <c r="AV981" s="82">
        <f>($J981-$F981)*100</f>
        <v/>
      </c>
      <c r="AW981" s="82">
        <f>($L981-$F981)*100</f>
        <v/>
      </c>
      <c r="AX981" s="82">
        <f>($J981-$H981)*100</f>
        <v/>
      </c>
      <c r="AY981" s="82">
        <f>($L981-$H981)*100</f>
        <v/>
      </c>
      <c r="AZ981" s="82">
        <f>($L981-$J981)*100</f>
        <v/>
      </c>
      <c r="BA981" s="82">
        <f>(2*$H981-$F981-$J981)*100</f>
        <v/>
      </c>
      <c r="BB981" s="82">
        <f>(2*$J981-$H981-$L981)*100</f>
        <v/>
      </c>
      <c r="BC981" s="82">
        <f>($N981-$F981)*100</f>
        <v/>
      </c>
      <c r="BD981" s="82">
        <f>($Q981-$H981)*100</f>
        <v/>
      </c>
      <c r="BE981" s="82">
        <f>($S981-$J981)*100</f>
        <v/>
      </c>
      <c r="BF981" s="82">
        <f>($V981-$L981)*100</f>
        <v/>
      </c>
      <c r="BG981" s="82">
        <f>$AG981-$AF981</f>
        <v/>
      </c>
      <c r="BH981" s="81">
        <f>IFERROR($AG981/$AF981,"")</f>
        <v/>
      </c>
      <c r="BI981" s="82">
        <f>$AJ981-$AF981</f>
        <v/>
      </c>
      <c r="BJ981" s="81">
        <f>IFERROR($AJ981/$AG981,"")</f>
        <v/>
      </c>
      <c r="BK981" s="81">
        <f>$X981</f>
        <v/>
      </c>
      <c r="BL981" s="82">
        <f>($J981-$J982)*100</f>
        <v/>
      </c>
      <c r="BM981" s="82">
        <f>($F981-$F982)*100</f>
        <v/>
      </c>
      <c r="BN981" s="82">
        <f>$AF981-$AF982</f>
        <v/>
      </c>
      <c r="BO981" s="82">
        <f>$AG981-$AG982</f>
        <v/>
      </c>
      <c r="BP981" s="82">
        <f>$AJ981-$AJ982</f>
        <v/>
      </c>
    </row>
    <row r="982">
      <c r="AR982" s="81">
        <f>($G982+($H982-$G982)*0.5)+($P982-($O982+($Q982-$O982)*0.5))</f>
        <v/>
      </c>
      <c r="AS982" s="81">
        <f>($J982+($K982-$J982)*0.5)+($T982-($S982+($U982-$S982)*0.5))</f>
        <v/>
      </c>
      <c r="AT982" s="82">
        <f>($J982-$C982)*100</f>
        <v/>
      </c>
      <c r="AU982" s="82">
        <f>($H982-$F982)*100</f>
        <v/>
      </c>
      <c r="AV982" s="82">
        <f>($J982-$F982)*100</f>
        <v/>
      </c>
      <c r="AW982" s="82">
        <f>($L982-$F982)*100</f>
        <v/>
      </c>
      <c r="AX982" s="82">
        <f>($J982-$H982)*100</f>
        <v/>
      </c>
      <c r="AY982" s="82">
        <f>($L982-$H982)*100</f>
        <v/>
      </c>
      <c r="AZ982" s="82">
        <f>($L982-$J982)*100</f>
        <v/>
      </c>
      <c r="BA982" s="82">
        <f>(2*$H982-$F982-$J982)*100</f>
        <v/>
      </c>
      <c r="BB982" s="82">
        <f>(2*$J982-$H982-$L982)*100</f>
        <v/>
      </c>
      <c r="BC982" s="82">
        <f>($N982-$F982)*100</f>
        <v/>
      </c>
      <c r="BD982" s="82">
        <f>($Q982-$H982)*100</f>
        <v/>
      </c>
      <c r="BE982" s="82">
        <f>($S982-$J982)*100</f>
        <v/>
      </c>
      <c r="BF982" s="82">
        <f>($V982-$L982)*100</f>
        <v/>
      </c>
      <c r="BG982" s="82">
        <f>$AG982-$AF982</f>
        <v/>
      </c>
      <c r="BH982" s="81">
        <f>IFERROR($AG982/$AF982,"")</f>
        <v/>
      </c>
      <c r="BI982" s="82">
        <f>$AJ982-$AF982</f>
        <v/>
      </c>
      <c r="BJ982" s="81">
        <f>IFERROR($AJ982/$AG982,"")</f>
        <v/>
      </c>
      <c r="BK982" s="81">
        <f>$X982</f>
        <v/>
      </c>
      <c r="BL982" s="82">
        <f>($J982-$J983)*100</f>
        <v/>
      </c>
      <c r="BM982" s="82">
        <f>($F982-$F983)*100</f>
        <v/>
      </c>
      <c r="BN982" s="82">
        <f>$AF982-$AF983</f>
        <v/>
      </c>
      <c r="BO982" s="82">
        <f>$AG982-$AG983</f>
        <v/>
      </c>
      <c r="BP982" s="82">
        <f>$AJ982-$AJ983</f>
        <v/>
      </c>
    </row>
    <row r="983">
      <c r="AR983" s="81">
        <f>($G983+($H983-$G983)*0.5)+($P983-($O983+($Q983-$O983)*0.5))</f>
        <v/>
      </c>
      <c r="AS983" s="81">
        <f>($J983+($K983-$J983)*0.5)+($T983-($S983+($U983-$S983)*0.5))</f>
        <v/>
      </c>
      <c r="AT983" s="82">
        <f>($J983-$C983)*100</f>
        <v/>
      </c>
      <c r="AU983" s="82">
        <f>($H983-$F983)*100</f>
        <v/>
      </c>
      <c r="AV983" s="82">
        <f>($J983-$F983)*100</f>
        <v/>
      </c>
      <c r="AW983" s="82">
        <f>($L983-$F983)*100</f>
        <v/>
      </c>
      <c r="AX983" s="82">
        <f>($J983-$H983)*100</f>
        <v/>
      </c>
      <c r="AY983" s="82">
        <f>($L983-$H983)*100</f>
        <v/>
      </c>
      <c r="AZ983" s="82">
        <f>($L983-$J983)*100</f>
        <v/>
      </c>
      <c r="BA983" s="82">
        <f>(2*$H983-$F983-$J983)*100</f>
        <v/>
      </c>
      <c r="BB983" s="82">
        <f>(2*$J983-$H983-$L983)*100</f>
        <v/>
      </c>
      <c r="BC983" s="82">
        <f>($N983-$F983)*100</f>
        <v/>
      </c>
      <c r="BD983" s="82">
        <f>($Q983-$H983)*100</f>
        <v/>
      </c>
      <c r="BE983" s="82">
        <f>($S983-$J983)*100</f>
        <v/>
      </c>
      <c r="BF983" s="82">
        <f>($V983-$L983)*100</f>
        <v/>
      </c>
      <c r="BG983" s="82">
        <f>$AG983-$AF983</f>
        <v/>
      </c>
      <c r="BH983" s="81">
        <f>IFERROR($AG983/$AF983,"")</f>
        <v/>
      </c>
      <c r="BI983" s="82">
        <f>$AJ983-$AF983</f>
        <v/>
      </c>
      <c r="BJ983" s="81">
        <f>IFERROR($AJ983/$AG983,"")</f>
        <v/>
      </c>
      <c r="BK983" s="81">
        <f>$X983</f>
        <v/>
      </c>
      <c r="BL983" s="82">
        <f>($J983-$J984)*100</f>
        <v/>
      </c>
      <c r="BM983" s="82">
        <f>($F983-$F984)*100</f>
        <v/>
      </c>
      <c r="BN983" s="82">
        <f>$AF983-$AF984</f>
        <v/>
      </c>
      <c r="BO983" s="82">
        <f>$AG983-$AG984</f>
        <v/>
      </c>
      <c r="BP983" s="82">
        <f>$AJ983-$AJ984</f>
        <v/>
      </c>
    </row>
    <row r="984">
      <c r="AR984" s="81">
        <f>($G984+($H984-$G984)*0.5)+($P984-($O984+($Q984-$O984)*0.5))</f>
        <v/>
      </c>
      <c r="AS984" s="81">
        <f>($J984+($K984-$J984)*0.5)+($T984-($S984+($U984-$S984)*0.5))</f>
        <v/>
      </c>
      <c r="AT984" s="82">
        <f>($J984-$C984)*100</f>
        <v/>
      </c>
      <c r="AU984" s="82">
        <f>($H984-$F984)*100</f>
        <v/>
      </c>
      <c r="AV984" s="82">
        <f>($J984-$F984)*100</f>
        <v/>
      </c>
      <c r="AW984" s="82">
        <f>($L984-$F984)*100</f>
        <v/>
      </c>
      <c r="AX984" s="82">
        <f>($J984-$H984)*100</f>
        <v/>
      </c>
      <c r="AY984" s="82">
        <f>($L984-$H984)*100</f>
        <v/>
      </c>
      <c r="AZ984" s="82">
        <f>($L984-$J984)*100</f>
        <v/>
      </c>
      <c r="BA984" s="82">
        <f>(2*$H984-$F984-$J984)*100</f>
        <v/>
      </c>
      <c r="BB984" s="82">
        <f>(2*$J984-$H984-$L984)*100</f>
        <v/>
      </c>
      <c r="BC984" s="82">
        <f>($N984-$F984)*100</f>
        <v/>
      </c>
      <c r="BD984" s="82">
        <f>($Q984-$H984)*100</f>
        <v/>
      </c>
      <c r="BE984" s="82">
        <f>($S984-$J984)*100</f>
        <v/>
      </c>
      <c r="BF984" s="82">
        <f>($V984-$L984)*100</f>
        <v/>
      </c>
      <c r="BG984" s="82">
        <f>$AG984-$AF984</f>
        <v/>
      </c>
      <c r="BH984" s="81">
        <f>IFERROR($AG984/$AF984,"")</f>
        <v/>
      </c>
      <c r="BI984" s="82">
        <f>$AJ984-$AF984</f>
        <v/>
      </c>
      <c r="BJ984" s="81">
        <f>IFERROR($AJ984/$AG984,"")</f>
        <v/>
      </c>
      <c r="BK984" s="81">
        <f>$X984</f>
        <v/>
      </c>
      <c r="BL984" s="82">
        <f>($J984-$J985)*100</f>
        <v/>
      </c>
      <c r="BM984" s="82">
        <f>($F984-$F985)*100</f>
        <v/>
      </c>
      <c r="BN984" s="82">
        <f>$AF984-$AF985</f>
        <v/>
      </c>
      <c r="BO984" s="82">
        <f>$AG984-$AG985</f>
        <v/>
      </c>
      <c r="BP984" s="82">
        <f>$AJ984-$AJ985</f>
        <v/>
      </c>
    </row>
    <row r="985">
      <c r="AR985" s="81">
        <f>($G985+($H985-$G985)*0.5)+($P985-($O985+($Q985-$O985)*0.5))</f>
        <v/>
      </c>
      <c r="AS985" s="81">
        <f>($J985+($K985-$J985)*0.5)+($T985-($S985+($U985-$S985)*0.5))</f>
        <v/>
      </c>
      <c r="AT985" s="82">
        <f>($J985-$C985)*100</f>
        <v/>
      </c>
      <c r="AU985" s="82">
        <f>($H985-$F985)*100</f>
        <v/>
      </c>
      <c r="AV985" s="82">
        <f>($J985-$F985)*100</f>
        <v/>
      </c>
      <c r="AW985" s="82">
        <f>($L985-$F985)*100</f>
        <v/>
      </c>
      <c r="AX985" s="82">
        <f>($J985-$H985)*100</f>
        <v/>
      </c>
      <c r="AY985" s="82">
        <f>($L985-$H985)*100</f>
        <v/>
      </c>
      <c r="AZ985" s="82">
        <f>($L985-$J985)*100</f>
        <v/>
      </c>
      <c r="BA985" s="82">
        <f>(2*$H985-$F985-$J985)*100</f>
        <v/>
      </c>
      <c r="BB985" s="82">
        <f>(2*$J985-$H985-$L985)*100</f>
        <v/>
      </c>
      <c r="BC985" s="82">
        <f>($N985-$F985)*100</f>
        <v/>
      </c>
      <c r="BD985" s="82">
        <f>($Q985-$H985)*100</f>
        <v/>
      </c>
      <c r="BE985" s="82">
        <f>($S985-$J985)*100</f>
        <v/>
      </c>
      <c r="BF985" s="82">
        <f>($V985-$L985)*100</f>
        <v/>
      </c>
      <c r="BG985" s="82">
        <f>$AG985-$AF985</f>
        <v/>
      </c>
      <c r="BH985" s="81">
        <f>IFERROR($AG985/$AF985,"")</f>
        <v/>
      </c>
      <c r="BI985" s="82">
        <f>$AJ985-$AF985</f>
        <v/>
      </c>
      <c r="BJ985" s="81">
        <f>IFERROR($AJ985/$AG985,"")</f>
        <v/>
      </c>
      <c r="BK985" s="81">
        <f>$X985</f>
        <v/>
      </c>
      <c r="BL985" s="82">
        <f>($J985-$J986)*100</f>
        <v/>
      </c>
      <c r="BM985" s="82">
        <f>($F985-$F986)*100</f>
        <v/>
      </c>
      <c r="BN985" s="82">
        <f>$AF985-$AF986</f>
        <v/>
      </c>
      <c r="BO985" s="82">
        <f>$AG985-$AG986</f>
        <v/>
      </c>
      <c r="BP985" s="82">
        <f>$AJ985-$AJ986</f>
        <v/>
      </c>
    </row>
    <row r="986">
      <c r="AR986" s="81">
        <f>($G986+($H986-$G986)*0.5)+($P986-($O986+($Q986-$O986)*0.5))</f>
        <v/>
      </c>
      <c r="AS986" s="81">
        <f>($J986+($K986-$J986)*0.5)+($T986-($S986+($U986-$S986)*0.5))</f>
        <v/>
      </c>
      <c r="AT986" s="82">
        <f>($J986-$C986)*100</f>
        <v/>
      </c>
      <c r="AU986" s="82">
        <f>($H986-$F986)*100</f>
        <v/>
      </c>
      <c r="AV986" s="82">
        <f>($J986-$F986)*100</f>
        <v/>
      </c>
      <c r="AW986" s="82">
        <f>($L986-$F986)*100</f>
        <v/>
      </c>
      <c r="AX986" s="82">
        <f>($J986-$H986)*100</f>
        <v/>
      </c>
      <c r="AY986" s="82">
        <f>($L986-$H986)*100</f>
        <v/>
      </c>
      <c r="AZ986" s="82">
        <f>($L986-$J986)*100</f>
        <v/>
      </c>
      <c r="BA986" s="82">
        <f>(2*$H986-$F986-$J986)*100</f>
        <v/>
      </c>
      <c r="BB986" s="82">
        <f>(2*$J986-$H986-$L986)*100</f>
        <v/>
      </c>
      <c r="BC986" s="82">
        <f>($N986-$F986)*100</f>
        <v/>
      </c>
      <c r="BD986" s="82">
        <f>($Q986-$H986)*100</f>
        <v/>
      </c>
      <c r="BE986" s="82">
        <f>($S986-$J986)*100</f>
        <v/>
      </c>
      <c r="BF986" s="82">
        <f>($V986-$L986)*100</f>
        <v/>
      </c>
      <c r="BG986" s="82">
        <f>$AG986-$AF986</f>
        <v/>
      </c>
      <c r="BH986" s="81">
        <f>IFERROR($AG986/$AF986,"")</f>
        <v/>
      </c>
      <c r="BI986" s="82">
        <f>$AJ986-$AF986</f>
        <v/>
      </c>
      <c r="BJ986" s="81">
        <f>IFERROR($AJ986/$AG986,"")</f>
        <v/>
      </c>
      <c r="BK986" s="81">
        <f>$X986</f>
        <v/>
      </c>
      <c r="BL986" s="82">
        <f>($J986-$J987)*100</f>
        <v/>
      </c>
      <c r="BM986" s="82">
        <f>($F986-$F987)*100</f>
        <v/>
      </c>
      <c r="BN986" s="82">
        <f>$AF986-$AF987</f>
        <v/>
      </c>
      <c r="BO986" s="82">
        <f>$AG986-$AG987</f>
        <v/>
      </c>
      <c r="BP986" s="82">
        <f>$AJ986-$AJ987</f>
        <v/>
      </c>
    </row>
    <row r="987">
      <c r="AR987" s="81">
        <f>($G987+($H987-$G987)*0.5)+($P987-($O987+($Q987-$O987)*0.5))</f>
        <v/>
      </c>
      <c r="AS987" s="81">
        <f>($J987+($K987-$J987)*0.5)+($T987-($S987+($U987-$S987)*0.5))</f>
        <v/>
      </c>
      <c r="AT987" s="82">
        <f>($J987-$C987)*100</f>
        <v/>
      </c>
      <c r="AU987" s="82">
        <f>($H987-$F987)*100</f>
        <v/>
      </c>
      <c r="AV987" s="82">
        <f>($J987-$F987)*100</f>
        <v/>
      </c>
      <c r="AW987" s="82">
        <f>($L987-$F987)*100</f>
        <v/>
      </c>
      <c r="AX987" s="82">
        <f>($J987-$H987)*100</f>
        <v/>
      </c>
      <c r="AY987" s="82">
        <f>($L987-$H987)*100</f>
        <v/>
      </c>
      <c r="AZ987" s="82">
        <f>($L987-$J987)*100</f>
        <v/>
      </c>
      <c r="BA987" s="82">
        <f>(2*$H987-$F987-$J987)*100</f>
        <v/>
      </c>
      <c r="BB987" s="82">
        <f>(2*$J987-$H987-$L987)*100</f>
        <v/>
      </c>
      <c r="BC987" s="82">
        <f>($N987-$F987)*100</f>
        <v/>
      </c>
      <c r="BD987" s="82">
        <f>($Q987-$H987)*100</f>
        <v/>
      </c>
      <c r="BE987" s="82">
        <f>($S987-$J987)*100</f>
        <v/>
      </c>
      <c r="BF987" s="82">
        <f>($V987-$L987)*100</f>
        <v/>
      </c>
      <c r="BG987" s="82">
        <f>$AG987-$AF987</f>
        <v/>
      </c>
      <c r="BH987" s="81">
        <f>IFERROR($AG987/$AF987,"")</f>
        <v/>
      </c>
      <c r="BI987" s="82">
        <f>$AJ987-$AF987</f>
        <v/>
      </c>
      <c r="BJ987" s="81">
        <f>IFERROR($AJ987/$AG987,"")</f>
        <v/>
      </c>
      <c r="BK987" s="81">
        <f>$X987</f>
        <v/>
      </c>
      <c r="BL987" s="82">
        <f>($J987-$J988)*100</f>
        <v/>
      </c>
      <c r="BM987" s="82">
        <f>($F987-$F988)*100</f>
        <v/>
      </c>
      <c r="BN987" s="82">
        <f>$AF987-$AF988</f>
        <v/>
      </c>
      <c r="BO987" s="82">
        <f>$AG987-$AG988</f>
        <v/>
      </c>
      <c r="BP987" s="82">
        <f>$AJ987-$AJ988</f>
        <v/>
      </c>
    </row>
    <row r="988">
      <c r="AR988" s="81">
        <f>($G988+($H988-$G988)*0.5)+($P988-($O988+($Q988-$O988)*0.5))</f>
        <v/>
      </c>
      <c r="AS988" s="81">
        <f>($J988+($K988-$J988)*0.5)+($T988-($S988+($U988-$S988)*0.5))</f>
        <v/>
      </c>
      <c r="AT988" s="82">
        <f>($J988-$C988)*100</f>
        <v/>
      </c>
      <c r="AU988" s="82">
        <f>($H988-$F988)*100</f>
        <v/>
      </c>
      <c r="AV988" s="82">
        <f>($J988-$F988)*100</f>
        <v/>
      </c>
      <c r="AW988" s="82">
        <f>($L988-$F988)*100</f>
        <v/>
      </c>
      <c r="AX988" s="82">
        <f>($J988-$H988)*100</f>
        <v/>
      </c>
      <c r="AY988" s="82">
        <f>($L988-$H988)*100</f>
        <v/>
      </c>
      <c r="AZ988" s="82">
        <f>($L988-$J988)*100</f>
        <v/>
      </c>
      <c r="BA988" s="82">
        <f>(2*$H988-$F988-$J988)*100</f>
        <v/>
      </c>
      <c r="BB988" s="82">
        <f>(2*$J988-$H988-$L988)*100</f>
        <v/>
      </c>
      <c r="BC988" s="82">
        <f>($N988-$F988)*100</f>
        <v/>
      </c>
      <c r="BD988" s="82">
        <f>($Q988-$H988)*100</f>
        <v/>
      </c>
      <c r="BE988" s="82">
        <f>($S988-$J988)*100</f>
        <v/>
      </c>
      <c r="BF988" s="82">
        <f>($V988-$L988)*100</f>
        <v/>
      </c>
      <c r="BG988" s="82">
        <f>$AG988-$AF988</f>
        <v/>
      </c>
      <c r="BH988" s="81">
        <f>IFERROR($AG988/$AF988,"")</f>
        <v/>
      </c>
      <c r="BI988" s="82">
        <f>$AJ988-$AF988</f>
        <v/>
      </c>
      <c r="BJ988" s="81">
        <f>IFERROR($AJ988/$AG988,"")</f>
        <v/>
      </c>
      <c r="BK988" s="81">
        <f>$X988</f>
        <v/>
      </c>
      <c r="BL988" s="82">
        <f>($J988-$J989)*100</f>
        <v/>
      </c>
      <c r="BM988" s="82">
        <f>($F988-$F989)*100</f>
        <v/>
      </c>
      <c r="BN988" s="82">
        <f>$AF988-$AF989</f>
        <v/>
      </c>
      <c r="BO988" s="82">
        <f>$AG988-$AG989</f>
        <v/>
      </c>
      <c r="BP988" s="82">
        <f>$AJ988-$AJ989</f>
        <v/>
      </c>
    </row>
    <row r="989">
      <c r="AR989" s="81">
        <f>($G989+($H989-$G989)*0.5)+($P989-($O989+($Q989-$O989)*0.5))</f>
        <v/>
      </c>
      <c r="AS989" s="81">
        <f>($J989+($K989-$J989)*0.5)+($T989-($S989+($U989-$S989)*0.5))</f>
        <v/>
      </c>
      <c r="AT989" s="82">
        <f>($J989-$C989)*100</f>
        <v/>
      </c>
      <c r="AU989" s="82">
        <f>($H989-$F989)*100</f>
        <v/>
      </c>
      <c r="AV989" s="82">
        <f>($J989-$F989)*100</f>
        <v/>
      </c>
      <c r="AW989" s="82">
        <f>($L989-$F989)*100</f>
        <v/>
      </c>
      <c r="AX989" s="82">
        <f>($J989-$H989)*100</f>
        <v/>
      </c>
      <c r="AY989" s="82">
        <f>($L989-$H989)*100</f>
        <v/>
      </c>
      <c r="AZ989" s="82">
        <f>($L989-$J989)*100</f>
        <v/>
      </c>
      <c r="BA989" s="82">
        <f>(2*$H989-$F989-$J989)*100</f>
        <v/>
      </c>
      <c r="BB989" s="82">
        <f>(2*$J989-$H989-$L989)*100</f>
        <v/>
      </c>
      <c r="BC989" s="82">
        <f>($N989-$F989)*100</f>
        <v/>
      </c>
      <c r="BD989" s="82">
        <f>($Q989-$H989)*100</f>
        <v/>
      </c>
      <c r="BE989" s="82">
        <f>($S989-$J989)*100</f>
        <v/>
      </c>
      <c r="BF989" s="82">
        <f>($V989-$L989)*100</f>
        <v/>
      </c>
      <c r="BG989" s="82">
        <f>$AG989-$AF989</f>
        <v/>
      </c>
      <c r="BH989" s="81">
        <f>IFERROR($AG989/$AF989,"")</f>
        <v/>
      </c>
      <c r="BI989" s="82">
        <f>$AJ989-$AF989</f>
        <v/>
      </c>
      <c r="BJ989" s="81">
        <f>IFERROR($AJ989/$AG989,"")</f>
        <v/>
      </c>
      <c r="BK989" s="81">
        <f>$X989</f>
        <v/>
      </c>
      <c r="BL989" s="82">
        <f>($J989-$J990)*100</f>
        <v/>
      </c>
      <c r="BM989" s="82">
        <f>($F989-$F990)*100</f>
        <v/>
      </c>
      <c r="BN989" s="82">
        <f>$AF989-$AF990</f>
        <v/>
      </c>
      <c r="BO989" s="82">
        <f>$AG989-$AG990</f>
        <v/>
      </c>
      <c r="BP989" s="82">
        <f>$AJ989-$AJ990</f>
        <v/>
      </c>
    </row>
    <row r="990">
      <c r="AR990" s="81">
        <f>($G990+($H990-$G990)*0.5)+($P990-($O990+($Q990-$O990)*0.5))</f>
        <v/>
      </c>
      <c r="AS990" s="81">
        <f>($J990+($K990-$J990)*0.5)+($T990-($S990+($U990-$S990)*0.5))</f>
        <v/>
      </c>
      <c r="AT990" s="82">
        <f>($J990-$C990)*100</f>
        <v/>
      </c>
      <c r="AU990" s="82">
        <f>($H990-$F990)*100</f>
        <v/>
      </c>
      <c r="AV990" s="82">
        <f>($J990-$F990)*100</f>
        <v/>
      </c>
      <c r="AW990" s="82">
        <f>($L990-$F990)*100</f>
        <v/>
      </c>
      <c r="AX990" s="82">
        <f>($J990-$H990)*100</f>
        <v/>
      </c>
      <c r="AY990" s="82">
        <f>($L990-$H990)*100</f>
        <v/>
      </c>
      <c r="AZ990" s="82">
        <f>($L990-$J990)*100</f>
        <v/>
      </c>
      <c r="BA990" s="82">
        <f>(2*$H990-$F990-$J990)*100</f>
        <v/>
      </c>
      <c r="BB990" s="82">
        <f>(2*$J990-$H990-$L990)*100</f>
        <v/>
      </c>
      <c r="BC990" s="82">
        <f>($N990-$F990)*100</f>
        <v/>
      </c>
      <c r="BD990" s="82">
        <f>($Q990-$H990)*100</f>
        <v/>
      </c>
      <c r="BE990" s="82">
        <f>($S990-$J990)*100</f>
        <v/>
      </c>
      <c r="BF990" s="82">
        <f>($V990-$L990)*100</f>
        <v/>
      </c>
      <c r="BG990" s="82">
        <f>$AG990-$AF990</f>
        <v/>
      </c>
      <c r="BH990" s="81">
        <f>IFERROR($AG990/$AF990,"")</f>
        <v/>
      </c>
      <c r="BI990" s="82">
        <f>$AJ990-$AF990</f>
        <v/>
      </c>
      <c r="BJ990" s="81">
        <f>IFERROR($AJ990/$AG990,"")</f>
        <v/>
      </c>
      <c r="BK990" s="81">
        <f>$X990</f>
        <v/>
      </c>
      <c r="BL990" s="82">
        <f>($J990-$J991)*100</f>
        <v/>
      </c>
      <c r="BM990" s="82">
        <f>($F990-$F991)*100</f>
        <v/>
      </c>
      <c r="BN990" s="82">
        <f>$AF990-$AF991</f>
        <v/>
      </c>
      <c r="BO990" s="82">
        <f>$AG990-$AG991</f>
        <v/>
      </c>
      <c r="BP990" s="82">
        <f>$AJ990-$AJ991</f>
        <v/>
      </c>
    </row>
    <row r="991">
      <c r="AR991" s="81">
        <f>($G991+($H991-$G991)*0.5)+($P991-($O991+($Q991-$O991)*0.5))</f>
        <v/>
      </c>
      <c r="AS991" s="81">
        <f>($J991+($K991-$J991)*0.5)+($T991-($S991+($U991-$S991)*0.5))</f>
        <v/>
      </c>
      <c r="AT991" s="82">
        <f>($J991-$C991)*100</f>
        <v/>
      </c>
      <c r="AU991" s="82">
        <f>($H991-$F991)*100</f>
        <v/>
      </c>
      <c r="AV991" s="82">
        <f>($J991-$F991)*100</f>
        <v/>
      </c>
      <c r="AW991" s="82">
        <f>($L991-$F991)*100</f>
        <v/>
      </c>
      <c r="AX991" s="82">
        <f>($J991-$H991)*100</f>
        <v/>
      </c>
      <c r="AY991" s="82">
        <f>($L991-$H991)*100</f>
        <v/>
      </c>
      <c r="AZ991" s="82">
        <f>($L991-$J991)*100</f>
        <v/>
      </c>
      <c r="BA991" s="82">
        <f>(2*$H991-$F991-$J991)*100</f>
        <v/>
      </c>
      <c r="BB991" s="82">
        <f>(2*$J991-$H991-$L991)*100</f>
        <v/>
      </c>
      <c r="BC991" s="82">
        <f>($N991-$F991)*100</f>
        <v/>
      </c>
      <c r="BD991" s="82">
        <f>($Q991-$H991)*100</f>
        <v/>
      </c>
      <c r="BE991" s="82">
        <f>($S991-$J991)*100</f>
        <v/>
      </c>
      <c r="BF991" s="82">
        <f>($V991-$L991)*100</f>
        <v/>
      </c>
      <c r="BG991" s="82">
        <f>$AG991-$AF991</f>
        <v/>
      </c>
      <c r="BH991" s="81">
        <f>IFERROR($AG991/$AF991,"")</f>
        <v/>
      </c>
      <c r="BI991" s="82">
        <f>$AJ991-$AF991</f>
        <v/>
      </c>
      <c r="BJ991" s="81">
        <f>IFERROR($AJ991/$AG991,"")</f>
        <v/>
      </c>
      <c r="BK991" s="81">
        <f>$X991</f>
        <v/>
      </c>
      <c r="BL991" s="82">
        <f>($J991-$J992)*100</f>
        <v/>
      </c>
      <c r="BM991" s="82">
        <f>($F991-$F992)*100</f>
        <v/>
      </c>
      <c r="BN991" s="82">
        <f>$AF991-$AF992</f>
        <v/>
      </c>
      <c r="BO991" s="82">
        <f>$AG991-$AG992</f>
        <v/>
      </c>
      <c r="BP991" s="82">
        <f>$AJ991-$AJ992</f>
        <v/>
      </c>
    </row>
    <row r="992">
      <c r="AR992" s="81">
        <f>($G992+($H992-$G992)*0.5)+($P992-($O992+($Q992-$O992)*0.5))</f>
        <v/>
      </c>
      <c r="AS992" s="81">
        <f>($J992+($K992-$J992)*0.5)+($T992-($S992+($U992-$S992)*0.5))</f>
        <v/>
      </c>
      <c r="AT992" s="82">
        <f>($J992-$C992)*100</f>
        <v/>
      </c>
      <c r="AU992" s="82">
        <f>($H992-$F992)*100</f>
        <v/>
      </c>
      <c r="AV992" s="82">
        <f>($J992-$F992)*100</f>
        <v/>
      </c>
      <c r="AW992" s="82">
        <f>($L992-$F992)*100</f>
        <v/>
      </c>
      <c r="AX992" s="82">
        <f>($J992-$H992)*100</f>
        <v/>
      </c>
      <c r="AY992" s="82">
        <f>($L992-$H992)*100</f>
        <v/>
      </c>
      <c r="AZ992" s="82">
        <f>($L992-$J992)*100</f>
        <v/>
      </c>
      <c r="BA992" s="82">
        <f>(2*$H992-$F992-$J992)*100</f>
        <v/>
      </c>
      <c r="BB992" s="82">
        <f>(2*$J992-$H992-$L992)*100</f>
        <v/>
      </c>
      <c r="BC992" s="82">
        <f>($N992-$F992)*100</f>
        <v/>
      </c>
      <c r="BD992" s="82">
        <f>($Q992-$H992)*100</f>
        <v/>
      </c>
      <c r="BE992" s="82">
        <f>($S992-$J992)*100</f>
        <v/>
      </c>
      <c r="BF992" s="82">
        <f>($V992-$L992)*100</f>
        <v/>
      </c>
      <c r="BG992" s="82">
        <f>$AG992-$AF992</f>
        <v/>
      </c>
      <c r="BH992" s="81">
        <f>IFERROR($AG992/$AF992,"")</f>
        <v/>
      </c>
      <c r="BI992" s="82">
        <f>$AJ992-$AF992</f>
        <v/>
      </c>
      <c r="BJ992" s="81">
        <f>IFERROR($AJ992/$AG992,"")</f>
        <v/>
      </c>
      <c r="BK992" s="81">
        <f>$X992</f>
        <v/>
      </c>
      <c r="BL992" s="82">
        <f>($J992-$J993)*100</f>
        <v/>
      </c>
      <c r="BM992" s="82">
        <f>($F992-$F993)*100</f>
        <v/>
      </c>
      <c r="BN992" s="82">
        <f>$AF992-$AF993</f>
        <v/>
      </c>
      <c r="BO992" s="82">
        <f>$AG992-$AG993</f>
        <v/>
      </c>
      <c r="BP992" s="82">
        <f>$AJ992-$AJ993</f>
        <v/>
      </c>
    </row>
    <row r="993">
      <c r="AR993" s="81">
        <f>($G993+($H993-$G993)*0.5)+($P993-($O993+($Q993-$O993)*0.5))</f>
        <v/>
      </c>
      <c r="AS993" s="81">
        <f>($J993+($K993-$J993)*0.5)+($T993-($S993+($U993-$S993)*0.5))</f>
        <v/>
      </c>
      <c r="AT993" s="82">
        <f>($J993-$C993)*100</f>
        <v/>
      </c>
      <c r="AU993" s="82">
        <f>($H993-$F993)*100</f>
        <v/>
      </c>
      <c r="AV993" s="82">
        <f>($J993-$F993)*100</f>
        <v/>
      </c>
      <c r="AW993" s="82">
        <f>($L993-$F993)*100</f>
        <v/>
      </c>
      <c r="AX993" s="82">
        <f>($J993-$H993)*100</f>
        <v/>
      </c>
      <c r="AY993" s="82">
        <f>($L993-$H993)*100</f>
        <v/>
      </c>
      <c r="AZ993" s="82">
        <f>($L993-$J993)*100</f>
        <v/>
      </c>
      <c r="BA993" s="82">
        <f>(2*$H993-$F993-$J993)*100</f>
        <v/>
      </c>
      <c r="BB993" s="82">
        <f>(2*$J993-$H993-$L993)*100</f>
        <v/>
      </c>
      <c r="BC993" s="82">
        <f>($N993-$F993)*100</f>
        <v/>
      </c>
      <c r="BD993" s="82">
        <f>($Q993-$H993)*100</f>
        <v/>
      </c>
      <c r="BE993" s="82">
        <f>($S993-$J993)*100</f>
        <v/>
      </c>
      <c r="BF993" s="82">
        <f>($V993-$L993)*100</f>
        <v/>
      </c>
      <c r="BG993" s="82">
        <f>$AG993-$AF993</f>
        <v/>
      </c>
      <c r="BH993" s="81">
        <f>IFERROR($AG993/$AF993,"")</f>
        <v/>
      </c>
      <c r="BI993" s="82">
        <f>$AJ993-$AF993</f>
        <v/>
      </c>
      <c r="BJ993" s="81">
        <f>IFERROR($AJ993/$AG993,"")</f>
        <v/>
      </c>
      <c r="BK993" s="81">
        <f>$X993</f>
        <v/>
      </c>
      <c r="BL993" s="82">
        <f>($J993-$J994)*100</f>
        <v/>
      </c>
      <c r="BM993" s="82">
        <f>($F993-$F994)*100</f>
        <v/>
      </c>
      <c r="BN993" s="82">
        <f>$AF993-$AF994</f>
        <v/>
      </c>
      <c r="BO993" s="82">
        <f>$AG993-$AG994</f>
        <v/>
      </c>
      <c r="BP993" s="82">
        <f>$AJ993-$AJ994</f>
        <v/>
      </c>
    </row>
    <row r="994">
      <c r="AR994" s="81">
        <f>($G994+($H994-$G994)*0.5)+($P994-($O994+($Q994-$O994)*0.5))</f>
        <v/>
      </c>
      <c r="AS994" s="81">
        <f>($J994+($K994-$J994)*0.5)+($T994-($S994+($U994-$S994)*0.5))</f>
        <v/>
      </c>
      <c r="AT994" s="82">
        <f>($J994-$C994)*100</f>
        <v/>
      </c>
      <c r="AU994" s="82">
        <f>($H994-$F994)*100</f>
        <v/>
      </c>
      <c r="AV994" s="82">
        <f>($J994-$F994)*100</f>
        <v/>
      </c>
      <c r="AW994" s="82">
        <f>($L994-$F994)*100</f>
        <v/>
      </c>
      <c r="AX994" s="82">
        <f>($J994-$H994)*100</f>
        <v/>
      </c>
      <c r="AY994" s="82">
        <f>($L994-$H994)*100</f>
        <v/>
      </c>
      <c r="AZ994" s="82">
        <f>($L994-$J994)*100</f>
        <v/>
      </c>
      <c r="BA994" s="82">
        <f>(2*$H994-$F994-$J994)*100</f>
        <v/>
      </c>
      <c r="BB994" s="82">
        <f>(2*$J994-$H994-$L994)*100</f>
        <v/>
      </c>
      <c r="BC994" s="82">
        <f>($N994-$F994)*100</f>
        <v/>
      </c>
      <c r="BD994" s="82">
        <f>($Q994-$H994)*100</f>
        <v/>
      </c>
      <c r="BE994" s="82">
        <f>($S994-$J994)*100</f>
        <v/>
      </c>
      <c r="BF994" s="82">
        <f>($V994-$L994)*100</f>
        <v/>
      </c>
      <c r="BG994" s="82">
        <f>$AG994-$AF994</f>
        <v/>
      </c>
      <c r="BH994" s="81">
        <f>IFERROR($AG994/$AF994,"")</f>
        <v/>
      </c>
      <c r="BI994" s="82">
        <f>$AJ994-$AF994</f>
        <v/>
      </c>
      <c r="BJ994" s="81">
        <f>IFERROR($AJ994/$AG994,"")</f>
        <v/>
      </c>
      <c r="BK994" s="81">
        <f>$X994</f>
        <v/>
      </c>
      <c r="BL994" s="82">
        <f>($J994-$J995)*100</f>
        <v/>
      </c>
      <c r="BM994" s="82">
        <f>($F994-$F995)*100</f>
        <v/>
      </c>
      <c r="BN994" s="82">
        <f>$AF994-$AF995</f>
        <v/>
      </c>
      <c r="BO994" s="82">
        <f>$AG994-$AG995</f>
        <v/>
      </c>
      <c r="BP994" s="82">
        <f>$AJ994-$AJ995</f>
        <v/>
      </c>
    </row>
    <row r="995">
      <c r="AR995" s="81">
        <f>($G995+($H995-$G995)*0.5)+($P995-($O995+($Q995-$O995)*0.5))</f>
        <v/>
      </c>
      <c r="AS995" s="81">
        <f>($J995+($K995-$J995)*0.5)+($T995-($S995+($U995-$S995)*0.5))</f>
        <v/>
      </c>
      <c r="AT995" s="82">
        <f>($J995-$C995)*100</f>
        <v/>
      </c>
      <c r="AU995" s="82">
        <f>($H995-$F995)*100</f>
        <v/>
      </c>
      <c r="AV995" s="82">
        <f>($J995-$F995)*100</f>
        <v/>
      </c>
      <c r="AW995" s="82">
        <f>($L995-$F995)*100</f>
        <v/>
      </c>
      <c r="AX995" s="82">
        <f>($J995-$H995)*100</f>
        <v/>
      </c>
      <c r="AY995" s="82">
        <f>($L995-$H995)*100</f>
        <v/>
      </c>
      <c r="AZ995" s="82">
        <f>($L995-$J995)*100</f>
        <v/>
      </c>
      <c r="BA995" s="82">
        <f>(2*$H995-$F995-$J995)*100</f>
        <v/>
      </c>
      <c r="BB995" s="82">
        <f>(2*$J995-$H995-$L995)*100</f>
        <v/>
      </c>
      <c r="BC995" s="82">
        <f>($N995-$F995)*100</f>
        <v/>
      </c>
      <c r="BD995" s="82">
        <f>($Q995-$H995)*100</f>
        <v/>
      </c>
      <c r="BE995" s="82">
        <f>($S995-$J995)*100</f>
        <v/>
      </c>
      <c r="BF995" s="82">
        <f>($V995-$L995)*100</f>
        <v/>
      </c>
      <c r="BG995" s="82">
        <f>$AG995-$AF995</f>
        <v/>
      </c>
      <c r="BH995" s="81">
        <f>IFERROR($AG995/$AF995,"")</f>
        <v/>
      </c>
      <c r="BI995" s="82">
        <f>$AJ995-$AF995</f>
        <v/>
      </c>
      <c r="BJ995" s="81">
        <f>IFERROR($AJ995/$AG995,"")</f>
        <v/>
      </c>
      <c r="BK995" s="81">
        <f>$X995</f>
        <v/>
      </c>
      <c r="BL995" s="82">
        <f>($J995-$J996)*100</f>
        <v/>
      </c>
      <c r="BM995" s="82">
        <f>($F995-$F996)*100</f>
        <v/>
      </c>
      <c r="BN995" s="82">
        <f>$AF995-$AF996</f>
        <v/>
      </c>
      <c r="BO995" s="82">
        <f>$AG995-$AG996</f>
        <v/>
      </c>
      <c r="BP995" s="82">
        <f>$AJ995-$AJ996</f>
        <v/>
      </c>
    </row>
    <row r="996">
      <c r="AR996" s="81">
        <f>($G996+($H996-$G996)*0.5)+($P996-($O996+($Q996-$O996)*0.5))</f>
        <v/>
      </c>
      <c r="AS996" s="81">
        <f>($J996+($K996-$J996)*0.5)+($T996-($S996+($U996-$S996)*0.5))</f>
        <v/>
      </c>
      <c r="AT996" s="82">
        <f>($J996-$C996)*100</f>
        <v/>
      </c>
      <c r="AU996" s="82">
        <f>($H996-$F996)*100</f>
        <v/>
      </c>
      <c r="AV996" s="82">
        <f>($J996-$F996)*100</f>
        <v/>
      </c>
      <c r="AW996" s="82">
        <f>($L996-$F996)*100</f>
        <v/>
      </c>
      <c r="AX996" s="82">
        <f>($J996-$H996)*100</f>
        <v/>
      </c>
      <c r="AY996" s="82">
        <f>($L996-$H996)*100</f>
        <v/>
      </c>
      <c r="AZ996" s="82">
        <f>($L996-$J996)*100</f>
        <v/>
      </c>
      <c r="BA996" s="82">
        <f>(2*$H996-$F996-$J996)*100</f>
        <v/>
      </c>
      <c r="BB996" s="82">
        <f>(2*$J996-$H996-$L996)*100</f>
        <v/>
      </c>
      <c r="BC996" s="82">
        <f>($N996-$F996)*100</f>
        <v/>
      </c>
      <c r="BD996" s="82">
        <f>($Q996-$H996)*100</f>
        <v/>
      </c>
      <c r="BE996" s="82">
        <f>($S996-$J996)*100</f>
        <v/>
      </c>
      <c r="BF996" s="82">
        <f>($V996-$L996)*100</f>
        <v/>
      </c>
      <c r="BG996" s="82">
        <f>$AG996-$AF996</f>
        <v/>
      </c>
      <c r="BH996" s="81">
        <f>IFERROR($AG996/$AF996,"")</f>
        <v/>
      </c>
      <c r="BI996" s="82">
        <f>$AJ996-$AF996</f>
        <v/>
      </c>
      <c r="BJ996" s="81">
        <f>IFERROR($AJ996/$AG996,"")</f>
        <v/>
      </c>
      <c r="BK996" s="81">
        <f>$X996</f>
        <v/>
      </c>
      <c r="BL996" s="82">
        <f>($J996-$J997)*100</f>
        <v/>
      </c>
      <c r="BM996" s="82">
        <f>($F996-$F997)*100</f>
        <v/>
      </c>
      <c r="BN996" s="82">
        <f>$AF996-$AF997</f>
        <v/>
      </c>
      <c r="BO996" s="82">
        <f>$AG996-$AG997</f>
        <v/>
      </c>
      <c r="BP996" s="82">
        <f>$AJ996-$AJ997</f>
        <v/>
      </c>
    </row>
    <row r="997">
      <c r="AR997" s="81">
        <f>($G997+($H997-$G997)*0.5)+($P997-($O997+($Q997-$O997)*0.5))</f>
        <v/>
      </c>
      <c r="AS997" s="81">
        <f>($J997+($K997-$J997)*0.5)+($T997-($S997+($U997-$S997)*0.5))</f>
        <v/>
      </c>
      <c r="AT997" s="82">
        <f>($J997-$C997)*100</f>
        <v/>
      </c>
      <c r="AU997" s="82">
        <f>($H997-$F997)*100</f>
        <v/>
      </c>
      <c r="AV997" s="82">
        <f>($J997-$F997)*100</f>
        <v/>
      </c>
      <c r="AW997" s="82">
        <f>($L997-$F997)*100</f>
        <v/>
      </c>
      <c r="AX997" s="82">
        <f>($J997-$H997)*100</f>
        <v/>
      </c>
      <c r="AY997" s="82">
        <f>($L997-$H997)*100</f>
        <v/>
      </c>
      <c r="AZ997" s="82">
        <f>($L997-$J997)*100</f>
        <v/>
      </c>
      <c r="BA997" s="82">
        <f>(2*$H997-$F997-$J997)*100</f>
        <v/>
      </c>
      <c r="BB997" s="82">
        <f>(2*$J997-$H997-$L997)*100</f>
        <v/>
      </c>
      <c r="BC997" s="82">
        <f>($N997-$F997)*100</f>
        <v/>
      </c>
      <c r="BD997" s="82">
        <f>($Q997-$H997)*100</f>
        <v/>
      </c>
      <c r="BE997" s="82">
        <f>($S997-$J997)*100</f>
        <v/>
      </c>
      <c r="BF997" s="82">
        <f>($V997-$L997)*100</f>
        <v/>
      </c>
      <c r="BG997" s="82">
        <f>$AG997-$AF997</f>
        <v/>
      </c>
      <c r="BH997" s="81">
        <f>IFERROR($AG997/$AF997,"")</f>
        <v/>
      </c>
      <c r="BI997" s="82">
        <f>$AJ997-$AF997</f>
        <v/>
      </c>
      <c r="BJ997" s="81">
        <f>IFERROR($AJ997/$AG997,"")</f>
        <v/>
      </c>
      <c r="BK997" s="81">
        <f>$X997</f>
        <v/>
      </c>
      <c r="BL997" s="82">
        <f>($J997-$J998)*100</f>
        <v/>
      </c>
      <c r="BM997" s="82">
        <f>($F997-$F998)*100</f>
        <v/>
      </c>
      <c r="BN997" s="82">
        <f>$AF997-$AF998</f>
        <v/>
      </c>
      <c r="BO997" s="82">
        <f>$AG997-$AG998</f>
        <v/>
      </c>
      <c r="BP997" s="82">
        <f>$AJ997-$AJ998</f>
        <v/>
      </c>
    </row>
    <row r="998">
      <c r="AR998" s="81">
        <f>($G998+($H998-$G998)*0.5)+($P998-($O998+($Q998-$O998)*0.5))</f>
        <v/>
      </c>
      <c r="AS998" s="81">
        <f>($J998+($K998-$J998)*0.5)+($T998-($S998+($U998-$S998)*0.5))</f>
        <v/>
      </c>
      <c r="AT998" s="82">
        <f>($J998-$C998)*100</f>
        <v/>
      </c>
      <c r="AU998" s="82">
        <f>($H998-$F998)*100</f>
        <v/>
      </c>
      <c r="AV998" s="82">
        <f>($J998-$F998)*100</f>
        <v/>
      </c>
      <c r="AW998" s="82">
        <f>($L998-$F998)*100</f>
        <v/>
      </c>
      <c r="AX998" s="82">
        <f>($J998-$H998)*100</f>
        <v/>
      </c>
      <c r="AY998" s="82">
        <f>($L998-$H998)*100</f>
        <v/>
      </c>
      <c r="AZ998" s="82">
        <f>($L998-$J998)*100</f>
        <v/>
      </c>
      <c r="BA998" s="82">
        <f>(2*$H998-$F998-$J998)*100</f>
        <v/>
      </c>
      <c r="BB998" s="82">
        <f>(2*$J998-$H998-$L998)*100</f>
        <v/>
      </c>
      <c r="BC998" s="82">
        <f>($N998-$F998)*100</f>
        <v/>
      </c>
      <c r="BD998" s="82">
        <f>($Q998-$H998)*100</f>
        <v/>
      </c>
      <c r="BE998" s="82">
        <f>($S998-$J998)*100</f>
        <v/>
      </c>
      <c r="BF998" s="82">
        <f>($V998-$L998)*100</f>
        <v/>
      </c>
      <c r="BG998" s="82">
        <f>$AG998-$AF998</f>
        <v/>
      </c>
      <c r="BH998" s="81">
        <f>IFERROR($AG998/$AF998,"")</f>
        <v/>
      </c>
      <c r="BI998" s="82">
        <f>$AJ998-$AF998</f>
        <v/>
      </c>
      <c r="BJ998" s="81">
        <f>IFERROR($AJ998/$AG998,"")</f>
        <v/>
      </c>
      <c r="BK998" s="81">
        <f>$X998</f>
        <v/>
      </c>
      <c r="BL998" s="82">
        <f>($J998-$J999)*100</f>
        <v/>
      </c>
      <c r="BM998" s="82">
        <f>($F998-$F999)*100</f>
        <v/>
      </c>
      <c r="BN998" s="82">
        <f>$AF998-$AF999</f>
        <v/>
      </c>
      <c r="BO998" s="82">
        <f>$AG998-$AG999</f>
        <v/>
      </c>
      <c r="BP998" s="82">
        <f>$AJ998-$AJ999</f>
        <v/>
      </c>
    </row>
    <row r="999">
      <c r="AR999" s="81">
        <f>($G999+($H999-$G999)*0.5)+($P999-($O999+($Q999-$O999)*0.5))</f>
        <v/>
      </c>
      <c r="AS999" s="81">
        <f>($J999+($K999-$J999)*0.5)+($T999-($S999+($U999-$S999)*0.5))</f>
        <v/>
      </c>
      <c r="AT999" s="82">
        <f>($J999-$C999)*100</f>
        <v/>
      </c>
      <c r="AU999" s="82">
        <f>($H999-$F999)*100</f>
        <v/>
      </c>
      <c r="AV999" s="82">
        <f>($J999-$F999)*100</f>
        <v/>
      </c>
      <c r="AW999" s="82">
        <f>($L999-$F999)*100</f>
        <v/>
      </c>
      <c r="AX999" s="82">
        <f>($J999-$H999)*100</f>
        <v/>
      </c>
      <c r="AY999" s="82">
        <f>($L999-$H999)*100</f>
        <v/>
      </c>
      <c r="AZ999" s="82">
        <f>($L999-$J999)*100</f>
        <v/>
      </c>
      <c r="BA999" s="82">
        <f>(2*$H999-$F999-$J999)*100</f>
        <v/>
      </c>
      <c r="BB999" s="82">
        <f>(2*$J999-$H999-$L999)*100</f>
        <v/>
      </c>
      <c r="BC999" s="82">
        <f>($N999-$F999)*100</f>
        <v/>
      </c>
      <c r="BD999" s="82">
        <f>($Q999-$H999)*100</f>
        <v/>
      </c>
      <c r="BE999" s="82">
        <f>($S999-$J999)*100</f>
        <v/>
      </c>
      <c r="BF999" s="82">
        <f>($V999-$L999)*100</f>
        <v/>
      </c>
      <c r="BG999" s="82">
        <f>$AG999-$AF999</f>
        <v/>
      </c>
      <c r="BH999" s="81">
        <f>IFERROR($AG999/$AF999,"")</f>
        <v/>
      </c>
      <c r="BI999" s="82">
        <f>$AJ999-$AF999</f>
        <v/>
      </c>
      <c r="BJ999" s="81">
        <f>IFERROR($AJ999/$AG999,"")</f>
        <v/>
      </c>
      <c r="BK999" s="81">
        <f>$X999</f>
        <v/>
      </c>
      <c r="BL999" s="82">
        <f>($J999-$J1000)*100</f>
        <v/>
      </c>
      <c r="BM999" s="82">
        <f>($F999-$F1000)*100</f>
        <v/>
      </c>
      <c r="BN999" s="82">
        <f>$AF999-$AF1000</f>
        <v/>
      </c>
      <c r="BO999" s="82">
        <f>$AG999-$AG1000</f>
        <v/>
      </c>
      <c r="BP999" s="82">
        <f>$AJ999-$AJ1000</f>
        <v/>
      </c>
    </row>
    <row r="1000">
      <c r="AR1000" s="81">
        <f>($G1000+($H1000-$G1000)*0.5)+($P1000-($O1000+($Q1000-$O1000)*0.5))</f>
        <v/>
      </c>
      <c r="AS1000" s="81">
        <f>($J1000+($K1000-$J1000)*0.5)+($T1000-($S1000+($U1000-$S1000)*0.5))</f>
        <v/>
      </c>
      <c r="AT1000" s="82">
        <f>($J1000-$C1000)*100</f>
        <v/>
      </c>
      <c r="AU1000" s="82">
        <f>($H1000-$F1000)*100</f>
        <v/>
      </c>
      <c r="AV1000" s="82">
        <f>($J1000-$F1000)*100</f>
        <v/>
      </c>
      <c r="AW1000" s="82">
        <f>($L1000-$F1000)*100</f>
        <v/>
      </c>
      <c r="AX1000" s="82">
        <f>($J1000-$H1000)*100</f>
        <v/>
      </c>
      <c r="AY1000" s="82">
        <f>($L1000-$H1000)*100</f>
        <v/>
      </c>
      <c r="AZ1000" s="82">
        <f>($L1000-$J1000)*100</f>
        <v/>
      </c>
      <c r="BA1000" s="82">
        <f>(2*$H1000-$F1000-$J1000)*100</f>
        <v/>
      </c>
      <c r="BB1000" s="82">
        <f>(2*$J1000-$H1000-$L1000)*100</f>
        <v/>
      </c>
      <c r="BC1000" s="82">
        <f>($N1000-$F1000)*100</f>
        <v/>
      </c>
      <c r="BD1000" s="82">
        <f>($Q1000-$H1000)*100</f>
        <v/>
      </c>
      <c r="BE1000" s="82">
        <f>($S1000-$J1000)*100</f>
        <v/>
      </c>
      <c r="BF1000" s="82">
        <f>($V1000-$L1000)*100</f>
        <v/>
      </c>
      <c r="BG1000" s="82">
        <f>$AG1000-$AF1000</f>
        <v/>
      </c>
      <c r="BH1000" s="81">
        <f>IFERROR($AG1000/$AF1000,"")</f>
        <v/>
      </c>
      <c r="BI1000" s="82">
        <f>$AJ1000-$AF1000</f>
        <v/>
      </c>
      <c r="BJ1000" s="81">
        <f>IFERROR($AJ1000/$AG1000,"")</f>
        <v/>
      </c>
      <c r="BK1000" s="81">
        <f>$X1000</f>
        <v/>
      </c>
      <c r="BL1000" s="82">
        <f>($J1000-$J1001)*100</f>
        <v/>
      </c>
      <c r="BM1000" s="82">
        <f>($F1000-$F1001)*100</f>
        <v/>
      </c>
      <c r="BN1000" s="82">
        <f>$AF1000-$AF1001</f>
        <v/>
      </c>
      <c r="BO1000" s="82">
        <f>$AG1000-$AG1001</f>
        <v/>
      </c>
      <c r="BP1000" s="82">
        <f>$AJ1000-$AJ1001</f>
        <v/>
      </c>
    </row>
    <row r="1001">
      <c r="AR1001" s="81">
        <f>($G1001+($H1001-$G1001)*0.5)+($P1001-($O1001+($Q1001-$O1001)*0.5))</f>
        <v/>
      </c>
      <c r="AS1001" s="81">
        <f>($J1001+($K1001-$J1001)*0.5)+($T1001-($S1001+($U1001-$S1001)*0.5))</f>
        <v/>
      </c>
      <c r="AT1001" s="82">
        <f>($J1001-$C1001)*100</f>
        <v/>
      </c>
      <c r="AU1001" s="82">
        <f>($H1001-$F1001)*100</f>
        <v/>
      </c>
      <c r="AV1001" s="82">
        <f>($J1001-$F1001)*100</f>
        <v/>
      </c>
      <c r="AW1001" s="82">
        <f>($L1001-$F1001)*100</f>
        <v/>
      </c>
      <c r="AX1001" s="82">
        <f>($J1001-$H1001)*100</f>
        <v/>
      </c>
      <c r="AY1001" s="82">
        <f>($L1001-$H1001)*100</f>
        <v/>
      </c>
      <c r="AZ1001" s="82">
        <f>($L1001-$J1001)*100</f>
        <v/>
      </c>
      <c r="BA1001" s="82">
        <f>(2*$H1001-$F1001-$J1001)*100</f>
        <v/>
      </c>
      <c r="BB1001" s="82">
        <f>(2*$J1001-$H1001-$L1001)*100</f>
        <v/>
      </c>
      <c r="BC1001" s="82">
        <f>($N1001-$F1001)*100</f>
        <v/>
      </c>
      <c r="BD1001" s="82">
        <f>($Q1001-$H1001)*100</f>
        <v/>
      </c>
      <c r="BE1001" s="82">
        <f>($S1001-$J1001)*100</f>
        <v/>
      </c>
      <c r="BF1001" s="82">
        <f>($V1001-$L1001)*100</f>
        <v/>
      </c>
      <c r="BG1001" s="82">
        <f>$AG1001-$AF1001</f>
        <v/>
      </c>
      <c r="BH1001" s="81">
        <f>IFERROR($AG1001/$AF1001,"")</f>
        <v/>
      </c>
      <c r="BI1001" s="82">
        <f>$AJ1001-$AF1001</f>
        <v/>
      </c>
      <c r="BJ1001" s="81">
        <f>IFERROR($AJ1001/$AG1001,"")</f>
        <v/>
      </c>
      <c r="BK1001" s="81">
        <f>$X1001</f>
        <v/>
      </c>
      <c r="BL1001" s="82">
        <f>($J1001-$J1002)*100</f>
        <v/>
      </c>
      <c r="BM1001" s="82">
        <f>($F1001-$F1002)*100</f>
        <v/>
      </c>
      <c r="BN1001" s="82">
        <f>$AF1001-$AF1002</f>
        <v/>
      </c>
      <c r="BO1001" s="82">
        <f>$AG1001-$AG1002</f>
        <v/>
      </c>
      <c r="BP1001" s="82">
        <f>$AJ1001-$AJ1002</f>
        <v/>
      </c>
    </row>
    <row r="1002">
      <c r="AR1002" s="81">
        <f>($G1002+($H1002-$G1002)*0.5)+($P1002-($O1002+($Q1002-$O1002)*0.5))</f>
        <v/>
      </c>
      <c r="AS1002" s="81">
        <f>($J1002+($K1002-$J1002)*0.5)+($T1002-($S1002+($U1002-$S1002)*0.5))</f>
        <v/>
      </c>
      <c r="AT1002" s="82">
        <f>($J1002-$C1002)*100</f>
        <v/>
      </c>
      <c r="AU1002" s="82">
        <f>($H1002-$F1002)*100</f>
        <v/>
      </c>
      <c r="AV1002" s="82">
        <f>($J1002-$F1002)*100</f>
        <v/>
      </c>
      <c r="AW1002" s="82">
        <f>($L1002-$F1002)*100</f>
        <v/>
      </c>
      <c r="AX1002" s="82">
        <f>($J1002-$H1002)*100</f>
        <v/>
      </c>
      <c r="AY1002" s="82">
        <f>($L1002-$H1002)*100</f>
        <v/>
      </c>
      <c r="AZ1002" s="82">
        <f>($L1002-$J1002)*100</f>
        <v/>
      </c>
      <c r="BA1002" s="82">
        <f>(2*$H1002-$F1002-$J1002)*100</f>
        <v/>
      </c>
      <c r="BB1002" s="82">
        <f>(2*$J1002-$H1002-$L1002)*100</f>
        <v/>
      </c>
      <c r="BC1002" s="82">
        <f>($N1002-$F1002)*100</f>
        <v/>
      </c>
      <c r="BD1002" s="82">
        <f>($Q1002-$H1002)*100</f>
        <v/>
      </c>
      <c r="BE1002" s="82">
        <f>($S1002-$J1002)*100</f>
        <v/>
      </c>
      <c r="BF1002" s="82">
        <f>($V1002-$L1002)*100</f>
        <v/>
      </c>
      <c r="BG1002" s="82">
        <f>$AG1002-$AF1002</f>
        <v/>
      </c>
      <c r="BH1002" s="81">
        <f>IFERROR($AG1002/$AF1002,"")</f>
        <v/>
      </c>
      <c r="BI1002" s="82">
        <f>$AJ1002-$AF1002</f>
        <v/>
      </c>
      <c r="BJ1002" s="81">
        <f>IFERROR($AJ1002/$AG1002,"")</f>
        <v/>
      </c>
      <c r="BK1002" s="81">
        <f>$X1002</f>
        <v/>
      </c>
      <c r="BL1002" s="82">
        <f>($J1002-$J1003)*100</f>
        <v/>
      </c>
      <c r="BM1002" s="82">
        <f>($F1002-$F1003)*100</f>
        <v/>
      </c>
      <c r="BN1002" s="82">
        <f>$AF1002-$AF1003</f>
        <v/>
      </c>
      <c r="BO1002" s="82">
        <f>$AG1002-$AG1003</f>
        <v/>
      </c>
      <c r="BP1002" s="82">
        <f>$AJ1002-$AJ1003</f>
        <v/>
      </c>
    </row>
    <row r="1003">
      <c r="AR1003" s="81">
        <f>($G1003+($H1003-$G1003)*0.5)+($P1003-($O1003+($Q1003-$O1003)*0.5))</f>
        <v/>
      </c>
      <c r="AS1003" s="81">
        <f>($J1003+($K1003-$J1003)*0.5)+($T1003-($S1003+($U1003-$S1003)*0.5))</f>
        <v/>
      </c>
      <c r="AT1003" s="82">
        <f>($J1003-$C1003)*100</f>
        <v/>
      </c>
      <c r="AU1003" s="82">
        <f>($H1003-$F1003)*100</f>
        <v/>
      </c>
      <c r="AV1003" s="82">
        <f>($J1003-$F1003)*100</f>
        <v/>
      </c>
      <c r="AW1003" s="82">
        <f>($L1003-$F1003)*100</f>
        <v/>
      </c>
      <c r="AX1003" s="82">
        <f>($J1003-$H1003)*100</f>
        <v/>
      </c>
      <c r="AY1003" s="82">
        <f>($L1003-$H1003)*100</f>
        <v/>
      </c>
      <c r="AZ1003" s="82">
        <f>($L1003-$J1003)*100</f>
        <v/>
      </c>
      <c r="BA1003" s="82">
        <f>(2*$H1003-$F1003-$J1003)*100</f>
        <v/>
      </c>
      <c r="BB1003" s="82">
        <f>(2*$J1003-$H1003-$L1003)*100</f>
        <v/>
      </c>
      <c r="BC1003" s="82">
        <f>($N1003-$F1003)*100</f>
        <v/>
      </c>
      <c r="BD1003" s="82">
        <f>($Q1003-$H1003)*100</f>
        <v/>
      </c>
      <c r="BE1003" s="82">
        <f>($S1003-$J1003)*100</f>
        <v/>
      </c>
      <c r="BF1003" s="82">
        <f>($V1003-$L1003)*100</f>
        <v/>
      </c>
      <c r="BG1003" s="82">
        <f>$AG1003-$AF1003</f>
        <v/>
      </c>
      <c r="BH1003" s="81">
        <f>IFERROR($AG1003/$AF1003,"")</f>
        <v/>
      </c>
      <c r="BI1003" s="82">
        <f>$AJ1003-$AF1003</f>
        <v/>
      </c>
      <c r="BJ1003" s="81">
        <f>IFERROR($AJ1003/$AG1003,"")</f>
        <v/>
      </c>
      <c r="BK1003" s="81">
        <f>$X1003</f>
        <v/>
      </c>
      <c r="BL1003" s="82">
        <f>($J1003-$J1004)*100</f>
        <v/>
      </c>
      <c r="BM1003" s="82">
        <f>($F1003-$F1004)*100</f>
        <v/>
      </c>
      <c r="BN1003" s="82">
        <f>$AF1003-$AF1004</f>
        <v/>
      </c>
      <c r="BO1003" s="82">
        <f>$AG1003-$AG1004</f>
        <v/>
      </c>
      <c r="BP1003" s="82">
        <f>$AJ1003-$AJ1004</f>
        <v/>
      </c>
    </row>
    <row r="1004">
      <c r="AR1004" s="81">
        <f>($G1004+($H1004-$G1004)*0.5)+($P1004-($O1004+($Q1004-$O1004)*0.5))</f>
        <v/>
      </c>
      <c r="AS1004" s="81">
        <f>($J1004+($K1004-$J1004)*0.5)+($T1004-($S1004+($U1004-$S1004)*0.5))</f>
        <v/>
      </c>
      <c r="AT1004" s="82">
        <f>($J1004-$C1004)*100</f>
        <v/>
      </c>
      <c r="AU1004" s="82">
        <f>($H1004-$F1004)*100</f>
        <v/>
      </c>
      <c r="AV1004" s="82">
        <f>($J1004-$F1004)*100</f>
        <v/>
      </c>
      <c r="AW1004" s="82">
        <f>($L1004-$F1004)*100</f>
        <v/>
      </c>
      <c r="AX1004" s="82">
        <f>($J1004-$H1004)*100</f>
        <v/>
      </c>
      <c r="AY1004" s="82">
        <f>($L1004-$H1004)*100</f>
        <v/>
      </c>
      <c r="AZ1004" s="82">
        <f>($L1004-$J1004)*100</f>
        <v/>
      </c>
      <c r="BA1004" s="82">
        <f>(2*$H1004-$F1004-$J1004)*100</f>
        <v/>
      </c>
      <c r="BB1004" s="82">
        <f>(2*$J1004-$H1004-$L1004)*100</f>
        <v/>
      </c>
      <c r="BC1004" s="82">
        <f>($N1004-$F1004)*100</f>
        <v/>
      </c>
      <c r="BD1004" s="82">
        <f>($Q1004-$H1004)*100</f>
        <v/>
      </c>
      <c r="BE1004" s="82">
        <f>($S1004-$J1004)*100</f>
        <v/>
      </c>
      <c r="BF1004" s="82">
        <f>($V1004-$L1004)*100</f>
        <v/>
      </c>
      <c r="BG1004" s="82">
        <f>$AG1004-$AF1004</f>
        <v/>
      </c>
      <c r="BH1004" s="81">
        <f>IFERROR($AG1004/$AF1004,"")</f>
        <v/>
      </c>
      <c r="BI1004" s="82">
        <f>$AJ1004-$AF1004</f>
        <v/>
      </c>
      <c r="BJ1004" s="81">
        <f>IFERROR($AJ1004/$AG1004,"")</f>
        <v/>
      </c>
      <c r="BK1004" s="81">
        <f>$X1004</f>
        <v/>
      </c>
      <c r="BL1004" s="82">
        <f>($J1004-$J1005)*100</f>
        <v/>
      </c>
      <c r="BM1004" s="82">
        <f>($F1004-$F1005)*100</f>
        <v/>
      </c>
      <c r="BN1004" s="82">
        <f>$AF1004-$AF1005</f>
        <v/>
      </c>
      <c r="BO1004" s="82">
        <f>$AG1004-$AG1005</f>
        <v/>
      </c>
      <c r="BP1004" s="82">
        <f>$AJ1004-$AJ1005</f>
        <v/>
      </c>
    </row>
    <row r="1005">
      <c r="AR1005" s="81">
        <f>($G1005+($H1005-$G1005)*0.5)+($P1005-($O1005+($Q1005-$O1005)*0.5))</f>
        <v/>
      </c>
      <c r="AS1005" s="81">
        <f>($J1005+($K1005-$J1005)*0.5)+($T1005-($S1005+($U1005-$S1005)*0.5))</f>
        <v/>
      </c>
      <c r="AT1005" s="82">
        <f>($J1005-$C1005)*100</f>
        <v/>
      </c>
      <c r="AU1005" s="82">
        <f>($H1005-$F1005)*100</f>
        <v/>
      </c>
      <c r="AV1005" s="82">
        <f>($J1005-$F1005)*100</f>
        <v/>
      </c>
      <c r="AW1005" s="82">
        <f>($L1005-$F1005)*100</f>
        <v/>
      </c>
      <c r="AX1005" s="82">
        <f>($J1005-$H1005)*100</f>
        <v/>
      </c>
      <c r="AY1005" s="82">
        <f>($L1005-$H1005)*100</f>
        <v/>
      </c>
      <c r="AZ1005" s="82">
        <f>($L1005-$J1005)*100</f>
        <v/>
      </c>
      <c r="BA1005" s="82">
        <f>(2*$H1005-$F1005-$J1005)*100</f>
        <v/>
      </c>
      <c r="BB1005" s="82">
        <f>(2*$J1005-$H1005-$L1005)*100</f>
        <v/>
      </c>
      <c r="BC1005" s="82">
        <f>($N1005-$F1005)*100</f>
        <v/>
      </c>
      <c r="BD1005" s="82">
        <f>($Q1005-$H1005)*100</f>
        <v/>
      </c>
      <c r="BE1005" s="82">
        <f>($S1005-$J1005)*100</f>
        <v/>
      </c>
      <c r="BF1005" s="82">
        <f>($V1005-$L1005)*100</f>
        <v/>
      </c>
      <c r="BG1005" s="82">
        <f>$AG1005-$AF1005</f>
        <v/>
      </c>
      <c r="BH1005" s="81">
        <f>IFERROR($AG1005/$AF1005,"")</f>
        <v/>
      </c>
      <c r="BI1005" s="82">
        <f>$AJ1005-$AF1005</f>
        <v/>
      </c>
      <c r="BJ1005" s="81">
        <f>IFERROR($AJ1005/$AG1005,"")</f>
        <v/>
      </c>
      <c r="BK1005" s="81">
        <f>$X1005</f>
        <v/>
      </c>
      <c r="BL1005" s="82">
        <f>($J1005-$J1006)*100</f>
        <v/>
      </c>
      <c r="BM1005" s="82">
        <f>($F1005-$F1006)*100</f>
        <v/>
      </c>
      <c r="BN1005" s="82">
        <f>$AF1005-$AF1006</f>
        <v/>
      </c>
      <c r="BO1005" s="82">
        <f>$AG1005-$AG1006</f>
        <v/>
      </c>
      <c r="BP1005" s="82">
        <f>$AJ1005-$AJ1006</f>
        <v/>
      </c>
    </row>
    <row r="1006">
      <c r="AR1006" s="81">
        <f>($G1006+($H1006-$G1006)*0.5)+($P1006-($O1006+($Q1006-$O1006)*0.5))</f>
        <v/>
      </c>
      <c r="AS1006" s="81">
        <f>($J1006+($K1006-$J1006)*0.5)+($T1006-($S1006+($U1006-$S1006)*0.5))</f>
        <v/>
      </c>
      <c r="AT1006" s="82">
        <f>($J1006-$C1006)*100</f>
        <v/>
      </c>
      <c r="AU1006" s="82">
        <f>($H1006-$F1006)*100</f>
        <v/>
      </c>
      <c r="AV1006" s="82">
        <f>($J1006-$F1006)*100</f>
        <v/>
      </c>
      <c r="AW1006" s="82">
        <f>($L1006-$F1006)*100</f>
        <v/>
      </c>
      <c r="AX1006" s="82">
        <f>($J1006-$H1006)*100</f>
        <v/>
      </c>
      <c r="AY1006" s="82">
        <f>($L1006-$H1006)*100</f>
        <v/>
      </c>
      <c r="AZ1006" s="82">
        <f>($L1006-$J1006)*100</f>
        <v/>
      </c>
      <c r="BA1006" s="82">
        <f>(2*$H1006-$F1006-$J1006)*100</f>
        <v/>
      </c>
      <c r="BB1006" s="82">
        <f>(2*$J1006-$H1006-$L1006)*100</f>
        <v/>
      </c>
      <c r="BC1006" s="82">
        <f>($N1006-$F1006)*100</f>
        <v/>
      </c>
      <c r="BD1006" s="82">
        <f>($Q1006-$H1006)*100</f>
        <v/>
      </c>
      <c r="BE1006" s="82">
        <f>($S1006-$J1006)*100</f>
        <v/>
      </c>
      <c r="BF1006" s="82">
        <f>($V1006-$L1006)*100</f>
        <v/>
      </c>
      <c r="BG1006" s="82">
        <f>$AG1006-$AF1006</f>
        <v/>
      </c>
      <c r="BH1006" s="81">
        <f>IFERROR($AG1006/$AF1006,"")</f>
        <v/>
      </c>
      <c r="BI1006" s="82">
        <f>$AJ1006-$AF1006</f>
        <v/>
      </c>
      <c r="BJ1006" s="81">
        <f>IFERROR($AJ1006/$AG1006,"")</f>
        <v/>
      </c>
      <c r="BK1006" s="81">
        <f>$X1006</f>
        <v/>
      </c>
      <c r="BL1006" s="82">
        <f>($J1006-$J1007)*100</f>
        <v/>
      </c>
      <c r="BM1006" s="82">
        <f>($F1006-$F1007)*100</f>
        <v/>
      </c>
      <c r="BN1006" s="82">
        <f>$AF1006-$AF1007</f>
        <v/>
      </c>
      <c r="BO1006" s="82">
        <f>$AG1006-$AG1007</f>
        <v/>
      </c>
      <c r="BP1006" s="82">
        <f>$AJ1006-$AJ1007</f>
        <v/>
      </c>
    </row>
    <row r="1007">
      <c r="AR1007" s="81">
        <f>($G1007+($H1007-$G1007)*0.5)+($P1007-($O1007+($Q1007-$O1007)*0.5))</f>
        <v/>
      </c>
      <c r="AS1007" s="81">
        <f>($J1007+($K1007-$J1007)*0.5)+($T1007-($S1007+($U1007-$S1007)*0.5))</f>
        <v/>
      </c>
      <c r="AT1007" s="82">
        <f>($J1007-$C1007)*100</f>
        <v/>
      </c>
      <c r="AU1007" s="82">
        <f>($H1007-$F1007)*100</f>
        <v/>
      </c>
      <c r="AV1007" s="82">
        <f>($J1007-$F1007)*100</f>
        <v/>
      </c>
      <c r="AW1007" s="82">
        <f>($L1007-$F1007)*100</f>
        <v/>
      </c>
      <c r="AX1007" s="82">
        <f>($J1007-$H1007)*100</f>
        <v/>
      </c>
      <c r="AY1007" s="82">
        <f>($L1007-$H1007)*100</f>
        <v/>
      </c>
      <c r="AZ1007" s="82">
        <f>($L1007-$J1007)*100</f>
        <v/>
      </c>
      <c r="BA1007" s="82">
        <f>(2*$H1007-$F1007-$J1007)*100</f>
        <v/>
      </c>
      <c r="BB1007" s="82">
        <f>(2*$J1007-$H1007-$L1007)*100</f>
        <v/>
      </c>
      <c r="BC1007" s="82">
        <f>($N1007-$F1007)*100</f>
        <v/>
      </c>
      <c r="BD1007" s="82">
        <f>($Q1007-$H1007)*100</f>
        <v/>
      </c>
      <c r="BE1007" s="82">
        <f>($S1007-$J1007)*100</f>
        <v/>
      </c>
      <c r="BF1007" s="82">
        <f>($V1007-$L1007)*100</f>
        <v/>
      </c>
      <c r="BG1007" s="82">
        <f>$AG1007-$AF1007</f>
        <v/>
      </c>
      <c r="BH1007" s="81">
        <f>IFERROR($AG1007/$AF1007,"")</f>
        <v/>
      </c>
      <c r="BI1007" s="82">
        <f>$AJ1007-$AF1007</f>
        <v/>
      </c>
      <c r="BJ1007" s="81">
        <f>IFERROR($AJ1007/$AG1007,"")</f>
        <v/>
      </c>
      <c r="BK1007" s="81">
        <f>$X1007</f>
        <v/>
      </c>
      <c r="BL1007" s="82">
        <f>($J1007-$J1008)*100</f>
        <v/>
      </c>
      <c r="BM1007" s="82">
        <f>($F1007-$F1008)*100</f>
        <v/>
      </c>
      <c r="BN1007" s="82">
        <f>$AF1007-$AF1008</f>
        <v/>
      </c>
      <c r="BO1007" s="82">
        <f>$AG1007-$AG1008</f>
        <v/>
      </c>
      <c r="BP1007" s="82">
        <f>$AJ1007-$AJ1008</f>
        <v/>
      </c>
    </row>
    <row r="1008">
      <c r="AR1008" s="81">
        <f>($G1008+($H1008-$G1008)*0.5)+($P1008-($O1008+($Q1008-$O1008)*0.5))</f>
        <v/>
      </c>
      <c r="AS1008" s="81">
        <f>($J1008+($K1008-$J1008)*0.5)+($T1008-($S1008+($U1008-$S1008)*0.5))</f>
        <v/>
      </c>
      <c r="AT1008" s="82">
        <f>($J1008-$C1008)*100</f>
        <v/>
      </c>
      <c r="AU1008" s="82">
        <f>($H1008-$F1008)*100</f>
        <v/>
      </c>
      <c r="AV1008" s="82">
        <f>($J1008-$F1008)*100</f>
        <v/>
      </c>
      <c r="AW1008" s="82">
        <f>($L1008-$F1008)*100</f>
        <v/>
      </c>
      <c r="AX1008" s="82">
        <f>($J1008-$H1008)*100</f>
        <v/>
      </c>
      <c r="AY1008" s="82">
        <f>($L1008-$H1008)*100</f>
        <v/>
      </c>
      <c r="AZ1008" s="82">
        <f>($L1008-$J1008)*100</f>
        <v/>
      </c>
      <c r="BA1008" s="82">
        <f>(2*$H1008-$F1008-$J1008)*100</f>
        <v/>
      </c>
      <c r="BB1008" s="82">
        <f>(2*$J1008-$H1008-$L1008)*100</f>
        <v/>
      </c>
      <c r="BC1008" s="82">
        <f>($N1008-$F1008)*100</f>
        <v/>
      </c>
      <c r="BD1008" s="82">
        <f>($Q1008-$H1008)*100</f>
        <v/>
      </c>
      <c r="BE1008" s="82">
        <f>($S1008-$J1008)*100</f>
        <v/>
      </c>
      <c r="BF1008" s="82">
        <f>($V1008-$L1008)*100</f>
        <v/>
      </c>
      <c r="BG1008" s="82">
        <f>$AG1008-$AF1008</f>
        <v/>
      </c>
      <c r="BH1008" s="81">
        <f>IFERROR($AG1008/$AF1008,"")</f>
        <v/>
      </c>
      <c r="BI1008" s="82">
        <f>$AJ1008-$AF1008</f>
        <v/>
      </c>
      <c r="BJ1008" s="81">
        <f>IFERROR($AJ1008/$AG1008,"")</f>
        <v/>
      </c>
      <c r="BK1008" s="81">
        <f>$X1008</f>
        <v/>
      </c>
      <c r="BL1008" s="82">
        <f>($J1008-$J1009)*100</f>
        <v/>
      </c>
      <c r="BM1008" s="82">
        <f>($F1008-$F1009)*100</f>
        <v/>
      </c>
      <c r="BN1008" s="82">
        <f>$AF1008-$AF1009</f>
        <v/>
      </c>
      <c r="BO1008" s="82">
        <f>$AG1008-$AG1009</f>
        <v/>
      </c>
      <c r="BP1008" s="82">
        <f>$AJ1008-$AJ1009</f>
        <v/>
      </c>
    </row>
    <row r="1009">
      <c r="AR1009" s="81">
        <f>($G1009+($H1009-$G1009)*0.5)+($P1009-($O1009+($Q1009-$O1009)*0.5))</f>
        <v/>
      </c>
      <c r="AS1009" s="81">
        <f>($J1009+($K1009-$J1009)*0.5)+($T1009-($S1009+($U1009-$S1009)*0.5))</f>
        <v/>
      </c>
      <c r="AT1009" s="82">
        <f>($J1009-$C1009)*100</f>
        <v/>
      </c>
      <c r="AU1009" s="82">
        <f>($H1009-$F1009)*100</f>
        <v/>
      </c>
      <c r="AV1009" s="82">
        <f>($J1009-$F1009)*100</f>
        <v/>
      </c>
      <c r="AW1009" s="82">
        <f>($L1009-$F1009)*100</f>
        <v/>
      </c>
      <c r="AX1009" s="82">
        <f>($J1009-$H1009)*100</f>
        <v/>
      </c>
      <c r="AY1009" s="82">
        <f>($L1009-$H1009)*100</f>
        <v/>
      </c>
      <c r="AZ1009" s="82">
        <f>($L1009-$J1009)*100</f>
        <v/>
      </c>
      <c r="BA1009" s="82">
        <f>(2*$H1009-$F1009-$J1009)*100</f>
        <v/>
      </c>
      <c r="BB1009" s="82">
        <f>(2*$J1009-$H1009-$L1009)*100</f>
        <v/>
      </c>
      <c r="BC1009" s="82">
        <f>($N1009-$F1009)*100</f>
        <v/>
      </c>
      <c r="BD1009" s="82">
        <f>($Q1009-$H1009)*100</f>
        <v/>
      </c>
      <c r="BE1009" s="82">
        <f>($S1009-$J1009)*100</f>
        <v/>
      </c>
      <c r="BF1009" s="82">
        <f>($V1009-$L1009)*100</f>
        <v/>
      </c>
      <c r="BG1009" s="82">
        <f>$AG1009-$AF1009</f>
        <v/>
      </c>
      <c r="BH1009" s="81">
        <f>IFERROR($AG1009/$AF1009,"")</f>
        <v/>
      </c>
      <c r="BI1009" s="82">
        <f>$AJ1009-$AF1009</f>
        <v/>
      </c>
      <c r="BJ1009" s="81">
        <f>IFERROR($AJ1009/$AG1009,"")</f>
        <v/>
      </c>
      <c r="BK1009" s="81">
        <f>$X1009</f>
        <v/>
      </c>
      <c r="BL1009" s="82">
        <f>($J1009-$J1010)*100</f>
        <v/>
      </c>
      <c r="BM1009" s="82">
        <f>($F1009-$F1010)*100</f>
        <v/>
      </c>
      <c r="BN1009" s="82">
        <f>$AF1009-$AF1010</f>
        <v/>
      </c>
      <c r="BO1009" s="82">
        <f>$AG1009-$AG1010</f>
        <v/>
      </c>
      <c r="BP1009" s="82">
        <f>$AJ1009-$AJ1010</f>
        <v/>
      </c>
    </row>
    <row r="1010">
      <c r="AR1010" s="81">
        <f>($G1010+($H1010-$G1010)*0.5)+($P1010-($O1010+($Q1010-$O1010)*0.5))</f>
        <v/>
      </c>
      <c r="AS1010" s="81">
        <f>($J1010+($K1010-$J1010)*0.5)+($T1010-($S1010+($U1010-$S1010)*0.5))</f>
        <v/>
      </c>
      <c r="AT1010" s="82">
        <f>($J1010-$C1010)*100</f>
        <v/>
      </c>
      <c r="AU1010" s="82">
        <f>($H1010-$F1010)*100</f>
        <v/>
      </c>
      <c r="AV1010" s="82">
        <f>($J1010-$F1010)*100</f>
        <v/>
      </c>
      <c r="AW1010" s="82">
        <f>($L1010-$F1010)*100</f>
        <v/>
      </c>
      <c r="AX1010" s="82">
        <f>($J1010-$H1010)*100</f>
        <v/>
      </c>
      <c r="AY1010" s="82">
        <f>($L1010-$H1010)*100</f>
        <v/>
      </c>
      <c r="AZ1010" s="82">
        <f>($L1010-$J1010)*100</f>
        <v/>
      </c>
      <c r="BA1010" s="82">
        <f>(2*$H1010-$F1010-$J1010)*100</f>
        <v/>
      </c>
      <c r="BB1010" s="82">
        <f>(2*$J1010-$H1010-$L1010)*100</f>
        <v/>
      </c>
      <c r="BC1010" s="82">
        <f>($N1010-$F1010)*100</f>
        <v/>
      </c>
      <c r="BD1010" s="82">
        <f>($Q1010-$H1010)*100</f>
        <v/>
      </c>
      <c r="BE1010" s="82">
        <f>($S1010-$J1010)*100</f>
        <v/>
      </c>
      <c r="BF1010" s="82">
        <f>($V1010-$L1010)*100</f>
        <v/>
      </c>
      <c r="BG1010" s="82">
        <f>$AG1010-$AF1010</f>
        <v/>
      </c>
      <c r="BH1010" s="81">
        <f>IFERROR($AG1010/$AF1010,"")</f>
        <v/>
      </c>
      <c r="BI1010" s="82">
        <f>$AJ1010-$AF1010</f>
        <v/>
      </c>
      <c r="BJ1010" s="81">
        <f>IFERROR($AJ1010/$AG1010,"")</f>
        <v/>
      </c>
      <c r="BK1010" s="81">
        <f>$X1010</f>
        <v/>
      </c>
      <c r="BL1010" s="82">
        <f>($J1010-$J1011)*100</f>
        <v/>
      </c>
      <c r="BM1010" s="82">
        <f>($F1010-$F1011)*100</f>
        <v/>
      </c>
      <c r="BN1010" s="82">
        <f>$AF1010-$AF1011</f>
        <v/>
      </c>
      <c r="BO1010" s="82">
        <f>$AG1010-$AG1011</f>
        <v/>
      </c>
      <c r="BP1010" s="82">
        <f>$AJ1010-$AJ1011</f>
        <v/>
      </c>
    </row>
    <row r="1011">
      <c r="AR1011" s="81">
        <f>($G1011+($H1011-$G1011)*0.5)+($P1011-($O1011+($Q1011-$O1011)*0.5))</f>
        <v/>
      </c>
      <c r="AS1011" s="81">
        <f>($J1011+($K1011-$J1011)*0.5)+($T1011-($S1011+($U1011-$S1011)*0.5))</f>
        <v/>
      </c>
      <c r="AT1011" s="82">
        <f>($J1011-$C1011)*100</f>
        <v/>
      </c>
      <c r="AU1011" s="82">
        <f>($H1011-$F1011)*100</f>
        <v/>
      </c>
      <c r="AV1011" s="82">
        <f>($J1011-$F1011)*100</f>
        <v/>
      </c>
      <c r="AW1011" s="82">
        <f>($L1011-$F1011)*100</f>
        <v/>
      </c>
      <c r="AX1011" s="82">
        <f>($J1011-$H1011)*100</f>
        <v/>
      </c>
      <c r="AY1011" s="82">
        <f>($L1011-$H1011)*100</f>
        <v/>
      </c>
      <c r="AZ1011" s="82">
        <f>($L1011-$J1011)*100</f>
        <v/>
      </c>
      <c r="BA1011" s="82">
        <f>(2*$H1011-$F1011-$J1011)*100</f>
        <v/>
      </c>
      <c r="BB1011" s="82">
        <f>(2*$J1011-$H1011-$L1011)*100</f>
        <v/>
      </c>
      <c r="BC1011" s="82">
        <f>($N1011-$F1011)*100</f>
        <v/>
      </c>
      <c r="BD1011" s="82">
        <f>($Q1011-$H1011)*100</f>
        <v/>
      </c>
      <c r="BE1011" s="82">
        <f>($S1011-$J1011)*100</f>
        <v/>
      </c>
      <c r="BF1011" s="82">
        <f>($V1011-$L1011)*100</f>
        <v/>
      </c>
      <c r="BG1011" s="82">
        <f>$AG1011-$AF1011</f>
        <v/>
      </c>
      <c r="BH1011" s="81">
        <f>IFERROR($AG1011/$AF1011,"")</f>
        <v/>
      </c>
      <c r="BI1011" s="82">
        <f>$AJ1011-$AF1011</f>
        <v/>
      </c>
      <c r="BJ1011" s="81">
        <f>IFERROR($AJ1011/$AG1011,"")</f>
        <v/>
      </c>
      <c r="BK1011" s="81">
        <f>$X1011</f>
        <v/>
      </c>
      <c r="BL1011" s="82">
        <f>($J1011-$J1012)*100</f>
        <v/>
      </c>
      <c r="BM1011" s="82">
        <f>($F1011-$F1012)*100</f>
        <v/>
      </c>
      <c r="BN1011" s="82">
        <f>$AF1011-$AF1012</f>
        <v/>
      </c>
      <c r="BO1011" s="82">
        <f>$AG1011-$AG1012</f>
        <v/>
      </c>
      <c r="BP1011" s="82">
        <f>$AJ1011-$AJ1012</f>
        <v/>
      </c>
    </row>
    <row r="1012">
      <c r="AR1012" s="81">
        <f>($G1012+($H1012-$G1012)*0.5)+($P1012-($O1012+($Q1012-$O1012)*0.5))</f>
        <v/>
      </c>
      <c r="AS1012" s="81">
        <f>($J1012+($K1012-$J1012)*0.5)+($T1012-($S1012+($U1012-$S1012)*0.5))</f>
        <v/>
      </c>
      <c r="AT1012" s="82">
        <f>($J1012-$C1012)*100</f>
        <v/>
      </c>
      <c r="AU1012" s="82">
        <f>($H1012-$F1012)*100</f>
        <v/>
      </c>
      <c r="AV1012" s="82">
        <f>($J1012-$F1012)*100</f>
        <v/>
      </c>
      <c r="AW1012" s="82">
        <f>($L1012-$F1012)*100</f>
        <v/>
      </c>
      <c r="AX1012" s="82">
        <f>($J1012-$H1012)*100</f>
        <v/>
      </c>
      <c r="AY1012" s="82">
        <f>($L1012-$H1012)*100</f>
        <v/>
      </c>
      <c r="AZ1012" s="82">
        <f>($L1012-$J1012)*100</f>
        <v/>
      </c>
      <c r="BA1012" s="82">
        <f>(2*$H1012-$F1012-$J1012)*100</f>
        <v/>
      </c>
      <c r="BB1012" s="82">
        <f>(2*$J1012-$H1012-$L1012)*100</f>
        <v/>
      </c>
      <c r="BC1012" s="82">
        <f>($N1012-$F1012)*100</f>
        <v/>
      </c>
      <c r="BD1012" s="82">
        <f>($Q1012-$H1012)*100</f>
        <v/>
      </c>
      <c r="BE1012" s="82">
        <f>($S1012-$J1012)*100</f>
        <v/>
      </c>
      <c r="BF1012" s="82">
        <f>($V1012-$L1012)*100</f>
        <v/>
      </c>
      <c r="BG1012" s="82">
        <f>$AG1012-$AF1012</f>
        <v/>
      </c>
      <c r="BH1012" s="81">
        <f>IFERROR($AG1012/$AF1012,"")</f>
        <v/>
      </c>
      <c r="BI1012" s="82">
        <f>$AJ1012-$AF1012</f>
        <v/>
      </c>
      <c r="BJ1012" s="81">
        <f>IFERROR($AJ1012/$AG1012,"")</f>
        <v/>
      </c>
      <c r="BK1012" s="81">
        <f>$X1012</f>
        <v/>
      </c>
      <c r="BL1012" s="82">
        <f>($J1012-$J1013)*100</f>
        <v/>
      </c>
      <c r="BM1012" s="82">
        <f>($F1012-$F1013)*100</f>
        <v/>
      </c>
      <c r="BN1012" s="82">
        <f>$AF1012-$AF1013</f>
        <v/>
      </c>
      <c r="BO1012" s="82">
        <f>$AG1012-$AG1013</f>
        <v/>
      </c>
      <c r="BP1012" s="82">
        <f>$AJ1012-$AJ1013</f>
        <v/>
      </c>
    </row>
    <row r="1013">
      <c r="AR1013" s="81">
        <f>($G1013+($H1013-$G1013)*0.5)+($P1013-($O1013+($Q1013-$O1013)*0.5))</f>
        <v/>
      </c>
      <c r="AS1013" s="81">
        <f>($J1013+($K1013-$J1013)*0.5)+($T1013-($S1013+($U1013-$S1013)*0.5))</f>
        <v/>
      </c>
      <c r="AT1013" s="82">
        <f>($J1013-$C1013)*100</f>
        <v/>
      </c>
      <c r="AU1013" s="82">
        <f>($H1013-$F1013)*100</f>
        <v/>
      </c>
      <c r="AV1013" s="82">
        <f>($J1013-$F1013)*100</f>
        <v/>
      </c>
      <c r="AW1013" s="82">
        <f>($L1013-$F1013)*100</f>
        <v/>
      </c>
      <c r="AX1013" s="82">
        <f>($J1013-$H1013)*100</f>
        <v/>
      </c>
      <c r="AY1013" s="82">
        <f>($L1013-$H1013)*100</f>
        <v/>
      </c>
      <c r="AZ1013" s="82">
        <f>($L1013-$J1013)*100</f>
        <v/>
      </c>
      <c r="BA1013" s="82">
        <f>(2*$H1013-$F1013-$J1013)*100</f>
        <v/>
      </c>
      <c r="BB1013" s="82">
        <f>(2*$J1013-$H1013-$L1013)*100</f>
        <v/>
      </c>
      <c r="BC1013" s="82">
        <f>($N1013-$F1013)*100</f>
        <v/>
      </c>
      <c r="BD1013" s="82">
        <f>($Q1013-$H1013)*100</f>
        <v/>
      </c>
      <c r="BE1013" s="82">
        <f>($S1013-$J1013)*100</f>
        <v/>
      </c>
      <c r="BF1013" s="82">
        <f>($V1013-$L1013)*100</f>
        <v/>
      </c>
      <c r="BG1013" s="82">
        <f>$AG1013-$AF1013</f>
        <v/>
      </c>
      <c r="BH1013" s="81">
        <f>IFERROR($AG1013/$AF1013,"")</f>
        <v/>
      </c>
      <c r="BI1013" s="82">
        <f>$AJ1013-$AF1013</f>
        <v/>
      </c>
      <c r="BJ1013" s="81">
        <f>IFERROR($AJ1013/$AG1013,"")</f>
        <v/>
      </c>
      <c r="BK1013" s="81">
        <f>$X1013</f>
        <v/>
      </c>
      <c r="BL1013" s="82">
        <f>($J1013-$J1014)*100</f>
        <v/>
      </c>
      <c r="BM1013" s="82">
        <f>($F1013-$F1014)*100</f>
        <v/>
      </c>
      <c r="BN1013" s="82">
        <f>$AF1013-$AF1014</f>
        <v/>
      </c>
      <c r="BO1013" s="82">
        <f>$AG1013-$AG1014</f>
        <v/>
      </c>
      <c r="BP1013" s="82">
        <f>$AJ1013-$AJ1014</f>
        <v/>
      </c>
    </row>
    <row r="1014">
      <c r="AR1014" s="81">
        <f>($G1014+($H1014-$G1014)*0.5)+($P1014-($O1014+($Q1014-$O1014)*0.5))</f>
        <v/>
      </c>
      <c r="AS1014" s="81">
        <f>($J1014+($K1014-$J1014)*0.5)+($T1014-($S1014+($U1014-$S1014)*0.5))</f>
        <v/>
      </c>
      <c r="AT1014" s="82">
        <f>($J1014-$C1014)*100</f>
        <v/>
      </c>
      <c r="AU1014" s="82">
        <f>($H1014-$F1014)*100</f>
        <v/>
      </c>
      <c r="AV1014" s="82">
        <f>($J1014-$F1014)*100</f>
        <v/>
      </c>
      <c r="AW1014" s="82">
        <f>($L1014-$F1014)*100</f>
        <v/>
      </c>
      <c r="AX1014" s="82">
        <f>($J1014-$H1014)*100</f>
        <v/>
      </c>
      <c r="AY1014" s="82">
        <f>($L1014-$H1014)*100</f>
        <v/>
      </c>
      <c r="AZ1014" s="82">
        <f>($L1014-$J1014)*100</f>
        <v/>
      </c>
      <c r="BA1014" s="82">
        <f>(2*$H1014-$F1014-$J1014)*100</f>
        <v/>
      </c>
      <c r="BB1014" s="82">
        <f>(2*$J1014-$H1014-$L1014)*100</f>
        <v/>
      </c>
      <c r="BC1014" s="82">
        <f>($N1014-$F1014)*100</f>
        <v/>
      </c>
      <c r="BD1014" s="82">
        <f>($Q1014-$H1014)*100</f>
        <v/>
      </c>
      <c r="BE1014" s="82">
        <f>($S1014-$J1014)*100</f>
        <v/>
      </c>
      <c r="BF1014" s="82">
        <f>($V1014-$L1014)*100</f>
        <v/>
      </c>
      <c r="BG1014" s="82">
        <f>$AG1014-$AF1014</f>
        <v/>
      </c>
      <c r="BH1014" s="81">
        <f>IFERROR($AG1014/$AF1014,"")</f>
        <v/>
      </c>
      <c r="BI1014" s="82">
        <f>$AJ1014-$AF1014</f>
        <v/>
      </c>
      <c r="BJ1014" s="81">
        <f>IFERROR($AJ1014/$AG1014,"")</f>
        <v/>
      </c>
      <c r="BK1014" s="81">
        <f>$X1014</f>
        <v/>
      </c>
      <c r="BL1014" s="82">
        <f>($J1014-$J1015)*100</f>
        <v/>
      </c>
      <c r="BM1014" s="82">
        <f>($F1014-$F1015)*100</f>
        <v/>
      </c>
      <c r="BN1014" s="82">
        <f>$AF1014-$AF1015</f>
        <v/>
      </c>
      <c r="BO1014" s="82">
        <f>$AG1014-$AG1015</f>
        <v/>
      </c>
      <c r="BP1014" s="82">
        <f>$AJ1014-$AJ1015</f>
        <v/>
      </c>
    </row>
    <row r="1015">
      <c r="AR1015" s="81">
        <f>($G1015+($H1015-$G1015)*0.5)+($P1015-($O1015+($Q1015-$O1015)*0.5))</f>
        <v/>
      </c>
      <c r="AS1015" s="81">
        <f>($J1015+($K1015-$J1015)*0.5)+($T1015-($S1015+($U1015-$S1015)*0.5))</f>
        <v/>
      </c>
      <c r="AT1015" s="82">
        <f>($J1015-$C1015)*100</f>
        <v/>
      </c>
      <c r="AU1015" s="82">
        <f>($H1015-$F1015)*100</f>
        <v/>
      </c>
      <c r="AV1015" s="82">
        <f>($J1015-$F1015)*100</f>
        <v/>
      </c>
      <c r="AW1015" s="82">
        <f>($L1015-$F1015)*100</f>
        <v/>
      </c>
      <c r="AX1015" s="82">
        <f>($J1015-$H1015)*100</f>
        <v/>
      </c>
      <c r="AY1015" s="82">
        <f>($L1015-$H1015)*100</f>
        <v/>
      </c>
      <c r="AZ1015" s="82">
        <f>($L1015-$J1015)*100</f>
        <v/>
      </c>
      <c r="BA1015" s="82">
        <f>(2*$H1015-$F1015-$J1015)*100</f>
        <v/>
      </c>
      <c r="BB1015" s="82">
        <f>(2*$J1015-$H1015-$L1015)*100</f>
        <v/>
      </c>
      <c r="BC1015" s="82">
        <f>($N1015-$F1015)*100</f>
        <v/>
      </c>
      <c r="BD1015" s="82">
        <f>($Q1015-$H1015)*100</f>
        <v/>
      </c>
      <c r="BE1015" s="82">
        <f>($S1015-$J1015)*100</f>
        <v/>
      </c>
      <c r="BF1015" s="82">
        <f>($V1015-$L1015)*100</f>
        <v/>
      </c>
      <c r="BG1015" s="82">
        <f>$AG1015-$AF1015</f>
        <v/>
      </c>
      <c r="BH1015" s="81">
        <f>IFERROR($AG1015/$AF1015,"")</f>
        <v/>
      </c>
      <c r="BI1015" s="82">
        <f>$AJ1015-$AF1015</f>
        <v/>
      </c>
      <c r="BJ1015" s="81">
        <f>IFERROR($AJ1015/$AG1015,"")</f>
        <v/>
      </c>
      <c r="BK1015" s="81">
        <f>$X1015</f>
        <v/>
      </c>
      <c r="BL1015" s="82">
        <f>($J1015-$J1016)*100</f>
        <v/>
      </c>
      <c r="BM1015" s="82">
        <f>($F1015-$F1016)*100</f>
        <v/>
      </c>
      <c r="BN1015" s="82">
        <f>$AF1015-$AF1016</f>
        <v/>
      </c>
      <c r="BO1015" s="82">
        <f>$AG1015-$AG1016</f>
        <v/>
      </c>
      <c r="BP1015" s="82">
        <f>$AJ1015-$AJ1016</f>
        <v/>
      </c>
    </row>
    <row r="1016">
      <c r="AR1016" s="81">
        <f>($G1016+($H1016-$G1016)*0.5)+($P1016-($O1016+($Q1016-$O1016)*0.5))</f>
        <v/>
      </c>
      <c r="AS1016" s="81">
        <f>($J1016+($K1016-$J1016)*0.5)+($T1016-($S1016+($U1016-$S1016)*0.5))</f>
        <v/>
      </c>
      <c r="AT1016" s="82">
        <f>($J1016-$C1016)*100</f>
        <v/>
      </c>
      <c r="AU1016" s="82">
        <f>($H1016-$F1016)*100</f>
        <v/>
      </c>
      <c r="AV1016" s="82">
        <f>($J1016-$F1016)*100</f>
        <v/>
      </c>
      <c r="AW1016" s="82">
        <f>($L1016-$F1016)*100</f>
        <v/>
      </c>
      <c r="AX1016" s="82">
        <f>($J1016-$H1016)*100</f>
        <v/>
      </c>
      <c r="AY1016" s="82">
        <f>($L1016-$H1016)*100</f>
        <v/>
      </c>
      <c r="AZ1016" s="82">
        <f>($L1016-$J1016)*100</f>
        <v/>
      </c>
      <c r="BA1016" s="82">
        <f>(2*$H1016-$F1016-$J1016)*100</f>
        <v/>
      </c>
      <c r="BB1016" s="82">
        <f>(2*$J1016-$H1016-$L1016)*100</f>
        <v/>
      </c>
      <c r="BC1016" s="82">
        <f>($N1016-$F1016)*100</f>
        <v/>
      </c>
      <c r="BD1016" s="82">
        <f>($Q1016-$H1016)*100</f>
        <v/>
      </c>
      <c r="BE1016" s="82">
        <f>($S1016-$J1016)*100</f>
        <v/>
      </c>
      <c r="BF1016" s="82">
        <f>($V1016-$L1016)*100</f>
        <v/>
      </c>
      <c r="BG1016" s="82">
        <f>$AG1016-$AF1016</f>
        <v/>
      </c>
      <c r="BH1016" s="81">
        <f>IFERROR($AG1016/$AF1016,"")</f>
        <v/>
      </c>
      <c r="BI1016" s="82">
        <f>$AJ1016-$AF1016</f>
        <v/>
      </c>
      <c r="BJ1016" s="81">
        <f>IFERROR($AJ1016/$AG1016,"")</f>
        <v/>
      </c>
      <c r="BK1016" s="81">
        <f>$X1016</f>
        <v/>
      </c>
      <c r="BL1016" s="82">
        <f>($J1016-$J1017)*100</f>
        <v/>
      </c>
      <c r="BM1016" s="82">
        <f>($F1016-$F1017)*100</f>
        <v/>
      </c>
      <c r="BN1016" s="82">
        <f>$AF1016-$AF1017</f>
        <v/>
      </c>
      <c r="BO1016" s="82">
        <f>$AG1016-$AG1017</f>
        <v/>
      </c>
      <c r="BP1016" s="82">
        <f>$AJ1016-$AJ1017</f>
        <v/>
      </c>
    </row>
    <row r="1017">
      <c r="AR1017" s="81">
        <f>($G1017+($H1017-$G1017)*0.5)+($P1017-($O1017+($Q1017-$O1017)*0.5))</f>
        <v/>
      </c>
      <c r="AS1017" s="81">
        <f>($J1017+($K1017-$J1017)*0.5)+($T1017-($S1017+($U1017-$S1017)*0.5))</f>
        <v/>
      </c>
      <c r="AT1017" s="82">
        <f>($J1017-$C1017)*100</f>
        <v/>
      </c>
      <c r="AU1017" s="82">
        <f>($H1017-$F1017)*100</f>
        <v/>
      </c>
      <c r="AV1017" s="82">
        <f>($J1017-$F1017)*100</f>
        <v/>
      </c>
      <c r="AW1017" s="82">
        <f>($L1017-$F1017)*100</f>
        <v/>
      </c>
      <c r="AX1017" s="82">
        <f>($J1017-$H1017)*100</f>
        <v/>
      </c>
      <c r="AY1017" s="82">
        <f>($L1017-$H1017)*100</f>
        <v/>
      </c>
      <c r="AZ1017" s="82">
        <f>($L1017-$J1017)*100</f>
        <v/>
      </c>
      <c r="BA1017" s="82">
        <f>(2*$H1017-$F1017-$J1017)*100</f>
        <v/>
      </c>
      <c r="BB1017" s="82">
        <f>(2*$J1017-$H1017-$L1017)*100</f>
        <v/>
      </c>
      <c r="BC1017" s="82">
        <f>($N1017-$F1017)*100</f>
        <v/>
      </c>
      <c r="BD1017" s="82">
        <f>($Q1017-$H1017)*100</f>
        <v/>
      </c>
      <c r="BE1017" s="82">
        <f>($S1017-$J1017)*100</f>
        <v/>
      </c>
      <c r="BF1017" s="82">
        <f>($V1017-$L1017)*100</f>
        <v/>
      </c>
      <c r="BG1017" s="82">
        <f>$AG1017-$AF1017</f>
        <v/>
      </c>
      <c r="BH1017" s="81">
        <f>IFERROR($AG1017/$AF1017,"")</f>
        <v/>
      </c>
      <c r="BI1017" s="82">
        <f>$AJ1017-$AF1017</f>
        <v/>
      </c>
      <c r="BJ1017" s="81">
        <f>IFERROR($AJ1017/$AG1017,"")</f>
        <v/>
      </c>
      <c r="BK1017" s="81">
        <f>$X1017</f>
        <v/>
      </c>
      <c r="BL1017" s="82">
        <f>($J1017-$J1018)*100</f>
        <v/>
      </c>
      <c r="BM1017" s="82">
        <f>($F1017-$F1018)*100</f>
        <v/>
      </c>
      <c r="BN1017" s="82">
        <f>$AF1017-$AF1018</f>
        <v/>
      </c>
      <c r="BO1017" s="82">
        <f>$AG1017-$AG1018</f>
        <v/>
      </c>
      <c r="BP1017" s="82">
        <f>$AJ1017-$AJ1018</f>
        <v/>
      </c>
    </row>
    <row r="1018">
      <c r="AR1018" s="81">
        <f>($G1018+($H1018-$G1018)*0.5)+($P1018-($O1018+($Q1018-$O1018)*0.5))</f>
        <v/>
      </c>
      <c r="AS1018" s="81">
        <f>($J1018+($K1018-$J1018)*0.5)+($T1018-($S1018+($U1018-$S1018)*0.5))</f>
        <v/>
      </c>
      <c r="AT1018" s="82">
        <f>($J1018-$C1018)*100</f>
        <v/>
      </c>
      <c r="AU1018" s="82">
        <f>($H1018-$F1018)*100</f>
        <v/>
      </c>
      <c r="AV1018" s="82">
        <f>($J1018-$F1018)*100</f>
        <v/>
      </c>
      <c r="AW1018" s="82">
        <f>($L1018-$F1018)*100</f>
        <v/>
      </c>
      <c r="AX1018" s="82">
        <f>($J1018-$H1018)*100</f>
        <v/>
      </c>
      <c r="AY1018" s="82">
        <f>($L1018-$H1018)*100</f>
        <v/>
      </c>
      <c r="AZ1018" s="82">
        <f>($L1018-$J1018)*100</f>
        <v/>
      </c>
      <c r="BA1018" s="82">
        <f>(2*$H1018-$F1018-$J1018)*100</f>
        <v/>
      </c>
      <c r="BB1018" s="82">
        <f>(2*$J1018-$H1018-$L1018)*100</f>
        <v/>
      </c>
      <c r="BC1018" s="82">
        <f>($N1018-$F1018)*100</f>
        <v/>
      </c>
      <c r="BD1018" s="82">
        <f>($Q1018-$H1018)*100</f>
        <v/>
      </c>
      <c r="BE1018" s="82">
        <f>($S1018-$J1018)*100</f>
        <v/>
      </c>
      <c r="BF1018" s="82">
        <f>($V1018-$L1018)*100</f>
        <v/>
      </c>
      <c r="BG1018" s="82">
        <f>$AG1018-$AF1018</f>
        <v/>
      </c>
      <c r="BH1018" s="81">
        <f>IFERROR($AG1018/$AF1018,"")</f>
        <v/>
      </c>
      <c r="BI1018" s="82">
        <f>$AJ1018-$AF1018</f>
        <v/>
      </c>
      <c r="BJ1018" s="81">
        <f>IFERROR($AJ1018/$AG1018,"")</f>
        <v/>
      </c>
      <c r="BK1018" s="81">
        <f>$X1018</f>
        <v/>
      </c>
      <c r="BL1018" s="82">
        <f>($J1018-$J1019)*100</f>
        <v/>
      </c>
      <c r="BM1018" s="82">
        <f>($F1018-$F1019)*100</f>
        <v/>
      </c>
      <c r="BN1018" s="82">
        <f>$AF1018-$AF1019</f>
        <v/>
      </c>
      <c r="BO1018" s="82">
        <f>$AG1018-$AG1019</f>
        <v/>
      </c>
      <c r="BP1018" s="82">
        <f>$AJ1018-$AJ1019</f>
        <v/>
      </c>
    </row>
    <row r="1019">
      <c r="AR1019" s="81">
        <f>($G1019+($H1019-$G1019)*0.5)+($P1019-($O1019+($Q1019-$O1019)*0.5))</f>
        <v/>
      </c>
      <c r="AS1019" s="81">
        <f>($J1019+($K1019-$J1019)*0.5)+($T1019-($S1019+($U1019-$S1019)*0.5))</f>
        <v/>
      </c>
      <c r="AT1019" s="82">
        <f>($J1019-$C1019)*100</f>
        <v/>
      </c>
      <c r="AU1019" s="82">
        <f>($H1019-$F1019)*100</f>
        <v/>
      </c>
      <c r="AV1019" s="82">
        <f>($J1019-$F1019)*100</f>
        <v/>
      </c>
      <c r="AW1019" s="82">
        <f>($L1019-$F1019)*100</f>
        <v/>
      </c>
      <c r="AX1019" s="82">
        <f>($J1019-$H1019)*100</f>
        <v/>
      </c>
      <c r="AY1019" s="82">
        <f>($L1019-$H1019)*100</f>
        <v/>
      </c>
      <c r="AZ1019" s="82">
        <f>($L1019-$J1019)*100</f>
        <v/>
      </c>
      <c r="BA1019" s="82">
        <f>(2*$H1019-$F1019-$J1019)*100</f>
        <v/>
      </c>
      <c r="BB1019" s="82">
        <f>(2*$J1019-$H1019-$L1019)*100</f>
        <v/>
      </c>
      <c r="BC1019" s="82">
        <f>($N1019-$F1019)*100</f>
        <v/>
      </c>
      <c r="BD1019" s="82">
        <f>($Q1019-$H1019)*100</f>
        <v/>
      </c>
      <c r="BE1019" s="82">
        <f>($S1019-$J1019)*100</f>
        <v/>
      </c>
      <c r="BF1019" s="82">
        <f>($V1019-$L1019)*100</f>
        <v/>
      </c>
      <c r="BG1019" s="82">
        <f>$AG1019-$AF1019</f>
        <v/>
      </c>
      <c r="BH1019" s="81">
        <f>IFERROR($AG1019/$AF1019,"")</f>
        <v/>
      </c>
      <c r="BI1019" s="82">
        <f>$AJ1019-$AF1019</f>
        <v/>
      </c>
      <c r="BJ1019" s="81">
        <f>IFERROR($AJ1019/$AG1019,"")</f>
        <v/>
      </c>
      <c r="BK1019" s="81">
        <f>$X1019</f>
        <v/>
      </c>
      <c r="BL1019" s="82">
        <f>($J1019-$J1020)*100</f>
        <v/>
      </c>
      <c r="BM1019" s="82">
        <f>($F1019-$F1020)*100</f>
        <v/>
      </c>
      <c r="BN1019" s="82">
        <f>$AF1019-$AF1020</f>
        <v/>
      </c>
      <c r="BO1019" s="82">
        <f>$AG1019-$AG1020</f>
        <v/>
      </c>
      <c r="BP1019" s="82">
        <f>$AJ1019-$AJ1020</f>
        <v/>
      </c>
    </row>
    <row r="1020">
      <c r="AR1020" s="81">
        <f>($G1020+($H1020-$G1020)*0.5)+($P1020-($O1020+($Q1020-$O1020)*0.5))</f>
        <v/>
      </c>
      <c r="AS1020" s="81">
        <f>($J1020+($K1020-$J1020)*0.5)+($T1020-($S1020+($U1020-$S1020)*0.5))</f>
        <v/>
      </c>
      <c r="AT1020" s="82">
        <f>($J1020-$C1020)*100</f>
        <v/>
      </c>
      <c r="AU1020" s="82">
        <f>($H1020-$F1020)*100</f>
        <v/>
      </c>
      <c r="AV1020" s="82">
        <f>($J1020-$F1020)*100</f>
        <v/>
      </c>
      <c r="AW1020" s="82">
        <f>($L1020-$F1020)*100</f>
        <v/>
      </c>
      <c r="AX1020" s="82">
        <f>($J1020-$H1020)*100</f>
        <v/>
      </c>
      <c r="AY1020" s="82">
        <f>($L1020-$H1020)*100</f>
        <v/>
      </c>
      <c r="AZ1020" s="82">
        <f>($L1020-$J1020)*100</f>
        <v/>
      </c>
      <c r="BA1020" s="82">
        <f>(2*$H1020-$F1020-$J1020)*100</f>
        <v/>
      </c>
      <c r="BB1020" s="82">
        <f>(2*$J1020-$H1020-$L1020)*100</f>
        <v/>
      </c>
      <c r="BC1020" s="82">
        <f>($N1020-$F1020)*100</f>
        <v/>
      </c>
      <c r="BD1020" s="82">
        <f>($Q1020-$H1020)*100</f>
        <v/>
      </c>
      <c r="BE1020" s="82">
        <f>($S1020-$J1020)*100</f>
        <v/>
      </c>
      <c r="BF1020" s="82">
        <f>($V1020-$L1020)*100</f>
        <v/>
      </c>
      <c r="BG1020" s="82">
        <f>$AG1020-$AF1020</f>
        <v/>
      </c>
      <c r="BH1020" s="81">
        <f>IFERROR($AG1020/$AF1020,"")</f>
        <v/>
      </c>
      <c r="BI1020" s="82">
        <f>$AJ1020-$AF1020</f>
        <v/>
      </c>
      <c r="BJ1020" s="81">
        <f>IFERROR($AJ1020/$AG1020,"")</f>
        <v/>
      </c>
      <c r="BK1020" s="81">
        <f>$X1020</f>
        <v/>
      </c>
      <c r="BL1020" s="82">
        <f>($J1020-$J1021)*100</f>
        <v/>
      </c>
      <c r="BM1020" s="82">
        <f>($F1020-$F1021)*100</f>
        <v/>
      </c>
      <c r="BN1020" s="82">
        <f>$AF1020-$AF1021</f>
        <v/>
      </c>
      <c r="BO1020" s="82">
        <f>$AG1020-$AG1021</f>
        <v/>
      </c>
      <c r="BP1020" s="82">
        <f>$AJ1020-$AJ1021</f>
        <v/>
      </c>
    </row>
    <row r="1021">
      <c r="AR1021" s="81">
        <f>($G1021+($H1021-$G1021)*0.5)+($P1021-($O1021+($Q1021-$O1021)*0.5))</f>
        <v/>
      </c>
      <c r="AS1021" s="81">
        <f>($J1021+($K1021-$J1021)*0.5)+($T1021-($S1021+($U1021-$S1021)*0.5))</f>
        <v/>
      </c>
      <c r="AT1021" s="82">
        <f>($J1021-$C1021)*100</f>
        <v/>
      </c>
      <c r="AU1021" s="82">
        <f>($H1021-$F1021)*100</f>
        <v/>
      </c>
      <c r="AV1021" s="82">
        <f>($J1021-$F1021)*100</f>
        <v/>
      </c>
      <c r="AW1021" s="82">
        <f>($L1021-$F1021)*100</f>
        <v/>
      </c>
      <c r="AX1021" s="82">
        <f>($J1021-$H1021)*100</f>
        <v/>
      </c>
      <c r="AY1021" s="82">
        <f>($L1021-$H1021)*100</f>
        <v/>
      </c>
      <c r="AZ1021" s="82">
        <f>($L1021-$J1021)*100</f>
        <v/>
      </c>
      <c r="BA1021" s="82">
        <f>(2*$H1021-$F1021-$J1021)*100</f>
        <v/>
      </c>
      <c r="BB1021" s="82">
        <f>(2*$J1021-$H1021-$L1021)*100</f>
        <v/>
      </c>
      <c r="BC1021" s="82">
        <f>($N1021-$F1021)*100</f>
        <v/>
      </c>
      <c r="BD1021" s="82">
        <f>($Q1021-$H1021)*100</f>
        <v/>
      </c>
      <c r="BE1021" s="82">
        <f>($S1021-$J1021)*100</f>
        <v/>
      </c>
      <c r="BF1021" s="82">
        <f>($V1021-$L1021)*100</f>
        <v/>
      </c>
      <c r="BG1021" s="82">
        <f>$AG1021-$AF1021</f>
        <v/>
      </c>
      <c r="BH1021" s="81">
        <f>IFERROR($AG1021/$AF1021,"")</f>
        <v/>
      </c>
      <c r="BI1021" s="82">
        <f>$AJ1021-$AF1021</f>
        <v/>
      </c>
      <c r="BJ1021" s="81">
        <f>IFERROR($AJ1021/$AG1021,"")</f>
        <v/>
      </c>
      <c r="BK1021" s="81">
        <f>$X1021</f>
        <v/>
      </c>
      <c r="BL1021" s="82">
        <f>($J1021-$J1022)*100</f>
        <v/>
      </c>
      <c r="BM1021" s="82">
        <f>($F1021-$F1022)*100</f>
        <v/>
      </c>
      <c r="BN1021" s="82">
        <f>$AF1021-$AF1022</f>
        <v/>
      </c>
      <c r="BO1021" s="82">
        <f>$AG1021-$AG1022</f>
        <v/>
      </c>
      <c r="BP1021" s="82">
        <f>$AJ1021-$AJ1022</f>
        <v/>
      </c>
    </row>
    <row r="1022">
      <c r="AR1022" s="81">
        <f>($G1022+($H1022-$G1022)*0.5)+($P1022-($O1022+($Q1022-$O1022)*0.5))</f>
        <v/>
      </c>
      <c r="AS1022" s="81">
        <f>($J1022+($K1022-$J1022)*0.5)+($T1022-($S1022+($U1022-$S1022)*0.5))</f>
        <v/>
      </c>
      <c r="AT1022" s="82">
        <f>($J1022-$C1022)*100</f>
        <v/>
      </c>
      <c r="AU1022" s="82">
        <f>($H1022-$F1022)*100</f>
        <v/>
      </c>
      <c r="AV1022" s="82">
        <f>($J1022-$F1022)*100</f>
        <v/>
      </c>
      <c r="AW1022" s="82">
        <f>($L1022-$F1022)*100</f>
        <v/>
      </c>
      <c r="AX1022" s="82">
        <f>($J1022-$H1022)*100</f>
        <v/>
      </c>
      <c r="AY1022" s="82">
        <f>($L1022-$H1022)*100</f>
        <v/>
      </c>
      <c r="AZ1022" s="82">
        <f>($L1022-$J1022)*100</f>
        <v/>
      </c>
      <c r="BA1022" s="82">
        <f>(2*$H1022-$F1022-$J1022)*100</f>
        <v/>
      </c>
      <c r="BB1022" s="82">
        <f>(2*$J1022-$H1022-$L1022)*100</f>
        <v/>
      </c>
      <c r="BC1022" s="82">
        <f>($N1022-$F1022)*100</f>
        <v/>
      </c>
      <c r="BD1022" s="82">
        <f>($Q1022-$H1022)*100</f>
        <v/>
      </c>
      <c r="BE1022" s="82">
        <f>($S1022-$J1022)*100</f>
        <v/>
      </c>
      <c r="BF1022" s="82">
        <f>($V1022-$L1022)*100</f>
        <v/>
      </c>
      <c r="BG1022" s="82">
        <f>$AG1022-$AF1022</f>
        <v/>
      </c>
      <c r="BH1022" s="81">
        <f>IFERROR($AG1022/$AF1022,"")</f>
        <v/>
      </c>
      <c r="BI1022" s="82">
        <f>$AJ1022-$AF1022</f>
        <v/>
      </c>
      <c r="BJ1022" s="81">
        <f>IFERROR($AJ1022/$AG1022,"")</f>
        <v/>
      </c>
      <c r="BK1022" s="81">
        <f>$X1022</f>
        <v/>
      </c>
      <c r="BL1022" s="82">
        <f>($J1022-$J1023)*100</f>
        <v/>
      </c>
      <c r="BM1022" s="82">
        <f>($F1022-$F1023)*100</f>
        <v/>
      </c>
      <c r="BN1022" s="82">
        <f>$AF1022-$AF1023</f>
        <v/>
      </c>
      <c r="BO1022" s="82">
        <f>$AG1022-$AG1023</f>
        <v/>
      </c>
      <c r="BP1022" s="82">
        <f>$AJ1022-$AJ1023</f>
        <v/>
      </c>
    </row>
    <row r="1023">
      <c r="AR1023" s="81">
        <f>($G1023+($H1023-$G1023)*0.5)+($P1023-($O1023+($Q1023-$O1023)*0.5))</f>
        <v/>
      </c>
      <c r="AS1023" s="81">
        <f>($J1023+($K1023-$J1023)*0.5)+($T1023-($S1023+($U1023-$S1023)*0.5))</f>
        <v/>
      </c>
      <c r="AT1023" s="82">
        <f>($J1023-$C1023)*100</f>
        <v/>
      </c>
      <c r="AU1023" s="82">
        <f>($H1023-$F1023)*100</f>
        <v/>
      </c>
      <c r="AV1023" s="82">
        <f>($J1023-$F1023)*100</f>
        <v/>
      </c>
      <c r="AW1023" s="82">
        <f>($L1023-$F1023)*100</f>
        <v/>
      </c>
      <c r="AX1023" s="82">
        <f>($J1023-$H1023)*100</f>
        <v/>
      </c>
      <c r="AY1023" s="82">
        <f>($L1023-$H1023)*100</f>
        <v/>
      </c>
      <c r="AZ1023" s="82">
        <f>($L1023-$J1023)*100</f>
        <v/>
      </c>
      <c r="BA1023" s="82">
        <f>(2*$H1023-$F1023-$J1023)*100</f>
        <v/>
      </c>
      <c r="BB1023" s="82">
        <f>(2*$J1023-$H1023-$L1023)*100</f>
        <v/>
      </c>
      <c r="BC1023" s="82">
        <f>($N1023-$F1023)*100</f>
        <v/>
      </c>
      <c r="BD1023" s="82">
        <f>($Q1023-$H1023)*100</f>
        <v/>
      </c>
      <c r="BE1023" s="82">
        <f>($S1023-$J1023)*100</f>
        <v/>
      </c>
      <c r="BF1023" s="82">
        <f>($V1023-$L1023)*100</f>
        <v/>
      </c>
      <c r="BG1023" s="82">
        <f>$AG1023-$AF1023</f>
        <v/>
      </c>
      <c r="BH1023" s="81">
        <f>IFERROR($AG1023/$AF1023,"")</f>
        <v/>
      </c>
      <c r="BI1023" s="82">
        <f>$AJ1023-$AF1023</f>
        <v/>
      </c>
      <c r="BJ1023" s="81">
        <f>IFERROR($AJ1023/$AG1023,"")</f>
        <v/>
      </c>
      <c r="BK1023" s="81">
        <f>$X1023</f>
        <v/>
      </c>
      <c r="BL1023" s="82">
        <f>($J1023-$J1024)*100</f>
        <v/>
      </c>
      <c r="BM1023" s="82">
        <f>($F1023-$F1024)*100</f>
        <v/>
      </c>
      <c r="BN1023" s="82">
        <f>$AF1023-$AF1024</f>
        <v/>
      </c>
      <c r="BO1023" s="82">
        <f>$AG1023-$AG1024</f>
        <v/>
      </c>
      <c r="BP1023" s="82">
        <f>$AJ1023-$AJ1024</f>
        <v/>
      </c>
    </row>
    <row r="1024">
      <c r="AR1024" s="81">
        <f>($G1024+($H1024-$G1024)*0.5)+($P1024-($O1024+($Q1024-$O1024)*0.5))</f>
        <v/>
      </c>
      <c r="AS1024" s="81">
        <f>($J1024+($K1024-$J1024)*0.5)+($T1024-($S1024+($U1024-$S1024)*0.5))</f>
        <v/>
      </c>
      <c r="AT1024" s="82">
        <f>($J1024-$C1024)*100</f>
        <v/>
      </c>
      <c r="AU1024" s="82">
        <f>($H1024-$F1024)*100</f>
        <v/>
      </c>
      <c r="AV1024" s="82">
        <f>($J1024-$F1024)*100</f>
        <v/>
      </c>
      <c r="AW1024" s="82">
        <f>($L1024-$F1024)*100</f>
        <v/>
      </c>
      <c r="AX1024" s="82">
        <f>($J1024-$H1024)*100</f>
        <v/>
      </c>
      <c r="AY1024" s="82">
        <f>($L1024-$H1024)*100</f>
        <v/>
      </c>
      <c r="AZ1024" s="82">
        <f>($L1024-$J1024)*100</f>
        <v/>
      </c>
      <c r="BA1024" s="82">
        <f>(2*$H1024-$F1024-$J1024)*100</f>
        <v/>
      </c>
      <c r="BB1024" s="82">
        <f>(2*$J1024-$H1024-$L1024)*100</f>
        <v/>
      </c>
      <c r="BC1024" s="82">
        <f>($N1024-$F1024)*100</f>
        <v/>
      </c>
      <c r="BD1024" s="82">
        <f>($Q1024-$H1024)*100</f>
        <v/>
      </c>
      <c r="BE1024" s="82">
        <f>($S1024-$J1024)*100</f>
        <v/>
      </c>
      <c r="BF1024" s="82">
        <f>($V1024-$L1024)*100</f>
        <v/>
      </c>
      <c r="BG1024" s="82">
        <f>$AG1024-$AF1024</f>
        <v/>
      </c>
      <c r="BH1024" s="81">
        <f>IFERROR($AG1024/$AF1024,"")</f>
        <v/>
      </c>
      <c r="BI1024" s="82">
        <f>$AJ1024-$AF1024</f>
        <v/>
      </c>
      <c r="BJ1024" s="81">
        <f>IFERROR($AJ1024/$AG1024,"")</f>
        <v/>
      </c>
      <c r="BK1024" s="81">
        <f>$X1024</f>
        <v/>
      </c>
      <c r="BL1024" s="82">
        <f>($J1024-$J1025)*100</f>
        <v/>
      </c>
      <c r="BM1024" s="82">
        <f>($F1024-$F1025)*100</f>
        <v/>
      </c>
      <c r="BN1024" s="82">
        <f>$AF1024-$AF1025</f>
        <v/>
      </c>
      <c r="BO1024" s="82">
        <f>$AG1024-$AG1025</f>
        <v/>
      </c>
      <c r="BP1024" s="82">
        <f>$AJ1024-$AJ1025</f>
        <v/>
      </c>
    </row>
    <row r="1025">
      <c r="AR1025" s="81">
        <f>($G1025+($H1025-$G1025)*0.5)+($P1025-($O1025+($Q1025-$O1025)*0.5))</f>
        <v/>
      </c>
      <c r="AS1025" s="81">
        <f>($J1025+($K1025-$J1025)*0.5)+($T1025-($S1025+($U1025-$S1025)*0.5))</f>
        <v/>
      </c>
      <c r="AT1025" s="82">
        <f>($J1025-$C1025)*100</f>
        <v/>
      </c>
      <c r="AU1025" s="82">
        <f>($H1025-$F1025)*100</f>
        <v/>
      </c>
      <c r="AV1025" s="82">
        <f>($J1025-$F1025)*100</f>
        <v/>
      </c>
      <c r="AW1025" s="82">
        <f>($L1025-$F1025)*100</f>
        <v/>
      </c>
      <c r="AX1025" s="82">
        <f>($J1025-$H1025)*100</f>
        <v/>
      </c>
      <c r="AY1025" s="82">
        <f>($L1025-$H1025)*100</f>
        <v/>
      </c>
      <c r="AZ1025" s="82">
        <f>($L1025-$J1025)*100</f>
        <v/>
      </c>
      <c r="BA1025" s="82">
        <f>(2*$H1025-$F1025-$J1025)*100</f>
        <v/>
      </c>
      <c r="BB1025" s="82">
        <f>(2*$J1025-$H1025-$L1025)*100</f>
        <v/>
      </c>
      <c r="BC1025" s="82">
        <f>($N1025-$F1025)*100</f>
        <v/>
      </c>
      <c r="BD1025" s="82">
        <f>($Q1025-$H1025)*100</f>
        <v/>
      </c>
      <c r="BE1025" s="82">
        <f>($S1025-$J1025)*100</f>
        <v/>
      </c>
      <c r="BF1025" s="82">
        <f>($V1025-$L1025)*100</f>
        <v/>
      </c>
      <c r="BG1025" s="82">
        <f>$AG1025-$AF1025</f>
        <v/>
      </c>
      <c r="BH1025" s="81">
        <f>IFERROR($AG1025/$AF1025,"")</f>
        <v/>
      </c>
      <c r="BI1025" s="82">
        <f>$AJ1025-$AF1025</f>
        <v/>
      </c>
      <c r="BJ1025" s="81">
        <f>IFERROR($AJ1025/$AG1025,"")</f>
        <v/>
      </c>
      <c r="BK1025" s="81">
        <f>$X1025</f>
        <v/>
      </c>
      <c r="BL1025" s="82">
        <f>($J1025-$J1026)*100</f>
        <v/>
      </c>
      <c r="BM1025" s="82">
        <f>($F1025-$F1026)*100</f>
        <v/>
      </c>
      <c r="BN1025" s="82">
        <f>$AF1025-$AF1026</f>
        <v/>
      </c>
      <c r="BO1025" s="82">
        <f>$AG1025-$AG1026</f>
        <v/>
      </c>
      <c r="BP1025" s="82">
        <f>$AJ1025-$AJ1026</f>
        <v/>
      </c>
    </row>
    <row r="1026">
      <c r="AR1026" s="81">
        <f>($G1026+($H1026-$G1026)*0.5)+($P1026-($O1026+($Q1026-$O1026)*0.5))</f>
        <v/>
      </c>
      <c r="AS1026" s="81">
        <f>($J1026+($K1026-$J1026)*0.5)+($T1026-($S1026+($U1026-$S1026)*0.5))</f>
        <v/>
      </c>
      <c r="AT1026" s="82">
        <f>($J1026-$C1026)*100</f>
        <v/>
      </c>
      <c r="AU1026" s="82">
        <f>($H1026-$F1026)*100</f>
        <v/>
      </c>
      <c r="AV1026" s="82">
        <f>($J1026-$F1026)*100</f>
        <v/>
      </c>
      <c r="AW1026" s="82">
        <f>($L1026-$F1026)*100</f>
        <v/>
      </c>
      <c r="AX1026" s="82">
        <f>($J1026-$H1026)*100</f>
        <v/>
      </c>
      <c r="AY1026" s="82">
        <f>($L1026-$H1026)*100</f>
        <v/>
      </c>
      <c r="AZ1026" s="82">
        <f>($L1026-$J1026)*100</f>
        <v/>
      </c>
      <c r="BA1026" s="82">
        <f>(2*$H1026-$F1026-$J1026)*100</f>
        <v/>
      </c>
      <c r="BB1026" s="82">
        <f>(2*$J1026-$H1026-$L1026)*100</f>
        <v/>
      </c>
      <c r="BC1026" s="82">
        <f>($N1026-$F1026)*100</f>
        <v/>
      </c>
      <c r="BD1026" s="82">
        <f>($Q1026-$H1026)*100</f>
        <v/>
      </c>
      <c r="BE1026" s="82">
        <f>($S1026-$J1026)*100</f>
        <v/>
      </c>
      <c r="BF1026" s="82">
        <f>($V1026-$L1026)*100</f>
        <v/>
      </c>
      <c r="BG1026" s="82">
        <f>$AG1026-$AF1026</f>
        <v/>
      </c>
      <c r="BH1026" s="81">
        <f>IFERROR($AG1026/$AF1026,"")</f>
        <v/>
      </c>
      <c r="BI1026" s="82">
        <f>$AJ1026-$AF1026</f>
        <v/>
      </c>
      <c r="BJ1026" s="81">
        <f>IFERROR($AJ1026/$AG1026,"")</f>
        <v/>
      </c>
      <c r="BK1026" s="81">
        <f>$X1026</f>
        <v/>
      </c>
      <c r="BL1026" s="82">
        <f>($J1026-$J1027)*100</f>
        <v/>
      </c>
      <c r="BM1026" s="82">
        <f>($F1026-$F1027)*100</f>
        <v/>
      </c>
      <c r="BN1026" s="82">
        <f>$AF1026-$AF1027</f>
        <v/>
      </c>
      <c r="BO1026" s="82">
        <f>$AG1026-$AG1027</f>
        <v/>
      </c>
      <c r="BP1026" s="82">
        <f>$AJ1026-$AJ1027</f>
        <v/>
      </c>
    </row>
    <row r="1027">
      <c r="AR1027" s="81">
        <f>($G1027+($H1027-$G1027)*0.5)+($P1027-($O1027+($Q1027-$O1027)*0.5))</f>
        <v/>
      </c>
      <c r="AS1027" s="81">
        <f>($J1027+($K1027-$J1027)*0.5)+($T1027-($S1027+($U1027-$S1027)*0.5))</f>
        <v/>
      </c>
      <c r="AT1027" s="82">
        <f>($J1027-$C1027)*100</f>
        <v/>
      </c>
      <c r="AU1027" s="82">
        <f>($H1027-$F1027)*100</f>
        <v/>
      </c>
      <c r="AV1027" s="82">
        <f>($J1027-$F1027)*100</f>
        <v/>
      </c>
      <c r="AW1027" s="82">
        <f>($L1027-$F1027)*100</f>
        <v/>
      </c>
      <c r="AX1027" s="82">
        <f>($J1027-$H1027)*100</f>
        <v/>
      </c>
      <c r="AY1027" s="82">
        <f>($L1027-$H1027)*100</f>
        <v/>
      </c>
      <c r="AZ1027" s="82">
        <f>($L1027-$J1027)*100</f>
        <v/>
      </c>
      <c r="BA1027" s="82">
        <f>(2*$H1027-$F1027-$J1027)*100</f>
        <v/>
      </c>
      <c r="BB1027" s="82">
        <f>(2*$J1027-$H1027-$L1027)*100</f>
        <v/>
      </c>
      <c r="BC1027" s="82">
        <f>($N1027-$F1027)*100</f>
        <v/>
      </c>
      <c r="BD1027" s="82">
        <f>($Q1027-$H1027)*100</f>
        <v/>
      </c>
      <c r="BE1027" s="82">
        <f>($S1027-$J1027)*100</f>
        <v/>
      </c>
      <c r="BF1027" s="82">
        <f>($V1027-$L1027)*100</f>
        <v/>
      </c>
      <c r="BG1027" s="82">
        <f>$AG1027-$AF1027</f>
        <v/>
      </c>
      <c r="BH1027" s="81">
        <f>IFERROR($AG1027/$AF1027,"")</f>
        <v/>
      </c>
      <c r="BI1027" s="82">
        <f>$AJ1027-$AF1027</f>
        <v/>
      </c>
      <c r="BJ1027" s="81">
        <f>IFERROR($AJ1027/$AG1027,"")</f>
        <v/>
      </c>
      <c r="BK1027" s="81">
        <f>$X1027</f>
        <v/>
      </c>
      <c r="BL1027" s="82">
        <f>($J1027-$J1028)*100</f>
        <v/>
      </c>
      <c r="BM1027" s="82">
        <f>($F1027-$F1028)*100</f>
        <v/>
      </c>
      <c r="BN1027" s="82">
        <f>$AF1027-$AF1028</f>
        <v/>
      </c>
      <c r="BO1027" s="82">
        <f>$AG1027-$AG1028</f>
        <v/>
      </c>
      <c r="BP1027" s="82">
        <f>$AJ1027-$AJ1028</f>
        <v/>
      </c>
    </row>
    <row r="1028">
      <c r="AR1028" s="81">
        <f>($G1028+($H1028-$G1028)*0.5)+($P1028-($O1028+($Q1028-$O1028)*0.5))</f>
        <v/>
      </c>
      <c r="AS1028" s="81">
        <f>($J1028+($K1028-$J1028)*0.5)+($T1028-($S1028+($U1028-$S1028)*0.5))</f>
        <v/>
      </c>
      <c r="AT1028" s="82">
        <f>($J1028-$C1028)*100</f>
        <v/>
      </c>
      <c r="AU1028" s="82">
        <f>($H1028-$F1028)*100</f>
        <v/>
      </c>
      <c r="AV1028" s="82">
        <f>($J1028-$F1028)*100</f>
        <v/>
      </c>
      <c r="AW1028" s="82">
        <f>($L1028-$F1028)*100</f>
        <v/>
      </c>
      <c r="AX1028" s="82">
        <f>($J1028-$H1028)*100</f>
        <v/>
      </c>
      <c r="AY1028" s="82">
        <f>($L1028-$H1028)*100</f>
        <v/>
      </c>
      <c r="AZ1028" s="82">
        <f>($L1028-$J1028)*100</f>
        <v/>
      </c>
      <c r="BA1028" s="82">
        <f>(2*$H1028-$F1028-$J1028)*100</f>
        <v/>
      </c>
      <c r="BB1028" s="82">
        <f>(2*$J1028-$H1028-$L1028)*100</f>
        <v/>
      </c>
      <c r="BC1028" s="82">
        <f>($N1028-$F1028)*100</f>
        <v/>
      </c>
      <c r="BD1028" s="82">
        <f>($Q1028-$H1028)*100</f>
        <v/>
      </c>
      <c r="BE1028" s="82">
        <f>($S1028-$J1028)*100</f>
        <v/>
      </c>
      <c r="BF1028" s="82">
        <f>($V1028-$L1028)*100</f>
        <v/>
      </c>
      <c r="BG1028" s="82">
        <f>$AG1028-$AF1028</f>
        <v/>
      </c>
      <c r="BH1028" s="81">
        <f>IFERROR($AG1028/$AF1028,"")</f>
        <v/>
      </c>
      <c r="BI1028" s="82">
        <f>$AJ1028-$AF1028</f>
        <v/>
      </c>
      <c r="BJ1028" s="81">
        <f>IFERROR($AJ1028/$AG1028,"")</f>
        <v/>
      </c>
      <c r="BK1028" s="81">
        <f>$X1028</f>
        <v/>
      </c>
      <c r="BL1028" s="82">
        <f>($J1028-$J1029)*100</f>
        <v/>
      </c>
      <c r="BM1028" s="82">
        <f>($F1028-$F1029)*100</f>
        <v/>
      </c>
      <c r="BN1028" s="82">
        <f>$AF1028-$AF1029</f>
        <v/>
      </c>
      <c r="BO1028" s="82">
        <f>$AG1028-$AG1029</f>
        <v/>
      </c>
      <c r="BP1028" s="82">
        <f>$AJ1028-$AJ1029</f>
        <v/>
      </c>
    </row>
    <row r="1029">
      <c r="AR1029" s="81">
        <f>($G1029+($H1029-$G1029)*0.5)+($P1029-($O1029+($Q1029-$O1029)*0.5))</f>
        <v/>
      </c>
      <c r="AS1029" s="81">
        <f>($J1029+($K1029-$J1029)*0.5)+($T1029-($S1029+($U1029-$S1029)*0.5))</f>
        <v/>
      </c>
      <c r="AT1029" s="82">
        <f>($J1029-$C1029)*100</f>
        <v/>
      </c>
      <c r="AU1029" s="82">
        <f>($H1029-$F1029)*100</f>
        <v/>
      </c>
      <c r="AV1029" s="82">
        <f>($J1029-$F1029)*100</f>
        <v/>
      </c>
      <c r="AW1029" s="82">
        <f>($L1029-$F1029)*100</f>
        <v/>
      </c>
      <c r="AX1029" s="82">
        <f>($J1029-$H1029)*100</f>
        <v/>
      </c>
      <c r="AY1029" s="82">
        <f>($L1029-$H1029)*100</f>
        <v/>
      </c>
      <c r="AZ1029" s="82">
        <f>($L1029-$J1029)*100</f>
        <v/>
      </c>
      <c r="BA1029" s="82">
        <f>(2*$H1029-$F1029-$J1029)*100</f>
        <v/>
      </c>
      <c r="BB1029" s="82">
        <f>(2*$J1029-$H1029-$L1029)*100</f>
        <v/>
      </c>
      <c r="BC1029" s="82">
        <f>($N1029-$F1029)*100</f>
        <v/>
      </c>
      <c r="BD1029" s="82">
        <f>($Q1029-$H1029)*100</f>
        <v/>
      </c>
      <c r="BE1029" s="82">
        <f>($S1029-$J1029)*100</f>
        <v/>
      </c>
      <c r="BF1029" s="82">
        <f>($V1029-$L1029)*100</f>
        <v/>
      </c>
      <c r="BG1029" s="82">
        <f>$AG1029-$AF1029</f>
        <v/>
      </c>
      <c r="BH1029" s="81">
        <f>IFERROR($AG1029/$AF1029,"")</f>
        <v/>
      </c>
      <c r="BI1029" s="82">
        <f>$AJ1029-$AF1029</f>
        <v/>
      </c>
      <c r="BJ1029" s="81">
        <f>IFERROR($AJ1029/$AG1029,"")</f>
        <v/>
      </c>
      <c r="BK1029" s="81">
        <f>$X1029</f>
        <v/>
      </c>
      <c r="BL1029" s="82">
        <f>($J1029-$J1030)*100</f>
        <v/>
      </c>
      <c r="BM1029" s="82">
        <f>($F1029-$F1030)*100</f>
        <v/>
      </c>
      <c r="BN1029" s="82">
        <f>$AF1029-$AF1030</f>
        <v/>
      </c>
      <c r="BO1029" s="82">
        <f>$AG1029-$AG1030</f>
        <v/>
      </c>
      <c r="BP1029" s="82">
        <f>$AJ1029-$AJ1030</f>
        <v/>
      </c>
    </row>
    <row r="1030">
      <c r="AR1030" s="81">
        <f>($G1030+($H1030-$G1030)*0.5)+($P1030-($O1030+($Q1030-$O1030)*0.5))</f>
        <v/>
      </c>
      <c r="AS1030" s="81">
        <f>($J1030+($K1030-$J1030)*0.5)+($T1030-($S1030+($U1030-$S1030)*0.5))</f>
        <v/>
      </c>
      <c r="AT1030" s="82">
        <f>($J1030-$C1030)*100</f>
        <v/>
      </c>
      <c r="AU1030" s="82">
        <f>($H1030-$F1030)*100</f>
        <v/>
      </c>
      <c r="AV1030" s="82">
        <f>($J1030-$F1030)*100</f>
        <v/>
      </c>
      <c r="AW1030" s="82">
        <f>($L1030-$F1030)*100</f>
        <v/>
      </c>
      <c r="AX1030" s="82">
        <f>($J1030-$H1030)*100</f>
        <v/>
      </c>
      <c r="AY1030" s="82">
        <f>($L1030-$H1030)*100</f>
        <v/>
      </c>
      <c r="AZ1030" s="82">
        <f>($L1030-$J1030)*100</f>
        <v/>
      </c>
      <c r="BA1030" s="82">
        <f>(2*$H1030-$F1030-$J1030)*100</f>
        <v/>
      </c>
      <c r="BB1030" s="82">
        <f>(2*$J1030-$H1030-$L1030)*100</f>
        <v/>
      </c>
      <c r="BC1030" s="82">
        <f>($N1030-$F1030)*100</f>
        <v/>
      </c>
      <c r="BD1030" s="82">
        <f>($Q1030-$H1030)*100</f>
        <v/>
      </c>
      <c r="BE1030" s="82">
        <f>($S1030-$J1030)*100</f>
        <v/>
      </c>
      <c r="BF1030" s="82">
        <f>($V1030-$L1030)*100</f>
        <v/>
      </c>
      <c r="BG1030" s="82">
        <f>$AG1030-$AF1030</f>
        <v/>
      </c>
      <c r="BH1030" s="81">
        <f>IFERROR($AG1030/$AF1030,"")</f>
        <v/>
      </c>
      <c r="BI1030" s="82">
        <f>$AJ1030-$AF1030</f>
        <v/>
      </c>
      <c r="BJ1030" s="81">
        <f>IFERROR($AJ1030/$AG1030,"")</f>
        <v/>
      </c>
      <c r="BK1030" s="81">
        <f>$X1030</f>
        <v/>
      </c>
      <c r="BL1030" s="82">
        <f>($J1030-$J1031)*100</f>
        <v/>
      </c>
      <c r="BM1030" s="82">
        <f>($F1030-$F1031)*100</f>
        <v/>
      </c>
      <c r="BN1030" s="82">
        <f>$AF1030-$AF1031</f>
        <v/>
      </c>
      <c r="BO1030" s="82">
        <f>$AG1030-$AG1031</f>
        <v/>
      </c>
      <c r="BP1030" s="82">
        <f>$AJ1030-$AJ1031</f>
        <v/>
      </c>
    </row>
    <row r="1031">
      <c r="AR1031" s="81">
        <f>($G1031+($H1031-$G1031)*0.5)+($P1031-($O1031+($Q1031-$O1031)*0.5))</f>
        <v/>
      </c>
      <c r="AS1031" s="81">
        <f>($J1031+($K1031-$J1031)*0.5)+($T1031-($S1031+($U1031-$S1031)*0.5))</f>
        <v/>
      </c>
      <c r="AT1031" s="82">
        <f>($J1031-$C1031)*100</f>
        <v/>
      </c>
      <c r="AU1031" s="82">
        <f>($H1031-$F1031)*100</f>
        <v/>
      </c>
      <c r="AV1031" s="82">
        <f>($J1031-$F1031)*100</f>
        <v/>
      </c>
      <c r="AW1031" s="82">
        <f>($L1031-$F1031)*100</f>
        <v/>
      </c>
      <c r="AX1031" s="82">
        <f>($J1031-$H1031)*100</f>
        <v/>
      </c>
      <c r="AY1031" s="82">
        <f>($L1031-$H1031)*100</f>
        <v/>
      </c>
      <c r="AZ1031" s="82">
        <f>($L1031-$J1031)*100</f>
        <v/>
      </c>
      <c r="BA1031" s="82">
        <f>(2*$H1031-$F1031-$J1031)*100</f>
        <v/>
      </c>
      <c r="BB1031" s="82">
        <f>(2*$J1031-$H1031-$L1031)*100</f>
        <v/>
      </c>
      <c r="BC1031" s="82">
        <f>($N1031-$F1031)*100</f>
        <v/>
      </c>
      <c r="BD1031" s="82">
        <f>($Q1031-$H1031)*100</f>
        <v/>
      </c>
      <c r="BE1031" s="82">
        <f>($S1031-$J1031)*100</f>
        <v/>
      </c>
      <c r="BF1031" s="82">
        <f>($V1031-$L1031)*100</f>
        <v/>
      </c>
      <c r="BG1031" s="82">
        <f>$AG1031-$AF1031</f>
        <v/>
      </c>
      <c r="BH1031" s="81">
        <f>IFERROR($AG1031/$AF1031,"")</f>
        <v/>
      </c>
      <c r="BI1031" s="82">
        <f>$AJ1031-$AF1031</f>
        <v/>
      </c>
      <c r="BJ1031" s="81">
        <f>IFERROR($AJ1031/$AG1031,"")</f>
        <v/>
      </c>
      <c r="BK1031" s="81">
        <f>$X1031</f>
        <v/>
      </c>
      <c r="BL1031" s="82">
        <f>($J1031-$J1032)*100</f>
        <v/>
      </c>
      <c r="BM1031" s="82">
        <f>($F1031-$F1032)*100</f>
        <v/>
      </c>
      <c r="BN1031" s="82">
        <f>$AF1031-$AF1032</f>
        <v/>
      </c>
      <c r="BO1031" s="82">
        <f>$AG1031-$AG1032</f>
        <v/>
      </c>
      <c r="BP1031" s="82">
        <f>$AJ1031-$AJ1032</f>
        <v/>
      </c>
    </row>
    <row r="1032">
      <c r="AR1032" s="81">
        <f>($G1032+($H1032-$G1032)*0.5)+($P1032-($O1032+($Q1032-$O1032)*0.5))</f>
        <v/>
      </c>
      <c r="AS1032" s="81">
        <f>($J1032+($K1032-$J1032)*0.5)+($T1032-($S1032+($U1032-$S1032)*0.5))</f>
        <v/>
      </c>
      <c r="AT1032" s="82">
        <f>($J1032-$C1032)*100</f>
        <v/>
      </c>
      <c r="AU1032" s="82">
        <f>($H1032-$F1032)*100</f>
        <v/>
      </c>
      <c r="AV1032" s="82">
        <f>($J1032-$F1032)*100</f>
        <v/>
      </c>
      <c r="AW1032" s="82">
        <f>($L1032-$F1032)*100</f>
        <v/>
      </c>
      <c r="AX1032" s="82">
        <f>($J1032-$H1032)*100</f>
        <v/>
      </c>
      <c r="AY1032" s="82">
        <f>($L1032-$H1032)*100</f>
        <v/>
      </c>
      <c r="AZ1032" s="82">
        <f>($L1032-$J1032)*100</f>
        <v/>
      </c>
      <c r="BA1032" s="82">
        <f>(2*$H1032-$F1032-$J1032)*100</f>
        <v/>
      </c>
      <c r="BB1032" s="82">
        <f>(2*$J1032-$H1032-$L1032)*100</f>
        <v/>
      </c>
      <c r="BC1032" s="82">
        <f>($N1032-$F1032)*100</f>
        <v/>
      </c>
      <c r="BD1032" s="82">
        <f>($Q1032-$H1032)*100</f>
        <v/>
      </c>
      <c r="BE1032" s="82">
        <f>($S1032-$J1032)*100</f>
        <v/>
      </c>
      <c r="BF1032" s="82">
        <f>($V1032-$L1032)*100</f>
        <v/>
      </c>
      <c r="BG1032" s="82">
        <f>$AG1032-$AF1032</f>
        <v/>
      </c>
      <c r="BH1032" s="81">
        <f>IFERROR($AG1032/$AF1032,"")</f>
        <v/>
      </c>
      <c r="BI1032" s="82">
        <f>$AJ1032-$AF1032</f>
        <v/>
      </c>
      <c r="BJ1032" s="81">
        <f>IFERROR($AJ1032/$AG1032,"")</f>
        <v/>
      </c>
      <c r="BK1032" s="81">
        <f>$X1032</f>
        <v/>
      </c>
      <c r="BL1032" s="82">
        <f>($J1032-$J1033)*100</f>
        <v/>
      </c>
      <c r="BM1032" s="82">
        <f>($F1032-$F1033)*100</f>
        <v/>
      </c>
      <c r="BN1032" s="82">
        <f>$AF1032-$AF1033</f>
        <v/>
      </c>
      <c r="BO1032" s="82">
        <f>$AG1032-$AG1033</f>
        <v/>
      </c>
      <c r="BP1032" s="82">
        <f>$AJ1032-$AJ1033</f>
        <v/>
      </c>
    </row>
    <row r="1033">
      <c r="AR1033" s="81">
        <f>($G1033+($H1033-$G1033)*0.5)+($P1033-($O1033+($Q1033-$O1033)*0.5))</f>
        <v/>
      </c>
      <c r="AS1033" s="81">
        <f>($J1033+($K1033-$J1033)*0.5)+($T1033-($S1033+($U1033-$S1033)*0.5))</f>
        <v/>
      </c>
      <c r="AT1033" s="82">
        <f>($J1033-$C1033)*100</f>
        <v/>
      </c>
      <c r="AU1033" s="82">
        <f>($H1033-$F1033)*100</f>
        <v/>
      </c>
      <c r="AV1033" s="82">
        <f>($J1033-$F1033)*100</f>
        <v/>
      </c>
      <c r="AW1033" s="82">
        <f>($L1033-$F1033)*100</f>
        <v/>
      </c>
      <c r="AX1033" s="82">
        <f>($J1033-$H1033)*100</f>
        <v/>
      </c>
      <c r="AY1033" s="82">
        <f>($L1033-$H1033)*100</f>
        <v/>
      </c>
      <c r="AZ1033" s="82">
        <f>($L1033-$J1033)*100</f>
        <v/>
      </c>
      <c r="BA1033" s="82">
        <f>(2*$H1033-$F1033-$J1033)*100</f>
        <v/>
      </c>
      <c r="BB1033" s="82">
        <f>(2*$J1033-$H1033-$L1033)*100</f>
        <v/>
      </c>
      <c r="BC1033" s="82">
        <f>($N1033-$F1033)*100</f>
        <v/>
      </c>
      <c r="BD1033" s="82">
        <f>($Q1033-$H1033)*100</f>
        <v/>
      </c>
      <c r="BE1033" s="82">
        <f>($S1033-$J1033)*100</f>
        <v/>
      </c>
      <c r="BF1033" s="82">
        <f>($V1033-$L1033)*100</f>
        <v/>
      </c>
      <c r="BG1033" s="82">
        <f>$AG1033-$AF1033</f>
        <v/>
      </c>
      <c r="BH1033" s="81">
        <f>IFERROR($AG1033/$AF1033,"")</f>
        <v/>
      </c>
      <c r="BI1033" s="82">
        <f>$AJ1033-$AF1033</f>
        <v/>
      </c>
      <c r="BJ1033" s="81">
        <f>IFERROR($AJ1033/$AG1033,"")</f>
        <v/>
      </c>
      <c r="BK1033" s="81">
        <f>$X1033</f>
        <v/>
      </c>
      <c r="BL1033" s="82">
        <f>($J1033-$J1034)*100</f>
        <v/>
      </c>
      <c r="BM1033" s="82">
        <f>($F1033-$F1034)*100</f>
        <v/>
      </c>
      <c r="BN1033" s="82">
        <f>$AF1033-$AF1034</f>
        <v/>
      </c>
      <c r="BO1033" s="82">
        <f>$AG1033-$AG1034</f>
        <v/>
      </c>
      <c r="BP1033" s="82">
        <f>$AJ1033-$AJ1034</f>
        <v/>
      </c>
    </row>
    <row r="1034">
      <c r="AR1034" s="81">
        <f>($G1034+($H1034-$G1034)*0.5)+($P1034-($O1034+($Q1034-$O1034)*0.5))</f>
        <v/>
      </c>
      <c r="AS1034" s="81">
        <f>($J1034+($K1034-$J1034)*0.5)+($T1034-($S1034+($U1034-$S1034)*0.5))</f>
        <v/>
      </c>
      <c r="AT1034" s="82">
        <f>($J1034-$C1034)*100</f>
        <v/>
      </c>
      <c r="AU1034" s="82">
        <f>($H1034-$F1034)*100</f>
        <v/>
      </c>
      <c r="AV1034" s="82">
        <f>($J1034-$F1034)*100</f>
        <v/>
      </c>
      <c r="AW1034" s="82">
        <f>($L1034-$F1034)*100</f>
        <v/>
      </c>
      <c r="AX1034" s="82">
        <f>($J1034-$H1034)*100</f>
        <v/>
      </c>
      <c r="AY1034" s="82">
        <f>($L1034-$H1034)*100</f>
        <v/>
      </c>
      <c r="AZ1034" s="82">
        <f>($L1034-$J1034)*100</f>
        <v/>
      </c>
      <c r="BA1034" s="82">
        <f>(2*$H1034-$F1034-$J1034)*100</f>
        <v/>
      </c>
      <c r="BB1034" s="82">
        <f>(2*$J1034-$H1034-$L1034)*100</f>
        <v/>
      </c>
      <c r="BC1034" s="82">
        <f>($N1034-$F1034)*100</f>
        <v/>
      </c>
      <c r="BD1034" s="82">
        <f>($Q1034-$H1034)*100</f>
        <v/>
      </c>
      <c r="BE1034" s="82">
        <f>($S1034-$J1034)*100</f>
        <v/>
      </c>
      <c r="BF1034" s="82">
        <f>($V1034-$L1034)*100</f>
        <v/>
      </c>
      <c r="BG1034" s="82">
        <f>$AG1034-$AF1034</f>
        <v/>
      </c>
      <c r="BH1034" s="81">
        <f>IFERROR($AG1034/$AF1034,"")</f>
        <v/>
      </c>
      <c r="BI1034" s="82">
        <f>$AJ1034-$AF1034</f>
        <v/>
      </c>
      <c r="BJ1034" s="81">
        <f>IFERROR($AJ1034/$AG1034,"")</f>
        <v/>
      </c>
      <c r="BK1034" s="81">
        <f>$X1034</f>
        <v/>
      </c>
      <c r="BL1034" s="82">
        <f>($J1034-$J1035)*100</f>
        <v/>
      </c>
      <c r="BM1034" s="82">
        <f>($F1034-$F1035)*100</f>
        <v/>
      </c>
      <c r="BN1034" s="82">
        <f>$AF1034-$AF1035</f>
        <v/>
      </c>
      <c r="BO1034" s="82">
        <f>$AG1034-$AG1035</f>
        <v/>
      </c>
      <c r="BP1034" s="82">
        <f>$AJ1034-$AJ1035</f>
        <v/>
      </c>
    </row>
    <row r="1035">
      <c r="AR1035" s="81">
        <f>($G1035+($H1035-$G1035)*0.5)+($P1035-($O1035+($Q1035-$O1035)*0.5))</f>
        <v/>
      </c>
      <c r="AS1035" s="81">
        <f>($J1035+($K1035-$J1035)*0.5)+($T1035-($S1035+($U1035-$S1035)*0.5))</f>
        <v/>
      </c>
      <c r="AT1035" s="82">
        <f>($J1035-$C1035)*100</f>
        <v/>
      </c>
      <c r="AU1035" s="82">
        <f>($H1035-$F1035)*100</f>
        <v/>
      </c>
      <c r="AV1035" s="82">
        <f>($J1035-$F1035)*100</f>
        <v/>
      </c>
      <c r="AW1035" s="82">
        <f>($L1035-$F1035)*100</f>
        <v/>
      </c>
      <c r="AX1035" s="82">
        <f>($J1035-$H1035)*100</f>
        <v/>
      </c>
      <c r="AY1035" s="82">
        <f>($L1035-$H1035)*100</f>
        <v/>
      </c>
      <c r="AZ1035" s="82">
        <f>($L1035-$J1035)*100</f>
        <v/>
      </c>
      <c r="BA1035" s="82">
        <f>(2*$H1035-$F1035-$J1035)*100</f>
        <v/>
      </c>
      <c r="BB1035" s="82">
        <f>(2*$J1035-$H1035-$L1035)*100</f>
        <v/>
      </c>
      <c r="BC1035" s="82">
        <f>($N1035-$F1035)*100</f>
        <v/>
      </c>
      <c r="BD1035" s="82">
        <f>($Q1035-$H1035)*100</f>
        <v/>
      </c>
      <c r="BE1035" s="82">
        <f>($S1035-$J1035)*100</f>
        <v/>
      </c>
      <c r="BF1035" s="82">
        <f>($V1035-$L1035)*100</f>
        <v/>
      </c>
      <c r="BG1035" s="82">
        <f>$AG1035-$AF1035</f>
        <v/>
      </c>
      <c r="BH1035" s="81">
        <f>IFERROR($AG1035/$AF1035,"")</f>
        <v/>
      </c>
      <c r="BI1035" s="82">
        <f>$AJ1035-$AF1035</f>
        <v/>
      </c>
      <c r="BJ1035" s="81">
        <f>IFERROR($AJ1035/$AG1035,"")</f>
        <v/>
      </c>
      <c r="BK1035" s="81">
        <f>$X1035</f>
        <v/>
      </c>
      <c r="BL1035" s="82">
        <f>($J1035-$J1036)*100</f>
        <v/>
      </c>
      <c r="BM1035" s="82">
        <f>($F1035-$F1036)*100</f>
        <v/>
      </c>
      <c r="BN1035" s="82">
        <f>$AF1035-$AF1036</f>
        <v/>
      </c>
      <c r="BO1035" s="82">
        <f>$AG1035-$AG1036</f>
        <v/>
      </c>
      <c r="BP1035" s="82">
        <f>$AJ1035-$AJ1036</f>
        <v/>
      </c>
    </row>
    <row r="1036">
      <c r="AR1036" s="81">
        <f>($G1036+($H1036-$G1036)*0.5)+($P1036-($O1036+($Q1036-$O1036)*0.5))</f>
        <v/>
      </c>
      <c r="AS1036" s="81">
        <f>($J1036+($K1036-$J1036)*0.5)+($T1036-($S1036+($U1036-$S1036)*0.5))</f>
        <v/>
      </c>
      <c r="AT1036" s="82">
        <f>($J1036-$C1036)*100</f>
        <v/>
      </c>
      <c r="AU1036" s="82">
        <f>($H1036-$F1036)*100</f>
        <v/>
      </c>
      <c r="AV1036" s="82">
        <f>($J1036-$F1036)*100</f>
        <v/>
      </c>
      <c r="AW1036" s="82">
        <f>($L1036-$F1036)*100</f>
        <v/>
      </c>
      <c r="AX1036" s="82">
        <f>($J1036-$H1036)*100</f>
        <v/>
      </c>
      <c r="AY1036" s="82">
        <f>($L1036-$H1036)*100</f>
        <v/>
      </c>
      <c r="AZ1036" s="82">
        <f>($L1036-$J1036)*100</f>
        <v/>
      </c>
      <c r="BA1036" s="82">
        <f>(2*$H1036-$F1036-$J1036)*100</f>
        <v/>
      </c>
      <c r="BB1036" s="82">
        <f>(2*$J1036-$H1036-$L1036)*100</f>
        <v/>
      </c>
      <c r="BC1036" s="82">
        <f>($N1036-$F1036)*100</f>
        <v/>
      </c>
      <c r="BD1036" s="82">
        <f>($Q1036-$H1036)*100</f>
        <v/>
      </c>
      <c r="BE1036" s="82">
        <f>($S1036-$J1036)*100</f>
        <v/>
      </c>
      <c r="BF1036" s="82">
        <f>($V1036-$L1036)*100</f>
        <v/>
      </c>
      <c r="BG1036" s="82">
        <f>$AG1036-$AF1036</f>
        <v/>
      </c>
      <c r="BH1036" s="81">
        <f>IFERROR($AG1036/$AF1036,"")</f>
        <v/>
      </c>
      <c r="BI1036" s="82">
        <f>$AJ1036-$AF1036</f>
        <v/>
      </c>
      <c r="BJ1036" s="81">
        <f>IFERROR($AJ1036/$AG1036,"")</f>
        <v/>
      </c>
      <c r="BK1036" s="81">
        <f>$X1036</f>
        <v/>
      </c>
      <c r="BL1036" s="82">
        <f>($J1036-$J1037)*100</f>
        <v/>
      </c>
      <c r="BM1036" s="82">
        <f>($F1036-$F1037)*100</f>
        <v/>
      </c>
      <c r="BN1036" s="82">
        <f>$AF1036-$AF1037</f>
        <v/>
      </c>
      <c r="BO1036" s="82">
        <f>$AG1036-$AG1037</f>
        <v/>
      </c>
      <c r="BP1036" s="82">
        <f>$AJ1036-$AJ1037</f>
        <v/>
      </c>
    </row>
    <row r="1037">
      <c r="AR1037" s="81">
        <f>($G1037+($H1037-$G1037)*0.5)+($P1037-($O1037+($Q1037-$O1037)*0.5))</f>
        <v/>
      </c>
      <c r="AS1037" s="81">
        <f>($J1037+($K1037-$J1037)*0.5)+($T1037-($S1037+($U1037-$S1037)*0.5))</f>
        <v/>
      </c>
      <c r="AT1037" s="82">
        <f>($J1037-$C1037)*100</f>
        <v/>
      </c>
      <c r="AU1037" s="82">
        <f>($H1037-$F1037)*100</f>
        <v/>
      </c>
      <c r="AV1037" s="82">
        <f>($J1037-$F1037)*100</f>
        <v/>
      </c>
      <c r="AW1037" s="82">
        <f>($L1037-$F1037)*100</f>
        <v/>
      </c>
      <c r="AX1037" s="82">
        <f>($J1037-$H1037)*100</f>
        <v/>
      </c>
      <c r="AY1037" s="82">
        <f>($L1037-$H1037)*100</f>
        <v/>
      </c>
      <c r="AZ1037" s="82">
        <f>($L1037-$J1037)*100</f>
        <v/>
      </c>
      <c r="BA1037" s="82">
        <f>(2*$H1037-$F1037-$J1037)*100</f>
        <v/>
      </c>
      <c r="BB1037" s="82">
        <f>(2*$J1037-$H1037-$L1037)*100</f>
        <v/>
      </c>
      <c r="BC1037" s="82">
        <f>($N1037-$F1037)*100</f>
        <v/>
      </c>
      <c r="BD1037" s="82">
        <f>($Q1037-$H1037)*100</f>
        <v/>
      </c>
      <c r="BE1037" s="82">
        <f>($S1037-$J1037)*100</f>
        <v/>
      </c>
      <c r="BF1037" s="82">
        <f>($V1037-$L1037)*100</f>
        <v/>
      </c>
      <c r="BG1037" s="82">
        <f>$AG1037-$AF1037</f>
        <v/>
      </c>
      <c r="BH1037" s="81">
        <f>IFERROR($AG1037/$AF1037,"")</f>
        <v/>
      </c>
      <c r="BI1037" s="82">
        <f>$AJ1037-$AF1037</f>
        <v/>
      </c>
      <c r="BJ1037" s="81">
        <f>IFERROR($AJ1037/$AG1037,"")</f>
        <v/>
      </c>
      <c r="BK1037" s="81">
        <f>$X1037</f>
        <v/>
      </c>
      <c r="BL1037" s="82">
        <f>($J1037-$J1038)*100</f>
        <v/>
      </c>
      <c r="BM1037" s="82">
        <f>($F1037-$F1038)*100</f>
        <v/>
      </c>
      <c r="BN1037" s="82">
        <f>$AF1037-$AF1038</f>
        <v/>
      </c>
      <c r="BO1037" s="82">
        <f>$AG1037-$AG1038</f>
        <v/>
      </c>
      <c r="BP1037" s="82">
        <f>$AJ1037-$AJ1038</f>
        <v/>
      </c>
    </row>
    <row r="1038">
      <c r="AR1038" s="81">
        <f>($G1038+($H1038-$G1038)*0.5)+($P1038-($O1038+($Q1038-$O1038)*0.5))</f>
        <v/>
      </c>
      <c r="AS1038" s="81">
        <f>($J1038+($K1038-$J1038)*0.5)+($T1038-($S1038+($U1038-$S1038)*0.5))</f>
        <v/>
      </c>
      <c r="AT1038" s="82">
        <f>($J1038-$C1038)*100</f>
        <v/>
      </c>
      <c r="AU1038" s="82">
        <f>($H1038-$F1038)*100</f>
        <v/>
      </c>
      <c r="AV1038" s="82">
        <f>($J1038-$F1038)*100</f>
        <v/>
      </c>
      <c r="AW1038" s="82">
        <f>($L1038-$F1038)*100</f>
        <v/>
      </c>
      <c r="AX1038" s="82">
        <f>($J1038-$H1038)*100</f>
        <v/>
      </c>
      <c r="AY1038" s="82">
        <f>($L1038-$H1038)*100</f>
        <v/>
      </c>
      <c r="AZ1038" s="82">
        <f>($L1038-$J1038)*100</f>
        <v/>
      </c>
      <c r="BA1038" s="82">
        <f>(2*$H1038-$F1038-$J1038)*100</f>
        <v/>
      </c>
      <c r="BB1038" s="82">
        <f>(2*$J1038-$H1038-$L1038)*100</f>
        <v/>
      </c>
      <c r="BC1038" s="82">
        <f>($N1038-$F1038)*100</f>
        <v/>
      </c>
      <c r="BD1038" s="82">
        <f>($Q1038-$H1038)*100</f>
        <v/>
      </c>
      <c r="BE1038" s="82">
        <f>($S1038-$J1038)*100</f>
        <v/>
      </c>
      <c r="BF1038" s="82">
        <f>($V1038-$L1038)*100</f>
        <v/>
      </c>
      <c r="BG1038" s="82">
        <f>$AG1038-$AF1038</f>
        <v/>
      </c>
      <c r="BH1038" s="81">
        <f>IFERROR($AG1038/$AF1038,"")</f>
        <v/>
      </c>
      <c r="BI1038" s="82">
        <f>$AJ1038-$AF1038</f>
        <v/>
      </c>
      <c r="BJ1038" s="81">
        <f>IFERROR($AJ1038/$AG1038,"")</f>
        <v/>
      </c>
      <c r="BK1038" s="81">
        <f>$X1038</f>
        <v/>
      </c>
      <c r="BL1038" s="82">
        <f>($J1038-$J1039)*100</f>
        <v/>
      </c>
      <c r="BM1038" s="82">
        <f>($F1038-$F1039)*100</f>
        <v/>
      </c>
      <c r="BN1038" s="82">
        <f>$AF1038-$AF1039</f>
        <v/>
      </c>
      <c r="BO1038" s="82">
        <f>$AG1038-$AG1039</f>
        <v/>
      </c>
      <c r="BP1038" s="82">
        <f>$AJ1038-$AJ1039</f>
        <v/>
      </c>
    </row>
    <row r="1039">
      <c r="AR1039" s="81">
        <f>($G1039+($H1039-$G1039)*0.5)+($P1039-($O1039+($Q1039-$O1039)*0.5))</f>
        <v/>
      </c>
      <c r="AS1039" s="81">
        <f>($J1039+($K1039-$J1039)*0.5)+($T1039-($S1039+($U1039-$S1039)*0.5))</f>
        <v/>
      </c>
      <c r="AT1039" s="82">
        <f>($J1039-$C1039)*100</f>
        <v/>
      </c>
      <c r="AU1039" s="82">
        <f>($H1039-$F1039)*100</f>
        <v/>
      </c>
      <c r="AV1039" s="82">
        <f>($J1039-$F1039)*100</f>
        <v/>
      </c>
      <c r="AW1039" s="82">
        <f>($L1039-$F1039)*100</f>
        <v/>
      </c>
      <c r="AX1039" s="82">
        <f>($J1039-$H1039)*100</f>
        <v/>
      </c>
      <c r="AY1039" s="82">
        <f>($L1039-$H1039)*100</f>
        <v/>
      </c>
      <c r="AZ1039" s="82">
        <f>($L1039-$J1039)*100</f>
        <v/>
      </c>
      <c r="BA1039" s="82">
        <f>(2*$H1039-$F1039-$J1039)*100</f>
        <v/>
      </c>
      <c r="BB1039" s="82">
        <f>(2*$J1039-$H1039-$L1039)*100</f>
        <v/>
      </c>
      <c r="BC1039" s="82">
        <f>($N1039-$F1039)*100</f>
        <v/>
      </c>
      <c r="BD1039" s="82">
        <f>($Q1039-$H1039)*100</f>
        <v/>
      </c>
      <c r="BE1039" s="82">
        <f>($S1039-$J1039)*100</f>
        <v/>
      </c>
      <c r="BF1039" s="82">
        <f>($V1039-$L1039)*100</f>
        <v/>
      </c>
      <c r="BG1039" s="82">
        <f>$AG1039-$AF1039</f>
        <v/>
      </c>
      <c r="BH1039" s="81">
        <f>IFERROR($AG1039/$AF1039,"")</f>
        <v/>
      </c>
      <c r="BI1039" s="82">
        <f>$AJ1039-$AF1039</f>
        <v/>
      </c>
      <c r="BJ1039" s="81">
        <f>IFERROR($AJ1039/$AG1039,"")</f>
        <v/>
      </c>
      <c r="BK1039" s="81">
        <f>$X1039</f>
        <v/>
      </c>
      <c r="BL1039" s="82">
        <f>($J1039-$J1040)*100</f>
        <v/>
      </c>
      <c r="BM1039" s="82">
        <f>($F1039-$F1040)*100</f>
        <v/>
      </c>
      <c r="BN1039" s="82">
        <f>$AF1039-$AF1040</f>
        <v/>
      </c>
      <c r="BO1039" s="82">
        <f>$AG1039-$AG1040</f>
        <v/>
      </c>
      <c r="BP1039" s="82">
        <f>$AJ1039-$AJ1040</f>
        <v/>
      </c>
    </row>
    <row r="1040">
      <c r="AR1040" s="81">
        <f>($G1040+($H1040-$G1040)*0.5)+($P1040-($O1040+($Q1040-$O1040)*0.5))</f>
        <v/>
      </c>
      <c r="AS1040" s="81">
        <f>($J1040+($K1040-$J1040)*0.5)+($T1040-($S1040+($U1040-$S1040)*0.5))</f>
        <v/>
      </c>
      <c r="AT1040" s="82">
        <f>($J1040-$C1040)*100</f>
        <v/>
      </c>
      <c r="AU1040" s="82">
        <f>($H1040-$F1040)*100</f>
        <v/>
      </c>
      <c r="AV1040" s="82">
        <f>($J1040-$F1040)*100</f>
        <v/>
      </c>
      <c r="AW1040" s="82">
        <f>($L1040-$F1040)*100</f>
        <v/>
      </c>
      <c r="AX1040" s="82">
        <f>($J1040-$H1040)*100</f>
        <v/>
      </c>
      <c r="AY1040" s="82">
        <f>($L1040-$H1040)*100</f>
        <v/>
      </c>
      <c r="AZ1040" s="82">
        <f>($L1040-$J1040)*100</f>
        <v/>
      </c>
      <c r="BA1040" s="82">
        <f>(2*$H1040-$F1040-$J1040)*100</f>
        <v/>
      </c>
      <c r="BB1040" s="82">
        <f>(2*$J1040-$H1040-$L1040)*100</f>
        <v/>
      </c>
      <c r="BC1040" s="82">
        <f>($N1040-$F1040)*100</f>
        <v/>
      </c>
      <c r="BD1040" s="82">
        <f>($Q1040-$H1040)*100</f>
        <v/>
      </c>
      <c r="BE1040" s="82">
        <f>($S1040-$J1040)*100</f>
        <v/>
      </c>
      <c r="BF1040" s="82">
        <f>($V1040-$L1040)*100</f>
        <v/>
      </c>
      <c r="BG1040" s="82">
        <f>$AG1040-$AF1040</f>
        <v/>
      </c>
      <c r="BH1040" s="81">
        <f>IFERROR($AG1040/$AF1040,"")</f>
        <v/>
      </c>
      <c r="BI1040" s="82">
        <f>$AJ1040-$AF1040</f>
        <v/>
      </c>
      <c r="BJ1040" s="81">
        <f>IFERROR($AJ1040/$AG1040,"")</f>
        <v/>
      </c>
      <c r="BK1040" s="81">
        <f>$X1040</f>
        <v/>
      </c>
      <c r="BL1040" s="82">
        <f>($J1040-$J1041)*100</f>
        <v/>
      </c>
      <c r="BM1040" s="82">
        <f>($F1040-$F1041)*100</f>
        <v/>
      </c>
      <c r="BN1040" s="82">
        <f>$AF1040-$AF1041</f>
        <v/>
      </c>
      <c r="BO1040" s="82">
        <f>$AG1040-$AG1041</f>
        <v/>
      </c>
      <c r="BP1040" s="82">
        <f>$AJ1040-$AJ1041</f>
        <v/>
      </c>
    </row>
    <row r="1041">
      <c r="AR1041" s="81">
        <f>($G1041+($H1041-$G1041)*0.5)+($P1041-($O1041+($Q1041-$O1041)*0.5))</f>
        <v/>
      </c>
      <c r="AS1041" s="81">
        <f>($J1041+($K1041-$J1041)*0.5)+($T1041-($S1041+($U1041-$S1041)*0.5))</f>
        <v/>
      </c>
      <c r="AT1041" s="82">
        <f>($J1041-$C1041)*100</f>
        <v/>
      </c>
      <c r="AU1041" s="82">
        <f>($H1041-$F1041)*100</f>
        <v/>
      </c>
      <c r="AV1041" s="82">
        <f>($J1041-$F1041)*100</f>
        <v/>
      </c>
      <c r="AW1041" s="82">
        <f>($L1041-$F1041)*100</f>
        <v/>
      </c>
      <c r="AX1041" s="82">
        <f>($J1041-$H1041)*100</f>
        <v/>
      </c>
      <c r="AY1041" s="82">
        <f>($L1041-$H1041)*100</f>
        <v/>
      </c>
      <c r="AZ1041" s="82">
        <f>($L1041-$J1041)*100</f>
        <v/>
      </c>
      <c r="BA1041" s="82">
        <f>(2*$H1041-$F1041-$J1041)*100</f>
        <v/>
      </c>
      <c r="BB1041" s="82">
        <f>(2*$J1041-$H1041-$L1041)*100</f>
        <v/>
      </c>
      <c r="BC1041" s="82">
        <f>($N1041-$F1041)*100</f>
        <v/>
      </c>
      <c r="BD1041" s="82">
        <f>($Q1041-$H1041)*100</f>
        <v/>
      </c>
      <c r="BE1041" s="82">
        <f>($S1041-$J1041)*100</f>
        <v/>
      </c>
      <c r="BF1041" s="82">
        <f>($V1041-$L1041)*100</f>
        <v/>
      </c>
      <c r="BG1041" s="82">
        <f>$AG1041-$AF1041</f>
        <v/>
      </c>
      <c r="BH1041" s="81">
        <f>IFERROR($AG1041/$AF1041,"")</f>
        <v/>
      </c>
      <c r="BI1041" s="82">
        <f>$AJ1041-$AF1041</f>
        <v/>
      </c>
      <c r="BJ1041" s="81">
        <f>IFERROR($AJ1041/$AG1041,"")</f>
        <v/>
      </c>
      <c r="BK1041" s="81">
        <f>$X1041</f>
        <v/>
      </c>
      <c r="BL1041" s="82">
        <f>($J1041-$J1042)*100</f>
        <v/>
      </c>
      <c r="BM1041" s="82">
        <f>($F1041-$F1042)*100</f>
        <v/>
      </c>
      <c r="BN1041" s="82">
        <f>$AF1041-$AF1042</f>
        <v/>
      </c>
      <c r="BO1041" s="82">
        <f>$AG1041-$AG1042</f>
        <v/>
      </c>
      <c r="BP1041" s="82">
        <f>$AJ1041-$AJ1042</f>
        <v/>
      </c>
    </row>
    <row r="1042">
      <c r="AR1042" s="81">
        <f>($G1042+($H1042-$G1042)*0.5)+($P1042-($O1042+($Q1042-$O1042)*0.5))</f>
        <v/>
      </c>
      <c r="AS1042" s="81">
        <f>($J1042+($K1042-$J1042)*0.5)+($T1042-($S1042+($U1042-$S1042)*0.5))</f>
        <v/>
      </c>
      <c r="AT1042" s="82">
        <f>($J1042-$C1042)*100</f>
        <v/>
      </c>
      <c r="AU1042" s="82">
        <f>($H1042-$F1042)*100</f>
        <v/>
      </c>
      <c r="AV1042" s="82">
        <f>($J1042-$F1042)*100</f>
        <v/>
      </c>
      <c r="AW1042" s="82">
        <f>($L1042-$F1042)*100</f>
        <v/>
      </c>
      <c r="AX1042" s="82">
        <f>($J1042-$H1042)*100</f>
        <v/>
      </c>
      <c r="AY1042" s="82">
        <f>($L1042-$H1042)*100</f>
        <v/>
      </c>
      <c r="AZ1042" s="82">
        <f>($L1042-$J1042)*100</f>
        <v/>
      </c>
      <c r="BA1042" s="82">
        <f>(2*$H1042-$F1042-$J1042)*100</f>
        <v/>
      </c>
      <c r="BB1042" s="82">
        <f>(2*$J1042-$H1042-$L1042)*100</f>
        <v/>
      </c>
      <c r="BC1042" s="82">
        <f>($N1042-$F1042)*100</f>
        <v/>
      </c>
      <c r="BD1042" s="82">
        <f>($Q1042-$H1042)*100</f>
        <v/>
      </c>
      <c r="BE1042" s="82">
        <f>($S1042-$J1042)*100</f>
        <v/>
      </c>
      <c r="BF1042" s="82">
        <f>($V1042-$L1042)*100</f>
        <v/>
      </c>
      <c r="BG1042" s="82">
        <f>$AG1042-$AF1042</f>
        <v/>
      </c>
      <c r="BH1042" s="81">
        <f>IFERROR($AG1042/$AF1042,"")</f>
        <v/>
      </c>
      <c r="BI1042" s="82">
        <f>$AJ1042-$AF1042</f>
        <v/>
      </c>
      <c r="BJ1042" s="81">
        <f>IFERROR($AJ1042/$AG1042,"")</f>
        <v/>
      </c>
      <c r="BK1042" s="81">
        <f>$X1042</f>
        <v/>
      </c>
      <c r="BL1042" s="82">
        <f>($J1042-$J1043)*100</f>
        <v/>
      </c>
      <c r="BM1042" s="82">
        <f>($F1042-$F1043)*100</f>
        <v/>
      </c>
      <c r="BN1042" s="82">
        <f>$AF1042-$AF1043</f>
        <v/>
      </c>
      <c r="BO1042" s="82">
        <f>$AG1042-$AG1043</f>
        <v/>
      </c>
      <c r="BP1042" s="82">
        <f>$AJ1042-$AJ1043</f>
        <v/>
      </c>
    </row>
    <row r="1043">
      <c r="AR1043" s="81">
        <f>($G1043+($H1043-$G1043)*0.5)+($P1043-($O1043+($Q1043-$O1043)*0.5))</f>
        <v/>
      </c>
      <c r="AS1043" s="81">
        <f>($J1043+($K1043-$J1043)*0.5)+($T1043-($S1043+($U1043-$S1043)*0.5))</f>
        <v/>
      </c>
      <c r="AT1043" s="82">
        <f>($J1043-$C1043)*100</f>
        <v/>
      </c>
      <c r="AU1043" s="82">
        <f>($H1043-$F1043)*100</f>
        <v/>
      </c>
      <c r="AV1043" s="82">
        <f>($J1043-$F1043)*100</f>
        <v/>
      </c>
      <c r="AW1043" s="82">
        <f>($L1043-$F1043)*100</f>
        <v/>
      </c>
      <c r="AX1043" s="82">
        <f>($J1043-$H1043)*100</f>
        <v/>
      </c>
      <c r="AY1043" s="82">
        <f>($L1043-$H1043)*100</f>
        <v/>
      </c>
      <c r="AZ1043" s="82">
        <f>($L1043-$J1043)*100</f>
        <v/>
      </c>
      <c r="BA1043" s="82">
        <f>(2*$H1043-$F1043-$J1043)*100</f>
        <v/>
      </c>
      <c r="BB1043" s="82">
        <f>(2*$J1043-$H1043-$L1043)*100</f>
        <v/>
      </c>
      <c r="BC1043" s="82">
        <f>($N1043-$F1043)*100</f>
        <v/>
      </c>
      <c r="BD1043" s="82">
        <f>($Q1043-$H1043)*100</f>
        <v/>
      </c>
      <c r="BE1043" s="82">
        <f>($S1043-$J1043)*100</f>
        <v/>
      </c>
      <c r="BF1043" s="82">
        <f>($V1043-$L1043)*100</f>
        <v/>
      </c>
      <c r="BG1043" s="82">
        <f>$AG1043-$AF1043</f>
        <v/>
      </c>
      <c r="BH1043" s="81">
        <f>IFERROR($AG1043/$AF1043,"")</f>
        <v/>
      </c>
      <c r="BI1043" s="82">
        <f>$AJ1043-$AF1043</f>
        <v/>
      </c>
      <c r="BJ1043" s="81">
        <f>IFERROR($AJ1043/$AG1043,"")</f>
        <v/>
      </c>
      <c r="BK1043" s="81">
        <f>$X1043</f>
        <v/>
      </c>
      <c r="BL1043" s="82">
        <f>($J1043-$J1044)*100</f>
        <v/>
      </c>
      <c r="BM1043" s="82">
        <f>($F1043-$F1044)*100</f>
        <v/>
      </c>
      <c r="BN1043" s="82">
        <f>$AF1043-$AF1044</f>
        <v/>
      </c>
      <c r="BO1043" s="82">
        <f>$AG1043-$AG1044</f>
        <v/>
      </c>
      <c r="BP1043" s="82">
        <f>$AJ1043-$AJ1044</f>
        <v/>
      </c>
    </row>
    <row r="1044">
      <c r="AR1044" s="81">
        <f>($G1044+($H1044-$G1044)*0.5)+($P1044-($O1044+($Q1044-$O1044)*0.5))</f>
        <v/>
      </c>
      <c r="AS1044" s="81">
        <f>($J1044+($K1044-$J1044)*0.5)+($T1044-($S1044+($U1044-$S1044)*0.5))</f>
        <v/>
      </c>
      <c r="AT1044" s="82">
        <f>($J1044-$C1044)*100</f>
        <v/>
      </c>
      <c r="AU1044" s="82">
        <f>($H1044-$F1044)*100</f>
        <v/>
      </c>
      <c r="AV1044" s="82">
        <f>($J1044-$F1044)*100</f>
        <v/>
      </c>
      <c r="AW1044" s="82">
        <f>($L1044-$F1044)*100</f>
        <v/>
      </c>
      <c r="AX1044" s="82">
        <f>($J1044-$H1044)*100</f>
        <v/>
      </c>
      <c r="AY1044" s="82">
        <f>($L1044-$H1044)*100</f>
        <v/>
      </c>
      <c r="AZ1044" s="82">
        <f>($L1044-$J1044)*100</f>
        <v/>
      </c>
      <c r="BA1044" s="82">
        <f>(2*$H1044-$F1044-$J1044)*100</f>
        <v/>
      </c>
      <c r="BB1044" s="82">
        <f>(2*$J1044-$H1044-$L1044)*100</f>
        <v/>
      </c>
      <c r="BC1044" s="82">
        <f>($N1044-$F1044)*100</f>
        <v/>
      </c>
      <c r="BD1044" s="82">
        <f>($Q1044-$H1044)*100</f>
        <v/>
      </c>
      <c r="BE1044" s="82">
        <f>($S1044-$J1044)*100</f>
        <v/>
      </c>
      <c r="BF1044" s="82">
        <f>($V1044-$L1044)*100</f>
        <v/>
      </c>
      <c r="BG1044" s="82">
        <f>$AG1044-$AF1044</f>
        <v/>
      </c>
      <c r="BH1044" s="81">
        <f>IFERROR($AG1044/$AF1044,"")</f>
        <v/>
      </c>
      <c r="BI1044" s="82">
        <f>$AJ1044-$AF1044</f>
        <v/>
      </c>
      <c r="BJ1044" s="81">
        <f>IFERROR($AJ1044/$AG1044,"")</f>
        <v/>
      </c>
      <c r="BK1044" s="81">
        <f>$X1044</f>
        <v/>
      </c>
      <c r="BL1044" s="82">
        <f>($J1044-$J1045)*100</f>
        <v/>
      </c>
      <c r="BM1044" s="82">
        <f>($F1044-$F1045)*100</f>
        <v/>
      </c>
      <c r="BN1044" s="82">
        <f>$AF1044-$AF1045</f>
        <v/>
      </c>
      <c r="BO1044" s="82">
        <f>$AG1044-$AG1045</f>
        <v/>
      </c>
      <c r="BP1044" s="82">
        <f>$AJ1044-$AJ1045</f>
        <v/>
      </c>
    </row>
    <row r="1045">
      <c r="AR1045" s="81">
        <f>($G1045+($H1045-$G1045)*0.5)+($P1045-($O1045+($Q1045-$O1045)*0.5))</f>
        <v/>
      </c>
      <c r="AS1045" s="81">
        <f>($J1045+($K1045-$J1045)*0.5)+($T1045-($S1045+($U1045-$S1045)*0.5))</f>
        <v/>
      </c>
      <c r="AT1045" s="82">
        <f>($J1045-$C1045)*100</f>
        <v/>
      </c>
      <c r="AU1045" s="82">
        <f>($H1045-$F1045)*100</f>
        <v/>
      </c>
      <c r="AV1045" s="82">
        <f>($J1045-$F1045)*100</f>
        <v/>
      </c>
      <c r="AW1045" s="82">
        <f>($L1045-$F1045)*100</f>
        <v/>
      </c>
      <c r="AX1045" s="82">
        <f>($J1045-$H1045)*100</f>
        <v/>
      </c>
      <c r="AY1045" s="82">
        <f>($L1045-$H1045)*100</f>
        <v/>
      </c>
      <c r="AZ1045" s="82">
        <f>($L1045-$J1045)*100</f>
        <v/>
      </c>
      <c r="BA1045" s="82">
        <f>(2*$H1045-$F1045-$J1045)*100</f>
        <v/>
      </c>
      <c r="BB1045" s="82">
        <f>(2*$J1045-$H1045-$L1045)*100</f>
        <v/>
      </c>
      <c r="BC1045" s="82">
        <f>($N1045-$F1045)*100</f>
        <v/>
      </c>
      <c r="BD1045" s="82">
        <f>($Q1045-$H1045)*100</f>
        <v/>
      </c>
      <c r="BE1045" s="82">
        <f>($S1045-$J1045)*100</f>
        <v/>
      </c>
      <c r="BF1045" s="82">
        <f>($V1045-$L1045)*100</f>
        <v/>
      </c>
      <c r="BG1045" s="82">
        <f>$AG1045-$AF1045</f>
        <v/>
      </c>
      <c r="BH1045" s="81">
        <f>IFERROR($AG1045/$AF1045,"")</f>
        <v/>
      </c>
      <c r="BI1045" s="82">
        <f>$AJ1045-$AF1045</f>
        <v/>
      </c>
      <c r="BJ1045" s="81">
        <f>IFERROR($AJ1045/$AG1045,"")</f>
        <v/>
      </c>
      <c r="BK1045" s="81">
        <f>$X1045</f>
        <v/>
      </c>
      <c r="BL1045" s="82">
        <f>($J1045-$J1046)*100</f>
        <v/>
      </c>
      <c r="BM1045" s="82">
        <f>($F1045-$F1046)*100</f>
        <v/>
      </c>
      <c r="BN1045" s="82">
        <f>$AF1045-$AF1046</f>
        <v/>
      </c>
      <c r="BO1045" s="82">
        <f>$AG1045-$AG1046</f>
        <v/>
      </c>
      <c r="BP1045" s="82">
        <f>$AJ1045-$AJ1046</f>
        <v/>
      </c>
    </row>
    <row r="1046">
      <c r="AR1046" s="81">
        <f>($G1046+($H1046-$G1046)*0.5)+($P1046-($O1046+($Q1046-$O1046)*0.5))</f>
        <v/>
      </c>
      <c r="AS1046" s="81">
        <f>($J1046+($K1046-$J1046)*0.5)+($T1046-($S1046+($U1046-$S1046)*0.5))</f>
        <v/>
      </c>
      <c r="AT1046" s="82">
        <f>($J1046-$C1046)*100</f>
        <v/>
      </c>
      <c r="AU1046" s="82">
        <f>($H1046-$F1046)*100</f>
        <v/>
      </c>
      <c r="AV1046" s="82">
        <f>($J1046-$F1046)*100</f>
        <v/>
      </c>
      <c r="AW1046" s="82">
        <f>($L1046-$F1046)*100</f>
        <v/>
      </c>
      <c r="AX1046" s="82">
        <f>($J1046-$H1046)*100</f>
        <v/>
      </c>
      <c r="AY1046" s="82">
        <f>($L1046-$H1046)*100</f>
        <v/>
      </c>
      <c r="AZ1046" s="82">
        <f>($L1046-$J1046)*100</f>
        <v/>
      </c>
      <c r="BA1046" s="82">
        <f>(2*$H1046-$F1046-$J1046)*100</f>
        <v/>
      </c>
      <c r="BB1046" s="82">
        <f>(2*$J1046-$H1046-$L1046)*100</f>
        <v/>
      </c>
      <c r="BC1046" s="82">
        <f>($N1046-$F1046)*100</f>
        <v/>
      </c>
      <c r="BD1046" s="82">
        <f>($Q1046-$H1046)*100</f>
        <v/>
      </c>
      <c r="BE1046" s="82">
        <f>($S1046-$J1046)*100</f>
        <v/>
      </c>
      <c r="BF1046" s="82">
        <f>($V1046-$L1046)*100</f>
        <v/>
      </c>
      <c r="BG1046" s="82">
        <f>$AG1046-$AF1046</f>
        <v/>
      </c>
      <c r="BH1046" s="81">
        <f>IFERROR($AG1046/$AF1046,"")</f>
        <v/>
      </c>
      <c r="BI1046" s="82">
        <f>$AJ1046-$AF1046</f>
        <v/>
      </c>
      <c r="BJ1046" s="81">
        <f>IFERROR($AJ1046/$AG1046,"")</f>
        <v/>
      </c>
      <c r="BK1046" s="81">
        <f>$X1046</f>
        <v/>
      </c>
      <c r="BL1046" s="82">
        <f>($J1046-$J1047)*100</f>
        <v/>
      </c>
      <c r="BM1046" s="82">
        <f>($F1046-$F1047)*100</f>
        <v/>
      </c>
      <c r="BN1046" s="82">
        <f>$AF1046-$AF1047</f>
        <v/>
      </c>
      <c r="BO1046" s="82">
        <f>$AG1046-$AG1047</f>
        <v/>
      </c>
      <c r="BP1046" s="82">
        <f>$AJ1046-$AJ1047</f>
        <v/>
      </c>
    </row>
    <row r="1047">
      <c r="AR1047" s="81">
        <f>($G1047+($H1047-$G1047)*0.5)+($P1047-($O1047+($Q1047-$O1047)*0.5))</f>
        <v/>
      </c>
      <c r="AS1047" s="81">
        <f>($J1047+($K1047-$J1047)*0.5)+($T1047-($S1047+($U1047-$S1047)*0.5))</f>
        <v/>
      </c>
      <c r="AT1047" s="82">
        <f>($J1047-$C1047)*100</f>
        <v/>
      </c>
      <c r="AU1047" s="82">
        <f>($H1047-$F1047)*100</f>
        <v/>
      </c>
      <c r="AV1047" s="82">
        <f>($J1047-$F1047)*100</f>
        <v/>
      </c>
      <c r="AW1047" s="82">
        <f>($L1047-$F1047)*100</f>
        <v/>
      </c>
      <c r="AX1047" s="82">
        <f>($J1047-$H1047)*100</f>
        <v/>
      </c>
      <c r="AY1047" s="82">
        <f>($L1047-$H1047)*100</f>
        <v/>
      </c>
      <c r="AZ1047" s="82">
        <f>($L1047-$J1047)*100</f>
        <v/>
      </c>
      <c r="BA1047" s="82">
        <f>(2*$H1047-$F1047-$J1047)*100</f>
        <v/>
      </c>
      <c r="BB1047" s="82">
        <f>(2*$J1047-$H1047-$L1047)*100</f>
        <v/>
      </c>
      <c r="BC1047" s="82">
        <f>($N1047-$F1047)*100</f>
        <v/>
      </c>
      <c r="BD1047" s="82">
        <f>($Q1047-$H1047)*100</f>
        <v/>
      </c>
      <c r="BE1047" s="82">
        <f>($S1047-$J1047)*100</f>
        <v/>
      </c>
      <c r="BF1047" s="82">
        <f>($V1047-$L1047)*100</f>
        <v/>
      </c>
      <c r="BG1047" s="82">
        <f>$AG1047-$AF1047</f>
        <v/>
      </c>
      <c r="BH1047" s="81">
        <f>IFERROR($AG1047/$AF1047,"")</f>
        <v/>
      </c>
      <c r="BI1047" s="82">
        <f>$AJ1047-$AF1047</f>
        <v/>
      </c>
      <c r="BJ1047" s="81">
        <f>IFERROR($AJ1047/$AG1047,"")</f>
        <v/>
      </c>
      <c r="BK1047" s="81">
        <f>$X1047</f>
        <v/>
      </c>
      <c r="BL1047" s="82">
        <f>($J1047-$J1048)*100</f>
        <v/>
      </c>
      <c r="BM1047" s="82">
        <f>($F1047-$F1048)*100</f>
        <v/>
      </c>
      <c r="BN1047" s="82">
        <f>$AF1047-$AF1048</f>
        <v/>
      </c>
      <c r="BO1047" s="82">
        <f>$AG1047-$AG1048</f>
        <v/>
      </c>
      <c r="BP1047" s="82">
        <f>$AJ1047-$AJ1048</f>
        <v/>
      </c>
    </row>
    <row r="1048">
      <c r="AR1048" s="81">
        <f>($G1048+($H1048-$G1048)*0.5)+($P1048-($O1048+($Q1048-$O1048)*0.5))</f>
        <v/>
      </c>
      <c r="AS1048" s="81">
        <f>($J1048+($K1048-$J1048)*0.5)+($T1048-($S1048+($U1048-$S1048)*0.5))</f>
        <v/>
      </c>
      <c r="AT1048" s="82">
        <f>($J1048-$C1048)*100</f>
        <v/>
      </c>
      <c r="AU1048" s="82">
        <f>($H1048-$F1048)*100</f>
        <v/>
      </c>
      <c r="AV1048" s="82">
        <f>($J1048-$F1048)*100</f>
        <v/>
      </c>
      <c r="AW1048" s="82">
        <f>($L1048-$F1048)*100</f>
        <v/>
      </c>
      <c r="AX1048" s="82">
        <f>($J1048-$H1048)*100</f>
        <v/>
      </c>
      <c r="AY1048" s="82">
        <f>($L1048-$H1048)*100</f>
        <v/>
      </c>
      <c r="AZ1048" s="82">
        <f>($L1048-$J1048)*100</f>
        <v/>
      </c>
      <c r="BA1048" s="82">
        <f>(2*$H1048-$F1048-$J1048)*100</f>
        <v/>
      </c>
      <c r="BB1048" s="82">
        <f>(2*$J1048-$H1048-$L1048)*100</f>
        <v/>
      </c>
      <c r="BC1048" s="82">
        <f>($N1048-$F1048)*100</f>
        <v/>
      </c>
      <c r="BD1048" s="82">
        <f>($Q1048-$H1048)*100</f>
        <v/>
      </c>
      <c r="BE1048" s="82">
        <f>($S1048-$J1048)*100</f>
        <v/>
      </c>
      <c r="BF1048" s="82">
        <f>($V1048-$L1048)*100</f>
        <v/>
      </c>
      <c r="BG1048" s="82">
        <f>$AG1048-$AF1048</f>
        <v/>
      </c>
      <c r="BH1048" s="81">
        <f>IFERROR($AG1048/$AF1048,"")</f>
        <v/>
      </c>
      <c r="BI1048" s="82">
        <f>$AJ1048-$AF1048</f>
        <v/>
      </c>
      <c r="BJ1048" s="81">
        <f>IFERROR($AJ1048/$AG1048,"")</f>
        <v/>
      </c>
      <c r="BK1048" s="81">
        <f>$X1048</f>
        <v/>
      </c>
      <c r="BL1048" s="82">
        <f>($J1048-$J1049)*100</f>
        <v/>
      </c>
      <c r="BM1048" s="82">
        <f>($F1048-$F1049)*100</f>
        <v/>
      </c>
      <c r="BN1048" s="82">
        <f>$AF1048-$AF1049</f>
        <v/>
      </c>
      <c r="BO1048" s="82">
        <f>$AG1048-$AG1049</f>
        <v/>
      </c>
      <c r="BP1048" s="82">
        <f>$AJ1048-$AJ1049</f>
        <v/>
      </c>
    </row>
    <row r="1049">
      <c r="AR1049" s="81">
        <f>($G1049+($H1049-$G1049)*0.5)+($P1049-($O1049+($Q1049-$O1049)*0.5))</f>
        <v/>
      </c>
      <c r="AS1049" s="81">
        <f>($J1049+($K1049-$J1049)*0.5)+($T1049-($S1049+($U1049-$S1049)*0.5))</f>
        <v/>
      </c>
      <c r="AT1049" s="82">
        <f>($J1049-$C1049)*100</f>
        <v/>
      </c>
      <c r="AU1049" s="82">
        <f>($H1049-$F1049)*100</f>
        <v/>
      </c>
      <c r="AV1049" s="82">
        <f>($J1049-$F1049)*100</f>
        <v/>
      </c>
      <c r="AW1049" s="82">
        <f>($L1049-$F1049)*100</f>
        <v/>
      </c>
      <c r="AX1049" s="82">
        <f>($J1049-$H1049)*100</f>
        <v/>
      </c>
      <c r="AY1049" s="82">
        <f>($L1049-$H1049)*100</f>
        <v/>
      </c>
      <c r="AZ1049" s="82">
        <f>($L1049-$J1049)*100</f>
        <v/>
      </c>
      <c r="BA1049" s="82">
        <f>(2*$H1049-$F1049-$J1049)*100</f>
        <v/>
      </c>
      <c r="BB1049" s="82">
        <f>(2*$J1049-$H1049-$L1049)*100</f>
        <v/>
      </c>
      <c r="BC1049" s="82">
        <f>($N1049-$F1049)*100</f>
        <v/>
      </c>
      <c r="BD1049" s="82">
        <f>($Q1049-$H1049)*100</f>
        <v/>
      </c>
      <c r="BE1049" s="82">
        <f>($S1049-$J1049)*100</f>
        <v/>
      </c>
      <c r="BF1049" s="82">
        <f>($V1049-$L1049)*100</f>
        <v/>
      </c>
      <c r="BG1049" s="82">
        <f>$AG1049-$AF1049</f>
        <v/>
      </c>
      <c r="BH1049" s="81">
        <f>IFERROR($AG1049/$AF1049,"")</f>
        <v/>
      </c>
      <c r="BI1049" s="82">
        <f>$AJ1049-$AF1049</f>
        <v/>
      </c>
      <c r="BJ1049" s="81">
        <f>IFERROR($AJ1049/$AG1049,"")</f>
        <v/>
      </c>
      <c r="BK1049" s="81">
        <f>$X1049</f>
        <v/>
      </c>
      <c r="BL1049" s="82">
        <f>($J1049-$J1050)*100</f>
        <v/>
      </c>
      <c r="BM1049" s="82">
        <f>($F1049-$F1050)*100</f>
        <v/>
      </c>
      <c r="BN1049" s="82">
        <f>$AF1049-$AF1050</f>
        <v/>
      </c>
      <c r="BO1049" s="82">
        <f>$AG1049-$AG1050</f>
        <v/>
      </c>
      <c r="BP1049" s="82">
        <f>$AJ1049-$AJ1050</f>
        <v/>
      </c>
    </row>
    <row r="1050">
      <c r="AR1050" s="81">
        <f>($G1050+($H1050-$G1050)*0.5)+($P1050-($O1050+($Q1050-$O1050)*0.5))</f>
        <v/>
      </c>
      <c r="AS1050" s="81">
        <f>($J1050+($K1050-$J1050)*0.5)+($T1050-($S1050+($U1050-$S1050)*0.5))</f>
        <v/>
      </c>
      <c r="AT1050" s="82">
        <f>($J1050-$C1050)*100</f>
        <v/>
      </c>
      <c r="AU1050" s="82">
        <f>($H1050-$F1050)*100</f>
        <v/>
      </c>
      <c r="AV1050" s="82">
        <f>($J1050-$F1050)*100</f>
        <v/>
      </c>
      <c r="AW1050" s="82">
        <f>($L1050-$F1050)*100</f>
        <v/>
      </c>
      <c r="AX1050" s="82">
        <f>($J1050-$H1050)*100</f>
        <v/>
      </c>
      <c r="AY1050" s="82">
        <f>($L1050-$H1050)*100</f>
        <v/>
      </c>
      <c r="AZ1050" s="82">
        <f>($L1050-$J1050)*100</f>
        <v/>
      </c>
      <c r="BA1050" s="82">
        <f>(2*$H1050-$F1050-$J1050)*100</f>
        <v/>
      </c>
      <c r="BB1050" s="82">
        <f>(2*$J1050-$H1050-$L1050)*100</f>
        <v/>
      </c>
      <c r="BC1050" s="82">
        <f>($N1050-$F1050)*100</f>
        <v/>
      </c>
      <c r="BD1050" s="82">
        <f>($Q1050-$H1050)*100</f>
        <v/>
      </c>
      <c r="BE1050" s="82">
        <f>($S1050-$J1050)*100</f>
        <v/>
      </c>
      <c r="BF1050" s="82">
        <f>($V1050-$L1050)*100</f>
        <v/>
      </c>
      <c r="BG1050" s="82">
        <f>$AG1050-$AF1050</f>
        <v/>
      </c>
      <c r="BH1050" s="81">
        <f>IFERROR($AG1050/$AF1050,"")</f>
        <v/>
      </c>
      <c r="BI1050" s="82">
        <f>$AJ1050-$AF1050</f>
        <v/>
      </c>
      <c r="BJ1050" s="81">
        <f>IFERROR($AJ1050/$AG1050,"")</f>
        <v/>
      </c>
      <c r="BK1050" s="81">
        <f>$X1050</f>
        <v/>
      </c>
      <c r="BL1050" s="82">
        <f>($J1050-$J1051)*100</f>
        <v/>
      </c>
      <c r="BM1050" s="82">
        <f>($F1050-$F1051)*100</f>
        <v/>
      </c>
      <c r="BN1050" s="82">
        <f>$AF1050-$AF1051</f>
        <v/>
      </c>
      <c r="BO1050" s="82">
        <f>$AG1050-$AG1051</f>
        <v/>
      </c>
      <c r="BP1050" s="82">
        <f>$AJ1050-$AJ1051</f>
        <v/>
      </c>
    </row>
    <row r="1051">
      <c r="AR1051" s="81">
        <f>($G1051+($H1051-$G1051)*0.5)+($P1051-($O1051+($Q1051-$O1051)*0.5))</f>
        <v/>
      </c>
      <c r="AS1051" s="81">
        <f>($J1051+($K1051-$J1051)*0.5)+($T1051-($S1051+($U1051-$S1051)*0.5))</f>
        <v/>
      </c>
      <c r="AT1051" s="82">
        <f>($J1051-$C1051)*100</f>
        <v/>
      </c>
      <c r="AU1051" s="82">
        <f>($H1051-$F1051)*100</f>
        <v/>
      </c>
      <c r="AV1051" s="82">
        <f>($J1051-$F1051)*100</f>
        <v/>
      </c>
      <c r="AW1051" s="82">
        <f>($L1051-$F1051)*100</f>
        <v/>
      </c>
      <c r="AX1051" s="82">
        <f>($J1051-$H1051)*100</f>
        <v/>
      </c>
      <c r="AY1051" s="82">
        <f>($L1051-$H1051)*100</f>
        <v/>
      </c>
      <c r="AZ1051" s="82">
        <f>($L1051-$J1051)*100</f>
        <v/>
      </c>
      <c r="BA1051" s="82">
        <f>(2*$H1051-$F1051-$J1051)*100</f>
        <v/>
      </c>
      <c r="BB1051" s="82">
        <f>(2*$J1051-$H1051-$L1051)*100</f>
        <v/>
      </c>
      <c r="BC1051" s="82">
        <f>($N1051-$F1051)*100</f>
        <v/>
      </c>
      <c r="BD1051" s="82">
        <f>($Q1051-$H1051)*100</f>
        <v/>
      </c>
      <c r="BE1051" s="82">
        <f>($S1051-$J1051)*100</f>
        <v/>
      </c>
      <c r="BF1051" s="82">
        <f>($V1051-$L1051)*100</f>
        <v/>
      </c>
      <c r="BG1051" s="82">
        <f>$AG1051-$AF1051</f>
        <v/>
      </c>
      <c r="BH1051" s="81">
        <f>IFERROR($AG1051/$AF1051,"")</f>
        <v/>
      </c>
      <c r="BI1051" s="82">
        <f>$AJ1051-$AF1051</f>
        <v/>
      </c>
      <c r="BJ1051" s="81">
        <f>IFERROR($AJ1051/$AG1051,"")</f>
        <v/>
      </c>
      <c r="BK1051" s="81">
        <f>$X1051</f>
        <v/>
      </c>
      <c r="BL1051" s="82">
        <f>($J1051-$J1052)*100</f>
        <v/>
      </c>
      <c r="BM1051" s="82">
        <f>($F1051-$F1052)*100</f>
        <v/>
      </c>
      <c r="BN1051" s="82">
        <f>$AF1051-$AF1052</f>
        <v/>
      </c>
      <c r="BO1051" s="82">
        <f>$AG1051-$AG1052</f>
        <v/>
      </c>
      <c r="BP1051" s="82">
        <f>$AJ1051-$AJ1052</f>
        <v/>
      </c>
    </row>
    <row r="1052">
      <c r="AR1052" s="81">
        <f>($G1052+($H1052-$G1052)*0.5)+($P1052-($O1052+($Q1052-$O1052)*0.5))</f>
        <v/>
      </c>
      <c r="AS1052" s="81">
        <f>($J1052+($K1052-$J1052)*0.5)+($T1052-($S1052+($U1052-$S1052)*0.5))</f>
        <v/>
      </c>
      <c r="AT1052" s="82">
        <f>($J1052-$C1052)*100</f>
        <v/>
      </c>
      <c r="AU1052" s="82">
        <f>($H1052-$F1052)*100</f>
        <v/>
      </c>
      <c r="AV1052" s="82">
        <f>($J1052-$F1052)*100</f>
        <v/>
      </c>
      <c r="AW1052" s="82">
        <f>($L1052-$F1052)*100</f>
        <v/>
      </c>
      <c r="AX1052" s="82">
        <f>($J1052-$H1052)*100</f>
        <v/>
      </c>
      <c r="AY1052" s="82">
        <f>($L1052-$H1052)*100</f>
        <v/>
      </c>
      <c r="AZ1052" s="82">
        <f>($L1052-$J1052)*100</f>
        <v/>
      </c>
      <c r="BA1052" s="82">
        <f>(2*$H1052-$F1052-$J1052)*100</f>
        <v/>
      </c>
      <c r="BB1052" s="82">
        <f>(2*$J1052-$H1052-$L1052)*100</f>
        <v/>
      </c>
      <c r="BC1052" s="82">
        <f>($N1052-$F1052)*100</f>
        <v/>
      </c>
      <c r="BD1052" s="82">
        <f>($Q1052-$H1052)*100</f>
        <v/>
      </c>
      <c r="BE1052" s="82">
        <f>($S1052-$J1052)*100</f>
        <v/>
      </c>
      <c r="BF1052" s="82">
        <f>($V1052-$L1052)*100</f>
        <v/>
      </c>
      <c r="BG1052" s="82">
        <f>$AG1052-$AF1052</f>
        <v/>
      </c>
      <c r="BH1052" s="81">
        <f>IFERROR($AG1052/$AF1052,"")</f>
        <v/>
      </c>
      <c r="BI1052" s="82">
        <f>$AJ1052-$AF1052</f>
        <v/>
      </c>
      <c r="BJ1052" s="81">
        <f>IFERROR($AJ1052/$AG1052,"")</f>
        <v/>
      </c>
      <c r="BK1052" s="81">
        <f>$X1052</f>
        <v/>
      </c>
      <c r="BL1052" s="82">
        <f>($J1052-$J1053)*100</f>
        <v/>
      </c>
      <c r="BM1052" s="82">
        <f>($F1052-$F1053)*100</f>
        <v/>
      </c>
      <c r="BN1052" s="82">
        <f>$AF1052-$AF1053</f>
        <v/>
      </c>
      <c r="BO1052" s="82">
        <f>$AG1052-$AG1053</f>
        <v/>
      </c>
      <c r="BP1052" s="82">
        <f>$AJ1052-$AJ1053</f>
        <v/>
      </c>
    </row>
    <row r="1053">
      <c r="AR1053" s="81">
        <f>($G1053+($H1053-$G1053)*0.5)+($P1053-($O1053+($Q1053-$O1053)*0.5))</f>
        <v/>
      </c>
      <c r="AS1053" s="81">
        <f>($J1053+($K1053-$J1053)*0.5)+($T1053-($S1053+($U1053-$S1053)*0.5))</f>
        <v/>
      </c>
      <c r="AT1053" s="82">
        <f>($J1053-$C1053)*100</f>
        <v/>
      </c>
      <c r="AU1053" s="82">
        <f>($H1053-$F1053)*100</f>
        <v/>
      </c>
      <c r="AV1053" s="82">
        <f>($J1053-$F1053)*100</f>
        <v/>
      </c>
      <c r="AW1053" s="82">
        <f>($L1053-$F1053)*100</f>
        <v/>
      </c>
      <c r="AX1053" s="82">
        <f>($J1053-$H1053)*100</f>
        <v/>
      </c>
      <c r="AY1053" s="82">
        <f>($L1053-$H1053)*100</f>
        <v/>
      </c>
      <c r="AZ1053" s="82">
        <f>($L1053-$J1053)*100</f>
        <v/>
      </c>
      <c r="BA1053" s="82">
        <f>(2*$H1053-$F1053-$J1053)*100</f>
        <v/>
      </c>
      <c r="BB1053" s="82">
        <f>(2*$J1053-$H1053-$L1053)*100</f>
        <v/>
      </c>
      <c r="BC1053" s="82">
        <f>($N1053-$F1053)*100</f>
        <v/>
      </c>
      <c r="BD1053" s="82">
        <f>($Q1053-$H1053)*100</f>
        <v/>
      </c>
      <c r="BE1053" s="82">
        <f>($S1053-$J1053)*100</f>
        <v/>
      </c>
      <c r="BF1053" s="82">
        <f>($V1053-$L1053)*100</f>
        <v/>
      </c>
      <c r="BG1053" s="82">
        <f>$AG1053-$AF1053</f>
        <v/>
      </c>
      <c r="BH1053" s="81">
        <f>IFERROR($AG1053/$AF1053,"")</f>
        <v/>
      </c>
      <c r="BI1053" s="82">
        <f>$AJ1053-$AF1053</f>
        <v/>
      </c>
      <c r="BJ1053" s="81">
        <f>IFERROR($AJ1053/$AG1053,"")</f>
        <v/>
      </c>
      <c r="BK1053" s="81">
        <f>$X1053</f>
        <v/>
      </c>
      <c r="BL1053" s="82">
        <f>($J1053-$J1054)*100</f>
        <v/>
      </c>
      <c r="BM1053" s="82">
        <f>($F1053-$F1054)*100</f>
        <v/>
      </c>
      <c r="BN1053" s="82">
        <f>$AF1053-$AF1054</f>
        <v/>
      </c>
      <c r="BO1053" s="82">
        <f>$AG1053-$AG1054</f>
        <v/>
      </c>
      <c r="BP1053" s="82">
        <f>$AJ1053-$AJ1054</f>
        <v/>
      </c>
    </row>
    <row r="1054">
      <c r="AR1054" s="81">
        <f>($G1054+($H1054-$G1054)*0.5)+($P1054-($O1054+($Q1054-$O1054)*0.5))</f>
        <v/>
      </c>
      <c r="AS1054" s="81">
        <f>($J1054+($K1054-$J1054)*0.5)+($T1054-($S1054+($U1054-$S1054)*0.5))</f>
        <v/>
      </c>
      <c r="AT1054" s="82">
        <f>($J1054-$C1054)*100</f>
        <v/>
      </c>
      <c r="AU1054" s="82">
        <f>($H1054-$F1054)*100</f>
        <v/>
      </c>
      <c r="AV1054" s="82">
        <f>($J1054-$F1054)*100</f>
        <v/>
      </c>
      <c r="AW1054" s="82">
        <f>($L1054-$F1054)*100</f>
        <v/>
      </c>
      <c r="AX1054" s="82">
        <f>($J1054-$H1054)*100</f>
        <v/>
      </c>
      <c r="AY1054" s="82">
        <f>($L1054-$H1054)*100</f>
        <v/>
      </c>
      <c r="AZ1054" s="82">
        <f>($L1054-$J1054)*100</f>
        <v/>
      </c>
      <c r="BA1054" s="82">
        <f>(2*$H1054-$F1054-$J1054)*100</f>
        <v/>
      </c>
      <c r="BB1054" s="82">
        <f>(2*$J1054-$H1054-$L1054)*100</f>
        <v/>
      </c>
      <c r="BC1054" s="82">
        <f>($N1054-$F1054)*100</f>
        <v/>
      </c>
      <c r="BD1054" s="82">
        <f>($Q1054-$H1054)*100</f>
        <v/>
      </c>
      <c r="BE1054" s="82">
        <f>($S1054-$J1054)*100</f>
        <v/>
      </c>
      <c r="BF1054" s="82">
        <f>($V1054-$L1054)*100</f>
        <v/>
      </c>
      <c r="BG1054" s="82">
        <f>$AG1054-$AF1054</f>
        <v/>
      </c>
      <c r="BH1054" s="81">
        <f>IFERROR($AG1054/$AF1054,"")</f>
        <v/>
      </c>
      <c r="BI1054" s="82">
        <f>$AJ1054-$AF1054</f>
        <v/>
      </c>
      <c r="BJ1054" s="81">
        <f>IFERROR($AJ1054/$AG1054,"")</f>
        <v/>
      </c>
      <c r="BK1054" s="81">
        <f>$X1054</f>
        <v/>
      </c>
      <c r="BL1054" s="82">
        <f>($J1054-$J1055)*100</f>
        <v/>
      </c>
      <c r="BM1054" s="82">
        <f>($F1054-$F1055)*100</f>
        <v/>
      </c>
      <c r="BN1054" s="82">
        <f>$AF1054-$AF1055</f>
        <v/>
      </c>
      <c r="BO1054" s="82">
        <f>$AG1054-$AG1055</f>
        <v/>
      </c>
      <c r="BP1054" s="82">
        <f>$AJ1054-$AJ1055</f>
        <v/>
      </c>
    </row>
    <row r="1055">
      <c r="AR1055" s="81">
        <f>($G1055+($H1055-$G1055)*0.5)+($P1055-($O1055+($Q1055-$O1055)*0.5))</f>
        <v/>
      </c>
      <c r="AS1055" s="81">
        <f>($J1055+($K1055-$J1055)*0.5)+($T1055-($S1055+($U1055-$S1055)*0.5))</f>
        <v/>
      </c>
      <c r="AT1055" s="82">
        <f>($J1055-$C1055)*100</f>
        <v/>
      </c>
      <c r="AU1055" s="82">
        <f>($H1055-$F1055)*100</f>
        <v/>
      </c>
      <c r="AV1055" s="82">
        <f>($J1055-$F1055)*100</f>
        <v/>
      </c>
      <c r="AW1055" s="82">
        <f>($L1055-$F1055)*100</f>
        <v/>
      </c>
      <c r="AX1055" s="82">
        <f>($J1055-$H1055)*100</f>
        <v/>
      </c>
      <c r="AY1055" s="82">
        <f>($L1055-$H1055)*100</f>
        <v/>
      </c>
      <c r="AZ1055" s="82">
        <f>($L1055-$J1055)*100</f>
        <v/>
      </c>
      <c r="BA1055" s="82">
        <f>(2*$H1055-$F1055-$J1055)*100</f>
        <v/>
      </c>
      <c r="BB1055" s="82">
        <f>(2*$J1055-$H1055-$L1055)*100</f>
        <v/>
      </c>
      <c r="BC1055" s="82">
        <f>($N1055-$F1055)*100</f>
        <v/>
      </c>
      <c r="BD1055" s="82">
        <f>($Q1055-$H1055)*100</f>
        <v/>
      </c>
      <c r="BE1055" s="82">
        <f>($S1055-$J1055)*100</f>
        <v/>
      </c>
      <c r="BF1055" s="82">
        <f>($V1055-$L1055)*100</f>
        <v/>
      </c>
      <c r="BG1055" s="82">
        <f>$AG1055-$AF1055</f>
        <v/>
      </c>
      <c r="BH1055" s="81">
        <f>IFERROR($AG1055/$AF1055,"")</f>
        <v/>
      </c>
      <c r="BI1055" s="82">
        <f>$AJ1055-$AF1055</f>
        <v/>
      </c>
      <c r="BJ1055" s="81">
        <f>IFERROR($AJ1055/$AG1055,"")</f>
        <v/>
      </c>
      <c r="BK1055" s="81">
        <f>$X1055</f>
        <v/>
      </c>
      <c r="BL1055" s="82">
        <f>($J1055-$J1056)*100</f>
        <v/>
      </c>
      <c r="BM1055" s="82">
        <f>($F1055-$F1056)*100</f>
        <v/>
      </c>
      <c r="BN1055" s="82">
        <f>$AF1055-$AF1056</f>
        <v/>
      </c>
      <c r="BO1055" s="82">
        <f>$AG1055-$AG1056</f>
        <v/>
      </c>
      <c r="BP1055" s="82">
        <f>$AJ1055-$AJ1056</f>
        <v/>
      </c>
    </row>
    <row r="1056">
      <c r="AR1056" s="81">
        <f>($G1056+($H1056-$G1056)*0.5)+($P1056-($O1056+($Q1056-$O1056)*0.5))</f>
        <v/>
      </c>
      <c r="AS1056" s="81">
        <f>($J1056+($K1056-$J1056)*0.5)+($T1056-($S1056+($U1056-$S1056)*0.5))</f>
        <v/>
      </c>
      <c r="AT1056" s="82">
        <f>($J1056-$C1056)*100</f>
        <v/>
      </c>
      <c r="AU1056" s="82">
        <f>($H1056-$F1056)*100</f>
        <v/>
      </c>
      <c r="AV1056" s="82">
        <f>($J1056-$F1056)*100</f>
        <v/>
      </c>
      <c r="AW1056" s="82">
        <f>($L1056-$F1056)*100</f>
        <v/>
      </c>
      <c r="AX1056" s="82">
        <f>($J1056-$H1056)*100</f>
        <v/>
      </c>
      <c r="AY1056" s="82">
        <f>($L1056-$H1056)*100</f>
        <v/>
      </c>
      <c r="AZ1056" s="82">
        <f>($L1056-$J1056)*100</f>
        <v/>
      </c>
      <c r="BA1056" s="82">
        <f>(2*$H1056-$F1056-$J1056)*100</f>
        <v/>
      </c>
      <c r="BB1056" s="82">
        <f>(2*$J1056-$H1056-$L1056)*100</f>
        <v/>
      </c>
      <c r="BC1056" s="82">
        <f>($N1056-$F1056)*100</f>
        <v/>
      </c>
      <c r="BD1056" s="82">
        <f>($Q1056-$H1056)*100</f>
        <v/>
      </c>
      <c r="BE1056" s="82">
        <f>($S1056-$J1056)*100</f>
        <v/>
      </c>
      <c r="BF1056" s="82">
        <f>($V1056-$L1056)*100</f>
        <v/>
      </c>
      <c r="BG1056" s="82">
        <f>$AG1056-$AF1056</f>
        <v/>
      </c>
      <c r="BH1056" s="81">
        <f>IFERROR($AG1056/$AF1056,"")</f>
        <v/>
      </c>
      <c r="BI1056" s="82">
        <f>$AJ1056-$AF1056</f>
        <v/>
      </c>
      <c r="BJ1056" s="81">
        <f>IFERROR($AJ1056/$AG1056,"")</f>
        <v/>
      </c>
      <c r="BK1056" s="81">
        <f>$X1056</f>
        <v/>
      </c>
      <c r="BL1056" s="82">
        <f>($J1056-$J1057)*100</f>
        <v/>
      </c>
      <c r="BM1056" s="82">
        <f>($F1056-$F1057)*100</f>
        <v/>
      </c>
      <c r="BN1056" s="82">
        <f>$AF1056-$AF1057</f>
        <v/>
      </c>
      <c r="BO1056" s="82">
        <f>$AG1056-$AG1057</f>
        <v/>
      </c>
      <c r="BP1056" s="82">
        <f>$AJ1056-$AJ1057</f>
        <v/>
      </c>
    </row>
    <row r="1057">
      <c r="AR1057" s="81">
        <f>($G1057+($H1057-$G1057)*0.5)+($P1057-($O1057+($Q1057-$O1057)*0.5))</f>
        <v/>
      </c>
      <c r="AS1057" s="81">
        <f>($J1057+($K1057-$J1057)*0.5)+($T1057-($S1057+($U1057-$S1057)*0.5))</f>
        <v/>
      </c>
      <c r="AT1057" s="82">
        <f>($J1057-$C1057)*100</f>
        <v/>
      </c>
      <c r="AU1057" s="82">
        <f>($H1057-$F1057)*100</f>
        <v/>
      </c>
      <c r="AV1057" s="82">
        <f>($J1057-$F1057)*100</f>
        <v/>
      </c>
      <c r="AW1057" s="82">
        <f>($L1057-$F1057)*100</f>
        <v/>
      </c>
      <c r="AX1057" s="82">
        <f>($J1057-$H1057)*100</f>
        <v/>
      </c>
      <c r="AY1057" s="82">
        <f>($L1057-$H1057)*100</f>
        <v/>
      </c>
      <c r="AZ1057" s="82">
        <f>($L1057-$J1057)*100</f>
        <v/>
      </c>
      <c r="BA1057" s="82">
        <f>(2*$H1057-$F1057-$J1057)*100</f>
        <v/>
      </c>
      <c r="BB1057" s="82">
        <f>(2*$J1057-$H1057-$L1057)*100</f>
        <v/>
      </c>
      <c r="BC1057" s="82">
        <f>($N1057-$F1057)*100</f>
        <v/>
      </c>
      <c r="BD1057" s="82">
        <f>($Q1057-$H1057)*100</f>
        <v/>
      </c>
      <c r="BE1057" s="82">
        <f>($S1057-$J1057)*100</f>
        <v/>
      </c>
      <c r="BF1057" s="82">
        <f>($V1057-$L1057)*100</f>
        <v/>
      </c>
      <c r="BG1057" s="82">
        <f>$AG1057-$AF1057</f>
        <v/>
      </c>
      <c r="BH1057" s="81">
        <f>IFERROR($AG1057/$AF1057,"")</f>
        <v/>
      </c>
      <c r="BI1057" s="82">
        <f>$AJ1057-$AF1057</f>
        <v/>
      </c>
      <c r="BJ1057" s="81">
        <f>IFERROR($AJ1057/$AG1057,"")</f>
        <v/>
      </c>
      <c r="BK1057" s="81">
        <f>$X1057</f>
        <v/>
      </c>
      <c r="BL1057" s="82">
        <f>($J1057-$J1058)*100</f>
        <v/>
      </c>
      <c r="BM1057" s="82">
        <f>($F1057-$F1058)*100</f>
        <v/>
      </c>
      <c r="BN1057" s="82">
        <f>$AF1057-$AF1058</f>
        <v/>
      </c>
      <c r="BO1057" s="82">
        <f>$AG1057-$AG1058</f>
        <v/>
      </c>
      <c r="BP1057" s="82">
        <f>$AJ1057-$AJ1058</f>
        <v/>
      </c>
    </row>
    <row r="1058">
      <c r="AR1058" s="81">
        <f>($G1058+($H1058-$G1058)*0.5)+($P1058-($O1058+($Q1058-$O1058)*0.5))</f>
        <v/>
      </c>
      <c r="AS1058" s="81">
        <f>($J1058+($K1058-$J1058)*0.5)+($T1058-($S1058+($U1058-$S1058)*0.5))</f>
        <v/>
      </c>
      <c r="AT1058" s="82">
        <f>($J1058-$C1058)*100</f>
        <v/>
      </c>
      <c r="AU1058" s="82">
        <f>($H1058-$F1058)*100</f>
        <v/>
      </c>
      <c r="AV1058" s="82">
        <f>($J1058-$F1058)*100</f>
        <v/>
      </c>
      <c r="AW1058" s="82">
        <f>($L1058-$F1058)*100</f>
        <v/>
      </c>
      <c r="AX1058" s="82">
        <f>($J1058-$H1058)*100</f>
        <v/>
      </c>
      <c r="AY1058" s="82">
        <f>($L1058-$H1058)*100</f>
        <v/>
      </c>
      <c r="AZ1058" s="82">
        <f>($L1058-$J1058)*100</f>
        <v/>
      </c>
      <c r="BA1058" s="82">
        <f>(2*$H1058-$F1058-$J1058)*100</f>
        <v/>
      </c>
      <c r="BB1058" s="82">
        <f>(2*$J1058-$H1058-$L1058)*100</f>
        <v/>
      </c>
      <c r="BC1058" s="82">
        <f>($N1058-$F1058)*100</f>
        <v/>
      </c>
      <c r="BD1058" s="82">
        <f>($Q1058-$H1058)*100</f>
        <v/>
      </c>
      <c r="BE1058" s="82">
        <f>($S1058-$J1058)*100</f>
        <v/>
      </c>
      <c r="BF1058" s="82">
        <f>($V1058-$L1058)*100</f>
        <v/>
      </c>
      <c r="BG1058" s="82">
        <f>$AG1058-$AF1058</f>
        <v/>
      </c>
      <c r="BH1058" s="81">
        <f>IFERROR($AG1058/$AF1058,"")</f>
        <v/>
      </c>
      <c r="BI1058" s="82">
        <f>$AJ1058-$AF1058</f>
        <v/>
      </c>
      <c r="BJ1058" s="81">
        <f>IFERROR($AJ1058/$AG1058,"")</f>
        <v/>
      </c>
      <c r="BK1058" s="81">
        <f>$X1058</f>
        <v/>
      </c>
      <c r="BL1058" s="82">
        <f>($J1058-$J1059)*100</f>
        <v/>
      </c>
      <c r="BM1058" s="82">
        <f>($F1058-$F1059)*100</f>
        <v/>
      </c>
      <c r="BN1058" s="82">
        <f>$AF1058-$AF1059</f>
        <v/>
      </c>
      <c r="BO1058" s="82">
        <f>$AG1058-$AG1059</f>
        <v/>
      </c>
      <c r="BP1058" s="82">
        <f>$AJ1058-$AJ1059</f>
        <v/>
      </c>
    </row>
    <row r="1059">
      <c r="AR1059" s="81">
        <f>($G1059+($H1059-$G1059)*0.5)+($P1059-($O1059+($Q1059-$O1059)*0.5))</f>
        <v/>
      </c>
      <c r="AS1059" s="81">
        <f>($J1059+($K1059-$J1059)*0.5)+($T1059-($S1059+($U1059-$S1059)*0.5))</f>
        <v/>
      </c>
      <c r="AT1059" s="82">
        <f>($J1059-$C1059)*100</f>
        <v/>
      </c>
      <c r="AU1059" s="82">
        <f>($H1059-$F1059)*100</f>
        <v/>
      </c>
      <c r="AV1059" s="82">
        <f>($J1059-$F1059)*100</f>
        <v/>
      </c>
      <c r="AW1059" s="82">
        <f>($L1059-$F1059)*100</f>
        <v/>
      </c>
      <c r="AX1059" s="82">
        <f>($J1059-$H1059)*100</f>
        <v/>
      </c>
      <c r="AY1059" s="82">
        <f>($L1059-$H1059)*100</f>
        <v/>
      </c>
      <c r="AZ1059" s="82">
        <f>($L1059-$J1059)*100</f>
        <v/>
      </c>
      <c r="BA1059" s="82">
        <f>(2*$H1059-$F1059-$J1059)*100</f>
        <v/>
      </c>
      <c r="BB1059" s="82">
        <f>(2*$J1059-$H1059-$L1059)*100</f>
        <v/>
      </c>
      <c r="BC1059" s="82">
        <f>($N1059-$F1059)*100</f>
        <v/>
      </c>
      <c r="BD1059" s="82">
        <f>($Q1059-$H1059)*100</f>
        <v/>
      </c>
      <c r="BE1059" s="82">
        <f>($S1059-$J1059)*100</f>
        <v/>
      </c>
      <c r="BF1059" s="82">
        <f>($V1059-$L1059)*100</f>
        <v/>
      </c>
      <c r="BG1059" s="82">
        <f>$AG1059-$AF1059</f>
        <v/>
      </c>
      <c r="BH1059" s="81">
        <f>IFERROR($AG1059/$AF1059,"")</f>
        <v/>
      </c>
      <c r="BI1059" s="82">
        <f>$AJ1059-$AF1059</f>
        <v/>
      </c>
      <c r="BJ1059" s="81">
        <f>IFERROR($AJ1059/$AG1059,"")</f>
        <v/>
      </c>
      <c r="BK1059" s="81">
        <f>$X1059</f>
        <v/>
      </c>
      <c r="BL1059" s="82">
        <f>($J1059-$J1060)*100</f>
        <v/>
      </c>
      <c r="BM1059" s="82">
        <f>($F1059-$F1060)*100</f>
        <v/>
      </c>
      <c r="BN1059" s="82">
        <f>$AF1059-$AF1060</f>
        <v/>
      </c>
      <c r="BO1059" s="82">
        <f>$AG1059-$AG1060</f>
        <v/>
      </c>
      <c r="BP1059" s="82">
        <f>$AJ1059-$AJ1060</f>
        <v/>
      </c>
    </row>
    <row r="1060">
      <c r="AR1060" s="81">
        <f>($G1060+($H1060-$G1060)*0.5)+($P1060-($O1060+($Q1060-$O1060)*0.5))</f>
        <v/>
      </c>
      <c r="AS1060" s="81">
        <f>($J1060+($K1060-$J1060)*0.5)+($T1060-($S1060+($U1060-$S1060)*0.5))</f>
        <v/>
      </c>
      <c r="AT1060" s="82">
        <f>($J1060-$C1060)*100</f>
        <v/>
      </c>
      <c r="AU1060" s="82">
        <f>($H1060-$F1060)*100</f>
        <v/>
      </c>
      <c r="AV1060" s="82">
        <f>($J1060-$F1060)*100</f>
        <v/>
      </c>
      <c r="AW1060" s="82">
        <f>($L1060-$F1060)*100</f>
        <v/>
      </c>
      <c r="AX1060" s="82">
        <f>($J1060-$H1060)*100</f>
        <v/>
      </c>
      <c r="AY1060" s="82">
        <f>($L1060-$H1060)*100</f>
        <v/>
      </c>
      <c r="AZ1060" s="82">
        <f>($L1060-$J1060)*100</f>
        <v/>
      </c>
      <c r="BA1060" s="82">
        <f>(2*$H1060-$F1060-$J1060)*100</f>
        <v/>
      </c>
      <c r="BB1060" s="82">
        <f>(2*$J1060-$H1060-$L1060)*100</f>
        <v/>
      </c>
      <c r="BC1060" s="82">
        <f>($N1060-$F1060)*100</f>
        <v/>
      </c>
      <c r="BD1060" s="82">
        <f>($Q1060-$H1060)*100</f>
        <v/>
      </c>
      <c r="BE1060" s="82">
        <f>($S1060-$J1060)*100</f>
        <v/>
      </c>
      <c r="BF1060" s="82">
        <f>($V1060-$L1060)*100</f>
        <v/>
      </c>
      <c r="BG1060" s="82">
        <f>$AG1060-$AF1060</f>
        <v/>
      </c>
      <c r="BH1060" s="81">
        <f>IFERROR($AG1060/$AF1060,"")</f>
        <v/>
      </c>
      <c r="BI1060" s="82">
        <f>$AJ1060-$AF1060</f>
        <v/>
      </c>
      <c r="BJ1060" s="81">
        <f>IFERROR($AJ1060/$AG1060,"")</f>
        <v/>
      </c>
      <c r="BK1060" s="81">
        <f>$X1060</f>
        <v/>
      </c>
      <c r="BL1060" s="82">
        <f>($J1060-$J1061)*100</f>
        <v/>
      </c>
      <c r="BM1060" s="82">
        <f>($F1060-$F1061)*100</f>
        <v/>
      </c>
      <c r="BN1060" s="82">
        <f>$AF1060-$AF1061</f>
        <v/>
      </c>
      <c r="BO1060" s="82">
        <f>$AG1060-$AG1061</f>
        <v/>
      </c>
      <c r="BP1060" s="82">
        <f>$AJ1060-$AJ1061</f>
        <v/>
      </c>
    </row>
    <row r="1061">
      <c r="AR1061" s="81">
        <f>($G1061+($H1061-$G1061)*0.5)+($P1061-($O1061+($Q1061-$O1061)*0.5))</f>
        <v/>
      </c>
      <c r="AS1061" s="81">
        <f>($J1061+($K1061-$J1061)*0.5)+($T1061-($S1061+($U1061-$S1061)*0.5))</f>
        <v/>
      </c>
      <c r="AT1061" s="82">
        <f>($J1061-$C1061)*100</f>
        <v/>
      </c>
      <c r="AU1061" s="82">
        <f>($H1061-$F1061)*100</f>
        <v/>
      </c>
      <c r="AV1061" s="82">
        <f>($J1061-$F1061)*100</f>
        <v/>
      </c>
      <c r="AW1061" s="82">
        <f>($L1061-$F1061)*100</f>
        <v/>
      </c>
      <c r="AX1061" s="82">
        <f>($J1061-$H1061)*100</f>
        <v/>
      </c>
      <c r="AY1061" s="82">
        <f>($L1061-$H1061)*100</f>
        <v/>
      </c>
      <c r="AZ1061" s="82">
        <f>($L1061-$J1061)*100</f>
        <v/>
      </c>
      <c r="BA1061" s="82">
        <f>(2*$H1061-$F1061-$J1061)*100</f>
        <v/>
      </c>
      <c r="BB1061" s="82">
        <f>(2*$J1061-$H1061-$L1061)*100</f>
        <v/>
      </c>
      <c r="BC1061" s="82">
        <f>($N1061-$F1061)*100</f>
        <v/>
      </c>
      <c r="BD1061" s="82">
        <f>($Q1061-$H1061)*100</f>
        <v/>
      </c>
      <c r="BE1061" s="82">
        <f>($S1061-$J1061)*100</f>
        <v/>
      </c>
      <c r="BF1061" s="82">
        <f>($V1061-$L1061)*100</f>
        <v/>
      </c>
      <c r="BG1061" s="82">
        <f>$AG1061-$AF1061</f>
        <v/>
      </c>
      <c r="BH1061" s="81">
        <f>IFERROR($AG1061/$AF1061,"")</f>
        <v/>
      </c>
      <c r="BI1061" s="82">
        <f>$AJ1061-$AF1061</f>
        <v/>
      </c>
      <c r="BJ1061" s="81">
        <f>IFERROR($AJ1061/$AG1061,"")</f>
        <v/>
      </c>
      <c r="BK1061" s="81">
        <f>$X1061</f>
        <v/>
      </c>
      <c r="BL1061" s="82">
        <f>($J1061-$J1062)*100</f>
        <v/>
      </c>
      <c r="BM1061" s="82">
        <f>($F1061-$F1062)*100</f>
        <v/>
      </c>
      <c r="BN1061" s="82">
        <f>$AF1061-$AF1062</f>
        <v/>
      </c>
      <c r="BO1061" s="82">
        <f>$AG1061-$AG1062</f>
        <v/>
      </c>
      <c r="BP1061" s="82">
        <f>$AJ1061-$AJ1062</f>
        <v/>
      </c>
    </row>
    <row r="1062">
      <c r="AR1062" s="81">
        <f>($G1062+($H1062-$G1062)*0.5)+($P1062-($O1062+($Q1062-$O1062)*0.5))</f>
        <v/>
      </c>
      <c r="AS1062" s="81">
        <f>($J1062+($K1062-$J1062)*0.5)+($T1062-($S1062+($U1062-$S1062)*0.5))</f>
        <v/>
      </c>
      <c r="AT1062" s="82">
        <f>($J1062-$C1062)*100</f>
        <v/>
      </c>
      <c r="AU1062" s="82">
        <f>($H1062-$F1062)*100</f>
        <v/>
      </c>
      <c r="AV1062" s="82">
        <f>($J1062-$F1062)*100</f>
        <v/>
      </c>
      <c r="AW1062" s="82">
        <f>($L1062-$F1062)*100</f>
        <v/>
      </c>
      <c r="AX1062" s="82">
        <f>($J1062-$H1062)*100</f>
        <v/>
      </c>
      <c r="AY1062" s="82">
        <f>($L1062-$H1062)*100</f>
        <v/>
      </c>
      <c r="AZ1062" s="82">
        <f>($L1062-$J1062)*100</f>
        <v/>
      </c>
      <c r="BA1062" s="82">
        <f>(2*$H1062-$F1062-$J1062)*100</f>
        <v/>
      </c>
      <c r="BB1062" s="82">
        <f>(2*$J1062-$H1062-$L1062)*100</f>
        <v/>
      </c>
      <c r="BC1062" s="82">
        <f>($N1062-$F1062)*100</f>
        <v/>
      </c>
      <c r="BD1062" s="82">
        <f>($Q1062-$H1062)*100</f>
        <v/>
      </c>
      <c r="BE1062" s="82">
        <f>($S1062-$J1062)*100</f>
        <v/>
      </c>
      <c r="BF1062" s="82">
        <f>($V1062-$L1062)*100</f>
        <v/>
      </c>
      <c r="BG1062" s="82">
        <f>$AG1062-$AF1062</f>
        <v/>
      </c>
      <c r="BH1062" s="81">
        <f>IFERROR($AG1062/$AF1062,"")</f>
        <v/>
      </c>
      <c r="BI1062" s="82">
        <f>$AJ1062-$AF1062</f>
        <v/>
      </c>
      <c r="BJ1062" s="81">
        <f>IFERROR($AJ1062/$AG1062,"")</f>
        <v/>
      </c>
      <c r="BK1062" s="81">
        <f>$X1062</f>
        <v/>
      </c>
      <c r="BL1062" s="82">
        <f>($J1062-$J1063)*100</f>
        <v/>
      </c>
      <c r="BM1062" s="82">
        <f>($F1062-$F1063)*100</f>
        <v/>
      </c>
      <c r="BN1062" s="82">
        <f>$AF1062-$AF1063</f>
        <v/>
      </c>
      <c r="BO1062" s="82">
        <f>$AG1062-$AG1063</f>
        <v/>
      </c>
      <c r="BP1062" s="82">
        <f>$AJ1062-$AJ1063</f>
        <v/>
      </c>
    </row>
    <row r="1063">
      <c r="AR1063" s="81">
        <f>($G1063+($H1063-$G1063)*0.5)+($P1063-($O1063+($Q1063-$O1063)*0.5))</f>
        <v/>
      </c>
      <c r="AS1063" s="81">
        <f>($J1063+($K1063-$J1063)*0.5)+($T1063-($S1063+($U1063-$S1063)*0.5))</f>
        <v/>
      </c>
      <c r="AT1063" s="82">
        <f>($J1063-$C1063)*100</f>
        <v/>
      </c>
      <c r="AU1063" s="82">
        <f>($H1063-$F1063)*100</f>
        <v/>
      </c>
      <c r="AV1063" s="82">
        <f>($J1063-$F1063)*100</f>
        <v/>
      </c>
      <c r="AW1063" s="82">
        <f>($L1063-$F1063)*100</f>
        <v/>
      </c>
      <c r="AX1063" s="82">
        <f>($J1063-$H1063)*100</f>
        <v/>
      </c>
      <c r="AY1063" s="82">
        <f>($L1063-$H1063)*100</f>
        <v/>
      </c>
      <c r="AZ1063" s="82">
        <f>($L1063-$J1063)*100</f>
        <v/>
      </c>
      <c r="BA1063" s="82">
        <f>(2*$H1063-$F1063-$J1063)*100</f>
        <v/>
      </c>
      <c r="BB1063" s="82">
        <f>(2*$J1063-$H1063-$L1063)*100</f>
        <v/>
      </c>
      <c r="BC1063" s="82">
        <f>($N1063-$F1063)*100</f>
        <v/>
      </c>
      <c r="BD1063" s="82">
        <f>($Q1063-$H1063)*100</f>
        <v/>
      </c>
      <c r="BE1063" s="82">
        <f>($S1063-$J1063)*100</f>
        <v/>
      </c>
      <c r="BF1063" s="82">
        <f>($V1063-$L1063)*100</f>
        <v/>
      </c>
      <c r="BG1063" s="82">
        <f>$AG1063-$AF1063</f>
        <v/>
      </c>
      <c r="BH1063" s="81">
        <f>IFERROR($AG1063/$AF1063,"")</f>
        <v/>
      </c>
      <c r="BI1063" s="82">
        <f>$AJ1063-$AF1063</f>
        <v/>
      </c>
      <c r="BJ1063" s="81">
        <f>IFERROR($AJ1063/$AG1063,"")</f>
        <v/>
      </c>
      <c r="BK1063" s="81">
        <f>$X1063</f>
        <v/>
      </c>
      <c r="BL1063" s="82">
        <f>($J1063-$J1064)*100</f>
        <v/>
      </c>
      <c r="BM1063" s="82">
        <f>($F1063-$F1064)*100</f>
        <v/>
      </c>
      <c r="BN1063" s="82">
        <f>$AF1063-$AF1064</f>
        <v/>
      </c>
      <c r="BO1063" s="82">
        <f>$AG1063-$AG1064</f>
        <v/>
      </c>
      <c r="BP1063" s="82">
        <f>$AJ1063-$AJ1064</f>
        <v/>
      </c>
    </row>
    <row r="1064">
      <c r="AR1064" s="81">
        <f>($G1064+($H1064-$G1064)*0.5)+($P1064-($O1064+($Q1064-$O1064)*0.5))</f>
        <v/>
      </c>
      <c r="AS1064" s="81">
        <f>($J1064+($K1064-$J1064)*0.5)+($T1064-($S1064+($U1064-$S1064)*0.5))</f>
        <v/>
      </c>
      <c r="AT1064" s="82">
        <f>($J1064-$C1064)*100</f>
        <v/>
      </c>
      <c r="AU1064" s="82">
        <f>($H1064-$F1064)*100</f>
        <v/>
      </c>
      <c r="AV1064" s="82">
        <f>($J1064-$F1064)*100</f>
        <v/>
      </c>
      <c r="AW1064" s="82">
        <f>($L1064-$F1064)*100</f>
        <v/>
      </c>
      <c r="AX1064" s="82">
        <f>($J1064-$H1064)*100</f>
        <v/>
      </c>
      <c r="AY1064" s="82">
        <f>($L1064-$H1064)*100</f>
        <v/>
      </c>
      <c r="AZ1064" s="82">
        <f>($L1064-$J1064)*100</f>
        <v/>
      </c>
      <c r="BA1064" s="82">
        <f>(2*$H1064-$F1064-$J1064)*100</f>
        <v/>
      </c>
      <c r="BB1064" s="82">
        <f>(2*$J1064-$H1064-$L1064)*100</f>
        <v/>
      </c>
      <c r="BC1064" s="82">
        <f>($N1064-$F1064)*100</f>
        <v/>
      </c>
      <c r="BD1064" s="82">
        <f>($Q1064-$H1064)*100</f>
        <v/>
      </c>
      <c r="BE1064" s="82">
        <f>($S1064-$J1064)*100</f>
        <v/>
      </c>
      <c r="BF1064" s="82">
        <f>($V1064-$L1064)*100</f>
        <v/>
      </c>
      <c r="BG1064" s="82">
        <f>$AG1064-$AF1064</f>
        <v/>
      </c>
      <c r="BH1064" s="81">
        <f>IFERROR($AG1064/$AF1064,"")</f>
        <v/>
      </c>
      <c r="BI1064" s="82">
        <f>$AJ1064-$AF1064</f>
        <v/>
      </c>
      <c r="BJ1064" s="81">
        <f>IFERROR($AJ1064/$AG1064,"")</f>
        <v/>
      </c>
      <c r="BK1064" s="81">
        <f>$X1064</f>
        <v/>
      </c>
      <c r="BL1064" s="82">
        <f>($J1064-$J1065)*100</f>
        <v/>
      </c>
      <c r="BM1064" s="82">
        <f>($F1064-$F1065)*100</f>
        <v/>
      </c>
      <c r="BN1064" s="82">
        <f>$AF1064-$AF1065</f>
        <v/>
      </c>
      <c r="BO1064" s="82">
        <f>$AG1064-$AG1065</f>
        <v/>
      </c>
      <c r="BP1064" s="82">
        <f>$AJ1064-$AJ1065</f>
        <v/>
      </c>
    </row>
    <row r="1065">
      <c r="AR1065" s="81">
        <f>($G1065+($H1065-$G1065)*0.5)+($P1065-($O1065+($Q1065-$O1065)*0.5))</f>
        <v/>
      </c>
      <c r="AS1065" s="81">
        <f>($J1065+($K1065-$J1065)*0.5)+($T1065-($S1065+($U1065-$S1065)*0.5))</f>
        <v/>
      </c>
      <c r="AT1065" s="82">
        <f>($J1065-$C1065)*100</f>
        <v/>
      </c>
      <c r="AU1065" s="82">
        <f>($H1065-$F1065)*100</f>
        <v/>
      </c>
      <c r="AV1065" s="82">
        <f>($J1065-$F1065)*100</f>
        <v/>
      </c>
      <c r="AW1065" s="82">
        <f>($L1065-$F1065)*100</f>
        <v/>
      </c>
      <c r="AX1065" s="82">
        <f>($J1065-$H1065)*100</f>
        <v/>
      </c>
      <c r="AY1065" s="82">
        <f>($L1065-$H1065)*100</f>
        <v/>
      </c>
      <c r="AZ1065" s="82">
        <f>($L1065-$J1065)*100</f>
        <v/>
      </c>
      <c r="BA1065" s="82">
        <f>(2*$H1065-$F1065-$J1065)*100</f>
        <v/>
      </c>
      <c r="BB1065" s="82">
        <f>(2*$J1065-$H1065-$L1065)*100</f>
        <v/>
      </c>
      <c r="BC1065" s="82">
        <f>($N1065-$F1065)*100</f>
        <v/>
      </c>
      <c r="BD1065" s="82">
        <f>($Q1065-$H1065)*100</f>
        <v/>
      </c>
      <c r="BE1065" s="82">
        <f>($S1065-$J1065)*100</f>
        <v/>
      </c>
      <c r="BF1065" s="82">
        <f>($V1065-$L1065)*100</f>
        <v/>
      </c>
      <c r="BG1065" s="82">
        <f>$AG1065-$AF1065</f>
        <v/>
      </c>
      <c r="BH1065" s="81">
        <f>IFERROR($AG1065/$AF1065,"")</f>
        <v/>
      </c>
      <c r="BI1065" s="82">
        <f>$AJ1065-$AF1065</f>
        <v/>
      </c>
      <c r="BJ1065" s="81">
        <f>IFERROR($AJ1065/$AG1065,"")</f>
        <v/>
      </c>
      <c r="BK1065" s="81">
        <f>$X1065</f>
        <v/>
      </c>
      <c r="BL1065" s="82">
        <f>($J1065-$J1066)*100</f>
        <v/>
      </c>
      <c r="BM1065" s="82">
        <f>($F1065-$F1066)*100</f>
        <v/>
      </c>
      <c r="BN1065" s="82">
        <f>$AF1065-$AF1066</f>
        <v/>
      </c>
      <c r="BO1065" s="82">
        <f>$AG1065-$AG1066</f>
        <v/>
      </c>
      <c r="BP1065" s="82">
        <f>$AJ1065-$AJ1066</f>
        <v/>
      </c>
    </row>
    <row r="1066">
      <c r="AR1066" s="81">
        <f>($G1066+($H1066-$G1066)*0.5)+($P1066-($O1066+($Q1066-$O1066)*0.5))</f>
        <v/>
      </c>
      <c r="AS1066" s="81">
        <f>($J1066+($K1066-$J1066)*0.5)+($T1066-($S1066+($U1066-$S1066)*0.5))</f>
        <v/>
      </c>
      <c r="AT1066" s="82">
        <f>($J1066-$C1066)*100</f>
        <v/>
      </c>
      <c r="AU1066" s="82">
        <f>($H1066-$F1066)*100</f>
        <v/>
      </c>
      <c r="AV1066" s="82">
        <f>($J1066-$F1066)*100</f>
        <v/>
      </c>
      <c r="AW1066" s="82">
        <f>($L1066-$F1066)*100</f>
        <v/>
      </c>
      <c r="AX1066" s="82">
        <f>($J1066-$H1066)*100</f>
        <v/>
      </c>
      <c r="AY1066" s="82">
        <f>($L1066-$H1066)*100</f>
        <v/>
      </c>
      <c r="AZ1066" s="82">
        <f>($L1066-$J1066)*100</f>
        <v/>
      </c>
      <c r="BA1066" s="82">
        <f>(2*$H1066-$F1066-$J1066)*100</f>
        <v/>
      </c>
      <c r="BB1066" s="82">
        <f>(2*$J1066-$H1066-$L1066)*100</f>
        <v/>
      </c>
      <c r="BC1066" s="82">
        <f>($N1066-$F1066)*100</f>
        <v/>
      </c>
      <c r="BD1066" s="82">
        <f>($Q1066-$H1066)*100</f>
        <v/>
      </c>
      <c r="BE1066" s="82">
        <f>($S1066-$J1066)*100</f>
        <v/>
      </c>
      <c r="BF1066" s="82">
        <f>($V1066-$L1066)*100</f>
        <v/>
      </c>
      <c r="BG1066" s="82">
        <f>$AG1066-$AF1066</f>
        <v/>
      </c>
      <c r="BH1066" s="81">
        <f>IFERROR($AG1066/$AF1066,"")</f>
        <v/>
      </c>
      <c r="BI1066" s="82">
        <f>$AJ1066-$AF1066</f>
        <v/>
      </c>
      <c r="BJ1066" s="81">
        <f>IFERROR($AJ1066/$AG1066,"")</f>
        <v/>
      </c>
      <c r="BK1066" s="81">
        <f>$X1066</f>
        <v/>
      </c>
      <c r="BL1066" s="82">
        <f>($J1066-$J1067)*100</f>
        <v/>
      </c>
      <c r="BM1066" s="82">
        <f>($F1066-$F1067)*100</f>
        <v/>
      </c>
      <c r="BN1066" s="82">
        <f>$AF1066-$AF1067</f>
        <v/>
      </c>
      <c r="BO1066" s="82">
        <f>$AG1066-$AG1067</f>
        <v/>
      </c>
      <c r="BP1066" s="82">
        <f>$AJ1066-$AJ1067</f>
        <v/>
      </c>
    </row>
    <row r="1067">
      <c r="AR1067" s="81">
        <f>($G1067+($H1067-$G1067)*0.5)+($P1067-($O1067+($Q1067-$O1067)*0.5))</f>
        <v/>
      </c>
      <c r="AS1067" s="81">
        <f>($J1067+($K1067-$J1067)*0.5)+($T1067-($S1067+($U1067-$S1067)*0.5))</f>
        <v/>
      </c>
      <c r="AT1067" s="82">
        <f>($J1067-$C1067)*100</f>
        <v/>
      </c>
      <c r="AU1067" s="82">
        <f>($H1067-$F1067)*100</f>
        <v/>
      </c>
      <c r="AV1067" s="82">
        <f>($J1067-$F1067)*100</f>
        <v/>
      </c>
      <c r="AW1067" s="82">
        <f>($L1067-$F1067)*100</f>
        <v/>
      </c>
      <c r="AX1067" s="82">
        <f>($J1067-$H1067)*100</f>
        <v/>
      </c>
      <c r="AY1067" s="82">
        <f>($L1067-$H1067)*100</f>
        <v/>
      </c>
      <c r="AZ1067" s="82">
        <f>($L1067-$J1067)*100</f>
        <v/>
      </c>
      <c r="BA1067" s="82">
        <f>(2*$H1067-$F1067-$J1067)*100</f>
        <v/>
      </c>
      <c r="BB1067" s="82">
        <f>(2*$J1067-$H1067-$L1067)*100</f>
        <v/>
      </c>
      <c r="BC1067" s="82">
        <f>($N1067-$F1067)*100</f>
        <v/>
      </c>
      <c r="BD1067" s="82">
        <f>($Q1067-$H1067)*100</f>
        <v/>
      </c>
      <c r="BE1067" s="82">
        <f>($S1067-$J1067)*100</f>
        <v/>
      </c>
      <c r="BF1067" s="82">
        <f>($V1067-$L1067)*100</f>
        <v/>
      </c>
      <c r="BG1067" s="82">
        <f>$AG1067-$AF1067</f>
        <v/>
      </c>
      <c r="BH1067" s="81">
        <f>IFERROR($AG1067/$AF1067,"")</f>
        <v/>
      </c>
      <c r="BI1067" s="82">
        <f>$AJ1067-$AF1067</f>
        <v/>
      </c>
      <c r="BJ1067" s="81">
        <f>IFERROR($AJ1067/$AG1067,"")</f>
        <v/>
      </c>
      <c r="BK1067" s="81">
        <f>$X1067</f>
        <v/>
      </c>
      <c r="BL1067" s="82">
        <f>($J1067-$J1068)*100</f>
        <v/>
      </c>
      <c r="BM1067" s="82">
        <f>($F1067-$F1068)*100</f>
        <v/>
      </c>
      <c r="BN1067" s="82">
        <f>$AF1067-$AF1068</f>
        <v/>
      </c>
      <c r="BO1067" s="82">
        <f>$AG1067-$AG1068</f>
        <v/>
      </c>
      <c r="BP1067" s="82">
        <f>$AJ1067-$AJ1068</f>
        <v/>
      </c>
    </row>
    <row r="1068">
      <c r="AR1068" s="81">
        <f>($G1068+($H1068-$G1068)*0.5)+($P1068-($O1068+($Q1068-$O1068)*0.5))</f>
        <v/>
      </c>
      <c r="AS1068" s="81">
        <f>($J1068+($K1068-$J1068)*0.5)+($T1068-($S1068+($U1068-$S1068)*0.5))</f>
        <v/>
      </c>
      <c r="AT1068" s="82">
        <f>($J1068-$C1068)*100</f>
        <v/>
      </c>
      <c r="AU1068" s="82">
        <f>($H1068-$F1068)*100</f>
        <v/>
      </c>
      <c r="AV1068" s="82">
        <f>($J1068-$F1068)*100</f>
        <v/>
      </c>
      <c r="AW1068" s="82">
        <f>($L1068-$F1068)*100</f>
        <v/>
      </c>
      <c r="AX1068" s="82">
        <f>($J1068-$H1068)*100</f>
        <v/>
      </c>
      <c r="AY1068" s="82">
        <f>($L1068-$H1068)*100</f>
        <v/>
      </c>
      <c r="AZ1068" s="82">
        <f>($L1068-$J1068)*100</f>
        <v/>
      </c>
      <c r="BA1068" s="82">
        <f>(2*$H1068-$F1068-$J1068)*100</f>
        <v/>
      </c>
      <c r="BB1068" s="82">
        <f>(2*$J1068-$H1068-$L1068)*100</f>
        <v/>
      </c>
      <c r="BC1068" s="82">
        <f>($N1068-$F1068)*100</f>
        <v/>
      </c>
      <c r="BD1068" s="82">
        <f>($Q1068-$H1068)*100</f>
        <v/>
      </c>
      <c r="BE1068" s="82">
        <f>($S1068-$J1068)*100</f>
        <v/>
      </c>
      <c r="BF1068" s="82">
        <f>($V1068-$L1068)*100</f>
        <v/>
      </c>
      <c r="BG1068" s="82">
        <f>$AG1068-$AF1068</f>
        <v/>
      </c>
      <c r="BH1068" s="81">
        <f>IFERROR($AG1068/$AF1068,"")</f>
        <v/>
      </c>
      <c r="BI1068" s="82">
        <f>$AJ1068-$AF1068</f>
        <v/>
      </c>
      <c r="BJ1068" s="81">
        <f>IFERROR($AJ1068/$AG1068,"")</f>
        <v/>
      </c>
      <c r="BK1068" s="81">
        <f>$X1068</f>
        <v/>
      </c>
      <c r="BL1068" s="82">
        <f>($J1068-$J1069)*100</f>
        <v/>
      </c>
      <c r="BM1068" s="82">
        <f>($F1068-$F1069)*100</f>
        <v/>
      </c>
      <c r="BN1068" s="82">
        <f>$AF1068-$AF1069</f>
        <v/>
      </c>
      <c r="BO1068" s="82">
        <f>$AG1068-$AG1069</f>
        <v/>
      </c>
      <c r="BP1068" s="82">
        <f>$AJ1068-$AJ1069</f>
        <v/>
      </c>
    </row>
    <row r="1069">
      <c r="AR1069" s="81">
        <f>($G1069+($H1069-$G1069)*0.5)+($P1069-($O1069+($Q1069-$O1069)*0.5))</f>
        <v/>
      </c>
      <c r="AS1069" s="81">
        <f>($J1069+($K1069-$J1069)*0.5)+($T1069-($S1069+($U1069-$S1069)*0.5))</f>
        <v/>
      </c>
      <c r="AT1069" s="82">
        <f>($J1069-$C1069)*100</f>
        <v/>
      </c>
      <c r="AU1069" s="82">
        <f>($H1069-$F1069)*100</f>
        <v/>
      </c>
      <c r="AV1069" s="82">
        <f>($J1069-$F1069)*100</f>
        <v/>
      </c>
      <c r="AW1069" s="82">
        <f>($L1069-$F1069)*100</f>
        <v/>
      </c>
      <c r="AX1069" s="82">
        <f>($J1069-$H1069)*100</f>
        <v/>
      </c>
      <c r="AY1069" s="82">
        <f>($L1069-$H1069)*100</f>
        <v/>
      </c>
      <c r="AZ1069" s="82">
        <f>($L1069-$J1069)*100</f>
        <v/>
      </c>
      <c r="BA1069" s="82">
        <f>(2*$H1069-$F1069-$J1069)*100</f>
        <v/>
      </c>
      <c r="BB1069" s="82">
        <f>(2*$J1069-$H1069-$L1069)*100</f>
        <v/>
      </c>
      <c r="BC1069" s="82">
        <f>($N1069-$F1069)*100</f>
        <v/>
      </c>
      <c r="BD1069" s="82">
        <f>($Q1069-$H1069)*100</f>
        <v/>
      </c>
      <c r="BE1069" s="82">
        <f>($S1069-$J1069)*100</f>
        <v/>
      </c>
      <c r="BF1069" s="82">
        <f>($V1069-$L1069)*100</f>
        <v/>
      </c>
      <c r="BG1069" s="82">
        <f>$AG1069-$AF1069</f>
        <v/>
      </c>
      <c r="BH1069" s="81">
        <f>IFERROR($AG1069/$AF1069,"")</f>
        <v/>
      </c>
      <c r="BI1069" s="82">
        <f>$AJ1069-$AF1069</f>
        <v/>
      </c>
      <c r="BJ1069" s="81">
        <f>IFERROR($AJ1069/$AG1069,"")</f>
        <v/>
      </c>
      <c r="BK1069" s="81">
        <f>$X1069</f>
        <v/>
      </c>
      <c r="BL1069" s="82">
        <f>($J1069-$J1070)*100</f>
        <v/>
      </c>
      <c r="BM1069" s="82">
        <f>($F1069-$F1070)*100</f>
        <v/>
      </c>
      <c r="BN1069" s="82">
        <f>$AF1069-$AF1070</f>
        <v/>
      </c>
      <c r="BO1069" s="82">
        <f>$AG1069-$AG1070</f>
        <v/>
      </c>
      <c r="BP1069" s="82">
        <f>$AJ1069-$AJ1070</f>
        <v/>
      </c>
    </row>
    <row r="1070">
      <c r="AR1070" s="81">
        <f>($G1070+($H1070-$G1070)*0.5)+($P1070-($O1070+($Q1070-$O1070)*0.5))</f>
        <v/>
      </c>
      <c r="AS1070" s="81">
        <f>($J1070+($K1070-$J1070)*0.5)+($T1070-($S1070+($U1070-$S1070)*0.5))</f>
        <v/>
      </c>
      <c r="AT1070" s="82">
        <f>($J1070-$C1070)*100</f>
        <v/>
      </c>
      <c r="AU1070" s="82">
        <f>($H1070-$F1070)*100</f>
        <v/>
      </c>
      <c r="AV1070" s="82">
        <f>($J1070-$F1070)*100</f>
        <v/>
      </c>
      <c r="AW1070" s="82">
        <f>($L1070-$F1070)*100</f>
        <v/>
      </c>
      <c r="AX1070" s="82">
        <f>($J1070-$H1070)*100</f>
        <v/>
      </c>
      <c r="AY1070" s="82">
        <f>($L1070-$H1070)*100</f>
        <v/>
      </c>
      <c r="AZ1070" s="82">
        <f>($L1070-$J1070)*100</f>
        <v/>
      </c>
      <c r="BA1070" s="82">
        <f>(2*$H1070-$F1070-$J1070)*100</f>
        <v/>
      </c>
      <c r="BB1070" s="82">
        <f>(2*$J1070-$H1070-$L1070)*100</f>
        <v/>
      </c>
      <c r="BC1070" s="82">
        <f>($N1070-$F1070)*100</f>
        <v/>
      </c>
      <c r="BD1070" s="82">
        <f>($Q1070-$H1070)*100</f>
        <v/>
      </c>
      <c r="BE1070" s="82">
        <f>($S1070-$J1070)*100</f>
        <v/>
      </c>
      <c r="BF1070" s="82">
        <f>($V1070-$L1070)*100</f>
        <v/>
      </c>
      <c r="BG1070" s="82">
        <f>$AG1070-$AF1070</f>
        <v/>
      </c>
      <c r="BH1070" s="81">
        <f>IFERROR($AG1070/$AF1070,"")</f>
        <v/>
      </c>
      <c r="BI1070" s="82">
        <f>$AJ1070-$AF1070</f>
        <v/>
      </c>
      <c r="BJ1070" s="81">
        <f>IFERROR($AJ1070/$AG1070,"")</f>
        <v/>
      </c>
      <c r="BK1070" s="81">
        <f>$X1070</f>
        <v/>
      </c>
      <c r="BL1070" s="82">
        <f>($J1070-$J1071)*100</f>
        <v/>
      </c>
      <c r="BM1070" s="82">
        <f>($F1070-$F1071)*100</f>
        <v/>
      </c>
      <c r="BN1070" s="82">
        <f>$AF1070-$AF1071</f>
        <v/>
      </c>
      <c r="BO1070" s="82">
        <f>$AG1070-$AG1071</f>
        <v/>
      </c>
      <c r="BP1070" s="82">
        <f>$AJ1070-$AJ1071</f>
        <v/>
      </c>
    </row>
    <row r="1071">
      <c r="AR1071" s="81">
        <f>($G1071+($H1071-$G1071)*0.5)+($P1071-($O1071+($Q1071-$O1071)*0.5))</f>
        <v/>
      </c>
      <c r="AS1071" s="81">
        <f>($J1071+($K1071-$J1071)*0.5)+($T1071-($S1071+($U1071-$S1071)*0.5))</f>
        <v/>
      </c>
      <c r="AT1071" s="82">
        <f>($J1071-$C1071)*100</f>
        <v/>
      </c>
      <c r="AU1071" s="82">
        <f>($H1071-$F1071)*100</f>
        <v/>
      </c>
      <c r="AV1071" s="82">
        <f>($J1071-$F1071)*100</f>
        <v/>
      </c>
      <c r="AW1071" s="82">
        <f>($L1071-$F1071)*100</f>
        <v/>
      </c>
      <c r="AX1071" s="82">
        <f>($J1071-$H1071)*100</f>
        <v/>
      </c>
      <c r="AY1071" s="82">
        <f>($L1071-$H1071)*100</f>
        <v/>
      </c>
      <c r="AZ1071" s="82">
        <f>($L1071-$J1071)*100</f>
        <v/>
      </c>
      <c r="BA1071" s="82">
        <f>(2*$H1071-$F1071-$J1071)*100</f>
        <v/>
      </c>
      <c r="BB1071" s="82">
        <f>(2*$J1071-$H1071-$L1071)*100</f>
        <v/>
      </c>
      <c r="BC1071" s="82">
        <f>($N1071-$F1071)*100</f>
        <v/>
      </c>
      <c r="BD1071" s="82">
        <f>($Q1071-$H1071)*100</f>
        <v/>
      </c>
      <c r="BE1071" s="82">
        <f>($S1071-$J1071)*100</f>
        <v/>
      </c>
      <c r="BF1071" s="82">
        <f>($V1071-$L1071)*100</f>
        <v/>
      </c>
      <c r="BG1071" s="82">
        <f>$AG1071-$AF1071</f>
        <v/>
      </c>
      <c r="BH1071" s="81">
        <f>IFERROR($AG1071/$AF1071,"")</f>
        <v/>
      </c>
      <c r="BI1071" s="82">
        <f>$AJ1071-$AF1071</f>
        <v/>
      </c>
      <c r="BJ1071" s="81">
        <f>IFERROR($AJ1071/$AG1071,"")</f>
        <v/>
      </c>
      <c r="BK1071" s="81">
        <f>$X1071</f>
        <v/>
      </c>
      <c r="BL1071" s="82">
        <f>($J1071-$J1072)*100</f>
        <v/>
      </c>
      <c r="BM1071" s="82">
        <f>($F1071-$F1072)*100</f>
        <v/>
      </c>
      <c r="BN1071" s="82">
        <f>$AF1071-$AF1072</f>
        <v/>
      </c>
      <c r="BO1071" s="82">
        <f>$AG1071-$AG1072</f>
        <v/>
      </c>
      <c r="BP1071" s="82">
        <f>$AJ1071-$AJ1072</f>
        <v/>
      </c>
    </row>
    <row r="1072">
      <c r="AR1072" s="81">
        <f>($G1072+($H1072-$G1072)*0.5)+($P1072-($O1072+($Q1072-$O1072)*0.5))</f>
        <v/>
      </c>
      <c r="AS1072" s="81">
        <f>($J1072+($K1072-$J1072)*0.5)+($T1072-($S1072+($U1072-$S1072)*0.5))</f>
        <v/>
      </c>
      <c r="AT1072" s="82">
        <f>($J1072-$C1072)*100</f>
        <v/>
      </c>
      <c r="AU1072" s="82">
        <f>($H1072-$F1072)*100</f>
        <v/>
      </c>
      <c r="AV1072" s="82">
        <f>($J1072-$F1072)*100</f>
        <v/>
      </c>
      <c r="AW1072" s="82">
        <f>($L1072-$F1072)*100</f>
        <v/>
      </c>
      <c r="AX1072" s="82">
        <f>($J1072-$H1072)*100</f>
        <v/>
      </c>
      <c r="AY1072" s="82">
        <f>($L1072-$H1072)*100</f>
        <v/>
      </c>
      <c r="AZ1072" s="82">
        <f>($L1072-$J1072)*100</f>
        <v/>
      </c>
      <c r="BA1072" s="82">
        <f>(2*$H1072-$F1072-$J1072)*100</f>
        <v/>
      </c>
      <c r="BB1072" s="82">
        <f>(2*$J1072-$H1072-$L1072)*100</f>
        <v/>
      </c>
      <c r="BC1072" s="82">
        <f>($N1072-$F1072)*100</f>
        <v/>
      </c>
      <c r="BD1072" s="82">
        <f>($Q1072-$H1072)*100</f>
        <v/>
      </c>
      <c r="BE1072" s="82">
        <f>($S1072-$J1072)*100</f>
        <v/>
      </c>
      <c r="BF1072" s="82">
        <f>($V1072-$L1072)*100</f>
        <v/>
      </c>
      <c r="BG1072" s="82">
        <f>$AG1072-$AF1072</f>
        <v/>
      </c>
      <c r="BH1072" s="81">
        <f>IFERROR($AG1072/$AF1072,"")</f>
        <v/>
      </c>
      <c r="BI1072" s="82">
        <f>$AJ1072-$AF1072</f>
        <v/>
      </c>
      <c r="BJ1072" s="81">
        <f>IFERROR($AJ1072/$AG1072,"")</f>
        <v/>
      </c>
      <c r="BK1072" s="81">
        <f>$X1072</f>
        <v/>
      </c>
      <c r="BL1072" s="82">
        <f>($J1072-$J1073)*100</f>
        <v/>
      </c>
      <c r="BM1072" s="82">
        <f>($F1072-$F1073)*100</f>
        <v/>
      </c>
      <c r="BN1072" s="82">
        <f>$AF1072-$AF1073</f>
        <v/>
      </c>
      <c r="BO1072" s="82">
        <f>$AG1072-$AG1073</f>
        <v/>
      </c>
      <c r="BP1072" s="82">
        <f>$AJ1072-$AJ1073</f>
        <v/>
      </c>
    </row>
    <row r="1073">
      <c r="AR1073" s="81">
        <f>($G1073+($H1073-$G1073)*0.5)+($P1073-($O1073+($Q1073-$O1073)*0.5))</f>
        <v/>
      </c>
      <c r="AS1073" s="81">
        <f>($J1073+($K1073-$J1073)*0.5)+($T1073-($S1073+($U1073-$S1073)*0.5))</f>
        <v/>
      </c>
      <c r="AT1073" s="82">
        <f>($J1073-$C1073)*100</f>
        <v/>
      </c>
      <c r="AU1073" s="82">
        <f>($H1073-$F1073)*100</f>
        <v/>
      </c>
      <c r="AV1073" s="82">
        <f>($J1073-$F1073)*100</f>
        <v/>
      </c>
      <c r="AW1073" s="82">
        <f>($L1073-$F1073)*100</f>
        <v/>
      </c>
      <c r="AX1073" s="82">
        <f>($J1073-$H1073)*100</f>
        <v/>
      </c>
      <c r="AY1073" s="82">
        <f>($L1073-$H1073)*100</f>
        <v/>
      </c>
      <c r="AZ1073" s="82">
        <f>($L1073-$J1073)*100</f>
        <v/>
      </c>
      <c r="BA1073" s="82">
        <f>(2*$H1073-$F1073-$J1073)*100</f>
        <v/>
      </c>
      <c r="BB1073" s="82">
        <f>(2*$J1073-$H1073-$L1073)*100</f>
        <v/>
      </c>
      <c r="BC1073" s="82">
        <f>($N1073-$F1073)*100</f>
        <v/>
      </c>
      <c r="BD1073" s="82">
        <f>($Q1073-$H1073)*100</f>
        <v/>
      </c>
      <c r="BE1073" s="82">
        <f>($S1073-$J1073)*100</f>
        <v/>
      </c>
      <c r="BF1073" s="82">
        <f>($V1073-$L1073)*100</f>
        <v/>
      </c>
      <c r="BG1073" s="82">
        <f>$AG1073-$AF1073</f>
        <v/>
      </c>
      <c r="BH1073" s="81">
        <f>IFERROR($AG1073/$AF1073,"")</f>
        <v/>
      </c>
      <c r="BI1073" s="82">
        <f>$AJ1073-$AF1073</f>
        <v/>
      </c>
      <c r="BJ1073" s="81">
        <f>IFERROR($AJ1073/$AG1073,"")</f>
        <v/>
      </c>
      <c r="BK1073" s="81">
        <f>$X1073</f>
        <v/>
      </c>
      <c r="BL1073" s="82">
        <f>($J1073-$J1074)*100</f>
        <v/>
      </c>
      <c r="BM1073" s="82">
        <f>($F1073-$F1074)*100</f>
        <v/>
      </c>
      <c r="BN1073" s="82">
        <f>$AF1073-$AF1074</f>
        <v/>
      </c>
      <c r="BO1073" s="82">
        <f>$AG1073-$AG1074</f>
        <v/>
      </c>
      <c r="BP1073" s="82">
        <f>$AJ1073-$AJ1074</f>
        <v/>
      </c>
    </row>
    <row r="1074">
      <c r="AR1074" s="81">
        <f>($G1074+($H1074-$G1074)*0.5)+($P1074-($O1074+($Q1074-$O1074)*0.5))</f>
        <v/>
      </c>
      <c r="AS1074" s="81">
        <f>($J1074+($K1074-$J1074)*0.5)+($T1074-($S1074+($U1074-$S1074)*0.5))</f>
        <v/>
      </c>
      <c r="AT1074" s="82">
        <f>($J1074-$C1074)*100</f>
        <v/>
      </c>
      <c r="AU1074" s="82">
        <f>($H1074-$F1074)*100</f>
        <v/>
      </c>
      <c r="AV1074" s="82">
        <f>($J1074-$F1074)*100</f>
        <v/>
      </c>
      <c r="AW1074" s="82">
        <f>($L1074-$F1074)*100</f>
        <v/>
      </c>
      <c r="AX1074" s="82">
        <f>($J1074-$H1074)*100</f>
        <v/>
      </c>
      <c r="AY1074" s="82">
        <f>($L1074-$H1074)*100</f>
        <v/>
      </c>
      <c r="AZ1074" s="82">
        <f>($L1074-$J1074)*100</f>
        <v/>
      </c>
      <c r="BA1074" s="82">
        <f>(2*$H1074-$F1074-$J1074)*100</f>
        <v/>
      </c>
      <c r="BB1074" s="82">
        <f>(2*$J1074-$H1074-$L1074)*100</f>
        <v/>
      </c>
      <c r="BC1074" s="82">
        <f>($N1074-$F1074)*100</f>
        <v/>
      </c>
      <c r="BD1074" s="82">
        <f>($Q1074-$H1074)*100</f>
        <v/>
      </c>
      <c r="BE1074" s="82">
        <f>($S1074-$J1074)*100</f>
        <v/>
      </c>
      <c r="BF1074" s="82">
        <f>($V1074-$L1074)*100</f>
        <v/>
      </c>
      <c r="BG1074" s="82">
        <f>$AG1074-$AF1074</f>
        <v/>
      </c>
      <c r="BH1074" s="81">
        <f>IFERROR($AG1074/$AF1074,"")</f>
        <v/>
      </c>
      <c r="BI1074" s="82">
        <f>$AJ1074-$AF1074</f>
        <v/>
      </c>
      <c r="BJ1074" s="81">
        <f>IFERROR($AJ1074/$AG1074,"")</f>
        <v/>
      </c>
      <c r="BK1074" s="81">
        <f>$X1074</f>
        <v/>
      </c>
      <c r="BL1074" s="82">
        <f>($J1074-$J1075)*100</f>
        <v/>
      </c>
      <c r="BM1074" s="82">
        <f>($F1074-$F1075)*100</f>
        <v/>
      </c>
      <c r="BN1074" s="82">
        <f>$AF1074-$AF1075</f>
        <v/>
      </c>
      <c r="BO1074" s="82">
        <f>$AG1074-$AG1075</f>
        <v/>
      </c>
      <c r="BP1074" s="82">
        <f>$AJ1074-$AJ1075</f>
        <v/>
      </c>
    </row>
    <row r="1075">
      <c r="AR1075" s="81">
        <f>($G1075+($H1075-$G1075)*0.5)+($P1075-($O1075+($Q1075-$O1075)*0.5))</f>
        <v/>
      </c>
      <c r="AS1075" s="81">
        <f>($J1075+($K1075-$J1075)*0.5)+($T1075-($S1075+($U1075-$S1075)*0.5))</f>
        <v/>
      </c>
      <c r="AT1075" s="82">
        <f>($J1075-$C1075)*100</f>
        <v/>
      </c>
      <c r="AU1075" s="82">
        <f>($H1075-$F1075)*100</f>
        <v/>
      </c>
      <c r="AV1075" s="82">
        <f>($J1075-$F1075)*100</f>
        <v/>
      </c>
      <c r="AW1075" s="82">
        <f>($L1075-$F1075)*100</f>
        <v/>
      </c>
      <c r="AX1075" s="82">
        <f>($J1075-$H1075)*100</f>
        <v/>
      </c>
      <c r="AY1075" s="82">
        <f>($L1075-$H1075)*100</f>
        <v/>
      </c>
      <c r="AZ1075" s="82">
        <f>($L1075-$J1075)*100</f>
        <v/>
      </c>
      <c r="BA1075" s="82">
        <f>(2*$H1075-$F1075-$J1075)*100</f>
        <v/>
      </c>
      <c r="BB1075" s="82">
        <f>(2*$J1075-$H1075-$L1075)*100</f>
        <v/>
      </c>
      <c r="BC1075" s="82">
        <f>($N1075-$F1075)*100</f>
        <v/>
      </c>
      <c r="BD1075" s="82">
        <f>($Q1075-$H1075)*100</f>
        <v/>
      </c>
      <c r="BE1075" s="82">
        <f>($S1075-$J1075)*100</f>
        <v/>
      </c>
      <c r="BF1075" s="82">
        <f>($V1075-$L1075)*100</f>
        <v/>
      </c>
      <c r="BG1075" s="82">
        <f>$AG1075-$AF1075</f>
        <v/>
      </c>
      <c r="BH1075" s="81">
        <f>IFERROR($AG1075/$AF1075,"")</f>
        <v/>
      </c>
      <c r="BI1075" s="82">
        <f>$AJ1075-$AF1075</f>
        <v/>
      </c>
      <c r="BJ1075" s="81">
        <f>IFERROR($AJ1075/$AG1075,"")</f>
        <v/>
      </c>
      <c r="BK1075" s="81">
        <f>$X1075</f>
        <v/>
      </c>
      <c r="BL1075" s="82">
        <f>($J1075-$J1076)*100</f>
        <v/>
      </c>
      <c r="BM1075" s="82">
        <f>($F1075-$F1076)*100</f>
        <v/>
      </c>
      <c r="BN1075" s="82">
        <f>$AF1075-$AF1076</f>
        <v/>
      </c>
      <c r="BO1075" s="82">
        <f>$AG1075-$AG1076</f>
        <v/>
      </c>
      <c r="BP1075" s="82">
        <f>$AJ1075-$AJ1076</f>
        <v/>
      </c>
    </row>
    <row r="1076">
      <c r="AR1076" s="81">
        <f>($G1076+($H1076-$G1076)*0.5)+($P1076-($O1076+($Q1076-$O1076)*0.5))</f>
        <v/>
      </c>
      <c r="AS1076" s="81">
        <f>($J1076+($K1076-$J1076)*0.5)+($T1076-($S1076+($U1076-$S1076)*0.5))</f>
        <v/>
      </c>
      <c r="AT1076" s="82">
        <f>($J1076-$C1076)*100</f>
        <v/>
      </c>
      <c r="AU1076" s="82">
        <f>($H1076-$F1076)*100</f>
        <v/>
      </c>
      <c r="AV1076" s="82">
        <f>($J1076-$F1076)*100</f>
        <v/>
      </c>
      <c r="AW1076" s="82">
        <f>($L1076-$F1076)*100</f>
        <v/>
      </c>
      <c r="AX1076" s="82">
        <f>($J1076-$H1076)*100</f>
        <v/>
      </c>
      <c r="AY1076" s="82">
        <f>($L1076-$H1076)*100</f>
        <v/>
      </c>
      <c r="AZ1076" s="82">
        <f>($L1076-$J1076)*100</f>
        <v/>
      </c>
      <c r="BA1076" s="82">
        <f>(2*$H1076-$F1076-$J1076)*100</f>
        <v/>
      </c>
      <c r="BB1076" s="82">
        <f>(2*$J1076-$H1076-$L1076)*100</f>
        <v/>
      </c>
      <c r="BC1076" s="82">
        <f>($N1076-$F1076)*100</f>
        <v/>
      </c>
      <c r="BD1076" s="82">
        <f>($Q1076-$H1076)*100</f>
        <v/>
      </c>
      <c r="BE1076" s="82">
        <f>($S1076-$J1076)*100</f>
        <v/>
      </c>
      <c r="BF1076" s="82">
        <f>($V1076-$L1076)*100</f>
        <v/>
      </c>
      <c r="BG1076" s="82">
        <f>$AG1076-$AF1076</f>
        <v/>
      </c>
      <c r="BH1076" s="81">
        <f>IFERROR($AG1076/$AF1076,"")</f>
        <v/>
      </c>
      <c r="BI1076" s="82">
        <f>$AJ1076-$AF1076</f>
        <v/>
      </c>
      <c r="BJ1076" s="81">
        <f>IFERROR($AJ1076/$AG1076,"")</f>
        <v/>
      </c>
      <c r="BK1076" s="81">
        <f>$X1076</f>
        <v/>
      </c>
      <c r="BL1076" s="82">
        <f>($J1076-$J1077)*100</f>
        <v/>
      </c>
      <c r="BM1076" s="82">
        <f>($F1076-$F1077)*100</f>
        <v/>
      </c>
      <c r="BN1076" s="82">
        <f>$AF1076-$AF1077</f>
        <v/>
      </c>
      <c r="BO1076" s="82">
        <f>$AG1076-$AG1077</f>
        <v/>
      </c>
      <c r="BP1076" s="82">
        <f>$AJ1076-$AJ1077</f>
        <v/>
      </c>
    </row>
    <row r="1077">
      <c r="AR1077" s="81">
        <f>($G1077+($H1077-$G1077)*0.5)+($P1077-($O1077+($Q1077-$O1077)*0.5))</f>
        <v/>
      </c>
      <c r="AS1077" s="81">
        <f>($J1077+($K1077-$J1077)*0.5)+($T1077-($S1077+($U1077-$S1077)*0.5))</f>
        <v/>
      </c>
      <c r="AT1077" s="82">
        <f>($J1077-$C1077)*100</f>
        <v/>
      </c>
      <c r="AU1077" s="82">
        <f>($H1077-$F1077)*100</f>
        <v/>
      </c>
      <c r="AV1077" s="82">
        <f>($J1077-$F1077)*100</f>
        <v/>
      </c>
      <c r="AW1077" s="82">
        <f>($L1077-$F1077)*100</f>
        <v/>
      </c>
      <c r="AX1077" s="82">
        <f>($J1077-$H1077)*100</f>
        <v/>
      </c>
      <c r="AY1077" s="82">
        <f>($L1077-$H1077)*100</f>
        <v/>
      </c>
      <c r="AZ1077" s="82">
        <f>($L1077-$J1077)*100</f>
        <v/>
      </c>
      <c r="BA1077" s="82">
        <f>(2*$H1077-$F1077-$J1077)*100</f>
        <v/>
      </c>
      <c r="BB1077" s="82">
        <f>(2*$J1077-$H1077-$L1077)*100</f>
        <v/>
      </c>
      <c r="BC1077" s="82">
        <f>($N1077-$F1077)*100</f>
        <v/>
      </c>
      <c r="BD1077" s="82">
        <f>($Q1077-$H1077)*100</f>
        <v/>
      </c>
      <c r="BE1077" s="82">
        <f>($S1077-$J1077)*100</f>
        <v/>
      </c>
      <c r="BF1077" s="82">
        <f>($V1077-$L1077)*100</f>
        <v/>
      </c>
      <c r="BG1077" s="82">
        <f>$AG1077-$AF1077</f>
        <v/>
      </c>
      <c r="BH1077" s="81">
        <f>IFERROR($AG1077/$AF1077,"")</f>
        <v/>
      </c>
      <c r="BI1077" s="82">
        <f>$AJ1077-$AF1077</f>
        <v/>
      </c>
      <c r="BJ1077" s="81">
        <f>IFERROR($AJ1077/$AG1077,"")</f>
        <v/>
      </c>
      <c r="BK1077" s="81">
        <f>$X1077</f>
        <v/>
      </c>
      <c r="BL1077" s="82">
        <f>($J1077-$J1078)*100</f>
        <v/>
      </c>
      <c r="BM1077" s="82">
        <f>($F1077-$F1078)*100</f>
        <v/>
      </c>
      <c r="BN1077" s="82">
        <f>$AF1077-$AF1078</f>
        <v/>
      </c>
      <c r="BO1077" s="82">
        <f>$AG1077-$AG1078</f>
        <v/>
      </c>
      <c r="BP1077" s="82">
        <f>$AJ1077-$AJ1078</f>
        <v/>
      </c>
    </row>
    <row r="1078">
      <c r="AR1078" s="81">
        <f>($G1078+($H1078-$G1078)*0.5)+($P1078-($O1078+($Q1078-$O1078)*0.5))</f>
        <v/>
      </c>
      <c r="AS1078" s="81">
        <f>($J1078+($K1078-$J1078)*0.5)+($T1078-($S1078+($U1078-$S1078)*0.5))</f>
        <v/>
      </c>
      <c r="AT1078" s="82">
        <f>($J1078-$C1078)*100</f>
        <v/>
      </c>
      <c r="AU1078" s="82">
        <f>($H1078-$F1078)*100</f>
        <v/>
      </c>
      <c r="AV1078" s="82">
        <f>($J1078-$F1078)*100</f>
        <v/>
      </c>
      <c r="AW1078" s="82">
        <f>($L1078-$F1078)*100</f>
        <v/>
      </c>
      <c r="AX1078" s="82">
        <f>($J1078-$H1078)*100</f>
        <v/>
      </c>
      <c r="AY1078" s="82">
        <f>($L1078-$H1078)*100</f>
        <v/>
      </c>
      <c r="AZ1078" s="82">
        <f>($L1078-$J1078)*100</f>
        <v/>
      </c>
      <c r="BA1078" s="82">
        <f>(2*$H1078-$F1078-$J1078)*100</f>
        <v/>
      </c>
      <c r="BB1078" s="82">
        <f>(2*$J1078-$H1078-$L1078)*100</f>
        <v/>
      </c>
      <c r="BC1078" s="82">
        <f>($N1078-$F1078)*100</f>
        <v/>
      </c>
      <c r="BD1078" s="82">
        <f>($Q1078-$H1078)*100</f>
        <v/>
      </c>
      <c r="BE1078" s="82">
        <f>($S1078-$J1078)*100</f>
        <v/>
      </c>
      <c r="BF1078" s="82">
        <f>($V1078-$L1078)*100</f>
        <v/>
      </c>
      <c r="BG1078" s="82">
        <f>$AG1078-$AF1078</f>
        <v/>
      </c>
      <c r="BH1078" s="81">
        <f>IFERROR($AG1078/$AF1078,"")</f>
        <v/>
      </c>
      <c r="BI1078" s="82">
        <f>$AJ1078-$AF1078</f>
        <v/>
      </c>
      <c r="BJ1078" s="81">
        <f>IFERROR($AJ1078/$AG1078,"")</f>
        <v/>
      </c>
      <c r="BK1078" s="81">
        <f>$X1078</f>
        <v/>
      </c>
      <c r="BL1078" s="82">
        <f>($J1078-$J1079)*100</f>
        <v/>
      </c>
      <c r="BM1078" s="82">
        <f>($F1078-$F1079)*100</f>
        <v/>
      </c>
      <c r="BN1078" s="82">
        <f>$AF1078-$AF1079</f>
        <v/>
      </c>
      <c r="BO1078" s="82">
        <f>$AG1078-$AG1079</f>
        <v/>
      </c>
      <c r="BP1078" s="82">
        <f>$AJ1078-$AJ1079</f>
        <v/>
      </c>
    </row>
    <row r="1079">
      <c r="AR1079" s="81">
        <f>($G1079+($H1079-$G1079)*0.5)+($P1079-($O1079+($Q1079-$O1079)*0.5))</f>
        <v/>
      </c>
      <c r="AS1079" s="81">
        <f>($J1079+($K1079-$J1079)*0.5)+($T1079-($S1079+($U1079-$S1079)*0.5))</f>
        <v/>
      </c>
      <c r="AT1079" s="82">
        <f>($J1079-$C1079)*100</f>
        <v/>
      </c>
      <c r="AU1079" s="82">
        <f>($H1079-$F1079)*100</f>
        <v/>
      </c>
      <c r="AV1079" s="82">
        <f>($J1079-$F1079)*100</f>
        <v/>
      </c>
      <c r="AW1079" s="82">
        <f>($L1079-$F1079)*100</f>
        <v/>
      </c>
      <c r="AX1079" s="82">
        <f>($J1079-$H1079)*100</f>
        <v/>
      </c>
      <c r="AY1079" s="82">
        <f>($L1079-$H1079)*100</f>
        <v/>
      </c>
      <c r="AZ1079" s="82">
        <f>($L1079-$J1079)*100</f>
        <v/>
      </c>
      <c r="BA1079" s="82">
        <f>(2*$H1079-$F1079-$J1079)*100</f>
        <v/>
      </c>
      <c r="BB1079" s="82">
        <f>(2*$J1079-$H1079-$L1079)*100</f>
        <v/>
      </c>
      <c r="BC1079" s="82">
        <f>($N1079-$F1079)*100</f>
        <v/>
      </c>
      <c r="BD1079" s="82">
        <f>($Q1079-$H1079)*100</f>
        <v/>
      </c>
      <c r="BE1079" s="82">
        <f>($S1079-$J1079)*100</f>
        <v/>
      </c>
      <c r="BF1079" s="82">
        <f>($V1079-$L1079)*100</f>
        <v/>
      </c>
      <c r="BG1079" s="82">
        <f>$AG1079-$AF1079</f>
        <v/>
      </c>
      <c r="BH1079" s="81">
        <f>IFERROR($AG1079/$AF1079,"")</f>
        <v/>
      </c>
      <c r="BI1079" s="82">
        <f>$AJ1079-$AF1079</f>
        <v/>
      </c>
      <c r="BJ1079" s="81">
        <f>IFERROR($AJ1079/$AG1079,"")</f>
        <v/>
      </c>
      <c r="BK1079" s="81">
        <f>$X1079</f>
        <v/>
      </c>
      <c r="BL1079" s="82">
        <f>($J1079-$J1080)*100</f>
        <v/>
      </c>
      <c r="BM1079" s="82">
        <f>($F1079-$F1080)*100</f>
        <v/>
      </c>
      <c r="BN1079" s="82">
        <f>$AF1079-$AF1080</f>
        <v/>
      </c>
      <c r="BO1079" s="82">
        <f>$AG1079-$AG1080</f>
        <v/>
      </c>
      <c r="BP1079" s="82">
        <f>$AJ1079-$AJ1080</f>
        <v/>
      </c>
    </row>
    <row r="1080">
      <c r="AR1080" s="81">
        <f>($G1080+($H1080-$G1080)*0.5)+($P1080-($O1080+($Q1080-$O1080)*0.5))</f>
        <v/>
      </c>
      <c r="AS1080" s="81">
        <f>($J1080+($K1080-$J1080)*0.5)+($T1080-($S1080+($U1080-$S1080)*0.5))</f>
        <v/>
      </c>
      <c r="AT1080" s="82">
        <f>($J1080-$C1080)*100</f>
        <v/>
      </c>
      <c r="AU1080" s="82">
        <f>($H1080-$F1080)*100</f>
        <v/>
      </c>
      <c r="AV1080" s="82">
        <f>($J1080-$F1080)*100</f>
        <v/>
      </c>
      <c r="AW1080" s="82">
        <f>($L1080-$F1080)*100</f>
        <v/>
      </c>
      <c r="AX1080" s="82">
        <f>($J1080-$H1080)*100</f>
        <v/>
      </c>
      <c r="AY1080" s="82">
        <f>($L1080-$H1080)*100</f>
        <v/>
      </c>
      <c r="AZ1080" s="82">
        <f>($L1080-$J1080)*100</f>
        <v/>
      </c>
      <c r="BA1080" s="82">
        <f>(2*$H1080-$F1080-$J1080)*100</f>
        <v/>
      </c>
      <c r="BB1080" s="82">
        <f>(2*$J1080-$H1080-$L1080)*100</f>
        <v/>
      </c>
      <c r="BC1080" s="82">
        <f>($N1080-$F1080)*100</f>
        <v/>
      </c>
      <c r="BD1080" s="82">
        <f>($Q1080-$H1080)*100</f>
        <v/>
      </c>
      <c r="BE1080" s="82">
        <f>($S1080-$J1080)*100</f>
        <v/>
      </c>
      <c r="BF1080" s="82">
        <f>($V1080-$L1080)*100</f>
        <v/>
      </c>
      <c r="BG1080" s="82">
        <f>$AG1080-$AF1080</f>
        <v/>
      </c>
      <c r="BH1080" s="81">
        <f>IFERROR($AG1080/$AF1080,"")</f>
        <v/>
      </c>
      <c r="BI1080" s="82">
        <f>$AJ1080-$AF1080</f>
        <v/>
      </c>
      <c r="BJ1080" s="81">
        <f>IFERROR($AJ1080/$AG1080,"")</f>
        <v/>
      </c>
      <c r="BK1080" s="81">
        <f>$X1080</f>
        <v/>
      </c>
      <c r="BL1080" s="82">
        <f>($J1080-$J1081)*100</f>
        <v/>
      </c>
      <c r="BM1080" s="82">
        <f>($F1080-$F1081)*100</f>
        <v/>
      </c>
      <c r="BN1080" s="82">
        <f>$AF1080-$AF1081</f>
        <v/>
      </c>
      <c r="BO1080" s="82">
        <f>$AG1080-$AG1081</f>
        <v/>
      </c>
      <c r="BP1080" s="82">
        <f>$AJ1080-$AJ1081</f>
        <v/>
      </c>
    </row>
    <row r="1081">
      <c r="AR1081" s="81">
        <f>($G1081+($H1081-$G1081)*0.5)+($P1081-($O1081+($Q1081-$O1081)*0.5))</f>
        <v/>
      </c>
      <c r="AS1081" s="81">
        <f>($J1081+($K1081-$J1081)*0.5)+($T1081-($S1081+($U1081-$S1081)*0.5))</f>
        <v/>
      </c>
      <c r="AT1081" s="82">
        <f>($J1081-$C1081)*100</f>
        <v/>
      </c>
      <c r="AU1081" s="82">
        <f>($H1081-$F1081)*100</f>
        <v/>
      </c>
      <c r="AV1081" s="82">
        <f>($J1081-$F1081)*100</f>
        <v/>
      </c>
      <c r="AW1081" s="82">
        <f>($L1081-$F1081)*100</f>
        <v/>
      </c>
      <c r="AX1081" s="82">
        <f>($J1081-$H1081)*100</f>
        <v/>
      </c>
      <c r="AY1081" s="82">
        <f>($L1081-$H1081)*100</f>
        <v/>
      </c>
      <c r="AZ1081" s="82">
        <f>($L1081-$J1081)*100</f>
        <v/>
      </c>
      <c r="BA1081" s="82">
        <f>(2*$H1081-$F1081-$J1081)*100</f>
        <v/>
      </c>
      <c r="BB1081" s="82">
        <f>(2*$J1081-$H1081-$L1081)*100</f>
        <v/>
      </c>
      <c r="BC1081" s="82">
        <f>($N1081-$F1081)*100</f>
        <v/>
      </c>
      <c r="BD1081" s="82">
        <f>($Q1081-$H1081)*100</f>
        <v/>
      </c>
      <c r="BE1081" s="82">
        <f>($S1081-$J1081)*100</f>
        <v/>
      </c>
      <c r="BF1081" s="82">
        <f>($V1081-$L1081)*100</f>
        <v/>
      </c>
      <c r="BG1081" s="82">
        <f>$AG1081-$AF1081</f>
        <v/>
      </c>
      <c r="BH1081" s="81">
        <f>IFERROR($AG1081/$AF1081,"")</f>
        <v/>
      </c>
      <c r="BI1081" s="82">
        <f>$AJ1081-$AF1081</f>
        <v/>
      </c>
      <c r="BJ1081" s="81">
        <f>IFERROR($AJ1081/$AG1081,"")</f>
        <v/>
      </c>
      <c r="BK1081" s="81">
        <f>$X1081</f>
        <v/>
      </c>
      <c r="BL1081" s="82">
        <f>($J1081-$J1082)*100</f>
        <v/>
      </c>
      <c r="BM1081" s="82">
        <f>($F1081-$F1082)*100</f>
        <v/>
      </c>
      <c r="BN1081" s="82">
        <f>$AF1081-$AF1082</f>
        <v/>
      </c>
      <c r="BO1081" s="82">
        <f>$AG1081-$AG1082</f>
        <v/>
      </c>
      <c r="BP1081" s="82">
        <f>$AJ1081-$AJ1082</f>
        <v/>
      </c>
    </row>
    <row r="1082">
      <c r="AR1082" s="81">
        <f>($G1082+($H1082-$G1082)*0.5)+($P1082-($O1082+($Q1082-$O1082)*0.5))</f>
        <v/>
      </c>
      <c r="AS1082" s="81">
        <f>($J1082+($K1082-$J1082)*0.5)+($T1082-($S1082+($U1082-$S1082)*0.5))</f>
        <v/>
      </c>
      <c r="AT1082" s="82">
        <f>($J1082-$C1082)*100</f>
        <v/>
      </c>
      <c r="AU1082" s="82">
        <f>($H1082-$F1082)*100</f>
        <v/>
      </c>
      <c r="AV1082" s="82">
        <f>($J1082-$F1082)*100</f>
        <v/>
      </c>
      <c r="AW1082" s="82">
        <f>($L1082-$F1082)*100</f>
        <v/>
      </c>
      <c r="AX1082" s="82">
        <f>($J1082-$H1082)*100</f>
        <v/>
      </c>
      <c r="AY1082" s="82">
        <f>($L1082-$H1082)*100</f>
        <v/>
      </c>
      <c r="AZ1082" s="82">
        <f>($L1082-$J1082)*100</f>
        <v/>
      </c>
      <c r="BA1082" s="82">
        <f>(2*$H1082-$F1082-$J1082)*100</f>
        <v/>
      </c>
      <c r="BB1082" s="82">
        <f>(2*$J1082-$H1082-$L1082)*100</f>
        <v/>
      </c>
      <c r="BC1082" s="82">
        <f>($N1082-$F1082)*100</f>
        <v/>
      </c>
      <c r="BD1082" s="82">
        <f>($Q1082-$H1082)*100</f>
        <v/>
      </c>
      <c r="BE1082" s="82">
        <f>($S1082-$J1082)*100</f>
        <v/>
      </c>
      <c r="BF1082" s="82">
        <f>($V1082-$L1082)*100</f>
        <v/>
      </c>
      <c r="BG1082" s="82">
        <f>$AG1082-$AF1082</f>
        <v/>
      </c>
      <c r="BH1082" s="81">
        <f>IFERROR($AG1082/$AF1082,"")</f>
        <v/>
      </c>
      <c r="BI1082" s="82">
        <f>$AJ1082-$AF1082</f>
        <v/>
      </c>
      <c r="BJ1082" s="81">
        <f>IFERROR($AJ1082/$AG1082,"")</f>
        <v/>
      </c>
      <c r="BK1082" s="81">
        <f>$X1082</f>
        <v/>
      </c>
      <c r="BL1082" s="82">
        <f>($J1082-$J1083)*100</f>
        <v/>
      </c>
      <c r="BM1082" s="82">
        <f>($F1082-$F1083)*100</f>
        <v/>
      </c>
      <c r="BN1082" s="82">
        <f>$AF1082-$AF1083</f>
        <v/>
      </c>
      <c r="BO1082" s="82">
        <f>$AG1082-$AG1083</f>
        <v/>
      </c>
      <c r="BP1082" s="82">
        <f>$AJ1082-$AJ1083</f>
        <v/>
      </c>
    </row>
    <row r="1083">
      <c r="AR1083" s="81">
        <f>($G1083+($H1083-$G1083)*0.5)+($P1083-($O1083+($Q1083-$O1083)*0.5))</f>
        <v/>
      </c>
      <c r="AS1083" s="81">
        <f>($J1083+($K1083-$J1083)*0.5)+($T1083-($S1083+($U1083-$S1083)*0.5))</f>
        <v/>
      </c>
      <c r="AT1083" s="82">
        <f>($J1083-$C1083)*100</f>
        <v/>
      </c>
      <c r="AU1083" s="82">
        <f>($H1083-$F1083)*100</f>
        <v/>
      </c>
      <c r="AV1083" s="82">
        <f>($J1083-$F1083)*100</f>
        <v/>
      </c>
      <c r="AW1083" s="82">
        <f>($L1083-$F1083)*100</f>
        <v/>
      </c>
      <c r="AX1083" s="82">
        <f>($J1083-$H1083)*100</f>
        <v/>
      </c>
      <c r="AY1083" s="82">
        <f>($L1083-$H1083)*100</f>
        <v/>
      </c>
      <c r="AZ1083" s="82">
        <f>($L1083-$J1083)*100</f>
        <v/>
      </c>
      <c r="BA1083" s="82">
        <f>(2*$H1083-$F1083-$J1083)*100</f>
        <v/>
      </c>
      <c r="BB1083" s="82">
        <f>(2*$J1083-$H1083-$L1083)*100</f>
        <v/>
      </c>
      <c r="BC1083" s="82">
        <f>($N1083-$F1083)*100</f>
        <v/>
      </c>
      <c r="BD1083" s="82">
        <f>($Q1083-$H1083)*100</f>
        <v/>
      </c>
      <c r="BE1083" s="82">
        <f>($S1083-$J1083)*100</f>
        <v/>
      </c>
      <c r="BF1083" s="82">
        <f>($V1083-$L1083)*100</f>
        <v/>
      </c>
      <c r="BG1083" s="82">
        <f>$AG1083-$AF1083</f>
        <v/>
      </c>
      <c r="BH1083" s="81">
        <f>IFERROR($AG1083/$AF1083,"")</f>
        <v/>
      </c>
      <c r="BI1083" s="82">
        <f>$AJ1083-$AF1083</f>
        <v/>
      </c>
      <c r="BJ1083" s="81">
        <f>IFERROR($AJ1083/$AG1083,"")</f>
        <v/>
      </c>
      <c r="BK1083" s="81">
        <f>$X1083</f>
        <v/>
      </c>
      <c r="BL1083" s="82">
        <f>($J1083-$J1084)*100</f>
        <v/>
      </c>
      <c r="BM1083" s="82">
        <f>($F1083-$F1084)*100</f>
        <v/>
      </c>
      <c r="BN1083" s="82">
        <f>$AF1083-$AF1084</f>
        <v/>
      </c>
      <c r="BO1083" s="82">
        <f>$AG1083-$AG1084</f>
        <v/>
      </c>
      <c r="BP1083" s="82">
        <f>$AJ1083-$AJ1084</f>
        <v/>
      </c>
    </row>
    <row r="1084">
      <c r="AR1084" s="81">
        <f>($G1084+($H1084-$G1084)*0.5)+($P1084-($O1084+($Q1084-$O1084)*0.5))</f>
        <v/>
      </c>
      <c r="AS1084" s="81">
        <f>($J1084+($K1084-$J1084)*0.5)+($T1084-($S1084+($U1084-$S1084)*0.5))</f>
        <v/>
      </c>
      <c r="AT1084" s="82">
        <f>($J1084-$C1084)*100</f>
        <v/>
      </c>
      <c r="AU1084" s="82">
        <f>($H1084-$F1084)*100</f>
        <v/>
      </c>
      <c r="AV1084" s="82">
        <f>($J1084-$F1084)*100</f>
        <v/>
      </c>
      <c r="AW1084" s="82">
        <f>($L1084-$F1084)*100</f>
        <v/>
      </c>
      <c r="AX1084" s="82">
        <f>($J1084-$H1084)*100</f>
        <v/>
      </c>
      <c r="AY1084" s="82">
        <f>($L1084-$H1084)*100</f>
        <v/>
      </c>
      <c r="AZ1084" s="82">
        <f>($L1084-$J1084)*100</f>
        <v/>
      </c>
      <c r="BA1084" s="82">
        <f>(2*$H1084-$F1084-$J1084)*100</f>
        <v/>
      </c>
      <c r="BB1084" s="82">
        <f>(2*$J1084-$H1084-$L1084)*100</f>
        <v/>
      </c>
      <c r="BC1084" s="82">
        <f>($N1084-$F1084)*100</f>
        <v/>
      </c>
      <c r="BD1084" s="82">
        <f>($Q1084-$H1084)*100</f>
        <v/>
      </c>
      <c r="BE1084" s="82">
        <f>($S1084-$J1084)*100</f>
        <v/>
      </c>
      <c r="BF1084" s="82">
        <f>($V1084-$L1084)*100</f>
        <v/>
      </c>
      <c r="BG1084" s="82">
        <f>$AG1084-$AF1084</f>
        <v/>
      </c>
      <c r="BH1084" s="81">
        <f>IFERROR($AG1084/$AF1084,"")</f>
        <v/>
      </c>
      <c r="BI1084" s="82">
        <f>$AJ1084-$AF1084</f>
        <v/>
      </c>
      <c r="BJ1084" s="81">
        <f>IFERROR($AJ1084/$AG1084,"")</f>
        <v/>
      </c>
      <c r="BK1084" s="81">
        <f>$X1084</f>
        <v/>
      </c>
      <c r="BL1084" s="82">
        <f>($J1084-$J1085)*100</f>
        <v/>
      </c>
      <c r="BM1084" s="82">
        <f>($F1084-$F1085)*100</f>
        <v/>
      </c>
      <c r="BN1084" s="82">
        <f>$AF1084-$AF1085</f>
        <v/>
      </c>
      <c r="BO1084" s="82">
        <f>$AG1084-$AG1085</f>
        <v/>
      </c>
      <c r="BP1084" s="82">
        <f>$AJ1084-$AJ1085</f>
        <v/>
      </c>
    </row>
    <row r="1085">
      <c r="AR1085" s="81">
        <f>($G1085+($H1085-$G1085)*0.5)+($P1085-($O1085+($Q1085-$O1085)*0.5))</f>
        <v/>
      </c>
      <c r="AS1085" s="81">
        <f>($J1085+($K1085-$J1085)*0.5)+($T1085-($S1085+($U1085-$S1085)*0.5))</f>
        <v/>
      </c>
      <c r="AT1085" s="82">
        <f>($J1085-$C1085)*100</f>
        <v/>
      </c>
      <c r="AU1085" s="82">
        <f>($H1085-$F1085)*100</f>
        <v/>
      </c>
      <c r="AV1085" s="82">
        <f>($J1085-$F1085)*100</f>
        <v/>
      </c>
      <c r="AW1085" s="82">
        <f>($L1085-$F1085)*100</f>
        <v/>
      </c>
      <c r="AX1085" s="82">
        <f>($J1085-$H1085)*100</f>
        <v/>
      </c>
      <c r="AY1085" s="82">
        <f>($L1085-$H1085)*100</f>
        <v/>
      </c>
      <c r="AZ1085" s="82">
        <f>($L1085-$J1085)*100</f>
        <v/>
      </c>
      <c r="BA1085" s="82">
        <f>(2*$H1085-$F1085-$J1085)*100</f>
        <v/>
      </c>
      <c r="BB1085" s="82">
        <f>(2*$J1085-$H1085-$L1085)*100</f>
        <v/>
      </c>
      <c r="BC1085" s="82">
        <f>($N1085-$F1085)*100</f>
        <v/>
      </c>
      <c r="BD1085" s="82">
        <f>($Q1085-$H1085)*100</f>
        <v/>
      </c>
      <c r="BE1085" s="82">
        <f>($S1085-$J1085)*100</f>
        <v/>
      </c>
      <c r="BF1085" s="82">
        <f>($V1085-$L1085)*100</f>
        <v/>
      </c>
      <c r="BG1085" s="82">
        <f>$AG1085-$AF1085</f>
        <v/>
      </c>
      <c r="BH1085" s="81">
        <f>IFERROR($AG1085/$AF1085,"")</f>
        <v/>
      </c>
      <c r="BI1085" s="82">
        <f>$AJ1085-$AF1085</f>
        <v/>
      </c>
      <c r="BJ1085" s="81">
        <f>IFERROR($AJ1085/$AG1085,"")</f>
        <v/>
      </c>
      <c r="BK1085" s="81">
        <f>$X1085</f>
        <v/>
      </c>
      <c r="BL1085" s="82">
        <f>($J1085-$J1086)*100</f>
        <v/>
      </c>
      <c r="BM1085" s="82">
        <f>($F1085-$F1086)*100</f>
        <v/>
      </c>
      <c r="BN1085" s="82">
        <f>$AF1085-$AF1086</f>
        <v/>
      </c>
      <c r="BO1085" s="82">
        <f>$AG1085-$AG1086</f>
        <v/>
      </c>
      <c r="BP1085" s="82">
        <f>$AJ1085-$AJ1086</f>
        <v/>
      </c>
    </row>
    <row r="1086">
      <c r="AR1086" s="81">
        <f>($G1086+($H1086-$G1086)*0.5)+($P1086-($O1086+($Q1086-$O1086)*0.5))</f>
        <v/>
      </c>
      <c r="AS1086" s="81">
        <f>($J1086+($K1086-$J1086)*0.5)+($T1086-($S1086+($U1086-$S1086)*0.5))</f>
        <v/>
      </c>
      <c r="AT1086" s="82">
        <f>($J1086-$C1086)*100</f>
        <v/>
      </c>
      <c r="AU1086" s="82">
        <f>($H1086-$F1086)*100</f>
        <v/>
      </c>
      <c r="AV1086" s="82">
        <f>($J1086-$F1086)*100</f>
        <v/>
      </c>
      <c r="AW1086" s="82">
        <f>($L1086-$F1086)*100</f>
        <v/>
      </c>
      <c r="AX1086" s="82">
        <f>($J1086-$H1086)*100</f>
        <v/>
      </c>
      <c r="AY1086" s="82">
        <f>($L1086-$H1086)*100</f>
        <v/>
      </c>
      <c r="AZ1086" s="82">
        <f>($L1086-$J1086)*100</f>
        <v/>
      </c>
      <c r="BA1086" s="82">
        <f>(2*$H1086-$F1086-$J1086)*100</f>
        <v/>
      </c>
      <c r="BB1086" s="82">
        <f>(2*$J1086-$H1086-$L1086)*100</f>
        <v/>
      </c>
      <c r="BC1086" s="82">
        <f>($N1086-$F1086)*100</f>
        <v/>
      </c>
      <c r="BD1086" s="82">
        <f>($Q1086-$H1086)*100</f>
        <v/>
      </c>
      <c r="BE1086" s="82">
        <f>($S1086-$J1086)*100</f>
        <v/>
      </c>
      <c r="BF1086" s="82">
        <f>($V1086-$L1086)*100</f>
        <v/>
      </c>
      <c r="BG1086" s="82">
        <f>$AG1086-$AF1086</f>
        <v/>
      </c>
      <c r="BH1086" s="81">
        <f>IFERROR($AG1086/$AF1086,"")</f>
        <v/>
      </c>
      <c r="BI1086" s="82">
        <f>$AJ1086-$AF1086</f>
        <v/>
      </c>
      <c r="BJ1086" s="81">
        <f>IFERROR($AJ1086/$AG1086,"")</f>
        <v/>
      </c>
      <c r="BK1086" s="81">
        <f>$X1086</f>
        <v/>
      </c>
      <c r="BL1086" s="82">
        <f>($J1086-$J1087)*100</f>
        <v/>
      </c>
      <c r="BM1086" s="82">
        <f>($F1086-$F1087)*100</f>
        <v/>
      </c>
      <c r="BN1086" s="82">
        <f>$AF1086-$AF1087</f>
        <v/>
      </c>
      <c r="BO1086" s="82">
        <f>$AG1086-$AG1087</f>
        <v/>
      </c>
      <c r="BP1086" s="82">
        <f>$AJ1086-$AJ1087</f>
        <v/>
      </c>
    </row>
    <row r="1087">
      <c r="AR1087" s="81">
        <f>($G1087+($H1087-$G1087)*0.5)+($P1087-($O1087+($Q1087-$O1087)*0.5))</f>
        <v/>
      </c>
      <c r="AS1087" s="81">
        <f>($J1087+($K1087-$J1087)*0.5)+($T1087-($S1087+($U1087-$S1087)*0.5))</f>
        <v/>
      </c>
      <c r="AT1087" s="82">
        <f>($J1087-$C1087)*100</f>
        <v/>
      </c>
      <c r="AU1087" s="82">
        <f>($H1087-$F1087)*100</f>
        <v/>
      </c>
      <c r="AV1087" s="82">
        <f>($J1087-$F1087)*100</f>
        <v/>
      </c>
      <c r="AW1087" s="82">
        <f>($L1087-$F1087)*100</f>
        <v/>
      </c>
      <c r="AX1087" s="82">
        <f>($J1087-$H1087)*100</f>
        <v/>
      </c>
      <c r="AY1087" s="82">
        <f>($L1087-$H1087)*100</f>
        <v/>
      </c>
      <c r="AZ1087" s="82">
        <f>($L1087-$J1087)*100</f>
        <v/>
      </c>
      <c r="BA1087" s="82">
        <f>(2*$H1087-$F1087-$J1087)*100</f>
        <v/>
      </c>
      <c r="BB1087" s="82">
        <f>(2*$J1087-$H1087-$L1087)*100</f>
        <v/>
      </c>
      <c r="BC1087" s="82">
        <f>($N1087-$F1087)*100</f>
        <v/>
      </c>
      <c r="BD1087" s="82">
        <f>($Q1087-$H1087)*100</f>
        <v/>
      </c>
      <c r="BE1087" s="82">
        <f>($S1087-$J1087)*100</f>
        <v/>
      </c>
      <c r="BF1087" s="82">
        <f>($V1087-$L1087)*100</f>
        <v/>
      </c>
      <c r="BG1087" s="82">
        <f>$AG1087-$AF1087</f>
        <v/>
      </c>
      <c r="BH1087" s="81">
        <f>IFERROR($AG1087/$AF1087,"")</f>
        <v/>
      </c>
      <c r="BI1087" s="82">
        <f>$AJ1087-$AF1087</f>
        <v/>
      </c>
      <c r="BJ1087" s="81">
        <f>IFERROR($AJ1087/$AG1087,"")</f>
        <v/>
      </c>
      <c r="BK1087" s="81">
        <f>$X1087</f>
        <v/>
      </c>
      <c r="BL1087" s="82">
        <f>($J1087-$J1088)*100</f>
        <v/>
      </c>
      <c r="BM1087" s="82">
        <f>($F1087-$F1088)*100</f>
        <v/>
      </c>
      <c r="BN1087" s="82">
        <f>$AF1087-$AF1088</f>
        <v/>
      </c>
      <c r="BO1087" s="82">
        <f>$AG1087-$AG1088</f>
        <v/>
      </c>
      <c r="BP1087" s="82">
        <f>$AJ1087-$AJ1088</f>
        <v/>
      </c>
    </row>
    <row r="1088">
      <c r="AR1088" s="81">
        <f>($G1088+($H1088-$G1088)*0.5)+($P1088-($O1088+($Q1088-$O1088)*0.5))</f>
        <v/>
      </c>
      <c r="AS1088" s="81">
        <f>($J1088+($K1088-$J1088)*0.5)+($T1088-($S1088+($U1088-$S1088)*0.5))</f>
        <v/>
      </c>
      <c r="AT1088" s="82">
        <f>($J1088-$C1088)*100</f>
        <v/>
      </c>
      <c r="AU1088" s="82">
        <f>($H1088-$F1088)*100</f>
        <v/>
      </c>
      <c r="AV1088" s="82">
        <f>($J1088-$F1088)*100</f>
        <v/>
      </c>
      <c r="AW1088" s="82">
        <f>($L1088-$F1088)*100</f>
        <v/>
      </c>
      <c r="AX1088" s="82">
        <f>($J1088-$H1088)*100</f>
        <v/>
      </c>
      <c r="AY1088" s="82">
        <f>($L1088-$H1088)*100</f>
        <v/>
      </c>
      <c r="AZ1088" s="82">
        <f>($L1088-$J1088)*100</f>
        <v/>
      </c>
      <c r="BA1088" s="82">
        <f>(2*$H1088-$F1088-$J1088)*100</f>
        <v/>
      </c>
      <c r="BB1088" s="82">
        <f>(2*$J1088-$H1088-$L1088)*100</f>
        <v/>
      </c>
      <c r="BC1088" s="82">
        <f>($N1088-$F1088)*100</f>
        <v/>
      </c>
      <c r="BD1088" s="82">
        <f>($Q1088-$H1088)*100</f>
        <v/>
      </c>
      <c r="BE1088" s="82">
        <f>($S1088-$J1088)*100</f>
        <v/>
      </c>
      <c r="BF1088" s="82">
        <f>($V1088-$L1088)*100</f>
        <v/>
      </c>
      <c r="BG1088" s="82">
        <f>$AG1088-$AF1088</f>
        <v/>
      </c>
      <c r="BH1088" s="81">
        <f>IFERROR($AG1088/$AF1088,"")</f>
        <v/>
      </c>
      <c r="BI1088" s="82">
        <f>$AJ1088-$AF1088</f>
        <v/>
      </c>
      <c r="BJ1088" s="81">
        <f>IFERROR($AJ1088/$AG1088,"")</f>
        <v/>
      </c>
      <c r="BK1088" s="81">
        <f>$X1088</f>
        <v/>
      </c>
      <c r="BL1088" s="82">
        <f>($J1088-$J1089)*100</f>
        <v/>
      </c>
      <c r="BM1088" s="82">
        <f>($F1088-$F1089)*100</f>
        <v/>
      </c>
      <c r="BN1088" s="82">
        <f>$AF1088-$AF1089</f>
        <v/>
      </c>
      <c r="BO1088" s="82">
        <f>$AG1088-$AG1089</f>
        <v/>
      </c>
      <c r="BP1088" s="82">
        <f>$AJ1088-$AJ1089</f>
        <v/>
      </c>
    </row>
    <row r="1089">
      <c r="AR1089" s="81">
        <f>($G1089+($H1089-$G1089)*0.5)+($P1089-($O1089+($Q1089-$O1089)*0.5))</f>
        <v/>
      </c>
      <c r="AS1089" s="81">
        <f>($J1089+($K1089-$J1089)*0.5)+($T1089-($S1089+($U1089-$S1089)*0.5))</f>
        <v/>
      </c>
      <c r="AT1089" s="82">
        <f>($J1089-$C1089)*100</f>
        <v/>
      </c>
      <c r="AU1089" s="82">
        <f>($H1089-$F1089)*100</f>
        <v/>
      </c>
      <c r="AV1089" s="82">
        <f>($J1089-$F1089)*100</f>
        <v/>
      </c>
      <c r="AW1089" s="82">
        <f>($L1089-$F1089)*100</f>
        <v/>
      </c>
      <c r="AX1089" s="82">
        <f>($J1089-$H1089)*100</f>
        <v/>
      </c>
      <c r="AY1089" s="82">
        <f>($L1089-$H1089)*100</f>
        <v/>
      </c>
      <c r="AZ1089" s="82">
        <f>($L1089-$J1089)*100</f>
        <v/>
      </c>
      <c r="BA1089" s="82">
        <f>(2*$H1089-$F1089-$J1089)*100</f>
        <v/>
      </c>
      <c r="BB1089" s="82">
        <f>(2*$J1089-$H1089-$L1089)*100</f>
        <v/>
      </c>
      <c r="BC1089" s="82">
        <f>($N1089-$F1089)*100</f>
        <v/>
      </c>
      <c r="BD1089" s="82">
        <f>($Q1089-$H1089)*100</f>
        <v/>
      </c>
      <c r="BE1089" s="82">
        <f>($S1089-$J1089)*100</f>
        <v/>
      </c>
      <c r="BF1089" s="82">
        <f>($V1089-$L1089)*100</f>
        <v/>
      </c>
      <c r="BG1089" s="82">
        <f>$AG1089-$AF1089</f>
        <v/>
      </c>
      <c r="BH1089" s="81">
        <f>IFERROR($AG1089/$AF1089,"")</f>
        <v/>
      </c>
      <c r="BI1089" s="82">
        <f>$AJ1089-$AF1089</f>
        <v/>
      </c>
      <c r="BJ1089" s="81">
        <f>IFERROR($AJ1089/$AG1089,"")</f>
        <v/>
      </c>
      <c r="BK1089" s="81">
        <f>$X1089</f>
        <v/>
      </c>
      <c r="BL1089" s="82">
        <f>($J1089-$J1090)*100</f>
        <v/>
      </c>
      <c r="BM1089" s="82">
        <f>($F1089-$F1090)*100</f>
        <v/>
      </c>
      <c r="BN1089" s="82">
        <f>$AF1089-$AF1090</f>
        <v/>
      </c>
      <c r="BO1089" s="82">
        <f>$AG1089-$AG1090</f>
        <v/>
      </c>
      <c r="BP1089" s="82">
        <f>$AJ1089-$AJ1090</f>
        <v/>
      </c>
    </row>
    <row r="1090">
      <c r="AR1090" s="81">
        <f>($G1090+($H1090-$G1090)*0.5)+($P1090-($O1090+($Q1090-$O1090)*0.5))</f>
        <v/>
      </c>
      <c r="AS1090" s="81">
        <f>($J1090+($K1090-$J1090)*0.5)+($T1090-($S1090+($U1090-$S1090)*0.5))</f>
        <v/>
      </c>
      <c r="AT1090" s="82">
        <f>($J1090-$C1090)*100</f>
        <v/>
      </c>
      <c r="AU1090" s="82">
        <f>($H1090-$F1090)*100</f>
        <v/>
      </c>
      <c r="AV1090" s="82">
        <f>($J1090-$F1090)*100</f>
        <v/>
      </c>
      <c r="AW1090" s="82">
        <f>($L1090-$F1090)*100</f>
        <v/>
      </c>
      <c r="AX1090" s="82">
        <f>($J1090-$H1090)*100</f>
        <v/>
      </c>
      <c r="AY1090" s="82">
        <f>($L1090-$H1090)*100</f>
        <v/>
      </c>
      <c r="AZ1090" s="82">
        <f>($L1090-$J1090)*100</f>
        <v/>
      </c>
      <c r="BA1090" s="82">
        <f>(2*$H1090-$F1090-$J1090)*100</f>
        <v/>
      </c>
      <c r="BB1090" s="82">
        <f>(2*$J1090-$H1090-$L1090)*100</f>
        <v/>
      </c>
      <c r="BC1090" s="82">
        <f>($N1090-$F1090)*100</f>
        <v/>
      </c>
      <c r="BD1090" s="82">
        <f>($Q1090-$H1090)*100</f>
        <v/>
      </c>
      <c r="BE1090" s="82">
        <f>($S1090-$J1090)*100</f>
        <v/>
      </c>
      <c r="BF1090" s="82">
        <f>($V1090-$L1090)*100</f>
        <v/>
      </c>
      <c r="BG1090" s="82">
        <f>$AG1090-$AF1090</f>
        <v/>
      </c>
      <c r="BH1090" s="81">
        <f>IFERROR($AG1090/$AF1090,"")</f>
        <v/>
      </c>
      <c r="BI1090" s="82">
        <f>$AJ1090-$AF1090</f>
        <v/>
      </c>
      <c r="BJ1090" s="81">
        <f>IFERROR($AJ1090/$AG1090,"")</f>
        <v/>
      </c>
      <c r="BK1090" s="81">
        <f>$X1090</f>
        <v/>
      </c>
      <c r="BL1090" s="82">
        <f>($J1090-$J1091)*100</f>
        <v/>
      </c>
      <c r="BM1090" s="82">
        <f>($F1090-$F1091)*100</f>
        <v/>
      </c>
      <c r="BN1090" s="82">
        <f>$AF1090-$AF1091</f>
        <v/>
      </c>
      <c r="BO1090" s="82">
        <f>$AG1090-$AG1091</f>
        <v/>
      </c>
      <c r="BP1090" s="82">
        <f>$AJ1090-$AJ1091</f>
        <v/>
      </c>
    </row>
    <row r="1091">
      <c r="AR1091" s="81">
        <f>($G1091+($H1091-$G1091)*0.5)+($P1091-($O1091+($Q1091-$O1091)*0.5))</f>
        <v/>
      </c>
      <c r="AS1091" s="81">
        <f>($J1091+($K1091-$J1091)*0.5)+($T1091-($S1091+($U1091-$S1091)*0.5))</f>
        <v/>
      </c>
      <c r="AT1091" s="82">
        <f>($J1091-$C1091)*100</f>
        <v/>
      </c>
      <c r="AU1091" s="82">
        <f>($H1091-$F1091)*100</f>
        <v/>
      </c>
      <c r="AV1091" s="82">
        <f>($J1091-$F1091)*100</f>
        <v/>
      </c>
      <c r="AW1091" s="82">
        <f>($L1091-$F1091)*100</f>
        <v/>
      </c>
      <c r="AX1091" s="82">
        <f>($J1091-$H1091)*100</f>
        <v/>
      </c>
      <c r="AY1091" s="82">
        <f>($L1091-$H1091)*100</f>
        <v/>
      </c>
      <c r="AZ1091" s="82">
        <f>($L1091-$J1091)*100</f>
        <v/>
      </c>
      <c r="BA1091" s="82">
        <f>(2*$H1091-$F1091-$J1091)*100</f>
        <v/>
      </c>
      <c r="BB1091" s="82">
        <f>(2*$J1091-$H1091-$L1091)*100</f>
        <v/>
      </c>
      <c r="BC1091" s="82">
        <f>($N1091-$F1091)*100</f>
        <v/>
      </c>
      <c r="BD1091" s="82">
        <f>($Q1091-$H1091)*100</f>
        <v/>
      </c>
      <c r="BE1091" s="82">
        <f>($S1091-$J1091)*100</f>
        <v/>
      </c>
      <c r="BF1091" s="82">
        <f>($V1091-$L1091)*100</f>
        <v/>
      </c>
      <c r="BG1091" s="82">
        <f>$AG1091-$AF1091</f>
        <v/>
      </c>
      <c r="BH1091" s="81">
        <f>IFERROR($AG1091/$AF1091,"")</f>
        <v/>
      </c>
      <c r="BI1091" s="82">
        <f>$AJ1091-$AF1091</f>
        <v/>
      </c>
      <c r="BJ1091" s="81">
        <f>IFERROR($AJ1091/$AG1091,"")</f>
        <v/>
      </c>
      <c r="BK1091" s="81">
        <f>$X1091</f>
        <v/>
      </c>
      <c r="BL1091" s="82">
        <f>($J1091-$J1092)*100</f>
        <v/>
      </c>
      <c r="BM1091" s="82">
        <f>($F1091-$F1092)*100</f>
        <v/>
      </c>
      <c r="BN1091" s="82">
        <f>$AF1091-$AF1092</f>
        <v/>
      </c>
      <c r="BO1091" s="82">
        <f>$AG1091-$AG1092</f>
        <v/>
      </c>
      <c r="BP1091" s="82">
        <f>$AJ1091-$AJ1092</f>
        <v/>
      </c>
    </row>
    <row r="1092">
      <c r="AR1092" s="81">
        <f>($G1092+($H1092-$G1092)*0.5)+($P1092-($O1092+($Q1092-$O1092)*0.5))</f>
        <v/>
      </c>
      <c r="AS1092" s="81">
        <f>($J1092+($K1092-$J1092)*0.5)+($T1092-($S1092+($U1092-$S1092)*0.5))</f>
        <v/>
      </c>
      <c r="AT1092" s="82">
        <f>($J1092-$C1092)*100</f>
        <v/>
      </c>
      <c r="AU1092" s="82">
        <f>($H1092-$F1092)*100</f>
        <v/>
      </c>
      <c r="AV1092" s="82">
        <f>($J1092-$F1092)*100</f>
        <v/>
      </c>
      <c r="AW1092" s="82">
        <f>($L1092-$F1092)*100</f>
        <v/>
      </c>
      <c r="AX1092" s="82">
        <f>($J1092-$H1092)*100</f>
        <v/>
      </c>
      <c r="AY1092" s="82">
        <f>($L1092-$H1092)*100</f>
        <v/>
      </c>
      <c r="AZ1092" s="82">
        <f>($L1092-$J1092)*100</f>
        <v/>
      </c>
      <c r="BA1092" s="82">
        <f>(2*$H1092-$F1092-$J1092)*100</f>
        <v/>
      </c>
      <c r="BB1092" s="82">
        <f>(2*$J1092-$H1092-$L1092)*100</f>
        <v/>
      </c>
      <c r="BC1092" s="82">
        <f>($N1092-$F1092)*100</f>
        <v/>
      </c>
      <c r="BD1092" s="82">
        <f>($Q1092-$H1092)*100</f>
        <v/>
      </c>
      <c r="BE1092" s="82">
        <f>($S1092-$J1092)*100</f>
        <v/>
      </c>
      <c r="BF1092" s="82">
        <f>($V1092-$L1092)*100</f>
        <v/>
      </c>
      <c r="BG1092" s="82">
        <f>$AG1092-$AF1092</f>
        <v/>
      </c>
      <c r="BH1092" s="81">
        <f>IFERROR($AG1092/$AF1092,"")</f>
        <v/>
      </c>
      <c r="BI1092" s="82">
        <f>$AJ1092-$AF1092</f>
        <v/>
      </c>
      <c r="BJ1092" s="81">
        <f>IFERROR($AJ1092/$AG1092,"")</f>
        <v/>
      </c>
      <c r="BK1092" s="81">
        <f>$X1092</f>
        <v/>
      </c>
      <c r="BL1092" s="82">
        <f>($J1092-$J1093)*100</f>
        <v/>
      </c>
      <c r="BM1092" s="82">
        <f>($F1092-$F1093)*100</f>
        <v/>
      </c>
      <c r="BN1092" s="82">
        <f>$AF1092-$AF1093</f>
        <v/>
      </c>
      <c r="BO1092" s="82">
        <f>$AG1092-$AG1093</f>
        <v/>
      </c>
      <c r="BP1092" s="82">
        <f>$AJ1092-$AJ1093</f>
        <v/>
      </c>
    </row>
    <row r="1093">
      <c r="AR1093" s="81">
        <f>($G1093+($H1093-$G1093)*0.5)+($P1093-($O1093+($Q1093-$O1093)*0.5))</f>
        <v/>
      </c>
      <c r="AS1093" s="81">
        <f>($J1093+($K1093-$J1093)*0.5)+($T1093-($S1093+($U1093-$S1093)*0.5))</f>
        <v/>
      </c>
      <c r="AT1093" s="82">
        <f>($J1093-$C1093)*100</f>
        <v/>
      </c>
      <c r="AU1093" s="82">
        <f>($H1093-$F1093)*100</f>
        <v/>
      </c>
      <c r="AV1093" s="82">
        <f>($J1093-$F1093)*100</f>
        <v/>
      </c>
      <c r="AW1093" s="82">
        <f>($L1093-$F1093)*100</f>
        <v/>
      </c>
      <c r="AX1093" s="82">
        <f>($J1093-$H1093)*100</f>
        <v/>
      </c>
      <c r="AY1093" s="82">
        <f>($L1093-$H1093)*100</f>
        <v/>
      </c>
      <c r="AZ1093" s="82">
        <f>($L1093-$J1093)*100</f>
        <v/>
      </c>
      <c r="BA1093" s="82">
        <f>(2*$H1093-$F1093-$J1093)*100</f>
        <v/>
      </c>
      <c r="BB1093" s="82">
        <f>(2*$J1093-$H1093-$L1093)*100</f>
        <v/>
      </c>
      <c r="BC1093" s="82">
        <f>($N1093-$F1093)*100</f>
        <v/>
      </c>
      <c r="BD1093" s="82">
        <f>($Q1093-$H1093)*100</f>
        <v/>
      </c>
      <c r="BE1093" s="82">
        <f>($S1093-$J1093)*100</f>
        <v/>
      </c>
      <c r="BF1093" s="82">
        <f>($V1093-$L1093)*100</f>
        <v/>
      </c>
      <c r="BG1093" s="82">
        <f>$AG1093-$AF1093</f>
        <v/>
      </c>
      <c r="BH1093" s="81">
        <f>IFERROR($AG1093/$AF1093,"")</f>
        <v/>
      </c>
      <c r="BI1093" s="82">
        <f>$AJ1093-$AF1093</f>
        <v/>
      </c>
      <c r="BJ1093" s="81">
        <f>IFERROR($AJ1093/$AG1093,"")</f>
        <v/>
      </c>
      <c r="BK1093" s="81">
        <f>$X1093</f>
        <v/>
      </c>
      <c r="BL1093" s="82">
        <f>($J1093-$J1094)*100</f>
        <v/>
      </c>
      <c r="BM1093" s="82">
        <f>($F1093-$F1094)*100</f>
        <v/>
      </c>
      <c r="BN1093" s="82">
        <f>$AF1093-$AF1094</f>
        <v/>
      </c>
      <c r="BO1093" s="82">
        <f>$AG1093-$AG1094</f>
        <v/>
      </c>
      <c r="BP1093" s="82">
        <f>$AJ1093-$AJ1094</f>
        <v/>
      </c>
    </row>
    <row r="1094">
      <c r="AR1094" s="81">
        <f>($G1094+($H1094-$G1094)*0.5)+($P1094-($O1094+($Q1094-$O1094)*0.5))</f>
        <v/>
      </c>
      <c r="AS1094" s="81">
        <f>($J1094+($K1094-$J1094)*0.5)+($T1094-($S1094+($U1094-$S1094)*0.5))</f>
        <v/>
      </c>
      <c r="AT1094" s="82">
        <f>($J1094-$C1094)*100</f>
        <v/>
      </c>
      <c r="AU1094" s="82">
        <f>($H1094-$F1094)*100</f>
        <v/>
      </c>
      <c r="AV1094" s="82">
        <f>($J1094-$F1094)*100</f>
        <v/>
      </c>
      <c r="AW1094" s="82">
        <f>($L1094-$F1094)*100</f>
        <v/>
      </c>
      <c r="AX1094" s="82">
        <f>($J1094-$H1094)*100</f>
        <v/>
      </c>
      <c r="AY1094" s="82">
        <f>($L1094-$H1094)*100</f>
        <v/>
      </c>
      <c r="AZ1094" s="82">
        <f>($L1094-$J1094)*100</f>
        <v/>
      </c>
      <c r="BA1094" s="82">
        <f>(2*$H1094-$F1094-$J1094)*100</f>
        <v/>
      </c>
      <c r="BB1094" s="82">
        <f>(2*$J1094-$H1094-$L1094)*100</f>
        <v/>
      </c>
      <c r="BC1094" s="82">
        <f>($N1094-$F1094)*100</f>
        <v/>
      </c>
      <c r="BD1094" s="82">
        <f>($Q1094-$H1094)*100</f>
        <v/>
      </c>
      <c r="BE1094" s="82">
        <f>($S1094-$J1094)*100</f>
        <v/>
      </c>
      <c r="BF1094" s="82">
        <f>($V1094-$L1094)*100</f>
        <v/>
      </c>
      <c r="BG1094" s="82">
        <f>$AG1094-$AF1094</f>
        <v/>
      </c>
      <c r="BH1094" s="81">
        <f>IFERROR($AG1094/$AF1094,"")</f>
        <v/>
      </c>
      <c r="BI1094" s="82">
        <f>$AJ1094-$AF1094</f>
        <v/>
      </c>
      <c r="BJ1094" s="81">
        <f>IFERROR($AJ1094/$AG1094,"")</f>
        <v/>
      </c>
      <c r="BK1094" s="81">
        <f>$X1094</f>
        <v/>
      </c>
      <c r="BL1094" s="82">
        <f>($J1094-$J1095)*100</f>
        <v/>
      </c>
      <c r="BM1094" s="82">
        <f>($F1094-$F1095)*100</f>
        <v/>
      </c>
      <c r="BN1094" s="82">
        <f>$AF1094-$AF1095</f>
        <v/>
      </c>
      <c r="BO1094" s="82">
        <f>$AG1094-$AG1095</f>
        <v/>
      </c>
      <c r="BP1094" s="82">
        <f>$AJ1094-$AJ1095</f>
        <v/>
      </c>
    </row>
    <row r="1095">
      <c r="AR1095" s="81">
        <f>($G1095+($H1095-$G1095)*0.5)+($P1095-($O1095+($Q1095-$O1095)*0.5))</f>
        <v/>
      </c>
      <c r="AS1095" s="81">
        <f>($J1095+($K1095-$J1095)*0.5)+($T1095-($S1095+($U1095-$S1095)*0.5))</f>
        <v/>
      </c>
      <c r="AT1095" s="82">
        <f>($J1095-$C1095)*100</f>
        <v/>
      </c>
      <c r="AU1095" s="82">
        <f>($H1095-$F1095)*100</f>
        <v/>
      </c>
      <c r="AV1095" s="82">
        <f>($J1095-$F1095)*100</f>
        <v/>
      </c>
      <c r="AW1095" s="82">
        <f>($L1095-$F1095)*100</f>
        <v/>
      </c>
      <c r="AX1095" s="82">
        <f>($J1095-$H1095)*100</f>
        <v/>
      </c>
      <c r="AY1095" s="82">
        <f>($L1095-$H1095)*100</f>
        <v/>
      </c>
      <c r="AZ1095" s="82">
        <f>($L1095-$J1095)*100</f>
        <v/>
      </c>
      <c r="BA1095" s="82">
        <f>(2*$H1095-$F1095-$J1095)*100</f>
        <v/>
      </c>
      <c r="BB1095" s="82">
        <f>(2*$J1095-$H1095-$L1095)*100</f>
        <v/>
      </c>
      <c r="BC1095" s="82">
        <f>($N1095-$F1095)*100</f>
        <v/>
      </c>
      <c r="BD1095" s="82">
        <f>($Q1095-$H1095)*100</f>
        <v/>
      </c>
      <c r="BE1095" s="82">
        <f>($S1095-$J1095)*100</f>
        <v/>
      </c>
      <c r="BF1095" s="82">
        <f>($V1095-$L1095)*100</f>
        <v/>
      </c>
      <c r="BG1095" s="82">
        <f>$AG1095-$AF1095</f>
        <v/>
      </c>
      <c r="BH1095" s="81">
        <f>IFERROR($AG1095/$AF1095,"")</f>
        <v/>
      </c>
      <c r="BI1095" s="82">
        <f>$AJ1095-$AF1095</f>
        <v/>
      </c>
      <c r="BJ1095" s="81">
        <f>IFERROR($AJ1095/$AG1095,"")</f>
        <v/>
      </c>
      <c r="BK1095" s="81">
        <f>$X1095</f>
        <v/>
      </c>
      <c r="BL1095" s="82">
        <f>($J1095-$J1096)*100</f>
        <v/>
      </c>
      <c r="BM1095" s="82">
        <f>($F1095-$F1096)*100</f>
        <v/>
      </c>
      <c r="BN1095" s="82">
        <f>$AF1095-$AF1096</f>
        <v/>
      </c>
      <c r="BO1095" s="82">
        <f>$AG1095-$AG1096</f>
        <v/>
      </c>
      <c r="BP1095" s="82">
        <f>$AJ1095-$AJ1096</f>
        <v/>
      </c>
    </row>
    <row r="1096">
      <c r="AR1096" s="81">
        <f>($G1096+($H1096-$G1096)*0.5)+($P1096-($O1096+($Q1096-$O1096)*0.5))</f>
        <v/>
      </c>
      <c r="AS1096" s="81">
        <f>($J1096+($K1096-$J1096)*0.5)+($T1096-($S1096+($U1096-$S1096)*0.5))</f>
        <v/>
      </c>
      <c r="AT1096" s="82">
        <f>($J1096-$C1096)*100</f>
        <v/>
      </c>
      <c r="AU1096" s="82">
        <f>($H1096-$F1096)*100</f>
        <v/>
      </c>
      <c r="AV1096" s="82">
        <f>($J1096-$F1096)*100</f>
        <v/>
      </c>
      <c r="AW1096" s="82">
        <f>($L1096-$F1096)*100</f>
        <v/>
      </c>
      <c r="AX1096" s="82">
        <f>($J1096-$H1096)*100</f>
        <v/>
      </c>
      <c r="AY1096" s="82">
        <f>($L1096-$H1096)*100</f>
        <v/>
      </c>
      <c r="AZ1096" s="82">
        <f>($L1096-$J1096)*100</f>
        <v/>
      </c>
      <c r="BA1096" s="82">
        <f>(2*$H1096-$F1096-$J1096)*100</f>
        <v/>
      </c>
      <c r="BB1096" s="82">
        <f>(2*$J1096-$H1096-$L1096)*100</f>
        <v/>
      </c>
      <c r="BC1096" s="82">
        <f>($N1096-$F1096)*100</f>
        <v/>
      </c>
      <c r="BD1096" s="82">
        <f>($Q1096-$H1096)*100</f>
        <v/>
      </c>
      <c r="BE1096" s="82">
        <f>($S1096-$J1096)*100</f>
        <v/>
      </c>
      <c r="BF1096" s="82">
        <f>($V1096-$L1096)*100</f>
        <v/>
      </c>
      <c r="BG1096" s="82">
        <f>$AG1096-$AF1096</f>
        <v/>
      </c>
      <c r="BH1096" s="81">
        <f>IFERROR($AG1096/$AF1096,"")</f>
        <v/>
      </c>
      <c r="BI1096" s="82">
        <f>$AJ1096-$AF1096</f>
        <v/>
      </c>
      <c r="BJ1096" s="81">
        <f>IFERROR($AJ1096/$AG1096,"")</f>
        <v/>
      </c>
      <c r="BK1096" s="81">
        <f>$X1096</f>
        <v/>
      </c>
      <c r="BL1096" s="82">
        <f>($J1096-$J1097)*100</f>
        <v/>
      </c>
      <c r="BM1096" s="82">
        <f>($F1096-$F1097)*100</f>
        <v/>
      </c>
      <c r="BN1096" s="82">
        <f>$AF1096-$AF1097</f>
        <v/>
      </c>
      <c r="BO1096" s="82">
        <f>$AG1096-$AG1097</f>
        <v/>
      </c>
      <c r="BP1096" s="82">
        <f>$AJ1096-$AJ1097</f>
        <v/>
      </c>
    </row>
    <row r="1097">
      <c r="AR1097" s="81">
        <f>($G1097+($H1097-$G1097)*0.5)+($P1097-($O1097+($Q1097-$O1097)*0.5))</f>
        <v/>
      </c>
      <c r="AS1097" s="81">
        <f>($J1097+($K1097-$J1097)*0.5)+($T1097-($S1097+($U1097-$S1097)*0.5))</f>
        <v/>
      </c>
      <c r="AT1097" s="82">
        <f>($J1097-$C1097)*100</f>
        <v/>
      </c>
      <c r="AU1097" s="82">
        <f>($H1097-$F1097)*100</f>
        <v/>
      </c>
      <c r="AV1097" s="82">
        <f>($J1097-$F1097)*100</f>
        <v/>
      </c>
      <c r="AW1097" s="82">
        <f>($L1097-$F1097)*100</f>
        <v/>
      </c>
      <c r="AX1097" s="82">
        <f>($J1097-$H1097)*100</f>
        <v/>
      </c>
      <c r="AY1097" s="82">
        <f>($L1097-$H1097)*100</f>
        <v/>
      </c>
      <c r="AZ1097" s="82">
        <f>($L1097-$J1097)*100</f>
        <v/>
      </c>
      <c r="BA1097" s="82">
        <f>(2*$H1097-$F1097-$J1097)*100</f>
        <v/>
      </c>
      <c r="BB1097" s="82">
        <f>(2*$J1097-$H1097-$L1097)*100</f>
        <v/>
      </c>
      <c r="BC1097" s="82">
        <f>($N1097-$F1097)*100</f>
        <v/>
      </c>
      <c r="BD1097" s="82">
        <f>($Q1097-$H1097)*100</f>
        <v/>
      </c>
      <c r="BE1097" s="82">
        <f>($S1097-$J1097)*100</f>
        <v/>
      </c>
      <c r="BF1097" s="82">
        <f>($V1097-$L1097)*100</f>
        <v/>
      </c>
      <c r="BG1097" s="82">
        <f>$AG1097-$AF1097</f>
        <v/>
      </c>
      <c r="BH1097" s="81">
        <f>IFERROR($AG1097/$AF1097,"")</f>
        <v/>
      </c>
      <c r="BI1097" s="82">
        <f>$AJ1097-$AF1097</f>
        <v/>
      </c>
      <c r="BJ1097" s="81">
        <f>IFERROR($AJ1097/$AG1097,"")</f>
        <v/>
      </c>
      <c r="BK1097" s="81">
        <f>$X1097</f>
        <v/>
      </c>
      <c r="BL1097" s="82">
        <f>($J1097-$J1098)*100</f>
        <v/>
      </c>
      <c r="BM1097" s="82">
        <f>($F1097-$F1098)*100</f>
        <v/>
      </c>
      <c r="BN1097" s="82">
        <f>$AF1097-$AF1098</f>
        <v/>
      </c>
      <c r="BO1097" s="82">
        <f>$AG1097-$AG1098</f>
        <v/>
      </c>
      <c r="BP1097" s="82">
        <f>$AJ1097-$AJ1098</f>
        <v/>
      </c>
    </row>
    <row r="1098">
      <c r="AR1098" s="81">
        <f>($G1098+($H1098-$G1098)*0.5)+($P1098-($O1098+($Q1098-$O1098)*0.5))</f>
        <v/>
      </c>
      <c r="AS1098" s="81">
        <f>($J1098+($K1098-$J1098)*0.5)+($T1098-($S1098+($U1098-$S1098)*0.5))</f>
        <v/>
      </c>
      <c r="AT1098" s="82">
        <f>($J1098-$C1098)*100</f>
        <v/>
      </c>
      <c r="AU1098" s="82">
        <f>($H1098-$F1098)*100</f>
        <v/>
      </c>
      <c r="AV1098" s="82">
        <f>($J1098-$F1098)*100</f>
        <v/>
      </c>
      <c r="AW1098" s="82">
        <f>($L1098-$F1098)*100</f>
        <v/>
      </c>
      <c r="AX1098" s="82">
        <f>($J1098-$H1098)*100</f>
        <v/>
      </c>
      <c r="AY1098" s="82">
        <f>($L1098-$H1098)*100</f>
        <v/>
      </c>
      <c r="AZ1098" s="82">
        <f>($L1098-$J1098)*100</f>
        <v/>
      </c>
      <c r="BA1098" s="82">
        <f>(2*$H1098-$F1098-$J1098)*100</f>
        <v/>
      </c>
      <c r="BB1098" s="82">
        <f>(2*$J1098-$H1098-$L1098)*100</f>
        <v/>
      </c>
      <c r="BC1098" s="82">
        <f>($N1098-$F1098)*100</f>
        <v/>
      </c>
      <c r="BD1098" s="82">
        <f>($Q1098-$H1098)*100</f>
        <v/>
      </c>
      <c r="BE1098" s="82">
        <f>($S1098-$J1098)*100</f>
        <v/>
      </c>
      <c r="BF1098" s="82">
        <f>($V1098-$L1098)*100</f>
        <v/>
      </c>
      <c r="BG1098" s="82">
        <f>$AG1098-$AF1098</f>
        <v/>
      </c>
      <c r="BH1098" s="81">
        <f>IFERROR($AG1098/$AF1098,"")</f>
        <v/>
      </c>
      <c r="BI1098" s="82">
        <f>$AJ1098-$AF1098</f>
        <v/>
      </c>
      <c r="BJ1098" s="81">
        <f>IFERROR($AJ1098/$AG1098,"")</f>
        <v/>
      </c>
      <c r="BK1098" s="81">
        <f>$X1098</f>
        <v/>
      </c>
      <c r="BL1098" s="82">
        <f>($J1098-$J1099)*100</f>
        <v/>
      </c>
      <c r="BM1098" s="82">
        <f>($F1098-$F1099)*100</f>
        <v/>
      </c>
      <c r="BN1098" s="82">
        <f>$AF1098-$AF1099</f>
        <v/>
      </c>
      <c r="BO1098" s="82">
        <f>$AG1098-$AG1099</f>
        <v/>
      </c>
      <c r="BP1098" s="82">
        <f>$AJ1098-$AJ1099</f>
        <v/>
      </c>
    </row>
    <row r="1099">
      <c r="AR1099" s="81">
        <f>($G1099+($H1099-$G1099)*0.5)+($P1099-($O1099+($Q1099-$O1099)*0.5))</f>
        <v/>
      </c>
      <c r="AS1099" s="81">
        <f>($J1099+($K1099-$J1099)*0.5)+($T1099-($S1099+($U1099-$S1099)*0.5))</f>
        <v/>
      </c>
      <c r="AT1099" s="82">
        <f>($J1099-$C1099)*100</f>
        <v/>
      </c>
      <c r="AU1099" s="82">
        <f>($H1099-$F1099)*100</f>
        <v/>
      </c>
      <c r="AV1099" s="82">
        <f>($J1099-$F1099)*100</f>
        <v/>
      </c>
      <c r="AW1099" s="82">
        <f>($L1099-$F1099)*100</f>
        <v/>
      </c>
      <c r="AX1099" s="82">
        <f>($J1099-$H1099)*100</f>
        <v/>
      </c>
      <c r="AY1099" s="82">
        <f>($L1099-$H1099)*100</f>
        <v/>
      </c>
      <c r="AZ1099" s="82">
        <f>($L1099-$J1099)*100</f>
        <v/>
      </c>
      <c r="BA1099" s="82">
        <f>(2*$H1099-$F1099-$J1099)*100</f>
        <v/>
      </c>
      <c r="BB1099" s="82">
        <f>(2*$J1099-$H1099-$L1099)*100</f>
        <v/>
      </c>
      <c r="BC1099" s="82">
        <f>($N1099-$F1099)*100</f>
        <v/>
      </c>
      <c r="BD1099" s="82">
        <f>($Q1099-$H1099)*100</f>
        <v/>
      </c>
      <c r="BE1099" s="82">
        <f>($S1099-$J1099)*100</f>
        <v/>
      </c>
      <c r="BF1099" s="82">
        <f>($V1099-$L1099)*100</f>
        <v/>
      </c>
      <c r="BG1099" s="82">
        <f>$AG1099-$AF1099</f>
        <v/>
      </c>
      <c r="BH1099" s="81">
        <f>IFERROR($AG1099/$AF1099,"")</f>
        <v/>
      </c>
      <c r="BI1099" s="82">
        <f>$AJ1099-$AF1099</f>
        <v/>
      </c>
      <c r="BJ1099" s="81">
        <f>IFERROR($AJ1099/$AG1099,"")</f>
        <v/>
      </c>
      <c r="BK1099" s="81">
        <f>$X1099</f>
        <v/>
      </c>
      <c r="BL1099" s="82">
        <f>($J1099-$J1100)*100</f>
        <v/>
      </c>
      <c r="BM1099" s="82">
        <f>($F1099-$F1100)*100</f>
        <v/>
      </c>
      <c r="BN1099" s="82">
        <f>$AF1099-$AF1100</f>
        <v/>
      </c>
      <c r="BO1099" s="82">
        <f>$AG1099-$AG1100</f>
        <v/>
      </c>
      <c r="BP1099" s="82">
        <f>$AJ1099-$AJ1100</f>
        <v/>
      </c>
    </row>
    <row r="1100">
      <c r="AR1100" s="81">
        <f>($G1100+($H1100-$G1100)*0.5)+($P1100-($O1100+($Q1100-$O1100)*0.5))</f>
        <v/>
      </c>
      <c r="AS1100" s="81">
        <f>($J1100+($K1100-$J1100)*0.5)+($T1100-($S1100+($U1100-$S1100)*0.5))</f>
        <v/>
      </c>
      <c r="AT1100" s="82">
        <f>($J1100-$C1100)*100</f>
        <v/>
      </c>
      <c r="AU1100" s="82">
        <f>($H1100-$F1100)*100</f>
        <v/>
      </c>
      <c r="AV1100" s="82">
        <f>($J1100-$F1100)*100</f>
        <v/>
      </c>
      <c r="AW1100" s="82">
        <f>($L1100-$F1100)*100</f>
        <v/>
      </c>
      <c r="AX1100" s="82">
        <f>($J1100-$H1100)*100</f>
        <v/>
      </c>
      <c r="AY1100" s="82">
        <f>($L1100-$H1100)*100</f>
        <v/>
      </c>
      <c r="AZ1100" s="82">
        <f>($L1100-$J1100)*100</f>
        <v/>
      </c>
      <c r="BA1100" s="82">
        <f>(2*$H1100-$F1100-$J1100)*100</f>
        <v/>
      </c>
      <c r="BB1100" s="82">
        <f>(2*$J1100-$H1100-$L1100)*100</f>
        <v/>
      </c>
      <c r="BC1100" s="82">
        <f>($N1100-$F1100)*100</f>
        <v/>
      </c>
      <c r="BD1100" s="82">
        <f>($Q1100-$H1100)*100</f>
        <v/>
      </c>
      <c r="BE1100" s="82">
        <f>($S1100-$J1100)*100</f>
        <v/>
      </c>
      <c r="BF1100" s="82">
        <f>($V1100-$L1100)*100</f>
        <v/>
      </c>
      <c r="BG1100" s="82">
        <f>$AG1100-$AF1100</f>
        <v/>
      </c>
      <c r="BH1100" s="81">
        <f>IFERROR($AG1100/$AF1100,"")</f>
        <v/>
      </c>
      <c r="BI1100" s="82">
        <f>$AJ1100-$AF1100</f>
        <v/>
      </c>
      <c r="BJ1100" s="81">
        <f>IFERROR($AJ1100/$AG1100,"")</f>
        <v/>
      </c>
      <c r="BK1100" s="81">
        <f>$X1100</f>
        <v/>
      </c>
      <c r="BL1100" s="82">
        <f>($J1100-$J1101)*100</f>
        <v/>
      </c>
      <c r="BM1100" s="82">
        <f>($F1100-$F1101)*100</f>
        <v/>
      </c>
      <c r="BN1100" s="82">
        <f>$AF1100-$AF1101</f>
        <v/>
      </c>
      <c r="BO1100" s="82">
        <f>$AG1100-$AG1101</f>
        <v/>
      </c>
      <c r="BP1100" s="82">
        <f>$AJ1100-$AJ1101</f>
        <v/>
      </c>
    </row>
    <row r="1101">
      <c r="AR1101" s="81">
        <f>($G1101+($H1101-$G1101)*0.5)+($P1101-($O1101+($Q1101-$O1101)*0.5))</f>
        <v/>
      </c>
      <c r="AS1101" s="81">
        <f>($J1101+($K1101-$J1101)*0.5)+($T1101-($S1101+($U1101-$S1101)*0.5))</f>
        <v/>
      </c>
      <c r="AT1101" s="82">
        <f>($J1101-$C1101)*100</f>
        <v/>
      </c>
      <c r="AU1101" s="82">
        <f>($H1101-$F1101)*100</f>
        <v/>
      </c>
      <c r="AV1101" s="82">
        <f>($J1101-$F1101)*100</f>
        <v/>
      </c>
      <c r="AW1101" s="82">
        <f>($L1101-$F1101)*100</f>
        <v/>
      </c>
      <c r="AX1101" s="82">
        <f>($J1101-$H1101)*100</f>
        <v/>
      </c>
      <c r="AY1101" s="82">
        <f>($L1101-$H1101)*100</f>
        <v/>
      </c>
      <c r="AZ1101" s="82">
        <f>($L1101-$J1101)*100</f>
        <v/>
      </c>
      <c r="BA1101" s="82">
        <f>(2*$H1101-$F1101-$J1101)*100</f>
        <v/>
      </c>
      <c r="BB1101" s="82">
        <f>(2*$J1101-$H1101-$L1101)*100</f>
        <v/>
      </c>
      <c r="BC1101" s="82">
        <f>($N1101-$F1101)*100</f>
        <v/>
      </c>
      <c r="BD1101" s="82">
        <f>($Q1101-$H1101)*100</f>
        <v/>
      </c>
      <c r="BE1101" s="82">
        <f>($S1101-$J1101)*100</f>
        <v/>
      </c>
      <c r="BF1101" s="82">
        <f>($V1101-$L1101)*100</f>
        <v/>
      </c>
      <c r="BG1101" s="82">
        <f>$AG1101-$AF1101</f>
        <v/>
      </c>
      <c r="BH1101" s="81">
        <f>IFERROR($AG1101/$AF1101,"")</f>
        <v/>
      </c>
      <c r="BI1101" s="82">
        <f>$AJ1101-$AF1101</f>
        <v/>
      </c>
      <c r="BJ1101" s="81">
        <f>IFERROR($AJ1101/$AG1101,"")</f>
        <v/>
      </c>
      <c r="BK1101" s="81">
        <f>$X1101</f>
        <v/>
      </c>
      <c r="BL1101" s="82">
        <f>($J1101-$J1102)*100</f>
        <v/>
      </c>
      <c r="BM1101" s="82">
        <f>($F1101-$F1102)*100</f>
        <v/>
      </c>
      <c r="BN1101" s="82">
        <f>$AF1101-$AF1102</f>
        <v/>
      </c>
      <c r="BO1101" s="82">
        <f>$AG1101-$AG1102</f>
        <v/>
      </c>
      <c r="BP1101" s="82">
        <f>$AJ1101-$AJ1102</f>
        <v/>
      </c>
    </row>
    <row r="1102">
      <c r="AR1102" s="81">
        <f>($G1102+($H1102-$G1102)*0.5)+($P1102-($O1102+($Q1102-$O1102)*0.5))</f>
        <v/>
      </c>
      <c r="AS1102" s="81">
        <f>($J1102+($K1102-$J1102)*0.5)+($T1102-($S1102+($U1102-$S1102)*0.5))</f>
        <v/>
      </c>
      <c r="AT1102" s="82">
        <f>($J1102-$C1102)*100</f>
        <v/>
      </c>
      <c r="AU1102" s="82">
        <f>($H1102-$F1102)*100</f>
        <v/>
      </c>
      <c r="AV1102" s="82">
        <f>($J1102-$F1102)*100</f>
        <v/>
      </c>
      <c r="AW1102" s="82">
        <f>($L1102-$F1102)*100</f>
        <v/>
      </c>
      <c r="AX1102" s="82">
        <f>($J1102-$H1102)*100</f>
        <v/>
      </c>
      <c r="AY1102" s="82">
        <f>($L1102-$H1102)*100</f>
        <v/>
      </c>
      <c r="AZ1102" s="82">
        <f>($L1102-$J1102)*100</f>
        <v/>
      </c>
      <c r="BA1102" s="82">
        <f>(2*$H1102-$F1102-$J1102)*100</f>
        <v/>
      </c>
      <c r="BB1102" s="82">
        <f>(2*$J1102-$H1102-$L1102)*100</f>
        <v/>
      </c>
      <c r="BC1102" s="82">
        <f>($N1102-$F1102)*100</f>
        <v/>
      </c>
      <c r="BD1102" s="82">
        <f>($Q1102-$H1102)*100</f>
        <v/>
      </c>
      <c r="BE1102" s="82">
        <f>($S1102-$J1102)*100</f>
        <v/>
      </c>
      <c r="BF1102" s="82">
        <f>($V1102-$L1102)*100</f>
        <v/>
      </c>
      <c r="BG1102" s="82">
        <f>$AG1102-$AF1102</f>
        <v/>
      </c>
      <c r="BH1102" s="81">
        <f>IFERROR($AG1102/$AF1102,"")</f>
        <v/>
      </c>
      <c r="BI1102" s="82">
        <f>$AJ1102-$AF1102</f>
        <v/>
      </c>
      <c r="BJ1102" s="81">
        <f>IFERROR($AJ1102/$AG1102,"")</f>
        <v/>
      </c>
      <c r="BK1102" s="81">
        <f>$X1102</f>
        <v/>
      </c>
      <c r="BL1102" s="82">
        <f>($J1102-$J1103)*100</f>
        <v/>
      </c>
      <c r="BM1102" s="82">
        <f>($F1102-$F1103)*100</f>
        <v/>
      </c>
      <c r="BN1102" s="82">
        <f>$AF1102-$AF1103</f>
        <v/>
      </c>
      <c r="BO1102" s="82">
        <f>$AG1102-$AG1103</f>
        <v/>
      </c>
      <c r="BP1102" s="82">
        <f>$AJ1102-$AJ1103</f>
        <v/>
      </c>
    </row>
    <row r="1103">
      <c r="AR1103" s="81">
        <f>($G1103+($H1103-$G1103)*0.5)+($P1103-($O1103+($Q1103-$O1103)*0.5))</f>
        <v/>
      </c>
      <c r="AS1103" s="81">
        <f>($J1103+($K1103-$J1103)*0.5)+($T1103-($S1103+($U1103-$S1103)*0.5))</f>
        <v/>
      </c>
      <c r="AT1103" s="82">
        <f>($J1103-$C1103)*100</f>
        <v/>
      </c>
      <c r="AU1103" s="82">
        <f>($H1103-$F1103)*100</f>
        <v/>
      </c>
      <c r="AV1103" s="82">
        <f>($J1103-$F1103)*100</f>
        <v/>
      </c>
      <c r="AW1103" s="82">
        <f>($L1103-$F1103)*100</f>
        <v/>
      </c>
      <c r="AX1103" s="82">
        <f>($J1103-$H1103)*100</f>
        <v/>
      </c>
      <c r="AY1103" s="82">
        <f>($L1103-$H1103)*100</f>
        <v/>
      </c>
      <c r="AZ1103" s="82">
        <f>($L1103-$J1103)*100</f>
        <v/>
      </c>
      <c r="BA1103" s="82">
        <f>(2*$H1103-$F1103-$J1103)*100</f>
        <v/>
      </c>
      <c r="BB1103" s="82">
        <f>(2*$J1103-$H1103-$L1103)*100</f>
        <v/>
      </c>
      <c r="BC1103" s="82">
        <f>($N1103-$F1103)*100</f>
        <v/>
      </c>
      <c r="BD1103" s="82">
        <f>($Q1103-$H1103)*100</f>
        <v/>
      </c>
      <c r="BE1103" s="82">
        <f>($S1103-$J1103)*100</f>
        <v/>
      </c>
      <c r="BF1103" s="82">
        <f>($V1103-$L1103)*100</f>
        <v/>
      </c>
      <c r="BG1103" s="82">
        <f>$AG1103-$AF1103</f>
        <v/>
      </c>
      <c r="BH1103" s="81">
        <f>IFERROR($AG1103/$AF1103,"")</f>
        <v/>
      </c>
      <c r="BI1103" s="82">
        <f>$AJ1103-$AF1103</f>
        <v/>
      </c>
      <c r="BJ1103" s="81">
        <f>IFERROR($AJ1103/$AG1103,"")</f>
        <v/>
      </c>
      <c r="BK1103" s="81">
        <f>$X1103</f>
        <v/>
      </c>
      <c r="BL1103" s="82">
        <f>($J1103-$J1104)*100</f>
        <v/>
      </c>
      <c r="BM1103" s="82">
        <f>($F1103-$F1104)*100</f>
        <v/>
      </c>
      <c r="BN1103" s="82">
        <f>$AF1103-$AF1104</f>
        <v/>
      </c>
      <c r="BO1103" s="82">
        <f>$AG1103-$AG1104</f>
        <v/>
      </c>
      <c r="BP1103" s="82">
        <f>$AJ1103-$AJ1104</f>
        <v/>
      </c>
    </row>
    <row r="1104">
      <c r="AR1104" s="81">
        <f>($G1104+($H1104-$G1104)*0.5)+($P1104-($O1104+($Q1104-$O1104)*0.5))</f>
        <v/>
      </c>
      <c r="AS1104" s="81">
        <f>($J1104+($K1104-$J1104)*0.5)+($T1104-($S1104+($U1104-$S1104)*0.5))</f>
        <v/>
      </c>
      <c r="AT1104" s="82">
        <f>($J1104-$C1104)*100</f>
        <v/>
      </c>
      <c r="AU1104" s="82">
        <f>($H1104-$F1104)*100</f>
        <v/>
      </c>
      <c r="AV1104" s="82">
        <f>($J1104-$F1104)*100</f>
        <v/>
      </c>
      <c r="AW1104" s="82">
        <f>($L1104-$F1104)*100</f>
        <v/>
      </c>
      <c r="AX1104" s="82">
        <f>($J1104-$H1104)*100</f>
        <v/>
      </c>
      <c r="AY1104" s="82">
        <f>($L1104-$H1104)*100</f>
        <v/>
      </c>
      <c r="AZ1104" s="82">
        <f>($L1104-$J1104)*100</f>
        <v/>
      </c>
      <c r="BA1104" s="82">
        <f>(2*$H1104-$F1104-$J1104)*100</f>
        <v/>
      </c>
      <c r="BB1104" s="82">
        <f>(2*$J1104-$H1104-$L1104)*100</f>
        <v/>
      </c>
      <c r="BC1104" s="82">
        <f>($N1104-$F1104)*100</f>
        <v/>
      </c>
      <c r="BD1104" s="82">
        <f>($Q1104-$H1104)*100</f>
        <v/>
      </c>
      <c r="BE1104" s="82">
        <f>($S1104-$J1104)*100</f>
        <v/>
      </c>
      <c r="BF1104" s="82">
        <f>($V1104-$L1104)*100</f>
        <v/>
      </c>
      <c r="BG1104" s="82">
        <f>$AG1104-$AF1104</f>
        <v/>
      </c>
      <c r="BH1104" s="81">
        <f>IFERROR($AG1104/$AF1104,"")</f>
        <v/>
      </c>
      <c r="BI1104" s="82">
        <f>$AJ1104-$AF1104</f>
        <v/>
      </c>
      <c r="BJ1104" s="81">
        <f>IFERROR($AJ1104/$AG1104,"")</f>
        <v/>
      </c>
      <c r="BK1104" s="81">
        <f>$X1104</f>
        <v/>
      </c>
      <c r="BL1104" s="82">
        <f>($J1104-$J1105)*100</f>
        <v/>
      </c>
      <c r="BM1104" s="82">
        <f>($F1104-$F1105)*100</f>
        <v/>
      </c>
      <c r="BN1104" s="82">
        <f>$AF1104-$AF1105</f>
        <v/>
      </c>
      <c r="BO1104" s="82">
        <f>$AG1104-$AG1105</f>
        <v/>
      </c>
      <c r="BP1104" s="82">
        <f>$AJ1104-$AJ1105</f>
        <v/>
      </c>
    </row>
    <row r="1105">
      <c r="AR1105" s="81">
        <f>($G1105+($H1105-$G1105)*0.5)+($P1105-($O1105+($Q1105-$O1105)*0.5))</f>
        <v/>
      </c>
      <c r="AS1105" s="81">
        <f>($J1105+($K1105-$J1105)*0.5)+($T1105-($S1105+($U1105-$S1105)*0.5))</f>
        <v/>
      </c>
      <c r="AT1105" s="82">
        <f>($J1105-$C1105)*100</f>
        <v/>
      </c>
      <c r="AU1105" s="82">
        <f>($H1105-$F1105)*100</f>
        <v/>
      </c>
      <c r="AV1105" s="82">
        <f>($J1105-$F1105)*100</f>
        <v/>
      </c>
      <c r="AW1105" s="82">
        <f>($L1105-$F1105)*100</f>
        <v/>
      </c>
      <c r="AX1105" s="82">
        <f>($J1105-$H1105)*100</f>
        <v/>
      </c>
      <c r="AY1105" s="82">
        <f>($L1105-$H1105)*100</f>
        <v/>
      </c>
      <c r="AZ1105" s="82">
        <f>($L1105-$J1105)*100</f>
        <v/>
      </c>
      <c r="BA1105" s="82">
        <f>(2*$H1105-$F1105-$J1105)*100</f>
        <v/>
      </c>
      <c r="BB1105" s="82">
        <f>(2*$J1105-$H1105-$L1105)*100</f>
        <v/>
      </c>
      <c r="BC1105" s="82">
        <f>($N1105-$F1105)*100</f>
        <v/>
      </c>
      <c r="BD1105" s="82">
        <f>($Q1105-$H1105)*100</f>
        <v/>
      </c>
      <c r="BE1105" s="82">
        <f>($S1105-$J1105)*100</f>
        <v/>
      </c>
      <c r="BF1105" s="82">
        <f>($V1105-$L1105)*100</f>
        <v/>
      </c>
      <c r="BG1105" s="82">
        <f>$AG1105-$AF1105</f>
        <v/>
      </c>
      <c r="BH1105" s="81">
        <f>IFERROR($AG1105/$AF1105,"")</f>
        <v/>
      </c>
      <c r="BI1105" s="82">
        <f>$AJ1105-$AF1105</f>
        <v/>
      </c>
      <c r="BJ1105" s="81">
        <f>IFERROR($AJ1105/$AG1105,"")</f>
        <v/>
      </c>
      <c r="BK1105" s="81">
        <f>$X1105</f>
        <v/>
      </c>
      <c r="BL1105" s="82">
        <f>($J1105-$J1106)*100</f>
        <v/>
      </c>
      <c r="BM1105" s="82">
        <f>($F1105-$F1106)*100</f>
        <v/>
      </c>
      <c r="BN1105" s="82">
        <f>$AF1105-$AF1106</f>
        <v/>
      </c>
      <c r="BO1105" s="82">
        <f>$AG1105-$AG1106</f>
        <v/>
      </c>
      <c r="BP1105" s="82">
        <f>$AJ1105-$AJ1106</f>
        <v/>
      </c>
    </row>
    <row r="1106">
      <c r="AR1106" s="81">
        <f>($G1106+($H1106-$G1106)*0.5)+($P1106-($O1106+($Q1106-$O1106)*0.5))</f>
        <v/>
      </c>
      <c r="AS1106" s="81">
        <f>($J1106+($K1106-$J1106)*0.5)+($T1106-($S1106+($U1106-$S1106)*0.5))</f>
        <v/>
      </c>
      <c r="AT1106" s="82">
        <f>($J1106-$C1106)*100</f>
        <v/>
      </c>
      <c r="AU1106" s="82">
        <f>($H1106-$F1106)*100</f>
        <v/>
      </c>
      <c r="AV1106" s="82">
        <f>($J1106-$F1106)*100</f>
        <v/>
      </c>
      <c r="AW1106" s="82">
        <f>($L1106-$F1106)*100</f>
        <v/>
      </c>
      <c r="AX1106" s="82">
        <f>($J1106-$H1106)*100</f>
        <v/>
      </c>
      <c r="AY1106" s="82">
        <f>($L1106-$H1106)*100</f>
        <v/>
      </c>
      <c r="AZ1106" s="82">
        <f>($L1106-$J1106)*100</f>
        <v/>
      </c>
      <c r="BA1106" s="82">
        <f>(2*$H1106-$F1106-$J1106)*100</f>
        <v/>
      </c>
      <c r="BB1106" s="82">
        <f>(2*$J1106-$H1106-$L1106)*100</f>
        <v/>
      </c>
      <c r="BC1106" s="82">
        <f>($N1106-$F1106)*100</f>
        <v/>
      </c>
      <c r="BD1106" s="82">
        <f>($Q1106-$H1106)*100</f>
        <v/>
      </c>
      <c r="BE1106" s="82">
        <f>($S1106-$J1106)*100</f>
        <v/>
      </c>
      <c r="BF1106" s="82">
        <f>($V1106-$L1106)*100</f>
        <v/>
      </c>
      <c r="BG1106" s="82">
        <f>$AG1106-$AF1106</f>
        <v/>
      </c>
      <c r="BH1106" s="81">
        <f>IFERROR($AG1106/$AF1106,"")</f>
        <v/>
      </c>
      <c r="BI1106" s="82">
        <f>$AJ1106-$AF1106</f>
        <v/>
      </c>
      <c r="BJ1106" s="81">
        <f>IFERROR($AJ1106/$AG1106,"")</f>
        <v/>
      </c>
      <c r="BK1106" s="81">
        <f>$X1106</f>
        <v/>
      </c>
      <c r="BL1106" s="82">
        <f>($J1106-$J1107)*100</f>
        <v/>
      </c>
      <c r="BM1106" s="82">
        <f>($F1106-$F1107)*100</f>
        <v/>
      </c>
      <c r="BN1106" s="82">
        <f>$AF1106-$AF1107</f>
        <v/>
      </c>
      <c r="BO1106" s="82">
        <f>$AG1106-$AG1107</f>
        <v/>
      </c>
      <c r="BP1106" s="82">
        <f>$AJ1106-$AJ1107</f>
        <v/>
      </c>
    </row>
    <row r="1107">
      <c r="AR1107" s="81">
        <f>($G1107+($H1107-$G1107)*0.5)+($P1107-($O1107+($Q1107-$O1107)*0.5))</f>
        <v/>
      </c>
      <c r="AS1107" s="81">
        <f>($J1107+($K1107-$J1107)*0.5)+($T1107-($S1107+($U1107-$S1107)*0.5))</f>
        <v/>
      </c>
      <c r="AT1107" s="82">
        <f>($J1107-$C1107)*100</f>
        <v/>
      </c>
      <c r="AU1107" s="82">
        <f>($H1107-$F1107)*100</f>
        <v/>
      </c>
      <c r="AV1107" s="82">
        <f>($J1107-$F1107)*100</f>
        <v/>
      </c>
      <c r="AW1107" s="82">
        <f>($L1107-$F1107)*100</f>
        <v/>
      </c>
      <c r="AX1107" s="82">
        <f>($J1107-$H1107)*100</f>
        <v/>
      </c>
      <c r="AY1107" s="82">
        <f>($L1107-$H1107)*100</f>
        <v/>
      </c>
      <c r="AZ1107" s="82">
        <f>($L1107-$J1107)*100</f>
        <v/>
      </c>
      <c r="BA1107" s="82">
        <f>(2*$H1107-$F1107-$J1107)*100</f>
        <v/>
      </c>
      <c r="BB1107" s="82">
        <f>(2*$J1107-$H1107-$L1107)*100</f>
        <v/>
      </c>
      <c r="BC1107" s="82">
        <f>($N1107-$F1107)*100</f>
        <v/>
      </c>
      <c r="BD1107" s="82">
        <f>($Q1107-$H1107)*100</f>
        <v/>
      </c>
      <c r="BE1107" s="82">
        <f>($S1107-$J1107)*100</f>
        <v/>
      </c>
      <c r="BF1107" s="82">
        <f>($V1107-$L1107)*100</f>
        <v/>
      </c>
      <c r="BG1107" s="82">
        <f>$AG1107-$AF1107</f>
        <v/>
      </c>
      <c r="BH1107" s="81">
        <f>IFERROR($AG1107/$AF1107,"")</f>
        <v/>
      </c>
      <c r="BI1107" s="82">
        <f>$AJ1107-$AF1107</f>
        <v/>
      </c>
      <c r="BJ1107" s="81">
        <f>IFERROR($AJ1107/$AG1107,"")</f>
        <v/>
      </c>
      <c r="BK1107" s="81">
        <f>$X1107</f>
        <v/>
      </c>
      <c r="BL1107" s="82">
        <f>($J1107-$J1108)*100</f>
        <v/>
      </c>
      <c r="BM1107" s="82">
        <f>($F1107-$F1108)*100</f>
        <v/>
      </c>
      <c r="BN1107" s="82">
        <f>$AF1107-$AF1108</f>
        <v/>
      </c>
      <c r="BO1107" s="82">
        <f>$AG1107-$AG1108</f>
        <v/>
      </c>
      <c r="BP1107" s="82">
        <f>$AJ1107-$AJ1108</f>
        <v/>
      </c>
    </row>
    <row r="1108">
      <c r="AR1108" s="81">
        <f>($G1108+($H1108-$G1108)*0.5)+($P1108-($O1108+($Q1108-$O1108)*0.5))</f>
        <v/>
      </c>
      <c r="AS1108" s="81">
        <f>($J1108+($K1108-$J1108)*0.5)+($T1108-($S1108+($U1108-$S1108)*0.5))</f>
        <v/>
      </c>
      <c r="AT1108" s="82">
        <f>($J1108-$C1108)*100</f>
        <v/>
      </c>
      <c r="AU1108" s="82">
        <f>($H1108-$F1108)*100</f>
        <v/>
      </c>
      <c r="AV1108" s="82">
        <f>($J1108-$F1108)*100</f>
        <v/>
      </c>
      <c r="AW1108" s="82">
        <f>($L1108-$F1108)*100</f>
        <v/>
      </c>
      <c r="AX1108" s="82">
        <f>($J1108-$H1108)*100</f>
        <v/>
      </c>
      <c r="AY1108" s="82">
        <f>($L1108-$H1108)*100</f>
        <v/>
      </c>
      <c r="AZ1108" s="82">
        <f>($L1108-$J1108)*100</f>
        <v/>
      </c>
      <c r="BA1108" s="82">
        <f>(2*$H1108-$F1108-$J1108)*100</f>
        <v/>
      </c>
      <c r="BB1108" s="82">
        <f>(2*$J1108-$H1108-$L1108)*100</f>
        <v/>
      </c>
      <c r="BC1108" s="82">
        <f>($N1108-$F1108)*100</f>
        <v/>
      </c>
      <c r="BD1108" s="82">
        <f>($Q1108-$H1108)*100</f>
        <v/>
      </c>
      <c r="BE1108" s="82">
        <f>($S1108-$J1108)*100</f>
        <v/>
      </c>
      <c r="BF1108" s="82">
        <f>($V1108-$L1108)*100</f>
        <v/>
      </c>
      <c r="BG1108" s="82">
        <f>$AG1108-$AF1108</f>
        <v/>
      </c>
      <c r="BH1108" s="81">
        <f>IFERROR($AG1108/$AF1108,"")</f>
        <v/>
      </c>
      <c r="BI1108" s="82">
        <f>$AJ1108-$AF1108</f>
        <v/>
      </c>
      <c r="BJ1108" s="81">
        <f>IFERROR($AJ1108/$AG1108,"")</f>
        <v/>
      </c>
      <c r="BK1108" s="81">
        <f>$X1108</f>
        <v/>
      </c>
      <c r="BL1108" s="82">
        <f>($J1108-$J1109)*100</f>
        <v/>
      </c>
      <c r="BM1108" s="82">
        <f>($F1108-$F1109)*100</f>
        <v/>
      </c>
      <c r="BN1108" s="82">
        <f>$AF1108-$AF1109</f>
        <v/>
      </c>
      <c r="BO1108" s="82">
        <f>$AG1108-$AG1109</f>
        <v/>
      </c>
      <c r="BP1108" s="82">
        <f>$AJ1108-$AJ1109</f>
        <v/>
      </c>
    </row>
    <row r="1109">
      <c r="AR1109" s="81">
        <f>($G1109+($H1109-$G1109)*0.5)+($P1109-($O1109+($Q1109-$O1109)*0.5))</f>
        <v/>
      </c>
      <c r="AS1109" s="81">
        <f>($J1109+($K1109-$J1109)*0.5)+($T1109-($S1109+($U1109-$S1109)*0.5))</f>
        <v/>
      </c>
      <c r="AT1109" s="82">
        <f>($J1109-$C1109)*100</f>
        <v/>
      </c>
      <c r="AU1109" s="82">
        <f>($H1109-$F1109)*100</f>
        <v/>
      </c>
      <c r="AV1109" s="82">
        <f>($J1109-$F1109)*100</f>
        <v/>
      </c>
      <c r="AW1109" s="82">
        <f>($L1109-$F1109)*100</f>
        <v/>
      </c>
      <c r="AX1109" s="82">
        <f>($J1109-$H1109)*100</f>
        <v/>
      </c>
      <c r="AY1109" s="82">
        <f>($L1109-$H1109)*100</f>
        <v/>
      </c>
      <c r="AZ1109" s="82">
        <f>($L1109-$J1109)*100</f>
        <v/>
      </c>
      <c r="BA1109" s="82">
        <f>(2*$H1109-$F1109-$J1109)*100</f>
        <v/>
      </c>
      <c r="BB1109" s="82">
        <f>(2*$J1109-$H1109-$L1109)*100</f>
        <v/>
      </c>
      <c r="BC1109" s="82">
        <f>($N1109-$F1109)*100</f>
        <v/>
      </c>
      <c r="BD1109" s="82">
        <f>($Q1109-$H1109)*100</f>
        <v/>
      </c>
      <c r="BE1109" s="82">
        <f>($S1109-$J1109)*100</f>
        <v/>
      </c>
      <c r="BF1109" s="82">
        <f>($V1109-$L1109)*100</f>
        <v/>
      </c>
      <c r="BG1109" s="82">
        <f>$AG1109-$AF1109</f>
        <v/>
      </c>
      <c r="BH1109" s="81">
        <f>IFERROR($AG1109/$AF1109,"")</f>
        <v/>
      </c>
      <c r="BI1109" s="82">
        <f>$AJ1109-$AF1109</f>
        <v/>
      </c>
      <c r="BJ1109" s="81">
        <f>IFERROR($AJ1109/$AG1109,"")</f>
        <v/>
      </c>
      <c r="BK1109" s="81">
        <f>$X1109</f>
        <v/>
      </c>
      <c r="BL1109" s="82">
        <f>($J1109-$J1110)*100</f>
        <v/>
      </c>
      <c r="BM1109" s="82">
        <f>($F1109-$F1110)*100</f>
        <v/>
      </c>
      <c r="BN1109" s="82">
        <f>$AF1109-$AF1110</f>
        <v/>
      </c>
      <c r="BO1109" s="82">
        <f>$AG1109-$AG1110</f>
        <v/>
      </c>
      <c r="BP1109" s="82">
        <f>$AJ1109-$AJ1110</f>
        <v/>
      </c>
    </row>
    <row r="1110">
      <c r="AR1110" s="81">
        <f>($G1110+($H1110-$G1110)*0.5)+($P1110-($O1110+($Q1110-$O1110)*0.5))</f>
        <v/>
      </c>
      <c r="AS1110" s="81">
        <f>($J1110+($K1110-$J1110)*0.5)+($T1110-($S1110+($U1110-$S1110)*0.5))</f>
        <v/>
      </c>
      <c r="AT1110" s="82">
        <f>($J1110-$C1110)*100</f>
        <v/>
      </c>
      <c r="AU1110" s="82">
        <f>($H1110-$F1110)*100</f>
        <v/>
      </c>
      <c r="AV1110" s="82">
        <f>($J1110-$F1110)*100</f>
        <v/>
      </c>
      <c r="AW1110" s="82">
        <f>($L1110-$F1110)*100</f>
        <v/>
      </c>
      <c r="AX1110" s="82">
        <f>($J1110-$H1110)*100</f>
        <v/>
      </c>
      <c r="AY1110" s="82">
        <f>($L1110-$H1110)*100</f>
        <v/>
      </c>
      <c r="AZ1110" s="82">
        <f>($L1110-$J1110)*100</f>
        <v/>
      </c>
      <c r="BA1110" s="82">
        <f>(2*$H1110-$F1110-$J1110)*100</f>
        <v/>
      </c>
      <c r="BB1110" s="82">
        <f>(2*$J1110-$H1110-$L1110)*100</f>
        <v/>
      </c>
      <c r="BC1110" s="82">
        <f>($N1110-$F1110)*100</f>
        <v/>
      </c>
      <c r="BD1110" s="82">
        <f>($Q1110-$H1110)*100</f>
        <v/>
      </c>
      <c r="BE1110" s="82">
        <f>($S1110-$J1110)*100</f>
        <v/>
      </c>
      <c r="BF1110" s="82">
        <f>($V1110-$L1110)*100</f>
        <v/>
      </c>
      <c r="BG1110" s="82">
        <f>$AG1110-$AF1110</f>
        <v/>
      </c>
      <c r="BH1110" s="81">
        <f>IFERROR($AG1110/$AF1110,"")</f>
        <v/>
      </c>
      <c r="BI1110" s="82">
        <f>$AJ1110-$AF1110</f>
        <v/>
      </c>
      <c r="BJ1110" s="81">
        <f>IFERROR($AJ1110/$AG1110,"")</f>
        <v/>
      </c>
      <c r="BK1110" s="81">
        <f>$X1110</f>
        <v/>
      </c>
      <c r="BL1110" s="82">
        <f>($J1110-$J1111)*100</f>
        <v/>
      </c>
      <c r="BM1110" s="82">
        <f>($F1110-$F1111)*100</f>
        <v/>
      </c>
      <c r="BN1110" s="82">
        <f>$AF1110-$AF1111</f>
        <v/>
      </c>
      <c r="BO1110" s="82">
        <f>$AG1110-$AG1111</f>
        <v/>
      </c>
      <c r="BP1110" s="82">
        <f>$AJ1110-$AJ1111</f>
        <v/>
      </c>
    </row>
    <row r="1111">
      <c r="AR1111" s="81">
        <f>($G1111+($H1111-$G1111)*0.5)+($P1111-($O1111+($Q1111-$O1111)*0.5))</f>
        <v/>
      </c>
      <c r="AS1111" s="81">
        <f>($J1111+($K1111-$J1111)*0.5)+($T1111-($S1111+($U1111-$S1111)*0.5))</f>
        <v/>
      </c>
      <c r="AT1111" s="82">
        <f>($J1111-$C1111)*100</f>
        <v/>
      </c>
      <c r="AU1111" s="82">
        <f>($H1111-$F1111)*100</f>
        <v/>
      </c>
      <c r="AV1111" s="82">
        <f>($J1111-$F1111)*100</f>
        <v/>
      </c>
      <c r="AW1111" s="82">
        <f>($L1111-$F1111)*100</f>
        <v/>
      </c>
      <c r="AX1111" s="82">
        <f>($J1111-$H1111)*100</f>
        <v/>
      </c>
      <c r="AY1111" s="82">
        <f>($L1111-$H1111)*100</f>
        <v/>
      </c>
      <c r="AZ1111" s="82">
        <f>($L1111-$J1111)*100</f>
        <v/>
      </c>
      <c r="BA1111" s="82">
        <f>(2*$H1111-$F1111-$J1111)*100</f>
        <v/>
      </c>
      <c r="BB1111" s="82">
        <f>(2*$J1111-$H1111-$L1111)*100</f>
        <v/>
      </c>
      <c r="BC1111" s="82">
        <f>($N1111-$F1111)*100</f>
        <v/>
      </c>
      <c r="BD1111" s="82">
        <f>($Q1111-$H1111)*100</f>
        <v/>
      </c>
      <c r="BE1111" s="82">
        <f>($S1111-$J1111)*100</f>
        <v/>
      </c>
      <c r="BF1111" s="82">
        <f>($V1111-$L1111)*100</f>
        <v/>
      </c>
      <c r="BG1111" s="82">
        <f>$AG1111-$AF1111</f>
        <v/>
      </c>
      <c r="BH1111" s="81">
        <f>IFERROR($AG1111/$AF1111,"")</f>
        <v/>
      </c>
      <c r="BI1111" s="82">
        <f>$AJ1111-$AF1111</f>
        <v/>
      </c>
      <c r="BJ1111" s="81">
        <f>IFERROR($AJ1111/$AG1111,"")</f>
        <v/>
      </c>
      <c r="BK1111" s="81">
        <f>$X1111</f>
        <v/>
      </c>
      <c r="BL1111" s="82">
        <f>($J1111-$J1112)*100</f>
        <v/>
      </c>
      <c r="BM1111" s="82">
        <f>($F1111-$F1112)*100</f>
        <v/>
      </c>
      <c r="BN1111" s="82">
        <f>$AF1111-$AF1112</f>
        <v/>
      </c>
      <c r="BO1111" s="82">
        <f>$AG1111-$AG1112</f>
        <v/>
      </c>
      <c r="BP1111" s="82">
        <f>$AJ1111-$AJ1112</f>
        <v/>
      </c>
    </row>
    <row r="1112">
      <c r="AR1112" s="81">
        <f>($G1112+($H1112-$G1112)*0.5)+($P1112-($O1112+($Q1112-$O1112)*0.5))</f>
        <v/>
      </c>
      <c r="AS1112" s="81">
        <f>($J1112+($K1112-$J1112)*0.5)+($T1112-($S1112+($U1112-$S1112)*0.5))</f>
        <v/>
      </c>
      <c r="AT1112" s="82">
        <f>($J1112-$C1112)*100</f>
        <v/>
      </c>
      <c r="AU1112" s="82">
        <f>($H1112-$F1112)*100</f>
        <v/>
      </c>
      <c r="AV1112" s="82">
        <f>($J1112-$F1112)*100</f>
        <v/>
      </c>
      <c r="AW1112" s="82">
        <f>($L1112-$F1112)*100</f>
        <v/>
      </c>
      <c r="AX1112" s="82">
        <f>($J1112-$H1112)*100</f>
        <v/>
      </c>
      <c r="AY1112" s="82">
        <f>($L1112-$H1112)*100</f>
        <v/>
      </c>
      <c r="AZ1112" s="82">
        <f>($L1112-$J1112)*100</f>
        <v/>
      </c>
      <c r="BA1112" s="82">
        <f>(2*$H1112-$F1112-$J1112)*100</f>
        <v/>
      </c>
      <c r="BB1112" s="82">
        <f>(2*$J1112-$H1112-$L1112)*100</f>
        <v/>
      </c>
      <c r="BC1112" s="82">
        <f>($N1112-$F1112)*100</f>
        <v/>
      </c>
      <c r="BD1112" s="82">
        <f>($Q1112-$H1112)*100</f>
        <v/>
      </c>
      <c r="BE1112" s="82">
        <f>($S1112-$J1112)*100</f>
        <v/>
      </c>
      <c r="BF1112" s="82">
        <f>($V1112-$L1112)*100</f>
        <v/>
      </c>
      <c r="BG1112" s="82">
        <f>$AG1112-$AF1112</f>
        <v/>
      </c>
      <c r="BH1112" s="81">
        <f>IFERROR($AG1112/$AF1112,"")</f>
        <v/>
      </c>
      <c r="BI1112" s="82">
        <f>$AJ1112-$AF1112</f>
        <v/>
      </c>
      <c r="BJ1112" s="81">
        <f>IFERROR($AJ1112/$AG1112,"")</f>
        <v/>
      </c>
      <c r="BK1112" s="81">
        <f>$X1112</f>
        <v/>
      </c>
      <c r="BL1112" s="82">
        <f>($J1112-$J1113)*100</f>
        <v/>
      </c>
      <c r="BM1112" s="82">
        <f>($F1112-$F1113)*100</f>
        <v/>
      </c>
      <c r="BN1112" s="82">
        <f>$AF1112-$AF1113</f>
        <v/>
      </c>
      <c r="BO1112" s="82">
        <f>$AG1112-$AG1113</f>
        <v/>
      </c>
      <c r="BP1112" s="82">
        <f>$AJ1112-$AJ1113</f>
        <v/>
      </c>
    </row>
    <row r="1113">
      <c r="AR1113" s="81">
        <f>($G1113+($H1113-$G1113)*0.5)+($P1113-($O1113+($Q1113-$O1113)*0.5))</f>
        <v/>
      </c>
      <c r="AS1113" s="81">
        <f>($J1113+($K1113-$J1113)*0.5)+($T1113-($S1113+($U1113-$S1113)*0.5))</f>
        <v/>
      </c>
      <c r="AT1113" s="82">
        <f>($J1113-$C1113)*100</f>
        <v/>
      </c>
      <c r="AU1113" s="82">
        <f>($H1113-$F1113)*100</f>
        <v/>
      </c>
      <c r="AV1113" s="82">
        <f>($J1113-$F1113)*100</f>
        <v/>
      </c>
      <c r="AW1113" s="82">
        <f>($L1113-$F1113)*100</f>
        <v/>
      </c>
      <c r="AX1113" s="82">
        <f>($J1113-$H1113)*100</f>
        <v/>
      </c>
      <c r="AY1113" s="82">
        <f>($L1113-$H1113)*100</f>
        <v/>
      </c>
      <c r="AZ1113" s="82">
        <f>($L1113-$J1113)*100</f>
        <v/>
      </c>
      <c r="BA1113" s="82">
        <f>(2*$H1113-$F1113-$J1113)*100</f>
        <v/>
      </c>
      <c r="BB1113" s="82">
        <f>(2*$J1113-$H1113-$L1113)*100</f>
        <v/>
      </c>
      <c r="BC1113" s="82">
        <f>($N1113-$F1113)*100</f>
        <v/>
      </c>
      <c r="BD1113" s="82">
        <f>($Q1113-$H1113)*100</f>
        <v/>
      </c>
      <c r="BE1113" s="82">
        <f>($S1113-$J1113)*100</f>
        <v/>
      </c>
      <c r="BF1113" s="82">
        <f>($V1113-$L1113)*100</f>
        <v/>
      </c>
      <c r="BG1113" s="82">
        <f>$AG1113-$AF1113</f>
        <v/>
      </c>
      <c r="BH1113" s="81">
        <f>IFERROR($AG1113/$AF1113,"")</f>
        <v/>
      </c>
      <c r="BI1113" s="82">
        <f>$AJ1113-$AF1113</f>
        <v/>
      </c>
      <c r="BJ1113" s="81">
        <f>IFERROR($AJ1113/$AG1113,"")</f>
        <v/>
      </c>
      <c r="BK1113" s="81">
        <f>$X1113</f>
        <v/>
      </c>
      <c r="BL1113" s="82">
        <f>($J1113-$J1114)*100</f>
        <v/>
      </c>
      <c r="BM1113" s="82">
        <f>($F1113-$F1114)*100</f>
        <v/>
      </c>
      <c r="BN1113" s="82">
        <f>$AF1113-$AF1114</f>
        <v/>
      </c>
      <c r="BO1113" s="82">
        <f>$AG1113-$AG1114</f>
        <v/>
      </c>
      <c r="BP1113" s="82">
        <f>$AJ1113-$AJ1114</f>
        <v/>
      </c>
    </row>
    <row r="1114">
      <c r="AR1114" s="81">
        <f>($G1114+($H1114-$G1114)*0.5)+($P1114-($O1114+($Q1114-$O1114)*0.5))</f>
        <v/>
      </c>
      <c r="AS1114" s="81">
        <f>($J1114+($K1114-$J1114)*0.5)+($T1114-($S1114+($U1114-$S1114)*0.5))</f>
        <v/>
      </c>
      <c r="AT1114" s="82">
        <f>($J1114-$C1114)*100</f>
        <v/>
      </c>
      <c r="AU1114" s="82">
        <f>($H1114-$F1114)*100</f>
        <v/>
      </c>
      <c r="AV1114" s="82">
        <f>($J1114-$F1114)*100</f>
        <v/>
      </c>
      <c r="AW1114" s="82">
        <f>($L1114-$F1114)*100</f>
        <v/>
      </c>
      <c r="AX1114" s="82">
        <f>($J1114-$H1114)*100</f>
        <v/>
      </c>
      <c r="AY1114" s="82">
        <f>($L1114-$H1114)*100</f>
        <v/>
      </c>
      <c r="AZ1114" s="82">
        <f>($L1114-$J1114)*100</f>
        <v/>
      </c>
      <c r="BA1114" s="82">
        <f>(2*$H1114-$F1114-$J1114)*100</f>
        <v/>
      </c>
      <c r="BB1114" s="82">
        <f>(2*$J1114-$H1114-$L1114)*100</f>
        <v/>
      </c>
      <c r="BC1114" s="82">
        <f>($N1114-$F1114)*100</f>
        <v/>
      </c>
      <c r="BD1114" s="82">
        <f>($Q1114-$H1114)*100</f>
        <v/>
      </c>
      <c r="BE1114" s="82">
        <f>($S1114-$J1114)*100</f>
        <v/>
      </c>
      <c r="BF1114" s="82">
        <f>($V1114-$L1114)*100</f>
        <v/>
      </c>
      <c r="BG1114" s="82">
        <f>$AG1114-$AF1114</f>
        <v/>
      </c>
      <c r="BH1114" s="81">
        <f>IFERROR($AG1114/$AF1114,"")</f>
        <v/>
      </c>
      <c r="BI1114" s="82">
        <f>$AJ1114-$AF1114</f>
        <v/>
      </c>
      <c r="BJ1114" s="81">
        <f>IFERROR($AJ1114/$AG1114,"")</f>
        <v/>
      </c>
      <c r="BK1114" s="81">
        <f>$X1114</f>
        <v/>
      </c>
      <c r="BL1114" s="82">
        <f>($J1114-$J1115)*100</f>
        <v/>
      </c>
      <c r="BM1114" s="82">
        <f>($F1114-$F1115)*100</f>
        <v/>
      </c>
      <c r="BN1114" s="82">
        <f>$AF1114-$AF1115</f>
        <v/>
      </c>
      <c r="BO1114" s="82">
        <f>$AG1114-$AG1115</f>
        <v/>
      </c>
      <c r="BP1114" s="82">
        <f>$AJ1114-$AJ1115</f>
        <v/>
      </c>
    </row>
    <row r="1115">
      <c r="AR1115" s="81">
        <f>($G1115+($H1115-$G1115)*0.5)+($P1115-($O1115+($Q1115-$O1115)*0.5))</f>
        <v/>
      </c>
      <c r="AS1115" s="81">
        <f>($J1115+($K1115-$J1115)*0.5)+($T1115-($S1115+($U1115-$S1115)*0.5))</f>
        <v/>
      </c>
      <c r="AT1115" s="82">
        <f>($J1115-$C1115)*100</f>
        <v/>
      </c>
      <c r="AU1115" s="82">
        <f>($H1115-$F1115)*100</f>
        <v/>
      </c>
      <c r="AV1115" s="82">
        <f>($J1115-$F1115)*100</f>
        <v/>
      </c>
      <c r="AW1115" s="82">
        <f>($L1115-$F1115)*100</f>
        <v/>
      </c>
      <c r="AX1115" s="82">
        <f>($J1115-$H1115)*100</f>
        <v/>
      </c>
      <c r="AY1115" s="82">
        <f>($L1115-$H1115)*100</f>
        <v/>
      </c>
      <c r="AZ1115" s="82">
        <f>($L1115-$J1115)*100</f>
        <v/>
      </c>
      <c r="BA1115" s="82">
        <f>(2*$H1115-$F1115-$J1115)*100</f>
        <v/>
      </c>
      <c r="BB1115" s="82">
        <f>(2*$J1115-$H1115-$L1115)*100</f>
        <v/>
      </c>
      <c r="BC1115" s="82">
        <f>($N1115-$F1115)*100</f>
        <v/>
      </c>
      <c r="BD1115" s="82">
        <f>($Q1115-$H1115)*100</f>
        <v/>
      </c>
      <c r="BE1115" s="82">
        <f>($S1115-$J1115)*100</f>
        <v/>
      </c>
      <c r="BF1115" s="82">
        <f>($V1115-$L1115)*100</f>
        <v/>
      </c>
      <c r="BG1115" s="82">
        <f>$AG1115-$AF1115</f>
        <v/>
      </c>
      <c r="BH1115" s="81">
        <f>IFERROR($AG1115/$AF1115,"")</f>
        <v/>
      </c>
      <c r="BI1115" s="82">
        <f>$AJ1115-$AF1115</f>
        <v/>
      </c>
      <c r="BJ1115" s="81">
        <f>IFERROR($AJ1115/$AG1115,"")</f>
        <v/>
      </c>
      <c r="BK1115" s="81">
        <f>$X1115</f>
        <v/>
      </c>
      <c r="BL1115" s="82">
        <f>($J1115-$J1116)*100</f>
        <v/>
      </c>
      <c r="BM1115" s="82">
        <f>($F1115-$F1116)*100</f>
        <v/>
      </c>
      <c r="BN1115" s="82">
        <f>$AF1115-$AF1116</f>
        <v/>
      </c>
      <c r="BO1115" s="82">
        <f>$AG1115-$AG1116</f>
        <v/>
      </c>
      <c r="BP1115" s="82">
        <f>$AJ1115-$AJ1116</f>
        <v/>
      </c>
    </row>
    <row r="1116">
      <c r="AR1116" s="81">
        <f>($G1116+($H1116-$G1116)*0.5)+($P1116-($O1116+($Q1116-$O1116)*0.5))</f>
        <v/>
      </c>
      <c r="AS1116" s="81">
        <f>($J1116+($K1116-$J1116)*0.5)+($T1116-($S1116+($U1116-$S1116)*0.5))</f>
        <v/>
      </c>
      <c r="AT1116" s="82">
        <f>($J1116-$C1116)*100</f>
        <v/>
      </c>
      <c r="AU1116" s="82">
        <f>($H1116-$F1116)*100</f>
        <v/>
      </c>
      <c r="AV1116" s="82">
        <f>($J1116-$F1116)*100</f>
        <v/>
      </c>
      <c r="AW1116" s="82">
        <f>($L1116-$F1116)*100</f>
        <v/>
      </c>
      <c r="AX1116" s="82">
        <f>($J1116-$H1116)*100</f>
        <v/>
      </c>
      <c r="AY1116" s="82">
        <f>($L1116-$H1116)*100</f>
        <v/>
      </c>
      <c r="AZ1116" s="82">
        <f>($L1116-$J1116)*100</f>
        <v/>
      </c>
      <c r="BA1116" s="82">
        <f>(2*$H1116-$F1116-$J1116)*100</f>
        <v/>
      </c>
      <c r="BB1116" s="82">
        <f>(2*$J1116-$H1116-$L1116)*100</f>
        <v/>
      </c>
      <c r="BC1116" s="82">
        <f>($N1116-$F1116)*100</f>
        <v/>
      </c>
      <c r="BD1116" s="82">
        <f>($Q1116-$H1116)*100</f>
        <v/>
      </c>
      <c r="BE1116" s="82">
        <f>($S1116-$J1116)*100</f>
        <v/>
      </c>
      <c r="BF1116" s="82">
        <f>($V1116-$L1116)*100</f>
        <v/>
      </c>
      <c r="BG1116" s="82">
        <f>$AG1116-$AF1116</f>
        <v/>
      </c>
      <c r="BH1116" s="81">
        <f>IFERROR($AG1116/$AF1116,"")</f>
        <v/>
      </c>
      <c r="BI1116" s="82">
        <f>$AJ1116-$AF1116</f>
        <v/>
      </c>
      <c r="BJ1116" s="81">
        <f>IFERROR($AJ1116/$AG1116,"")</f>
        <v/>
      </c>
      <c r="BK1116" s="81">
        <f>$X1116</f>
        <v/>
      </c>
      <c r="BL1116" s="82">
        <f>($J1116-$J1117)*100</f>
        <v/>
      </c>
      <c r="BM1116" s="82">
        <f>($F1116-$F1117)*100</f>
        <v/>
      </c>
      <c r="BN1116" s="82">
        <f>$AF1116-$AF1117</f>
        <v/>
      </c>
      <c r="BO1116" s="82">
        <f>$AG1116-$AG1117</f>
        <v/>
      </c>
      <c r="BP1116" s="82">
        <f>$AJ1116-$AJ1117</f>
        <v/>
      </c>
    </row>
    <row r="1117">
      <c r="AR1117" s="81">
        <f>($G1117+($H1117-$G1117)*0.5)+($P1117-($O1117+($Q1117-$O1117)*0.5))</f>
        <v/>
      </c>
      <c r="AS1117" s="81">
        <f>($J1117+($K1117-$J1117)*0.5)+($T1117-($S1117+($U1117-$S1117)*0.5))</f>
        <v/>
      </c>
      <c r="AT1117" s="82">
        <f>($J1117-$C1117)*100</f>
        <v/>
      </c>
      <c r="AU1117" s="82">
        <f>($H1117-$F1117)*100</f>
        <v/>
      </c>
      <c r="AV1117" s="82">
        <f>($J1117-$F1117)*100</f>
        <v/>
      </c>
      <c r="AW1117" s="82">
        <f>($L1117-$F1117)*100</f>
        <v/>
      </c>
      <c r="AX1117" s="82">
        <f>($J1117-$H1117)*100</f>
        <v/>
      </c>
      <c r="AY1117" s="82">
        <f>($L1117-$H1117)*100</f>
        <v/>
      </c>
      <c r="AZ1117" s="82">
        <f>($L1117-$J1117)*100</f>
        <v/>
      </c>
      <c r="BA1117" s="82">
        <f>(2*$H1117-$F1117-$J1117)*100</f>
        <v/>
      </c>
      <c r="BB1117" s="82">
        <f>(2*$J1117-$H1117-$L1117)*100</f>
        <v/>
      </c>
      <c r="BC1117" s="82">
        <f>($N1117-$F1117)*100</f>
        <v/>
      </c>
      <c r="BD1117" s="82">
        <f>($Q1117-$H1117)*100</f>
        <v/>
      </c>
      <c r="BE1117" s="82">
        <f>($S1117-$J1117)*100</f>
        <v/>
      </c>
      <c r="BF1117" s="82">
        <f>($V1117-$L1117)*100</f>
        <v/>
      </c>
      <c r="BG1117" s="82">
        <f>$AG1117-$AF1117</f>
        <v/>
      </c>
      <c r="BH1117" s="81">
        <f>IFERROR($AG1117/$AF1117,"")</f>
        <v/>
      </c>
      <c r="BI1117" s="82">
        <f>$AJ1117-$AF1117</f>
        <v/>
      </c>
      <c r="BJ1117" s="81">
        <f>IFERROR($AJ1117/$AG1117,"")</f>
        <v/>
      </c>
      <c r="BK1117" s="81">
        <f>$X1117</f>
        <v/>
      </c>
      <c r="BL1117" s="82">
        <f>($J1117-$J1118)*100</f>
        <v/>
      </c>
      <c r="BM1117" s="82">
        <f>($F1117-$F1118)*100</f>
        <v/>
      </c>
      <c r="BN1117" s="82">
        <f>$AF1117-$AF1118</f>
        <v/>
      </c>
      <c r="BO1117" s="82">
        <f>$AG1117-$AG1118</f>
        <v/>
      </c>
      <c r="BP1117" s="82">
        <f>$AJ1117-$AJ1118</f>
        <v/>
      </c>
    </row>
    <row r="1118">
      <c r="AR1118" s="81">
        <f>($G1118+($H1118-$G1118)*0.5)+($P1118-($O1118+($Q1118-$O1118)*0.5))</f>
        <v/>
      </c>
      <c r="AS1118" s="81">
        <f>($J1118+($K1118-$J1118)*0.5)+($T1118-($S1118+($U1118-$S1118)*0.5))</f>
        <v/>
      </c>
      <c r="AT1118" s="82">
        <f>($J1118-$C1118)*100</f>
        <v/>
      </c>
      <c r="AU1118" s="82">
        <f>($H1118-$F1118)*100</f>
        <v/>
      </c>
      <c r="AV1118" s="82">
        <f>($J1118-$F1118)*100</f>
        <v/>
      </c>
      <c r="AW1118" s="82">
        <f>($L1118-$F1118)*100</f>
        <v/>
      </c>
      <c r="AX1118" s="82">
        <f>($J1118-$H1118)*100</f>
        <v/>
      </c>
      <c r="AY1118" s="82">
        <f>($L1118-$H1118)*100</f>
        <v/>
      </c>
      <c r="AZ1118" s="82">
        <f>($L1118-$J1118)*100</f>
        <v/>
      </c>
      <c r="BA1118" s="82">
        <f>(2*$H1118-$F1118-$J1118)*100</f>
        <v/>
      </c>
      <c r="BB1118" s="82">
        <f>(2*$J1118-$H1118-$L1118)*100</f>
        <v/>
      </c>
      <c r="BC1118" s="82">
        <f>($N1118-$F1118)*100</f>
        <v/>
      </c>
      <c r="BD1118" s="82">
        <f>($Q1118-$H1118)*100</f>
        <v/>
      </c>
      <c r="BE1118" s="82">
        <f>($S1118-$J1118)*100</f>
        <v/>
      </c>
      <c r="BF1118" s="82">
        <f>($V1118-$L1118)*100</f>
        <v/>
      </c>
      <c r="BG1118" s="82">
        <f>$AG1118-$AF1118</f>
        <v/>
      </c>
      <c r="BH1118" s="81">
        <f>IFERROR($AG1118/$AF1118,"")</f>
        <v/>
      </c>
      <c r="BI1118" s="82">
        <f>$AJ1118-$AF1118</f>
        <v/>
      </c>
      <c r="BJ1118" s="81">
        <f>IFERROR($AJ1118/$AG1118,"")</f>
        <v/>
      </c>
      <c r="BK1118" s="81">
        <f>$X1118</f>
        <v/>
      </c>
      <c r="BL1118" s="82">
        <f>($J1118-$J1119)*100</f>
        <v/>
      </c>
      <c r="BM1118" s="82">
        <f>($F1118-$F1119)*100</f>
        <v/>
      </c>
      <c r="BN1118" s="82">
        <f>$AF1118-$AF1119</f>
        <v/>
      </c>
      <c r="BO1118" s="82">
        <f>$AG1118-$AG1119</f>
        <v/>
      </c>
      <c r="BP1118" s="82">
        <f>$AJ1118-$AJ1119</f>
        <v/>
      </c>
    </row>
    <row r="1119">
      <c r="AR1119" s="81">
        <f>($G1119+($H1119-$G1119)*0.5)+($P1119-($O1119+($Q1119-$O1119)*0.5))</f>
        <v/>
      </c>
      <c r="AS1119" s="81">
        <f>($J1119+($K1119-$J1119)*0.5)+($T1119-($S1119+($U1119-$S1119)*0.5))</f>
        <v/>
      </c>
      <c r="AT1119" s="82">
        <f>($J1119-$C1119)*100</f>
        <v/>
      </c>
      <c r="AU1119" s="82">
        <f>($H1119-$F1119)*100</f>
        <v/>
      </c>
      <c r="AV1119" s="82">
        <f>($J1119-$F1119)*100</f>
        <v/>
      </c>
      <c r="AW1119" s="82">
        <f>($L1119-$F1119)*100</f>
        <v/>
      </c>
      <c r="AX1119" s="82">
        <f>($J1119-$H1119)*100</f>
        <v/>
      </c>
      <c r="AY1119" s="82">
        <f>($L1119-$H1119)*100</f>
        <v/>
      </c>
      <c r="AZ1119" s="82">
        <f>($L1119-$J1119)*100</f>
        <v/>
      </c>
      <c r="BA1119" s="82">
        <f>(2*$H1119-$F1119-$J1119)*100</f>
        <v/>
      </c>
      <c r="BB1119" s="82">
        <f>(2*$J1119-$H1119-$L1119)*100</f>
        <v/>
      </c>
      <c r="BC1119" s="82">
        <f>($N1119-$F1119)*100</f>
        <v/>
      </c>
      <c r="BD1119" s="82">
        <f>($Q1119-$H1119)*100</f>
        <v/>
      </c>
      <c r="BE1119" s="82">
        <f>($S1119-$J1119)*100</f>
        <v/>
      </c>
      <c r="BF1119" s="82">
        <f>($V1119-$L1119)*100</f>
        <v/>
      </c>
      <c r="BG1119" s="82">
        <f>$AG1119-$AF1119</f>
        <v/>
      </c>
      <c r="BH1119" s="81">
        <f>IFERROR($AG1119/$AF1119,"")</f>
        <v/>
      </c>
      <c r="BI1119" s="82">
        <f>$AJ1119-$AF1119</f>
        <v/>
      </c>
      <c r="BJ1119" s="81">
        <f>IFERROR($AJ1119/$AG1119,"")</f>
        <v/>
      </c>
      <c r="BK1119" s="81">
        <f>$X1119</f>
        <v/>
      </c>
      <c r="BL1119" s="82">
        <f>($J1119-$J1120)*100</f>
        <v/>
      </c>
      <c r="BM1119" s="82">
        <f>($F1119-$F1120)*100</f>
        <v/>
      </c>
      <c r="BN1119" s="82">
        <f>$AF1119-$AF1120</f>
        <v/>
      </c>
      <c r="BO1119" s="82">
        <f>$AG1119-$AG1120</f>
        <v/>
      </c>
      <c r="BP1119" s="82">
        <f>$AJ1119-$AJ1120</f>
        <v/>
      </c>
    </row>
    <row r="1120">
      <c r="AR1120" s="81">
        <f>($G1120+($H1120-$G1120)*0.5)+($P1120-($O1120+($Q1120-$O1120)*0.5))</f>
        <v/>
      </c>
      <c r="AS1120" s="81">
        <f>($J1120+($K1120-$J1120)*0.5)+($T1120-($S1120+($U1120-$S1120)*0.5))</f>
        <v/>
      </c>
      <c r="AT1120" s="82">
        <f>($J1120-$C1120)*100</f>
        <v/>
      </c>
      <c r="AU1120" s="82">
        <f>($H1120-$F1120)*100</f>
        <v/>
      </c>
      <c r="AV1120" s="82">
        <f>($J1120-$F1120)*100</f>
        <v/>
      </c>
      <c r="AW1120" s="82">
        <f>($L1120-$F1120)*100</f>
        <v/>
      </c>
      <c r="AX1120" s="82">
        <f>($J1120-$H1120)*100</f>
        <v/>
      </c>
      <c r="AY1120" s="82">
        <f>($L1120-$H1120)*100</f>
        <v/>
      </c>
      <c r="AZ1120" s="82">
        <f>($L1120-$J1120)*100</f>
        <v/>
      </c>
      <c r="BA1120" s="82">
        <f>(2*$H1120-$F1120-$J1120)*100</f>
        <v/>
      </c>
      <c r="BB1120" s="82">
        <f>(2*$J1120-$H1120-$L1120)*100</f>
        <v/>
      </c>
      <c r="BC1120" s="82">
        <f>($N1120-$F1120)*100</f>
        <v/>
      </c>
      <c r="BD1120" s="82">
        <f>($Q1120-$H1120)*100</f>
        <v/>
      </c>
      <c r="BE1120" s="82">
        <f>($S1120-$J1120)*100</f>
        <v/>
      </c>
      <c r="BF1120" s="82">
        <f>($V1120-$L1120)*100</f>
        <v/>
      </c>
      <c r="BG1120" s="82">
        <f>$AG1120-$AF1120</f>
        <v/>
      </c>
      <c r="BH1120" s="81">
        <f>IFERROR($AG1120/$AF1120,"")</f>
        <v/>
      </c>
      <c r="BI1120" s="82">
        <f>$AJ1120-$AF1120</f>
        <v/>
      </c>
      <c r="BJ1120" s="81">
        <f>IFERROR($AJ1120/$AG1120,"")</f>
        <v/>
      </c>
      <c r="BK1120" s="81">
        <f>$X1120</f>
        <v/>
      </c>
      <c r="BL1120" s="82">
        <f>($J1120-$J1121)*100</f>
        <v/>
      </c>
      <c r="BM1120" s="82">
        <f>($F1120-$F1121)*100</f>
        <v/>
      </c>
      <c r="BN1120" s="82">
        <f>$AF1120-$AF1121</f>
        <v/>
      </c>
      <c r="BO1120" s="82">
        <f>$AG1120-$AG1121</f>
        <v/>
      </c>
      <c r="BP1120" s="82">
        <f>$AJ1120-$AJ1121</f>
        <v/>
      </c>
    </row>
    <row r="1121">
      <c r="AR1121" s="81">
        <f>($G1121+($H1121-$G1121)*0.5)+($P1121-($O1121+($Q1121-$O1121)*0.5))</f>
        <v/>
      </c>
      <c r="AS1121" s="81">
        <f>($J1121+($K1121-$J1121)*0.5)+($T1121-($S1121+($U1121-$S1121)*0.5))</f>
        <v/>
      </c>
      <c r="AT1121" s="82">
        <f>($J1121-$C1121)*100</f>
        <v/>
      </c>
      <c r="AU1121" s="82">
        <f>($H1121-$F1121)*100</f>
        <v/>
      </c>
      <c r="AV1121" s="82">
        <f>($J1121-$F1121)*100</f>
        <v/>
      </c>
      <c r="AW1121" s="82">
        <f>($L1121-$F1121)*100</f>
        <v/>
      </c>
      <c r="AX1121" s="82">
        <f>($J1121-$H1121)*100</f>
        <v/>
      </c>
      <c r="AY1121" s="82">
        <f>($L1121-$H1121)*100</f>
        <v/>
      </c>
      <c r="AZ1121" s="82">
        <f>($L1121-$J1121)*100</f>
        <v/>
      </c>
      <c r="BA1121" s="82">
        <f>(2*$H1121-$F1121-$J1121)*100</f>
        <v/>
      </c>
      <c r="BB1121" s="82">
        <f>(2*$J1121-$H1121-$L1121)*100</f>
        <v/>
      </c>
      <c r="BC1121" s="82">
        <f>($N1121-$F1121)*100</f>
        <v/>
      </c>
      <c r="BD1121" s="82">
        <f>($Q1121-$H1121)*100</f>
        <v/>
      </c>
      <c r="BE1121" s="82">
        <f>($S1121-$J1121)*100</f>
        <v/>
      </c>
      <c r="BF1121" s="82">
        <f>($V1121-$L1121)*100</f>
        <v/>
      </c>
      <c r="BG1121" s="82">
        <f>$AG1121-$AF1121</f>
        <v/>
      </c>
      <c r="BH1121" s="81">
        <f>IFERROR($AG1121/$AF1121,"")</f>
        <v/>
      </c>
      <c r="BI1121" s="82">
        <f>$AJ1121-$AF1121</f>
        <v/>
      </c>
      <c r="BJ1121" s="81">
        <f>IFERROR($AJ1121/$AG1121,"")</f>
        <v/>
      </c>
      <c r="BK1121" s="81">
        <f>$X1121</f>
        <v/>
      </c>
      <c r="BL1121" s="82">
        <f>($J1121-$J1122)*100</f>
        <v/>
      </c>
      <c r="BM1121" s="82">
        <f>($F1121-$F1122)*100</f>
        <v/>
      </c>
      <c r="BN1121" s="82">
        <f>$AF1121-$AF1122</f>
        <v/>
      </c>
      <c r="BO1121" s="82">
        <f>$AG1121-$AG1122</f>
        <v/>
      </c>
      <c r="BP1121" s="82">
        <f>$AJ1121-$AJ1122</f>
        <v/>
      </c>
    </row>
    <row r="1122">
      <c r="AR1122" s="81">
        <f>($G1122+($H1122-$G1122)*0.5)+($P1122-($O1122+($Q1122-$O1122)*0.5))</f>
        <v/>
      </c>
      <c r="AS1122" s="81">
        <f>($J1122+($K1122-$J1122)*0.5)+($T1122-($S1122+($U1122-$S1122)*0.5))</f>
        <v/>
      </c>
      <c r="AT1122" s="82">
        <f>($J1122-$C1122)*100</f>
        <v/>
      </c>
      <c r="AU1122" s="82">
        <f>($H1122-$F1122)*100</f>
        <v/>
      </c>
      <c r="AV1122" s="82">
        <f>($J1122-$F1122)*100</f>
        <v/>
      </c>
      <c r="AW1122" s="82">
        <f>($L1122-$F1122)*100</f>
        <v/>
      </c>
      <c r="AX1122" s="82">
        <f>($J1122-$H1122)*100</f>
        <v/>
      </c>
      <c r="AY1122" s="82">
        <f>($L1122-$H1122)*100</f>
        <v/>
      </c>
      <c r="AZ1122" s="82">
        <f>($L1122-$J1122)*100</f>
        <v/>
      </c>
      <c r="BA1122" s="82">
        <f>(2*$H1122-$F1122-$J1122)*100</f>
        <v/>
      </c>
      <c r="BB1122" s="82">
        <f>(2*$J1122-$H1122-$L1122)*100</f>
        <v/>
      </c>
      <c r="BC1122" s="82">
        <f>($N1122-$F1122)*100</f>
        <v/>
      </c>
      <c r="BD1122" s="82">
        <f>($Q1122-$H1122)*100</f>
        <v/>
      </c>
      <c r="BE1122" s="82">
        <f>($S1122-$J1122)*100</f>
        <v/>
      </c>
      <c r="BF1122" s="82">
        <f>($V1122-$L1122)*100</f>
        <v/>
      </c>
      <c r="BG1122" s="82">
        <f>$AG1122-$AF1122</f>
        <v/>
      </c>
      <c r="BH1122" s="81">
        <f>IFERROR($AG1122/$AF1122,"")</f>
        <v/>
      </c>
      <c r="BI1122" s="82">
        <f>$AJ1122-$AF1122</f>
        <v/>
      </c>
      <c r="BJ1122" s="81">
        <f>IFERROR($AJ1122/$AG1122,"")</f>
        <v/>
      </c>
      <c r="BK1122" s="81">
        <f>$X1122</f>
        <v/>
      </c>
      <c r="BL1122" s="82">
        <f>($J1122-$J1123)*100</f>
        <v/>
      </c>
      <c r="BM1122" s="82">
        <f>($F1122-$F1123)*100</f>
        <v/>
      </c>
      <c r="BN1122" s="82">
        <f>$AF1122-$AF1123</f>
        <v/>
      </c>
      <c r="BO1122" s="82">
        <f>$AG1122-$AG1123</f>
        <v/>
      </c>
      <c r="BP1122" s="82">
        <f>$AJ1122-$AJ1123</f>
        <v/>
      </c>
    </row>
    <row r="1123">
      <c r="AR1123" s="81">
        <f>($G1123+($H1123-$G1123)*0.5)+($P1123-($O1123+($Q1123-$O1123)*0.5))</f>
        <v/>
      </c>
      <c r="AS1123" s="81">
        <f>($J1123+($K1123-$J1123)*0.5)+($T1123-($S1123+($U1123-$S1123)*0.5))</f>
        <v/>
      </c>
      <c r="AT1123" s="82">
        <f>($J1123-$C1123)*100</f>
        <v/>
      </c>
      <c r="AU1123" s="82">
        <f>($H1123-$F1123)*100</f>
        <v/>
      </c>
      <c r="AV1123" s="82">
        <f>($J1123-$F1123)*100</f>
        <v/>
      </c>
      <c r="AW1123" s="82">
        <f>($L1123-$F1123)*100</f>
        <v/>
      </c>
      <c r="AX1123" s="82">
        <f>($J1123-$H1123)*100</f>
        <v/>
      </c>
      <c r="AY1123" s="82">
        <f>($L1123-$H1123)*100</f>
        <v/>
      </c>
      <c r="AZ1123" s="82">
        <f>($L1123-$J1123)*100</f>
        <v/>
      </c>
      <c r="BA1123" s="82">
        <f>(2*$H1123-$F1123-$J1123)*100</f>
        <v/>
      </c>
      <c r="BB1123" s="82">
        <f>(2*$J1123-$H1123-$L1123)*100</f>
        <v/>
      </c>
      <c r="BC1123" s="82">
        <f>($N1123-$F1123)*100</f>
        <v/>
      </c>
      <c r="BD1123" s="82">
        <f>($Q1123-$H1123)*100</f>
        <v/>
      </c>
      <c r="BE1123" s="82">
        <f>($S1123-$J1123)*100</f>
        <v/>
      </c>
      <c r="BF1123" s="82">
        <f>($V1123-$L1123)*100</f>
        <v/>
      </c>
      <c r="BG1123" s="82">
        <f>$AG1123-$AF1123</f>
        <v/>
      </c>
      <c r="BH1123" s="81">
        <f>IFERROR($AG1123/$AF1123,"")</f>
        <v/>
      </c>
      <c r="BI1123" s="82">
        <f>$AJ1123-$AF1123</f>
        <v/>
      </c>
      <c r="BJ1123" s="81">
        <f>IFERROR($AJ1123/$AG1123,"")</f>
        <v/>
      </c>
      <c r="BK1123" s="81">
        <f>$X1123</f>
        <v/>
      </c>
      <c r="BL1123" s="82">
        <f>($J1123-$J1124)*100</f>
        <v/>
      </c>
      <c r="BM1123" s="82">
        <f>($F1123-$F1124)*100</f>
        <v/>
      </c>
      <c r="BN1123" s="82">
        <f>$AF1123-$AF1124</f>
        <v/>
      </c>
      <c r="BO1123" s="82">
        <f>$AG1123-$AG1124</f>
        <v/>
      </c>
      <c r="BP1123" s="82">
        <f>$AJ1123-$AJ1124</f>
        <v/>
      </c>
    </row>
    <row r="1124">
      <c r="AR1124" s="81">
        <f>($G1124+($H1124-$G1124)*0.5)+($P1124-($O1124+($Q1124-$O1124)*0.5))</f>
        <v/>
      </c>
      <c r="AS1124" s="81">
        <f>($J1124+($K1124-$J1124)*0.5)+($T1124-($S1124+($U1124-$S1124)*0.5))</f>
        <v/>
      </c>
      <c r="AT1124" s="82">
        <f>($J1124-$C1124)*100</f>
        <v/>
      </c>
      <c r="AU1124" s="82">
        <f>($H1124-$F1124)*100</f>
        <v/>
      </c>
      <c r="AV1124" s="82">
        <f>($J1124-$F1124)*100</f>
        <v/>
      </c>
      <c r="AW1124" s="82">
        <f>($L1124-$F1124)*100</f>
        <v/>
      </c>
      <c r="AX1124" s="82">
        <f>($J1124-$H1124)*100</f>
        <v/>
      </c>
      <c r="AY1124" s="82">
        <f>($L1124-$H1124)*100</f>
        <v/>
      </c>
      <c r="AZ1124" s="82">
        <f>($L1124-$J1124)*100</f>
        <v/>
      </c>
      <c r="BA1124" s="82">
        <f>(2*$H1124-$F1124-$J1124)*100</f>
        <v/>
      </c>
      <c r="BB1124" s="82">
        <f>(2*$J1124-$H1124-$L1124)*100</f>
        <v/>
      </c>
      <c r="BC1124" s="82">
        <f>($N1124-$F1124)*100</f>
        <v/>
      </c>
      <c r="BD1124" s="82">
        <f>($Q1124-$H1124)*100</f>
        <v/>
      </c>
      <c r="BE1124" s="82">
        <f>($S1124-$J1124)*100</f>
        <v/>
      </c>
      <c r="BF1124" s="82">
        <f>($V1124-$L1124)*100</f>
        <v/>
      </c>
      <c r="BG1124" s="82">
        <f>$AG1124-$AF1124</f>
        <v/>
      </c>
      <c r="BH1124" s="81">
        <f>IFERROR($AG1124/$AF1124,"")</f>
        <v/>
      </c>
      <c r="BI1124" s="82">
        <f>$AJ1124-$AF1124</f>
        <v/>
      </c>
      <c r="BJ1124" s="81">
        <f>IFERROR($AJ1124/$AG1124,"")</f>
        <v/>
      </c>
      <c r="BK1124" s="81">
        <f>$X1124</f>
        <v/>
      </c>
      <c r="BL1124" s="82">
        <f>($J1124-$J1125)*100</f>
        <v/>
      </c>
      <c r="BM1124" s="82">
        <f>($F1124-$F1125)*100</f>
        <v/>
      </c>
      <c r="BN1124" s="82">
        <f>$AF1124-$AF1125</f>
        <v/>
      </c>
      <c r="BO1124" s="82">
        <f>$AG1124-$AG1125</f>
        <v/>
      </c>
      <c r="BP1124" s="82">
        <f>$AJ1124-$AJ1125</f>
        <v/>
      </c>
    </row>
    <row r="1125">
      <c r="AR1125" s="81">
        <f>($G1125+($H1125-$G1125)*0.5)+($P1125-($O1125+($Q1125-$O1125)*0.5))</f>
        <v/>
      </c>
      <c r="AS1125" s="81">
        <f>($J1125+($K1125-$J1125)*0.5)+($T1125-($S1125+($U1125-$S1125)*0.5))</f>
        <v/>
      </c>
      <c r="AT1125" s="82">
        <f>($J1125-$C1125)*100</f>
        <v/>
      </c>
      <c r="AU1125" s="82">
        <f>($H1125-$F1125)*100</f>
        <v/>
      </c>
      <c r="AV1125" s="82">
        <f>($J1125-$F1125)*100</f>
        <v/>
      </c>
      <c r="AW1125" s="82">
        <f>($L1125-$F1125)*100</f>
        <v/>
      </c>
      <c r="AX1125" s="82">
        <f>($J1125-$H1125)*100</f>
        <v/>
      </c>
      <c r="AY1125" s="82">
        <f>($L1125-$H1125)*100</f>
        <v/>
      </c>
      <c r="AZ1125" s="82">
        <f>($L1125-$J1125)*100</f>
        <v/>
      </c>
      <c r="BA1125" s="82">
        <f>(2*$H1125-$F1125-$J1125)*100</f>
        <v/>
      </c>
      <c r="BB1125" s="82">
        <f>(2*$J1125-$H1125-$L1125)*100</f>
        <v/>
      </c>
      <c r="BC1125" s="82">
        <f>($N1125-$F1125)*100</f>
        <v/>
      </c>
      <c r="BD1125" s="82">
        <f>($Q1125-$H1125)*100</f>
        <v/>
      </c>
      <c r="BE1125" s="82">
        <f>($S1125-$J1125)*100</f>
        <v/>
      </c>
      <c r="BF1125" s="82">
        <f>($V1125-$L1125)*100</f>
        <v/>
      </c>
      <c r="BG1125" s="82">
        <f>$AG1125-$AF1125</f>
        <v/>
      </c>
      <c r="BH1125" s="81">
        <f>IFERROR($AG1125/$AF1125,"")</f>
        <v/>
      </c>
      <c r="BI1125" s="82">
        <f>$AJ1125-$AF1125</f>
        <v/>
      </c>
      <c r="BJ1125" s="81">
        <f>IFERROR($AJ1125/$AG1125,"")</f>
        <v/>
      </c>
      <c r="BK1125" s="81">
        <f>$X1125</f>
        <v/>
      </c>
      <c r="BL1125" s="82">
        <f>($J1125-$J1126)*100</f>
        <v/>
      </c>
      <c r="BM1125" s="82">
        <f>($F1125-$F1126)*100</f>
        <v/>
      </c>
      <c r="BN1125" s="82">
        <f>$AF1125-$AF1126</f>
        <v/>
      </c>
      <c r="BO1125" s="82">
        <f>$AG1125-$AG1126</f>
        <v/>
      </c>
      <c r="BP1125" s="82">
        <f>$AJ1125-$AJ1126</f>
        <v/>
      </c>
    </row>
    <row r="1126">
      <c r="AR1126" s="81">
        <f>($G1126+($H1126-$G1126)*0.5)+($P1126-($O1126+($Q1126-$O1126)*0.5))</f>
        <v/>
      </c>
      <c r="AS1126" s="81">
        <f>($J1126+($K1126-$J1126)*0.5)+($T1126-($S1126+($U1126-$S1126)*0.5))</f>
        <v/>
      </c>
      <c r="AT1126" s="82">
        <f>($J1126-$C1126)*100</f>
        <v/>
      </c>
      <c r="AU1126" s="82">
        <f>($H1126-$F1126)*100</f>
        <v/>
      </c>
      <c r="AV1126" s="82">
        <f>($J1126-$F1126)*100</f>
        <v/>
      </c>
      <c r="AW1126" s="82">
        <f>($L1126-$F1126)*100</f>
        <v/>
      </c>
      <c r="AX1126" s="82">
        <f>($J1126-$H1126)*100</f>
        <v/>
      </c>
      <c r="AY1126" s="82">
        <f>($L1126-$H1126)*100</f>
        <v/>
      </c>
      <c r="AZ1126" s="82">
        <f>($L1126-$J1126)*100</f>
        <v/>
      </c>
      <c r="BA1126" s="82">
        <f>(2*$H1126-$F1126-$J1126)*100</f>
        <v/>
      </c>
      <c r="BB1126" s="82">
        <f>(2*$J1126-$H1126-$L1126)*100</f>
        <v/>
      </c>
      <c r="BC1126" s="82">
        <f>($N1126-$F1126)*100</f>
        <v/>
      </c>
      <c r="BD1126" s="82">
        <f>($Q1126-$H1126)*100</f>
        <v/>
      </c>
      <c r="BE1126" s="82">
        <f>($S1126-$J1126)*100</f>
        <v/>
      </c>
      <c r="BF1126" s="82">
        <f>($V1126-$L1126)*100</f>
        <v/>
      </c>
      <c r="BG1126" s="82">
        <f>$AG1126-$AF1126</f>
        <v/>
      </c>
      <c r="BH1126" s="81">
        <f>IFERROR($AG1126/$AF1126,"")</f>
        <v/>
      </c>
      <c r="BI1126" s="82">
        <f>$AJ1126-$AF1126</f>
        <v/>
      </c>
      <c r="BJ1126" s="81">
        <f>IFERROR($AJ1126/$AG1126,"")</f>
        <v/>
      </c>
      <c r="BK1126" s="81">
        <f>$X1126</f>
        <v/>
      </c>
      <c r="BL1126" s="82">
        <f>($J1126-$J1127)*100</f>
        <v/>
      </c>
      <c r="BM1126" s="82">
        <f>($F1126-$F1127)*100</f>
        <v/>
      </c>
      <c r="BN1126" s="82">
        <f>$AF1126-$AF1127</f>
        <v/>
      </c>
      <c r="BO1126" s="82">
        <f>$AG1126-$AG1127</f>
        <v/>
      </c>
      <c r="BP1126" s="82">
        <f>$AJ1126-$AJ1127</f>
        <v/>
      </c>
    </row>
    <row r="1127">
      <c r="AR1127" s="81">
        <f>($G1127+($H1127-$G1127)*0.5)+($P1127-($O1127+($Q1127-$O1127)*0.5))</f>
        <v/>
      </c>
      <c r="AS1127" s="81">
        <f>($J1127+($K1127-$J1127)*0.5)+($T1127-($S1127+($U1127-$S1127)*0.5))</f>
        <v/>
      </c>
      <c r="AT1127" s="82">
        <f>($J1127-$C1127)*100</f>
        <v/>
      </c>
      <c r="AU1127" s="82">
        <f>($H1127-$F1127)*100</f>
        <v/>
      </c>
      <c r="AV1127" s="82">
        <f>($J1127-$F1127)*100</f>
        <v/>
      </c>
      <c r="AW1127" s="82">
        <f>($L1127-$F1127)*100</f>
        <v/>
      </c>
      <c r="AX1127" s="82">
        <f>($J1127-$H1127)*100</f>
        <v/>
      </c>
      <c r="AY1127" s="82">
        <f>($L1127-$H1127)*100</f>
        <v/>
      </c>
      <c r="AZ1127" s="82">
        <f>($L1127-$J1127)*100</f>
        <v/>
      </c>
      <c r="BA1127" s="82">
        <f>(2*$H1127-$F1127-$J1127)*100</f>
        <v/>
      </c>
      <c r="BB1127" s="82">
        <f>(2*$J1127-$H1127-$L1127)*100</f>
        <v/>
      </c>
      <c r="BC1127" s="82">
        <f>($N1127-$F1127)*100</f>
        <v/>
      </c>
      <c r="BD1127" s="82">
        <f>($Q1127-$H1127)*100</f>
        <v/>
      </c>
      <c r="BE1127" s="82">
        <f>($S1127-$J1127)*100</f>
        <v/>
      </c>
      <c r="BF1127" s="82">
        <f>($V1127-$L1127)*100</f>
        <v/>
      </c>
      <c r="BG1127" s="82">
        <f>$AG1127-$AF1127</f>
        <v/>
      </c>
      <c r="BH1127" s="81">
        <f>IFERROR($AG1127/$AF1127,"")</f>
        <v/>
      </c>
      <c r="BI1127" s="82">
        <f>$AJ1127-$AF1127</f>
        <v/>
      </c>
      <c r="BJ1127" s="81">
        <f>IFERROR($AJ1127/$AG1127,"")</f>
        <v/>
      </c>
      <c r="BK1127" s="81">
        <f>$X1127</f>
        <v/>
      </c>
      <c r="BL1127" s="82">
        <f>($J1127-$J1128)*100</f>
        <v/>
      </c>
      <c r="BM1127" s="82">
        <f>($F1127-$F1128)*100</f>
        <v/>
      </c>
      <c r="BN1127" s="82">
        <f>$AF1127-$AF1128</f>
        <v/>
      </c>
      <c r="BO1127" s="82">
        <f>$AG1127-$AG1128</f>
        <v/>
      </c>
      <c r="BP1127" s="82">
        <f>$AJ1127-$AJ1128</f>
        <v/>
      </c>
    </row>
    <row r="1128">
      <c r="AR1128" s="81">
        <f>($G1128+($H1128-$G1128)*0.5)+($P1128-($O1128+($Q1128-$O1128)*0.5))</f>
        <v/>
      </c>
      <c r="AS1128" s="81">
        <f>($J1128+($K1128-$J1128)*0.5)+($T1128-($S1128+($U1128-$S1128)*0.5))</f>
        <v/>
      </c>
      <c r="AT1128" s="82">
        <f>($J1128-$C1128)*100</f>
        <v/>
      </c>
      <c r="AU1128" s="82">
        <f>($H1128-$F1128)*100</f>
        <v/>
      </c>
      <c r="AV1128" s="82">
        <f>($J1128-$F1128)*100</f>
        <v/>
      </c>
      <c r="AW1128" s="82">
        <f>($L1128-$F1128)*100</f>
        <v/>
      </c>
      <c r="AX1128" s="82">
        <f>($J1128-$H1128)*100</f>
        <v/>
      </c>
      <c r="AY1128" s="82">
        <f>($L1128-$H1128)*100</f>
        <v/>
      </c>
      <c r="AZ1128" s="82">
        <f>($L1128-$J1128)*100</f>
        <v/>
      </c>
      <c r="BA1128" s="82">
        <f>(2*$H1128-$F1128-$J1128)*100</f>
        <v/>
      </c>
      <c r="BB1128" s="82">
        <f>(2*$J1128-$H1128-$L1128)*100</f>
        <v/>
      </c>
      <c r="BC1128" s="82">
        <f>($N1128-$F1128)*100</f>
        <v/>
      </c>
      <c r="BD1128" s="82">
        <f>($Q1128-$H1128)*100</f>
        <v/>
      </c>
      <c r="BE1128" s="82">
        <f>($S1128-$J1128)*100</f>
        <v/>
      </c>
      <c r="BF1128" s="82">
        <f>($V1128-$L1128)*100</f>
        <v/>
      </c>
      <c r="BG1128" s="82">
        <f>$AG1128-$AF1128</f>
        <v/>
      </c>
      <c r="BH1128" s="81">
        <f>IFERROR($AG1128/$AF1128,"")</f>
        <v/>
      </c>
      <c r="BI1128" s="82">
        <f>$AJ1128-$AF1128</f>
        <v/>
      </c>
      <c r="BJ1128" s="81">
        <f>IFERROR($AJ1128/$AG1128,"")</f>
        <v/>
      </c>
      <c r="BK1128" s="81">
        <f>$X1128</f>
        <v/>
      </c>
      <c r="BL1128" s="82">
        <f>($J1128-$J1129)*100</f>
        <v/>
      </c>
      <c r="BM1128" s="82">
        <f>($F1128-$F1129)*100</f>
        <v/>
      </c>
      <c r="BN1128" s="82">
        <f>$AF1128-$AF1129</f>
        <v/>
      </c>
      <c r="BO1128" s="82">
        <f>$AG1128-$AG1129</f>
        <v/>
      </c>
      <c r="BP1128" s="82">
        <f>$AJ1128-$AJ1129</f>
        <v/>
      </c>
    </row>
    <row r="1129">
      <c r="AR1129" s="81">
        <f>($G1129+($H1129-$G1129)*0.5)+($P1129-($O1129+($Q1129-$O1129)*0.5))</f>
        <v/>
      </c>
      <c r="AS1129" s="81">
        <f>($J1129+($K1129-$J1129)*0.5)+($T1129-($S1129+($U1129-$S1129)*0.5))</f>
        <v/>
      </c>
      <c r="AT1129" s="82">
        <f>($J1129-$C1129)*100</f>
        <v/>
      </c>
      <c r="AU1129" s="82">
        <f>($H1129-$F1129)*100</f>
        <v/>
      </c>
      <c r="AV1129" s="82">
        <f>($J1129-$F1129)*100</f>
        <v/>
      </c>
      <c r="AW1129" s="82">
        <f>($L1129-$F1129)*100</f>
        <v/>
      </c>
      <c r="AX1129" s="82">
        <f>($J1129-$H1129)*100</f>
        <v/>
      </c>
      <c r="AY1129" s="82">
        <f>($L1129-$H1129)*100</f>
        <v/>
      </c>
      <c r="AZ1129" s="82">
        <f>($L1129-$J1129)*100</f>
        <v/>
      </c>
      <c r="BA1129" s="82">
        <f>(2*$H1129-$F1129-$J1129)*100</f>
        <v/>
      </c>
      <c r="BB1129" s="82">
        <f>(2*$J1129-$H1129-$L1129)*100</f>
        <v/>
      </c>
      <c r="BC1129" s="82">
        <f>($N1129-$F1129)*100</f>
        <v/>
      </c>
      <c r="BD1129" s="82">
        <f>($Q1129-$H1129)*100</f>
        <v/>
      </c>
      <c r="BE1129" s="82">
        <f>($S1129-$J1129)*100</f>
        <v/>
      </c>
      <c r="BF1129" s="82">
        <f>($V1129-$L1129)*100</f>
        <v/>
      </c>
      <c r="BG1129" s="82">
        <f>$AG1129-$AF1129</f>
        <v/>
      </c>
      <c r="BH1129" s="81">
        <f>IFERROR($AG1129/$AF1129,"")</f>
        <v/>
      </c>
      <c r="BI1129" s="82">
        <f>$AJ1129-$AF1129</f>
        <v/>
      </c>
      <c r="BJ1129" s="81">
        <f>IFERROR($AJ1129/$AG1129,"")</f>
        <v/>
      </c>
      <c r="BK1129" s="81">
        <f>$X1129</f>
        <v/>
      </c>
      <c r="BL1129" s="82">
        <f>($J1129-$J1130)*100</f>
        <v/>
      </c>
      <c r="BM1129" s="82">
        <f>($F1129-$F1130)*100</f>
        <v/>
      </c>
      <c r="BN1129" s="82">
        <f>$AF1129-$AF1130</f>
        <v/>
      </c>
      <c r="BO1129" s="82">
        <f>$AG1129-$AG1130</f>
        <v/>
      </c>
      <c r="BP1129" s="82">
        <f>$AJ1129-$AJ1130</f>
        <v/>
      </c>
    </row>
    <row r="1130">
      <c r="AR1130" s="81">
        <f>($G1130+($H1130-$G1130)*0.5)+($P1130-($O1130+($Q1130-$O1130)*0.5))</f>
        <v/>
      </c>
      <c r="AS1130" s="81">
        <f>($J1130+($K1130-$J1130)*0.5)+($T1130-($S1130+($U1130-$S1130)*0.5))</f>
        <v/>
      </c>
      <c r="AT1130" s="82">
        <f>($J1130-$C1130)*100</f>
        <v/>
      </c>
      <c r="AU1130" s="82">
        <f>($H1130-$F1130)*100</f>
        <v/>
      </c>
      <c r="AV1130" s="82">
        <f>($J1130-$F1130)*100</f>
        <v/>
      </c>
      <c r="AW1130" s="82">
        <f>($L1130-$F1130)*100</f>
        <v/>
      </c>
      <c r="AX1130" s="82">
        <f>($J1130-$H1130)*100</f>
        <v/>
      </c>
      <c r="AY1130" s="82">
        <f>($L1130-$H1130)*100</f>
        <v/>
      </c>
      <c r="AZ1130" s="82">
        <f>($L1130-$J1130)*100</f>
        <v/>
      </c>
      <c r="BA1130" s="82">
        <f>(2*$H1130-$F1130-$J1130)*100</f>
        <v/>
      </c>
      <c r="BB1130" s="82">
        <f>(2*$J1130-$H1130-$L1130)*100</f>
        <v/>
      </c>
      <c r="BC1130" s="82">
        <f>($N1130-$F1130)*100</f>
        <v/>
      </c>
      <c r="BD1130" s="82">
        <f>($Q1130-$H1130)*100</f>
        <v/>
      </c>
      <c r="BE1130" s="82">
        <f>($S1130-$J1130)*100</f>
        <v/>
      </c>
      <c r="BF1130" s="82">
        <f>($V1130-$L1130)*100</f>
        <v/>
      </c>
      <c r="BG1130" s="82">
        <f>$AG1130-$AF1130</f>
        <v/>
      </c>
      <c r="BH1130" s="81">
        <f>IFERROR($AG1130/$AF1130,"")</f>
        <v/>
      </c>
      <c r="BI1130" s="82">
        <f>$AJ1130-$AF1130</f>
        <v/>
      </c>
      <c r="BJ1130" s="81">
        <f>IFERROR($AJ1130/$AG1130,"")</f>
        <v/>
      </c>
      <c r="BK1130" s="81">
        <f>$X1130</f>
        <v/>
      </c>
      <c r="BL1130" s="82">
        <f>($J1130-$J1131)*100</f>
        <v/>
      </c>
      <c r="BM1130" s="82">
        <f>($F1130-$F1131)*100</f>
        <v/>
      </c>
      <c r="BN1130" s="82">
        <f>$AF1130-$AF1131</f>
        <v/>
      </c>
      <c r="BO1130" s="82">
        <f>$AG1130-$AG1131</f>
        <v/>
      </c>
      <c r="BP1130" s="82">
        <f>$AJ1130-$AJ1131</f>
        <v/>
      </c>
    </row>
    <row r="1131">
      <c r="AR1131" s="81">
        <f>($G1131+($H1131-$G1131)*0.5)+($P1131-($O1131+($Q1131-$O1131)*0.5))</f>
        <v/>
      </c>
      <c r="AS1131" s="81">
        <f>($J1131+($K1131-$J1131)*0.5)+($T1131-($S1131+($U1131-$S1131)*0.5))</f>
        <v/>
      </c>
      <c r="AT1131" s="82">
        <f>($J1131-$C1131)*100</f>
        <v/>
      </c>
      <c r="AU1131" s="82">
        <f>($H1131-$F1131)*100</f>
        <v/>
      </c>
      <c r="AV1131" s="82">
        <f>($J1131-$F1131)*100</f>
        <v/>
      </c>
      <c r="AW1131" s="82">
        <f>($L1131-$F1131)*100</f>
        <v/>
      </c>
      <c r="AX1131" s="82">
        <f>($J1131-$H1131)*100</f>
        <v/>
      </c>
      <c r="AY1131" s="82">
        <f>($L1131-$H1131)*100</f>
        <v/>
      </c>
      <c r="AZ1131" s="82">
        <f>($L1131-$J1131)*100</f>
        <v/>
      </c>
      <c r="BA1131" s="82">
        <f>(2*$H1131-$F1131-$J1131)*100</f>
        <v/>
      </c>
      <c r="BB1131" s="82">
        <f>(2*$J1131-$H1131-$L1131)*100</f>
        <v/>
      </c>
      <c r="BC1131" s="82">
        <f>($N1131-$F1131)*100</f>
        <v/>
      </c>
      <c r="BD1131" s="82">
        <f>($Q1131-$H1131)*100</f>
        <v/>
      </c>
      <c r="BE1131" s="82">
        <f>($S1131-$J1131)*100</f>
        <v/>
      </c>
      <c r="BF1131" s="82">
        <f>($V1131-$L1131)*100</f>
        <v/>
      </c>
      <c r="BG1131" s="82">
        <f>$AG1131-$AF1131</f>
        <v/>
      </c>
      <c r="BH1131" s="81">
        <f>IFERROR($AG1131/$AF1131,"")</f>
        <v/>
      </c>
      <c r="BI1131" s="82">
        <f>$AJ1131-$AF1131</f>
        <v/>
      </c>
      <c r="BJ1131" s="81">
        <f>IFERROR($AJ1131/$AG1131,"")</f>
        <v/>
      </c>
      <c r="BK1131" s="81">
        <f>$X1131</f>
        <v/>
      </c>
      <c r="BL1131" s="82">
        <f>($J1131-$J1132)*100</f>
        <v/>
      </c>
      <c r="BM1131" s="82">
        <f>($F1131-$F1132)*100</f>
        <v/>
      </c>
      <c r="BN1131" s="82">
        <f>$AF1131-$AF1132</f>
        <v/>
      </c>
      <c r="BO1131" s="82">
        <f>$AG1131-$AG1132</f>
        <v/>
      </c>
      <c r="BP1131" s="82">
        <f>$AJ1131-$AJ1132</f>
        <v/>
      </c>
    </row>
    <row r="1132">
      <c r="AR1132" s="81">
        <f>($G1132+($H1132-$G1132)*0.5)+($P1132-($O1132+($Q1132-$O1132)*0.5))</f>
        <v/>
      </c>
      <c r="AS1132" s="81">
        <f>($J1132+($K1132-$J1132)*0.5)+($T1132-($S1132+($U1132-$S1132)*0.5))</f>
        <v/>
      </c>
      <c r="AT1132" s="82">
        <f>($J1132-$C1132)*100</f>
        <v/>
      </c>
      <c r="AU1132" s="82">
        <f>($H1132-$F1132)*100</f>
        <v/>
      </c>
      <c r="AV1132" s="82">
        <f>($J1132-$F1132)*100</f>
        <v/>
      </c>
      <c r="AW1132" s="82">
        <f>($L1132-$F1132)*100</f>
        <v/>
      </c>
      <c r="AX1132" s="82">
        <f>($J1132-$H1132)*100</f>
        <v/>
      </c>
      <c r="AY1132" s="82">
        <f>($L1132-$H1132)*100</f>
        <v/>
      </c>
      <c r="AZ1132" s="82">
        <f>($L1132-$J1132)*100</f>
        <v/>
      </c>
      <c r="BA1132" s="82">
        <f>(2*$H1132-$F1132-$J1132)*100</f>
        <v/>
      </c>
      <c r="BB1132" s="82">
        <f>(2*$J1132-$H1132-$L1132)*100</f>
        <v/>
      </c>
      <c r="BC1132" s="82">
        <f>($N1132-$F1132)*100</f>
        <v/>
      </c>
      <c r="BD1132" s="82">
        <f>($Q1132-$H1132)*100</f>
        <v/>
      </c>
      <c r="BE1132" s="82">
        <f>($S1132-$J1132)*100</f>
        <v/>
      </c>
      <c r="BF1132" s="82">
        <f>($V1132-$L1132)*100</f>
        <v/>
      </c>
      <c r="BG1132" s="82">
        <f>$AG1132-$AF1132</f>
        <v/>
      </c>
      <c r="BH1132" s="81">
        <f>IFERROR($AG1132/$AF1132,"")</f>
        <v/>
      </c>
      <c r="BI1132" s="82">
        <f>$AJ1132-$AF1132</f>
        <v/>
      </c>
      <c r="BJ1132" s="81">
        <f>IFERROR($AJ1132/$AG1132,"")</f>
        <v/>
      </c>
      <c r="BK1132" s="81">
        <f>$X1132</f>
        <v/>
      </c>
      <c r="BL1132" s="82">
        <f>($J1132-$J1133)*100</f>
        <v/>
      </c>
      <c r="BM1132" s="82">
        <f>($F1132-$F1133)*100</f>
        <v/>
      </c>
      <c r="BN1132" s="82">
        <f>$AF1132-$AF1133</f>
        <v/>
      </c>
      <c r="BO1132" s="82">
        <f>$AG1132-$AG1133</f>
        <v/>
      </c>
      <c r="BP1132" s="82">
        <f>$AJ1132-$AJ1133</f>
        <v/>
      </c>
    </row>
    <row r="1133">
      <c r="AR1133" s="81">
        <f>($G1133+($H1133-$G1133)*0.5)+($P1133-($O1133+($Q1133-$O1133)*0.5))</f>
        <v/>
      </c>
      <c r="AS1133" s="81">
        <f>($J1133+($K1133-$J1133)*0.5)+($T1133-($S1133+($U1133-$S1133)*0.5))</f>
        <v/>
      </c>
      <c r="AT1133" s="82">
        <f>($J1133-$C1133)*100</f>
        <v/>
      </c>
      <c r="AU1133" s="82">
        <f>($H1133-$F1133)*100</f>
        <v/>
      </c>
      <c r="AV1133" s="82">
        <f>($J1133-$F1133)*100</f>
        <v/>
      </c>
      <c r="AW1133" s="82">
        <f>($L1133-$F1133)*100</f>
        <v/>
      </c>
      <c r="AX1133" s="82">
        <f>($J1133-$H1133)*100</f>
        <v/>
      </c>
      <c r="AY1133" s="82">
        <f>($L1133-$H1133)*100</f>
        <v/>
      </c>
      <c r="AZ1133" s="82">
        <f>($L1133-$J1133)*100</f>
        <v/>
      </c>
      <c r="BA1133" s="82">
        <f>(2*$H1133-$F1133-$J1133)*100</f>
        <v/>
      </c>
      <c r="BB1133" s="82">
        <f>(2*$J1133-$H1133-$L1133)*100</f>
        <v/>
      </c>
      <c r="BC1133" s="82">
        <f>($N1133-$F1133)*100</f>
        <v/>
      </c>
      <c r="BD1133" s="82">
        <f>($Q1133-$H1133)*100</f>
        <v/>
      </c>
      <c r="BE1133" s="82">
        <f>($S1133-$J1133)*100</f>
        <v/>
      </c>
      <c r="BF1133" s="82">
        <f>($V1133-$L1133)*100</f>
        <v/>
      </c>
      <c r="BG1133" s="82">
        <f>$AG1133-$AF1133</f>
        <v/>
      </c>
      <c r="BH1133" s="81">
        <f>IFERROR($AG1133/$AF1133,"")</f>
        <v/>
      </c>
      <c r="BI1133" s="82">
        <f>$AJ1133-$AF1133</f>
        <v/>
      </c>
      <c r="BJ1133" s="81">
        <f>IFERROR($AJ1133/$AG1133,"")</f>
        <v/>
      </c>
      <c r="BK1133" s="81">
        <f>$X1133</f>
        <v/>
      </c>
      <c r="BL1133" s="82">
        <f>($J1133-$J1134)*100</f>
        <v/>
      </c>
      <c r="BM1133" s="82">
        <f>($F1133-$F1134)*100</f>
        <v/>
      </c>
      <c r="BN1133" s="82">
        <f>$AF1133-$AF1134</f>
        <v/>
      </c>
      <c r="BO1133" s="82">
        <f>$AG1133-$AG1134</f>
        <v/>
      </c>
      <c r="BP1133" s="82">
        <f>$AJ1133-$AJ1134</f>
        <v/>
      </c>
    </row>
    <row r="1134">
      <c r="AR1134" s="81">
        <f>($G1134+($H1134-$G1134)*0.5)+($P1134-($O1134+($Q1134-$O1134)*0.5))</f>
        <v/>
      </c>
      <c r="AS1134" s="81">
        <f>($J1134+($K1134-$J1134)*0.5)+($T1134-($S1134+($U1134-$S1134)*0.5))</f>
        <v/>
      </c>
      <c r="AT1134" s="82">
        <f>($J1134-$C1134)*100</f>
        <v/>
      </c>
      <c r="AU1134" s="82">
        <f>($H1134-$F1134)*100</f>
        <v/>
      </c>
      <c r="AV1134" s="82">
        <f>($J1134-$F1134)*100</f>
        <v/>
      </c>
      <c r="AW1134" s="82">
        <f>($L1134-$F1134)*100</f>
        <v/>
      </c>
      <c r="AX1134" s="82">
        <f>($J1134-$H1134)*100</f>
        <v/>
      </c>
      <c r="AY1134" s="82">
        <f>($L1134-$H1134)*100</f>
        <v/>
      </c>
      <c r="AZ1134" s="82">
        <f>($L1134-$J1134)*100</f>
        <v/>
      </c>
      <c r="BA1134" s="82">
        <f>(2*$H1134-$F1134-$J1134)*100</f>
        <v/>
      </c>
      <c r="BB1134" s="82">
        <f>(2*$J1134-$H1134-$L1134)*100</f>
        <v/>
      </c>
      <c r="BC1134" s="82">
        <f>($N1134-$F1134)*100</f>
        <v/>
      </c>
      <c r="BD1134" s="82">
        <f>($Q1134-$H1134)*100</f>
        <v/>
      </c>
      <c r="BE1134" s="82">
        <f>($S1134-$J1134)*100</f>
        <v/>
      </c>
      <c r="BF1134" s="82">
        <f>($V1134-$L1134)*100</f>
        <v/>
      </c>
      <c r="BG1134" s="82">
        <f>$AG1134-$AF1134</f>
        <v/>
      </c>
      <c r="BH1134" s="81">
        <f>IFERROR($AG1134/$AF1134,"")</f>
        <v/>
      </c>
      <c r="BI1134" s="82">
        <f>$AJ1134-$AF1134</f>
        <v/>
      </c>
      <c r="BJ1134" s="81">
        <f>IFERROR($AJ1134/$AG1134,"")</f>
        <v/>
      </c>
      <c r="BK1134" s="81">
        <f>$X1134</f>
        <v/>
      </c>
      <c r="BL1134" s="82">
        <f>($J1134-$J1135)*100</f>
        <v/>
      </c>
      <c r="BM1134" s="82">
        <f>($F1134-$F1135)*100</f>
        <v/>
      </c>
      <c r="BN1134" s="82">
        <f>$AF1134-$AF1135</f>
        <v/>
      </c>
      <c r="BO1134" s="82">
        <f>$AG1134-$AG1135</f>
        <v/>
      </c>
      <c r="BP1134" s="82">
        <f>$AJ1134-$AJ1135</f>
        <v/>
      </c>
    </row>
    <row r="1135">
      <c r="AR1135" s="81">
        <f>($G1135+($H1135-$G1135)*0.5)+($P1135-($O1135+($Q1135-$O1135)*0.5))</f>
        <v/>
      </c>
      <c r="AS1135" s="81">
        <f>($J1135+($K1135-$J1135)*0.5)+($T1135-($S1135+($U1135-$S1135)*0.5))</f>
        <v/>
      </c>
      <c r="AT1135" s="82">
        <f>($J1135-$C1135)*100</f>
        <v/>
      </c>
      <c r="AU1135" s="82">
        <f>($H1135-$F1135)*100</f>
        <v/>
      </c>
      <c r="AV1135" s="82">
        <f>($J1135-$F1135)*100</f>
        <v/>
      </c>
      <c r="AW1135" s="82">
        <f>($L1135-$F1135)*100</f>
        <v/>
      </c>
      <c r="AX1135" s="82">
        <f>($J1135-$H1135)*100</f>
        <v/>
      </c>
      <c r="AY1135" s="82">
        <f>($L1135-$H1135)*100</f>
        <v/>
      </c>
      <c r="AZ1135" s="82">
        <f>($L1135-$J1135)*100</f>
        <v/>
      </c>
      <c r="BA1135" s="82">
        <f>(2*$H1135-$F1135-$J1135)*100</f>
        <v/>
      </c>
      <c r="BB1135" s="82">
        <f>(2*$J1135-$H1135-$L1135)*100</f>
        <v/>
      </c>
      <c r="BC1135" s="82">
        <f>($N1135-$F1135)*100</f>
        <v/>
      </c>
      <c r="BD1135" s="82">
        <f>($Q1135-$H1135)*100</f>
        <v/>
      </c>
      <c r="BE1135" s="82">
        <f>($S1135-$J1135)*100</f>
        <v/>
      </c>
      <c r="BF1135" s="82">
        <f>($V1135-$L1135)*100</f>
        <v/>
      </c>
      <c r="BG1135" s="82">
        <f>$AG1135-$AF1135</f>
        <v/>
      </c>
      <c r="BH1135" s="81">
        <f>IFERROR($AG1135/$AF1135,"")</f>
        <v/>
      </c>
      <c r="BI1135" s="82">
        <f>$AJ1135-$AF1135</f>
        <v/>
      </c>
      <c r="BJ1135" s="81">
        <f>IFERROR($AJ1135/$AG1135,"")</f>
        <v/>
      </c>
      <c r="BK1135" s="81">
        <f>$X1135</f>
        <v/>
      </c>
      <c r="BL1135" s="82">
        <f>($J1135-$J1136)*100</f>
        <v/>
      </c>
      <c r="BM1135" s="82">
        <f>($F1135-$F1136)*100</f>
        <v/>
      </c>
      <c r="BN1135" s="82">
        <f>$AF1135-$AF1136</f>
        <v/>
      </c>
      <c r="BO1135" s="82">
        <f>$AG1135-$AG1136</f>
        <v/>
      </c>
      <c r="BP1135" s="82">
        <f>$AJ1135-$AJ1136</f>
        <v/>
      </c>
    </row>
    <row r="1136">
      <c r="AR1136" s="81">
        <f>($G1136+($H1136-$G1136)*0.5)+($P1136-($O1136+($Q1136-$O1136)*0.5))</f>
        <v/>
      </c>
      <c r="AS1136" s="81">
        <f>($J1136+($K1136-$J1136)*0.5)+($T1136-($S1136+($U1136-$S1136)*0.5))</f>
        <v/>
      </c>
      <c r="AT1136" s="82">
        <f>($J1136-$C1136)*100</f>
        <v/>
      </c>
      <c r="AU1136" s="82">
        <f>($H1136-$F1136)*100</f>
        <v/>
      </c>
      <c r="AV1136" s="82">
        <f>($J1136-$F1136)*100</f>
        <v/>
      </c>
      <c r="AW1136" s="82">
        <f>($L1136-$F1136)*100</f>
        <v/>
      </c>
      <c r="AX1136" s="82">
        <f>($J1136-$H1136)*100</f>
        <v/>
      </c>
      <c r="AY1136" s="82">
        <f>($L1136-$H1136)*100</f>
        <v/>
      </c>
      <c r="AZ1136" s="82">
        <f>($L1136-$J1136)*100</f>
        <v/>
      </c>
      <c r="BA1136" s="82">
        <f>(2*$H1136-$F1136-$J1136)*100</f>
        <v/>
      </c>
      <c r="BB1136" s="82">
        <f>(2*$J1136-$H1136-$L1136)*100</f>
        <v/>
      </c>
      <c r="BC1136" s="82">
        <f>($N1136-$F1136)*100</f>
        <v/>
      </c>
      <c r="BD1136" s="82">
        <f>($Q1136-$H1136)*100</f>
        <v/>
      </c>
      <c r="BE1136" s="82">
        <f>($S1136-$J1136)*100</f>
        <v/>
      </c>
      <c r="BF1136" s="82">
        <f>($V1136-$L1136)*100</f>
        <v/>
      </c>
      <c r="BG1136" s="82">
        <f>$AG1136-$AF1136</f>
        <v/>
      </c>
      <c r="BH1136" s="81">
        <f>IFERROR($AG1136/$AF1136,"")</f>
        <v/>
      </c>
      <c r="BI1136" s="82">
        <f>$AJ1136-$AF1136</f>
        <v/>
      </c>
      <c r="BJ1136" s="81">
        <f>IFERROR($AJ1136/$AG1136,"")</f>
        <v/>
      </c>
      <c r="BK1136" s="81">
        <f>$X1136</f>
        <v/>
      </c>
      <c r="BL1136" s="82">
        <f>($J1136-$J1137)*100</f>
        <v/>
      </c>
      <c r="BM1136" s="82">
        <f>($F1136-$F1137)*100</f>
        <v/>
      </c>
      <c r="BN1136" s="82">
        <f>$AF1136-$AF1137</f>
        <v/>
      </c>
      <c r="BO1136" s="82">
        <f>$AG1136-$AG1137</f>
        <v/>
      </c>
      <c r="BP1136" s="82">
        <f>$AJ1136-$AJ1137</f>
        <v/>
      </c>
    </row>
    <row r="1137">
      <c r="AR1137" s="81">
        <f>($G1137+($H1137-$G1137)*0.5)+($P1137-($O1137+($Q1137-$O1137)*0.5))</f>
        <v/>
      </c>
      <c r="AS1137" s="81">
        <f>($J1137+($K1137-$J1137)*0.5)+($T1137-($S1137+($U1137-$S1137)*0.5))</f>
        <v/>
      </c>
      <c r="AT1137" s="82">
        <f>($J1137-$C1137)*100</f>
        <v/>
      </c>
      <c r="AU1137" s="82">
        <f>($H1137-$F1137)*100</f>
        <v/>
      </c>
      <c r="AV1137" s="82">
        <f>($J1137-$F1137)*100</f>
        <v/>
      </c>
      <c r="AW1137" s="82">
        <f>($L1137-$F1137)*100</f>
        <v/>
      </c>
      <c r="AX1137" s="82">
        <f>($J1137-$H1137)*100</f>
        <v/>
      </c>
      <c r="AY1137" s="82">
        <f>($L1137-$H1137)*100</f>
        <v/>
      </c>
      <c r="AZ1137" s="82">
        <f>($L1137-$J1137)*100</f>
        <v/>
      </c>
      <c r="BA1137" s="82">
        <f>(2*$H1137-$F1137-$J1137)*100</f>
        <v/>
      </c>
      <c r="BB1137" s="82">
        <f>(2*$J1137-$H1137-$L1137)*100</f>
        <v/>
      </c>
      <c r="BC1137" s="82">
        <f>($N1137-$F1137)*100</f>
        <v/>
      </c>
      <c r="BD1137" s="82">
        <f>($Q1137-$H1137)*100</f>
        <v/>
      </c>
      <c r="BE1137" s="82">
        <f>($S1137-$J1137)*100</f>
        <v/>
      </c>
      <c r="BF1137" s="82">
        <f>($V1137-$L1137)*100</f>
        <v/>
      </c>
      <c r="BG1137" s="82">
        <f>$AG1137-$AF1137</f>
        <v/>
      </c>
      <c r="BH1137" s="81">
        <f>IFERROR($AG1137/$AF1137,"")</f>
        <v/>
      </c>
      <c r="BI1137" s="82">
        <f>$AJ1137-$AF1137</f>
        <v/>
      </c>
      <c r="BJ1137" s="81">
        <f>IFERROR($AJ1137/$AG1137,"")</f>
        <v/>
      </c>
      <c r="BK1137" s="81">
        <f>$X1137</f>
        <v/>
      </c>
      <c r="BL1137" s="82">
        <f>($J1137-$J1138)*100</f>
        <v/>
      </c>
      <c r="BM1137" s="82">
        <f>($F1137-$F1138)*100</f>
        <v/>
      </c>
      <c r="BN1137" s="82">
        <f>$AF1137-$AF1138</f>
        <v/>
      </c>
      <c r="BO1137" s="82">
        <f>$AG1137-$AG1138</f>
        <v/>
      </c>
      <c r="BP1137" s="82">
        <f>$AJ1137-$AJ1138</f>
        <v/>
      </c>
    </row>
    <row r="1138">
      <c r="AR1138" s="81">
        <f>($G1138+($H1138-$G1138)*0.5)+($P1138-($O1138+($Q1138-$O1138)*0.5))</f>
        <v/>
      </c>
      <c r="AS1138" s="81">
        <f>($J1138+($K1138-$J1138)*0.5)+($T1138-($S1138+($U1138-$S1138)*0.5))</f>
        <v/>
      </c>
      <c r="AT1138" s="82">
        <f>($J1138-$C1138)*100</f>
        <v/>
      </c>
      <c r="AU1138" s="82">
        <f>($H1138-$F1138)*100</f>
        <v/>
      </c>
      <c r="AV1138" s="82">
        <f>($J1138-$F1138)*100</f>
        <v/>
      </c>
      <c r="AW1138" s="82">
        <f>($L1138-$F1138)*100</f>
        <v/>
      </c>
      <c r="AX1138" s="82">
        <f>($J1138-$H1138)*100</f>
        <v/>
      </c>
      <c r="AY1138" s="82">
        <f>($L1138-$H1138)*100</f>
        <v/>
      </c>
      <c r="AZ1138" s="82">
        <f>($L1138-$J1138)*100</f>
        <v/>
      </c>
      <c r="BA1138" s="82">
        <f>(2*$H1138-$F1138-$J1138)*100</f>
        <v/>
      </c>
      <c r="BB1138" s="82">
        <f>(2*$J1138-$H1138-$L1138)*100</f>
        <v/>
      </c>
      <c r="BC1138" s="82">
        <f>($N1138-$F1138)*100</f>
        <v/>
      </c>
      <c r="BD1138" s="82">
        <f>($Q1138-$H1138)*100</f>
        <v/>
      </c>
      <c r="BE1138" s="82">
        <f>($S1138-$J1138)*100</f>
        <v/>
      </c>
      <c r="BF1138" s="82">
        <f>($V1138-$L1138)*100</f>
        <v/>
      </c>
      <c r="BG1138" s="82">
        <f>$AG1138-$AF1138</f>
        <v/>
      </c>
      <c r="BH1138" s="81">
        <f>IFERROR($AG1138/$AF1138,"")</f>
        <v/>
      </c>
      <c r="BI1138" s="82">
        <f>$AJ1138-$AF1138</f>
        <v/>
      </c>
      <c r="BJ1138" s="81">
        <f>IFERROR($AJ1138/$AG1138,"")</f>
        <v/>
      </c>
      <c r="BK1138" s="81">
        <f>$X1138</f>
        <v/>
      </c>
      <c r="BL1138" s="82">
        <f>($J1138-$J1139)*100</f>
        <v/>
      </c>
      <c r="BM1138" s="82">
        <f>($F1138-$F1139)*100</f>
        <v/>
      </c>
      <c r="BN1138" s="82">
        <f>$AF1138-$AF1139</f>
        <v/>
      </c>
      <c r="BO1138" s="82">
        <f>$AG1138-$AG1139</f>
        <v/>
      </c>
      <c r="BP1138" s="82">
        <f>$AJ1138-$AJ1139</f>
        <v/>
      </c>
    </row>
    <row r="1139">
      <c r="AR1139" s="81">
        <f>($G1139+($H1139-$G1139)*0.5)+($P1139-($O1139+($Q1139-$O1139)*0.5))</f>
        <v/>
      </c>
      <c r="AS1139" s="81">
        <f>($J1139+($K1139-$J1139)*0.5)+($T1139-($S1139+($U1139-$S1139)*0.5))</f>
        <v/>
      </c>
      <c r="AT1139" s="82">
        <f>($J1139-$C1139)*100</f>
        <v/>
      </c>
      <c r="AU1139" s="82">
        <f>($H1139-$F1139)*100</f>
        <v/>
      </c>
      <c r="AV1139" s="82">
        <f>($J1139-$F1139)*100</f>
        <v/>
      </c>
      <c r="AW1139" s="82">
        <f>($L1139-$F1139)*100</f>
        <v/>
      </c>
      <c r="AX1139" s="82">
        <f>($J1139-$H1139)*100</f>
        <v/>
      </c>
      <c r="AY1139" s="82">
        <f>($L1139-$H1139)*100</f>
        <v/>
      </c>
      <c r="AZ1139" s="82">
        <f>($L1139-$J1139)*100</f>
        <v/>
      </c>
      <c r="BA1139" s="82">
        <f>(2*$H1139-$F1139-$J1139)*100</f>
        <v/>
      </c>
      <c r="BB1139" s="82">
        <f>(2*$J1139-$H1139-$L1139)*100</f>
        <v/>
      </c>
      <c r="BC1139" s="82">
        <f>($N1139-$F1139)*100</f>
        <v/>
      </c>
      <c r="BD1139" s="82">
        <f>($Q1139-$H1139)*100</f>
        <v/>
      </c>
      <c r="BE1139" s="82">
        <f>($S1139-$J1139)*100</f>
        <v/>
      </c>
      <c r="BF1139" s="82">
        <f>($V1139-$L1139)*100</f>
        <v/>
      </c>
      <c r="BG1139" s="82">
        <f>$AG1139-$AF1139</f>
        <v/>
      </c>
      <c r="BH1139" s="81">
        <f>IFERROR($AG1139/$AF1139,"")</f>
        <v/>
      </c>
      <c r="BI1139" s="82">
        <f>$AJ1139-$AF1139</f>
        <v/>
      </c>
      <c r="BJ1139" s="81">
        <f>IFERROR($AJ1139/$AG1139,"")</f>
        <v/>
      </c>
      <c r="BK1139" s="81">
        <f>$X1139</f>
        <v/>
      </c>
      <c r="BL1139" s="82">
        <f>($J1139-$J1140)*100</f>
        <v/>
      </c>
      <c r="BM1139" s="82">
        <f>($F1139-$F1140)*100</f>
        <v/>
      </c>
      <c r="BN1139" s="82">
        <f>$AF1139-$AF1140</f>
        <v/>
      </c>
      <c r="BO1139" s="82">
        <f>$AG1139-$AG1140</f>
        <v/>
      </c>
      <c r="BP1139" s="82">
        <f>$AJ1139-$AJ1140</f>
        <v/>
      </c>
    </row>
    <row r="1140">
      <c r="AR1140" s="81">
        <f>($G1140+($H1140-$G1140)*0.5)+($P1140-($O1140+($Q1140-$O1140)*0.5))</f>
        <v/>
      </c>
      <c r="AS1140" s="81">
        <f>($J1140+($K1140-$J1140)*0.5)+($T1140-($S1140+($U1140-$S1140)*0.5))</f>
        <v/>
      </c>
      <c r="AT1140" s="82">
        <f>($J1140-$C1140)*100</f>
        <v/>
      </c>
      <c r="AU1140" s="82">
        <f>($H1140-$F1140)*100</f>
        <v/>
      </c>
      <c r="AV1140" s="82">
        <f>($J1140-$F1140)*100</f>
        <v/>
      </c>
      <c r="AW1140" s="82">
        <f>($L1140-$F1140)*100</f>
        <v/>
      </c>
      <c r="AX1140" s="82">
        <f>($J1140-$H1140)*100</f>
        <v/>
      </c>
      <c r="AY1140" s="82">
        <f>($L1140-$H1140)*100</f>
        <v/>
      </c>
      <c r="AZ1140" s="82">
        <f>($L1140-$J1140)*100</f>
        <v/>
      </c>
      <c r="BA1140" s="82">
        <f>(2*$H1140-$F1140-$J1140)*100</f>
        <v/>
      </c>
      <c r="BB1140" s="82">
        <f>(2*$J1140-$H1140-$L1140)*100</f>
        <v/>
      </c>
      <c r="BC1140" s="82">
        <f>($N1140-$F1140)*100</f>
        <v/>
      </c>
      <c r="BD1140" s="82">
        <f>($Q1140-$H1140)*100</f>
        <v/>
      </c>
      <c r="BE1140" s="82">
        <f>($S1140-$J1140)*100</f>
        <v/>
      </c>
      <c r="BF1140" s="82">
        <f>($V1140-$L1140)*100</f>
        <v/>
      </c>
      <c r="BG1140" s="82">
        <f>$AG1140-$AF1140</f>
        <v/>
      </c>
      <c r="BH1140" s="81">
        <f>IFERROR($AG1140/$AF1140,"")</f>
        <v/>
      </c>
      <c r="BI1140" s="82">
        <f>$AJ1140-$AF1140</f>
        <v/>
      </c>
      <c r="BJ1140" s="81">
        <f>IFERROR($AJ1140/$AG1140,"")</f>
        <v/>
      </c>
      <c r="BK1140" s="81">
        <f>$X1140</f>
        <v/>
      </c>
      <c r="BL1140" s="82">
        <f>($J1140-$J1141)*100</f>
        <v/>
      </c>
      <c r="BM1140" s="82">
        <f>($F1140-$F1141)*100</f>
        <v/>
      </c>
      <c r="BN1140" s="82">
        <f>$AF1140-$AF1141</f>
        <v/>
      </c>
      <c r="BO1140" s="82">
        <f>$AG1140-$AG1141</f>
        <v/>
      </c>
      <c r="BP1140" s="82">
        <f>$AJ1140-$AJ1141</f>
        <v/>
      </c>
    </row>
    <row r="1141">
      <c r="AR1141" s="81">
        <f>($G1141+($H1141-$G1141)*0.5)+($P1141-($O1141+($Q1141-$O1141)*0.5))</f>
        <v/>
      </c>
      <c r="AS1141" s="81">
        <f>($J1141+($K1141-$J1141)*0.5)+($T1141-($S1141+($U1141-$S1141)*0.5))</f>
        <v/>
      </c>
      <c r="AT1141" s="82">
        <f>($J1141-$C1141)*100</f>
        <v/>
      </c>
      <c r="AU1141" s="82">
        <f>($H1141-$F1141)*100</f>
        <v/>
      </c>
      <c r="AV1141" s="82">
        <f>($J1141-$F1141)*100</f>
        <v/>
      </c>
      <c r="AW1141" s="82">
        <f>($L1141-$F1141)*100</f>
        <v/>
      </c>
      <c r="AX1141" s="82">
        <f>($J1141-$H1141)*100</f>
        <v/>
      </c>
      <c r="AY1141" s="82">
        <f>($L1141-$H1141)*100</f>
        <v/>
      </c>
      <c r="AZ1141" s="82">
        <f>($L1141-$J1141)*100</f>
        <v/>
      </c>
      <c r="BA1141" s="82">
        <f>(2*$H1141-$F1141-$J1141)*100</f>
        <v/>
      </c>
      <c r="BB1141" s="82">
        <f>(2*$J1141-$H1141-$L1141)*100</f>
        <v/>
      </c>
      <c r="BC1141" s="82">
        <f>($N1141-$F1141)*100</f>
        <v/>
      </c>
      <c r="BD1141" s="82">
        <f>($Q1141-$H1141)*100</f>
        <v/>
      </c>
      <c r="BE1141" s="82">
        <f>($S1141-$J1141)*100</f>
        <v/>
      </c>
      <c r="BF1141" s="82">
        <f>($V1141-$L1141)*100</f>
        <v/>
      </c>
      <c r="BG1141" s="82">
        <f>$AG1141-$AF1141</f>
        <v/>
      </c>
      <c r="BH1141" s="81">
        <f>IFERROR($AG1141/$AF1141,"")</f>
        <v/>
      </c>
      <c r="BI1141" s="82">
        <f>$AJ1141-$AF1141</f>
        <v/>
      </c>
      <c r="BJ1141" s="81">
        <f>IFERROR($AJ1141/$AG1141,"")</f>
        <v/>
      </c>
      <c r="BK1141" s="81">
        <f>$X1141</f>
        <v/>
      </c>
      <c r="BL1141" s="82">
        <f>($J1141-$J1142)*100</f>
        <v/>
      </c>
      <c r="BM1141" s="82">
        <f>($F1141-$F1142)*100</f>
        <v/>
      </c>
      <c r="BN1141" s="82">
        <f>$AF1141-$AF1142</f>
        <v/>
      </c>
      <c r="BO1141" s="82">
        <f>$AG1141-$AG1142</f>
        <v/>
      </c>
      <c r="BP1141" s="82">
        <f>$AJ1141-$AJ1142</f>
        <v/>
      </c>
    </row>
    <row r="1142">
      <c r="AR1142" s="81">
        <f>($G1142+($H1142-$G1142)*0.5)+($P1142-($O1142+($Q1142-$O1142)*0.5))</f>
        <v/>
      </c>
      <c r="AS1142" s="81">
        <f>($J1142+($K1142-$J1142)*0.5)+($T1142-($S1142+($U1142-$S1142)*0.5))</f>
        <v/>
      </c>
      <c r="AT1142" s="82">
        <f>($J1142-$C1142)*100</f>
        <v/>
      </c>
      <c r="AU1142" s="82">
        <f>($H1142-$F1142)*100</f>
        <v/>
      </c>
      <c r="AV1142" s="82">
        <f>($J1142-$F1142)*100</f>
        <v/>
      </c>
      <c r="AW1142" s="82">
        <f>($L1142-$F1142)*100</f>
        <v/>
      </c>
      <c r="AX1142" s="82">
        <f>($J1142-$H1142)*100</f>
        <v/>
      </c>
      <c r="AY1142" s="82">
        <f>($L1142-$H1142)*100</f>
        <v/>
      </c>
      <c r="AZ1142" s="82">
        <f>($L1142-$J1142)*100</f>
        <v/>
      </c>
      <c r="BA1142" s="82">
        <f>(2*$H1142-$F1142-$J1142)*100</f>
        <v/>
      </c>
      <c r="BB1142" s="82">
        <f>(2*$J1142-$H1142-$L1142)*100</f>
        <v/>
      </c>
      <c r="BC1142" s="82">
        <f>($N1142-$F1142)*100</f>
        <v/>
      </c>
      <c r="BD1142" s="82">
        <f>($Q1142-$H1142)*100</f>
        <v/>
      </c>
      <c r="BE1142" s="82">
        <f>($S1142-$J1142)*100</f>
        <v/>
      </c>
      <c r="BF1142" s="82">
        <f>($V1142-$L1142)*100</f>
        <v/>
      </c>
      <c r="BG1142" s="82">
        <f>$AG1142-$AF1142</f>
        <v/>
      </c>
      <c r="BH1142" s="81">
        <f>IFERROR($AG1142/$AF1142,"")</f>
        <v/>
      </c>
      <c r="BI1142" s="82">
        <f>$AJ1142-$AF1142</f>
        <v/>
      </c>
      <c r="BJ1142" s="81">
        <f>IFERROR($AJ1142/$AG1142,"")</f>
        <v/>
      </c>
      <c r="BK1142" s="81">
        <f>$X1142</f>
        <v/>
      </c>
      <c r="BL1142" s="82">
        <f>($J1142-$J1143)*100</f>
        <v/>
      </c>
      <c r="BM1142" s="82">
        <f>($F1142-$F1143)*100</f>
        <v/>
      </c>
      <c r="BN1142" s="82">
        <f>$AF1142-$AF1143</f>
        <v/>
      </c>
      <c r="BO1142" s="82">
        <f>$AG1142-$AG1143</f>
        <v/>
      </c>
      <c r="BP1142" s="82">
        <f>$AJ1142-$AJ1143</f>
        <v/>
      </c>
    </row>
    <row r="1143">
      <c r="AR1143" s="81">
        <f>($G1143+($H1143-$G1143)*0.5)+($P1143-($O1143+($Q1143-$O1143)*0.5))</f>
        <v/>
      </c>
      <c r="AS1143" s="81">
        <f>($J1143+($K1143-$J1143)*0.5)+($T1143-($S1143+($U1143-$S1143)*0.5))</f>
        <v/>
      </c>
      <c r="AT1143" s="82">
        <f>($J1143-$C1143)*100</f>
        <v/>
      </c>
      <c r="AU1143" s="82">
        <f>($H1143-$F1143)*100</f>
        <v/>
      </c>
      <c r="AV1143" s="82">
        <f>($J1143-$F1143)*100</f>
        <v/>
      </c>
      <c r="AW1143" s="82">
        <f>($L1143-$F1143)*100</f>
        <v/>
      </c>
      <c r="AX1143" s="82">
        <f>($J1143-$H1143)*100</f>
        <v/>
      </c>
      <c r="AY1143" s="82">
        <f>($L1143-$H1143)*100</f>
        <v/>
      </c>
      <c r="AZ1143" s="82">
        <f>($L1143-$J1143)*100</f>
        <v/>
      </c>
      <c r="BA1143" s="82">
        <f>(2*$H1143-$F1143-$J1143)*100</f>
        <v/>
      </c>
      <c r="BB1143" s="82">
        <f>(2*$J1143-$H1143-$L1143)*100</f>
        <v/>
      </c>
      <c r="BC1143" s="82">
        <f>($N1143-$F1143)*100</f>
        <v/>
      </c>
      <c r="BD1143" s="82">
        <f>($Q1143-$H1143)*100</f>
        <v/>
      </c>
      <c r="BE1143" s="82">
        <f>($S1143-$J1143)*100</f>
        <v/>
      </c>
      <c r="BF1143" s="82">
        <f>($V1143-$L1143)*100</f>
        <v/>
      </c>
      <c r="BG1143" s="82">
        <f>$AG1143-$AF1143</f>
        <v/>
      </c>
      <c r="BH1143" s="81">
        <f>IFERROR($AG1143/$AF1143,"")</f>
        <v/>
      </c>
      <c r="BI1143" s="82">
        <f>$AJ1143-$AF1143</f>
        <v/>
      </c>
      <c r="BJ1143" s="81">
        <f>IFERROR($AJ1143/$AG1143,"")</f>
        <v/>
      </c>
      <c r="BK1143" s="81">
        <f>$X1143</f>
        <v/>
      </c>
      <c r="BL1143" s="82">
        <f>($J1143-$J1144)*100</f>
        <v/>
      </c>
      <c r="BM1143" s="82">
        <f>($F1143-$F1144)*100</f>
        <v/>
      </c>
      <c r="BN1143" s="82">
        <f>$AF1143-$AF1144</f>
        <v/>
      </c>
      <c r="BO1143" s="82">
        <f>$AG1143-$AG1144</f>
        <v/>
      </c>
      <c r="BP1143" s="82">
        <f>$AJ1143-$AJ1144</f>
        <v/>
      </c>
    </row>
    <row r="1144">
      <c r="AR1144" s="81">
        <f>($G1144+($H1144-$G1144)*0.5)+($P1144-($O1144+($Q1144-$O1144)*0.5))</f>
        <v/>
      </c>
      <c r="AS1144" s="81">
        <f>($J1144+($K1144-$J1144)*0.5)+($T1144-($S1144+($U1144-$S1144)*0.5))</f>
        <v/>
      </c>
      <c r="AT1144" s="82">
        <f>($J1144-$C1144)*100</f>
        <v/>
      </c>
      <c r="AU1144" s="82">
        <f>($H1144-$F1144)*100</f>
        <v/>
      </c>
      <c r="AV1144" s="82">
        <f>($J1144-$F1144)*100</f>
        <v/>
      </c>
      <c r="AW1144" s="82">
        <f>($L1144-$F1144)*100</f>
        <v/>
      </c>
      <c r="AX1144" s="82">
        <f>($J1144-$H1144)*100</f>
        <v/>
      </c>
      <c r="AY1144" s="82">
        <f>($L1144-$H1144)*100</f>
        <v/>
      </c>
      <c r="AZ1144" s="82">
        <f>($L1144-$J1144)*100</f>
        <v/>
      </c>
      <c r="BA1144" s="82">
        <f>(2*$H1144-$F1144-$J1144)*100</f>
        <v/>
      </c>
      <c r="BB1144" s="82">
        <f>(2*$J1144-$H1144-$L1144)*100</f>
        <v/>
      </c>
      <c r="BC1144" s="82">
        <f>($N1144-$F1144)*100</f>
        <v/>
      </c>
      <c r="BD1144" s="82">
        <f>($Q1144-$H1144)*100</f>
        <v/>
      </c>
      <c r="BE1144" s="82">
        <f>($S1144-$J1144)*100</f>
        <v/>
      </c>
      <c r="BF1144" s="82">
        <f>($V1144-$L1144)*100</f>
        <v/>
      </c>
      <c r="BG1144" s="82">
        <f>$AG1144-$AF1144</f>
        <v/>
      </c>
      <c r="BH1144" s="81">
        <f>IFERROR($AG1144/$AF1144,"")</f>
        <v/>
      </c>
      <c r="BI1144" s="82">
        <f>$AJ1144-$AF1144</f>
        <v/>
      </c>
      <c r="BJ1144" s="81">
        <f>IFERROR($AJ1144/$AG1144,"")</f>
        <v/>
      </c>
      <c r="BK1144" s="81">
        <f>$X1144</f>
        <v/>
      </c>
      <c r="BL1144" s="82">
        <f>($J1144-$J1145)*100</f>
        <v/>
      </c>
      <c r="BM1144" s="82">
        <f>($F1144-$F1145)*100</f>
        <v/>
      </c>
      <c r="BN1144" s="82">
        <f>$AF1144-$AF1145</f>
        <v/>
      </c>
      <c r="BO1144" s="82">
        <f>$AG1144-$AG1145</f>
        <v/>
      </c>
      <c r="BP1144" s="82">
        <f>$AJ1144-$AJ1145</f>
        <v/>
      </c>
    </row>
    <row r="1145">
      <c r="AR1145" s="81">
        <f>($G1145+($H1145-$G1145)*0.5)+($P1145-($O1145+($Q1145-$O1145)*0.5))</f>
        <v/>
      </c>
      <c r="AS1145" s="81">
        <f>($J1145+($K1145-$J1145)*0.5)+($T1145-($S1145+($U1145-$S1145)*0.5))</f>
        <v/>
      </c>
      <c r="AT1145" s="82">
        <f>($J1145-$C1145)*100</f>
        <v/>
      </c>
      <c r="AU1145" s="82">
        <f>($H1145-$F1145)*100</f>
        <v/>
      </c>
      <c r="AV1145" s="82">
        <f>($J1145-$F1145)*100</f>
        <v/>
      </c>
      <c r="AW1145" s="82">
        <f>($L1145-$F1145)*100</f>
        <v/>
      </c>
      <c r="AX1145" s="82">
        <f>($J1145-$H1145)*100</f>
        <v/>
      </c>
      <c r="AY1145" s="82">
        <f>($L1145-$H1145)*100</f>
        <v/>
      </c>
      <c r="AZ1145" s="82">
        <f>($L1145-$J1145)*100</f>
        <v/>
      </c>
      <c r="BA1145" s="82">
        <f>(2*$H1145-$F1145-$J1145)*100</f>
        <v/>
      </c>
      <c r="BB1145" s="82">
        <f>(2*$J1145-$H1145-$L1145)*100</f>
        <v/>
      </c>
      <c r="BC1145" s="82">
        <f>($N1145-$F1145)*100</f>
        <v/>
      </c>
      <c r="BD1145" s="82">
        <f>($Q1145-$H1145)*100</f>
        <v/>
      </c>
      <c r="BE1145" s="82">
        <f>($S1145-$J1145)*100</f>
        <v/>
      </c>
      <c r="BF1145" s="82">
        <f>($V1145-$L1145)*100</f>
        <v/>
      </c>
      <c r="BG1145" s="82">
        <f>$AG1145-$AF1145</f>
        <v/>
      </c>
      <c r="BH1145" s="81">
        <f>IFERROR($AG1145/$AF1145,"")</f>
        <v/>
      </c>
      <c r="BI1145" s="82">
        <f>$AJ1145-$AF1145</f>
        <v/>
      </c>
      <c r="BJ1145" s="81">
        <f>IFERROR($AJ1145/$AG1145,"")</f>
        <v/>
      </c>
      <c r="BK1145" s="81">
        <f>$X1145</f>
        <v/>
      </c>
      <c r="BL1145" s="82">
        <f>($J1145-$J1146)*100</f>
        <v/>
      </c>
      <c r="BM1145" s="82">
        <f>($F1145-$F1146)*100</f>
        <v/>
      </c>
      <c r="BN1145" s="82">
        <f>$AF1145-$AF1146</f>
        <v/>
      </c>
      <c r="BO1145" s="82">
        <f>$AG1145-$AG1146</f>
        <v/>
      </c>
      <c r="BP1145" s="82">
        <f>$AJ1145-$AJ1146</f>
        <v/>
      </c>
    </row>
    <row r="1146">
      <c r="AR1146" s="81">
        <f>($G1146+($H1146-$G1146)*0.5)+($P1146-($O1146+($Q1146-$O1146)*0.5))</f>
        <v/>
      </c>
      <c r="AS1146" s="81">
        <f>($J1146+($K1146-$J1146)*0.5)+($T1146-($S1146+($U1146-$S1146)*0.5))</f>
        <v/>
      </c>
      <c r="AT1146" s="82">
        <f>($J1146-$C1146)*100</f>
        <v/>
      </c>
      <c r="AU1146" s="82">
        <f>($H1146-$F1146)*100</f>
        <v/>
      </c>
      <c r="AV1146" s="82">
        <f>($J1146-$F1146)*100</f>
        <v/>
      </c>
      <c r="AW1146" s="82">
        <f>($L1146-$F1146)*100</f>
        <v/>
      </c>
      <c r="AX1146" s="82">
        <f>($J1146-$H1146)*100</f>
        <v/>
      </c>
      <c r="AY1146" s="82">
        <f>($L1146-$H1146)*100</f>
        <v/>
      </c>
      <c r="AZ1146" s="82">
        <f>($L1146-$J1146)*100</f>
        <v/>
      </c>
      <c r="BA1146" s="82">
        <f>(2*$H1146-$F1146-$J1146)*100</f>
        <v/>
      </c>
      <c r="BB1146" s="82">
        <f>(2*$J1146-$H1146-$L1146)*100</f>
        <v/>
      </c>
      <c r="BC1146" s="82">
        <f>($N1146-$F1146)*100</f>
        <v/>
      </c>
      <c r="BD1146" s="82">
        <f>($Q1146-$H1146)*100</f>
        <v/>
      </c>
      <c r="BE1146" s="82">
        <f>($S1146-$J1146)*100</f>
        <v/>
      </c>
      <c r="BF1146" s="82">
        <f>($V1146-$L1146)*100</f>
        <v/>
      </c>
      <c r="BG1146" s="82">
        <f>$AG1146-$AF1146</f>
        <v/>
      </c>
      <c r="BH1146" s="81">
        <f>IFERROR($AG1146/$AF1146,"")</f>
        <v/>
      </c>
      <c r="BI1146" s="82">
        <f>$AJ1146-$AF1146</f>
        <v/>
      </c>
      <c r="BJ1146" s="81">
        <f>IFERROR($AJ1146/$AG1146,"")</f>
        <v/>
      </c>
      <c r="BK1146" s="81">
        <f>$X1146</f>
        <v/>
      </c>
      <c r="BL1146" s="82">
        <f>($J1146-$J1147)*100</f>
        <v/>
      </c>
      <c r="BM1146" s="82">
        <f>($F1146-$F1147)*100</f>
        <v/>
      </c>
      <c r="BN1146" s="82">
        <f>$AF1146-$AF1147</f>
        <v/>
      </c>
      <c r="BO1146" s="82">
        <f>$AG1146-$AG1147</f>
        <v/>
      </c>
      <c r="BP1146" s="82">
        <f>$AJ1146-$AJ1147</f>
        <v/>
      </c>
    </row>
    <row r="1147">
      <c r="AR1147" s="81">
        <f>($G1147+($H1147-$G1147)*0.5)+($P1147-($O1147+($Q1147-$O1147)*0.5))</f>
        <v/>
      </c>
      <c r="AS1147" s="81">
        <f>($J1147+($K1147-$J1147)*0.5)+($T1147-($S1147+($U1147-$S1147)*0.5))</f>
        <v/>
      </c>
      <c r="AT1147" s="82">
        <f>($J1147-$C1147)*100</f>
        <v/>
      </c>
      <c r="AU1147" s="82">
        <f>($H1147-$F1147)*100</f>
        <v/>
      </c>
      <c r="AV1147" s="82">
        <f>($J1147-$F1147)*100</f>
        <v/>
      </c>
      <c r="AW1147" s="82">
        <f>($L1147-$F1147)*100</f>
        <v/>
      </c>
      <c r="AX1147" s="82">
        <f>($J1147-$H1147)*100</f>
        <v/>
      </c>
      <c r="AY1147" s="82">
        <f>($L1147-$H1147)*100</f>
        <v/>
      </c>
      <c r="AZ1147" s="82">
        <f>($L1147-$J1147)*100</f>
        <v/>
      </c>
      <c r="BA1147" s="82">
        <f>(2*$H1147-$F1147-$J1147)*100</f>
        <v/>
      </c>
      <c r="BB1147" s="82">
        <f>(2*$J1147-$H1147-$L1147)*100</f>
        <v/>
      </c>
      <c r="BC1147" s="82">
        <f>($N1147-$F1147)*100</f>
        <v/>
      </c>
      <c r="BD1147" s="82">
        <f>($Q1147-$H1147)*100</f>
        <v/>
      </c>
      <c r="BE1147" s="82">
        <f>($S1147-$J1147)*100</f>
        <v/>
      </c>
      <c r="BF1147" s="82">
        <f>($V1147-$L1147)*100</f>
        <v/>
      </c>
      <c r="BG1147" s="82">
        <f>$AG1147-$AF1147</f>
        <v/>
      </c>
      <c r="BH1147" s="81">
        <f>IFERROR($AG1147/$AF1147,"")</f>
        <v/>
      </c>
      <c r="BI1147" s="82">
        <f>$AJ1147-$AF1147</f>
        <v/>
      </c>
      <c r="BJ1147" s="81">
        <f>IFERROR($AJ1147/$AG1147,"")</f>
        <v/>
      </c>
      <c r="BK1147" s="81">
        <f>$X1147</f>
        <v/>
      </c>
      <c r="BL1147" s="82">
        <f>($J1147-$J1148)*100</f>
        <v/>
      </c>
      <c r="BM1147" s="82">
        <f>($F1147-$F1148)*100</f>
        <v/>
      </c>
      <c r="BN1147" s="82">
        <f>$AF1147-$AF1148</f>
        <v/>
      </c>
      <c r="BO1147" s="82">
        <f>$AG1147-$AG1148</f>
        <v/>
      </c>
      <c r="BP1147" s="82">
        <f>$AJ1147-$AJ1148</f>
        <v/>
      </c>
    </row>
    <row r="1148">
      <c r="AR1148" s="81">
        <f>($G1148+($H1148-$G1148)*0.5)+($P1148-($O1148+($Q1148-$O1148)*0.5))</f>
        <v/>
      </c>
      <c r="AS1148" s="81">
        <f>($J1148+($K1148-$J1148)*0.5)+($T1148-($S1148+($U1148-$S1148)*0.5))</f>
        <v/>
      </c>
      <c r="AT1148" s="82">
        <f>($J1148-$C1148)*100</f>
        <v/>
      </c>
      <c r="AU1148" s="82">
        <f>($H1148-$F1148)*100</f>
        <v/>
      </c>
      <c r="AV1148" s="82">
        <f>($J1148-$F1148)*100</f>
        <v/>
      </c>
      <c r="AW1148" s="82">
        <f>($L1148-$F1148)*100</f>
        <v/>
      </c>
      <c r="AX1148" s="82">
        <f>($J1148-$H1148)*100</f>
        <v/>
      </c>
      <c r="AY1148" s="82">
        <f>($L1148-$H1148)*100</f>
        <v/>
      </c>
      <c r="AZ1148" s="82">
        <f>($L1148-$J1148)*100</f>
        <v/>
      </c>
      <c r="BA1148" s="82">
        <f>(2*$H1148-$F1148-$J1148)*100</f>
        <v/>
      </c>
      <c r="BB1148" s="82">
        <f>(2*$J1148-$H1148-$L1148)*100</f>
        <v/>
      </c>
      <c r="BC1148" s="82">
        <f>($N1148-$F1148)*100</f>
        <v/>
      </c>
      <c r="BD1148" s="82">
        <f>($Q1148-$H1148)*100</f>
        <v/>
      </c>
      <c r="BE1148" s="82">
        <f>($S1148-$J1148)*100</f>
        <v/>
      </c>
      <c r="BF1148" s="82">
        <f>($V1148-$L1148)*100</f>
        <v/>
      </c>
      <c r="BG1148" s="82">
        <f>$AG1148-$AF1148</f>
        <v/>
      </c>
      <c r="BH1148" s="81">
        <f>IFERROR($AG1148/$AF1148,"")</f>
        <v/>
      </c>
      <c r="BI1148" s="82">
        <f>$AJ1148-$AF1148</f>
        <v/>
      </c>
      <c r="BJ1148" s="81">
        <f>IFERROR($AJ1148/$AG1148,"")</f>
        <v/>
      </c>
      <c r="BK1148" s="81">
        <f>$X1148</f>
        <v/>
      </c>
      <c r="BL1148" s="82">
        <f>($J1148-$J1149)*100</f>
        <v/>
      </c>
      <c r="BM1148" s="82">
        <f>($F1148-$F1149)*100</f>
        <v/>
      </c>
      <c r="BN1148" s="82">
        <f>$AF1148-$AF1149</f>
        <v/>
      </c>
      <c r="BO1148" s="82">
        <f>$AG1148-$AG1149</f>
        <v/>
      </c>
      <c r="BP1148" s="82">
        <f>$AJ1148-$AJ1149</f>
        <v/>
      </c>
    </row>
    <row r="1149">
      <c r="AR1149" s="81">
        <f>($G1149+($H1149-$G1149)*0.5)+($P1149-($O1149+($Q1149-$O1149)*0.5))</f>
        <v/>
      </c>
      <c r="AS1149" s="81">
        <f>($J1149+($K1149-$J1149)*0.5)+($T1149-($S1149+($U1149-$S1149)*0.5))</f>
        <v/>
      </c>
      <c r="AT1149" s="82">
        <f>($J1149-$C1149)*100</f>
        <v/>
      </c>
      <c r="AU1149" s="82">
        <f>($H1149-$F1149)*100</f>
        <v/>
      </c>
      <c r="AV1149" s="82">
        <f>($J1149-$F1149)*100</f>
        <v/>
      </c>
      <c r="AW1149" s="82">
        <f>($L1149-$F1149)*100</f>
        <v/>
      </c>
      <c r="AX1149" s="82">
        <f>($J1149-$H1149)*100</f>
        <v/>
      </c>
      <c r="AY1149" s="82">
        <f>($L1149-$H1149)*100</f>
        <v/>
      </c>
      <c r="AZ1149" s="82">
        <f>($L1149-$J1149)*100</f>
        <v/>
      </c>
      <c r="BA1149" s="82">
        <f>(2*$H1149-$F1149-$J1149)*100</f>
        <v/>
      </c>
      <c r="BB1149" s="82">
        <f>(2*$J1149-$H1149-$L1149)*100</f>
        <v/>
      </c>
      <c r="BC1149" s="82">
        <f>($N1149-$F1149)*100</f>
        <v/>
      </c>
      <c r="BD1149" s="82">
        <f>($Q1149-$H1149)*100</f>
        <v/>
      </c>
      <c r="BE1149" s="82">
        <f>($S1149-$J1149)*100</f>
        <v/>
      </c>
      <c r="BF1149" s="82">
        <f>($V1149-$L1149)*100</f>
        <v/>
      </c>
      <c r="BG1149" s="82">
        <f>$AG1149-$AF1149</f>
        <v/>
      </c>
      <c r="BH1149" s="81">
        <f>IFERROR($AG1149/$AF1149,"")</f>
        <v/>
      </c>
      <c r="BI1149" s="82">
        <f>$AJ1149-$AF1149</f>
        <v/>
      </c>
      <c r="BJ1149" s="81">
        <f>IFERROR($AJ1149/$AG1149,"")</f>
        <v/>
      </c>
      <c r="BK1149" s="81">
        <f>$X1149</f>
        <v/>
      </c>
      <c r="BL1149" s="82">
        <f>($J1149-$J1150)*100</f>
        <v/>
      </c>
      <c r="BM1149" s="82">
        <f>($F1149-$F1150)*100</f>
        <v/>
      </c>
      <c r="BN1149" s="82">
        <f>$AF1149-$AF1150</f>
        <v/>
      </c>
      <c r="BO1149" s="82">
        <f>$AG1149-$AG1150</f>
        <v/>
      </c>
      <c r="BP1149" s="82">
        <f>$AJ1149-$AJ1150</f>
        <v/>
      </c>
    </row>
    <row r="1150">
      <c r="AR1150" s="81">
        <f>($G1150+($H1150-$G1150)*0.5)+($P1150-($O1150+($Q1150-$O1150)*0.5))</f>
        <v/>
      </c>
      <c r="AS1150" s="81">
        <f>($J1150+($K1150-$J1150)*0.5)+($T1150-($S1150+($U1150-$S1150)*0.5))</f>
        <v/>
      </c>
      <c r="AT1150" s="82">
        <f>($J1150-$C1150)*100</f>
        <v/>
      </c>
      <c r="AU1150" s="82">
        <f>($H1150-$F1150)*100</f>
        <v/>
      </c>
      <c r="AV1150" s="82">
        <f>($J1150-$F1150)*100</f>
        <v/>
      </c>
      <c r="AW1150" s="82">
        <f>($L1150-$F1150)*100</f>
        <v/>
      </c>
      <c r="AX1150" s="82">
        <f>($J1150-$H1150)*100</f>
        <v/>
      </c>
      <c r="AY1150" s="82">
        <f>($L1150-$H1150)*100</f>
        <v/>
      </c>
      <c r="AZ1150" s="82">
        <f>($L1150-$J1150)*100</f>
        <v/>
      </c>
      <c r="BA1150" s="82">
        <f>(2*$H1150-$F1150-$J1150)*100</f>
        <v/>
      </c>
      <c r="BB1150" s="82">
        <f>(2*$J1150-$H1150-$L1150)*100</f>
        <v/>
      </c>
      <c r="BC1150" s="82">
        <f>($N1150-$F1150)*100</f>
        <v/>
      </c>
      <c r="BD1150" s="82">
        <f>($Q1150-$H1150)*100</f>
        <v/>
      </c>
      <c r="BE1150" s="82">
        <f>($S1150-$J1150)*100</f>
        <v/>
      </c>
      <c r="BF1150" s="82">
        <f>($V1150-$L1150)*100</f>
        <v/>
      </c>
      <c r="BG1150" s="82">
        <f>$AG1150-$AF1150</f>
        <v/>
      </c>
      <c r="BH1150" s="81">
        <f>IFERROR($AG1150/$AF1150,"")</f>
        <v/>
      </c>
      <c r="BI1150" s="82">
        <f>$AJ1150-$AF1150</f>
        <v/>
      </c>
      <c r="BJ1150" s="81">
        <f>IFERROR($AJ1150/$AG1150,"")</f>
        <v/>
      </c>
      <c r="BK1150" s="81">
        <f>$X1150</f>
        <v/>
      </c>
      <c r="BL1150" s="82">
        <f>($J1150-$J1151)*100</f>
        <v/>
      </c>
      <c r="BM1150" s="82">
        <f>($F1150-$F1151)*100</f>
        <v/>
      </c>
      <c r="BN1150" s="82">
        <f>$AF1150-$AF1151</f>
        <v/>
      </c>
      <c r="BO1150" s="82">
        <f>$AG1150-$AG1151</f>
        <v/>
      </c>
      <c r="BP1150" s="82">
        <f>$AJ1150-$AJ1151</f>
        <v/>
      </c>
    </row>
    <row r="1151">
      <c r="AR1151" s="81">
        <f>($G1151+($H1151-$G1151)*0.5)+($P1151-($O1151+($Q1151-$O1151)*0.5))</f>
        <v/>
      </c>
      <c r="AS1151" s="81">
        <f>($J1151+($K1151-$J1151)*0.5)+($T1151-($S1151+($U1151-$S1151)*0.5))</f>
        <v/>
      </c>
      <c r="AT1151" s="82">
        <f>($J1151-$C1151)*100</f>
        <v/>
      </c>
      <c r="AU1151" s="82">
        <f>($H1151-$F1151)*100</f>
        <v/>
      </c>
      <c r="AV1151" s="82">
        <f>($J1151-$F1151)*100</f>
        <v/>
      </c>
      <c r="AW1151" s="82">
        <f>($L1151-$F1151)*100</f>
        <v/>
      </c>
      <c r="AX1151" s="82">
        <f>($J1151-$H1151)*100</f>
        <v/>
      </c>
      <c r="AY1151" s="82">
        <f>($L1151-$H1151)*100</f>
        <v/>
      </c>
      <c r="AZ1151" s="82">
        <f>($L1151-$J1151)*100</f>
        <v/>
      </c>
      <c r="BA1151" s="82">
        <f>(2*$H1151-$F1151-$J1151)*100</f>
        <v/>
      </c>
      <c r="BB1151" s="82">
        <f>(2*$J1151-$H1151-$L1151)*100</f>
        <v/>
      </c>
      <c r="BC1151" s="82">
        <f>($N1151-$F1151)*100</f>
        <v/>
      </c>
      <c r="BD1151" s="82">
        <f>($Q1151-$H1151)*100</f>
        <v/>
      </c>
      <c r="BE1151" s="82">
        <f>($S1151-$J1151)*100</f>
        <v/>
      </c>
      <c r="BF1151" s="82">
        <f>($V1151-$L1151)*100</f>
        <v/>
      </c>
      <c r="BG1151" s="82">
        <f>$AG1151-$AF1151</f>
        <v/>
      </c>
      <c r="BH1151" s="81">
        <f>IFERROR($AG1151/$AF1151,"")</f>
        <v/>
      </c>
      <c r="BI1151" s="82">
        <f>$AJ1151-$AF1151</f>
        <v/>
      </c>
      <c r="BJ1151" s="81">
        <f>IFERROR($AJ1151/$AG1151,"")</f>
        <v/>
      </c>
      <c r="BK1151" s="81">
        <f>$X1151</f>
        <v/>
      </c>
      <c r="BL1151" s="82">
        <f>($J1151-$J1152)*100</f>
        <v/>
      </c>
      <c r="BM1151" s="82">
        <f>($F1151-$F1152)*100</f>
        <v/>
      </c>
      <c r="BN1151" s="82">
        <f>$AF1151-$AF1152</f>
        <v/>
      </c>
      <c r="BO1151" s="82">
        <f>$AG1151-$AG1152</f>
        <v/>
      </c>
      <c r="BP1151" s="82">
        <f>$AJ1151-$AJ1152</f>
        <v/>
      </c>
    </row>
    <row r="1152">
      <c r="AR1152" s="81">
        <f>($G1152+($H1152-$G1152)*0.5)+($P1152-($O1152+($Q1152-$O1152)*0.5))</f>
        <v/>
      </c>
      <c r="AS1152" s="81">
        <f>($J1152+($K1152-$J1152)*0.5)+($T1152-($S1152+($U1152-$S1152)*0.5))</f>
        <v/>
      </c>
      <c r="AT1152" s="82">
        <f>($J1152-$C1152)*100</f>
        <v/>
      </c>
      <c r="AU1152" s="82">
        <f>($H1152-$F1152)*100</f>
        <v/>
      </c>
      <c r="AV1152" s="82">
        <f>($J1152-$F1152)*100</f>
        <v/>
      </c>
      <c r="AW1152" s="82">
        <f>($L1152-$F1152)*100</f>
        <v/>
      </c>
      <c r="AX1152" s="82">
        <f>($J1152-$H1152)*100</f>
        <v/>
      </c>
      <c r="AY1152" s="82">
        <f>($L1152-$H1152)*100</f>
        <v/>
      </c>
      <c r="AZ1152" s="82">
        <f>($L1152-$J1152)*100</f>
        <v/>
      </c>
      <c r="BA1152" s="82">
        <f>(2*$H1152-$F1152-$J1152)*100</f>
        <v/>
      </c>
      <c r="BB1152" s="82">
        <f>(2*$J1152-$H1152-$L1152)*100</f>
        <v/>
      </c>
      <c r="BC1152" s="82">
        <f>($N1152-$F1152)*100</f>
        <v/>
      </c>
      <c r="BD1152" s="82">
        <f>($Q1152-$H1152)*100</f>
        <v/>
      </c>
      <c r="BE1152" s="82">
        <f>($S1152-$J1152)*100</f>
        <v/>
      </c>
      <c r="BF1152" s="82">
        <f>($V1152-$L1152)*100</f>
        <v/>
      </c>
      <c r="BG1152" s="82">
        <f>$AG1152-$AF1152</f>
        <v/>
      </c>
      <c r="BH1152" s="81">
        <f>IFERROR($AG1152/$AF1152,"")</f>
        <v/>
      </c>
      <c r="BI1152" s="82">
        <f>$AJ1152-$AF1152</f>
        <v/>
      </c>
      <c r="BJ1152" s="81">
        <f>IFERROR($AJ1152/$AG1152,"")</f>
        <v/>
      </c>
      <c r="BK1152" s="81">
        <f>$X1152</f>
        <v/>
      </c>
      <c r="BL1152" s="82">
        <f>($J1152-$J1153)*100</f>
        <v/>
      </c>
      <c r="BM1152" s="82">
        <f>($F1152-$F1153)*100</f>
        <v/>
      </c>
      <c r="BN1152" s="82">
        <f>$AF1152-$AF1153</f>
        <v/>
      </c>
      <c r="BO1152" s="82">
        <f>$AG1152-$AG1153</f>
        <v/>
      </c>
      <c r="BP1152" s="82">
        <f>$AJ1152-$AJ1153</f>
        <v/>
      </c>
    </row>
    <row r="1153">
      <c r="AR1153" s="81">
        <f>($G1153+($H1153-$G1153)*0.5)+($P1153-($O1153+($Q1153-$O1153)*0.5))</f>
        <v/>
      </c>
      <c r="AS1153" s="81">
        <f>($J1153+($K1153-$J1153)*0.5)+($T1153-($S1153+($U1153-$S1153)*0.5))</f>
        <v/>
      </c>
      <c r="AT1153" s="82">
        <f>($J1153-$C1153)*100</f>
        <v/>
      </c>
      <c r="AU1153" s="82">
        <f>($H1153-$F1153)*100</f>
        <v/>
      </c>
      <c r="AV1153" s="82">
        <f>($J1153-$F1153)*100</f>
        <v/>
      </c>
      <c r="AW1153" s="82">
        <f>($L1153-$F1153)*100</f>
        <v/>
      </c>
      <c r="AX1153" s="82">
        <f>($J1153-$H1153)*100</f>
        <v/>
      </c>
      <c r="AY1153" s="82">
        <f>($L1153-$H1153)*100</f>
        <v/>
      </c>
      <c r="AZ1153" s="82">
        <f>($L1153-$J1153)*100</f>
        <v/>
      </c>
      <c r="BA1153" s="82">
        <f>(2*$H1153-$F1153-$J1153)*100</f>
        <v/>
      </c>
      <c r="BB1153" s="82">
        <f>(2*$J1153-$H1153-$L1153)*100</f>
        <v/>
      </c>
      <c r="BC1153" s="82">
        <f>($N1153-$F1153)*100</f>
        <v/>
      </c>
      <c r="BD1153" s="82">
        <f>($Q1153-$H1153)*100</f>
        <v/>
      </c>
      <c r="BE1153" s="82">
        <f>($S1153-$J1153)*100</f>
        <v/>
      </c>
      <c r="BF1153" s="82">
        <f>($V1153-$L1153)*100</f>
        <v/>
      </c>
      <c r="BG1153" s="82">
        <f>$AG1153-$AF1153</f>
        <v/>
      </c>
      <c r="BH1153" s="81">
        <f>IFERROR($AG1153/$AF1153,"")</f>
        <v/>
      </c>
      <c r="BI1153" s="82">
        <f>$AJ1153-$AF1153</f>
        <v/>
      </c>
      <c r="BJ1153" s="81">
        <f>IFERROR($AJ1153/$AG1153,"")</f>
        <v/>
      </c>
      <c r="BK1153" s="81">
        <f>$X1153</f>
        <v/>
      </c>
      <c r="BL1153" s="82">
        <f>($J1153-$J1154)*100</f>
        <v/>
      </c>
      <c r="BM1153" s="82">
        <f>($F1153-$F1154)*100</f>
        <v/>
      </c>
      <c r="BN1153" s="82">
        <f>$AF1153-$AF1154</f>
        <v/>
      </c>
      <c r="BO1153" s="82">
        <f>$AG1153-$AG1154</f>
        <v/>
      </c>
      <c r="BP1153" s="82">
        <f>$AJ1153-$AJ1154</f>
        <v/>
      </c>
    </row>
    <row r="1154">
      <c r="AR1154" s="81">
        <f>($G1154+($H1154-$G1154)*0.5)+($P1154-($O1154+($Q1154-$O1154)*0.5))</f>
        <v/>
      </c>
      <c r="AS1154" s="81">
        <f>($J1154+($K1154-$J1154)*0.5)+($T1154-($S1154+($U1154-$S1154)*0.5))</f>
        <v/>
      </c>
      <c r="AT1154" s="82">
        <f>($J1154-$C1154)*100</f>
        <v/>
      </c>
      <c r="AU1154" s="82">
        <f>($H1154-$F1154)*100</f>
        <v/>
      </c>
      <c r="AV1154" s="82">
        <f>($J1154-$F1154)*100</f>
        <v/>
      </c>
      <c r="AW1154" s="82">
        <f>($L1154-$F1154)*100</f>
        <v/>
      </c>
      <c r="AX1154" s="82">
        <f>($J1154-$H1154)*100</f>
        <v/>
      </c>
      <c r="AY1154" s="82">
        <f>($L1154-$H1154)*100</f>
        <v/>
      </c>
      <c r="AZ1154" s="82">
        <f>($L1154-$J1154)*100</f>
        <v/>
      </c>
      <c r="BA1154" s="82">
        <f>(2*$H1154-$F1154-$J1154)*100</f>
        <v/>
      </c>
      <c r="BB1154" s="82">
        <f>(2*$J1154-$H1154-$L1154)*100</f>
        <v/>
      </c>
      <c r="BC1154" s="82">
        <f>($N1154-$F1154)*100</f>
        <v/>
      </c>
      <c r="BD1154" s="82">
        <f>($Q1154-$H1154)*100</f>
        <v/>
      </c>
      <c r="BE1154" s="82">
        <f>($S1154-$J1154)*100</f>
        <v/>
      </c>
      <c r="BF1154" s="82">
        <f>($V1154-$L1154)*100</f>
        <v/>
      </c>
      <c r="BG1154" s="82">
        <f>$AG1154-$AF1154</f>
        <v/>
      </c>
      <c r="BH1154" s="81">
        <f>IFERROR($AG1154/$AF1154,"")</f>
        <v/>
      </c>
      <c r="BI1154" s="82">
        <f>$AJ1154-$AF1154</f>
        <v/>
      </c>
      <c r="BJ1154" s="81">
        <f>IFERROR($AJ1154/$AG1154,"")</f>
        <v/>
      </c>
      <c r="BK1154" s="81">
        <f>$X1154</f>
        <v/>
      </c>
      <c r="BL1154" s="82">
        <f>($J1154-$J1155)*100</f>
        <v/>
      </c>
      <c r="BM1154" s="82">
        <f>($F1154-$F1155)*100</f>
        <v/>
      </c>
      <c r="BN1154" s="82">
        <f>$AF1154-$AF1155</f>
        <v/>
      </c>
      <c r="BO1154" s="82">
        <f>$AG1154-$AG1155</f>
        <v/>
      </c>
      <c r="BP1154" s="82">
        <f>$AJ1154-$AJ1155</f>
        <v/>
      </c>
    </row>
    <row r="1155">
      <c r="AR1155" s="81">
        <f>($G1155+($H1155-$G1155)*0.5)+($P1155-($O1155+($Q1155-$O1155)*0.5))</f>
        <v/>
      </c>
      <c r="AS1155" s="81">
        <f>($J1155+($K1155-$J1155)*0.5)+($T1155-($S1155+($U1155-$S1155)*0.5))</f>
        <v/>
      </c>
      <c r="AT1155" s="82">
        <f>($J1155-$C1155)*100</f>
        <v/>
      </c>
      <c r="AU1155" s="82">
        <f>($H1155-$F1155)*100</f>
        <v/>
      </c>
      <c r="AV1155" s="82">
        <f>($J1155-$F1155)*100</f>
        <v/>
      </c>
      <c r="AW1155" s="82">
        <f>($L1155-$F1155)*100</f>
        <v/>
      </c>
      <c r="AX1155" s="82">
        <f>($J1155-$H1155)*100</f>
        <v/>
      </c>
      <c r="AY1155" s="82">
        <f>($L1155-$H1155)*100</f>
        <v/>
      </c>
      <c r="AZ1155" s="82">
        <f>($L1155-$J1155)*100</f>
        <v/>
      </c>
      <c r="BA1155" s="82">
        <f>(2*$H1155-$F1155-$J1155)*100</f>
        <v/>
      </c>
      <c r="BB1155" s="82">
        <f>(2*$J1155-$H1155-$L1155)*100</f>
        <v/>
      </c>
      <c r="BC1155" s="82">
        <f>($N1155-$F1155)*100</f>
        <v/>
      </c>
      <c r="BD1155" s="82">
        <f>($Q1155-$H1155)*100</f>
        <v/>
      </c>
      <c r="BE1155" s="82">
        <f>($S1155-$J1155)*100</f>
        <v/>
      </c>
      <c r="BF1155" s="82">
        <f>($V1155-$L1155)*100</f>
        <v/>
      </c>
      <c r="BG1155" s="82">
        <f>$AG1155-$AF1155</f>
        <v/>
      </c>
      <c r="BH1155" s="81">
        <f>IFERROR($AG1155/$AF1155,"")</f>
        <v/>
      </c>
      <c r="BI1155" s="82">
        <f>$AJ1155-$AF1155</f>
        <v/>
      </c>
      <c r="BJ1155" s="81">
        <f>IFERROR($AJ1155/$AG1155,"")</f>
        <v/>
      </c>
      <c r="BK1155" s="81">
        <f>$X1155</f>
        <v/>
      </c>
      <c r="BL1155" s="82">
        <f>($J1155-$J1156)*100</f>
        <v/>
      </c>
      <c r="BM1155" s="82">
        <f>($F1155-$F1156)*100</f>
        <v/>
      </c>
      <c r="BN1155" s="82">
        <f>$AF1155-$AF1156</f>
        <v/>
      </c>
      <c r="BO1155" s="82">
        <f>$AG1155-$AG1156</f>
        <v/>
      </c>
      <c r="BP1155" s="82">
        <f>$AJ1155-$AJ1156</f>
        <v/>
      </c>
    </row>
    <row r="1156">
      <c r="AR1156" s="81">
        <f>($G1156+($H1156-$G1156)*0.5)+($P1156-($O1156+($Q1156-$O1156)*0.5))</f>
        <v/>
      </c>
      <c r="AS1156" s="81">
        <f>($J1156+($K1156-$J1156)*0.5)+($T1156-($S1156+($U1156-$S1156)*0.5))</f>
        <v/>
      </c>
      <c r="AT1156" s="82">
        <f>($J1156-$C1156)*100</f>
        <v/>
      </c>
      <c r="AU1156" s="82">
        <f>($H1156-$F1156)*100</f>
        <v/>
      </c>
      <c r="AV1156" s="82">
        <f>($J1156-$F1156)*100</f>
        <v/>
      </c>
      <c r="AW1156" s="82">
        <f>($L1156-$F1156)*100</f>
        <v/>
      </c>
      <c r="AX1156" s="82">
        <f>($J1156-$H1156)*100</f>
        <v/>
      </c>
      <c r="AY1156" s="82">
        <f>($L1156-$H1156)*100</f>
        <v/>
      </c>
      <c r="AZ1156" s="82">
        <f>($L1156-$J1156)*100</f>
        <v/>
      </c>
      <c r="BA1156" s="82">
        <f>(2*$H1156-$F1156-$J1156)*100</f>
        <v/>
      </c>
      <c r="BB1156" s="82">
        <f>(2*$J1156-$H1156-$L1156)*100</f>
        <v/>
      </c>
      <c r="BC1156" s="82">
        <f>($N1156-$F1156)*100</f>
        <v/>
      </c>
      <c r="BD1156" s="82">
        <f>($Q1156-$H1156)*100</f>
        <v/>
      </c>
      <c r="BE1156" s="82">
        <f>($S1156-$J1156)*100</f>
        <v/>
      </c>
      <c r="BF1156" s="82">
        <f>($V1156-$L1156)*100</f>
        <v/>
      </c>
      <c r="BG1156" s="82">
        <f>$AG1156-$AF1156</f>
        <v/>
      </c>
      <c r="BH1156" s="81">
        <f>IFERROR($AG1156/$AF1156,"")</f>
        <v/>
      </c>
      <c r="BI1156" s="82">
        <f>$AJ1156-$AF1156</f>
        <v/>
      </c>
      <c r="BJ1156" s="81">
        <f>IFERROR($AJ1156/$AG1156,"")</f>
        <v/>
      </c>
      <c r="BK1156" s="81">
        <f>$X1156</f>
        <v/>
      </c>
      <c r="BL1156" s="82">
        <f>($J1156-$J1157)*100</f>
        <v/>
      </c>
      <c r="BM1156" s="82">
        <f>($F1156-$F1157)*100</f>
        <v/>
      </c>
      <c r="BN1156" s="82">
        <f>$AF1156-$AF1157</f>
        <v/>
      </c>
      <c r="BO1156" s="82">
        <f>$AG1156-$AG1157</f>
        <v/>
      </c>
      <c r="BP1156" s="82">
        <f>$AJ1156-$AJ1157</f>
        <v/>
      </c>
    </row>
    <row r="1157">
      <c r="AR1157" s="81">
        <f>($G1157+($H1157-$G1157)*0.5)+($P1157-($O1157+($Q1157-$O1157)*0.5))</f>
        <v/>
      </c>
      <c r="AS1157" s="81">
        <f>($J1157+($K1157-$J1157)*0.5)+($T1157-($S1157+($U1157-$S1157)*0.5))</f>
        <v/>
      </c>
      <c r="AT1157" s="82">
        <f>($J1157-$C1157)*100</f>
        <v/>
      </c>
      <c r="AU1157" s="82">
        <f>($H1157-$F1157)*100</f>
        <v/>
      </c>
      <c r="AV1157" s="82">
        <f>($J1157-$F1157)*100</f>
        <v/>
      </c>
      <c r="AW1157" s="82">
        <f>($L1157-$F1157)*100</f>
        <v/>
      </c>
      <c r="AX1157" s="82">
        <f>($J1157-$H1157)*100</f>
        <v/>
      </c>
      <c r="AY1157" s="82">
        <f>($L1157-$H1157)*100</f>
        <v/>
      </c>
      <c r="AZ1157" s="82">
        <f>($L1157-$J1157)*100</f>
        <v/>
      </c>
      <c r="BA1157" s="82">
        <f>(2*$H1157-$F1157-$J1157)*100</f>
        <v/>
      </c>
      <c r="BB1157" s="82">
        <f>(2*$J1157-$H1157-$L1157)*100</f>
        <v/>
      </c>
      <c r="BC1157" s="82">
        <f>($N1157-$F1157)*100</f>
        <v/>
      </c>
      <c r="BD1157" s="82">
        <f>($Q1157-$H1157)*100</f>
        <v/>
      </c>
      <c r="BE1157" s="82">
        <f>($S1157-$J1157)*100</f>
        <v/>
      </c>
      <c r="BF1157" s="82">
        <f>($V1157-$L1157)*100</f>
        <v/>
      </c>
      <c r="BG1157" s="82">
        <f>$AG1157-$AF1157</f>
        <v/>
      </c>
      <c r="BH1157" s="81">
        <f>IFERROR($AG1157/$AF1157,"")</f>
        <v/>
      </c>
      <c r="BI1157" s="82">
        <f>$AJ1157-$AF1157</f>
        <v/>
      </c>
      <c r="BJ1157" s="81">
        <f>IFERROR($AJ1157/$AG1157,"")</f>
        <v/>
      </c>
      <c r="BK1157" s="81">
        <f>$X1157</f>
        <v/>
      </c>
      <c r="BL1157" s="82">
        <f>($J1157-$J1158)*100</f>
        <v/>
      </c>
      <c r="BM1157" s="82">
        <f>($F1157-$F1158)*100</f>
        <v/>
      </c>
      <c r="BN1157" s="82">
        <f>$AF1157-$AF1158</f>
        <v/>
      </c>
      <c r="BO1157" s="82">
        <f>$AG1157-$AG1158</f>
        <v/>
      </c>
      <c r="BP1157" s="82">
        <f>$AJ1157-$AJ1158</f>
        <v/>
      </c>
    </row>
    <row r="1158">
      <c r="AR1158" s="81">
        <f>($G1158+($H1158-$G1158)*0.5)+($P1158-($O1158+($Q1158-$O1158)*0.5))</f>
        <v/>
      </c>
      <c r="AS1158" s="81">
        <f>($J1158+($K1158-$J1158)*0.5)+($T1158-($S1158+($U1158-$S1158)*0.5))</f>
        <v/>
      </c>
      <c r="AT1158" s="82">
        <f>($J1158-$C1158)*100</f>
        <v/>
      </c>
      <c r="AU1158" s="82">
        <f>($H1158-$F1158)*100</f>
        <v/>
      </c>
      <c r="AV1158" s="82">
        <f>($J1158-$F1158)*100</f>
        <v/>
      </c>
      <c r="AW1158" s="82">
        <f>($L1158-$F1158)*100</f>
        <v/>
      </c>
      <c r="AX1158" s="82">
        <f>($J1158-$H1158)*100</f>
        <v/>
      </c>
      <c r="AY1158" s="82">
        <f>($L1158-$H1158)*100</f>
        <v/>
      </c>
      <c r="AZ1158" s="82">
        <f>($L1158-$J1158)*100</f>
        <v/>
      </c>
      <c r="BA1158" s="82">
        <f>(2*$H1158-$F1158-$J1158)*100</f>
        <v/>
      </c>
      <c r="BB1158" s="82">
        <f>(2*$J1158-$H1158-$L1158)*100</f>
        <v/>
      </c>
      <c r="BC1158" s="82">
        <f>($N1158-$F1158)*100</f>
        <v/>
      </c>
      <c r="BD1158" s="82">
        <f>($Q1158-$H1158)*100</f>
        <v/>
      </c>
      <c r="BE1158" s="82">
        <f>($S1158-$J1158)*100</f>
        <v/>
      </c>
      <c r="BF1158" s="82">
        <f>($V1158-$L1158)*100</f>
        <v/>
      </c>
      <c r="BG1158" s="82">
        <f>$AG1158-$AF1158</f>
        <v/>
      </c>
      <c r="BH1158" s="81">
        <f>IFERROR($AG1158/$AF1158,"")</f>
        <v/>
      </c>
      <c r="BI1158" s="82">
        <f>$AJ1158-$AF1158</f>
        <v/>
      </c>
      <c r="BJ1158" s="81">
        <f>IFERROR($AJ1158/$AG1158,"")</f>
        <v/>
      </c>
      <c r="BK1158" s="81">
        <f>$X1158</f>
        <v/>
      </c>
      <c r="BL1158" s="82">
        <f>($J1158-$J1159)*100</f>
        <v/>
      </c>
      <c r="BM1158" s="82">
        <f>($F1158-$F1159)*100</f>
        <v/>
      </c>
      <c r="BN1158" s="82">
        <f>$AF1158-$AF1159</f>
        <v/>
      </c>
      <c r="BO1158" s="82">
        <f>$AG1158-$AG1159</f>
        <v/>
      </c>
      <c r="BP1158" s="82">
        <f>$AJ1158-$AJ1159</f>
        <v/>
      </c>
    </row>
    <row r="1159">
      <c r="AR1159" s="81">
        <f>($G1159+($H1159-$G1159)*0.5)+($P1159-($O1159+($Q1159-$O1159)*0.5))</f>
        <v/>
      </c>
      <c r="AS1159" s="81">
        <f>($J1159+($K1159-$J1159)*0.5)+($T1159-($S1159+($U1159-$S1159)*0.5))</f>
        <v/>
      </c>
      <c r="AT1159" s="82">
        <f>($J1159-$C1159)*100</f>
        <v/>
      </c>
      <c r="AU1159" s="82">
        <f>($H1159-$F1159)*100</f>
        <v/>
      </c>
      <c r="AV1159" s="82">
        <f>($J1159-$F1159)*100</f>
        <v/>
      </c>
      <c r="AW1159" s="82">
        <f>($L1159-$F1159)*100</f>
        <v/>
      </c>
      <c r="AX1159" s="82">
        <f>($J1159-$H1159)*100</f>
        <v/>
      </c>
      <c r="AY1159" s="82">
        <f>($L1159-$H1159)*100</f>
        <v/>
      </c>
      <c r="AZ1159" s="82">
        <f>($L1159-$J1159)*100</f>
        <v/>
      </c>
      <c r="BA1159" s="82">
        <f>(2*$H1159-$F1159-$J1159)*100</f>
        <v/>
      </c>
      <c r="BB1159" s="82">
        <f>(2*$J1159-$H1159-$L1159)*100</f>
        <v/>
      </c>
      <c r="BC1159" s="82">
        <f>($N1159-$F1159)*100</f>
        <v/>
      </c>
      <c r="BD1159" s="82">
        <f>($Q1159-$H1159)*100</f>
        <v/>
      </c>
      <c r="BE1159" s="82">
        <f>($S1159-$J1159)*100</f>
        <v/>
      </c>
      <c r="BF1159" s="82">
        <f>($V1159-$L1159)*100</f>
        <v/>
      </c>
      <c r="BG1159" s="82">
        <f>$AG1159-$AF1159</f>
        <v/>
      </c>
      <c r="BH1159" s="81">
        <f>IFERROR($AG1159/$AF1159,"")</f>
        <v/>
      </c>
      <c r="BI1159" s="82">
        <f>$AJ1159-$AF1159</f>
        <v/>
      </c>
      <c r="BJ1159" s="81">
        <f>IFERROR($AJ1159/$AG1159,"")</f>
        <v/>
      </c>
      <c r="BK1159" s="81">
        <f>$X1159</f>
        <v/>
      </c>
      <c r="BL1159" s="82">
        <f>($J1159-$J1160)*100</f>
        <v/>
      </c>
      <c r="BM1159" s="82">
        <f>($F1159-$F1160)*100</f>
        <v/>
      </c>
      <c r="BN1159" s="82">
        <f>$AF1159-$AF1160</f>
        <v/>
      </c>
      <c r="BO1159" s="82">
        <f>$AG1159-$AG1160</f>
        <v/>
      </c>
      <c r="BP1159" s="82">
        <f>$AJ1159-$AJ1160</f>
        <v/>
      </c>
    </row>
    <row r="1160">
      <c r="AR1160" s="81">
        <f>($G1160+($H1160-$G1160)*0.5)+($P1160-($O1160+($Q1160-$O1160)*0.5))</f>
        <v/>
      </c>
      <c r="AS1160" s="81">
        <f>($J1160+($K1160-$J1160)*0.5)+($T1160-($S1160+($U1160-$S1160)*0.5))</f>
        <v/>
      </c>
      <c r="AT1160" s="82">
        <f>($J1160-$C1160)*100</f>
        <v/>
      </c>
      <c r="AU1160" s="82">
        <f>($H1160-$F1160)*100</f>
        <v/>
      </c>
      <c r="AV1160" s="82">
        <f>($J1160-$F1160)*100</f>
        <v/>
      </c>
      <c r="AW1160" s="82">
        <f>($L1160-$F1160)*100</f>
        <v/>
      </c>
      <c r="AX1160" s="82">
        <f>($J1160-$H1160)*100</f>
        <v/>
      </c>
      <c r="AY1160" s="82">
        <f>($L1160-$H1160)*100</f>
        <v/>
      </c>
      <c r="AZ1160" s="82">
        <f>($L1160-$J1160)*100</f>
        <v/>
      </c>
      <c r="BA1160" s="82">
        <f>(2*$H1160-$F1160-$J1160)*100</f>
        <v/>
      </c>
      <c r="BB1160" s="82">
        <f>(2*$J1160-$H1160-$L1160)*100</f>
        <v/>
      </c>
      <c r="BC1160" s="82">
        <f>($N1160-$F1160)*100</f>
        <v/>
      </c>
      <c r="BD1160" s="82">
        <f>($Q1160-$H1160)*100</f>
        <v/>
      </c>
      <c r="BE1160" s="82">
        <f>($S1160-$J1160)*100</f>
        <v/>
      </c>
      <c r="BF1160" s="82">
        <f>($V1160-$L1160)*100</f>
        <v/>
      </c>
      <c r="BG1160" s="82">
        <f>$AG1160-$AF1160</f>
        <v/>
      </c>
      <c r="BH1160" s="81">
        <f>IFERROR($AG1160/$AF1160,"")</f>
        <v/>
      </c>
      <c r="BI1160" s="82">
        <f>$AJ1160-$AF1160</f>
        <v/>
      </c>
      <c r="BJ1160" s="81">
        <f>IFERROR($AJ1160/$AG1160,"")</f>
        <v/>
      </c>
      <c r="BK1160" s="81">
        <f>$X1160</f>
        <v/>
      </c>
      <c r="BL1160" s="82">
        <f>($J1160-$J1161)*100</f>
        <v/>
      </c>
      <c r="BM1160" s="82">
        <f>($F1160-$F1161)*100</f>
        <v/>
      </c>
      <c r="BN1160" s="82">
        <f>$AF1160-$AF1161</f>
        <v/>
      </c>
      <c r="BO1160" s="82">
        <f>$AG1160-$AG1161</f>
        <v/>
      </c>
      <c r="BP1160" s="82">
        <f>$AJ1160-$AJ1161</f>
        <v/>
      </c>
    </row>
    <row r="1161">
      <c r="AR1161" s="81">
        <f>($G1161+($H1161-$G1161)*0.5)+($P1161-($O1161+($Q1161-$O1161)*0.5))</f>
        <v/>
      </c>
      <c r="AS1161" s="81">
        <f>($J1161+($K1161-$J1161)*0.5)+($T1161-($S1161+($U1161-$S1161)*0.5))</f>
        <v/>
      </c>
      <c r="AT1161" s="82">
        <f>($J1161-$C1161)*100</f>
        <v/>
      </c>
      <c r="AU1161" s="82">
        <f>($H1161-$F1161)*100</f>
        <v/>
      </c>
      <c r="AV1161" s="82">
        <f>($J1161-$F1161)*100</f>
        <v/>
      </c>
      <c r="AW1161" s="82">
        <f>($L1161-$F1161)*100</f>
        <v/>
      </c>
      <c r="AX1161" s="82">
        <f>($J1161-$H1161)*100</f>
        <v/>
      </c>
      <c r="AY1161" s="82">
        <f>($L1161-$H1161)*100</f>
        <v/>
      </c>
      <c r="AZ1161" s="82">
        <f>($L1161-$J1161)*100</f>
        <v/>
      </c>
      <c r="BA1161" s="82">
        <f>(2*$H1161-$F1161-$J1161)*100</f>
        <v/>
      </c>
      <c r="BB1161" s="82">
        <f>(2*$J1161-$H1161-$L1161)*100</f>
        <v/>
      </c>
      <c r="BC1161" s="82">
        <f>($N1161-$F1161)*100</f>
        <v/>
      </c>
      <c r="BD1161" s="82">
        <f>($Q1161-$H1161)*100</f>
        <v/>
      </c>
      <c r="BE1161" s="82">
        <f>($S1161-$J1161)*100</f>
        <v/>
      </c>
      <c r="BF1161" s="82">
        <f>($V1161-$L1161)*100</f>
        <v/>
      </c>
      <c r="BG1161" s="82">
        <f>$AG1161-$AF1161</f>
        <v/>
      </c>
      <c r="BH1161" s="81">
        <f>IFERROR($AG1161/$AF1161,"")</f>
        <v/>
      </c>
      <c r="BI1161" s="82">
        <f>$AJ1161-$AF1161</f>
        <v/>
      </c>
      <c r="BJ1161" s="81">
        <f>IFERROR($AJ1161/$AG1161,"")</f>
        <v/>
      </c>
      <c r="BK1161" s="81">
        <f>$X1161</f>
        <v/>
      </c>
      <c r="BL1161" s="82">
        <f>($J1161-$J1162)*100</f>
        <v/>
      </c>
      <c r="BM1161" s="82">
        <f>($F1161-$F1162)*100</f>
        <v/>
      </c>
      <c r="BN1161" s="82">
        <f>$AF1161-$AF1162</f>
        <v/>
      </c>
      <c r="BO1161" s="82">
        <f>$AG1161-$AG1162</f>
        <v/>
      </c>
      <c r="BP1161" s="82">
        <f>$AJ1161-$AJ1162</f>
        <v/>
      </c>
    </row>
    <row r="1162">
      <c r="AR1162" s="81">
        <f>($G1162+($H1162-$G1162)*0.5)+($P1162-($O1162+($Q1162-$O1162)*0.5))</f>
        <v/>
      </c>
      <c r="AS1162" s="81">
        <f>($J1162+($K1162-$J1162)*0.5)+($T1162-($S1162+($U1162-$S1162)*0.5))</f>
        <v/>
      </c>
      <c r="AT1162" s="82">
        <f>($J1162-$C1162)*100</f>
        <v/>
      </c>
      <c r="AU1162" s="82">
        <f>($H1162-$F1162)*100</f>
        <v/>
      </c>
      <c r="AV1162" s="82">
        <f>($J1162-$F1162)*100</f>
        <v/>
      </c>
      <c r="AW1162" s="82">
        <f>($L1162-$F1162)*100</f>
        <v/>
      </c>
      <c r="AX1162" s="82">
        <f>($J1162-$H1162)*100</f>
        <v/>
      </c>
      <c r="AY1162" s="82">
        <f>($L1162-$H1162)*100</f>
        <v/>
      </c>
      <c r="AZ1162" s="82">
        <f>($L1162-$J1162)*100</f>
        <v/>
      </c>
      <c r="BA1162" s="82">
        <f>(2*$H1162-$F1162-$J1162)*100</f>
        <v/>
      </c>
      <c r="BB1162" s="82">
        <f>(2*$J1162-$H1162-$L1162)*100</f>
        <v/>
      </c>
      <c r="BC1162" s="82">
        <f>($N1162-$F1162)*100</f>
        <v/>
      </c>
      <c r="BD1162" s="82">
        <f>($Q1162-$H1162)*100</f>
        <v/>
      </c>
      <c r="BE1162" s="82">
        <f>($S1162-$J1162)*100</f>
        <v/>
      </c>
      <c r="BF1162" s="82">
        <f>($V1162-$L1162)*100</f>
        <v/>
      </c>
      <c r="BG1162" s="82">
        <f>$AG1162-$AF1162</f>
        <v/>
      </c>
      <c r="BH1162" s="81">
        <f>IFERROR($AG1162/$AF1162,"")</f>
        <v/>
      </c>
      <c r="BI1162" s="82">
        <f>$AJ1162-$AF1162</f>
        <v/>
      </c>
      <c r="BJ1162" s="81">
        <f>IFERROR($AJ1162/$AG1162,"")</f>
        <v/>
      </c>
      <c r="BK1162" s="81">
        <f>$X1162</f>
        <v/>
      </c>
      <c r="BL1162" s="82">
        <f>($J1162-$J1163)*100</f>
        <v/>
      </c>
      <c r="BM1162" s="82">
        <f>($F1162-$F1163)*100</f>
        <v/>
      </c>
      <c r="BN1162" s="82">
        <f>$AF1162-$AF1163</f>
        <v/>
      </c>
      <c r="BO1162" s="82">
        <f>$AG1162-$AG1163</f>
        <v/>
      </c>
      <c r="BP1162" s="82">
        <f>$AJ1162-$AJ1163</f>
        <v/>
      </c>
    </row>
    <row r="1163">
      <c r="AR1163" s="81">
        <f>($G1163+($H1163-$G1163)*0.5)+($P1163-($O1163+($Q1163-$O1163)*0.5))</f>
        <v/>
      </c>
      <c r="AS1163" s="81">
        <f>($J1163+($K1163-$J1163)*0.5)+($T1163-($S1163+($U1163-$S1163)*0.5))</f>
        <v/>
      </c>
      <c r="AT1163" s="82">
        <f>($J1163-$C1163)*100</f>
        <v/>
      </c>
      <c r="AU1163" s="82">
        <f>($H1163-$F1163)*100</f>
        <v/>
      </c>
      <c r="AV1163" s="82">
        <f>($J1163-$F1163)*100</f>
        <v/>
      </c>
      <c r="AW1163" s="82">
        <f>($L1163-$F1163)*100</f>
        <v/>
      </c>
      <c r="AX1163" s="82">
        <f>($J1163-$H1163)*100</f>
        <v/>
      </c>
      <c r="AY1163" s="82">
        <f>($L1163-$H1163)*100</f>
        <v/>
      </c>
      <c r="AZ1163" s="82">
        <f>($L1163-$J1163)*100</f>
        <v/>
      </c>
      <c r="BA1163" s="82">
        <f>(2*$H1163-$F1163-$J1163)*100</f>
        <v/>
      </c>
      <c r="BB1163" s="82">
        <f>(2*$J1163-$H1163-$L1163)*100</f>
        <v/>
      </c>
      <c r="BC1163" s="82">
        <f>($N1163-$F1163)*100</f>
        <v/>
      </c>
      <c r="BD1163" s="82">
        <f>($Q1163-$H1163)*100</f>
        <v/>
      </c>
      <c r="BE1163" s="82">
        <f>($S1163-$J1163)*100</f>
        <v/>
      </c>
      <c r="BF1163" s="82">
        <f>($V1163-$L1163)*100</f>
        <v/>
      </c>
      <c r="BG1163" s="82">
        <f>$AG1163-$AF1163</f>
        <v/>
      </c>
      <c r="BH1163" s="81">
        <f>IFERROR($AG1163/$AF1163,"")</f>
        <v/>
      </c>
      <c r="BI1163" s="82">
        <f>$AJ1163-$AF1163</f>
        <v/>
      </c>
      <c r="BJ1163" s="81">
        <f>IFERROR($AJ1163/$AG1163,"")</f>
        <v/>
      </c>
      <c r="BK1163" s="81">
        <f>$X1163</f>
        <v/>
      </c>
      <c r="BL1163" s="82">
        <f>($J1163-$J1164)*100</f>
        <v/>
      </c>
      <c r="BM1163" s="82">
        <f>($F1163-$F1164)*100</f>
        <v/>
      </c>
      <c r="BN1163" s="82">
        <f>$AF1163-$AF1164</f>
        <v/>
      </c>
      <c r="BO1163" s="82">
        <f>$AG1163-$AG1164</f>
        <v/>
      </c>
      <c r="BP1163" s="82">
        <f>$AJ1163-$AJ1164</f>
        <v/>
      </c>
    </row>
    <row r="1164">
      <c r="AR1164" s="81">
        <f>($G1164+($H1164-$G1164)*0.5)+($P1164-($O1164+($Q1164-$O1164)*0.5))</f>
        <v/>
      </c>
      <c r="AS1164" s="81">
        <f>($J1164+($K1164-$J1164)*0.5)+($T1164-($S1164+($U1164-$S1164)*0.5))</f>
        <v/>
      </c>
      <c r="AT1164" s="82">
        <f>($J1164-$C1164)*100</f>
        <v/>
      </c>
      <c r="AU1164" s="82">
        <f>($H1164-$F1164)*100</f>
        <v/>
      </c>
      <c r="AV1164" s="82">
        <f>($J1164-$F1164)*100</f>
        <v/>
      </c>
      <c r="AW1164" s="82">
        <f>($L1164-$F1164)*100</f>
        <v/>
      </c>
      <c r="AX1164" s="82">
        <f>($J1164-$H1164)*100</f>
        <v/>
      </c>
      <c r="AY1164" s="82">
        <f>($L1164-$H1164)*100</f>
        <v/>
      </c>
      <c r="AZ1164" s="82">
        <f>($L1164-$J1164)*100</f>
        <v/>
      </c>
      <c r="BA1164" s="82">
        <f>(2*$H1164-$F1164-$J1164)*100</f>
        <v/>
      </c>
      <c r="BB1164" s="82">
        <f>(2*$J1164-$H1164-$L1164)*100</f>
        <v/>
      </c>
      <c r="BC1164" s="82">
        <f>($N1164-$F1164)*100</f>
        <v/>
      </c>
      <c r="BD1164" s="82">
        <f>($Q1164-$H1164)*100</f>
        <v/>
      </c>
      <c r="BE1164" s="82">
        <f>($S1164-$J1164)*100</f>
        <v/>
      </c>
      <c r="BF1164" s="82">
        <f>($V1164-$L1164)*100</f>
        <v/>
      </c>
      <c r="BG1164" s="82">
        <f>$AG1164-$AF1164</f>
        <v/>
      </c>
      <c r="BH1164" s="81">
        <f>IFERROR($AG1164/$AF1164,"")</f>
        <v/>
      </c>
      <c r="BI1164" s="82">
        <f>$AJ1164-$AF1164</f>
        <v/>
      </c>
      <c r="BJ1164" s="81">
        <f>IFERROR($AJ1164/$AG1164,"")</f>
        <v/>
      </c>
      <c r="BK1164" s="81">
        <f>$X1164</f>
        <v/>
      </c>
      <c r="BL1164" s="82">
        <f>($J1164-$J1165)*100</f>
        <v/>
      </c>
      <c r="BM1164" s="82">
        <f>($F1164-$F1165)*100</f>
        <v/>
      </c>
      <c r="BN1164" s="82">
        <f>$AF1164-$AF1165</f>
        <v/>
      </c>
      <c r="BO1164" s="82">
        <f>$AG1164-$AG1165</f>
        <v/>
      </c>
      <c r="BP1164" s="82">
        <f>$AJ1164-$AJ1165</f>
        <v/>
      </c>
    </row>
    <row r="1165">
      <c r="AR1165" s="81">
        <f>($G1165+($H1165-$G1165)*0.5)+($P1165-($O1165+($Q1165-$O1165)*0.5))</f>
        <v/>
      </c>
      <c r="AS1165" s="81">
        <f>($J1165+($K1165-$J1165)*0.5)+($T1165-($S1165+($U1165-$S1165)*0.5))</f>
        <v/>
      </c>
      <c r="AT1165" s="82">
        <f>($J1165-$C1165)*100</f>
        <v/>
      </c>
      <c r="AU1165" s="82">
        <f>($H1165-$F1165)*100</f>
        <v/>
      </c>
      <c r="AV1165" s="82">
        <f>($J1165-$F1165)*100</f>
        <v/>
      </c>
      <c r="AW1165" s="82">
        <f>($L1165-$F1165)*100</f>
        <v/>
      </c>
      <c r="AX1165" s="82">
        <f>($J1165-$H1165)*100</f>
        <v/>
      </c>
      <c r="AY1165" s="82">
        <f>($L1165-$H1165)*100</f>
        <v/>
      </c>
      <c r="AZ1165" s="82">
        <f>($L1165-$J1165)*100</f>
        <v/>
      </c>
      <c r="BA1165" s="82">
        <f>(2*$H1165-$F1165-$J1165)*100</f>
        <v/>
      </c>
      <c r="BB1165" s="82">
        <f>(2*$J1165-$H1165-$L1165)*100</f>
        <v/>
      </c>
      <c r="BC1165" s="82">
        <f>($N1165-$F1165)*100</f>
        <v/>
      </c>
      <c r="BD1165" s="82">
        <f>($Q1165-$H1165)*100</f>
        <v/>
      </c>
      <c r="BE1165" s="82">
        <f>($S1165-$J1165)*100</f>
        <v/>
      </c>
      <c r="BF1165" s="82">
        <f>($V1165-$L1165)*100</f>
        <v/>
      </c>
      <c r="BG1165" s="82">
        <f>$AG1165-$AF1165</f>
        <v/>
      </c>
      <c r="BH1165" s="81">
        <f>IFERROR($AG1165/$AF1165,"")</f>
        <v/>
      </c>
      <c r="BI1165" s="82">
        <f>$AJ1165-$AF1165</f>
        <v/>
      </c>
      <c r="BJ1165" s="81">
        <f>IFERROR($AJ1165/$AG1165,"")</f>
        <v/>
      </c>
      <c r="BK1165" s="81">
        <f>$X1165</f>
        <v/>
      </c>
      <c r="BL1165" s="82">
        <f>($J1165-$J1166)*100</f>
        <v/>
      </c>
      <c r="BM1165" s="82">
        <f>($F1165-$F1166)*100</f>
        <v/>
      </c>
      <c r="BN1165" s="82">
        <f>$AF1165-$AF1166</f>
        <v/>
      </c>
      <c r="BO1165" s="82">
        <f>$AG1165-$AG1166</f>
        <v/>
      </c>
      <c r="BP1165" s="82">
        <f>$AJ1165-$AJ1166</f>
        <v/>
      </c>
    </row>
    <row r="1166">
      <c r="AR1166" s="81">
        <f>($G1166+($H1166-$G1166)*0.5)+($P1166-($O1166+($Q1166-$O1166)*0.5))</f>
        <v/>
      </c>
      <c r="AS1166" s="81">
        <f>($J1166+($K1166-$J1166)*0.5)+($T1166-($S1166+($U1166-$S1166)*0.5))</f>
        <v/>
      </c>
      <c r="AT1166" s="82">
        <f>($J1166-$C1166)*100</f>
        <v/>
      </c>
      <c r="AU1166" s="82">
        <f>($H1166-$F1166)*100</f>
        <v/>
      </c>
      <c r="AV1166" s="82">
        <f>($J1166-$F1166)*100</f>
        <v/>
      </c>
      <c r="AW1166" s="82">
        <f>($L1166-$F1166)*100</f>
        <v/>
      </c>
      <c r="AX1166" s="82">
        <f>($J1166-$H1166)*100</f>
        <v/>
      </c>
      <c r="AY1166" s="82">
        <f>($L1166-$H1166)*100</f>
        <v/>
      </c>
      <c r="AZ1166" s="82">
        <f>($L1166-$J1166)*100</f>
        <v/>
      </c>
      <c r="BA1166" s="82">
        <f>(2*$H1166-$F1166-$J1166)*100</f>
        <v/>
      </c>
      <c r="BB1166" s="82">
        <f>(2*$J1166-$H1166-$L1166)*100</f>
        <v/>
      </c>
      <c r="BC1166" s="82">
        <f>($N1166-$F1166)*100</f>
        <v/>
      </c>
      <c r="BD1166" s="82">
        <f>($Q1166-$H1166)*100</f>
        <v/>
      </c>
      <c r="BE1166" s="82">
        <f>($S1166-$J1166)*100</f>
        <v/>
      </c>
      <c r="BF1166" s="82">
        <f>($V1166-$L1166)*100</f>
        <v/>
      </c>
      <c r="BG1166" s="82">
        <f>$AG1166-$AF1166</f>
        <v/>
      </c>
      <c r="BH1166" s="81">
        <f>IFERROR($AG1166/$AF1166,"")</f>
        <v/>
      </c>
      <c r="BI1166" s="82">
        <f>$AJ1166-$AF1166</f>
        <v/>
      </c>
      <c r="BJ1166" s="81">
        <f>IFERROR($AJ1166/$AG1166,"")</f>
        <v/>
      </c>
      <c r="BK1166" s="81">
        <f>$X1166</f>
        <v/>
      </c>
      <c r="BL1166" s="82">
        <f>($J1166-$J1167)*100</f>
        <v/>
      </c>
      <c r="BM1166" s="82">
        <f>($F1166-$F1167)*100</f>
        <v/>
      </c>
      <c r="BN1166" s="82">
        <f>$AF1166-$AF1167</f>
        <v/>
      </c>
      <c r="BO1166" s="82">
        <f>$AG1166-$AG1167</f>
        <v/>
      </c>
      <c r="BP1166" s="82">
        <f>$AJ1166-$AJ1167</f>
        <v/>
      </c>
    </row>
    <row r="1167">
      <c r="AR1167" s="81">
        <f>($G1167+($H1167-$G1167)*0.5)+($P1167-($O1167+($Q1167-$O1167)*0.5))</f>
        <v/>
      </c>
      <c r="AS1167" s="81">
        <f>($J1167+($K1167-$J1167)*0.5)+($T1167-($S1167+($U1167-$S1167)*0.5))</f>
        <v/>
      </c>
      <c r="AT1167" s="82">
        <f>($J1167-$C1167)*100</f>
        <v/>
      </c>
      <c r="AU1167" s="82">
        <f>($H1167-$F1167)*100</f>
        <v/>
      </c>
      <c r="AV1167" s="82">
        <f>($J1167-$F1167)*100</f>
        <v/>
      </c>
      <c r="AW1167" s="82">
        <f>($L1167-$F1167)*100</f>
        <v/>
      </c>
      <c r="AX1167" s="82">
        <f>($J1167-$H1167)*100</f>
        <v/>
      </c>
      <c r="AY1167" s="82">
        <f>($L1167-$H1167)*100</f>
        <v/>
      </c>
      <c r="AZ1167" s="82">
        <f>($L1167-$J1167)*100</f>
        <v/>
      </c>
      <c r="BA1167" s="82">
        <f>(2*$H1167-$F1167-$J1167)*100</f>
        <v/>
      </c>
      <c r="BB1167" s="82">
        <f>(2*$J1167-$H1167-$L1167)*100</f>
        <v/>
      </c>
      <c r="BC1167" s="82">
        <f>($N1167-$F1167)*100</f>
        <v/>
      </c>
      <c r="BD1167" s="82">
        <f>($Q1167-$H1167)*100</f>
        <v/>
      </c>
      <c r="BE1167" s="82">
        <f>($S1167-$J1167)*100</f>
        <v/>
      </c>
      <c r="BF1167" s="82">
        <f>($V1167-$L1167)*100</f>
        <v/>
      </c>
      <c r="BG1167" s="82">
        <f>$AG1167-$AF1167</f>
        <v/>
      </c>
      <c r="BH1167" s="81">
        <f>IFERROR($AG1167/$AF1167,"")</f>
        <v/>
      </c>
      <c r="BI1167" s="82">
        <f>$AJ1167-$AF1167</f>
        <v/>
      </c>
      <c r="BJ1167" s="81">
        <f>IFERROR($AJ1167/$AG1167,"")</f>
        <v/>
      </c>
      <c r="BK1167" s="81">
        <f>$X1167</f>
        <v/>
      </c>
      <c r="BL1167" s="82">
        <f>($J1167-$J1168)*100</f>
        <v/>
      </c>
      <c r="BM1167" s="82">
        <f>($F1167-$F1168)*100</f>
        <v/>
      </c>
      <c r="BN1167" s="82">
        <f>$AF1167-$AF1168</f>
        <v/>
      </c>
      <c r="BO1167" s="82">
        <f>$AG1167-$AG1168</f>
        <v/>
      </c>
      <c r="BP1167" s="82">
        <f>$AJ1167-$AJ1168</f>
        <v/>
      </c>
    </row>
    <row r="1168">
      <c r="AR1168" s="81">
        <f>($G1168+($H1168-$G1168)*0.5)+($P1168-($O1168+($Q1168-$O1168)*0.5))</f>
        <v/>
      </c>
      <c r="AS1168" s="81">
        <f>($J1168+($K1168-$J1168)*0.5)+($T1168-($S1168+($U1168-$S1168)*0.5))</f>
        <v/>
      </c>
      <c r="AT1168" s="82">
        <f>($J1168-$C1168)*100</f>
        <v/>
      </c>
      <c r="AU1168" s="82">
        <f>($H1168-$F1168)*100</f>
        <v/>
      </c>
      <c r="AV1168" s="82">
        <f>($J1168-$F1168)*100</f>
        <v/>
      </c>
      <c r="AW1168" s="82">
        <f>($L1168-$F1168)*100</f>
        <v/>
      </c>
      <c r="AX1168" s="82">
        <f>($J1168-$H1168)*100</f>
        <v/>
      </c>
      <c r="AY1168" s="82">
        <f>($L1168-$H1168)*100</f>
        <v/>
      </c>
      <c r="AZ1168" s="82">
        <f>($L1168-$J1168)*100</f>
        <v/>
      </c>
      <c r="BA1168" s="82">
        <f>(2*$H1168-$F1168-$J1168)*100</f>
        <v/>
      </c>
      <c r="BB1168" s="82">
        <f>(2*$J1168-$H1168-$L1168)*100</f>
        <v/>
      </c>
      <c r="BC1168" s="82">
        <f>($N1168-$F1168)*100</f>
        <v/>
      </c>
      <c r="BD1168" s="82">
        <f>($Q1168-$H1168)*100</f>
        <v/>
      </c>
      <c r="BE1168" s="82">
        <f>($S1168-$J1168)*100</f>
        <v/>
      </c>
      <c r="BF1168" s="82">
        <f>($V1168-$L1168)*100</f>
        <v/>
      </c>
      <c r="BG1168" s="82">
        <f>$AG1168-$AF1168</f>
        <v/>
      </c>
      <c r="BH1168" s="81">
        <f>IFERROR($AG1168/$AF1168,"")</f>
        <v/>
      </c>
      <c r="BI1168" s="82">
        <f>$AJ1168-$AF1168</f>
        <v/>
      </c>
      <c r="BJ1168" s="81">
        <f>IFERROR($AJ1168/$AG1168,"")</f>
        <v/>
      </c>
      <c r="BK1168" s="81">
        <f>$X1168</f>
        <v/>
      </c>
      <c r="BL1168" s="82">
        <f>($J1168-$J1169)*100</f>
        <v/>
      </c>
      <c r="BM1168" s="82">
        <f>($F1168-$F1169)*100</f>
        <v/>
      </c>
      <c r="BN1168" s="82">
        <f>$AF1168-$AF1169</f>
        <v/>
      </c>
      <c r="BO1168" s="82">
        <f>$AG1168-$AG1169</f>
        <v/>
      </c>
      <c r="BP1168" s="82">
        <f>$AJ1168-$AJ1169</f>
        <v/>
      </c>
    </row>
    <row r="1169">
      <c r="AR1169" s="81">
        <f>($G1169+($H1169-$G1169)*0.5)+($P1169-($O1169+($Q1169-$O1169)*0.5))</f>
        <v/>
      </c>
      <c r="AS1169" s="81">
        <f>($J1169+($K1169-$J1169)*0.5)+($T1169-($S1169+($U1169-$S1169)*0.5))</f>
        <v/>
      </c>
      <c r="AT1169" s="82">
        <f>($J1169-$C1169)*100</f>
        <v/>
      </c>
      <c r="AU1169" s="82">
        <f>($H1169-$F1169)*100</f>
        <v/>
      </c>
      <c r="AV1169" s="82">
        <f>($J1169-$F1169)*100</f>
        <v/>
      </c>
      <c r="AW1169" s="82">
        <f>($L1169-$F1169)*100</f>
        <v/>
      </c>
      <c r="AX1169" s="82">
        <f>($J1169-$H1169)*100</f>
        <v/>
      </c>
      <c r="AY1169" s="82">
        <f>($L1169-$H1169)*100</f>
        <v/>
      </c>
      <c r="AZ1169" s="82">
        <f>($L1169-$J1169)*100</f>
        <v/>
      </c>
      <c r="BA1169" s="82">
        <f>(2*$H1169-$F1169-$J1169)*100</f>
        <v/>
      </c>
      <c r="BB1169" s="82">
        <f>(2*$J1169-$H1169-$L1169)*100</f>
        <v/>
      </c>
      <c r="BC1169" s="82">
        <f>($N1169-$F1169)*100</f>
        <v/>
      </c>
      <c r="BD1169" s="82">
        <f>($Q1169-$H1169)*100</f>
        <v/>
      </c>
      <c r="BE1169" s="82">
        <f>($S1169-$J1169)*100</f>
        <v/>
      </c>
      <c r="BF1169" s="82">
        <f>($V1169-$L1169)*100</f>
        <v/>
      </c>
      <c r="BG1169" s="82">
        <f>$AG1169-$AF1169</f>
        <v/>
      </c>
      <c r="BH1169" s="81">
        <f>IFERROR($AG1169/$AF1169,"")</f>
        <v/>
      </c>
      <c r="BI1169" s="82">
        <f>$AJ1169-$AF1169</f>
        <v/>
      </c>
      <c r="BJ1169" s="81">
        <f>IFERROR($AJ1169/$AG1169,"")</f>
        <v/>
      </c>
      <c r="BK1169" s="81">
        <f>$X1169</f>
        <v/>
      </c>
      <c r="BL1169" s="82">
        <f>($J1169-$J1170)*100</f>
        <v/>
      </c>
      <c r="BM1169" s="82">
        <f>($F1169-$F1170)*100</f>
        <v/>
      </c>
      <c r="BN1169" s="82">
        <f>$AF1169-$AF1170</f>
        <v/>
      </c>
      <c r="BO1169" s="82">
        <f>$AG1169-$AG1170</f>
        <v/>
      </c>
      <c r="BP1169" s="82">
        <f>$AJ1169-$AJ1170</f>
        <v/>
      </c>
    </row>
    <row r="1170">
      <c r="AR1170" s="81">
        <f>($G1170+($H1170-$G1170)*0.5)+($P1170-($O1170+($Q1170-$O1170)*0.5))</f>
        <v/>
      </c>
      <c r="AS1170" s="81">
        <f>($J1170+($K1170-$J1170)*0.5)+($T1170-($S1170+($U1170-$S1170)*0.5))</f>
        <v/>
      </c>
      <c r="AT1170" s="82">
        <f>($J1170-$C1170)*100</f>
        <v/>
      </c>
      <c r="AU1170" s="82">
        <f>($H1170-$F1170)*100</f>
        <v/>
      </c>
      <c r="AV1170" s="82">
        <f>($J1170-$F1170)*100</f>
        <v/>
      </c>
      <c r="AW1170" s="82">
        <f>($L1170-$F1170)*100</f>
        <v/>
      </c>
      <c r="AX1170" s="82">
        <f>($J1170-$H1170)*100</f>
        <v/>
      </c>
      <c r="AY1170" s="82">
        <f>($L1170-$H1170)*100</f>
        <v/>
      </c>
      <c r="AZ1170" s="82">
        <f>($L1170-$J1170)*100</f>
        <v/>
      </c>
      <c r="BA1170" s="82">
        <f>(2*$H1170-$F1170-$J1170)*100</f>
        <v/>
      </c>
      <c r="BB1170" s="82">
        <f>(2*$J1170-$H1170-$L1170)*100</f>
        <v/>
      </c>
      <c r="BC1170" s="82">
        <f>($N1170-$F1170)*100</f>
        <v/>
      </c>
      <c r="BD1170" s="82">
        <f>($Q1170-$H1170)*100</f>
        <v/>
      </c>
      <c r="BE1170" s="82">
        <f>($S1170-$J1170)*100</f>
        <v/>
      </c>
      <c r="BF1170" s="82">
        <f>($V1170-$L1170)*100</f>
        <v/>
      </c>
      <c r="BG1170" s="82">
        <f>$AG1170-$AF1170</f>
        <v/>
      </c>
      <c r="BH1170" s="81">
        <f>IFERROR($AG1170/$AF1170,"")</f>
        <v/>
      </c>
      <c r="BI1170" s="82">
        <f>$AJ1170-$AF1170</f>
        <v/>
      </c>
      <c r="BJ1170" s="81">
        <f>IFERROR($AJ1170/$AG1170,"")</f>
        <v/>
      </c>
      <c r="BK1170" s="81">
        <f>$X1170</f>
        <v/>
      </c>
      <c r="BL1170" s="82">
        <f>($J1170-$J1171)*100</f>
        <v/>
      </c>
      <c r="BM1170" s="82">
        <f>($F1170-$F1171)*100</f>
        <v/>
      </c>
      <c r="BN1170" s="82">
        <f>$AF1170-$AF1171</f>
        <v/>
      </c>
      <c r="BO1170" s="82">
        <f>$AG1170-$AG1171</f>
        <v/>
      </c>
      <c r="BP1170" s="82">
        <f>$AJ1170-$AJ1171</f>
        <v/>
      </c>
    </row>
    <row r="1171">
      <c r="AR1171" s="81">
        <f>($G1171+($H1171-$G1171)*0.5)+($P1171-($O1171+($Q1171-$O1171)*0.5))</f>
        <v/>
      </c>
      <c r="AS1171" s="81">
        <f>($J1171+($K1171-$J1171)*0.5)+($T1171-($S1171+($U1171-$S1171)*0.5))</f>
        <v/>
      </c>
      <c r="AT1171" s="82">
        <f>($J1171-$C1171)*100</f>
        <v/>
      </c>
      <c r="AU1171" s="82">
        <f>($H1171-$F1171)*100</f>
        <v/>
      </c>
      <c r="AV1171" s="82">
        <f>($J1171-$F1171)*100</f>
        <v/>
      </c>
      <c r="AW1171" s="82">
        <f>($L1171-$F1171)*100</f>
        <v/>
      </c>
      <c r="AX1171" s="82">
        <f>($J1171-$H1171)*100</f>
        <v/>
      </c>
      <c r="AY1171" s="82">
        <f>($L1171-$H1171)*100</f>
        <v/>
      </c>
      <c r="AZ1171" s="82">
        <f>($L1171-$J1171)*100</f>
        <v/>
      </c>
      <c r="BA1171" s="82">
        <f>(2*$H1171-$F1171-$J1171)*100</f>
        <v/>
      </c>
      <c r="BB1171" s="82">
        <f>(2*$J1171-$H1171-$L1171)*100</f>
        <v/>
      </c>
      <c r="BC1171" s="82">
        <f>($N1171-$F1171)*100</f>
        <v/>
      </c>
      <c r="BD1171" s="82">
        <f>($Q1171-$H1171)*100</f>
        <v/>
      </c>
      <c r="BE1171" s="82">
        <f>($S1171-$J1171)*100</f>
        <v/>
      </c>
      <c r="BF1171" s="82">
        <f>($V1171-$L1171)*100</f>
        <v/>
      </c>
      <c r="BG1171" s="82">
        <f>$AG1171-$AF1171</f>
        <v/>
      </c>
      <c r="BH1171" s="81">
        <f>IFERROR($AG1171/$AF1171,"")</f>
        <v/>
      </c>
      <c r="BI1171" s="82">
        <f>$AJ1171-$AF1171</f>
        <v/>
      </c>
      <c r="BJ1171" s="81">
        <f>IFERROR($AJ1171/$AG1171,"")</f>
        <v/>
      </c>
      <c r="BK1171" s="81">
        <f>$X1171</f>
        <v/>
      </c>
      <c r="BL1171" s="82">
        <f>($J1171-$J1172)*100</f>
        <v/>
      </c>
      <c r="BM1171" s="82">
        <f>($F1171-$F1172)*100</f>
        <v/>
      </c>
      <c r="BN1171" s="82">
        <f>$AF1171-$AF1172</f>
        <v/>
      </c>
      <c r="BO1171" s="82">
        <f>$AG1171-$AG1172</f>
        <v/>
      </c>
      <c r="BP1171" s="82">
        <f>$AJ1171-$AJ1172</f>
        <v/>
      </c>
    </row>
    <row r="1172">
      <c r="AR1172" s="81">
        <f>($G1172+($H1172-$G1172)*0.5)+($P1172-($O1172+($Q1172-$O1172)*0.5))</f>
        <v/>
      </c>
      <c r="AS1172" s="81">
        <f>($J1172+($K1172-$J1172)*0.5)+($T1172-($S1172+($U1172-$S1172)*0.5))</f>
        <v/>
      </c>
      <c r="AT1172" s="82">
        <f>($J1172-$C1172)*100</f>
        <v/>
      </c>
      <c r="AU1172" s="82">
        <f>($H1172-$F1172)*100</f>
        <v/>
      </c>
      <c r="AV1172" s="82">
        <f>($J1172-$F1172)*100</f>
        <v/>
      </c>
      <c r="AW1172" s="82">
        <f>($L1172-$F1172)*100</f>
        <v/>
      </c>
      <c r="AX1172" s="82">
        <f>($J1172-$H1172)*100</f>
        <v/>
      </c>
      <c r="AY1172" s="82">
        <f>($L1172-$H1172)*100</f>
        <v/>
      </c>
      <c r="AZ1172" s="82">
        <f>($L1172-$J1172)*100</f>
        <v/>
      </c>
      <c r="BA1172" s="82">
        <f>(2*$H1172-$F1172-$J1172)*100</f>
        <v/>
      </c>
      <c r="BB1172" s="82">
        <f>(2*$J1172-$H1172-$L1172)*100</f>
        <v/>
      </c>
      <c r="BC1172" s="82">
        <f>($N1172-$F1172)*100</f>
        <v/>
      </c>
      <c r="BD1172" s="82">
        <f>($Q1172-$H1172)*100</f>
        <v/>
      </c>
      <c r="BE1172" s="82">
        <f>($S1172-$J1172)*100</f>
        <v/>
      </c>
      <c r="BF1172" s="82">
        <f>($V1172-$L1172)*100</f>
        <v/>
      </c>
      <c r="BG1172" s="82">
        <f>$AG1172-$AF1172</f>
        <v/>
      </c>
      <c r="BH1172" s="81">
        <f>IFERROR($AG1172/$AF1172,"")</f>
        <v/>
      </c>
      <c r="BI1172" s="82">
        <f>$AJ1172-$AF1172</f>
        <v/>
      </c>
      <c r="BJ1172" s="81">
        <f>IFERROR($AJ1172/$AG1172,"")</f>
        <v/>
      </c>
      <c r="BK1172" s="81">
        <f>$X1172</f>
        <v/>
      </c>
      <c r="BL1172" s="82">
        <f>($J1172-$J1173)*100</f>
        <v/>
      </c>
      <c r="BM1172" s="82">
        <f>($F1172-$F1173)*100</f>
        <v/>
      </c>
      <c r="BN1172" s="82">
        <f>$AF1172-$AF1173</f>
        <v/>
      </c>
      <c r="BO1172" s="82">
        <f>$AG1172-$AG1173</f>
        <v/>
      </c>
      <c r="BP1172" s="82">
        <f>$AJ1172-$AJ1173</f>
        <v/>
      </c>
    </row>
    <row r="1173">
      <c r="AR1173" s="81">
        <f>($G1173+($H1173-$G1173)*0.5)+($P1173-($O1173+($Q1173-$O1173)*0.5))</f>
        <v/>
      </c>
      <c r="AS1173" s="81">
        <f>($J1173+($K1173-$J1173)*0.5)+($T1173-($S1173+($U1173-$S1173)*0.5))</f>
        <v/>
      </c>
      <c r="AT1173" s="82">
        <f>($J1173-$C1173)*100</f>
        <v/>
      </c>
      <c r="AU1173" s="82">
        <f>($H1173-$F1173)*100</f>
        <v/>
      </c>
      <c r="AV1173" s="82">
        <f>($J1173-$F1173)*100</f>
        <v/>
      </c>
      <c r="AW1173" s="82">
        <f>($L1173-$F1173)*100</f>
        <v/>
      </c>
      <c r="AX1173" s="82">
        <f>($J1173-$H1173)*100</f>
        <v/>
      </c>
      <c r="AY1173" s="82">
        <f>($L1173-$H1173)*100</f>
        <v/>
      </c>
      <c r="AZ1173" s="82">
        <f>($L1173-$J1173)*100</f>
        <v/>
      </c>
      <c r="BA1173" s="82">
        <f>(2*$H1173-$F1173-$J1173)*100</f>
        <v/>
      </c>
      <c r="BB1173" s="82">
        <f>(2*$J1173-$H1173-$L1173)*100</f>
        <v/>
      </c>
      <c r="BC1173" s="82">
        <f>($N1173-$F1173)*100</f>
        <v/>
      </c>
      <c r="BD1173" s="82">
        <f>($Q1173-$H1173)*100</f>
        <v/>
      </c>
      <c r="BE1173" s="82">
        <f>($S1173-$J1173)*100</f>
        <v/>
      </c>
      <c r="BF1173" s="82">
        <f>($V1173-$L1173)*100</f>
        <v/>
      </c>
      <c r="BG1173" s="82">
        <f>$AG1173-$AF1173</f>
        <v/>
      </c>
      <c r="BH1173" s="81">
        <f>IFERROR($AG1173/$AF1173,"")</f>
        <v/>
      </c>
      <c r="BI1173" s="82">
        <f>$AJ1173-$AF1173</f>
        <v/>
      </c>
      <c r="BJ1173" s="81">
        <f>IFERROR($AJ1173/$AG1173,"")</f>
        <v/>
      </c>
      <c r="BK1173" s="81">
        <f>$X1173</f>
        <v/>
      </c>
      <c r="BL1173" s="82">
        <f>($J1173-$J1174)*100</f>
        <v/>
      </c>
      <c r="BM1173" s="82">
        <f>($F1173-$F1174)*100</f>
        <v/>
      </c>
      <c r="BN1173" s="82">
        <f>$AF1173-$AF1174</f>
        <v/>
      </c>
      <c r="BO1173" s="82">
        <f>$AG1173-$AG1174</f>
        <v/>
      </c>
      <c r="BP1173" s="82">
        <f>$AJ1173-$AJ1174</f>
        <v/>
      </c>
    </row>
    <row r="1174">
      <c r="AR1174" s="81">
        <f>($G1174+($H1174-$G1174)*0.5)+($P1174-($O1174+($Q1174-$O1174)*0.5))</f>
        <v/>
      </c>
      <c r="AS1174" s="81">
        <f>($J1174+($K1174-$J1174)*0.5)+($T1174-($S1174+($U1174-$S1174)*0.5))</f>
        <v/>
      </c>
      <c r="AT1174" s="82">
        <f>($J1174-$C1174)*100</f>
        <v/>
      </c>
      <c r="AU1174" s="82">
        <f>($H1174-$F1174)*100</f>
        <v/>
      </c>
      <c r="AV1174" s="82">
        <f>($J1174-$F1174)*100</f>
        <v/>
      </c>
      <c r="AW1174" s="82">
        <f>($L1174-$F1174)*100</f>
        <v/>
      </c>
      <c r="AX1174" s="82">
        <f>($J1174-$H1174)*100</f>
        <v/>
      </c>
      <c r="AY1174" s="82">
        <f>($L1174-$H1174)*100</f>
        <v/>
      </c>
      <c r="AZ1174" s="82">
        <f>($L1174-$J1174)*100</f>
        <v/>
      </c>
      <c r="BA1174" s="82">
        <f>(2*$H1174-$F1174-$J1174)*100</f>
        <v/>
      </c>
      <c r="BB1174" s="82">
        <f>(2*$J1174-$H1174-$L1174)*100</f>
        <v/>
      </c>
      <c r="BC1174" s="82">
        <f>($N1174-$F1174)*100</f>
        <v/>
      </c>
      <c r="BD1174" s="82">
        <f>($Q1174-$H1174)*100</f>
        <v/>
      </c>
      <c r="BE1174" s="82">
        <f>($S1174-$J1174)*100</f>
        <v/>
      </c>
      <c r="BF1174" s="82">
        <f>($V1174-$L1174)*100</f>
        <v/>
      </c>
      <c r="BG1174" s="82">
        <f>$AG1174-$AF1174</f>
        <v/>
      </c>
      <c r="BH1174" s="81">
        <f>IFERROR($AG1174/$AF1174,"")</f>
        <v/>
      </c>
      <c r="BI1174" s="82">
        <f>$AJ1174-$AF1174</f>
        <v/>
      </c>
      <c r="BJ1174" s="81">
        <f>IFERROR($AJ1174/$AG1174,"")</f>
        <v/>
      </c>
      <c r="BK1174" s="81">
        <f>$X1174</f>
        <v/>
      </c>
      <c r="BL1174" s="82">
        <f>($J1174-$J1175)*100</f>
        <v/>
      </c>
      <c r="BM1174" s="82">
        <f>($F1174-$F1175)*100</f>
        <v/>
      </c>
      <c r="BN1174" s="82">
        <f>$AF1174-$AF1175</f>
        <v/>
      </c>
      <c r="BO1174" s="82">
        <f>$AG1174-$AG1175</f>
        <v/>
      </c>
      <c r="BP1174" s="82">
        <f>$AJ1174-$AJ1175</f>
        <v/>
      </c>
    </row>
    <row r="1175">
      <c r="AR1175" s="81">
        <f>($G1175+($H1175-$G1175)*0.5)+($P1175-($O1175+($Q1175-$O1175)*0.5))</f>
        <v/>
      </c>
      <c r="AS1175" s="81">
        <f>($J1175+($K1175-$J1175)*0.5)+($T1175-($S1175+($U1175-$S1175)*0.5))</f>
        <v/>
      </c>
      <c r="AT1175" s="82">
        <f>($J1175-$C1175)*100</f>
        <v/>
      </c>
      <c r="AU1175" s="82">
        <f>($H1175-$F1175)*100</f>
        <v/>
      </c>
      <c r="AV1175" s="82">
        <f>($J1175-$F1175)*100</f>
        <v/>
      </c>
      <c r="AW1175" s="82">
        <f>($L1175-$F1175)*100</f>
        <v/>
      </c>
      <c r="AX1175" s="82">
        <f>($J1175-$H1175)*100</f>
        <v/>
      </c>
      <c r="AY1175" s="82">
        <f>($L1175-$H1175)*100</f>
        <v/>
      </c>
      <c r="AZ1175" s="82">
        <f>($L1175-$J1175)*100</f>
        <v/>
      </c>
      <c r="BA1175" s="82">
        <f>(2*$H1175-$F1175-$J1175)*100</f>
        <v/>
      </c>
      <c r="BB1175" s="82">
        <f>(2*$J1175-$H1175-$L1175)*100</f>
        <v/>
      </c>
      <c r="BC1175" s="82">
        <f>($N1175-$F1175)*100</f>
        <v/>
      </c>
      <c r="BD1175" s="82">
        <f>($Q1175-$H1175)*100</f>
        <v/>
      </c>
      <c r="BE1175" s="82">
        <f>($S1175-$J1175)*100</f>
        <v/>
      </c>
      <c r="BF1175" s="82">
        <f>($V1175-$L1175)*100</f>
        <v/>
      </c>
      <c r="BG1175" s="82">
        <f>$AG1175-$AF1175</f>
        <v/>
      </c>
      <c r="BH1175" s="81">
        <f>IFERROR($AG1175/$AF1175,"")</f>
        <v/>
      </c>
      <c r="BI1175" s="82">
        <f>$AJ1175-$AF1175</f>
        <v/>
      </c>
      <c r="BJ1175" s="81">
        <f>IFERROR($AJ1175/$AG1175,"")</f>
        <v/>
      </c>
      <c r="BK1175" s="81">
        <f>$X1175</f>
        <v/>
      </c>
      <c r="BL1175" s="82">
        <f>($J1175-$J1176)*100</f>
        <v/>
      </c>
      <c r="BM1175" s="82">
        <f>($F1175-$F1176)*100</f>
        <v/>
      </c>
      <c r="BN1175" s="82">
        <f>$AF1175-$AF1176</f>
        <v/>
      </c>
      <c r="BO1175" s="82">
        <f>$AG1175-$AG1176</f>
        <v/>
      </c>
      <c r="BP1175" s="82">
        <f>$AJ1175-$AJ1176</f>
        <v/>
      </c>
    </row>
    <row r="1176">
      <c r="AR1176" s="81">
        <f>($G1176+($H1176-$G1176)*0.5)+($P1176-($O1176+($Q1176-$O1176)*0.5))</f>
        <v/>
      </c>
      <c r="AS1176" s="81">
        <f>($J1176+($K1176-$J1176)*0.5)+($T1176-($S1176+($U1176-$S1176)*0.5))</f>
        <v/>
      </c>
      <c r="AT1176" s="82">
        <f>($J1176-$C1176)*100</f>
        <v/>
      </c>
      <c r="AU1176" s="82">
        <f>($H1176-$F1176)*100</f>
        <v/>
      </c>
      <c r="AV1176" s="82">
        <f>($J1176-$F1176)*100</f>
        <v/>
      </c>
      <c r="AW1176" s="82">
        <f>($L1176-$F1176)*100</f>
        <v/>
      </c>
      <c r="AX1176" s="82">
        <f>($J1176-$H1176)*100</f>
        <v/>
      </c>
      <c r="AY1176" s="82">
        <f>($L1176-$H1176)*100</f>
        <v/>
      </c>
      <c r="AZ1176" s="82">
        <f>($L1176-$J1176)*100</f>
        <v/>
      </c>
      <c r="BA1176" s="82">
        <f>(2*$H1176-$F1176-$J1176)*100</f>
        <v/>
      </c>
      <c r="BB1176" s="82">
        <f>(2*$J1176-$H1176-$L1176)*100</f>
        <v/>
      </c>
      <c r="BC1176" s="82">
        <f>($N1176-$F1176)*100</f>
        <v/>
      </c>
      <c r="BD1176" s="82">
        <f>($Q1176-$H1176)*100</f>
        <v/>
      </c>
      <c r="BE1176" s="82">
        <f>($S1176-$J1176)*100</f>
        <v/>
      </c>
      <c r="BF1176" s="82">
        <f>($V1176-$L1176)*100</f>
        <v/>
      </c>
      <c r="BG1176" s="82">
        <f>$AG1176-$AF1176</f>
        <v/>
      </c>
      <c r="BH1176" s="81">
        <f>IFERROR($AG1176/$AF1176,"")</f>
        <v/>
      </c>
      <c r="BI1176" s="82">
        <f>$AJ1176-$AF1176</f>
        <v/>
      </c>
      <c r="BJ1176" s="81">
        <f>IFERROR($AJ1176/$AG1176,"")</f>
        <v/>
      </c>
      <c r="BK1176" s="81">
        <f>$X1176</f>
        <v/>
      </c>
      <c r="BL1176" s="82">
        <f>($J1176-$J1177)*100</f>
        <v/>
      </c>
      <c r="BM1176" s="82">
        <f>($F1176-$F1177)*100</f>
        <v/>
      </c>
      <c r="BN1176" s="82">
        <f>$AF1176-$AF1177</f>
        <v/>
      </c>
      <c r="BO1176" s="82">
        <f>$AG1176-$AG1177</f>
        <v/>
      </c>
      <c r="BP1176" s="82">
        <f>$AJ1176-$AJ1177</f>
        <v/>
      </c>
    </row>
    <row r="1177">
      <c r="AR1177" s="81">
        <f>($G1177+($H1177-$G1177)*0.5)+($P1177-($O1177+($Q1177-$O1177)*0.5))</f>
        <v/>
      </c>
      <c r="AS1177" s="81">
        <f>($J1177+($K1177-$J1177)*0.5)+($T1177-($S1177+($U1177-$S1177)*0.5))</f>
        <v/>
      </c>
      <c r="AT1177" s="82">
        <f>($J1177-$C1177)*100</f>
        <v/>
      </c>
      <c r="AU1177" s="82">
        <f>($H1177-$F1177)*100</f>
        <v/>
      </c>
      <c r="AV1177" s="82">
        <f>($J1177-$F1177)*100</f>
        <v/>
      </c>
      <c r="AW1177" s="82">
        <f>($L1177-$F1177)*100</f>
        <v/>
      </c>
      <c r="AX1177" s="82">
        <f>($J1177-$H1177)*100</f>
        <v/>
      </c>
      <c r="AY1177" s="82">
        <f>($L1177-$H1177)*100</f>
        <v/>
      </c>
      <c r="AZ1177" s="82">
        <f>($L1177-$J1177)*100</f>
        <v/>
      </c>
      <c r="BA1177" s="82">
        <f>(2*$H1177-$F1177-$J1177)*100</f>
        <v/>
      </c>
      <c r="BB1177" s="82">
        <f>(2*$J1177-$H1177-$L1177)*100</f>
        <v/>
      </c>
      <c r="BC1177" s="82">
        <f>($N1177-$F1177)*100</f>
        <v/>
      </c>
      <c r="BD1177" s="82">
        <f>($Q1177-$H1177)*100</f>
        <v/>
      </c>
      <c r="BE1177" s="82">
        <f>($S1177-$J1177)*100</f>
        <v/>
      </c>
      <c r="BF1177" s="82">
        <f>($V1177-$L1177)*100</f>
        <v/>
      </c>
      <c r="BG1177" s="82">
        <f>$AG1177-$AF1177</f>
        <v/>
      </c>
      <c r="BH1177" s="81">
        <f>IFERROR($AG1177/$AF1177,"")</f>
        <v/>
      </c>
      <c r="BI1177" s="82">
        <f>$AJ1177-$AF1177</f>
        <v/>
      </c>
      <c r="BJ1177" s="81">
        <f>IFERROR($AJ1177/$AG1177,"")</f>
        <v/>
      </c>
      <c r="BK1177" s="81">
        <f>$X1177</f>
        <v/>
      </c>
      <c r="BL1177" s="82">
        <f>($J1177-$J1178)*100</f>
        <v/>
      </c>
      <c r="BM1177" s="82">
        <f>($F1177-$F1178)*100</f>
        <v/>
      </c>
      <c r="BN1177" s="82">
        <f>$AF1177-$AF1178</f>
        <v/>
      </c>
      <c r="BO1177" s="82">
        <f>$AG1177-$AG1178</f>
        <v/>
      </c>
      <c r="BP1177" s="82">
        <f>$AJ1177-$AJ1178</f>
        <v/>
      </c>
    </row>
    <row r="1178">
      <c r="AR1178" s="81">
        <f>($G1178+($H1178-$G1178)*0.5)+($P1178-($O1178+($Q1178-$O1178)*0.5))</f>
        <v/>
      </c>
      <c r="AS1178" s="81">
        <f>($J1178+($K1178-$J1178)*0.5)+($T1178-($S1178+($U1178-$S1178)*0.5))</f>
        <v/>
      </c>
      <c r="AT1178" s="82">
        <f>($J1178-$C1178)*100</f>
        <v/>
      </c>
      <c r="AU1178" s="82">
        <f>($H1178-$F1178)*100</f>
        <v/>
      </c>
      <c r="AV1178" s="82">
        <f>($J1178-$F1178)*100</f>
        <v/>
      </c>
      <c r="AW1178" s="82">
        <f>($L1178-$F1178)*100</f>
        <v/>
      </c>
      <c r="AX1178" s="82">
        <f>($J1178-$H1178)*100</f>
        <v/>
      </c>
      <c r="AY1178" s="82">
        <f>($L1178-$H1178)*100</f>
        <v/>
      </c>
      <c r="AZ1178" s="82">
        <f>($L1178-$J1178)*100</f>
        <v/>
      </c>
      <c r="BA1178" s="82">
        <f>(2*$H1178-$F1178-$J1178)*100</f>
        <v/>
      </c>
      <c r="BB1178" s="82">
        <f>(2*$J1178-$H1178-$L1178)*100</f>
        <v/>
      </c>
      <c r="BC1178" s="82">
        <f>($N1178-$F1178)*100</f>
        <v/>
      </c>
      <c r="BD1178" s="82">
        <f>($Q1178-$H1178)*100</f>
        <v/>
      </c>
      <c r="BE1178" s="82">
        <f>($S1178-$J1178)*100</f>
        <v/>
      </c>
      <c r="BF1178" s="82">
        <f>($V1178-$L1178)*100</f>
        <v/>
      </c>
      <c r="BG1178" s="82">
        <f>$AG1178-$AF1178</f>
        <v/>
      </c>
      <c r="BH1178" s="81">
        <f>IFERROR($AG1178/$AF1178,"")</f>
        <v/>
      </c>
      <c r="BI1178" s="82">
        <f>$AJ1178-$AF1178</f>
        <v/>
      </c>
      <c r="BJ1178" s="81">
        <f>IFERROR($AJ1178/$AG1178,"")</f>
        <v/>
      </c>
      <c r="BK1178" s="81">
        <f>$X1178</f>
        <v/>
      </c>
      <c r="BL1178" s="82">
        <f>($J1178-$J1179)*100</f>
        <v/>
      </c>
      <c r="BM1178" s="82">
        <f>($F1178-$F1179)*100</f>
        <v/>
      </c>
      <c r="BN1178" s="82">
        <f>$AF1178-$AF1179</f>
        <v/>
      </c>
      <c r="BO1178" s="82">
        <f>$AG1178-$AG1179</f>
        <v/>
      </c>
      <c r="BP1178" s="82">
        <f>$AJ1178-$AJ1179</f>
        <v/>
      </c>
    </row>
    <row r="1179">
      <c r="AR1179" s="81">
        <f>($G1179+($H1179-$G1179)*0.5)+($P1179-($O1179+($Q1179-$O1179)*0.5))</f>
        <v/>
      </c>
      <c r="AS1179" s="81">
        <f>($J1179+($K1179-$J1179)*0.5)+($T1179-($S1179+($U1179-$S1179)*0.5))</f>
        <v/>
      </c>
      <c r="AT1179" s="82">
        <f>($J1179-$C1179)*100</f>
        <v/>
      </c>
      <c r="AU1179" s="82">
        <f>($H1179-$F1179)*100</f>
        <v/>
      </c>
      <c r="AV1179" s="82">
        <f>($J1179-$F1179)*100</f>
        <v/>
      </c>
      <c r="AW1179" s="82">
        <f>($L1179-$F1179)*100</f>
        <v/>
      </c>
      <c r="AX1179" s="82">
        <f>($J1179-$H1179)*100</f>
        <v/>
      </c>
      <c r="AY1179" s="82">
        <f>($L1179-$H1179)*100</f>
        <v/>
      </c>
      <c r="AZ1179" s="82">
        <f>($L1179-$J1179)*100</f>
        <v/>
      </c>
      <c r="BA1179" s="82">
        <f>(2*$H1179-$F1179-$J1179)*100</f>
        <v/>
      </c>
      <c r="BB1179" s="82">
        <f>(2*$J1179-$H1179-$L1179)*100</f>
        <v/>
      </c>
      <c r="BC1179" s="82">
        <f>($N1179-$F1179)*100</f>
        <v/>
      </c>
      <c r="BD1179" s="82">
        <f>($Q1179-$H1179)*100</f>
        <v/>
      </c>
      <c r="BE1179" s="82">
        <f>($S1179-$J1179)*100</f>
        <v/>
      </c>
      <c r="BF1179" s="82">
        <f>($V1179-$L1179)*100</f>
        <v/>
      </c>
      <c r="BG1179" s="82">
        <f>$AG1179-$AF1179</f>
        <v/>
      </c>
      <c r="BH1179" s="81">
        <f>IFERROR($AG1179/$AF1179,"")</f>
        <v/>
      </c>
      <c r="BI1179" s="82">
        <f>$AJ1179-$AF1179</f>
        <v/>
      </c>
      <c r="BJ1179" s="81">
        <f>IFERROR($AJ1179/$AG1179,"")</f>
        <v/>
      </c>
      <c r="BK1179" s="81">
        <f>$X1179</f>
        <v/>
      </c>
      <c r="BL1179" s="82">
        <f>($J1179-$J1180)*100</f>
        <v/>
      </c>
      <c r="BM1179" s="82">
        <f>($F1179-$F1180)*100</f>
        <v/>
      </c>
      <c r="BN1179" s="82">
        <f>$AF1179-$AF1180</f>
        <v/>
      </c>
      <c r="BO1179" s="82">
        <f>$AG1179-$AG1180</f>
        <v/>
      </c>
      <c r="BP1179" s="82">
        <f>$AJ1179-$AJ1180</f>
        <v/>
      </c>
    </row>
    <row r="1180">
      <c r="AR1180" s="81">
        <f>($G1180+($H1180-$G1180)*0.5)+($P1180-($O1180+($Q1180-$O1180)*0.5))</f>
        <v/>
      </c>
      <c r="AS1180" s="81">
        <f>($J1180+($K1180-$J1180)*0.5)+($T1180-($S1180+($U1180-$S1180)*0.5))</f>
        <v/>
      </c>
      <c r="AT1180" s="82">
        <f>($J1180-$C1180)*100</f>
        <v/>
      </c>
      <c r="AU1180" s="82">
        <f>($H1180-$F1180)*100</f>
        <v/>
      </c>
      <c r="AV1180" s="82">
        <f>($J1180-$F1180)*100</f>
        <v/>
      </c>
      <c r="AW1180" s="82">
        <f>($L1180-$F1180)*100</f>
        <v/>
      </c>
      <c r="AX1180" s="82">
        <f>($J1180-$H1180)*100</f>
        <v/>
      </c>
      <c r="AY1180" s="82">
        <f>($L1180-$H1180)*100</f>
        <v/>
      </c>
      <c r="AZ1180" s="82">
        <f>($L1180-$J1180)*100</f>
        <v/>
      </c>
      <c r="BA1180" s="82">
        <f>(2*$H1180-$F1180-$J1180)*100</f>
        <v/>
      </c>
      <c r="BB1180" s="82">
        <f>(2*$J1180-$H1180-$L1180)*100</f>
        <v/>
      </c>
      <c r="BC1180" s="82">
        <f>($N1180-$F1180)*100</f>
        <v/>
      </c>
      <c r="BD1180" s="82">
        <f>($Q1180-$H1180)*100</f>
        <v/>
      </c>
      <c r="BE1180" s="82">
        <f>($S1180-$J1180)*100</f>
        <v/>
      </c>
      <c r="BF1180" s="82">
        <f>($V1180-$L1180)*100</f>
        <v/>
      </c>
      <c r="BG1180" s="82">
        <f>$AG1180-$AF1180</f>
        <v/>
      </c>
      <c r="BH1180" s="81">
        <f>IFERROR($AG1180/$AF1180,"")</f>
        <v/>
      </c>
      <c r="BI1180" s="82">
        <f>$AJ1180-$AF1180</f>
        <v/>
      </c>
      <c r="BJ1180" s="81">
        <f>IFERROR($AJ1180/$AG1180,"")</f>
        <v/>
      </c>
      <c r="BK1180" s="81">
        <f>$X1180</f>
        <v/>
      </c>
      <c r="BL1180" s="82">
        <f>($J1180-$J1181)*100</f>
        <v/>
      </c>
      <c r="BM1180" s="82">
        <f>($F1180-$F1181)*100</f>
        <v/>
      </c>
      <c r="BN1180" s="82">
        <f>$AF1180-$AF1181</f>
        <v/>
      </c>
      <c r="BO1180" s="82">
        <f>$AG1180-$AG1181</f>
        <v/>
      </c>
      <c r="BP1180" s="82">
        <f>$AJ1180-$AJ1181</f>
        <v/>
      </c>
    </row>
    <row r="1181">
      <c r="AR1181" s="81">
        <f>($G1181+($H1181-$G1181)*0.5)+($P1181-($O1181+($Q1181-$O1181)*0.5))</f>
        <v/>
      </c>
      <c r="AS1181" s="81">
        <f>($J1181+($K1181-$J1181)*0.5)+($T1181-($S1181+($U1181-$S1181)*0.5))</f>
        <v/>
      </c>
      <c r="AT1181" s="82">
        <f>($J1181-$C1181)*100</f>
        <v/>
      </c>
      <c r="AU1181" s="82">
        <f>($H1181-$F1181)*100</f>
        <v/>
      </c>
      <c r="AV1181" s="82">
        <f>($J1181-$F1181)*100</f>
        <v/>
      </c>
      <c r="AW1181" s="82">
        <f>($L1181-$F1181)*100</f>
        <v/>
      </c>
      <c r="AX1181" s="82">
        <f>($J1181-$H1181)*100</f>
        <v/>
      </c>
      <c r="AY1181" s="82">
        <f>($L1181-$H1181)*100</f>
        <v/>
      </c>
      <c r="AZ1181" s="82">
        <f>($L1181-$J1181)*100</f>
        <v/>
      </c>
      <c r="BA1181" s="82">
        <f>(2*$H1181-$F1181-$J1181)*100</f>
        <v/>
      </c>
      <c r="BB1181" s="82">
        <f>(2*$J1181-$H1181-$L1181)*100</f>
        <v/>
      </c>
      <c r="BC1181" s="82">
        <f>($N1181-$F1181)*100</f>
        <v/>
      </c>
      <c r="BD1181" s="82">
        <f>($Q1181-$H1181)*100</f>
        <v/>
      </c>
      <c r="BE1181" s="82">
        <f>($S1181-$J1181)*100</f>
        <v/>
      </c>
      <c r="BF1181" s="82">
        <f>($V1181-$L1181)*100</f>
        <v/>
      </c>
      <c r="BG1181" s="82">
        <f>$AG1181-$AF1181</f>
        <v/>
      </c>
      <c r="BH1181" s="81">
        <f>IFERROR($AG1181/$AF1181,"")</f>
        <v/>
      </c>
      <c r="BI1181" s="82">
        <f>$AJ1181-$AF1181</f>
        <v/>
      </c>
      <c r="BJ1181" s="81">
        <f>IFERROR($AJ1181/$AG1181,"")</f>
        <v/>
      </c>
      <c r="BK1181" s="81">
        <f>$X1181</f>
        <v/>
      </c>
      <c r="BL1181" s="82">
        <f>($J1181-$J1182)*100</f>
        <v/>
      </c>
      <c r="BM1181" s="82">
        <f>($F1181-$F1182)*100</f>
        <v/>
      </c>
      <c r="BN1181" s="82">
        <f>$AF1181-$AF1182</f>
        <v/>
      </c>
      <c r="BO1181" s="82">
        <f>$AG1181-$AG1182</f>
        <v/>
      </c>
      <c r="BP1181" s="82">
        <f>$AJ1181-$AJ1182</f>
        <v/>
      </c>
    </row>
    <row r="1182">
      <c r="AR1182" s="81">
        <f>($G1182+($H1182-$G1182)*0.5)+($P1182-($O1182+($Q1182-$O1182)*0.5))</f>
        <v/>
      </c>
      <c r="AS1182" s="81">
        <f>($J1182+($K1182-$J1182)*0.5)+($T1182-($S1182+($U1182-$S1182)*0.5))</f>
        <v/>
      </c>
      <c r="AT1182" s="82">
        <f>($J1182-$C1182)*100</f>
        <v/>
      </c>
      <c r="AU1182" s="82">
        <f>($H1182-$F1182)*100</f>
        <v/>
      </c>
      <c r="AV1182" s="82">
        <f>($J1182-$F1182)*100</f>
        <v/>
      </c>
      <c r="AW1182" s="82">
        <f>($L1182-$F1182)*100</f>
        <v/>
      </c>
      <c r="AX1182" s="82">
        <f>($J1182-$H1182)*100</f>
        <v/>
      </c>
      <c r="AY1182" s="82">
        <f>($L1182-$H1182)*100</f>
        <v/>
      </c>
      <c r="AZ1182" s="82">
        <f>($L1182-$J1182)*100</f>
        <v/>
      </c>
      <c r="BA1182" s="82">
        <f>(2*$H1182-$F1182-$J1182)*100</f>
        <v/>
      </c>
      <c r="BB1182" s="82">
        <f>(2*$J1182-$H1182-$L1182)*100</f>
        <v/>
      </c>
      <c r="BC1182" s="82">
        <f>($N1182-$F1182)*100</f>
        <v/>
      </c>
      <c r="BD1182" s="82">
        <f>($Q1182-$H1182)*100</f>
        <v/>
      </c>
      <c r="BE1182" s="82">
        <f>($S1182-$J1182)*100</f>
        <v/>
      </c>
      <c r="BF1182" s="82">
        <f>($V1182-$L1182)*100</f>
        <v/>
      </c>
      <c r="BG1182" s="82">
        <f>$AG1182-$AF1182</f>
        <v/>
      </c>
      <c r="BH1182" s="81">
        <f>IFERROR($AG1182/$AF1182,"")</f>
        <v/>
      </c>
      <c r="BI1182" s="82">
        <f>$AJ1182-$AF1182</f>
        <v/>
      </c>
      <c r="BJ1182" s="81">
        <f>IFERROR($AJ1182/$AG1182,"")</f>
        <v/>
      </c>
      <c r="BK1182" s="81">
        <f>$X1182</f>
        <v/>
      </c>
      <c r="BL1182" s="82">
        <f>($J1182-$J1183)*100</f>
        <v/>
      </c>
      <c r="BM1182" s="82">
        <f>($F1182-$F1183)*100</f>
        <v/>
      </c>
      <c r="BN1182" s="82">
        <f>$AF1182-$AF1183</f>
        <v/>
      </c>
      <c r="BO1182" s="82">
        <f>$AG1182-$AG1183</f>
        <v/>
      </c>
      <c r="BP1182" s="82">
        <f>$AJ1182-$AJ1183</f>
        <v/>
      </c>
    </row>
    <row r="1183">
      <c r="AR1183" s="81">
        <f>($G1183+($H1183-$G1183)*0.5)+($P1183-($O1183+($Q1183-$O1183)*0.5))</f>
        <v/>
      </c>
      <c r="AS1183" s="81">
        <f>($J1183+($K1183-$J1183)*0.5)+($T1183-($S1183+($U1183-$S1183)*0.5))</f>
        <v/>
      </c>
      <c r="AT1183" s="82">
        <f>($J1183-$C1183)*100</f>
        <v/>
      </c>
      <c r="AU1183" s="82">
        <f>($H1183-$F1183)*100</f>
        <v/>
      </c>
      <c r="AV1183" s="82">
        <f>($J1183-$F1183)*100</f>
        <v/>
      </c>
      <c r="AW1183" s="82">
        <f>($L1183-$F1183)*100</f>
        <v/>
      </c>
      <c r="AX1183" s="82">
        <f>($J1183-$H1183)*100</f>
        <v/>
      </c>
      <c r="AY1183" s="82">
        <f>($L1183-$H1183)*100</f>
        <v/>
      </c>
      <c r="AZ1183" s="82">
        <f>($L1183-$J1183)*100</f>
        <v/>
      </c>
      <c r="BA1183" s="82">
        <f>(2*$H1183-$F1183-$J1183)*100</f>
        <v/>
      </c>
      <c r="BB1183" s="82">
        <f>(2*$J1183-$H1183-$L1183)*100</f>
        <v/>
      </c>
      <c r="BC1183" s="82">
        <f>($N1183-$F1183)*100</f>
        <v/>
      </c>
      <c r="BD1183" s="82">
        <f>($Q1183-$H1183)*100</f>
        <v/>
      </c>
      <c r="BE1183" s="82">
        <f>($S1183-$J1183)*100</f>
        <v/>
      </c>
      <c r="BF1183" s="82">
        <f>($V1183-$L1183)*100</f>
        <v/>
      </c>
      <c r="BG1183" s="82">
        <f>$AG1183-$AF1183</f>
        <v/>
      </c>
      <c r="BH1183" s="81">
        <f>IFERROR($AG1183/$AF1183,"")</f>
        <v/>
      </c>
      <c r="BI1183" s="82">
        <f>$AJ1183-$AF1183</f>
        <v/>
      </c>
      <c r="BJ1183" s="81">
        <f>IFERROR($AJ1183/$AG1183,"")</f>
        <v/>
      </c>
      <c r="BK1183" s="81">
        <f>$X1183</f>
        <v/>
      </c>
      <c r="BL1183" s="82">
        <f>($J1183-$J1184)*100</f>
        <v/>
      </c>
      <c r="BM1183" s="82">
        <f>($F1183-$F1184)*100</f>
        <v/>
      </c>
      <c r="BN1183" s="82">
        <f>$AF1183-$AF1184</f>
        <v/>
      </c>
      <c r="BO1183" s="82">
        <f>$AG1183-$AG1184</f>
        <v/>
      </c>
      <c r="BP1183" s="82">
        <f>$AJ1183-$AJ1184</f>
        <v/>
      </c>
    </row>
    <row r="1184">
      <c r="AR1184" s="81">
        <f>($G1184+($H1184-$G1184)*0.5)+($P1184-($O1184+($Q1184-$O1184)*0.5))</f>
        <v/>
      </c>
      <c r="AS1184" s="81">
        <f>($J1184+($K1184-$J1184)*0.5)+($T1184-($S1184+($U1184-$S1184)*0.5))</f>
        <v/>
      </c>
      <c r="AT1184" s="82">
        <f>($J1184-$C1184)*100</f>
        <v/>
      </c>
      <c r="AU1184" s="82">
        <f>($H1184-$F1184)*100</f>
        <v/>
      </c>
      <c r="AV1184" s="82">
        <f>($J1184-$F1184)*100</f>
        <v/>
      </c>
      <c r="AW1184" s="82">
        <f>($L1184-$F1184)*100</f>
        <v/>
      </c>
      <c r="AX1184" s="82">
        <f>($J1184-$H1184)*100</f>
        <v/>
      </c>
      <c r="AY1184" s="82">
        <f>($L1184-$H1184)*100</f>
        <v/>
      </c>
      <c r="AZ1184" s="82">
        <f>($L1184-$J1184)*100</f>
        <v/>
      </c>
      <c r="BA1184" s="82">
        <f>(2*$H1184-$F1184-$J1184)*100</f>
        <v/>
      </c>
      <c r="BB1184" s="82">
        <f>(2*$J1184-$H1184-$L1184)*100</f>
        <v/>
      </c>
      <c r="BC1184" s="82">
        <f>($N1184-$F1184)*100</f>
        <v/>
      </c>
      <c r="BD1184" s="82">
        <f>($Q1184-$H1184)*100</f>
        <v/>
      </c>
      <c r="BE1184" s="82">
        <f>($S1184-$J1184)*100</f>
        <v/>
      </c>
      <c r="BF1184" s="82">
        <f>($V1184-$L1184)*100</f>
        <v/>
      </c>
      <c r="BG1184" s="82">
        <f>$AG1184-$AF1184</f>
        <v/>
      </c>
      <c r="BH1184" s="81">
        <f>IFERROR($AG1184/$AF1184,"")</f>
        <v/>
      </c>
      <c r="BI1184" s="82">
        <f>$AJ1184-$AF1184</f>
        <v/>
      </c>
      <c r="BJ1184" s="81">
        <f>IFERROR($AJ1184/$AG1184,"")</f>
        <v/>
      </c>
      <c r="BK1184" s="81">
        <f>$X1184</f>
        <v/>
      </c>
      <c r="BL1184" s="82">
        <f>($J1184-$J1185)*100</f>
        <v/>
      </c>
      <c r="BM1184" s="82">
        <f>($F1184-$F1185)*100</f>
        <v/>
      </c>
      <c r="BN1184" s="82">
        <f>$AF1184-$AF1185</f>
        <v/>
      </c>
      <c r="BO1184" s="82">
        <f>$AG1184-$AG1185</f>
        <v/>
      </c>
      <c r="BP1184" s="82">
        <f>$AJ1184-$AJ1185</f>
        <v/>
      </c>
    </row>
    <row r="1185">
      <c r="AR1185" s="81">
        <f>($G1185+($H1185-$G1185)*0.5)+($P1185-($O1185+($Q1185-$O1185)*0.5))</f>
        <v/>
      </c>
      <c r="AS1185" s="81">
        <f>($J1185+($K1185-$J1185)*0.5)+($T1185-($S1185+($U1185-$S1185)*0.5))</f>
        <v/>
      </c>
      <c r="AT1185" s="82">
        <f>($J1185-$C1185)*100</f>
        <v/>
      </c>
      <c r="AU1185" s="82">
        <f>($H1185-$F1185)*100</f>
        <v/>
      </c>
      <c r="AV1185" s="82">
        <f>($J1185-$F1185)*100</f>
        <v/>
      </c>
      <c r="AW1185" s="82">
        <f>($L1185-$F1185)*100</f>
        <v/>
      </c>
      <c r="AX1185" s="82">
        <f>($J1185-$H1185)*100</f>
        <v/>
      </c>
      <c r="AY1185" s="82">
        <f>($L1185-$H1185)*100</f>
        <v/>
      </c>
      <c r="AZ1185" s="82">
        <f>($L1185-$J1185)*100</f>
        <v/>
      </c>
      <c r="BA1185" s="82">
        <f>(2*$H1185-$F1185-$J1185)*100</f>
        <v/>
      </c>
      <c r="BB1185" s="82">
        <f>(2*$J1185-$H1185-$L1185)*100</f>
        <v/>
      </c>
      <c r="BC1185" s="82">
        <f>($N1185-$F1185)*100</f>
        <v/>
      </c>
      <c r="BD1185" s="82">
        <f>($Q1185-$H1185)*100</f>
        <v/>
      </c>
      <c r="BE1185" s="82">
        <f>($S1185-$J1185)*100</f>
        <v/>
      </c>
      <c r="BF1185" s="82">
        <f>($V1185-$L1185)*100</f>
        <v/>
      </c>
      <c r="BG1185" s="82">
        <f>$AG1185-$AF1185</f>
        <v/>
      </c>
      <c r="BH1185" s="81">
        <f>IFERROR($AG1185/$AF1185,"")</f>
        <v/>
      </c>
      <c r="BI1185" s="82">
        <f>$AJ1185-$AF1185</f>
        <v/>
      </c>
      <c r="BJ1185" s="81">
        <f>IFERROR($AJ1185/$AG1185,"")</f>
        <v/>
      </c>
      <c r="BK1185" s="81">
        <f>$X1185</f>
        <v/>
      </c>
      <c r="BL1185" s="82">
        <f>($J1185-$J1186)*100</f>
        <v/>
      </c>
      <c r="BM1185" s="82">
        <f>($F1185-$F1186)*100</f>
        <v/>
      </c>
      <c r="BN1185" s="82">
        <f>$AF1185-$AF1186</f>
        <v/>
      </c>
      <c r="BO1185" s="82">
        <f>$AG1185-$AG1186</f>
        <v/>
      </c>
      <c r="BP1185" s="82">
        <f>$AJ1185-$AJ1186</f>
        <v/>
      </c>
    </row>
    <row r="1186">
      <c r="AR1186" s="81">
        <f>($G1186+($H1186-$G1186)*0.5)+($P1186-($O1186+($Q1186-$O1186)*0.5))</f>
        <v/>
      </c>
      <c r="AS1186" s="81">
        <f>($J1186+($K1186-$J1186)*0.5)+($T1186-($S1186+($U1186-$S1186)*0.5))</f>
        <v/>
      </c>
      <c r="AT1186" s="82">
        <f>($J1186-$C1186)*100</f>
        <v/>
      </c>
      <c r="AU1186" s="82">
        <f>($H1186-$F1186)*100</f>
        <v/>
      </c>
      <c r="AV1186" s="82">
        <f>($J1186-$F1186)*100</f>
        <v/>
      </c>
      <c r="AW1186" s="82">
        <f>($L1186-$F1186)*100</f>
        <v/>
      </c>
      <c r="AX1186" s="82">
        <f>($J1186-$H1186)*100</f>
        <v/>
      </c>
      <c r="AY1186" s="82">
        <f>($L1186-$H1186)*100</f>
        <v/>
      </c>
      <c r="AZ1186" s="82">
        <f>($L1186-$J1186)*100</f>
        <v/>
      </c>
      <c r="BA1186" s="82">
        <f>(2*$H1186-$F1186-$J1186)*100</f>
        <v/>
      </c>
      <c r="BB1186" s="82">
        <f>(2*$J1186-$H1186-$L1186)*100</f>
        <v/>
      </c>
      <c r="BC1186" s="82">
        <f>($N1186-$F1186)*100</f>
        <v/>
      </c>
      <c r="BD1186" s="82">
        <f>($Q1186-$H1186)*100</f>
        <v/>
      </c>
      <c r="BE1186" s="82">
        <f>($S1186-$J1186)*100</f>
        <v/>
      </c>
      <c r="BF1186" s="82">
        <f>($V1186-$L1186)*100</f>
        <v/>
      </c>
      <c r="BG1186" s="82">
        <f>$AG1186-$AF1186</f>
        <v/>
      </c>
      <c r="BH1186" s="81">
        <f>IFERROR($AG1186/$AF1186,"")</f>
        <v/>
      </c>
      <c r="BI1186" s="82">
        <f>$AJ1186-$AF1186</f>
        <v/>
      </c>
      <c r="BJ1186" s="81">
        <f>IFERROR($AJ1186/$AG1186,"")</f>
        <v/>
      </c>
      <c r="BK1186" s="81">
        <f>$X1186</f>
        <v/>
      </c>
      <c r="BL1186" s="82">
        <f>($J1186-$J1187)*100</f>
        <v/>
      </c>
      <c r="BM1186" s="82">
        <f>($F1186-$F1187)*100</f>
        <v/>
      </c>
      <c r="BN1186" s="82">
        <f>$AF1186-$AF1187</f>
        <v/>
      </c>
      <c r="BO1186" s="82">
        <f>$AG1186-$AG1187</f>
        <v/>
      </c>
      <c r="BP1186" s="82">
        <f>$AJ1186-$AJ1187</f>
        <v/>
      </c>
    </row>
    <row r="1187">
      <c r="AR1187" s="81">
        <f>($G1187+($H1187-$G1187)*0.5)+($P1187-($O1187+($Q1187-$O1187)*0.5))</f>
        <v/>
      </c>
      <c r="AS1187" s="81">
        <f>($J1187+($K1187-$J1187)*0.5)+($T1187-($S1187+($U1187-$S1187)*0.5))</f>
        <v/>
      </c>
      <c r="AT1187" s="82">
        <f>($J1187-$C1187)*100</f>
        <v/>
      </c>
      <c r="AU1187" s="82">
        <f>($H1187-$F1187)*100</f>
        <v/>
      </c>
      <c r="AV1187" s="82">
        <f>($J1187-$F1187)*100</f>
        <v/>
      </c>
      <c r="AW1187" s="82">
        <f>($L1187-$F1187)*100</f>
        <v/>
      </c>
      <c r="AX1187" s="82">
        <f>($J1187-$H1187)*100</f>
        <v/>
      </c>
      <c r="AY1187" s="82">
        <f>($L1187-$H1187)*100</f>
        <v/>
      </c>
      <c r="AZ1187" s="82">
        <f>($L1187-$J1187)*100</f>
        <v/>
      </c>
      <c r="BA1187" s="82">
        <f>(2*$H1187-$F1187-$J1187)*100</f>
        <v/>
      </c>
      <c r="BB1187" s="82">
        <f>(2*$J1187-$H1187-$L1187)*100</f>
        <v/>
      </c>
      <c r="BC1187" s="82">
        <f>($N1187-$F1187)*100</f>
        <v/>
      </c>
      <c r="BD1187" s="82">
        <f>($Q1187-$H1187)*100</f>
        <v/>
      </c>
      <c r="BE1187" s="82">
        <f>($S1187-$J1187)*100</f>
        <v/>
      </c>
      <c r="BF1187" s="82">
        <f>($V1187-$L1187)*100</f>
        <v/>
      </c>
      <c r="BG1187" s="82">
        <f>$AG1187-$AF1187</f>
        <v/>
      </c>
      <c r="BH1187" s="81">
        <f>IFERROR($AG1187/$AF1187,"")</f>
        <v/>
      </c>
      <c r="BI1187" s="82">
        <f>$AJ1187-$AF1187</f>
        <v/>
      </c>
      <c r="BJ1187" s="81">
        <f>IFERROR($AJ1187/$AG1187,"")</f>
        <v/>
      </c>
      <c r="BK1187" s="81">
        <f>$X1187</f>
        <v/>
      </c>
      <c r="BL1187" s="82">
        <f>($J1187-$J1188)*100</f>
        <v/>
      </c>
      <c r="BM1187" s="82">
        <f>($F1187-$F1188)*100</f>
        <v/>
      </c>
      <c r="BN1187" s="82">
        <f>$AF1187-$AF1188</f>
        <v/>
      </c>
      <c r="BO1187" s="82">
        <f>$AG1187-$AG1188</f>
        <v/>
      </c>
      <c r="BP1187" s="82">
        <f>$AJ1187-$AJ1188</f>
        <v/>
      </c>
    </row>
    <row r="1188">
      <c r="AR1188" s="81">
        <f>($G1188+($H1188-$G1188)*0.5)+($P1188-($O1188+($Q1188-$O1188)*0.5))</f>
        <v/>
      </c>
      <c r="AS1188" s="81">
        <f>($J1188+($K1188-$J1188)*0.5)+($T1188-($S1188+($U1188-$S1188)*0.5))</f>
        <v/>
      </c>
      <c r="AT1188" s="82">
        <f>($J1188-$C1188)*100</f>
        <v/>
      </c>
      <c r="AU1188" s="82">
        <f>($H1188-$F1188)*100</f>
        <v/>
      </c>
      <c r="AV1188" s="82">
        <f>($J1188-$F1188)*100</f>
        <v/>
      </c>
      <c r="AW1188" s="82">
        <f>($L1188-$F1188)*100</f>
        <v/>
      </c>
      <c r="AX1188" s="82">
        <f>($J1188-$H1188)*100</f>
        <v/>
      </c>
      <c r="AY1188" s="82">
        <f>($L1188-$H1188)*100</f>
        <v/>
      </c>
      <c r="AZ1188" s="82">
        <f>($L1188-$J1188)*100</f>
        <v/>
      </c>
      <c r="BA1188" s="82">
        <f>(2*$H1188-$F1188-$J1188)*100</f>
        <v/>
      </c>
      <c r="BB1188" s="82">
        <f>(2*$J1188-$H1188-$L1188)*100</f>
        <v/>
      </c>
      <c r="BC1188" s="82">
        <f>($N1188-$F1188)*100</f>
        <v/>
      </c>
      <c r="BD1188" s="82">
        <f>($Q1188-$H1188)*100</f>
        <v/>
      </c>
      <c r="BE1188" s="82">
        <f>($S1188-$J1188)*100</f>
        <v/>
      </c>
      <c r="BF1188" s="82">
        <f>($V1188-$L1188)*100</f>
        <v/>
      </c>
      <c r="BG1188" s="82">
        <f>$AG1188-$AF1188</f>
        <v/>
      </c>
      <c r="BH1188" s="81">
        <f>IFERROR($AG1188/$AF1188,"")</f>
        <v/>
      </c>
      <c r="BI1188" s="82">
        <f>$AJ1188-$AF1188</f>
        <v/>
      </c>
      <c r="BJ1188" s="81">
        <f>IFERROR($AJ1188/$AG1188,"")</f>
        <v/>
      </c>
      <c r="BK1188" s="81">
        <f>$X1188</f>
        <v/>
      </c>
      <c r="BL1188" s="82">
        <f>($J1188-$J1189)*100</f>
        <v/>
      </c>
      <c r="BM1188" s="82">
        <f>($F1188-$F1189)*100</f>
        <v/>
      </c>
      <c r="BN1188" s="82">
        <f>$AF1188-$AF1189</f>
        <v/>
      </c>
      <c r="BO1188" s="82">
        <f>$AG1188-$AG1189</f>
        <v/>
      </c>
      <c r="BP1188" s="82">
        <f>$AJ1188-$AJ1189</f>
        <v/>
      </c>
    </row>
    <row r="1189">
      <c r="AR1189" s="81">
        <f>($G1189+($H1189-$G1189)*0.5)+($P1189-($O1189+($Q1189-$O1189)*0.5))</f>
        <v/>
      </c>
      <c r="AS1189" s="81">
        <f>($J1189+($K1189-$J1189)*0.5)+($T1189-($S1189+($U1189-$S1189)*0.5))</f>
        <v/>
      </c>
      <c r="AT1189" s="82">
        <f>($J1189-$C1189)*100</f>
        <v/>
      </c>
      <c r="AU1189" s="82">
        <f>($H1189-$F1189)*100</f>
        <v/>
      </c>
      <c r="AV1189" s="82">
        <f>($J1189-$F1189)*100</f>
        <v/>
      </c>
      <c r="AW1189" s="82">
        <f>($L1189-$F1189)*100</f>
        <v/>
      </c>
      <c r="AX1189" s="82">
        <f>($J1189-$H1189)*100</f>
        <v/>
      </c>
      <c r="AY1189" s="82">
        <f>($L1189-$H1189)*100</f>
        <v/>
      </c>
      <c r="AZ1189" s="82">
        <f>($L1189-$J1189)*100</f>
        <v/>
      </c>
      <c r="BA1189" s="82">
        <f>(2*$H1189-$F1189-$J1189)*100</f>
        <v/>
      </c>
      <c r="BB1189" s="82">
        <f>(2*$J1189-$H1189-$L1189)*100</f>
        <v/>
      </c>
      <c r="BC1189" s="82">
        <f>($N1189-$F1189)*100</f>
        <v/>
      </c>
      <c r="BD1189" s="82">
        <f>($Q1189-$H1189)*100</f>
        <v/>
      </c>
      <c r="BE1189" s="82">
        <f>($S1189-$J1189)*100</f>
        <v/>
      </c>
      <c r="BF1189" s="82">
        <f>($V1189-$L1189)*100</f>
        <v/>
      </c>
      <c r="BG1189" s="82">
        <f>$AG1189-$AF1189</f>
        <v/>
      </c>
      <c r="BH1189" s="81">
        <f>IFERROR($AG1189/$AF1189,"")</f>
        <v/>
      </c>
      <c r="BI1189" s="82">
        <f>$AJ1189-$AF1189</f>
        <v/>
      </c>
      <c r="BJ1189" s="81">
        <f>IFERROR($AJ1189/$AG1189,"")</f>
        <v/>
      </c>
      <c r="BK1189" s="81">
        <f>$X1189</f>
        <v/>
      </c>
      <c r="BL1189" s="82">
        <f>($J1189-$J1190)*100</f>
        <v/>
      </c>
      <c r="BM1189" s="82">
        <f>($F1189-$F1190)*100</f>
        <v/>
      </c>
      <c r="BN1189" s="82">
        <f>$AF1189-$AF1190</f>
        <v/>
      </c>
      <c r="BO1189" s="82">
        <f>$AG1189-$AG1190</f>
        <v/>
      </c>
      <c r="BP1189" s="82">
        <f>$AJ1189-$AJ1190</f>
        <v/>
      </c>
    </row>
    <row r="1190">
      <c r="AR1190" s="81">
        <f>($G1190+($H1190-$G1190)*0.5)+($P1190-($O1190+($Q1190-$O1190)*0.5))</f>
        <v/>
      </c>
      <c r="AS1190" s="81">
        <f>($J1190+($K1190-$J1190)*0.5)+($T1190-($S1190+($U1190-$S1190)*0.5))</f>
        <v/>
      </c>
      <c r="AT1190" s="82">
        <f>($J1190-$C1190)*100</f>
        <v/>
      </c>
      <c r="AU1190" s="82">
        <f>($H1190-$F1190)*100</f>
        <v/>
      </c>
      <c r="AV1190" s="82">
        <f>($J1190-$F1190)*100</f>
        <v/>
      </c>
      <c r="AW1190" s="82">
        <f>($L1190-$F1190)*100</f>
        <v/>
      </c>
      <c r="AX1190" s="82">
        <f>($J1190-$H1190)*100</f>
        <v/>
      </c>
      <c r="AY1190" s="82">
        <f>($L1190-$H1190)*100</f>
        <v/>
      </c>
      <c r="AZ1190" s="82">
        <f>($L1190-$J1190)*100</f>
        <v/>
      </c>
      <c r="BA1190" s="82">
        <f>(2*$H1190-$F1190-$J1190)*100</f>
        <v/>
      </c>
      <c r="BB1190" s="82">
        <f>(2*$J1190-$H1190-$L1190)*100</f>
        <v/>
      </c>
      <c r="BC1190" s="82">
        <f>($N1190-$F1190)*100</f>
        <v/>
      </c>
      <c r="BD1190" s="82">
        <f>($Q1190-$H1190)*100</f>
        <v/>
      </c>
      <c r="BE1190" s="82">
        <f>($S1190-$J1190)*100</f>
        <v/>
      </c>
      <c r="BF1190" s="82">
        <f>($V1190-$L1190)*100</f>
        <v/>
      </c>
      <c r="BG1190" s="82">
        <f>$AG1190-$AF1190</f>
        <v/>
      </c>
      <c r="BH1190" s="81">
        <f>IFERROR($AG1190/$AF1190,"")</f>
        <v/>
      </c>
      <c r="BI1190" s="82">
        <f>$AJ1190-$AF1190</f>
        <v/>
      </c>
      <c r="BJ1190" s="81">
        <f>IFERROR($AJ1190/$AG1190,"")</f>
        <v/>
      </c>
      <c r="BK1190" s="81">
        <f>$X1190</f>
        <v/>
      </c>
      <c r="BL1190" s="82">
        <f>($J1190-$J1191)*100</f>
        <v/>
      </c>
      <c r="BM1190" s="82">
        <f>($F1190-$F1191)*100</f>
        <v/>
      </c>
      <c r="BN1190" s="82">
        <f>$AF1190-$AF1191</f>
        <v/>
      </c>
      <c r="BO1190" s="82">
        <f>$AG1190-$AG1191</f>
        <v/>
      </c>
      <c r="BP1190" s="82">
        <f>$AJ1190-$AJ1191</f>
        <v/>
      </c>
    </row>
    <row r="1191">
      <c r="AR1191" s="81">
        <f>($G1191+($H1191-$G1191)*0.5)+($P1191-($O1191+($Q1191-$O1191)*0.5))</f>
        <v/>
      </c>
      <c r="AS1191" s="81">
        <f>($J1191+($K1191-$J1191)*0.5)+($T1191-($S1191+($U1191-$S1191)*0.5))</f>
        <v/>
      </c>
      <c r="AT1191" s="82">
        <f>($J1191-$C1191)*100</f>
        <v/>
      </c>
      <c r="AU1191" s="82">
        <f>($H1191-$F1191)*100</f>
        <v/>
      </c>
      <c r="AV1191" s="82">
        <f>($J1191-$F1191)*100</f>
        <v/>
      </c>
      <c r="AW1191" s="82">
        <f>($L1191-$F1191)*100</f>
        <v/>
      </c>
      <c r="AX1191" s="82">
        <f>($J1191-$H1191)*100</f>
        <v/>
      </c>
      <c r="AY1191" s="82">
        <f>($L1191-$H1191)*100</f>
        <v/>
      </c>
      <c r="AZ1191" s="82">
        <f>($L1191-$J1191)*100</f>
        <v/>
      </c>
      <c r="BA1191" s="82">
        <f>(2*$H1191-$F1191-$J1191)*100</f>
        <v/>
      </c>
      <c r="BB1191" s="82">
        <f>(2*$J1191-$H1191-$L1191)*100</f>
        <v/>
      </c>
      <c r="BC1191" s="82">
        <f>($N1191-$F1191)*100</f>
        <v/>
      </c>
      <c r="BD1191" s="82">
        <f>($Q1191-$H1191)*100</f>
        <v/>
      </c>
      <c r="BE1191" s="82">
        <f>($S1191-$J1191)*100</f>
        <v/>
      </c>
      <c r="BF1191" s="82">
        <f>($V1191-$L1191)*100</f>
        <v/>
      </c>
      <c r="BG1191" s="82">
        <f>$AG1191-$AF1191</f>
        <v/>
      </c>
      <c r="BH1191" s="81">
        <f>IFERROR($AG1191/$AF1191,"")</f>
        <v/>
      </c>
      <c r="BI1191" s="82">
        <f>$AJ1191-$AF1191</f>
        <v/>
      </c>
      <c r="BJ1191" s="81">
        <f>IFERROR($AJ1191/$AG1191,"")</f>
        <v/>
      </c>
      <c r="BK1191" s="81">
        <f>$X1191</f>
        <v/>
      </c>
      <c r="BL1191" s="82">
        <f>($J1191-$J1192)*100</f>
        <v/>
      </c>
      <c r="BM1191" s="82">
        <f>($F1191-$F1192)*100</f>
        <v/>
      </c>
      <c r="BN1191" s="82">
        <f>$AF1191-$AF1192</f>
        <v/>
      </c>
      <c r="BO1191" s="82">
        <f>$AG1191-$AG1192</f>
        <v/>
      </c>
      <c r="BP1191" s="82">
        <f>$AJ1191-$AJ1192</f>
        <v/>
      </c>
    </row>
    <row r="1192">
      <c r="AR1192" s="81">
        <f>($G1192+($H1192-$G1192)*0.5)+($P1192-($O1192+($Q1192-$O1192)*0.5))</f>
        <v/>
      </c>
      <c r="AS1192" s="81">
        <f>($J1192+($K1192-$J1192)*0.5)+($T1192-($S1192+($U1192-$S1192)*0.5))</f>
        <v/>
      </c>
      <c r="AT1192" s="82">
        <f>($J1192-$C1192)*100</f>
        <v/>
      </c>
      <c r="AU1192" s="82">
        <f>($H1192-$F1192)*100</f>
        <v/>
      </c>
      <c r="AV1192" s="82">
        <f>($J1192-$F1192)*100</f>
        <v/>
      </c>
      <c r="AW1192" s="82">
        <f>($L1192-$F1192)*100</f>
        <v/>
      </c>
      <c r="AX1192" s="82">
        <f>($J1192-$H1192)*100</f>
        <v/>
      </c>
      <c r="AY1192" s="82">
        <f>($L1192-$H1192)*100</f>
        <v/>
      </c>
      <c r="AZ1192" s="82">
        <f>($L1192-$J1192)*100</f>
        <v/>
      </c>
      <c r="BA1192" s="82">
        <f>(2*$H1192-$F1192-$J1192)*100</f>
        <v/>
      </c>
      <c r="BB1192" s="82">
        <f>(2*$J1192-$H1192-$L1192)*100</f>
        <v/>
      </c>
      <c r="BC1192" s="82">
        <f>($N1192-$F1192)*100</f>
        <v/>
      </c>
      <c r="BD1192" s="82">
        <f>($Q1192-$H1192)*100</f>
        <v/>
      </c>
      <c r="BE1192" s="82">
        <f>($S1192-$J1192)*100</f>
        <v/>
      </c>
      <c r="BF1192" s="82">
        <f>($V1192-$L1192)*100</f>
        <v/>
      </c>
      <c r="BG1192" s="82">
        <f>$AG1192-$AF1192</f>
        <v/>
      </c>
      <c r="BH1192" s="81">
        <f>IFERROR($AG1192/$AF1192,"")</f>
        <v/>
      </c>
      <c r="BI1192" s="82">
        <f>$AJ1192-$AF1192</f>
        <v/>
      </c>
      <c r="BJ1192" s="81">
        <f>IFERROR($AJ1192/$AG1192,"")</f>
        <v/>
      </c>
      <c r="BK1192" s="81">
        <f>$X1192</f>
        <v/>
      </c>
      <c r="BL1192" s="82">
        <f>($J1192-$J1193)*100</f>
        <v/>
      </c>
      <c r="BM1192" s="82">
        <f>($F1192-$F1193)*100</f>
        <v/>
      </c>
      <c r="BN1192" s="82">
        <f>$AF1192-$AF1193</f>
        <v/>
      </c>
      <c r="BO1192" s="82">
        <f>$AG1192-$AG1193</f>
        <v/>
      </c>
      <c r="BP1192" s="82">
        <f>$AJ1192-$AJ1193</f>
        <v/>
      </c>
    </row>
    <row r="1193">
      <c r="AR1193" s="81">
        <f>($G1193+($H1193-$G1193)*0.5)+($P1193-($O1193+($Q1193-$O1193)*0.5))</f>
        <v/>
      </c>
      <c r="AS1193" s="81">
        <f>($J1193+($K1193-$J1193)*0.5)+($T1193-($S1193+($U1193-$S1193)*0.5))</f>
        <v/>
      </c>
      <c r="AT1193" s="82">
        <f>($J1193-$C1193)*100</f>
        <v/>
      </c>
      <c r="AU1193" s="82">
        <f>($H1193-$F1193)*100</f>
        <v/>
      </c>
      <c r="AV1193" s="82">
        <f>($J1193-$F1193)*100</f>
        <v/>
      </c>
      <c r="AW1193" s="82">
        <f>($L1193-$F1193)*100</f>
        <v/>
      </c>
      <c r="AX1193" s="82">
        <f>($J1193-$H1193)*100</f>
        <v/>
      </c>
      <c r="AY1193" s="82">
        <f>($L1193-$H1193)*100</f>
        <v/>
      </c>
      <c r="AZ1193" s="82">
        <f>($L1193-$J1193)*100</f>
        <v/>
      </c>
      <c r="BA1193" s="82">
        <f>(2*$H1193-$F1193-$J1193)*100</f>
        <v/>
      </c>
      <c r="BB1193" s="82">
        <f>(2*$J1193-$H1193-$L1193)*100</f>
        <v/>
      </c>
      <c r="BC1193" s="82">
        <f>($N1193-$F1193)*100</f>
        <v/>
      </c>
      <c r="BD1193" s="82">
        <f>($Q1193-$H1193)*100</f>
        <v/>
      </c>
      <c r="BE1193" s="82">
        <f>($S1193-$J1193)*100</f>
        <v/>
      </c>
      <c r="BF1193" s="82">
        <f>($V1193-$L1193)*100</f>
        <v/>
      </c>
      <c r="BG1193" s="82">
        <f>$AG1193-$AF1193</f>
        <v/>
      </c>
      <c r="BH1193" s="81">
        <f>IFERROR($AG1193/$AF1193,"")</f>
        <v/>
      </c>
      <c r="BI1193" s="82">
        <f>$AJ1193-$AF1193</f>
        <v/>
      </c>
      <c r="BJ1193" s="81">
        <f>IFERROR($AJ1193/$AG1193,"")</f>
        <v/>
      </c>
      <c r="BK1193" s="81">
        <f>$X1193</f>
        <v/>
      </c>
      <c r="BL1193" s="82">
        <f>($J1193-$J1194)*100</f>
        <v/>
      </c>
      <c r="BM1193" s="82">
        <f>($F1193-$F1194)*100</f>
        <v/>
      </c>
      <c r="BN1193" s="82">
        <f>$AF1193-$AF1194</f>
        <v/>
      </c>
      <c r="BO1193" s="82">
        <f>$AG1193-$AG1194</f>
        <v/>
      </c>
      <c r="BP1193" s="82">
        <f>$AJ1193-$AJ1194</f>
        <v/>
      </c>
    </row>
    <row r="1194">
      <c r="AR1194" s="81">
        <f>($G1194+($H1194-$G1194)*0.5)+($P1194-($O1194+($Q1194-$O1194)*0.5))</f>
        <v/>
      </c>
      <c r="AS1194" s="81">
        <f>($J1194+($K1194-$J1194)*0.5)+($T1194-($S1194+($U1194-$S1194)*0.5))</f>
        <v/>
      </c>
      <c r="AT1194" s="82">
        <f>($J1194-$C1194)*100</f>
        <v/>
      </c>
      <c r="AU1194" s="82">
        <f>($H1194-$F1194)*100</f>
        <v/>
      </c>
      <c r="AV1194" s="82">
        <f>($J1194-$F1194)*100</f>
        <v/>
      </c>
      <c r="AW1194" s="82">
        <f>($L1194-$F1194)*100</f>
        <v/>
      </c>
      <c r="AX1194" s="82">
        <f>($J1194-$H1194)*100</f>
        <v/>
      </c>
      <c r="AY1194" s="82">
        <f>($L1194-$H1194)*100</f>
        <v/>
      </c>
      <c r="AZ1194" s="82">
        <f>($L1194-$J1194)*100</f>
        <v/>
      </c>
      <c r="BA1194" s="82">
        <f>(2*$H1194-$F1194-$J1194)*100</f>
        <v/>
      </c>
      <c r="BB1194" s="82">
        <f>(2*$J1194-$H1194-$L1194)*100</f>
        <v/>
      </c>
      <c r="BC1194" s="82">
        <f>($N1194-$F1194)*100</f>
        <v/>
      </c>
      <c r="BD1194" s="82">
        <f>($Q1194-$H1194)*100</f>
        <v/>
      </c>
      <c r="BE1194" s="82">
        <f>($S1194-$J1194)*100</f>
        <v/>
      </c>
      <c r="BF1194" s="82">
        <f>($V1194-$L1194)*100</f>
        <v/>
      </c>
      <c r="BG1194" s="82">
        <f>$AG1194-$AF1194</f>
        <v/>
      </c>
      <c r="BH1194" s="81">
        <f>IFERROR($AG1194/$AF1194,"")</f>
        <v/>
      </c>
      <c r="BI1194" s="82">
        <f>$AJ1194-$AF1194</f>
        <v/>
      </c>
      <c r="BJ1194" s="81">
        <f>IFERROR($AJ1194/$AG1194,"")</f>
        <v/>
      </c>
      <c r="BK1194" s="81">
        <f>$X1194</f>
        <v/>
      </c>
      <c r="BL1194" s="82">
        <f>($J1194-$J1195)*100</f>
        <v/>
      </c>
      <c r="BM1194" s="82">
        <f>($F1194-$F1195)*100</f>
        <v/>
      </c>
      <c r="BN1194" s="82">
        <f>$AF1194-$AF1195</f>
        <v/>
      </c>
      <c r="BO1194" s="82">
        <f>$AG1194-$AG1195</f>
        <v/>
      </c>
      <c r="BP1194" s="82">
        <f>$AJ1194-$AJ1195</f>
        <v/>
      </c>
    </row>
    <row r="1195">
      <c r="AR1195" s="81">
        <f>($G1195+($H1195-$G1195)*0.5)+($P1195-($O1195+($Q1195-$O1195)*0.5))</f>
        <v/>
      </c>
      <c r="AS1195" s="81">
        <f>($J1195+($K1195-$J1195)*0.5)+($T1195-($S1195+($U1195-$S1195)*0.5))</f>
        <v/>
      </c>
      <c r="AT1195" s="82">
        <f>($J1195-$C1195)*100</f>
        <v/>
      </c>
      <c r="AU1195" s="82">
        <f>($H1195-$F1195)*100</f>
        <v/>
      </c>
      <c r="AV1195" s="82">
        <f>($J1195-$F1195)*100</f>
        <v/>
      </c>
      <c r="AW1195" s="82">
        <f>($L1195-$F1195)*100</f>
        <v/>
      </c>
      <c r="AX1195" s="82">
        <f>($J1195-$H1195)*100</f>
        <v/>
      </c>
      <c r="AY1195" s="82">
        <f>($L1195-$H1195)*100</f>
        <v/>
      </c>
      <c r="AZ1195" s="82">
        <f>($L1195-$J1195)*100</f>
        <v/>
      </c>
      <c r="BA1195" s="82">
        <f>(2*$H1195-$F1195-$J1195)*100</f>
        <v/>
      </c>
      <c r="BB1195" s="82">
        <f>(2*$J1195-$H1195-$L1195)*100</f>
        <v/>
      </c>
      <c r="BC1195" s="82">
        <f>($N1195-$F1195)*100</f>
        <v/>
      </c>
      <c r="BD1195" s="82">
        <f>($Q1195-$H1195)*100</f>
        <v/>
      </c>
      <c r="BE1195" s="82">
        <f>($S1195-$J1195)*100</f>
        <v/>
      </c>
      <c r="BF1195" s="82">
        <f>($V1195-$L1195)*100</f>
        <v/>
      </c>
      <c r="BG1195" s="82">
        <f>$AG1195-$AF1195</f>
        <v/>
      </c>
      <c r="BH1195" s="81">
        <f>IFERROR($AG1195/$AF1195,"")</f>
        <v/>
      </c>
      <c r="BI1195" s="82">
        <f>$AJ1195-$AF1195</f>
        <v/>
      </c>
      <c r="BJ1195" s="81">
        <f>IFERROR($AJ1195/$AG1195,"")</f>
        <v/>
      </c>
      <c r="BK1195" s="81">
        <f>$X1195</f>
        <v/>
      </c>
      <c r="BL1195" s="82">
        <f>($J1195-$J1196)*100</f>
        <v/>
      </c>
      <c r="BM1195" s="82">
        <f>($F1195-$F1196)*100</f>
        <v/>
      </c>
      <c r="BN1195" s="82">
        <f>$AF1195-$AF1196</f>
        <v/>
      </c>
      <c r="BO1195" s="82">
        <f>$AG1195-$AG1196</f>
        <v/>
      </c>
      <c r="BP1195" s="82">
        <f>$AJ1195-$AJ1196</f>
        <v/>
      </c>
    </row>
    <row r="1196">
      <c r="AR1196" s="81">
        <f>($G1196+($H1196-$G1196)*0.5)+($P1196-($O1196+($Q1196-$O1196)*0.5))</f>
        <v/>
      </c>
      <c r="AS1196" s="81">
        <f>($J1196+($K1196-$J1196)*0.5)+($T1196-($S1196+($U1196-$S1196)*0.5))</f>
        <v/>
      </c>
      <c r="AT1196" s="82">
        <f>($J1196-$C1196)*100</f>
        <v/>
      </c>
      <c r="AU1196" s="82">
        <f>($H1196-$F1196)*100</f>
        <v/>
      </c>
      <c r="AV1196" s="82">
        <f>($J1196-$F1196)*100</f>
        <v/>
      </c>
      <c r="AW1196" s="82">
        <f>($L1196-$F1196)*100</f>
        <v/>
      </c>
      <c r="AX1196" s="82">
        <f>($J1196-$H1196)*100</f>
        <v/>
      </c>
      <c r="AY1196" s="82">
        <f>($L1196-$H1196)*100</f>
        <v/>
      </c>
      <c r="AZ1196" s="82">
        <f>($L1196-$J1196)*100</f>
        <v/>
      </c>
      <c r="BA1196" s="82">
        <f>(2*$H1196-$F1196-$J1196)*100</f>
        <v/>
      </c>
      <c r="BB1196" s="82">
        <f>(2*$J1196-$H1196-$L1196)*100</f>
        <v/>
      </c>
      <c r="BC1196" s="82">
        <f>($N1196-$F1196)*100</f>
        <v/>
      </c>
      <c r="BD1196" s="82">
        <f>($Q1196-$H1196)*100</f>
        <v/>
      </c>
      <c r="BE1196" s="82">
        <f>($S1196-$J1196)*100</f>
        <v/>
      </c>
      <c r="BF1196" s="82">
        <f>($V1196-$L1196)*100</f>
        <v/>
      </c>
      <c r="BG1196" s="82">
        <f>$AG1196-$AF1196</f>
        <v/>
      </c>
      <c r="BH1196" s="81">
        <f>IFERROR($AG1196/$AF1196,"")</f>
        <v/>
      </c>
      <c r="BI1196" s="82">
        <f>$AJ1196-$AF1196</f>
        <v/>
      </c>
      <c r="BJ1196" s="81">
        <f>IFERROR($AJ1196/$AG1196,"")</f>
        <v/>
      </c>
      <c r="BK1196" s="81">
        <f>$X1196</f>
        <v/>
      </c>
      <c r="BL1196" s="82">
        <f>($J1196-$J1197)*100</f>
        <v/>
      </c>
      <c r="BM1196" s="82">
        <f>($F1196-$F1197)*100</f>
        <v/>
      </c>
      <c r="BN1196" s="82">
        <f>$AF1196-$AF1197</f>
        <v/>
      </c>
      <c r="BO1196" s="82">
        <f>$AG1196-$AG1197</f>
        <v/>
      </c>
      <c r="BP1196" s="82">
        <f>$AJ1196-$AJ1197</f>
        <v/>
      </c>
    </row>
    <row r="1197">
      <c r="AR1197" s="81">
        <f>($G1197+($H1197-$G1197)*0.5)+($P1197-($O1197+($Q1197-$O1197)*0.5))</f>
        <v/>
      </c>
      <c r="AS1197" s="81">
        <f>($J1197+($K1197-$J1197)*0.5)+($T1197-($S1197+($U1197-$S1197)*0.5))</f>
        <v/>
      </c>
      <c r="AT1197" s="82">
        <f>($J1197-$C1197)*100</f>
        <v/>
      </c>
      <c r="AU1197" s="82">
        <f>($H1197-$F1197)*100</f>
        <v/>
      </c>
      <c r="AV1197" s="82">
        <f>($J1197-$F1197)*100</f>
        <v/>
      </c>
      <c r="AW1197" s="82">
        <f>($L1197-$F1197)*100</f>
        <v/>
      </c>
      <c r="AX1197" s="82">
        <f>($J1197-$H1197)*100</f>
        <v/>
      </c>
      <c r="AY1197" s="82">
        <f>($L1197-$H1197)*100</f>
        <v/>
      </c>
      <c r="AZ1197" s="82">
        <f>($L1197-$J1197)*100</f>
        <v/>
      </c>
      <c r="BA1197" s="82">
        <f>(2*$H1197-$F1197-$J1197)*100</f>
        <v/>
      </c>
      <c r="BB1197" s="82">
        <f>(2*$J1197-$H1197-$L1197)*100</f>
        <v/>
      </c>
      <c r="BC1197" s="82">
        <f>($N1197-$F1197)*100</f>
        <v/>
      </c>
      <c r="BD1197" s="82">
        <f>($Q1197-$H1197)*100</f>
        <v/>
      </c>
      <c r="BE1197" s="82">
        <f>($S1197-$J1197)*100</f>
        <v/>
      </c>
      <c r="BF1197" s="82">
        <f>($V1197-$L1197)*100</f>
        <v/>
      </c>
      <c r="BG1197" s="82">
        <f>$AG1197-$AF1197</f>
        <v/>
      </c>
      <c r="BH1197" s="81">
        <f>IFERROR($AG1197/$AF1197,"")</f>
        <v/>
      </c>
      <c r="BI1197" s="82">
        <f>$AJ1197-$AF1197</f>
        <v/>
      </c>
      <c r="BJ1197" s="81">
        <f>IFERROR($AJ1197/$AG1197,"")</f>
        <v/>
      </c>
      <c r="BK1197" s="81">
        <f>$X1197</f>
        <v/>
      </c>
      <c r="BL1197" s="82">
        <f>($J1197-$J1198)*100</f>
        <v/>
      </c>
      <c r="BM1197" s="82">
        <f>($F1197-$F1198)*100</f>
        <v/>
      </c>
      <c r="BN1197" s="82">
        <f>$AF1197-$AF1198</f>
        <v/>
      </c>
      <c r="BO1197" s="82">
        <f>$AG1197-$AG1198</f>
        <v/>
      </c>
      <c r="BP1197" s="82">
        <f>$AJ1197-$AJ1198</f>
        <v/>
      </c>
    </row>
    <row r="1198">
      <c r="AR1198" s="81">
        <f>($G1198+($H1198-$G1198)*0.5)+($P1198-($O1198+($Q1198-$O1198)*0.5))</f>
        <v/>
      </c>
      <c r="AS1198" s="81">
        <f>($J1198+($K1198-$J1198)*0.5)+($T1198-($S1198+($U1198-$S1198)*0.5))</f>
        <v/>
      </c>
      <c r="AT1198" s="82">
        <f>($J1198-$C1198)*100</f>
        <v/>
      </c>
      <c r="AU1198" s="82">
        <f>($H1198-$F1198)*100</f>
        <v/>
      </c>
      <c r="AV1198" s="82">
        <f>($J1198-$F1198)*100</f>
        <v/>
      </c>
      <c r="AW1198" s="82">
        <f>($L1198-$F1198)*100</f>
        <v/>
      </c>
      <c r="AX1198" s="82">
        <f>($J1198-$H1198)*100</f>
        <v/>
      </c>
      <c r="AY1198" s="82">
        <f>($L1198-$H1198)*100</f>
        <v/>
      </c>
      <c r="AZ1198" s="82">
        <f>($L1198-$J1198)*100</f>
        <v/>
      </c>
      <c r="BA1198" s="82">
        <f>(2*$H1198-$F1198-$J1198)*100</f>
        <v/>
      </c>
      <c r="BB1198" s="82">
        <f>(2*$J1198-$H1198-$L1198)*100</f>
        <v/>
      </c>
      <c r="BC1198" s="82">
        <f>($N1198-$F1198)*100</f>
        <v/>
      </c>
      <c r="BD1198" s="82">
        <f>($Q1198-$H1198)*100</f>
        <v/>
      </c>
      <c r="BE1198" s="82">
        <f>($S1198-$J1198)*100</f>
        <v/>
      </c>
      <c r="BF1198" s="82">
        <f>($V1198-$L1198)*100</f>
        <v/>
      </c>
      <c r="BG1198" s="82">
        <f>$AG1198-$AF1198</f>
        <v/>
      </c>
      <c r="BH1198" s="81">
        <f>IFERROR($AG1198/$AF1198,"")</f>
        <v/>
      </c>
      <c r="BI1198" s="82">
        <f>$AJ1198-$AF1198</f>
        <v/>
      </c>
      <c r="BJ1198" s="81">
        <f>IFERROR($AJ1198/$AG1198,"")</f>
        <v/>
      </c>
      <c r="BK1198" s="81">
        <f>$X1198</f>
        <v/>
      </c>
      <c r="BL1198" s="82">
        <f>($J1198-$J1199)*100</f>
        <v/>
      </c>
      <c r="BM1198" s="82">
        <f>($F1198-$F1199)*100</f>
        <v/>
      </c>
      <c r="BN1198" s="82">
        <f>$AF1198-$AF1199</f>
        <v/>
      </c>
      <c r="BO1198" s="82">
        <f>$AG1198-$AG1199</f>
        <v/>
      </c>
      <c r="BP1198" s="82">
        <f>$AJ1198-$AJ1199</f>
        <v/>
      </c>
    </row>
    <row r="1199">
      <c r="AR1199" s="81">
        <f>($G1199+($H1199-$G1199)*0.5)+($P1199-($O1199+($Q1199-$O1199)*0.5))</f>
        <v/>
      </c>
      <c r="AS1199" s="81">
        <f>($J1199+($K1199-$J1199)*0.5)+($T1199-($S1199+($U1199-$S1199)*0.5))</f>
        <v/>
      </c>
      <c r="AT1199" s="82">
        <f>($J1199-$C1199)*100</f>
        <v/>
      </c>
      <c r="AU1199" s="82">
        <f>($H1199-$F1199)*100</f>
        <v/>
      </c>
      <c r="AV1199" s="82">
        <f>($J1199-$F1199)*100</f>
        <v/>
      </c>
      <c r="AW1199" s="82">
        <f>($L1199-$F1199)*100</f>
        <v/>
      </c>
      <c r="AX1199" s="82">
        <f>($J1199-$H1199)*100</f>
        <v/>
      </c>
      <c r="AY1199" s="82">
        <f>($L1199-$H1199)*100</f>
        <v/>
      </c>
      <c r="AZ1199" s="82">
        <f>($L1199-$J1199)*100</f>
        <v/>
      </c>
      <c r="BA1199" s="82">
        <f>(2*$H1199-$F1199-$J1199)*100</f>
        <v/>
      </c>
      <c r="BB1199" s="82">
        <f>(2*$J1199-$H1199-$L1199)*100</f>
        <v/>
      </c>
      <c r="BC1199" s="82">
        <f>($N1199-$F1199)*100</f>
        <v/>
      </c>
      <c r="BD1199" s="82">
        <f>($Q1199-$H1199)*100</f>
        <v/>
      </c>
      <c r="BE1199" s="82">
        <f>($S1199-$J1199)*100</f>
        <v/>
      </c>
      <c r="BF1199" s="82">
        <f>($V1199-$L1199)*100</f>
        <v/>
      </c>
      <c r="BG1199" s="82">
        <f>$AG1199-$AF1199</f>
        <v/>
      </c>
      <c r="BH1199" s="81">
        <f>IFERROR($AG1199/$AF1199,"")</f>
        <v/>
      </c>
      <c r="BI1199" s="82">
        <f>$AJ1199-$AF1199</f>
        <v/>
      </c>
      <c r="BJ1199" s="81">
        <f>IFERROR($AJ1199/$AG1199,"")</f>
        <v/>
      </c>
      <c r="BK1199" s="81">
        <f>$X1199</f>
        <v/>
      </c>
      <c r="BL1199" s="82">
        <f>($J1199-$J1200)*100</f>
        <v/>
      </c>
      <c r="BM1199" s="82">
        <f>($F1199-$F1200)*100</f>
        <v/>
      </c>
      <c r="BN1199" s="82">
        <f>$AF1199-$AF1200</f>
        <v/>
      </c>
      <c r="BO1199" s="82">
        <f>$AG1199-$AG1200</f>
        <v/>
      </c>
      <c r="BP1199" s="82">
        <f>$AJ1199-$AJ1200</f>
        <v/>
      </c>
    </row>
    <row r="1200">
      <c r="AR1200" s="81">
        <f>($G1200+($H1200-$G1200)*0.5)+($P1200-($O1200+($Q1200-$O1200)*0.5))</f>
        <v/>
      </c>
      <c r="AS1200" s="81">
        <f>($J1200+($K1200-$J1200)*0.5)+($T1200-($S1200+($U1200-$S1200)*0.5))</f>
        <v/>
      </c>
      <c r="AT1200" s="82">
        <f>($J1200-$C1200)*100</f>
        <v/>
      </c>
      <c r="AU1200" s="82">
        <f>($H1200-$F1200)*100</f>
        <v/>
      </c>
      <c r="AV1200" s="82">
        <f>($J1200-$F1200)*100</f>
        <v/>
      </c>
      <c r="AW1200" s="82">
        <f>($L1200-$F1200)*100</f>
        <v/>
      </c>
      <c r="AX1200" s="82">
        <f>($J1200-$H1200)*100</f>
        <v/>
      </c>
      <c r="AY1200" s="82">
        <f>($L1200-$H1200)*100</f>
        <v/>
      </c>
      <c r="AZ1200" s="82">
        <f>($L1200-$J1200)*100</f>
        <v/>
      </c>
      <c r="BA1200" s="82">
        <f>(2*$H1200-$F1200-$J1200)*100</f>
        <v/>
      </c>
      <c r="BB1200" s="82">
        <f>(2*$J1200-$H1200-$L1200)*100</f>
        <v/>
      </c>
      <c r="BC1200" s="82">
        <f>($N1200-$F1200)*100</f>
        <v/>
      </c>
      <c r="BD1200" s="82">
        <f>($Q1200-$H1200)*100</f>
        <v/>
      </c>
      <c r="BE1200" s="82">
        <f>($S1200-$J1200)*100</f>
        <v/>
      </c>
      <c r="BF1200" s="82">
        <f>($V1200-$L1200)*100</f>
        <v/>
      </c>
      <c r="BG1200" s="82">
        <f>$AG1200-$AF1200</f>
        <v/>
      </c>
      <c r="BH1200" s="81">
        <f>IFERROR($AG1200/$AF1200,"")</f>
        <v/>
      </c>
      <c r="BI1200" s="82">
        <f>$AJ1200-$AF1200</f>
        <v/>
      </c>
      <c r="BJ1200" s="81">
        <f>IFERROR($AJ1200/$AG1200,"")</f>
        <v/>
      </c>
      <c r="BK1200" s="81">
        <f>$X1200</f>
        <v/>
      </c>
      <c r="BL1200" s="82">
        <f>($J1200-$J1201)*100</f>
        <v/>
      </c>
      <c r="BM1200" s="82">
        <f>($F1200-$F1201)*100</f>
        <v/>
      </c>
      <c r="BN1200" s="82">
        <f>$AF1200-$AF1201</f>
        <v/>
      </c>
      <c r="BO1200" s="82">
        <f>$AG1200-$AG1201</f>
        <v/>
      </c>
      <c r="BP1200" s="82">
        <f>$AJ1200-$AJ1201</f>
        <v/>
      </c>
    </row>
    <row r="1201">
      <c r="AR1201" s="81">
        <f>($G1201+($H1201-$G1201)*0.5)+($P1201-($O1201+($Q1201-$O1201)*0.5))</f>
        <v/>
      </c>
      <c r="AS1201" s="81">
        <f>($J1201+($K1201-$J1201)*0.5)+($T1201-($S1201+($U1201-$S1201)*0.5))</f>
        <v/>
      </c>
      <c r="AT1201" s="82">
        <f>($J1201-$C1201)*100</f>
        <v/>
      </c>
      <c r="AU1201" s="82">
        <f>($H1201-$F1201)*100</f>
        <v/>
      </c>
      <c r="AV1201" s="82">
        <f>($J1201-$F1201)*100</f>
        <v/>
      </c>
      <c r="AW1201" s="82">
        <f>($L1201-$F1201)*100</f>
        <v/>
      </c>
      <c r="AX1201" s="82">
        <f>($J1201-$H1201)*100</f>
        <v/>
      </c>
      <c r="AY1201" s="82">
        <f>($L1201-$H1201)*100</f>
        <v/>
      </c>
      <c r="AZ1201" s="82">
        <f>($L1201-$J1201)*100</f>
        <v/>
      </c>
      <c r="BA1201" s="82">
        <f>(2*$H1201-$F1201-$J1201)*100</f>
        <v/>
      </c>
      <c r="BB1201" s="82">
        <f>(2*$J1201-$H1201-$L1201)*100</f>
        <v/>
      </c>
      <c r="BC1201" s="82">
        <f>($N1201-$F1201)*100</f>
        <v/>
      </c>
      <c r="BD1201" s="82">
        <f>($Q1201-$H1201)*100</f>
        <v/>
      </c>
      <c r="BE1201" s="82">
        <f>($S1201-$J1201)*100</f>
        <v/>
      </c>
      <c r="BF1201" s="82">
        <f>($V1201-$L1201)*100</f>
        <v/>
      </c>
      <c r="BG1201" s="82">
        <f>$AG1201-$AF1201</f>
        <v/>
      </c>
      <c r="BH1201" s="81">
        <f>IFERROR($AG1201/$AF1201,"")</f>
        <v/>
      </c>
      <c r="BI1201" s="82">
        <f>$AJ1201-$AF1201</f>
        <v/>
      </c>
      <c r="BJ1201" s="81">
        <f>IFERROR($AJ1201/$AG1201,"")</f>
        <v/>
      </c>
      <c r="BK1201" s="81">
        <f>$X1201</f>
        <v/>
      </c>
      <c r="BL1201" s="82">
        <f>($J1201-$J1202)*100</f>
        <v/>
      </c>
      <c r="BM1201" s="82">
        <f>($F1201-$F1202)*100</f>
        <v/>
      </c>
      <c r="BN1201" s="82">
        <f>$AF1201-$AF1202</f>
        <v/>
      </c>
      <c r="BO1201" s="82">
        <f>$AG1201-$AG1202</f>
        <v/>
      </c>
      <c r="BP1201" s="82">
        <f>$AJ1201-$AJ1202</f>
        <v/>
      </c>
    </row>
    <row r="1202">
      <c r="AR1202" s="81">
        <f>($G1202+($H1202-$G1202)*0.5)+($P1202-($O1202+($Q1202-$O1202)*0.5))</f>
        <v/>
      </c>
      <c r="AS1202" s="81">
        <f>($J1202+($K1202-$J1202)*0.5)+($T1202-($S1202+($U1202-$S1202)*0.5))</f>
        <v/>
      </c>
      <c r="AT1202" s="82">
        <f>($J1202-$C1202)*100</f>
        <v/>
      </c>
      <c r="AU1202" s="82">
        <f>($H1202-$F1202)*100</f>
        <v/>
      </c>
      <c r="AV1202" s="82">
        <f>($J1202-$F1202)*100</f>
        <v/>
      </c>
      <c r="AW1202" s="82">
        <f>($L1202-$F1202)*100</f>
        <v/>
      </c>
      <c r="AX1202" s="82">
        <f>($J1202-$H1202)*100</f>
        <v/>
      </c>
      <c r="AY1202" s="82">
        <f>($L1202-$H1202)*100</f>
        <v/>
      </c>
      <c r="AZ1202" s="82">
        <f>($L1202-$J1202)*100</f>
        <v/>
      </c>
      <c r="BA1202" s="82">
        <f>(2*$H1202-$F1202-$J1202)*100</f>
        <v/>
      </c>
      <c r="BB1202" s="82">
        <f>(2*$J1202-$H1202-$L1202)*100</f>
        <v/>
      </c>
      <c r="BC1202" s="82">
        <f>($N1202-$F1202)*100</f>
        <v/>
      </c>
      <c r="BD1202" s="82">
        <f>($Q1202-$H1202)*100</f>
        <v/>
      </c>
      <c r="BE1202" s="82">
        <f>($S1202-$J1202)*100</f>
        <v/>
      </c>
      <c r="BF1202" s="82">
        <f>($V1202-$L1202)*100</f>
        <v/>
      </c>
      <c r="BG1202" s="82">
        <f>$AG1202-$AF1202</f>
        <v/>
      </c>
      <c r="BH1202" s="81">
        <f>IFERROR($AG1202/$AF1202,"")</f>
        <v/>
      </c>
      <c r="BI1202" s="82">
        <f>$AJ1202-$AF1202</f>
        <v/>
      </c>
      <c r="BJ1202" s="81">
        <f>IFERROR($AJ1202/$AG1202,"")</f>
        <v/>
      </c>
      <c r="BK1202" s="81">
        <f>$X1202</f>
        <v/>
      </c>
      <c r="BL1202" s="82">
        <f>($J1202-$J1203)*100</f>
        <v/>
      </c>
      <c r="BM1202" s="82">
        <f>($F1202-$F1203)*100</f>
        <v/>
      </c>
      <c r="BN1202" s="82">
        <f>$AF1202-$AF1203</f>
        <v/>
      </c>
      <c r="BO1202" s="82">
        <f>$AG1202-$AG1203</f>
        <v/>
      </c>
      <c r="BP1202" s="82">
        <f>$AJ1202-$AJ1203</f>
        <v/>
      </c>
    </row>
    <row r="1203">
      <c r="AR1203" s="81">
        <f>($G1203+($H1203-$G1203)*0.5)+($P1203-($O1203+($Q1203-$O1203)*0.5))</f>
        <v/>
      </c>
      <c r="AS1203" s="81">
        <f>($J1203+($K1203-$J1203)*0.5)+($T1203-($S1203+($U1203-$S1203)*0.5))</f>
        <v/>
      </c>
      <c r="AT1203" s="82">
        <f>($J1203-$C1203)*100</f>
        <v/>
      </c>
      <c r="AU1203" s="82">
        <f>($H1203-$F1203)*100</f>
        <v/>
      </c>
      <c r="AV1203" s="82">
        <f>($J1203-$F1203)*100</f>
        <v/>
      </c>
      <c r="AW1203" s="82">
        <f>($L1203-$F1203)*100</f>
        <v/>
      </c>
      <c r="AX1203" s="82">
        <f>($J1203-$H1203)*100</f>
        <v/>
      </c>
      <c r="AY1203" s="82">
        <f>($L1203-$H1203)*100</f>
        <v/>
      </c>
      <c r="AZ1203" s="82">
        <f>($L1203-$J1203)*100</f>
        <v/>
      </c>
      <c r="BA1203" s="82">
        <f>(2*$H1203-$F1203-$J1203)*100</f>
        <v/>
      </c>
      <c r="BB1203" s="82">
        <f>(2*$J1203-$H1203-$L1203)*100</f>
        <v/>
      </c>
      <c r="BC1203" s="82">
        <f>($N1203-$F1203)*100</f>
        <v/>
      </c>
      <c r="BD1203" s="82">
        <f>($Q1203-$H1203)*100</f>
        <v/>
      </c>
      <c r="BE1203" s="82">
        <f>($S1203-$J1203)*100</f>
        <v/>
      </c>
      <c r="BF1203" s="82">
        <f>($V1203-$L1203)*100</f>
        <v/>
      </c>
      <c r="BG1203" s="82">
        <f>$AG1203-$AF1203</f>
        <v/>
      </c>
      <c r="BH1203" s="81">
        <f>IFERROR($AG1203/$AF1203,"")</f>
        <v/>
      </c>
      <c r="BI1203" s="82">
        <f>$AJ1203-$AF1203</f>
        <v/>
      </c>
      <c r="BJ1203" s="81">
        <f>IFERROR($AJ1203/$AG1203,"")</f>
        <v/>
      </c>
      <c r="BK1203" s="81">
        <f>$X1203</f>
        <v/>
      </c>
      <c r="BL1203" s="82">
        <f>($J1203-$J1204)*100</f>
        <v/>
      </c>
      <c r="BM1203" s="82">
        <f>($F1203-$F1204)*100</f>
        <v/>
      </c>
      <c r="BN1203" s="82">
        <f>$AF1203-$AF1204</f>
        <v/>
      </c>
      <c r="BO1203" s="82">
        <f>$AG1203-$AG1204</f>
        <v/>
      </c>
      <c r="BP1203" s="82">
        <f>$AJ1203-$AJ1204</f>
        <v/>
      </c>
    </row>
    <row r="1204">
      <c r="AR1204" s="81">
        <f>($G1204+($H1204-$G1204)*0.5)+($P1204-($O1204+($Q1204-$O1204)*0.5))</f>
        <v/>
      </c>
      <c r="AS1204" s="81">
        <f>($J1204+($K1204-$J1204)*0.5)+($T1204-($S1204+($U1204-$S1204)*0.5))</f>
        <v/>
      </c>
      <c r="AT1204" s="82">
        <f>($J1204-$C1204)*100</f>
        <v/>
      </c>
      <c r="AU1204" s="82">
        <f>($H1204-$F1204)*100</f>
        <v/>
      </c>
      <c r="AV1204" s="82">
        <f>($J1204-$F1204)*100</f>
        <v/>
      </c>
      <c r="AW1204" s="82">
        <f>($L1204-$F1204)*100</f>
        <v/>
      </c>
      <c r="AX1204" s="82">
        <f>($J1204-$H1204)*100</f>
        <v/>
      </c>
      <c r="AY1204" s="82">
        <f>($L1204-$H1204)*100</f>
        <v/>
      </c>
      <c r="AZ1204" s="82">
        <f>($L1204-$J1204)*100</f>
        <v/>
      </c>
      <c r="BA1204" s="82">
        <f>(2*$H1204-$F1204-$J1204)*100</f>
        <v/>
      </c>
      <c r="BB1204" s="82">
        <f>(2*$J1204-$H1204-$L1204)*100</f>
        <v/>
      </c>
      <c r="BC1204" s="82">
        <f>($N1204-$F1204)*100</f>
        <v/>
      </c>
      <c r="BD1204" s="82">
        <f>($Q1204-$H1204)*100</f>
        <v/>
      </c>
      <c r="BE1204" s="82">
        <f>($S1204-$J1204)*100</f>
        <v/>
      </c>
      <c r="BF1204" s="82">
        <f>($V1204-$L1204)*100</f>
        <v/>
      </c>
      <c r="BG1204" s="82">
        <f>$AG1204-$AF1204</f>
        <v/>
      </c>
      <c r="BH1204" s="81">
        <f>IFERROR($AG1204/$AF1204,"")</f>
        <v/>
      </c>
      <c r="BI1204" s="82">
        <f>$AJ1204-$AF1204</f>
        <v/>
      </c>
      <c r="BJ1204" s="81">
        <f>IFERROR($AJ1204/$AG1204,"")</f>
        <v/>
      </c>
      <c r="BK1204" s="81">
        <f>$X1204</f>
        <v/>
      </c>
      <c r="BL1204" s="82">
        <f>($J1204-$J1205)*100</f>
        <v/>
      </c>
      <c r="BM1204" s="82">
        <f>($F1204-$F1205)*100</f>
        <v/>
      </c>
      <c r="BN1204" s="82">
        <f>$AF1204-$AF1205</f>
        <v/>
      </c>
      <c r="BO1204" s="82">
        <f>$AG1204-$AG1205</f>
        <v/>
      </c>
      <c r="BP1204" s="82">
        <f>$AJ1204-$AJ1205</f>
        <v/>
      </c>
    </row>
    <row r="1205">
      <c r="AR1205" s="81">
        <f>($G1205+($H1205-$G1205)*0.5)+($P1205-($O1205+($Q1205-$O1205)*0.5))</f>
        <v/>
      </c>
      <c r="AS1205" s="81">
        <f>($J1205+($K1205-$J1205)*0.5)+($T1205-($S1205+($U1205-$S1205)*0.5))</f>
        <v/>
      </c>
      <c r="AT1205" s="82">
        <f>($J1205-$C1205)*100</f>
        <v/>
      </c>
      <c r="AU1205" s="82">
        <f>($H1205-$F1205)*100</f>
        <v/>
      </c>
      <c r="AV1205" s="82">
        <f>($J1205-$F1205)*100</f>
        <v/>
      </c>
      <c r="AW1205" s="82">
        <f>($L1205-$F1205)*100</f>
        <v/>
      </c>
      <c r="AX1205" s="82">
        <f>($J1205-$H1205)*100</f>
        <v/>
      </c>
      <c r="AY1205" s="82">
        <f>($L1205-$H1205)*100</f>
        <v/>
      </c>
      <c r="AZ1205" s="82">
        <f>($L1205-$J1205)*100</f>
        <v/>
      </c>
      <c r="BA1205" s="82">
        <f>(2*$H1205-$F1205-$J1205)*100</f>
        <v/>
      </c>
      <c r="BB1205" s="82">
        <f>(2*$J1205-$H1205-$L1205)*100</f>
        <v/>
      </c>
      <c r="BC1205" s="82">
        <f>($N1205-$F1205)*100</f>
        <v/>
      </c>
      <c r="BD1205" s="82">
        <f>($Q1205-$H1205)*100</f>
        <v/>
      </c>
      <c r="BE1205" s="82">
        <f>($S1205-$J1205)*100</f>
        <v/>
      </c>
      <c r="BF1205" s="82">
        <f>($V1205-$L1205)*100</f>
        <v/>
      </c>
      <c r="BG1205" s="82">
        <f>$AG1205-$AF1205</f>
        <v/>
      </c>
      <c r="BH1205" s="81">
        <f>IFERROR($AG1205/$AF1205,"")</f>
        <v/>
      </c>
      <c r="BI1205" s="82">
        <f>$AJ1205-$AF1205</f>
        <v/>
      </c>
      <c r="BJ1205" s="81">
        <f>IFERROR($AJ1205/$AG1205,"")</f>
        <v/>
      </c>
      <c r="BK1205" s="81">
        <f>$X1205</f>
        <v/>
      </c>
      <c r="BL1205" s="82">
        <f>($J1205-$J1206)*100</f>
        <v/>
      </c>
      <c r="BM1205" s="82">
        <f>($F1205-$F1206)*100</f>
        <v/>
      </c>
      <c r="BN1205" s="82">
        <f>$AF1205-$AF1206</f>
        <v/>
      </c>
      <c r="BO1205" s="82">
        <f>$AG1205-$AG1206</f>
        <v/>
      </c>
      <c r="BP1205" s="82">
        <f>$AJ1205-$AJ1206</f>
        <v/>
      </c>
    </row>
    <row r="1206">
      <c r="AR1206" s="81">
        <f>($G1206+($H1206-$G1206)*0.5)+($P1206-($O1206+($Q1206-$O1206)*0.5))</f>
        <v/>
      </c>
      <c r="AS1206" s="81">
        <f>($J1206+($K1206-$J1206)*0.5)+($T1206-($S1206+($U1206-$S1206)*0.5))</f>
        <v/>
      </c>
      <c r="AT1206" s="82">
        <f>($J1206-$C1206)*100</f>
        <v/>
      </c>
      <c r="AU1206" s="82">
        <f>($H1206-$F1206)*100</f>
        <v/>
      </c>
      <c r="AV1206" s="82">
        <f>($J1206-$F1206)*100</f>
        <v/>
      </c>
      <c r="AW1206" s="82">
        <f>($L1206-$F1206)*100</f>
        <v/>
      </c>
      <c r="AX1206" s="82">
        <f>($J1206-$H1206)*100</f>
        <v/>
      </c>
      <c r="AY1206" s="82">
        <f>($L1206-$H1206)*100</f>
        <v/>
      </c>
      <c r="AZ1206" s="82">
        <f>($L1206-$J1206)*100</f>
        <v/>
      </c>
      <c r="BA1206" s="82">
        <f>(2*$H1206-$F1206-$J1206)*100</f>
        <v/>
      </c>
      <c r="BB1206" s="82">
        <f>(2*$J1206-$H1206-$L1206)*100</f>
        <v/>
      </c>
      <c r="BC1206" s="82">
        <f>($N1206-$F1206)*100</f>
        <v/>
      </c>
      <c r="BD1206" s="82">
        <f>($Q1206-$H1206)*100</f>
        <v/>
      </c>
      <c r="BE1206" s="82">
        <f>($S1206-$J1206)*100</f>
        <v/>
      </c>
      <c r="BF1206" s="82">
        <f>($V1206-$L1206)*100</f>
        <v/>
      </c>
      <c r="BG1206" s="82">
        <f>$AG1206-$AF1206</f>
        <v/>
      </c>
      <c r="BH1206" s="81">
        <f>IFERROR($AG1206/$AF1206,"")</f>
        <v/>
      </c>
      <c r="BI1206" s="82">
        <f>$AJ1206-$AF1206</f>
        <v/>
      </c>
      <c r="BJ1206" s="81">
        <f>IFERROR($AJ1206/$AG1206,"")</f>
        <v/>
      </c>
      <c r="BK1206" s="81">
        <f>$X1206</f>
        <v/>
      </c>
      <c r="BL1206" s="82">
        <f>($J1206-$J1207)*100</f>
        <v/>
      </c>
      <c r="BM1206" s="82">
        <f>($F1206-$F1207)*100</f>
        <v/>
      </c>
      <c r="BN1206" s="82">
        <f>$AF1206-$AF1207</f>
        <v/>
      </c>
      <c r="BO1206" s="82">
        <f>$AG1206-$AG1207</f>
        <v/>
      </c>
      <c r="BP1206" s="82">
        <f>$AJ1206-$AJ1207</f>
        <v/>
      </c>
    </row>
    <row r="1207">
      <c r="AR1207" s="81">
        <f>($G1207+($H1207-$G1207)*0.5)+($P1207-($O1207+($Q1207-$O1207)*0.5))</f>
        <v/>
      </c>
      <c r="AS1207" s="81">
        <f>($J1207+($K1207-$J1207)*0.5)+($T1207-($S1207+($U1207-$S1207)*0.5))</f>
        <v/>
      </c>
      <c r="AT1207" s="82">
        <f>($J1207-$C1207)*100</f>
        <v/>
      </c>
      <c r="AU1207" s="82">
        <f>($H1207-$F1207)*100</f>
        <v/>
      </c>
      <c r="AV1207" s="82">
        <f>($J1207-$F1207)*100</f>
        <v/>
      </c>
      <c r="AW1207" s="82">
        <f>($L1207-$F1207)*100</f>
        <v/>
      </c>
      <c r="AX1207" s="82">
        <f>($J1207-$H1207)*100</f>
        <v/>
      </c>
      <c r="AY1207" s="82">
        <f>($L1207-$H1207)*100</f>
        <v/>
      </c>
      <c r="AZ1207" s="82">
        <f>($L1207-$J1207)*100</f>
        <v/>
      </c>
      <c r="BA1207" s="82">
        <f>(2*$H1207-$F1207-$J1207)*100</f>
        <v/>
      </c>
      <c r="BB1207" s="82">
        <f>(2*$J1207-$H1207-$L1207)*100</f>
        <v/>
      </c>
      <c r="BC1207" s="82">
        <f>($N1207-$F1207)*100</f>
        <v/>
      </c>
      <c r="BD1207" s="82">
        <f>($Q1207-$H1207)*100</f>
        <v/>
      </c>
      <c r="BE1207" s="82">
        <f>($S1207-$J1207)*100</f>
        <v/>
      </c>
      <c r="BF1207" s="82">
        <f>($V1207-$L1207)*100</f>
        <v/>
      </c>
      <c r="BG1207" s="82">
        <f>$AG1207-$AF1207</f>
        <v/>
      </c>
      <c r="BH1207" s="81">
        <f>IFERROR($AG1207/$AF1207,"")</f>
        <v/>
      </c>
      <c r="BI1207" s="82">
        <f>$AJ1207-$AF1207</f>
        <v/>
      </c>
      <c r="BJ1207" s="81">
        <f>IFERROR($AJ1207/$AG1207,"")</f>
        <v/>
      </c>
      <c r="BK1207" s="81">
        <f>$X1207</f>
        <v/>
      </c>
      <c r="BL1207" s="82">
        <f>($J1207-$J1208)*100</f>
        <v/>
      </c>
      <c r="BM1207" s="82">
        <f>($F1207-$F1208)*100</f>
        <v/>
      </c>
      <c r="BN1207" s="82">
        <f>$AF1207-$AF1208</f>
        <v/>
      </c>
      <c r="BO1207" s="82">
        <f>$AG1207-$AG1208</f>
        <v/>
      </c>
      <c r="BP1207" s="82">
        <f>$AJ1207-$AJ1208</f>
        <v/>
      </c>
    </row>
    <row r="1208">
      <c r="AR1208" s="81">
        <f>($G1208+($H1208-$G1208)*0.5)+($P1208-($O1208+($Q1208-$O1208)*0.5))</f>
        <v/>
      </c>
      <c r="AS1208" s="81">
        <f>($J1208+($K1208-$J1208)*0.5)+($T1208-($S1208+($U1208-$S1208)*0.5))</f>
        <v/>
      </c>
      <c r="AT1208" s="82">
        <f>($J1208-$C1208)*100</f>
        <v/>
      </c>
      <c r="AU1208" s="82">
        <f>($H1208-$F1208)*100</f>
        <v/>
      </c>
      <c r="AV1208" s="82">
        <f>($J1208-$F1208)*100</f>
        <v/>
      </c>
      <c r="AW1208" s="82">
        <f>($L1208-$F1208)*100</f>
        <v/>
      </c>
      <c r="AX1208" s="82">
        <f>($J1208-$H1208)*100</f>
        <v/>
      </c>
      <c r="AY1208" s="82">
        <f>($L1208-$H1208)*100</f>
        <v/>
      </c>
      <c r="AZ1208" s="82">
        <f>($L1208-$J1208)*100</f>
        <v/>
      </c>
      <c r="BA1208" s="82">
        <f>(2*$H1208-$F1208-$J1208)*100</f>
        <v/>
      </c>
      <c r="BB1208" s="82">
        <f>(2*$J1208-$H1208-$L1208)*100</f>
        <v/>
      </c>
      <c r="BC1208" s="82">
        <f>($N1208-$F1208)*100</f>
        <v/>
      </c>
      <c r="BD1208" s="82">
        <f>($Q1208-$H1208)*100</f>
        <v/>
      </c>
      <c r="BE1208" s="82">
        <f>($S1208-$J1208)*100</f>
        <v/>
      </c>
      <c r="BF1208" s="82">
        <f>($V1208-$L1208)*100</f>
        <v/>
      </c>
      <c r="BG1208" s="82">
        <f>$AG1208-$AF1208</f>
        <v/>
      </c>
      <c r="BH1208" s="81">
        <f>IFERROR($AG1208/$AF1208,"")</f>
        <v/>
      </c>
      <c r="BI1208" s="82">
        <f>$AJ1208-$AF1208</f>
        <v/>
      </c>
      <c r="BJ1208" s="81">
        <f>IFERROR($AJ1208/$AG1208,"")</f>
        <v/>
      </c>
      <c r="BK1208" s="81">
        <f>$X1208</f>
        <v/>
      </c>
      <c r="BL1208" s="82">
        <f>($J1208-$J1209)*100</f>
        <v/>
      </c>
      <c r="BM1208" s="82">
        <f>($F1208-$F1209)*100</f>
        <v/>
      </c>
      <c r="BN1208" s="82">
        <f>$AF1208-$AF1209</f>
        <v/>
      </c>
      <c r="BO1208" s="82">
        <f>$AG1208-$AG1209</f>
        <v/>
      </c>
      <c r="BP1208" s="82">
        <f>$AJ1208-$AJ1209</f>
        <v/>
      </c>
    </row>
    <row r="1209">
      <c r="AR1209" s="81">
        <f>($G1209+($H1209-$G1209)*0.5)+($P1209-($O1209+($Q1209-$O1209)*0.5))</f>
        <v/>
      </c>
      <c r="AS1209" s="81">
        <f>($J1209+($K1209-$J1209)*0.5)+($T1209-($S1209+($U1209-$S1209)*0.5))</f>
        <v/>
      </c>
      <c r="AT1209" s="82">
        <f>($J1209-$C1209)*100</f>
        <v/>
      </c>
      <c r="AU1209" s="82">
        <f>($H1209-$F1209)*100</f>
        <v/>
      </c>
      <c r="AV1209" s="82">
        <f>($J1209-$F1209)*100</f>
        <v/>
      </c>
      <c r="AW1209" s="82">
        <f>($L1209-$F1209)*100</f>
        <v/>
      </c>
      <c r="AX1209" s="82">
        <f>($J1209-$H1209)*100</f>
        <v/>
      </c>
      <c r="AY1209" s="82">
        <f>($L1209-$H1209)*100</f>
        <v/>
      </c>
      <c r="AZ1209" s="82">
        <f>($L1209-$J1209)*100</f>
        <v/>
      </c>
      <c r="BA1209" s="82">
        <f>(2*$H1209-$F1209-$J1209)*100</f>
        <v/>
      </c>
      <c r="BB1209" s="82">
        <f>(2*$J1209-$H1209-$L1209)*100</f>
        <v/>
      </c>
      <c r="BC1209" s="82">
        <f>($N1209-$F1209)*100</f>
        <v/>
      </c>
      <c r="BD1209" s="82">
        <f>($Q1209-$H1209)*100</f>
        <v/>
      </c>
      <c r="BE1209" s="82">
        <f>($S1209-$J1209)*100</f>
        <v/>
      </c>
      <c r="BF1209" s="82">
        <f>($V1209-$L1209)*100</f>
        <v/>
      </c>
      <c r="BG1209" s="82">
        <f>$AG1209-$AF1209</f>
        <v/>
      </c>
      <c r="BH1209" s="81">
        <f>IFERROR($AG1209/$AF1209,"")</f>
        <v/>
      </c>
      <c r="BI1209" s="82">
        <f>$AJ1209-$AF1209</f>
        <v/>
      </c>
      <c r="BJ1209" s="81">
        <f>IFERROR($AJ1209/$AG1209,"")</f>
        <v/>
      </c>
      <c r="BK1209" s="81">
        <f>$X1209</f>
        <v/>
      </c>
      <c r="BL1209" s="82">
        <f>($J1209-$J1210)*100</f>
        <v/>
      </c>
      <c r="BM1209" s="82">
        <f>($F1209-$F1210)*100</f>
        <v/>
      </c>
      <c r="BN1209" s="82">
        <f>$AF1209-$AF1210</f>
        <v/>
      </c>
      <c r="BO1209" s="82">
        <f>$AG1209-$AG1210</f>
        <v/>
      </c>
      <c r="BP1209" s="82">
        <f>$AJ1209-$AJ1210</f>
        <v/>
      </c>
    </row>
    <row r="1210">
      <c r="AR1210" s="81">
        <f>($G1210+($H1210-$G1210)*0.5)+($P1210-($O1210+($Q1210-$O1210)*0.5))</f>
        <v/>
      </c>
      <c r="AS1210" s="81">
        <f>($J1210+($K1210-$J1210)*0.5)+($T1210-($S1210+($U1210-$S1210)*0.5))</f>
        <v/>
      </c>
      <c r="AT1210" s="82">
        <f>($J1210-$C1210)*100</f>
        <v/>
      </c>
      <c r="AU1210" s="82">
        <f>($H1210-$F1210)*100</f>
        <v/>
      </c>
      <c r="AV1210" s="82">
        <f>($J1210-$F1210)*100</f>
        <v/>
      </c>
      <c r="AW1210" s="82">
        <f>($L1210-$F1210)*100</f>
        <v/>
      </c>
      <c r="AX1210" s="82">
        <f>($J1210-$H1210)*100</f>
        <v/>
      </c>
      <c r="AY1210" s="82">
        <f>($L1210-$H1210)*100</f>
        <v/>
      </c>
      <c r="AZ1210" s="82">
        <f>($L1210-$J1210)*100</f>
        <v/>
      </c>
      <c r="BA1210" s="82">
        <f>(2*$H1210-$F1210-$J1210)*100</f>
        <v/>
      </c>
      <c r="BB1210" s="82">
        <f>(2*$J1210-$H1210-$L1210)*100</f>
        <v/>
      </c>
      <c r="BC1210" s="82">
        <f>($N1210-$F1210)*100</f>
        <v/>
      </c>
      <c r="BD1210" s="82">
        <f>($Q1210-$H1210)*100</f>
        <v/>
      </c>
      <c r="BE1210" s="82">
        <f>($S1210-$J1210)*100</f>
        <v/>
      </c>
      <c r="BF1210" s="82">
        <f>($V1210-$L1210)*100</f>
        <v/>
      </c>
      <c r="BG1210" s="82">
        <f>$AG1210-$AF1210</f>
        <v/>
      </c>
      <c r="BH1210" s="81">
        <f>IFERROR($AG1210/$AF1210,"")</f>
        <v/>
      </c>
      <c r="BI1210" s="82">
        <f>$AJ1210-$AF1210</f>
        <v/>
      </c>
      <c r="BJ1210" s="81">
        <f>IFERROR($AJ1210/$AG1210,"")</f>
        <v/>
      </c>
      <c r="BK1210" s="81">
        <f>$X1210</f>
        <v/>
      </c>
      <c r="BL1210" s="82">
        <f>($J1210-$J1211)*100</f>
        <v/>
      </c>
      <c r="BM1210" s="82">
        <f>($F1210-$F1211)*100</f>
        <v/>
      </c>
      <c r="BN1210" s="82">
        <f>$AF1210-$AF1211</f>
        <v/>
      </c>
      <c r="BO1210" s="82">
        <f>$AG1210-$AG1211</f>
        <v/>
      </c>
      <c r="BP1210" s="82">
        <f>$AJ1210-$AJ1211</f>
        <v/>
      </c>
    </row>
    <row r="1211">
      <c r="AR1211" s="81">
        <f>($G1211+($H1211-$G1211)*0.5)+($P1211-($O1211+($Q1211-$O1211)*0.5))</f>
        <v/>
      </c>
      <c r="AS1211" s="81">
        <f>($J1211+($K1211-$J1211)*0.5)+($T1211-($S1211+($U1211-$S1211)*0.5))</f>
        <v/>
      </c>
      <c r="AT1211" s="82">
        <f>($J1211-$C1211)*100</f>
        <v/>
      </c>
      <c r="AU1211" s="82">
        <f>($H1211-$F1211)*100</f>
        <v/>
      </c>
      <c r="AV1211" s="82">
        <f>($J1211-$F1211)*100</f>
        <v/>
      </c>
      <c r="AW1211" s="82">
        <f>($L1211-$F1211)*100</f>
        <v/>
      </c>
      <c r="AX1211" s="82">
        <f>($J1211-$H1211)*100</f>
        <v/>
      </c>
      <c r="AY1211" s="82">
        <f>($L1211-$H1211)*100</f>
        <v/>
      </c>
      <c r="AZ1211" s="82">
        <f>($L1211-$J1211)*100</f>
        <v/>
      </c>
      <c r="BA1211" s="82">
        <f>(2*$H1211-$F1211-$J1211)*100</f>
        <v/>
      </c>
      <c r="BB1211" s="82">
        <f>(2*$J1211-$H1211-$L1211)*100</f>
        <v/>
      </c>
      <c r="BC1211" s="82">
        <f>($N1211-$F1211)*100</f>
        <v/>
      </c>
      <c r="BD1211" s="82">
        <f>($Q1211-$H1211)*100</f>
        <v/>
      </c>
      <c r="BE1211" s="82">
        <f>($S1211-$J1211)*100</f>
        <v/>
      </c>
      <c r="BF1211" s="82">
        <f>($V1211-$L1211)*100</f>
        <v/>
      </c>
      <c r="BG1211" s="82">
        <f>$AG1211-$AF1211</f>
        <v/>
      </c>
      <c r="BH1211" s="81">
        <f>IFERROR($AG1211/$AF1211,"")</f>
        <v/>
      </c>
      <c r="BI1211" s="82">
        <f>$AJ1211-$AF1211</f>
        <v/>
      </c>
      <c r="BJ1211" s="81">
        <f>IFERROR($AJ1211/$AG1211,"")</f>
        <v/>
      </c>
      <c r="BK1211" s="81">
        <f>$X1211</f>
        <v/>
      </c>
      <c r="BL1211" s="82">
        <f>($J1211-$J1212)*100</f>
        <v/>
      </c>
      <c r="BM1211" s="82">
        <f>($F1211-$F1212)*100</f>
        <v/>
      </c>
      <c r="BN1211" s="82">
        <f>$AF1211-$AF1212</f>
        <v/>
      </c>
      <c r="BO1211" s="82">
        <f>$AG1211-$AG1212</f>
        <v/>
      </c>
      <c r="BP1211" s="82">
        <f>$AJ1211-$AJ1212</f>
        <v/>
      </c>
    </row>
    <row r="1212">
      <c r="AR1212" s="81">
        <f>($G1212+($H1212-$G1212)*0.5)+($P1212-($O1212+($Q1212-$O1212)*0.5))</f>
        <v/>
      </c>
      <c r="AS1212" s="81">
        <f>($J1212+($K1212-$J1212)*0.5)+($T1212-($S1212+($U1212-$S1212)*0.5))</f>
        <v/>
      </c>
      <c r="AT1212" s="82">
        <f>($J1212-$C1212)*100</f>
        <v/>
      </c>
      <c r="AU1212" s="82">
        <f>($H1212-$F1212)*100</f>
        <v/>
      </c>
      <c r="AV1212" s="82">
        <f>($J1212-$F1212)*100</f>
        <v/>
      </c>
      <c r="AW1212" s="82">
        <f>($L1212-$F1212)*100</f>
        <v/>
      </c>
      <c r="AX1212" s="82">
        <f>($J1212-$H1212)*100</f>
        <v/>
      </c>
      <c r="AY1212" s="82">
        <f>($L1212-$H1212)*100</f>
        <v/>
      </c>
      <c r="AZ1212" s="82">
        <f>($L1212-$J1212)*100</f>
        <v/>
      </c>
      <c r="BA1212" s="82">
        <f>(2*$H1212-$F1212-$J1212)*100</f>
        <v/>
      </c>
      <c r="BB1212" s="82">
        <f>(2*$J1212-$H1212-$L1212)*100</f>
        <v/>
      </c>
      <c r="BC1212" s="82">
        <f>($N1212-$F1212)*100</f>
        <v/>
      </c>
      <c r="BD1212" s="82">
        <f>($Q1212-$H1212)*100</f>
        <v/>
      </c>
      <c r="BE1212" s="82">
        <f>($S1212-$J1212)*100</f>
        <v/>
      </c>
      <c r="BF1212" s="82">
        <f>($V1212-$L1212)*100</f>
        <v/>
      </c>
      <c r="BG1212" s="82">
        <f>$AG1212-$AF1212</f>
        <v/>
      </c>
      <c r="BH1212" s="81">
        <f>IFERROR($AG1212/$AF1212,"")</f>
        <v/>
      </c>
      <c r="BI1212" s="82">
        <f>$AJ1212-$AF1212</f>
        <v/>
      </c>
      <c r="BJ1212" s="81">
        <f>IFERROR($AJ1212/$AG1212,"")</f>
        <v/>
      </c>
      <c r="BK1212" s="81">
        <f>$X1212</f>
        <v/>
      </c>
      <c r="BL1212" s="82">
        <f>($J1212-$J1213)*100</f>
        <v/>
      </c>
      <c r="BM1212" s="82">
        <f>($F1212-$F1213)*100</f>
        <v/>
      </c>
      <c r="BN1212" s="82">
        <f>$AF1212-$AF1213</f>
        <v/>
      </c>
      <c r="BO1212" s="82">
        <f>$AG1212-$AG1213</f>
        <v/>
      </c>
      <c r="BP1212" s="82">
        <f>$AJ1212-$AJ1213</f>
        <v/>
      </c>
    </row>
    <row r="1213">
      <c r="AR1213" s="81">
        <f>($G1213+($H1213-$G1213)*0.5)+($P1213-($O1213+($Q1213-$O1213)*0.5))</f>
        <v/>
      </c>
      <c r="AS1213" s="81">
        <f>($J1213+($K1213-$J1213)*0.5)+($T1213-($S1213+($U1213-$S1213)*0.5))</f>
        <v/>
      </c>
      <c r="AT1213" s="82">
        <f>($J1213-$C1213)*100</f>
        <v/>
      </c>
      <c r="AU1213" s="82">
        <f>($H1213-$F1213)*100</f>
        <v/>
      </c>
      <c r="AV1213" s="82">
        <f>($J1213-$F1213)*100</f>
        <v/>
      </c>
      <c r="AW1213" s="82">
        <f>($L1213-$F1213)*100</f>
        <v/>
      </c>
      <c r="AX1213" s="82">
        <f>($J1213-$H1213)*100</f>
        <v/>
      </c>
      <c r="AY1213" s="82">
        <f>($L1213-$H1213)*100</f>
        <v/>
      </c>
      <c r="AZ1213" s="82">
        <f>($L1213-$J1213)*100</f>
        <v/>
      </c>
      <c r="BA1213" s="82">
        <f>(2*$H1213-$F1213-$J1213)*100</f>
        <v/>
      </c>
      <c r="BB1213" s="82">
        <f>(2*$J1213-$H1213-$L1213)*100</f>
        <v/>
      </c>
      <c r="BC1213" s="82">
        <f>($N1213-$F1213)*100</f>
        <v/>
      </c>
      <c r="BD1213" s="82">
        <f>($Q1213-$H1213)*100</f>
        <v/>
      </c>
      <c r="BE1213" s="82">
        <f>($S1213-$J1213)*100</f>
        <v/>
      </c>
      <c r="BF1213" s="82">
        <f>($V1213-$L1213)*100</f>
        <v/>
      </c>
      <c r="BG1213" s="82">
        <f>$AG1213-$AF1213</f>
        <v/>
      </c>
      <c r="BH1213" s="81">
        <f>IFERROR($AG1213/$AF1213,"")</f>
        <v/>
      </c>
      <c r="BI1213" s="82">
        <f>$AJ1213-$AF1213</f>
        <v/>
      </c>
      <c r="BJ1213" s="81">
        <f>IFERROR($AJ1213/$AG1213,"")</f>
        <v/>
      </c>
      <c r="BK1213" s="81">
        <f>$X1213</f>
        <v/>
      </c>
      <c r="BL1213" s="82">
        <f>($J1213-$J1214)*100</f>
        <v/>
      </c>
      <c r="BM1213" s="82">
        <f>($F1213-$F1214)*100</f>
        <v/>
      </c>
      <c r="BN1213" s="82">
        <f>$AF1213-$AF1214</f>
        <v/>
      </c>
      <c r="BO1213" s="82">
        <f>$AG1213-$AG1214</f>
        <v/>
      </c>
      <c r="BP1213" s="82">
        <f>$AJ1213-$AJ1214</f>
        <v/>
      </c>
    </row>
    <row r="1214">
      <c r="AR1214" s="81">
        <f>($G1214+($H1214-$G1214)*0.5)+($P1214-($O1214+($Q1214-$O1214)*0.5))</f>
        <v/>
      </c>
      <c r="AS1214" s="81">
        <f>($J1214+($K1214-$J1214)*0.5)+($T1214-($S1214+($U1214-$S1214)*0.5))</f>
        <v/>
      </c>
      <c r="AT1214" s="82">
        <f>($J1214-$C1214)*100</f>
        <v/>
      </c>
      <c r="AU1214" s="82">
        <f>($H1214-$F1214)*100</f>
        <v/>
      </c>
      <c r="AV1214" s="82">
        <f>($J1214-$F1214)*100</f>
        <v/>
      </c>
      <c r="AW1214" s="82">
        <f>($L1214-$F1214)*100</f>
        <v/>
      </c>
      <c r="AX1214" s="82">
        <f>($J1214-$H1214)*100</f>
        <v/>
      </c>
      <c r="AY1214" s="82">
        <f>($L1214-$H1214)*100</f>
        <v/>
      </c>
      <c r="AZ1214" s="82">
        <f>($L1214-$J1214)*100</f>
        <v/>
      </c>
      <c r="BA1214" s="82">
        <f>(2*$H1214-$F1214-$J1214)*100</f>
        <v/>
      </c>
      <c r="BB1214" s="82">
        <f>(2*$J1214-$H1214-$L1214)*100</f>
        <v/>
      </c>
      <c r="BC1214" s="82">
        <f>($N1214-$F1214)*100</f>
        <v/>
      </c>
      <c r="BD1214" s="82">
        <f>($Q1214-$H1214)*100</f>
        <v/>
      </c>
      <c r="BE1214" s="82">
        <f>($S1214-$J1214)*100</f>
        <v/>
      </c>
      <c r="BF1214" s="82">
        <f>($V1214-$L1214)*100</f>
        <v/>
      </c>
      <c r="BG1214" s="82">
        <f>$AG1214-$AF1214</f>
        <v/>
      </c>
      <c r="BH1214" s="81">
        <f>IFERROR($AG1214/$AF1214,"")</f>
        <v/>
      </c>
      <c r="BI1214" s="82">
        <f>$AJ1214-$AF1214</f>
        <v/>
      </c>
      <c r="BJ1214" s="81">
        <f>IFERROR($AJ1214/$AG1214,"")</f>
        <v/>
      </c>
      <c r="BK1214" s="81">
        <f>$X1214</f>
        <v/>
      </c>
      <c r="BL1214" s="82">
        <f>($J1214-$J1215)*100</f>
        <v/>
      </c>
      <c r="BM1214" s="82">
        <f>($F1214-$F1215)*100</f>
        <v/>
      </c>
      <c r="BN1214" s="82">
        <f>$AF1214-$AF1215</f>
        <v/>
      </c>
      <c r="BO1214" s="82">
        <f>$AG1214-$AG1215</f>
        <v/>
      </c>
      <c r="BP1214" s="82">
        <f>$AJ1214-$AJ1215</f>
        <v/>
      </c>
    </row>
    <row r="1215">
      <c r="AR1215" s="81">
        <f>($G1215+($H1215-$G1215)*0.5)+($P1215-($O1215+($Q1215-$O1215)*0.5))</f>
        <v/>
      </c>
      <c r="AS1215" s="81">
        <f>($J1215+($K1215-$J1215)*0.5)+($T1215-($S1215+($U1215-$S1215)*0.5))</f>
        <v/>
      </c>
      <c r="AT1215" s="82">
        <f>($J1215-$C1215)*100</f>
        <v/>
      </c>
      <c r="AU1215" s="82">
        <f>($H1215-$F1215)*100</f>
        <v/>
      </c>
      <c r="AV1215" s="82">
        <f>($J1215-$F1215)*100</f>
        <v/>
      </c>
      <c r="AW1215" s="82">
        <f>($L1215-$F1215)*100</f>
        <v/>
      </c>
      <c r="AX1215" s="82">
        <f>($J1215-$H1215)*100</f>
        <v/>
      </c>
      <c r="AY1215" s="82">
        <f>($L1215-$H1215)*100</f>
        <v/>
      </c>
      <c r="AZ1215" s="82">
        <f>($L1215-$J1215)*100</f>
        <v/>
      </c>
      <c r="BA1215" s="82">
        <f>(2*$H1215-$F1215-$J1215)*100</f>
        <v/>
      </c>
      <c r="BB1215" s="82">
        <f>(2*$J1215-$H1215-$L1215)*100</f>
        <v/>
      </c>
      <c r="BC1215" s="82">
        <f>($N1215-$F1215)*100</f>
        <v/>
      </c>
      <c r="BD1215" s="82">
        <f>($Q1215-$H1215)*100</f>
        <v/>
      </c>
      <c r="BE1215" s="82">
        <f>($S1215-$J1215)*100</f>
        <v/>
      </c>
      <c r="BF1215" s="82">
        <f>($V1215-$L1215)*100</f>
        <v/>
      </c>
      <c r="BG1215" s="82">
        <f>$AG1215-$AF1215</f>
        <v/>
      </c>
      <c r="BH1215" s="81">
        <f>IFERROR($AG1215/$AF1215,"")</f>
        <v/>
      </c>
      <c r="BI1215" s="82">
        <f>$AJ1215-$AF1215</f>
        <v/>
      </c>
      <c r="BJ1215" s="81">
        <f>IFERROR($AJ1215/$AG1215,"")</f>
        <v/>
      </c>
      <c r="BK1215" s="81">
        <f>$X1215</f>
        <v/>
      </c>
      <c r="BL1215" s="82">
        <f>($J1215-$J1216)*100</f>
        <v/>
      </c>
      <c r="BM1215" s="82">
        <f>($F1215-$F1216)*100</f>
        <v/>
      </c>
      <c r="BN1215" s="82">
        <f>$AF1215-$AF1216</f>
        <v/>
      </c>
      <c r="BO1215" s="82">
        <f>$AG1215-$AG1216</f>
        <v/>
      </c>
      <c r="BP1215" s="82">
        <f>$AJ1215-$AJ1216</f>
        <v/>
      </c>
    </row>
    <row r="1216">
      <c r="AR1216" s="81">
        <f>($G1216+($H1216-$G1216)*0.5)+($P1216-($O1216+($Q1216-$O1216)*0.5))</f>
        <v/>
      </c>
      <c r="AS1216" s="81">
        <f>($J1216+($K1216-$J1216)*0.5)+($T1216-($S1216+($U1216-$S1216)*0.5))</f>
        <v/>
      </c>
      <c r="AT1216" s="82">
        <f>($J1216-$C1216)*100</f>
        <v/>
      </c>
      <c r="AU1216" s="82">
        <f>($H1216-$F1216)*100</f>
        <v/>
      </c>
      <c r="AV1216" s="82">
        <f>($J1216-$F1216)*100</f>
        <v/>
      </c>
      <c r="AW1216" s="82">
        <f>($L1216-$F1216)*100</f>
        <v/>
      </c>
      <c r="AX1216" s="82">
        <f>($J1216-$H1216)*100</f>
        <v/>
      </c>
      <c r="AY1216" s="82">
        <f>($L1216-$H1216)*100</f>
        <v/>
      </c>
      <c r="AZ1216" s="82">
        <f>($L1216-$J1216)*100</f>
        <v/>
      </c>
      <c r="BA1216" s="82">
        <f>(2*$H1216-$F1216-$J1216)*100</f>
        <v/>
      </c>
      <c r="BB1216" s="82">
        <f>(2*$J1216-$H1216-$L1216)*100</f>
        <v/>
      </c>
      <c r="BC1216" s="82">
        <f>($N1216-$F1216)*100</f>
        <v/>
      </c>
      <c r="BD1216" s="82">
        <f>($Q1216-$H1216)*100</f>
        <v/>
      </c>
      <c r="BE1216" s="82">
        <f>($S1216-$J1216)*100</f>
        <v/>
      </c>
      <c r="BF1216" s="82">
        <f>($V1216-$L1216)*100</f>
        <v/>
      </c>
      <c r="BG1216" s="82">
        <f>$AG1216-$AF1216</f>
        <v/>
      </c>
      <c r="BH1216" s="81">
        <f>IFERROR($AG1216/$AF1216,"")</f>
        <v/>
      </c>
      <c r="BI1216" s="82">
        <f>$AJ1216-$AF1216</f>
        <v/>
      </c>
      <c r="BJ1216" s="81">
        <f>IFERROR($AJ1216/$AG1216,"")</f>
        <v/>
      </c>
      <c r="BK1216" s="81">
        <f>$X1216</f>
        <v/>
      </c>
      <c r="BL1216" s="82">
        <f>($J1216-$J1217)*100</f>
        <v/>
      </c>
      <c r="BM1216" s="82">
        <f>($F1216-$F1217)*100</f>
        <v/>
      </c>
      <c r="BN1216" s="82">
        <f>$AF1216-$AF1217</f>
        <v/>
      </c>
      <c r="BO1216" s="82">
        <f>$AG1216-$AG1217</f>
        <v/>
      </c>
      <c r="BP1216" s="82">
        <f>$AJ1216-$AJ1217</f>
        <v/>
      </c>
    </row>
    <row r="1217">
      <c r="AR1217" s="81">
        <f>($G1217+($H1217-$G1217)*0.5)+($P1217-($O1217+($Q1217-$O1217)*0.5))</f>
        <v/>
      </c>
      <c r="AS1217" s="81">
        <f>($J1217+($K1217-$J1217)*0.5)+($T1217-($S1217+($U1217-$S1217)*0.5))</f>
        <v/>
      </c>
      <c r="AT1217" s="82">
        <f>($J1217-$C1217)*100</f>
        <v/>
      </c>
      <c r="AU1217" s="82">
        <f>($H1217-$F1217)*100</f>
        <v/>
      </c>
      <c r="AV1217" s="82">
        <f>($J1217-$F1217)*100</f>
        <v/>
      </c>
      <c r="AW1217" s="82">
        <f>($L1217-$F1217)*100</f>
        <v/>
      </c>
      <c r="AX1217" s="82">
        <f>($J1217-$H1217)*100</f>
        <v/>
      </c>
      <c r="AY1217" s="82">
        <f>($L1217-$H1217)*100</f>
        <v/>
      </c>
      <c r="AZ1217" s="82">
        <f>($L1217-$J1217)*100</f>
        <v/>
      </c>
      <c r="BA1217" s="82">
        <f>(2*$H1217-$F1217-$J1217)*100</f>
        <v/>
      </c>
      <c r="BB1217" s="82">
        <f>(2*$J1217-$H1217-$L1217)*100</f>
        <v/>
      </c>
      <c r="BC1217" s="82">
        <f>($N1217-$F1217)*100</f>
        <v/>
      </c>
      <c r="BD1217" s="82">
        <f>($Q1217-$H1217)*100</f>
        <v/>
      </c>
      <c r="BE1217" s="82">
        <f>($S1217-$J1217)*100</f>
        <v/>
      </c>
      <c r="BF1217" s="82">
        <f>($V1217-$L1217)*100</f>
        <v/>
      </c>
      <c r="BG1217" s="82">
        <f>$AG1217-$AF1217</f>
        <v/>
      </c>
      <c r="BH1217" s="81">
        <f>IFERROR($AG1217/$AF1217,"")</f>
        <v/>
      </c>
      <c r="BI1217" s="82">
        <f>$AJ1217-$AF1217</f>
        <v/>
      </c>
      <c r="BJ1217" s="81">
        <f>IFERROR($AJ1217/$AG1217,"")</f>
        <v/>
      </c>
      <c r="BK1217" s="81">
        <f>$X1217</f>
        <v/>
      </c>
      <c r="BL1217" s="82">
        <f>($J1217-$J1218)*100</f>
        <v/>
      </c>
      <c r="BM1217" s="82">
        <f>($F1217-$F1218)*100</f>
        <v/>
      </c>
      <c r="BN1217" s="82">
        <f>$AF1217-$AF1218</f>
        <v/>
      </c>
      <c r="BO1217" s="82">
        <f>$AG1217-$AG1218</f>
        <v/>
      </c>
      <c r="BP1217" s="82">
        <f>$AJ1217-$AJ1218</f>
        <v/>
      </c>
    </row>
    <row r="1218">
      <c r="AR1218" s="81">
        <f>($G1218+($H1218-$G1218)*0.5)+($P1218-($O1218+($Q1218-$O1218)*0.5))</f>
        <v/>
      </c>
      <c r="AS1218" s="81">
        <f>($J1218+($K1218-$J1218)*0.5)+($T1218-($S1218+($U1218-$S1218)*0.5))</f>
        <v/>
      </c>
      <c r="AT1218" s="82">
        <f>($J1218-$C1218)*100</f>
        <v/>
      </c>
      <c r="AU1218" s="82">
        <f>($H1218-$F1218)*100</f>
        <v/>
      </c>
      <c r="AV1218" s="82">
        <f>($J1218-$F1218)*100</f>
        <v/>
      </c>
      <c r="AW1218" s="82">
        <f>($L1218-$F1218)*100</f>
        <v/>
      </c>
      <c r="AX1218" s="82">
        <f>($J1218-$H1218)*100</f>
        <v/>
      </c>
      <c r="AY1218" s="82">
        <f>($L1218-$H1218)*100</f>
        <v/>
      </c>
      <c r="AZ1218" s="82">
        <f>($L1218-$J1218)*100</f>
        <v/>
      </c>
      <c r="BA1218" s="82">
        <f>(2*$H1218-$F1218-$J1218)*100</f>
        <v/>
      </c>
      <c r="BB1218" s="82">
        <f>(2*$J1218-$H1218-$L1218)*100</f>
        <v/>
      </c>
      <c r="BC1218" s="82">
        <f>($N1218-$F1218)*100</f>
        <v/>
      </c>
      <c r="BD1218" s="82">
        <f>($Q1218-$H1218)*100</f>
        <v/>
      </c>
      <c r="BE1218" s="82">
        <f>($S1218-$J1218)*100</f>
        <v/>
      </c>
      <c r="BF1218" s="82">
        <f>($V1218-$L1218)*100</f>
        <v/>
      </c>
      <c r="BG1218" s="82">
        <f>$AG1218-$AF1218</f>
        <v/>
      </c>
      <c r="BH1218" s="81">
        <f>IFERROR($AG1218/$AF1218,"")</f>
        <v/>
      </c>
      <c r="BI1218" s="82">
        <f>$AJ1218-$AF1218</f>
        <v/>
      </c>
      <c r="BJ1218" s="81">
        <f>IFERROR($AJ1218/$AG1218,"")</f>
        <v/>
      </c>
      <c r="BK1218" s="81">
        <f>$X1218</f>
        <v/>
      </c>
      <c r="BL1218" s="82">
        <f>($J1218-$J1219)*100</f>
        <v/>
      </c>
      <c r="BM1218" s="82">
        <f>($F1218-$F1219)*100</f>
        <v/>
      </c>
      <c r="BN1218" s="82">
        <f>$AF1218-$AF1219</f>
        <v/>
      </c>
      <c r="BO1218" s="82">
        <f>$AG1218-$AG1219</f>
        <v/>
      </c>
      <c r="BP1218" s="82">
        <f>$AJ1218-$AJ1219</f>
        <v/>
      </c>
    </row>
    <row r="1219">
      <c r="AR1219" s="81">
        <f>($G1219+($H1219-$G1219)*0.5)+($P1219-($O1219+($Q1219-$O1219)*0.5))</f>
        <v/>
      </c>
      <c r="AS1219" s="81">
        <f>($J1219+($K1219-$J1219)*0.5)+($T1219-($S1219+($U1219-$S1219)*0.5))</f>
        <v/>
      </c>
      <c r="AT1219" s="82">
        <f>($J1219-$C1219)*100</f>
        <v/>
      </c>
      <c r="AU1219" s="82">
        <f>($H1219-$F1219)*100</f>
        <v/>
      </c>
      <c r="AV1219" s="82">
        <f>($J1219-$F1219)*100</f>
        <v/>
      </c>
      <c r="AW1219" s="82">
        <f>($L1219-$F1219)*100</f>
        <v/>
      </c>
      <c r="AX1219" s="82">
        <f>($J1219-$H1219)*100</f>
        <v/>
      </c>
      <c r="AY1219" s="82">
        <f>($L1219-$H1219)*100</f>
        <v/>
      </c>
      <c r="AZ1219" s="82">
        <f>($L1219-$J1219)*100</f>
        <v/>
      </c>
      <c r="BA1219" s="82">
        <f>(2*$H1219-$F1219-$J1219)*100</f>
        <v/>
      </c>
      <c r="BB1219" s="82">
        <f>(2*$J1219-$H1219-$L1219)*100</f>
        <v/>
      </c>
      <c r="BC1219" s="82">
        <f>($N1219-$F1219)*100</f>
        <v/>
      </c>
      <c r="BD1219" s="82">
        <f>($Q1219-$H1219)*100</f>
        <v/>
      </c>
      <c r="BE1219" s="82">
        <f>($S1219-$J1219)*100</f>
        <v/>
      </c>
      <c r="BF1219" s="82">
        <f>($V1219-$L1219)*100</f>
        <v/>
      </c>
      <c r="BG1219" s="82">
        <f>$AG1219-$AF1219</f>
        <v/>
      </c>
      <c r="BH1219" s="81">
        <f>IFERROR($AG1219/$AF1219,"")</f>
        <v/>
      </c>
      <c r="BI1219" s="82">
        <f>$AJ1219-$AF1219</f>
        <v/>
      </c>
      <c r="BJ1219" s="81">
        <f>IFERROR($AJ1219/$AG1219,"")</f>
        <v/>
      </c>
      <c r="BK1219" s="81">
        <f>$X1219</f>
        <v/>
      </c>
      <c r="BL1219" s="82">
        <f>($J1219-$J1220)*100</f>
        <v/>
      </c>
      <c r="BM1219" s="82">
        <f>($F1219-$F1220)*100</f>
        <v/>
      </c>
      <c r="BN1219" s="82">
        <f>$AF1219-$AF1220</f>
        <v/>
      </c>
      <c r="BO1219" s="82">
        <f>$AG1219-$AG1220</f>
        <v/>
      </c>
      <c r="BP1219" s="82">
        <f>$AJ1219-$AJ1220</f>
        <v/>
      </c>
    </row>
    <row r="1220">
      <c r="AR1220" s="81">
        <f>($G1220+($H1220-$G1220)*0.5)+($P1220-($O1220+($Q1220-$O1220)*0.5))</f>
        <v/>
      </c>
      <c r="AS1220" s="81">
        <f>($J1220+($K1220-$J1220)*0.5)+($T1220-($S1220+($U1220-$S1220)*0.5))</f>
        <v/>
      </c>
      <c r="AT1220" s="82">
        <f>($J1220-$C1220)*100</f>
        <v/>
      </c>
      <c r="AU1220" s="82">
        <f>($H1220-$F1220)*100</f>
        <v/>
      </c>
      <c r="AV1220" s="82">
        <f>($J1220-$F1220)*100</f>
        <v/>
      </c>
      <c r="AW1220" s="82">
        <f>($L1220-$F1220)*100</f>
        <v/>
      </c>
      <c r="AX1220" s="82">
        <f>($J1220-$H1220)*100</f>
        <v/>
      </c>
      <c r="AY1220" s="82">
        <f>($L1220-$H1220)*100</f>
        <v/>
      </c>
      <c r="AZ1220" s="82">
        <f>($L1220-$J1220)*100</f>
        <v/>
      </c>
      <c r="BA1220" s="82">
        <f>(2*$H1220-$F1220-$J1220)*100</f>
        <v/>
      </c>
      <c r="BB1220" s="82">
        <f>(2*$J1220-$H1220-$L1220)*100</f>
        <v/>
      </c>
      <c r="BC1220" s="82">
        <f>($N1220-$F1220)*100</f>
        <v/>
      </c>
      <c r="BD1220" s="82">
        <f>($Q1220-$H1220)*100</f>
        <v/>
      </c>
      <c r="BE1220" s="82">
        <f>($S1220-$J1220)*100</f>
        <v/>
      </c>
      <c r="BF1220" s="82">
        <f>($V1220-$L1220)*100</f>
        <v/>
      </c>
      <c r="BG1220" s="82">
        <f>$AG1220-$AF1220</f>
        <v/>
      </c>
      <c r="BH1220" s="81">
        <f>IFERROR($AG1220/$AF1220,"")</f>
        <v/>
      </c>
      <c r="BI1220" s="82">
        <f>$AJ1220-$AF1220</f>
        <v/>
      </c>
      <c r="BJ1220" s="81">
        <f>IFERROR($AJ1220/$AG1220,"")</f>
        <v/>
      </c>
      <c r="BK1220" s="81">
        <f>$X1220</f>
        <v/>
      </c>
      <c r="BL1220" s="82">
        <f>($J1220-$J1221)*100</f>
        <v/>
      </c>
      <c r="BM1220" s="82">
        <f>($F1220-$F1221)*100</f>
        <v/>
      </c>
      <c r="BN1220" s="82">
        <f>$AF1220-$AF1221</f>
        <v/>
      </c>
      <c r="BO1220" s="82">
        <f>$AG1220-$AG1221</f>
        <v/>
      </c>
      <c r="BP1220" s="82">
        <f>$AJ1220-$AJ1221</f>
        <v/>
      </c>
    </row>
    <row r="1221">
      <c r="AR1221" s="81">
        <f>($G1221+($H1221-$G1221)*0.5)+($P1221-($O1221+($Q1221-$O1221)*0.5))</f>
        <v/>
      </c>
      <c r="AS1221" s="81">
        <f>($J1221+($K1221-$J1221)*0.5)+($T1221-($S1221+($U1221-$S1221)*0.5))</f>
        <v/>
      </c>
      <c r="AT1221" s="82">
        <f>($J1221-$C1221)*100</f>
        <v/>
      </c>
      <c r="AU1221" s="82">
        <f>($H1221-$F1221)*100</f>
        <v/>
      </c>
      <c r="AV1221" s="82">
        <f>($J1221-$F1221)*100</f>
        <v/>
      </c>
      <c r="AW1221" s="82">
        <f>($L1221-$F1221)*100</f>
        <v/>
      </c>
      <c r="AX1221" s="82">
        <f>($J1221-$H1221)*100</f>
        <v/>
      </c>
      <c r="AY1221" s="82">
        <f>($L1221-$H1221)*100</f>
        <v/>
      </c>
      <c r="AZ1221" s="82">
        <f>($L1221-$J1221)*100</f>
        <v/>
      </c>
      <c r="BA1221" s="82">
        <f>(2*$H1221-$F1221-$J1221)*100</f>
        <v/>
      </c>
      <c r="BB1221" s="82">
        <f>(2*$J1221-$H1221-$L1221)*100</f>
        <v/>
      </c>
      <c r="BC1221" s="82">
        <f>($N1221-$F1221)*100</f>
        <v/>
      </c>
      <c r="BD1221" s="82">
        <f>($Q1221-$H1221)*100</f>
        <v/>
      </c>
      <c r="BE1221" s="82">
        <f>($S1221-$J1221)*100</f>
        <v/>
      </c>
      <c r="BF1221" s="82">
        <f>($V1221-$L1221)*100</f>
        <v/>
      </c>
      <c r="BG1221" s="82">
        <f>$AG1221-$AF1221</f>
        <v/>
      </c>
      <c r="BH1221" s="81">
        <f>IFERROR($AG1221/$AF1221,"")</f>
        <v/>
      </c>
      <c r="BI1221" s="82">
        <f>$AJ1221-$AF1221</f>
        <v/>
      </c>
      <c r="BJ1221" s="81">
        <f>IFERROR($AJ1221/$AG1221,"")</f>
        <v/>
      </c>
      <c r="BK1221" s="81">
        <f>$X1221</f>
        <v/>
      </c>
      <c r="BL1221" s="82">
        <f>($J1221-$J1222)*100</f>
        <v/>
      </c>
      <c r="BM1221" s="82">
        <f>($F1221-$F1222)*100</f>
        <v/>
      </c>
      <c r="BN1221" s="82">
        <f>$AF1221-$AF1222</f>
        <v/>
      </c>
      <c r="BO1221" s="82">
        <f>$AG1221-$AG1222</f>
        <v/>
      </c>
      <c r="BP1221" s="82">
        <f>$AJ1221-$AJ1222</f>
        <v/>
      </c>
    </row>
    <row r="1222">
      <c r="AR1222" s="81">
        <f>($G1222+($H1222-$G1222)*0.5)+($P1222-($O1222+($Q1222-$O1222)*0.5))</f>
        <v/>
      </c>
      <c r="AS1222" s="81">
        <f>($J1222+($K1222-$J1222)*0.5)+($T1222-($S1222+($U1222-$S1222)*0.5))</f>
        <v/>
      </c>
      <c r="AT1222" s="82">
        <f>($J1222-$C1222)*100</f>
        <v/>
      </c>
      <c r="AU1222" s="82">
        <f>($H1222-$F1222)*100</f>
        <v/>
      </c>
      <c r="AV1222" s="82">
        <f>($J1222-$F1222)*100</f>
        <v/>
      </c>
      <c r="AW1222" s="82">
        <f>($L1222-$F1222)*100</f>
        <v/>
      </c>
      <c r="AX1222" s="82">
        <f>($J1222-$H1222)*100</f>
        <v/>
      </c>
      <c r="AY1222" s="82">
        <f>($L1222-$H1222)*100</f>
        <v/>
      </c>
      <c r="AZ1222" s="82">
        <f>($L1222-$J1222)*100</f>
        <v/>
      </c>
      <c r="BA1222" s="82">
        <f>(2*$H1222-$F1222-$J1222)*100</f>
        <v/>
      </c>
      <c r="BB1222" s="82">
        <f>(2*$J1222-$H1222-$L1222)*100</f>
        <v/>
      </c>
      <c r="BC1222" s="82">
        <f>($N1222-$F1222)*100</f>
        <v/>
      </c>
      <c r="BD1222" s="82">
        <f>($Q1222-$H1222)*100</f>
        <v/>
      </c>
      <c r="BE1222" s="82">
        <f>($S1222-$J1222)*100</f>
        <v/>
      </c>
      <c r="BF1222" s="82">
        <f>($V1222-$L1222)*100</f>
        <v/>
      </c>
      <c r="BG1222" s="82">
        <f>$AG1222-$AF1222</f>
        <v/>
      </c>
      <c r="BH1222" s="81">
        <f>IFERROR($AG1222/$AF1222,"")</f>
        <v/>
      </c>
      <c r="BI1222" s="82">
        <f>$AJ1222-$AF1222</f>
        <v/>
      </c>
      <c r="BJ1222" s="81">
        <f>IFERROR($AJ1222/$AG1222,"")</f>
        <v/>
      </c>
      <c r="BK1222" s="81">
        <f>$X1222</f>
        <v/>
      </c>
      <c r="BL1222" s="82">
        <f>($J1222-$J1223)*100</f>
        <v/>
      </c>
      <c r="BM1222" s="82">
        <f>($F1222-$F1223)*100</f>
        <v/>
      </c>
      <c r="BN1222" s="82">
        <f>$AF1222-$AF1223</f>
        <v/>
      </c>
      <c r="BO1222" s="82">
        <f>$AG1222-$AG1223</f>
        <v/>
      </c>
      <c r="BP1222" s="82">
        <f>$AJ1222-$AJ1223</f>
        <v/>
      </c>
    </row>
    <row r="1223">
      <c r="AR1223" s="81">
        <f>($G1223+($H1223-$G1223)*0.5)+($P1223-($O1223+($Q1223-$O1223)*0.5))</f>
        <v/>
      </c>
      <c r="AS1223" s="81">
        <f>($J1223+($K1223-$J1223)*0.5)+($T1223-($S1223+($U1223-$S1223)*0.5))</f>
        <v/>
      </c>
      <c r="AT1223" s="82">
        <f>($J1223-$C1223)*100</f>
        <v/>
      </c>
      <c r="AU1223" s="82">
        <f>($H1223-$F1223)*100</f>
        <v/>
      </c>
      <c r="AV1223" s="82">
        <f>($J1223-$F1223)*100</f>
        <v/>
      </c>
      <c r="AW1223" s="82">
        <f>($L1223-$F1223)*100</f>
        <v/>
      </c>
      <c r="AX1223" s="82">
        <f>($J1223-$H1223)*100</f>
        <v/>
      </c>
      <c r="AY1223" s="82">
        <f>($L1223-$H1223)*100</f>
        <v/>
      </c>
      <c r="AZ1223" s="82">
        <f>($L1223-$J1223)*100</f>
        <v/>
      </c>
      <c r="BA1223" s="82">
        <f>(2*$H1223-$F1223-$J1223)*100</f>
        <v/>
      </c>
      <c r="BB1223" s="82">
        <f>(2*$J1223-$H1223-$L1223)*100</f>
        <v/>
      </c>
      <c r="BC1223" s="82">
        <f>($N1223-$F1223)*100</f>
        <v/>
      </c>
      <c r="BD1223" s="82">
        <f>($Q1223-$H1223)*100</f>
        <v/>
      </c>
      <c r="BE1223" s="82">
        <f>($S1223-$J1223)*100</f>
        <v/>
      </c>
      <c r="BF1223" s="82">
        <f>($V1223-$L1223)*100</f>
        <v/>
      </c>
      <c r="BG1223" s="82">
        <f>$AG1223-$AF1223</f>
        <v/>
      </c>
      <c r="BH1223" s="81">
        <f>IFERROR($AG1223/$AF1223,"")</f>
        <v/>
      </c>
      <c r="BI1223" s="82">
        <f>$AJ1223-$AF1223</f>
        <v/>
      </c>
      <c r="BJ1223" s="81">
        <f>IFERROR($AJ1223/$AG1223,"")</f>
        <v/>
      </c>
      <c r="BK1223" s="81">
        <f>$X1223</f>
        <v/>
      </c>
      <c r="BL1223" s="82">
        <f>($J1223-$J1224)*100</f>
        <v/>
      </c>
      <c r="BM1223" s="82">
        <f>($F1223-$F1224)*100</f>
        <v/>
      </c>
      <c r="BN1223" s="82">
        <f>$AF1223-$AF1224</f>
        <v/>
      </c>
      <c r="BO1223" s="82">
        <f>$AG1223-$AG1224</f>
        <v/>
      </c>
      <c r="BP1223" s="82">
        <f>$AJ1223-$AJ1224</f>
        <v/>
      </c>
    </row>
    <row r="1224">
      <c r="AR1224" s="81">
        <f>($G1224+($H1224-$G1224)*0.5)+($P1224-($O1224+($Q1224-$O1224)*0.5))</f>
        <v/>
      </c>
      <c r="AS1224" s="81">
        <f>($J1224+($K1224-$J1224)*0.5)+($T1224-($S1224+($U1224-$S1224)*0.5))</f>
        <v/>
      </c>
      <c r="AT1224" s="82">
        <f>($J1224-$C1224)*100</f>
        <v/>
      </c>
      <c r="AU1224" s="82">
        <f>($H1224-$F1224)*100</f>
        <v/>
      </c>
      <c r="AV1224" s="82">
        <f>($J1224-$F1224)*100</f>
        <v/>
      </c>
      <c r="AW1224" s="82">
        <f>($L1224-$F1224)*100</f>
        <v/>
      </c>
      <c r="AX1224" s="82">
        <f>($J1224-$H1224)*100</f>
        <v/>
      </c>
      <c r="AY1224" s="82">
        <f>($L1224-$H1224)*100</f>
        <v/>
      </c>
      <c r="AZ1224" s="82">
        <f>($L1224-$J1224)*100</f>
        <v/>
      </c>
      <c r="BA1224" s="82">
        <f>(2*$H1224-$F1224-$J1224)*100</f>
        <v/>
      </c>
      <c r="BB1224" s="82">
        <f>(2*$J1224-$H1224-$L1224)*100</f>
        <v/>
      </c>
      <c r="BC1224" s="82">
        <f>($N1224-$F1224)*100</f>
        <v/>
      </c>
      <c r="BD1224" s="82">
        <f>($Q1224-$H1224)*100</f>
        <v/>
      </c>
      <c r="BE1224" s="82">
        <f>($S1224-$J1224)*100</f>
        <v/>
      </c>
      <c r="BF1224" s="82">
        <f>($V1224-$L1224)*100</f>
        <v/>
      </c>
      <c r="BG1224" s="82">
        <f>$AG1224-$AF1224</f>
        <v/>
      </c>
      <c r="BH1224" s="81">
        <f>IFERROR($AG1224/$AF1224,"")</f>
        <v/>
      </c>
      <c r="BI1224" s="82">
        <f>$AJ1224-$AF1224</f>
        <v/>
      </c>
      <c r="BJ1224" s="81">
        <f>IFERROR($AJ1224/$AG1224,"")</f>
        <v/>
      </c>
      <c r="BK1224" s="81">
        <f>$X1224</f>
        <v/>
      </c>
      <c r="BL1224" s="82">
        <f>($J1224-$J1225)*100</f>
        <v/>
      </c>
      <c r="BM1224" s="82">
        <f>($F1224-$F1225)*100</f>
        <v/>
      </c>
      <c r="BN1224" s="82">
        <f>$AF1224-$AF1225</f>
        <v/>
      </c>
      <c r="BO1224" s="82">
        <f>$AG1224-$AG1225</f>
        <v/>
      </c>
      <c r="BP1224" s="82">
        <f>$AJ1224-$AJ1225</f>
        <v/>
      </c>
    </row>
    <row r="1225">
      <c r="AR1225" s="81">
        <f>($G1225+($H1225-$G1225)*0.5)+($P1225-($O1225+($Q1225-$O1225)*0.5))</f>
        <v/>
      </c>
      <c r="AS1225" s="81">
        <f>($J1225+($K1225-$J1225)*0.5)+($T1225-($S1225+($U1225-$S1225)*0.5))</f>
        <v/>
      </c>
      <c r="AT1225" s="82">
        <f>($J1225-$C1225)*100</f>
        <v/>
      </c>
      <c r="AU1225" s="82">
        <f>($H1225-$F1225)*100</f>
        <v/>
      </c>
      <c r="AV1225" s="82">
        <f>($J1225-$F1225)*100</f>
        <v/>
      </c>
      <c r="AW1225" s="82">
        <f>($L1225-$F1225)*100</f>
        <v/>
      </c>
      <c r="AX1225" s="82">
        <f>($J1225-$H1225)*100</f>
        <v/>
      </c>
      <c r="AY1225" s="82">
        <f>($L1225-$H1225)*100</f>
        <v/>
      </c>
      <c r="AZ1225" s="82">
        <f>($L1225-$J1225)*100</f>
        <v/>
      </c>
      <c r="BA1225" s="82">
        <f>(2*$H1225-$F1225-$J1225)*100</f>
        <v/>
      </c>
      <c r="BB1225" s="82">
        <f>(2*$J1225-$H1225-$L1225)*100</f>
        <v/>
      </c>
      <c r="BC1225" s="82">
        <f>($N1225-$F1225)*100</f>
        <v/>
      </c>
      <c r="BD1225" s="82">
        <f>($Q1225-$H1225)*100</f>
        <v/>
      </c>
      <c r="BE1225" s="82">
        <f>($S1225-$J1225)*100</f>
        <v/>
      </c>
      <c r="BF1225" s="82">
        <f>($V1225-$L1225)*100</f>
        <v/>
      </c>
      <c r="BG1225" s="82">
        <f>$AG1225-$AF1225</f>
        <v/>
      </c>
      <c r="BH1225" s="81">
        <f>IFERROR($AG1225/$AF1225,"")</f>
        <v/>
      </c>
      <c r="BI1225" s="82">
        <f>$AJ1225-$AF1225</f>
        <v/>
      </c>
      <c r="BJ1225" s="81">
        <f>IFERROR($AJ1225/$AG1225,"")</f>
        <v/>
      </c>
      <c r="BK1225" s="81">
        <f>$X1225</f>
        <v/>
      </c>
      <c r="BL1225" s="82">
        <f>($J1225-$J1226)*100</f>
        <v/>
      </c>
      <c r="BM1225" s="82">
        <f>($F1225-$F1226)*100</f>
        <v/>
      </c>
      <c r="BN1225" s="82">
        <f>$AF1225-$AF1226</f>
        <v/>
      </c>
      <c r="BO1225" s="82">
        <f>$AG1225-$AG1226</f>
        <v/>
      </c>
      <c r="BP1225" s="82">
        <f>$AJ1225-$AJ1226</f>
        <v/>
      </c>
    </row>
    <row r="1226">
      <c r="AR1226" s="81">
        <f>($G1226+($H1226-$G1226)*0.5)+($P1226-($O1226+($Q1226-$O1226)*0.5))</f>
        <v/>
      </c>
      <c r="AS1226" s="81">
        <f>($J1226+($K1226-$J1226)*0.5)+($T1226-($S1226+($U1226-$S1226)*0.5))</f>
        <v/>
      </c>
      <c r="AT1226" s="82">
        <f>($J1226-$C1226)*100</f>
        <v/>
      </c>
      <c r="AU1226" s="82">
        <f>($H1226-$F1226)*100</f>
        <v/>
      </c>
      <c r="AV1226" s="82">
        <f>($J1226-$F1226)*100</f>
        <v/>
      </c>
      <c r="AW1226" s="82">
        <f>($L1226-$F1226)*100</f>
        <v/>
      </c>
      <c r="AX1226" s="82">
        <f>($J1226-$H1226)*100</f>
        <v/>
      </c>
      <c r="AY1226" s="82">
        <f>($L1226-$H1226)*100</f>
        <v/>
      </c>
      <c r="AZ1226" s="82">
        <f>($L1226-$J1226)*100</f>
        <v/>
      </c>
      <c r="BA1226" s="82">
        <f>(2*$H1226-$F1226-$J1226)*100</f>
        <v/>
      </c>
      <c r="BB1226" s="82">
        <f>(2*$J1226-$H1226-$L1226)*100</f>
        <v/>
      </c>
      <c r="BC1226" s="82">
        <f>($N1226-$F1226)*100</f>
        <v/>
      </c>
      <c r="BD1226" s="82">
        <f>($Q1226-$H1226)*100</f>
        <v/>
      </c>
      <c r="BE1226" s="82">
        <f>($S1226-$J1226)*100</f>
        <v/>
      </c>
      <c r="BF1226" s="82">
        <f>($V1226-$L1226)*100</f>
        <v/>
      </c>
      <c r="BG1226" s="82">
        <f>$AG1226-$AF1226</f>
        <v/>
      </c>
      <c r="BH1226" s="81">
        <f>IFERROR($AG1226/$AF1226,"")</f>
        <v/>
      </c>
      <c r="BI1226" s="82">
        <f>$AJ1226-$AF1226</f>
        <v/>
      </c>
      <c r="BJ1226" s="81">
        <f>IFERROR($AJ1226/$AG1226,"")</f>
        <v/>
      </c>
      <c r="BK1226" s="81">
        <f>$X1226</f>
        <v/>
      </c>
      <c r="BL1226" s="82">
        <f>($J1226-$J1227)*100</f>
        <v/>
      </c>
      <c r="BM1226" s="82">
        <f>($F1226-$F1227)*100</f>
        <v/>
      </c>
      <c r="BN1226" s="82">
        <f>$AF1226-$AF1227</f>
        <v/>
      </c>
      <c r="BO1226" s="82">
        <f>$AG1226-$AG1227</f>
        <v/>
      </c>
      <c r="BP1226" s="82">
        <f>$AJ1226-$AJ1227</f>
        <v/>
      </c>
    </row>
    <row r="1227">
      <c r="AR1227" s="81">
        <f>($G1227+($H1227-$G1227)*0.5)+($P1227-($O1227+($Q1227-$O1227)*0.5))</f>
        <v/>
      </c>
      <c r="AS1227" s="81">
        <f>($J1227+($K1227-$J1227)*0.5)+($T1227-($S1227+($U1227-$S1227)*0.5))</f>
        <v/>
      </c>
      <c r="AT1227" s="82">
        <f>($J1227-$C1227)*100</f>
        <v/>
      </c>
      <c r="AU1227" s="82">
        <f>($H1227-$F1227)*100</f>
        <v/>
      </c>
      <c r="AV1227" s="82">
        <f>($J1227-$F1227)*100</f>
        <v/>
      </c>
      <c r="AW1227" s="82">
        <f>($L1227-$F1227)*100</f>
        <v/>
      </c>
      <c r="AX1227" s="82">
        <f>($J1227-$H1227)*100</f>
        <v/>
      </c>
      <c r="AY1227" s="82">
        <f>($L1227-$H1227)*100</f>
        <v/>
      </c>
      <c r="AZ1227" s="82">
        <f>($L1227-$J1227)*100</f>
        <v/>
      </c>
      <c r="BA1227" s="82">
        <f>(2*$H1227-$F1227-$J1227)*100</f>
        <v/>
      </c>
      <c r="BB1227" s="82">
        <f>(2*$J1227-$H1227-$L1227)*100</f>
        <v/>
      </c>
      <c r="BC1227" s="82">
        <f>($N1227-$F1227)*100</f>
        <v/>
      </c>
      <c r="BD1227" s="82">
        <f>($Q1227-$H1227)*100</f>
        <v/>
      </c>
      <c r="BE1227" s="82">
        <f>($S1227-$J1227)*100</f>
        <v/>
      </c>
      <c r="BF1227" s="82">
        <f>($V1227-$L1227)*100</f>
        <v/>
      </c>
      <c r="BG1227" s="82">
        <f>$AG1227-$AF1227</f>
        <v/>
      </c>
      <c r="BH1227" s="81">
        <f>IFERROR($AG1227/$AF1227,"")</f>
        <v/>
      </c>
      <c r="BI1227" s="82">
        <f>$AJ1227-$AF1227</f>
        <v/>
      </c>
      <c r="BJ1227" s="81">
        <f>IFERROR($AJ1227/$AG1227,"")</f>
        <v/>
      </c>
      <c r="BK1227" s="81">
        <f>$X1227</f>
        <v/>
      </c>
      <c r="BL1227" s="82">
        <f>($J1227-$J1228)*100</f>
        <v/>
      </c>
      <c r="BM1227" s="82">
        <f>($F1227-$F1228)*100</f>
        <v/>
      </c>
      <c r="BN1227" s="82">
        <f>$AF1227-$AF1228</f>
        <v/>
      </c>
      <c r="BO1227" s="82">
        <f>$AG1227-$AG1228</f>
        <v/>
      </c>
      <c r="BP1227" s="82">
        <f>$AJ1227-$AJ1228</f>
        <v/>
      </c>
    </row>
    <row r="1228">
      <c r="AR1228" s="81">
        <f>($G1228+($H1228-$G1228)*0.5)+($P1228-($O1228+($Q1228-$O1228)*0.5))</f>
        <v/>
      </c>
      <c r="AS1228" s="81">
        <f>($J1228+($K1228-$J1228)*0.5)+($T1228-($S1228+($U1228-$S1228)*0.5))</f>
        <v/>
      </c>
      <c r="AT1228" s="82">
        <f>($J1228-$C1228)*100</f>
        <v/>
      </c>
      <c r="AU1228" s="82">
        <f>($H1228-$F1228)*100</f>
        <v/>
      </c>
      <c r="AV1228" s="82">
        <f>($J1228-$F1228)*100</f>
        <v/>
      </c>
      <c r="AW1228" s="82">
        <f>($L1228-$F1228)*100</f>
        <v/>
      </c>
      <c r="AX1228" s="82">
        <f>($J1228-$H1228)*100</f>
        <v/>
      </c>
      <c r="AY1228" s="82">
        <f>($L1228-$H1228)*100</f>
        <v/>
      </c>
      <c r="AZ1228" s="82">
        <f>($L1228-$J1228)*100</f>
        <v/>
      </c>
      <c r="BA1228" s="82">
        <f>(2*$H1228-$F1228-$J1228)*100</f>
        <v/>
      </c>
      <c r="BB1228" s="82">
        <f>(2*$J1228-$H1228-$L1228)*100</f>
        <v/>
      </c>
      <c r="BC1228" s="82">
        <f>($N1228-$F1228)*100</f>
        <v/>
      </c>
      <c r="BD1228" s="82">
        <f>($Q1228-$H1228)*100</f>
        <v/>
      </c>
      <c r="BE1228" s="82">
        <f>($S1228-$J1228)*100</f>
        <v/>
      </c>
      <c r="BF1228" s="82">
        <f>($V1228-$L1228)*100</f>
        <v/>
      </c>
      <c r="BG1228" s="82">
        <f>$AG1228-$AF1228</f>
        <v/>
      </c>
      <c r="BH1228" s="81">
        <f>IFERROR($AG1228/$AF1228,"")</f>
        <v/>
      </c>
      <c r="BI1228" s="82">
        <f>$AJ1228-$AF1228</f>
        <v/>
      </c>
      <c r="BJ1228" s="81">
        <f>IFERROR($AJ1228/$AG1228,"")</f>
        <v/>
      </c>
      <c r="BK1228" s="81">
        <f>$X1228</f>
        <v/>
      </c>
      <c r="BL1228" s="82">
        <f>($J1228-$J1229)*100</f>
        <v/>
      </c>
      <c r="BM1228" s="82">
        <f>($F1228-$F1229)*100</f>
        <v/>
      </c>
      <c r="BN1228" s="82">
        <f>$AF1228-$AF1229</f>
        <v/>
      </c>
      <c r="BO1228" s="82">
        <f>$AG1228-$AG1229</f>
        <v/>
      </c>
      <c r="BP1228" s="82">
        <f>$AJ1228-$AJ1229</f>
        <v/>
      </c>
    </row>
    <row r="1229">
      <c r="AR1229" s="81">
        <f>($G1229+($H1229-$G1229)*0.5)+($P1229-($O1229+($Q1229-$O1229)*0.5))</f>
        <v/>
      </c>
      <c r="AS1229" s="81">
        <f>($J1229+($K1229-$J1229)*0.5)+($T1229-($S1229+($U1229-$S1229)*0.5))</f>
        <v/>
      </c>
      <c r="AT1229" s="82">
        <f>($J1229-$C1229)*100</f>
        <v/>
      </c>
      <c r="AU1229" s="82">
        <f>($H1229-$F1229)*100</f>
        <v/>
      </c>
      <c r="AV1229" s="82">
        <f>($J1229-$F1229)*100</f>
        <v/>
      </c>
      <c r="AW1229" s="82">
        <f>($L1229-$F1229)*100</f>
        <v/>
      </c>
      <c r="AX1229" s="82">
        <f>($J1229-$H1229)*100</f>
        <v/>
      </c>
      <c r="AY1229" s="82">
        <f>($L1229-$H1229)*100</f>
        <v/>
      </c>
      <c r="AZ1229" s="82">
        <f>($L1229-$J1229)*100</f>
        <v/>
      </c>
      <c r="BA1229" s="82">
        <f>(2*$H1229-$F1229-$J1229)*100</f>
        <v/>
      </c>
      <c r="BB1229" s="82">
        <f>(2*$J1229-$H1229-$L1229)*100</f>
        <v/>
      </c>
      <c r="BC1229" s="82">
        <f>($N1229-$F1229)*100</f>
        <v/>
      </c>
      <c r="BD1229" s="82">
        <f>($Q1229-$H1229)*100</f>
        <v/>
      </c>
      <c r="BE1229" s="82">
        <f>($S1229-$J1229)*100</f>
        <v/>
      </c>
      <c r="BF1229" s="82">
        <f>($V1229-$L1229)*100</f>
        <v/>
      </c>
      <c r="BG1229" s="82">
        <f>$AG1229-$AF1229</f>
        <v/>
      </c>
      <c r="BH1229" s="81">
        <f>IFERROR($AG1229/$AF1229,"")</f>
        <v/>
      </c>
      <c r="BI1229" s="82">
        <f>$AJ1229-$AF1229</f>
        <v/>
      </c>
      <c r="BJ1229" s="81">
        <f>IFERROR($AJ1229/$AG1229,"")</f>
        <v/>
      </c>
      <c r="BK1229" s="81">
        <f>$X1229</f>
        <v/>
      </c>
      <c r="BL1229" s="82">
        <f>($J1229-$J1230)*100</f>
        <v/>
      </c>
      <c r="BM1229" s="82">
        <f>($F1229-$F1230)*100</f>
        <v/>
      </c>
      <c r="BN1229" s="82">
        <f>$AF1229-$AF1230</f>
        <v/>
      </c>
      <c r="BO1229" s="82">
        <f>$AG1229-$AG1230</f>
        <v/>
      </c>
      <c r="BP1229" s="82">
        <f>$AJ1229-$AJ1230</f>
        <v/>
      </c>
    </row>
    <row r="1230">
      <c r="AR1230" s="81">
        <f>($G1230+($H1230-$G1230)*0.5)+($P1230-($O1230+($Q1230-$O1230)*0.5))</f>
        <v/>
      </c>
      <c r="AS1230" s="81">
        <f>($J1230+($K1230-$J1230)*0.5)+($T1230-($S1230+($U1230-$S1230)*0.5))</f>
        <v/>
      </c>
      <c r="AT1230" s="82">
        <f>($J1230-$C1230)*100</f>
        <v/>
      </c>
      <c r="AU1230" s="82">
        <f>($H1230-$F1230)*100</f>
        <v/>
      </c>
      <c r="AV1230" s="82">
        <f>($J1230-$F1230)*100</f>
        <v/>
      </c>
      <c r="AW1230" s="82">
        <f>($L1230-$F1230)*100</f>
        <v/>
      </c>
      <c r="AX1230" s="82">
        <f>($J1230-$H1230)*100</f>
        <v/>
      </c>
      <c r="AY1230" s="82">
        <f>($L1230-$H1230)*100</f>
        <v/>
      </c>
      <c r="AZ1230" s="82">
        <f>($L1230-$J1230)*100</f>
        <v/>
      </c>
      <c r="BA1230" s="82">
        <f>(2*$H1230-$F1230-$J1230)*100</f>
        <v/>
      </c>
      <c r="BB1230" s="82">
        <f>(2*$J1230-$H1230-$L1230)*100</f>
        <v/>
      </c>
      <c r="BC1230" s="82">
        <f>($N1230-$F1230)*100</f>
        <v/>
      </c>
      <c r="BD1230" s="82">
        <f>($Q1230-$H1230)*100</f>
        <v/>
      </c>
      <c r="BE1230" s="82">
        <f>($S1230-$J1230)*100</f>
        <v/>
      </c>
      <c r="BF1230" s="82">
        <f>($V1230-$L1230)*100</f>
        <v/>
      </c>
      <c r="BG1230" s="82">
        <f>$AG1230-$AF1230</f>
        <v/>
      </c>
      <c r="BH1230" s="81">
        <f>IFERROR($AG1230/$AF1230,"")</f>
        <v/>
      </c>
      <c r="BI1230" s="82">
        <f>$AJ1230-$AF1230</f>
        <v/>
      </c>
      <c r="BJ1230" s="81">
        <f>IFERROR($AJ1230/$AG1230,"")</f>
        <v/>
      </c>
      <c r="BK1230" s="81">
        <f>$X1230</f>
        <v/>
      </c>
      <c r="BL1230" s="82">
        <f>($J1230-$J1231)*100</f>
        <v/>
      </c>
      <c r="BM1230" s="82">
        <f>($F1230-$F1231)*100</f>
        <v/>
      </c>
      <c r="BN1230" s="82">
        <f>$AF1230-$AF1231</f>
        <v/>
      </c>
      <c r="BO1230" s="82">
        <f>$AG1230-$AG1231</f>
        <v/>
      </c>
      <c r="BP1230" s="82">
        <f>$AJ1230-$AJ1231</f>
        <v/>
      </c>
    </row>
    <row r="1231">
      <c r="AR1231" s="81">
        <f>($G1231+($H1231-$G1231)*0.5)+($P1231-($O1231+($Q1231-$O1231)*0.5))</f>
        <v/>
      </c>
      <c r="AS1231" s="81">
        <f>($J1231+($K1231-$J1231)*0.5)+($T1231-($S1231+($U1231-$S1231)*0.5))</f>
        <v/>
      </c>
      <c r="AT1231" s="82">
        <f>($J1231-$C1231)*100</f>
        <v/>
      </c>
      <c r="AU1231" s="82">
        <f>($H1231-$F1231)*100</f>
        <v/>
      </c>
      <c r="AV1231" s="82">
        <f>($J1231-$F1231)*100</f>
        <v/>
      </c>
      <c r="AW1231" s="82">
        <f>($L1231-$F1231)*100</f>
        <v/>
      </c>
      <c r="AX1231" s="82">
        <f>($J1231-$H1231)*100</f>
        <v/>
      </c>
      <c r="AY1231" s="82">
        <f>($L1231-$H1231)*100</f>
        <v/>
      </c>
      <c r="AZ1231" s="82">
        <f>($L1231-$J1231)*100</f>
        <v/>
      </c>
      <c r="BA1231" s="82">
        <f>(2*$H1231-$F1231-$J1231)*100</f>
        <v/>
      </c>
      <c r="BB1231" s="82">
        <f>(2*$J1231-$H1231-$L1231)*100</f>
        <v/>
      </c>
      <c r="BC1231" s="82">
        <f>($N1231-$F1231)*100</f>
        <v/>
      </c>
      <c r="BD1231" s="82">
        <f>($Q1231-$H1231)*100</f>
        <v/>
      </c>
      <c r="BE1231" s="82">
        <f>($S1231-$J1231)*100</f>
        <v/>
      </c>
      <c r="BF1231" s="82">
        <f>($V1231-$L1231)*100</f>
        <v/>
      </c>
      <c r="BG1231" s="82">
        <f>$AG1231-$AF1231</f>
        <v/>
      </c>
      <c r="BH1231" s="81">
        <f>IFERROR($AG1231/$AF1231,"")</f>
        <v/>
      </c>
      <c r="BI1231" s="82">
        <f>$AJ1231-$AF1231</f>
        <v/>
      </c>
      <c r="BJ1231" s="81">
        <f>IFERROR($AJ1231/$AG1231,"")</f>
        <v/>
      </c>
      <c r="BK1231" s="81">
        <f>$X1231</f>
        <v/>
      </c>
      <c r="BL1231" s="82">
        <f>($J1231-$J1232)*100</f>
        <v/>
      </c>
      <c r="BM1231" s="82">
        <f>($F1231-$F1232)*100</f>
        <v/>
      </c>
      <c r="BN1231" s="82">
        <f>$AF1231-$AF1232</f>
        <v/>
      </c>
      <c r="BO1231" s="82">
        <f>$AG1231-$AG1232</f>
        <v/>
      </c>
      <c r="BP1231" s="82">
        <f>$AJ1231-$AJ1232</f>
        <v/>
      </c>
    </row>
    <row r="1232">
      <c r="AR1232" s="81">
        <f>($G1232+($H1232-$G1232)*0.5)+($P1232-($O1232+($Q1232-$O1232)*0.5))</f>
        <v/>
      </c>
      <c r="AS1232" s="81">
        <f>($J1232+($K1232-$J1232)*0.5)+($T1232-($S1232+($U1232-$S1232)*0.5))</f>
        <v/>
      </c>
      <c r="AT1232" s="82">
        <f>($J1232-$C1232)*100</f>
        <v/>
      </c>
      <c r="AU1232" s="82">
        <f>($H1232-$F1232)*100</f>
        <v/>
      </c>
      <c r="AV1232" s="82">
        <f>($J1232-$F1232)*100</f>
        <v/>
      </c>
      <c r="AW1232" s="82">
        <f>($L1232-$F1232)*100</f>
        <v/>
      </c>
      <c r="AX1232" s="82">
        <f>($J1232-$H1232)*100</f>
        <v/>
      </c>
      <c r="AY1232" s="82">
        <f>($L1232-$H1232)*100</f>
        <v/>
      </c>
      <c r="AZ1232" s="82">
        <f>($L1232-$J1232)*100</f>
        <v/>
      </c>
      <c r="BA1232" s="82">
        <f>(2*$H1232-$F1232-$J1232)*100</f>
        <v/>
      </c>
      <c r="BB1232" s="82">
        <f>(2*$J1232-$H1232-$L1232)*100</f>
        <v/>
      </c>
      <c r="BC1232" s="82">
        <f>($N1232-$F1232)*100</f>
        <v/>
      </c>
      <c r="BD1232" s="82">
        <f>($Q1232-$H1232)*100</f>
        <v/>
      </c>
      <c r="BE1232" s="82">
        <f>($S1232-$J1232)*100</f>
        <v/>
      </c>
      <c r="BF1232" s="82">
        <f>($V1232-$L1232)*100</f>
        <v/>
      </c>
      <c r="BG1232" s="82">
        <f>$AG1232-$AF1232</f>
        <v/>
      </c>
      <c r="BH1232" s="81">
        <f>IFERROR($AG1232/$AF1232,"")</f>
        <v/>
      </c>
      <c r="BI1232" s="82">
        <f>$AJ1232-$AF1232</f>
        <v/>
      </c>
      <c r="BJ1232" s="81">
        <f>IFERROR($AJ1232/$AG1232,"")</f>
        <v/>
      </c>
      <c r="BK1232" s="81">
        <f>$X1232</f>
        <v/>
      </c>
      <c r="BL1232" s="82">
        <f>($J1232-$J1233)*100</f>
        <v/>
      </c>
      <c r="BM1232" s="82">
        <f>($F1232-$F1233)*100</f>
        <v/>
      </c>
      <c r="BN1232" s="82">
        <f>$AF1232-$AF1233</f>
        <v/>
      </c>
      <c r="BO1232" s="82">
        <f>$AG1232-$AG1233</f>
        <v/>
      </c>
      <c r="BP1232" s="82">
        <f>$AJ1232-$AJ1233</f>
        <v/>
      </c>
    </row>
    <row r="1233">
      <c r="AR1233" s="81">
        <f>($G1233+($H1233-$G1233)*0.5)+($P1233-($O1233+($Q1233-$O1233)*0.5))</f>
        <v/>
      </c>
      <c r="AS1233" s="81">
        <f>($J1233+($K1233-$J1233)*0.5)+($T1233-($S1233+($U1233-$S1233)*0.5))</f>
        <v/>
      </c>
      <c r="AT1233" s="82">
        <f>($J1233-$C1233)*100</f>
        <v/>
      </c>
      <c r="AU1233" s="82">
        <f>($H1233-$F1233)*100</f>
        <v/>
      </c>
      <c r="AV1233" s="82">
        <f>($J1233-$F1233)*100</f>
        <v/>
      </c>
      <c r="AW1233" s="82">
        <f>($L1233-$F1233)*100</f>
        <v/>
      </c>
      <c r="AX1233" s="82">
        <f>($J1233-$H1233)*100</f>
        <v/>
      </c>
      <c r="AY1233" s="82">
        <f>($L1233-$H1233)*100</f>
        <v/>
      </c>
      <c r="AZ1233" s="82">
        <f>($L1233-$J1233)*100</f>
        <v/>
      </c>
      <c r="BA1233" s="82">
        <f>(2*$H1233-$F1233-$J1233)*100</f>
        <v/>
      </c>
      <c r="BB1233" s="82">
        <f>(2*$J1233-$H1233-$L1233)*100</f>
        <v/>
      </c>
      <c r="BC1233" s="82">
        <f>($N1233-$F1233)*100</f>
        <v/>
      </c>
      <c r="BD1233" s="82">
        <f>($Q1233-$H1233)*100</f>
        <v/>
      </c>
      <c r="BE1233" s="82">
        <f>($S1233-$J1233)*100</f>
        <v/>
      </c>
      <c r="BF1233" s="82">
        <f>($V1233-$L1233)*100</f>
        <v/>
      </c>
      <c r="BG1233" s="82">
        <f>$AG1233-$AF1233</f>
        <v/>
      </c>
      <c r="BH1233" s="81">
        <f>IFERROR($AG1233/$AF1233,"")</f>
        <v/>
      </c>
      <c r="BI1233" s="82">
        <f>$AJ1233-$AF1233</f>
        <v/>
      </c>
      <c r="BJ1233" s="81">
        <f>IFERROR($AJ1233/$AG1233,"")</f>
        <v/>
      </c>
      <c r="BK1233" s="81">
        <f>$X1233</f>
        <v/>
      </c>
      <c r="BL1233" s="82">
        <f>($J1233-$J1234)*100</f>
        <v/>
      </c>
      <c r="BM1233" s="82">
        <f>($F1233-$F1234)*100</f>
        <v/>
      </c>
      <c r="BN1233" s="82">
        <f>$AF1233-$AF1234</f>
        <v/>
      </c>
      <c r="BO1233" s="82">
        <f>$AG1233-$AG1234</f>
        <v/>
      </c>
      <c r="BP1233" s="82">
        <f>$AJ1233-$AJ1234</f>
        <v/>
      </c>
    </row>
    <row r="1234">
      <c r="AR1234" s="81">
        <f>($G1234+($H1234-$G1234)*0.5)+($P1234-($O1234+($Q1234-$O1234)*0.5))</f>
        <v/>
      </c>
      <c r="AS1234" s="81">
        <f>($J1234+($K1234-$J1234)*0.5)+($T1234-($S1234+($U1234-$S1234)*0.5))</f>
        <v/>
      </c>
      <c r="AT1234" s="82">
        <f>($J1234-$C1234)*100</f>
        <v/>
      </c>
      <c r="AU1234" s="82">
        <f>($H1234-$F1234)*100</f>
        <v/>
      </c>
      <c r="AV1234" s="82">
        <f>($J1234-$F1234)*100</f>
        <v/>
      </c>
      <c r="AW1234" s="82">
        <f>($L1234-$F1234)*100</f>
        <v/>
      </c>
      <c r="AX1234" s="82">
        <f>($J1234-$H1234)*100</f>
        <v/>
      </c>
      <c r="AY1234" s="82">
        <f>($L1234-$H1234)*100</f>
        <v/>
      </c>
      <c r="AZ1234" s="82">
        <f>($L1234-$J1234)*100</f>
        <v/>
      </c>
      <c r="BA1234" s="82">
        <f>(2*$H1234-$F1234-$J1234)*100</f>
        <v/>
      </c>
      <c r="BB1234" s="82">
        <f>(2*$J1234-$H1234-$L1234)*100</f>
        <v/>
      </c>
      <c r="BC1234" s="82">
        <f>($N1234-$F1234)*100</f>
        <v/>
      </c>
      <c r="BD1234" s="82">
        <f>($Q1234-$H1234)*100</f>
        <v/>
      </c>
      <c r="BE1234" s="82">
        <f>($S1234-$J1234)*100</f>
        <v/>
      </c>
      <c r="BF1234" s="82">
        <f>($V1234-$L1234)*100</f>
        <v/>
      </c>
      <c r="BG1234" s="82">
        <f>$AG1234-$AF1234</f>
        <v/>
      </c>
      <c r="BH1234" s="81">
        <f>IFERROR($AG1234/$AF1234,"")</f>
        <v/>
      </c>
      <c r="BI1234" s="82">
        <f>$AJ1234-$AF1234</f>
        <v/>
      </c>
      <c r="BJ1234" s="81">
        <f>IFERROR($AJ1234/$AG1234,"")</f>
        <v/>
      </c>
      <c r="BK1234" s="81">
        <f>$X1234</f>
        <v/>
      </c>
      <c r="BL1234" s="82">
        <f>($J1234-$J1235)*100</f>
        <v/>
      </c>
      <c r="BM1234" s="82">
        <f>($F1234-$F1235)*100</f>
        <v/>
      </c>
      <c r="BN1234" s="82">
        <f>$AF1234-$AF1235</f>
        <v/>
      </c>
      <c r="BO1234" s="82">
        <f>$AG1234-$AG1235</f>
        <v/>
      </c>
      <c r="BP1234" s="82">
        <f>$AJ1234-$AJ1235</f>
        <v/>
      </c>
    </row>
    <row r="1235">
      <c r="AR1235" s="81">
        <f>($G1235+($H1235-$G1235)*0.5)+($P1235-($O1235+($Q1235-$O1235)*0.5))</f>
        <v/>
      </c>
      <c r="AS1235" s="81">
        <f>($J1235+($K1235-$J1235)*0.5)+($T1235-($S1235+($U1235-$S1235)*0.5))</f>
        <v/>
      </c>
      <c r="AT1235" s="82">
        <f>($J1235-$C1235)*100</f>
        <v/>
      </c>
      <c r="AU1235" s="82">
        <f>($H1235-$F1235)*100</f>
        <v/>
      </c>
      <c r="AV1235" s="82">
        <f>($J1235-$F1235)*100</f>
        <v/>
      </c>
      <c r="AW1235" s="82">
        <f>($L1235-$F1235)*100</f>
        <v/>
      </c>
      <c r="AX1235" s="82">
        <f>($J1235-$H1235)*100</f>
        <v/>
      </c>
      <c r="AY1235" s="82">
        <f>($L1235-$H1235)*100</f>
        <v/>
      </c>
      <c r="AZ1235" s="82">
        <f>($L1235-$J1235)*100</f>
        <v/>
      </c>
      <c r="BA1235" s="82">
        <f>(2*$H1235-$F1235-$J1235)*100</f>
        <v/>
      </c>
      <c r="BB1235" s="82">
        <f>(2*$J1235-$H1235-$L1235)*100</f>
        <v/>
      </c>
      <c r="BC1235" s="82">
        <f>($N1235-$F1235)*100</f>
        <v/>
      </c>
      <c r="BD1235" s="82">
        <f>($Q1235-$H1235)*100</f>
        <v/>
      </c>
      <c r="BE1235" s="82">
        <f>($S1235-$J1235)*100</f>
        <v/>
      </c>
      <c r="BF1235" s="82">
        <f>($V1235-$L1235)*100</f>
        <v/>
      </c>
      <c r="BG1235" s="82">
        <f>$AG1235-$AF1235</f>
        <v/>
      </c>
      <c r="BH1235" s="81">
        <f>IFERROR($AG1235/$AF1235,"")</f>
        <v/>
      </c>
      <c r="BI1235" s="82">
        <f>$AJ1235-$AF1235</f>
        <v/>
      </c>
      <c r="BJ1235" s="81">
        <f>IFERROR($AJ1235/$AG1235,"")</f>
        <v/>
      </c>
      <c r="BK1235" s="81">
        <f>$X1235</f>
        <v/>
      </c>
      <c r="BL1235" s="82">
        <f>($J1235-$J1236)*100</f>
        <v/>
      </c>
      <c r="BM1235" s="82">
        <f>($F1235-$F1236)*100</f>
        <v/>
      </c>
      <c r="BN1235" s="82">
        <f>$AF1235-$AF1236</f>
        <v/>
      </c>
      <c r="BO1235" s="82">
        <f>$AG1235-$AG1236</f>
        <v/>
      </c>
      <c r="BP1235" s="82">
        <f>$AJ1235-$AJ1236</f>
        <v/>
      </c>
    </row>
    <row r="1236">
      <c r="AR1236" s="81">
        <f>($G1236+($H1236-$G1236)*0.5)+($P1236-($O1236+($Q1236-$O1236)*0.5))</f>
        <v/>
      </c>
      <c r="AS1236" s="81">
        <f>($J1236+($K1236-$J1236)*0.5)+($T1236-($S1236+($U1236-$S1236)*0.5))</f>
        <v/>
      </c>
      <c r="AT1236" s="82">
        <f>($J1236-$C1236)*100</f>
        <v/>
      </c>
      <c r="AU1236" s="82">
        <f>($H1236-$F1236)*100</f>
        <v/>
      </c>
      <c r="AV1236" s="82">
        <f>($J1236-$F1236)*100</f>
        <v/>
      </c>
      <c r="AW1236" s="82">
        <f>($L1236-$F1236)*100</f>
        <v/>
      </c>
      <c r="AX1236" s="82">
        <f>($J1236-$H1236)*100</f>
        <v/>
      </c>
      <c r="AY1236" s="82">
        <f>($L1236-$H1236)*100</f>
        <v/>
      </c>
      <c r="AZ1236" s="82">
        <f>($L1236-$J1236)*100</f>
        <v/>
      </c>
      <c r="BA1236" s="82">
        <f>(2*$H1236-$F1236-$J1236)*100</f>
        <v/>
      </c>
      <c r="BB1236" s="82">
        <f>(2*$J1236-$H1236-$L1236)*100</f>
        <v/>
      </c>
      <c r="BC1236" s="82">
        <f>($N1236-$F1236)*100</f>
        <v/>
      </c>
      <c r="BD1236" s="82">
        <f>($Q1236-$H1236)*100</f>
        <v/>
      </c>
      <c r="BE1236" s="82">
        <f>($S1236-$J1236)*100</f>
        <v/>
      </c>
      <c r="BF1236" s="82">
        <f>($V1236-$L1236)*100</f>
        <v/>
      </c>
      <c r="BG1236" s="82">
        <f>$AG1236-$AF1236</f>
        <v/>
      </c>
      <c r="BH1236" s="81">
        <f>IFERROR($AG1236/$AF1236,"")</f>
        <v/>
      </c>
      <c r="BI1236" s="82">
        <f>$AJ1236-$AF1236</f>
        <v/>
      </c>
      <c r="BJ1236" s="81">
        <f>IFERROR($AJ1236/$AG1236,"")</f>
        <v/>
      </c>
      <c r="BK1236" s="81">
        <f>$X1236</f>
        <v/>
      </c>
      <c r="BL1236" s="82">
        <f>($J1236-$J1237)*100</f>
        <v/>
      </c>
      <c r="BM1236" s="82">
        <f>($F1236-$F1237)*100</f>
        <v/>
      </c>
      <c r="BN1236" s="82">
        <f>$AF1236-$AF1237</f>
        <v/>
      </c>
      <c r="BO1236" s="82">
        <f>$AG1236-$AG1237</f>
        <v/>
      </c>
      <c r="BP1236" s="82">
        <f>$AJ1236-$AJ1237</f>
        <v/>
      </c>
    </row>
    <row r="1237">
      <c r="AR1237" s="81">
        <f>($G1237+($H1237-$G1237)*0.5)+($P1237-($O1237+($Q1237-$O1237)*0.5))</f>
        <v/>
      </c>
      <c r="AS1237" s="81">
        <f>($J1237+($K1237-$J1237)*0.5)+($T1237-($S1237+($U1237-$S1237)*0.5))</f>
        <v/>
      </c>
      <c r="AT1237" s="82">
        <f>($J1237-$C1237)*100</f>
        <v/>
      </c>
      <c r="AU1237" s="82">
        <f>($H1237-$F1237)*100</f>
        <v/>
      </c>
      <c r="AV1237" s="82">
        <f>($J1237-$F1237)*100</f>
        <v/>
      </c>
      <c r="AW1237" s="82">
        <f>($L1237-$F1237)*100</f>
        <v/>
      </c>
      <c r="AX1237" s="82">
        <f>($J1237-$H1237)*100</f>
        <v/>
      </c>
      <c r="AY1237" s="82">
        <f>($L1237-$H1237)*100</f>
        <v/>
      </c>
      <c r="AZ1237" s="82">
        <f>($L1237-$J1237)*100</f>
        <v/>
      </c>
      <c r="BA1237" s="82">
        <f>(2*$H1237-$F1237-$J1237)*100</f>
        <v/>
      </c>
      <c r="BB1237" s="82">
        <f>(2*$J1237-$H1237-$L1237)*100</f>
        <v/>
      </c>
      <c r="BC1237" s="82">
        <f>($N1237-$F1237)*100</f>
        <v/>
      </c>
      <c r="BD1237" s="82">
        <f>($Q1237-$H1237)*100</f>
        <v/>
      </c>
      <c r="BE1237" s="82">
        <f>($S1237-$J1237)*100</f>
        <v/>
      </c>
      <c r="BF1237" s="82">
        <f>($V1237-$L1237)*100</f>
        <v/>
      </c>
      <c r="BG1237" s="82">
        <f>$AG1237-$AF1237</f>
        <v/>
      </c>
      <c r="BH1237" s="81">
        <f>IFERROR($AG1237/$AF1237,"")</f>
        <v/>
      </c>
      <c r="BI1237" s="82">
        <f>$AJ1237-$AF1237</f>
        <v/>
      </c>
      <c r="BJ1237" s="81">
        <f>IFERROR($AJ1237/$AG1237,"")</f>
        <v/>
      </c>
      <c r="BK1237" s="81">
        <f>$X1237</f>
        <v/>
      </c>
      <c r="BL1237" s="82">
        <f>($J1237-$J1238)*100</f>
        <v/>
      </c>
      <c r="BM1237" s="82">
        <f>($F1237-$F1238)*100</f>
        <v/>
      </c>
      <c r="BN1237" s="82">
        <f>$AF1237-$AF1238</f>
        <v/>
      </c>
      <c r="BO1237" s="82">
        <f>$AG1237-$AG1238</f>
        <v/>
      </c>
      <c r="BP1237" s="82">
        <f>$AJ1237-$AJ1238</f>
        <v/>
      </c>
    </row>
    <row r="1238">
      <c r="AR1238" s="81">
        <f>($G1238+($H1238-$G1238)*0.5)+($P1238-($O1238+($Q1238-$O1238)*0.5))</f>
        <v/>
      </c>
      <c r="AS1238" s="81">
        <f>($J1238+($K1238-$J1238)*0.5)+($T1238-($S1238+($U1238-$S1238)*0.5))</f>
        <v/>
      </c>
      <c r="AT1238" s="82">
        <f>($J1238-$C1238)*100</f>
        <v/>
      </c>
      <c r="AU1238" s="82">
        <f>($H1238-$F1238)*100</f>
        <v/>
      </c>
      <c r="AV1238" s="82">
        <f>($J1238-$F1238)*100</f>
        <v/>
      </c>
      <c r="AW1238" s="82">
        <f>($L1238-$F1238)*100</f>
        <v/>
      </c>
      <c r="AX1238" s="82">
        <f>($J1238-$H1238)*100</f>
        <v/>
      </c>
      <c r="AY1238" s="82">
        <f>($L1238-$H1238)*100</f>
        <v/>
      </c>
      <c r="AZ1238" s="82">
        <f>($L1238-$J1238)*100</f>
        <v/>
      </c>
      <c r="BA1238" s="82">
        <f>(2*$H1238-$F1238-$J1238)*100</f>
        <v/>
      </c>
      <c r="BB1238" s="82">
        <f>(2*$J1238-$H1238-$L1238)*100</f>
        <v/>
      </c>
      <c r="BC1238" s="82">
        <f>($N1238-$F1238)*100</f>
        <v/>
      </c>
      <c r="BD1238" s="82">
        <f>($Q1238-$H1238)*100</f>
        <v/>
      </c>
      <c r="BE1238" s="82">
        <f>($S1238-$J1238)*100</f>
        <v/>
      </c>
      <c r="BF1238" s="82">
        <f>($V1238-$L1238)*100</f>
        <v/>
      </c>
      <c r="BG1238" s="82">
        <f>$AG1238-$AF1238</f>
        <v/>
      </c>
      <c r="BH1238" s="81">
        <f>IFERROR($AG1238/$AF1238,"")</f>
        <v/>
      </c>
      <c r="BI1238" s="82">
        <f>$AJ1238-$AF1238</f>
        <v/>
      </c>
      <c r="BJ1238" s="81">
        <f>IFERROR($AJ1238/$AG1238,"")</f>
        <v/>
      </c>
      <c r="BK1238" s="81">
        <f>$X1238</f>
        <v/>
      </c>
      <c r="BL1238" s="82">
        <f>($J1238-$J1239)*100</f>
        <v/>
      </c>
      <c r="BM1238" s="82">
        <f>($F1238-$F1239)*100</f>
        <v/>
      </c>
      <c r="BN1238" s="82">
        <f>$AF1238-$AF1239</f>
        <v/>
      </c>
      <c r="BO1238" s="82">
        <f>$AG1238-$AG1239</f>
        <v/>
      </c>
      <c r="BP1238" s="82">
        <f>$AJ1238-$AJ1239</f>
        <v/>
      </c>
    </row>
    <row r="1239">
      <c r="AR1239" s="81">
        <f>($G1239+($H1239-$G1239)*0.5)+($P1239-($O1239+($Q1239-$O1239)*0.5))</f>
        <v/>
      </c>
      <c r="AS1239" s="81">
        <f>($J1239+($K1239-$J1239)*0.5)+($T1239-($S1239+($U1239-$S1239)*0.5))</f>
        <v/>
      </c>
      <c r="AT1239" s="82">
        <f>($J1239-$C1239)*100</f>
        <v/>
      </c>
      <c r="AU1239" s="82">
        <f>($H1239-$F1239)*100</f>
        <v/>
      </c>
      <c r="AV1239" s="82">
        <f>($J1239-$F1239)*100</f>
        <v/>
      </c>
      <c r="AW1239" s="82">
        <f>($L1239-$F1239)*100</f>
        <v/>
      </c>
      <c r="AX1239" s="82">
        <f>($J1239-$H1239)*100</f>
        <v/>
      </c>
      <c r="AY1239" s="82">
        <f>($L1239-$H1239)*100</f>
        <v/>
      </c>
      <c r="AZ1239" s="82">
        <f>($L1239-$J1239)*100</f>
        <v/>
      </c>
      <c r="BA1239" s="82">
        <f>(2*$H1239-$F1239-$J1239)*100</f>
        <v/>
      </c>
      <c r="BB1239" s="82">
        <f>(2*$J1239-$H1239-$L1239)*100</f>
        <v/>
      </c>
      <c r="BC1239" s="82">
        <f>($N1239-$F1239)*100</f>
        <v/>
      </c>
      <c r="BD1239" s="82">
        <f>($Q1239-$H1239)*100</f>
        <v/>
      </c>
      <c r="BE1239" s="82">
        <f>($S1239-$J1239)*100</f>
        <v/>
      </c>
      <c r="BF1239" s="82">
        <f>($V1239-$L1239)*100</f>
        <v/>
      </c>
      <c r="BG1239" s="82">
        <f>$AG1239-$AF1239</f>
        <v/>
      </c>
      <c r="BH1239" s="81">
        <f>IFERROR($AG1239/$AF1239,"")</f>
        <v/>
      </c>
      <c r="BI1239" s="82">
        <f>$AJ1239-$AF1239</f>
        <v/>
      </c>
      <c r="BJ1239" s="81">
        <f>IFERROR($AJ1239/$AG1239,"")</f>
        <v/>
      </c>
      <c r="BK1239" s="81">
        <f>$X1239</f>
        <v/>
      </c>
      <c r="BL1239" s="82">
        <f>($J1239-$J1240)*100</f>
        <v/>
      </c>
      <c r="BM1239" s="82">
        <f>($F1239-$F1240)*100</f>
        <v/>
      </c>
      <c r="BN1239" s="82">
        <f>$AF1239-$AF1240</f>
        <v/>
      </c>
      <c r="BO1239" s="82">
        <f>$AG1239-$AG1240</f>
        <v/>
      </c>
      <c r="BP1239" s="82">
        <f>$AJ1239-$AJ1240</f>
        <v/>
      </c>
    </row>
    <row r="1240">
      <c r="AR1240" s="81">
        <f>($G1240+($H1240-$G1240)*0.5)+($P1240-($O1240+($Q1240-$O1240)*0.5))</f>
        <v/>
      </c>
      <c r="AS1240" s="81">
        <f>($J1240+($K1240-$J1240)*0.5)+($T1240-($S1240+($U1240-$S1240)*0.5))</f>
        <v/>
      </c>
      <c r="AT1240" s="82">
        <f>($J1240-$C1240)*100</f>
        <v/>
      </c>
      <c r="AU1240" s="82">
        <f>($H1240-$F1240)*100</f>
        <v/>
      </c>
      <c r="AV1240" s="82">
        <f>($J1240-$F1240)*100</f>
        <v/>
      </c>
      <c r="AW1240" s="82">
        <f>($L1240-$F1240)*100</f>
        <v/>
      </c>
      <c r="AX1240" s="82">
        <f>($J1240-$H1240)*100</f>
        <v/>
      </c>
      <c r="AY1240" s="82">
        <f>($L1240-$H1240)*100</f>
        <v/>
      </c>
      <c r="AZ1240" s="82">
        <f>($L1240-$J1240)*100</f>
        <v/>
      </c>
      <c r="BA1240" s="82">
        <f>(2*$H1240-$F1240-$J1240)*100</f>
        <v/>
      </c>
      <c r="BB1240" s="82">
        <f>(2*$J1240-$H1240-$L1240)*100</f>
        <v/>
      </c>
      <c r="BC1240" s="82">
        <f>($N1240-$F1240)*100</f>
        <v/>
      </c>
      <c r="BD1240" s="82">
        <f>($Q1240-$H1240)*100</f>
        <v/>
      </c>
      <c r="BE1240" s="82">
        <f>($S1240-$J1240)*100</f>
        <v/>
      </c>
      <c r="BF1240" s="82">
        <f>($V1240-$L1240)*100</f>
        <v/>
      </c>
      <c r="BG1240" s="82">
        <f>$AG1240-$AF1240</f>
        <v/>
      </c>
      <c r="BH1240" s="81">
        <f>IFERROR($AG1240/$AF1240,"")</f>
        <v/>
      </c>
      <c r="BI1240" s="82">
        <f>$AJ1240-$AF1240</f>
        <v/>
      </c>
      <c r="BJ1240" s="81">
        <f>IFERROR($AJ1240/$AG1240,"")</f>
        <v/>
      </c>
      <c r="BK1240" s="81">
        <f>$X1240</f>
        <v/>
      </c>
      <c r="BL1240" s="82">
        <f>($J1240-$J1241)*100</f>
        <v/>
      </c>
      <c r="BM1240" s="82">
        <f>($F1240-$F1241)*100</f>
        <v/>
      </c>
      <c r="BN1240" s="82">
        <f>$AF1240-$AF1241</f>
        <v/>
      </c>
      <c r="BO1240" s="82">
        <f>$AG1240-$AG1241</f>
        <v/>
      </c>
      <c r="BP1240" s="82">
        <f>$AJ1240-$AJ1241</f>
        <v/>
      </c>
    </row>
    <row r="1241">
      <c r="AR1241" s="81">
        <f>($G1241+($H1241-$G1241)*0.5)+($P1241-($O1241+($Q1241-$O1241)*0.5))</f>
        <v/>
      </c>
      <c r="AS1241" s="81">
        <f>($J1241+($K1241-$J1241)*0.5)+($T1241-($S1241+($U1241-$S1241)*0.5))</f>
        <v/>
      </c>
      <c r="AT1241" s="82">
        <f>($J1241-$C1241)*100</f>
        <v/>
      </c>
      <c r="AU1241" s="82">
        <f>($H1241-$F1241)*100</f>
        <v/>
      </c>
      <c r="AV1241" s="82">
        <f>($J1241-$F1241)*100</f>
        <v/>
      </c>
      <c r="AW1241" s="82">
        <f>($L1241-$F1241)*100</f>
        <v/>
      </c>
      <c r="AX1241" s="82">
        <f>($J1241-$H1241)*100</f>
        <v/>
      </c>
      <c r="AY1241" s="82">
        <f>($L1241-$H1241)*100</f>
        <v/>
      </c>
      <c r="AZ1241" s="82">
        <f>($L1241-$J1241)*100</f>
        <v/>
      </c>
      <c r="BA1241" s="82">
        <f>(2*$H1241-$F1241-$J1241)*100</f>
        <v/>
      </c>
      <c r="BB1241" s="82">
        <f>(2*$J1241-$H1241-$L1241)*100</f>
        <v/>
      </c>
      <c r="BC1241" s="82">
        <f>($N1241-$F1241)*100</f>
        <v/>
      </c>
      <c r="BD1241" s="82">
        <f>($Q1241-$H1241)*100</f>
        <v/>
      </c>
      <c r="BE1241" s="82">
        <f>($S1241-$J1241)*100</f>
        <v/>
      </c>
      <c r="BF1241" s="82">
        <f>($V1241-$L1241)*100</f>
        <v/>
      </c>
      <c r="BG1241" s="82">
        <f>$AG1241-$AF1241</f>
        <v/>
      </c>
      <c r="BH1241" s="81">
        <f>IFERROR($AG1241/$AF1241,"")</f>
        <v/>
      </c>
      <c r="BI1241" s="82">
        <f>$AJ1241-$AF1241</f>
        <v/>
      </c>
      <c r="BJ1241" s="81">
        <f>IFERROR($AJ1241/$AG1241,"")</f>
        <v/>
      </c>
      <c r="BK1241" s="81">
        <f>$X1241</f>
        <v/>
      </c>
      <c r="BL1241" s="82">
        <f>($J1241-$J1242)*100</f>
        <v/>
      </c>
      <c r="BM1241" s="82">
        <f>($F1241-$F1242)*100</f>
        <v/>
      </c>
      <c r="BN1241" s="82">
        <f>$AF1241-$AF1242</f>
        <v/>
      </c>
      <c r="BO1241" s="82">
        <f>$AG1241-$AG1242</f>
        <v/>
      </c>
      <c r="BP1241" s="82">
        <f>$AJ1241-$AJ1242</f>
        <v/>
      </c>
    </row>
    <row r="1242">
      <c r="AR1242" s="81">
        <f>($G1242+($H1242-$G1242)*0.5)+($P1242-($O1242+($Q1242-$O1242)*0.5))</f>
        <v/>
      </c>
      <c r="AS1242" s="81">
        <f>($J1242+($K1242-$J1242)*0.5)+($T1242-($S1242+($U1242-$S1242)*0.5))</f>
        <v/>
      </c>
      <c r="AT1242" s="82">
        <f>($J1242-$C1242)*100</f>
        <v/>
      </c>
      <c r="AU1242" s="82">
        <f>($H1242-$F1242)*100</f>
        <v/>
      </c>
      <c r="AV1242" s="82">
        <f>($J1242-$F1242)*100</f>
        <v/>
      </c>
      <c r="AW1242" s="82">
        <f>($L1242-$F1242)*100</f>
        <v/>
      </c>
      <c r="AX1242" s="82">
        <f>($J1242-$H1242)*100</f>
        <v/>
      </c>
      <c r="AY1242" s="82">
        <f>($L1242-$H1242)*100</f>
        <v/>
      </c>
      <c r="AZ1242" s="82">
        <f>($L1242-$J1242)*100</f>
        <v/>
      </c>
      <c r="BA1242" s="82">
        <f>(2*$H1242-$F1242-$J1242)*100</f>
        <v/>
      </c>
      <c r="BB1242" s="82">
        <f>(2*$J1242-$H1242-$L1242)*100</f>
        <v/>
      </c>
      <c r="BC1242" s="82">
        <f>($N1242-$F1242)*100</f>
        <v/>
      </c>
      <c r="BD1242" s="82">
        <f>($Q1242-$H1242)*100</f>
        <v/>
      </c>
      <c r="BE1242" s="82">
        <f>($S1242-$J1242)*100</f>
        <v/>
      </c>
      <c r="BF1242" s="82">
        <f>($V1242-$L1242)*100</f>
        <v/>
      </c>
      <c r="BG1242" s="82">
        <f>$AG1242-$AF1242</f>
        <v/>
      </c>
      <c r="BH1242" s="81">
        <f>IFERROR($AG1242/$AF1242,"")</f>
        <v/>
      </c>
      <c r="BI1242" s="82">
        <f>$AJ1242-$AF1242</f>
        <v/>
      </c>
      <c r="BJ1242" s="81">
        <f>IFERROR($AJ1242/$AG1242,"")</f>
        <v/>
      </c>
      <c r="BK1242" s="81">
        <f>$X1242</f>
        <v/>
      </c>
      <c r="BL1242" s="82">
        <f>($J1242-$J1243)*100</f>
        <v/>
      </c>
      <c r="BM1242" s="82">
        <f>($F1242-$F1243)*100</f>
        <v/>
      </c>
      <c r="BN1242" s="82">
        <f>$AF1242-$AF1243</f>
        <v/>
      </c>
      <c r="BO1242" s="82">
        <f>$AG1242-$AG1243</f>
        <v/>
      </c>
      <c r="BP1242" s="82">
        <f>$AJ1242-$AJ1243</f>
        <v/>
      </c>
    </row>
    <row r="1243">
      <c r="AR1243" s="81">
        <f>($G1243+($H1243-$G1243)*0.5)+($P1243-($O1243+($Q1243-$O1243)*0.5))</f>
        <v/>
      </c>
      <c r="AS1243" s="81">
        <f>($J1243+($K1243-$J1243)*0.5)+($T1243-($S1243+($U1243-$S1243)*0.5))</f>
        <v/>
      </c>
      <c r="AT1243" s="82">
        <f>($J1243-$C1243)*100</f>
        <v/>
      </c>
      <c r="AU1243" s="82">
        <f>($H1243-$F1243)*100</f>
        <v/>
      </c>
      <c r="AV1243" s="82">
        <f>($J1243-$F1243)*100</f>
        <v/>
      </c>
      <c r="AW1243" s="82">
        <f>($L1243-$F1243)*100</f>
        <v/>
      </c>
      <c r="AX1243" s="82">
        <f>($J1243-$H1243)*100</f>
        <v/>
      </c>
      <c r="AY1243" s="82">
        <f>($L1243-$H1243)*100</f>
        <v/>
      </c>
      <c r="AZ1243" s="82">
        <f>($L1243-$J1243)*100</f>
        <v/>
      </c>
      <c r="BA1243" s="82">
        <f>(2*$H1243-$F1243-$J1243)*100</f>
        <v/>
      </c>
      <c r="BB1243" s="82">
        <f>(2*$J1243-$H1243-$L1243)*100</f>
        <v/>
      </c>
      <c r="BC1243" s="82">
        <f>($N1243-$F1243)*100</f>
        <v/>
      </c>
      <c r="BD1243" s="82">
        <f>($Q1243-$H1243)*100</f>
        <v/>
      </c>
      <c r="BE1243" s="82">
        <f>($S1243-$J1243)*100</f>
        <v/>
      </c>
      <c r="BF1243" s="82">
        <f>($V1243-$L1243)*100</f>
        <v/>
      </c>
      <c r="BG1243" s="82">
        <f>$AG1243-$AF1243</f>
        <v/>
      </c>
      <c r="BH1243" s="81">
        <f>IFERROR($AG1243/$AF1243,"")</f>
        <v/>
      </c>
      <c r="BI1243" s="82">
        <f>$AJ1243-$AF1243</f>
        <v/>
      </c>
      <c r="BJ1243" s="81">
        <f>IFERROR($AJ1243/$AG1243,"")</f>
        <v/>
      </c>
      <c r="BK1243" s="81">
        <f>$X1243</f>
        <v/>
      </c>
      <c r="BL1243" s="82">
        <f>($J1243-$J1244)*100</f>
        <v/>
      </c>
      <c r="BM1243" s="82">
        <f>($F1243-$F1244)*100</f>
        <v/>
      </c>
      <c r="BN1243" s="82">
        <f>$AF1243-$AF1244</f>
        <v/>
      </c>
      <c r="BO1243" s="82">
        <f>$AG1243-$AG1244</f>
        <v/>
      </c>
      <c r="BP1243" s="82">
        <f>$AJ1243-$AJ1244</f>
        <v/>
      </c>
    </row>
    <row r="1244">
      <c r="AR1244" s="81">
        <f>($G1244+($H1244-$G1244)*0.5)+($P1244-($O1244+($Q1244-$O1244)*0.5))</f>
        <v/>
      </c>
      <c r="AS1244" s="81">
        <f>($J1244+($K1244-$J1244)*0.5)+($T1244-($S1244+($U1244-$S1244)*0.5))</f>
        <v/>
      </c>
      <c r="AT1244" s="82">
        <f>($J1244-$C1244)*100</f>
        <v/>
      </c>
      <c r="AU1244" s="82">
        <f>($H1244-$F1244)*100</f>
        <v/>
      </c>
      <c r="AV1244" s="82">
        <f>($J1244-$F1244)*100</f>
        <v/>
      </c>
      <c r="AW1244" s="82">
        <f>($L1244-$F1244)*100</f>
        <v/>
      </c>
      <c r="AX1244" s="82">
        <f>($J1244-$H1244)*100</f>
        <v/>
      </c>
      <c r="AY1244" s="82">
        <f>($L1244-$H1244)*100</f>
        <v/>
      </c>
      <c r="AZ1244" s="82">
        <f>($L1244-$J1244)*100</f>
        <v/>
      </c>
      <c r="BA1244" s="82">
        <f>(2*$H1244-$F1244-$J1244)*100</f>
        <v/>
      </c>
      <c r="BB1244" s="82">
        <f>(2*$J1244-$H1244-$L1244)*100</f>
        <v/>
      </c>
      <c r="BC1244" s="82">
        <f>($N1244-$F1244)*100</f>
        <v/>
      </c>
      <c r="BD1244" s="82">
        <f>($Q1244-$H1244)*100</f>
        <v/>
      </c>
      <c r="BE1244" s="82">
        <f>($S1244-$J1244)*100</f>
        <v/>
      </c>
      <c r="BF1244" s="82">
        <f>($V1244-$L1244)*100</f>
        <v/>
      </c>
      <c r="BG1244" s="82">
        <f>$AG1244-$AF1244</f>
        <v/>
      </c>
      <c r="BH1244" s="81">
        <f>IFERROR($AG1244/$AF1244,"")</f>
        <v/>
      </c>
      <c r="BI1244" s="82">
        <f>$AJ1244-$AF1244</f>
        <v/>
      </c>
      <c r="BJ1244" s="81">
        <f>IFERROR($AJ1244/$AG1244,"")</f>
        <v/>
      </c>
      <c r="BK1244" s="81">
        <f>$X1244</f>
        <v/>
      </c>
      <c r="BL1244" s="82">
        <f>($J1244-$J1245)*100</f>
        <v/>
      </c>
      <c r="BM1244" s="82">
        <f>($F1244-$F1245)*100</f>
        <v/>
      </c>
      <c r="BN1244" s="82">
        <f>$AF1244-$AF1245</f>
        <v/>
      </c>
      <c r="BO1244" s="82">
        <f>$AG1244-$AG1245</f>
        <v/>
      </c>
      <c r="BP1244" s="82">
        <f>$AJ1244-$AJ1245</f>
        <v/>
      </c>
    </row>
    <row r="1245">
      <c r="AR1245" s="81">
        <f>($G1245+($H1245-$G1245)*0.5)+($P1245-($O1245+($Q1245-$O1245)*0.5))</f>
        <v/>
      </c>
      <c r="AS1245" s="81">
        <f>($J1245+($K1245-$J1245)*0.5)+($T1245-($S1245+($U1245-$S1245)*0.5))</f>
        <v/>
      </c>
      <c r="AT1245" s="82">
        <f>($J1245-$C1245)*100</f>
        <v/>
      </c>
      <c r="AU1245" s="82">
        <f>($H1245-$F1245)*100</f>
        <v/>
      </c>
      <c r="AV1245" s="82">
        <f>($J1245-$F1245)*100</f>
        <v/>
      </c>
      <c r="AW1245" s="82">
        <f>($L1245-$F1245)*100</f>
        <v/>
      </c>
      <c r="AX1245" s="82">
        <f>($J1245-$H1245)*100</f>
        <v/>
      </c>
      <c r="AY1245" s="82">
        <f>($L1245-$H1245)*100</f>
        <v/>
      </c>
      <c r="AZ1245" s="82">
        <f>($L1245-$J1245)*100</f>
        <v/>
      </c>
      <c r="BA1245" s="82">
        <f>(2*$H1245-$F1245-$J1245)*100</f>
        <v/>
      </c>
      <c r="BB1245" s="82">
        <f>(2*$J1245-$H1245-$L1245)*100</f>
        <v/>
      </c>
      <c r="BC1245" s="82">
        <f>($N1245-$F1245)*100</f>
        <v/>
      </c>
      <c r="BD1245" s="82">
        <f>($Q1245-$H1245)*100</f>
        <v/>
      </c>
      <c r="BE1245" s="82">
        <f>($S1245-$J1245)*100</f>
        <v/>
      </c>
      <c r="BF1245" s="82">
        <f>($V1245-$L1245)*100</f>
        <v/>
      </c>
      <c r="BG1245" s="82">
        <f>$AG1245-$AF1245</f>
        <v/>
      </c>
      <c r="BH1245" s="81">
        <f>IFERROR($AG1245/$AF1245,"")</f>
        <v/>
      </c>
      <c r="BI1245" s="82">
        <f>$AJ1245-$AF1245</f>
        <v/>
      </c>
      <c r="BJ1245" s="81">
        <f>IFERROR($AJ1245/$AG1245,"")</f>
        <v/>
      </c>
      <c r="BK1245" s="81">
        <f>$X1245</f>
        <v/>
      </c>
      <c r="BL1245" s="82">
        <f>($J1245-$J1246)*100</f>
        <v/>
      </c>
      <c r="BM1245" s="82">
        <f>($F1245-$F1246)*100</f>
        <v/>
      </c>
      <c r="BN1245" s="82">
        <f>$AF1245-$AF1246</f>
        <v/>
      </c>
      <c r="BO1245" s="82">
        <f>$AG1245-$AG1246</f>
        <v/>
      </c>
      <c r="BP1245" s="82">
        <f>$AJ1245-$AJ1246</f>
        <v/>
      </c>
    </row>
    <row r="1246">
      <c r="AR1246" s="81">
        <f>($G1246+($H1246-$G1246)*0.5)+($P1246-($O1246+($Q1246-$O1246)*0.5))</f>
        <v/>
      </c>
      <c r="AS1246" s="81">
        <f>($J1246+($K1246-$J1246)*0.5)+($T1246-($S1246+($U1246-$S1246)*0.5))</f>
        <v/>
      </c>
      <c r="AT1246" s="82">
        <f>($J1246-$C1246)*100</f>
        <v/>
      </c>
      <c r="AU1246" s="82">
        <f>($H1246-$F1246)*100</f>
        <v/>
      </c>
      <c r="AV1246" s="82">
        <f>($J1246-$F1246)*100</f>
        <v/>
      </c>
      <c r="AW1246" s="82">
        <f>($L1246-$F1246)*100</f>
        <v/>
      </c>
      <c r="AX1246" s="82">
        <f>($J1246-$H1246)*100</f>
        <v/>
      </c>
      <c r="AY1246" s="82">
        <f>($L1246-$H1246)*100</f>
        <v/>
      </c>
      <c r="AZ1246" s="82">
        <f>($L1246-$J1246)*100</f>
        <v/>
      </c>
      <c r="BA1246" s="82">
        <f>(2*$H1246-$F1246-$J1246)*100</f>
        <v/>
      </c>
      <c r="BB1246" s="82">
        <f>(2*$J1246-$H1246-$L1246)*100</f>
        <v/>
      </c>
      <c r="BC1246" s="82">
        <f>($N1246-$F1246)*100</f>
        <v/>
      </c>
      <c r="BD1246" s="82">
        <f>($Q1246-$H1246)*100</f>
        <v/>
      </c>
      <c r="BE1246" s="82">
        <f>($S1246-$J1246)*100</f>
        <v/>
      </c>
      <c r="BF1246" s="82">
        <f>($V1246-$L1246)*100</f>
        <v/>
      </c>
      <c r="BG1246" s="82">
        <f>$AG1246-$AF1246</f>
        <v/>
      </c>
      <c r="BH1246" s="81">
        <f>IFERROR($AG1246/$AF1246,"")</f>
        <v/>
      </c>
      <c r="BI1246" s="82">
        <f>$AJ1246-$AF1246</f>
        <v/>
      </c>
      <c r="BJ1246" s="81">
        <f>IFERROR($AJ1246/$AG1246,"")</f>
        <v/>
      </c>
      <c r="BK1246" s="81">
        <f>$X1246</f>
        <v/>
      </c>
      <c r="BL1246" s="82">
        <f>($J1246-$J1247)*100</f>
        <v/>
      </c>
      <c r="BM1246" s="82">
        <f>($F1246-$F1247)*100</f>
        <v/>
      </c>
      <c r="BN1246" s="82">
        <f>$AF1246-$AF1247</f>
        <v/>
      </c>
      <c r="BO1246" s="82">
        <f>$AG1246-$AG1247</f>
        <v/>
      </c>
      <c r="BP1246" s="82">
        <f>$AJ1246-$AJ1247</f>
        <v/>
      </c>
    </row>
    <row r="1247">
      <c r="AR1247" s="81">
        <f>($G1247+($H1247-$G1247)*0.5)+($P1247-($O1247+($Q1247-$O1247)*0.5))</f>
        <v/>
      </c>
      <c r="AS1247" s="81">
        <f>($J1247+($K1247-$J1247)*0.5)+($T1247-($S1247+($U1247-$S1247)*0.5))</f>
        <v/>
      </c>
      <c r="AT1247" s="82">
        <f>($J1247-$C1247)*100</f>
        <v/>
      </c>
      <c r="AU1247" s="82">
        <f>($H1247-$F1247)*100</f>
        <v/>
      </c>
      <c r="AV1247" s="82">
        <f>($J1247-$F1247)*100</f>
        <v/>
      </c>
      <c r="AW1247" s="82">
        <f>($L1247-$F1247)*100</f>
        <v/>
      </c>
      <c r="AX1247" s="82">
        <f>($J1247-$H1247)*100</f>
        <v/>
      </c>
      <c r="AY1247" s="82">
        <f>($L1247-$H1247)*100</f>
        <v/>
      </c>
      <c r="AZ1247" s="82">
        <f>($L1247-$J1247)*100</f>
        <v/>
      </c>
      <c r="BA1247" s="82">
        <f>(2*$H1247-$F1247-$J1247)*100</f>
        <v/>
      </c>
      <c r="BB1247" s="82">
        <f>(2*$J1247-$H1247-$L1247)*100</f>
        <v/>
      </c>
      <c r="BC1247" s="82">
        <f>($N1247-$F1247)*100</f>
        <v/>
      </c>
      <c r="BD1247" s="82">
        <f>($Q1247-$H1247)*100</f>
        <v/>
      </c>
      <c r="BE1247" s="82">
        <f>($S1247-$J1247)*100</f>
        <v/>
      </c>
      <c r="BF1247" s="82">
        <f>($V1247-$L1247)*100</f>
        <v/>
      </c>
      <c r="BG1247" s="82">
        <f>$AG1247-$AF1247</f>
        <v/>
      </c>
      <c r="BH1247" s="81">
        <f>IFERROR($AG1247/$AF1247,"")</f>
        <v/>
      </c>
      <c r="BI1247" s="82">
        <f>$AJ1247-$AF1247</f>
        <v/>
      </c>
      <c r="BJ1247" s="81">
        <f>IFERROR($AJ1247/$AG1247,"")</f>
        <v/>
      </c>
      <c r="BK1247" s="81">
        <f>$X1247</f>
        <v/>
      </c>
      <c r="BL1247" s="82">
        <f>($J1247-$J1248)*100</f>
        <v/>
      </c>
      <c r="BM1247" s="82">
        <f>($F1247-$F1248)*100</f>
        <v/>
      </c>
      <c r="BN1247" s="82">
        <f>$AF1247-$AF1248</f>
        <v/>
      </c>
      <c r="BO1247" s="82">
        <f>$AG1247-$AG1248</f>
        <v/>
      </c>
      <c r="BP1247" s="82">
        <f>$AJ1247-$AJ1248</f>
        <v/>
      </c>
    </row>
    <row r="1248">
      <c r="AR1248" s="81">
        <f>($G1248+($H1248-$G1248)*0.5)+($P1248-($O1248+($Q1248-$O1248)*0.5))</f>
        <v/>
      </c>
      <c r="AS1248" s="81">
        <f>($J1248+($K1248-$J1248)*0.5)+($T1248-($S1248+($U1248-$S1248)*0.5))</f>
        <v/>
      </c>
      <c r="AT1248" s="82">
        <f>($J1248-$C1248)*100</f>
        <v/>
      </c>
      <c r="AU1248" s="82">
        <f>($H1248-$F1248)*100</f>
        <v/>
      </c>
      <c r="AV1248" s="82">
        <f>($J1248-$F1248)*100</f>
        <v/>
      </c>
      <c r="AW1248" s="82">
        <f>($L1248-$F1248)*100</f>
        <v/>
      </c>
      <c r="AX1248" s="82">
        <f>($J1248-$H1248)*100</f>
        <v/>
      </c>
      <c r="AY1248" s="82">
        <f>($L1248-$H1248)*100</f>
        <v/>
      </c>
      <c r="AZ1248" s="82">
        <f>($L1248-$J1248)*100</f>
        <v/>
      </c>
      <c r="BA1248" s="82">
        <f>(2*$H1248-$F1248-$J1248)*100</f>
        <v/>
      </c>
      <c r="BB1248" s="82">
        <f>(2*$J1248-$H1248-$L1248)*100</f>
        <v/>
      </c>
      <c r="BC1248" s="82">
        <f>($N1248-$F1248)*100</f>
        <v/>
      </c>
      <c r="BD1248" s="82">
        <f>($Q1248-$H1248)*100</f>
        <v/>
      </c>
      <c r="BE1248" s="82">
        <f>($S1248-$J1248)*100</f>
        <v/>
      </c>
      <c r="BF1248" s="82">
        <f>($V1248-$L1248)*100</f>
        <v/>
      </c>
      <c r="BG1248" s="82">
        <f>$AG1248-$AF1248</f>
        <v/>
      </c>
      <c r="BH1248" s="81">
        <f>IFERROR($AG1248/$AF1248,"")</f>
        <v/>
      </c>
      <c r="BI1248" s="82">
        <f>$AJ1248-$AF1248</f>
        <v/>
      </c>
      <c r="BJ1248" s="81">
        <f>IFERROR($AJ1248/$AG1248,"")</f>
        <v/>
      </c>
      <c r="BK1248" s="81">
        <f>$X1248</f>
        <v/>
      </c>
      <c r="BL1248" s="82">
        <f>($J1248-$J1249)*100</f>
        <v/>
      </c>
      <c r="BM1248" s="82">
        <f>($F1248-$F1249)*100</f>
        <v/>
      </c>
      <c r="BN1248" s="82">
        <f>$AF1248-$AF1249</f>
        <v/>
      </c>
      <c r="BO1248" s="82">
        <f>$AG1248-$AG1249</f>
        <v/>
      </c>
      <c r="BP1248" s="82">
        <f>$AJ1248-$AJ1249</f>
        <v/>
      </c>
    </row>
    <row r="1249">
      <c r="AR1249" s="81">
        <f>($G1249+($H1249-$G1249)*0.5)+($P1249-($O1249+($Q1249-$O1249)*0.5))</f>
        <v/>
      </c>
      <c r="AS1249" s="81">
        <f>($J1249+($K1249-$J1249)*0.5)+($T1249-($S1249+($U1249-$S1249)*0.5))</f>
        <v/>
      </c>
      <c r="AT1249" s="82">
        <f>($J1249-$C1249)*100</f>
        <v/>
      </c>
      <c r="AU1249" s="82">
        <f>($H1249-$F1249)*100</f>
        <v/>
      </c>
      <c r="AV1249" s="82">
        <f>($J1249-$F1249)*100</f>
        <v/>
      </c>
      <c r="AW1249" s="82">
        <f>($L1249-$F1249)*100</f>
        <v/>
      </c>
      <c r="AX1249" s="82">
        <f>($J1249-$H1249)*100</f>
        <v/>
      </c>
      <c r="AY1249" s="82">
        <f>($L1249-$H1249)*100</f>
        <v/>
      </c>
      <c r="AZ1249" s="82">
        <f>($L1249-$J1249)*100</f>
        <v/>
      </c>
      <c r="BA1249" s="82">
        <f>(2*$H1249-$F1249-$J1249)*100</f>
        <v/>
      </c>
      <c r="BB1249" s="82">
        <f>(2*$J1249-$H1249-$L1249)*100</f>
        <v/>
      </c>
      <c r="BC1249" s="82">
        <f>($N1249-$F1249)*100</f>
        <v/>
      </c>
      <c r="BD1249" s="82">
        <f>($Q1249-$H1249)*100</f>
        <v/>
      </c>
      <c r="BE1249" s="82">
        <f>($S1249-$J1249)*100</f>
        <v/>
      </c>
      <c r="BF1249" s="82">
        <f>($V1249-$L1249)*100</f>
        <v/>
      </c>
      <c r="BG1249" s="82">
        <f>$AG1249-$AF1249</f>
        <v/>
      </c>
      <c r="BH1249" s="81">
        <f>IFERROR($AG1249/$AF1249,"")</f>
        <v/>
      </c>
      <c r="BI1249" s="82">
        <f>$AJ1249-$AF1249</f>
        <v/>
      </c>
      <c r="BJ1249" s="81">
        <f>IFERROR($AJ1249/$AG1249,"")</f>
        <v/>
      </c>
      <c r="BK1249" s="81">
        <f>$X1249</f>
        <v/>
      </c>
      <c r="BL1249" s="82">
        <f>($J1249-$J1250)*100</f>
        <v/>
      </c>
      <c r="BM1249" s="82">
        <f>($F1249-$F1250)*100</f>
        <v/>
      </c>
      <c r="BN1249" s="82">
        <f>$AF1249-$AF1250</f>
        <v/>
      </c>
      <c r="BO1249" s="82">
        <f>$AG1249-$AG1250</f>
        <v/>
      </c>
      <c r="BP1249" s="82">
        <f>$AJ1249-$AJ1250</f>
        <v/>
      </c>
    </row>
    <row r="1250">
      <c r="AR1250" s="81">
        <f>($G1250+($H1250-$G1250)*0.5)+($P1250-($O1250+($Q1250-$O1250)*0.5))</f>
        <v/>
      </c>
      <c r="AS1250" s="81">
        <f>($J1250+($K1250-$J1250)*0.5)+($T1250-($S1250+($U1250-$S1250)*0.5))</f>
        <v/>
      </c>
      <c r="AT1250" s="82">
        <f>($J1250-$C1250)*100</f>
        <v/>
      </c>
      <c r="AU1250" s="82">
        <f>($H1250-$F1250)*100</f>
        <v/>
      </c>
      <c r="AV1250" s="82">
        <f>($J1250-$F1250)*100</f>
        <v/>
      </c>
      <c r="AW1250" s="82">
        <f>($L1250-$F1250)*100</f>
        <v/>
      </c>
      <c r="AX1250" s="82">
        <f>($J1250-$H1250)*100</f>
        <v/>
      </c>
      <c r="AY1250" s="82">
        <f>($L1250-$H1250)*100</f>
        <v/>
      </c>
      <c r="AZ1250" s="82">
        <f>($L1250-$J1250)*100</f>
        <v/>
      </c>
      <c r="BA1250" s="82">
        <f>(2*$H1250-$F1250-$J1250)*100</f>
        <v/>
      </c>
      <c r="BB1250" s="82">
        <f>(2*$J1250-$H1250-$L1250)*100</f>
        <v/>
      </c>
      <c r="BC1250" s="82">
        <f>($N1250-$F1250)*100</f>
        <v/>
      </c>
      <c r="BD1250" s="82">
        <f>($Q1250-$H1250)*100</f>
        <v/>
      </c>
      <c r="BE1250" s="82">
        <f>($S1250-$J1250)*100</f>
        <v/>
      </c>
      <c r="BF1250" s="82">
        <f>($V1250-$L1250)*100</f>
        <v/>
      </c>
      <c r="BG1250" s="82">
        <f>$AG1250-$AF1250</f>
        <v/>
      </c>
      <c r="BH1250" s="81">
        <f>IFERROR($AG1250/$AF1250,"")</f>
        <v/>
      </c>
      <c r="BI1250" s="82">
        <f>$AJ1250-$AF1250</f>
        <v/>
      </c>
      <c r="BJ1250" s="81">
        <f>IFERROR($AJ1250/$AG1250,"")</f>
        <v/>
      </c>
      <c r="BK1250" s="81">
        <f>$X1250</f>
        <v/>
      </c>
      <c r="BL1250" s="82">
        <f>($J1250-$J1251)*100</f>
        <v/>
      </c>
      <c r="BM1250" s="82">
        <f>($F1250-$F1251)*100</f>
        <v/>
      </c>
      <c r="BN1250" s="82">
        <f>$AF1250-$AF1251</f>
        <v/>
      </c>
      <c r="BO1250" s="82">
        <f>$AG1250-$AG1251</f>
        <v/>
      </c>
      <c r="BP1250" s="82">
        <f>$AJ1250-$AJ1251</f>
        <v/>
      </c>
    </row>
    <row r="1251">
      <c r="AR1251" s="81">
        <f>($G1251+($H1251-$G1251)*0.5)+($P1251-($O1251+($Q1251-$O1251)*0.5))</f>
        <v/>
      </c>
      <c r="AS1251" s="81">
        <f>($J1251+($K1251-$J1251)*0.5)+($T1251-($S1251+($U1251-$S1251)*0.5))</f>
        <v/>
      </c>
      <c r="AT1251" s="82">
        <f>($J1251-$C1251)*100</f>
        <v/>
      </c>
      <c r="AU1251" s="82">
        <f>($H1251-$F1251)*100</f>
        <v/>
      </c>
      <c r="AV1251" s="82">
        <f>($J1251-$F1251)*100</f>
        <v/>
      </c>
      <c r="AW1251" s="82">
        <f>($L1251-$F1251)*100</f>
        <v/>
      </c>
      <c r="AX1251" s="82">
        <f>($J1251-$H1251)*100</f>
        <v/>
      </c>
      <c r="AY1251" s="82">
        <f>($L1251-$H1251)*100</f>
        <v/>
      </c>
      <c r="AZ1251" s="82">
        <f>($L1251-$J1251)*100</f>
        <v/>
      </c>
      <c r="BA1251" s="82">
        <f>(2*$H1251-$F1251-$J1251)*100</f>
        <v/>
      </c>
      <c r="BB1251" s="82">
        <f>(2*$J1251-$H1251-$L1251)*100</f>
        <v/>
      </c>
      <c r="BC1251" s="82">
        <f>($N1251-$F1251)*100</f>
        <v/>
      </c>
      <c r="BD1251" s="82">
        <f>($Q1251-$H1251)*100</f>
        <v/>
      </c>
      <c r="BE1251" s="82">
        <f>($S1251-$J1251)*100</f>
        <v/>
      </c>
      <c r="BF1251" s="82">
        <f>($V1251-$L1251)*100</f>
        <v/>
      </c>
      <c r="BG1251" s="82">
        <f>$AG1251-$AF1251</f>
        <v/>
      </c>
      <c r="BH1251" s="81">
        <f>IFERROR($AG1251/$AF1251,"")</f>
        <v/>
      </c>
      <c r="BI1251" s="82">
        <f>$AJ1251-$AF1251</f>
        <v/>
      </c>
      <c r="BJ1251" s="81">
        <f>IFERROR($AJ1251/$AG1251,"")</f>
        <v/>
      </c>
      <c r="BK1251" s="81">
        <f>$X1251</f>
        <v/>
      </c>
      <c r="BL1251" s="82">
        <f>($J1251-$J1252)*100</f>
        <v/>
      </c>
      <c r="BM1251" s="82">
        <f>($F1251-$F1252)*100</f>
        <v/>
      </c>
      <c r="BN1251" s="82">
        <f>$AF1251-$AF1252</f>
        <v/>
      </c>
      <c r="BO1251" s="82">
        <f>$AG1251-$AG1252</f>
        <v/>
      </c>
      <c r="BP1251" s="82">
        <f>$AJ1251-$AJ1252</f>
        <v/>
      </c>
    </row>
    <row r="1252">
      <c r="AR1252" s="81">
        <f>($G1252+($H1252-$G1252)*0.5)+($P1252-($O1252+($Q1252-$O1252)*0.5))</f>
        <v/>
      </c>
      <c r="AS1252" s="81">
        <f>($J1252+($K1252-$J1252)*0.5)+($T1252-($S1252+($U1252-$S1252)*0.5))</f>
        <v/>
      </c>
      <c r="AT1252" s="82">
        <f>($J1252-$C1252)*100</f>
        <v/>
      </c>
      <c r="AU1252" s="82">
        <f>($H1252-$F1252)*100</f>
        <v/>
      </c>
      <c r="AV1252" s="82">
        <f>($J1252-$F1252)*100</f>
        <v/>
      </c>
      <c r="AW1252" s="82">
        <f>($L1252-$F1252)*100</f>
        <v/>
      </c>
      <c r="AX1252" s="82">
        <f>($J1252-$H1252)*100</f>
        <v/>
      </c>
      <c r="AY1252" s="82">
        <f>($L1252-$H1252)*100</f>
        <v/>
      </c>
      <c r="AZ1252" s="82">
        <f>($L1252-$J1252)*100</f>
        <v/>
      </c>
      <c r="BA1252" s="82">
        <f>(2*$H1252-$F1252-$J1252)*100</f>
        <v/>
      </c>
      <c r="BB1252" s="82">
        <f>(2*$J1252-$H1252-$L1252)*100</f>
        <v/>
      </c>
      <c r="BC1252" s="82">
        <f>($N1252-$F1252)*100</f>
        <v/>
      </c>
      <c r="BD1252" s="82">
        <f>($Q1252-$H1252)*100</f>
        <v/>
      </c>
      <c r="BE1252" s="82">
        <f>($S1252-$J1252)*100</f>
        <v/>
      </c>
      <c r="BF1252" s="82">
        <f>($V1252-$L1252)*100</f>
        <v/>
      </c>
      <c r="BG1252" s="82">
        <f>$AG1252-$AF1252</f>
        <v/>
      </c>
      <c r="BH1252" s="81">
        <f>IFERROR($AG1252/$AF1252,"")</f>
        <v/>
      </c>
      <c r="BI1252" s="82">
        <f>$AJ1252-$AF1252</f>
        <v/>
      </c>
      <c r="BJ1252" s="81">
        <f>IFERROR($AJ1252/$AG1252,"")</f>
        <v/>
      </c>
      <c r="BK1252" s="81">
        <f>$X1252</f>
        <v/>
      </c>
      <c r="BL1252" s="82">
        <f>($J1252-$J1253)*100</f>
        <v/>
      </c>
      <c r="BM1252" s="82">
        <f>($F1252-$F1253)*100</f>
        <v/>
      </c>
      <c r="BN1252" s="82">
        <f>$AF1252-$AF1253</f>
        <v/>
      </c>
      <c r="BO1252" s="82">
        <f>$AG1252-$AG1253</f>
        <v/>
      </c>
      <c r="BP1252" s="82">
        <f>$AJ1252-$AJ1253</f>
        <v/>
      </c>
    </row>
    <row r="1253">
      <c r="AR1253" s="81">
        <f>($G1253+($H1253-$G1253)*0.5)+($P1253-($O1253+($Q1253-$O1253)*0.5))</f>
        <v/>
      </c>
      <c r="AS1253" s="81">
        <f>($J1253+($K1253-$J1253)*0.5)+($T1253-($S1253+($U1253-$S1253)*0.5))</f>
        <v/>
      </c>
      <c r="AT1253" s="82">
        <f>($J1253-$C1253)*100</f>
        <v/>
      </c>
      <c r="AU1253" s="82">
        <f>($H1253-$F1253)*100</f>
        <v/>
      </c>
      <c r="AV1253" s="82">
        <f>($J1253-$F1253)*100</f>
        <v/>
      </c>
      <c r="AW1253" s="82">
        <f>($L1253-$F1253)*100</f>
        <v/>
      </c>
      <c r="AX1253" s="82">
        <f>($J1253-$H1253)*100</f>
        <v/>
      </c>
      <c r="AY1253" s="82">
        <f>($L1253-$H1253)*100</f>
        <v/>
      </c>
      <c r="AZ1253" s="82">
        <f>($L1253-$J1253)*100</f>
        <v/>
      </c>
      <c r="BA1253" s="82">
        <f>(2*$H1253-$F1253-$J1253)*100</f>
        <v/>
      </c>
      <c r="BB1253" s="82">
        <f>(2*$J1253-$H1253-$L1253)*100</f>
        <v/>
      </c>
      <c r="BC1253" s="82">
        <f>($N1253-$F1253)*100</f>
        <v/>
      </c>
      <c r="BD1253" s="82">
        <f>($Q1253-$H1253)*100</f>
        <v/>
      </c>
      <c r="BE1253" s="82">
        <f>($S1253-$J1253)*100</f>
        <v/>
      </c>
      <c r="BF1253" s="82">
        <f>($V1253-$L1253)*100</f>
        <v/>
      </c>
      <c r="BG1253" s="82">
        <f>$AG1253-$AF1253</f>
        <v/>
      </c>
      <c r="BH1253" s="81">
        <f>IFERROR($AG1253/$AF1253,"")</f>
        <v/>
      </c>
      <c r="BI1253" s="82">
        <f>$AJ1253-$AF1253</f>
        <v/>
      </c>
      <c r="BJ1253" s="81">
        <f>IFERROR($AJ1253/$AG1253,"")</f>
        <v/>
      </c>
      <c r="BK1253" s="81">
        <f>$X1253</f>
        <v/>
      </c>
      <c r="BL1253" s="82">
        <f>($J1253-$J1254)*100</f>
        <v/>
      </c>
      <c r="BM1253" s="82">
        <f>($F1253-$F1254)*100</f>
        <v/>
      </c>
      <c r="BN1253" s="82">
        <f>$AF1253-$AF1254</f>
        <v/>
      </c>
      <c r="BO1253" s="82">
        <f>$AG1253-$AG1254</f>
        <v/>
      </c>
      <c r="BP1253" s="82">
        <f>$AJ1253-$AJ1254</f>
        <v/>
      </c>
    </row>
    <row r="1254">
      <c r="AR1254" s="81">
        <f>($G1254+($H1254-$G1254)*0.5)+($P1254-($O1254+($Q1254-$O1254)*0.5))</f>
        <v/>
      </c>
      <c r="AS1254" s="81">
        <f>($J1254+($K1254-$J1254)*0.5)+($T1254-($S1254+($U1254-$S1254)*0.5))</f>
        <v/>
      </c>
      <c r="AT1254" s="82">
        <f>($J1254-$C1254)*100</f>
        <v/>
      </c>
      <c r="AU1254" s="82">
        <f>($H1254-$F1254)*100</f>
        <v/>
      </c>
      <c r="AV1254" s="82">
        <f>($J1254-$F1254)*100</f>
        <v/>
      </c>
      <c r="AW1254" s="82">
        <f>($L1254-$F1254)*100</f>
        <v/>
      </c>
      <c r="AX1254" s="82">
        <f>($J1254-$H1254)*100</f>
        <v/>
      </c>
      <c r="AY1254" s="82">
        <f>($L1254-$H1254)*100</f>
        <v/>
      </c>
      <c r="AZ1254" s="82">
        <f>($L1254-$J1254)*100</f>
        <v/>
      </c>
      <c r="BA1254" s="82">
        <f>(2*$H1254-$F1254-$J1254)*100</f>
        <v/>
      </c>
      <c r="BB1254" s="82">
        <f>(2*$J1254-$H1254-$L1254)*100</f>
        <v/>
      </c>
      <c r="BC1254" s="82">
        <f>($N1254-$F1254)*100</f>
        <v/>
      </c>
      <c r="BD1254" s="82">
        <f>($Q1254-$H1254)*100</f>
        <v/>
      </c>
      <c r="BE1254" s="82">
        <f>($S1254-$J1254)*100</f>
        <v/>
      </c>
      <c r="BF1254" s="82">
        <f>($V1254-$L1254)*100</f>
        <v/>
      </c>
      <c r="BG1254" s="82">
        <f>$AG1254-$AF1254</f>
        <v/>
      </c>
      <c r="BH1254" s="81">
        <f>IFERROR($AG1254/$AF1254,"")</f>
        <v/>
      </c>
      <c r="BI1254" s="82">
        <f>$AJ1254-$AF1254</f>
        <v/>
      </c>
      <c r="BJ1254" s="81">
        <f>IFERROR($AJ1254/$AG1254,"")</f>
        <v/>
      </c>
      <c r="BK1254" s="81">
        <f>$X1254</f>
        <v/>
      </c>
      <c r="BL1254" s="82">
        <f>($J1254-$J1255)*100</f>
        <v/>
      </c>
      <c r="BM1254" s="82">
        <f>($F1254-$F1255)*100</f>
        <v/>
      </c>
      <c r="BN1254" s="82">
        <f>$AF1254-$AF1255</f>
        <v/>
      </c>
      <c r="BO1254" s="82">
        <f>$AG1254-$AG1255</f>
        <v/>
      </c>
      <c r="BP1254" s="82">
        <f>$AJ1254-$AJ1255</f>
        <v/>
      </c>
    </row>
    <row r="1255">
      <c r="AR1255" s="81">
        <f>($G1255+($H1255-$G1255)*0.5)+($P1255-($O1255+($Q1255-$O1255)*0.5))</f>
        <v/>
      </c>
      <c r="AS1255" s="81">
        <f>($J1255+($K1255-$J1255)*0.5)+($T1255-($S1255+($U1255-$S1255)*0.5))</f>
        <v/>
      </c>
      <c r="AT1255" s="82">
        <f>($J1255-$C1255)*100</f>
        <v/>
      </c>
      <c r="AU1255" s="82">
        <f>($H1255-$F1255)*100</f>
        <v/>
      </c>
      <c r="AV1255" s="82">
        <f>($J1255-$F1255)*100</f>
        <v/>
      </c>
      <c r="AW1255" s="82">
        <f>($L1255-$F1255)*100</f>
        <v/>
      </c>
      <c r="AX1255" s="82">
        <f>($J1255-$H1255)*100</f>
        <v/>
      </c>
      <c r="AY1255" s="82">
        <f>($L1255-$H1255)*100</f>
        <v/>
      </c>
      <c r="AZ1255" s="82">
        <f>($L1255-$J1255)*100</f>
        <v/>
      </c>
      <c r="BA1255" s="82">
        <f>(2*$H1255-$F1255-$J1255)*100</f>
        <v/>
      </c>
      <c r="BB1255" s="82">
        <f>(2*$J1255-$H1255-$L1255)*100</f>
        <v/>
      </c>
      <c r="BC1255" s="82">
        <f>($N1255-$F1255)*100</f>
        <v/>
      </c>
      <c r="BD1255" s="82">
        <f>($Q1255-$H1255)*100</f>
        <v/>
      </c>
      <c r="BE1255" s="82">
        <f>($S1255-$J1255)*100</f>
        <v/>
      </c>
      <c r="BF1255" s="82">
        <f>($V1255-$L1255)*100</f>
        <v/>
      </c>
      <c r="BG1255" s="82">
        <f>$AG1255-$AF1255</f>
        <v/>
      </c>
      <c r="BH1255" s="81">
        <f>IFERROR($AG1255/$AF1255,"")</f>
        <v/>
      </c>
      <c r="BI1255" s="82">
        <f>$AJ1255-$AF1255</f>
        <v/>
      </c>
      <c r="BJ1255" s="81">
        <f>IFERROR($AJ1255/$AG1255,"")</f>
        <v/>
      </c>
      <c r="BK1255" s="81">
        <f>$X1255</f>
        <v/>
      </c>
      <c r="BL1255" s="82">
        <f>($J1255-$J1256)*100</f>
        <v/>
      </c>
      <c r="BM1255" s="82">
        <f>($F1255-$F1256)*100</f>
        <v/>
      </c>
      <c r="BN1255" s="82">
        <f>$AF1255-$AF1256</f>
        <v/>
      </c>
      <c r="BO1255" s="82">
        <f>$AG1255-$AG1256</f>
        <v/>
      </c>
      <c r="BP1255" s="82">
        <f>$AJ1255-$AJ1256</f>
        <v/>
      </c>
    </row>
    <row r="1256">
      <c r="AR1256" s="81">
        <f>($G1256+($H1256-$G1256)*0.5)+($P1256-($O1256+($Q1256-$O1256)*0.5))</f>
        <v/>
      </c>
      <c r="AS1256" s="81">
        <f>($J1256+($K1256-$J1256)*0.5)+($T1256-($S1256+($U1256-$S1256)*0.5))</f>
        <v/>
      </c>
      <c r="AT1256" s="82">
        <f>($J1256-$C1256)*100</f>
        <v/>
      </c>
      <c r="AU1256" s="82">
        <f>($H1256-$F1256)*100</f>
        <v/>
      </c>
      <c r="AV1256" s="82">
        <f>($J1256-$F1256)*100</f>
        <v/>
      </c>
      <c r="AW1256" s="82">
        <f>($L1256-$F1256)*100</f>
        <v/>
      </c>
      <c r="AX1256" s="82">
        <f>($J1256-$H1256)*100</f>
        <v/>
      </c>
      <c r="AY1256" s="82">
        <f>($L1256-$H1256)*100</f>
        <v/>
      </c>
      <c r="AZ1256" s="82">
        <f>($L1256-$J1256)*100</f>
        <v/>
      </c>
      <c r="BA1256" s="82">
        <f>(2*$H1256-$F1256-$J1256)*100</f>
        <v/>
      </c>
      <c r="BB1256" s="82">
        <f>(2*$J1256-$H1256-$L1256)*100</f>
        <v/>
      </c>
      <c r="BC1256" s="82">
        <f>($N1256-$F1256)*100</f>
        <v/>
      </c>
      <c r="BD1256" s="82">
        <f>($Q1256-$H1256)*100</f>
        <v/>
      </c>
      <c r="BE1256" s="82">
        <f>($S1256-$J1256)*100</f>
        <v/>
      </c>
      <c r="BF1256" s="82">
        <f>($V1256-$L1256)*100</f>
        <v/>
      </c>
      <c r="BG1256" s="82">
        <f>$AG1256-$AF1256</f>
        <v/>
      </c>
      <c r="BH1256" s="81">
        <f>IFERROR($AG1256/$AF1256,"")</f>
        <v/>
      </c>
      <c r="BI1256" s="82">
        <f>$AJ1256-$AF1256</f>
        <v/>
      </c>
      <c r="BJ1256" s="81">
        <f>IFERROR($AJ1256/$AG1256,"")</f>
        <v/>
      </c>
      <c r="BK1256" s="81">
        <f>$X1256</f>
        <v/>
      </c>
      <c r="BL1256" s="82">
        <f>($J1256-$J1257)*100</f>
        <v/>
      </c>
      <c r="BM1256" s="82">
        <f>($F1256-$F1257)*100</f>
        <v/>
      </c>
      <c r="BN1256" s="82">
        <f>$AF1256-$AF1257</f>
        <v/>
      </c>
      <c r="BO1256" s="82">
        <f>$AG1256-$AG1257</f>
        <v/>
      </c>
      <c r="BP1256" s="82">
        <f>$AJ1256-$AJ1257</f>
        <v/>
      </c>
    </row>
    <row r="1257">
      <c r="AR1257" s="81">
        <f>($G1257+($H1257-$G1257)*0.5)+($P1257-($O1257+($Q1257-$O1257)*0.5))</f>
        <v/>
      </c>
      <c r="AS1257" s="81">
        <f>($J1257+($K1257-$J1257)*0.5)+($T1257-($S1257+($U1257-$S1257)*0.5))</f>
        <v/>
      </c>
      <c r="AT1257" s="82">
        <f>($J1257-$C1257)*100</f>
        <v/>
      </c>
      <c r="AU1257" s="82">
        <f>($H1257-$F1257)*100</f>
        <v/>
      </c>
      <c r="AV1257" s="82">
        <f>($J1257-$F1257)*100</f>
        <v/>
      </c>
      <c r="AW1257" s="82">
        <f>($L1257-$F1257)*100</f>
        <v/>
      </c>
      <c r="AX1257" s="82">
        <f>($J1257-$H1257)*100</f>
        <v/>
      </c>
      <c r="AY1257" s="82">
        <f>($L1257-$H1257)*100</f>
        <v/>
      </c>
      <c r="AZ1257" s="82">
        <f>($L1257-$J1257)*100</f>
        <v/>
      </c>
      <c r="BA1257" s="82">
        <f>(2*$H1257-$F1257-$J1257)*100</f>
        <v/>
      </c>
      <c r="BB1257" s="82">
        <f>(2*$J1257-$H1257-$L1257)*100</f>
        <v/>
      </c>
      <c r="BC1257" s="82">
        <f>($N1257-$F1257)*100</f>
        <v/>
      </c>
      <c r="BD1257" s="82">
        <f>($Q1257-$H1257)*100</f>
        <v/>
      </c>
      <c r="BE1257" s="82">
        <f>($S1257-$J1257)*100</f>
        <v/>
      </c>
      <c r="BF1257" s="82">
        <f>($V1257-$L1257)*100</f>
        <v/>
      </c>
      <c r="BG1257" s="82">
        <f>$AG1257-$AF1257</f>
        <v/>
      </c>
      <c r="BH1257" s="81">
        <f>IFERROR($AG1257/$AF1257,"")</f>
        <v/>
      </c>
      <c r="BI1257" s="82">
        <f>$AJ1257-$AF1257</f>
        <v/>
      </c>
      <c r="BJ1257" s="81">
        <f>IFERROR($AJ1257/$AG1257,"")</f>
        <v/>
      </c>
      <c r="BK1257" s="81">
        <f>$X1257</f>
        <v/>
      </c>
      <c r="BL1257" s="82">
        <f>($J1257-$J1258)*100</f>
        <v/>
      </c>
      <c r="BM1257" s="82">
        <f>($F1257-$F1258)*100</f>
        <v/>
      </c>
      <c r="BN1257" s="82">
        <f>$AF1257-$AF1258</f>
        <v/>
      </c>
      <c r="BO1257" s="82">
        <f>$AG1257-$AG1258</f>
        <v/>
      </c>
      <c r="BP1257" s="82">
        <f>$AJ1257-$AJ1258</f>
        <v/>
      </c>
    </row>
    <row r="1258">
      <c r="AR1258" s="81">
        <f>($G1258+($H1258-$G1258)*0.5)+($P1258-($O1258+($Q1258-$O1258)*0.5))</f>
        <v/>
      </c>
      <c r="AS1258" s="81">
        <f>($J1258+($K1258-$J1258)*0.5)+($T1258-($S1258+($U1258-$S1258)*0.5))</f>
        <v/>
      </c>
      <c r="AT1258" s="82">
        <f>($J1258-$C1258)*100</f>
        <v/>
      </c>
      <c r="AU1258" s="82">
        <f>($H1258-$F1258)*100</f>
        <v/>
      </c>
      <c r="AV1258" s="82">
        <f>($J1258-$F1258)*100</f>
        <v/>
      </c>
      <c r="AW1258" s="82">
        <f>($L1258-$F1258)*100</f>
        <v/>
      </c>
      <c r="AX1258" s="82">
        <f>($J1258-$H1258)*100</f>
        <v/>
      </c>
      <c r="AY1258" s="82">
        <f>($L1258-$H1258)*100</f>
        <v/>
      </c>
      <c r="AZ1258" s="82">
        <f>($L1258-$J1258)*100</f>
        <v/>
      </c>
      <c r="BA1258" s="82">
        <f>(2*$H1258-$F1258-$J1258)*100</f>
        <v/>
      </c>
      <c r="BB1258" s="82">
        <f>(2*$J1258-$H1258-$L1258)*100</f>
        <v/>
      </c>
      <c r="BC1258" s="82">
        <f>($N1258-$F1258)*100</f>
        <v/>
      </c>
      <c r="BD1258" s="82">
        <f>($Q1258-$H1258)*100</f>
        <v/>
      </c>
      <c r="BE1258" s="82">
        <f>($S1258-$J1258)*100</f>
        <v/>
      </c>
      <c r="BF1258" s="82">
        <f>($V1258-$L1258)*100</f>
        <v/>
      </c>
      <c r="BG1258" s="82">
        <f>$AG1258-$AF1258</f>
        <v/>
      </c>
      <c r="BH1258" s="81">
        <f>IFERROR($AG1258/$AF1258,"")</f>
        <v/>
      </c>
      <c r="BI1258" s="82">
        <f>$AJ1258-$AF1258</f>
        <v/>
      </c>
      <c r="BJ1258" s="81">
        <f>IFERROR($AJ1258/$AG1258,"")</f>
        <v/>
      </c>
      <c r="BK1258" s="81">
        <f>$X1258</f>
        <v/>
      </c>
      <c r="BL1258" s="82">
        <f>($J1258-$J1259)*100</f>
        <v/>
      </c>
      <c r="BM1258" s="82">
        <f>($F1258-$F1259)*100</f>
        <v/>
      </c>
      <c r="BN1258" s="82">
        <f>$AF1258-$AF1259</f>
        <v/>
      </c>
      <c r="BO1258" s="82">
        <f>$AG1258-$AG1259</f>
        <v/>
      </c>
      <c r="BP1258" s="82">
        <f>$AJ1258-$AJ1259</f>
        <v/>
      </c>
    </row>
    <row r="1259">
      <c r="AR1259" s="81">
        <f>($G1259+($H1259-$G1259)*0.5)+($P1259-($O1259+($Q1259-$O1259)*0.5))</f>
        <v/>
      </c>
      <c r="AS1259" s="81">
        <f>($J1259+($K1259-$J1259)*0.5)+($T1259-($S1259+($U1259-$S1259)*0.5))</f>
        <v/>
      </c>
      <c r="AT1259" s="82">
        <f>($J1259-$C1259)*100</f>
        <v/>
      </c>
      <c r="AU1259" s="82">
        <f>($H1259-$F1259)*100</f>
        <v/>
      </c>
      <c r="AV1259" s="82">
        <f>($J1259-$F1259)*100</f>
        <v/>
      </c>
      <c r="AW1259" s="82">
        <f>($L1259-$F1259)*100</f>
        <v/>
      </c>
      <c r="AX1259" s="82">
        <f>($J1259-$H1259)*100</f>
        <v/>
      </c>
      <c r="AY1259" s="82">
        <f>($L1259-$H1259)*100</f>
        <v/>
      </c>
      <c r="AZ1259" s="82">
        <f>($L1259-$J1259)*100</f>
        <v/>
      </c>
      <c r="BA1259" s="82">
        <f>(2*$H1259-$F1259-$J1259)*100</f>
        <v/>
      </c>
      <c r="BB1259" s="82">
        <f>(2*$J1259-$H1259-$L1259)*100</f>
        <v/>
      </c>
      <c r="BC1259" s="82">
        <f>($N1259-$F1259)*100</f>
        <v/>
      </c>
      <c r="BD1259" s="82">
        <f>($Q1259-$H1259)*100</f>
        <v/>
      </c>
      <c r="BE1259" s="82">
        <f>($S1259-$J1259)*100</f>
        <v/>
      </c>
      <c r="BF1259" s="82">
        <f>($V1259-$L1259)*100</f>
        <v/>
      </c>
      <c r="BG1259" s="82">
        <f>$AG1259-$AF1259</f>
        <v/>
      </c>
      <c r="BH1259" s="81">
        <f>IFERROR($AG1259/$AF1259,"")</f>
        <v/>
      </c>
      <c r="BI1259" s="82">
        <f>$AJ1259-$AF1259</f>
        <v/>
      </c>
      <c r="BJ1259" s="81">
        <f>IFERROR($AJ1259/$AG1259,"")</f>
        <v/>
      </c>
      <c r="BK1259" s="81">
        <f>$X1259</f>
        <v/>
      </c>
      <c r="BL1259" s="82">
        <f>($J1259-$J1260)*100</f>
        <v/>
      </c>
      <c r="BM1259" s="82">
        <f>($F1259-$F1260)*100</f>
        <v/>
      </c>
      <c r="BN1259" s="82">
        <f>$AF1259-$AF1260</f>
        <v/>
      </c>
      <c r="BO1259" s="82">
        <f>$AG1259-$AG1260</f>
        <v/>
      </c>
      <c r="BP1259" s="82">
        <f>$AJ1259-$AJ1260</f>
        <v/>
      </c>
    </row>
    <row r="1260">
      <c r="AR1260" s="81">
        <f>($G1260+($H1260-$G1260)*0.5)+($P1260-($O1260+($Q1260-$O1260)*0.5))</f>
        <v/>
      </c>
      <c r="AS1260" s="81">
        <f>($J1260+($K1260-$J1260)*0.5)+($T1260-($S1260+($U1260-$S1260)*0.5))</f>
        <v/>
      </c>
      <c r="AT1260" s="82">
        <f>($J1260-$C1260)*100</f>
        <v/>
      </c>
      <c r="AU1260" s="82">
        <f>($H1260-$F1260)*100</f>
        <v/>
      </c>
      <c r="AV1260" s="82">
        <f>($J1260-$F1260)*100</f>
        <v/>
      </c>
      <c r="AW1260" s="82">
        <f>($L1260-$F1260)*100</f>
        <v/>
      </c>
      <c r="AX1260" s="82">
        <f>($J1260-$H1260)*100</f>
        <v/>
      </c>
      <c r="AY1260" s="82">
        <f>($L1260-$H1260)*100</f>
        <v/>
      </c>
      <c r="AZ1260" s="82">
        <f>($L1260-$J1260)*100</f>
        <v/>
      </c>
      <c r="BA1260" s="82">
        <f>(2*$H1260-$F1260-$J1260)*100</f>
        <v/>
      </c>
      <c r="BB1260" s="82">
        <f>(2*$J1260-$H1260-$L1260)*100</f>
        <v/>
      </c>
      <c r="BC1260" s="82">
        <f>($N1260-$F1260)*100</f>
        <v/>
      </c>
      <c r="BD1260" s="82">
        <f>($Q1260-$H1260)*100</f>
        <v/>
      </c>
      <c r="BE1260" s="82">
        <f>($S1260-$J1260)*100</f>
        <v/>
      </c>
      <c r="BF1260" s="82">
        <f>($V1260-$L1260)*100</f>
        <v/>
      </c>
      <c r="BG1260" s="82">
        <f>$AG1260-$AF1260</f>
        <v/>
      </c>
      <c r="BH1260" s="81">
        <f>IFERROR($AG1260/$AF1260,"")</f>
        <v/>
      </c>
      <c r="BI1260" s="82">
        <f>$AJ1260-$AF1260</f>
        <v/>
      </c>
      <c r="BJ1260" s="81">
        <f>IFERROR($AJ1260/$AG1260,"")</f>
        <v/>
      </c>
      <c r="BK1260" s="81">
        <f>$X1260</f>
        <v/>
      </c>
      <c r="BL1260" s="82">
        <f>($J1260-$J1261)*100</f>
        <v/>
      </c>
      <c r="BM1260" s="82">
        <f>($F1260-$F1261)*100</f>
        <v/>
      </c>
      <c r="BN1260" s="82">
        <f>$AF1260-$AF1261</f>
        <v/>
      </c>
      <c r="BO1260" s="82">
        <f>$AG1260-$AG1261</f>
        <v/>
      </c>
      <c r="BP1260" s="82">
        <f>$AJ1260-$AJ1261</f>
        <v/>
      </c>
    </row>
    <row r="1261">
      <c r="AR1261" s="81">
        <f>($G1261+($H1261-$G1261)*0.5)+($P1261-($O1261+($Q1261-$O1261)*0.5))</f>
        <v/>
      </c>
      <c r="AS1261" s="81">
        <f>($J1261+($K1261-$J1261)*0.5)+($T1261-($S1261+($U1261-$S1261)*0.5))</f>
        <v/>
      </c>
      <c r="AT1261" s="82">
        <f>($J1261-$C1261)*100</f>
        <v/>
      </c>
      <c r="AU1261" s="82">
        <f>($H1261-$F1261)*100</f>
        <v/>
      </c>
      <c r="AV1261" s="82">
        <f>($J1261-$F1261)*100</f>
        <v/>
      </c>
      <c r="AW1261" s="82">
        <f>($L1261-$F1261)*100</f>
        <v/>
      </c>
      <c r="AX1261" s="82">
        <f>($J1261-$H1261)*100</f>
        <v/>
      </c>
      <c r="AY1261" s="82">
        <f>($L1261-$H1261)*100</f>
        <v/>
      </c>
      <c r="AZ1261" s="82">
        <f>($L1261-$J1261)*100</f>
        <v/>
      </c>
      <c r="BA1261" s="82">
        <f>(2*$H1261-$F1261-$J1261)*100</f>
        <v/>
      </c>
      <c r="BB1261" s="82">
        <f>(2*$J1261-$H1261-$L1261)*100</f>
        <v/>
      </c>
      <c r="BC1261" s="82">
        <f>($N1261-$F1261)*100</f>
        <v/>
      </c>
      <c r="BD1261" s="82">
        <f>($Q1261-$H1261)*100</f>
        <v/>
      </c>
      <c r="BE1261" s="82">
        <f>($S1261-$J1261)*100</f>
        <v/>
      </c>
      <c r="BF1261" s="82">
        <f>($V1261-$L1261)*100</f>
        <v/>
      </c>
      <c r="BG1261" s="82">
        <f>$AG1261-$AF1261</f>
        <v/>
      </c>
      <c r="BH1261" s="81">
        <f>IFERROR($AG1261/$AF1261,"")</f>
        <v/>
      </c>
      <c r="BI1261" s="82">
        <f>$AJ1261-$AF1261</f>
        <v/>
      </c>
      <c r="BJ1261" s="81">
        <f>IFERROR($AJ1261/$AG1261,"")</f>
        <v/>
      </c>
      <c r="BK1261" s="81">
        <f>$X1261</f>
        <v/>
      </c>
      <c r="BL1261" s="82">
        <f>($J1261-$J1262)*100</f>
        <v/>
      </c>
      <c r="BM1261" s="82">
        <f>($F1261-$F1262)*100</f>
        <v/>
      </c>
      <c r="BN1261" s="82">
        <f>$AF1261-$AF1262</f>
        <v/>
      </c>
      <c r="BO1261" s="82">
        <f>$AG1261-$AG1262</f>
        <v/>
      </c>
      <c r="BP1261" s="82">
        <f>$AJ1261-$AJ1262</f>
        <v/>
      </c>
    </row>
    <row r="1262">
      <c r="AR1262" s="81">
        <f>($G1262+($H1262-$G1262)*0.5)+($P1262-($O1262+($Q1262-$O1262)*0.5))</f>
        <v/>
      </c>
      <c r="AS1262" s="81">
        <f>($J1262+($K1262-$J1262)*0.5)+($T1262-($S1262+($U1262-$S1262)*0.5))</f>
        <v/>
      </c>
      <c r="AT1262" s="82">
        <f>($J1262-$C1262)*100</f>
        <v/>
      </c>
      <c r="AU1262" s="82">
        <f>($H1262-$F1262)*100</f>
        <v/>
      </c>
      <c r="AV1262" s="82">
        <f>($J1262-$F1262)*100</f>
        <v/>
      </c>
      <c r="AW1262" s="82">
        <f>($L1262-$F1262)*100</f>
        <v/>
      </c>
      <c r="AX1262" s="82">
        <f>($J1262-$H1262)*100</f>
        <v/>
      </c>
      <c r="AY1262" s="82">
        <f>($L1262-$H1262)*100</f>
        <v/>
      </c>
      <c r="AZ1262" s="82">
        <f>($L1262-$J1262)*100</f>
        <v/>
      </c>
      <c r="BA1262" s="82">
        <f>(2*$H1262-$F1262-$J1262)*100</f>
        <v/>
      </c>
      <c r="BB1262" s="82">
        <f>(2*$J1262-$H1262-$L1262)*100</f>
        <v/>
      </c>
      <c r="BC1262" s="82">
        <f>($N1262-$F1262)*100</f>
        <v/>
      </c>
      <c r="BD1262" s="82">
        <f>($Q1262-$H1262)*100</f>
        <v/>
      </c>
      <c r="BE1262" s="82">
        <f>($S1262-$J1262)*100</f>
        <v/>
      </c>
      <c r="BF1262" s="82">
        <f>($V1262-$L1262)*100</f>
        <v/>
      </c>
      <c r="BG1262" s="82">
        <f>$AG1262-$AF1262</f>
        <v/>
      </c>
      <c r="BH1262" s="81">
        <f>IFERROR($AG1262/$AF1262,"")</f>
        <v/>
      </c>
      <c r="BI1262" s="82">
        <f>$AJ1262-$AF1262</f>
        <v/>
      </c>
      <c r="BJ1262" s="81">
        <f>IFERROR($AJ1262/$AG1262,"")</f>
        <v/>
      </c>
      <c r="BK1262" s="81">
        <f>$X1262</f>
        <v/>
      </c>
      <c r="BL1262" s="82">
        <f>($J1262-$J1263)*100</f>
        <v/>
      </c>
      <c r="BM1262" s="82">
        <f>($F1262-$F1263)*100</f>
        <v/>
      </c>
      <c r="BN1262" s="82">
        <f>$AF1262-$AF1263</f>
        <v/>
      </c>
      <c r="BO1262" s="82">
        <f>$AG1262-$AG1263</f>
        <v/>
      </c>
      <c r="BP1262" s="82">
        <f>$AJ1262-$AJ1263</f>
        <v/>
      </c>
    </row>
    <row r="1263">
      <c r="AR1263" s="81">
        <f>($G1263+($H1263-$G1263)*0.5)+($P1263-($O1263+($Q1263-$O1263)*0.5))</f>
        <v/>
      </c>
      <c r="AS1263" s="81">
        <f>($J1263+($K1263-$J1263)*0.5)+($T1263-($S1263+($U1263-$S1263)*0.5))</f>
        <v/>
      </c>
      <c r="AT1263" s="82">
        <f>($J1263-$C1263)*100</f>
        <v/>
      </c>
      <c r="AU1263" s="82">
        <f>($H1263-$F1263)*100</f>
        <v/>
      </c>
      <c r="AV1263" s="82">
        <f>($J1263-$F1263)*100</f>
        <v/>
      </c>
      <c r="AW1263" s="82">
        <f>($L1263-$F1263)*100</f>
        <v/>
      </c>
      <c r="AX1263" s="82">
        <f>($J1263-$H1263)*100</f>
        <v/>
      </c>
      <c r="AY1263" s="82">
        <f>($L1263-$H1263)*100</f>
        <v/>
      </c>
      <c r="AZ1263" s="82">
        <f>($L1263-$J1263)*100</f>
        <v/>
      </c>
      <c r="BA1263" s="82">
        <f>(2*$H1263-$F1263-$J1263)*100</f>
        <v/>
      </c>
      <c r="BB1263" s="82">
        <f>(2*$J1263-$H1263-$L1263)*100</f>
        <v/>
      </c>
      <c r="BC1263" s="82">
        <f>($N1263-$F1263)*100</f>
        <v/>
      </c>
      <c r="BD1263" s="82">
        <f>($Q1263-$H1263)*100</f>
        <v/>
      </c>
      <c r="BE1263" s="82">
        <f>($S1263-$J1263)*100</f>
        <v/>
      </c>
      <c r="BF1263" s="82">
        <f>($V1263-$L1263)*100</f>
        <v/>
      </c>
      <c r="BG1263" s="82">
        <f>$AG1263-$AF1263</f>
        <v/>
      </c>
      <c r="BH1263" s="81">
        <f>IFERROR($AG1263/$AF1263,"")</f>
        <v/>
      </c>
      <c r="BI1263" s="82">
        <f>$AJ1263-$AF1263</f>
        <v/>
      </c>
      <c r="BJ1263" s="81">
        <f>IFERROR($AJ1263/$AG1263,"")</f>
        <v/>
      </c>
      <c r="BK1263" s="81">
        <f>$X1263</f>
        <v/>
      </c>
      <c r="BL1263" s="82">
        <f>($J1263-$J1264)*100</f>
        <v/>
      </c>
      <c r="BM1263" s="82">
        <f>($F1263-$F1264)*100</f>
        <v/>
      </c>
      <c r="BN1263" s="82">
        <f>$AF1263-$AF1264</f>
        <v/>
      </c>
      <c r="BO1263" s="82">
        <f>$AG1263-$AG1264</f>
        <v/>
      </c>
      <c r="BP1263" s="82">
        <f>$AJ1263-$AJ1264</f>
        <v/>
      </c>
    </row>
    <row r="1264">
      <c r="AR1264" s="81">
        <f>($G1264+($H1264-$G1264)*0.5)+($P1264-($O1264+($Q1264-$O1264)*0.5))</f>
        <v/>
      </c>
      <c r="AS1264" s="81">
        <f>($J1264+($K1264-$J1264)*0.5)+($T1264-($S1264+($U1264-$S1264)*0.5))</f>
        <v/>
      </c>
      <c r="AT1264" s="82">
        <f>($J1264-$C1264)*100</f>
        <v/>
      </c>
      <c r="AU1264" s="82">
        <f>($H1264-$F1264)*100</f>
        <v/>
      </c>
      <c r="AV1264" s="82">
        <f>($J1264-$F1264)*100</f>
        <v/>
      </c>
      <c r="AW1264" s="82">
        <f>($L1264-$F1264)*100</f>
        <v/>
      </c>
      <c r="AX1264" s="82">
        <f>($J1264-$H1264)*100</f>
        <v/>
      </c>
      <c r="AY1264" s="82">
        <f>($L1264-$H1264)*100</f>
        <v/>
      </c>
      <c r="AZ1264" s="82">
        <f>($L1264-$J1264)*100</f>
        <v/>
      </c>
      <c r="BA1264" s="82">
        <f>(2*$H1264-$F1264-$J1264)*100</f>
        <v/>
      </c>
      <c r="BB1264" s="82">
        <f>(2*$J1264-$H1264-$L1264)*100</f>
        <v/>
      </c>
      <c r="BC1264" s="82">
        <f>($N1264-$F1264)*100</f>
        <v/>
      </c>
      <c r="BD1264" s="82">
        <f>($Q1264-$H1264)*100</f>
        <v/>
      </c>
      <c r="BE1264" s="82">
        <f>($S1264-$J1264)*100</f>
        <v/>
      </c>
      <c r="BF1264" s="82">
        <f>($V1264-$L1264)*100</f>
        <v/>
      </c>
      <c r="BG1264" s="82">
        <f>$AG1264-$AF1264</f>
        <v/>
      </c>
      <c r="BH1264" s="81">
        <f>IFERROR($AG1264/$AF1264,"")</f>
        <v/>
      </c>
      <c r="BI1264" s="82">
        <f>$AJ1264-$AF1264</f>
        <v/>
      </c>
      <c r="BJ1264" s="81">
        <f>IFERROR($AJ1264/$AG1264,"")</f>
        <v/>
      </c>
      <c r="BK1264" s="81">
        <f>$X1264</f>
        <v/>
      </c>
      <c r="BL1264" s="82">
        <f>($J1264-$J1265)*100</f>
        <v/>
      </c>
      <c r="BM1264" s="82">
        <f>($F1264-$F1265)*100</f>
        <v/>
      </c>
      <c r="BN1264" s="82">
        <f>$AF1264-$AF1265</f>
        <v/>
      </c>
      <c r="BO1264" s="82">
        <f>$AG1264-$AG1265</f>
        <v/>
      </c>
      <c r="BP1264" s="82">
        <f>$AJ1264-$AJ1265</f>
        <v/>
      </c>
    </row>
    <row r="1265">
      <c r="AR1265" s="81">
        <f>($G1265+($H1265-$G1265)*0.5)+($P1265-($O1265+($Q1265-$O1265)*0.5))</f>
        <v/>
      </c>
      <c r="AS1265" s="81">
        <f>($J1265+($K1265-$J1265)*0.5)+($T1265-($S1265+($U1265-$S1265)*0.5))</f>
        <v/>
      </c>
      <c r="AT1265" s="82">
        <f>($J1265-$C1265)*100</f>
        <v/>
      </c>
      <c r="AU1265" s="82">
        <f>($H1265-$F1265)*100</f>
        <v/>
      </c>
      <c r="AV1265" s="82">
        <f>($J1265-$F1265)*100</f>
        <v/>
      </c>
      <c r="AW1265" s="82">
        <f>($L1265-$F1265)*100</f>
        <v/>
      </c>
      <c r="AX1265" s="82">
        <f>($J1265-$H1265)*100</f>
        <v/>
      </c>
      <c r="AY1265" s="82">
        <f>($L1265-$H1265)*100</f>
        <v/>
      </c>
      <c r="AZ1265" s="82">
        <f>($L1265-$J1265)*100</f>
        <v/>
      </c>
      <c r="BA1265" s="82">
        <f>(2*$H1265-$F1265-$J1265)*100</f>
        <v/>
      </c>
      <c r="BB1265" s="82">
        <f>(2*$J1265-$H1265-$L1265)*100</f>
        <v/>
      </c>
      <c r="BC1265" s="82">
        <f>($N1265-$F1265)*100</f>
        <v/>
      </c>
      <c r="BD1265" s="82">
        <f>($Q1265-$H1265)*100</f>
        <v/>
      </c>
      <c r="BE1265" s="82">
        <f>($S1265-$J1265)*100</f>
        <v/>
      </c>
      <c r="BF1265" s="82">
        <f>($V1265-$L1265)*100</f>
        <v/>
      </c>
      <c r="BG1265" s="82">
        <f>$AG1265-$AF1265</f>
        <v/>
      </c>
      <c r="BH1265" s="81">
        <f>IFERROR($AG1265/$AF1265,"")</f>
        <v/>
      </c>
      <c r="BI1265" s="82">
        <f>$AJ1265-$AF1265</f>
        <v/>
      </c>
      <c r="BJ1265" s="81">
        <f>IFERROR($AJ1265/$AG1265,"")</f>
        <v/>
      </c>
      <c r="BK1265" s="81">
        <f>$X1265</f>
        <v/>
      </c>
      <c r="BL1265" s="82">
        <f>($J1265-$J1266)*100</f>
        <v/>
      </c>
      <c r="BM1265" s="82">
        <f>($F1265-$F1266)*100</f>
        <v/>
      </c>
      <c r="BN1265" s="82">
        <f>$AF1265-$AF1266</f>
        <v/>
      </c>
      <c r="BO1265" s="82">
        <f>$AG1265-$AG1266</f>
        <v/>
      </c>
      <c r="BP1265" s="82">
        <f>$AJ1265-$AJ1266</f>
        <v/>
      </c>
    </row>
    <row r="1266">
      <c r="AR1266" s="81">
        <f>($G1266+($H1266-$G1266)*0.5)+($P1266-($O1266+($Q1266-$O1266)*0.5))</f>
        <v/>
      </c>
      <c r="AS1266" s="81">
        <f>($J1266+($K1266-$J1266)*0.5)+($T1266-($S1266+($U1266-$S1266)*0.5))</f>
        <v/>
      </c>
      <c r="AT1266" s="82">
        <f>($J1266-$C1266)*100</f>
        <v/>
      </c>
      <c r="AU1266" s="82">
        <f>($H1266-$F1266)*100</f>
        <v/>
      </c>
      <c r="AV1266" s="82">
        <f>($J1266-$F1266)*100</f>
        <v/>
      </c>
      <c r="AW1266" s="82">
        <f>($L1266-$F1266)*100</f>
        <v/>
      </c>
      <c r="AX1266" s="82">
        <f>($J1266-$H1266)*100</f>
        <v/>
      </c>
      <c r="AY1266" s="82">
        <f>($L1266-$H1266)*100</f>
        <v/>
      </c>
      <c r="AZ1266" s="82">
        <f>($L1266-$J1266)*100</f>
        <v/>
      </c>
      <c r="BA1266" s="82">
        <f>(2*$H1266-$F1266-$J1266)*100</f>
        <v/>
      </c>
      <c r="BB1266" s="82">
        <f>(2*$J1266-$H1266-$L1266)*100</f>
        <v/>
      </c>
      <c r="BC1266" s="82">
        <f>($N1266-$F1266)*100</f>
        <v/>
      </c>
      <c r="BD1266" s="82">
        <f>($Q1266-$H1266)*100</f>
        <v/>
      </c>
      <c r="BE1266" s="82">
        <f>($S1266-$J1266)*100</f>
        <v/>
      </c>
      <c r="BF1266" s="82">
        <f>($V1266-$L1266)*100</f>
        <v/>
      </c>
      <c r="BG1266" s="82">
        <f>$AG1266-$AF1266</f>
        <v/>
      </c>
      <c r="BH1266" s="81">
        <f>IFERROR($AG1266/$AF1266,"")</f>
        <v/>
      </c>
      <c r="BI1266" s="82">
        <f>$AJ1266-$AF1266</f>
        <v/>
      </c>
      <c r="BJ1266" s="81">
        <f>IFERROR($AJ1266/$AG1266,"")</f>
        <v/>
      </c>
      <c r="BK1266" s="81">
        <f>$X1266</f>
        <v/>
      </c>
      <c r="BL1266" s="82">
        <f>($J1266-$J1267)*100</f>
        <v/>
      </c>
      <c r="BM1266" s="82">
        <f>($F1266-$F1267)*100</f>
        <v/>
      </c>
      <c r="BN1266" s="82">
        <f>$AF1266-$AF1267</f>
        <v/>
      </c>
      <c r="BO1266" s="82">
        <f>$AG1266-$AG1267</f>
        <v/>
      </c>
      <c r="BP1266" s="82">
        <f>$AJ1266-$AJ1267</f>
        <v/>
      </c>
    </row>
    <row r="1267">
      <c r="AR1267" s="81">
        <f>($G1267+($H1267-$G1267)*0.5)+($P1267-($O1267+($Q1267-$O1267)*0.5))</f>
        <v/>
      </c>
      <c r="AS1267" s="81">
        <f>($J1267+($K1267-$J1267)*0.5)+($T1267-($S1267+($U1267-$S1267)*0.5))</f>
        <v/>
      </c>
      <c r="AT1267" s="82">
        <f>($J1267-$C1267)*100</f>
        <v/>
      </c>
      <c r="AU1267" s="82">
        <f>($H1267-$F1267)*100</f>
        <v/>
      </c>
      <c r="AV1267" s="82">
        <f>($J1267-$F1267)*100</f>
        <v/>
      </c>
      <c r="AW1267" s="82">
        <f>($L1267-$F1267)*100</f>
        <v/>
      </c>
      <c r="AX1267" s="82">
        <f>($J1267-$H1267)*100</f>
        <v/>
      </c>
      <c r="AY1267" s="82">
        <f>($L1267-$H1267)*100</f>
        <v/>
      </c>
      <c r="AZ1267" s="82">
        <f>($L1267-$J1267)*100</f>
        <v/>
      </c>
      <c r="BA1267" s="82">
        <f>(2*$H1267-$F1267-$J1267)*100</f>
        <v/>
      </c>
      <c r="BB1267" s="82">
        <f>(2*$J1267-$H1267-$L1267)*100</f>
        <v/>
      </c>
      <c r="BC1267" s="82">
        <f>($N1267-$F1267)*100</f>
        <v/>
      </c>
      <c r="BD1267" s="82">
        <f>($Q1267-$H1267)*100</f>
        <v/>
      </c>
      <c r="BE1267" s="82">
        <f>($S1267-$J1267)*100</f>
        <v/>
      </c>
      <c r="BF1267" s="82">
        <f>($V1267-$L1267)*100</f>
        <v/>
      </c>
      <c r="BG1267" s="82">
        <f>$AG1267-$AF1267</f>
        <v/>
      </c>
      <c r="BH1267" s="81">
        <f>IFERROR($AG1267/$AF1267,"")</f>
        <v/>
      </c>
      <c r="BI1267" s="82">
        <f>$AJ1267-$AF1267</f>
        <v/>
      </c>
      <c r="BJ1267" s="81">
        <f>IFERROR($AJ1267/$AG1267,"")</f>
        <v/>
      </c>
      <c r="BK1267" s="81">
        <f>$X1267</f>
        <v/>
      </c>
      <c r="BL1267" s="82">
        <f>($J1267-$J1268)*100</f>
        <v/>
      </c>
      <c r="BM1267" s="82">
        <f>($F1267-$F1268)*100</f>
        <v/>
      </c>
      <c r="BN1267" s="82">
        <f>$AF1267-$AF1268</f>
        <v/>
      </c>
      <c r="BO1267" s="82">
        <f>$AG1267-$AG1268</f>
        <v/>
      </c>
      <c r="BP1267" s="82">
        <f>$AJ1267-$AJ1268</f>
        <v/>
      </c>
    </row>
    <row r="1268">
      <c r="AR1268" s="81">
        <f>($G1268+($H1268-$G1268)*0.5)+($P1268-($O1268+($Q1268-$O1268)*0.5))</f>
        <v/>
      </c>
      <c r="AS1268" s="81">
        <f>($J1268+($K1268-$J1268)*0.5)+($T1268-($S1268+($U1268-$S1268)*0.5))</f>
        <v/>
      </c>
      <c r="AT1268" s="82">
        <f>($J1268-$C1268)*100</f>
        <v/>
      </c>
      <c r="AU1268" s="82">
        <f>($H1268-$F1268)*100</f>
        <v/>
      </c>
      <c r="AV1268" s="82">
        <f>($J1268-$F1268)*100</f>
        <v/>
      </c>
      <c r="AW1268" s="82">
        <f>($L1268-$F1268)*100</f>
        <v/>
      </c>
      <c r="AX1268" s="82">
        <f>($J1268-$H1268)*100</f>
        <v/>
      </c>
      <c r="AY1268" s="82">
        <f>($L1268-$H1268)*100</f>
        <v/>
      </c>
      <c r="AZ1268" s="82">
        <f>($L1268-$J1268)*100</f>
        <v/>
      </c>
      <c r="BA1268" s="82">
        <f>(2*$H1268-$F1268-$J1268)*100</f>
        <v/>
      </c>
      <c r="BB1268" s="82">
        <f>(2*$J1268-$H1268-$L1268)*100</f>
        <v/>
      </c>
      <c r="BC1268" s="82">
        <f>($N1268-$F1268)*100</f>
        <v/>
      </c>
      <c r="BD1268" s="82">
        <f>($Q1268-$H1268)*100</f>
        <v/>
      </c>
      <c r="BE1268" s="82">
        <f>($S1268-$J1268)*100</f>
        <v/>
      </c>
      <c r="BF1268" s="82">
        <f>($V1268-$L1268)*100</f>
        <v/>
      </c>
      <c r="BG1268" s="82">
        <f>$AG1268-$AF1268</f>
        <v/>
      </c>
      <c r="BH1268" s="81">
        <f>IFERROR($AG1268/$AF1268,"")</f>
        <v/>
      </c>
      <c r="BI1268" s="82">
        <f>$AJ1268-$AF1268</f>
        <v/>
      </c>
      <c r="BJ1268" s="81">
        <f>IFERROR($AJ1268/$AG1268,"")</f>
        <v/>
      </c>
      <c r="BK1268" s="81">
        <f>$X1268</f>
        <v/>
      </c>
      <c r="BL1268" s="82">
        <f>($J1268-$J1269)*100</f>
        <v/>
      </c>
      <c r="BM1268" s="82">
        <f>($F1268-$F1269)*100</f>
        <v/>
      </c>
      <c r="BN1268" s="82">
        <f>$AF1268-$AF1269</f>
        <v/>
      </c>
      <c r="BO1268" s="82">
        <f>$AG1268-$AG1269</f>
        <v/>
      </c>
      <c r="BP1268" s="82">
        <f>$AJ1268-$AJ1269</f>
        <v/>
      </c>
    </row>
    <row r="1269">
      <c r="AR1269" s="81">
        <f>($G1269+($H1269-$G1269)*0.5)+($P1269-($O1269+($Q1269-$O1269)*0.5))</f>
        <v/>
      </c>
      <c r="AS1269" s="81">
        <f>($J1269+($K1269-$J1269)*0.5)+($T1269-($S1269+($U1269-$S1269)*0.5))</f>
        <v/>
      </c>
      <c r="AT1269" s="82">
        <f>($J1269-$C1269)*100</f>
        <v/>
      </c>
      <c r="AU1269" s="82">
        <f>($H1269-$F1269)*100</f>
        <v/>
      </c>
      <c r="AV1269" s="82">
        <f>($J1269-$F1269)*100</f>
        <v/>
      </c>
      <c r="AW1269" s="82">
        <f>($L1269-$F1269)*100</f>
        <v/>
      </c>
      <c r="AX1269" s="82">
        <f>($J1269-$H1269)*100</f>
        <v/>
      </c>
      <c r="AY1269" s="82">
        <f>($L1269-$H1269)*100</f>
        <v/>
      </c>
      <c r="AZ1269" s="82">
        <f>($L1269-$J1269)*100</f>
        <v/>
      </c>
      <c r="BA1269" s="82">
        <f>(2*$H1269-$F1269-$J1269)*100</f>
        <v/>
      </c>
      <c r="BB1269" s="82">
        <f>(2*$J1269-$H1269-$L1269)*100</f>
        <v/>
      </c>
      <c r="BC1269" s="82">
        <f>($N1269-$F1269)*100</f>
        <v/>
      </c>
      <c r="BD1269" s="82">
        <f>($Q1269-$H1269)*100</f>
        <v/>
      </c>
      <c r="BE1269" s="82">
        <f>($S1269-$J1269)*100</f>
        <v/>
      </c>
      <c r="BF1269" s="82">
        <f>($V1269-$L1269)*100</f>
        <v/>
      </c>
      <c r="BG1269" s="82">
        <f>$AG1269-$AF1269</f>
        <v/>
      </c>
      <c r="BH1269" s="81">
        <f>IFERROR($AG1269/$AF1269,"")</f>
        <v/>
      </c>
      <c r="BI1269" s="82">
        <f>$AJ1269-$AF1269</f>
        <v/>
      </c>
      <c r="BJ1269" s="81">
        <f>IFERROR($AJ1269/$AG1269,"")</f>
        <v/>
      </c>
      <c r="BK1269" s="81">
        <f>$X1269</f>
        <v/>
      </c>
      <c r="BL1269" s="82">
        <f>($J1269-$J1270)*100</f>
        <v/>
      </c>
      <c r="BM1269" s="82">
        <f>($F1269-$F1270)*100</f>
        <v/>
      </c>
      <c r="BN1269" s="82">
        <f>$AF1269-$AF1270</f>
        <v/>
      </c>
      <c r="BO1269" s="82">
        <f>$AG1269-$AG1270</f>
        <v/>
      </c>
      <c r="BP1269" s="82">
        <f>$AJ1269-$AJ1270</f>
        <v/>
      </c>
    </row>
    <row r="1270">
      <c r="AR1270" s="81">
        <f>($G1270+($H1270-$G1270)*0.5)+($P1270-($O1270+($Q1270-$O1270)*0.5))</f>
        <v/>
      </c>
      <c r="AS1270" s="81">
        <f>($J1270+($K1270-$J1270)*0.5)+($T1270-($S1270+($U1270-$S1270)*0.5))</f>
        <v/>
      </c>
      <c r="AT1270" s="82">
        <f>($J1270-$C1270)*100</f>
        <v/>
      </c>
      <c r="AU1270" s="82">
        <f>($H1270-$F1270)*100</f>
        <v/>
      </c>
      <c r="AV1270" s="82">
        <f>($J1270-$F1270)*100</f>
        <v/>
      </c>
      <c r="AW1270" s="82">
        <f>($L1270-$F1270)*100</f>
        <v/>
      </c>
      <c r="AX1270" s="82">
        <f>($J1270-$H1270)*100</f>
        <v/>
      </c>
      <c r="AY1270" s="82">
        <f>($L1270-$H1270)*100</f>
        <v/>
      </c>
      <c r="AZ1270" s="82">
        <f>($L1270-$J1270)*100</f>
        <v/>
      </c>
      <c r="BA1270" s="82">
        <f>(2*$H1270-$F1270-$J1270)*100</f>
        <v/>
      </c>
      <c r="BB1270" s="82">
        <f>(2*$J1270-$H1270-$L1270)*100</f>
        <v/>
      </c>
      <c r="BC1270" s="82">
        <f>($N1270-$F1270)*100</f>
        <v/>
      </c>
      <c r="BD1270" s="82">
        <f>($Q1270-$H1270)*100</f>
        <v/>
      </c>
      <c r="BE1270" s="82">
        <f>($S1270-$J1270)*100</f>
        <v/>
      </c>
      <c r="BF1270" s="82">
        <f>($V1270-$L1270)*100</f>
        <v/>
      </c>
      <c r="BG1270" s="82">
        <f>$AG1270-$AF1270</f>
        <v/>
      </c>
      <c r="BH1270" s="81">
        <f>IFERROR($AG1270/$AF1270,"")</f>
        <v/>
      </c>
      <c r="BI1270" s="82">
        <f>$AJ1270-$AF1270</f>
        <v/>
      </c>
      <c r="BJ1270" s="81">
        <f>IFERROR($AJ1270/$AG1270,"")</f>
        <v/>
      </c>
      <c r="BK1270" s="81">
        <f>$X1270</f>
        <v/>
      </c>
      <c r="BL1270" s="82">
        <f>($J1270-$J1271)*100</f>
        <v/>
      </c>
      <c r="BM1270" s="82">
        <f>($F1270-$F1271)*100</f>
        <v/>
      </c>
      <c r="BN1270" s="82">
        <f>$AF1270-$AF1271</f>
        <v/>
      </c>
      <c r="BO1270" s="82">
        <f>$AG1270-$AG1271</f>
        <v/>
      </c>
      <c r="BP1270" s="82">
        <f>$AJ1270-$AJ1271</f>
        <v/>
      </c>
    </row>
    <row r="1271">
      <c r="AR1271" s="81">
        <f>($G1271+($H1271-$G1271)*0.5)+($P1271-($O1271+($Q1271-$O1271)*0.5))</f>
        <v/>
      </c>
      <c r="AS1271" s="81">
        <f>($J1271+($K1271-$J1271)*0.5)+($T1271-($S1271+($U1271-$S1271)*0.5))</f>
        <v/>
      </c>
      <c r="AT1271" s="82">
        <f>($J1271-$C1271)*100</f>
        <v/>
      </c>
      <c r="AU1271" s="82">
        <f>($H1271-$F1271)*100</f>
        <v/>
      </c>
      <c r="AV1271" s="82">
        <f>($J1271-$F1271)*100</f>
        <v/>
      </c>
      <c r="AW1271" s="82">
        <f>($L1271-$F1271)*100</f>
        <v/>
      </c>
      <c r="AX1271" s="82">
        <f>($J1271-$H1271)*100</f>
        <v/>
      </c>
      <c r="AY1271" s="82">
        <f>($L1271-$H1271)*100</f>
        <v/>
      </c>
      <c r="AZ1271" s="82">
        <f>($L1271-$J1271)*100</f>
        <v/>
      </c>
      <c r="BA1271" s="82">
        <f>(2*$H1271-$F1271-$J1271)*100</f>
        <v/>
      </c>
      <c r="BB1271" s="82">
        <f>(2*$J1271-$H1271-$L1271)*100</f>
        <v/>
      </c>
      <c r="BC1271" s="82">
        <f>($N1271-$F1271)*100</f>
        <v/>
      </c>
      <c r="BD1271" s="82">
        <f>($Q1271-$H1271)*100</f>
        <v/>
      </c>
      <c r="BE1271" s="82">
        <f>($S1271-$J1271)*100</f>
        <v/>
      </c>
      <c r="BF1271" s="82">
        <f>($V1271-$L1271)*100</f>
        <v/>
      </c>
      <c r="BG1271" s="82">
        <f>$AG1271-$AF1271</f>
        <v/>
      </c>
      <c r="BH1271" s="81">
        <f>IFERROR($AG1271/$AF1271,"")</f>
        <v/>
      </c>
      <c r="BI1271" s="82">
        <f>$AJ1271-$AF1271</f>
        <v/>
      </c>
      <c r="BJ1271" s="81">
        <f>IFERROR($AJ1271/$AG1271,"")</f>
        <v/>
      </c>
      <c r="BK1271" s="81">
        <f>$X1271</f>
        <v/>
      </c>
      <c r="BL1271" s="82">
        <f>($J1271-$J1272)*100</f>
        <v/>
      </c>
      <c r="BM1271" s="82">
        <f>($F1271-$F1272)*100</f>
        <v/>
      </c>
      <c r="BN1271" s="82">
        <f>$AF1271-$AF1272</f>
        <v/>
      </c>
      <c r="BO1271" s="82">
        <f>$AG1271-$AG1272</f>
        <v/>
      </c>
      <c r="BP1271" s="82">
        <f>$AJ1271-$AJ1272</f>
        <v/>
      </c>
    </row>
    <row r="1272">
      <c r="AR1272" s="81">
        <f>($G1272+($H1272-$G1272)*0.5)+($P1272-($O1272+($Q1272-$O1272)*0.5))</f>
        <v/>
      </c>
      <c r="AS1272" s="81">
        <f>($J1272+($K1272-$J1272)*0.5)+($T1272-($S1272+($U1272-$S1272)*0.5))</f>
        <v/>
      </c>
      <c r="AT1272" s="82">
        <f>($J1272-$C1272)*100</f>
        <v/>
      </c>
      <c r="AU1272" s="82">
        <f>($H1272-$F1272)*100</f>
        <v/>
      </c>
      <c r="AV1272" s="82">
        <f>($J1272-$F1272)*100</f>
        <v/>
      </c>
      <c r="AW1272" s="82">
        <f>($L1272-$F1272)*100</f>
        <v/>
      </c>
      <c r="AX1272" s="82">
        <f>($J1272-$H1272)*100</f>
        <v/>
      </c>
      <c r="AY1272" s="82">
        <f>($L1272-$H1272)*100</f>
        <v/>
      </c>
      <c r="AZ1272" s="82">
        <f>($L1272-$J1272)*100</f>
        <v/>
      </c>
      <c r="BA1272" s="82">
        <f>(2*$H1272-$F1272-$J1272)*100</f>
        <v/>
      </c>
      <c r="BB1272" s="82">
        <f>(2*$J1272-$H1272-$L1272)*100</f>
        <v/>
      </c>
      <c r="BC1272" s="82">
        <f>($N1272-$F1272)*100</f>
        <v/>
      </c>
      <c r="BD1272" s="82">
        <f>($Q1272-$H1272)*100</f>
        <v/>
      </c>
      <c r="BE1272" s="82">
        <f>($S1272-$J1272)*100</f>
        <v/>
      </c>
      <c r="BF1272" s="82">
        <f>($V1272-$L1272)*100</f>
        <v/>
      </c>
      <c r="BG1272" s="82">
        <f>$AG1272-$AF1272</f>
        <v/>
      </c>
      <c r="BH1272" s="81">
        <f>IFERROR($AG1272/$AF1272,"")</f>
        <v/>
      </c>
      <c r="BI1272" s="82">
        <f>$AJ1272-$AF1272</f>
        <v/>
      </c>
      <c r="BJ1272" s="81">
        <f>IFERROR($AJ1272/$AG1272,"")</f>
        <v/>
      </c>
      <c r="BK1272" s="81">
        <f>$X1272</f>
        <v/>
      </c>
      <c r="BL1272" s="82">
        <f>($J1272-$J1273)*100</f>
        <v/>
      </c>
      <c r="BM1272" s="82">
        <f>($F1272-$F1273)*100</f>
        <v/>
      </c>
      <c r="BN1272" s="82">
        <f>$AF1272-$AF1273</f>
        <v/>
      </c>
      <c r="BO1272" s="82">
        <f>$AG1272-$AG1273</f>
        <v/>
      </c>
      <c r="BP1272" s="82">
        <f>$AJ1272-$AJ1273</f>
        <v/>
      </c>
    </row>
    <row r="1273">
      <c r="AR1273" s="81">
        <f>($G1273+($H1273-$G1273)*0.5)+($P1273-($O1273+($Q1273-$O1273)*0.5))</f>
        <v/>
      </c>
      <c r="AS1273" s="81">
        <f>($J1273+($K1273-$J1273)*0.5)+($T1273-($S1273+($U1273-$S1273)*0.5))</f>
        <v/>
      </c>
      <c r="AT1273" s="82">
        <f>($J1273-$C1273)*100</f>
        <v/>
      </c>
      <c r="AU1273" s="82">
        <f>($H1273-$F1273)*100</f>
        <v/>
      </c>
      <c r="AV1273" s="82">
        <f>($J1273-$F1273)*100</f>
        <v/>
      </c>
      <c r="AW1273" s="82">
        <f>($L1273-$F1273)*100</f>
        <v/>
      </c>
      <c r="AX1273" s="82">
        <f>($J1273-$H1273)*100</f>
        <v/>
      </c>
      <c r="AY1273" s="82">
        <f>($L1273-$H1273)*100</f>
        <v/>
      </c>
      <c r="AZ1273" s="82">
        <f>($L1273-$J1273)*100</f>
        <v/>
      </c>
      <c r="BA1273" s="82">
        <f>(2*$H1273-$F1273-$J1273)*100</f>
        <v/>
      </c>
      <c r="BB1273" s="82">
        <f>(2*$J1273-$H1273-$L1273)*100</f>
        <v/>
      </c>
      <c r="BC1273" s="82">
        <f>($N1273-$F1273)*100</f>
        <v/>
      </c>
      <c r="BD1273" s="82">
        <f>($Q1273-$H1273)*100</f>
        <v/>
      </c>
      <c r="BE1273" s="82">
        <f>($S1273-$J1273)*100</f>
        <v/>
      </c>
      <c r="BF1273" s="82">
        <f>($V1273-$L1273)*100</f>
        <v/>
      </c>
      <c r="BG1273" s="82">
        <f>$AG1273-$AF1273</f>
        <v/>
      </c>
      <c r="BH1273" s="81">
        <f>IFERROR($AG1273/$AF1273,"")</f>
        <v/>
      </c>
      <c r="BI1273" s="82">
        <f>$AJ1273-$AF1273</f>
        <v/>
      </c>
      <c r="BJ1273" s="81">
        <f>IFERROR($AJ1273/$AG1273,"")</f>
        <v/>
      </c>
      <c r="BK1273" s="81">
        <f>$X1273</f>
        <v/>
      </c>
      <c r="BL1273" s="82">
        <f>($J1273-$J1274)*100</f>
        <v/>
      </c>
      <c r="BM1273" s="82">
        <f>($F1273-$F1274)*100</f>
        <v/>
      </c>
      <c r="BN1273" s="82">
        <f>$AF1273-$AF1274</f>
        <v/>
      </c>
      <c r="BO1273" s="82">
        <f>$AG1273-$AG1274</f>
        <v/>
      </c>
      <c r="BP1273" s="82">
        <f>$AJ1273-$AJ1274</f>
        <v/>
      </c>
    </row>
    <row r="1274">
      <c r="AR1274" s="81">
        <f>($G1274+($H1274-$G1274)*0.5)+($P1274-($O1274+($Q1274-$O1274)*0.5))</f>
        <v/>
      </c>
      <c r="AS1274" s="81">
        <f>($J1274+($K1274-$J1274)*0.5)+($T1274-($S1274+($U1274-$S1274)*0.5))</f>
        <v/>
      </c>
      <c r="AT1274" s="82">
        <f>($J1274-$C1274)*100</f>
        <v/>
      </c>
      <c r="AU1274" s="82">
        <f>($H1274-$F1274)*100</f>
        <v/>
      </c>
      <c r="AV1274" s="82">
        <f>($J1274-$F1274)*100</f>
        <v/>
      </c>
      <c r="AW1274" s="82">
        <f>($L1274-$F1274)*100</f>
        <v/>
      </c>
      <c r="AX1274" s="82">
        <f>($J1274-$H1274)*100</f>
        <v/>
      </c>
      <c r="AY1274" s="82">
        <f>($L1274-$H1274)*100</f>
        <v/>
      </c>
      <c r="AZ1274" s="82">
        <f>($L1274-$J1274)*100</f>
        <v/>
      </c>
      <c r="BA1274" s="82">
        <f>(2*$H1274-$F1274-$J1274)*100</f>
        <v/>
      </c>
      <c r="BB1274" s="82">
        <f>(2*$J1274-$H1274-$L1274)*100</f>
        <v/>
      </c>
      <c r="BC1274" s="82">
        <f>($N1274-$F1274)*100</f>
        <v/>
      </c>
      <c r="BD1274" s="82">
        <f>($Q1274-$H1274)*100</f>
        <v/>
      </c>
      <c r="BE1274" s="82">
        <f>($S1274-$J1274)*100</f>
        <v/>
      </c>
      <c r="BF1274" s="82">
        <f>($V1274-$L1274)*100</f>
        <v/>
      </c>
      <c r="BG1274" s="82">
        <f>$AG1274-$AF1274</f>
        <v/>
      </c>
      <c r="BH1274" s="81">
        <f>IFERROR($AG1274/$AF1274,"")</f>
        <v/>
      </c>
      <c r="BI1274" s="82">
        <f>$AJ1274-$AF1274</f>
        <v/>
      </c>
      <c r="BJ1274" s="81">
        <f>IFERROR($AJ1274/$AG1274,"")</f>
        <v/>
      </c>
      <c r="BK1274" s="81">
        <f>$X1274</f>
        <v/>
      </c>
      <c r="BL1274" s="82">
        <f>($J1274-$J1275)*100</f>
        <v/>
      </c>
      <c r="BM1274" s="82">
        <f>($F1274-$F1275)*100</f>
        <v/>
      </c>
      <c r="BN1274" s="82">
        <f>$AF1274-$AF1275</f>
        <v/>
      </c>
      <c r="BO1274" s="82">
        <f>$AG1274-$AG1275</f>
        <v/>
      </c>
      <c r="BP1274" s="82">
        <f>$AJ1274-$AJ1275</f>
        <v/>
      </c>
    </row>
    <row r="1275">
      <c r="AR1275" s="81">
        <f>($G1275+($H1275-$G1275)*0.5)+($P1275-($O1275+($Q1275-$O1275)*0.5))</f>
        <v/>
      </c>
      <c r="AS1275" s="81">
        <f>($J1275+($K1275-$J1275)*0.5)+($T1275-($S1275+($U1275-$S1275)*0.5))</f>
        <v/>
      </c>
      <c r="AT1275" s="82">
        <f>($J1275-$C1275)*100</f>
        <v/>
      </c>
      <c r="AU1275" s="82">
        <f>($H1275-$F1275)*100</f>
        <v/>
      </c>
      <c r="AV1275" s="82">
        <f>($J1275-$F1275)*100</f>
        <v/>
      </c>
      <c r="AW1275" s="82">
        <f>($L1275-$F1275)*100</f>
        <v/>
      </c>
      <c r="AX1275" s="82">
        <f>($J1275-$H1275)*100</f>
        <v/>
      </c>
      <c r="AY1275" s="82">
        <f>($L1275-$H1275)*100</f>
        <v/>
      </c>
      <c r="AZ1275" s="82">
        <f>($L1275-$J1275)*100</f>
        <v/>
      </c>
      <c r="BA1275" s="82">
        <f>(2*$H1275-$F1275-$J1275)*100</f>
        <v/>
      </c>
      <c r="BB1275" s="82">
        <f>(2*$J1275-$H1275-$L1275)*100</f>
        <v/>
      </c>
      <c r="BC1275" s="82">
        <f>($N1275-$F1275)*100</f>
        <v/>
      </c>
      <c r="BD1275" s="82">
        <f>($Q1275-$H1275)*100</f>
        <v/>
      </c>
      <c r="BE1275" s="82">
        <f>($S1275-$J1275)*100</f>
        <v/>
      </c>
      <c r="BF1275" s="82">
        <f>($V1275-$L1275)*100</f>
        <v/>
      </c>
      <c r="BG1275" s="82">
        <f>$AG1275-$AF1275</f>
        <v/>
      </c>
      <c r="BH1275" s="81">
        <f>IFERROR($AG1275/$AF1275,"")</f>
        <v/>
      </c>
      <c r="BI1275" s="82">
        <f>$AJ1275-$AF1275</f>
        <v/>
      </c>
      <c r="BJ1275" s="81">
        <f>IFERROR($AJ1275/$AG1275,"")</f>
        <v/>
      </c>
      <c r="BK1275" s="81">
        <f>$X1275</f>
        <v/>
      </c>
      <c r="BL1275" s="82">
        <f>($J1275-$J1276)*100</f>
        <v/>
      </c>
      <c r="BM1275" s="82">
        <f>($F1275-$F1276)*100</f>
        <v/>
      </c>
      <c r="BN1275" s="82">
        <f>$AF1275-$AF1276</f>
        <v/>
      </c>
      <c r="BO1275" s="82">
        <f>$AG1275-$AG1276</f>
        <v/>
      </c>
      <c r="BP1275" s="82">
        <f>$AJ1275-$AJ1276</f>
        <v/>
      </c>
    </row>
    <row r="1276">
      <c r="AR1276" s="81">
        <f>($G1276+($H1276-$G1276)*0.5)+($P1276-($O1276+($Q1276-$O1276)*0.5))</f>
        <v/>
      </c>
      <c r="AS1276" s="81">
        <f>($J1276+($K1276-$J1276)*0.5)+($T1276-($S1276+($U1276-$S1276)*0.5))</f>
        <v/>
      </c>
      <c r="AT1276" s="82">
        <f>($J1276-$C1276)*100</f>
        <v/>
      </c>
      <c r="AU1276" s="82">
        <f>($H1276-$F1276)*100</f>
        <v/>
      </c>
      <c r="AV1276" s="82">
        <f>($J1276-$F1276)*100</f>
        <v/>
      </c>
      <c r="AW1276" s="82">
        <f>($L1276-$F1276)*100</f>
        <v/>
      </c>
      <c r="AX1276" s="82">
        <f>($J1276-$H1276)*100</f>
        <v/>
      </c>
      <c r="AY1276" s="82">
        <f>($L1276-$H1276)*100</f>
        <v/>
      </c>
      <c r="AZ1276" s="82">
        <f>($L1276-$J1276)*100</f>
        <v/>
      </c>
      <c r="BA1276" s="82">
        <f>(2*$H1276-$F1276-$J1276)*100</f>
        <v/>
      </c>
      <c r="BB1276" s="82">
        <f>(2*$J1276-$H1276-$L1276)*100</f>
        <v/>
      </c>
      <c r="BC1276" s="82">
        <f>($N1276-$F1276)*100</f>
        <v/>
      </c>
      <c r="BD1276" s="82">
        <f>($Q1276-$H1276)*100</f>
        <v/>
      </c>
      <c r="BE1276" s="82">
        <f>($S1276-$J1276)*100</f>
        <v/>
      </c>
      <c r="BF1276" s="82">
        <f>($V1276-$L1276)*100</f>
        <v/>
      </c>
      <c r="BG1276" s="82">
        <f>$AG1276-$AF1276</f>
        <v/>
      </c>
      <c r="BH1276" s="81">
        <f>IFERROR($AG1276/$AF1276,"")</f>
        <v/>
      </c>
      <c r="BI1276" s="82">
        <f>$AJ1276-$AF1276</f>
        <v/>
      </c>
      <c r="BJ1276" s="81">
        <f>IFERROR($AJ1276/$AG1276,"")</f>
        <v/>
      </c>
      <c r="BK1276" s="81">
        <f>$X1276</f>
        <v/>
      </c>
      <c r="BL1276" s="82">
        <f>($J1276-$J1277)*100</f>
        <v/>
      </c>
      <c r="BM1276" s="82">
        <f>($F1276-$F1277)*100</f>
        <v/>
      </c>
      <c r="BN1276" s="82">
        <f>$AF1276-$AF1277</f>
        <v/>
      </c>
      <c r="BO1276" s="82">
        <f>$AG1276-$AG1277</f>
        <v/>
      </c>
      <c r="BP1276" s="82">
        <f>$AJ1276-$AJ1277</f>
        <v/>
      </c>
    </row>
    <row r="1277">
      <c r="AR1277" s="81">
        <f>($G1277+($H1277-$G1277)*0.5)+($P1277-($O1277+($Q1277-$O1277)*0.5))</f>
        <v/>
      </c>
      <c r="AS1277" s="81">
        <f>($J1277+($K1277-$J1277)*0.5)+($T1277-($S1277+($U1277-$S1277)*0.5))</f>
        <v/>
      </c>
      <c r="AT1277" s="82">
        <f>($J1277-$C1277)*100</f>
        <v/>
      </c>
      <c r="AU1277" s="82">
        <f>($H1277-$F1277)*100</f>
        <v/>
      </c>
      <c r="AV1277" s="82">
        <f>($J1277-$F1277)*100</f>
        <v/>
      </c>
      <c r="AW1277" s="82">
        <f>($L1277-$F1277)*100</f>
        <v/>
      </c>
      <c r="AX1277" s="82">
        <f>($J1277-$H1277)*100</f>
        <v/>
      </c>
      <c r="AY1277" s="82">
        <f>($L1277-$H1277)*100</f>
        <v/>
      </c>
      <c r="AZ1277" s="82">
        <f>($L1277-$J1277)*100</f>
        <v/>
      </c>
      <c r="BA1277" s="82">
        <f>(2*$H1277-$F1277-$J1277)*100</f>
        <v/>
      </c>
      <c r="BB1277" s="82">
        <f>(2*$J1277-$H1277-$L1277)*100</f>
        <v/>
      </c>
      <c r="BC1277" s="82">
        <f>($N1277-$F1277)*100</f>
        <v/>
      </c>
      <c r="BD1277" s="82">
        <f>($Q1277-$H1277)*100</f>
        <v/>
      </c>
      <c r="BE1277" s="82">
        <f>($S1277-$J1277)*100</f>
        <v/>
      </c>
      <c r="BF1277" s="82">
        <f>($V1277-$L1277)*100</f>
        <v/>
      </c>
      <c r="BG1277" s="82">
        <f>$AG1277-$AF1277</f>
        <v/>
      </c>
      <c r="BH1277" s="81">
        <f>IFERROR($AG1277/$AF1277,"")</f>
        <v/>
      </c>
      <c r="BI1277" s="82">
        <f>$AJ1277-$AF1277</f>
        <v/>
      </c>
      <c r="BJ1277" s="81">
        <f>IFERROR($AJ1277/$AG1277,"")</f>
        <v/>
      </c>
      <c r="BK1277" s="81">
        <f>$X1277</f>
        <v/>
      </c>
      <c r="BL1277" s="82">
        <f>($J1277-$J1278)*100</f>
        <v/>
      </c>
      <c r="BM1277" s="82">
        <f>($F1277-$F1278)*100</f>
        <v/>
      </c>
      <c r="BN1277" s="82">
        <f>$AF1277-$AF1278</f>
        <v/>
      </c>
      <c r="BO1277" s="82">
        <f>$AG1277-$AG1278</f>
        <v/>
      </c>
      <c r="BP1277" s="82">
        <f>$AJ1277-$AJ1278</f>
        <v/>
      </c>
    </row>
    <row r="1278">
      <c r="AR1278" s="81">
        <f>($G1278+($H1278-$G1278)*0.5)+($P1278-($O1278+($Q1278-$O1278)*0.5))</f>
        <v/>
      </c>
      <c r="AS1278" s="81">
        <f>($J1278+($K1278-$J1278)*0.5)+($T1278-($S1278+($U1278-$S1278)*0.5))</f>
        <v/>
      </c>
      <c r="AT1278" s="82">
        <f>($J1278-$C1278)*100</f>
        <v/>
      </c>
      <c r="AU1278" s="82">
        <f>($H1278-$F1278)*100</f>
        <v/>
      </c>
      <c r="AV1278" s="82">
        <f>($J1278-$F1278)*100</f>
        <v/>
      </c>
      <c r="AW1278" s="82">
        <f>($L1278-$F1278)*100</f>
        <v/>
      </c>
      <c r="AX1278" s="82">
        <f>($J1278-$H1278)*100</f>
        <v/>
      </c>
      <c r="AY1278" s="82">
        <f>($L1278-$H1278)*100</f>
        <v/>
      </c>
      <c r="AZ1278" s="82">
        <f>($L1278-$J1278)*100</f>
        <v/>
      </c>
      <c r="BA1278" s="82">
        <f>(2*$H1278-$F1278-$J1278)*100</f>
        <v/>
      </c>
      <c r="BB1278" s="82">
        <f>(2*$J1278-$H1278-$L1278)*100</f>
        <v/>
      </c>
      <c r="BC1278" s="82">
        <f>($N1278-$F1278)*100</f>
        <v/>
      </c>
      <c r="BD1278" s="82">
        <f>($Q1278-$H1278)*100</f>
        <v/>
      </c>
      <c r="BE1278" s="82">
        <f>($S1278-$J1278)*100</f>
        <v/>
      </c>
      <c r="BF1278" s="82">
        <f>($V1278-$L1278)*100</f>
        <v/>
      </c>
      <c r="BG1278" s="82">
        <f>$AG1278-$AF1278</f>
        <v/>
      </c>
      <c r="BH1278" s="81">
        <f>IFERROR($AG1278/$AF1278,"")</f>
        <v/>
      </c>
      <c r="BI1278" s="82">
        <f>$AJ1278-$AF1278</f>
        <v/>
      </c>
      <c r="BJ1278" s="81">
        <f>IFERROR($AJ1278/$AG1278,"")</f>
        <v/>
      </c>
      <c r="BK1278" s="81">
        <f>$X1278</f>
        <v/>
      </c>
      <c r="BL1278" s="82">
        <f>($J1278-$J1279)*100</f>
        <v/>
      </c>
      <c r="BM1278" s="82">
        <f>($F1278-$F1279)*100</f>
        <v/>
      </c>
      <c r="BN1278" s="82">
        <f>$AF1278-$AF1279</f>
        <v/>
      </c>
      <c r="BO1278" s="82">
        <f>$AG1278-$AG1279</f>
        <v/>
      </c>
      <c r="BP1278" s="82">
        <f>$AJ1278-$AJ1279</f>
        <v/>
      </c>
    </row>
    <row r="1279">
      <c r="AR1279" s="81">
        <f>($G1279+($H1279-$G1279)*0.5)+($P1279-($O1279+($Q1279-$O1279)*0.5))</f>
        <v/>
      </c>
      <c r="AS1279" s="81">
        <f>($J1279+($K1279-$J1279)*0.5)+($T1279-($S1279+($U1279-$S1279)*0.5))</f>
        <v/>
      </c>
      <c r="AT1279" s="82">
        <f>($J1279-$C1279)*100</f>
        <v/>
      </c>
      <c r="AU1279" s="82">
        <f>($H1279-$F1279)*100</f>
        <v/>
      </c>
      <c r="AV1279" s="82">
        <f>($J1279-$F1279)*100</f>
        <v/>
      </c>
      <c r="AW1279" s="82">
        <f>($L1279-$F1279)*100</f>
        <v/>
      </c>
      <c r="AX1279" s="82">
        <f>($J1279-$H1279)*100</f>
        <v/>
      </c>
      <c r="AY1279" s="82">
        <f>($L1279-$H1279)*100</f>
        <v/>
      </c>
      <c r="AZ1279" s="82">
        <f>($L1279-$J1279)*100</f>
        <v/>
      </c>
      <c r="BA1279" s="82">
        <f>(2*$H1279-$F1279-$J1279)*100</f>
        <v/>
      </c>
      <c r="BB1279" s="82">
        <f>(2*$J1279-$H1279-$L1279)*100</f>
        <v/>
      </c>
      <c r="BC1279" s="82">
        <f>($N1279-$F1279)*100</f>
        <v/>
      </c>
      <c r="BD1279" s="82">
        <f>($Q1279-$H1279)*100</f>
        <v/>
      </c>
      <c r="BE1279" s="82">
        <f>($S1279-$J1279)*100</f>
        <v/>
      </c>
      <c r="BF1279" s="82">
        <f>($V1279-$L1279)*100</f>
        <v/>
      </c>
      <c r="BG1279" s="82">
        <f>$AG1279-$AF1279</f>
        <v/>
      </c>
      <c r="BH1279" s="81">
        <f>IFERROR($AG1279/$AF1279,"")</f>
        <v/>
      </c>
      <c r="BI1279" s="82">
        <f>$AJ1279-$AF1279</f>
        <v/>
      </c>
      <c r="BJ1279" s="81">
        <f>IFERROR($AJ1279/$AG1279,"")</f>
        <v/>
      </c>
      <c r="BK1279" s="81">
        <f>$X1279</f>
        <v/>
      </c>
      <c r="BL1279" s="82">
        <f>($J1279-$J1280)*100</f>
        <v/>
      </c>
      <c r="BM1279" s="82">
        <f>($F1279-$F1280)*100</f>
        <v/>
      </c>
      <c r="BN1279" s="82">
        <f>$AF1279-$AF1280</f>
        <v/>
      </c>
      <c r="BO1279" s="82">
        <f>$AG1279-$AG1280</f>
        <v/>
      </c>
      <c r="BP1279" s="82">
        <f>$AJ1279-$AJ1280</f>
        <v/>
      </c>
    </row>
    <row r="1280">
      <c r="AR1280" s="81">
        <f>($G1280+($H1280-$G1280)*0.5)+($P1280-($O1280+($Q1280-$O1280)*0.5))</f>
        <v/>
      </c>
      <c r="AS1280" s="81">
        <f>($J1280+($K1280-$J1280)*0.5)+($T1280-($S1280+($U1280-$S1280)*0.5))</f>
        <v/>
      </c>
      <c r="AT1280" s="82">
        <f>($J1280-$C1280)*100</f>
        <v/>
      </c>
      <c r="AU1280" s="82">
        <f>($H1280-$F1280)*100</f>
        <v/>
      </c>
      <c r="AV1280" s="82">
        <f>($J1280-$F1280)*100</f>
        <v/>
      </c>
      <c r="AW1280" s="82">
        <f>($L1280-$F1280)*100</f>
        <v/>
      </c>
      <c r="AX1280" s="82">
        <f>($J1280-$H1280)*100</f>
        <v/>
      </c>
      <c r="AY1280" s="82">
        <f>($L1280-$H1280)*100</f>
        <v/>
      </c>
      <c r="AZ1280" s="82">
        <f>($L1280-$J1280)*100</f>
        <v/>
      </c>
      <c r="BA1280" s="82">
        <f>(2*$H1280-$F1280-$J1280)*100</f>
        <v/>
      </c>
      <c r="BB1280" s="82">
        <f>(2*$J1280-$H1280-$L1280)*100</f>
        <v/>
      </c>
      <c r="BC1280" s="82">
        <f>($N1280-$F1280)*100</f>
        <v/>
      </c>
      <c r="BD1280" s="82">
        <f>($Q1280-$H1280)*100</f>
        <v/>
      </c>
      <c r="BE1280" s="82">
        <f>($S1280-$J1280)*100</f>
        <v/>
      </c>
      <c r="BF1280" s="82">
        <f>($V1280-$L1280)*100</f>
        <v/>
      </c>
      <c r="BG1280" s="82">
        <f>$AG1280-$AF1280</f>
        <v/>
      </c>
      <c r="BH1280" s="81">
        <f>IFERROR($AG1280/$AF1280,"")</f>
        <v/>
      </c>
      <c r="BI1280" s="82">
        <f>$AJ1280-$AF1280</f>
        <v/>
      </c>
      <c r="BJ1280" s="81">
        <f>IFERROR($AJ1280/$AG1280,"")</f>
        <v/>
      </c>
      <c r="BK1280" s="81">
        <f>$X1280</f>
        <v/>
      </c>
      <c r="BL1280" s="82">
        <f>($J1280-$J1281)*100</f>
        <v/>
      </c>
      <c r="BM1280" s="82">
        <f>($F1280-$F1281)*100</f>
        <v/>
      </c>
      <c r="BN1280" s="82">
        <f>$AF1280-$AF1281</f>
        <v/>
      </c>
      <c r="BO1280" s="82">
        <f>$AG1280-$AG1281</f>
        <v/>
      </c>
      <c r="BP1280" s="82">
        <f>$AJ1280-$AJ1281</f>
        <v/>
      </c>
    </row>
    <row r="1281">
      <c r="AR1281" s="81">
        <f>($G1281+($H1281-$G1281)*0.5)+($P1281-($O1281+($Q1281-$O1281)*0.5))</f>
        <v/>
      </c>
      <c r="AS1281" s="81">
        <f>($J1281+($K1281-$J1281)*0.5)+($T1281-($S1281+($U1281-$S1281)*0.5))</f>
        <v/>
      </c>
      <c r="AT1281" s="82">
        <f>($J1281-$C1281)*100</f>
        <v/>
      </c>
      <c r="AU1281" s="82">
        <f>($H1281-$F1281)*100</f>
        <v/>
      </c>
      <c r="AV1281" s="82">
        <f>($J1281-$F1281)*100</f>
        <v/>
      </c>
      <c r="AW1281" s="82">
        <f>($L1281-$F1281)*100</f>
        <v/>
      </c>
      <c r="AX1281" s="82">
        <f>($J1281-$H1281)*100</f>
        <v/>
      </c>
      <c r="AY1281" s="82">
        <f>($L1281-$H1281)*100</f>
        <v/>
      </c>
      <c r="AZ1281" s="82">
        <f>($L1281-$J1281)*100</f>
        <v/>
      </c>
      <c r="BA1281" s="82">
        <f>(2*$H1281-$F1281-$J1281)*100</f>
        <v/>
      </c>
      <c r="BB1281" s="82">
        <f>(2*$J1281-$H1281-$L1281)*100</f>
        <v/>
      </c>
      <c r="BC1281" s="82">
        <f>($N1281-$F1281)*100</f>
        <v/>
      </c>
      <c r="BD1281" s="82">
        <f>($Q1281-$H1281)*100</f>
        <v/>
      </c>
      <c r="BE1281" s="82">
        <f>($S1281-$J1281)*100</f>
        <v/>
      </c>
      <c r="BF1281" s="82">
        <f>($V1281-$L1281)*100</f>
        <v/>
      </c>
      <c r="BG1281" s="82">
        <f>$AG1281-$AF1281</f>
        <v/>
      </c>
      <c r="BH1281" s="81">
        <f>IFERROR($AG1281/$AF1281,"")</f>
        <v/>
      </c>
      <c r="BI1281" s="82">
        <f>$AJ1281-$AF1281</f>
        <v/>
      </c>
      <c r="BJ1281" s="81">
        <f>IFERROR($AJ1281/$AG1281,"")</f>
        <v/>
      </c>
      <c r="BK1281" s="81">
        <f>$X1281</f>
        <v/>
      </c>
      <c r="BL1281" s="82">
        <f>($J1281-$J1282)*100</f>
        <v/>
      </c>
      <c r="BM1281" s="82">
        <f>($F1281-$F1282)*100</f>
        <v/>
      </c>
      <c r="BN1281" s="82">
        <f>$AF1281-$AF1282</f>
        <v/>
      </c>
      <c r="BO1281" s="82">
        <f>$AG1281-$AG1282</f>
        <v/>
      </c>
      <c r="BP1281" s="82">
        <f>$AJ1281-$AJ1282</f>
        <v/>
      </c>
    </row>
    <row r="1282">
      <c r="AR1282" s="81">
        <f>($G1282+($H1282-$G1282)*0.5)+($P1282-($O1282+($Q1282-$O1282)*0.5))</f>
        <v/>
      </c>
      <c r="AS1282" s="81">
        <f>($J1282+($K1282-$J1282)*0.5)+($T1282-($S1282+($U1282-$S1282)*0.5))</f>
        <v/>
      </c>
      <c r="AT1282" s="82">
        <f>($J1282-$C1282)*100</f>
        <v/>
      </c>
      <c r="AU1282" s="82">
        <f>($H1282-$F1282)*100</f>
        <v/>
      </c>
      <c r="AV1282" s="82">
        <f>($J1282-$F1282)*100</f>
        <v/>
      </c>
      <c r="AW1282" s="82">
        <f>($L1282-$F1282)*100</f>
        <v/>
      </c>
      <c r="AX1282" s="82">
        <f>($J1282-$H1282)*100</f>
        <v/>
      </c>
      <c r="AY1282" s="82">
        <f>($L1282-$H1282)*100</f>
        <v/>
      </c>
      <c r="AZ1282" s="82">
        <f>($L1282-$J1282)*100</f>
        <v/>
      </c>
      <c r="BA1282" s="82">
        <f>(2*$H1282-$F1282-$J1282)*100</f>
        <v/>
      </c>
      <c r="BB1282" s="82">
        <f>(2*$J1282-$H1282-$L1282)*100</f>
        <v/>
      </c>
      <c r="BC1282" s="82">
        <f>($N1282-$F1282)*100</f>
        <v/>
      </c>
      <c r="BD1282" s="82">
        <f>($Q1282-$H1282)*100</f>
        <v/>
      </c>
      <c r="BE1282" s="82">
        <f>($S1282-$J1282)*100</f>
        <v/>
      </c>
      <c r="BF1282" s="82">
        <f>($V1282-$L1282)*100</f>
        <v/>
      </c>
      <c r="BG1282" s="82">
        <f>$AG1282-$AF1282</f>
        <v/>
      </c>
      <c r="BH1282" s="81">
        <f>IFERROR($AG1282/$AF1282,"")</f>
        <v/>
      </c>
      <c r="BI1282" s="82">
        <f>$AJ1282-$AF1282</f>
        <v/>
      </c>
      <c r="BJ1282" s="81">
        <f>IFERROR($AJ1282/$AG1282,"")</f>
        <v/>
      </c>
      <c r="BK1282" s="81">
        <f>$X1282</f>
        <v/>
      </c>
      <c r="BL1282" s="82">
        <f>($J1282-$J1283)*100</f>
        <v/>
      </c>
      <c r="BM1282" s="82">
        <f>($F1282-$F1283)*100</f>
        <v/>
      </c>
      <c r="BN1282" s="82">
        <f>$AF1282-$AF1283</f>
        <v/>
      </c>
      <c r="BO1282" s="82">
        <f>$AG1282-$AG1283</f>
        <v/>
      </c>
      <c r="BP1282" s="82">
        <f>$AJ1282-$AJ1283</f>
        <v/>
      </c>
    </row>
    <row r="1283">
      <c r="AR1283" s="81">
        <f>($G1283+($H1283-$G1283)*0.5)+($P1283-($O1283+($Q1283-$O1283)*0.5))</f>
        <v/>
      </c>
      <c r="AS1283" s="81">
        <f>($J1283+($K1283-$J1283)*0.5)+($T1283-($S1283+($U1283-$S1283)*0.5))</f>
        <v/>
      </c>
      <c r="AT1283" s="82">
        <f>($J1283-$C1283)*100</f>
        <v/>
      </c>
      <c r="AU1283" s="82">
        <f>($H1283-$F1283)*100</f>
        <v/>
      </c>
      <c r="AV1283" s="82">
        <f>($J1283-$F1283)*100</f>
        <v/>
      </c>
      <c r="AW1283" s="82">
        <f>($L1283-$F1283)*100</f>
        <v/>
      </c>
      <c r="AX1283" s="82">
        <f>($J1283-$H1283)*100</f>
        <v/>
      </c>
      <c r="AY1283" s="82">
        <f>($L1283-$H1283)*100</f>
        <v/>
      </c>
      <c r="AZ1283" s="82">
        <f>($L1283-$J1283)*100</f>
        <v/>
      </c>
      <c r="BA1283" s="82">
        <f>(2*$H1283-$F1283-$J1283)*100</f>
        <v/>
      </c>
      <c r="BB1283" s="82">
        <f>(2*$J1283-$H1283-$L1283)*100</f>
        <v/>
      </c>
      <c r="BC1283" s="82">
        <f>($N1283-$F1283)*100</f>
        <v/>
      </c>
      <c r="BD1283" s="82">
        <f>($Q1283-$H1283)*100</f>
        <v/>
      </c>
      <c r="BE1283" s="82">
        <f>($S1283-$J1283)*100</f>
        <v/>
      </c>
      <c r="BF1283" s="82">
        <f>($V1283-$L1283)*100</f>
        <v/>
      </c>
      <c r="BG1283" s="82">
        <f>$AG1283-$AF1283</f>
        <v/>
      </c>
      <c r="BH1283" s="81">
        <f>IFERROR($AG1283/$AF1283,"")</f>
        <v/>
      </c>
      <c r="BI1283" s="82">
        <f>$AJ1283-$AF1283</f>
        <v/>
      </c>
      <c r="BJ1283" s="81">
        <f>IFERROR($AJ1283/$AG1283,"")</f>
        <v/>
      </c>
      <c r="BK1283" s="81">
        <f>$X1283</f>
        <v/>
      </c>
      <c r="BL1283" s="82">
        <f>($J1283-$J1284)*100</f>
        <v/>
      </c>
      <c r="BM1283" s="82">
        <f>($F1283-$F1284)*100</f>
        <v/>
      </c>
      <c r="BN1283" s="82">
        <f>$AF1283-$AF1284</f>
        <v/>
      </c>
      <c r="BO1283" s="82">
        <f>$AG1283-$AG1284</f>
        <v/>
      </c>
      <c r="BP1283" s="82">
        <f>$AJ1283-$AJ1284</f>
        <v/>
      </c>
    </row>
    <row r="1284">
      <c r="AR1284" s="81">
        <f>($G1284+($H1284-$G1284)*0.5)+($P1284-($O1284+($Q1284-$O1284)*0.5))</f>
        <v/>
      </c>
      <c r="AS1284" s="81">
        <f>($J1284+($K1284-$J1284)*0.5)+($T1284-($S1284+($U1284-$S1284)*0.5))</f>
        <v/>
      </c>
      <c r="AT1284" s="82">
        <f>($J1284-$C1284)*100</f>
        <v/>
      </c>
      <c r="AU1284" s="82">
        <f>($H1284-$F1284)*100</f>
        <v/>
      </c>
      <c r="AV1284" s="82">
        <f>($J1284-$F1284)*100</f>
        <v/>
      </c>
      <c r="AW1284" s="82">
        <f>($L1284-$F1284)*100</f>
        <v/>
      </c>
      <c r="AX1284" s="82">
        <f>($J1284-$H1284)*100</f>
        <v/>
      </c>
      <c r="AY1284" s="82">
        <f>($L1284-$H1284)*100</f>
        <v/>
      </c>
      <c r="AZ1284" s="82">
        <f>($L1284-$J1284)*100</f>
        <v/>
      </c>
      <c r="BA1284" s="82">
        <f>(2*$H1284-$F1284-$J1284)*100</f>
        <v/>
      </c>
      <c r="BB1284" s="82">
        <f>(2*$J1284-$H1284-$L1284)*100</f>
        <v/>
      </c>
      <c r="BC1284" s="82">
        <f>($N1284-$F1284)*100</f>
        <v/>
      </c>
      <c r="BD1284" s="82">
        <f>($Q1284-$H1284)*100</f>
        <v/>
      </c>
      <c r="BE1284" s="82">
        <f>($S1284-$J1284)*100</f>
        <v/>
      </c>
      <c r="BF1284" s="82">
        <f>($V1284-$L1284)*100</f>
        <v/>
      </c>
      <c r="BG1284" s="82">
        <f>$AG1284-$AF1284</f>
        <v/>
      </c>
      <c r="BH1284" s="81">
        <f>IFERROR($AG1284/$AF1284,"")</f>
        <v/>
      </c>
      <c r="BI1284" s="82">
        <f>$AJ1284-$AF1284</f>
        <v/>
      </c>
      <c r="BJ1284" s="81">
        <f>IFERROR($AJ1284/$AG1284,"")</f>
        <v/>
      </c>
      <c r="BK1284" s="81">
        <f>$X1284</f>
        <v/>
      </c>
      <c r="BL1284" s="82">
        <f>($J1284-$J1285)*100</f>
        <v/>
      </c>
      <c r="BM1284" s="82">
        <f>($F1284-$F1285)*100</f>
        <v/>
      </c>
      <c r="BN1284" s="82">
        <f>$AF1284-$AF1285</f>
        <v/>
      </c>
      <c r="BO1284" s="82">
        <f>$AG1284-$AG1285</f>
        <v/>
      </c>
      <c r="BP1284" s="82">
        <f>$AJ1284-$AJ1285</f>
        <v/>
      </c>
    </row>
    <row r="1285">
      <c r="AR1285" s="81">
        <f>($G1285+($H1285-$G1285)*0.5)+($P1285-($O1285+($Q1285-$O1285)*0.5))</f>
        <v/>
      </c>
      <c r="AS1285" s="81">
        <f>($J1285+($K1285-$J1285)*0.5)+($T1285-($S1285+($U1285-$S1285)*0.5))</f>
        <v/>
      </c>
      <c r="AT1285" s="82">
        <f>($J1285-$C1285)*100</f>
        <v/>
      </c>
      <c r="AU1285" s="82">
        <f>($H1285-$F1285)*100</f>
        <v/>
      </c>
      <c r="AV1285" s="82">
        <f>($J1285-$F1285)*100</f>
        <v/>
      </c>
      <c r="AW1285" s="82">
        <f>($L1285-$F1285)*100</f>
        <v/>
      </c>
      <c r="AX1285" s="82">
        <f>($J1285-$H1285)*100</f>
        <v/>
      </c>
      <c r="AY1285" s="82">
        <f>($L1285-$H1285)*100</f>
        <v/>
      </c>
      <c r="AZ1285" s="82">
        <f>($L1285-$J1285)*100</f>
        <v/>
      </c>
      <c r="BA1285" s="82">
        <f>(2*$H1285-$F1285-$J1285)*100</f>
        <v/>
      </c>
      <c r="BB1285" s="82">
        <f>(2*$J1285-$H1285-$L1285)*100</f>
        <v/>
      </c>
      <c r="BC1285" s="82">
        <f>($N1285-$F1285)*100</f>
        <v/>
      </c>
      <c r="BD1285" s="82">
        <f>($Q1285-$H1285)*100</f>
        <v/>
      </c>
      <c r="BE1285" s="82">
        <f>($S1285-$J1285)*100</f>
        <v/>
      </c>
      <c r="BF1285" s="82">
        <f>($V1285-$L1285)*100</f>
        <v/>
      </c>
      <c r="BG1285" s="82">
        <f>$AG1285-$AF1285</f>
        <v/>
      </c>
      <c r="BH1285" s="81">
        <f>IFERROR($AG1285/$AF1285,"")</f>
        <v/>
      </c>
      <c r="BI1285" s="82">
        <f>$AJ1285-$AF1285</f>
        <v/>
      </c>
      <c r="BJ1285" s="81">
        <f>IFERROR($AJ1285/$AG1285,"")</f>
        <v/>
      </c>
      <c r="BK1285" s="81">
        <f>$X1285</f>
        <v/>
      </c>
      <c r="BL1285" s="82">
        <f>($J1285-$J1286)*100</f>
        <v/>
      </c>
      <c r="BM1285" s="82">
        <f>($F1285-$F1286)*100</f>
        <v/>
      </c>
      <c r="BN1285" s="82">
        <f>$AF1285-$AF1286</f>
        <v/>
      </c>
      <c r="BO1285" s="82">
        <f>$AG1285-$AG1286</f>
        <v/>
      </c>
      <c r="BP1285" s="82">
        <f>$AJ1285-$AJ1286</f>
        <v/>
      </c>
    </row>
    <row r="1286">
      <c r="AR1286" s="81">
        <f>($G1286+($H1286-$G1286)*0.5)+($P1286-($O1286+($Q1286-$O1286)*0.5))</f>
        <v/>
      </c>
      <c r="AS1286" s="81">
        <f>($J1286+($K1286-$J1286)*0.5)+($T1286-($S1286+($U1286-$S1286)*0.5))</f>
        <v/>
      </c>
      <c r="AT1286" s="82">
        <f>($J1286-$C1286)*100</f>
        <v/>
      </c>
      <c r="AU1286" s="82">
        <f>($H1286-$F1286)*100</f>
        <v/>
      </c>
      <c r="AV1286" s="82">
        <f>($J1286-$F1286)*100</f>
        <v/>
      </c>
      <c r="AW1286" s="82">
        <f>($L1286-$F1286)*100</f>
        <v/>
      </c>
      <c r="AX1286" s="82">
        <f>($J1286-$H1286)*100</f>
        <v/>
      </c>
      <c r="AY1286" s="82">
        <f>($L1286-$H1286)*100</f>
        <v/>
      </c>
      <c r="AZ1286" s="82">
        <f>($L1286-$J1286)*100</f>
        <v/>
      </c>
      <c r="BA1286" s="82">
        <f>(2*$H1286-$F1286-$J1286)*100</f>
        <v/>
      </c>
      <c r="BB1286" s="82">
        <f>(2*$J1286-$H1286-$L1286)*100</f>
        <v/>
      </c>
      <c r="BC1286" s="82">
        <f>($N1286-$F1286)*100</f>
        <v/>
      </c>
      <c r="BD1286" s="82">
        <f>($Q1286-$H1286)*100</f>
        <v/>
      </c>
      <c r="BE1286" s="82">
        <f>($S1286-$J1286)*100</f>
        <v/>
      </c>
      <c r="BF1286" s="82">
        <f>($V1286-$L1286)*100</f>
        <v/>
      </c>
      <c r="BG1286" s="82">
        <f>$AG1286-$AF1286</f>
        <v/>
      </c>
      <c r="BH1286" s="81">
        <f>IFERROR($AG1286/$AF1286,"")</f>
        <v/>
      </c>
      <c r="BI1286" s="82">
        <f>$AJ1286-$AF1286</f>
        <v/>
      </c>
      <c r="BJ1286" s="81">
        <f>IFERROR($AJ1286/$AG1286,"")</f>
        <v/>
      </c>
      <c r="BK1286" s="81">
        <f>$X1286</f>
        <v/>
      </c>
      <c r="BL1286" s="82">
        <f>($J1286-$J1287)*100</f>
        <v/>
      </c>
      <c r="BM1286" s="82">
        <f>($F1286-$F1287)*100</f>
        <v/>
      </c>
      <c r="BN1286" s="82">
        <f>$AF1286-$AF1287</f>
        <v/>
      </c>
      <c r="BO1286" s="82">
        <f>$AG1286-$AG1287</f>
        <v/>
      </c>
      <c r="BP1286" s="82">
        <f>$AJ1286-$AJ1287</f>
        <v/>
      </c>
    </row>
    <row r="1287">
      <c r="AR1287" s="81">
        <f>($G1287+($H1287-$G1287)*0.5)+($P1287-($O1287+($Q1287-$O1287)*0.5))</f>
        <v/>
      </c>
      <c r="AS1287" s="81">
        <f>($J1287+($K1287-$J1287)*0.5)+($T1287-($S1287+($U1287-$S1287)*0.5))</f>
        <v/>
      </c>
      <c r="AT1287" s="82">
        <f>($J1287-$C1287)*100</f>
        <v/>
      </c>
      <c r="AU1287" s="82">
        <f>($H1287-$F1287)*100</f>
        <v/>
      </c>
      <c r="AV1287" s="82">
        <f>($J1287-$F1287)*100</f>
        <v/>
      </c>
      <c r="AW1287" s="82">
        <f>($L1287-$F1287)*100</f>
        <v/>
      </c>
      <c r="AX1287" s="82">
        <f>($J1287-$H1287)*100</f>
        <v/>
      </c>
      <c r="AY1287" s="82">
        <f>($L1287-$H1287)*100</f>
        <v/>
      </c>
      <c r="AZ1287" s="82">
        <f>($L1287-$J1287)*100</f>
        <v/>
      </c>
      <c r="BA1287" s="82">
        <f>(2*$H1287-$F1287-$J1287)*100</f>
        <v/>
      </c>
      <c r="BB1287" s="82">
        <f>(2*$J1287-$H1287-$L1287)*100</f>
        <v/>
      </c>
      <c r="BC1287" s="82">
        <f>($N1287-$F1287)*100</f>
        <v/>
      </c>
      <c r="BD1287" s="82">
        <f>($Q1287-$H1287)*100</f>
        <v/>
      </c>
      <c r="BE1287" s="82">
        <f>($S1287-$J1287)*100</f>
        <v/>
      </c>
      <c r="BF1287" s="82">
        <f>($V1287-$L1287)*100</f>
        <v/>
      </c>
      <c r="BG1287" s="82">
        <f>$AG1287-$AF1287</f>
        <v/>
      </c>
      <c r="BH1287" s="81">
        <f>IFERROR($AG1287/$AF1287,"")</f>
        <v/>
      </c>
      <c r="BI1287" s="82">
        <f>$AJ1287-$AF1287</f>
        <v/>
      </c>
      <c r="BJ1287" s="81">
        <f>IFERROR($AJ1287/$AG1287,"")</f>
        <v/>
      </c>
      <c r="BK1287" s="81">
        <f>$X1287</f>
        <v/>
      </c>
      <c r="BL1287" s="82">
        <f>($J1287-$J1288)*100</f>
        <v/>
      </c>
      <c r="BM1287" s="82">
        <f>($F1287-$F1288)*100</f>
        <v/>
      </c>
      <c r="BN1287" s="82">
        <f>$AF1287-$AF1288</f>
        <v/>
      </c>
      <c r="BO1287" s="82">
        <f>$AG1287-$AG1288</f>
        <v/>
      </c>
      <c r="BP1287" s="82">
        <f>$AJ1287-$AJ1288</f>
        <v/>
      </c>
    </row>
    <row r="1288">
      <c r="AR1288" s="81">
        <f>($G1288+($H1288-$G1288)*0.5)+($P1288-($O1288+($Q1288-$O1288)*0.5))</f>
        <v/>
      </c>
      <c r="AS1288" s="81">
        <f>($J1288+($K1288-$J1288)*0.5)+($T1288-($S1288+($U1288-$S1288)*0.5))</f>
        <v/>
      </c>
      <c r="AT1288" s="82">
        <f>($J1288-$C1288)*100</f>
        <v/>
      </c>
      <c r="AU1288" s="82">
        <f>($H1288-$F1288)*100</f>
        <v/>
      </c>
      <c r="AV1288" s="82">
        <f>($J1288-$F1288)*100</f>
        <v/>
      </c>
      <c r="AW1288" s="82">
        <f>($L1288-$F1288)*100</f>
        <v/>
      </c>
      <c r="AX1288" s="82">
        <f>($J1288-$H1288)*100</f>
        <v/>
      </c>
      <c r="AY1288" s="82">
        <f>($L1288-$H1288)*100</f>
        <v/>
      </c>
      <c r="AZ1288" s="82">
        <f>($L1288-$J1288)*100</f>
        <v/>
      </c>
      <c r="BA1288" s="82">
        <f>(2*$H1288-$F1288-$J1288)*100</f>
        <v/>
      </c>
      <c r="BB1288" s="82">
        <f>(2*$J1288-$H1288-$L1288)*100</f>
        <v/>
      </c>
      <c r="BC1288" s="82">
        <f>($N1288-$F1288)*100</f>
        <v/>
      </c>
      <c r="BD1288" s="82">
        <f>($Q1288-$H1288)*100</f>
        <v/>
      </c>
      <c r="BE1288" s="82">
        <f>($S1288-$J1288)*100</f>
        <v/>
      </c>
      <c r="BF1288" s="82">
        <f>($V1288-$L1288)*100</f>
        <v/>
      </c>
      <c r="BG1288" s="82">
        <f>$AG1288-$AF1288</f>
        <v/>
      </c>
      <c r="BH1288" s="81">
        <f>IFERROR($AG1288/$AF1288,"")</f>
        <v/>
      </c>
      <c r="BI1288" s="82">
        <f>$AJ1288-$AF1288</f>
        <v/>
      </c>
      <c r="BJ1288" s="81">
        <f>IFERROR($AJ1288/$AG1288,"")</f>
        <v/>
      </c>
      <c r="BK1288" s="81">
        <f>$X1288</f>
        <v/>
      </c>
      <c r="BL1288" s="82">
        <f>($J1288-$J1289)*100</f>
        <v/>
      </c>
      <c r="BM1288" s="82">
        <f>($F1288-$F1289)*100</f>
        <v/>
      </c>
      <c r="BN1288" s="82">
        <f>$AF1288-$AF1289</f>
        <v/>
      </c>
      <c r="BO1288" s="82">
        <f>$AG1288-$AG1289</f>
        <v/>
      </c>
      <c r="BP1288" s="82">
        <f>$AJ1288-$AJ1289</f>
        <v/>
      </c>
    </row>
    <row r="1289">
      <c r="AR1289" s="81">
        <f>($G1289+($H1289-$G1289)*0.5)+($P1289-($O1289+($Q1289-$O1289)*0.5))</f>
        <v/>
      </c>
      <c r="AS1289" s="81">
        <f>($J1289+($K1289-$J1289)*0.5)+($T1289-($S1289+($U1289-$S1289)*0.5))</f>
        <v/>
      </c>
      <c r="AT1289" s="82">
        <f>($J1289-$C1289)*100</f>
        <v/>
      </c>
      <c r="AU1289" s="82">
        <f>($H1289-$F1289)*100</f>
        <v/>
      </c>
      <c r="AV1289" s="82">
        <f>($J1289-$F1289)*100</f>
        <v/>
      </c>
      <c r="AW1289" s="82">
        <f>($L1289-$F1289)*100</f>
        <v/>
      </c>
      <c r="AX1289" s="82">
        <f>($J1289-$H1289)*100</f>
        <v/>
      </c>
      <c r="AY1289" s="82">
        <f>($L1289-$H1289)*100</f>
        <v/>
      </c>
      <c r="AZ1289" s="82">
        <f>($L1289-$J1289)*100</f>
        <v/>
      </c>
      <c r="BA1289" s="82">
        <f>(2*$H1289-$F1289-$J1289)*100</f>
        <v/>
      </c>
      <c r="BB1289" s="82">
        <f>(2*$J1289-$H1289-$L1289)*100</f>
        <v/>
      </c>
      <c r="BC1289" s="82">
        <f>($N1289-$F1289)*100</f>
        <v/>
      </c>
      <c r="BD1289" s="82">
        <f>($Q1289-$H1289)*100</f>
        <v/>
      </c>
      <c r="BE1289" s="82">
        <f>($S1289-$J1289)*100</f>
        <v/>
      </c>
      <c r="BF1289" s="82">
        <f>($V1289-$L1289)*100</f>
        <v/>
      </c>
      <c r="BG1289" s="82">
        <f>$AG1289-$AF1289</f>
        <v/>
      </c>
      <c r="BH1289" s="81">
        <f>IFERROR($AG1289/$AF1289,"")</f>
        <v/>
      </c>
      <c r="BI1289" s="82">
        <f>$AJ1289-$AF1289</f>
        <v/>
      </c>
      <c r="BJ1289" s="81">
        <f>IFERROR($AJ1289/$AG1289,"")</f>
        <v/>
      </c>
      <c r="BK1289" s="81">
        <f>$X1289</f>
        <v/>
      </c>
      <c r="BL1289" s="82">
        <f>($J1289-$J1290)*100</f>
        <v/>
      </c>
      <c r="BM1289" s="82">
        <f>($F1289-$F1290)*100</f>
        <v/>
      </c>
      <c r="BN1289" s="82">
        <f>$AF1289-$AF1290</f>
        <v/>
      </c>
      <c r="BO1289" s="82">
        <f>$AG1289-$AG1290</f>
        <v/>
      </c>
      <c r="BP1289" s="82">
        <f>$AJ1289-$AJ1290</f>
        <v/>
      </c>
    </row>
    <row r="1290">
      <c r="AR1290" s="81">
        <f>($G1290+($H1290-$G1290)*0.5)+($P1290-($O1290+($Q1290-$O1290)*0.5))</f>
        <v/>
      </c>
      <c r="AS1290" s="81">
        <f>($J1290+($K1290-$J1290)*0.5)+($T1290-($S1290+($U1290-$S1290)*0.5))</f>
        <v/>
      </c>
      <c r="AT1290" s="82">
        <f>($J1290-$C1290)*100</f>
        <v/>
      </c>
      <c r="AU1290" s="82">
        <f>($H1290-$F1290)*100</f>
        <v/>
      </c>
      <c r="AV1290" s="82">
        <f>($J1290-$F1290)*100</f>
        <v/>
      </c>
      <c r="AW1290" s="82">
        <f>($L1290-$F1290)*100</f>
        <v/>
      </c>
      <c r="AX1290" s="82">
        <f>($J1290-$H1290)*100</f>
        <v/>
      </c>
      <c r="AY1290" s="82">
        <f>($L1290-$H1290)*100</f>
        <v/>
      </c>
      <c r="AZ1290" s="82">
        <f>($L1290-$J1290)*100</f>
        <v/>
      </c>
      <c r="BA1290" s="82">
        <f>(2*$H1290-$F1290-$J1290)*100</f>
        <v/>
      </c>
      <c r="BB1290" s="82">
        <f>(2*$J1290-$H1290-$L1290)*100</f>
        <v/>
      </c>
      <c r="BC1290" s="82">
        <f>($N1290-$F1290)*100</f>
        <v/>
      </c>
      <c r="BD1290" s="82">
        <f>($Q1290-$H1290)*100</f>
        <v/>
      </c>
      <c r="BE1290" s="82">
        <f>($S1290-$J1290)*100</f>
        <v/>
      </c>
      <c r="BF1290" s="82">
        <f>($V1290-$L1290)*100</f>
        <v/>
      </c>
      <c r="BG1290" s="82">
        <f>$AG1290-$AF1290</f>
        <v/>
      </c>
      <c r="BH1290" s="81">
        <f>IFERROR($AG1290/$AF1290,"")</f>
        <v/>
      </c>
      <c r="BI1290" s="82">
        <f>$AJ1290-$AF1290</f>
        <v/>
      </c>
      <c r="BJ1290" s="81">
        <f>IFERROR($AJ1290/$AG1290,"")</f>
        <v/>
      </c>
      <c r="BK1290" s="81">
        <f>$X1290</f>
        <v/>
      </c>
      <c r="BL1290" s="82">
        <f>($J1290-$J1291)*100</f>
        <v/>
      </c>
      <c r="BM1290" s="82">
        <f>($F1290-$F1291)*100</f>
        <v/>
      </c>
      <c r="BN1290" s="82">
        <f>$AF1290-$AF1291</f>
        <v/>
      </c>
      <c r="BO1290" s="82">
        <f>$AG1290-$AG1291</f>
        <v/>
      </c>
      <c r="BP1290" s="82">
        <f>$AJ1290-$AJ1291</f>
        <v/>
      </c>
    </row>
    <row r="1291">
      <c r="AR1291" s="81">
        <f>($G1291+($H1291-$G1291)*0.5)+($P1291-($O1291+($Q1291-$O1291)*0.5))</f>
        <v/>
      </c>
      <c r="AS1291" s="81">
        <f>($J1291+($K1291-$J1291)*0.5)+($T1291-($S1291+($U1291-$S1291)*0.5))</f>
        <v/>
      </c>
      <c r="AT1291" s="82">
        <f>($J1291-$C1291)*100</f>
        <v/>
      </c>
      <c r="AU1291" s="82">
        <f>($H1291-$F1291)*100</f>
        <v/>
      </c>
      <c r="AV1291" s="82">
        <f>($J1291-$F1291)*100</f>
        <v/>
      </c>
      <c r="AW1291" s="82">
        <f>($L1291-$F1291)*100</f>
        <v/>
      </c>
      <c r="AX1291" s="82">
        <f>($J1291-$H1291)*100</f>
        <v/>
      </c>
      <c r="AY1291" s="82">
        <f>($L1291-$H1291)*100</f>
        <v/>
      </c>
      <c r="AZ1291" s="82">
        <f>($L1291-$J1291)*100</f>
        <v/>
      </c>
      <c r="BA1291" s="82">
        <f>(2*$H1291-$F1291-$J1291)*100</f>
        <v/>
      </c>
      <c r="BB1291" s="82">
        <f>(2*$J1291-$H1291-$L1291)*100</f>
        <v/>
      </c>
      <c r="BC1291" s="82">
        <f>($N1291-$F1291)*100</f>
        <v/>
      </c>
      <c r="BD1291" s="82">
        <f>($Q1291-$H1291)*100</f>
        <v/>
      </c>
      <c r="BE1291" s="82">
        <f>($S1291-$J1291)*100</f>
        <v/>
      </c>
      <c r="BF1291" s="82">
        <f>($V1291-$L1291)*100</f>
        <v/>
      </c>
      <c r="BG1291" s="82">
        <f>$AG1291-$AF1291</f>
        <v/>
      </c>
      <c r="BH1291" s="81">
        <f>IFERROR($AG1291/$AF1291,"")</f>
        <v/>
      </c>
      <c r="BI1291" s="82">
        <f>$AJ1291-$AF1291</f>
        <v/>
      </c>
      <c r="BJ1291" s="81">
        <f>IFERROR($AJ1291/$AG1291,"")</f>
        <v/>
      </c>
      <c r="BK1291" s="81">
        <f>$X1291</f>
        <v/>
      </c>
      <c r="BL1291" s="82">
        <f>($J1291-$J1292)*100</f>
        <v/>
      </c>
      <c r="BM1291" s="82">
        <f>($F1291-$F1292)*100</f>
        <v/>
      </c>
      <c r="BN1291" s="82">
        <f>$AF1291-$AF1292</f>
        <v/>
      </c>
      <c r="BO1291" s="82">
        <f>$AG1291-$AG1292</f>
        <v/>
      </c>
      <c r="BP1291" s="82">
        <f>$AJ1291-$AJ1292</f>
        <v/>
      </c>
    </row>
    <row r="1292">
      <c r="AR1292" s="81">
        <f>($G1292+($H1292-$G1292)*0.5)+($P1292-($O1292+($Q1292-$O1292)*0.5))</f>
        <v/>
      </c>
      <c r="AS1292" s="81">
        <f>($J1292+($K1292-$J1292)*0.5)+($T1292-($S1292+($U1292-$S1292)*0.5))</f>
        <v/>
      </c>
      <c r="AT1292" s="82">
        <f>($J1292-$C1292)*100</f>
        <v/>
      </c>
      <c r="AU1292" s="82">
        <f>($H1292-$F1292)*100</f>
        <v/>
      </c>
      <c r="AV1292" s="82">
        <f>($J1292-$F1292)*100</f>
        <v/>
      </c>
      <c r="AW1292" s="82">
        <f>($L1292-$F1292)*100</f>
        <v/>
      </c>
      <c r="AX1292" s="82">
        <f>($J1292-$H1292)*100</f>
        <v/>
      </c>
      <c r="AY1292" s="82">
        <f>($L1292-$H1292)*100</f>
        <v/>
      </c>
      <c r="AZ1292" s="82">
        <f>($L1292-$J1292)*100</f>
        <v/>
      </c>
      <c r="BA1292" s="82">
        <f>(2*$H1292-$F1292-$J1292)*100</f>
        <v/>
      </c>
      <c r="BB1292" s="82">
        <f>(2*$J1292-$H1292-$L1292)*100</f>
        <v/>
      </c>
      <c r="BC1292" s="82">
        <f>($N1292-$F1292)*100</f>
        <v/>
      </c>
      <c r="BD1292" s="82">
        <f>($Q1292-$H1292)*100</f>
        <v/>
      </c>
      <c r="BE1292" s="82">
        <f>($S1292-$J1292)*100</f>
        <v/>
      </c>
      <c r="BF1292" s="82">
        <f>($V1292-$L1292)*100</f>
        <v/>
      </c>
      <c r="BG1292" s="82">
        <f>$AG1292-$AF1292</f>
        <v/>
      </c>
      <c r="BH1292" s="81">
        <f>IFERROR($AG1292/$AF1292,"")</f>
        <v/>
      </c>
      <c r="BI1292" s="82">
        <f>$AJ1292-$AF1292</f>
        <v/>
      </c>
      <c r="BJ1292" s="81">
        <f>IFERROR($AJ1292/$AG1292,"")</f>
        <v/>
      </c>
      <c r="BK1292" s="81">
        <f>$X1292</f>
        <v/>
      </c>
      <c r="BL1292" s="82">
        <f>($J1292-$J1293)*100</f>
        <v/>
      </c>
      <c r="BM1292" s="82">
        <f>($F1292-$F1293)*100</f>
        <v/>
      </c>
      <c r="BN1292" s="82">
        <f>$AF1292-$AF1293</f>
        <v/>
      </c>
      <c r="BO1292" s="82">
        <f>$AG1292-$AG1293</f>
        <v/>
      </c>
      <c r="BP1292" s="82">
        <f>$AJ1292-$AJ1293</f>
        <v/>
      </c>
    </row>
    <row r="1293">
      <c r="AR1293" s="81">
        <f>($G1293+($H1293-$G1293)*0.5)+($P1293-($O1293+($Q1293-$O1293)*0.5))</f>
        <v/>
      </c>
      <c r="AS1293" s="81">
        <f>($J1293+($K1293-$J1293)*0.5)+($T1293-($S1293+($U1293-$S1293)*0.5))</f>
        <v/>
      </c>
      <c r="AT1293" s="82">
        <f>($J1293-$C1293)*100</f>
        <v/>
      </c>
      <c r="AU1293" s="82">
        <f>($H1293-$F1293)*100</f>
        <v/>
      </c>
      <c r="AV1293" s="82">
        <f>($J1293-$F1293)*100</f>
        <v/>
      </c>
      <c r="AW1293" s="82">
        <f>($L1293-$F1293)*100</f>
        <v/>
      </c>
      <c r="AX1293" s="82">
        <f>($J1293-$H1293)*100</f>
        <v/>
      </c>
      <c r="AY1293" s="82">
        <f>($L1293-$H1293)*100</f>
        <v/>
      </c>
      <c r="AZ1293" s="82">
        <f>($L1293-$J1293)*100</f>
        <v/>
      </c>
      <c r="BA1293" s="82">
        <f>(2*$H1293-$F1293-$J1293)*100</f>
        <v/>
      </c>
      <c r="BB1293" s="82">
        <f>(2*$J1293-$H1293-$L1293)*100</f>
        <v/>
      </c>
      <c r="BC1293" s="82">
        <f>($N1293-$F1293)*100</f>
        <v/>
      </c>
      <c r="BD1293" s="82">
        <f>($Q1293-$H1293)*100</f>
        <v/>
      </c>
      <c r="BE1293" s="82">
        <f>($S1293-$J1293)*100</f>
        <v/>
      </c>
      <c r="BF1293" s="82">
        <f>($V1293-$L1293)*100</f>
        <v/>
      </c>
      <c r="BG1293" s="82">
        <f>$AG1293-$AF1293</f>
        <v/>
      </c>
      <c r="BH1293" s="81">
        <f>IFERROR($AG1293/$AF1293,"")</f>
        <v/>
      </c>
      <c r="BI1293" s="82">
        <f>$AJ1293-$AF1293</f>
        <v/>
      </c>
      <c r="BJ1293" s="81">
        <f>IFERROR($AJ1293/$AG1293,"")</f>
        <v/>
      </c>
      <c r="BK1293" s="81">
        <f>$X1293</f>
        <v/>
      </c>
      <c r="BL1293" s="82">
        <f>($J1293-$J1294)*100</f>
        <v/>
      </c>
      <c r="BM1293" s="82">
        <f>($F1293-$F1294)*100</f>
        <v/>
      </c>
      <c r="BN1293" s="82">
        <f>$AF1293-$AF1294</f>
        <v/>
      </c>
      <c r="BO1293" s="82">
        <f>$AG1293-$AG1294</f>
        <v/>
      </c>
      <c r="BP1293" s="82">
        <f>$AJ1293-$AJ1294</f>
        <v/>
      </c>
    </row>
    <row r="1294">
      <c r="AR1294" s="81">
        <f>($G1294+($H1294-$G1294)*0.5)+($P1294-($O1294+($Q1294-$O1294)*0.5))</f>
        <v/>
      </c>
      <c r="AS1294" s="81">
        <f>($J1294+($K1294-$J1294)*0.5)+($T1294-($S1294+($U1294-$S1294)*0.5))</f>
        <v/>
      </c>
      <c r="AT1294" s="82">
        <f>($J1294-$C1294)*100</f>
        <v/>
      </c>
      <c r="AU1294" s="82">
        <f>($H1294-$F1294)*100</f>
        <v/>
      </c>
      <c r="AV1294" s="82">
        <f>($J1294-$F1294)*100</f>
        <v/>
      </c>
      <c r="AW1294" s="82">
        <f>($L1294-$F1294)*100</f>
        <v/>
      </c>
      <c r="AX1294" s="82">
        <f>($J1294-$H1294)*100</f>
        <v/>
      </c>
      <c r="AY1294" s="82">
        <f>($L1294-$H1294)*100</f>
        <v/>
      </c>
      <c r="AZ1294" s="82">
        <f>($L1294-$J1294)*100</f>
        <v/>
      </c>
      <c r="BA1294" s="82">
        <f>(2*$H1294-$F1294-$J1294)*100</f>
        <v/>
      </c>
      <c r="BB1294" s="82">
        <f>(2*$J1294-$H1294-$L1294)*100</f>
        <v/>
      </c>
      <c r="BC1294" s="82">
        <f>($N1294-$F1294)*100</f>
        <v/>
      </c>
      <c r="BD1294" s="82">
        <f>($Q1294-$H1294)*100</f>
        <v/>
      </c>
      <c r="BE1294" s="82">
        <f>($S1294-$J1294)*100</f>
        <v/>
      </c>
      <c r="BF1294" s="82">
        <f>($V1294-$L1294)*100</f>
        <v/>
      </c>
      <c r="BG1294" s="82">
        <f>$AG1294-$AF1294</f>
        <v/>
      </c>
      <c r="BH1294" s="81">
        <f>IFERROR($AG1294/$AF1294,"")</f>
        <v/>
      </c>
      <c r="BI1294" s="82">
        <f>$AJ1294-$AF1294</f>
        <v/>
      </c>
      <c r="BJ1294" s="81">
        <f>IFERROR($AJ1294/$AG1294,"")</f>
        <v/>
      </c>
      <c r="BK1294" s="81">
        <f>$X1294</f>
        <v/>
      </c>
      <c r="BL1294" s="82">
        <f>($J1294-$J1295)*100</f>
        <v/>
      </c>
      <c r="BM1294" s="82">
        <f>($F1294-$F1295)*100</f>
        <v/>
      </c>
      <c r="BN1294" s="82">
        <f>$AF1294-$AF1295</f>
        <v/>
      </c>
      <c r="BO1294" s="82">
        <f>$AG1294-$AG1295</f>
        <v/>
      </c>
      <c r="BP1294" s="82">
        <f>$AJ1294-$AJ1295</f>
        <v/>
      </c>
    </row>
    <row r="1295">
      <c r="AR1295" s="81">
        <f>($G1295+($H1295-$G1295)*0.5)+($P1295-($O1295+($Q1295-$O1295)*0.5))</f>
        <v/>
      </c>
      <c r="AS1295" s="81">
        <f>($J1295+($K1295-$J1295)*0.5)+($T1295-($S1295+($U1295-$S1295)*0.5))</f>
        <v/>
      </c>
      <c r="AT1295" s="82">
        <f>($J1295-$C1295)*100</f>
        <v/>
      </c>
      <c r="AU1295" s="82">
        <f>($H1295-$F1295)*100</f>
        <v/>
      </c>
      <c r="AV1295" s="82">
        <f>($J1295-$F1295)*100</f>
        <v/>
      </c>
      <c r="AW1295" s="82">
        <f>($L1295-$F1295)*100</f>
        <v/>
      </c>
      <c r="AX1295" s="82">
        <f>($J1295-$H1295)*100</f>
        <v/>
      </c>
      <c r="AY1295" s="82">
        <f>($L1295-$H1295)*100</f>
        <v/>
      </c>
      <c r="AZ1295" s="82">
        <f>($L1295-$J1295)*100</f>
        <v/>
      </c>
      <c r="BA1295" s="82">
        <f>(2*$H1295-$F1295-$J1295)*100</f>
        <v/>
      </c>
      <c r="BB1295" s="82">
        <f>(2*$J1295-$H1295-$L1295)*100</f>
        <v/>
      </c>
      <c r="BC1295" s="82">
        <f>($N1295-$F1295)*100</f>
        <v/>
      </c>
      <c r="BD1295" s="82">
        <f>($Q1295-$H1295)*100</f>
        <v/>
      </c>
      <c r="BE1295" s="82">
        <f>($S1295-$J1295)*100</f>
        <v/>
      </c>
      <c r="BF1295" s="82">
        <f>($V1295-$L1295)*100</f>
        <v/>
      </c>
      <c r="BG1295" s="82">
        <f>$AG1295-$AF1295</f>
        <v/>
      </c>
      <c r="BH1295" s="81">
        <f>IFERROR($AG1295/$AF1295,"")</f>
        <v/>
      </c>
      <c r="BI1295" s="82">
        <f>$AJ1295-$AF1295</f>
        <v/>
      </c>
      <c r="BJ1295" s="81">
        <f>IFERROR($AJ1295/$AG1295,"")</f>
        <v/>
      </c>
      <c r="BK1295" s="81">
        <f>$X1295</f>
        <v/>
      </c>
      <c r="BL1295" s="82">
        <f>($J1295-$J1296)*100</f>
        <v/>
      </c>
      <c r="BM1295" s="82">
        <f>($F1295-$F1296)*100</f>
        <v/>
      </c>
      <c r="BN1295" s="82">
        <f>$AF1295-$AF1296</f>
        <v/>
      </c>
      <c r="BO1295" s="82">
        <f>$AG1295-$AG1296</f>
        <v/>
      </c>
      <c r="BP1295" s="82">
        <f>$AJ1295-$AJ1296</f>
        <v/>
      </c>
    </row>
    <row r="1296">
      <c r="AR1296" s="81">
        <f>($G1296+($H1296-$G1296)*0.5)+($P1296-($O1296+($Q1296-$O1296)*0.5))</f>
        <v/>
      </c>
      <c r="AS1296" s="81">
        <f>($J1296+($K1296-$J1296)*0.5)+($T1296-($S1296+($U1296-$S1296)*0.5))</f>
        <v/>
      </c>
      <c r="AT1296" s="82">
        <f>($J1296-$C1296)*100</f>
        <v/>
      </c>
      <c r="AU1296" s="82">
        <f>($H1296-$F1296)*100</f>
        <v/>
      </c>
      <c r="AV1296" s="82">
        <f>($J1296-$F1296)*100</f>
        <v/>
      </c>
      <c r="AW1296" s="82">
        <f>($L1296-$F1296)*100</f>
        <v/>
      </c>
      <c r="AX1296" s="82">
        <f>($J1296-$H1296)*100</f>
        <v/>
      </c>
      <c r="AY1296" s="82">
        <f>($L1296-$H1296)*100</f>
        <v/>
      </c>
      <c r="AZ1296" s="82">
        <f>($L1296-$J1296)*100</f>
        <v/>
      </c>
      <c r="BA1296" s="82">
        <f>(2*$H1296-$F1296-$J1296)*100</f>
        <v/>
      </c>
      <c r="BB1296" s="82">
        <f>(2*$J1296-$H1296-$L1296)*100</f>
        <v/>
      </c>
      <c r="BC1296" s="82">
        <f>($N1296-$F1296)*100</f>
        <v/>
      </c>
      <c r="BD1296" s="82">
        <f>($Q1296-$H1296)*100</f>
        <v/>
      </c>
      <c r="BE1296" s="82">
        <f>($S1296-$J1296)*100</f>
        <v/>
      </c>
      <c r="BF1296" s="82">
        <f>($V1296-$L1296)*100</f>
        <v/>
      </c>
      <c r="BG1296" s="82">
        <f>$AG1296-$AF1296</f>
        <v/>
      </c>
      <c r="BH1296" s="81">
        <f>IFERROR($AG1296/$AF1296,"")</f>
        <v/>
      </c>
      <c r="BI1296" s="82">
        <f>$AJ1296-$AF1296</f>
        <v/>
      </c>
      <c r="BJ1296" s="81">
        <f>IFERROR($AJ1296/$AG1296,"")</f>
        <v/>
      </c>
      <c r="BK1296" s="81">
        <f>$X1296</f>
        <v/>
      </c>
      <c r="BL1296" s="82">
        <f>($J1296-$J1297)*100</f>
        <v/>
      </c>
      <c r="BM1296" s="82">
        <f>($F1296-$F1297)*100</f>
        <v/>
      </c>
      <c r="BN1296" s="82">
        <f>$AF1296-$AF1297</f>
        <v/>
      </c>
      <c r="BO1296" s="82">
        <f>$AG1296-$AG1297</f>
        <v/>
      </c>
      <c r="BP1296" s="82">
        <f>$AJ1296-$AJ1297</f>
        <v/>
      </c>
    </row>
    <row r="1297">
      <c r="AR1297" s="81">
        <f>($G1297+($H1297-$G1297)*0.5)+($P1297-($O1297+($Q1297-$O1297)*0.5))</f>
        <v/>
      </c>
      <c r="AS1297" s="81">
        <f>($J1297+($K1297-$J1297)*0.5)+($T1297-($S1297+($U1297-$S1297)*0.5))</f>
        <v/>
      </c>
      <c r="AT1297" s="82">
        <f>($J1297-$C1297)*100</f>
        <v/>
      </c>
      <c r="AU1297" s="82">
        <f>($H1297-$F1297)*100</f>
        <v/>
      </c>
      <c r="AV1297" s="82">
        <f>($J1297-$F1297)*100</f>
        <v/>
      </c>
      <c r="AW1297" s="82">
        <f>($L1297-$F1297)*100</f>
        <v/>
      </c>
      <c r="AX1297" s="82">
        <f>($J1297-$H1297)*100</f>
        <v/>
      </c>
      <c r="AY1297" s="82">
        <f>($L1297-$H1297)*100</f>
        <v/>
      </c>
      <c r="AZ1297" s="82">
        <f>($L1297-$J1297)*100</f>
        <v/>
      </c>
      <c r="BA1297" s="82">
        <f>(2*$H1297-$F1297-$J1297)*100</f>
        <v/>
      </c>
      <c r="BB1297" s="82">
        <f>(2*$J1297-$H1297-$L1297)*100</f>
        <v/>
      </c>
      <c r="BC1297" s="82">
        <f>($N1297-$F1297)*100</f>
        <v/>
      </c>
      <c r="BD1297" s="82">
        <f>($Q1297-$H1297)*100</f>
        <v/>
      </c>
      <c r="BE1297" s="82">
        <f>($S1297-$J1297)*100</f>
        <v/>
      </c>
      <c r="BF1297" s="82">
        <f>($V1297-$L1297)*100</f>
        <v/>
      </c>
      <c r="BG1297" s="82">
        <f>$AG1297-$AF1297</f>
        <v/>
      </c>
      <c r="BH1297" s="81">
        <f>IFERROR($AG1297/$AF1297,"")</f>
        <v/>
      </c>
      <c r="BI1297" s="82">
        <f>$AJ1297-$AF1297</f>
        <v/>
      </c>
      <c r="BJ1297" s="81">
        <f>IFERROR($AJ1297/$AG1297,"")</f>
        <v/>
      </c>
      <c r="BK1297" s="81">
        <f>$X1297</f>
        <v/>
      </c>
      <c r="BL1297" s="82">
        <f>($J1297-$J1298)*100</f>
        <v/>
      </c>
      <c r="BM1297" s="82">
        <f>($F1297-$F1298)*100</f>
        <v/>
      </c>
      <c r="BN1297" s="82">
        <f>$AF1297-$AF1298</f>
        <v/>
      </c>
      <c r="BO1297" s="82">
        <f>$AG1297-$AG1298</f>
        <v/>
      </c>
      <c r="BP1297" s="82">
        <f>$AJ1297-$AJ1298</f>
        <v/>
      </c>
    </row>
    <row r="1298">
      <c r="AR1298" s="81">
        <f>($G1298+($H1298-$G1298)*0.5)+($P1298-($O1298+($Q1298-$O1298)*0.5))</f>
        <v/>
      </c>
      <c r="AS1298" s="81">
        <f>($J1298+($K1298-$J1298)*0.5)+($T1298-($S1298+($U1298-$S1298)*0.5))</f>
        <v/>
      </c>
      <c r="AT1298" s="82">
        <f>($J1298-$C1298)*100</f>
        <v/>
      </c>
      <c r="AU1298" s="82">
        <f>($H1298-$F1298)*100</f>
        <v/>
      </c>
      <c r="AV1298" s="82">
        <f>($J1298-$F1298)*100</f>
        <v/>
      </c>
      <c r="AW1298" s="82">
        <f>($L1298-$F1298)*100</f>
        <v/>
      </c>
      <c r="AX1298" s="82">
        <f>($J1298-$H1298)*100</f>
        <v/>
      </c>
      <c r="AY1298" s="82">
        <f>($L1298-$H1298)*100</f>
        <v/>
      </c>
      <c r="AZ1298" s="82">
        <f>($L1298-$J1298)*100</f>
        <v/>
      </c>
      <c r="BA1298" s="82">
        <f>(2*$H1298-$F1298-$J1298)*100</f>
        <v/>
      </c>
      <c r="BB1298" s="82">
        <f>(2*$J1298-$H1298-$L1298)*100</f>
        <v/>
      </c>
      <c r="BC1298" s="82">
        <f>($N1298-$F1298)*100</f>
        <v/>
      </c>
      <c r="BD1298" s="82">
        <f>($Q1298-$H1298)*100</f>
        <v/>
      </c>
      <c r="BE1298" s="82">
        <f>($S1298-$J1298)*100</f>
        <v/>
      </c>
      <c r="BF1298" s="82">
        <f>($V1298-$L1298)*100</f>
        <v/>
      </c>
      <c r="BG1298" s="82">
        <f>$AG1298-$AF1298</f>
        <v/>
      </c>
      <c r="BH1298" s="81">
        <f>IFERROR($AG1298/$AF1298,"")</f>
        <v/>
      </c>
      <c r="BI1298" s="82">
        <f>$AJ1298-$AF1298</f>
        <v/>
      </c>
      <c r="BJ1298" s="81">
        <f>IFERROR($AJ1298/$AG1298,"")</f>
        <v/>
      </c>
      <c r="BK1298" s="81">
        <f>$X1298</f>
        <v/>
      </c>
      <c r="BL1298" s="82">
        <f>($J1298-$J1299)*100</f>
        <v/>
      </c>
      <c r="BM1298" s="82">
        <f>($F1298-$F1299)*100</f>
        <v/>
      </c>
      <c r="BN1298" s="82">
        <f>$AF1298-$AF1299</f>
        <v/>
      </c>
      <c r="BO1298" s="82">
        <f>$AG1298-$AG1299</f>
        <v/>
      </c>
      <c r="BP1298" s="82">
        <f>$AJ1298-$AJ1299</f>
        <v/>
      </c>
    </row>
    <row r="1299">
      <c r="AR1299" s="81">
        <f>($G1299+($H1299-$G1299)*0.5)+($P1299-($O1299+($Q1299-$O1299)*0.5))</f>
        <v/>
      </c>
      <c r="AS1299" s="81">
        <f>($J1299+($K1299-$J1299)*0.5)+($T1299-($S1299+($U1299-$S1299)*0.5))</f>
        <v/>
      </c>
      <c r="AT1299" s="82">
        <f>($J1299-$C1299)*100</f>
        <v/>
      </c>
      <c r="AU1299" s="82">
        <f>($H1299-$F1299)*100</f>
        <v/>
      </c>
      <c r="AV1299" s="82">
        <f>($J1299-$F1299)*100</f>
        <v/>
      </c>
      <c r="AW1299" s="82">
        <f>($L1299-$F1299)*100</f>
        <v/>
      </c>
      <c r="AX1299" s="82">
        <f>($J1299-$H1299)*100</f>
        <v/>
      </c>
      <c r="AY1299" s="82">
        <f>($L1299-$H1299)*100</f>
        <v/>
      </c>
      <c r="AZ1299" s="82">
        <f>($L1299-$J1299)*100</f>
        <v/>
      </c>
      <c r="BA1299" s="82">
        <f>(2*$H1299-$F1299-$J1299)*100</f>
        <v/>
      </c>
      <c r="BB1299" s="82">
        <f>(2*$J1299-$H1299-$L1299)*100</f>
        <v/>
      </c>
      <c r="BC1299" s="82">
        <f>($N1299-$F1299)*100</f>
        <v/>
      </c>
      <c r="BD1299" s="82">
        <f>($Q1299-$H1299)*100</f>
        <v/>
      </c>
      <c r="BE1299" s="82">
        <f>($S1299-$J1299)*100</f>
        <v/>
      </c>
      <c r="BF1299" s="82">
        <f>($V1299-$L1299)*100</f>
        <v/>
      </c>
      <c r="BG1299" s="82">
        <f>$AG1299-$AF1299</f>
        <v/>
      </c>
      <c r="BH1299" s="81">
        <f>IFERROR($AG1299/$AF1299,"")</f>
        <v/>
      </c>
      <c r="BI1299" s="82">
        <f>$AJ1299-$AF1299</f>
        <v/>
      </c>
      <c r="BJ1299" s="81">
        <f>IFERROR($AJ1299/$AG1299,"")</f>
        <v/>
      </c>
      <c r="BK1299" s="81">
        <f>$X1299</f>
        <v/>
      </c>
      <c r="BL1299" s="82">
        <f>($J1299-$J1300)*100</f>
        <v/>
      </c>
      <c r="BM1299" s="82">
        <f>($F1299-$F1300)*100</f>
        <v/>
      </c>
      <c r="BN1299" s="82">
        <f>$AF1299-$AF1300</f>
        <v/>
      </c>
      <c r="BO1299" s="82">
        <f>$AG1299-$AG1300</f>
        <v/>
      </c>
      <c r="BP1299" s="82">
        <f>$AJ1299-$AJ1300</f>
        <v/>
      </c>
    </row>
    <row r="1300">
      <c r="AR1300" s="81">
        <f>($G1300+($H1300-$G1300)*0.5)+($P1300-($O1300+($Q1300-$O1300)*0.5))</f>
        <v/>
      </c>
      <c r="AS1300" s="81">
        <f>($J1300+($K1300-$J1300)*0.5)+($T1300-($S1300+($U1300-$S1300)*0.5))</f>
        <v/>
      </c>
      <c r="AT1300" s="82">
        <f>($J1300-$C1300)*100</f>
        <v/>
      </c>
      <c r="AU1300" s="82">
        <f>($H1300-$F1300)*100</f>
        <v/>
      </c>
      <c r="AV1300" s="82">
        <f>($J1300-$F1300)*100</f>
        <v/>
      </c>
      <c r="AW1300" s="82">
        <f>($L1300-$F1300)*100</f>
        <v/>
      </c>
      <c r="AX1300" s="82">
        <f>($J1300-$H1300)*100</f>
        <v/>
      </c>
      <c r="AY1300" s="82">
        <f>($L1300-$H1300)*100</f>
        <v/>
      </c>
      <c r="AZ1300" s="82">
        <f>($L1300-$J1300)*100</f>
        <v/>
      </c>
      <c r="BA1300" s="82">
        <f>(2*$H1300-$F1300-$J1300)*100</f>
        <v/>
      </c>
      <c r="BB1300" s="82">
        <f>(2*$J1300-$H1300-$L1300)*100</f>
        <v/>
      </c>
      <c r="BC1300" s="82">
        <f>($N1300-$F1300)*100</f>
        <v/>
      </c>
      <c r="BD1300" s="82">
        <f>($Q1300-$H1300)*100</f>
        <v/>
      </c>
      <c r="BE1300" s="82">
        <f>($S1300-$J1300)*100</f>
        <v/>
      </c>
      <c r="BF1300" s="82">
        <f>($V1300-$L1300)*100</f>
        <v/>
      </c>
      <c r="BG1300" s="82">
        <f>$AG1300-$AF1300</f>
        <v/>
      </c>
      <c r="BH1300" s="81">
        <f>IFERROR($AG1300/$AF1300,"")</f>
        <v/>
      </c>
      <c r="BI1300" s="82">
        <f>$AJ1300-$AF1300</f>
        <v/>
      </c>
      <c r="BJ1300" s="81">
        <f>IFERROR($AJ1300/$AG1300,"")</f>
        <v/>
      </c>
      <c r="BK1300" s="81">
        <f>$X1300</f>
        <v/>
      </c>
      <c r="BL1300" s="82">
        <f>($J1300-$J1301)*100</f>
        <v/>
      </c>
      <c r="BM1300" s="82">
        <f>($F1300-$F1301)*100</f>
        <v/>
      </c>
      <c r="BN1300" s="82">
        <f>$AF1300-$AF1301</f>
        <v/>
      </c>
      <c r="BO1300" s="82">
        <f>$AG1300-$AG1301</f>
        <v/>
      </c>
      <c r="BP1300" s="82">
        <f>$AJ1300-$AJ1301</f>
        <v/>
      </c>
    </row>
    <row r="1301">
      <c r="AR1301" s="81">
        <f>($G1301+($H1301-$G1301)*0.5)+($P1301-($O1301+($Q1301-$O1301)*0.5))</f>
        <v/>
      </c>
      <c r="AS1301" s="81">
        <f>($J1301+($K1301-$J1301)*0.5)+($T1301-($S1301+($U1301-$S1301)*0.5))</f>
        <v/>
      </c>
      <c r="AT1301" s="82">
        <f>($J1301-$C1301)*100</f>
        <v/>
      </c>
      <c r="AU1301" s="82">
        <f>($H1301-$F1301)*100</f>
        <v/>
      </c>
      <c r="AV1301" s="82">
        <f>($J1301-$F1301)*100</f>
        <v/>
      </c>
      <c r="AW1301" s="82">
        <f>($L1301-$F1301)*100</f>
        <v/>
      </c>
      <c r="AX1301" s="82">
        <f>($J1301-$H1301)*100</f>
        <v/>
      </c>
      <c r="AY1301" s="82">
        <f>($L1301-$H1301)*100</f>
        <v/>
      </c>
      <c r="AZ1301" s="82">
        <f>($L1301-$J1301)*100</f>
        <v/>
      </c>
      <c r="BA1301" s="82">
        <f>(2*$H1301-$F1301-$J1301)*100</f>
        <v/>
      </c>
      <c r="BB1301" s="82">
        <f>(2*$J1301-$H1301-$L1301)*100</f>
        <v/>
      </c>
      <c r="BC1301" s="82">
        <f>($N1301-$F1301)*100</f>
        <v/>
      </c>
      <c r="BD1301" s="82">
        <f>($Q1301-$H1301)*100</f>
        <v/>
      </c>
      <c r="BE1301" s="82">
        <f>($S1301-$J1301)*100</f>
        <v/>
      </c>
      <c r="BF1301" s="82">
        <f>($V1301-$L1301)*100</f>
        <v/>
      </c>
      <c r="BG1301" s="82">
        <f>$AG1301-$AF1301</f>
        <v/>
      </c>
      <c r="BH1301" s="81">
        <f>IFERROR($AG1301/$AF1301,"")</f>
        <v/>
      </c>
      <c r="BI1301" s="82">
        <f>$AJ1301-$AF1301</f>
        <v/>
      </c>
      <c r="BJ1301" s="81">
        <f>IFERROR($AJ1301/$AG1301,"")</f>
        <v/>
      </c>
      <c r="BK1301" s="81">
        <f>$X1301</f>
        <v/>
      </c>
      <c r="BL1301" s="82">
        <f>($J1301-$J1302)*100</f>
        <v/>
      </c>
      <c r="BM1301" s="82">
        <f>($F1301-$F1302)*100</f>
        <v/>
      </c>
      <c r="BN1301" s="82">
        <f>$AF1301-$AF1302</f>
        <v/>
      </c>
      <c r="BO1301" s="82">
        <f>$AG1301-$AG1302</f>
        <v/>
      </c>
      <c r="BP1301" s="82">
        <f>$AJ1301-$AJ1302</f>
        <v/>
      </c>
    </row>
    <row r="1302">
      <c r="AR1302" s="81">
        <f>($G1302+($H1302-$G1302)*0.5)+($P1302-($O1302+($Q1302-$O1302)*0.5))</f>
        <v/>
      </c>
      <c r="AS1302" s="81">
        <f>($J1302+($K1302-$J1302)*0.5)+($T1302-($S1302+($U1302-$S1302)*0.5))</f>
        <v/>
      </c>
      <c r="AT1302" s="82">
        <f>($J1302-$C1302)*100</f>
        <v/>
      </c>
      <c r="AU1302" s="82">
        <f>($H1302-$F1302)*100</f>
        <v/>
      </c>
      <c r="AV1302" s="82">
        <f>($J1302-$F1302)*100</f>
        <v/>
      </c>
      <c r="AW1302" s="82">
        <f>($L1302-$F1302)*100</f>
        <v/>
      </c>
      <c r="AX1302" s="82">
        <f>($J1302-$H1302)*100</f>
        <v/>
      </c>
      <c r="AY1302" s="82">
        <f>($L1302-$H1302)*100</f>
        <v/>
      </c>
      <c r="AZ1302" s="82">
        <f>($L1302-$J1302)*100</f>
        <v/>
      </c>
      <c r="BA1302" s="82">
        <f>(2*$H1302-$F1302-$J1302)*100</f>
        <v/>
      </c>
      <c r="BB1302" s="82">
        <f>(2*$J1302-$H1302-$L1302)*100</f>
        <v/>
      </c>
      <c r="BC1302" s="82">
        <f>($N1302-$F1302)*100</f>
        <v/>
      </c>
      <c r="BD1302" s="82">
        <f>($Q1302-$H1302)*100</f>
        <v/>
      </c>
      <c r="BE1302" s="82">
        <f>($S1302-$J1302)*100</f>
        <v/>
      </c>
      <c r="BF1302" s="82">
        <f>($V1302-$L1302)*100</f>
        <v/>
      </c>
      <c r="BG1302" s="82">
        <f>$AG1302-$AF1302</f>
        <v/>
      </c>
      <c r="BH1302" s="81">
        <f>IFERROR($AG1302/$AF1302,"")</f>
        <v/>
      </c>
      <c r="BI1302" s="82">
        <f>$AJ1302-$AF1302</f>
        <v/>
      </c>
      <c r="BJ1302" s="81">
        <f>IFERROR($AJ1302/$AG1302,"")</f>
        <v/>
      </c>
      <c r="BK1302" s="81">
        <f>$X1302</f>
        <v/>
      </c>
      <c r="BL1302" s="82">
        <f>($J1302-$J1303)*100</f>
        <v/>
      </c>
      <c r="BM1302" s="82">
        <f>($F1302-$F1303)*100</f>
        <v/>
      </c>
      <c r="BN1302" s="82">
        <f>$AF1302-$AF1303</f>
        <v/>
      </c>
      <c r="BO1302" s="82">
        <f>$AG1302-$AG1303</f>
        <v/>
      </c>
      <c r="BP1302" s="82">
        <f>$AJ1302-$AJ1303</f>
        <v/>
      </c>
    </row>
    <row r="1303">
      <c r="AR1303" s="81">
        <f>($G1303+($H1303-$G1303)*0.5)+($P1303-($O1303+($Q1303-$O1303)*0.5))</f>
        <v/>
      </c>
      <c r="AS1303" s="81">
        <f>($J1303+($K1303-$J1303)*0.5)+($T1303-($S1303+($U1303-$S1303)*0.5))</f>
        <v/>
      </c>
      <c r="AT1303" s="82">
        <f>($J1303-$C1303)*100</f>
        <v/>
      </c>
      <c r="AU1303" s="82">
        <f>($H1303-$F1303)*100</f>
        <v/>
      </c>
      <c r="AV1303" s="82">
        <f>($J1303-$F1303)*100</f>
        <v/>
      </c>
      <c r="AW1303" s="82">
        <f>($L1303-$F1303)*100</f>
        <v/>
      </c>
      <c r="AX1303" s="82">
        <f>($J1303-$H1303)*100</f>
        <v/>
      </c>
      <c r="AY1303" s="82">
        <f>($L1303-$H1303)*100</f>
        <v/>
      </c>
      <c r="AZ1303" s="82">
        <f>($L1303-$J1303)*100</f>
        <v/>
      </c>
      <c r="BA1303" s="82">
        <f>(2*$H1303-$F1303-$J1303)*100</f>
        <v/>
      </c>
      <c r="BB1303" s="82">
        <f>(2*$J1303-$H1303-$L1303)*100</f>
        <v/>
      </c>
      <c r="BC1303" s="82">
        <f>($N1303-$F1303)*100</f>
        <v/>
      </c>
      <c r="BD1303" s="82">
        <f>($Q1303-$H1303)*100</f>
        <v/>
      </c>
      <c r="BE1303" s="82">
        <f>($S1303-$J1303)*100</f>
        <v/>
      </c>
      <c r="BF1303" s="82">
        <f>($V1303-$L1303)*100</f>
        <v/>
      </c>
      <c r="BG1303" s="82">
        <f>$AG1303-$AF1303</f>
        <v/>
      </c>
      <c r="BH1303" s="81">
        <f>IFERROR($AG1303/$AF1303,"")</f>
        <v/>
      </c>
      <c r="BI1303" s="82">
        <f>$AJ1303-$AF1303</f>
        <v/>
      </c>
      <c r="BJ1303" s="81">
        <f>IFERROR($AJ1303/$AG1303,"")</f>
        <v/>
      </c>
      <c r="BK1303" s="81">
        <f>$X1303</f>
        <v/>
      </c>
      <c r="BL1303" s="82">
        <f>($J1303-$J1304)*100</f>
        <v/>
      </c>
      <c r="BM1303" s="82">
        <f>($F1303-$F1304)*100</f>
        <v/>
      </c>
      <c r="BN1303" s="82">
        <f>$AF1303-$AF1304</f>
        <v/>
      </c>
      <c r="BO1303" s="82">
        <f>$AG1303-$AG1304</f>
        <v/>
      </c>
      <c r="BP1303" s="82">
        <f>$AJ1303-$AJ1304</f>
        <v/>
      </c>
    </row>
    <row r="1304">
      <c r="AR1304" s="81">
        <f>($G1304+($H1304-$G1304)*0.5)+($P1304-($O1304+($Q1304-$O1304)*0.5))</f>
        <v/>
      </c>
      <c r="AS1304" s="81">
        <f>($J1304+($K1304-$J1304)*0.5)+($T1304-($S1304+($U1304-$S1304)*0.5))</f>
        <v/>
      </c>
      <c r="AT1304" s="82">
        <f>($J1304-$C1304)*100</f>
        <v/>
      </c>
      <c r="AU1304" s="82">
        <f>($H1304-$F1304)*100</f>
        <v/>
      </c>
      <c r="AV1304" s="82">
        <f>($J1304-$F1304)*100</f>
        <v/>
      </c>
      <c r="AW1304" s="82">
        <f>($L1304-$F1304)*100</f>
        <v/>
      </c>
      <c r="AX1304" s="82">
        <f>($J1304-$H1304)*100</f>
        <v/>
      </c>
      <c r="AY1304" s="82">
        <f>($L1304-$H1304)*100</f>
        <v/>
      </c>
      <c r="AZ1304" s="82">
        <f>($L1304-$J1304)*100</f>
        <v/>
      </c>
      <c r="BA1304" s="82">
        <f>(2*$H1304-$F1304-$J1304)*100</f>
        <v/>
      </c>
      <c r="BB1304" s="82">
        <f>(2*$J1304-$H1304-$L1304)*100</f>
        <v/>
      </c>
      <c r="BC1304" s="82">
        <f>($N1304-$F1304)*100</f>
        <v/>
      </c>
      <c r="BD1304" s="82">
        <f>($Q1304-$H1304)*100</f>
        <v/>
      </c>
      <c r="BE1304" s="82">
        <f>($S1304-$J1304)*100</f>
        <v/>
      </c>
      <c r="BF1304" s="82">
        <f>($V1304-$L1304)*100</f>
        <v/>
      </c>
      <c r="BG1304" s="82">
        <f>$AG1304-$AF1304</f>
        <v/>
      </c>
      <c r="BH1304" s="81">
        <f>IFERROR($AG1304/$AF1304,"")</f>
        <v/>
      </c>
      <c r="BI1304" s="82">
        <f>$AJ1304-$AF1304</f>
        <v/>
      </c>
      <c r="BJ1304" s="81">
        <f>IFERROR($AJ1304/$AG1304,"")</f>
        <v/>
      </c>
      <c r="BK1304" s="81">
        <f>$X1304</f>
        <v/>
      </c>
      <c r="BL1304" s="82">
        <f>($J1304-$J1305)*100</f>
        <v/>
      </c>
      <c r="BM1304" s="82">
        <f>($F1304-$F1305)*100</f>
        <v/>
      </c>
      <c r="BN1304" s="82">
        <f>$AF1304-$AF1305</f>
        <v/>
      </c>
      <c r="BO1304" s="82">
        <f>$AG1304-$AG1305</f>
        <v/>
      </c>
      <c r="BP1304" s="82">
        <f>$AJ1304-$AJ1305</f>
        <v/>
      </c>
    </row>
    <row r="1305">
      <c r="AR1305" s="81">
        <f>($G1305+($H1305-$G1305)*0.5)+($P1305-($O1305+($Q1305-$O1305)*0.5))</f>
        <v/>
      </c>
      <c r="AS1305" s="81">
        <f>($J1305+($K1305-$J1305)*0.5)+($T1305-($S1305+($U1305-$S1305)*0.5))</f>
        <v/>
      </c>
      <c r="AT1305" s="82">
        <f>($J1305-$C1305)*100</f>
        <v/>
      </c>
      <c r="AU1305" s="82">
        <f>($H1305-$F1305)*100</f>
        <v/>
      </c>
      <c r="AV1305" s="82">
        <f>($J1305-$F1305)*100</f>
        <v/>
      </c>
      <c r="AW1305" s="82">
        <f>($L1305-$F1305)*100</f>
        <v/>
      </c>
      <c r="AX1305" s="82">
        <f>($J1305-$H1305)*100</f>
        <v/>
      </c>
      <c r="AY1305" s="82">
        <f>($L1305-$H1305)*100</f>
        <v/>
      </c>
      <c r="AZ1305" s="82">
        <f>($L1305-$J1305)*100</f>
        <v/>
      </c>
      <c r="BA1305" s="82">
        <f>(2*$H1305-$F1305-$J1305)*100</f>
        <v/>
      </c>
      <c r="BB1305" s="82">
        <f>(2*$J1305-$H1305-$L1305)*100</f>
        <v/>
      </c>
      <c r="BC1305" s="82">
        <f>($N1305-$F1305)*100</f>
        <v/>
      </c>
      <c r="BD1305" s="82">
        <f>($Q1305-$H1305)*100</f>
        <v/>
      </c>
      <c r="BE1305" s="82">
        <f>($S1305-$J1305)*100</f>
        <v/>
      </c>
      <c r="BF1305" s="82">
        <f>($V1305-$L1305)*100</f>
        <v/>
      </c>
      <c r="BG1305" s="82">
        <f>$AG1305-$AF1305</f>
        <v/>
      </c>
      <c r="BH1305" s="81">
        <f>IFERROR($AG1305/$AF1305,"")</f>
        <v/>
      </c>
      <c r="BI1305" s="82">
        <f>$AJ1305-$AF1305</f>
        <v/>
      </c>
      <c r="BJ1305" s="81">
        <f>IFERROR($AJ1305/$AG1305,"")</f>
        <v/>
      </c>
      <c r="BK1305" s="81">
        <f>$X1305</f>
        <v/>
      </c>
      <c r="BL1305" s="82">
        <f>($J1305-$J1306)*100</f>
        <v/>
      </c>
      <c r="BM1305" s="82">
        <f>($F1305-$F1306)*100</f>
        <v/>
      </c>
      <c r="BN1305" s="82">
        <f>$AF1305-$AF1306</f>
        <v/>
      </c>
      <c r="BO1305" s="82">
        <f>$AG1305-$AG1306</f>
        <v/>
      </c>
      <c r="BP1305" s="82">
        <f>$AJ1305-$AJ1306</f>
        <v/>
      </c>
    </row>
    <row r="1306">
      <c r="AR1306" s="81">
        <f>($G1306+($H1306-$G1306)*0.5)+($P1306-($O1306+($Q1306-$O1306)*0.5))</f>
        <v/>
      </c>
      <c r="AS1306" s="81">
        <f>($J1306+($K1306-$J1306)*0.5)+($T1306-($S1306+($U1306-$S1306)*0.5))</f>
        <v/>
      </c>
      <c r="AT1306" s="82">
        <f>($J1306-$C1306)*100</f>
        <v/>
      </c>
      <c r="AU1306" s="82">
        <f>($H1306-$F1306)*100</f>
        <v/>
      </c>
      <c r="AV1306" s="82">
        <f>($J1306-$F1306)*100</f>
        <v/>
      </c>
      <c r="AW1306" s="82">
        <f>($L1306-$F1306)*100</f>
        <v/>
      </c>
      <c r="AX1306" s="82">
        <f>($J1306-$H1306)*100</f>
        <v/>
      </c>
      <c r="AY1306" s="82">
        <f>($L1306-$H1306)*100</f>
        <v/>
      </c>
      <c r="AZ1306" s="82">
        <f>($L1306-$J1306)*100</f>
        <v/>
      </c>
      <c r="BA1306" s="82">
        <f>(2*$H1306-$F1306-$J1306)*100</f>
        <v/>
      </c>
      <c r="BB1306" s="82">
        <f>(2*$J1306-$H1306-$L1306)*100</f>
        <v/>
      </c>
      <c r="BC1306" s="82">
        <f>($N1306-$F1306)*100</f>
        <v/>
      </c>
      <c r="BD1306" s="82">
        <f>($Q1306-$H1306)*100</f>
        <v/>
      </c>
      <c r="BE1306" s="82">
        <f>($S1306-$J1306)*100</f>
        <v/>
      </c>
      <c r="BF1306" s="82">
        <f>($V1306-$L1306)*100</f>
        <v/>
      </c>
      <c r="BG1306" s="82">
        <f>$AG1306-$AF1306</f>
        <v/>
      </c>
      <c r="BH1306" s="81">
        <f>IFERROR($AG1306/$AF1306,"")</f>
        <v/>
      </c>
      <c r="BI1306" s="82">
        <f>$AJ1306-$AF1306</f>
        <v/>
      </c>
      <c r="BJ1306" s="81">
        <f>IFERROR($AJ1306/$AG1306,"")</f>
        <v/>
      </c>
      <c r="BK1306" s="81">
        <f>$X1306</f>
        <v/>
      </c>
      <c r="BL1306" s="82">
        <f>($J1306-$J1307)*100</f>
        <v/>
      </c>
      <c r="BM1306" s="82">
        <f>($F1306-$F1307)*100</f>
        <v/>
      </c>
      <c r="BN1306" s="82">
        <f>$AF1306-$AF1307</f>
        <v/>
      </c>
      <c r="BO1306" s="82">
        <f>$AG1306-$AG1307</f>
        <v/>
      </c>
      <c r="BP1306" s="82">
        <f>$AJ1306-$AJ1307</f>
        <v/>
      </c>
    </row>
    <row r="1307">
      <c r="AR1307" s="81">
        <f>($G1307+($H1307-$G1307)*0.5)+($P1307-($O1307+($Q1307-$O1307)*0.5))</f>
        <v/>
      </c>
      <c r="AS1307" s="81">
        <f>($J1307+($K1307-$J1307)*0.5)+($T1307-($S1307+($U1307-$S1307)*0.5))</f>
        <v/>
      </c>
      <c r="AT1307" s="82">
        <f>($J1307-$C1307)*100</f>
        <v/>
      </c>
      <c r="AU1307" s="82">
        <f>($H1307-$F1307)*100</f>
        <v/>
      </c>
      <c r="AV1307" s="82">
        <f>($J1307-$F1307)*100</f>
        <v/>
      </c>
      <c r="AW1307" s="82">
        <f>($L1307-$F1307)*100</f>
        <v/>
      </c>
      <c r="AX1307" s="82">
        <f>($J1307-$H1307)*100</f>
        <v/>
      </c>
      <c r="AY1307" s="82">
        <f>($L1307-$H1307)*100</f>
        <v/>
      </c>
      <c r="AZ1307" s="82">
        <f>($L1307-$J1307)*100</f>
        <v/>
      </c>
      <c r="BA1307" s="82">
        <f>(2*$H1307-$F1307-$J1307)*100</f>
        <v/>
      </c>
      <c r="BB1307" s="82">
        <f>(2*$J1307-$H1307-$L1307)*100</f>
        <v/>
      </c>
      <c r="BC1307" s="82">
        <f>($N1307-$F1307)*100</f>
        <v/>
      </c>
      <c r="BD1307" s="82">
        <f>($Q1307-$H1307)*100</f>
        <v/>
      </c>
      <c r="BE1307" s="82">
        <f>($S1307-$J1307)*100</f>
        <v/>
      </c>
      <c r="BF1307" s="82">
        <f>($V1307-$L1307)*100</f>
        <v/>
      </c>
      <c r="BG1307" s="82">
        <f>$AG1307-$AF1307</f>
        <v/>
      </c>
      <c r="BH1307" s="81">
        <f>IFERROR($AG1307/$AF1307,"")</f>
        <v/>
      </c>
      <c r="BI1307" s="82">
        <f>$AJ1307-$AF1307</f>
        <v/>
      </c>
      <c r="BJ1307" s="81">
        <f>IFERROR($AJ1307/$AG1307,"")</f>
        <v/>
      </c>
      <c r="BK1307" s="81">
        <f>$X1307</f>
        <v/>
      </c>
      <c r="BL1307" s="82">
        <f>($J1307-$J1308)*100</f>
        <v/>
      </c>
      <c r="BM1307" s="82">
        <f>($F1307-$F1308)*100</f>
        <v/>
      </c>
      <c r="BN1307" s="82">
        <f>$AF1307-$AF1308</f>
        <v/>
      </c>
      <c r="BO1307" s="82">
        <f>$AG1307-$AG1308</f>
        <v/>
      </c>
      <c r="BP1307" s="82">
        <f>$AJ1307-$AJ1308</f>
        <v/>
      </c>
    </row>
    <row r="1308">
      <c r="AR1308" s="81">
        <f>($G1308+($H1308-$G1308)*0.5)+($P1308-($O1308+($Q1308-$O1308)*0.5))</f>
        <v/>
      </c>
      <c r="AS1308" s="81">
        <f>($J1308+($K1308-$J1308)*0.5)+($T1308-($S1308+($U1308-$S1308)*0.5))</f>
        <v/>
      </c>
      <c r="AT1308" s="82">
        <f>($J1308-$C1308)*100</f>
        <v/>
      </c>
      <c r="AU1308" s="82">
        <f>($H1308-$F1308)*100</f>
        <v/>
      </c>
      <c r="AV1308" s="82">
        <f>($J1308-$F1308)*100</f>
        <v/>
      </c>
      <c r="AW1308" s="82">
        <f>($L1308-$F1308)*100</f>
        <v/>
      </c>
      <c r="AX1308" s="82">
        <f>($J1308-$H1308)*100</f>
        <v/>
      </c>
      <c r="AY1308" s="82">
        <f>($L1308-$H1308)*100</f>
        <v/>
      </c>
      <c r="AZ1308" s="82">
        <f>($L1308-$J1308)*100</f>
        <v/>
      </c>
      <c r="BA1308" s="82">
        <f>(2*$H1308-$F1308-$J1308)*100</f>
        <v/>
      </c>
      <c r="BB1308" s="82">
        <f>(2*$J1308-$H1308-$L1308)*100</f>
        <v/>
      </c>
      <c r="BC1308" s="82">
        <f>($N1308-$F1308)*100</f>
        <v/>
      </c>
      <c r="BD1308" s="82">
        <f>($Q1308-$H1308)*100</f>
        <v/>
      </c>
      <c r="BE1308" s="82">
        <f>($S1308-$J1308)*100</f>
        <v/>
      </c>
      <c r="BF1308" s="82">
        <f>($V1308-$L1308)*100</f>
        <v/>
      </c>
      <c r="BG1308" s="82">
        <f>$AG1308-$AF1308</f>
        <v/>
      </c>
      <c r="BH1308" s="81">
        <f>IFERROR($AG1308/$AF1308,"")</f>
        <v/>
      </c>
      <c r="BI1308" s="82">
        <f>$AJ1308-$AF1308</f>
        <v/>
      </c>
      <c r="BJ1308" s="81">
        <f>IFERROR($AJ1308/$AG1308,"")</f>
        <v/>
      </c>
      <c r="BK1308" s="81">
        <f>$X1308</f>
        <v/>
      </c>
      <c r="BL1308" s="82">
        <f>($J1308-$J1309)*100</f>
        <v/>
      </c>
      <c r="BM1308" s="82">
        <f>($F1308-$F1309)*100</f>
        <v/>
      </c>
      <c r="BN1308" s="82">
        <f>$AF1308-$AF1309</f>
        <v/>
      </c>
      <c r="BO1308" s="82">
        <f>$AG1308-$AG1309</f>
        <v/>
      </c>
      <c r="BP1308" s="82">
        <f>$AJ1308-$AJ1309</f>
        <v/>
      </c>
    </row>
    <row r="1309">
      <c r="AR1309" s="81">
        <f>($G1309+($H1309-$G1309)*0.5)+($P1309-($O1309+($Q1309-$O1309)*0.5))</f>
        <v/>
      </c>
      <c r="AS1309" s="81">
        <f>($J1309+($K1309-$J1309)*0.5)+($T1309-($S1309+($U1309-$S1309)*0.5))</f>
        <v/>
      </c>
      <c r="AT1309" s="82">
        <f>($J1309-$C1309)*100</f>
        <v/>
      </c>
      <c r="AU1309" s="82">
        <f>($H1309-$F1309)*100</f>
        <v/>
      </c>
      <c r="AV1309" s="82">
        <f>($J1309-$F1309)*100</f>
        <v/>
      </c>
      <c r="AW1309" s="82">
        <f>($L1309-$F1309)*100</f>
        <v/>
      </c>
      <c r="AX1309" s="82">
        <f>($J1309-$H1309)*100</f>
        <v/>
      </c>
      <c r="AY1309" s="82">
        <f>($L1309-$H1309)*100</f>
        <v/>
      </c>
      <c r="AZ1309" s="82">
        <f>($L1309-$J1309)*100</f>
        <v/>
      </c>
      <c r="BA1309" s="82">
        <f>(2*$H1309-$F1309-$J1309)*100</f>
        <v/>
      </c>
      <c r="BB1309" s="82">
        <f>(2*$J1309-$H1309-$L1309)*100</f>
        <v/>
      </c>
      <c r="BC1309" s="82">
        <f>($N1309-$F1309)*100</f>
        <v/>
      </c>
      <c r="BD1309" s="82">
        <f>($Q1309-$H1309)*100</f>
        <v/>
      </c>
      <c r="BE1309" s="82">
        <f>($S1309-$J1309)*100</f>
        <v/>
      </c>
      <c r="BF1309" s="82">
        <f>($V1309-$L1309)*100</f>
        <v/>
      </c>
      <c r="BG1309" s="82">
        <f>$AG1309-$AF1309</f>
        <v/>
      </c>
      <c r="BH1309" s="81">
        <f>IFERROR($AG1309/$AF1309,"")</f>
        <v/>
      </c>
      <c r="BI1309" s="82">
        <f>$AJ1309-$AF1309</f>
        <v/>
      </c>
      <c r="BJ1309" s="81">
        <f>IFERROR($AJ1309/$AG1309,"")</f>
        <v/>
      </c>
      <c r="BK1309" s="81">
        <f>$X1309</f>
        <v/>
      </c>
      <c r="BL1309" s="82">
        <f>($J1309-$J1310)*100</f>
        <v/>
      </c>
      <c r="BM1309" s="82">
        <f>($F1309-$F1310)*100</f>
        <v/>
      </c>
      <c r="BN1309" s="82">
        <f>$AF1309-$AF1310</f>
        <v/>
      </c>
      <c r="BO1309" s="82">
        <f>$AG1309-$AG1310</f>
        <v/>
      </c>
      <c r="BP1309" s="82">
        <f>$AJ1309-$AJ1310</f>
        <v/>
      </c>
    </row>
    <row r="1310">
      <c r="AR1310" s="81">
        <f>($G1310+($H1310-$G1310)*0.5)+($P1310-($O1310+($Q1310-$O1310)*0.5))</f>
        <v/>
      </c>
      <c r="AS1310" s="81">
        <f>($J1310+($K1310-$J1310)*0.5)+($T1310-($S1310+($U1310-$S1310)*0.5))</f>
        <v/>
      </c>
      <c r="AT1310" s="82">
        <f>($J1310-$C1310)*100</f>
        <v/>
      </c>
      <c r="AU1310" s="82">
        <f>($H1310-$F1310)*100</f>
        <v/>
      </c>
      <c r="AV1310" s="82">
        <f>($J1310-$F1310)*100</f>
        <v/>
      </c>
      <c r="AW1310" s="82">
        <f>($L1310-$F1310)*100</f>
        <v/>
      </c>
      <c r="AX1310" s="82">
        <f>($J1310-$H1310)*100</f>
        <v/>
      </c>
      <c r="AY1310" s="82">
        <f>($L1310-$H1310)*100</f>
        <v/>
      </c>
      <c r="AZ1310" s="82">
        <f>($L1310-$J1310)*100</f>
        <v/>
      </c>
      <c r="BA1310" s="82">
        <f>(2*$H1310-$F1310-$J1310)*100</f>
        <v/>
      </c>
      <c r="BB1310" s="82">
        <f>(2*$J1310-$H1310-$L1310)*100</f>
        <v/>
      </c>
      <c r="BC1310" s="82">
        <f>($N1310-$F1310)*100</f>
        <v/>
      </c>
      <c r="BD1310" s="82">
        <f>($Q1310-$H1310)*100</f>
        <v/>
      </c>
      <c r="BE1310" s="82">
        <f>($S1310-$J1310)*100</f>
        <v/>
      </c>
      <c r="BF1310" s="82">
        <f>($V1310-$L1310)*100</f>
        <v/>
      </c>
      <c r="BG1310" s="82">
        <f>$AG1310-$AF1310</f>
        <v/>
      </c>
      <c r="BH1310" s="81">
        <f>IFERROR($AG1310/$AF1310,"")</f>
        <v/>
      </c>
      <c r="BI1310" s="82">
        <f>$AJ1310-$AF1310</f>
        <v/>
      </c>
      <c r="BJ1310" s="81">
        <f>IFERROR($AJ1310/$AG1310,"")</f>
        <v/>
      </c>
      <c r="BK1310" s="81">
        <f>$X1310</f>
        <v/>
      </c>
      <c r="BL1310" s="82">
        <f>($J1310-$J1311)*100</f>
        <v/>
      </c>
      <c r="BM1310" s="82">
        <f>($F1310-$F1311)*100</f>
        <v/>
      </c>
      <c r="BN1310" s="82">
        <f>$AF1310-$AF1311</f>
        <v/>
      </c>
      <c r="BO1310" s="82">
        <f>$AG1310-$AG1311</f>
        <v/>
      </c>
      <c r="BP1310" s="82">
        <f>$AJ1310-$AJ1311</f>
        <v/>
      </c>
    </row>
    <row r="1311">
      <c r="AR1311" s="81">
        <f>($G1311+($H1311-$G1311)*0.5)+($P1311-($O1311+($Q1311-$O1311)*0.5))</f>
        <v/>
      </c>
      <c r="AS1311" s="81">
        <f>($J1311+($K1311-$J1311)*0.5)+($T1311-($S1311+($U1311-$S1311)*0.5))</f>
        <v/>
      </c>
      <c r="AT1311" s="82">
        <f>($J1311-$C1311)*100</f>
        <v/>
      </c>
      <c r="AU1311" s="82">
        <f>($H1311-$F1311)*100</f>
        <v/>
      </c>
      <c r="AV1311" s="82">
        <f>($J1311-$F1311)*100</f>
        <v/>
      </c>
      <c r="AW1311" s="82">
        <f>($L1311-$F1311)*100</f>
        <v/>
      </c>
      <c r="AX1311" s="82">
        <f>($J1311-$H1311)*100</f>
        <v/>
      </c>
      <c r="AY1311" s="82">
        <f>($L1311-$H1311)*100</f>
        <v/>
      </c>
      <c r="AZ1311" s="82">
        <f>($L1311-$J1311)*100</f>
        <v/>
      </c>
      <c r="BA1311" s="82">
        <f>(2*$H1311-$F1311-$J1311)*100</f>
        <v/>
      </c>
      <c r="BB1311" s="82">
        <f>(2*$J1311-$H1311-$L1311)*100</f>
        <v/>
      </c>
      <c r="BC1311" s="82">
        <f>($N1311-$F1311)*100</f>
        <v/>
      </c>
      <c r="BD1311" s="82">
        <f>($Q1311-$H1311)*100</f>
        <v/>
      </c>
      <c r="BE1311" s="82">
        <f>($S1311-$J1311)*100</f>
        <v/>
      </c>
      <c r="BF1311" s="82">
        <f>($V1311-$L1311)*100</f>
        <v/>
      </c>
      <c r="BG1311" s="82">
        <f>$AG1311-$AF1311</f>
        <v/>
      </c>
      <c r="BH1311" s="81">
        <f>IFERROR($AG1311/$AF1311,"")</f>
        <v/>
      </c>
      <c r="BI1311" s="82">
        <f>$AJ1311-$AF1311</f>
        <v/>
      </c>
      <c r="BJ1311" s="81">
        <f>IFERROR($AJ1311/$AG1311,"")</f>
        <v/>
      </c>
      <c r="BK1311" s="81">
        <f>$X1311</f>
        <v/>
      </c>
      <c r="BL1311" s="82">
        <f>($J1311-$J1312)*100</f>
        <v/>
      </c>
      <c r="BM1311" s="82">
        <f>($F1311-$F1312)*100</f>
        <v/>
      </c>
      <c r="BN1311" s="82">
        <f>$AF1311-$AF1312</f>
        <v/>
      </c>
      <c r="BO1311" s="82">
        <f>$AG1311-$AG1312</f>
        <v/>
      </c>
      <c r="BP1311" s="82">
        <f>$AJ1311-$AJ1312</f>
        <v/>
      </c>
    </row>
    <row r="1312">
      <c r="AR1312" s="81">
        <f>($G1312+($H1312-$G1312)*0.5)+($P1312-($O1312+($Q1312-$O1312)*0.5))</f>
        <v/>
      </c>
      <c r="AS1312" s="81">
        <f>($J1312+($K1312-$J1312)*0.5)+($T1312-($S1312+($U1312-$S1312)*0.5))</f>
        <v/>
      </c>
      <c r="AT1312" s="82">
        <f>($J1312-$C1312)*100</f>
        <v/>
      </c>
      <c r="AU1312" s="82">
        <f>($H1312-$F1312)*100</f>
        <v/>
      </c>
      <c r="AV1312" s="82">
        <f>($J1312-$F1312)*100</f>
        <v/>
      </c>
      <c r="AW1312" s="82">
        <f>($L1312-$F1312)*100</f>
        <v/>
      </c>
      <c r="AX1312" s="82">
        <f>($J1312-$H1312)*100</f>
        <v/>
      </c>
      <c r="AY1312" s="82">
        <f>($L1312-$H1312)*100</f>
        <v/>
      </c>
      <c r="AZ1312" s="82">
        <f>($L1312-$J1312)*100</f>
        <v/>
      </c>
      <c r="BA1312" s="82">
        <f>(2*$H1312-$F1312-$J1312)*100</f>
        <v/>
      </c>
      <c r="BB1312" s="82">
        <f>(2*$J1312-$H1312-$L1312)*100</f>
        <v/>
      </c>
      <c r="BC1312" s="82">
        <f>($N1312-$F1312)*100</f>
        <v/>
      </c>
      <c r="BD1312" s="82">
        <f>($Q1312-$H1312)*100</f>
        <v/>
      </c>
      <c r="BE1312" s="82">
        <f>($S1312-$J1312)*100</f>
        <v/>
      </c>
      <c r="BF1312" s="82">
        <f>($V1312-$L1312)*100</f>
        <v/>
      </c>
      <c r="BG1312" s="82">
        <f>$AG1312-$AF1312</f>
        <v/>
      </c>
      <c r="BH1312" s="81">
        <f>IFERROR($AG1312/$AF1312,"")</f>
        <v/>
      </c>
      <c r="BI1312" s="82">
        <f>$AJ1312-$AF1312</f>
        <v/>
      </c>
      <c r="BJ1312" s="81">
        <f>IFERROR($AJ1312/$AG1312,"")</f>
        <v/>
      </c>
      <c r="BK1312" s="81">
        <f>$X1312</f>
        <v/>
      </c>
      <c r="BL1312" s="82">
        <f>($J1312-$J1313)*100</f>
        <v/>
      </c>
      <c r="BM1312" s="82">
        <f>($F1312-$F1313)*100</f>
        <v/>
      </c>
      <c r="BN1312" s="82">
        <f>$AF1312-$AF1313</f>
        <v/>
      </c>
      <c r="BO1312" s="82">
        <f>$AG1312-$AG1313</f>
        <v/>
      </c>
      <c r="BP1312" s="82">
        <f>$AJ1312-$AJ1313</f>
        <v/>
      </c>
    </row>
    <row r="1313">
      <c r="AR1313" s="81">
        <f>($G1313+($H1313-$G1313)*0.5)+($P1313-($O1313+($Q1313-$O1313)*0.5))</f>
        <v/>
      </c>
      <c r="AS1313" s="81">
        <f>($J1313+($K1313-$J1313)*0.5)+($T1313-($S1313+($U1313-$S1313)*0.5))</f>
        <v/>
      </c>
      <c r="AT1313" s="82">
        <f>($J1313-$C1313)*100</f>
        <v/>
      </c>
      <c r="AU1313" s="82">
        <f>($H1313-$F1313)*100</f>
        <v/>
      </c>
      <c r="AV1313" s="82">
        <f>($J1313-$F1313)*100</f>
        <v/>
      </c>
      <c r="AW1313" s="82">
        <f>($L1313-$F1313)*100</f>
        <v/>
      </c>
      <c r="AX1313" s="82">
        <f>($J1313-$H1313)*100</f>
        <v/>
      </c>
      <c r="AY1313" s="82">
        <f>($L1313-$H1313)*100</f>
        <v/>
      </c>
      <c r="AZ1313" s="82">
        <f>($L1313-$J1313)*100</f>
        <v/>
      </c>
      <c r="BA1313" s="82">
        <f>(2*$H1313-$F1313-$J1313)*100</f>
        <v/>
      </c>
      <c r="BB1313" s="82">
        <f>(2*$J1313-$H1313-$L1313)*100</f>
        <v/>
      </c>
      <c r="BC1313" s="82">
        <f>($N1313-$F1313)*100</f>
        <v/>
      </c>
      <c r="BD1313" s="82">
        <f>($Q1313-$H1313)*100</f>
        <v/>
      </c>
      <c r="BE1313" s="82">
        <f>($S1313-$J1313)*100</f>
        <v/>
      </c>
      <c r="BF1313" s="82">
        <f>($V1313-$L1313)*100</f>
        <v/>
      </c>
      <c r="BG1313" s="82">
        <f>$AG1313-$AF1313</f>
        <v/>
      </c>
      <c r="BH1313" s="81">
        <f>IFERROR($AG1313/$AF1313,"")</f>
        <v/>
      </c>
      <c r="BI1313" s="82">
        <f>$AJ1313-$AF1313</f>
        <v/>
      </c>
      <c r="BJ1313" s="81">
        <f>IFERROR($AJ1313/$AG1313,"")</f>
        <v/>
      </c>
      <c r="BK1313" s="81">
        <f>$X1313</f>
        <v/>
      </c>
      <c r="BL1313" s="82">
        <f>($J1313-$J1314)*100</f>
        <v/>
      </c>
      <c r="BM1313" s="82">
        <f>($F1313-$F1314)*100</f>
        <v/>
      </c>
      <c r="BN1313" s="82">
        <f>$AF1313-$AF1314</f>
        <v/>
      </c>
      <c r="BO1313" s="82">
        <f>$AG1313-$AG1314</f>
        <v/>
      </c>
      <c r="BP1313" s="82">
        <f>$AJ1313-$AJ1314</f>
        <v/>
      </c>
    </row>
    <row r="1314">
      <c r="AR1314" s="81">
        <f>($G1314+($H1314-$G1314)*0.5)+($P1314-($O1314+($Q1314-$O1314)*0.5))</f>
        <v/>
      </c>
      <c r="AS1314" s="81">
        <f>($J1314+($K1314-$J1314)*0.5)+($T1314-($S1314+($U1314-$S1314)*0.5))</f>
        <v/>
      </c>
      <c r="AT1314" s="82">
        <f>($J1314-$C1314)*100</f>
        <v/>
      </c>
      <c r="AU1314" s="82">
        <f>($H1314-$F1314)*100</f>
        <v/>
      </c>
      <c r="AV1314" s="82">
        <f>($J1314-$F1314)*100</f>
        <v/>
      </c>
      <c r="AW1314" s="82">
        <f>($L1314-$F1314)*100</f>
        <v/>
      </c>
      <c r="AX1314" s="82">
        <f>($J1314-$H1314)*100</f>
        <v/>
      </c>
      <c r="AY1314" s="82">
        <f>($L1314-$H1314)*100</f>
        <v/>
      </c>
      <c r="AZ1314" s="82">
        <f>($L1314-$J1314)*100</f>
        <v/>
      </c>
      <c r="BA1314" s="82">
        <f>(2*$H1314-$F1314-$J1314)*100</f>
        <v/>
      </c>
      <c r="BB1314" s="82">
        <f>(2*$J1314-$H1314-$L1314)*100</f>
        <v/>
      </c>
      <c r="BC1314" s="82">
        <f>($N1314-$F1314)*100</f>
        <v/>
      </c>
      <c r="BD1314" s="82">
        <f>($Q1314-$H1314)*100</f>
        <v/>
      </c>
      <c r="BE1314" s="82">
        <f>($S1314-$J1314)*100</f>
        <v/>
      </c>
      <c r="BF1314" s="82">
        <f>($V1314-$L1314)*100</f>
        <v/>
      </c>
      <c r="BG1314" s="82">
        <f>$AG1314-$AF1314</f>
        <v/>
      </c>
      <c r="BH1314" s="81">
        <f>IFERROR($AG1314/$AF1314,"")</f>
        <v/>
      </c>
      <c r="BI1314" s="82">
        <f>$AJ1314-$AF1314</f>
        <v/>
      </c>
      <c r="BJ1314" s="81">
        <f>IFERROR($AJ1314/$AG1314,"")</f>
        <v/>
      </c>
      <c r="BK1314" s="81">
        <f>$X1314</f>
        <v/>
      </c>
      <c r="BL1314" s="82">
        <f>($J1314-$J1315)*100</f>
        <v/>
      </c>
      <c r="BM1314" s="82">
        <f>($F1314-$F1315)*100</f>
        <v/>
      </c>
      <c r="BN1314" s="82">
        <f>$AF1314-$AF1315</f>
        <v/>
      </c>
      <c r="BO1314" s="82">
        <f>$AG1314-$AG1315</f>
        <v/>
      </c>
      <c r="BP1314" s="82">
        <f>$AJ1314-$AJ1315</f>
        <v/>
      </c>
    </row>
    <row r="1315">
      <c r="AR1315" s="81">
        <f>($G1315+($H1315-$G1315)*0.5)+($P1315-($O1315+($Q1315-$O1315)*0.5))</f>
        <v/>
      </c>
      <c r="AS1315" s="81">
        <f>($J1315+($K1315-$J1315)*0.5)+($T1315-($S1315+($U1315-$S1315)*0.5))</f>
        <v/>
      </c>
      <c r="AT1315" s="82">
        <f>($J1315-$C1315)*100</f>
        <v/>
      </c>
      <c r="AU1315" s="82">
        <f>($H1315-$F1315)*100</f>
        <v/>
      </c>
      <c r="AV1315" s="82">
        <f>($J1315-$F1315)*100</f>
        <v/>
      </c>
      <c r="AW1315" s="82">
        <f>($L1315-$F1315)*100</f>
        <v/>
      </c>
      <c r="AX1315" s="82">
        <f>($J1315-$H1315)*100</f>
        <v/>
      </c>
      <c r="AY1315" s="82">
        <f>($L1315-$H1315)*100</f>
        <v/>
      </c>
      <c r="AZ1315" s="82">
        <f>($L1315-$J1315)*100</f>
        <v/>
      </c>
      <c r="BA1315" s="82">
        <f>(2*$H1315-$F1315-$J1315)*100</f>
        <v/>
      </c>
      <c r="BB1315" s="82">
        <f>(2*$J1315-$H1315-$L1315)*100</f>
        <v/>
      </c>
      <c r="BC1315" s="82">
        <f>($N1315-$F1315)*100</f>
        <v/>
      </c>
      <c r="BD1315" s="82">
        <f>($Q1315-$H1315)*100</f>
        <v/>
      </c>
      <c r="BE1315" s="82">
        <f>($S1315-$J1315)*100</f>
        <v/>
      </c>
      <c r="BF1315" s="82">
        <f>($V1315-$L1315)*100</f>
        <v/>
      </c>
      <c r="BG1315" s="82">
        <f>$AG1315-$AF1315</f>
        <v/>
      </c>
      <c r="BH1315" s="81">
        <f>IFERROR($AG1315/$AF1315,"")</f>
        <v/>
      </c>
      <c r="BI1315" s="82">
        <f>$AJ1315-$AF1315</f>
        <v/>
      </c>
      <c r="BJ1315" s="81">
        <f>IFERROR($AJ1315/$AG1315,"")</f>
        <v/>
      </c>
      <c r="BK1315" s="81">
        <f>$X1315</f>
        <v/>
      </c>
      <c r="BL1315" s="82">
        <f>($J1315-$J1316)*100</f>
        <v/>
      </c>
      <c r="BM1315" s="82">
        <f>($F1315-$F1316)*100</f>
        <v/>
      </c>
      <c r="BN1315" s="82">
        <f>$AF1315-$AF1316</f>
        <v/>
      </c>
      <c r="BO1315" s="82">
        <f>$AG1315-$AG1316</f>
        <v/>
      </c>
      <c r="BP1315" s="82">
        <f>$AJ1315-$AJ1316</f>
        <v/>
      </c>
    </row>
    <row r="1316">
      <c r="AR1316" s="81">
        <f>($G1316+($H1316-$G1316)*0.5)+($P1316-($O1316+($Q1316-$O1316)*0.5))</f>
        <v/>
      </c>
      <c r="AS1316" s="81">
        <f>($J1316+($K1316-$J1316)*0.5)+($T1316-($S1316+($U1316-$S1316)*0.5))</f>
        <v/>
      </c>
      <c r="AT1316" s="82">
        <f>($J1316-$C1316)*100</f>
        <v/>
      </c>
      <c r="AU1316" s="82">
        <f>($H1316-$F1316)*100</f>
        <v/>
      </c>
      <c r="AV1316" s="82">
        <f>($J1316-$F1316)*100</f>
        <v/>
      </c>
      <c r="AW1316" s="82">
        <f>($L1316-$F1316)*100</f>
        <v/>
      </c>
      <c r="AX1316" s="82">
        <f>($J1316-$H1316)*100</f>
        <v/>
      </c>
      <c r="AY1316" s="82">
        <f>($L1316-$H1316)*100</f>
        <v/>
      </c>
      <c r="AZ1316" s="82">
        <f>($L1316-$J1316)*100</f>
        <v/>
      </c>
      <c r="BA1316" s="82">
        <f>(2*$H1316-$F1316-$J1316)*100</f>
        <v/>
      </c>
      <c r="BB1316" s="82">
        <f>(2*$J1316-$H1316-$L1316)*100</f>
        <v/>
      </c>
      <c r="BC1316" s="82">
        <f>($N1316-$F1316)*100</f>
        <v/>
      </c>
      <c r="BD1316" s="82">
        <f>($Q1316-$H1316)*100</f>
        <v/>
      </c>
      <c r="BE1316" s="82">
        <f>($S1316-$J1316)*100</f>
        <v/>
      </c>
      <c r="BF1316" s="82">
        <f>($V1316-$L1316)*100</f>
        <v/>
      </c>
      <c r="BG1316" s="82">
        <f>$AG1316-$AF1316</f>
        <v/>
      </c>
      <c r="BH1316" s="81">
        <f>IFERROR($AG1316/$AF1316,"")</f>
        <v/>
      </c>
      <c r="BI1316" s="82">
        <f>$AJ1316-$AF1316</f>
        <v/>
      </c>
      <c r="BJ1316" s="81">
        <f>IFERROR($AJ1316/$AG1316,"")</f>
        <v/>
      </c>
      <c r="BK1316" s="81">
        <f>$X1316</f>
        <v/>
      </c>
      <c r="BL1316" s="82">
        <f>($J1316-$J1317)*100</f>
        <v/>
      </c>
      <c r="BM1316" s="82">
        <f>($F1316-$F1317)*100</f>
        <v/>
      </c>
      <c r="BN1316" s="82">
        <f>$AF1316-$AF1317</f>
        <v/>
      </c>
      <c r="BO1316" s="82">
        <f>$AG1316-$AG1317</f>
        <v/>
      </c>
      <c r="BP1316" s="82">
        <f>$AJ1316-$AJ1317</f>
        <v/>
      </c>
    </row>
    <row r="1317">
      <c r="AR1317" s="81">
        <f>($G1317+($H1317-$G1317)*0.5)+($P1317-($O1317+($Q1317-$O1317)*0.5))</f>
        <v/>
      </c>
      <c r="AS1317" s="81">
        <f>($J1317+($K1317-$J1317)*0.5)+($T1317-($S1317+($U1317-$S1317)*0.5))</f>
        <v/>
      </c>
      <c r="AT1317" s="82">
        <f>($J1317-$C1317)*100</f>
        <v/>
      </c>
      <c r="AU1317" s="82">
        <f>($H1317-$F1317)*100</f>
        <v/>
      </c>
      <c r="AV1317" s="82">
        <f>($J1317-$F1317)*100</f>
        <v/>
      </c>
      <c r="AW1317" s="82">
        <f>($L1317-$F1317)*100</f>
        <v/>
      </c>
      <c r="AX1317" s="82">
        <f>($J1317-$H1317)*100</f>
        <v/>
      </c>
      <c r="AY1317" s="82">
        <f>($L1317-$H1317)*100</f>
        <v/>
      </c>
      <c r="AZ1317" s="82">
        <f>($L1317-$J1317)*100</f>
        <v/>
      </c>
      <c r="BA1317" s="82">
        <f>(2*$H1317-$F1317-$J1317)*100</f>
        <v/>
      </c>
      <c r="BB1317" s="82">
        <f>(2*$J1317-$H1317-$L1317)*100</f>
        <v/>
      </c>
      <c r="BC1317" s="82">
        <f>($N1317-$F1317)*100</f>
        <v/>
      </c>
      <c r="BD1317" s="82">
        <f>($Q1317-$H1317)*100</f>
        <v/>
      </c>
      <c r="BE1317" s="82">
        <f>($S1317-$J1317)*100</f>
        <v/>
      </c>
      <c r="BF1317" s="82">
        <f>($V1317-$L1317)*100</f>
        <v/>
      </c>
      <c r="BG1317" s="82">
        <f>$AG1317-$AF1317</f>
        <v/>
      </c>
      <c r="BH1317" s="81">
        <f>IFERROR($AG1317/$AF1317,"")</f>
        <v/>
      </c>
      <c r="BI1317" s="82">
        <f>$AJ1317-$AF1317</f>
        <v/>
      </c>
      <c r="BJ1317" s="81">
        <f>IFERROR($AJ1317/$AG1317,"")</f>
        <v/>
      </c>
      <c r="BK1317" s="81">
        <f>$X1317</f>
        <v/>
      </c>
      <c r="BL1317" s="82">
        <f>($J1317-$J1318)*100</f>
        <v/>
      </c>
      <c r="BM1317" s="82">
        <f>($F1317-$F1318)*100</f>
        <v/>
      </c>
      <c r="BN1317" s="82">
        <f>$AF1317-$AF1318</f>
        <v/>
      </c>
      <c r="BO1317" s="82">
        <f>$AG1317-$AG1318</f>
        <v/>
      </c>
      <c r="BP1317" s="82">
        <f>$AJ1317-$AJ1318</f>
        <v/>
      </c>
    </row>
    <row r="1318">
      <c r="AR1318" s="81">
        <f>($G1318+($H1318-$G1318)*0.5)+($P1318-($O1318+($Q1318-$O1318)*0.5))</f>
        <v/>
      </c>
      <c r="AS1318" s="81">
        <f>($J1318+($K1318-$J1318)*0.5)+($T1318-($S1318+($U1318-$S1318)*0.5))</f>
        <v/>
      </c>
      <c r="AT1318" s="82">
        <f>($J1318-$C1318)*100</f>
        <v/>
      </c>
      <c r="AU1318" s="82">
        <f>($H1318-$F1318)*100</f>
        <v/>
      </c>
      <c r="AV1318" s="82">
        <f>($J1318-$F1318)*100</f>
        <v/>
      </c>
      <c r="AW1318" s="82">
        <f>($L1318-$F1318)*100</f>
        <v/>
      </c>
      <c r="AX1318" s="82">
        <f>($J1318-$H1318)*100</f>
        <v/>
      </c>
      <c r="AY1318" s="82">
        <f>($L1318-$H1318)*100</f>
        <v/>
      </c>
      <c r="AZ1318" s="82">
        <f>($L1318-$J1318)*100</f>
        <v/>
      </c>
      <c r="BA1318" s="82">
        <f>(2*$H1318-$F1318-$J1318)*100</f>
        <v/>
      </c>
      <c r="BB1318" s="82">
        <f>(2*$J1318-$H1318-$L1318)*100</f>
        <v/>
      </c>
      <c r="BC1318" s="82">
        <f>($N1318-$F1318)*100</f>
        <v/>
      </c>
      <c r="BD1318" s="82">
        <f>($Q1318-$H1318)*100</f>
        <v/>
      </c>
      <c r="BE1318" s="82">
        <f>($S1318-$J1318)*100</f>
        <v/>
      </c>
      <c r="BF1318" s="82">
        <f>($V1318-$L1318)*100</f>
        <v/>
      </c>
      <c r="BG1318" s="82">
        <f>$AG1318-$AF1318</f>
        <v/>
      </c>
      <c r="BH1318" s="81">
        <f>IFERROR($AG1318/$AF1318,"")</f>
        <v/>
      </c>
      <c r="BI1318" s="82">
        <f>$AJ1318-$AF1318</f>
        <v/>
      </c>
      <c r="BJ1318" s="81">
        <f>IFERROR($AJ1318/$AG1318,"")</f>
        <v/>
      </c>
      <c r="BK1318" s="81">
        <f>$X1318</f>
        <v/>
      </c>
      <c r="BL1318" s="82">
        <f>($J1318-$J1319)*100</f>
        <v/>
      </c>
      <c r="BM1318" s="82">
        <f>($F1318-$F1319)*100</f>
        <v/>
      </c>
      <c r="BN1318" s="82">
        <f>$AF1318-$AF1319</f>
        <v/>
      </c>
      <c r="BO1318" s="82">
        <f>$AG1318-$AG1319</f>
        <v/>
      </c>
      <c r="BP1318" s="82">
        <f>$AJ1318-$AJ1319</f>
        <v/>
      </c>
    </row>
    <row r="1319">
      <c r="AR1319" s="81">
        <f>($G1319+($H1319-$G1319)*0.5)+($P1319-($O1319+($Q1319-$O1319)*0.5))</f>
        <v/>
      </c>
      <c r="AS1319" s="81">
        <f>($J1319+($K1319-$J1319)*0.5)+($T1319-($S1319+($U1319-$S1319)*0.5))</f>
        <v/>
      </c>
      <c r="AT1319" s="82">
        <f>($J1319-$C1319)*100</f>
        <v/>
      </c>
      <c r="AU1319" s="82">
        <f>($H1319-$F1319)*100</f>
        <v/>
      </c>
      <c r="AV1319" s="82">
        <f>($J1319-$F1319)*100</f>
        <v/>
      </c>
      <c r="AW1319" s="82">
        <f>($L1319-$F1319)*100</f>
        <v/>
      </c>
      <c r="AX1319" s="82">
        <f>($J1319-$H1319)*100</f>
        <v/>
      </c>
      <c r="AY1319" s="82">
        <f>($L1319-$H1319)*100</f>
        <v/>
      </c>
      <c r="AZ1319" s="82">
        <f>($L1319-$J1319)*100</f>
        <v/>
      </c>
      <c r="BA1319" s="82">
        <f>(2*$H1319-$F1319-$J1319)*100</f>
        <v/>
      </c>
      <c r="BB1319" s="82">
        <f>(2*$J1319-$H1319-$L1319)*100</f>
        <v/>
      </c>
      <c r="BC1319" s="82">
        <f>($N1319-$F1319)*100</f>
        <v/>
      </c>
      <c r="BD1319" s="82">
        <f>($Q1319-$H1319)*100</f>
        <v/>
      </c>
      <c r="BE1319" s="82">
        <f>($S1319-$J1319)*100</f>
        <v/>
      </c>
      <c r="BF1319" s="82">
        <f>($V1319-$L1319)*100</f>
        <v/>
      </c>
      <c r="BG1319" s="82">
        <f>$AG1319-$AF1319</f>
        <v/>
      </c>
      <c r="BH1319" s="81">
        <f>IFERROR($AG1319/$AF1319,"")</f>
        <v/>
      </c>
      <c r="BI1319" s="82">
        <f>$AJ1319-$AF1319</f>
        <v/>
      </c>
      <c r="BJ1319" s="81">
        <f>IFERROR($AJ1319/$AG1319,"")</f>
        <v/>
      </c>
      <c r="BK1319" s="81">
        <f>$X1319</f>
        <v/>
      </c>
      <c r="BL1319" s="82">
        <f>($J1319-$J1320)*100</f>
        <v/>
      </c>
      <c r="BM1319" s="82">
        <f>($F1319-$F1320)*100</f>
        <v/>
      </c>
      <c r="BN1319" s="82">
        <f>$AF1319-$AF1320</f>
        <v/>
      </c>
      <c r="BO1319" s="82">
        <f>$AG1319-$AG1320</f>
        <v/>
      </c>
      <c r="BP1319" s="82">
        <f>$AJ1319-$AJ1320</f>
        <v/>
      </c>
    </row>
    <row r="1320">
      <c r="AR1320" s="81">
        <f>($G1320+($H1320-$G1320)*0.5)+($P1320-($O1320+($Q1320-$O1320)*0.5))</f>
        <v/>
      </c>
      <c r="AS1320" s="81">
        <f>($J1320+($K1320-$J1320)*0.5)+($T1320-($S1320+($U1320-$S1320)*0.5))</f>
        <v/>
      </c>
      <c r="AT1320" s="82">
        <f>($J1320-$C1320)*100</f>
        <v/>
      </c>
      <c r="AU1320" s="82">
        <f>($H1320-$F1320)*100</f>
        <v/>
      </c>
      <c r="AV1320" s="82">
        <f>($J1320-$F1320)*100</f>
        <v/>
      </c>
      <c r="AW1320" s="82">
        <f>($L1320-$F1320)*100</f>
        <v/>
      </c>
      <c r="AX1320" s="82">
        <f>($J1320-$H1320)*100</f>
        <v/>
      </c>
      <c r="AY1320" s="82">
        <f>($L1320-$H1320)*100</f>
        <v/>
      </c>
      <c r="AZ1320" s="82">
        <f>($L1320-$J1320)*100</f>
        <v/>
      </c>
      <c r="BA1320" s="82">
        <f>(2*$H1320-$F1320-$J1320)*100</f>
        <v/>
      </c>
      <c r="BB1320" s="82">
        <f>(2*$J1320-$H1320-$L1320)*100</f>
        <v/>
      </c>
      <c r="BC1320" s="82">
        <f>($N1320-$F1320)*100</f>
        <v/>
      </c>
      <c r="BD1320" s="82">
        <f>($Q1320-$H1320)*100</f>
        <v/>
      </c>
      <c r="BE1320" s="82">
        <f>($S1320-$J1320)*100</f>
        <v/>
      </c>
      <c r="BF1320" s="82">
        <f>($V1320-$L1320)*100</f>
        <v/>
      </c>
      <c r="BG1320" s="82">
        <f>$AG1320-$AF1320</f>
        <v/>
      </c>
      <c r="BH1320" s="81">
        <f>IFERROR($AG1320/$AF1320,"")</f>
        <v/>
      </c>
      <c r="BI1320" s="82">
        <f>$AJ1320-$AF1320</f>
        <v/>
      </c>
      <c r="BJ1320" s="81">
        <f>IFERROR($AJ1320/$AG1320,"")</f>
        <v/>
      </c>
      <c r="BK1320" s="81">
        <f>$X1320</f>
        <v/>
      </c>
      <c r="BL1320" s="82">
        <f>($J1320-$J1321)*100</f>
        <v/>
      </c>
      <c r="BM1320" s="82">
        <f>($F1320-$F1321)*100</f>
        <v/>
      </c>
      <c r="BN1320" s="82">
        <f>$AF1320-$AF1321</f>
        <v/>
      </c>
      <c r="BO1320" s="82">
        <f>$AG1320-$AG1321</f>
        <v/>
      </c>
      <c r="BP1320" s="82">
        <f>$AJ1320-$AJ1321</f>
        <v/>
      </c>
    </row>
    <row r="1321">
      <c r="AR1321" s="81">
        <f>($G1321+($H1321-$G1321)*0.5)+($P1321-($O1321+($Q1321-$O1321)*0.5))</f>
        <v/>
      </c>
      <c r="AS1321" s="81">
        <f>($J1321+($K1321-$J1321)*0.5)+($T1321-($S1321+($U1321-$S1321)*0.5))</f>
        <v/>
      </c>
      <c r="AT1321" s="82">
        <f>($J1321-$C1321)*100</f>
        <v/>
      </c>
      <c r="AU1321" s="82">
        <f>($H1321-$F1321)*100</f>
        <v/>
      </c>
      <c r="AV1321" s="82">
        <f>($J1321-$F1321)*100</f>
        <v/>
      </c>
      <c r="AW1321" s="82">
        <f>($L1321-$F1321)*100</f>
        <v/>
      </c>
      <c r="AX1321" s="82">
        <f>($J1321-$H1321)*100</f>
        <v/>
      </c>
      <c r="AY1321" s="82">
        <f>($L1321-$H1321)*100</f>
        <v/>
      </c>
      <c r="AZ1321" s="82">
        <f>($L1321-$J1321)*100</f>
        <v/>
      </c>
      <c r="BA1321" s="82">
        <f>(2*$H1321-$F1321-$J1321)*100</f>
        <v/>
      </c>
      <c r="BB1321" s="82">
        <f>(2*$J1321-$H1321-$L1321)*100</f>
        <v/>
      </c>
      <c r="BC1321" s="82">
        <f>($N1321-$F1321)*100</f>
        <v/>
      </c>
      <c r="BD1321" s="82">
        <f>($Q1321-$H1321)*100</f>
        <v/>
      </c>
      <c r="BE1321" s="82">
        <f>($S1321-$J1321)*100</f>
        <v/>
      </c>
      <c r="BF1321" s="82">
        <f>($V1321-$L1321)*100</f>
        <v/>
      </c>
      <c r="BG1321" s="82">
        <f>$AG1321-$AF1321</f>
        <v/>
      </c>
      <c r="BH1321" s="81">
        <f>IFERROR($AG1321/$AF1321,"")</f>
        <v/>
      </c>
      <c r="BI1321" s="82">
        <f>$AJ1321-$AF1321</f>
        <v/>
      </c>
      <c r="BJ1321" s="81">
        <f>IFERROR($AJ1321/$AG1321,"")</f>
        <v/>
      </c>
      <c r="BK1321" s="81">
        <f>$X1321</f>
        <v/>
      </c>
      <c r="BL1321" s="82">
        <f>($J1321-$J1322)*100</f>
        <v/>
      </c>
      <c r="BM1321" s="82">
        <f>($F1321-$F1322)*100</f>
        <v/>
      </c>
      <c r="BN1321" s="82">
        <f>$AF1321-$AF1322</f>
        <v/>
      </c>
      <c r="BO1321" s="82">
        <f>$AG1321-$AG1322</f>
        <v/>
      </c>
      <c r="BP1321" s="82">
        <f>$AJ1321-$AJ1322</f>
        <v/>
      </c>
    </row>
    <row r="1322">
      <c r="AR1322" s="81">
        <f>($G1322+($H1322-$G1322)*0.5)+($P1322-($O1322+($Q1322-$O1322)*0.5))</f>
        <v/>
      </c>
      <c r="AS1322" s="81">
        <f>($J1322+($K1322-$J1322)*0.5)+($T1322-($S1322+($U1322-$S1322)*0.5))</f>
        <v/>
      </c>
      <c r="AT1322" s="82">
        <f>($J1322-$C1322)*100</f>
        <v/>
      </c>
      <c r="AU1322" s="82">
        <f>($H1322-$F1322)*100</f>
        <v/>
      </c>
      <c r="AV1322" s="82">
        <f>($J1322-$F1322)*100</f>
        <v/>
      </c>
      <c r="AW1322" s="82">
        <f>($L1322-$F1322)*100</f>
        <v/>
      </c>
      <c r="AX1322" s="82">
        <f>($J1322-$H1322)*100</f>
        <v/>
      </c>
      <c r="AY1322" s="82">
        <f>($L1322-$H1322)*100</f>
        <v/>
      </c>
      <c r="AZ1322" s="82">
        <f>($L1322-$J1322)*100</f>
        <v/>
      </c>
      <c r="BA1322" s="82">
        <f>(2*$H1322-$F1322-$J1322)*100</f>
        <v/>
      </c>
      <c r="BB1322" s="82">
        <f>(2*$J1322-$H1322-$L1322)*100</f>
        <v/>
      </c>
      <c r="BC1322" s="82">
        <f>($N1322-$F1322)*100</f>
        <v/>
      </c>
      <c r="BD1322" s="82">
        <f>($Q1322-$H1322)*100</f>
        <v/>
      </c>
      <c r="BE1322" s="82">
        <f>($S1322-$J1322)*100</f>
        <v/>
      </c>
      <c r="BF1322" s="82">
        <f>($V1322-$L1322)*100</f>
        <v/>
      </c>
      <c r="BG1322" s="82">
        <f>$AG1322-$AF1322</f>
        <v/>
      </c>
      <c r="BH1322" s="81">
        <f>IFERROR($AG1322/$AF1322,"")</f>
        <v/>
      </c>
      <c r="BI1322" s="82">
        <f>$AJ1322-$AF1322</f>
        <v/>
      </c>
      <c r="BJ1322" s="81">
        <f>IFERROR($AJ1322/$AG1322,"")</f>
        <v/>
      </c>
      <c r="BK1322" s="81">
        <f>$X1322</f>
        <v/>
      </c>
      <c r="BL1322" s="82">
        <f>($J1322-$J1323)*100</f>
        <v/>
      </c>
      <c r="BM1322" s="82">
        <f>($F1322-$F1323)*100</f>
        <v/>
      </c>
      <c r="BN1322" s="82">
        <f>$AF1322-$AF1323</f>
        <v/>
      </c>
      <c r="BO1322" s="82">
        <f>$AG1322-$AG1323</f>
        <v/>
      </c>
      <c r="BP1322" s="82">
        <f>$AJ1322-$AJ1323</f>
        <v/>
      </c>
    </row>
    <row r="1323">
      <c r="AR1323" s="81">
        <f>($G1323+($H1323-$G1323)*0.5)+($P1323-($O1323+($Q1323-$O1323)*0.5))</f>
        <v/>
      </c>
      <c r="AS1323" s="81">
        <f>($J1323+($K1323-$J1323)*0.5)+($T1323-($S1323+($U1323-$S1323)*0.5))</f>
        <v/>
      </c>
      <c r="AT1323" s="82">
        <f>($J1323-$C1323)*100</f>
        <v/>
      </c>
      <c r="AU1323" s="82">
        <f>($H1323-$F1323)*100</f>
        <v/>
      </c>
      <c r="AV1323" s="82">
        <f>($J1323-$F1323)*100</f>
        <v/>
      </c>
      <c r="AW1323" s="82">
        <f>($L1323-$F1323)*100</f>
        <v/>
      </c>
      <c r="AX1323" s="82">
        <f>($J1323-$H1323)*100</f>
        <v/>
      </c>
      <c r="AY1323" s="82">
        <f>($L1323-$H1323)*100</f>
        <v/>
      </c>
      <c r="AZ1323" s="82">
        <f>($L1323-$J1323)*100</f>
        <v/>
      </c>
      <c r="BA1323" s="82">
        <f>(2*$H1323-$F1323-$J1323)*100</f>
        <v/>
      </c>
      <c r="BB1323" s="82">
        <f>(2*$J1323-$H1323-$L1323)*100</f>
        <v/>
      </c>
      <c r="BC1323" s="82">
        <f>($N1323-$F1323)*100</f>
        <v/>
      </c>
      <c r="BD1323" s="82">
        <f>($Q1323-$H1323)*100</f>
        <v/>
      </c>
      <c r="BE1323" s="82">
        <f>($S1323-$J1323)*100</f>
        <v/>
      </c>
      <c r="BF1323" s="82">
        <f>($V1323-$L1323)*100</f>
        <v/>
      </c>
      <c r="BG1323" s="82">
        <f>$AG1323-$AF1323</f>
        <v/>
      </c>
      <c r="BH1323" s="81">
        <f>IFERROR($AG1323/$AF1323,"")</f>
        <v/>
      </c>
      <c r="BI1323" s="82">
        <f>$AJ1323-$AF1323</f>
        <v/>
      </c>
      <c r="BJ1323" s="81">
        <f>IFERROR($AJ1323/$AG1323,"")</f>
        <v/>
      </c>
      <c r="BK1323" s="81">
        <f>$X1323</f>
        <v/>
      </c>
      <c r="BL1323" s="82">
        <f>($J1323-$J1324)*100</f>
        <v/>
      </c>
      <c r="BM1323" s="82">
        <f>($F1323-$F1324)*100</f>
        <v/>
      </c>
      <c r="BN1323" s="82">
        <f>$AF1323-$AF1324</f>
        <v/>
      </c>
      <c r="BO1323" s="82">
        <f>$AG1323-$AG1324</f>
        <v/>
      </c>
      <c r="BP1323" s="82">
        <f>$AJ1323-$AJ1324</f>
        <v/>
      </c>
    </row>
    <row r="1324">
      <c r="AR1324" s="81">
        <f>($G1324+($H1324-$G1324)*0.5)+($P1324-($O1324+($Q1324-$O1324)*0.5))</f>
        <v/>
      </c>
      <c r="AS1324" s="81">
        <f>($J1324+($K1324-$J1324)*0.5)+($T1324-($S1324+($U1324-$S1324)*0.5))</f>
        <v/>
      </c>
      <c r="AT1324" s="82">
        <f>($J1324-$C1324)*100</f>
        <v/>
      </c>
      <c r="AU1324" s="82">
        <f>($H1324-$F1324)*100</f>
        <v/>
      </c>
      <c r="AV1324" s="82">
        <f>($J1324-$F1324)*100</f>
        <v/>
      </c>
      <c r="AW1324" s="82">
        <f>($L1324-$F1324)*100</f>
        <v/>
      </c>
      <c r="AX1324" s="82">
        <f>($J1324-$H1324)*100</f>
        <v/>
      </c>
      <c r="AY1324" s="82">
        <f>($L1324-$H1324)*100</f>
        <v/>
      </c>
      <c r="AZ1324" s="82">
        <f>($L1324-$J1324)*100</f>
        <v/>
      </c>
      <c r="BA1324" s="82">
        <f>(2*$H1324-$F1324-$J1324)*100</f>
        <v/>
      </c>
      <c r="BB1324" s="82">
        <f>(2*$J1324-$H1324-$L1324)*100</f>
        <v/>
      </c>
      <c r="BC1324" s="82">
        <f>($N1324-$F1324)*100</f>
        <v/>
      </c>
      <c r="BD1324" s="82">
        <f>($Q1324-$H1324)*100</f>
        <v/>
      </c>
      <c r="BE1324" s="82">
        <f>($S1324-$J1324)*100</f>
        <v/>
      </c>
      <c r="BF1324" s="82">
        <f>($V1324-$L1324)*100</f>
        <v/>
      </c>
      <c r="BG1324" s="82">
        <f>$AG1324-$AF1324</f>
        <v/>
      </c>
      <c r="BH1324" s="81">
        <f>IFERROR($AG1324/$AF1324,"")</f>
        <v/>
      </c>
      <c r="BI1324" s="82">
        <f>$AJ1324-$AF1324</f>
        <v/>
      </c>
      <c r="BJ1324" s="81">
        <f>IFERROR($AJ1324/$AG1324,"")</f>
        <v/>
      </c>
      <c r="BK1324" s="81">
        <f>$X1324</f>
        <v/>
      </c>
      <c r="BL1324" s="82">
        <f>($J1324-$J1325)*100</f>
        <v/>
      </c>
      <c r="BM1324" s="82">
        <f>($F1324-$F1325)*100</f>
        <v/>
      </c>
      <c r="BN1324" s="82">
        <f>$AF1324-$AF1325</f>
        <v/>
      </c>
      <c r="BO1324" s="82">
        <f>$AG1324-$AG1325</f>
        <v/>
      </c>
      <c r="BP1324" s="82">
        <f>$AJ1324-$AJ1325</f>
        <v/>
      </c>
    </row>
    <row r="1325">
      <c r="AR1325" s="81">
        <f>($G1325+($H1325-$G1325)*0.5)+($P1325-($O1325+($Q1325-$O1325)*0.5))</f>
        <v/>
      </c>
      <c r="AS1325" s="81">
        <f>($J1325+($K1325-$J1325)*0.5)+($T1325-($S1325+($U1325-$S1325)*0.5))</f>
        <v/>
      </c>
      <c r="AT1325" s="82">
        <f>($J1325-$C1325)*100</f>
        <v/>
      </c>
      <c r="AU1325" s="82">
        <f>($H1325-$F1325)*100</f>
        <v/>
      </c>
      <c r="AV1325" s="82">
        <f>($J1325-$F1325)*100</f>
        <v/>
      </c>
      <c r="AW1325" s="82">
        <f>($L1325-$F1325)*100</f>
        <v/>
      </c>
      <c r="AX1325" s="82">
        <f>($J1325-$H1325)*100</f>
        <v/>
      </c>
      <c r="AY1325" s="82">
        <f>($L1325-$H1325)*100</f>
        <v/>
      </c>
      <c r="AZ1325" s="82">
        <f>($L1325-$J1325)*100</f>
        <v/>
      </c>
      <c r="BA1325" s="82">
        <f>(2*$H1325-$F1325-$J1325)*100</f>
        <v/>
      </c>
      <c r="BB1325" s="82">
        <f>(2*$J1325-$H1325-$L1325)*100</f>
        <v/>
      </c>
      <c r="BC1325" s="82">
        <f>($N1325-$F1325)*100</f>
        <v/>
      </c>
      <c r="BD1325" s="82">
        <f>($Q1325-$H1325)*100</f>
        <v/>
      </c>
      <c r="BE1325" s="82">
        <f>($S1325-$J1325)*100</f>
        <v/>
      </c>
      <c r="BF1325" s="82">
        <f>($V1325-$L1325)*100</f>
        <v/>
      </c>
      <c r="BG1325" s="82">
        <f>$AG1325-$AF1325</f>
        <v/>
      </c>
      <c r="BH1325" s="81">
        <f>IFERROR($AG1325/$AF1325,"")</f>
        <v/>
      </c>
      <c r="BI1325" s="82">
        <f>$AJ1325-$AF1325</f>
        <v/>
      </c>
      <c r="BJ1325" s="81">
        <f>IFERROR($AJ1325/$AG1325,"")</f>
        <v/>
      </c>
      <c r="BK1325" s="81">
        <f>$X1325</f>
        <v/>
      </c>
      <c r="BL1325" s="82">
        <f>($J1325-$J1326)*100</f>
        <v/>
      </c>
      <c r="BM1325" s="82">
        <f>($F1325-$F1326)*100</f>
        <v/>
      </c>
      <c r="BN1325" s="82">
        <f>$AF1325-$AF1326</f>
        <v/>
      </c>
      <c r="BO1325" s="82">
        <f>$AG1325-$AG1326</f>
        <v/>
      </c>
      <c r="BP1325" s="82">
        <f>$AJ1325-$AJ1326</f>
        <v/>
      </c>
    </row>
    <row r="1326">
      <c r="AR1326" s="81">
        <f>($G1326+($H1326-$G1326)*0.5)+($P1326-($O1326+($Q1326-$O1326)*0.5))</f>
        <v/>
      </c>
      <c r="AS1326" s="81">
        <f>($J1326+($K1326-$J1326)*0.5)+($T1326-($S1326+($U1326-$S1326)*0.5))</f>
        <v/>
      </c>
      <c r="AT1326" s="82">
        <f>($J1326-$C1326)*100</f>
        <v/>
      </c>
      <c r="AU1326" s="82">
        <f>($H1326-$F1326)*100</f>
        <v/>
      </c>
      <c r="AV1326" s="82">
        <f>($J1326-$F1326)*100</f>
        <v/>
      </c>
      <c r="AW1326" s="82">
        <f>($L1326-$F1326)*100</f>
        <v/>
      </c>
      <c r="AX1326" s="82">
        <f>($J1326-$H1326)*100</f>
        <v/>
      </c>
      <c r="AY1326" s="82">
        <f>($L1326-$H1326)*100</f>
        <v/>
      </c>
      <c r="AZ1326" s="82">
        <f>($L1326-$J1326)*100</f>
        <v/>
      </c>
      <c r="BA1326" s="82">
        <f>(2*$H1326-$F1326-$J1326)*100</f>
        <v/>
      </c>
      <c r="BB1326" s="82">
        <f>(2*$J1326-$H1326-$L1326)*100</f>
        <v/>
      </c>
      <c r="BC1326" s="82">
        <f>($N1326-$F1326)*100</f>
        <v/>
      </c>
      <c r="BD1326" s="82">
        <f>($Q1326-$H1326)*100</f>
        <v/>
      </c>
      <c r="BE1326" s="82">
        <f>($S1326-$J1326)*100</f>
        <v/>
      </c>
      <c r="BF1326" s="82">
        <f>($V1326-$L1326)*100</f>
        <v/>
      </c>
      <c r="BG1326" s="82">
        <f>$AG1326-$AF1326</f>
        <v/>
      </c>
      <c r="BH1326" s="81">
        <f>IFERROR($AG1326/$AF1326,"")</f>
        <v/>
      </c>
      <c r="BI1326" s="82">
        <f>$AJ1326-$AF1326</f>
        <v/>
      </c>
      <c r="BJ1326" s="81">
        <f>IFERROR($AJ1326/$AG1326,"")</f>
        <v/>
      </c>
      <c r="BK1326" s="81">
        <f>$X1326</f>
        <v/>
      </c>
      <c r="BL1326" s="82">
        <f>($J1326-$J1327)*100</f>
        <v/>
      </c>
      <c r="BM1326" s="82">
        <f>($F1326-$F1327)*100</f>
        <v/>
      </c>
      <c r="BN1326" s="82">
        <f>$AF1326-$AF1327</f>
        <v/>
      </c>
      <c r="BO1326" s="82">
        <f>$AG1326-$AG1327</f>
        <v/>
      </c>
      <c r="BP1326" s="82">
        <f>$AJ1326-$AJ1327</f>
        <v/>
      </c>
    </row>
    <row r="1327">
      <c r="AR1327" s="81">
        <f>($G1327+($H1327-$G1327)*0.5)+($P1327-($O1327+($Q1327-$O1327)*0.5))</f>
        <v/>
      </c>
      <c r="AS1327" s="81">
        <f>($J1327+($K1327-$J1327)*0.5)+($T1327-($S1327+($U1327-$S1327)*0.5))</f>
        <v/>
      </c>
      <c r="AT1327" s="82">
        <f>($J1327-$C1327)*100</f>
        <v/>
      </c>
      <c r="AU1327" s="82">
        <f>($H1327-$F1327)*100</f>
        <v/>
      </c>
      <c r="AV1327" s="82">
        <f>($J1327-$F1327)*100</f>
        <v/>
      </c>
      <c r="AW1327" s="82">
        <f>($L1327-$F1327)*100</f>
        <v/>
      </c>
      <c r="AX1327" s="82">
        <f>($J1327-$H1327)*100</f>
        <v/>
      </c>
      <c r="AY1327" s="82">
        <f>($L1327-$H1327)*100</f>
        <v/>
      </c>
      <c r="AZ1327" s="82">
        <f>($L1327-$J1327)*100</f>
        <v/>
      </c>
      <c r="BA1327" s="82">
        <f>(2*$H1327-$F1327-$J1327)*100</f>
        <v/>
      </c>
      <c r="BB1327" s="82">
        <f>(2*$J1327-$H1327-$L1327)*100</f>
        <v/>
      </c>
      <c r="BC1327" s="82">
        <f>($N1327-$F1327)*100</f>
        <v/>
      </c>
      <c r="BD1327" s="82">
        <f>($Q1327-$H1327)*100</f>
        <v/>
      </c>
      <c r="BE1327" s="82">
        <f>($S1327-$J1327)*100</f>
        <v/>
      </c>
      <c r="BF1327" s="82">
        <f>($V1327-$L1327)*100</f>
        <v/>
      </c>
      <c r="BG1327" s="82">
        <f>$AG1327-$AF1327</f>
        <v/>
      </c>
      <c r="BH1327" s="81">
        <f>IFERROR($AG1327/$AF1327,"")</f>
        <v/>
      </c>
      <c r="BI1327" s="82">
        <f>$AJ1327-$AF1327</f>
        <v/>
      </c>
      <c r="BJ1327" s="81">
        <f>IFERROR($AJ1327/$AG1327,"")</f>
        <v/>
      </c>
      <c r="BK1327" s="81">
        <f>$X1327</f>
        <v/>
      </c>
      <c r="BL1327" s="82">
        <f>($J1327-$J1328)*100</f>
        <v/>
      </c>
      <c r="BM1327" s="82">
        <f>($F1327-$F1328)*100</f>
        <v/>
      </c>
      <c r="BN1327" s="82">
        <f>$AF1327-$AF1328</f>
        <v/>
      </c>
      <c r="BO1327" s="82">
        <f>$AG1327-$AG1328</f>
        <v/>
      </c>
      <c r="BP1327" s="82">
        <f>$AJ1327-$AJ1328</f>
        <v/>
      </c>
    </row>
    <row r="1328">
      <c r="AR1328" s="81">
        <f>($G1328+($H1328-$G1328)*0.5)+($P1328-($O1328+($Q1328-$O1328)*0.5))</f>
        <v/>
      </c>
      <c r="AS1328" s="81">
        <f>($J1328+($K1328-$J1328)*0.5)+($T1328-($S1328+($U1328-$S1328)*0.5))</f>
        <v/>
      </c>
      <c r="AT1328" s="82">
        <f>($J1328-$C1328)*100</f>
        <v/>
      </c>
      <c r="AU1328" s="82">
        <f>($H1328-$F1328)*100</f>
        <v/>
      </c>
      <c r="AV1328" s="82">
        <f>($J1328-$F1328)*100</f>
        <v/>
      </c>
      <c r="AW1328" s="82">
        <f>($L1328-$F1328)*100</f>
        <v/>
      </c>
      <c r="AX1328" s="82">
        <f>($J1328-$H1328)*100</f>
        <v/>
      </c>
      <c r="AY1328" s="82">
        <f>($L1328-$H1328)*100</f>
        <v/>
      </c>
      <c r="AZ1328" s="82">
        <f>($L1328-$J1328)*100</f>
        <v/>
      </c>
      <c r="BA1328" s="82">
        <f>(2*$H1328-$F1328-$J1328)*100</f>
        <v/>
      </c>
      <c r="BB1328" s="82">
        <f>(2*$J1328-$H1328-$L1328)*100</f>
        <v/>
      </c>
      <c r="BC1328" s="82">
        <f>($N1328-$F1328)*100</f>
        <v/>
      </c>
      <c r="BD1328" s="82">
        <f>($Q1328-$H1328)*100</f>
        <v/>
      </c>
      <c r="BE1328" s="82">
        <f>($S1328-$J1328)*100</f>
        <v/>
      </c>
      <c r="BF1328" s="82">
        <f>($V1328-$L1328)*100</f>
        <v/>
      </c>
      <c r="BG1328" s="82">
        <f>$AG1328-$AF1328</f>
        <v/>
      </c>
      <c r="BH1328" s="81">
        <f>IFERROR($AG1328/$AF1328,"")</f>
        <v/>
      </c>
      <c r="BI1328" s="82">
        <f>$AJ1328-$AF1328</f>
        <v/>
      </c>
      <c r="BJ1328" s="81">
        <f>IFERROR($AJ1328/$AG1328,"")</f>
        <v/>
      </c>
      <c r="BK1328" s="81">
        <f>$X1328</f>
        <v/>
      </c>
      <c r="BL1328" s="82">
        <f>($J1328-$J1329)*100</f>
        <v/>
      </c>
      <c r="BM1328" s="82">
        <f>($F1328-$F1329)*100</f>
        <v/>
      </c>
      <c r="BN1328" s="82">
        <f>$AF1328-$AF1329</f>
        <v/>
      </c>
      <c r="BO1328" s="82">
        <f>$AG1328-$AG1329</f>
        <v/>
      </c>
      <c r="BP1328" s="82">
        <f>$AJ1328-$AJ1329</f>
        <v/>
      </c>
    </row>
    <row r="1329">
      <c r="AR1329" s="81">
        <f>($G1329+($H1329-$G1329)*0.5)+($P1329-($O1329+($Q1329-$O1329)*0.5))</f>
        <v/>
      </c>
      <c r="AS1329" s="81">
        <f>($J1329+($K1329-$J1329)*0.5)+($T1329-($S1329+($U1329-$S1329)*0.5))</f>
        <v/>
      </c>
      <c r="AT1329" s="82">
        <f>($J1329-$C1329)*100</f>
        <v/>
      </c>
      <c r="AU1329" s="82">
        <f>($H1329-$F1329)*100</f>
        <v/>
      </c>
      <c r="AV1329" s="82">
        <f>($J1329-$F1329)*100</f>
        <v/>
      </c>
      <c r="AW1329" s="82">
        <f>($L1329-$F1329)*100</f>
        <v/>
      </c>
      <c r="AX1329" s="82">
        <f>($J1329-$H1329)*100</f>
        <v/>
      </c>
      <c r="AY1329" s="82">
        <f>($L1329-$H1329)*100</f>
        <v/>
      </c>
      <c r="AZ1329" s="82">
        <f>($L1329-$J1329)*100</f>
        <v/>
      </c>
      <c r="BA1329" s="82">
        <f>(2*$H1329-$F1329-$J1329)*100</f>
        <v/>
      </c>
      <c r="BB1329" s="82">
        <f>(2*$J1329-$H1329-$L1329)*100</f>
        <v/>
      </c>
      <c r="BC1329" s="82">
        <f>($N1329-$F1329)*100</f>
        <v/>
      </c>
      <c r="BD1329" s="82">
        <f>($Q1329-$H1329)*100</f>
        <v/>
      </c>
      <c r="BE1329" s="82">
        <f>($S1329-$J1329)*100</f>
        <v/>
      </c>
      <c r="BF1329" s="82">
        <f>($V1329-$L1329)*100</f>
        <v/>
      </c>
      <c r="BG1329" s="82">
        <f>$AG1329-$AF1329</f>
        <v/>
      </c>
      <c r="BH1329" s="81">
        <f>IFERROR($AG1329/$AF1329,"")</f>
        <v/>
      </c>
      <c r="BI1329" s="82">
        <f>$AJ1329-$AF1329</f>
        <v/>
      </c>
      <c r="BJ1329" s="81">
        <f>IFERROR($AJ1329/$AG1329,"")</f>
        <v/>
      </c>
      <c r="BK1329" s="81">
        <f>$X1329</f>
        <v/>
      </c>
      <c r="BL1329" s="82">
        <f>($J1329-$J1330)*100</f>
        <v/>
      </c>
      <c r="BM1329" s="82">
        <f>($F1329-$F1330)*100</f>
        <v/>
      </c>
      <c r="BN1329" s="82">
        <f>$AF1329-$AF1330</f>
        <v/>
      </c>
      <c r="BO1329" s="82">
        <f>$AG1329-$AG1330</f>
        <v/>
      </c>
      <c r="BP1329" s="82">
        <f>$AJ1329-$AJ1330</f>
        <v/>
      </c>
    </row>
    <row r="1330">
      <c r="AR1330" s="81">
        <f>($G1330+($H1330-$G1330)*0.5)+($P1330-($O1330+($Q1330-$O1330)*0.5))</f>
        <v/>
      </c>
      <c r="AS1330" s="81">
        <f>($J1330+($K1330-$J1330)*0.5)+($T1330-($S1330+($U1330-$S1330)*0.5))</f>
        <v/>
      </c>
      <c r="AT1330" s="82">
        <f>($J1330-$C1330)*100</f>
        <v/>
      </c>
      <c r="AU1330" s="82">
        <f>($H1330-$F1330)*100</f>
        <v/>
      </c>
      <c r="AV1330" s="82">
        <f>($J1330-$F1330)*100</f>
        <v/>
      </c>
      <c r="AW1330" s="82">
        <f>($L1330-$F1330)*100</f>
        <v/>
      </c>
      <c r="AX1330" s="82">
        <f>($J1330-$H1330)*100</f>
        <v/>
      </c>
      <c r="AY1330" s="82">
        <f>($L1330-$H1330)*100</f>
        <v/>
      </c>
      <c r="AZ1330" s="82">
        <f>($L1330-$J1330)*100</f>
        <v/>
      </c>
      <c r="BA1330" s="82">
        <f>(2*$H1330-$F1330-$J1330)*100</f>
        <v/>
      </c>
      <c r="BB1330" s="82">
        <f>(2*$J1330-$H1330-$L1330)*100</f>
        <v/>
      </c>
      <c r="BC1330" s="82">
        <f>($N1330-$F1330)*100</f>
        <v/>
      </c>
      <c r="BD1330" s="82">
        <f>($Q1330-$H1330)*100</f>
        <v/>
      </c>
      <c r="BE1330" s="82">
        <f>($S1330-$J1330)*100</f>
        <v/>
      </c>
      <c r="BF1330" s="82">
        <f>($V1330-$L1330)*100</f>
        <v/>
      </c>
      <c r="BG1330" s="82">
        <f>$AG1330-$AF1330</f>
        <v/>
      </c>
      <c r="BH1330" s="81">
        <f>IFERROR($AG1330/$AF1330,"")</f>
        <v/>
      </c>
      <c r="BI1330" s="82">
        <f>$AJ1330-$AF1330</f>
        <v/>
      </c>
      <c r="BJ1330" s="81">
        <f>IFERROR($AJ1330/$AG1330,"")</f>
        <v/>
      </c>
      <c r="BK1330" s="81">
        <f>$X1330</f>
        <v/>
      </c>
      <c r="BL1330" s="82">
        <f>($J1330-$J1331)*100</f>
        <v/>
      </c>
      <c r="BM1330" s="82">
        <f>($F1330-$F1331)*100</f>
        <v/>
      </c>
      <c r="BN1330" s="82">
        <f>$AF1330-$AF1331</f>
        <v/>
      </c>
      <c r="BO1330" s="82">
        <f>$AG1330-$AG1331</f>
        <v/>
      </c>
      <c r="BP1330" s="82">
        <f>$AJ1330-$AJ1331</f>
        <v/>
      </c>
    </row>
    <row r="1331">
      <c r="AR1331" s="81">
        <f>($G1331+($H1331-$G1331)*0.5)+($P1331-($O1331+($Q1331-$O1331)*0.5))</f>
        <v/>
      </c>
      <c r="AS1331" s="81">
        <f>($J1331+($K1331-$J1331)*0.5)+($T1331-($S1331+($U1331-$S1331)*0.5))</f>
        <v/>
      </c>
      <c r="AT1331" s="82">
        <f>($J1331-$C1331)*100</f>
        <v/>
      </c>
      <c r="AU1331" s="82">
        <f>($H1331-$F1331)*100</f>
        <v/>
      </c>
      <c r="AV1331" s="82">
        <f>($J1331-$F1331)*100</f>
        <v/>
      </c>
      <c r="AW1331" s="82">
        <f>($L1331-$F1331)*100</f>
        <v/>
      </c>
      <c r="AX1331" s="82">
        <f>($J1331-$H1331)*100</f>
        <v/>
      </c>
      <c r="AY1331" s="82">
        <f>($L1331-$H1331)*100</f>
        <v/>
      </c>
      <c r="AZ1331" s="82">
        <f>($L1331-$J1331)*100</f>
        <v/>
      </c>
      <c r="BA1331" s="82">
        <f>(2*$H1331-$F1331-$J1331)*100</f>
        <v/>
      </c>
      <c r="BB1331" s="82">
        <f>(2*$J1331-$H1331-$L1331)*100</f>
        <v/>
      </c>
      <c r="BC1331" s="82">
        <f>($N1331-$F1331)*100</f>
        <v/>
      </c>
      <c r="BD1331" s="82">
        <f>($Q1331-$H1331)*100</f>
        <v/>
      </c>
      <c r="BE1331" s="82">
        <f>($S1331-$J1331)*100</f>
        <v/>
      </c>
      <c r="BF1331" s="82">
        <f>($V1331-$L1331)*100</f>
        <v/>
      </c>
      <c r="BG1331" s="82">
        <f>$AG1331-$AF1331</f>
        <v/>
      </c>
      <c r="BH1331" s="81">
        <f>IFERROR($AG1331/$AF1331,"")</f>
        <v/>
      </c>
      <c r="BI1331" s="82">
        <f>$AJ1331-$AF1331</f>
        <v/>
      </c>
      <c r="BJ1331" s="81">
        <f>IFERROR($AJ1331/$AG1331,"")</f>
        <v/>
      </c>
      <c r="BK1331" s="81">
        <f>$X1331</f>
        <v/>
      </c>
      <c r="BL1331" s="82">
        <f>($J1331-$J1332)*100</f>
        <v/>
      </c>
      <c r="BM1331" s="82">
        <f>($F1331-$F1332)*100</f>
        <v/>
      </c>
      <c r="BN1331" s="82">
        <f>$AF1331-$AF1332</f>
        <v/>
      </c>
      <c r="BO1331" s="82">
        <f>$AG1331-$AG1332</f>
        <v/>
      </c>
      <c r="BP1331" s="82">
        <f>$AJ1331-$AJ1332</f>
        <v/>
      </c>
    </row>
    <row r="1332">
      <c r="AR1332" s="81">
        <f>($G1332+($H1332-$G1332)*0.5)+($P1332-($O1332+($Q1332-$O1332)*0.5))</f>
        <v/>
      </c>
      <c r="AS1332" s="81">
        <f>($J1332+($K1332-$J1332)*0.5)+($T1332-($S1332+($U1332-$S1332)*0.5))</f>
        <v/>
      </c>
      <c r="AT1332" s="82">
        <f>($J1332-$C1332)*100</f>
        <v/>
      </c>
      <c r="AU1332" s="82">
        <f>($H1332-$F1332)*100</f>
        <v/>
      </c>
      <c r="AV1332" s="82">
        <f>($J1332-$F1332)*100</f>
        <v/>
      </c>
      <c r="AW1332" s="82">
        <f>($L1332-$F1332)*100</f>
        <v/>
      </c>
      <c r="AX1332" s="82">
        <f>($J1332-$H1332)*100</f>
        <v/>
      </c>
      <c r="AY1332" s="82">
        <f>($L1332-$H1332)*100</f>
        <v/>
      </c>
      <c r="AZ1332" s="82">
        <f>($L1332-$J1332)*100</f>
        <v/>
      </c>
      <c r="BA1332" s="82">
        <f>(2*$H1332-$F1332-$J1332)*100</f>
        <v/>
      </c>
      <c r="BB1332" s="82">
        <f>(2*$J1332-$H1332-$L1332)*100</f>
        <v/>
      </c>
      <c r="BC1332" s="82">
        <f>($N1332-$F1332)*100</f>
        <v/>
      </c>
      <c r="BD1332" s="82">
        <f>($Q1332-$H1332)*100</f>
        <v/>
      </c>
      <c r="BE1332" s="82">
        <f>($S1332-$J1332)*100</f>
        <v/>
      </c>
      <c r="BF1332" s="82">
        <f>($V1332-$L1332)*100</f>
        <v/>
      </c>
      <c r="BG1332" s="82">
        <f>$AG1332-$AF1332</f>
        <v/>
      </c>
      <c r="BH1332" s="81">
        <f>IFERROR($AG1332/$AF1332,"")</f>
        <v/>
      </c>
      <c r="BI1332" s="82">
        <f>$AJ1332-$AF1332</f>
        <v/>
      </c>
      <c r="BJ1332" s="81">
        <f>IFERROR($AJ1332/$AG1332,"")</f>
        <v/>
      </c>
      <c r="BK1332" s="81">
        <f>$X1332</f>
        <v/>
      </c>
      <c r="BL1332" s="82">
        <f>($J1332-$J1333)*100</f>
        <v/>
      </c>
      <c r="BM1332" s="82">
        <f>($F1332-$F1333)*100</f>
        <v/>
      </c>
      <c r="BN1332" s="82">
        <f>$AF1332-$AF1333</f>
        <v/>
      </c>
      <c r="BO1332" s="82">
        <f>$AG1332-$AG1333</f>
        <v/>
      </c>
      <c r="BP1332" s="82">
        <f>$AJ1332-$AJ1333</f>
        <v/>
      </c>
    </row>
    <row r="1333">
      <c r="AR1333" s="81">
        <f>($G1333+($H1333-$G1333)*0.5)+($P1333-($O1333+($Q1333-$O1333)*0.5))</f>
        <v/>
      </c>
      <c r="AS1333" s="81">
        <f>($J1333+($K1333-$J1333)*0.5)+($T1333-($S1333+($U1333-$S1333)*0.5))</f>
        <v/>
      </c>
      <c r="AT1333" s="82">
        <f>($J1333-$C1333)*100</f>
        <v/>
      </c>
      <c r="AU1333" s="82">
        <f>($H1333-$F1333)*100</f>
        <v/>
      </c>
      <c r="AV1333" s="82">
        <f>($J1333-$F1333)*100</f>
        <v/>
      </c>
      <c r="AW1333" s="82">
        <f>($L1333-$F1333)*100</f>
        <v/>
      </c>
      <c r="AX1333" s="82">
        <f>($J1333-$H1333)*100</f>
        <v/>
      </c>
      <c r="AY1333" s="82">
        <f>($L1333-$H1333)*100</f>
        <v/>
      </c>
      <c r="AZ1333" s="82">
        <f>($L1333-$J1333)*100</f>
        <v/>
      </c>
      <c r="BA1333" s="82">
        <f>(2*$H1333-$F1333-$J1333)*100</f>
        <v/>
      </c>
      <c r="BB1333" s="82">
        <f>(2*$J1333-$H1333-$L1333)*100</f>
        <v/>
      </c>
      <c r="BC1333" s="82">
        <f>($N1333-$F1333)*100</f>
        <v/>
      </c>
      <c r="BD1333" s="82">
        <f>($Q1333-$H1333)*100</f>
        <v/>
      </c>
      <c r="BE1333" s="82">
        <f>($S1333-$J1333)*100</f>
        <v/>
      </c>
      <c r="BF1333" s="82">
        <f>($V1333-$L1333)*100</f>
        <v/>
      </c>
      <c r="BG1333" s="82">
        <f>$AG1333-$AF1333</f>
        <v/>
      </c>
      <c r="BH1333" s="81">
        <f>IFERROR($AG1333/$AF1333,"")</f>
        <v/>
      </c>
      <c r="BI1333" s="82">
        <f>$AJ1333-$AF1333</f>
        <v/>
      </c>
      <c r="BJ1333" s="81">
        <f>IFERROR($AJ1333/$AG1333,"")</f>
        <v/>
      </c>
      <c r="BK1333" s="81">
        <f>$X1333</f>
        <v/>
      </c>
      <c r="BL1333" s="82">
        <f>($J1333-$J1334)*100</f>
        <v/>
      </c>
      <c r="BM1333" s="82">
        <f>($F1333-$F1334)*100</f>
        <v/>
      </c>
      <c r="BN1333" s="82">
        <f>$AF1333-$AF1334</f>
        <v/>
      </c>
      <c r="BO1333" s="82">
        <f>$AG1333-$AG1334</f>
        <v/>
      </c>
      <c r="BP1333" s="82">
        <f>$AJ1333-$AJ1334</f>
        <v/>
      </c>
    </row>
    <row r="1334">
      <c r="AR1334" s="81">
        <f>($G1334+($H1334-$G1334)*0.5)+($P1334-($O1334+($Q1334-$O1334)*0.5))</f>
        <v/>
      </c>
      <c r="AS1334" s="81">
        <f>($J1334+($K1334-$J1334)*0.5)+($T1334-($S1334+($U1334-$S1334)*0.5))</f>
        <v/>
      </c>
      <c r="AT1334" s="82">
        <f>($J1334-$C1334)*100</f>
        <v/>
      </c>
      <c r="AU1334" s="82">
        <f>($H1334-$F1334)*100</f>
        <v/>
      </c>
      <c r="AV1334" s="82">
        <f>($J1334-$F1334)*100</f>
        <v/>
      </c>
      <c r="AW1334" s="82">
        <f>($L1334-$F1334)*100</f>
        <v/>
      </c>
      <c r="AX1334" s="82">
        <f>($J1334-$H1334)*100</f>
        <v/>
      </c>
      <c r="AY1334" s="82">
        <f>($L1334-$H1334)*100</f>
        <v/>
      </c>
      <c r="AZ1334" s="82">
        <f>($L1334-$J1334)*100</f>
        <v/>
      </c>
      <c r="BA1334" s="82">
        <f>(2*$H1334-$F1334-$J1334)*100</f>
        <v/>
      </c>
      <c r="BB1334" s="82">
        <f>(2*$J1334-$H1334-$L1334)*100</f>
        <v/>
      </c>
      <c r="BC1334" s="82">
        <f>($N1334-$F1334)*100</f>
        <v/>
      </c>
      <c r="BD1334" s="82">
        <f>($Q1334-$H1334)*100</f>
        <v/>
      </c>
      <c r="BE1334" s="82">
        <f>($S1334-$J1334)*100</f>
        <v/>
      </c>
      <c r="BF1334" s="82">
        <f>($V1334-$L1334)*100</f>
        <v/>
      </c>
      <c r="BG1334" s="82">
        <f>$AG1334-$AF1334</f>
        <v/>
      </c>
      <c r="BH1334" s="81">
        <f>IFERROR($AG1334/$AF1334,"")</f>
        <v/>
      </c>
      <c r="BI1334" s="82">
        <f>$AJ1334-$AF1334</f>
        <v/>
      </c>
      <c r="BJ1334" s="81">
        <f>IFERROR($AJ1334/$AG1334,"")</f>
        <v/>
      </c>
      <c r="BK1334" s="81">
        <f>$X1334</f>
        <v/>
      </c>
      <c r="BL1334" s="82">
        <f>($J1334-$J1335)*100</f>
        <v/>
      </c>
      <c r="BM1334" s="82">
        <f>($F1334-$F1335)*100</f>
        <v/>
      </c>
      <c r="BN1334" s="82">
        <f>$AF1334-$AF1335</f>
        <v/>
      </c>
      <c r="BO1334" s="82">
        <f>$AG1334-$AG1335</f>
        <v/>
      </c>
      <c r="BP1334" s="82">
        <f>$AJ1334-$AJ1335</f>
        <v/>
      </c>
    </row>
    <row r="1335">
      <c r="AR1335" s="81">
        <f>($G1335+($H1335-$G1335)*0.5)+($P1335-($O1335+($Q1335-$O1335)*0.5))</f>
        <v/>
      </c>
      <c r="AS1335" s="81">
        <f>($J1335+($K1335-$J1335)*0.5)+($T1335-($S1335+($U1335-$S1335)*0.5))</f>
        <v/>
      </c>
      <c r="AT1335" s="82">
        <f>($J1335-$C1335)*100</f>
        <v/>
      </c>
      <c r="AU1335" s="82">
        <f>($H1335-$F1335)*100</f>
        <v/>
      </c>
      <c r="AV1335" s="82">
        <f>($J1335-$F1335)*100</f>
        <v/>
      </c>
      <c r="AW1335" s="82">
        <f>($L1335-$F1335)*100</f>
        <v/>
      </c>
      <c r="AX1335" s="82">
        <f>($J1335-$H1335)*100</f>
        <v/>
      </c>
      <c r="AY1335" s="82">
        <f>($L1335-$H1335)*100</f>
        <v/>
      </c>
      <c r="AZ1335" s="82">
        <f>($L1335-$J1335)*100</f>
        <v/>
      </c>
      <c r="BA1335" s="82">
        <f>(2*$H1335-$F1335-$J1335)*100</f>
        <v/>
      </c>
      <c r="BB1335" s="82">
        <f>(2*$J1335-$H1335-$L1335)*100</f>
        <v/>
      </c>
      <c r="BC1335" s="82">
        <f>($N1335-$F1335)*100</f>
        <v/>
      </c>
      <c r="BD1335" s="82">
        <f>($Q1335-$H1335)*100</f>
        <v/>
      </c>
      <c r="BE1335" s="82">
        <f>($S1335-$J1335)*100</f>
        <v/>
      </c>
      <c r="BF1335" s="82">
        <f>($V1335-$L1335)*100</f>
        <v/>
      </c>
      <c r="BG1335" s="82">
        <f>$AG1335-$AF1335</f>
        <v/>
      </c>
      <c r="BH1335" s="81">
        <f>IFERROR($AG1335/$AF1335,"")</f>
        <v/>
      </c>
      <c r="BI1335" s="82">
        <f>$AJ1335-$AF1335</f>
        <v/>
      </c>
      <c r="BJ1335" s="81">
        <f>IFERROR($AJ1335/$AG1335,"")</f>
        <v/>
      </c>
      <c r="BK1335" s="81">
        <f>$X1335</f>
        <v/>
      </c>
      <c r="BL1335" s="82">
        <f>($J1335-$J1336)*100</f>
        <v/>
      </c>
      <c r="BM1335" s="82">
        <f>($F1335-$F1336)*100</f>
        <v/>
      </c>
      <c r="BN1335" s="82">
        <f>$AF1335-$AF1336</f>
        <v/>
      </c>
      <c r="BO1335" s="82">
        <f>$AG1335-$AG1336</f>
        <v/>
      </c>
      <c r="BP1335" s="82">
        <f>$AJ1335-$AJ1336</f>
        <v/>
      </c>
    </row>
    <row r="1336">
      <c r="AR1336" s="81">
        <f>($G1336+($H1336-$G1336)*0.5)+($P1336-($O1336+($Q1336-$O1336)*0.5))</f>
        <v/>
      </c>
      <c r="AS1336" s="81">
        <f>($J1336+($K1336-$J1336)*0.5)+($T1336-($S1336+($U1336-$S1336)*0.5))</f>
        <v/>
      </c>
      <c r="AT1336" s="82">
        <f>($J1336-$C1336)*100</f>
        <v/>
      </c>
      <c r="AU1336" s="82">
        <f>($H1336-$F1336)*100</f>
        <v/>
      </c>
      <c r="AV1336" s="82">
        <f>($J1336-$F1336)*100</f>
        <v/>
      </c>
      <c r="AW1336" s="82">
        <f>($L1336-$F1336)*100</f>
        <v/>
      </c>
      <c r="AX1336" s="82">
        <f>($J1336-$H1336)*100</f>
        <v/>
      </c>
      <c r="AY1336" s="82">
        <f>($L1336-$H1336)*100</f>
        <v/>
      </c>
      <c r="AZ1336" s="82">
        <f>($L1336-$J1336)*100</f>
        <v/>
      </c>
      <c r="BA1336" s="82">
        <f>(2*$H1336-$F1336-$J1336)*100</f>
        <v/>
      </c>
      <c r="BB1336" s="82">
        <f>(2*$J1336-$H1336-$L1336)*100</f>
        <v/>
      </c>
      <c r="BC1336" s="82">
        <f>($N1336-$F1336)*100</f>
        <v/>
      </c>
      <c r="BD1336" s="82">
        <f>($Q1336-$H1336)*100</f>
        <v/>
      </c>
      <c r="BE1336" s="82">
        <f>($S1336-$J1336)*100</f>
        <v/>
      </c>
      <c r="BF1336" s="82">
        <f>($V1336-$L1336)*100</f>
        <v/>
      </c>
      <c r="BG1336" s="82">
        <f>$AG1336-$AF1336</f>
        <v/>
      </c>
      <c r="BH1336" s="81">
        <f>IFERROR($AG1336/$AF1336,"")</f>
        <v/>
      </c>
      <c r="BI1336" s="82">
        <f>$AJ1336-$AF1336</f>
        <v/>
      </c>
      <c r="BJ1336" s="81">
        <f>IFERROR($AJ1336/$AG1336,"")</f>
        <v/>
      </c>
      <c r="BK1336" s="81">
        <f>$X1336</f>
        <v/>
      </c>
      <c r="BL1336" s="82">
        <f>($J1336-$J1337)*100</f>
        <v/>
      </c>
      <c r="BM1336" s="82">
        <f>($F1336-$F1337)*100</f>
        <v/>
      </c>
      <c r="BN1336" s="82">
        <f>$AF1336-$AF1337</f>
        <v/>
      </c>
      <c r="BO1336" s="82">
        <f>$AG1336-$AG1337</f>
        <v/>
      </c>
      <c r="BP1336" s="82">
        <f>$AJ1336-$AJ1337</f>
        <v/>
      </c>
    </row>
    <row r="1337">
      <c r="AR1337" s="81">
        <f>($G1337+($H1337-$G1337)*0.5)+($P1337-($O1337+($Q1337-$O1337)*0.5))</f>
        <v/>
      </c>
      <c r="AS1337" s="81">
        <f>($J1337+($K1337-$J1337)*0.5)+($T1337-($S1337+($U1337-$S1337)*0.5))</f>
        <v/>
      </c>
      <c r="AT1337" s="82">
        <f>($J1337-$C1337)*100</f>
        <v/>
      </c>
      <c r="AU1337" s="82">
        <f>($H1337-$F1337)*100</f>
        <v/>
      </c>
      <c r="AV1337" s="82">
        <f>($J1337-$F1337)*100</f>
        <v/>
      </c>
      <c r="AW1337" s="82">
        <f>($L1337-$F1337)*100</f>
        <v/>
      </c>
      <c r="AX1337" s="82">
        <f>($J1337-$H1337)*100</f>
        <v/>
      </c>
      <c r="AY1337" s="82">
        <f>($L1337-$H1337)*100</f>
        <v/>
      </c>
      <c r="AZ1337" s="82">
        <f>($L1337-$J1337)*100</f>
        <v/>
      </c>
      <c r="BA1337" s="82">
        <f>(2*$H1337-$F1337-$J1337)*100</f>
        <v/>
      </c>
      <c r="BB1337" s="82">
        <f>(2*$J1337-$H1337-$L1337)*100</f>
        <v/>
      </c>
      <c r="BC1337" s="82">
        <f>($N1337-$F1337)*100</f>
        <v/>
      </c>
      <c r="BD1337" s="82">
        <f>($Q1337-$H1337)*100</f>
        <v/>
      </c>
      <c r="BE1337" s="82">
        <f>($S1337-$J1337)*100</f>
        <v/>
      </c>
      <c r="BF1337" s="82">
        <f>($V1337-$L1337)*100</f>
        <v/>
      </c>
      <c r="BG1337" s="82">
        <f>$AG1337-$AF1337</f>
        <v/>
      </c>
      <c r="BH1337" s="81">
        <f>IFERROR($AG1337/$AF1337,"")</f>
        <v/>
      </c>
      <c r="BI1337" s="82">
        <f>$AJ1337-$AF1337</f>
        <v/>
      </c>
      <c r="BJ1337" s="81">
        <f>IFERROR($AJ1337/$AG1337,"")</f>
        <v/>
      </c>
      <c r="BK1337" s="81">
        <f>$X1337</f>
        <v/>
      </c>
      <c r="BL1337" s="82">
        <f>($J1337-$J1338)*100</f>
        <v/>
      </c>
      <c r="BM1337" s="82">
        <f>($F1337-$F1338)*100</f>
        <v/>
      </c>
      <c r="BN1337" s="82">
        <f>$AF1337-$AF1338</f>
        <v/>
      </c>
      <c r="BO1337" s="82">
        <f>$AG1337-$AG1338</f>
        <v/>
      </c>
      <c r="BP1337" s="82">
        <f>$AJ1337-$AJ1338</f>
        <v/>
      </c>
    </row>
    <row r="1338">
      <c r="AR1338" s="81">
        <f>($G1338+($H1338-$G1338)*0.5)+($P1338-($O1338+($Q1338-$O1338)*0.5))</f>
        <v/>
      </c>
      <c r="AS1338" s="81">
        <f>($J1338+($K1338-$J1338)*0.5)+($T1338-($S1338+($U1338-$S1338)*0.5))</f>
        <v/>
      </c>
      <c r="AT1338" s="82">
        <f>($J1338-$C1338)*100</f>
        <v/>
      </c>
      <c r="AU1338" s="82">
        <f>($H1338-$F1338)*100</f>
        <v/>
      </c>
      <c r="AV1338" s="82">
        <f>($J1338-$F1338)*100</f>
        <v/>
      </c>
      <c r="AW1338" s="82">
        <f>($L1338-$F1338)*100</f>
        <v/>
      </c>
      <c r="AX1338" s="82">
        <f>($J1338-$H1338)*100</f>
        <v/>
      </c>
      <c r="AY1338" s="82">
        <f>($L1338-$H1338)*100</f>
        <v/>
      </c>
      <c r="AZ1338" s="82">
        <f>($L1338-$J1338)*100</f>
        <v/>
      </c>
      <c r="BA1338" s="82">
        <f>(2*$H1338-$F1338-$J1338)*100</f>
        <v/>
      </c>
      <c r="BB1338" s="82">
        <f>(2*$J1338-$H1338-$L1338)*100</f>
        <v/>
      </c>
      <c r="BC1338" s="82">
        <f>($N1338-$F1338)*100</f>
        <v/>
      </c>
      <c r="BD1338" s="82">
        <f>($Q1338-$H1338)*100</f>
        <v/>
      </c>
      <c r="BE1338" s="82">
        <f>($S1338-$J1338)*100</f>
        <v/>
      </c>
      <c r="BF1338" s="82">
        <f>($V1338-$L1338)*100</f>
        <v/>
      </c>
      <c r="BG1338" s="82">
        <f>$AG1338-$AF1338</f>
        <v/>
      </c>
      <c r="BH1338" s="81">
        <f>IFERROR($AG1338/$AF1338,"")</f>
        <v/>
      </c>
      <c r="BI1338" s="82">
        <f>$AJ1338-$AF1338</f>
        <v/>
      </c>
      <c r="BJ1338" s="81">
        <f>IFERROR($AJ1338/$AG1338,"")</f>
        <v/>
      </c>
      <c r="BK1338" s="81">
        <f>$X1338</f>
        <v/>
      </c>
      <c r="BL1338" s="82">
        <f>($J1338-$J1339)*100</f>
        <v/>
      </c>
      <c r="BM1338" s="82">
        <f>($F1338-$F1339)*100</f>
        <v/>
      </c>
      <c r="BN1338" s="82">
        <f>$AF1338-$AF1339</f>
        <v/>
      </c>
      <c r="BO1338" s="82">
        <f>$AG1338-$AG1339</f>
        <v/>
      </c>
      <c r="BP1338" s="82">
        <f>$AJ1338-$AJ1339</f>
        <v/>
      </c>
    </row>
    <row r="1339">
      <c r="AR1339" s="81">
        <f>($G1339+($H1339-$G1339)*0.5)+($P1339-($O1339+($Q1339-$O1339)*0.5))</f>
        <v/>
      </c>
      <c r="AS1339" s="81">
        <f>($J1339+($K1339-$J1339)*0.5)+($T1339-($S1339+($U1339-$S1339)*0.5))</f>
        <v/>
      </c>
      <c r="AT1339" s="82">
        <f>($J1339-$C1339)*100</f>
        <v/>
      </c>
      <c r="AU1339" s="82">
        <f>($H1339-$F1339)*100</f>
        <v/>
      </c>
      <c r="AV1339" s="82">
        <f>($J1339-$F1339)*100</f>
        <v/>
      </c>
      <c r="AW1339" s="82">
        <f>($L1339-$F1339)*100</f>
        <v/>
      </c>
      <c r="AX1339" s="82">
        <f>($J1339-$H1339)*100</f>
        <v/>
      </c>
      <c r="AY1339" s="82">
        <f>($L1339-$H1339)*100</f>
        <v/>
      </c>
      <c r="AZ1339" s="82">
        <f>($L1339-$J1339)*100</f>
        <v/>
      </c>
      <c r="BA1339" s="82">
        <f>(2*$H1339-$F1339-$J1339)*100</f>
        <v/>
      </c>
      <c r="BB1339" s="82">
        <f>(2*$J1339-$H1339-$L1339)*100</f>
        <v/>
      </c>
      <c r="BC1339" s="82">
        <f>($N1339-$F1339)*100</f>
        <v/>
      </c>
      <c r="BD1339" s="82">
        <f>($Q1339-$H1339)*100</f>
        <v/>
      </c>
      <c r="BE1339" s="82">
        <f>($S1339-$J1339)*100</f>
        <v/>
      </c>
      <c r="BF1339" s="82">
        <f>($V1339-$L1339)*100</f>
        <v/>
      </c>
      <c r="BG1339" s="82">
        <f>$AG1339-$AF1339</f>
        <v/>
      </c>
      <c r="BH1339" s="81">
        <f>IFERROR($AG1339/$AF1339,"")</f>
        <v/>
      </c>
      <c r="BI1339" s="82">
        <f>$AJ1339-$AF1339</f>
        <v/>
      </c>
      <c r="BJ1339" s="81">
        <f>IFERROR($AJ1339/$AG1339,"")</f>
        <v/>
      </c>
      <c r="BK1339" s="81">
        <f>$X1339</f>
        <v/>
      </c>
      <c r="BL1339" s="82">
        <f>($J1339-$J1340)*100</f>
        <v/>
      </c>
      <c r="BM1339" s="82">
        <f>($F1339-$F1340)*100</f>
        <v/>
      </c>
      <c r="BN1339" s="82">
        <f>$AF1339-$AF1340</f>
        <v/>
      </c>
      <c r="BO1339" s="82">
        <f>$AG1339-$AG1340</f>
        <v/>
      </c>
      <c r="BP1339" s="82">
        <f>$AJ1339-$AJ1340</f>
        <v/>
      </c>
    </row>
    <row r="1340">
      <c r="AR1340" s="81">
        <f>($G1340+($H1340-$G1340)*0.5)+($P1340-($O1340+($Q1340-$O1340)*0.5))</f>
        <v/>
      </c>
      <c r="AS1340" s="81">
        <f>($J1340+($K1340-$J1340)*0.5)+($T1340-($S1340+($U1340-$S1340)*0.5))</f>
        <v/>
      </c>
      <c r="AT1340" s="82">
        <f>($J1340-$C1340)*100</f>
        <v/>
      </c>
      <c r="AU1340" s="82">
        <f>($H1340-$F1340)*100</f>
        <v/>
      </c>
      <c r="AV1340" s="82">
        <f>($J1340-$F1340)*100</f>
        <v/>
      </c>
      <c r="AW1340" s="82">
        <f>($L1340-$F1340)*100</f>
        <v/>
      </c>
      <c r="AX1340" s="82">
        <f>($J1340-$H1340)*100</f>
        <v/>
      </c>
      <c r="AY1340" s="82">
        <f>($L1340-$H1340)*100</f>
        <v/>
      </c>
      <c r="AZ1340" s="82">
        <f>($L1340-$J1340)*100</f>
        <v/>
      </c>
      <c r="BA1340" s="82">
        <f>(2*$H1340-$F1340-$J1340)*100</f>
        <v/>
      </c>
      <c r="BB1340" s="82">
        <f>(2*$J1340-$H1340-$L1340)*100</f>
        <v/>
      </c>
      <c r="BC1340" s="82">
        <f>($N1340-$F1340)*100</f>
        <v/>
      </c>
      <c r="BD1340" s="82">
        <f>($Q1340-$H1340)*100</f>
        <v/>
      </c>
      <c r="BE1340" s="82">
        <f>($S1340-$J1340)*100</f>
        <v/>
      </c>
      <c r="BF1340" s="82">
        <f>($V1340-$L1340)*100</f>
        <v/>
      </c>
      <c r="BG1340" s="82">
        <f>$AG1340-$AF1340</f>
        <v/>
      </c>
      <c r="BH1340" s="81">
        <f>IFERROR($AG1340/$AF1340,"")</f>
        <v/>
      </c>
      <c r="BI1340" s="82">
        <f>$AJ1340-$AF1340</f>
        <v/>
      </c>
      <c r="BJ1340" s="81">
        <f>IFERROR($AJ1340/$AG1340,"")</f>
        <v/>
      </c>
      <c r="BK1340" s="81">
        <f>$X1340</f>
        <v/>
      </c>
      <c r="BL1340" s="82">
        <f>($J1340-$J1341)*100</f>
        <v/>
      </c>
      <c r="BM1340" s="82">
        <f>($F1340-$F1341)*100</f>
        <v/>
      </c>
      <c r="BN1340" s="82">
        <f>$AF1340-$AF1341</f>
        <v/>
      </c>
      <c r="BO1340" s="82">
        <f>$AG1340-$AG1341</f>
        <v/>
      </c>
      <c r="BP1340" s="82">
        <f>$AJ1340-$AJ1341</f>
        <v/>
      </c>
    </row>
    <row r="1341">
      <c r="AR1341" s="81">
        <f>($G1341+($H1341-$G1341)*0.5)+($P1341-($O1341+($Q1341-$O1341)*0.5))</f>
        <v/>
      </c>
      <c r="AS1341" s="81">
        <f>($J1341+($K1341-$J1341)*0.5)+($T1341-($S1341+($U1341-$S1341)*0.5))</f>
        <v/>
      </c>
      <c r="AT1341" s="82">
        <f>($J1341-$C1341)*100</f>
        <v/>
      </c>
      <c r="AU1341" s="82">
        <f>($H1341-$F1341)*100</f>
        <v/>
      </c>
      <c r="AV1341" s="82">
        <f>($J1341-$F1341)*100</f>
        <v/>
      </c>
      <c r="AW1341" s="82">
        <f>($L1341-$F1341)*100</f>
        <v/>
      </c>
      <c r="AX1341" s="82">
        <f>($J1341-$H1341)*100</f>
        <v/>
      </c>
      <c r="AY1341" s="82">
        <f>($L1341-$H1341)*100</f>
        <v/>
      </c>
      <c r="AZ1341" s="82">
        <f>($L1341-$J1341)*100</f>
        <v/>
      </c>
      <c r="BA1341" s="82">
        <f>(2*$H1341-$F1341-$J1341)*100</f>
        <v/>
      </c>
      <c r="BB1341" s="82">
        <f>(2*$J1341-$H1341-$L1341)*100</f>
        <v/>
      </c>
      <c r="BC1341" s="82">
        <f>($N1341-$F1341)*100</f>
        <v/>
      </c>
      <c r="BD1341" s="82">
        <f>($Q1341-$H1341)*100</f>
        <v/>
      </c>
      <c r="BE1341" s="82">
        <f>($S1341-$J1341)*100</f>
        <v/>
      </c>
      <c r="BF1341" s="82">
        <f>($V1341-$L1341)*100</f>
        <v/>
      </c>
      <c r="BG1341" s="82">
        <f>$AG1341-$AF1341</f>
        <v/>
      </c>
      <c r="BH1341" s="81">
        <f>IFERROR($AG1341/$AF1341,"")</f>
        <v/>
      </c>
      <c r="BI1341" s="82">
        <f>$AJ1341-$AF1341</f>
        <v/>
      </c>
      <c r="BJ1341" s="81">
        <f>IFERROR($AJ1341/$AG1341,"")</f>
        <v/>
      </c>
      <c r="BK1341" s="81">
        <f>$X1341</f>
        <v/>
      </c>
      <c r="BL1341" s="82">
        <f>($J1341-$J1342)*100</f>
        <v/>
      </c>
      <c r="BM1341" s="82">
        <f>($F1341-$F1342)*100</f>
        <v/>
      </c>
      <c r="BN1341" s="82">
        <f>$AF1341-$AF1342</f>
        <v/>
      </c>
      <c r="BO1341" s="82">
        <f>$AG1341-$AG1342</f>
        <v/>
      </c>
      <c r="BP1341" s="82">
        <f>$AJ1341-$AJ1342</f>
        <v/>
      </c>
    </row>
    <row r="1342">
      <c r="AR1342" s="81">
        <f>($G1342+($H1342-$G1342)*0.5)+($P1342-($O1342+($Q1342-$O1342)*0.5))</f>
        <v/>
      </c>
      <c r="AS1342" s="81">
        <f>($J1342+($K1342-$J1342)*0.5)+($T1342-($S1342+($U1342-$S1342)*0.5))</f>
        <v/>
      </c>
      <c r="AT1342" s="82">
        <f>($J1342-$C1342)*100</f>
        <v/>
      </c>
      <c r="AU1342" s="82">
        <f>($H1342-$F1342)*100</f>
        <v/>
      </c>
      <c r="AV1342" s="82">
        <f>($J1342-$F1342)*100</f>
        <v/>
      </c>
      <c r="AW1342" s="82">
        <f>($L1342-$F1342)*100</f>
        <v/>
      </c>
      <c r="AX1342" s="82">
        <f>($J1342-$H1342)*100</f>
        <v/>
      </c>
      <c r="AY1342" s="82">
        <f>($L1342-$H1342)*100</f>
        <v/>
      </c>
      <c r="AZ1342" s="82">
        <f>($L1342-$J1342)*100</f>
        <v/>
      </c>
      <c r="BA1342" s="82">
        <f>(2*$H1342-$F1342-$J1342)*100</f>
        <v/>
      </c>
      <c r="BB1342" s="82">
        <f>(2*$J1342-$H1342-$L1342)*100</f>
        <v/>
      </c>
      <c r="BC1342" s="82">
        <f>($N1342-$F1342)*100</f>
        <v/>
      </c>
      <c r="BD1342" s="82">
        <f>($Q1342-$H1342)*100</f>
        <v/>
      </c>
      <c r="BE1342" s="82">
        <f>($S1342-$J1342)*100</f>
        <v/>
      </c>
      <c r="BF1342" s="82">
        <f>($V1342-$L1342)*100</f>
        <v/>
      </c>
      <c r="BG1342" s="82">
        <f>$AG1342-$AF1342</f>
        <v/>
      </c>
      <c r="BH1342" s="81">
        <f>IFERROR($AG1342/$AF1342,"")</f>
        <v/>
      </c>
      <c r="BI1342" s="82">
        <f>$AJ1342-$AF1342</f>
        <v/>
      </c>
      <c r="BJ1342" s="81">
        <f>IFERROR($AJ1342/$AG1342,"")</f>
        <v/>
      </c>
      <c r="BK1342" s="81">
        <f>$X1342</f>
        <v/>
      </c>
      <c r="BL1342" s="82">
        <f>($J1342-$J1343)*100</f>
        <v/>
      </c>
      <c r="BM1342" s="82">
        <f>($F1342-$F1343)*100</f>
        <v/>
      </c>
      <c r="BN1342" s="82">
        <f>$AF1342-$AF1343</f>
        <v/>
      </c>
      <c r="BO1342" s="82">
        <f>$AG1342-$AG1343</f>
        <v/>
      </c>
      <c r="BP1342" s="82">
        <f>$AJ1342-$AJ1343</f>
        <v/>
      </c>
    </row>
    <row r="1343">
      <c r="AR1343" s="81">
        <f>($G1343+($H1343-$G1343)*0.5)+($P1343-($O1343+($Q1343-$O1343)*0.5))</f>
        <v/>
      </c>
      <c r="AS1343" s="81">
        <f>($J1343+($K1343-$J1343)*0.5)+($T1343-($S1343+($U1343-$S1343)*0.5))</f>
        <v/>
      </c>
      <c r="AT1343" s="82">
        <f>($J1343-$C1343)*100</f>
        <v/>
      </c>
      <c r="AU1343" s="82">
        <f>($H1343-$F1343)*100</f>
        <v/>
      </c>
      <c r="AV1343" s="82">
        <f>($J1343-$F1343)*100</f>
        <v/>
      </c>
      <c r="AW1343" s="82">
        <f>($L1343-$F1343)*100</f>
        <v/>
      </c>
      <c r="AX1343" s="82">
        <f>($J1343-$H1343)*100</f>
        <v/>
      </c>
      <c r="AY1343" s="82">
        <f>($L1343-$H1343)*100</f>
        <v/>
      </c>
      <c r="AZ1343" s="82">
        <f>($L1343-$J1343)*100</f>
        <v/>
      </c>
      <c r="BA1343" s="82">
        <f>(2*$H1343-$F1343-$J1343)*100</f>
        <v/>
      </c>
      <c r="BB1343" s="82">
        <f>(2*$J1343-$H1343-$L1343)*100</f>
        <v/>
      </c>
      <c r="BC1343" s="82">
        <f>($N1343-$F1343)*100</f>
        <v/>
      </c>
      <c r="BD1343" s="82">
        <f>($Q1343-$H1343)*100</f>
        <v/>
      </c>
      <c r="BE1343" s="82">
        <f>($S1343-$J1343)*100</f>
        <v/>
      </c>
      <c r="BF1343" s="82">
        <f>($V1343-$L1343)*100</f>
        <v/>
      </c>
      <c r="BG1343" s="82">
        <f>$AG1343-$AF1343</f>
        <v/>
      </c>
      <c r="BH1343" s="81">
        <f>IFERROR($AG1343/$AF1343,"")</f>
        <v/>
      </c>
      <c r="BI1343" s="82">
        <f>$AJ1343-$AF1343</f>
        <v/>
      </c>
      <c r="BJ1343" s="81">
        <f>IFERROR($AJ1343/$AG1343,"")</f>
        <v/>
      </c>
      <c r="BK1343" s="81">
        <f>$X1343</f>
        <v/>
      </c>
      <c r="BL1343" s="82">
        <f>($J1343-$J1344)*100</f>
        <v/>
      </c>
      <c r="BM1343" s="82">
        <f>($F1343-$F1344)*100</f>
        <v/>
      </c>
      <c r="BN1343" s="82">
        <f>$AF1343-$AF1344</f>
        <v/>
      </c>
      <c r="BO1343" s="82">
        <f>$AG1343-$AG1344</f>
        <v/>
      </c>
      <c r="BP1343" s="82">
        <f>$AJ1343-$AJ1344</f>
        <v/>
      </c>
    </row>
    <row r="1344">
      <c r="AR1344" s="81">
        <f>($G1344+($H1344-$G1344)*0.5)+($P1344-($O1344+($Q1344-$O1344)*0.5))</f>
        <v/>
      </c>
      <c r="AS1344" s="81">
        <f>($J1344+($K1344-$J1344)*0.5)+($T1344-($S1344+($U1344-$S1344)*0.5))</f>
        <v/>
      </c>
      <c r="AT1344" s="82">
        <f>($J1344-$C1344)*100</f>
        <v/>
      </c>
      <c r="AU1344" s="82">
        <f>($H1344-$F1344)*100</f>
        <v/>
      </c>
      <c r="AV1344" s="82">
        <f>($J1344-$F1344)*100</f>
        <v/>
      </c>
      <c r="AW1344" s="82">
        <f>($L1344-$F1344)*100</f>
        <v/>
      </c>
      <c r="AX1344" s="82">
        <f>($J1344-$H1344)*100</f>
        <v/>
      </c>
      <c r="AY1344" s="82">
        <f>($L1344-$H1344)*100</f>
        <v/>
      </c>
      <c r="AZ1344" s="82">
        <f>($L1344-$J1344)*100</f>
        <v/>
      </c>
      <c r="BA1344" s="82">
        <f>(2*$H1344-$F1344-$J1344)*100</f>
        <v/>
      </c>
      <c r="BB1344" s="82">
        <f>(2*$J1344-$H1344-$L1344)*100</f>
        <v/>
      </c>
      <c r="BC1344" s="82">
        <f>($N1344-$F1344)*100</f>
        <v/>
      </c>
      <c r="BD1344" s="82">
        <f>($Q1344-$H1344)*100</f>
        <v/>
      </c>
      <c r="BE1344" s="82">
        <f>($S1344-$J1344)*100</f>
        <v/>
      </c>
      <c r="BF1344" s="82">
        <f>($V1344-$L1344)*100</f>
        <v/>
      </c>
      <c r="BG1344" s="82">
        <f>$AG1344-$AF1344</f>
        <v/>
      </c>
      <c r="BH1344" s="81">
        <f>IFERROR($AG1344/$AF1344,"")</f>
        <v/>
      </c>
      <c r="BI1344" s="82">
        <f>$AJ1344-$AF1344</f>
        <v/>
      </c>
      <c r="BJ1344" s="81">
        <f>IFERROR($AJ1344/$AG1344,"")</f>
        <v/>
      </c>
      <c r="BK1344" s="81">
        <f>$X1344</f>
        <v/>
      </c>
      <c r="BL1344" s="82">
        <f>($J1344-$J1345)*100</f>
        <v/>
      </c>
      <c r="BM1344" s="82">
        <f>($F1344-$F1345)*100</f>
        <v/>
      </c>
      <c r="BN1344" s="82">
        <f>$AF1344-$AF1345</f>
        <v/>
      </c>
      <c r="BO1344" s="82">
        <f>$AG1344-$AG1345</f>
        <v/>
      </c>
      <c r="BP1344" s="82">
        <f>$AJ1344-$AJ1345</f>
        <v/>
      </c>
    </row>
    <row r="1345">
      <c r="AR1345" s="81">
        <f>($G1345+($H1345-$G1345)*0.5)+($P1345-($O1345+($Q1345-$O1345)*0.5))</f>
        <v/>
      </c>
      <c r="AS1345" s="81">
        <f>($J1345+($K1345-$J1345)*0.5)+($T1345-($S1345+($U1345-$S1345)*0.5))</f>
        <v/>
      </c>
      <c r="AT1345" s="82">
        <f>($J1345-$C1345)*100</f>
        <v/>
      </c>
      <c r="AU1345" s="82">
        <f>($H1345-$F1345)*100</f>
        <v/>
      </c>
      <c r="AV1345" s="82">
        <f>($J1345-$F1345)*100</f>
        <v/>
      </c>
      <c r="AW1345" s="82">
        <f>($L1345-$F1345)*100</f>
        <v/>
      </c>
      <c r="AX1345" s="82">
        <f>($J1345-$H1345)*100</f>
        <v/>
      </c>
      <c r="AY1345" s="82">
        <f>($L1345-$H1345)*100</f>
        <v/>
      </c>
      <c r="AZ1345" s="82">
        <f>($L1345-$J1345)*100</f>
        <v/>
      </c>
      <c r="BA1345" s="82">
        <f>(2*$H1345-$F1345-$J1345)*100</f>
        <v/>
      </c>
      <c r="BB1345" s="82">
        <f>(2*$J1345-$H1345-$L1345)*100</f>
        <v/>
      </c>
      <c r="BC1345" s="82">
        <f>($N1345-$F1345)*100</f>
        <v/>
      </c>
      <c r="BD1345" s="82">
        <f>($Q1345-$H1345)*100</f>
        <v/>
      </c>
      <c r="BE1345" s="82">
        <f>($S1345-$J1345)*100</f>
        <v/>
      </c>
      <c r="BF1345" s="82">
        <f>($V1345-$L1345)*100</f>
        <v/>
      </c>
      <c r="BG1345" s="82">
        <f>$AG1345-$AF1345</f>
        <v/>
      </c>
      <c r="BH1345" s="81">
        <f>IFERROR($AG1345/$AF1345,"")</f>
        <v/>
      </c>
      <c r="BI1345" s="82">
        <f>$AJ1345-$AF1345</f>
        <v/>
      </c>
      <c r="BJ1345" s="81">
        <f>IFERROR($AJ1345/$AG1345,"")</f>
        <v/>
      </c>
      <c r="BK1345" s="81">
        <f>$X1345</f>
        <v/>
      </c>
      <c r="BL1345" s="82">
        <f>($J1345-$J1346)*100</f>
        <v/>
      </c>
      <c r="BM1345" s="82">
        <f>($F1345-$F1346)*100</f>
        <v/>
      </c>
      <c r="BN1345" s="82">
        <f>$AF1345-$AF1346</f>
        <v/>
      </c>
      <c r="BO1345" s="82">
        <f>$AG1345-$AG1346</f>
        <v/>
      </c>
      <c r="BP1345" s="82">
        <f>$AJ1345-$AJ1346</f>
        <v/>
      </c>
    </row>
    <row r="1346">
      <c r="AR1346" s="81">
        <f>($G1346+($H1346-$G1346)*0.5)+($P1346-($O1346+($Q1346-$O1346)*0.5))</f>
        <v/>
      </c>
      <c r="AS1346" s="81">
        <f>($J1346+($K1346-$J1346)*0.5)+($T1346-($S1346+($U1346-$S1346)*0.5))</f>
        <v/>
      </c>
      <c r="AT1346" s="82">
        <f>($J1346-$C1346)*100</f>
        <v/>
      </c>
      <c r="AU1346" s="82">
        <f>($H1346-$F1346)*100</f>
        <v/>
      </c>
      <c r="AV1346" s="82">
        <f>($J1346-$F1346)*100</f>
        <v/>
      </c>
      <c r="AW1346" s="82">
        <f>($L1346-$F1346)*100</f>
        <v/>
      </c>
      <c r="AX1346" s="82">
        <f>($J1346-$H1346)*100</f>
        <v/>
      </c>
      <c r="AY1346" s="82">
        <f>($L1346-$H1346)*100</f>
        <v/>
      </c>
      <c r="AZ1346" s="82">
        <f>($L1346-$J1346)*100</f>
        <v/>
      </c>
      <c r="BA1346" s="82">
        <f>(2*$H1346-$F1346-$J1346)*100</f>
        <v/>
      </c>
      <c r="BB1346" s="82">
        <f>(2*$J1346-$H1346-$L1346)*100</f>
        <v/>
      </c>
      <c r="BC1346" s="82">
        <f>($N1346-$F1346)*100</f>
        <v/>
      </c>
      <c r="BD1346" s="82">
        <f>($Q1346-$H1346)*100</f>
        <v/>
      </c>
      <c r="BE1346" s="82">
        <f>($S1346-$J1346)*100</f>
        <v/>
      </c>
      <c r="BF1346" s="82">
        <f>($V1346-$L1346)*100</f>
        <v/>
      </c>
      <c r="BG1346" s="82">
        <f>$AG1346-$AF1346</f>
        <v/>
      </c>
      <c r="BH1346" s="81">
        <f>IFERROR($AG1346/$AF1346,"")</f>
        <v/>
      </c>
      <c r="BI1346" s="82">
        <f>$AJ1346-$AF1346</f>
        <v/>
      </c>
      <c r="BJ1346" s="81">
        <f>IFERROR($AJ1346/$AG1346,"")</f>
        <v/>
      </c>
      <c r="BK1346" s="81">
        <f>$X1346</f>
        <v/>
      </c>
      <c r="BL1346" s="82">
        <f>($J1346-$J1347)*100</f>
        <v/>
      </c>
      <c r="BM1346" s="82">
        <f>($F1346-$F1347)*100</f>
        <v/>
      </c>
      <c r="BN1346" s="82">
        <f>$AF1346-$AF1347</f>
        <v/>
      </c>
      <c r="BO1346" s="82">
        <f>$AG1346-$AG1347</f>
        <v/>
      </c>
      <c r="BP1346" s="82">
        <f>$AJ1346-$AJ1347</f>
        <v/>
      </c>
    </row>
    <row r="1347">
      <c r="AR1347" s="81">
        <f>($G1347+($H1347-$G1347)*0.5)+($P1347-($O1347+($Q1347-$O1347)*0.5))</f>
        <v/>
      </c>
      <c r="AS1347" s="81">
        <f>($J1347+($K1347-$J1347)*0.5)+($T1347-($S1347+($U1347-$S1347)*0.5))</f>
        <v/>
      </c>
      <c r="AT1347" s="82">
        <f>($J1347-$C1347)*100</f>
        <v/>
      </c>
      <c r="AU1347" s="82">
        <f>($H1347-$F1347)*100</f>
        <v/>
      </c>
      <c r="AV1347" s="82">
        <f>($J1347-$F1347)*100</f>
        <v/>
      </c>
      <c r="AW1347" s="82">
        <f>($L1347-$F1347)*100</f>
        <v/>
      </c>
      <c r="AX1347" s="82">
        <f>($J1347-$H1347)*100</f>
        <v/>
      </c>
      <c r="AY1347" s="82">
        <f>($L1347-$H1347)*100</f>
        <v/>
      </c>
      <c r="AZ1347" s="82">
        <f>($L1347-$J1347)*100</f>
        <v/>
      </c>
      <c r="BA1347" s="82">
        <f>(2*$H1347-$F1347-$J1347)*100</f>
        <v/>
      </c>
      <c r="BB1347" s="82">
        <f>(2*$J1347-$H1347-$L1347)*100</f>
        <v/>
      </c>
      <c r="BC1347" s="82">
        <f>($N1347-$F1347)*100</f>
        <v/>
      </c>
      <c r="BD1347" s="82">
        <f>($Q1347-$H1347)*100</f>
        <v/>
      </c>
      <c r="BE1347" s="82">
        <f>($S1347-$J1347)*100</f>
        <v/>
      </c>
      <c r="BF1347" s="82">
        <f>($V1347-$L1347)*100</f>
        <v/>
      </c>
      <c r="BG1347" s="82">
        <f>$AG1347-$AF1347</f>
        <v/>
      </c>
      <c r="BH1347" s="81">
        <f>IFERROR($AG1347/$AF1347,"")</f>
        <v/>
      </c>
      <c r="BI1347" s="82">
        <f>$AJ1347-$AF1347</f>
        <v/>
      </c>
      <c r="BJ1347" s="81">
        <f>IFERROR($AJ1347/$AG1347,"")</f>
        <v/>
      </c>
      <c r="BK1347" s="81">
        <f>$X1347</f>
        <v/>
      </c>
      <c r="BL1347" s="82">
        <f>($J1347-$J1348)*100</f>
        <v/>
      </c>
      <c r="BM1347" s="82">
        <f>($F1347-$F1348)*100</f>
        <v/>
      </c>
      <c r="BN1347" s="82">
        <f>$AF1347-$AF1348</f>
        <v/>
      </c>
      <c r="BO1347" s="82">
        <f>$AG1347-$AG1348</f>
        <v/>
      </c>
      <c r="BP1347" s="82">
        <f>$AJ1347-$AJ1348</f>
        <v/>
      </c>
    </row>
    <row r="1348">
      <c r="AR1348" s="81">
        <f>($G1348+($H1348-$G1348)*0.5)+($P1348-($O1348+($Q1348-$O1348)*0.5))</f>
        <v/>
      </c>
      <c r="AS1348" s="81">
        <f>($J1348+($K1348-$J1348)*0.5)+($T1348-($S1348+($U1348-$S1348)*0.5))</f>
        <v/>
      </c>
      <c r="AT1348" s="82">
        <f>($J1348-$C1348)*100</f>
        <v/>
      </c>
      <c r="AU1348" s="82">
        <f>($H1348-$F1348)*100</f>
        <v/>
      </c>
      <c r="AV1348" s="82">
        <f>($J1348-$F1348)*100</f>
        <v/>
      </c>
      <c r="AW1348" s="82">
        <f>($L1348-$F1348)*100</f>
        <v/>
      </c>
      <c r="AX1348" s="82">
        <f>($J1348-$H1348)*100</f>
        <v/>
      </c>
      <c r="AY1348" s="82">
        <f>($L1348-$H1348)*100</f>
        <v/>
      </c>
      <c r="AZ1348" s="82">
        <f>($L1348-$J1348)*100</f>
        <v/>
      </c>
      <c r="BA1348" s="82">
        <f>(2*$H1348-$F1348-$J1348)*100</f>
        <v/>
      </c>
      <c r="BB1348" s="82">
        <f>(2*$J1348-$H1348-$L1348)*100</f>
        <v/>
      </c>
      <c r="BC1348" s="82">
        <f>($N1348-$F1348)*100</f>
        <v/>
      </c>
      <c r="BD1348" s="82">
        <f>($Q1348-$H1348)*100</f>
        <v/>
      </c>
      <c r="BE1348" s="82">
        <f>($S1348-$J1348)*100</f>
        <v/>
      </c>
      <c r="BF1348" s="82">
        <f>($V1348-$L1348)*100</f>
        <v/>
      </c>
      <c r="BG1348" s="82">
        <f>$AG1348-$AF1348</f>
        <v/>
      </c>
      <c r="BH1348" s="81">
        <f>IFERROR($AG1348/$AF1348,"")</f>
        <v/>
      </c>
      <c r="BI1348" s="82">
        <f>$AJ1348-$AF1348</f>
        <v/>
      </c>
      <c r="BJ1348" s="81">
        <f>IFERROR($AJ1348/$AG1348,"")</f>
        <v/>
      </c>
      <c r="BK1348" s="81">
        <f>$X1348</f>
        <v/>
      </c>
      <c r="BL1348" s="82">
        <f>($J1348-$J1349)*100</f>
        <v/>
      </c>
      <c r="BM1348" s="82">
        <f>($F1348-$F1349)*100</f>
        <v/>
      </c>
      <c r="BN1348" s="82">
        <f>$AF1348-$AF1349</f>
        <v/>
      </c>
      <c r="BO1348" s="82">
        <f>$AG1348-$AG1349</f>
        <v/>
      </c>
      <c r="BP1348" s="82">
        <f>$AJ1348-$AJ1349</f>
        <v/>
      </c>
    </row>
    <row r="1349">
      <c r="AR1349" s="81">
        <f>($G1349+($H1349-$G1349)*0.5)+($P1349-($O1349+($Q1349-$O1349)*0.5))</f>
        <v/>
      </c>
      <c r="AS1349" s="81">
        <f>($J1349+($K1349-$J1349)*0.5)+($T1349-($S1349+($U1349-$S1349)*0.5))</f>
        <v/>
      </c>
      <c r="AT1349" s="82">
        <f>($J1349-$C1349)*100</f>
        <v/>
      </c>
      <c r="AU1349" s="82">
        <f>($H1349-$F1349)*100</f>
        <v/>
      </c>
      <c r="AV1349" s="82">
        <f>($J1349-$F1349)*100</f>
        <v/>
      </c>
      <c r="AW1349" s="82">
        <f>($L1349-$F1349)*100</f>
        <v/>
      </c>
      <c r="AX1349" s="82">
        <f>($J1349-$H1349)*100</f>
        <v/>
      </c>
      <c r="AY1349" s="82">
        <f>($L1349-$H1349)*100</f>
        <v/>
      </c>
      <c r="AZ1349" s="82">
        <f>($L1349-$J1349)*100</f>
        <v/>
      </c>
      <c r="BA1349" s="82">
        <f>(2*$H1349-$F1349-$J1349)*100</f>
        <v/>
      </c>
      <c r="BB1349" s="82">
        <f>(2*$J1349-$H1349-$L1349)*100</f>
        <v/>
      </c>
      <c r="BC1349" s="82">
        <f>($N1349-$F1349)*100</f>
        <v/>
      </c>
      <c r="BD1349" s="82">
        <f>($Q1349-$H1349)*100</f>
        <v/>
      </c>
      <c r="BE1349" s="82">
        <f>($S1349-$J1349)*100</f>
        <v/>
      </c>
      <c r="BF1349" s="82">
        <f>($V1349-$L1349)*100</f>
        <v/>
      </c>
      <c r="BG1349" s="82">
        <f>$AG1349-$AF1349</f>
        <v/>
      </c>
      <c r="BH1349" s="81">
        <f>IFERROR($AG1349/$AF1349,"")</f>
        <v/>
      </c>
      <c r="BI1349" s="82">
        <f>$AJ1349-$AF1349</f>
        <v/>
      </c>
      <c r="BJ1349" s="81">
        <f>IFERROR($AJ1349/$AG1349,"")</f>
        <v/>
      </c>
      <c r="BK1349" s="81">
        <f>$X1349</f>
        <v/>
      </c>
      <c r="BL1349" s="82">
        <f>($J1349-$J1350)*100</f>
        <v/>
      </c>
      <c r="BM1349" s="82">
        <f>($F1349-$F1350)*100</f>
        <v/>
      </c>
      <c r="BN1349" s="82">
        <f>$AF1349-$AF1350</f>
        <v/>
      </c>
      <c r="BO1349" s="82">
        <f>$AG1349-$AG1350</f>
        <v/>
      </c>
      <c r="BP1349" s="82">
        <f>$AJ1349-$AJ1350</f>
        <v/>
      </c>
    </row>
    <row r="1350">
      <c r="AR1350" s="81">
        <f>($G1350+($H1350-$G1350)*0.5)+($P1350-($O1350+($Q1350-$O1350)*0.5))</f>
        <v/>
      </c>
      <c r="AS1350" s="81">
        <f>($J1350+($K1350-$J1350)*0.5)+($T1350-($S1350+($U1350-$S1350)*0.5))</f>
        <v/>
      </c>
      <c r="AT1350" s="82">
        <f>($J1350-$C1350)*100</f>
        <v/>
      </c>
      <c r="AU1350" s="82">
        <f>($H1350-$F1350)*100</f>
        <v/>
      </c>
      <c r="AV1350" s="82">
        <f>($J1350-$F1350)*100</f>
        <v/>
      </c>
      <c r="AW1350" s="82">
        <f>($L1350-$F1350)*100</f>
        <v/>
      </c>
      <c r="AX1350" s="82">
        <f>($J1350-$H1350)*100</f>
        <v/>
      </c>
      <c r="AY1350" s="82">
        <f>($L1350-$H1350)*100</f>
        <v/>
      </c>
      <c r="AZ1350" s="82">
        <f>($L1350-$J1350)*100</f>
        <v/>
      </c>
      <c r="BA1350" s="82">
        <f>(2*$H1350-$F1350-$J1350)*100</f>
        <v/>
      </c>
      <c r="BB1350" s="82">
        <f>(2*$J1350-$H1350-$L1350)*100</f>
        <v/>
      </c>
      <c r="BC1350" s="82">
        <f>($N1350-$F1350)*100</f>
        <v/>
      </c>
      <c r="BD1350" s="82">
        <f>($Q1350-$H1350)*100</f>
        <v/>
      </c>
      <c r="BE1350" s="82">
        <f>($S1350-$J1350)*100</f>
        <v/>
      </c>
      <c r="BF1350" s="82">
        <f>($V1350-$L1350)*100</f>
        <v/>
      </c>
      <c r="BG1350" s="82">
        <f>$AG1350-$AF1350</f>
        <v/>
      </c>
      <c r="BH1350" s="81">
        <f>IFERROR($AG1350/$AF1350,"")</f>
        <v/>
      </c>
      <c r="BI1350" s="82">
        <f>$AJ1350-$AF1350</f>
        <v/>
      </c>
      <c r="BJ1350" s="81">
        <f>IFERROR($AJ1350/$AG1350,"")</f>
        <v/>
      </c>
      <c r="BK1350" s="81">
        <f>$X1350</f>
        <v/>
      </c>
      <c r="BL1350" s="82">
        <f>($J1350-$J1351)*100</f>
        <v/>
      </c>
      <c r="BM1350" s="82">
        <f>($F1350-$F1351)*100</f>
        <v/>
      </c>
      <c r="BN1350" s="82">
        <f>$AF1350-$AF1351</f>
        <v/>
      </c>
      <c r="BO1350" s="82">
        <f>$AG1350-$AG1351</f>
        <v/>
      </c>
      <c r="BP1350" s="82">
        <f>$AJ1350-$AJ1351</f>
        <v/>
      </c>
    </row>
    <row r="1351">
      <c r="AR1351" s="81">
        <f>($G1351+($H1351-$G1351)*0.5)+($P1351-($O1351+($Q1351-$O1351)*0.5))</f>
        <v/>
      </c>
      <c r="AS1351" s="81">
        <f>($J1351+($K1351-$J1351)*0.5)+($T1351-($S1351+($U1351-$S1351)*0.5))</f>
        <v/>
      </c>
      <c r="AT1351" s="82">
        <f>($J1351-$C1351)*100</f>
        <v/>
      </c>
      <c r="AU1351" s="82">
        <f>($H1351-$F1351)*100</f>
        <v/>
      </c>
      <c r="AV1351" s="82">
        <f>($J1351-$F1351)*100</f>
        <v/>
      </c>
      <c r="AW1351" s="82">
        <f>($L1351-$F1351)*100</f>
        <v/>
      </c>
      <c r="AX1351" s="82">
        <f>($J1351-$H1351)*100</f>
        <v/>
      </c>
      <c r="AY1351" s="82">
        <f>($L1351-$H1351)*100</f>
        <v/>
      </c>
      <c r="AZ1351" s="82">
        <f>($L1351-$J1351)*100</f>
        <v/>
      </c>
      <c r="BA1351" s="82">
        <f>(2*$H1351-$F1351-$J1351)*100</f>
        <v/>
      </c>
      <c r="BB1351" s="82">
        <f>(2*$J1351-$H1351-$L1351)*100</f>
        <v/>
      </c>
      <c r="BC1351" s="82">
        <f>($N1351-$F1351)*100</f>
        <v/>
      </c>
      <c r="BD1351" s="82">
        <f>($Q1351-$H1351)*100</f>
        <v/>
      </c>
      <c r="BE1351" s="82">
        <f>($S1351-$J1351)*100</f>
        <v/>
      </c>
      <c r="BF1351" s="82">
        <f>($V1351-$L1351)*100</f>
        <v/>
      </c>
      <c r="BG1351" s="82">
        <f>$AG1351-$AF1351</f>
        <v/>
      </c>
      <c r="BH1351" s="81">
        <f>IFERROR($AG1351/$AF1351,"")</f>
        <v/>
      </c>
      <c r="BI1351" s="82">
        <f>$AJ1351-$AF1351</f>
        <v/>
      </c>
      <c r="BJ1351" s="81">
        <f>IFERROR($AJ1351/$AG1351,"")</f>
        <v/>
      </c>
      <c r="BK1351" s="81">
        <f>$X1351</f>
        <v/>
      </c>
      <c r="BL1351" s="82">
        <f>($J1351-$J1352)*100</f>
        <v/>
      </c>
      <c r="BM1351" s="82">
        <f>($F1351-$F1352)*100</f>
        <v/>
      </c>
      <c r="BN1351" s="82">
        <f>$AF1351-$AF1352</f>
        <v/>
      </c>
      <c r="BO1351" s="82">
        <f>$AG1351-$AG1352</f>
        <v/>
      </c>
      <c r="BP1351" s="82">
        <f>$AJ1351-$AJ1352</f>
        <v/>
      </c>
    </row>
    <row r="1352">
      <c r="AR1352" s="81">
        <f>($G1352+($H1352-$G1352)*0.5)+($P1352-($O1352+($Q1352-$O1352)*0.5))</f>
        <v/>
      </c>
      <c r="AS1352" s="81">
        <f>($J1352+($K1352-$J1352)*0.5)+($T1352-($S1352+($U1352-$S1352)*0.5))</f>
        <v/>
      </c>
      <c r="AT1352" s="82">
        <f>($J1352-$C1352)*100</f>
        <v/>
      </c>
      <c r="AU1352" s="82">
        <f>($H1352-$F1352)*100</f>
        <v/>
      </c>
      <c r="AV1352" s="82">
        <f>($J1352-$F1352)*100</f>
        <v/>
      </c>
      <c r="AW1352" s="82">
        <f>($L1352-$F1352)*100</f>
        <v/>
      </c>
      <c r="AX1352" s="82">
        <f>($J1352-$H1352)*100</f>
        <v/>
      </c>
      <c r="AY1352" s="82">
        <f>($L1352-$H1352)*100</f>
        <v/>
      </c>
      <c r="AZ1352" s="82">
        <f>($L1352-$J1352)*100</f>
        <v/>
      </c>
      <c r="BA1352" s="82">
        <f>(2*$H1352-$F1352-$J1352)*100</f>
        <v/>
      </c>
      <c r="BB1352" s="82">
        <f>(2*$J1352-$H1352-$L1352)*100</f>
        <v/>
      </c>
      <c r="BC1352" s="82">
        <f>($N1352-$F1352)*100</f>
        <v/>
      </c>
      <c r="BD1352" s="82">
        <f>($Q1352-$H1352)*100</f>
        <v/>
      </c>
      <c r="BE1352" s="82">
        <f>($S1352-$J1352)*100</f>
        <v/>
      </c>
      <c r="BF1352" s="82">
        <f>($V1352-$L1352)*100</f>
        <v/>
      </c>
      <c r="BG1352" s="82">
        <f>$AG1352-$AF1352</f>
        <v/>
      </c>
      <c r="BH1352" s="81">
        <f>IFERROR($AG1352/$AF1352,"")</f>
        <v/>
      </c>
      <c r="BI1352" s="82">
        <f>$AJ1352-$AF1352</f>
        <v/>
      </c>
      <c r="BJ1352" s="81">
        <f>IFERROR($AJ1352/$AG1352,"")</f>
        <v/>
      </c>
      <c r="BK1352" s="81">
        <f>$X1352</f>
        <v/>
      </c>
      <c r="BL1352" s="82">
        <f>($J1352-$J1353)*100</f>
        <v/>
      </c>
      <c r="BM1352" s="82">
        <f>($F1352-$F1353)*100</f>
        <v/>
      </c>
      <c r="BN1352" s="82">
        <f>$AF1352-$AF1353</f>
        <v/>
      </c>
      <c r="BO1352" s="82">
        <f>$AG1352-$AG1353</f>
        <v/>
      </c>
      <c r="BP1352" s="82">
        <f>$AJ1352-$AJ1353</f>
        <v/>
      </c>
    </row>
    <row r="1353">
      <c r="AR1353" s="81">
        <f>($G1353+($H1353-$G1353)*0.5)+($P1353-($O1353+($Q1353-$O1353)*0.5))</f>
        <v/>
      </c>
      <c r="AS1353" s="81">
        <f>($J1353+($K1353-$J1353)*0.5)+($T1353-($S1353+($U1353-$S1353)*0.5))</f>
        <v/>
      </c>
      <c r="AT1353" s="82">
        <f>($J1353-$C1353)*100</f>
        <v/>
      </c>
      <c r="AU1353" s="82">
        <f>($H1353-$F1353)*100</f>
        <v/>
      </c>
      <c r="AV1353" s="82">
        <f>($J1353-$F1353)*100</f>
        <v/>
      </c>
      <c r="AW1353" s="82">
        <f>($L1353-$F1353)*100</f>
        <v/>
      </c>
      <c r="AX1353" s="82">
        <f>($J1353-$H1353)*100</f>
        <v/>
      </c>
      <c r="AY1353" s="82">
        <f>($L1353-$H1353)*100</f>
        <v/>
      </c>
      <c r="AZ1353" s="82">
        <f>($L1353-$J1353)*100</f>
        <v/>
      </c>
      <c r="BA1353" s="82">
        <f>(2*$H1353-$F1353-$J1353)*100</f>
        <v/>
      </c>
      <c r="BB1353" s="82">
        <f>(2*$J1353-$H1353-$L1353)*100</f>
        <v/>
      </c>
      <c r="BC1353" s="82">
        <f>($N1353-$F1353)*100</f>
        <v/>
      </c>
      <c r="BD1353" s="82">
        <f>($Q1353-$H1353)*100</f>
        <v/>
      </c>
      <c r="BE1353" s="82">
        <f>($S1353-$J1353)*100</f>
        <v/>
      </c>
      <c r="BF1353" s="82">
        <f>($V1353-$L1353)*100</f>
        <v/>
      </c>
      <c r="BG1353" s="82">
        <f>$AG1353-$AF1353</f>
        <v/>
      </c>
      <c r="BH1353" s="81">
        <f>IFERROR($AG1353/$AF1353,"")</f>
        <v/>
      </c>
      <c r="BI1353" s="82">
        <f>$AJ1353-$AF1353</f>
        <v/>
      </c>
      <c r="BJ1353" s="81">
        <f>IFERROR($AJ1353/$AG1353,"")</f>
        <v/>
      </c>
      <c r="BK1353" s="81">
        <f>$X1353</f>
        <v/>
      </c>
      <c r="BL1353" s="82">
        <f>($J1353-$J1354)*100</f>
        <v/>
      </c>
      <c r="BM1353" s="82">
        <f>($F1353-$F1354)*100</f>
        <v/>
      </c>
      <c r="BN1353" s="82">
        <f>$AF1353-$AF1354</f>
        <v/>
      </c>
      <c r="BO1353" s="82">
        <f>$AG1353-$AG1354</f>
        <v/>
      </c>
      <c r="BP1353" s="82">
        <f>$AJ1353-$AJ1354</f>
        <v/>
      </c>
    </row>
    <row r="1354">
      <c r="AR1354" s="81">
        <f>($G1354+($H1354-$G1354)*0.5)+($P1354-($O1354+($Q1354-$O1354)*0.5))</f>
        <v/>
      </c>
      <c r="AS1354" s="81">
        <f>($J1354+($K1354-$J1354)*0.5)+($T1354-($S1354+($U1354-$S1354)*0.5))</f>
        <v/>
      </c>
      <c r="AT1354" s="82">
        <f>($J1354-$C1354)*100</f>
        <v/>
      </c>
      <c r="AU1354" s="82">
        <f>($H1354-$F1354)*100</f>
        <v/>
      </c>
      <c r="AV1354" s="82">
        <f>($J1354-$F1354)*100</f>
        <v/>
      </c>
      <c r="AW1354" s="82">
        <f>($L1354-$F1354)*100</f>
        <v/>
      </c>
      <c r="AX1354" s="82">
        <f>($J1354-$H1354)*100</f>
        <v/>
      </c>
      <c r="AY1354" s="82">
        <f>($L1354-$H1354)*100</f>
        <v/>
      </c>
      <c r="AZ1354" s="82">
        <f>($L1354-$J1354)*100</f>
        <v/>
      </c>
      <c r="BA1354" s="82">
        <f>(2*$H1354-$F1354-$J1354)*100</f>
        <v/>
      </c>
      <c r="BB1354" s="82">
        <f>(2*$J1354-$H1354-$L1354)*100</f>
        <v/>
      </c>
      <c r="BC1354" s="82">
        <f>($N1354-$F1354)*100</f>
        <v/>
      </c>
      <c r="BD1354" s="82">
        <f>($Q1354-$H1354)*100</f>
        <v/>
      </c>
      <c r="BE1354" s="82">
        <f>($S1354-$J1354)*100</f>
        <v/>
      </c>
      <c r="BF1354" s="82">
        <f>($V1354-$L1354)*100</f>
        <v/>
      </c>
      <c r="BG1354" s="82">
        <f>$AG1354-$AF1354</f>
        <v/>
      </c>
      <c r="BH1354" s="81">
        <f>IFERROR($AG1354/$AF1354,"")</f>
        <v/>
      </c>
      <c r="BI1354" s="82">
        <f>$AJ1354-$AF1354</f>
        <v/>
      </c>
      <c r="BJ1354" s="81">
        <f>IFERROR($AJ1354/$AG1354,"")</f>
        <v/>
      </c>
      <c r="BK1354" s="81">
        <f>$X1354</f>
        <v/>
      </c>
      <c r="BL1354" s="82">
        <f>($J1354-$J1355)*100</f>
        <v/>
      </c>
      <c r="BM1354" s="82">
        <f>($F1354-$F1355)*100</f>
        <v/>
      </c>
      <c r="BN1354" s="82">
        <f>$AF1354-$AF1355</f>
        <v/>
      </c>
      <c r="BO1354" s="82">
        <f>$AG1354-$AG1355</f>
        <v/>
      </c>
      <c r="BP1354" s="82">
        <f>$AJ1354-$AJ1355</f>
        <v/>
      </c>
    </row>
    <row r="1355">
      <c r="AR1355" s="81">
        <f>($G1355+($H1355-$G1355)*0.5)+($P1355-($O1355+($Q1355-$O1355)*0.5))</f>
        <v/>
      </c>
      <c r="AS1355" s="81">
        <f>($J1355+($K1355-$J1355)*0.5)+($T1355-($S1355+($U1355-$S1355)*0.5))</f>
        <v/>
      </c>
      <c r="AT1355" s="82">
        <f>($J1355-$C1355)*100</f>
        <v/>
      </c>
      <c r="AU1355" s="82">
        <f>($H1355-$F1355)*100</f>
        <v/>
      </c>
      <c r="AV1355" s="82">
        <f>($J1355-$F1355)*100</f>
        <v/>
      </c>
      <c r="AW1355" s="82">
        <f>($L1355-$F1355)*100</f>
        <v/>
      </c>
      <c r="AX1355" s="82">
        <f>($J1355-$H1355)*100</f>
        <v/>
      </c>
      <c r="AY1355" s="82">
        <f>($L1355-$H1355)*100</f>
        <v/>
      </c>
      <c r="AZ1355" s="82">
        <f>($L1355-$J1355)*100</f>
        <v/>
      </c>
      <c r="BA1355" s="82">
        <f>(2*$H1355-$F1355-$J1355)*100</f>
        <v/>
      </c>
      <c r="BB1355" s="82">
        <f>(2*$J1355-$H1355-$L1355)*100</f>
        <v/>
      </c>
      <c r="BC1355" s="82">
        <f>($N1355-$F1355)*100</f>
        <v/>
      </c>
      <c r="BD1355" s="82">
        <f>($Q1355-$H1355)*100</f>
        <v/>
      </c>
      <c r="BE1355" s="82">
        <f>($S1355-$J1355)*100</f>
        <v/>
      </c>
      <c r="BF1355" s="82">
        <f>($V1355-$L1355)*100</f>
        <v/>
      </c>
      <c r="BG1355" s="82">
        <f>$AG1355-$AF1355</f>
        <v/>
      </c>
      <c r="BH1355" s="81">
        <f>IFERROR($AG1355/$AF1355,"")</f>
        <v/>
      </c>
      <c r="BI1355" s="82">
        <f>$AJ1355-$AF1355</f>
        <v/>
      </c>
      <c r="BJ1355" s="81">
        <f>IFERROR($AJ1355/$AG1355,"")</f>
        <v/>
      </c>
      <c r="BK1355" s="81">
        <f>$X1355</f>
        <v/>
      </c>
      <c r="BL1355" s="82">
        <f>($J1355-$J1356)*100</f>
        <v/>
      </c>
      <c r="BM1355" s="82">
        <f>($F1355-$F1356)*100</f>
        <v/>
      </c>
      <c r="BN1355" s="82">
        <f>$AF1355-$AF1356</f>
        <v/>
      </c>
      <c r="BO1355" s="82">
        <f>$AG1355-$AG1356</f>
        <v/>
      </c>
      <c r="BP1355" s="82">
        <f>$AJ1355-$AJ1356</f>
        <v/>
      </c>
    </row>
    <row r="1356">
      <c r="AR1356" s="81">
        <f>($G1356+($H1356-$G1356)*0.5)+($P1356-($O1356+($Q1356-$O1356)*0.5))</f>
        <v/>
      </c>
      <c r="AS1356" s="81">
        <f>($J1356+($K1356-$J1356)*0.5)+($T1356-($S1356+($U1356-$S1356)*0.5))</f>
        <v/>
      </c>
      <c r="AT1356" s="82">
        <f>($J1356-$C1356)*100</f>
        <v/>
      </c>
      <c r="AU1356" s="82">
        <f>($H1356-$F1356)*100</f>
        <v/>
      </c>
      <c r="AV1356" s="82">
        <f>($J1356-$F1356)*100</f>
        <v/>
      </c>
      <c r="AW1356" s="82">
        <f>($L1356-$F1356)*100</f>
        <v/>
      </c>
      <c r="AX1356" s="82">
        <f>($J1356-$H1356)*100</f>
        <v/>
      </c>
      <c r="AY1356" s="82">
        <f>($L1356-$H1356)*100</f>
        <v/>
      </c>
      <c r="AZ1356" s="82">
        <f>($L1356-$J1356)*100</f>
        <v/>
      </c>
      <c r="BA1356" s="82">
        <f>(2*$H1356-$F1356-$J1356)*100</f>
        <v/>
      </c>
      <c r="BB1356" s="82">
        <f>(2*$J1356-$H1356-$L1356)*100</f>
        <v/>
      </c>
      <c r="BC1356" s="82">
        <f>($N1356-$F1356)*100</f>
        <v/>
      </c>
      <c r="BD1356" s="82">
        <f>($Q1356-$H1356)*100</f>
        <v/>
      </c>
      <c r="BE1356" s="82">
        <f>($S1356-$J1356)*100</f>
        <v/>
      </c>
      <c r="BF1356" s="82">
        <f>($V1356-$L1356)*100</f>
        <v/>
      </c>
      <c r="BG1356" s="82">
        <f>$AG1356-$AF1356</f>
        <v/>
      </c>
      <c r="BH1356" s="81">
        <f>IFERROR($AG1356/$AF1356,"")</f>
        <v/>
      </c>
      <c r="BI1356" s="82">
        <f>$AJ1356-$AF1356</f>
        <v/>
      </c>
      <c r="BJ1356" s="81">
        <f>IFERROR($AJ1356/$AG1356,"")</f>
        <v/>
      </c>
      <c r="BK1356" s="81">
        <f>$X1356</f>
        <v/>
      </c>
      <c r="BL1356" s="82">
        <f>($J1356-$J1357)*100</f>
        <v/>
      </c>
      <c r="BM1356" s="82">
        <f>($F1356-$F1357)*100</f>
        <v/>
      </c>
      <c r="BN1356" s="82">
        <f>$AF1356-$AF1357</f>
        <v/>
      </c>
      <c r="BO1356" s="82">
        <f>$AG1356-$AG1357</f>
        <v/>
      </c>
      <c r="BP1356" s="82">
        <f>$AJ1356-$AJ1357</f>
        <v/>
      </c>
    </row>
    <row r="1357">
      <c r="AR1357" s="81">
        <f>($G1357+($H1357-$G1357)*0.5)+($P1357-($O1357+($Q1357-$O1357)*0.5))</f>
        <v/>
      </c>
      <c r="AS1357" s="81">
        <f>($J1357+($K1357-$J1357)*0.5)+($T1357-($S1357+($U1357-$S1357)*0.5))</f>
        <v/>
      </c>
      <c r="AT1357" s="82">
        <f>($J1357-$C1357)*100</f>
        <v/>
      </c>
      <c r="AU1357" s="82">
        <f>($H1357-$F1357)*100</f>
        <v/>
      </c>
      <c r="AV1357" s="82">
        <f>($J1357-$F1357)*100</f>
        <v/>
      </c>
      <c r="AW1357" s="82">
        <f>($L1357-$F1357)*100</f>
        <v/>
      </c>
      <c r="AX1357" s="82">
        <f>($J1357-$H1357)*100</f>
        <v/>
      </c>
      <c r="AY1357" s="82">
        <f>($L1357-$H1357)*100</f>
        <v/>
      </c>
      <c r="AZ1357" s="82">
        <f>($L1357-$J1357)*100</f>
        <v/>
      </c>
      <c r="BA1357" s="82">
        <f>(2*$H1357-$F1357-$J1357)*100</f>
        <v/>
      </c>
      <c r="BB1357" s="82">
        <f>(2*$J1357-$H1357-$L1357)*100</f>
        <v/>
      </c>
      <c r="BC1357" s="82">
        <f>($N1357-$F1357)*100</f>
        <v/>
      </c>
      <c r="BD1357" s="82">
        <f>($Q1357-$H1357)*100</f>
        <v/>
      </c>
      <c r="BE1357" s="82">
        <f>($S1357-$J1357)*100</f>
        <v/>
      </c>
      <c r="BF1357" s="82">
        <f>($V1357-$L1357)*100</f>
        <v/>
      </c>
      <c r="BG1357" s="82">
        <f>$AG1357-$AF1357</f>
        <v/>
      </c>
      <c r="BH1357" s="81">
        <f>IFERROR($AG1357/$AF1357,"")</f>
        <v/>
      </c>
      <c r="BI1357" s="82">
        <f>$AJ1357-$AF1357</f>
        <v/>
      </c>
      <c r="BJ1357" s="81">
        <f>IFERROR($AJ1357/$AG1357,"")</f>
        <v/>
      </c>
      <c r="BK1357" s="81">
        <f>$X1357</f>
        <v/>
      </c>
      <c r="BL1357" s="82">
        <f>($J1357-$J1358)*100</f>
        <v/>
      </c>
      <c r="BM1357" s="82">
        <f>($F1357-$F1358)*100</f>
        <v/>
      </c>
      <c r="BN1357" s="82">
        <f>$AF1357-$AF1358</f>
        <v/>
      </c>
      <c r="BO1357" s="82">
        <f>$AG1357-$AG1358</f>
        <v/>
      </c>
      <c r="BP1357" s="82">
        <f>$AJ1357-$AJ1358</f>
        <v/>
      </c>
    </row>
    <row r="1358">
      <c r="AR1358" s="81">
        <f>($G1358+($H1358-$G1358)*0.5)+($P1358-($O1358+($Q1358-$O1358)*0.5))</f>
        <v/>
      </c>
      <c r="AS1358" s="81">
        <f>($J1358+($K1358-$J1358)*0.5)+($T1358-($S1358+($U1358-$S1358)*0.5))</f>
        <v/>
      </c>
      <c r="AT1358" s="82">
        <f>($J1358-$C1358)*100</f>
        <v/>
      </c>
      <c r="AU1358" s="82">
        <f>($H1358-$F1358)*100</f>
        <v/>
      </c>
      <c r="AV1358" s="82">
        <f>($J1358-$F1358)*100</f>
        <v/>
      </c>
      <c r="AW1358" s="82">
        <f>($L1358-$F1358)*100</f>
        <v/>
      </c>
      <c r="AX1358" s="82">
        <f>($J1358-$H1358)*100</f>
        <v/>
      </c>
      <c r="AY1358" s="82">
        <f>($L1358-$H1358)*100</f>
        <v/>
      </c>
      <c r="AZ1358" s="82">
        <f>($L1358-$J1358)*100</f>
        <v/>
      </c>
      <c r="BA1358" s="82">
        <f>(2*$H1358-$F1358-$J1358)*100</f>
        <v/>
      </c>
      <c r="BB1358" s="82">
        <f>(2*$J1358-$H1358-$L1358)*100</f>
        <v/>
      </c>
      <c r="BC1358" s="82">
        <f>($N1358-$F1358)*100</f>
        <v/>
      </c>
      <c r="BD1358" s="82">
        <f>($Q1358-$H1358)*100</f>
        <v/>
      </c>
      <c r="BE1358" s="82">
        <f>($S1358-$J1358)*100</f>
        <v/>
      </c>
      <c r="BF1358" s="82">
        <f>($V1358-$L1358)*100</f>
        <v/>
      </c>
      <c r="BG1358" s="82">
        <f>$AG1358-$AF1358</f>
        <v/>
      </c>
      <c r="BH1358" s="81">
        <f>IFERROR($AG1358/$AF1358,"")</f>
        <v/>
      </c>
      <c r="BI1358" s="82">
        <f>$AJ1358-$AF1358</f>
        <v/>
      </c>
      <c r="BJ1358" s="81">
        <f>IFERROR($AJ1358/$AG1358,"")</f>
        <v/>
      </c>
      <c r="BK1358" s="81">
        <f>$X1358</f>
        <v/>
      </c>
      <c r="BL1358" s="82">
        <f>($J1358-$J1359)*100</f>
        <v/>
      </c>
      <c r="BM1358" s="82">
        <f>($F1358-$F1359)*100</f>
        <v/>
      </c>
      <c r="BN1358" s="82">
        <f>$AF1358-$AF1359</f>
        <v/>
      </c>
      <c r="BO1358" s="82">
        <f>$AG1358-$AG1359</f>
        <v/>
      </c>
      <c r="BP1358" s="82">
        <f>$AJ1358-$AJ1359</f>
        <v/>
      </c>
    </row>
    <row r="1359">
      <c r="AR1359" s="81">
        <f>($G1359+($H1359-$G1359)*0.5)+($P1359-($O1359+($Q1359-$O1359)*0.5))</f>
        <v/>
      </c>
      <c r="AS1359" s="81">
        <f>($J1359+($K1359-$J1359)*0.5)+($T1359-($S1359+($U1359-$S1359)*0.5))</f>
        <v/>
      </c>
      <c r="AT1359" s="82">
        <f>($J1359-$C1359)*100</f>
        <v/>
      </c>
      <c r="AU1359" s="82">
        <f>($H1359-$F1359)*100</f>
        <v/>
      </c>
      <c r="AV1359" s="82">
        <f>($J1359-$F1359)*100</f>
        <v/>
      </c>
      <c r="AW1359" s="82">
        <f>($L1359-$F1359)*100</f>
        <v/>
      </c>
      <c r="AX1359" s="82">
        <f>($J1359-$H1359)*100</f>
        <v/>
      </c>
      <c r="AY1359" s="82">
        <f>($L1359-$H1359)*100</f>
        <v/>
      </c>
      <c r="AZ1359" s="82">
        <f>($L1359-$J1359)*100</f>
        <v/>
      </c>
      <c r="BA1359" s="82">
        <f>(2*$H1359-$F1359-$J1359)*100</f>
        <v/>
      </c>
      <c r="BB1359" s="82">
        <f>(2*$J1359-$H1359-$L1359)*100</f>
        <v/>
      </c>
      <c r="BC1359" s="82">
        <f>($N1359-$F1359)*100</f>
        <v/>
      </c>
      <c r="BD1359" s="82">
        <f>($Q1359-$H1359)*100</f>
        <v/>
      </c>
      <c r="BE1359" s="82">
        <f>($S1359-$J1359)*100</f>
        <v/>
      </c>
      <c r="BF1359" s="82">
        <f>($V1359-$L1359)*100</f>
        <v/>
      </c>
      <c r="BG1359" s="82">
        <f>$AG1359-$AF1359</f>
        <v/>
      </c>
      <c r="BH1359" s="81">
        <f>IFERROR($AG1359/$AF1359,"")</f>
        <v/>
      </c>
      <c r="BI1359" s="82">
        <f>$AJ1359-$AF1359</f>
        <v/>
      </c>
      <c r="BJ1359" s="81">
        <f>IFERROR($AJ1359/$AG1359,"")</f>
        <v/>
      </c>
      <c r="BK1359" s="81">
        <f>$X1359</f>
        <v/>
      </c>
      <c r="BL1359" s="82">
        <f>($J1359-$J1360)*100</f>
        <v/>
      </c>
      <c r="BM1359" s="82">
        <f>($F1359-$F1360)*100</f>
        <v/>
      </c>
      <c r="BN1359" s="82">
        <f>$AF1359-$AF1360</f>
        <v/>
      </c>
      <c r="BO1359" s="82">
        <f>$AG1359-$AG1360</f>
        <v/>
      </c>
      <c r="BP1359" s="82">
        <f>$AJ1359-$AJ1360</f>
        <v/>
      </c>
    </row>
    <row r="1360">
      <c r="AR1360" s="81">
        <f>($G1360+($H1360-$G1360)*0.5)+($P1360-($O1360+($Q1360-$O1360)*0.5))</f>
        <v/>
      </c>
      <c r="AS1360" s="81">
        <f>($J1360+($K1360-$J1360)*0.5)+($T1360-($S1360+($U1360-$S1360)*0.5))</f>
        <v/>
      </c>
      <c r="AT1360" s="82">
        <f>($J1360-$C1360)*100</f>
        <v/>
      </c>
      <c r="AU1360" s="82">
        <f>($H1360-$F1360)*100</f>
        <v/>
      </c>
      <c r="AV1360" s="82">
        <f>($J1360-$F1360)*100</f>
        <v/>
      </c>
      <c r="AW1360" s="82">
        <f>($L1360-$F1360)*100</f>
        <v/>
      </c>
      <c r="AX1360" s="82">
        <f>($J1360-$H1360)*100</f>
        <v/>
      </c>
      <c r="AY1360" s="82">
        <f>($L1360-$H1360)*100</f>
        <v/>
      </c>
      <c r="AZ1360" s="82">
        <f>($L1360-$J1360)*100</f>
        <v/>
      </c>
      <c r="BA1360" s="82">
        <f>(2*$H1360-$F1360-$J1360)*100</f>
        <v/>
      </c>
      <c r="BB1360" s="82">
        <f>(2*$J1360-$H1360-$L1360)*100</f>
        <v/>
      </c>
      <c r="BC1360" s="82">
        <f>($N1360-$F1360)*100</f>
        <v/>
      </c>
      <c r="BD1360" s="82">
        <f>($Q1360-$H1360)*100</f>
        <v/>
      </c>
      <c r="BE1360" s="82">
        <f>($S1360-$J1360)*100</f>
        <v/>
      </c>
      <c r="BF1360" s="82">
        <f>($V1360-$L1360)*100</f>
        <v/>
      </c>
      <c r="BG1360" s="82">
        <f>$AG1360-$AF1360</f>
        <v/>
      </c>
      <c r="BH1360" s="81">
        <f>IFERROR($AG1360/$AF1360,"")</f>
        <v/>
      </c>
      <c r="BI1360" s="82">
        <f>$AJ1360-$AF1360</f>
        <v/>
      </c>
      <c r="BJ1360" s="81">
        <f>IFERROR($AJ1360/$AG1360,"")</f>
        <v/>
      </c>
      <c r="BK1360" s="81">
        <f>$X1360</f>
        <v/>
      </c>
      <c r="BL1360" s="82">
        <f>($J1360-$J1361)*100</f>
        <v/>
      </c>
      <c r="BM1360" s="82">
        <f>($F1360-$F1361)*100</f>
        <v/>
      </c>
      <c r="BN1360" s="82">
        <f>$AF1360-$AF1361</f>
        <v/>
      </c>
      <c r="BO1360" s="82">
        <f>$AG1360-$AG1361</f>
        <v/>
      </c>
      <c r="BP1360" s="82">
        <f>$AJ1360-$AJ1361</f>
        <v/>
      </c>
    </row>
    <row r="1361">
      <c r="AR1361" s="81">
        <f>($G1361+($H1361-$G1361)*0.5)+($P1361-($O1361+($Q1361-$O1361)*0.5))</f>
        <v/>
      </c>
      <c r="AS1361" s="81">
        <f>($J1361+($K1361-$J1361)*0.5)+($T1361-($S1361+($U1361-$S1361)*0.5))</f>
        <v/>
      </c>
      <c r="AT1361" s="82">
        <f>($J1361-$C1361)*100</f>
        <v/>
      </c>
      <c r="AU1361" s="82">
        <f>($H1361-$F1361)*100</f>
        <v/>
      </c>
      <c r="AV1361" s="82">
        <f>($J1361-$F1361)*100</f>
        <v/>
      </c>
      <c r="AW1361" s="82">
        <f>($L1361-$F1361)*100</f>
        <v/>
      </c>
      <c r="AX1361" s="82">
        <f>($J1361-$H1361)*100</f>
        <v/>
      </c>
      <c r="AY1361" s="82">
        <f>($L1361-$H1361)*100</f>
        <v/>
      </c>
      <c r="AZ1361" s="82">
        <f>($L1361-$J1361)*100</f>
        <v/>
      </c>
      <c r="BA1361" s="82">
        <f>(2*$H1361-$F1361-$J1361)*100</f>
        <v/>
      </c>
      <c r="BB1361" s="82">
        <f>(2*$J1361-$H1361-$L1361)*100</f>
        <v/>
      </c>
      <c r="BC1361" s="82">
        <f>($N1361-$F1361)*100</f>
        <v/>
      </c>
      <c r="BD1361" s="82">
        <f>($Q1361-$H1361)*100</f>
        <v/>
      </c>
      <c r="BE1361" s="82">
        <f>($S1361-$J1361)*100</f>
        <v/>
      </c>
      <c r="BF1361" s="82">
        <f>($V1361-$L1361)*100</f>
        <v/>
      </c>
      <c r="BG1361" s="82">
        <f>$AG1361-$AF1361</f>
        <v/>
      </c>
      <c r="BH1361" s="81">
        <f>IFERROR($AG1361/$AF1361,"")</f>
        <v/>
      </c>
      <c r="BI1361" s="82">
        <f>$AJ1361-$AF1361</f>
        <v/>
      </c>
      <c r="BJ1361" s="81">
        <f>IFERROR($AJ1361/$AG1361,"")</f>
        <v/>
      </c>
      <c r="BK1361" s="81">
        <f>$X1361</f>
        <v/>
      </c>
      <c r="BL1361" s="82">
        <f>($J1361-$J1362)*100</f>
        <v/>
      </c>
      <c r="BM1361" s="82">
        <f>($F1361-$F1362)*100</f>
        <v/>
      </c>
      <c r="BN1361" s="82">
        <f>$AF1361-$AF1362</f>
        <v/>
      </c>
      <c r="BO1361" s="82">
        <f>$AG1361-$AG1362</f>
        <v/>
      </c>
      <c r="BP1361" s="82">
        <f>$AJ1361-$AJ1362</f>
        <v/>
      </c>
    </row>
    <row r="1362">
      <c r="AR1362" s="81">
        <f>($G1362+($H1362-$G1362)*0.5)+($P1362-($O1362+($Q1362-$O1362)*0.5))</f>
        <v/>
      </c>
      <c r="AS1362" s="81">
        <f>($J1362+($K1362-$J1362)*0.5)+($T1362-($S1362+($U1362-$S1362)*0.5))</f>
        <v/>
      </c>
      <c r="AT1362" s="82">
        <f>($J1362-$C1362)*100</f>
        <v/>
      </c>
      <c r="AU1362" s="82">
        <f>($H1362-$F1362)*100</f>
        <v/>
      </c>
      <c r="AV1362" s="82">
        <f>($J1362-$F1362)*100</f>
        <v/>
      </c>
      <c r="AW1362" s="82">
        <f>($L1362-$F1362)*100</f>
        <v/>
      </c>
      <c r="AX1362" s="82">
        <f>($J1362-$H1362)*100</f>
        <v/>
      </c>
      <c r="AY1362" s="82">
        <f>($L1362-$H1362)*100</f>
        <v/>
      </c>
      <c r="AZ1362" s="82">
        <f>($L1362-$J1362)*100</f>
        <v/>
      </c>
      <c r="BA1362" s="82">
        <f>(2*$H1362-$F1362-$J1362)*100</f>
        <v/>
      </c>
      <c r="BB1362" s="82">
        <f>(2*$J1362-$H1362-$L1362)*100</f>
        <v/>
      </c>
      <c r="BC1362" s="82">
        <f>($N1362-$F1362)*100</f>
        <v/>
      </c>
      <c r="BD1362" s="82">
        <f>($Q1362-$H1362)*100</f>
        <v/>
      </c>
      <c r="BE1362" s="82">
        <f>($S1362-$J1362)*100</f>
        <v/>
      </c>
      <c r="BF1362" s="82">
        <f>($V1362-$L1362)*100</f>
        <v/>
      </c>
      <c r="BG1362" s="82">
        <f>$AG1362-$AF1362</f>
        <v/>
      </c>
      <c r="BH1362" s="81">
        <f>IFERROR($AG1362/$AF1362,"")</f>
        <v/>
      </c>
      <c r="BI1362" s="82">
        <f>$AJ1362-$AF1362</f>
        <v/>
      </c>
      <c r="BJ1362" s="81">
        <f>IFERROR($AJ1362/$AG1362,"")</f>
        <v/>
      </c>
      <c r="BK1362" s="81">
        <f>$X1362</f>
        <v/>
      </c>
      <c r="BL1362" s="82">
        <f>($J1362-$J1363)*100</f>
        <v/>
      </c>
      <c r="BM1362" s="82">
        <f>($F1362-$F1363)*100</f>
        <v/>
      </c>
      <c r="BN1362" s="82">
        <f>$AF1362-$AF1363</f>
        <v/>
      </c>
      <c r="BO1362" s="82">
        <f>$AG1362-$AG1363</f>
        <v/>
      </c>
      <c r="BP1362" s="82">
        <f>$AJ1362-$AJ1363</f>
        <v/>
      </c>
    </row>
    <row r="1363">
      <c r="AR1363" s="81">
        <f>($G1363+($H1363-$G1363)*0.5)+($P1363-($O1363+($Q1363-$O1363)*0.5))</f>
        <v/>
      </c>
      <c r="AS1363" s="81">
        <f>($J1363+($K1363-$J1363)*0.5)+($T1363-($S1363+($U1363-$S1363)*0.5))</f>
        <v/>
      </c>
      <c r="AT1363" s="82">
        <f>($J1363-$C1363)*100</f>
        <v/>
      </c>
      <c r="AU1363" s="82">
        <f>($H1363-$F1363)*100</f>
        <v/>
      </c>
      <c r="AV1363" s="82">
        <f>($J1363-$F1363)*100</f>
        <v/>
      </c>
      <c r="AW1363" s="82">
        <f>($L1363-$F1363)*100</f>
        <v/>
      </c>
      <c r="AX1363" s="82">
        <f>($J1363-$H1363)*100</f>
        <v/>
      </c>
      <c r="AY1363" s="82">
        <f>($L1363-$H1363)*100</f>
        <v/>
      </c>
      <c r="AZ1363" s="82">
        <f>($L1363-$J1363)*100</f>
        <v/>
      </c>
      <c r="BA1363" s="82">
        <f>(2*$H1363-$F1363-$J1363)*100</f>
        <v/>
      </c>
      <c r="BB1363" s="82">
        <f>(2*$J1363-$H1363-$L1363)*100</f>
        <v/>
      </c>
      <c r="BC1363" s="82">
        <f>($N1363-$F1363)*100</f>
        <v/>
      </c>
      <c r="BD1363" s="82">
        <f>($Q1363-$H1363)*100</f>
        <v/>
      </c>
      <c r="BE1363" s="82">
        <f>($S1363-$J1363)*100</f>
        <v/>
      </c>
      <c r="BF1363" s="82">
        <f>($V1363-$L1363)*100</f>
        <v/>
      </c>
      <c r="BG1363" s="82">
        <f>$AG1363-$AF1363</f>
        <v/>
      </c>
      <c r="BH1363" s="81">
        <f>IFERROR($AG1363/$AF1363,"")</f>
        <v/>
      </c>
      <c r="BI1363" s="82">
        <f>$AJ1363-$AF1363</f>
        <v/>
      </c>
      <c r="BJ1363" s="81">
        <f>IFERROR($AJ1363/$AG1363,"")</f>
        <v/>
      </c>
      <c r="BK1363" s="81">
        <f>$X1363</f>
        <v/>
      </c>
      <c r="BL1363" s="82">
        <f>($J1363-$J1364)*100</f>
        <v/>
      </c>
      <c r="BM1363" s="82">
        <f>($F1363-$F1364)*100</f>
        <v/>
      </c>
      <c r="BN1363" s="82">
        <f>$AF1363-$AF1364</f>
        <v/>
      </c>
      <c r="BO1363" s="82">
        <f>$AG1363-$AG1364</f>
        <v/>
      </c>
      <c r="BP1363" s="82">
        <f>$AJ1363-$AJ1364</f>
        <v/>
      </c>
    </row>
    <row r="1364">
      <c r="AR1364" s="81">
        <f>($G1364+($H1364-$G1364)*0.5)+($P1364-($O1364+($Q1364-$O1364)*0.5))</f>
        <v/>
      </c>
      <c r="AS1364" s="81">
        <f>($J1364+($K1364-$J1364)*0.5)+($T1364-($S1364+($U1364-$S1364)*0.5))</f>
        <v/>
      </c>
      <c r="AT1364" s="82">
        <f>($J1364-$C1364)*100</f>
        <v/>
      </c>
      <c r="AU1364" s="82">
        <f>($H1364-$F1364)*100</f>
        <v/>
      </c>
      <c r="AV1364" s="82">
        <f>($J1364-$F1364)*100</f>
        <v/>
      </c>
      <c r="AW1364" s="82">
        <f>($L1364-$F1364)*100</f>
        <v/>
      </c>
      <c r="AX1364" s="82">
        <f>($J1364-$H1364)*100</f>
        <v/>
      </c>
      <c r="AY1364" s="82">
        <f>($L1364-$H1364)*100</f>
        <v/>
      </c>
      <c r="AZ1364" s="82">
        <f>($L1364-$J1364)*100</f>
        <v/>
      </c>
      <c r="BA1364" s="82">
        <f>(2*$H1364-$F1364-$J1364)*100</f>
        <v/>
      </c>
      <c r="BB1364" s="82">
        <f>(2*$J1364-$H1364-$L1364)*100</f>
        <v/>
      </c>
      <c r="BC1364" s="82">
        <f>($N1364-$F1364)*100</f>
        <v/>
      </c>
      <c r="BD1364" s="82">
        <f>($Q1364-$H1364)*100</f>
        <v/>
      </c>
      <c r="BE1364" s="82">
        <f>($S1364-$J1364)*100</f>
        <v/>
      </c>
      <c r="BF1364" s="82">
        <f>($V1364-$L1364)*100</f>
        <v/>
      </c>
      <c r="BG1364" s="82">
        <f>$AG1364-$AF1364</f>
        <v/>
      </c>
      <c r="BH1364" s="81">
        <f>IFERROR($AG1364/$AF1364,"")</f>
        <v/>
      </c>
      <c r="BI1364" s="82">
        <f>$AJ1364-$AF1364</f>
        <v/>
      </c>
      <c r="BJ1364" s="81">
        <f>IFERROR($AJ1364/$AG1364,"")</f>
        <v/>
      </c>
      <c r="BK1364" s="81">
        <f>$X1364</f>
        <v/>
      </c>
      <c r="BL1364" s="82">
        <f>($J1364-$J1365)*100</f>
        <v/>
      </c>
      <c r="BM1364" s="82">
        <f>($F1364-$F1365)*100</f>
        <v/>
      </c>
      <c r="BN1364" s="82">
        <f>$AF1364-$AF1365</f>
        <v/>
      </c>
      <c r="BO1364" s="82">
        <f>$AG1364-$AG1365</f>
        <v/>
      </c>
      <c r="BP1364" s="82">
        <f>$AJ1364-$AJ1365</f>
        <v/>
      </c>
    </row>
    <row r="1365">
      <c r="AR1365" s="81">
        <f>($G1365+($H1365-$G1365)*0.5)+($P1365-($O1365+($Q1365-$O1365)*0.5))</f>
        <v/>
      </c>
      <c r="AS1365" s="81">
        <f>($J1365+($K1365-$J1365)*0.5)+($T1365-($S1365+($U1365-$S1365)*0.5))</f>
        <v/>
      </c>
      <c r="AT1365" s="82">
        <f>($J1365-$C1365)*100</f>
        <v/>
      </c>
      <c r="AU1365" s="82">
        <f>($H1365-$F1365)*100</f>
        <v/>
      </c>
      <c r="AV1365" s="82">
        <f>($J1365-$F1365)*100</f>
        <v/>
      </c>
      <c r="AW1365" s="82">
        <f>($L1365-$F1365)*100</f>
        <v/>
      </c>
      <c r="AX1365" s="82">
        <f>($J1365-$H1365)*100</f>
        <v/>
      </c>
      <c r="AY1365" s="82">
        <f>($L1365-$H1365)*100</f>
        <v/>
      </c>
      <c r="AZ1365" s="82">
        <f>($L1365-$J1365)*100</f>
        <v/>
      </c>
      <c r="BA1365" s="82">
        <f>(2*$H1365-$F1365-$J1365)*100</f>
        <v/>
      </c>
      <c r="BB1365" s="82">
        <f>(2*$J1365-$H1365-$L1365)*100</f>
        <v/>
      </c>
      <c r="BC1365" s="82">
        <f>($N1365-$F1365)*100</f>
        <v/>
      </c>
      <c r="BD1365" s="82">
        <f>($Q1365-$H1365)*100</f>
        <v/>
      </c>
      <c r="BE1365" s="82">
        <f>($S1365-$J1365)*100</f>
        <v/>
      </c>
      <c r="BF1365" s="82">
        <f>($V1365-$L1365)*100</f>
        <v/>
      </c>
      <c r="BG1365" s="82">
        <f>$AG1365-$AF1365</f>
        <v/>
      </c>
      <c r="BH1365" s="81">
        <f>IFERROR($AG1365/$AF1365,"")</f>
        <v/>
      </c>
      <c r="BI1365" s="82">
        <f>$AJ1365-$AF1365</f>
        <v/>
      </c>
      <c r="BJ1365" s="81">
        <f>IFERROR($AJ1365/$AG1365,"")</f>
        <v/>
      </c>
      <c r="BK1365" s="81">
        <f>$X1365</f>
        <v/>
      </c>
      <c r="BL1365" s="82">
        <f>($J1365-$J1366)*100</f>
        <v/>
      </c>
      <c r="BM1365" s="82">
        <f>($F1365-$F1366)*100</f>
        <v/>
      </c>
      <c r="BN1365" s="82">
        <f>$AF1365-$AF1366</f>
        <v/>
      </c>
      <c r="BO1365" s="82">
        <f>$AG1365-$AG1366</f>
        <v/>
      </c>
      <c r="BP1365" s="82">
        <f>$AJ1365-$AJ1366</f>
        <v/>
      </c>
    </row>
    <row r="1366">
      <c r="AR1366" s="81">
        <f>($G1366+($H1366-$G1366)*0.5)+($P1366-($O1366+($Q1366-$O1366)*0.5))</f>
        <v/>
      </c>
      <c r="AS1366" s="81">
        <f>($J1366+($K1366-$J1366)*0.5)+($T1366-($S1366+($U1366-$S1366)*0.5))</f>
        <v/>
      </c>
      <c r="AT1366" s="82">
        <f>($J1366-$C1366)*100</f>
        <v/>
      </c>
      <c r="AU1366" s="82">
        <f>($H1366-$F1366)*100</f>
        <v/>
      </c>
      <c r="AV1366" s="82">
        <f>($J1366-$F1366)*100</f>
        <v/>
      </c>
      <c r="AW1366" s="82">
        <f>($L1366-$F1366)*100</f>
        <v/>
      </c>
      <c r="AX1366" s="82">
        <f>($J1366-$H1366)*100</f>
        <v/>
      </c>
      <c r="AY1366" s="82">
        <f>($L1366-$H1366)*100</f>
        <v/>
      </c>
      <c r="AZ1366" s="82">
        <f>($L1366-$J1366)*100</f>
        <v/>
      </c>
      <c r="BA1366" s="82">
        <f>(2*$H1366-$F1366-$J1366)*100</f>
        <v/>
      </c>
      <c r="BB1366" s="82">
        <f>(2*$J1366-$H1366-$L1366)*100</f>
        <v/>
      </c>
      <c r="BC1366" s="82">
        <f>($N1366-$F1366)*100</f>
        <v/>
      </c>
      <c r="BD1366" s="82">
        <f>($Q1366-$H1366)*100</f>
        <v/>
      </c>
      <c r="BE1366" s="82">
        <f>($S1366-$J1366)*100</f>
        <v/>
      </c>
      <c r="BF1366" s="82">
        <f>($V1366-$L1366)*100</f>
        <v/>
      </c>
      <c r="BG1366" s="82">
        <f>$AG1366-$AF1366</f>
        <v/>
      </c>
      <c r="BH1366" s="81">
        <f>IFERROR($AG1366/$AF1366,"")</f>
        <v/>
      </c>
      <c r="BI1366" s="82">
        <f>$AJ1366-$AF1366</f>
        <v/>
      </c>
      <c r="BJ1366" s="81">
        <f>IFERROR($AJ1366/$AG1366,"")</f>
        <v/>
      </c>
      <c r="BK1366" s="81">
        <f>$X1366</f>
        <v/>
      </c>
      <c r="BL1366" s="82">
        <f>($J1366-$J1367)*100</f>
        <v/>
      </c>
      <c r="BM1366" s="82">
        <f>($F1366-$F1367)*100</f>
        <v/>
      </c>
      <c r="BN1366" s="82">
        <f>$AF1366-$AF1367</f>
        <v/>
      </c>
      <c r="BO1366" s="82">
        <f>$AG1366-$AG1367</f>
        <v/>
      </c>
      <c r="BP1366" s="82">
        <f>$AJ1366-$AJ1367</f>
        <v/>
      </c>
    </row>
    <row r="1367">
      <c r="AR1367" s="81">
        <f>($G1367+($H1367-$G1367)*0.5)+($P1367-($O1367+($Q1367-$O1367)*0.5))</f>
        <v/>
      </c>
      <c r="AS1367" s="81">
        <f>($J1367+($K1367-$J1367)*0.5)+($T1367-($S1367+($U1367-$S1367)*0.5))</f>
        <v/>
      </c>
      <c r="AT1367" s="82">
        <f>($J1367-$C1367)*100</f>
        <v/>
      </c>
      <c r="AU1367" s="82">
        <f>($H1367-$F1367)*100</f>
        <v/>
      </c>
      <c r="AV1367" s="82">
        <f>($J1367-$F1367)*100</f>
        <v/>
      </c>
      <c r="AW1367" s="82">
        <f>($L1367-$F1367)*100</f>
        <v/>
      </c>
      <c r="AX1367" s="82">
        <f>($J1367-$H1367)*100</f>
        <v/>
      </c>
      <c r="AY1367" s="82">
        <f>($L1367-$H1367)*100</f>
        <v/>
      </c>
      <c r="AZ1367" s="82">
        <f>($L1367-$J1367)*100</f>
        <v/>
      </c>
      <c r="BA1367" s="82">
        <f>(2*$H1367-$F1367-$J1367)*100</f>
        <v/>
      </c>
      <c r="BB1367" s="82">
        <f>(2*$J1367-$H1367-$L1367)*100</f>
        <v/>
      </c>
      <c r="BC1367" s="82">
        <f>($N1367-$F1367)*100</f>
        <v/>
      </c>
      <c r="BD1367" s="82">
        <f>($Q1367-$H1367)*100</f>
        <v/>
      </c>
      <c r="BE1367" s="82">
        <f>($S1367-$J1367)*100</f>
        <v/>
      </c>
      <c r="BF1367" s="82">
        <f>($V1367-$L1367)*100</f>
        <v/>
      </c>
      <c r="BG1367" s="82">
        <f>$AG1367-$AF1367</f>
        <v/>
      </c>
      <c r="BH1367" s="81">
        <f>IFERROR($AG1367/$AF1367,"")</f>
        <v/>
      </c>
      <c r="BI1367" s="82">
        <f>$AJ1367-$AF1367</f>
        <v/>
      </c>
      <c r="BJ1367" s="81">
        <f>IFERROR($AJ1367/$AG1367,"")</f>
        <v/>
      </c>
      <c r="BK1367" s="81">
        <f>$X1367</f>
        <v/>
      </c>
      <c r="BL1367" s="82">
        <f>($J1367-$J1368)*100</f>
        <v/>
      </c>
      <c r="BM1367" s="82">
        <f>($F1367-$F1368)*100</f>
        <v/>
      </c>
      <c r="BN1367" s="82">
        <f>$AF1367-$AF1368</f>
        <v/>
      </c>
      <c r="BO1367" s="82">
        <f>$AG1367-$AG1368</f>
        <v/>
      </c>
      <c r="BP1367" s="82">
        <f>$AJ1367-$AJ1368</f>
        <v/>
      </c>
    </row>
    <row r="1368">
      <c r="AR1368" s="81">
        <f>($G1368+($H1368-$G1368)*0.5)+($P1368-($O1368+($Q1368-$O1368)*0.5))</f>
        <v/>
      </c>
      <c r="AS1368" s="81">
        <f>($J1368+($K1368-$J1368)*0.5)+($T1368-($S1368+($U1368-$S1368)*0.5))</f>
        <v/>
      </c>
      <c r="AT1368" s="82">
        <f>($J1368-$C1368)*100</f>
        <v/>
      </c>
      <c r="AU1368" s="82">
        <f>($H1368-$F1368)*100</f>
        <v/>
      </c>
      <c r="AV1368" s="82">
        <f>($J1368-$F1368)*100</f>
        <v/>
      </c>
      <c r="AW1368" s="82">
        <f>($L1368-$F1368)*100</f>
        <v/>
      </c>
      <c r="AX1368" s="82">
        <f>($J1368-$H1368)*100</f>
        <v/>
      </c>
      <c r="AY1368" s="82">
        <f>($L1368-$H1368)*100</f>
        <v/>
      </c>
      <c r="AZ1368" s="82">
        <f>($L1368-$J1368)*100</f>
        <v/>
      </c>
      <c r="BA1368" s="82">
        <f>(2*$H1368-$F1368-$J1368)*100</f>
        <v/>
      </c>
      <c r="BB1368" s="82">
        <f>(2*$J1368-$H1368-$L1368)*100</f>
        <v/>
      </c>
      <c r="BC1368" s="82">
        <f>($N1368-$F1368)*100</f>
        <v/>
      </c>
      <c r="BD1368" s="82">
        <f>($Q1368-$H1368)*100</f>
        <v/>
      </c>
      <c r="BE1368" s="82">
        <f>($S1368-$J1368)*100</f>
        <v/>
      </c>
      <c r="BF1368" s="82">
        <f>($V1368-$L1368)*100</f>
        <v/>
      </c>
      <c r="BG1368" s="82">
        <f>$AG1368-$AF1368</f>
        <v/>
      </c>
      <c r="BH1368" s="81">
        <f>IFERROR($AG1368/$AF1368,"")</f>
        <v/>
      </c>
      <c r="BI1368" s="82">
        <f>$AJ1368-$AF1368</f>
        <v/>
      </c>
      <c r="BJ1368" s="81">
        <f>IFERROR($AJ1368/$AG1368,"")</f>
        <v/>
      </c>
      <c r="BK1368" s="81">
        <f>$X1368</f>
        <v/>
      </c>
      <c r="BL1368" s="82">
        <f>($J1368-$J1369)*100</f>
        <v/>
      </c>
      <c r="BM1368" s="82">
        <f>($F1368-$F1369)*100</f>
        <v/>
      </c>
      <c r="BN1368" s="82">
        <f>$AF1368-$AF1369</f>
        <v/>
      </c>
      <c r="BO1368" s="82">
        <f>$AG1368-$AG1369</f>
        <v/>
      </c>
      <c r="BP1368" s="82">
        <f>$AJ1368-$AJ1369</f>
        <v/>
      </c>
    </row>
    <row r="1369">
      <c r="AR1369" s="81">
        <f>($G1369+($H1369-$G1369)*0.5)+($P1369-($O1369+($Q1369-$O1369)*0.5))</f>
        <v/>
      </c>
      <c r="AS1369" s="81">
        <f>($J1369+($K1369-$J1369)*0.5)+($T1369-($S1369+($U1369-$S1369)*0.5))</f>
        <v/>
      </c>
      <c r="AT1369" s="82">
        <f>($J1369-$C1369)*100</f>
        <v/>
      </c>
      <c r="AU1369" s="82">
        <f>($H1369-$F1369)*100</f>
        <v/>
      </c>
      <c r="AV1369" s="82">
        <f>($J1369-$F1369)*100</f>
        <v/>
      </c>
      <c r="AW1369" s="82">
        <f>($L1369-$F1369)*100</f>
        <v/>
      </c>
      <c r="AX1369" s="82">
        <f>($J1369-$H1369)*100</f>
        <v/>
      </c>
      <c r="AY1369" s="82">
        <f>($L1369-$H1369)*100</f>
        <v/>
      </c>
      <c r="AZ1369" s="82">
        <f>($L1369-$J1369)*100</f>
        <v/>
      </c>
      <c r="BA1369" s="82">
        <f>(2*$H1369-$F1369-$J1369)*100</f>
        <v/>
      </c>
      <c r="BB1369" s="82">
        <f>(2*$J1369-$H1369-$L1369)*100</f>
        <v/>
      </c>
      <c r="BC1369" s="82">
        <f>($N1369-$F1369)*100</f>
        <v/>
      </c>
      <c r="BD1369" s="82">
        <f>($Q1369-$H1369)*100</f>
        <v/>
      </c>
      <c r="BE1369" s="82">
        <f>($S1369-$J1369)*100</f>
        <v/>
      </c>
      <c r="BF1369" s="82">
        <f>($V1369-$L1369)*100</f>
        <v/>
      </c>
      <c r="BG1369" s="82">
        <f>$AG1369-$AF1369</f>
        <v/>
      </c>
      <c r="BH1369" s="81">
        <f>IFERROR($AG1369/$AF1369,"")</f>
        <v/>
      </c>
      <c r="BI1369" s="82">
        <f>$AJ1369-$AF1369</f>
        <v/>
      </c>
      <c r="BJ1369" s="81">
        <f>IFERROR($AJ1369/$AG1369,"")</f>
        <v/>
      </c>
      <c r="BK1369" s="81">
        <f>$X1369</f>
        <v/>
      </c>
      <c r="BL1369" s="82">
        <f>($J1369-$J1370)*100</f>
        <v/>
      </c>
      <c r="BM1369" s="82">
        <f>($F1369-$F1370)*100</f>
        <v/>
      </c>
      <c r="BN1369" s="82">
        <f>$AF1369-$AF1370</f>
        <v/>
      </c>
      <c r="BO1369" s="82">
        <f>$AG1369-$AG1370</f>
        <v/>
      </c>
      <c r="BP1369" s="82">
        <f>$AJ1369-$AJ1370</f>
        <v/>
      </c>
    </row>
    <row r="1370">
      <c r="AR1370" s="81">
        <f>($G1370+($H1370-$G1370)*0.5)+($P1370-($O1370+($Q1370-$O1370)*0.5))</f>
        <v/>
      </c>
      <c r="AS1370" s="81">
        <f>($J1370+($K1370-$J1370)*0.5)+($T1370-($S1370+($U1370-$S1370)*0.5))</f>
        <v/>
      </c>
      <c r="AT1370" s="82">
        <f>($J1370-$C1370)*100</f>
        <v/>
      </c>
      <c r="AU1370" s="82">
        <f>($H1370-$F1370)*100</f>
        <v/>
      </c>
      <c r="AV1370" s="82">
        <f>($J1370-$F1370)*100</f>
        <v/>
      </c>
      <c r="AW1370" s="82">
        <f>($L1370-$F1370)*100</f>
        <v/>
      </c>
      <c r="AX1370" s="82">
        <f>($J1370-$H1370)*100</f>
        <v/>
      </c>
      <c r="AY1370" s="82">
        <f>($L1370-$H1370)*100</f>
        <v/>
      </c>
      <c r="AZ1370" s="82">
        <f>($L1370-$J1370)*100</f>
        <v/>
      </c>
      <c r="BA1370" s="82">
        <f>(2*$H1370-$F1370-$J1370)*100</f>
        <v/>
      </c>
      <c r="BB1370" s="82">
        <f>(2*$J1370-$H1370-$L1370)*100</f>
        <v/>
      </c>
      <c r="BC1370" s="82">
        <f>($N1370-$F1370)*100</f>
        <v/>
      </c>
      <c r="BD1370" s="82">
        <f>($Q1370-$H1370)*100</f>
        <v/>
      </c>
      <c r="BE1370" s="82">
        <f>($S1370-$J1370)*100</f>
        <v/>
      </c>
      <c r="BF1370" s="82">
        <f>($V1370-$L1370)*100</f>
        <v/>
      </c>
      <c r="BG1370" s="82">
        <f>$AG1370-$AF1370</f>
        <v/>
      </c>
      <c r="BH1370" s="81">
        <f>IFERROR($AG1370/$AF1370,"")</f>
        <v/>
      </c>
      <c r="BI1370" s="82">
        <f>$AJ1370-$AF1370</f>
        <v/>
      </c>
      <c r="BJ1370" s="81">
        <f>IFERROR($AJ1370/$AG1370,"")</f>
        <v/>
      </c>
      <c r="BK1370" s="81">
        <f>$X1370</f>
        <v/>
      </c>
      <c r="BL1370" s="82">
        <f>($J1370-$J1371)*100</f>
        <v/>
      </c>
      <c r="BM1370" s="82">
        <f>($F1370-$F1371)*100</f>
        <v/>
      </c>
      <c r="BN1370" s="82">
        <f>$AF1370-$AF1371</f>
        <v/>
      </c>
      <c r="BO1370" s="82">
        <f>$AG1370-$AG1371</f>
        <v/>
      </c>
      <c r="BP1370" s="82">
        <f>$AJ1370-$AJ1371</f>
        <v/>
      </c>
    </row>
    <row r="1371">
      <c r="AR1371" s="81">
        <f>($G1371+($H1371-$G1371)*0.5)+($P1371-($O1371+($Q1371-$O1371)*0.5))</f>
        <v/>
      </c>
      <c r="AS1371" s="81">
        <f>($J1371+($K1371-$J1371)*0.5)+($T1371-($S1371+($U1371-$S1371)*0.5))</f>
        <v/>
      </c>
      <c r="AT1371" s="82">
        <f>($J1371-$C1371)*100</f>
        <v/>
      </c>
      <c r="AU1371" s="82">
        <f>($H1371-$F1371)*100</f>
        <v/>
      </c>
      <c r="AV1371" s="82">
        <f>($J1371-$F1371)*100</f>
        <v/>
      </c>
      <c r="AW1371" s="82">
        <f>($L1371-$F1371)*100</f>
        <v/>
      </c>
      <c r="AX1371" s="82">
        <f>($J1371-$H1371)*100</f>
        <v/>
      </c>
      <c r="AY1371" s="82">
        <f>($L1371-$H1371)*100</f>
        <v/>
      </c>
      <c r="AZ1371" s="82">
        <f>($L1371-$J1371)*100</f>
        <v/>
      </c>
      <c r="BA1371" s="82">
        <f>(2*$H1371-$F1371-$J1371)*100</f>
        <v/>
      </c>
      <c r="BB1371" s="82">
        <f>(2*$J1371-$H1371-$L1371)*100</f>
        <v/>
      </c>
      <c r="BC1371" s="82">
        <f>($N1371-$F1371)*100</f>
        <v/>
      </c>
      <c r="BD1371" s="82">
        <f>($Q1371-$H1371)*100</f>
        <v/>
      </c>
      <c r="BE1371" s="82">
        <f>($S1371-$J1371)*100</f>
        <v/>
      </c>
      <c r="BF1371" s="82">
        <f>($V1371-$L1371)*100</f>
        <v/>
      </c>
      <c r="BG1371" s="82">
        <f>$AG1371-$AF1371</f>
        <v/>
      </c>
      <c r="BH1371" s="81">
        <f>IFERROR($AG1371/$AF1371,"")</f>
        <v/>
      </c>
      <c r="BI1371" s="82">
        <f>$AJ1371-$AF1371</f>
        <v/>
      </c>
      <c r="BJ1371" s="81">
        <f>IFERROR($AJ1371/$AG1371,"")</f>
        <v/>
      </c>
      <c r="BK1371" s="81">
        <f>$X1371</f>
        <v/>
      </c>
      <c r="BL1371" s="82">
        <f>($J1371-$J1372)*100</f>
        <v/>
      </c>
      <c r="BM1371" s="82">
        <f>($F1371-$F1372)*100</f>
        <v/>
      </c>
      <c r="BN1371" s="82">
        <f>$AF1371-$AF1372</f>
        <v/>
      </c>
      <c r="BO1371" s="82">
        <f>$AG1371-$AG1372</f>
        <v/>
      </c>
      <c r="BP1371" s="82">
        <f>$AJ1371-$AJ1372</f>
        <v/>
      </c>
    </row>
    <row r="1372">
      <c r="AR1372" s="81">
        <f>($G1372+($H1372-$G1372)*0.5)+($P1372-($O1372+($Q1372-$O1372)*0.5))</f>
        <v/>
      </c>
      <c r="AS1372" s="81">
        <f>($J1372+($K1372-$J1372)*0.5)+($T1372-($S1372+($U1372-$S1372)*0.5))</f>
        <v/>
      </c>
      <c r="AT1372" s="82">
        <f>($J1372-$C1372)*100</f>
        <v/>
      </c>
      <c r="AU1372" s="82">
        <f>($H1372-$F1372)*100</f>
        <v/>
      </c>
      <c r="AV1372" s="82">
        <f>($J1372-$F1372)*100</f>
        <v/>
      </c>
      <c r="AW1372" s="82">
        <f>($L1372-$F1372)*100</f>
        <v/>
      </c>
      <c r="AX1372" s="82">
        <f>($J1372-$H1372)*100</f>
        <v/>
      </c>
      <c r="AY1372" s="82">
        <f>($L1372-$H1372)*100</f>
        <v/>
      </c>
      <c r="AZ1372" s="82">
        <f>($L1372-$J1372)*100</f>
        <v/>
      </c>
      <c r="BA1372" s="82">
        <f>(2*$H1372-$F1372-$J1372)*100</f>
        <v/>
      </c>
      <c r="BB1372" s="82">
        <f>(2*$J1372-$H1372-$L1372)*100</f>
        <v/>
      </c>
      <c r="BC1372" s="82">
        <f>($N1372-$F1372)*100</f>
        <v/>
      </c>
      <c r="BD1372" s="82">
        <f>($Q1372-$H1372)*100</f>
        <v/>
      </c>
      <c r="BE1372" s="82">
        <f>($S1372-$J1372)*100</f>
        <v/>
      </c>
      <c r="BF1372" s="82">
        <f>($V1372-$L1372)*100</f>
        <v/>
      </c>
      <c r="BG1372" s="82">
        <f>$AG1372-$AF1372</f>
        <v/>
      </c>
      <c r="BH1372" s="81">
        <f>IFERROR($AG1372/$AF1372,"")</f>
        <v/>
      </c>
      <c r="BI1372" s="82">
        <f>$AJ1372-$AF1372</f>
        <v/>
      </c>
      <c r="BJ1372" s="81">
        <f>IFERROR($AJ1372/$AG1372,"")</f>
        <v/>
      </c>
      <c r="BK1372" s="81">
        <f>$X1372</f>
        <v/>
      </c>
      <c r="BL1372" s="82">
        <f>($J1372-$J1373)*100</f>
        <v/>
      </c>
      <c r="BM1372" s="82">
        <f>($F1372-$F1373)*100</f>
        <v/>
      </c>
      <c r="BN1372" s="82">
        <f>$AF1372-$AF1373</f>
        <v/>
      </c>
      <c r="BO1372" s="82">
        <f>$AG1372-$AG1373</f>
        <v/>
      </c>
      <c r="BP1372" s="82">
        <f>$AJ1372-$AJ1373</f>
        <v/>
      </c>
    </row>
    <row r="1373">
      <c r="AR1373" s="81">
        <f>($G1373+($H1373-$G1373)*0.5)+($P1373-($O1373+($Q1373-$O1373)*0.5))</f>
        <v/>
      </c>
      <c r="AS1373" s="81">
        <f>($J1373+($K1373-$J1373)*0.5)+($T1373-($S1373+($U1373-$S1373)*0.5))</f>
        <v/>
      </c>
      <c r="AT1373" s="82">
        <f>($J1373-$C1373)*100</f>
        <v/>
      </c>
      <c r="AU1373" s="82">
        <f>($H1373-$F1373)*100</f>
        <v/>
      </c>
      <c r="AV1373" s="82">
        <f>($J1373-$F1373)*100</f>
        <v/>
      </c>
      <c r="AW1373" s="82">
        <f>($L1373-$F1373)*100</f>
        <v/>
      </c>
      <c r="AX1373" s="82">
        <f>($J1373-$H1373)*100</f>
        <v/>
      </c>
      <c r="AY1373" s="82">
        <f>($L1373-$H1373)*100</f>
        <v/>
      </c>
      <c r="AZ1373" s="82">
        <f>($L1373-$J1373)*100</f>
        <v/>
      </c>
      <c r="BA1373" s="82">
        <f>(2*$H1373-$F1373-$J1373)*100</f>
        <v/>
      </c>
      <c r="BB1373" s="82">
        <f>(2*$J1373-$H1373-$L1373)*100</f>
        <v/>
      </c>
      <c r="BC1373" s="82">
        <f>($N1373-$F1373)*100</f>
        <v/>
      </c>
      <c r="BD1373" s="82">
        <f>($Q1373-$H1373)*100</f>
        <v/>
      </c>
      <c r="BE1373" s="82">
        <f>($S1373-$J1373)*100</f>
        <v/>
      </c>
      <c r="BF1373" s="82">
        <f>($V1373-$L1373)*100</f>
        <v/>
      </c>
      <c r="BG1373" s="82">
        <f>$AG1373-$AF1373</f>
        <v/>
      </c>
      <c r="BH1373" s="81">
        <f>IFERROR($AG1373/$AF1373,"")</f>
        <v/>
      </c>
      <c r="BI1373" s="82">
        <f>$AJ1373-$AF1373</f>
        <v/>
      </c>
      <c r="BJ1373" s="81">
        <f>IFERROR($AJ1373/$AG1373,"")</f>
        <v/>
      </c>
      <c r="BK1373" s="81">
        <f>$X1373</f>
        <v/>
      </c>
      <c r="BL1373" s="82">
        <f>($J1373-$J1374)*100</f>
        <v/>
      </c>
      <c r="BM1373" s="82">
        <f>($F1373-$F1374)*100</f>
        <v/>
      </c>
      <c r="BN1373" s="82">
        <f>$AF1373-$AF1374</f>
        <v/>
      </c>
      <c r="BO1373" s="82">
        <f>$AG1373-$AG1374</f>
        <v/>
      </c>
      <c r="BP1373" s="82">
        <f>$AJ1373-$AJ1374</f>
        <v/>
      </c>
    </row>
    <row r="1374">
      <c r="AR1374" s="81">
        <f>($G1374+($H1374-$G1374)*0.5)+($P1374-($O1374+($Q1374-$O1374)*0.5))</f>
        <v/>
      </c>
      <c r="AS1374" s="81">
        <f>($J1374+($K1374-$J1374)*0.5)+($T1374-($S1374+($U1374-$S1374)*0.5))</f>
        <v/>
      </c>
      <c r="AT1374" s="82">
        <f>($J1374-$C1374)*100</f>
        <v/>
      </c>
      <c r="AU1374" s="82">
        <f>($H1374-$F1374)*100</f>
        <v/>
      </c>
      <c r="AV1374" s="82">
        <f>($J1374-$F1374)*100</f>
        <v/>
      </c>
      <c r="AW1374" s="82">
        <f>($L1374-$F1374)*100</f>
        <v/>
      </c>
      <c r="AX1374" s="82">
        <f>($J1374-$H1374)*100</f>
        <v/>
      </c>
      <c r="AY1374" s="82">
        <f>($L1374-$H1374)*100</f>
        <v/>
      </c>
      <c r="AZ1374" s="82">
        <f>($L1374-$J1374)*100</f>
        <v/>
      </c>
      <c r="BA1374" s="82">
        <f>(2*$H1374-$F1374-$J1374)*100</f>
        <v/>
      </c>
      <c r="BB1374" s="82">
        <f>(2*$J1374-$H1374-$L1374)*100</f>
        <v/>
      </c>
      <c r="BC1374" s="82">
        <f>($N1374-$F1374)*100</f>
        <v/>
      </c>
      <c r="BD1374" s="82">
        <f>($Q1374-$H1374)*100</f>
        <v/>
      </c>
      <c r="BE1374" s="82">
        <f>($S1374-$J1374)*100</f>
        <v/>
      </c>
      <c r="BF1374" s="82">
        <f>($V1374-$L1374)*100</f>
        <v/>
      </c>
      <c r="BG1374" s="82">
        <f>$AG1374-$AF1374</f>
        <v/>
      </c>
      <c r="BH1374" s="81">
        <f>IFERROR($AG1374/$AF1374,"")</f>
        <v/>
      </c>
      <c r="BI1374" s="82">
        <f>$AJ1374-$AF1374</f>
        <v/>
      </c>
      <c r="BJ1374" s="81">
        <f>IFERROR($AJ1374/$AG1374,"")</f>
        <v/>
      </c>
      <c r="BK1374" s="81">
        <f>$X1374</f>
        <v/>
      </c>
      <c r="BL1374" s="82">
        <f>($J1374-$J1375)*100</f>
        <v/>
      </c>
      <c r="BM1374" s="82">
        <f>($F1374-$F1375)*100</f>
        <v/>
      </c>
      <c r="BN1374" s="82">
        <f>$AF1374-$AF1375</f>
        <v/>
      </c>
      <c r="BO1374" s="82">
        <f>$AG1374-$AG1375</f>
        <v/>
      </c>
      <c r="BP1374" s="82">
        <f>$AJ1374-$AJ1375</f>
        <v/>
      </c>
    </row>
    <row r="1375">
      <c r="AR1375" s="81">
        <f>($G1375+($H1375-$G1375)*0.5)+($P1375-($O1375+($Q1375-$O1375)*0.5))</f>
        <v/>
      </c>
      <c r="AS1375" s="81">
        <f>($J1375+($K1375-$J1375)*0.5)+($T1375-($S1375+($U1375-$S1375)*0.5))</f>
        <v/>
      </c>
      <c r="AT1375" s="82">
        <f>($J1375-$C1375)*100</f>
        <v/>
      </c>
      <c r="AU1375" s="82">
        <f>($H1375-$F1375)*100</f>
        <v/>
      </c>
      <c r="AV1375" s="82">
        <f>($J1375-$F1375)*100</f>
        <v/>
      </c>
      <c r="AW1375" s="82">
        <f>($L1375-$F1375)*100</f>
        <v/>
      </c>
      <c r="AX1375" s="82">
        <f>($J1375-$H1375)*100</f>
        <v/>
      </c>
      <c r="AY1375" s="82">
        <f>($L1375-$H1375)*100</f>
        <v/>
      </c>
      <c r="AZ1375" s="82">
        <f>($L1375-$J1375)*100</f>
        <v/>
      </c>
      <c r="BA1375" s="82">
        <f>(2*$H1375-$F1375-$J1375)*100</f>
        <v/>
      </c>
      <c r="BB1375" s="82">
        <f>(2*$J1375-$H1375-$L1375)*100</f>
        <v/>
      </c>
      <c r="BC1375" s="82">
        <f>($N1375-$F1375)*100</f>
        <v/>
      </c>
      <c r="BD1375" s="82">
        <f>($Q1375-$H1375)*100</f>
        <v/>
      </c>
      <c r="BE1375" s="82">
        <f>($S1375-$J1375)*100</f>
        <v/>
      </c>
      <c r="BF1375" s="82">
        <f>($V1375-$L1375)*100</f>
        <v/>
      </c>
      <c r="BG1375" s="82">
        <f>$AG1375-$AF1375</f>
        <v/>
      </c>
      <c r="BH1375" s="81">
        <f>IFERROR($AG1375/$AF1375,"")</f>
        <v/>
      </c>
      <c r="BI1375" s="82">
        <f>$AJ1375-$AF1375</f>
        <v/>
      </c>
      <c r="BJ1375" s="81">
        <f>IFERROR($AJ1375/$AG1375,"")</f>
        <v/>
      </c>
      <c r="BK1375" s="81">
        <f>$X1375</f>
        <v/>
      </c>
      <c r="BL1375" s="82">
        <f>($J1375-$J1376)*100</f>
        <v/>
      </c>
      <c r="BM1375" s="82">
        <f>($F1375-$F1376)*100</f>
        <v/>
      </c>
      <c r="BN1375" s="82">
        <f>$AF1375-$AF1376</f>
        <v/>
      </c>
      <c r="BO1375" s="82">
        <f>$AG1375-$AG1376</f>
        <v/>
      </c>
      <c r="BP1375" s="82">
        <f>$AJ1375-$AJ1376</f>
        <v/>
      </c>
    </row>
    <row r="1376">
      <c r="AR1376" s="81">
        <f>($G1376+($H1376-$G1376)*0.5)+($P1376-($O1376+($Q1376-$O1376)*0.5))</f>
        <v/>
      </c>
      <c r="AS1376" s="81">
        <f>($J1376+($K1376-$J1376)*0.5)+($T1376-($S1376+($U1376-$S1376)*0.5))</f>
        <v/>
      </c>
      <c r="AT1376" s="82">
        <f>($J1376-$C1376)*100</f>
        <v/>
      </c>
      <c r="AU1376" s="82">
        <f>($H1376-$F1376)*100</f>
        <v/>
      </c>
      <c r="AV1376" s="82">
        <f>($J1376-$F1376)*100</f>
        <v/>
      </c>
      <c r="AW1376" s="82">
        <f>($L1376-$F1376)*100</f>
        <v/>
      </c>
      <c r="AX1376" s="82">
        <f>($J1376-$H1376)*100</f>
        <v/>
      </c>
      <c r="AY1376" s="82">
        <f>($L1376-$H1376)*100</f>
        <v/>
      </c>
      <c r="AZ1376" s="82">
        <f>($L1376-$J1376)*100</f>
        <v/>
      </c>
      <c r="BA1376" s="82">
        <f>(2*$H1376-$F1376-$J1376)*100</f>
        <v/>
      </c>
      <c r="BB1376" s="82">
        <f>(2*$J1376-$H1376-$L1376)*100</f>
        <v/>
      </c>
      <c r="BC1376" s="82">
        <f>($N1376-$F1376)*100</f>
        <v/>
      </c>
      <c r="BD1376" s="82">
        <f>($Q1376-$H1376)*100</f>
        <v/>
      </c>
      <c r="BE1376" s="82">
        <f>($S1376-$J1376)*100</f>
        <v/>
      </c>
      <c r="BF1376" s="82">
        <f>($V1376-$L1376)*100</f>
        <v/>
      </c>
      <c r="BG1376" s="82">
        <f>$AG1376-$AF1376</f>
        <v/>
      </c>
      <c r="BH1376" s="81">
        <f>IFERROR($AG1376/$AF1376,"")</f>
        <v/>
      </c>
      <c r="BI1376" s="82">
        <f>$AJ1376-$AF1376</f>
        <v/>
      </c>
      <c r="BJ1376" s="81">
        <f>IFERROR($AJ1376/$AG1376,"")</f>
        <v/>
      </c>
      <c r="BK1376" s="81">
        <f>$X1376</f>
        <v/>
      </c>
      <c r="BL1376" s="82">
        <f>($J1376-$J1377)*100</f>
        <v/>
      </c>
      <c r="BM1376" s="82">
        <f>($F1376-$F1377)*100</f>
        <v/>
      </c>
      <c r="BN1376" s="82">
        <f>$AF1376-$AF1377</f>
        <v/>
      </c>
      <c r="BO1376" s="82">
        <f>$AG1376-$AG1377</f>
        <v/>
      </c>
      <c r="BP1376" s="82">
        <f>$AJ1376-$AJ1377</f>
        <v/>
      </c>
    </row>
    <row r="1377">
      <c r="AR1377" s="81">
        <f>($G1377+($H1377-$G1377)*0.5)+($P1377-($O1377+($Q1377-$O1377)*0.5))</f>
        <v/>
      </c>
      <c r="AS1377" s="81">
        <f>($J1377+($K1377-$J1377)*0.5)+($T1377-($S1377+($U1377-$S1377)*0.5))</f>
        <v/>
      </c>
      <c r="AT1377" s="82">
        <f>($J1377-$C1377)*100</f>
        <v/>
      </c>
      <c r="AU1377" s="82">
        <f>($H1377-$F1377)*100</f>
        <v/>
      </c>
      <c r="AV1377" s="82">
        <f>($J1377-$F1377)*100</f>
        <v/>
      </c>
      <c r="AW1377" s="82">
        <f>($L1377-$F1377)*100</f>
        <v/>
      </c>
      <c r="AX1377" s="82">
        <f>($J1377-$H1377)*100</f>
        <v/>
      </c>
      <c r="AY1377" s="82">
        <f>($L1377-$H1377)*100</f>
        <v/>
      </c>
      <c r="AZ1377" s="82">
        <f>($L1377-$J1377)*100</f>
        <v/>
      </c>
      <c r="BA1377" s="82">
        <f>(2*$H1377-$F1377-$J1377)*100</f>
        <v/>
      </c>
      <c r="BB1377" s="82">
        <f>(2*$J1377-$H1377-$L1377)*100</f>
        <v/>
      </c>
      <c r="BC1377" s="82">
        <f>($N1377-$F1377)*100</f>
        <v/>
      </c>
      <c r="BD1377" s="82">
        <f>($Q1377-$H1377)*100</f>
        <v/>
      </c>
      <c r="BE1377" s="82">
        <f>($S1377-$J1377)*100</f>
        <v/>
      </c>
      <c r="BF1377" s="82">
        <f>($V1377-$L1377)*100</f>
        <v/>
      </c>
      <c r="BG1377" s="82">
        <f>$AG1377-$AF1377</f>
        <v/>
      </c>
      <c r="BH1377" s="81">
        <f>IFERROR($AG1377/$AF1377,"")</f>
        <v/>
      </c>
      <c r="BI1377" s="82">
        <f>$AJ1377-$AF1377</f>
        <v/>
      </c>
      <c r="BJ1377" s="81">
        <f>IFERROR($AJ1377/$AG1377,"")</f>
        <v/>
      </c>
      <c r="BK1377" s="81">
        <f>$X1377</f>
        <v/>
      </c>
      <c r="BL1377" s="82">
        <f>($J1377-$J1378)*100</f>
        <v/>
      </c>
      <c r="BM1377" s="82">
        <f>($F1377-$F1378)*100</f>
        <v/>
      </c>
      <c r="BN1377" s="82">
        <f>$AF1377-$AF1378</f>
        <v/>
      </c>
      <c r="BO1377" s="82">
        <f>$AG1377-$AG1378</f>
        <v/>
      </c>
      <c r="BP1377" s="82">
        <f>$AJ1377-$AJ1378</f>
        <v/>
      </c>
    </row>
    <row r="1378">
      <c r="AR1378" s="81">
        <f>($G1378+($H1378-$G1378)*0.5)+($P1378-($O1378+($Q1378-$O1378)*0.5))</f>
        <v/>
      </c>
      <c r="AS1378" s="81">
        <f>($J1378+($K1378-$J1378)*0.5)+($T1378-($S1378+($U1378-$S1378)*0.5))</f>
        <v/>
      </c>
      <c r="AT1378" s="82">
        <f>($J1378-$C1378)*100</f>
        <v/>
      </c>
      <c r="AU1378" s="82">
        <f>($H1378-$F1378)*100</f>
        <v/>
      </c>
      <c r="AV1378" s="82">
        <f>($J1378-$F1378)*100</f>
        <v/>
      </c>
      <c r="AW1378" s="82">
        <f>($L1378-$F1378)*100</f>
        <v/>
      </c>
      <c r="AX1378" s="82">
        <f>($J1378-$H1378)*100</f>
        <v/>
      </c>
      <c r="AY1378" s="82">
        <f>($L1378-$H1378)*100</f>
        <v/>
      </c>
      <c r="AZ1378" s="82">
        <f>($L1378-$J1378)*100</f>
        <v/>
      </c>
      <c r="BA1378" s="82">
        <f>(2*$H1378-$F1378-$J1378)*100</f>
        <v/>
      </c>
      <c r="BB1378" s="82">
        <f>(2*$J1378-$H1378-$L1378)*100</f>
        <v/>
      </c>
      <c r="BC1378" s="82">
        <f>($N1378-$F1378)*100</f>
        <v/>
      </c>
      <c r="BD1378" s="82">
        <f>($Q1378-$H1378)*100</f>
        <v/>
      </c>
      <c r="BE1378" s="82">
        <f>($S1378-$J1378)*100</f>
        <v/>
      </c>
      <c r="BF1378" s="82">
        <f>($V1378-$L1378)*100</f>
        <v/>
      </c>
      <c r="BG1378" s="82">
        <f>$AG1378-$AF1378</f>
        <v/>
      </c>
      <c r="BH1378" s="81">
        <f>IFERROR($AG1378/$AF1378,"")</f>
        <v/>
      </c>
      <c r="BI1378" s="82">
        <f>$AJ1378-$AF1378</f>
        <v/>
      </c>
      <c r="BJ1378" s="81">
        <f>IFERROR($AJ1378/$AG1378,"")</f>
        <v/>
      </c>
      <c r="BK1378" s="81">
        <f>$X1378</f>
        <v/>
      </c>
      <c r="BL1378" s="82">
        <f>($J1378-$J1379)*100</f>
        <v/>
      </c>
      <c r="BM1378" s="82">
        <f>($F1378-$F1379)*100</f>
        <v/>
      </c>
      <c r="BN1378" s="82">
        <f>$AF1378-$AF1379</f>
        <v/>
      </c>
      <c r="BO1378" s="82">
        <f>$AG1378-$AG1379</f>
        <v/>
      </c>
      <c r="BP1378" s="82">
        <f>$AJ1378-$AJ1379</f>
        <v/>
      </c>
    </row>
    <row r="1379">
      <c r="AR1379" s="81">
        <f>($G1379+($H1379-$G1379)*0.5)+($P1379-($O1379+($Q1379-$O1379)*0.5))</f>
        <v/>
      </c>
      <c r="AS1379" s="81">
        <f>($J1379+($K1379-$J1379)*0.5)+($T1379-($S1379+($U1379-$S1379)*0.5))</f>
        <v/>
      </c>
      <c r="AT1379" s="82">
        <f>($J1379-$C1379)*100</f>
        <v/>
      </c>
      <c r="AU1379" s="82">
        <f>($H1379-$F1379)*100</f>
        <v/>
      </c>
      <c r="AV1379" s="82">
        <f>($J1379-$F1379)*100</f>
        <v/>
      </c>
      <c r="AW1379" s="82">
        <f>($L1379-$F1379)*100</f>
        <v/>
      </c>
      <c r="AX1379" s="82">
        <f>($J1379-$H1379)*100</f>
        <v/>
      </c>
      <c r="AY1379" s="82">
        <f>($L1379-$H1379)*100</f>
        <v/>
      </c>
      <c r="AZ1379" s="82">
        <f>($L1379-$J1379)*100</f>
        <v/>
      </c>
      <c r="BA1379" s="82">
        <f>(2*$H1379-$F1379-$J1379)*100</f>
        <v/>
      </c>
      <c r="BB1379" s="82">
        <f>(2*$J1379-$H1379-$L1379)*100</f>
        <v/>
      </c>
      <c r="BC1379" s="82">
        <f>($N1379-$F1379)*100</f>
        <v/>
      </c>
      <c r="BD1379" s="82">
        <f>($Q1379-$H1379)*100</f>
        <v/>
      </c>
      <c r="BE1379" s="82">
        <f>($S1379-$J1379)*100</f>
        <v/>
      </c>
      <c r="BF1379" s="82">
        <f>($V1379-$L1379)*100</f>
        <v/>
      </c>
      <c r="BG1379" s="82">
        <f>$AG1379-$AF1379</f>
        <v/>
      </c>
      <c r="BH1379" s="81">
        <f>IFERROR($AG1379/$AF1379,"")</f>
        <v/>
      </c>
      <c r="BI1379" s="82">
        <f>$AJ1379-$AF1379</f>
        <v/>
      </c>
      <c r="BJ1379" s="81">
        <f>IFERROR($AJ1379/$AG1379,"")</f>
        <v/>
      </c>
      <c r="BK1379" s="81">
        <f>$X1379</f>
        <v/>
      </c>
      <c r="BL1379" s="82">
        <f>($J1379-$J1380)*100</f>
        <v/>
      </c>
      <c r="BM1379" s="82">
        <f>($F1379-$F1380)*100</f>
        <v/>
      </c>
      <c r="BN1379" s="82">
        <f>$AF1379-$AF1380</f>
        <v/>
      </c>
      <c r="BO1379" s="82">
        <f>$AG1379-$AG1380</f>
        <v/>
      </c>
      <c r="BP1379" s="82">
        <f>$AJ1379-$AJ1380</f>
        <v/>
      </c>
    </row>
    <row r="1380">
      <c r="AR1380" s="81">
        <f>($G1380+($H1380-$G1380)*0.5)+($P1380-($O1380+($Q1380-$O1380)*0.5))</f>
        <v/>
      </c>
      <c r="AS1380" s="81">
        <f>($J1380+($K1380-$J1380)*0.5)+($T1380-($S1380+($U1380-$S1380)*0.5))</f>
        <v/>
      </c>
      <c r="AT1380" s="82">
        <f>($J1380-$C1380)*100</f>
        <v/>
      </c>
      <c r="AU1380" s="82">
        <f>($H1380-$F1380)*100</f>
        <v/>
      </c>
      <c r="AV1380" s="82">
        <f>($J1380-$F1380)*100</f>
        <v/>
      </c>
      <c r="AW1380" s="82">
        <f>($L1380-$F1380)*100</f>
        <v/>
      </c>
      <c r="AX1380" s="82">
        <f>($J1380-$H1380)*100</f>
        <v/>
      </c>
      <c r="AY1380" s="82">
        <f>($L1380-$H1380)*100</f>
        <v/>
      </c>
      <c r="AZ1380" s="82">
        <f>($L1380-$J1380)*100</f>
        <v/>
      </c>
      <c r="BA1380" s="82">
        <f>(2*$H1380-$F1380-$J1380)*100</f>
        <v/>
      </c>
      <c r="BB1380" s="82">
        <f>(2*$J1380-$H1380-$L1380)*100</f>
        <v/>
      </c>
      <c r="BC1380" s="82">
        <f>($N1380-$F1380)*100</f>
        <v/>
      </c>
      <c r="BD1380" s="82">
        <f>($Q1380-$H1380)*100</f>
        <v/>
      </c>
      <c r="BE1380" s="82">
        <f>($S1380-$J1380)*100</f>
        <v/>
      </c>
      <c r="BF1380" s="82">
        <f>($V1380-$L1380)*100</f>
        <v/>
      </c>
      <c r="BG1380" s="82">
        <f>$AG1380-$AF1380</f>
        <v/>
      </c>
      <c r="BH1380" s="81">
        <f>IFERROR($AG1380/$AF1380,"")</f>
        <v/>
      </c>
      <c r="BI1380" s="82">
        <f>$AJ1380-$AF1380</f>
        <v/>
      </c>
      <c r="BJ1380" s="81">
        <f>IFERROR($AJ1380/$AG1380,"")</f>
        <v/>
      </c>
      <c r="BK1380" s="81">
        <f>$X1380</f>
        <v/>
      </c>
      <c r="BL1380" s="82">
        <f>($J1380-$J1381)*100</f>
        <v/>
      </c>
      <c r="BM1380" s="82">
        <f>($F1380-$F1381)*100</f>
        <v/>
      </c>
      <c r="BN1380" s="82">
        <f>$AF1380-$AF1381</f>
        <v/>
      </c>
      <c r="BO1380" s="82">
        <f>$AG1380-$AG1381</f>
        <v/>
      </c>
      <c r="BP1380" s="82">
        <f>$AJ1380-$AJ1381</f>
        <v/>
      </c>
    </row>
    <row r="1381">
      <c r="AR1381" s="81">
        <f>($G1381+($H1381-$G1381)*0.5)+($P1381-($O1381+($Q1381-$O1381)*0.5))</f>
        <v/>
      </c>
      <c r="AS1381" s="81">
        <f>($J1381+($K1381-$J1381)*0.5)+($T1381-($S1381+($U1381-$S1381)*0.5))</f>
        <v/>
      </c>
      <c r="AT1381" s="82">
        <f>($J1381-$C1381)*100</f>
        <v/>
      </c>
      <c r="AU1381" s="82">
        <f>($H1381-$F1381)*100</f>
        <v/>
      </c>
      <c r="AV1381" s="82">
        <f>($J1381-$F1381)*100</f>
        <v/>
      </c>
      <c r="AW1381" s="82">
        <f>($L1381-$F1381)*100</f>
        <v/>
      </c>
      <c r="AX1381" s="82">
        <f>($J1381-$H1381)*100</f>
        <v/>
      </c>
      <c r="AY1381" s="82">
        <f>($L1381-$H1381)*100</f>
        <v/>
      </c>
      <c r="AZ1381" s="82">
        <f>($L1381-$J1381)*100</f>
        <v/>
      </c>
      <c r="BA1381" s="82">
        <f>(2*$H1381-$F1381-$J1381)*100</f>
        <v/>
      </c>
      <c r="BB1381" s="82">
        <f>(2*$J1381-$H1381-$L1381)*100</f>
        <v/>
      </c>
      <c r="BC1381" s="82">
        <f>($N1381-$F1381)*100</f>
        <v/>
      </c>
      <c r="BD1381" s="82">
        <f>($Q1381-$H1381)*100</f>
        <v/>
      </c>
      <c r="BE1381" s="82">
        <f>($S1381-$J1381)*100</f>
        <v/>
      </c>
      <c r="BF1381" s="82">
        <f>($V1381-$L1381)*100</f>
        <v/>
      </c>
      <c r="BG1381" s="82">
        <f>$AG1381-$AF1381</f>
        <v/>
      </c>
      <c r="BH1381" s="81">
        <f>IFERROR($AG1381/$AF1381,"")</f>
        <v/>
      </c>
      <c r="BI1381" s="82">
        <f>$AJ1381-$AF1381</f>
        <v/>
      </c>
      <c r="BJ1381" s="81">
        <f>IFERROR($AJ1381/$AG1381,"")</f>
        <v/>
      </c>
      <c r="BK1381" s="81">
        <f>$X1381</f>
        <v/>
      </c>
      <c r="BL1381" s="82">
        <f>($J1381-$J1382)*100</f>
        <v/>
      </c>
      <c r="BM1381" s="82">
        <f>($F1381-$F1382)*100</f>
        <v/>
      </c>
      <c r="BN1381" s="82">
        <f>$AF1381-$AF1382</f>
        <v/>
      </c>
      <c r="BO1381" s="82">
        <f>$AG1381-$AG1382</f>
        <v/>
      </c>
      <c r="BP1381" s="82">
        <f>$AJ1381-$AJ1382</f>
        <v/>
      </c>
    </row>
    <row r="1382">
      <c r="AR1382" s="81">
        <f>($G1382+($H1382-$G1382)*0.5)+($P1382-($O1382+($Q1382-$O1382)*0.5))</f>
        <v/>
      </c>
      <c r="AS1382" s="81">
        <f>($J1382+($K1382-$J1382)*0.5)+($T1382-($S1382+($U1382-$S1382)*0.5))</f>
        <v/>
      </c>
      <c r="AT1382" s="82">
        <f>($J1382-$C1382)*100</f>
        <v/>
      </c>
      <c r="AU1382" s="82">
        <f>($H1382-$F1382)*100</f>
        <v/>
      </c>
      <c r="AV1382" s="82">
        <f>($J1382-$F1382)*100</f>
        <v/>
      </c>
      <c r="AW1382" s="82">
        <f>($L1382-$F1382)*100</f>
        <v/>
      </c>
      <c r="AX1382" s="82">
        <f>($J1382-$H1382)*100</f>
        <v/>
      </c>
      <c r="AY1382" s="82">
        <f>($L1382-$H1382)*100</f>
        <v/>
      </c>
      <c r="AZ1382" s="82">
        <f>($L1382-$J1382)*100</f>
        <v/>
      </c>
      <c r="BA1382" s="82">
        <f>(2*$H1382-$F1382-$J1382)*100</f>
        <v/>
      </c>
      <c r="BB1382" s="82">
        <f>(2*$J1382-$H1382-$L1382)*100</f>
        <v/>
      </c>
      <c r="BC1382" s="82">
        <f>($N1382-$F1382)*100</f>
        <v/>
      </c>
      <c r="BD1382" s="82">
        <f>($Q1382-$H1382)*100</f>
        <v/>
      </c>
      <c r="BE1382" s="82">
        <f>($S1382-$J1382)*100</f>
        <v/>
      </c>
      <c r="BF1382" s="82">
        <f>($V1382-$L1382)*100</f>
        <v/>
      </c>
      <c r="BG1382" s="82">
        <f>$AG1382-$AF1382</f>
        <v/>
      </c>
      <c r="BH1382" s="81">
        <f>IFERROR($AG1382/$AF1382,"")</f>
        <v/>
      </c>
      <c r="BI1382" s="82">
        <f>$AJ1382-$AF1382</f>
        <v/>
      </c>
      <c r="BJ1382" s="81">
        <f>IFERROR($AJ1382/$AG1382,"")</f>
        <v/>
      </c>
      <c r="BK1382" s="81">
        <f>$X1382</f>
        <v/>
      </c>
      <c r="BL1382" s="82">
        <f>($J1382-$J1383)*100</f>
        <v/>
      </c>
      <c r="BM1382" s="82">
        <f>($F1382-$F1383)*100</f>
        <v/>
      </c>
      <c r="BN1382" s="82">
        <f>$AF1382-$AF1383</f>
        <v/>
      </c>
      <c r="BO1382" s="82">
        <f>$AG1382-$AG1383</f>
        <v/>
      </c>
      <c r="BP1382" s="82">
        <f>$AJ1382-$AJ1383</f>
        <v/>
      </c>
    </row>
    <row r="1383">
      <c r="AR1383" s="81">
        <f>($G1383+($H1383-$G1383)*0.5)+($P1383-($O1383+($Q1383-$O1383)*0.5))</f>
        <v/>
      </c>
      <c r="AS1383" s="81">
        <f>($J1383+($K1383-$J1383)*0.5)+($T1383-($S1383+($U1383-$S1383)*0.5))</f>
        <v/>
      </c>
      <c r="AT1383" s="82">
        <f>($J1383-$C1383)*100</f>
        <v/>
      </c>
      <c r="AU1383" s="82">
        <f>($H1383-$F1383)*100</f>
        <v/>
      </c>
      <c r="AV1383" s="82">
        <f>($J1383-$F1383)*100</f>
        <v/>
      </c>
      <c r="AW1383" s="82">
        <f>($L1383-$F1383)*100</f>
        <v/>
      </c>
      <c r="AX1383" s="82">
        <f>($J1383-$H1383)*100</f>
        <v/>
      </c>
      <c r="AY1383" s="82">
        <f>($L1383-$H1383)*100</f>
        <v/>
      </c>
      <c r="AZ1383" s="82">
        <f>($L1383-$J1383)*100</f>
        <v/>
      </c>
      <c r="BA1383" s="82">
        <f>(2*$H1383-$F1383-$J1383)*100</f>
        <v/>
      </c>
      <c r="BB1383" s="82">
        <f>(2*$J1383-$H1383-$L1383)*100</f>
        <v/>
      </c>
      <c r="BC1383" s="82">
        <f>($N1383-$F1383)*100</f>
        <v/>
      </c>
      <c r="BD1383" s="82">
        <f>($Q1383-$H1383)*100</f>
        <v/>
      </c>
      <c r="BE1383" s="82">
        <f>($S1383-$J1383)*100</f>
        <v/>
      </c>
      <c r="BF1383" s="82">
        <f>($V1383-$L1383)*100</f>
        <v/>
      </c>
      <c r="BG1383" s="82">
        <f>$AG1383-$AF1383</f>
        <v/>
      </c>
      <c r="BH1383" s="81">
        <f>IFERROR($AG1383/$AF1383,"")</f>
        <v/>
      </c>
      <c r="BI1383" s="82">
        <f>$AJ1383-$AF1383</f>
        <v/>
      </c>
      <c r="BJ1383" s="81">
        <f>IFERROR($AJ1383/$AG1383,"")</f>
        <v/>
      </c>
      <c r="BK1383" s="81">
        <f>$X1383</f>
        <v/>
      </c>
      <c r="BL1383" s="82">
        <f>($J1383-$J1384)*100</f>
        <v/>
      </c>
      <c r="BM1383" s="82">
        <f>($F1383-$F1384)*100</f>
        <v/>
      </c>
      <c r="BN1383" s="82">
        <f>$AF1383-$AF1384</f>
        <v/>
      </c>
      <c r="BO1383" s="82">
        <f>$AG1383-$AG1384</f>
        <v/>
      </c>
      <c r="BP1383" s="82">
        <f>$AJ1383-$AJ1384</f>
        <v/>
      </c>
    </row>
    <row r="1384">
      <c r="AR1384" s="81">
        <f>($G1384+($H1384-$G1384)*0.5)+($P1384-($O1384+($Q1384-$O1384)*0.5))</f>
        <v/>
      </c>
      <c r="AS1384" s="81">
        <f>($J1384+($K1384-$J1384)*0.5)+($T1384-($S1384+($U1384-$S1384)*0.5))</f>
        <v/>
      </c>
      <c r="AT1384" s="82">
        <f>($J1384-$C1384)*100</f>
        <v/>
      </c>
      <c r="AU1384" s="82">
        <f>($H1384-$F1384)*100</f>
        <v/>
      </c>
      <c r="AV1384" s="82">
        <f>($J1384-$F1384)*100</f>
        <v/>
      </c>
      <c r="AW1384" s="82">
        <f>($L1384-$F1384)*100</f>
        <v/>
      </c>
      <c r="AX1384" s="82">
        <f>($J1384-$H1384)*100</f>
        <v/>
      </c>
      <c r="AY1384" s="82">
        <f>($L1384-$H1384)*100</f>
        <v/>
      </c>
      <c r="AZ1384" s="82">
        <f>($L1384-$J1384)*100</f>
        <v/>
      </c>
      <c r="BA1384" s="82">
        <f>(2*$H1384-$F1384-$J1384)*100</f>
        <v/>
      </c>
      <c r="BB1384" s="82">
        <f>(2*$J1384-$H1384-$L1384)*100</f>
        <v/>
      </c>
      <c r="BC1384" s="82">
        <f>($N1384-$F1384)*100</f>
        <v/>
      </c>
      <c r="BD1384" s="82">
        <f>($Q1384-$H1384)*100</f>
        <v/>
      </c>
      <c r="BE1384" s="82">
        <f>($S1384-$J1384)*100</f>
        <v/>
      </c>
      <c r="BF1384" s="82">
        <f>($V1384-$L1384)*100</f>
        <v/>
      </c>
      <c r="BG1384" s="82">
        <f>$AG1384-$AF1384</f>
        <v/>
      </c>
      <c r="BH1384" s="81">
        <f>IFERROR($AG1384/$AF1384,"")</f>
        <v/>
      </c>
      <c r="BI1384" s="82">
        <f>$AJ1384-$AF1384</f>
        <v/>
      </c>
      <c r="BJ1384" s="81">
        <f>IFERROR($AJ1384/$AG1384,"")</f>
        <v/>
      </c>
      <c r="BK1384" s="81">
        <f>$X1384</f>
        <v/>
      </c>
      <c r="BL1384" s="82">
        <f>($J1384-$J1385)*100</f>
        <v/>
      </c>
      <c r="BM1384" s="82">
        <f>($F1384-$F1385)*100</f>
        <v/>
      </c>
      <c r="BN1384" s="82">
        <f>$AF1384-$AF1385</f>
        <v/>
      </c>
      <c r="BO1384" s="82">
        <f>$AG1384-$AG1385</f>
        <v/>
      </c>
      <c r="BP1384" s="82">
        <f>$AJ1384-$AJ1385</f>
        <v/>
      </c>
    </row>
    <row r="1385">
      <c r="AR1385" s="81">
        <f>($G1385+($H1385-$G1385)*0.5)+($P1385-($O1385+($Q1385-$O1385)*0.5))</f>
        <v/>
      </c>
      <c r="AS1385" s="81">
        <f>($J1385+($K1385-$J1385)*0.5)+($T1385-($S1385+($U1385-$S1385)*0.5))</f>
        <v/>
      </c>
      <c r="AT1385" s="82">
        <f>($J1385-$C1385)*100</f>
        <v/>
      </c>
      <c r="AU1385" s="82">
        <f>($H1385-$F1385)*100</f>
        <v/>
      </c>
      <c r="AV1385" s="82">
        <f>($J1385-$F1385)*100</f>
        <v/>
      </c>
      <c r="AW1385" s="82">
        <f>($L1385-$F1385)*100</f>
        <v/>
      </c>
      <c r="AX1385" s="82">
        <f>($J1385-$H1385)*100</f>
        <v/>
      </c>
      <c r="AY1385" s="82">
        <f>($L1385-$H1385)*100</f>
        <v/>
      </c>
      <c r="AZ1385" s="82">
        <f>($L1385-$J1385)*100</f>
        <v/>
      </c>
      <c r="BA1385" s="82">
        <f>(2*$H1385-$F1385-$J1385)*100</f>
        <v/>
      </c>
      <c r="BB1385" s="82">
        <f>(2*$J1385-$H1385-$L1385)*100</f>
        <v/>
      </c>
      <c r="BC1385" s="82">
        <f>($N1385-$F1385)*100</f>
        <v/>
      </c>
      <c r="BD1385" s="82">
        <f>($Q1385-$H1385)*100</f>
        <v/>
      </c>
      <c r="BE1385" s="82">
        <f>($S1385-$J1385)*100</f>
        <v/>
      </c>
      <c r="BF1385" s="82">
        <f>($V1385-$L1385)*100</f>
        <v/>
      </c>
      <c r="BG1385" s="82">
        <f>$AG1385-$AF1385</f>
        <v/>
      </c>
      <c r="BH1385" s="81">
        <f>IFERROR($AG1385/$AF1385,"")</f>
        <v/>
      </c>
      <c r="BI1385" s="82">
        <f>$AJ1385-$AF1385</f>
        <v/>
      </c>
      <c r="BJ1385" s="81">
        <f>IFERROR($AJ1385/$AG1385,"")</f>
        <v/>
      </c>
      <c r="BK1385" s="81">
        <f>$X1385</f>
        <v/>
      </c>
      <c r="BL1385" s="82">
        <f>($J1385-$J1386)*100</f>
        <v/>
      </c>
      <c r="BM1385" s="82">
        <f>($F1385-$F1386)*100</f>
        <v/>
      </c>
      <c r="BN1385" s="82">
        <f>$AF1385-$AF1386</f>
        <v/>
      </c>
      <c r="BO1385" s="82">
        <f>$AG1385-$AG1386</f>
        <v/>
      </c>
      <c r="BP1385" s="82">
        <f>$AJ1385-$AJ1386</f>
        <v/>
      </c>
    </row>
    <row r="1386">
      <c r="AR1386" s="81">
        <f>($G1386+($H1386-$G1386)*0.5)+($P1386-($O1386+($Q1386-$O1386)*0.5))</f>
        <v/>
      </c>
      <c r="AS1386" s="81">
        <f>($J1386+($K1386-$J1386)*0.5)+($T1386-($S1386+($U1386-$S1386)*0.5))</f>
        <v/>
      </c>
      <c r="AT1386" s="82">
        <f>($J1386-$C1386)*100</f>
        <v/>
      </c>
      <c r="AU1386" s="82">
        <f>($H1386-$F1386)*100</f>
        <v/>
      </c>
      <c r="AV1386" s="82">
        <f>($J1386-$F1386)*100</f>
        <v/>
      </c>
      <c r="AW1386" s="82">
        <f>($L1386-$F1386)*100</f>
        <v/>
      </c>
      <c r="AX1386" s="82">
        <f>($J1386-$H1386)*100</f>
        <v/>
      </c>
      <c r="AY1386" s="82">
        <f>($L1386-$H1386)*100</f>
        <v/>
      </c>
      <c r="AZ1386" s="82">
        <f>($L1386-$J1386)*100</f>
        <v/>
      </c>
      <c r="BA1386" s="82">
        <f>(2*$H1386-$F1386-$J1386)*100</f>
        <v/>
      </c>
      <c r="BB1386" s="82">
        <f>(2*$J1386-$H1386-$L1386)*100</f>
        <v/>
      </c>
      <c r="BC1386" s="82">
        <f>($N1386-$F1386)*100</f>
        <v/>
      </c>
      <c r="BD1386" s="82">
        <f>($Q1386-$H1386)*100</f>
        <v/>
      </c>
      <c r="BE1386" s="82">
        <f>($S1386-$J1386)*100</f>
        <v/>
      </c>
      <c r="BF1386" s="82">
        <f>($V1386-$L1386)*100</f>
        <v/>
      </c>
      <c r="BG1386" s="82">
        <f>$AG1386-$AF1386</f>
        <v/>
      </c>
      <c r="BH1386" s="81">
        <f>IFERROR($AG1386/$AF1386,"")</f>
        <v/>
      </c>
      <c r="BI1386" s="82">
        <f>$AJ1386-$AF1386</f>
        <v/>
      </c>
      <c r="BJ1386" s="81">
        <f>IFERROR($AJ1386/$AG1386,"")</f>
        <v/>
      </c>
      <c r="BK1386" s="81">
        <f>$X1386</f>
        <v/>
      </c>
      <c r="BL1386" s="82">
        <f>($J1386-$J1387)*100</f>
        <v/>
      </c>
      <c r="BM1386" s="82">
        <f>($F1386-$F1387)*100</f>
        <v/>
      </c>
      <c r="BN1386" s="82">
        <f>$AF1386-$AF1387</f>
        <v/>
      </c>
      <c r="BO1386" s="82">
        <f>$AG1386-$AG1387</f>
        <v/>
      </c>
      <c r="BP1386" s="82">
        <f>$AJ1386-$AJ1387</f>
        <v/>
      </c>
    </row>
    <row r="1387">
      <c r="AR1387" s="81">
        <f>($G1387+($H1387-$G1387)*0.5)+($P1387-($O1387+($Q1387-$O1387)*0.5))</f>
        <v/>
      </c>
      <c r="AS1387" s="81">
        <f>($J1387+($K1387-$J1387)*0.5)+($T1387-($S1387+($U1387-$S1387)*0.5))</f>
        <v/>
      </c>
      <c r="AT1387" s="82">
        <f>($J1387-$C1387)*100</f>
        <v/>
      </c>
      <c r="AU1387" s="82">
        <f>($H1387-$F1387)*100</f>
        <v/>
      </c>
      <c r="AV1387" s="82">
        <f>($J1387-$F1387)*100</f>
        <v/>
      </c>
      <c r="AW1387" s="82">
        <f>($L1387-$F1387)*100</f>
        <v/>
      </c>
      <c r="AX1387" s="82">
        <f>($J1387-$H1387)*100</f>
        <v/>
      </c>
      <c r="AY1387" s="82">
        <f>($L1387-$H1387)*100</f>
        <v/>
      </c>
      <c r="AZ1387" s="82">
        <f>($L1387-$J1387)*100</f>
        <v/>
      </c>
      <c r="BA1387" s="82">
        <f>(2*$H1387-$F1387-$J1387)*100</f>
        <v/>
      </c>
      <c r="BB1387" s="82">
        <f>(2*$J1387-$H1387-$L1387)*100</f>
        <v/>
      </c>
      <c r="BC1387" s="82">
        <f>($N1387-$F1387)*100</f>
        <v/>
      </c>
      <c r="BD1387" s="82">
        <f>($Q1387-$H1387)*100</f>
        <v/>
      </c>
      <c r="BE1387" s="82">
        <f>($S1387-$J1387)*100</f>
        <v/>
      </c>
      <c r="BF1387" s="82">
        <f>($V1387-$L1387)*100</f>
        <v/>
      </c>
      <c r="BG1387" s="82">
        <f>$AG1387-$AF1387</f>
        <v/>
      </c>
      <c r="BH1387" s="81">
        <f>IFERROR($AG1387/$AF1387,"")</f>
        <v/>
      </c>
      <c r="BI1387" s="82">
        <f>$AJ1387-$AF1387</f>
        <v/>
      </c>
      <c r="BJ1387" s="81">
        <f>IFERROR($AJ1387/$AG1387,"")</f>
        <v/>
      </c>
      <c r="BK1387" s="81">
        <f>$X1387</f>
        <v/>
      </c>
      <c r="BL1387" s="82">
        <f>($J1387-$J1388)*100</f>
        <v/>
      </c>
      <c r="BM1387" s="82">
        <f>($F1387-$F1388)*100</f>
        <v/>
      </c>
      <c r="BN1387" s="82">
        <f>$AF1387-$AF1388</f>
        <v/>
      </c>
      <c r="BO1387" s="82">
        <f>$AG1387-$AG1388</f>
        <v/>
      </c>
      <c r="BP1387" s="82">
        <f>$AJ1387-$AJ1388</f>
        <v/>
      </c>
    </row>
    <row r="1388">
      <c r="AR1388" s="81">
        <f>($G1388+($H1388-$G1388)*0.5)+($P1388-($O1388+($Q1388-$O1388)*0.5))</f>
        <v/>
      </c>
      <c r="AS1388" s="81">
        <f>($J1388+($K1388-$J1388)*0.5)+($T1388-($S1388+($U1388-$S1388)*0.5))</f>
        <v/>
      </c>
      <c r="AT1388" s="82">
        <f>($J1388-$C1388)*100</f>
        <v/>
      </c>
      <c r="AU1388" s="82">
        <f>($H1388-$F1388)*100</f>
        <v/>
      </c>
      <c r="AV1388" s="82">
        <f>($J1388-$F1388)*100</f>
        <v/>
      </c>
      <c r="AW1388" s="82">
        <f>($L1388-$F1388)*100</f>
        <v/>
      </c>
      <c r="AX1388" s="82">
        <f>($J1388-$H1388)*100</f>
        <v/>
      </c>
      <c r="AY1388" s="82">
        <f>($L1388-$H1388)*100</f>
        <v/>
      </c>
      <c r="AZ1388" s="82">
        <f>($L1388-$J1388)*100</f>
        <v/>
      </c>
      <c r="BA1388" s="82">
        <f>(2*$H1388-$F1388-$J1388)*100</f>
        <v/>
      </c>
      <c r="BB1388" s="82">
        <f>(2*$J1388-$H1388-$L1388)*100</f>
        <v/>
      </c>
      <c r="BC1388" s="82">
        <f>($N1388-$F1388)*100</f>
        <v/>
      </c>
      <c r="BD1388" s="82">
        <f>($Q1388-$H1388)*100</f>
        <v/>
      </c>
      <c r="BE1388" s="82">
        <f>($S1388-$J1388)*100</f>
        <v/>
      </c>
      <c r="BF1388" s="82">
        <f>($V1388-$L1388)*100</f>
        <v/>
      </c>
      <c r="BG1388" s="82">
        <f>$AG1388-$AF1388</f>
        <v/>
      </c>
      <c r="BH1388" s="81">
        <f>IFERROR($AG1388/$AF1388,"")</f>
        <v/>
      </c>
      <c r="BI1388" s="82">
        <f>$AJ1388-$AF1388</f>
        <v/>
      </c>
      <c r="BJ1388" s="81">
        <f>IFERROR($AJ1388/$AG1388,"")</f>
        <v/>
      </c>
      <c r="BK1388" s="81">
        <f>$X1388</f>
        <v/>
      </c>
      <c r="BL1388" s="82">
        <f>($J1388-$J1389)*100</f>
        <v/>
      </c>
      <c r="BM1388" s="82">
        <f>($F1388-$F1389)*100</f>
        <v/>
      </c>
      <c r="BN1388" s="82">
        <f>$AF1388-$AF1389</f>
        <v/>
      </c>
      <c r="BO1388" s="82">
        <f>$AG1388-$AG1389</f>
        <v/>
      </c>
      <c r="BP1388" s="82">
        <f>$AJ1388-$AJ1389</f>
        <v/>
      </c>
    </row>
    <row r="1389">
      <c r="AR1389" s="81">
        <f>($G1389+($H1389-$G1389)*0.5)+($P1389-($O1389+($Q1389-$O1389)*0.5))</f>
        <v/>
      </c>
      <c r="AS1389" s="81">
        <f>($J1389+($K1389-$J1389)*0.5)+($T1389-($S1389+($U1389-$S1389)*0.5))</f>
        <v/>
      </c>
      <c r="AT1389" s="82">
        <f>($J1389-$C1389)*100</f>
        <v/>
      </c>
      <c r="AU1389" s="82">
        <f>($H1389-$F1389)*100</f>
        <v/>
      </c>
      <c r="AV1389" s="82">
        <f>($J1389-$F1389)*100</f>
        <v/>
      </c>
      <c r="AW1389" s="82">
        <f>($L1389-$F1389)*100</f>
        <v/>
      </c>
      <c r="AX1389" s="82">
        <f>($J1389-$H1389)*100</f>
        <v/>
      </c>
      <c r="AY1389" s="82">
        <f>($L1389-$H1389)*100</f>
        <v/>
      </c>
      <c r="AZ1389" s="82">
        <f>($L1389-$J1389)*100</f>
        <v/>
      </c>
      <c r="BA1389" s="82">
        <f>(2*$H1389-$F1389-$J1389)*100</f>
        <v/>
      </c>
      <c r="BB1389" s="82">
        <f>(2*$J1389-$H1389-$L1389)*100</f>
        <v/>
      </c>
      <c r="BC1389" s="82">
        <f>($N1389-$F1389)*100</f>
        <v/>
      </c>
      <c r="BD1389" s="82">
        <f>($Q1389-$H1389)*100</f>
        <v/>
      </c>
      <c r="BE1389" s="82">
        <f>($S1389-$J1389)*100</f>
        <v/>
      </c>
      <c r="BF1389" s="82">
        <f>($V1389-$L1389)*100</f>
        <v/>
      </c>
      <c r="BG1389" s="82">
        <f>$AG1389-$AF1389</f>
        <v/>
      </c>
      <c r="BH1389" s="81">
        <f>IFERROR($AG1389/$AF1389,"")</f>
        <v/>
      </c>
      <c r="BI1389" s="82">
        <f>$AJ1389-$AF1389</f>
        <v/>
      </c>
      <c r="BJ1389" s="81">
        <f>IFERROR($AJ1389/$AG1389,"")</f>
        <v/>
      </c>
      <c r="BK1389" s="81">
        <f>$X1389</f>
        <v/>
      </c>
      <c r="BL1389" s="82">
        <f>($J1389-$J1390)*100</f>
        <v/>
      </c>
      <c r="BM1389" s="82">
        <f>($F1389-$F1390)*100</f>
        <v/>
      </c>
      <c r="BN1389" s="82">
        <f>$AF1389-$AF1390</f>
        <v/>
      </c>
      <c r="BO1389" s="82">
        <f>$AG1389-$AG1390</f>
        <v/>
      </c>
      <c r="BP1389" s="82">
        <f>$AJ1389-$AJ1390</f>
        <v/>
      </c>
    </row>
    <row r="1390">
      <c r="AR1390" s="81">
        <f>($G1390+($H1390-$G1390)*0.5)+($P1390-($O1390+($Q1390-$O1390)*0.5))</f>
        <v/>
      </c>
      <c r="AS1390" s="81">
        <f>($J1390+($K1390-$J1390)*0.5)+($T1390-($S1390+($U1390-$S1390)*0.5))</f>
        <v/>
      </c>
      <c r="AT1390" s="82">
        <f>($J1390-$C1390)*100</f>
        <v/>
      </c>
      <c r="AU1390" s="82">
        <f>($H1390-$F1390)*100</f>
        <v/>
      </c>
      <c r="AV1390" s="82">
        <f>($J1390-$F1390)*100</f>
        <v/>
      </c>
      <c r="AW1390" s="82">
        <f>($L1390-$F1390)*100</f>
        <v/>
      </c>
      <c r="AX1390" s="82">
        <f>($J1390-$H1390)*100</f>
        <v/>
      </c>
      <c r="AY1390" s="82">
        <f>($L1390-$H1390)*100</f>
        <v/>
      </c>
      <c r="AZ1390" s="82">
        <f>($L1390-$J1390)*100</f>
        <v/>
      </c>
      <c r="BA1390" s="82">
        <f>(2*$H1390-$F1390-$J1390)*100</f>
        <v/>
      </c>
      <c r="BB1390" s="82">
        <f>(2*$J1390-$H1390-$L1390)*100</f>
        <v/>
      </c>
      <c r="BC1390" s="82">
        <f>($N1390-$F1390)*100</f>
        <v/>
      </c>
      <c r="BD1390" s="82">
        <f>($Q1390-$H1390)*100</f>
        <v/>
      </c>
      <c r="BE1390" s="82">
        <f>($S1390-$J1390)*100</f>
        <v/>
      </c>
      <c r="BF1390" s="82">
        <f>($V1390-$L1390)*100</f>
        <v/>
      </c>
      <c r="BG1390" s="82">
        <f>$AG1390-$AF1390</f>
        <v/>
      </c>
      <c r="BH1390" s="81">
        <f>IFERROR($AG1390/$AF1390,"")</f>
        <v/>
      </c>
      <c r="BI1390" s="82">
        <f>$AJ1390-$AF1390</f>
        <v/>
      </c>
      <c r="BJ1390" s="81">
        <f>IFERROR($AJ1390/$AG1390,"")</f>
        <v/>
      </c>
      <c r="BK1390" s="81">
        <f>$X1390</f>
        <v/>
      </c>
      <c r="BL1390" s="82">
        <f>($J1390-$J1391)*100</f>
        <v/>
      </c>
      <c r="BM1390" s="82">
        <f>($F1390-$F1391)*100</f>
        <v/>
      </c>
      <c r="BN1390" s="82">
        <f>$AF1390-$AF1391</f>
        <v/>
      </c>
      <c r="BO1390" s="82">
        <f>$AG1390-$AG1391</f>
        <v/>
      </c>
      <c r="BP1390" s="82">
        <f>$AJ1390-$AJ1391</f>
        <v/>
      </c>
    </row>
    <row r="1391">
      <c r="AR1391" s="81">
        <f>($G1391+($H1391-$G1391)*0.5)+($P1391-($O1391+($Q1391-$O1391)*0.5))</f>
        <v/>
      </c>
      <c r="AS1391" s="81">
        <f>($J1391+($K1391-$J1391)*0.5)+($T1391-($S1391+($U1391-$S1391)*0.5))</f>
        <v/>
      </c>
      <c r="AT1391" s="82">
        <f>($J1391-$C1391)*100</f>
        <v/>
      </c>
      <c r="AU1391" s="82">
        <f>($H1391-$F1391)*100</f>
        <v/>
      </c>
      <c r="AV1391" s="82">
        <f>($J1391-$F1391)*100</f>
        <v/>
      </c>
      <c r="AW1391" s="82">
        <f>($L1391-$F1391)*100</f>
        <v/>
      </c>
      <c r="AX1391" s="82">
        <f>($J1391-$H1391)*100</f>
        <v/>
      </c>
      <c r="AY1391" s="82">
        <f>($L1391-$H1391)*100</f>
        <v/>
      </c>
      <c r="AZ1391" s="82">
        <f>($L1391-$J1391)*100</f>
        <v/>
      </c>
      <c r="BA1391" s="82">
        <f>(2*$H1391-$F1391-$J1391)*100</f>
        <v/>
      </c>
      <c r="BB1391" s="82">
        <f>(2*$J1391-$H1391-$L1391)*100</f>
        <v/>
      </c>
      <c r="BC1391" s="82">
        <f>($N1391-$F1391)*100</f>
        <v/>
      </c>
      <c r="BD1391" s="82">
        <f>($Q1391-$H1391)*100</f>
        <v/>
      </c>
      <c r="BE1391" s="82">
        <f>($S1391-$J1391)*100</f>
        <v/>
      </c>
      <c r="BF1391" s="82">
        <f>($V1391-$L1391)*100</f>
        <v/>
      </c>
      <c r="BG1391" s="82">
        <f>$AG1391-$AF1391</f>
        <v/>
      </c>
      <c r="BH1391" s="81">
        <f>IFERROR($AG1391/$AF1391,"")</f>
        <v/>
      </c>
      <c r="BI1391" s="82">
        <f>$AJ1391-$AF1391</f>
        <v/>
      </c>
      <c r="BJ1391" s="81">
        <f>IFERROR($AJ1391/$AG1391,"")</f>
        <v/>
      </c>
      <c r="BK1391" s="81">
        <f>$X1391</f>
        <v/>
      </c>
      <c r="BL1391" s="82">
        <f>($J1391-$J1392)*100</f>
        <v/>
      </c>
      <c r="BM1391" s="82">
        <f>($F1391-$F1392)*100</f>
        <v/>
      </c>
      <c r="BN1391" s="82">
        <f>$AF1391-$AF1392</f>
        <v/>
      </c>
      <c r="BO1391" s="82">
        <f>$AG1391-$AG1392</f>
        <v/>
      </c>
      <c r="BP1391" s="82">
        <f>$AJ1391-$AJ1392</f>
        <v/>
      </c>
    </row>
    <row r="1392">
      <c r="AR1392" s="81">
        <f>($G1392+($H1392-$G1392)*0.5)+($P1392-($O1392+($Q1392-$O1392)*0.5))</f>
        <v/>
      </c>
      <c r="AS1392" s="81">
        <f>($J1392+($K1392-$J1392)*0.5)+($T1392-($S1392+($U1392-$S1392)*0.5))</f>
        <v/>
      </c>
      <c r="AT1392" s="82">
        <f>($J1392-$C1392)*100</f>
        <v/>
      </c>
      <c r="AU1392" s="82">
        <f>($H1392-$F1392)*100</f>
        <v/>
      </c>
      <c r="AV1392" s="82">
        <f>($J1392-$F1392)*100</f>
        <v/>
      </c>
      <c r="AW1392" s="82">
        <f>($L1392-$F1392)*100</f>
        <v/>
      </c>
      <c r="AX1392" s="82">
        <f>($J1392-$H1392)*100</f>
        <v/>
      </c>
      <c r="AY1392" s="82">
        <f>($L1392-$H1392)*100</f>
        <v/>
      </c>
      <c r="AZ1392" s="82">
        <f>($L1392-$J1392)*100</f>
        <v/>
      </c>
      <c r="BA1392" s="82">
        <f>(2*$H1392-$F1392-$J1392)*100</f>
        <v/>
      </c>
      <c r="BB1392" s="82">
        <f>(2*$J1392-$H1392-$L1392)*100</f>
        <v/>
      </c>
      <c r="BC1392" s="82">
        <f>($N1392-$F1392)*100</f>
        <v/>
      </c>
      <c r="BD1392" s="82">
        <f>($Q1392-$H1392)*100</f>
        <v/>
      </c>
      <c r="BE1392" s="82">
        <f>($S1392-$J1392)*100</f>
        <v/>
      </c>
      <c r="BF1392" s="82">
        <f>($V1392-$L1392)*100</f>
        <v/>
      </c>
      <c r="BG1392" s="82">
        <f>$AG1392-$AF1392</f>
        <v/>
      </c>
      <c r="BH1392" s="81">
        <f>IFERROR($AG1392/$AF1392,"")</f>
        <v/>
      </c>
      <c r="BI1392" s="82">
        <f>$AJ1392-$AF1392</f>
        <v/>
      </c>
      <c r="BJ1392" s="81">
        <f>IFERROR($AJ1392/$AG1392,"")</f>
        <v/>
      </c>
      <c r="BK1392" s="81">
        <f>$X1392</f>
        <v/>
      </c>
      <c r="BL1392" s="82">
        <f>($J1392-$J1393)*100</f>
        <v/>
      </c>
      <c r="BM1392" s="82">
        <f>($F1392-$F1393)*100</f>
        <v/>
      </c>
      <c r="BN1392" s="82">
        <f>$AF1392-$AF1393</f>
        <v/>
      </c>
      <c r="BO1392" s="82">
        <f>$AG1392-$AG1393</f>
        <v/>
      </c>
      <c r="BP1392" s="82">
        <f>$AJ1392-$AJ1393</f>
        <v/>
      </c>
    </row>
    <row r="1393">
      <c r="AR1393" s="81">
        <f>($G1393+($H1393-$G1393)*0.5)+($P1393-($O1393+($Q1393-$O1393)*0.5))</f>
        <v/>
      </c>
      <c r="AS1393" s="81">
        <f>($J1393+($K1393-$J1393)*0.5)+($T1393-($S1393+($U1393-$S1393)*0.5))</f>
        <v/>
      </c>
      <c r="AT1393" s="82">
        <f>($J1393-$C1393)*100</f>
        <v/>
      </c>
      <c r="AU1393" s="82">
        <f>($H1393-$F1393)*100</f>
        <v/>
      </c>
      <c r="AV1393" s="82">
        <f>($J1393-$F1393)*100</f>
        <v/>
      </c>
      <c r="AW1393" s="82">
        <f>($L1393-$F1393)*100</f>
        <v/>
      </c>
      <c r="AX1393" s="82">
        <f>($J1393-$H1393)*100</f>
        <v/>
      </c>
      <c r="AY1393" s="82">
        <f>($L1393-$H1393)*100</f>
        <v/>
      </c>
      <c r="AZ1393" s="82">
        <f>($L1393-$J1393)*100</f>
        <v/>
      </c>
      <c r="BA1393" s="82">
        <f>(2*$H1393-$F1393-$J1393)*100</f>
        <v/>
      </c>
      <c r="BB1393" s="82">
        <f>(2*$J1393-$H1393-$L1393)*100</f>
        <v/>
      </c>
      <c r="BC1393" s="82">
        <f>($N1393-$F1393)*100</f>
        <v/>
      </c>
      <c r="BD1393" s="82">
        <f>($Q1393-$H1393)*100</f>
        <v/>
      </c>
      <c r="BE1393" s="82">
        <f>($S1393-$J1393)*100</f>
        <v/>
      </c>
      <c r="BF1393" s="82">
        <f>($V1393-$L1393)*100</f>
        <v/>
      </c>
      <c r="BG1393" s="82">
        <f>$AG1393-$AF1393</f>
        <v/>
      </c>
      <c r="BH1393" s="81">
        <f>IFERROR($AG1393/$AF1393,"")</f>
        <v/>
      </c>
      <c r="BI1393" s="82">
        <f>$AJ1393-$AF1393</f>
        <v/>
      </c>
      <c r="BJ1393" s="81">
        <f>IFERROR($AJ1393/$AG1393,"")</f>
        <v/>
      </c>
      <c r="BK1393" s="81">
        <f>$X1393</f>
        <v/>
      </c>
      <c r="BL1393" s="82">
        <f>($J1393-$J1394)*100</f>
        <v/>
      </c>
      <c r="BM1393" s="82">
        <f>($F1393-$F1394)*100</f>
        <v/>
      </c>
      <c r="BN1393" s="82">
        <f>$AF1393-$AF1394</f>
        <v/>
      </c>
      <c r="BO1393" s="82">
        <f>$AG1393-$AG1394</f>
        <v/>
      </c>
      <c r="BP1393" s="82">
        <f>$AJ1393-$AJ1394</f>
        <v/>
      </c>
    </row>
    <row r="1394">
      <c r="AR1394" s="81">
        <f>($G1394+($H1394-$G1394)*0.5)+($P1394-($O1394+($Q1394-$O1394)*0.5))</f>
        <v/>
      </c>
      <c r="AS1394" s="81">
        <f>($J1394+($K1394-$J1394)*0.5)+($T1394-($S1394+($U1394-$S1394)*0.5))</f>
        <v/>
      </c>
      <c r="AT1394" s="82">
        <f>($J1394-$C1394)*100</f>
        <v/>
      </c>
      <c r="AU1394" s="82">
        <f>($H1394-$F1394)*100</f>
        <v/>
      </c>
      <c r="AV1394" s="82">
        <f>($J1394-$F1394)*100</f>
        <v/>
      </c>
      <c r="AW1394" s="82">
        <f>($L1394-$F1394)*100</f>
        <v/>
      </c>
      <c r="AX1394" s="82">
        <f>($J1394-$H1394)*100</f>
        <v/>
      </c>
      <c r="AY1394" s="82">
        <f>($L1394-$H1394)*100</f>
        <v/>
      </c>
      <c r="AZ1394" s="82">
        <f>($L1394-$J1394)*100</f>
        <v/>
      </c>
      <c r="BA1394" s="82">
        <f>(2*$H1394-$F1394-$J1394)*100</f>
        <v/>
      </c>
      <c r="BB1394" s="82">
        <f>(2*$J1394-$H1394-$L1394)*100</f>
        <v/>
      </c>
      <c r="BC1394" s="82">
        <f>($N1394-$F1394)*100</f>
        <v/>
      </c>
      <c r="BD1394" s="82">
        <f>($Q1394-$H1394)*100</f>
        <v/>
      </c>
      <c r="BE1394" s="82">
        <f>($S1394-$J1394)*100</f>
        <v/>
      </c>
      <c r="BF1394" s="82">
        <f>($V1394-$L1394)*100</f>
        <v/>
      </c>
      <c r="BG1394" s="82">
        <f>$AG1394-$AF1394</f>
        <v/>
      </c>
      <c r="BH1394" s="81">
        <f>IFERROR($AG1394/$AF1394,"")</f>
        <v/>
      </c>
      <c r="BI1394" s="82">
        <f>$AJ1394-$AF1394</f>
        <v/>
      </c>
      <c r="BJ1394" s="81">
        <f>IFERROR($AJ1394/$AG1394,"")</f>
        <v/>
      </c>
      <c r="BK1394" s="81">
        <f>$X1394</f>
        <v/>
      </c>
      <c r="BL1394" s="82">
        <f>($J1394-$J1395)*100</f>
        <v/>
      </c>
      <c r="BM1394" s="82">
        <f>($F1394-$F1395)*100</f>
        <v/>
      </c>
      <c r="BN1394" s="82">
        <f>$AF1394-$AF1395</f>
        <v/>
      </c>
      <c r="BO1394" s="82">
        <f>$AG1394-$AG1395</f>
        <v/>
      </c>
      <c r="BP1394" s="82">
        <f>$AJ1394-$AJ1395</f>
        <v/>
      </c>
    </row>
    <row r="1395">
      <c r="AR1395" s="81">
        <f>($G1395+($H1395-$G1395)*0.5)+($P1395-($O1395+($Q1395-$O1395)*0.5))</f>
        <v/>
      </c>
      <c r="AS1395" s="81">
        <f>($J1395+($K1395-$J1395)*0.5)+($T1395-($S1395+($U1395-$S1395)*0.5))</f>
        <v/>
      </c>
      <c r="AT1395" s="82">
        <f>($J1395-$C1395)*100</f>
        <v/>
      </c>
      <c r="AU1395" s="82">
        <f>($H1395-$F1395)*100</f>
        <v/>
      </c>
      <c r="AV1395" s="82">
        <f>($J1395-$F1395)*100</f>
        <v/>
      </c>
      <c r="AW1395" s="82">
        <f>($L1395-$F1395)*100</f>
        <v/>
      </c>
      <c r="AX1395" s="82">
        <f>($J1395-$H1395)*100</f>
        <v/>
      </c>
      <c r="AY1395" s="82">
        <f>($L1395-$H1395)*100</f>
        <v/>
      </c>
      <c r="AZ1395" s="82">
        <f>($L1395-$J1395)*100</f>
        <v/>
      </c>
      <c r="BA1395" s="82">
        <f>(2*$H1395-$F1395-$J1395)*100</f>
        <v/>
      </c>
      <c r="BB1395" s="82">
        <f>(2*$J1395-$H1395-$L1395)*100</f>
        <v/>
      </c>
      <c r="BC1395" s="82">
        <f>($N1395-$F1395)*100</f>
        <v/>
      </c>
      <c r="BD1395" s="82">
        <f>($Q1395-$H1395)*100</f>
        <v/>
      </c>
      <c r="BE1395" s="82">
        <f>($S1395-$J1395)*100</f>
        <v/>
      </c>
      <c r="BF1395" s="82">
        <f>($V1395-$L1395)*100</f>
        <v/>
      </c>
      <c r="BG1395" s="82">
        <f>$AG1395-$AF1395</f>
        <v/>
      </c>
      <c r="BH1395" s="81">
        <f>IFERROR($AG1395/$AF1395,"")</f>
        <v/>
      </c>
      <c r="BI1395" s="82">
        <f>$AJ1395-$AF1395</f>
        <v/>
      </c>
      <c r="BJ1395" s="81">
        <f>IFERROR($AJ1395/$AG1395,"")</f>
        <v/>
      </c>
      <c r="BK1395" s="81">
        <f>$X1395</f>
        <v/>
      </c>
      <c r="BL1395" s="82">
        <f>($J1395-$J1396)*100</f>
        <v/>
      </c>
      <c r="BM1395" s="82">
        <f>($F1395-$F1396)*100</f>
        <v/>
      </c>
      <c r="BN1395" s="82">
        <f>$AF1395-$AF1396</f>
        <v/>
      </c>
      <c r="BO1395" s="82">
        <f>$AG1395-$AG1396</f>
        <v/>
      </c>
      <c r="BP1395" s="82">
        <f>$AJ1395-$AJ1396</f>
        <v/>
      </c>
    </row>
    <row r="1396">
      <c r="AR1396" s="81">
        <f>($G1396+($H1396-$G1396)*0.5)+($P1396-($O1396+($Q1396-$O1396)*0.5))</f>
        <v/>
      </c>
      <c r="AS1396" s="81">
        <f>($J1396+($K1396-$J1396)*0.5)+($T1396-($S1396+($U1396-$S1396)*0.5))</f>
        <v/>
      </c>
      <c r="AT1396" s="82">
        <f>($J1396-$C1396)*100</f>
        <v/>
      </c>
      <c r="AU1396" s="82">
        <f>($H1396-$F1396)*100</f>
        <v/>
      </c>
      <c r="AV1396" s="82">
        <f>($J1396-$F1396)*100</f>
        <v/>
      </c>
      <c r="AW1396" s="82">
        <f>($L1396-$F1396)*100</f>
        <v/>
      </c>
      <c r="AX1396" s="82">
        <f>($J1396-$H1396)*100</f>
        <v/>
      </c>
      <c r="AY1396" s="82">
        <f>($L1396-$H1396)*100</f>
        <v/>
      </c>
      <c r="AZ1396" s="82">
        <f>($L1396-$J1396)*100</f>
        <v/>
      </c>
      <c r="BA1396" s="82">
        <f>(2*$H1396-$F1396-$J1396)*100</f>
        <v/>
      </c>
      <c r="BB1396" s="82">
        <f>(2*$J1396-$H1396-$L1396)*100</f>
        <v/>
      </c>
      <c r="BC1396" s="82">
        <f>($N1396-$F1396)*100</f>
        <v/>
      </c>
      <c r="BD1396" s="82">
        <f>($Q1396-$H1396)*100</f>
        <v/>
      </c>
      <c r="BE1396" s="82">
        <f>($S1396-$J1396)*100</f>
        <v/>
      </c>
      <c r="BF1396" s="82">
        <f>($V1396-$L1396)*100</f>
        <v/>
      </c>
      <c r="BG1396" s="82">
        <f>$AG1396-$AF1396</f>
        <v/>
      </c>
      <c r="BH1396" s="81">
        <f>IFERROR($AG1396/$AF1396,"")</f>
        <v/>
      </c>
      <c r="BI1396" s="82">
        <f>$AJ1396-$AF1396</f>
        <v/>
      </c>
      <c r="BJ1396" s="81">
        <f>IFERROR($AJ1396/$AG1396,"")</f>
        <v/>
      </c>
      <c r="BK1396" s="81">
        <f>$X1396</f>
        <v/>
      </c>
      <c r="BL1396" s="82">
        <f>($J1396-$J1397)*100</f>
        <v/>
      </c>
      <c r="BM1396" s="82">
        <f>($F1396-$F1397)*100</f>
        <v/>
      </c>
      <c r="BN1396" s="82">
        <f>$AF1396-$AF1397</f>
        <v/>
      </c>
      <c r="BO1396" s="82">
        <f>$AG1396-$AG1397</f>
        <v/>
      </c>
      <c r="BP1396" s="82">
        <f>$AJ1396-$AJ1397</f>
        <v/>
      </c>
    </row>
    <row r="1397">
      <c r="AR1397" s="81">
        <f>($G1397+($H1397-$G1397)*0.5)+($P1397-($O1397+($Q1397-$O1397)*0.5))</f>
        <v/>
      </c>
      <c r="AS1397" s="81">
        <f>($J1397+($K1397-$J1397)*0.5)+($T1397-($S1397+($U1397-$S1397)*0.5))</f>
        <v/>
      </c>
      <c r="AT1397" s="82">
        <f>($J1397-$C1397)*100</f>
        <v/>
      </c>
      <c r="AU1397" s="82">
        <f>($H1397-$F1397)*100</f>
        <v/>
      </c>
      <c r="AV1397" s="82">
        <f>($J1397-$F1397)*100</f>
        <v/>
      </c>
      <c r="AW1397" s="82">
        <f>($L1397-$F1397)*100</f>
        <v/>
      </c>
      <c r="AX1397" s="82">
        <f>($J1397-$H1397)*100</f>
        <v/>
      </c>
      <c r="AY1397" s="82">
        <f>($L1397-$H1397)*100</f>
        <v/>
      </c>
      <c r="AZ1397" s="82">
        <f>($L1397-$J1397)*100</f>
        <v/>
      </c>
      <c r="BA1397" s="82">
        <f>(2*$H1397-$F1397-$J1397)*100</f>
        <v/>
      </c>
      <c r="BB1397" s="82">
        <f>(2*$J1397-$H1397-$L1397)*100</f>
        <v/>
      </c>
      <c r="BC1397" s="82">
        <f>($N1397-$F1397)*100</f>
        <v/>
      </c>
      <c r="BD1397" s="82">
        <f>($Q1397-$H1397)*100</f>
        <v/>
      </c>
      <c r="BE1397" s="82">
        <f>($S1397-$J1397)*100</f>
        <v/>
      </c>
      <c r="BF1397" s="82">
        <f>($V1397-$L1397)*100</f>
        <v/>
      </c>
      <c r="BG1397" s="82">
        <f>$AG1397-$AF1397</f>
        <v/>
      </c>
      <c r="BH1397" s="81">
        <f>IFERROR($AG1397/$AF1397,"")</f>
        <v/>
      </c>
      <c r="BI1397" s="82">
        <f>$AJ1397-$AF1397</f>
        <v/>
      </c>
      <c r="BJ1397" s="81">
        <f>IFERROR($AJ1397/$AG1397,"")</f>
        <v/>
      </c>
      <c r="BK1397" s="81">
        <f>$X1397</f>
        <v/>
      </c>
      <c r="BL1397" s="82">
        <f>($J1397-$J1398)*100</f>
        <v/>
      </c>
      <c r="BM1397" s="82">
        <f>($F1397-$F1398)*100</f>
        <v/>
      </c>
      <c r="BN1397" s="82">
        <f>$AF1397-$AF1398</f>
        <v/>
      </c>
      <c r="BO1397" s="82">
        <f>$AG1397-$AG1398</f>
        <v/>
      </c>
      <c r="BP1397" s="82">
        <f>$AJ1397-$AJ1398</f>
        <v/>
      </c>
    </row>
    <row r="1398">
      <c r="AR1398" s="81">
        <f>($G1398+($H1398-$G1398)*0.5)+($P1398-($O1398+($Q1398-$O1398)*0.5))</f>
        <v/>
      </c>
      <c r="AS1398" s="81">
        <f>($J1398+($K1398-$J1398)*0.5)+($T1398-($S1398+($U1398-$S1398)*0.5))</f>
        <v/>
      </c>
      <c r="AT1398" s="82">
        <f>($J1398-$C1398)*100</f>
        <v/>
      </c>
      <c r="AU1398" s="82">
        <f>($H1398-$F1398)*100</f>
        <v/>
      </c>
      <c r="AV1398" s="82">
        <f>($J1398-$F1398)*100</f>
        <v/>
      </c>
      <c r="AW1398" s="82">
        <f>($L1398-$F1398)*100</f>
        <v/>
      </c>
      <c r="AX1398" s="82">
        <f>($J1398-$H1398)*100</f>
        <v/>
      </c>
      <c r="AY1398" s="82">
        <f>($L1398-$H1398)*100</f>
        <v/>
      </c>
      <c r="AZ1398" s="82">
        <f>($L1398-$J1398)*100</f>
        <v/>
      </c>
      <c r="BA1398" s="82">
        <f>(2*$H1398-$F1398-$J1398)*100</f>
        <v/>
      </c>
      <c r="BB1398" s="82">
        <f>(2*$J1398-$H1398-$L1398)*100</f>
        <v/>
      </c>
      <c r="BC1398" s="82">
        <f>($N1398-$F1398)*100</f>
        <v/>
      </c>
      <c r="BD1398" s="82">
        <f>($Q1398-$H1398)*100</f>
        <v/>
      </c>
      <c r="BE1398" s="82">
        <f>($S1398-$J1398)*100</f>
        <v/>
      </c>
      <c r="BF1398" s="82">
        <f>($V1398-$L1398)*100</f>
        <v/>
      </c>
      <c r="BG1398" s="82">
        <f>$AG1398-$AF1398</f>
        <v/>
      </c>
      <c r="BH1398" s="81">
        <f>IFERROR($AG1398/$AF1398,"")</f>
        <v/>
      </c>
      <c r="BI1398" s="82">
        <f>$AJ1398-$AF1398</f>
        <v/>
      </c>
      <c r="BJ1398" s="81">
        <f>IFERROR($AJ1398/$AG1398,"")</f>
        <v/>
      </c>
      <c r="BK1398" s="81">
        <f>$X1398</f>
        <v/>
      </c>
      <c r="BL1398" s="82">
        <f>($J1398-$J1399)*100</f>
        <v/>
      </c>
      <c r="BM1398" s="82">
        <f>($F1398-$F1399)*100</f>
        <v/>
      </c>
      <c r="BN1398" s="82">
        <f>$AF1398-$AF1399</f>
        <v/>
      </c>
      <c r="BO1398" s="82">
        <f>$AG1398-$AG1399</f>
        <v/>
      </c>
      <c r="BP1398" s="82">
        <f>$AJ1398-$AJ1399</f>
        <v/>
      </c>
    </row>
    <row r="1399">
      <c r="AR1399" s="81">
        <f>($G1399+($H1399-$G1399)*0.5)+($P1399-($O1399+($Q1399-$O1399)*0.5))</f>
        <v/>
      </c>
      <c r="AS1399" s="81">
        <f>($J1399+($K1399-$J1399)*0.5)+($T1399-($S1399+($U1399-$S1399)*0.5))</f>
        <v/>
      </c>
      <c r="AT1399" s="82">
        <f>($J1399-$C1399)*100</f>
        <v/>
      </c>
      <c r="AU1399" s="82">
        <f>($H1399-$F1399)*100</f>
        <v/>
      </c>
      <c r="AV1399" s="82">
        <f>($J1399-$F1399)*100</f>
        <v/>
      </c>
      <c r="AW1399" s="82">
        <f>($L1399-$F1399)*100</f>
        <v/>
      </c>
      <c r="AX1399" s="82">
        <f>($J1399-$H1399)*100</f>
        <v/>
      </c>
      <c r="AY1399" s="82">
        <f>($L1399-$H1399)*100</f>
        <v/>
      </c>
      <c r="AZ1399" s="82">
        <f>($L1399-$J1399)*100</f>
        <v/>
      </c>
      <c r="BA1399" s="82">
        <f>(2*$H1399-$F1399-$J1399)*100</f>
        <v/>
      </c>
      <c r="BB1399" s="82">
        <f>(2*$J1399-$H1399-$L1399)*100</f>
        <v/>
      </c>
      <c r="BC1399" s="82">
        <f>($N1399-$F1399)*100</f>
        <v/>
      </c>
      <c r="BD1399" s="82">
        <f>($Q1399-$H1399)*100</f>
        <v/>
      </c>
      <c r="BE1399" s="82">
        <f>($S1399-$J1399)*100</f>
        <v/>
      </c>
      <c r="BF1399" s="82">
        <f>($V1399-$L1399)*100</f>
        <v/>
      </c>
      <c r="BG1399" s="82">
        <f>$AG1399-$AF1399</f>
        <v/>
      </c>
      <c r="BH1399" s="81">
        <f>IFERROR($AG1399/$AF1399,"")</f>
        <v/>
      </c>
      <c r="BI1399" s="82">
        <f>$AJ1399-$AF1399</f>
        <v/>
      </c>
      <c r="BJ1399" s="81">
        <f>IFERROR($AJ1399/$AG1399,"")</f>
        <v/>
      </c>
      <c r="BK1399" s="81">
        <f>$X1399</f>
        <v/>
      </c>
      <c r="BL1399" s="82">
        <f>($J1399-$J1400)*100</f>
        <v/>
      </c>
      <c r="BM1399" s="82">
        <f>($F1399-$F1400)*100</f>
        <v/>
      </c>
      <c r="BN1399" s="82">
        <f>$AF1399-$AF1400</f>
        <v/>
      </c>
      <c r="BO1399" s="82">
        <f>$AG1399-$AG1400</f>
        <v/>
      </c>
      <c r="BP1399" s="82">
        <f>$AJ1399-$AJ1400</f>
        <v/>
      </c>
    </row>
    <row r="1400">
      <c r="AR1400" s="81">
        <f>($G1400+($H1400-$G1400)*0.5)+($P1400-($O1400+($Q1400-$O1400)*0.5))</f>
        <v/>
      </c>
      <c r="AS1400" s="81">
        <f>($J1400+($K1400-$J1400)*0.5)+($T1400-($S1400+($U1400-$S1400)*0.5))</f>
        <v/>
      </c>
      <c r="AT1400" s="82">
        <f>($J1400-$C1400)*100</f>
        <v/>
      </c>
      <c r="AU1400" s="82">
        <f>($H1400-$F1400)*100</f>
        <v/>
      </c>
      <c r="AV1400" s="82">
        <f>($J1400-$F1400)*100</f>
        <v/>
      </c>
      <c r="AW1400" s="82">
        <f>($L1400-$F1400)*100</f>
        <v/>
      </c>
      <c r="AX1400" s="82">
        <f>($J1400-$H1400)*100</f>
        <v/>
      </c>
      <c r="AY1400" s="82">
        <f>($L1400-$H1400)*100</f>
        <v/>
      </c>
      <c r="AZ1400" s="82">
        <f>($L1400-$J1400)*100</f>
        <v/>
      </c>
      <c r="BA1400" s="82">
        <f>(2*$H1400-$F1400-$J1400)*100</f>
        <v/>
      </c>
      <c r="BB1400" s="82">
        <f>(2*$J1400-$H1400-$L1400)*100</f>
        <v/>
      </c>
      <c r="BC1400" s="82">
        <f>($N1400-$F1400)*100</f>
        <v/>
      </c>
      <c r="BD1400" s="82">
        <f>($Q1400-$H1400)*100</f>
        <v/>
      </c>
      <c r="BE1400" s="82">
        <f>($S1400-$J1400)*100</f>
        <v/>
      </c>
      <c r="BF1400" s="82">
        <f>($V1400-$L1400)*100</f>
        <v/>
      </c>
      <c r="BG1400" s="82">
        <f>$AG1400-$AF1400</f>
        <v/>
      </c>
      <c r="BH1400" s="81">
        <f>IFERROR($AG1400/$AF1400,"")</f>
        <v/>
      </c>
      <c r="BI1400" s="82">
        <f>$AJ1400-$AF1400</f>
        <v/>
      </c>
      <c r="BJ1400" s="81">
        <f>IFERROR($AJ1400/$AG1400,"")</f>
        <v/>
      </c>
      <c r="BK1400" s="81">
        <f>$X1400</f>
        <v/>
      </c>
      <c r="BL1400" s="82">
        <f>($J1400-$J1401)*100</f>
        <v/>
      </c>
      <c r="BM1400" s="82">
        <f>($F1400-$F1401)*100</f>
        <v/>
      </c>
      <c r="BN1400" s="82">
        <f>$AF1400-$AF1401</f>
        <v/>
      </c>
      <c r="BO1400" s="82">
        <f>$AG1400-$AG1401</f>
        <v/>
      </c>
      <c r="BP1400" s="82">
        <f>$AJ1400-$AJ1401</f>
        <v/>
      </c>
    </row>
    <row r="1401">
      <c r="AR1401" s="81">
        <f>($G1401+($H1401-$G1401)*0.5)+($P1401-($O1401+($Q1401-$O1401)*0.5))</f>
        <v/>
      </c>
      <c r="AS1401" s="81">
        <f>($J1401+($K1401-$J1401)*0.5)+($T1401-($S1401+($U1401-$S1401)*0.5))</f>
        <v/>
      </c>
      <c r="AT1401" s="82">
        <f>($J1401-$C1401)*100</f>
        <v/>
      </c>
      <c r="AU1401" s="82">
        <f>($H1401-$F1401)*100</f>
        <v/>
      </c>
      <c r="AV1401" s="82">
        <f>($J1401-$F1401)*100</f>
        <v/>
      </c>
      <c r="AW1401" s="82">
        <f>($L1401-$F1401)*100</f>
        <v/>
      </c>
      <c r="AX1401" s="82">
        <f>($J1401-$H1401)*100</f>
        <v/>
      </c>
      <c r="AY1401" s="82">
        <f>($L1401-$H1401)*100</f>
        <v/>
      </c>
      <c r="AZ1401" s="82">
        <f>($L1401-$J1401)*100</f>
        <v/>
      </c>
      <c r="BA1401" s="82">
        <f>(2*$H1401-$F1401-$J1401)*100</f>
        <v/>
      </c>
      <c r="BB1401" s="82">
        <f>(2*$J1401-$H1401-$L1401)*100</f>
        <v/>
      </c>
      <c r="BC1401" s="82">
        <f>($N1401-$F1401)*100</f>
        <v/>
      </c>
      <c r="BD1401" s="82">
        <f>($Q1401-$H1401)*100</f>
        <v/>
      </c>
      <c r="BE1401" s="82">
        <f>($S1401-$J1401)*100</f>
        <v/>
      </c>
      <c r="BF1401" s="82">
        <f>($V1401-$L1401)*100</f>
        <v/>
      </c>
      <c r="BG1401" s="82">
        <f>$AG1401-$AF1401</f>
        <v/>
      </c>
      <c r="BH1401" s="81">
        <f>IFERROR($AG1401/$AF1401,"")</f>
        <v/>
      </c>
      <c r="BI1401" s="82">
        <f>$AJ1401-$AF1401</f>
        <v/>
      </c>
      <c r="BJ1401" s="81">
        <f>IFERROR($AJ1401/$AG1401,"")</f>
        <v/>
      </c>
      <c r="BK1401" s="81">
        <f>$X1401</f>
        <v/>
      </c>
      <c r="BL1401" s="82">
        <f>($J1401-$J1402)*100</f>
        <v/>
      </c>
      <c r="BM1401" s="82">
        <f>($F1401-$F1402)*100</f>
        <v/>
      </c>
      <c r="BN1401" s="82">
        <f>$AF1401-$AF1402</f>
        <v/>
      </c>
      <c r="BO1401" s="82">
        <f>$AG1401-$AG1402</f>
        <v/>
      </c>
      <c r="BP1401" s="82">
        <f>$AJ1401-$AJ1402</f>
        <v/>
      </c>
    </row>
    <row r="1402">
      <c r="AR1402" s="81">
        <f>($G1402+($H1402-$G1402)*0.5)+($P1402-($O1402+($Q1402-$O1402)*0.5))</f>
        <v/>
      </c>
      <c r="AS1402" s="81">
        <f>($J1402+($K1402-$J1402)*0.5)+($T1402-($S1402+($U1402-$S1402)*0.5))</f>
        <v/>
      </c>
      <c r="AT1402" s="82">
        <f>($J1402-$C1402)*100</f>
        <v/>
      </c>
      <c r="AU1402" s="82">
        <f>($H1402-$F1402)*100</f>
        <v/>
      </c>
      <c r="AV1402" s="82">
        <f>($J1402-$F1402)*100</f>
        <v/>
      </c>
      <c r="AW1402" s="82">
        <f>($L1402-$F1402)*100</f>
        <v/>
      </c>
      <c r="AX1402" s="82">
        <f>($J1402-$H1402)*100</f>
        <v/>
      </c>
      <c r="AY1402" s="82">
        <f>($L1402-$H1402)*100</f>
        <v/>
      </c>
      <c r="AZ1402" s="82">
        <f>($L1402-$J1402)*100</f>
        <v/>
      </c>
      <c r="BA1402" s="82">
        <f>(2*$H1402-$F1402-$J1402)*100</f>
        <v/>
      </c>
      <c r="BB1402" s="82">
        <f>(2*$J1402-$H1402-$L1402)*100</f>
        <v/>
      </c>
      <c r="BC1402" s="82">
        <f>($N1402-$F1402)*100</f>
        <v/>
      </c>
      <c r="BD1402" s="82">
        <f>($Q1402-$H1402)*100</f>
        <v/>
      </c>
      <c r="BE1402" s="82">
        <f>($S1402-$J1402)*100</f>
        <v/>
      </c>
      <c r="BF1402" s="82">
        <f>($V1402-$L1402)*100</f>
        <v/>
      </c>
      <c r="BG1402" s="82">
        <f>$AG1402-$AF1402</f>
        <v/>
      </c>
      <c r="BH1402" s="81">
        <f>IFERROR($AG1402/$AF1402,"")</f>
        <v/>
      </c>
      <c r="BI1402" s="82">
        <f>$AJ1402-$AF1402</f>
        <v/>
      </c>
      <c r="BJ1402" s="81">
        <f>IFERROR($AJ1402/$AG1402,"")</f>
        <v/>
      </c>
      <c r="BK1402" s="81">
        <f>$X1402</f>
        <v/>
      </c>
      <c r="BL1402" s="82">
        <f>($J1402-$J1403)*100</f>
        <v/>
      </c>
      <c r="BM1402" s="82">
        <f>($F1402-$F1403)*100</f>
        <v/>
      </c>
      <c r="BN1402" s="82">
        <f>$AF1402-$AF1403</f>
        <v/>
      </c>
      <c r="BO1402" s="82">
        <f>$AG1402-$AG1403</f>
        <v/>
      </c>
      <c r="BP1402" s="82">
        <f>$AJ1402-$AJ1403</f>
        <v/>
      </c>
    </row>
    <row r="1403">
      <c r="AR1403" s="81">
        <f>($G1403+($H1403-$G1403)*0.5)+($P1403-($O1403+($Q1403-$O1403)*0.5))</f>
        <v/>
      </c>
      <c r="AS1403" s="81">
        <f>($J1403+($K1403-$J1403)*0.5)+($T1403-($S1403+($U1403-$S1403)*0.5))</f>
        <v/>
      </c>
      <c r="AT1403" s="82">
        <f>($J1403-$C1403)*100</f>
        <v/>
      </c>
      <c r="AU1403" s="82">
        <f>($H1403-$F1403)*100</f>
        <v/>
      </c>
      <c r="AV1403" s="82">
        <f>($J1403-$F1403)*100</f>
        <v/>
      </c>
      <c r="AW1403" s="82">
        <f>($L1403-$F1403)*100</f>
        <v/>
      </c>
      <c r="AX1403" s="82">
        <f>($J1403-$H1403)*100</f>
        <v/>
      </c>
      <c r="AY1403" s="82">
        <f>($L1403-$H1403)*100</f>
        <v/>
      </c>
      <c r="AZ1403" s="82">
        <f>($L1403-$J1403)*100</f>
        <v/>
      </c>
      <c r="BA1403" s="82">
        <f>(2*$H1403-$F1403-$J1403)*100</f>
        <v/>
      </c>
      <c r="BB1403" s="82">
        <f>(2*$J1403-$H1403-$L1403)*100</f>
        <v/>
      </c>
      <c r="BC1403" s="82">
        <f>($N1403-$F1403)*100</f>
        <v/>
      </c>
      <c r="BD1403" s="82">
        <f>($Q1403-$H1403)*100</f>
        <v/>
      </c>
      <c r="BE1403" s="82">
        <f>($S1403-$J1403)*100</f>
        <v/>
      </c>
      <c r="BF1403" s="82">
        <f>($V1403-$L1403)*100</f>
        <v/>
      </c>
      <c r="BG1403" s="82">
        <f>$AG1403-$AF1403</f>
        <v/>
      </c>
      <c r="BH1403" s="81">
        <f>IFERROR($AG1403/$AF1403,"")</f>
        <v/>
      </c>
      <c r="BI1403" s="82">
        <f>$AJ1403-$AF1403</f>
        <v/>
      </c>
      <c r="BJ1403" s="81">
        <f>IFERROR($AJ1403/$AG1403,"")</f>
        <v/>
      </c>
      <c r="BK1403" s="81">
        <f>$X1403</f>
        <v/>
      </c>
      <c r="BL1403" s="82">
        <f>($J1403-$J1404)*100</f>
        <v/>
      </c>
      <c r="BM1403" s="82">
        <f>($F1403-$F1404)*100</f>
        <v/>
      </c>
      <c r="BN1403" s="82">
        <f>$AF1403-$AF1404</f>
        <v/>
      </c>
      <c r="BO1403" s="82">
        <f>$AG1403-$AG1404</f>
        <v/>
      </c>
      <c r="BP1403" s="82">
        <f>$AJ1403-$AJ1404</f>
        <v/>
      </c>
    </row>
    <row r="1404">
      <c r="AR1404" s="81">
        <f>($G1404+($H1404-$G1404)*0.5)+($P1404-($O1404+($Q1404-$O1404)*0.5))</f>
        <v/>
      </c>
      <c r="AS1404" s="81">
        <f>($J1404+($K1404-$J1404)*0.5)+($T1404-($S1404+($U1404-$S1404)*0.5))</f>
        <v/>
      </c>
      <c r="AT1404" s="82">
        <f>($J1404-$C1404)*100</f>
        <v/>
      </c>
      <c r="AU1404" s="82">
        <f>($H1404-$F1404)*100</f>
        <v/>
      </c>
      <c r="AV1404" s="82">
        <f>($J1404-$F1404)*100</f>
        <v/>
      </c>
      <c r="AW1404" s="82">
        <f>($L1404-$F1404)*100</f>
        <v/>
      </c>
      <c r="AX1404" s="82">
        <f>($J1404-$H1404)*100</f>
        <v/>
      </c>
      <c r="AY1404" s="82">
        <f>($L1404-$H1404)*100</f>
        <v/>
      </c>
      <c r="AZ1404" s="82">
        <f>($L1404-$J1404)*100</f>
        <v/>
      </c>
      <c r="BA1404" s="82">
        <f>(2*$H1404-$F1404-$J1404)*100</f>
        <v/>
      </c>
      <c r="BB1404" s="82">
        <f>(2*$J1404-$H1404-$L1404)*100</f>
        <v/>
      </c>
      <c r="BC1404" s="82">
        <f>($N1404-$F1404)*100</f>
        <v/>
      </c>
      <c r="BD1404" s="82">
        <f>($Q1404-$H1404)*100</f>
        <v/>
      </c>
      <c r="BE1404" s="82">
        <f>($S1404-$J1404)*100</f>
        <v/>
      </c>
      <c r="BF1404" s="82">
        <f>($V1404-$L1404)*100</f>
        <v/>
      </c>
      <c r="BG1404" s="82">
        <f>$AG1404-$AF1404</f>
        <v/>
      </c>
      <c r="BH1404" s="81">
        <f>IFERROR($AG1404/$AF1404,"")</f>
        <v/>
      </c>
      <c r="BI1404" s="82">
        <f>$AJ1404-$AF1404</f>
        <v/>
      </c>
      <c r="BJ1404" s="81">
        <f>IFERROR($AJ1404/$AG1404,"")</f>
        <v/>
      </c>
      <c r="BK1404" s="81">
        <f>$X1404</f>
        <v/>
      </c>
      <c r="BL1404" s="82">
        <f>($J1404-$J1405)*100</f>
        <v/>
      </c>
      <c r="BM1404" s="82">
        <f>($F1404-$F1405)*100</f>
        <v/>
      </c>
      <c r="BN1404" s="82">
        <f>$AF1404-$AF1405</f>
        <v/>
      </c>
      <c r="BO1404" s="82">
        <f>$AG1404-$AG1405</f>
        <v/>
      </c>
      <c r="BP1404" s="82">
        <f>$AJ1404-$AJ1405</f>
        <v/>
      </c>
    </row>
    <row r="1405">
      <c r="AR1405" s="81">
        <f>($G1405+($H1405-$G1405)*0.5)+($P1405-($O1405+($Q1405-$O1405)*0.5))</f>
        <v/>
      </c>
      <c r="AS1405" s="81">
        <f>($J1405+($K1405-$J1405)*0.5)+($T1405-($S1405+($U1405-$S1405)*0.5))</f>
        <v/>
      </c>
      <c r="AT1405" s="82">
        <f>($J1405-$C1405)*100</f>
        <v/>
      </c>
      <c r="AU1405" s="82">
        <f>($H1405-$F1405)*100</f>
        <v/>
      </c>
      <c r="AV1405" s="82">
        <f>($J1405-$F1405)*100</f>
        <v/>
      </c>
      <c r="AW1405" s="82">
        <f>($L1405-$F1405)*100</f>
        <v/>
      </c>
      <c r="AX1405" s="82">
        <f>($J1405-$H1405)*100</f>
        <v/>
      </c>
      <c r="AY1405" s="82">
        <f>($L1405-$H1405)*100</f>
        <v/>
      </c>
      <c r="AZ1405" s="82">
        <f>($L1405-$J1405)*100</f>
        <v/>
      </c>
      <c r="BA1405" s="82">
        <f>(2*$H1405-$F1405-$J1405)*100</f>
        <v/>
      </c>
      <c r="BB1405" s="82">
        <f>(2*$J1405-$H1405-$L1405)*100</f>
        <v/>
      </c>
      <c r="BC1405" s="82">
        <f>($N1405-$F1405)*100</f>
        <v/>
      </c>
      <c r="BD1405" s="82">
        <f>($Q1405-$H1405)*100</f>
        <v/>
      </c>
      <c r="BE1405" s="82">
        <f>($S1405-$J1405)*100</f>
        <v/>
      </c>
      <c r="BF1405" s="82">
        <f>($V1405-$L1405)*100</f>
        <v/>
      </c>
      <c r="BG1405" s="82">
        <f>$AG1405-$AF1405</f>
        <v/>
      </c>
      <c r="BH1405" s="81">
        <f>IFERROR($AG1405/$AF1405,"")</f>
        <v/>
      </c>
      <c r="BI1405" s="82">
        <f>$AJ1405-$AF1405</f>
        <v/>
      </c>
      <c r="BJ1405" s="81">
        <f>IFERROR($AJ1405/$AG1405,"")</f>
        <v/>
      </c>
      <c r="BK1405" s="81">
        <f>$X1405</f>
        <v/>
      </c>
      <c r="BL1405" s="82">
        <f>($J1405-$J1406)*100</f>
        <v/>
      </c>
      <c r="BM1405" s="82">
        <f>($F1405-$F1406)*100</f>
        <v/>
      </c>
      <c r="BN1405" s="82">
        <f>$AF1405-$AF1406</f>
        <v/>
      </c>
      <c r="BO1405" s="82">
        <f>$AG1405-$AG1406</f>
        <v/>
      </c>
      <c r="BP1405" s="82">
        <f>$AJ1405-$AJ1406</f>
        <v/>
      </c>
    </row>
    <row r="1406">
      <c r="AR1406" s="81">
        <f>($G1406+($H1406-$G1406)*0.5)+($P1406-($O1406+($Q1406-$O1406)*0.5))</f>
        <v/>
      </c>
      <c r="AS1406" s="81">
        <f>($J1406+($K1406-$J1406)*0.5)+($T1406-($S1406+($U1406-$S1406)*0.5))</f>
        <v/>
      </c>
      <c r="AT1406" s="82">
        <f>($J1406-$C1406)*100</f>
        <v/>
      </c>
      <c r="AU1406" s="82">
        <f>($H1406-$F1406)*100</f>
        <v/>
      </c>
      <c r="AV1406" s="82">
        <f>($J1406-$F1406)*100</f>
        <v/>
      </c>
      <c r="AW1406" s="82">
        <f>($L1406-$F1406)*100</f>
        <v/>
      </c>
      <c r="AX1406" s="82">
        <f>($J1406-$H1406)*100</f>
        <v/>
      </c>
      <c r="AY1406" s="82">
        <f>($L1406-$H1406)*100</f>
        <v/>
      </c>
      <c r="AZ1406" s="82">
        <f>($L1406-$J1406)*100</f>
        <v/>
      </c>
      <c r="BA1406" s="82">
        <f>(2*$H1406-$F1406-$J1406)*100</f>
        <v/>
      </c>
      <c r="BB1406" s="82">
        <f>(2*$J1406-$H1406-$L1406)*100</f>
        <v/>
      </c>
      <c r="BC1406" s="82">
        <f>($N1406-$F1406)*100</f>
        <v/>
      </c>
      <c r="BD1406" s="82">
        <f>($Q1406-$H1406)*100</f>
        <v/>
      </c>
      <c r="BE1406" s="82">
        <f>($S1406-$J1406)*100</f>
        <v/>
      </c>
      <c r="BF1406" s="82">
        <f>($V1406-$L1406)*100</f>
        <v/>
      </c>
      <c r="BG1406" s="82">
        <f>$AG1406-$AF1406</f>
        <v/>
      </c>
      <c r="BH1406" s="81">
        <f>IFERROR($AG1406/$AF1406,"")</f>
        <v/>
      </c>
      <c r="BI1406" s="82">
        <f>$AJ1406-$AF1406</f>
        <v/>
      </c>
      <c r="BJ1406" s="81">
        <f>IFERROR($AJ1406/$AG1406,"")</f>
        <v/>
      </c>
      <c r="BK1406" s="81">
        <f>$X1406</f>
        <v/>
      </c>
      <c r="BL1406" s="82">
        <f>($J1406-$J1407)*100</f>
        <v/>
      </c>
      <c r="BM1406" s="82">
        <f>($F1406-$F1407)*100</f>
        <v/>
      </c>
      <c r="BN1406" s="82">
        <f>$AF1406-$AF1407</f>
        <v/>
      </c>
      <c r="BO1406" s="82">
        <f>$AG1406-$AG1407</f>
        <v/>
      </c>
      <c r="BP1406" s="82">
        <f>$AJ1406-$AJ1407</f>
        <v/>
      </c>
    </row>
    <row r="1407">
      <c r="AR1407" s="81">
        <f>($G1407+($H1407-$G1407)*0.5)+($P1407-($O1407+($Q1407-$O1407)*0.5))</f>
        <v/>
      </c>
      <c r="AS1407" s="81">
        <f>($J1407+($K1407-$J1407)*0.5)+($T1407-($S1407+($U1407-$S1407)*0.5))</f>
        <v/>
      </c>
      <c r="AT1407" s="82">
        <f>($J1407-$C1407)*100</f>
        <v/>
      </c>
      <c r="AU1407" s="82">
        <f>($H1407-$F1407)*100</f>
        <v/>
      </c>
      <c r="AV1407" s="82">
        <f>($J1407-$F1407)*100</f>
        <v/>
      </c>
      <c r="AW1407" s="82">
        <f>($L1407-$F1407)*100</f>
        <v/>
      </c>
      <c r="AX1407" s="82">
        <f>($J1407-$H1407)*100</f>
        <v/>
      </c>
      <c r="AY1407" s="82">
        <f>($L1407-$H1407)*100</f>
        <v/>
      </c>
      <c r="AZ1407" s="82">
        <f>($L1407-$J1407)*100</f>
        <v/>
      </c>
      <c r="BA1407" s="82">
        <f>(2*$H1407-$F1407-$J1407)*100</f>
        <v/>
      </c>
      <c r="BB1407" s="82">
        <f>(2*$J1407-$H1407-$L1407)*100</f>
        <v/>
      </c>
      <c r="BC1407" s="82">
        <f>($N1407-$F1407)*100</f>
        <v/>
      </c>
      <c r="BD1407" s="82">
        <f>($Q1407-$H1407)*100</f>
        <v/>
      </c>
      <c r="BE1407" s="82">
        <f>($S1407-$J1407)*100</f>
        <v/>
      </c>
      <c r="BF1407" s="82">
        <f>($V1407-$L1407)*100</f>
        <v/>
      </c>
      <c r="BG1407" s="82">
        <f>$AG1407-$AF1407</f>
        <v/>
      </c>
      <c r="BH1407" s="81">
        <f>IFERROR($AG1407/$AF1407,"")</f>
        <v/>
      </c>
      <c r="BI1407" s="82">
        <f>$AJ1407-$AF1407</f>
        <v/>
      </c>
      <c r="BJ1407" s="81">
        <f>IFERROR($AJ1407/$AG1407,"")</f>
        <v/>
      </c>
      <c r="BK1407" s="81">
        <f>$X1407</f>
        <v/>
      </c>
      <c r="BL1407" s="82">
        <f>($J1407-$J1408)*100</f>
        <v/>
      </c>
      <c r="BM1407" s="82">
        <f>($F1407-$F1408)*100</f>
        <v/>
      </c>
      <c r="BN1407" s="82">
        <f>$AF1407-$AF1408</f>
        <v/>
      </c>
      <c r="BO1407" s="82">
        <f>$AG1407-$AG1408</f>
        <v/>
      </c>
      <c r="BP1407" s="82">
        <f>$AJ1407-$AJ1408</f>
        <v/>
      </c>
    </row>
    <row r="1408">
      <c r="AR1408" s="81">
        <f>($G1408+($H1408-$G1408)*0.5)+($P1408-($O1408+($Q1408-$O1408)*0.5))</f>
        <v/>
      </c>
      <c r="AS1408" s="81">
        <f>($J1408+($K1408-$J1408)*0.5)+($T1408-($S1408+($U1408-$S1408)*0.5))</f>
        <v/>
      </c>
      <c r="AT1408" s="82">
        <f>($J1408-$C1408)*100</f>
        <v/>
      </c>
      <c r="AU1408" s="82">
        <f>($H1408-$F1408)*100</f>
        <v/>
      </c>
      <c r="AV1408" s="82">
        <f>($J1408-$F1408)*100</f>
        <v/>
      </c>
      <c r="AW1408" s="82">
        <f>($L1408-$F1408)*100</f>
        <v/>
      </c>
      <c r="AX1408" s="82">
        <f>($J1408-$H1408)*100</f>
        <v/>
      </c>
      <c r="AY1408" s="82">
        <f>($L1408-$H1408)*100</f>
        <v/>
      </c>
      <c r="AZ1408" s="82">
        <f>($L1408-$J1408)*100</f>
        <v/>
      </c>
      <c r="BA1408" s="82">
        <f>(2*$H1408-$F1408-$J1408)*100</f>
        <v/>
      </c>
      <c r="BB1408" s="82">
        <f>(2*$J1408-$H1408-$L1408)*100</f>
        <v/>
      </c>
      <c r="BC1408" s="82">
        <f>($N1408-$F1408)*100</f>
        <v/>
      </c>
      <c r="BD1408" s="82">
        <f>($Q1408-$H1408)*100</f>
        <v/>
      </c>
      <c r="BE1408" s="82">
        <f>($S1408-$J1408)*100</f>
        <v/>
      </c>
      <c r="BF1408" s="82">
        <f>($V1408-$L1408)*100</f>
        <v/>
      </c>
      <c r="BG1408" s="82">
        <f>$AG1408-$AF1408</f>
        <v/>
      </c>
      <c r="BH1408" s="81">
        <f>IFERROR($AG1408/$AF1408,"")</f>
        <v/>
      </c>
      <c r="BI1408" s="82">
        <f>$AJ1408-$AF1408</f>
        <v/>
      </c>
      <c r="BJ1408" s="81">
        <f>IFERROR($AJ1408/$AG1408,"")</f>
        <v/>
      </c>
      <c r="BK1408" s="81">
        <f>$X1408</f>
        <v/>
      </c>
      <c r="BL1408" s="82">
        <f>($J1408-$J1409)*100</f>
        <v/>
      </c>
      <c r="BM1408" s="82">
        <f>($F1408-$F1409)*100</f>
        <v/>
      </c>
      <c r="BN1408" s="82">
        <f>$AF1408-$AF1409</f>
        <v/>
      </c>
      <c r="BO1408" s="82">
        <f>$AG1408-$AG1409</f>
        <v/>
      </c>
      <c r="BP1408" s="82">
        <f>$AJ1408-$AJ1409</f>
        <v/>
      </c>
    </row>
    <row r="1409">
      <c r="AR1409" s="81">
        <f>($G1409+($H1409-$G1409)*0.5)+($P1409-($O1409+($Q1409-$O1409)*0.5))</f>
        <v/>
      </c>
      <c r="AS1409" s="81">
        <f>($J1409+($K1409-$J1409)*0.5)+($T1409-($S1409+($U1409-$S1409)*0.5))</f>
        <v/>
      </c>
      <c r="AT1409" s="82">
        <f>($J1409-$C1409)*100</f>
        <v/>
      </c>
      <c r="AU1409" s="82">
        <f>($H1409-$F1409)*100</f>
        <v/>
      </c>
      <c r="AV1409" s="82">
        <f>($J1409-$F1409)*100</f>
        <v/>
      </c>
      <c r="AW1409" s="82">
        <f>($L1409-$F1409)*100</f>
        <v/>
      </c>
      <c r="AX1409" s="82">
        <f>($J1409-$H1409)*100</f>
        <v/>
      </c>
      <c r="AY1409" s="82">
        <f>($L1409-$H1409)*100</f>
        <v/>
      </c>
      <c r="AZ1409" s="82">
        <f>($L1409-$J1409)*100</f>
        <v/>
      </c>
      <c r="BA1409" s="82">
        <f>(2*$H1409-$F1409-$J1409)*100</f>
        <v/>
      </c>
      <c r="BB1409" s="82">
        <f>(2*$J1409-$H1409-$L1409)*100</f>
        <v/>
      </c>
      <c r="BC1409" s="82">
        <f>($N1409-$F1409)*100</f>
        <v/>
      </c>
      <c r="BD1409" s="82">
        <f>($Q1409-$H1409)*100</f>
        <v/>
      </c>
      <c r="BE1409" s="82">
        <f>($S1409-$J1409)*100</f>
        <v/>
      </c>
      <c r="BF1409" s="82">
        <f>($V1409-$L1409)*100</f>
        <v/>
      </c>
      <c r="BG1409" s="82">
        <f>$AG1409-$AF1409</f>
        <v/>
      </c>
      <c r="BH1409" s="81">
        <f>IFERROR($AG1409/$AF1409,"")</f>
        <v/>
      </c>
      <c r="BI1409" s="82">
        <f>$AJ1409-$AF1409</f>
        <v/>
      </c>
      <c r="BJ1409" s="81">
        <f>IFERROR($AJ1409/$AG1409,"")</f>
        <v/>
      </c>
      <c r="BK1409" s="81">
        <f>$X1409</f>
        <v/>
      </c>
      <c r="BL1409" s="82">
        <f>($J1409-$J1410)*100</f>
        <v/>
      </c>
      <c r="BM1409" s="82">
        <f>($F1409-$F1410)*100</f>
        <v/>
      </c>
      <c r="BN1409" s="82">
        <f>$AF1409-$AF1410</f>
        <v/>
      </c>
      <c r="BO1409" s="82">
        <f>$AG1409-$AG1410</f>
        <v/>
      </c>
      <c r="BP1409" s="82">
        <f>$AJ1409-$AJ1410</f>
        <v/>
      </c>
    </row>
    <row r="1410">
      <c r="AR1410" s="81">
        <f>($G1410+($H1410-$G1410)*0.5)+($P1410-($O1410+($Q1410-$O1410)*0.5))</f>
        <v/>
      </c>
      <c r="AS1410" s="81">
        <f>($J1410+($K1410-$J1410)*0.5)+($T1410-($S1410+($U1410-$S1410)*0.5))</f>
        <v/>
      </c>
      <c r="AT1410" s="82">
        <f>($J1410-$C1410)*100</f>
        <v/>
      </c>
      <c r="AU1410" s="82">
        <f>($H1410-$F1410)*100</f>
        <v/>
      </c>
      <c r="AV1410" s="82">
        <f>($J1410-$F1410)*100</f>
        <v/>
      </c>
      <c r="AW1410" s="82">
        <f>($L1410-$F1410)*100</f>
        <v/>
      </c>
      <c r="AX1410" s="82">
        <f>($J1410-$H1410)*100</f>
        <v/>
      </c>
      <c r="AY1410" s="82">
        <f>($L1410-$H1410)*100</f>
        <v/>
      </c>
      <c r="AZ1410" s="82">
        <f>($L1410-$J1410)*100</f>
        <v/>
      </c>
      <c r="BA1410" s="82">
        <f>(2*$H1410-$F1410-$J1410)*100</f>
        <v/>
      </c>
      <c r="BB1410" s="82">
        <f>(2*$J1410-$H1410-$L1410)*100</f>
        <v/>
      </c>
      <c r="BC1410" s="82">
        <f>($N1410-$F1410)*100</f>
        <v/>
      </c>
      <c r="BD1410" s="82">
        <f>($Q1410-$H1410)*100</f>
        <v/>
      </c>
      <c r="BE1410" s="82">
        <f>($S1410-$J1410)*100</f>
        <v/>
      </c>
      <c r="BF1410" s="82">
        <f>($V1410-$L1410)*100</f>
        <v/>
      </c>
      <c r="BG1410" s="82">
        <f>$AG1410-$AF1410</f>
        <v/>
      </c>
      <c r="BH1410" s="81">
        <f>IFERROR($AG1410/$AF1410,"")</f>
        <v/>
      </c>
      <c r="BI1410" s="82">
        <f>$AJ1410-$AF1410</f>
        <v/>
      </c>
      <c r="BJ1410" s="81">
        <f>IFERROR($AJ1410/$AG1410,"")</f>
        <v/>
      </c>
      <c r="BK1410" s="81">
        <f>$X1410</f>
        <v/>
      </c>
      <c r="BL1410" s="82">
        <f>($J1410-$J1411)*100</f>
        <v/>
      </c>
      <c r="BM1410" s="82">
        <f>($F1410-$F1411)*100</f>
        <v/>
      </c>
      <c r="BN1410" s="82">
        <f>$AF1410-$AF1411</f>
        <v/>
      </c>
      <c r="BO1410" s="82">
        <f>$AG1410-$AG1411</f>
        <v/>
      </c>
      <c r="BP1410" s="82">
        <f>$AJ1410-$AJ1411</f>
        <v/>
      </c>
    </row>
    <row r="1411">
      <c r="AR1411" s="81">
        <f>($G1411+($H1411-$G1411)*0.5)+($P1411-($O1411+($Q1411-$O1411)*0.5))</f>
        <v/>
      </c>
      <c r="AS1411" s="81">
        <f>($J1411+($K1411-$J1411)*0.5)+($T1411-($S1411+($U1411-$S1411)*0.5))</f>
        <v/>
      </c>
      <c r="AT1411" s="82">
        <f>($J1411-$C1411)*100</f>
        <v/>
      </c>
      <c r="AU1411" s="82">
        <f>($H1411-$F1411)*100</f>
        <v/>
      </c>
      <c r="AV1411" s="82">
        <f>($J1411-$F1411)*100</f>
        <v/>
      </c>
      <c r="AW1411" s="82">
        <f>($L1411-$F1411)*100</f>
        <v/>
      </c>
      <c r="AX1411" s="82">
        <f>($J1411-$H1411)*100</f>
        <v/>
      </c>
      <c r="AY1411" s="82">
        <f>($L1411-$H1411)*100</f>
        <v/>
      </c>
      <c r="AZ1411" s="82">
        <f>($L1411-$J1411)*100</f>
        <v/>
      </c>
      <c r="BA1411" s="82">
        <f>(2*$H1411-$F1411-$J1411)*100</f>
        <v/>
      </c>
      <c r="BB1411" s="82">
        <f>(2*$J1411-$H1411-$L1411)*100</f>
        <v/>
      </c>
      <c r="BC1411" s="82">
        <f>($N1411-$F1411)*100</f>
        <v/>
      </c>
      <c r="BD1411" s="82">
        <f>($Q1411-$H1411)*100</f>
        <v/>
      </c>
      <c r="BE1411" s="82">
        <f>($S1411-$J1411)*100</f>
        <v/>
      </c>
      <c r="BF1411" s="82">
        <f>($V1411-$L1411)*100</f>
        <v/>
      </c>
      <c r="BG1411" s="82">
        <f>$AG1411-$AF1411</f>
        <v/>
      </c>
      <c r="BH1411" s="81">
        <f>IFERROR($AG1411/$AF1411,"")</f>
        <v/>
      </c>
      <c r="BI1411" s="82">
        <f>$AJ1411-$AF1411</f>
        <v/>
      </c>
      <c r="BJ1411" s="81">
        <f>IFERROR($AJ1411/$AG1411,"")</f>
        <v/>
      </c>
      <c r="BK1411" s="81">
        <f>$X1411</f>
        <v/>
      </c>
      <c r="BL1411" s="82">
        <f>($J1411-$J1412)*100</f>
        <v/>
      </c>
      <c r="BM1411" s="82">
        <f>($F1411-$F1412)*100</f>
        <v/>
      </c>
      <c r="BN1411" s="82">
        <f>$AF1411-$AF1412</f>
        <v/>
      </c>
      <c r="BO1411" s="82">
        <f>$AG1411-$AG1412</f>
        <v/>
      </c>
      <c r="BP1411" s="82">
        <f>$AJ1411-$AJ1412</f>
        <v/>
      </c>
    </row>
    <row r="1412">
      <c r="AR1412" s="81">
        <f>($G1412+($H1412-$G1412)*0.5)+($P1412-($O1412+($Q1412-$O1412)*0.5))</f>
        <v/>
      </c>
      <c r="AS1412" s="81">
        <f>($J1412+($K1412-$J1412)*0.5)+($T1412-($S1412+($U1412-$S1412)*0.5))</f>
        <v/>
      </c>
      <c r="AT1412" s="82">
        <f>($J1412-$C1412)*100</f>
        <v/>
      </c>
      <c r="AU1412" s="82">
        <f>($H1412-$F1412)*100</f>
        <v/>
      </c>
      <c r="AV1412" s="82">
        <f>($J1412-$F1412)*100</f>
        <v/>
      </c>
      <c r="AW1412" s="82">
        <f>($L1412-$F1412)*100</f>
        <v/>
      </c>
      <c r="AX1412" s="82">
        <f>($J1412-$H1412)*100</f>
        <v/>
      </c>
      <c r="AY1412" s="82">
        <f>($L1412-$H1412)*100</f>
        <v/>
      </c>
      <c r="AZ1412" s="82">
        <f>($L1412-$J1412)*100</f>
        <v/>
      </c>
      <c r="BA1412" s="82">
        <f>(2*$H1412-$F1412-$J1412)*100</f>
        <v/>
      </c>
      <c r="BB1412" s="82">
        <f>(2*$J1412-$H1412-$L1412)*100</f>
        <v/>
      </c>
      <c r="BC1412" s="82">
        <f>($N1412-$F1412)*100</f>
        <v/>
      </c>
      <c r="BD1412" s="82">
        <f>($Q1412-$H1412)*100</f>
        <v/>
      </c>
      <c r="BE1412" s="82">
        <f>($S1412-$J1412)*100</f>
        <v/>
      </c>
      <c r="BF1412" s="82">
        <f>($V1412-$L1412)*100</f>
        <v/>
      </c>
      <c r="BG1412" s="82">
        <f>$AG1412-$AF1412</f>
        <v/>
      </c>
      <c r="BH1412" s="81">
        <f>IFERROR($AG1412/$AF1412,"")</f>
        <v/>
      </c>
      <c r="BI1412" s="82">
        <f>$AJ1412-$AF1412</f>
        <v/>
      </c>
      <c r="BJ1412" s="81">
        <f>IFERROR($AJ1412/$AG1412,"")</f>
        <v/>
      </c>
      <c r="BK1412" s="81">
        <f>$X1412</f>
        <v/>
      </c>
      <c r="BL1412" s="82">
        <f>($J1412-$J1413)*100</f>
        <v/>
      </c>
      <c r="BM1412" s="82">
        <f>($F1412-$F1413)*100</f>
        <v/>
      </c>
      <c r="BN1412" s="82">
        <f>$AF1412-$AF1413</f>
        <v/>
      </c>
      <c r="BO1412" s="82">
        <f>$AG1412-$AG1413</f>
        <v/>
      </c>
      <c r="BP1412" s="82">
        <f>$AJ1412-$AJ1413</f>
        <v/>
      </c>
    </row>
    <row r="1413">
      <c r="AR1413" s="81">
        <f>($G1413+($H1413-$G1413)*0.5)+($P1413-($O1413+($Q1413-$O1413)*0.5))</f>
        <v/>
      </c>
      <c r="AS1413" s="81">
        <f>($J1413+($K1413-$J1413)*0.5)+($T1413-($S1413+($U1413-$S1413)*0.5))</f>
        <v/>
      </c>
      <c r="AT1413" s="82">
        <f>($J1413-$C1413)*100</f>
        <v/>
      </c>
      <c r="AU1413" s="82">
        <f>($H1413-$F1413)*100</f>
        <v/>
      </c>
      <c r="AV1413" s="82">
        <f>($J1413-$F1413)*100</f>
        <v/>
      </c>
      <c r="AW1413" s="82">
        <f>($L1413-$F1413)*100</f>
        <v/>
      </c>
      <c r="AX1413" s="82">
        <f>($J1413-$H1413)*100</f>
        <v/>
      </c>
      <c r="AY1413" s="82">
        <f>($L1413-$H1413)*100</f>
        <v/>
      </c>
      <c r="AZ1413" s="82">
        <f>($L1413-$J1413)*100</f>
        <v/>
      </c>
      <c r="BA1413" s="82">
        <f>(2*$H1413-$F1413-$J1413)*100</f>
        <v/>
      </c>
      <c r="BB1413" s="82">
        <f>(2*$J1413-$H1413-$L1413)*100</f>
        <v/>
      </c>
      <c r="BC1413" s="82">
        <f>($N1413-$F1413)*100</f>
        <v/>
      </c>
      <c r="BD1413" s="82">
        <f>($Q1413-$H1413)*100</f>
        <v/>
      </c>
      <c r="BE1413" s="82">
        <f>($S1413-$J1413)*100</f>
        <v/>
      </c>
      <c r="BF1413" s="82">
        <f>($V1413-$L1413)*100</f>
        <v/>
      </c>
      <c r="BG1413" s="82">
        <f>$AG1413-$AF1413</f>
        <v/>
      </c>
      <c r="BH1413" s="81">
        <f>IFERROR($AG1413/$AF1413,"")</f>
        <v/>
      </c>
      <c r="BI1413" s="82">
        <f>$AJ1413-$AF1413</f>
        <v/>
      </c>
      <c r="BJ1413" s="81">
        <f>IFERROR($AJ1413/$AG1413,"")</f>
        <v/>
      </c>
      <c r="BK1413" s="81">
        <f>$X1413</f>
        <v/>
      </c>
      <c r="BL1413" s="82">
        <f>($J1413-$J1414)*100</f>
        <v/>
      </c>
      <c r="BM1413" s="82">
        <f>($F1413-$F1414)*100</f>
        <v/>
      </c>
      <c r="BN1413" s="82">
        <f>$AF1413-$AF1414</f>
        <v/>
      </c>
      <c r="BO1413" s="82">
        <f>$AG1413-$AG1414</f>
        <v/>
      </c>
      <c r="BP1413" s="82">
        <f>$AJ1413-$AJ1414</f>
        <v/>
      </c>
    </row>
    <row r="1414">
      <c r="AR1414" s="81">
        <f>($G1414+($H1414-$G1414)*0.5)+($P1414-($O1414+($Q1414-$O1414)*0.5))</f>
        <v/>
      </c>
      <c r="AS1414" s="81">
        <f>($J1414+($K1414-$J1414)*0.5)+($T1414-($S1414+($U1414-$S1414)*0.5))</f>
        <v/>
      </c>
      <c r="AT1414" s="82">
        <f>($J1414-$C1414)*100</f>
        <v/>
      </c>
      <c r="AU1414" s="82">
        <f>($H1414-$F1414)*100</f>
        <v/>
      </c>
      <c r="AV1414" s="82">
        <f>($J1414-$F1414)*100</f>
        <v/>
      </c>
      <c r="AW1414" s="82">
        <f>($L1414-$F1414)*100</f>
        <v/>
      </c>
      <c r="AX1414" s="82">
        <f>($J1414-$H1414)*100</f>
        <v/>
      </c>
      <c r="AY1414" s="82">
        <f>($L1414-$H1414)*100</f>
        <v/>
      </c>
      <c r="AZ1414" s="82">
        <f>($L1414-$J1414)*100</f>
        <v/>
      </c>
      <c r="BA1414" s="82">
        <f>(2*$H1414-$F1414-$J1414)*100</f>
        <v/>
      </c>
      <c r="BB1414" s="82">
        <f>(2*$J1414-$H1414-$L1414)*100</f>
        <v/>
      </c>
      <c r="BC1414" s="82">
        <f>($N1414-$F1414)*100</f>
        <v/>
      </c>
      <c r="BD1414" s="82">
        <f>($Q1414-$H1414)*100</f>
        <v/>
      </c>
      <c r="BE1414" s="82">
        <f>($S1414-$J1414)*100</f>
        <v/>
      </c>
      <c r="BF1414" s="82">
        <f>($V1414-$L1414)*100</f>
        <v/>
      </c>
      <c r="BG1414" s="82">
        <f>$AG1414-$AF1414</f>
        <v/>
      </c>
      <c r="BH1414" s="81">
        <f>IFERROR($AG1414/$AF1414,"")</f>
        <v/>
      </c>
      <c r="BI1414" s="82">
        <f>$AJ1414-$AF1414</f>
        <v/>
      </c>
      <c r="BJ1414" s="81">
        <f>IFERROR($AJ1414/$AG1414,"")</f>
        <v/>
      </c>
      <c r="BK1414" s="81">
        <f>$X1414</f>
        <v/>
      </c>
      <c r="BL1414" s="82">
        <f>($J1414-$J1415)*100</f>
        <v/>
      </c>
      <c r="BM1414" s="82">
        <f>($F1414-$F1415)*100</f>
        <v/>
      </c>
      <c r="BN1414" s="82">
        <f>$AF1414-$AF1415</f>
        <v/>
      </c>
      <c r="BO1414" s="82">
        <f>$AG1414-$AG1415</f>
        <v/>
      </c>
      <c r="BP1414" s="82">
        <f>$AJ1414-$AJ1415</f>
        <v/>
      </c>
    </row>
    <row r="1415">
      <c r="AR1415" s="81">
        <f>($G1415+($H1415-$G1415)*0.5)+($P1415-($O1415+($Q1415-$O1415)*0.5))</f>
        <v/>
      </c>
      <c r="AS1415" s="81">
        <f>($J1415+($K1415-$J1415)*0.5)+($T1415-($S1415+($U1415-$S1415)*0.5))</f>
        <v/>
      </c>
      <c r="AT1415" s="82">
        <f>($J1415-$C1415)*100</f>
        <v/>
      </c>
      <c r="AU1415" s="82">
        <f>($H1415-$F1415)*100</f>
        <v/>
      </c>
      <c r="AV1415" s="82">
        <f>($J1415-$F1415)*100</f>
        <v/>
      </c>
      <c r="AW1415" s="82">
        <f>($L1415-$F1415)*100</f>
        <v/>
      </c>
      <c r="AX1415" s="82">
        <f>($J1415-$H1415)*100</f>
        <v/>
      </c>
      <c r="AY1415" s="82">
        <f>($L1415-$H1415)*100</f>
        <v/>
      </c>
      <c r="AZ1415" s="82">
        <f>($L1415-$J1415)*100</f>
        <v/>
      </c>
      <c r="BA1415" s="82">
        <f>(2*$H1415-$F1415-$J1415)*100</f>
        <v/>
      </c>
      <c r="BB1415" s="82">
        <f>(2*$J1415-$H1415-$L1415)*100</f>
        <v/>
      </c>
      <c r="BC1415" s="82">
        <f>($N1415-$F1415)*100</f>
        <v/>
      </c>
      <c r="BD1415" s="82">
        <f>($Q1415-$H1415)*100</f>
        <v/>
      </c>
      <c r="BE1415" s="82">
        <f>($S1415-$J1415)*100</f>
        <v/>
      </c>
      <c r="BF1415" s="82">
        <f>($V1415-$L1415)*100</f>
        <v/>
      </c>
      <c r="BG1415" s="82">
        <f>$AG1415-$AF1415</f>
        <v/>
      </c>
      <c r="BH1415" s="81">
        <f>IFERROR($AG1415/$AF1415,"")</f>
        <v/>
      </c>
      <c r="BI1415" s="82">
        <f>$AJ1415-$AF1415</f>
        <v/>
      </c>
      <c r="BJ1415" s="81">
        <f>IFERROR($AJ1415/$AG1415,"")</f>
        <v/>
      </c>
      <c r="BK1415" s="81">
        <f>$X1415</f>
        <v/>
      </c>
      <c r="BL1415" s="82">
        <f>($J1415-$J1416)*100</f>
        <v/>
      </c>
      <c r="BM1415" s="82">
        <f>($F1415-$F1416)*100</f>
        <v/>
      </c>
      <c r="BN1415" s="82">
        <f>$AF1415-$AF1416</f>
        <v/>
      </c>
      <c r="BO1415" s="82">
        <f>$AG1415-$AG1416</f>
        <v/>
      </c>
      <c r="BP1415" s="82">
        <f>$AJ1415-$AJ1416</f>
        <v/>
      </c>
    </row>
    <row r="1416">
      <c r="AR1416" s="81">
        <f>($G1416+($H1416-$G1416)*0.5)+($P1416-($O1416+($Q1416-$O1416)*0.5))</f>
        <v/>
      </c>
      <c r="AS1416" s="81">
        <f>($J1416+($K1416-$J1416)*0.5)+($T1416-($S1416+($U1416-$S1416)*0.5))</f>
        <v/>
      </c>
      <c r="AT1416" s="82">
        <f>($J1416-$C1416)*100</f>
        <v/>
      </c>
      <c r="AU1416" s="82">
        <f>($H1416-$F1416)*100</f>
        <v/>
      </c>
      <c r="AV1416" s="82">
        <f>($J1416-$F1416)*100</f>
        <v/>
      </c>
      <c r="AW1416" s="82">
        <f>($L1416-$F1416)*100</f>
        <v/>
      </c>
      <c r="AX1416" s="82">
        <f>($J1416-$H1416)*100</f>
        <v/>
      </c>
      <c r="AY1416" s="82">
        <f>($L1416-$H1416)*100</f>
        <v/>
      </c>
      <c r="AZ1416" s="82">
        <f>($L1416-$J1416)*100</f>
        <v/>
      </c>
      <c r="BA1416" s="82">
        <f>(2*$H1416-$F1416-$J1416)*100</f>
        <v/>
      </c>
      <c r="BB1416" s="82">
        <f>(2*$J1416-$H1416-$L1416)*100</f>
        <v/>
      </c>
      <c r="BC1416" s="82">
        <f>($N1416-$F1416)*100</f>
        <v/>
      </c>
      <c r="BD1416" s="82">
        <f>($Q1416-$H1416)*100</f>
        <v/>
      </c>
      <c r="BE1416" s="82">
        <f>($S1416-$J1416)*100</f>
        <v/>
      </c>
      <c r="BF1416" s="82">
        <f>($V1416-$L1416)*100</f>
        <v/>
      </c>
      <c r="BG1416" s="82">
        <f>$AG1416-$AF1416</f>
        <v/>
      </c>
      <c r="BH1416" s="81">
        <f>IFERROR($AG1416/$AF1416,"")</f>
        <v/>
      </c>
      <c r="BI1416" s="82">
        <f>$AJ1416-$AF1416</f>
        <v/>
      </c>
      <c r="BJ1416" s="81">
        <f>IFERROR($AJ1416/$AG1416,"")</f>
        <v/>
      </c>
      <c r="BK1416" s="81">
        <f>$X1416</f>
        <v/>
      </c>
      <c r="BL1416" s="82">
        <f>($J1416-$J1417)*100</f>
        <v/>
      </c>
      <c r="BM1416" s="82">
        <f>($F1416-$F1417)*100</f>
        <v/>
      </c>
      <c r="BN1416" s="82">
        <f>$AF1416-$AF1417</f>
        <v/>
      </c>
      <c r="BO1416" s="82">
        <f>$AG1416-$AG1417</f>
        <v/>
      </c>
      <c r="BP1416" s="82">
        <f>$AJ1416-$AJ1417</f>
        <v/>
      </c>
    </row>
    <row r="1417">
      <c r="AR1417" s="81">
        <f>($G1417+($H1417-$G1417)*0.5)+($P1417-($O1417+($Q1417-$O1417)*0.5))</f>
        <v/>
      </c>
      <c r="AS1417" s="81">
        <f>($J1417+($K1417-$J1417)*0.5)+($T1417-($S1417+($U1417-$S1417)*0.5))</f>
        <v/>
      </c>
      <c r="AT1417" s="82">
        <f>($J1417-$C1417)*100</f>
        <v/>
      </c>
      <c r="AU1417" s="82">
        <f>($H1417-$F1417)*100</f>
        <v/>
      </c>
      <c r="AV1417" s="82">
        <f>($J1417-$F1417)*100</f>
        <v/>
      </c>
      <c r="AW1417" s="82">
        <f>($L1417-$F1417)*100</f>
        <v/>
      </c>
      <c r="AX1417" s="82">
        <f>($J1417-$H1417)*100</f>
        <v/>
      </c>
      <c r="AY1417" s="82">
        <f>($L1417-$H1417)*100</f>
        <v/>
      </c>
      <c r="AZ1417" s="82">
        <f>($L1417-$J1417)*100</f>
        <v/>
      </c>
      <c r="BA1417" s="82">
        <f>(2*$H1417-$F1417-$J1417)*100</f>
        <v/>
      </c>
      <c r="BB1417" s="82">
        <f>(2*$J1417-$H1417-$L1417)*100</f>
        <v/>
      </c>
      <c r="BC1417" s="82">
        <f>($N1417-$F1417)*100</f>
        <v/>
      </c>
      <c r="BD1417" s="82">
        <f>($Q1417-$H1417)*100</f>
        <v/>
      </c>
      <c r="BE1417" s="82">
        <f>($S1417-$J1417)*100</f>
        <v/>
      </c>
      <c r="BF1417" s="82">
        <f>($V1417-$L1417)*100</f>
        <v/>
      </c>
      <c r="BG1417" s="82">
        <f>$AG1417-$AF1417</f>
        <v/>
      </c>
      <c r="BH1417" s="81">
        <f>IFERROR($AG1417/$AF1417,"")</f>
        <v/>
      </c>
      <c r="BI1417" s="82">
        <f>$AJ1417-$AF1417</f>
        <v/>
      </c>
      <c r="BJ1417" s="81">
        <f>IFERROR($AJ1417/$AG1417,"")</f>
        <v/>
      </c>
      <c r="BK1417" s="81">
        <f>$X1417</f>
        <v/>
      </c>
      <c r="BL1417" s="82">
        <f>($J1417-$J1418)*100</f>
        <v/>
      </c>
      <c r="BM1417" s="82">
        <f>($F1417-$F1418)*100</f>
        <v/>
      </c>
      <c r="BN1417" s="82">
        <f>$AF1417-$AF1418</f>
        <v/>
      </c>
      <c r="BO1417" s="82">
        <f>$AG1417-$AG1418</f>
        <v/>
      </c>
      <c r="BP1417" s="82">
        <f>$AJ1417-$AJ1418</f>
        <v/>
      </c>
    </row>
    <row r="1418">
      <c r="AR1418" s="81">
        <f>($G1418+($H1418-$G1418)*0.5)+($P1418-($O1418+($Q1418-$O1418)*0.5))</f>
        <v/>
      </c>
      <c r="AS1418" s="81">
        <f>($J1418+($K1418-$J1418)*0.5)+($T1418-($S1418+($U1418-$S1418)*0.5))</f>
        <v/>
      </c>
      <c r="AT1418" s="82">
        <f>($J1418-$C1418)*100</f>
        <v/>
      </c>
      <c r="AU1418" s="82">
        <f>($H1418-$F1418)*100</f>
        <v/>
      </c>
      <c r="AV1418" s="82">
        <f>($J1418-$F1418)*100</f>
        <v/>
      </c>
      <c r="AW1418" s="82">
        <f>($L1418-$F1418)*100</f>
        <v/>
      </c>
      <c r="AX1418" s="82">
        <f>($J1418-$H1418)*100</f>
        <v/>
      </c>
      <c r="AY1418" s="82">
        <f>($L1418-$H1418)*100</f>
        <v/>
      </c>
      <c r="AZ1418" s="82">
        <f>($L1418-$J1418)*100</f>
        <v/>
      </c>
      <c r="BA1418" s="82">
        <f>(2*$H1418-$F1418-$J1418)*100</f>
        <v/>
      </c>
      <c r="BB1418" s="82">
        <f>(2*$J1418-$H1418-$L1418)*100</f>
        <v/>
      </c>
      <c r="BC1418" s="82">
        <f>($N1418-$F1418)*100</f>
        <v/>
      </c>
      <c r="BD1418" s="82">
        <f>($Q1418-$H1418)*100</f>
        <v/>
      </c>
      <c r="BE1418" s="82">
        <f>($S1418-$J1418)*100</f>
        <v/>
      </c>
      <c r="BF1418" s="82">
        <f>($V1418-$L1418)*100</f>
        <v/>
      </c>
      <c r="BG1418" s="82">
        <f>$AG1418-$AF1418</f>
        <v/>
      </c>
      <c r="BH1418" s="81">
        <f>IFERROR($AG1418/$AF1418,"")</f>
        <v/>
      </c>
      <c r="BI1418" s="82">
        <f>$AJ1418-$AF1418</f>
        <v/>
      </c>
      <c r="BJ1418" s="81">
        <f>IFERROR($AJ1418/$AG1418,"")</f>
        <v/>
      </c>
      <c r="BK1418" s="81">
        <f>$X1418</f>
        <v/>
      </c>
      <c r="BL1418" s="82">
        <f>($J1418-$J1419)*100</f>
        <v/>
      </c>
      <c r="BM1418" s="82">
        <f>($F1418-$F1419)*100</f>
        <v/>
      </c>
      <c r="BN1418" s="82">
        <f>$AF1418-$AF1419</f>
        <v/>
      </c>
      <c r="BO1418" s="82">
        <f>$AG1418-$AG1419</f>
        <v/>
      </c>
      <c r="BP1418" s="82">
        <f>$AJ1418-$AJ1419</f>
        <v/>
      </c>
    </row>
    <row r="1419">
      <c r="AR1419" s="81">
        <f>($G1419+($H1419-$G1419)*0.5)+($P1419-($O1419+($Q1419-$O1419)*0.5))</f>
        <v/>
      </c>
      <c r="AS1419" s="81">
        <f>($J1419+($K1419-$J1419)*0.5)+($T1419-($S1419+($U1419-$S1419)*0.5))</f>
        <v/>
      </c>
      <c r="AT1419" s="82">
        <f>($J1419-$C1419)*100</f>
        <v/>
      </c>
      <c r="AU1419" s="82">
        <f>($H1419-$F1419)*100</f>
        <v/>
      </c>
      <c r="AV1419" s="82">
        <f>($J1419-$F1419)*100</f>
        <v/>
      </c>
      <c r="AW1419" s="82">
        <f>($L1419-$F1419)*100</f>
        <v/>
      </c>
      <c r="AX1419" s="82">
        <f>($J1419-$H1419)*100</f>
        <v/>
      </c>
      <c r="AY1419" s="82">
        <f>($L1419-$H1419)*100</f>
        <v/>
      </c>
      <c r="AZ1419" s="82">
        <f>($L1419-$J1419)*100</f>
        <v/>
      </c>
      <c r="BA1419" s="82">
        <f>(2*$H1419-$F1419-$J1419)*100</f>
        <v/>
      </c>
      <c r="BB1419" s="82">
        <f>(2*$J1419-$H1419-$L1419)*100</f>
        <v/>
      </c>
      <c r="BC1419" s="82">
        <f>($N1419-$F1419)*100</f>
        <v/>
      </c>
      <c r="BD1419" s="82">
        <f>($Q1419-$H1419)*100</f>
        <v/>
      </c>
      <c r="BE1419" s="82">
        <f>($S1419-$J1419)*100</f>
        <v/>
      </c>
      <c r="BF1419" s="82">
        <f>($V1419-$L1419)*100</f>
        <v/>
      </c>
      <c r="BG1419" s="82">
        <f>$AG1419-$AF1419</f>
        <v/>
      </c>
      <c r="BH1419" s="81">
        <f>IFERROR($AG1419/$AF1419,"")</f>
        <v/>
      </c>
      <c r="BI1419" s="82">
        <f>$AJ1419-$AF1419</f>
        <v/>
      </c>
      <c r="BJ1419" s="81">
        <f>IFERROR($AJ1419/$AG1419,"")</f>
        <v/>
      </c>
      <c r="BK1419" s="81">
        <f>$X1419</f>
        <v/>
      </c>
      <c r="BL1419" s="82">
        <f>($J1419-$J1420)*100</f>
        <v/>
      </c>
      <c r="BM1419" s="82">
        <f>($F1419-$F1420)*100</f>
        <v/>
      </c>
      <c r="BN1419" s="82">
        <f>$AF1419-$AF1420</f>
        <v/>
      </c>
      <c r="BO1419" s="82">
        <f>$AG1419-$AG1420</f>
        <v/>
      </c>
      <c r="BP1419" s="82">
        <f>$AJ1419-$AJ1420</f>
        <v/>
      </c>
    </row>
    <row r="1420">
      <c r="AR1420" s="81">
        <f>($G1420+($H1420-$G1420)*0.5)+($P1420-($O1420+($Q1420-$O1420)*0.5))</f>
        <v/>
      </c>
      <c r="AS1420" s="81">
        <f>($J1420+($K1420-$J1420)*0.5)+($T1420-($S1420+($U1420-$S1420)*0.5))</f>
        <v/>
      </c>
      <c r="AT1420" s="82">
        <f>($J1420-$C1420)*100</f>
        <v/>
      </c>
      <c r="AU1420" s="82">
        <f>($H1420-$F1420)*100</f>
        <v/>
      </c>
      <c r="AV1420" s="82">
        <f>($J1420-$F1420)*100</f>
        <v/>
      </c>
      <c r="AW1420" s="82">
        <f>($L1420-$F1420)*100</f>
        <v/>
      </c>
      <c r="AX1420" s="82">
        <f>($J1420-$H1420)*100</f>
        <v/>
      </c>
      <c r="AY1420" s="82">
        <f>($L1420-$H1420)*100</f>
        <v/>
      </c>
      <c r="AZ1420" s="82">
        <f>($L1420-$J1420)*100</f>
        <v/>
      </c>
      <c r="BA1420" s="82">
        <f>(2*$H1420-$F1420-$J1420)*100</f>
        <v/>
      </c>
      <c r="BB1420" s="82">
        <f>(2*$J1420-$H1420-$L1420)*100</f>
        <v/>
      </c>
      <c r="BC1420" s="82">
        <f>($N1420-$F1420)*100</f>
        <v/>
      </c>
      <c r="BD1420" s="82">
        <f>($Q1420-$H1420)*100</f>
        <v/>
      </c>
      <c r="BE1420" s="82">
        <f>($S1420-$J1420)*100</f>
        <v/>
      </c>
      <c r="BF1420" s="82">
        <f>($V1420-$L1420)*100</f>
        <v/>
      </c>
      <c r="BG1420" s="82">
        <f>$AG1420-$AF1420</f>
        <v/>
      </c>
      <c r="BH1420" s="81">
        <f>IFERROR($AG1420/$AF1420,"")</f>
        <v/>
      </c>
      <c r="BI1420" s="82">
        <f>$AJ1420-$AF1420</f>
        <v/>
      </c>
      <c r="BJ1420" s="81">
        <f>IFERROR($AJ1420/$AG1420,"")</f>
        <v/>
      </c>
      <c r="BK1420" s="81">
        <f>$X1420</f>
        <v/>
      </c>
      <c r="BL1420" s="82">
        <f>($J1420-$J1421)*100</f>
        <v/>
      </c>
      <c r="BM1420" s="82">
        <f>($F1420-$F1421)*100</f>
        <v/>
      </c>
      <c r="BN1420" s="82">
        <f>$AF1420-$AF1421</f>
        <v/>
      </c>
      <c r="BO1420" s="82">
        <f>$AG1420-$AG1421</f>
        <v/>
      </c>
      <c r="BP1420" s="82">
        <f>$AJ1420-$AJ1421</f>
        <v/>
      </c>
    </row>
    <row r="1421">
      <c r="AR1421" s="81">
        <f>($G1421+($H1421-$G1421)*0.5)+($P1421-($O1421+($Q1421-$O1421)*0.5))</f>
        <v/>
      </c>
      <c r="AS1421" s="81">
        <f>($J1421+($K1421-$J1421)*0.5)+($T1421-($S1421+($U1421-$S1421)*0.5))</f>
        <v/>
      </c>
      <c r="AT1421" s="82">
        <f>($J1421-$C1421)*100</f>
        <v/>
      </c>
      <c r="AU1421" s="82">
        <f>($H1421-$F1421)*100</f>
        <v/>
      </c>
      <c r="AV1421" s="82">
        <f>($J1421-$F1421)*100</f>
        <v/>
      </c>
      <c r="AW1421" s="82">
        <f>($L1421-$F1421)*100</f>
        <v/>
      </c>
      <c r="AX1421" s="82">
        <f>($J1421-$H1421)*100</f>
        <v/>
      </c>
      <c r="AY1421" s="82">
        <f>($L1421-$H1421)*100</f>
        <v/>
      </c>
      <c r="AZ1421" s="82">
        <f>($L1421-$J1421)*100</f>
        <v/>
      </c>
      <c r="BA1421" s="82">
        <f>(2*$H1421-$F1421-$J1421)*100</f>
        <v/>
      </c>
      <c r="BB1421" s="82">
        <f>(2*$J1421-$H1421-$L1421)*100</f>
        <v/>
      </c>
      <c r="BC1421" s="82">
        <f>($N1421-$F1421)*100</f>
        <v/>
      </c>
      <c r="BD1421" s="82">
        <f>($Q1421-$H1421)*100</f>
        <v/>
      </c>
      <c r="BE1421" s="82">
        <f>($S1421-$J1421)*100</f>
        <v/>
      </c>
      <c r="BF1421" s="82">
        <f>($V1421-$L1421)*100</f>
        <v/>
      </c>
      <c r="BG1421" s="82">
        <f>$AG1421-$AF1421</f>
        <v/>
      </c>
      <c r="BH1421" s="81">
        <f>IFERROR($AG1421/$AF1421,"")</f>
        <v/>
      </c>
      <c r="BI1421" s="82">
        <f>$AJ1421-$AF1421</f>
        <v/>
      </c>
      <c r="BJ1421" s="81">
        <f>IFERROR($AJ1421/$AG1421,"")</f>
        <v/>
      </c>
      <c r="BK1421" s="81">
        <f>$X1421</f>
        <v/>
      </c>
      <c r="BL1421" s="82">
        <f>($J1421-$J1422)*100</f>
        <v/>
      </c>
      <c r="BM1421" s="82">
        <f>($F1421-$F1422)*100</f>
        <v/>
      </c>
      <c r="BN1421" s="82">
        <f>$AF1421-$AF1422</f>
        <v/>
      </c>
      <c r="BO1421" s="82">
        <f>$AG1421-$AG1422</f>
        <v/>
      </c>
      <c r="BP1421" s="82">
        <f>$AJ1421-$AJ1422</f>
        <v/>
      </c>
    </row>
    <row r="1422">
      <c r="AR1422" s="81">
        <f>($G1422+($H1422-$G1422)*0.5)+($P1422-($O1422+($Q1422-$O1422)*0.5))</f>
        <v/>
      </c>
      <c r="AS1422" s="81">
        <f>($J1422+($K1422-$J1422)*0.5)+($T1422-($S1422+($U1422-$S1422)*0.5))</f>
        <v/>
      </c>
      <c r="AT1422" s="82">
        <f>($J1422-$C1422)*100</f>
        <v/>
      </c>
      <c r="AU1422" s="82">
        <f>($H1422-$F1422)*100</f>
        <v/>
      </c>
      <c r="AV1422" s="82">
        <f>($J1422-$F1422)*100</f>
        <v/>
      </c>
      <c r="AW1422" s="82">
        <f>($L1422-$F1422)*100</f>
        <v/>
      </c>
      <c r="AX1422" s="82">
        <f>($J1422-$H1422)*100</f>
        <v/>
      </c>
      <c r="AY1422" s="82">
        <f>($L1422-$H1422)*100</f>
        <v/>
      </c>
      <c r="AZ1422" s="82">
        <f>($L1422-$J1422)*100</f>
        <v/>
      </c>
      <c r="BA1422" s="82">
        <f>(2*$H1422-$F1422-$J1422)*100</f>
        <v/>
      </c>
      <c r="BB1422" s="82">
        <f>(2*$J1422-$H1422-$L1422)*100</f>
        <v/>
      </c>
      <c r="BC1422" s="82">
        <f>($N1422-$F1422)*100</f>
        <v/>
      </c>
      <c r="BD1422" s="82">
        <f>($Q1422-$H1422)*100</f>
        <v/>
      </c>
      <c r="BE1422" s="82">
        <f>($S1422-$J1422)*100</f>
        <v/>
      </c>
      <c r="BF1422" s="82">
        <f>($V1422-$L1422)*100</f>
        <v/>
      </c>
      <c r="BG1422" s="82">
        <f>$AG1422-$AF1422</f>
        <v/>
      </c>
      <c r="BH1422" s="81">
        <f>IFERROR($AG1422/$AF1422,"")</f>
        <v/>
      </c>
      <c r="BI1422" s="82">
        <f>$AJ1422-$AF1422</f>
        <v/>
      </c>
      <c r="BJ1422" s="81">
        <f>IFERROR($AJ1422/$AG1422,"")</f>
        <v/>
      </c>
      <c r="BK1422" s="81">
        <f>$X1422</f>
        <v/>
      </c>
      <c r="BL1422" s="82">
        <f>($J1422-$J1423)*100</f>
        <v/>
      </c>
      <c r="BM1422" s="82">
        <f>($F1422-$F1423)*100</f>
        <v/>
      </c>
      <c r="BN1422" s="82">
        <f>$AF1422-$AF1423</f>
        <v/>
      </c>
      <c r="BO1422" s="82">
        <f>$AG1422-$AG1423</f>
        <v/>
      </c>
      <c r="BP1422" s="82">
        <f>$AJ1422-$AJ1423</f>
        <v/>
      </c>
    </row>
    <row r="1423">
      <c r="AR1423" s="81">
        <f>($G1423+($H1423-$G1423)*0.5)+($P1423-($O1423+($Q1423-$O1423)*0.5))</f>
        <v/>
      </c>
      <c r="AS1423" s="81">
        <f>($J1423+($K1423-$J1423)*0.5)+($T1423-($S1423+($U1423-$S1423)*0.5))</f>
        <v/>
      </c>
      <c r="AT1423" s="82">
        <f>($J1423-$C1423)*100</f>
        <v/>
      </c>
      <c r="AU1423" s="82">
        <f>($H1423-$F1423)*100</f>
        <v/>
      </c>
      <c r="AV1423" s="82">
        <f>($J1423-$F1423)*100</f>
        <v/>
      </c>
      <c r="AW1423" s="82">
        <f>($L1423-$F1423)*100</f>
        <v/>
      </c>
      <c r="AX1423" s="82">
        <f>($J1423-$H1423)*100</f>
        <v/>
      </c>
      <c r="AY1423" s="82">
        <f>($L1423-$H1423)*100</f>
        <v/>
      </c>
      <c r="AZ1423" s="82">
        <f>($L1423-$J1423)*100</f>
        <v/>
      </c>
      <c r="BA1423" s="82">
        <f>(2*$H1423-$F1423-$J1423)*100</f>
        <v/>
      </c>
      <c r="BB1423" s="82">
        <f>(2*$J1423-$H1423-$L1423)*100</f>
        <v/>
      </c>
      <c r="BC1423" s="82">
        <f>($N1423-$F1423)*100</f>
        <v/>
      </c>
      <c r="BD1423" s="82">
        <f>($Q1423-$H1423)*100</f>
        <v/>
      </c>
      <c r="BE1423" s="82">
        <f>($S1423-$J1423)*100</f>
        <v/>
      </c>
      <c r="BF1423" s="82">
        <f>($V1423-$L1423)*100</f>
        <v/>
      </c>
      <c r="BG1423" s="82">
        <f>$AG1423-$AF1423</f>
        <v/>
      </c>
      <c r="BH1423" s="81">
        <f>IFERROR($AG1423/$AF1423,"")</f>
        <v/>
      </c>
      <c r="BI1423" s="82">
        <f>$AJ1423-$AF1423</f>
        <v/>
      </c>
      <c r="BJ1423" s="81">
        <f>IFERROR($AJ1423/$AG1423,"")</f>
        <v/>
      </c>
      <c r="BK1423" s="81">
        <f>$X1423</f>
        <v/>
      </c>
      <c r="BL1423" s="82">
        <f>($J1423-$J1424)*100</f>
        <v/>
      </c>
      <c r="BM1423" s="82">
        <f>($F1423-$F1424)*100</f>
        <v/>
      </c>
      <c r="BN1423" s="82">
        <f>$AF1423-$AF1424</f>
        <v/>
      </c>
      <c r="BO1423" s="82">
        <f>$AG1423-$AG1424</f>
        <v/>
      </c>
      <c r="BP1423" s="82">
        <f>$AJ1423-$AJ1424</f>
        <v/>
      </c>
    </row>
    <row r="1424">
      <c r="AR1424" s="81">
        <f>($G1424+($H1424-$G1424)*0.5)+($P1424-($O1424+($Q1424-$O1424)*0.5))</f>
        <v/>
      </c>
      <c r="AS1424" s="81">
        <f>($J1424+($K1424-$J1424)*0.5)+($T1424-($S1424+($U1424-$S1424)*0.5))</f>
        <v/>
      </c>
      <c r="AT1424" s="82">
        <f>($J1424-$C1424)*100</f>
        <v/>
      </c>
      <c r="AU1424" s="82">
        <f>($H1424-$F1424)*100</f>
        <v/>
      </c>
      <c r="AV1424" s="82">
        <f>($J1424-$F1424)*100</f>
        <v/>
      </c>
      <c r="AW1424" s="82">
        <f>($L1424-$F1424)*100</f>
        <v/>
      </c>
      <c r="AX1424" s="82">
        <f>($J1424-$H1424)*100</f>
        <v/>
      </c>
      <c r="AY1424" s="82">
        <f>($L1424-$H1424)*100</f>
        <v/>
      </c>
      <c r="AZ1424" s="82">
        <f>($L1424-$J1424)*100</f>
        <v/>
      </c>
      <c r="BA1424" s="82">
        <f>(2*$H1424-$F1424-$J1424)*100</f>
        <v/>
      </c>
      <c r="BB1424" s="82">
        <f>(2*$J1424-$H1424-$L1424)*100</f>
        <v/>
      </c>
      <c r="BC1424" s="82">
        <f>($N1424-$F1424)*100</f>
        <v/>
      </c>
      <c r="BD1424" s="82">
        <f>($Q1424-$H1424)*100</f>
        <v/>
      </c>
      <c r="BE1424" s="82">
        <f>($S1424-$J1424)*100</f>
        <v/>
      </c>
      <c r="BF1424" s="82">
        <f>($V1424-$L1424)*100</f>
        <v/>
      </c>
      <c r="BG1424" s="82">
        <f>$AG1424-$AF1424</f>
        <v/>
      </c>
      <c r="BH1424" s="81">
        <f>IFERROR($AG1424/$AF1424,"")</f>
        <v/>
      </c>
      <c r="BI1424" s="82">
        <f>$AJ1424-$AF1424</f>
        <v/>
      </c>
      <c r="BJ1424" s="81">
        <f>IFERROR($AJ1424/$AG1424,"")</f>
        <v/>
      </c>
      <c r="BK1424" s="81">
        <f>$X1424</f>
        <v/>
      </c>
      <c r="BL1424" s="82">
        <f>($J1424-$J1425)*100</f>
        <v/>
      </c>
      <c r="BM1424" s="82">
        <f>($F1424-$F1425)*100</f>
        <v/>
      </c>
      <c r="BN1424" s="82">
        <f>$AF1424-$AF1425</f>
        <v/>
      </c>
      <c r="BO1424" s="82">
        <f>$AG1424-$AG1425</f>
        <v/>
      </c>
      <c r="BP1424" s="82">
        <f>$AJ1424-$AJ1425</f>
        <v/>
      </c>
    </row>
    <row r="1425">
      <c r="AR1425" s="81">
        <f>($G1425+($H1425-$G1425)*0.5)+($P1425-($O1425+($Q1425-$O1425)*0.5))</f>
        <v/>
      </c>
      <c r="AS1425" s="81">
        <f>($J1425+($K1425-$J1425)*0.5)+($T1425-($S1425+($U1425-$S1425)*0.5))</f>
        <v/>
      </c>
      <c r="AT1425" s="82">
        <f>($J1425-$C1425)*100</f>
        <v/>
      </c>
      <c r="AU1425" s="82">
        <f>($H1425-$F1425)*100</f>
        <v/>
      </c>
      <c r="AV1425" s="82">
        <f>($J1425-$F1425)*100</f>
        <v/>
      </c>
      <c r="AW1425" s="82">
        <f>($L1425-$F1425)*100</f>
        <v/>
      </c>
      <c r="AX1425" s="82">
        <f>($J1425-$H1425)*100</f>
        <v/>
      </c>
      <c r="AY1425" s="82">
        <f>($L1425-$H1425)*100</f>
        <v/>
      </c>
      <c r="AZ1425" s="82">
        <f>($L1425-$J1425)*100</f>
        <v/>
      </c>
      <c r="BA1425" s="82">
        <f>(2*$H1425-$F1425-$J1425)*100</f>
        <v/>
      </c>
      <c r="BB1425" s="82">
        <f>(2*$J1425-$H1425-$L1425)*100</f>
        <v/>
      </c>
      <c r="BC1425" s="82">
        <f>($N1425-$F1425)*100</f>
        <v/>
      </c>
      <c r="BD1425" s="82">
        <f>($Q1425-$H1425)*100</f>
        <v/>
      </c>
      <c r="BE1425" s="82">
        <f>($S1425-$J1425)*100</f>
        <v/>
      </c>
      <c r="BF1425" s="82">
        <f>($V1425-$L1425)*100</f>
        <v/>
      </c>
      <c r="BG1425" s="82">
        <f>$AG1425-$AF1425</f>
        <v/>
      </c>
      <c r="BH1425" s="81">
        <f>IFERROR($AG1425/$AF1425,"")</f>
        <v/>
      </c>
      <c r="BI1425" s="82">
        <f>$AJ1425-$AF1425</f>
        <v/>
      </c>
      <c r="BJ1425" s="81">
        <f>IFERROR($AJ1425/$AG1425,"")</f>
        <v/>
      </c>
      <c r="BK1425" s="81">
        <f>$X1425</f>
        <v/>
      </c>
      <c r="BL1425" s="82">
        <f>($J1425-$J1426)*100</f>
        <v/>
      </c>
      <c r="BM1425" s="82">
        <f>($F1425-$F1426)*100</f>
        <v/>
      </c>
      <c r="BN1425" s="82">
        <f>$AF1425-$AF1426</f>
        <v/>
      </c>
      <c r="BO1425" s="82">
        <f>$AG1425-$AG1426</f>
        <v/>
      </c>
      <c r="BP1425" s="82">
        <f>$AJ1425-$AJ1426</f>
        <v/>
      </c>
    </row>
    <row r="1426">
      <c r="AR1426" s="81">
        <f>($G1426+($H1426-$G1426)*0.5)+($P1426-($O1426+($Q1426-$O1426)*0.5))</f>
        <v/>
      </c>
      <c r="AS1426" s="81">
        <f>($J1426+($K1426-$J1426)*0.5)+($T1426-($S1426+($U1426-$S1426)*0.5))</f>
        <v/>
      </c>
      <c r="AT1426" s="82">
        <f>($J1426-$C1426)*100</f>
        <v/>
      </c>
      <c r="AU1426" s="82">
        <f>($H1426-$F1426)*100</f>
        <v/>
      </c>
      <c r="AV1426" s="82">
        <f>($J1426-$F1426)*100</f>
        <v/>
      </c>
      <c r="AW1426" s="82">
        <f>($L1426-$F1426)*100</f>
        <v/>
      </c>
      <c r="AX1426" s="82">
        <f>($J1426-$H1426)*100</f>
        <v/>
      </c>
      <c r="AY1426" s="82">
        <f>($L1426-$H1426)*100</f>
        <v/>
      </c>
      <c r="AZ1426" s="82">
        <f>($L1426-$J1426)*100</f>
        <v/>
      </c>
      <c r="BA1426" s="82">
        <f>(2*$H1426-$F1426-$J1426)*100</f>
        <v/>
      </c>
      <c r="BB1426" s="82">
        <f>(2*$J1426-$H1426-$L1426)*100</f>
        <v/>
      </c>
      <c r="BC1426" s="82">
        <f>($N1426-$F1426)*100</f>
        <v/>
      </c>
      <c r="BD1426" s="82">
        <f>($Q1426-$H1426)*100</f>
        <v/>
      </c>
      <c r="BE1426" s="82">
        <f>($S1426-$J1426)*100</f>
        <v/>
      </c>
      <c r="BF1426" s="82">
        <f>($V1426-$L1426)*100</f>
        <v/>
      </c>
      <c r="BG1426" s="82">
        <f>$AG1426-$AF1426</f>
        <v/>
      </c>
      <c r="BH1426" s="81">
        <f>IFERROR($AG1426/$AF1426,"")</f>
        <v/>
      </c>
      <c r="BI1426" s="82">
        <f>$AJ1426-$AF1426</f>
        <v/>
      </c>
      <c r="BJ1426" s="81">
        <f>IFERROR($AJ1426/$AG1426,"")</f>
        <v/>
      </c>
      <c r="BK1426" s="81">
        <f>$X1426</f>
        <v/>
      </c>
      <c r="BL1426" s="82">
        <f>($J1426-$J1427)*100</f>
        <v/>
      </c>
      <c r="BM1426" s="82">
        <f>($F1426-$F1427)*100</f>
        <v/>
      </c>
      <c r="BN1426" s="82">
        <f>$AF1426-$AF1427</f>
        <v/>
      </c>
      <c r="BO1426" s="82">
        <f>$AG1426-$AG1427</f>
        <v/>
      </c>
      <c r="BP1426" s="82">
        <f>$AJ1426-$AJ1427</f>
        <v/>
      </c>
    </row>
    <row r="1427">
      <c r="AR1427" s="81">
        <f>($G1427+($H1427-$G1427)*0.5)+($P1427-($O1427+($Q1427-$O1427)*0.5))</f>
        <v/>
      </c>
      <c r="AS1427" s="81">
        <f>($J1427+($K1427-$J1427)*0.5)+($T1427-($S1427+($U1427-$S1427)*0.5))</f>
        <v/>
      </c>
      <c r="AT1427" s="82">
        <f>($J1427-$C1427)*100</f>
        <v/>
      </c>
      <c r="AU1427" s="82">
        <f>($H1427-$F1427)*100</f>
        <v/>
      </c>
      <c r="AV1427" s="82">
        <f>($J1427-$F1427)*100</f>
        <v/>
      </c>
      <c r="AW1427" s="82">
        <f>($L1427-$F1427)*100</f>
        <v/>
      </c>
      <c r="AX1427" s="82">
        <f>($J1427-$H1427)*100</f>
        <v/>
      </c>
      <c r="AY1427" s="82">
        <f>($L1427-$H1427)*100</f>
        <v/>
      </c>
      <c r="AZ1427" s="82">
        <f>($L1427-$J1427)*100</f>
        <v/>
      </c>
      <c r="BA1427" s="82">
        <f>(2*$H1427-$F1427-$J1427)*100</f>
        <v/>
      </c>
      <c r="BB1427" s="82">
        <f>(2*$J1427-$H1427-$L1427)*100</f>
        <v/>
      </c>
      <c r="BC1427" s="82">
        <f>($N1427-$F1427)*100</f>
        <v/>
      </c>
      <c r="BD1427" s="82">
        <f>($Q1427-$H1427)*100</f>
        <v/>
      </c>
      <c r="BE1427" s="82">
        <f>($S1427-$J1427)*100</f>
        <v/>
      </c>
      <c r="BF1427" s="82">
        <f>($V1427-$L1427)*100</f>
        <v/>
      </c>
      <c r="BG1427" s="82">
        <f>$AG1427-$AF1427</f>
        <v/>
      </c>
      <c r="BH1427" s="81">
        <f>IFERROR($AG1427/$AF1427,"")</f>
        <v/>
      </c>
      <c r="BI1427" s="82">
        <f>$AJ1427-$AF1427</f>
        <v/>
      </c>
      <c r="BJ1427" s="81">
        <f>IFERROR($AJ1427/$AG1427,"")</f>
        <v/>
      </c>
      <c r="BK1427" s="81">
        <f>$X1427</f>
        <v/>
      </c>
      <c r="BL1427" s="82">
        <f>($J1427-$J1428)*100</f>
        <v/>
      </c>
      <c r="BM1427" s="82">
        <f>($F1427-$F1428)*100</f>
        <v/>
      </c>
      <c r="BN1427" s="82">
        <f>$AF1427-$AF1428</f>
        <v/>
      </c>
      <c r="BO1427" s="82">
        <f>$AG1427-$AG1428</f>
        <v/>
      </c>
      <c r="BP1427" s="82">
        <f>$AJ1427-$AJ1428</f>
        <v/>
      </c>
    </row>
    <row r="1428">
      <c r="AR1428" s="81">
        <f>($G1428+($H1428-$G1428)*0.5)+($P1428-($O1428+($Q1428-$O1428)*0.5))</f>
        <v/>
      </c>
      <c r="AS1428" s="81">
        <f>($J1428+($K1428-$J1428)*0.5)+($T1428-($S1428+($U1428-$S1428)*0.5))</f>
        <v/>
      </c>
      <c r="AT1428" s="82">
        <f>($J1428-$C1428)*100</f>
        <v/>
      </c>
      <c r="AU1428" s="82">
        <f>($H1428-$F1428)*100</f>
        <v/>
      </c>
      <c r="AV1428" s="82">
        <f>($J1428-$F1428)*100</f>
        <v/>
      </c>
      <c r="AW1428" s="82">
        <f>($L1428-$F1428)*100</f>
        <v/>
      </c>
      <c r="AX1428" s="82">
        <f>($J1428-$H1428)*100</f>
        <v/>
      </c>
      <c r="AY1428" s="82">
        <f>($L1428-$H1428)*100</f>
        <v/>
      </c>
      <c r="AZ1428" s="82">
        <f>($L1428-$J1428)*100</f>
        <v/>
      </c>
      <c r="BA1428" s="82">
        <f>(2*$H1428-$F1428-$J1428)*100</f>
        <v/>
      </c>
      <c r="BB1428" s="82">
        <f>(2*$J1428-$H1428-$L1428)*100</f>
        <v/>
      </c>
      <c r="BC1428" s="82">
        <f>($N1428-$F1428)*100</f>
        <v/>
      </c>
      <c r="BD1428" s="82">
        <f>($Q1428-$H1428)*100</f>
        <v/>
      </c>
      <c r="BE1428" s="82">
        <f>($S1428-$J1428)*100</f>
        <v/>
      </c>
      <c r="BF1428" s="82">
        <f>($V1428-$L1428)*100</f>
        <v/>
      </c>
      <c r="BG1428" s="82">
        <f>$AG1428-$AF1428</f>
        <v/>
      </c>
      <c r="BH1428" s="81">
        <f>IFERROR($AG1428/$AF1428,"")</f>
        <v/>
      </c>
      <c r="BI1428" s="82">
        <f>$AJ1428-$AF1428</f>
        <v/>
      </c>
      <c r="BJ1428" s="81">
        <f>IFERROR($AJ1428/$AG1428,"")</f>
        <v/>
      </c>
      <c r="BK1428" s="81">
        <f>$X1428</f>
        <v/>
      </c>
      <c r="BL1428" s="82">
        <f>($J1428-$J1429)*100</f>
        <v/>
      </c>
      <c r="BM1428" s="82">
        <f>($F1428-$F1429)*100</f>
        <v/>
      </c>
      <c r="BN1428" s="82">
        <f>$AF1428-$AF1429</f>
        <v/>
      </c>
      <c r="BO1428" s="82">
        <f>$AG1428-$AG1429</f>
        <v/>
      </c>
      <c r="BP1428" s="82">
        <f>$AJ1428-$AJ1429</f>
        <v/>
      </c>
    </row>
    <row r="1429">
      <c r="AR1429" s="81">
        <f>($G1429+($H1429-$G1429)*0.5)+($P1429-($O1429+($Q1429-$O1429)*0.5))</f>
        <v/>
      </c>
      <c r="AS1429" s="81">
        <f>($J1429+($K1429-$J1429)*0.5)+($T1429-($S1429+($U1429-$S1429)*0.5))</f>
        <v/>
      </c>
      <c r="AT1429" s="82">
        <f>($J1429-$C1429)*100</f>
        <v/>
      </c>
      <c r="AU1429" s="82">
        <f>($H1429-$F1429)*100</f>
        <v/>
      </c>
      <c r="AV1429" s="82">
        <f>($J1429-$F1429)*100</f>
        <v/>
      </c>
      <c r="AW1429" s="82">
        <f>($L1429-$F1429)*100</f>
        <v/>
      </c>
      <c r="AX1429" s="82">
        <f>($J1429-$H1429)*100</f>
        <v/>
      </c>
      <c r="AY1429" s="82">
        <f>($L1429-$H1429)*100</f>
        <v/>
      </c>
      <c r="AZ1429" s="82">
        <f>($L1429-$J1429)*100</f>
        <v/>
      </c>
      <c r="BA1429" s="82">
        <f>(2*$H1429-$F1429-$J1429)*100</f>
        <v/>
      </c>
      <c r="BB1429" s="82">
        <f>(2*$J1429-$H1429-$L1429)*100</f>
        <v/>
      </c>
      <c r="BC1429" s="82">
        <f>($N1429-$F1429)*100</f>
        <v/>
      </c>
      <c r="BD1429" s="82">
        <f>($Q1429-$H1429)*100</f>
        <v/>
      </c>
      <c r="BE1429" s="82">
        <f>($S1429-$J1429)*100</f>
        <v/>
      </c>
      <c r="BF1429" s="82">
        <f>($V1429-$L1429)*100</f>
        <v/>
      </c>
      <c r="BG1429" s="82">
        <f>$AG1429-$AF1429</f>
        <v/>
      </c>
      <c r="BH1429" s="81">
        <f>IFERROR($AG1429/$AF1429,"")</f>
        <v/>
      </c>
      <c r="BI1429" s="82">
        <f>$AJ1429-$AF1429</f>
        <v/>
      </c>
      <c r="BJ1429" s="81">
        <f>IFERROR($AJ1429/$AG1429,"")</f>
        <v/>
      </c>
      <c r="BK1429" s="81">
        <f>$X1429</f>
        <v/>
      </c>
      <c r="BL1429" s="82">
        <f>($J1429-$J1430)*100</f>
        <v/>
      </c>
      <c r="BM1429" s="82">
        <f>($F1429-$F1430)*100</f>
        <v/>
      </c>
      <c r="BN1429" s="82">
        <f>$AF1429-$AF1430</f>
        <v/>
      </c>
      <c r="BO1429" s="82">
        <f>$AG1429-$AG1430</f>
        <v/>
      </c>
      <c r="BP1429" s="82">
        <f>$AJ1429-$AJ1430</f>
        <v/>
      </c>
    </row>
    <row r="1430">
      <c r="AR1430" s="81">
        <f>($G1430+($H1430-$G1430)*0.5)+($P1430-($O1430+($Q1430-$O1430)*0.5))</f>
        <v/>
      </c>
      <c r="AS1430" s="81">
        <f>($J1430+($K1430-$J1430)*0.5)+($T1430-($S1430+($U1430-$S1430)*0.5))</f>
        <v/>
      </c>
      <c r="AT1430" s="82">
        <f>($J1430-$C1430)*100</f>
        <v/>
      </c>
      <c r="AU1430" s="82">
        <f>($H1430-$F1430)*100</f>
        <v/>
      </c>
      <c r="AV1430" s="82">
        <f>($J1430-$F1430)*100</f>
        <v/>
      </c>
      <c r="AW1430" s="82">
        <f>($L1430-$F1430)*100</f>
        <v/>
      </c>
      <c r="AX1430" s="82">
        <f>($J1430-$H1430)*100</f>
        <v/>
      </c>
      <c r="AY1430" s="82">
        <f>($L1430-$H1430)*100</f>
        <v/>
      </c>
      <c r="AZ1430" s="82">
        <f>($L1430-$J1430)*100</f>
        <v/>
      </c>
      <c r="BA1430" s="82">
        <f>(2*$H1430-$F1430-$J1430)*100</f>
        <v/>
      </c>
      <c r="BB1430" s="82">
        <f>(2*$J1430-$H1430-$L1430)*100</f>
        <v/>
      </c>
      <c r="BC1430" s="82">
        <f>($N1430-$F1430)*100</f>
        <v/>
      </c>
      <c r="BD1430" s="82">
        <f>($Q1430-$H1430)*100</f>
        <v/>
      </c>
      <c r="BE1430" s="82">
        <f>($S1430-$J1430)*100</f>
        <v/>
      </c>
      <c r="BF1430" s="82">
        <f>($V1430-$L1430)*100</f>
        <v/>
      </c>
      <c r="BG1430" s="82">
        <f>$AG1430-$AF1430</f>
        <v/>
      </c>
      <c r="BH1430" s="81">
        <f>IFERROR($AG1430/$AF1430,"")</f>
        <v/>
      </c>
      <c r="BI1430" s="82">
        <f>$AJ1430-$AF1430</f>
        <v/>
      </c>
      <c r="BJ1430" s="81">
        <f>IFERROR($AJ1430/$AG1430,"")</f>
        <v/>
      </c>
      <c r="BK1430" s="81">
        <f>$X1430</f>
        <v/>
      </c>
      <c r="BL1430" s="82">
        <f>($J1430-$J1431)*100</f>
        <v/>
      </c>
      <c r="BM1430" s="82">
        <f>($F1430-$F1431)*100</f>
        <v/>
      </c>
      <c r="BN1430" s="82">
        <f>$AF1430-$AF1431</f>
        <v/>
      </c>
      <c r="BO1430" s="82">
        <f>$AG1430-$AG1431</f>
        <v/>
      </c>
      <c r="BP1430" s="82">
        <f>$AJ1430-$AJ1431</f>
        <v/>
      </c>
    </row>
    <row r="1431">
      <c r="AR1431" s="81">
        <f>($G1431+($H1431-$G1431)*0.5)+($P1431-($O1431+($Q1431-$O1431)*0.5))</f>
        <v/>
      </c>
      <c r="AS1431" s="81">
        <f>($J1431+($K1431-$J1431)*0.5)+($T1431-($S1431+($U1431-$S1431)*0.5))</f>
        <v/>
      </c>
      <c r="AT1431" s="82">
        <f>($J1431-$C1431)*100</f>
        <v/>
      </c>
      <c r="AU1431" s="82">
        <f>($H1431-$F1431)*100</f>
        <v/>
      </c>
      <c r="AV1431" s="82">
        <f>($J1431-$F1431)*100</f>
        <v/>
      </c>
      <c r="AW1431" s="82">
        <f>($L1431-$F1431)*100</f>
        <v/>
      </c>
      <c r="AX1431" s="82">
        <f>($J1431-$H1431)*100</f>
        <v/>
      </c>
      <c r="AY1431" s="82">
        <f>($L1431-$H1431)*100</f>
        <v/>
      </c>
      <c r="AZ1431" s="82">
        <f>($L1431-$J1431)*100</f>
        <v/>
      </c>
      <c r="BA1431" s="82">
        <f>(2*$H1431-$F1431-$J1431)*100</f>
        <v/>
      </c>
      <c r="BB1431" s="82">
        <f>(2*$J1431-$H1431-$L1431)*100</f>
        <v/>
      </c>
      <c r="BC1431" s="82">
        <f>($N1431-$F1431)*100</f>
        <v/>
      </c>
      <c r="BD1431" s="82">
        <f>($Q1431-$H1431)*100</f>
        <v/>
      </c>
      <c r="BE1431" s="82">
        <f>($S1431-$J1431)*100</f>
        <v/>
      </c>
      <c r="BF1431" s="82">
        <f>($V1431-$L1431)*100</f>
        <v/>
      </c>
      <c r="BG1431" s="82">
        <f>$AG1431-$AF1431</f>
        <v/>
      </c>
      <c r="BH1431" s="81">
        <f>IFERROR($AG1431/$AF1431,"")</f>
        <v/>
      </c>
      <c r="BI1431" s="82">
        <f>$AJ1431-$AF1431</f>
        <v/>
      </c>
      <c r="BJ1431" s="81">
        <f>IFERROR($AJ1431/$AG1431,"")</f>
        <v/>
      </c>
      <c r="BK1431" s="81">
        <f>$X1431</f>
        <v/>
      </c>
      <c r="BL1431" s="82">
        <f>($J1431-$J1432)*100</f>
        <v/>
      </c>
      <c r="BM1431" s="82">
        <f>($F1431-$F1432)*100</f>
        <v/>
      </c>
      <c r="BN1431" s="82">
        <f>$AF1431-$AF1432</f>
        <v/>
      </c>
      <c r="BO1431" s="82">
        <f>$AG1431-$AG1432</f>
        <v/>
      </c>
      <c r="BP1431" s="82">
        <f>$AJ1431-$AJ1432</f>
        <v/>
      </c>
    </row>
    <row r="1432">
      <c r="AR1432" s="81">
        <f>($G1432+($H1432-$G1432)*0.5)+($P1432-($O1432+($Q1432-$O1432)*0.5))</f>
        <v/>
      </c>
      <c r="AS1432" s="81">
        <f>($J1432+($K1432-$J1432)*0.5)+($T1432-($S1432+($U1432-$S1432)*0.5))</f>
        <v/>
      </c>
      <c r="AT1432" s="82">
        <f>($J1432-$C1432)*100</f>
        <v/>
      </c>
      <c r="AU1432" s="82">
        <f>($H1432-$F1432)*100</f>
        <v/>
      </c>
      <c r="AV1432" s="82">
        <f>($J1432-$F1432)*100</f>
        <v/>
      </c>
      <c r="AW1432" s="82">
        <f>($L1432-$F1432)*100</f>
        <v/>
      </c>
      <c r="AX1432" s="82">
        <f>($J1432-$H1432)*100</f>
        <v/>
      </c>
      <c r="AY1432" s="82">
        <f>($L1432-$H1432)*100</f>
        <v/>
      </c>
      <c r="AZ1432" s="82">
        <f>($L1432-$J1432)*100</f>
        <v/>
      </c>
      <c r="BA1432" s="82">
        <f>(2*$H1432-$F1432-$J1432)*100</f>
        <v/>
      </c>
      <c r="BB1432" s="82">
        <f>(2*$J1432-$H1432-$L1432)*100</f>
        <v/>
      </c>
      <c r="BC1432" s="82">
        <f>($N1432-$F1432)*100</f>
        <v/>
      </c>
      <c r="BD1432" s="82">
        <f>($Q1432-$H1432)*100</f>
        <v/>
      </c>
      <c r="BE1432" s="82">
        <f>($S1432-$J1432)*100</f>
        <v/>
      </c>
      <c r="BF1432" s="82">
        <f>($V1432-$L1432)*100</f>
        <v/>
      </c>
      <c r="BG1432" s="82">
        <f>$AG1432-$AF1432</f>
        <v/>
      </c>
      <c r="BH1432" s="81">
        <f>IFERROR($AG1432/$AF1432,"")</f>
        <v/>
      </c>
      <c r="BI1432" s="82">
        <f>$AJ1432-$AF1432</f>
        <v/>
      </c>
      <c r="BJ1432" s="81">
        <f>IFERROR($AJ1432/$AG1432,"")</f>
        <v/>
      </c>
      <c r="BK1432" s="81">
        <f>$X1432</f>
        <v/>
      </c>
      <c r="BL1432" s="82">
        <f>($J1432-$J1433)*100</f>
        <v/>
      </c>
      <c r="BM1432" s="82">
        <f>($F1432-$F1433)*100</f>
        <v/>
      </c>
      <c r="BN1432" s="82">
        <f>$AF1432-$AF1433</f>
        <v/>
      </c>
      <c r="BO1432" s="82">
        <f>$AG1432-$AG1433</f>
        <v/>
      </c>
      <c r="BP1432" s="82">
        <f>$AJ1432-$AJ1433</f>
        <v/>
      </c>
    </row>
    <row r="1433">
      <c r="AR1433" s="81">
        <f>($G1433+($H1433-$G1433)*0.5)+($P1433-($O1433+($Q1433-$O1433)*0.5))</f>
        <v/>
      </c>
      <c r="AS1433" s="81">
        <f>($J1433+($K1433-$J1433)*0.5)+($T1433-($S1433+($U1433-$S1433)*0.5))</f>
        <v/>
      </c>
      <c r="AT1433" s="82">
        <f>($J1433-$C1433)*100</f>
        <v/>
      </c>
      <c r="AU1433" s="82">
        <f>($H1433-$F1433)*100</f>
        <v/>
      </c>
      <c r="AV1433" s="82">
        <f>($J1433-$F1433)*100</f>
        <v/>
      </c>
      <c r="AW1433" s="82">
        <f>($L1433-$F1433)*100</f>
        <v/>
      </c>
      <c r="AX1433" s="82">
        <f>($J1433-$H1433)*100</f>
        <v/>
      </c>
      <c r="AY1433" s="82">
        <f>($L1433-$H1433)*100</f>
        <v/>
      </c>
      <c r="AZ1433" s="82">
        <f>($L1433-$J1433)*100</f>
        <v/>
      </c>
      <c r="BA1433" s="82">
        <f>(2*$H1433-$F1433-$J1433)*100</f>
        <v/>
      </c>
      <c r="BB1433" s="82">
        <f>(2*$J1433-$H1433-$L1433)*100</f>
        <v/>
      </c>
      <c r="BC1433" s="82">
        <f>($N1433-$F1433)*100</f>
        <v/>
      </c>
      <c r="BD1433" s="82">
        <f>($Q1433-$H1433)*100</f>
        <v/>
      </c>
      <c r="BE1433" s="82">
        <f>($S1433-$J1433)*100</f>
        <v/>
      </c>
      <c r="BF1433" s="82">
        <f>($V1433-$L1433)*100</f>
        <v/>
      </c>
      <c r="BG1433" s="82">
        <f>$AG1433-$AF1433</f>
        <v/>
      </c>
      <c r="BH1433" s="81">
        <f>IFERROR($AG1433/$AF1433,"")</f>
        <v/>
      </c>
      <c r="BI1433" s="82">
        <f>$AJ1433-$AF1433</f>
        <v/>
      </c>
      <c r="BJ1433" s="81">
        <f>IFERROR($AJ1433/$AG1433,"")</f>
        <v/>
      </c>
      <c r="BK1433" s="81">
        <f>$X1433</f>
        <v/>
      </c>
      <c r="BL1433" s="82">
        <f>($J1433-$J1434)*100</f>
        <v/>
      </c>
      <c r="BM1433" s="82">
        <f>($F1433-$F1434)*100</f>
        <v/>
      </c>
      <c r="BN1433" s="82">
        <f>$AF1433-$AF1434</f>
        <v/>
      </c>
      <c r="BO1433" s="82">
        <f>$AG1433-$AG1434</f>
        <v/>
      </c>
      <c r="BP1433" s="82">
        <f>$AJ1433-$AJ1434</f>
        <v/>
      </c>
    </row>
    <row r="1434">
      <c r="AR1434" s="81">
        <f>($G1434+($H1434-$G1434)*0.5)+($P1434-($O1434+($Q1434-$O1434)*0.5))</f>
        <v/>
      </c>
      <c r="AS1434" s="81">
        <f>($J1434+($K1434-$J1434)*0.5)+($T1434-($S1434+($U1434-$S1434)*0.5))</f>
        <v/>
      </c>
      <c r="AT1434" s="82">
        <f>($J1434-$C1434)*100</f>
        <v/>
      </c>
      <c r="AU1434" s="82">
        <f>($H1434-$F1434)*100</f>
        <v/>
      </c>
      <c r="AV1434" s="82">
        <f>($J1434-$F1434)*100</f>
        <v/>
      </c>
      <c r="AW1434" s="82">
        <f>($L1434-$F1434)*100</f>
        <v/>
      </c>
      <c r="AX1434" s="82">
        <f>($J1434-$H1434)*100</f>
        <v/>
      </c>
      <c r="AY1434" s="82">
        <f>($L1434-$H1434)*100</f>
        <v/>
      </c>
      <c r="AZ1434" s="82">
        <f>($L1434-$J1434)*100</f>
        <v/>
      </c>
      <c r="BA1434" s="82">
        <f>(2*$H1434-$F1434-$J1434)*100</f>
        <v/>
      </c>
      <c r="BB1434" s="82">
        <f>(2*$J1434-$H1434-$L1434)*100</f>
        <v/>
      </c>
      <c r="BC1434" s="82">
        <f>($N1434-$F1434)*100</f>
        <v/>
      </c>
      <c r="BD1434" s="82">
        <f>($Q1434-$H1434)*100</f>
        <v/>
      </c>
      <c r="BE1434" s="82">
        <f>($S1434-$J1434)*100</f>
        <v/>
      </c>
      <c r="BF1434" s="82">
        <f>($V1434-$L1434)*100</f>
        <v/>
      </c>
      <c r="BG1434" s="82">
        <f>$AG1434-$AF1434</f>
        <v/>
      </c>
      <c r="BH1434" s="81">
        <f>IFERROR($AG1434/$AF1434,"")</f>
        <v/>
      </c>
      <c r="BI1434" s="82">
        <f>$AJ1434-$AF1434</f>
        <v/>
      </c>
      <c r="BJ1434" s="81">
        <f>IFERROR($AJ1434/$AG1434,"")</f>
        <v/>
      </c>
      <c r="BK1434" s="81">
        <f>$X1434</f>
        <v/>
      </c>
      <c r="BL1434" s="82">
        <f>($J1434-$J1435)*100</f>
        <v/>
      </c>
      <c r="BM1434" s="82">
        <f>($F1434-$F1435)*100</f>
        <v/>
      </c>
      <c r="BN1434" s="82">
        <f>$AF1434-$AF1435</f>
        <v/>
      </c>
      <c r="BO1434" s="82">
        <f>$AG1434-$AG1435</f>
        <v/>
      </c>
      <c r="BP1434" s="82">
        <f>$AJ1434-$AJ1435</f>
        <v/>
      </c>
    </row>
    <row r="1435">
      <c r="AR1435" s="81">
        <f>($G1435+($H1435-$G1435)*0.5)+($P1435-($O1435+($Q1435-$O1435)*0.5))</f>
        <v/>
      </c>
      <c r="AS1435" s="81">
        <f>($J1435+($K1435-$J1435)*0.5)+($T1435-($S1435+($U1435-$S1435)*0.5))</f>
        <v/>
      </c>
      <c r="AT1435" s="82">
        <f>($J1435-$C1435)*100</f>
        <v/>
      </c>
      <c r="AU1435" s="82">
        <f>($H1435-$F1435)*100</f>
        <v/>
      </c>
      <c r="AV1435" s="82">
        <f>($J1435-$F1435)*100</f>
        <v/>
      </c>
      <c r="AW1435" s="82">
        <f>($L1435-$F1435)*100</f>
        <v/>
      </c>
      <c r="AX1435" s="82">
        <f>($J1435-$H1435)*100</f>
        <v/>
      </c>
      <c r="AY1435" s="82">
        <f>($L1435-$H1435)*100</f>
        <v/>
      </c>
      <c r="AZ1435" s="82">
        <f>($L1435-$J1435)*100</f>
        <v/>
      </c>
      <c r="BA1435" s="82">
        <f>(2*$H1435-$F1435-$J1435)*100</f>
        <v/>
      </c>
      <c r="BB1435" s="82">
        <f>(2*$J1435-$H1435-$L1435)*100</f>
        <v/>
      </c>
      <c r="BC1435" s="82">
        <f>($N1435-$F1435)*100</f>
        <v/>
      </c>
      <c r="BD1435" s="82">
        <f>($Q1435-$H1435)*100</f>
        <v/>
      </c>
      <c r="BE1435" s="82">
        <f>($S1435-$J1435)*100</f>
        <v/>
      </c>
      <c r="BF1435" s="82">
        <f>($V1435-$L1435)*100</f>
        <v/>
      </c>
      <c r="BG1435" s="82">
        <f>$AG1435-$AF1435</f>
        <v/>
      </c>
      <c r="BH1435" s="81">
        <f>IFERROR($AG1435/$AF1435,"")</f>
        <v/>
      </c>
      <c r="BI1435" s="82">
        <f>$AJ1435-$AF1435</f>
        <v/>
      </c>
      <c r="BJ1435" s="81">
        <f>IFERROR($AJ1435/$AG1435,"")</f>
        <v/>
      </c>
      <c r="BK1435" s="81">
        <f>$X1435</f>
        <v/>
      </c>
      <c r="BL1435" s="82">
        <f>($J1435-$J1436)*100</f>
        <v/>
      </c>
      <c r="BM1435" s="82">
        <f>($F1435-$F1436)*100</f>
        <v/>
      </c>
      <c r="BN1435" s="82">
        <f>$AF1435-$AF1436</f>
        <v/>
      </c>
      <c r="BO1435" s="82">
        <f>$AG1435-$AG1436</f>
        <v/>
      </c>
      <c r="BP1435" s="82">
        <f>$AJ1435-$AJ1436</f>
        <v/>
      </c>
    </row>
    <row r="1436">
      <c r="AR1436" s="81">
        <f>($G1436+($H1436-$G1436)*0.5)+($P1436-($O1436+($Q1436-$O1436)*0.5))</f>
        <v/>
      </c>
      <c r="AS1436" s="81">
        <f>($J1436+($K1436-$J1436)*0.5)+($T1436-($S1436+($U1436-$S1436)*0.5))</f>
        <v/>
      </c>
      <c r="AT1436" s="82">
        <f>($J1436-$C1436)*100</f>
        <v/>
      </c>
      <c r="AU1436" s="82">
        <f>($H1436-$F1436)*100</f>
        <v/>
      </c>
      <c r="AV1436" s="82">
        <f>($J1436-$F1436)*100</f>
        <v/>
      </c>
      <c r="AW1436" s="82">
        <f>($L1436-$F1436)*100</f>
        <v/>
      </c>
      <c r="AX1436" s="82">
        <f>($J1436-$H1436)*100</f>
        <v/>
      </c>
      <c r="AY1436" s="82">
        <f>($L1436-$H1436)*100</f>
        <v/>
      </c>
      <c r="AZ1436" s="82">
        <f>($L1436-$J1436)*100</f>
        <v/>
      </c>
      <c r="BA1436" s="82">
        <f>(2*$H1436-$F1436-$J1436)*100</f>
        <v/>
      </c>
      <c r="BB1436" s="82">
        <f>(2*$J1436-$H1436-$L1436)*100</f>
        <v/>
      </c>
      <c r="BC1436" s="82">
        <f>($N1436-$F1436)*100</f>
        <v/>
      </c>
      <c r="BD1436" s="82">
        <f>($Q1436-$H1436)*100</f>
        <v/>
      </c>
      <c r="BE1436" s="82">
        <f>($S1436-$J1436)*100</f>
        <v/>
      </c>
      <c r="BF1436" s="82">
        <f>($V1436-$L1436)*100</f>
        <v/>
      </c>
      <c r="BG1436" s="82">
        <f>$AG1436-$AF1436</f>
        <v/>
      </c>
      <c r="BH1436" s="81">
        <f>IFERROR($AG1436/$AF1436,"")</f>
        <v/>
      </c>
      <c r="BI1436" s="82">
        <f>$AJ1436-$AF1436</f>
        <v/>
      </c>
      <c r="BJ1436" s="81">
        <f>IFERROR($AJ1436/$AG1436,"")</f>
        <v/>
      </c>
      <c r="BK1436" s="81">
        <f>$X1436</f>
        <v/>
      </c>
      <c r="BL1436" s="82">
        <f>($J1436-$J1437)*100</f>
        <v/>
      </c>
      <c r="BM1436" s="82">
        <f>($F1436-$F1437)*100</f>
        <v/>
      </c>
      <c r="BN1436" s="82">
        <f>$AF1436-$AF1437</f>
        <v/>
      </c>
      <c r="BO1436" s="82">
        <f>$AG1436-$AG1437</f>
        <v/>
      </c>
      <c r="BP1436" s="82">
        <f>$AJ1436-$AJ1437</f>
        <v/>
      </c>
    </row>
    <row r="1437">
      <c r="AR1437" s="81">
        <f>($G1437+($H1437-$G1437)*0.5)+($P1437-($O1437+($Q1437-$O1437)*0.5))</f>
        <v/>
      </c>
      <c r="AS1437" s="81">
        <f>($J1437+($K1437-$J1437)*0.5)+($T1437-($S1437+($U1437-$S1437)*0.5))</f>
        <v/>
      </c>
      <c r="AT1437" s="82">
        <f>($J1437-$C1437)*100</f>
        <v/>
      </c>
      <c r="AU1437" s="82">
        <f>($H1437-$F1437)*100</f>
        <v/>
      </c>
      <c r="AV1437" s="82">
        <f>($J1437-$F1437)*100</f>
        <v/>
      </c>
      <c r="AW1437" s="82">
        <f>($L1437-$F1437)*100</f>
        <v/>
      </c>
      <c r="AX1437" s="82">
        <f>($J1437-$H1437)*100</f>
        <v/>
      </c>
      <c r="AY1437" s="82">
        <f>($L1437-$H1437)*100</f>
        <v/>
      </c>
      <c r="AZ1437" s="82">
        <f>($L1437-$J1437)*100</f>
        <v/>
      </c>
      <c r="BA1437" s="82">
        <f>(2*$H1437-$F1437-$J1437)*100</f>
        <v/>
      </c>
      <c r="BB1437" s="82">
        <f>(2*$J1437-$H1437-$L1437)*100</f>
        <v/>
      </c>
      <c r="BC1437" s="82">
        <f>($N1437-$F1437)*100</f>
        <v/>
      </c>
      <c r="BD1437" s="82">
        <f>($Q1437-$H1437)*100</f>
        <v/>
      </c>
      <c r="BE1437" s="82">
        <f>($S1437-$J1437)*100</f>
        <v/>
      </c>
      <c r="BF1437" s="82">
        <f>($V1437-$L1437)*100</f>
        <v/>
      </c>
      <c r="BG1437" s="82">
        <f>$AG1437-$AF1437</f>
        <v/>
      </c>
      <c r="BH1437" s="81">
        <f>IFERROR($AG1437/$AF1437,"")</f>
        <v/>
      </c>
      <c r="BI1437" s="82">
        <f>$AJ1437-$AF1437</f>
        <v/>
      </c>
      <c r="BJ1437" s="81">
        <f>IFERROR($AJ1437/$AG1437,"")</f>
        <v/>
      </c>
      <c r="BK1437" s="81">
        <f>$X1437</f>
        <v/>
      </c>
      <c r="BL1437" s="82">
        <f>($J1437-$J1438)*100</f>
        <v/>
      </c>
      <c r="BM1437" s="82">
        <f>($F1437-$F1438)*100</f>
        <v/>
      </c>
      <c r="BN1437" s="82">
        <f>$AF1437-$AF1438</f>
        <v/>
      </c>
      <c r="BO1437" s="82">
        <f>$AG1437-$AG1438</f>
        <v/>
      </c>
      <c r="BP1437" s="82">
        <f>$AJ1437-$AJ1438</f>
        <v/>
      </c>
    </row>
    <row r="1438">
      <c r="AR1438" s="81">
        <f>($G1438+($H1438-$G1438)*0.5)+($P1438-($O1438+($Q1438-$O1438)*0.5))</f>
        <v/>
      </c>
      <c r="AS1438" s="81">
        <f>($J1438+($K1438-$J1438)*0.5)+($T1438-($S1438+($U1438-$S1438)*0.5))</f>
        <v/>
      </c>
      <c r="AT1438" s="82">
        <f>($J1438-$C1438)*100</f>
        <v/>
      </c>
      <c r="AU1438" s="82">
        <f>($H1438-$F1438)*100</f>
        <v/>
      </c>
      <c r="AV1438" s="82">
        <f>($J1438-$F1438)*100</f>
        <v/>
      </c>
      <c r="AW1438" s="82">
        <f>($L1438-$F1438)*100</f>
        <v/>
      </c>
      <c r="AX1438" s="82">
        <f>($J1438-$H1438)*100</f>
        <v/>
      </c>
      <c r="AY1438" s="82">
        <f>($L1438-$H1438)*100</f>
        <v/>
      </c>
      <c r="AZ1438" s="82">
        <f>($L1438-$J1438)*100</f>
        <v/>
      </c>
      <c r="BA1438" s="82">
        <f>(2*$H1438-$F1438-$J1438)*100</f>
        <v/>
      </c>
      <c r="BB1438" s="82">
        <f>(2*$J1438-$H1438-$L1438)*100</f>
        <v/>
      </c>
      <c r="BC1438" s="82">
        <f>($N1438-$F1438)*100</f>
        <v/>
      </c>
      <c r="BD1438" s="82">
        <f>($Q1438-$H1438)*100</f>
        <v/>
      </c>
      <c r="BE1438" s="82">
        <f>($S1438-$J1438)*100</f>
        <v/>
      </c>
      <c r="BF1438" s="82">
        <f>($V1438-$L1438)*100</f>
        <v/>
      </c>
      <c r="BG1438" s="82">
        <f>$AG1438-$AF1438</f>
        <v/>
      </c>
      <c r="BH1438" s="81">
        <f>IFERROR($AG1438/$AF1438,"")</f>
        <v/>
      </c>
      <c r="BI1438" s="82">
        <f>$AJ1438-$AF1438</f>
        <v/>
      </c>
      <c r="BJ1438" s="81">
        <f>IFERROR($AJ1438/$AG1438,"")</f>
        <v/>
      </c>
      <c r="BK1438" s="81">
        <f>$X1438</f>
        <v/>
      </c>
      <c r="BL1438" s="82">
        <f>($J1438-$J1439)*100</f>
        <v/>
      </c>
      <c r="BM1438" s="82">
        <f>($F1438-$F1439)*100</f>
        <v/>
      </c>
      <c r="BN1438" s="82">
        <f>$AF1438-$AF1439</f>
        <v/>
      </c>
      <c r="BO1438" s="82">
        <f>$AG1438-$AG1439</f>
        <v/>
      </c>
      <c r="BP1438" s="82">
        <f>$AJ1438-$AJ1439</f>
        <v/>
      </c>
    </row>
    <row r="1439">
      <c r="AR1439" s="81">
        <f>($G1439+($H1439-$G1439)*0.5)+($P1439-($O1439+($Q1439-$O1439)*0.5))</f>
        <v/>
      </c>
      <c r="AS1439" s="81">
        <f>($J1439+($K1439-$J1439)*0.5)+($T1439-($S1439+($U1439-$S1439)*0.5))</f>
        <v/>
      </c>
      <c r="AT1439" s="82">
        <f>($J1439-$C1439)*100</f>
        <v/>
      </c>
      <c r="AU1439" s="82">
        <f>($H1439-$F1439)*100</f>
        <v/>
      </c>
      <c r="AV1439" s="82">
        <f>($J1439-$F1439)*100</f>
        <v/>
      </c>
      <c r="AW1439" s="82">
        <f>($L1439-$F1439)*100</f>
        <v/>
      </c>
      <c r="AX1439" s="82">
        <f>($J1439-$H1439)*100</f>
        <v/>
      </c>
      <c r="AY1439" s="82">
        <f>($L1439-$H1439)*100</f>
        <v/>
      </c>
      <c r="AZ1439" s="82">
        <f>($L1439-$J1439)*100</f>
        <v/>
      </c>
      <c r="BA1439" s="82">
        <f>(2*$H1439-$F1439-$J1439)*100</f>
        <v/>
      </c>
      <c r="BB1439" s="82">
        <f>(2*$J1439-$H1439-$L1439)*100</f>
        <v/>
      </c>
      <c r="BC1439" s="82">
        <f>($N1439-$F1439)*100</f>
        <v/>
      </c>
      <c r="BD1439" s="82">
        <f>($Q1439-$H1439)*100</f>
        <v/>
      </c>
      <c r="BE1439" s="82">
        <f>($S1439-$J1439)*100</f>
        <v/>
      </c>
      <c r="BF1439" s="82">
        <f>($V1439-$L1439)*100</f>
        <v/>
      </c>
      <c r="BG1439" s="82">
        <f>$AG1439-$AF1439</f>
        <v/>
      </c>
      <c r="BH1439" s="81">
        <f>IFERROR($AG1439/$AF1439,"")</f>
        <v/>
      </c>
      <c r="BI1439" s="82">
        <f>$AJ1439-$AF1439</f>
        <v/>
      </c>
      <c r="BJ1439" s="81">
        <f>IFERROR($AJ1439/$AG1439,"")</f>
        <v/>
      </c>
      <c r="BK1439" s="81">
        <f>$X1439</f>
        <v/>
      </c>
      <c r="BL1439" s="82">
        <f>($J1439-$J1440)*100</f>
        <v/>
      </c>
      <c r="BM1439" s="82">
        <f>($F1439-$F1440)*100</f>
        <v/>
      </c>
      <c r="BN1439" s="82">
        <f>$AF1439-$AF1440</f>
        <v/>
      </c>
      <c r="BO1439" s="82">
        <f>$AG1439-$AG1440</f>
        <v/>
      </c>
      <c r="BP1439" s="82">
        <f>$AJ1439-$AJ1440</f>
        <v/>
      </c>
    </row>
    <row r="1440">
      <c r="AR1440" s="81">
        <f>($G1440+($H1440-$G1440)*0.5)+($P1440-($O1440+($Q1440-$O1440)*0.5))</f>
        <v/>
      </c>
      <c r="AS1440" s="81">
        <f>($J1440+($K1440-$J1440)*0.5)+($T1440-($S1440+($U1440-$S1440)*0.5))</f>
        <v/>
      </c>
      <c r="AT1440" s="82">
        <f>($J1440-$C1440)*100</f>
        <v/>
      </c>
      <c r="AU1440" s="82">
        <f>($H1440-$F1440)*100</f>
        <v/>
      </c>
      <c r="AV1440" s="82">
        <f>($J1440-$F1440)*100</f>
        <v/>
      </c>
      <c r="AW1440" s="82">
        <f>($L1440-$F1440)*100</f>
        <v/>
      </c>
      <c r="AX1440" s="82">
        <f>($J1440-$H1440)*100</f>
        <v/>
      </c>
      <c r="AY1440" s="82">
        <f>($L1440-$H1440)*100</f>
        <v/>
      </c>
      <c r="AZ1440" s="82">
        <f>($L1440-$J1440)*100</f>
        <v/>
      </c>
      <c r="BA1440" s="82">
        <f>(2*$H1440-$F1440-$J1440)*100</f>
        <v/>
      </c>
      <c r="BB1440" s="82">
        <f>(2*$J1440-$H1440-$L1440)*100</f>
        <v/>
      </c>
      <c r="BC1440" s="82">
        <f>($N1440-$F1440)*100</f>
        <v/>
      </c>
      <c r="BD1440" s="82">
        <f>($Q1440-$H1440)*100</f>
        <v/>
      </c>
      <c r="BE1440" s="82">
        <f>($S1440-$J1440)*100</f>
        <v/>
      </c>
      <c r="BF1440" s="82">
        <f>($V1440-$L1440)*100</f>
        <v/>
      </c>
      <c r="BG1440" s="82">
        <f>$AG1440-$AF1440</f>
        <v/>
      </c>
      <c r="BH1440" s="81">
        <f>IFERROR($AG1440/$AF1440,"")</f>
        <v/>
      </c>
      <c r="BI1440" s="82">
        <f>$AJ1440-$AF1440</f>
        <v/>
      </c>
      <c r="BJ1440" s="81">
        <f>IFERROR($AJ1440/$AG1440,"")</f>
        <v/>
      </c>
      <c r="BK1440" s="81">
        <f>$X1440</f>
        <v/>
      </c>
      <c r="BL1440" s="82">
        <f>($J1440-$J1441)*100</f>
        <v/>
      </c>
      <c r="BM1440" s="82">
        <f>($F1440-$F1441)*100</f>
        <v/>
      </c>
      <c r="BN1440" s="82">
        <f>$AF1440-$AF1441</f>
        <v/>
      </c>
      <c r="BO1440" s="82">
        <f>$AG1440-$AG1441</f>
        <v/>
      </c>
      <c r="BP1440" s="82">
        <f>$AJ1440-$AJ1441</f>
        <v/>
      </c>
    </row>
    <row r="1441">
      <c r="AR1441" s="81">
        <f>($G1441+($H1441-$G1441)*0.5)+($P1441-($O1441+($Q1441-$O1441)*0.5))</f>
        <v/>
      </c>
      <c r="AS1441" s="81">
        <f>($J1441+($K1441-$J1441)*0.5)+($T1441-($S1441+($U1441-$S1441)*0.5))</f>
        <v/>
      </c>
      <c r="AT1441" s="82">
        <f>($J1441-$C1441)*100</f>
        <v/>
      </c>
      <c r="AU1441" s="82">
        <f>($H1441-$F1441)*100</f>
        <v/>
      </c>
      <c r="AV1441" s="82">
        <f>($J1441-$F1441)*100</f>
        <v/>
      </c>
      <c r="AW1441" s="82">
        <f>($L1441-$F1441)*100</f>
        <v/>
      </c>
      <c r="AX1441" s="82">
        <f>($J1441-$H1441)*100</f>
        <v/>
      </c>
      <c r="AY1441" s="82">
        <f>($L1441-$H1441)*100</f>
        <v/>
      </c>
      <c r="AZ1441" s="82">
        <f>($L1441-$J1441)*100</f>
        <v/>
      </c>
      <c r="BA1441" s="82">
        <f>(2*$H1441-$F1441-$J1441)*100</f>
        <v/>
      </c>
      <c r="BB1441" s="82">
        <f>(2*$J1441-$H1441-$L1441)*100</f>
        <v/>
      </c>
      <c r="BC1441" s="82">
        <f>($N1441-$F1441)*100</f>
        <v/>
      </c>
      <c r="BD1441" s="82">
        <f>($Q1441-$H1441)*100</f>
        <v/>
      </c>
      <c r="BE1441" s="82">
        <f>($S1441-$J1441)*100</f>
        <v/>
      </c>
      <c r="BF1441" s="82">
        <f>($V1441-$L1441)*100</f>
        <v/>
      </c>
      <c r="BG1441" s="82">
        <f>$AG1441-$AF1441</f>
        <v/>
      </c>
      <c r="BH1441" s="81">
        <f>IFERROR($AG1441/$AF1441,"")</f>
        <v/>
      </c>
      <c r="BI1441" s="82">
        <f>$AJ1441-$AF1441</f>
        <v/>
      </c>
      <c r="BJ1441" s="81">
        <f>IFERROR($AJ1441/$AG1441,"")</f>
        <v/>
      </c>
      <c r="BK1441" s="81">
        <f>$X1441</f>
        <v/>
      </c>
      <c r="BL1441" s="82">
        <f>($J1441-$J1442)*100</f>
        <v/>
      </c>
      <c r="BM1441" s="82">
        <f>($F1441-$F1442)*100</f>
        <v/>
      </c>
      <c r="BN1441" s="82">
        <f>$AF1441-$AF1442</f>
        <v/>
      </c>
      <c r="BO1441" s="82">
        <f>$AG1441-$AG1442</f>
        <v/>
      </c>
      <c r="BP1441" s="82">
        <f>$AJ1441-$AJ1442</f>
        <v/>
      </c>
    </row>
    <row r="1442">
      <c r="AR1442" s="81">
        <f>($G1442+($H1442-$G1442)*0.5)+($P1442-($O1442+($Q1442-$O1442)*0.5))</f>
        <v/>
      </c>
      <c r="AS1442" s="81">
        <f>($J1442+($K1442-$J1442)*0.5)+($T1442-($S1442+($U1442-$S1442)*0.5))</f>
        <v/>
      </c>
      <c r="AT1442" s="82">
        <f>($J1442-$C1442)*100</f>
        <v/>
      </c>
      <c r="AU1442" s="82">
        <f>($H1442-$F1442)*100</f>
        <v/>
      </c>
      <c r="AV1442" s="82">
        <f>($J1442-$F1442)*100</f>
        <v/>
      </c>
      <c r="AW1442" s="82">
        <f>($L1442-$F1442)*100</f>
        <v/>
      </c>
      <c r="AX1442" s="82">
        <f>($J1442-$H1442)*100</f>
        <v/>
      </c>
      <c r="AY1442" s="82">
        <f>($L1442-$H1442)*100</f>
        <v/>
      </c>
      <c r="AZ1442" s="82">
        <f>($L1442-$J1442)*100</f>
        <v/>
      </c>
      <c r="BA1442" s="82">
        <f>(2*$H1442-$F1442-$J1442)*100</f>
        <v/>
      </c>
      <c r="BB1442" s="82">
        <f>(2*$J1442-$H1442-$L1442)*100</f>
        <v/>
      </c>
      <c r="BC1442" s="82">
        <f>($N1442-$F1442)*100</f>
        <v/>
      </c>
      <c r="BD1442" s="82">
        <f>($Q1442-$H1442)*100</f>
        <v/>
      </c>
      <c r="BE1442" s="82">
        <f>($S1442-$J1442)*100</f>
        <v/>
      </c>
      <c r="BF1442" s="82">
        <f>($V1442-$L1442)*100</f>
        <v/>
      </c>
      <c r="BG1442" s="82">
        <f>$AG1442-$AF1442</f>
        <v/>
      </c>
      <c r="BH1442" s="81">
        <f>IFERROR($AG1442/$AF1442,"")</f>
        <v/>
      </c>
      <c r="BI1442" s="82">
        <f>$AJ1442-$AF1442</f>
        <v/>
      </c>
      <c r="BJ1442" s="81">
        <f>IFERROR($AJ1442/$AG1442,"")</f>
        <v/>
      </c>
      <c r="BK1442" s="81">
        <f>$X1442</f>
        <v/>
      </c>
      <c r="BL1442" s="82">
        <f>($J1442-$J1443)*100</f>
        <v/>
      </c>
      <c r="BM1442" s="82">
        <f>($F1442-$F1443)*100</f>
        <v/>
      </c>
      <c r="BN1442" s="82">
        <f>$AF1442-$AF1443</f>
        <v/>
      </c>
      <c r="BO1442" s="82">
        <f>$AG1442-$AG1443</f>
        <v/>
      </c>
      <c r="BP1442" s="82">
        <f>$AJ1442-$AJ1443</f>
        <v/>
      </c>
    </row>
    <row r="1443">
      <c r="AR1443" s="81">
        <f>($G1443+($H1443-$G1443)*0.5)+($P1443-($O1443+($Q1443-$O1443)*0.5))</f>
        <v/>
      </c>
      <c r="AS1443" s="81">
        <f>($J1443+($K1443-$J1443)*0.5)+($T1443-($S1443+($U1443-$S1443)*0.5))</f>
        <v/>
      </c>
      <c r="AT1443" s="82">
        <f>($J1443-$C1443)*100</f>
        <v/>
      </c>
      <c r="AU1443" s="82">
        <f>($H1443-$F1443)*100</f>
        <v/>
      </c>
      <c r="AV1443" s="82">
        <f>($J1443-$F1443)*100</f>
        <v/>
      </c>
      <c r="AW1443" s="82">
        <f>($L1443-$F1443)*100</f>
        <v/>
      </c>
      <c r="AX1443" s="82">
        <f>($J1443-$H1443)*100</f>
        <v/>
      </c>
      <c r="AY1443" s="82">
        <f>($L1443-$H1443)*100</f>
        <v/>
      </c>
      <c r="AZ1443" s="82">
        <f>($L1443-$J1443)*100</f>
        <v/>
      </c>
      <c r="BA1443" s="82">
        <f>(2*$H1443-$F1443-$J1443)*100</f>
        <v/>
      </c>
      <c r="BB1443" s="82">
        <f>(2*$J1443-$H1443-$L1443)*100</f>
        <v/>
      </c>
      <c r="BC1443" s="82">
        <f>($N1443-$F1443)*100</f>
        <v/>
      </c>
      <c r="BD1443" s="82">
        <f>($Q1443-$H1443)*100</f>
        <v/>
      </c>
      <c r="BE1443" s="82">
        <f>($S1443-$J1443)*100</f>
        <v/>
      </c>
      <c r="BF1443" s="82">
        <f>($V1443-$L1443)*100</f>
        <v/>
      </c>
      <c r="BG1443" s="82">
        <f>$AG1443-$AF1443</f>
        <v/>
      </c>
      <c r="BH1443" s="81">
        <f>IFERROR($AG1443/$AF1443,"")</f>
        <v/>
      </c>
      <c r="BI1443" s="82">
        <f>$AJ1443-$AF1443</f>
        <v/>
      </c>
      <c r="BJ1443" s="81">
        <f>IFERROR($AJ1443/$AG1443,"")</f>
        <v/>
      </c>
      <c r="BK1443" s="81">
        <f>$X1443</f>
        <v/>
      </c>
      <c r="BL1443" s="82">
        <f>($J1443-$J1444)*100</f>
        <v/>
      </c>
      <c r="BM1443" s="82">
        <f>($F1443-$F1444)*100</f>
        <v/>
      </c>
      <c r="BN1443" s="82">
        <f>$AF1443-$AF1444</f>
        <v/>
      </c>
      <c r="BO1443" s="82">
        <f>$AG1443-$AG1444</f>
        <v/>
      </c>
      <c r="BP1443" s="82">
        <f>$AJ1443-$AJ1444</f>
        <v/>
      </c>
    </row>
    <row r="1444">
      <c r="AR1444" s="81">
        <f>($G1444+($H1444-$G1444)*0.5)+($P1444-($O1444+($Q1444-$O1444)*0.5))</f>
        <v/>
      </c>
      <c r="AS1444" s="81">
        <f>($J1444+($K1444-$J1444)*0.5)+($T1444-($S1444+($U1444-$S1444)*0.5))</f>
        <v/>
      </c>
      <c r="AT1444" s="82">
        <f>($J1444-$C1444)*100</f>
        <v/>
      </c>
      <c r="AU1444" s="82">
        <f>($H1444-$F1444)*100</f>
        <v/>
      </c>
      <c r="AV1444" s="82">
        <f>($J1444-$F1444)*100</f>
        <v/>
      </c>
      <c r="AW1444" s="82">
        <f>($L1444-$F1444)*100</f>
        <v/>
      </c>
      <c r="AX1444" s="82">
        <f>($J1444-$H1444)*100</f>
        <v/>
      </c>
      <c r="AY1444" s="82">
        <f>($L1444-$H1444)*100</f>
        <v/>
      </c>
      <c r="AZ1444" s="82">
        <f>($L1444-$J1444)*100</f>
        <v/>
      </c>
      <c r="BA1444" s="82">
        <f>(2*$H1444-$F1444-$J1444)*100</f>
        <v/>
      </c>
      <c r="BB1444" s="82">
        <f>(2*$J1444-$H1444-$L1444)*100</f>
        <v/>
      </c>
      <c r="BC1444" s="82">
        <f>($N1444-$F1444)*100</f>
        <v/>
      </c>
      <c r="BD1444" s="82">
        <f>($Q1444-$H1444)*100</f>
        <v/>
      </c>
      <c r="BE1444" s="82">
        <f>($S1444-$J1444)*100</f>
        <v/>
      </c>
      <c r="BF1444" s="82">
        <f>($V1444-$L1444)*100</f>
        <v/>
      </c>
      <c r="BG1444" s="82">
        <f>$AG1444-$AF1444</f>
        <v/>
      </c>
      <c r="BH1444" s="81">
        <f>IFERROR($AG1444/$AF1444,"")</f>
        <v/>
      </c>
      <c r="BI1444" s="82">
        <f>$AJ1444-$AF1444</f>
        <v/>
      </c>
      <c r="BJ1444" s="81">
        <f>IFERROR($AJ1444/$AG1444,"")</f>
        <v/>
      </c>
      <c r="BK1444" s="81">
        <f>$X1444</f>
        <v/>
      </c>
      <c r="BL1444" s="82">
        <f>($J1444-$J1445)*100</f>
        <v/>
      </c>
      <c r="BM1444" s="82">
        <f>($F1444-$F1445)*100</f>
        <v/>
      </c>
      <c r="BN1444" s="82">
        <f>$AF1444-$AF1445</f>
        <v/>
      </c>
      <c r="BO1444" s="82">
        <f>$AG1444-$AG1445</f>
        <v/>
      </c>
      <c r="BP1444" s="82">
        <f>$AJ1444-$AJ1445</f>
        <v/>
      </c>
    </row>
    <row r="1445">
      <c r="AR1445" s="81">
        <f>($G1445+($H1445-$G1445)*0.5)+($P1445-($O1445+($Q1445-$O1445)*0.5))</f>
        <v/>
      </c>
      <c r="AS1445" s="81">
        <f>($J1445+($K1445-$J1445)*0.5)+($T1445-($S1445+($U1445-$S1445)*0.5))</f>
        <v/>
      </c>
      <c r="AT1445" s="82">
        <f>($J1445-$C1445)*100</f>
        <v/>
      </c>
      <c r="AU1445" s="82">
        <f>($H1445-$F1445)*100</f>
        <v/>
      </c>
      <c r="AV1445" s="82">
        <f>($J1445-$F1445)*100</f>
        <v/>
      </c>
      <c r="AW1445" s="82">
        <f>($L1445-$F1445)*100</f>
        <v/>
      </c>
      <c r="AX1445" s="82">
        <f>($J1445-$H1445)*100</f>
        <v/>
      </c>
      <c r="AY1445" s="82">
        <f>($L1445-$H1445)*100</f>
        <v/>
      </c>
      <c r="AZ1445" s="82">
        <f>($L1445-$J1445)*100</f>
        <v/>
      </c>
      <c r="BA1445" s="82">
        <f>(2*$H1445-$F1445-$J1445)*100</f>
        <v/>
      </c>
      <c r="BB1445" s="82">
        <f>(2*$J1445-$H1445-$L1445)*100</f>
        <v/>
      </c>
      <c r="BC1445" s="82">
        <f>($N1445-$F1445)*100</f>
        <v/>
      </c>
      <c r="BD1445" s="82">
        <f>($Q1445-$H1445)*100</f>
        <v/>
      </c>
      <c r="BE1445" s="82">
        <f>($S1445-$J1445)*100</f>
        <v/>
      </c>
      <c r="BF1445" s="82">
        <f>($V1445-$L1445)*100</f>
        <v/>
      </c>
      <c r="BG1445" s="82">
        <f>$AG1445-$AF1445</f>
        <v/>
      </c>
      <c r="BH1445" s="81">
        <f>IFERROR($AG1445/$AF1445,"")</f>
        <v/>
      </c>
      <c r="BI1445" s="82">
        <f>$AJ1445-$AF1445</f>
        <v/>
      </c>
      <c r="BJ1445" s="81">
        <f>IFERROR($AJ1445/$AG1445,"")</f>
        <v/>
      </c>
      <c r="BK1445" s="81">
        <f>$X1445</f>
        <v/>
      </c>
      <c r="BL1445" s="82">
        <f>($J1445-$J1446)*100</f>
        <v/>
      </c>
      <c r="BM1445" s="82">
        <f>($F1445-$F1446)*100</f>
        <v/>
      </c>
      <c r="BN1445" s="82">
        <f>$AF1445-$AF1446</f>
        <v/>
      </c>
      <c r="BO1445" s="82">
        <f>$AG1445-$AG1446</f>
        <v/>
      </c>
      <c r="BP1445" s="82">
        <f>$AJ1445-$AJ1446</f>
        <v/>
      </c>
    </row>
    <row r="1446">
      <c r="AR1446" s="81">
        <f>($G1446+($H1446-$G1446)*0.5)+($P1446-($O1446+($Q1446-$O1446)*0.5))</f>
        <v/>
      </c>
      <c r="AS1446" s="81">
        <f>($J1446+($K1446-$J1446)*0.5)+($T1446-($S1446+($U1446-$S1446)*0.5))</f>
        <v/>
      </c>
      <c r="AT1446" s="82">
        <f>($J1446-$C1446)*100</f>
        <v/>
      </c>
      <c r="AU1446" s="82">
        <f>($H1446-$F1446)*100</f>
        <v/>
      </c>
      <c r="AV1446" s="82">
        <f>($J1446-$F1446)*100</f>
        <v/>
      </c>
      <c r="AW1446" s="82">
        <f>($L1446-$F1446)*100</f>
        <v/>
      </c>
      <c r="AX1446" s="82">
        <f>($J1446-$H1446)*100</f>
        <v/>
      </c>
      <c r="AY1446" s="82">
        <f>($L1446-$H1446)*100</f>
        <v/>
      </c>
      <c r="AZ1446" s="82">
        <f>($L1446-$J1446)*100</f>
        <v/>
      </c>
      <c r="BA1446" s="82">
        <f>(2*$H1446-$F1446-$J1446)*100</f>
        <v/>
      </c>
      <c r="BB1446" s="82">
        <f>(2*$J1446-$H1446-$L1446)*100</f>
        <v/>
      </c>
      <c r="BC1446" s="82">
        <f>($N1446-$F1446)*100</f>
        <v/>
      </c>
      <c r="BD1446" s="82">
        <f>($Q1446-$H1446)*100</f>
        <v/>
      </c>
      <c r="BE1446" s="82">
        <f>($S1446-$J1446)*100</f>
        <v/>
      </c>
      <c r="BF1446" s="82">
        <f>($V1446-$L1446)*100</f>
        <v/>
      </c>
      <c r="BG1446" s="82">
        <f>$AG1446-$AF1446</f>
        <v/>
      </c>
      <c r="BH1446" s="81">
        <f>IFERROR($AG1446/$AF1446,"")</f>
        <v/>
      </c>
      <c r="BI1446" s="82">
        <f>$AJ1446-$AF1446</f>
        <v/>
      </c>
      <c r="BJ1446" s="81">
        <f>IFERROR($AJ1446/$AG1446,"")</f>
        <v/>
      </c>
      <c r="BK1446" s="81">
        <f>$X1446</f>
        <v/>
      </c>
      <c r="BL1446" s="82">
        <f>($J1446-$J1447)*100</f>
        <v/>
      </c>
      <c r="BM1446" s="82">
        <f>($F1446-$F1447)*100</f>
        <v/>
      </c>
      <c r="BN1446" s="82">
        <f>$AF1446-$AF1447</f>
        <v/>
      </c>
      <c r="BO1446" s="82">
        <f>$AG1446-$AG1447</f>
        <v/>
      </c>
      <c r="BP1446" s="82">
        <f>$AJ1446-$AJ1447</f>
        <v/>
      </c>
    </row>
    <row r="1447">
      <c r="AR1447" s="81">
        <f>($G1447+($H1447-$G1447)*0.5)+($P1447-($O1447+($Q1447-$O1447)*0.5))</f>
        <v/>
      </c>
      <c r="AS1447" s="81">
        <f>($J1447+($K1447-$J1447)*0.5)+($T1447-($S1447+($U1447-$S1447)*0.5))</f>
        <v/>
      </c>
      <c r="AT1447" s="82">
        <f>($J1447-$C1447)*100</f>
        <v/>
      </c>
      <c r="AU1447" s="82">
        <f>($H1447-$F1447)*100</f>
        <v/>
      </c>
      <c r="AV1447" s="82">
        <f>($J1447-$F1447)*100</f>
        <v/>
      </c>
      <c r="AW1447" s="82">
        <f>($L1447-$F1447)*100</f>
        <v/>
      </c>
      <c r="AX1447" s="82">
        <f>($J1447-$H1447)*100</f>
        <v/>
      </c>
      <c r="AY1447" s="82">
        <f>($L1447-$H1447)*100</f>
        <v/>
      </c>
      <c r="AZ1447" s="82">
        <f>($L1447-$J1447)*100</f>
        <v/>
      </c>
      <c r="BA1447" s="82">
        <f>(2*$H1447-$F1447-$J1447)*100</f>
        <v/>
      </c>
      <c r="BB1447" s="82">
        <f>(2*$J1447-$H1447-$L1447)*100</f>
        <v/>
      </c>
      <c r="BC1447" s="82">
        <f>($N1447-$F1447)*100</f>
        <v/>
      </c>
      <c r="BD1447" s="82">
        <f>($Q1447-$H1447)*100</f>
        <v/>
      </c>
      <c r="BE1447" s="82">
        <f>($S1447-$J1447)*100</f>
        <v/>
      </c>
      <c r="BF1447" s="82">
        <f>($V1447-$L1447)*100</f>
        <v/>
      </c>
      <c r="BG1447" s="82">
        <f>$AG1447-$AF1447</f>
        <v/>
      </c>
      <c r="BH1447" s="81">
        <f>IFERROR($AG1447/$AF1447,"")</f>
        <v/>
      </c>
      <c r="BI1447" s="82">
        <f>$AJ1447-$AF1447</f>
        <v/>
      </c>
      <c r="BJ1447" s="81">
        <f>IFERROR($AJ1447/$AG1447,"")</f>
        <v/>
      </c>
      <c r="BK1447" s="81">
        <f>$X1447</f>
        <v/>
      </c>
      <c r="BL1447" s="82">
        <f>($J1447-$J1448)*100</f>
        <v/>
      </c>
      <c r="BM1447" s="82">
        <f>($F1447-$F1448)*100</f>
        <v/>
      </c>
      <c r="BN1447" s="82">
        <f>$AF1447-$AF1448</f>
        <v/>
      </c>
      <c r="BO1447" s="82">
        <f>$AG1447-$AG1448</f>
        <v/>
      </c>
      <c r="BP1447" s="82">
        <f>$AJ1447-$AJ1448</f>
        <v/>
      </c>
    </row>
    <row r="1448">
      <c r="AR1448" s="81">
        <f>($G1448+($H1448-$G1448)*0.5)+($P1448-($O1448+($Q1448-$O1448)*0.5))</f>
        <v/>
      </c>
      <c r="AS1448" s="81">
        <f>($J1448+($K1448-$J1448)*0.5)+($T1448-($S1448+($U1448-$S1448)*0.5))</f>
        <v/>
      </c>
      <c r="AT1448" s="82">
        <f>($J1448-$C1448)*100</f>
        <v/>
      </c>
      <c r="AU1448" s="82">
        <f>($H1448-$F1448)*100</f>
        <v/>
      </c>
      <c r="AV1448" s="82">
        <f>($J1448-$F1448)*100</f>
        <v/>
      </c>
      <c r="AW1448" s="82">
        <f>($L1448-$F1448)*100</f>
        <v/>
      </c>
      <c r="AX1448" s="82">
        <f>($J1448-$H1448)*100</f>
        <v/>
      </c>
      <c r="AY1448" s="82">
        <f>($L1448-$H1448)*100</f>
        <v/>
      </c>
      <c r="AZ1448" s="82">
        <f>($L1448-$J1448)*100</f>
        <v/>
      </c>
      <c r="BA1448" s="82">
        <f>(2*$H1448-$F1448-$J1448)*100</f>
        <v/>
      </c>
      <c r="BB1448" s="82">
        <f>(2*$J1448-$H1448-$L1448)*100</f>
        <v/>
      </c>
      <c r="BC1448" s="82">
        <f>($N1448-$F1448)*100</f>
        <v/>
      </c>
      <c r="BD1448" s="82">
        <f>($Q1448-$H1448)*100</f>
        <v/>
      </c>
      <c r="BE1448" s="82">
        <f>($S1448-$J1448)*100</f>
        <v/>
      </c>
      <c r="BF1448" s="82">
        <f>($V1448-$L1448)*100</f>
        <v/>
      </c>
      <c r="BG1448" s="82">
        <f>$AG1448-$AF1448</f>
        <v/>
      </c>
      <c r="BH1448" s="81">
        <f>IFERROR($AG1448/$AF1448,"")</f>
        <v/>
      </c>
      <c r="BI1448" s="82">
        <f>$AJ1448-$AF1448</f>
        <v/>
      </c>
      <c r="BJ1448" s="81">
        <f>IFERROR($AJ1448/$AG1448,"")</f>
        <v/>
      </c>
      <c r="BK1448" s="81">
        <f>$X1448</f>
        <v/>
      </c>
      <c r="BL1448" s="82">
        <f>($J1448-$J1449)*100</f>
        <v/>
      </c>
      <c r="BM1448" s="82">
        <f>($F1448-$F1449)*100</f>
        <v/>
      </c>
      <c r="BN1448" s="82">
        <f>$AF1448-$AF1449</f>
        <v/>
      </c>
      <c r="BO1448" s="82">
        <f>$AG1448-$AG1449</f>
        <v/>
      </c>
      <c r="BP1448" s="82">
        <f>$AJ1448-$AJ1449</f>
        <v/>
      </c>
    </row>
    <row r="1449">
      <c r="AR1449" s="81">
        <f>($G1449+($H1449-$G1449)*0.5)+($P1449-($O1449+($Q1449-$O1449)*0.5))</f>
        <v/>
      </c>
      <c r="AS1449" s="81">
        <f>($J1449+($K1449-$J1449)*0.5)+($T1449-($S1449+($U1449-$S1449)*0.5))</f>
        <v/>
      </c>
      <c r="AT1449" s="82">
        <f>($J1449-$C1449)*100</f>
        <v/>
      </c>
      <c r="AU1449" s="82">
        <f>($H1449-$F1449)*100</f>
        <v/>
      </c>
      <c r="AV1449" s="82">
        <f>($J1449-$F1449)*100</f>
        <v/>
      </c>
      <c r="AW1449" s="82">
        <f>($L1449-$F1449)*100</f>
        <v/>
      </c>
      <c r="AX1449" s="82">
        <f>($J1449-$H1449)*100</f>
        <v/>
      </c>
      <c r="AY1449" s="82">
        <f>($L1449-$H1449)*100</f>
        <v/>
      </c>
      <c r="AZ1449" s="82">
        <f>($L1449-$J1449)*100</f>
        <v/>
      </c>
      <c r="BA1449" s="82">
        <f>(2*$H1449-$F1449-$J1449)*100</f>
        <v/>
      </c>
      <c r="BB1449" s="82">
        <f>(2*$J1449-$H1449-$L1449)*100</f>
        <v/>
      </c>
      <c r="BC1449" s="82">
        <f>($N1449-$F1449)*100</f>
        <v/>
      </c>
      <c r="BD1449" s="82">
        <f>($Q1449-$H1449)*100</f>
        <v/>
      </c>
      <c r="BE1449" s="82">
        <f>($S1449-$J1449)*100</f>
        <v/>
      </c>
      <c r="BF1449" s="82">
        <f>($V1449-$L1449)*100</f>
        <v/>
      </c>
      <c r="BG1449" s="82">
        <f>$AG1449-$AF1449</f>
        <v/>
      </c>
      <c r="BH1449" s="81">
        <f>IFERROR($AG1449/$AF1449,"")</f>
        <v/>
      </c>
      <c r="BI1449" s="82">
        <f>$AJ1449-$AF1449</f>
        <v/>
      </c>
      <c r="BJ1449" s="81">
        <f>IFERROR($AJ1449/$AG1449,"")</f>
        <v/>
      </c>
      <c r="BK1449" s="81">
        <f>$X1449</f>
        <v/>
      </c>
      <c r="BL1449" s="82">
        <f>($J1449-$J1450)*100</f>
        <v/>
      </c>
      <c r="BM1449" s="82">
        <f>($F1449-$F1450)*100</f>
        <v/>
      </c>
      <c r="BN1449" s="82">
        <f>$AF1449-$AF1450</f>
        <v/>
      </c>
      <c r="BO1449" s="82">
        <f>$AG1449-$AG1450</f>
        <v/>
      </c>
      <c r="BP1449" s="82">
        <f>$AJ1449-$AJ1450</f>
        <v/>
      </c>
    </row>
    <row r="1450">
      <c r="AR1450" s="81">
        <f>($G1450+($H1450-$G1450)*0.5)+($P1450-($O1450+($Q1450-$O1450)*0.5))</f>
        <v/>
      </c>
      <c r="AS1450" s="81">
        <f>($J1450+($K1450-$J1450)*0.5)+($T1450-($S1450+($U1450-$S1450)*0.5))</f>
        <v/>
      </c>
      <c r="AT1450" s="82">
        <f>($J1450-$C1450)*100</f>
        <v/>
      </c>
      <c r="AU1450" s="82">
        <f>($H1450-$F1450)*100</f>
        <v/>
      </c>
      <c r="AV1450" s="82">
        <f>($J1450-$F1450)*100</f>
        <v/>
      </c>
      <c r="AW1450" s="82">
        <f>($L1450-$F1450)*100</f>
        <v/>
      </c>
      <c r="AX1450" s="82">
        <f>($J1450-$H1450)*100</f>
        <v/>
      </c>
      <c r="AY1450" s="82">
        <f>($L1450-$H1450)*100</f>
        <v/>
      </c>
      <c r="AZ1450" s="82">
        <f>($L1450-$J1450)*100</f>
        <v/>
      </c>
      <c r="BA1450" s="82">
        <f>(2*$H1450-$F1450-$J1450)*100</f>
        <v/>
      </c>
      <c r="BB1450" s="82">
        <f>(2*$J1450-$H1450-$L1450)*100</f>
        <v/>
      </c>
      <c r="BC1450" s="82">
        <f>($N1450-$F1450)*100</f>
        <v/>
      </c>
      <c r="BD1450" s="82">
        <f>($Q1450-$H1450)*100</f>
        <v/>
      </c>
      <c r="BE1450" s="82">
        <f>($S1450-$J1450)*100</f>
        <v/>
      </c>
      <c r="BF1450" s="82">
        <f>($V1450-$L1450)*100</f>
        <v/>
      </c>
      <c r="BG1450" s="82">
        <f>$AG1450-$AF1450</f>
        <v/>
      </c>
      <c r="BH1450" s="81">
        <f>IFERROR($AG1450/$AF1450,"")</f>
        <v/>
      </c>
      <c r="BI1450" s="82">
        <f>$AJ1450-$AF1450</f>
        <v/>
      </c>
      <c r="BJ1450" s="81">
        <f>IFERROR($AJ1450/$AG1450,"")</f>
        <v/>
      </c>
      <c r="BK1450" s="81">
        <f>$X1450</f>
        <v/>
      </c>
      <c r="BL1450" s="82">
        <f>($J1450-$J1451)*100</f>
        <v/>
      </c>
      <c r="BM1450" s="82">
        <f>($F1450-$F1451)*100</f>
        <v/>
      </c>
      <c r="BN1450" s="82">
        <f>$AF1450-$AF1451</f>
        <v/>
      </c>
      <c r="BO1450" s="82">
        <f>$AG1450-$AG1451</f>
        <v/>
      </c>
      <c r="BP1450" s="82">
        <f>$AJ1450-$AJ1451</f>
        <v/>
      </c>
    </row>
    <row r="1451">
      <c r="AR1451" s="81">
        <f>($G1451+($H1451-$G1451)*0.5)+($P1451-($O1451+($Q1451-$O1451)*0.5))</f>
        <v/>
      </c>
      <c r="AS1451" s="81">
        <f>($J1451+($K1451-$J1451)*0.5)+($T1451-($S1451+($U1451-$S1451)*0.5))</f>
        <v/>
      </c>
      <c r="AT1451" s="82">
        <f>($J1451-$C1451)*100</f>
        <v/>
      </c>
      <c r="AU1451" s="82">
        <f>($H1451-$F1451)*100</f>
        <v/>
      </c>
      <c r="AV1451" s="82">
        <f>($J1451-$F1451)*100</f>
        <v/>
      </c>
      <c r="AW1451" s="82">
        <f>($L1451-$F1451)*100</f>
        <v/>
      </c>
      <c r="AX1451" s="82">
        <f>($J1451-$H1451)*100</f>
        <v/>
      </c>
      <c r="AY1451" s="82">
        <f>($L1451-$H1451)*100</f>
        <v/>
      </c>
      <c r="AZ1451" s="82">
        <f>($L1451-$J1451)*100</f>
        <v/>
      </c>
      <c r="BA1451" s="82">
        <f>(2*$H1451-$F1451-$J1451)*100</f>
        <v/>
      </c>
      <c r="BB1451" s="82">
        <f>(2*$J1451-$H1451-$L1451)*100</f>
        <v/>
      </c>
      <c r="BC1451" s="82">
        <f>($N1451-$F1451)*100</f>
        <v/>
      </c>
      <c r="BD1451" s="82">
        <f>($Q1451-$H1451)*100</f>
        <v/>
      </c>
      <c r="BE1451" s="82">
        <f>($S1451-$J1451)*100</f>
        <v/>
      </c>
      <c r="BF1451" s="82">
        <f>($V1451-$L1451)*100</f>
        <v/>
      </c>
      <c r="BG1451" s="82">
        <f>$AG1451-$AF1451</f>
        <v/>
      </c>
      <c r="BH1451" s="81">
        <f>IFERROR($AG1451/$AF1451,"")</f>
        <v/>
      </c>
      <c r="BI1451" s="82">
        <f>$AJ1451-$AF1451</f>
        <v/>
      </c>
      <c r="BJ1451" s="81">
        <f>IFERROR($AJ1451/$AG1451,"")</f>
        <v/>
      </c>
      <c r="BK1451" s="81">
        <f>$X1451</f>
        <v/>
      </c>
      <c r="BL1451" s="82">
        <f>($J1451-$J1452)*100</f>
        <v/>
      </c>
      <c r="BM1451" s="82">
        <f>($F1451-$F1452)*100</f>
        <v/>
      </c>
      <c r="BN1451" s="82">
        <f>$AF1451-$AF1452</f>
        <v/>
      </c>
      <c r="BO1451" s="82">
        <f>$AG1451-$AG1452</f>
        <v/>
      </c>
      <c r="BP1451" s="82">
        <f>$AJ1451-$AJ1452</f>
        <v/>
      </c>
    </row>
    <row r="1452">
      <c r="AR1452" s="81">
        <f>($G1452+($H1452-$G1452)*0.5)+($P1452-($O1452+($Q1452-$O1452)*0.5))</f>
        <v/>
      </c>
      <c r="AS1452" s="81">
        <f>($J1452+($K1452-$J1452)*0.5)+($T1452-($S1452+($U1452-$S1452)*0.5))</f>
        <v/>
      </c>
      <c r="AT1452" s="82">
        <f>($J1452-$C1452)*100</f>
        <v/>
      </c>
      <c r="AU1452" s="82">
        <f>($H1452-$F1452)*100</f>
        <v/>
      </c>
      <c r="AV1452" s="82">
        <f>($J1452-$F1452)*100</f>
        <v/>
      </c>
      <c r="AW1452" s="82">
        <f>($L1452-$F1452)*100</f>
        <v/>
      </c>
      <c r="AX1452" s="82">
        <f>($J1452-$H1452)*100</f>
        <v/>
      </c>
      <c r="AY1452" s="82">
        <f>($L1452-$H1452)*100</f>
        <v/>
      </c>
      <c r="AZ1452" s="82">
        <f>($L1452-$J1452)*100</f>
        <v/>
      </c>
      <c r="BA1452" s="82">
        <f>(2*$H1452-$F1452-$J1452)*100</f>
        <v/>
      </c>
      <c r="BB1452" s="82">
        <f>(2*$J1452-$H1452-$L1452)*100</f>
        <v/>
      </c>
      <c r="BC1452" s="82">
        <f>($N1452-$F1452)*100</f>
        <v/>
      </c>
      <c r="BD1452" s="82">
        <f>($Q1452-$H1452)*100</f>
        <v/>
      </c>
      <c r="BE1452" s="82">
        <f>($S1452-$J1452)*100</f>
        <v/>
      </c>
      <c r="BF1452" s="82">
        <f>($V1452-$L1452)*100</f>
        <v/>
      </c>
      <c r="BG1452" s="82">
        <f>$AG1452-$AF1452</f>
        <v/>
      </c>
      <c r="BH1452" s="81">
        <f>IFERROR($AG1452/$AF1452,"")</f>
        <v/>
      </c>
      <c r="BI1452" s="82">
        <f>$AJ1452-$AF1452</f>
        <v/>
      </c>
      <c r="BJ1452" s="81">
        <f>IFERROR($AJ1452/$AG1452,"")</f>
        <v/>
      </c>
      <c r="BK1452" s="81">
        <f>$X1452</f>
        <v/>
      </c>
      <c r="BL1452" s="82">
        <f>($J1452-$J1453)*100</f>
        <v/>
      </c>
      <c r="BM1452" s="82">
        <f>($F1452-$F1453)*100</f>
        <v/>
      </c>
      <c r="BN1452" s="82">
        <f>$AF1452-$AF1453</f>
        <v/>
      </c>
      <c r="BO1452" s="82">
        <f>$AG1452-$AG1453</f>
        <v/>
      </c>
      <c r="BP1452" s="82">
        <f>$AJ1452-$AJ1453</f>
        <v/>
      </c>
    </row>
    <row r="1453">
      <c r="AR1453" s="81">
        <f>($G1453+($H1453-$G1453)*0.5)+($P1453-($O1453+($Q1453-$O1453)*0.5))</f>
        <v/>
      </c>
      <c r="AS1453" s="81">
        <f>($J1453+($K1453-$J1453)*0.5)+($T1453-($S1453+($U1453-$S1453)*0.5))</f>
        <v/>
      </c>
      <c r="AT1453" s="82">
        <f>($J1453-$C1453)*100</f>
        <v/>
      </c>
      <c r="AU1453" s="82">
        <f>($H1453-$F1453)*100</f>
        <v/>
      </c>
      <c r="AV1453" s="82">
        <f>($J1453-$F1453)*100</f>
        <v/>
      </c>
      <c r="AW1453" s="82">
        <f>($L1453-$F1453)*100</f>
        <v/>
      </c>
      <c r="AX1453" s="82">
        <f>($J1453-$H1453)*100</f>
        <v/>
      </c>
      <c r="AY1453" s="82">
        <f>($L1453-$H1453)*100</f>
        <v/>
      </c>
      <c r="AZ1453" s="82">
        <f>($L1453-$J1453)*100</f>
        <v/>
      </c>
      <c r="BA1453" s="82">
        <f>(2*$H1453-$F1453-$J1453)*100</f>
        <v/>
      </c>
      <c r="BB1453" s="82">
        <f>(2*$J1453-$H1453-$L1453)*100</f>
        <v/>
      </c>
      <c r="BC1453" s="82">
        <f>($N1453-$F1453)*100</f>
        <v/>
      </c>
      <c r="BD1453" s="82">
        <f>($Q1453-$H1453)*100</f>
        <v/>
      </c>
      <c r="BE1453" s="82">
        <f>($S1453-$J1453)*100</f>
        <v/>
      </c>
      <c r="BF1453" s="82">
        <f>($V1453-$L1453)*100</f>
        <v/>
      </c>
      <c r="BG1453" s="82">
        <f>$AG1453-$AF1453</f>
        <v/>
      </c>
      <c r="BH1453" s="81">
        <f>IFERROR($AG1453/$AF1453,"")</f>
        <v/>
      </c>
      <c r="BI1453" s="82">
        <f>$AJ1453-$AF1453</f>
        <v/>
      </c>
      <c r="BJ1453" s="81">
        <f>IFERROR($AJ1453/$AG1453,"")</f>
        <v/>
      </c>
      <c r="BK1453" s="81">
        <f>$X1453</f>
        <v/>
      </c>
      <c r="BL1453" s="82">
        <f>($J1453-$J1454)*100</f>
        <v/>
      </c>
      <c r="BM1453" s="82">
        <f>($F1453-$F1454)*100</f>
        <v/>
      </c>
      <c r="BN1453" s="82">
        <f>$AF1453-$AF1454</f>
        <v/>
      </c>
      <c r="BO1453" s="82">
        <f>$AG1453-$AG1454</f>
        <v/>
      </c>
      <c r="BP1453" s="82">
        <f>$AJ1453-$AJ1454</f>
        <v/>
      </c>
    </row>
    <row r="1454">
      <c r="AR1454" s="81">
        <f>($G1454+($H1454-$G1454)*0.5)+($P1454-($O1454+($Q1454-$O1454)*0.5))</f>
        <v/>
      </c>
      <c r="AS1454" s="81">
        <f>($J1454+($K1454-$J1454)*0.5)+($T1454-($S1454+($U1454-$S1454)*0.5))</f>
        <v/>
      </c>
      <c r="AT1454" s="82">
        <f>($J1454-$C1454)*100</f>
        <v/>
      </c>
      <c r="AU1454" s="82">
        <f>($H1454-$F1454)*100</f>
        <v/>
      </c>
      <c r="AV1454" s="82">
        <f>($J1454-$F1454)*100</f>
        <v/>
      </c>
      <c r="AW1454" s="82">
        <f>($L1454-$F1454)*100</f>
        <v/>
      </c>
      <c r="AX1454" s="82">
        <f>($J1454-$H1454)*100</f>
        <v/>
      </c>
      <c r="AY1454" s="82">
        <f>($L1454-$H1454)*100</f>
        <v/>
      </c>
      <c r="AZ1454" s="82">
        <f>($L1454-$J1454)*100</f>
        <v/>
      </c>
      <c r="BA1454" s="82">
        <f>(2*$H1454-$F1454-$J1454)*100</f>
        <v/>
      </c>
      <c r="BB1454" s="82">
        <f>(2*$J1454-$H1454-$L1454)*100</f>
        <v/>
      </c>
      <c r="BC1454" s="82">
        <f>($N1454-$F1454)*100</f>
        <v/>
      </c>
      <c r="BD1454" s="82">
        <f>($Q1454-$H1454)*100</f>
        <v/>
      </c>
      <c r="BE1454" s="82">
        <f>($S1454-$J1454)*100</f>
        <v/>
      </c>
      <c r="BF1454" s="82">
        <f>($V1454-$L1454)*100</f>
        <v/>
      </c>
      <c r="BG1454" s="82">
        <f>$AG1454-$AF1454</f>
        <v/>
      </c>
      <c r="BH1454" s="81">
        <f>IFERROR($AG1454/$AF1454,"")</f>
        <v/>
      </c>
      <c r="BI1454" s="82">
        <f>$AJ1454-$AF1454</f>
        <v/>
      </c>
      <c r="BJ1454" s="81">
        <f>IFERROR($AJ1454/$AG1454,"")</f>
        <v/>
      </c>
      <c r="BK1454" s="81">
        <f>$X1454</f>
        <v/>
      </c>
      <c r="BL1454" s="82">
        <f>($J1454-$J1455)*100</f>
        <v/>
      </c>
      <c r="BM1454" s="82">
        <f>($F1454-$F1455)*100</f>
        <v/>
      </c>
      <c r="BN1454" s="82">
        <f>$AF1454-$AF1455</f>
        <v/>
      </c>
      <c r="BO1454" s="82">
        <f>$AG1454-$AG1455</f>
        <v/>
      </c>
      <c r="BP1454" s="82">
        <f>$AJ1454-$AJ1455</f>
        <v/>
      </c>
    </row>
    <row r="1455">
      <c r="AR1455" s="81">
        <f>($G1455+($H1455-$G1455)*0.5)+($P1455-($O1455+($Q1455-$O1455)*0.5))</f>
        <v/>
      </c>
      <c r="AS1455" s="81">
        <f>($J1455+($K1455-$J1455)*0.5)+($T1455-($S1455+($U1455-$S1455)*0.5))</f>
        <v/>
      </c>
      <c r="AT1455" s="82">
        <f>($J1455-$C1455)*100</f>
        <v/>
      </c>
      <c r="AU1455" s="82">
        <f>($H1455-$F1455)*100</f>
        <v/>
      </c>
      <c r="AV1455" s="82">
        <f>($J1455-$F1455)*100</f>
        <v/>
      </c>
      <c r="AW1455" s="82">
        <f>($L1455-$F1455)*100</f>
        <v/>
      </c>
      <c r="AX1455" s="82">
        <f>($J1455-$H1455)*100</f>
        <v/>
      </c>
      <c r="AY1455" s="82">
        <f>($L1455-$H1455)*100</f>
        <v/>
      </c>
      <c r="AZ1455" s="82">
        <f>($L1455-$J1455)*100</f>
        <v/>
      </c>
      <c r="BA1455" s="82">
        <f>(2*$H1455-$F1455-$J1455)*100</f>
        <v/>
      </c>
      <c r="BB1455" s="82">
        <f>(2*$J1455-$H1455-$L1455)*100</f>
        <v/>
      </c>
      <c r="BC1455" s="82">
        <f>($N1455-$F1455)*100</f>
        <v/>
      </c>
      <c r="BD1455" s="82">
        <f>($Q1455-$H1455)*100</f>
        <v/>
      </c>
      <c r="BE1455" s="82">
        <f>($S1455-$J1455)*100</f>
        <v/>
      </c>
      <c r="BF1455" s="82">
        <f>($V1455-$L1455)*100</f>
        <v/>
      </c>
      <c r="BG1455" s="82">
        <f>$AG1455-$AF1455</f>
        <v/>
      </c>
      <c r="BH1455" s="81">
        <f>IFERROR($AG1455/$AF1455,"")</f>
        <v/>
      </c>
      <c r="BI1455" s="82">
        <f>$AJ1455-$AF1455</f>
        <v/>
      </c>
      <c r="BJ1455" s="81">
        <f>IFERROR($AJ1455/$AG1455,"")</f>
        <v/>
      </c>
      <c r="BK1455" s="81">
        <f>$X1455</f>
        <v/>
      </c>
      <c r="BL1455" s="82">
        <f>($J1455-$J1456)*100</f>
        <v/>
      </c>
      <c r="BM1455" s="82">
        <f>($F1455-$F1456)*100</f>
        <v/>
      </c>
      <c r="BN1455" s="82">
        <f>$AF1455-$AF1456</f>
        <v/>
      </c>
      <c r="BO1455" s="82">
        <f>$AG1455-$AG1456</f>
        <v/>
      </c>
      <c r="BP1455" s="82">
        <f>$AJ1455-$AJ1456</f>
        <v/>
      </c>
    </row>
    <row r="1456">
      <c r="AR1456" s="81">
        <f>($G1456+($H1456-$G1456)*0.5)+($P1456-($O1456+($Q1456-$O1456)*0.5))</f>
        <v/>
      </c>
      <c r="AS1456" s="81">
        <f>($J1456+($K1456-$J1456)*0.5)+($T1456-($S1456+($U1456-$S1456)*0.5))</f>
        <v/>
      </c>
      <c r="AT1456" s="82">
        <f>($J1456-$C1456)*100</f>
        <v/>
      </c>
      <c r="AU1456" s="82">
        <f>($H1456-$F1456)*100</f>
        <v/>
      </c>
      <c r="AV1456" s="82">
        <f>($J1456-$F1456)*100</f>
        <v/>
      </c>
      <c r="AW1456" s="82">
        <f>($L1456-$F1456)*100</f>
        <v/>
      </c>
      <c r="AX1456" s="82">
        <f>($J1456-$H1456)*100</f>
        <v/>
      </c>
      <c r="AY1456" s="82">
        <f>($L1456-$H1456)*100</f>
        <v/>
      </c>
      <c r="AZ1456" s="82">
        <f>($L1456-$J1456)*100</f>
        <v/>
      </c>
      <c r="BA1456" s="82">
        <f>(2*$H1456-$F1456-$J1456)*100</f>
        <v/>
      </c>
      <c r="BB1456" s="82">
        <f>(2*$J1456-$H1456-$L1456)*100</f>
        <v/>
      </c>
      <c r="BC1456" s="82">
        <f>($N1456-$F1456)*100</f>
        <v/>
      </c>
      <c r="BD1456" s="82">
        <f>($Q1456-$H1456)*100</f>
        <v/>
      </c>
      <c r="BE1456" s="82">
        <f>($S1456-$J1456)*100</f>
        <v/>
      </c>
      <c r="BF1456" s="82">
        <f>($V1456-$L1456)*100</f>
        <v/>
      </c>
      <c r="BG1456" s="82">
        <f>$AG1456-$AF1456</f>
        <v/>
      </c>
      <c r="BH1456" s="81">
        <f>IFERROR($AG1456/$AF1456,"")</f>
        <v/>
      </c>
      <c r="BI1456" s="82">
        <f>$AJ1456-$AF1456</f>
        <v/>
      </c>
      <c r="BJ1456" s="81">
        <f>IFERROR($AJ1456/$AG1456,"")</f>
        <v/>
      </c>
      <c r="BK1456" s="81">
        <f>$X1456</f>
        <v/>
      </c>
      <c r="BL1456" s="82">
        <f>($J1456-$J1457)*100</f>
        <v/>
      </c>
      <c r="BM1456" s="82">
        <f>($F1456-$F1457)*100</f>
        <v/>
      </c>
      <c r="BN1456" s="82">
        <f>$AF1456-$AF1457</f>
        <v/>
      </c>
      <c r="BO1456" s="82">
        <f>$AG1456-$AG1457</f>
        <v/>
      </c>
      <c r="BP1456" s="82">
        <f>$AJ1456-$AJ1457</f>
        <v/>
      </c>
    </row>
    <row r="1457">
      <c r="AR1457" s="81">
        <f>($G1457+($H1457-$G1457)*0.5)+($P1457-($O1457+($Q1457-$O1457)*0.5))</f>
        <v/>
      </c>
      <c r="AS1457" s="81">
        <f>($J1457+($K1457-$J1457)*0.5)+($T1457-($S1457+($U1457-$S1457)*0.5))</f>
        <v/>
      </c>
      <c r="AT1457" s="82">
        <f>($J1457-$C1457)*100</f>
        <v/>
      </c>
      <c r="AU1457" s="82">
        <f>($H1457-$F1457)*100</f>
        <v/>
      </c>
      <c r="AV1457" s="82">
        <f>($J1457-$F1457)*100</f>
        <v/>
      </c>
      <c r="AW1457" s="82">
        <f>($L1457-$F1457)*100</f>
        <v/>
      </c>
      <c r="AX1457" s="82">
        <f>($J1457-$H1457)*100</f>
        <v/>
      </c>
      <c r="AY1457" s="82">
        <f>($L1457-$H1457)*100</f>
        <v/>
      </c>
      <c r="AZ1457" s="82">
        <f>($L1457-$J1457)*100</f>
        <v/>
      </c>
      <c r="BA1457" s="82">
        <f>(2*$H1457-$F1457-$J1457)*100</f>
        <v/>
      </c>
      <c r="BB1457" s="82">
        <f>(2*$J1457-$H1457-$L1457)*100</f>
        <v/>
      </c>
      <c r="BC1457" s="82">
        <f>($N1457-$F1457)*100</f>
        <v/>
      </c>
      <c r="BD1457" s="82">
        <f>($Q1457-$H1457)*100</f>
        <v/>
      </c>
      <c r="BE1457" s="82">
        <f>($S1457-$J1457)*100</f>
        <v/>
      </c>
      <c r="BF1457" s="82">
        <f>($V1457-$L1457)*100</f>
        <v/>
      </c>
      <c r="BG1457" s="82">
        <f>$AG1457-$AF1457</f>
        <v/>
      </c>
      <c r="BH1457" s="81">
        <f>IFERROR($AG1457/$AF1457,"")</f>
        <v/>
      </c>
      <c r="BI1457" s="82">
        <f>$AJ1457-$AF1457</f>
        <v/>
      </c>
      <c r="BJ1457" s="81">
        <f>IFERROR($AJ1457/$AG1457,"")</f>
        <v/>
      </c>
      <c r="BK1457" s="81">
        <f>$X1457</f>
        <v/>
      </c>
      <c r="BL1457" s="82">
        <f>($J1457-$J1458)*100</f>
        <v/>
      </c>
      <c r="BM1457" s="82">
        <f>($F1457-$F1458)*100</f>
        <v/>
      </c>
      <c r="BN1457" s="82">
        <f>$AF1457-$AF1458</f>
        <v/>
      </c>
      <c r="BO1457" s="82">
        <f>$AG1457-$AG1458</f>
        <v/>
      </c>
      <c r="BP1457" s="82">
        <f>$AJ1457-$AJ1458</f>
        <v/>
      </c>
    </row>
    <row r="1458">
      <c r="AR1458" s="81">
        <f>($G1458+($H1458-$G1458)*0.5)+($P1458-($O1458+($Q1458-$O1458)*0.5))</f>
        <v/>
      </c>
      <c r="AS1458" s="81">
        <f>($J1458+($K1458-$J1458)*0.5)+($T1458-($S1458+($U1458-$S1458)*0.5))</f>
        <v/>
      </c>
      <c r="AT1458" s="82">
        <f>($J1458-$C1458)*100</f>
        <v/>
      </c>
      <c r="AU1458" s="82">
        <f>($H1458-$F1458)*100</f>
        <v/>
      </c>
      <c r="AV1458" s="82">
        <f>($J1458-$F1458)*100</f>
        <v/>
      </c>
      <c r="AW1458" s="82">
        <f>($L1458-$F1458)*100</f>
        <v/>
      </c>
      <c r="AX1458" s="82">
        <f>($J1458-$H1458)*100</f>
        <v/>
      </c>
      <c r="AY1458" s="82">
        <f>($L1458-$H1458)*100</f>
        <v/>
      </c>
      <c r="AZ1458" s="82">
        <f>($L1458-$J1458)*100</f>
        <v/>
      </c>
      <c r="BA1458" s="82">
        <f>(2*$H1458-$F1458-$J1458)*100</f>
        <v/>
      </c>
      <c r="BB1458" s="82">
        <f>(2*$J1458-$H1458-$L1458)*100</f>
        <v/>
      </c>
      <c r="BC1458" s="82">
        <f>($N1458-$F1458)*100</f>
        <v/>
      </c>
      <c r="BD1458" s="82">
        <f>($Q1458-$H1458)*100</f>
        <v/>
      </c>
      <c r="BE1458" s="82">
        <f>($S1458-$J1458)*100</f>
        <v/>
      </c>
      <c r="BF1458" s="82">
        <f>($V1458-$L1458)*100</f>
        <v/>
      </c>
      <c r="BG1458" s="82">
        <f>$AG1458-$AF1458</f>
        <v/>
      </c>
      <c r="BH1458" s="81">
        <f>IFERROR($AG1458/$AF1458,"")</f>
        <v/>
      </c>
      <c r="BI1458" s="82">
        <f>$AJ1458-$AF1458</f>
        <v/>
      </c>
      <c r="BJ1458" s="81">
        <f>IFERROR($AJ1458/$AG1458,"")</f>
        <v/>
      </c>
      <c r="BK1458" s="81">
        <f>$X1458</f>
        <v/>
      </c>
      <c r="BL1458" s="82">
        <f>($J1458-$J1459)*100</f>
        <v/>
      </c>
      <c r="BM1458" s="82">
        <f>($F1458-$F1459)*100</f>
        <v/>
      </c>
      <c r="BN1458" s="82">
        <f>$AF1458-$AF1459</f>
        <v/>
      </c>
      <c r="BO1458" s="82">
        <f>$AG1458-$AG1459</f>
        <v/>
      </c>
      <c r="BP1458" s="82">
        <f>$AJ1458-$AJ1459</f>
        <v/>
      </c>
    </row>
    <row r="1459">
      <c r="AR1459" s="81">
        <f>($G1459+($H1459-$G1459)*0.5)+($P1459-($O1459+($Q1459-$O1459)*0.5))</f>
        <v/>
      </c>
      <c r="AS1459" s="81">
        <f>($J1459+($K1459-$J1459)*0.5)+($T1459-($S1459+($U1459-$S1459)*0.5))</f>
        <v/>
      </c>
      <c r="AT1459" s="82">
        <f>($J1459-$C1459)*100</f>
        <v/>
      </c>
      <c r="AU1459" s="82">
        <f>($H1459-$F1459)*100</f>
        <v/>
      </c>
      <c r="AV1459" s="82">
        <f>($J1459-$F1459)*100</f>
        <v/>
      </c>
      <c r="AW1459" s="82">
        <f>($L1459-$F1459)*100</f>
        <v/>
      </c>
      <c r="AX1459" s="82">
        <f>($J1459-$H1459)*100</f>
        <v/>
      </c>
      <c r="AY1459" s="82">
        <f>($L1459-$H1459)*100</f>
        <v/>
      </c>
      <c r="AZ1459" s="82">
        <f>($L1459-$J1459)*100</f>
        <v/>
      </c>
      <c r="BA1459" s="82">
        <f>(2*$H1459-$F1459-$J1459)*100</f>
        <v/>
      </c>
      <c r="BB1459" s="82">
        <f>(2*$J1459-$H1459-$L1459)*100</f>
        <v/>
      </c>
      <c r="BC1459" s="82">
        <f>($N1459-$F1459)*100</f>
        <v/>
      </c>
      <c r="BD1459" s="82">
        <f>($Q1459-$H1459)*100</f>
        <v/>
      </c>
      <c r="BE1459" s="82">
        <f>($S1459-$J1459)*100</f>
        <v/>
      </c>
      <c r="BF1459" s="82">
        <f>($V1459-$L1459)*100</f>
        <v/>
      </c>
      <c r="BG1459" s="82">
        <f>$AG1459-$AF1459</f>
        <v/>
      </c>
      <c r="BH1459" s="81">
        <f>IFERROR($AG1459/$AF1459,"")</f>
        <v/>
      </c>
      <c r="BI1459" s="82">
        <f>$AJ1459-$AF1459</f>
        <v/>
      </c>
      <c r="BJ1459" s="81">
        <f>IFERROR($AJ1459/$AG1459,"")</f>
        <v/>
      </c>
      <c r="BK1459" s="81">
        <f>$X1459</f>
        <v/>
      </c>
      <c r="BL1459" s="82">
        <f>($J1459-$J1460)*100</f>
        <v/>
      </c>
      <c r="BM1459" s="82">
        <f>($F1459-$F1460)*100</f>
        <v/>
      </c>
      <c r="BN1459" s="82">
        <f>$AF1459-$AF1460</f>
        <v/>
      </c>
      <c r="BO1459" s="82">
        <f>$AG1459-$AG1460</f>
        <v/>
      </c>
      <c r="BP1459" s="82">
        <f>$AJ1459-$AJ1460</f>
        <v/>
      </c>
    </row>
    <row r="1460">
      <c r="AR1460" s="81">
        <f>($G1460+($H1460-$G1460)*0.5)+($P1460-($O1460+($Q1460-$O1460)*0.5))</f>
        <v/>
      </c>
      <c r="AS1460" s="81">
        <f>($J1460+($K1460-$J1460)*0.5)+($T1460-($S1460+($U1460-$S1460)*0.5))</f>
        <v/>
      </c>
      <c r="AT1460" s="82">
        <f>($J1460-$C1460)*100</f>
        <v/>
      </c>
      <c r="AU1460" s="82">
        <f>($H1460-$F1460)*100</f>
        <v/>
      </c>
      <c r="AV1460" s="82">
        <f>($J1460-$F1460)*100</f>
        <v/>
      </c>
      <c r="AW1460" s="82">
        <f>($L1460-$F1460)*100</f>
        <v/>
      </c>
      <c r="AX1460" s="82">
        <f>($J1460-$H1460)*100</f>
        <v/>
      </c>
      <c r="AY1460" s="82">
        <f>($L1460-$H1460)*100</f>
        <v/>
      </c>
      <c r="AZ1460" s="82">
        <f>($L1460-$J1460)*100</f>
        <v/>
      </c>
      <c r="BA1460" s="82">
        <f>(2*$H1460-$F1460-$J1460)*100</f>
        <v/>
      </c>
      <c r="BB1460" s="82">
        <f>(2*$J1460-$H1460-$L1460)*100</f>
        <v/>
      </c>
      <c r="BC1460" s="82">
        <f>($N1460-$F1460)*100</f>
        <v/>
      </c>
      <c r="BD1460" s="82">
        <f>($Q1460-$H1460)*100</f>
        <v/>
      </c>
      <c r="BE1460" s="82">
        <f>($S1460-$J1460)*100</f>
        <v/>
      </c>
      <c r="BF1460" s="82">
        <f>($V1460-$L1460)*100</f>
        <v/>
      </c>
      <c r="BG1460" s="82">
        <f>$AG1460-$AF1460</f>
        <v/>
      </c>
      <c r="BH1460" s="81">
        <f>IFERROR($AG1460/$AF1460,"")</f>
        <v/>
      </c>
      <c r="BI1460" s="82">
        <f>$AJ1460-$AF1460</f>
        <v/>
      </c>
      <c r="BJ1460" s="81">
        <f>IFERROR($AJ1460/$AG1460,"")</f>
        <v/>
      </c>
      <c r="BK1460" s="81">
        <f>$X1460</f>
        <v/>
      </c>
      <c r="BL1460" s="82">
        <f>($J1460-$J1461)*100</f>
        <v/>
      </c>
      <c r="BM1460" s="82">
        <f>($F1460-$F1461)*100</f>
        <v/>
      </c>
      <c r="BN1460" s="82">
        <f>$AF1460-$AF1461</f>
        <v/>
      </c>
      <c r="BO1460" s="82">
        <f>$AG1460-$AG1461</f>
        <v/>
      </c>
      <c r="BP1460" s="82">
        <f>$AJ1460-$AJ1461</f>
        <v/>
      </c>
    </row>
    <row r="1461">
      <c r="AR1461" s="81">
        <f>($G1461+($H1461-$G1461)*0.5)+($P1461-($O1461+($Q1461-$O1461)*0.5))</f>
        <v/>
      </c>
      <c r="AS1461" s="81">
        <f>($J1461+($K1461-$J1461)*0.5)+($T1461-($S1461+($U1461-$S1461)*0.5))</f>
        <v/>
      </c>
      <c r="AT1461" s="82">
        <f>($J1461-$C1461)*100</f>
        <v/>
      </c>
      <c r="AU1461" s="82">
        <f>($H1461-$F1461)*100</f>
        <v/>
      </c>
      <c r="AV1461" s="82">
        <f>($J1461-$F1461)*100</f>
        <v/>
      </c>
      <c r="AW1461" s="82">
        <f>($L1461-$F1461)*100</f>
        <v/>
      </c>
      <c r="AX1461" s="82">
        <f>($J1461-$H1461)*100</f>
        <v/>
      </c>
      <c r="AY1461" s="82">
        <f>($L1461-$H1461)*100</f>
        <v/>
      </c>
      <c r="AZ1461" s="82">
        <f>($L1461-$J1461)*100</f>
        <v/>
      </c>
      <c r="BA1461" s="82">
        <f>(2*$H1461-$F1461-$J1461)*100</f>
        <v/>
      </c>
      <c r="BB1461" s="82">
        <f>(2*$J1461-$H1461-$L1461)*100</f>
        <v/>
      </c>
      <c r="BC1461" s="82">
        <f>($N1461-$F1461)*100</f>
        <v/>
      </c>
      <c r="BD1461" s="82">
        <f>($Q1461-$H1461)*100</f>
        <v/>
      </c>
      <c r="BE1461" s="82">
        <f>($S1461-$J1461)*100</f>
        <v/>
      </c>
      <c r="BF1461" s="82">
        <f>($V1461-$L1461)*100</f>
        <v/>
      </c>
      <c r="BG1461" s="82">
        <f>$AG1461-$AF1461</f>
        <v/>
      </c>
      <c r="BH1461" s="81">
        <f>IFERROR($AG1461/$AF1461,"")</f>
        <v/>
      </c>
      <c r="BI1461" s="82">
        <f>$AJ1461-$AF1461</f>
        <v/>
      </c>
      <c r="BJ1461" s="81">
        <f>IFERROR($AJ1461/$AG1461,"")</f>
        <v/>
      </c>
      <c r="BK1461" s="81">
        <f>$X1461</f>
        <v/>
      </c>
      <c r="BL1461" s="82">
        <f>($J1461-$J1462)*100</f>
        <v/>
      </c>
      <c r="BM1461" s="82">
        <f>($F1461-$F1462)*100</f>
        <v/>
      </c>
      <c r="BN1461" s="82">
        <f>$AF1461-$AF1462</f>
        <v/>
      </c>
      <c r="BO1461" s="82">
        <f>$AG1461-$AG1462</f>
        <v/>
      </c>
      <c r="BP1461" s="82">
        <f>$AJ1461-$AJ1462</f>
        <v/>
      </c>
    </row>
    <row r="1462">
      <c r="AR1462" s="81">
        <f>($G1462+($H1462-$G1462)*0.5)+($P1462-($O1462+($Q1462-$O1462)*0.5))</f>
        <v/>
      </c>
      <c r="AS1462" s="81">
        <f>($J1462+($K1462-$J1462)*0.5)+($T1462-($S1462+($U1462-$S1462)*0.5))</f>
        <v/>
      </c>
      <c r="AT1462" s="82">
        <f>($J1462-$C1462)*100</f>
        <v/>
      </c>
      <c r="AU1462" s="82">
        <f>($H1462-$F1462)*100</f>
        <v/>
      </c>
      <c r="AV1462" s="82">
        <f>($J1462-$F1462)*100</f>
        <v/>
      </c>
      <c r="AW1462" s="82">
        <f>($L1462-$F1462)*100</f>
        <v/>
      </c>
      <c r="AX1462" s="82">
        <f>($J1462-$H1462)*100</f>
        <v/>
      </c>
      <c r="AY1462" s="82">
        <f>($L1462-$H1462)*100</f>
        <v/>
      </c>
      <c r="AZ1462" s="82">
        <f>($L1462-$J1462)*100</f>
        <v/>
      </c>
      <c r="BA1462" s="82">
        <f>(2*$H1462-$F1462-$J1462)*100</f>
        <v/>
      </c>
      <c r="BB1462" s="82">
        <f>(2*$J1462-$H1462-$L1462)*100</f>
        <v/>
      </c>
      <c r="BC1462" s="82">
        <f>($N1462-$F1462)*100</f>
        <v/>
      </c>
      <c r="BD1462" s="82">
        <f>($Q1462-$H1462)*100</f>
        <v/>
      </c>
      <c r="BE1462" s="82">
        <f>($S1462-$J1462)*100</f>
        <v/>
      </c>
      <c r="BF1462" s="82">
        <f>($V1462-$L1462)*100</f>
        <v/>
      </c>
      <c r="BG1462" s="82">
        <f>$AG1462-$AF1462</f>
        <v/>
      </c>
      <c r="BH1462" s="81">
        <f>IFERROR($AG1462/$AF1462,"")</f>
        <v/>
      </c>
      <c r="BI1462" s="82">
        <f>$AJ1462-$AF1462</f>
        <v/>
      </c>
      <c r="BJ1462" s="81">
        <f>IFERROR($AJ1462/$AG1462,"")</f>
        <v/>
      </c>
      <c r="BK1462" s="81">
        <f>$X1462</f>
        <v/>
      </c>
      <c r="BL1462" s="82">
        <f>($J1462-$J1463)*100</f>
        <v/>
      </c>
      <c r="BM1462" s="82">
        <f>($F1462-$F1463)*100</f>
        <v/>
      </c>
      <c r="BN1462" s="82">
        <f>$AF1462-$AF1463</f>
        <v/>
      </c>
      <c r="BO1462" s="82">
        <f>$AG1462-$AG1463</f>
        <v/>
      </c>
      <c r="BP1462" s="82">
        <f>$AJ1462-$AJ1463</f>
        <v/>
      </c>
    </row>
    <row r="1463">
      <c r="AR1463" s="81">
        <f>($G1463+($H1463-$G1463)*0.5)+($P1463-($O1463+($Q1463-$O1463)*0.5))</f>
        <v/>
      </c>
      <c r="AS1463" s="81">
        <f>($J1463+($K1463-$J1463)*0.5)+($T1463-($S1463+($U1463-$S1463)*0.5))</f>
        <v/>
      </c>
      <c r="AT1463" s="82">
        <f>($J1463-$C1463)*100</f>
        <v/>
      </c>
      <c r="AU1463" s="82">
        <f>($H1463-$F1463)*100</f>
        <v/>
      </c>
      <c r="AV1463" s="82">
        <f>($J1463-$F1463)*100</f>
        <v/>
      </c>
      <c r="AW1463" s="82">
        <f>($L1463-$F1463)*100</f>
        <v/>
      </c>
      <c r="AX1463" s="82">
        <f>($J1463-$H1463)*100</f>
        <v/>
      </c>
      <c r="AY1463" s="82">
        <f>($L1463-$H1463)*100</f>
        <v/>
      </c>
      <c r="AZ1463" s="82">
        <f>($L1463-$J1463)*100</f>
        <v/>
      </c>
      <c r="BA1463" s="82">
        <f>(2*$H1463-$F1463-$J1463)*100</f>
        <v/>
      </c>
      <c r="BB1463" s="82">
        <f>(2*$J1463-$H1463-$L1463)*100</f>
        <v/>
      </c>
      <c r="BC1463" s="82">
        <f>($N1463-$F1463)*100</f>
        <v/>
      </c>
      <c r="BD1463" s="82">
        <f>($Q1463-$H1463)*100</f>
        <v/>
      </c>
      <c r="BE1463" s="82">
        <f>($S1463-$J1463)*100</f>
        <v/>
      </c>
      <c r="BF1463" s="82">
        <f>($V1463-$L1463)*100</f>
        <v/>
      </c>
      <c r="BG1463" s="82">
        <f>$AG1463-$AF1463</f>
        <v/>
      </c>
      <c r="BH1463" s="81">
        <f>IFERROR($AG1463/$AF1463,"")</f>
        <v/>
      </c>
      <c r="BI1463" s="82">
        <f>$AJ1463-$AF1463</f>
        <v/>
      </c>
      <c r="BJ1463" s="81">
        <f>IFERROR($AJ1463/$AG1463,"")</f>
        <v/>
      </c>
      <c r="BK1463" s="81">
        <f>$X1463</f>
        <v/>
      </c>
      <c r="BL1463" s="82">
        <f>($J1463-$J1464)*100</f>
        <v/>
      </c>
      <c r="BM1463" s="82">
        <f>($F1463-$F1464)*100</f>
        <v/>
      </c>
      <c r="BN1463" s="82">
        <f>$AF1463-$AF1464</f>
        <v/>
      </c>
      <c r="BO1463" s="82">
        <f>$AG1463-$AG1464</f>
        <v/>
      </c>
      <c r="BP1463" s="82">
        <f>$AJ1463-$AJ1464</f>
        <v/>
      </c>
    </row>
    <row r="1464">
      <c r="AR1464" s="81">
        <f>($G1464+($H1464-$G1464)*0.5)+($P1464-($O1464+($Q1464-$O1464)*0.5))</f>
        <v/>
      </c>
      <c r="AS1464" s="81">
        <f>($J1464+($K1464-$J1464)*0.5)+($T1464-($S1464+($U1464-$S1464)*0.5))</f>
        <v/>
      </c>
      <c r="AT1464" s="82">
        <f>($J1464-$C1464)*100</f>
        <v/>
      </c>
      <c r="AU1464" s="82">
        <f>($H1464-$F1464)*100</f>
        <v/>
      </c>
      <c r="AV1464" s="82">
        <f>($J1464-$F1464)*100</f>
        <v/>
      </c>
      <c r="AW1464" s="82">
        <f>($L1464-$F1464)*100</f>
        <v/>
      </c>
      <c r="AX1464" s="82">
        <f>($J1464-$H1464)*100</f>
        <v/>
      </c>
      <c r="AY1464" s="82">
        <f>($L1464-$H1464)*100</f>
        <v/>
      </c>
      <c r="AZ1464" s="82">
        <f>($L1464-$J1464)*100</f>
        <v/>
      </c>
      <c r="BA1464" s="82">
        <f>(2*$H1464-$F1464-$J1464)*100</f>
        <v/>
      </c>
      <c r="BB1464" s="82">
        <f>(2*$J1464-$H1464-$L1464)*100</f>
        <v/>
      </c>
      <c r="BC1464" s="82">
        <f>($N1464-$F1464)*100</f>
        <v/>
      </c>
      <c r="BD1464" s="82">
        <f>($Q1464-$H1464)*100</f>
        <v/>
      </c>
      <c r="BE1464" s="82">
        <f>($S1464-$J1464)*100</f>
        <v/>
      </c>
      <c r="BF1464" s="82">
        <f>($V1464-$L1464)*100</f>
        <v/>
      </c>
      <c r="BG1464" s="82">
        <f>$AG1464-$AF1464</f>
        <v/>
      </c>
      <c r="BH1464" s="81">
        <f>IFERROR($AG1464/$AF1464,"")</f>
        <v/>
      </c>
      <c r="BI1464" s="82">
        <f>$AJ1464-$AF1464</f>
        <v/>
      </c>
      <c r="BJ1464" s="81">
        <f>IFERROR($AJ1464/$AG1464,"")</f>
        <v/>
      </c>
      <c r="BK1464" s="81">
        <f>$X1464</f>
        <v/>
      </c>
      <c r="BL1464" s="82">
        <f>($J1464-$J1465)*100</f>
        <v/>
      </c>
      <c r="BM1464" s="82">
        <f>($F1464-$F1465)*100</f>
        <v/>
      </c>
      <c r="BN1464" s="82">
        <f>$AF1464-$AF1465</f>
        <v/>
      </c>
      <c r="BO1464" s="82">
        <f>$AG1464-$AG1465</f>
        <v/>
      </c>
      <c r="BP1464" s="82">
        <f>$AJ1464-$AJ1465</f>
        <v/>
      </c>
    </row>
    <row r="1465">
      <c r="AR1465" s="81">
        <f>($G1465+($H1465-$G1465)*0.5)+($P1465-($O1465+($Q1465-$O1465)*0.5))</f>
        <v/>
      </c>
      <c r="AS1465" s="81">
        <f>($J1465+($K1465-$J1465)*0.5)+($T1465-($S1465+($U1465-$S1465)*0.5))</f>
        <v/>
      </c>
      <c r="AT1465" s="82">
        <f>($J1465-$C1465)*100</f>
        <v/>
      </c>
      <c r="AU1465" s="82">
        <f>($H1465-$F1465)*100</f>
        <v/>
      </c>
      <c r="AV1465" s="82">
        <f>($J1465-$F1465)*100</f>
        <v/>
      </c>
      <c r="AW1465" s="82">
        <f>($L1465-$F1465)*100</f>
        <v/>
      </c>
      <c r="AX1465" s="82">
        <f>($J1465-$H1465)*100</f>
        <v/>
      </c>
      <c r="AY1465" s="82">
        <f>($L1465-$H1465)*100</f>
        <v/>
      </c>
      <c r="AZ1465" s="82">
        <f>($L1465-$J1465)*100</f>
        <v/>
      </c>
      <c r="BA1465" s="82">
        <f>(2*$H1465-$F1465-$J1465)*100</f>
        <v/>
      </c>
      <c r="BB1465" s="82">
        <f>(2*$J1465-$H1465-$L1465)*100</f>
        <v/>
      </c>
      <c r="BC1465" s="82">
        <f>($N1465-$F1465)*100</f>
        <v/>
      </c>
      <c r="BD1465" s="82">
        <f>($Q1465-$H1465)*100</f>
        <v/>
      </c>
      <c r="BE1465" s="82">
        <f>($S1465-$J1465)*100</f>
        <v/>
      </c>
      <c r="BF1465" s="82">
        <f>($V1465-$L1465)*100</f>
        <v/>
      </c>
      <c r="BG1465" s="82">
        <f>$AG1465-$AF1465</f>
        <v/>
      </c>
      <c r="BH1465" s="81">
        <f>IFERROR($AG1465/$AF1465,"")</f>
        <v/>
      </c>
      <c r="BI1465" s="82">
        <f>$AJ1465-$AF1465</f>
        <v/>
      </c>
      <c r="BJ1465" s="81">
        <f>IFERROR($AJ1465/$AG1465,"")</f>
        <v/>
      </c>
      <c r="BK1465" s="81">
        <f>$X1465</f>
        <v/>
      </c>
      <c r="BL1465" s="82">
        <f>($J1465-$J1466)*100</f>
        <v/>
      </c>
      <c r="BM1465" s="82">
        <f>($F1465-$F1466)*100</f>
        <v/>
      </c>
      <c r="BN1465" s="82">
        <f>$AF1465-$AF1466</f>
        <v/>
      </c>
      <c r="BO1465" s="82">
        <f>$AG1465-$AG1466</f>
        <v/>
      </c>
      <c r="BP1465" s="82">
        <f>$AJ1465-$AJ1466</f>
        <v/>
      </c>
    </row>
    <row r="1466">
      <c r="AR1466" s="81">
        <f>($G1466+($H1466-$G1466)*0.5)+($P1466-($O1466+($Q1466-$O1466)*0.5))</f>
        <v/>
      </c>
      <c r="AS1466" s="81">
        <f>($J1466+($K1466-$J1466)*0.5)+($T1466-($S1466+($U1466-$S1466)*0.5))</f>
        <v/>
      </c>
      <c r="AT1466" s="82">
        <f>($J1466-$C1466)*100</f>
        <v/>
      </c>
      <c r="AU1466" s="82">
        <f>($H1466-$F1466)*100</f>
        <v/>
      </c>
      <c r="AV1466" s="82">
        <f>($J1466-$F1466)*100</f>
        <v/>
      </c>
      <c r="AW1466" s="82">
        <f>($L1466-$F1466)*100</f>
        <v/>
      </c>
      <c r="AX1466" s="82">
        <f>($J1466-$H1466)*100</f>
        <v/>
      </c>
      <c r="AY1466" s="82">
        <f>($L1466-$H1466)*100</f>
        <v/>
      </c>
      <c r="AZ1466" s="82">
        <f>($L1466-$J1466)*100</f>
        <v/>
      </c>
      <c r="BA1466" s="82">
        <f>(2*$H1466-$F1466-$J1466)*100</f>
        <v/>
      </c>
      <c r="BB1466" s="82">
        <f>(2*$J1466-$H1466-$L1466)*100</f>
        <v/>
      </c>
      <c r="BC1466" s="82">
        <f>($N1466-$F1466)*100</f>
        <v/>
      </c>
      <c r="BD1466" s="82">
        <f>($Q1466-$H1466)*100</f>
        <v/>
      </c>
      <c r="BE1466" s="82">
        <f>($S1466-$J1466)*100</f>
        <v/>
      </c>
      <c r="BF1466" s="82">
        <f>($V1466-$L1466)*100</f>
        <v/>
      </c>
      <c r="BG1466" s="82">
        <f>$AG1466-$AF1466</f>
        <v/>
      </c>
      <c r="BH1466" s="81">
        <f>IFERROR($AG1466/$AF1466,"")</f>
        <v/>
      </c>
      <c r="BI1466" s="82">
        <f>$AJ1466-$AF1466</f>
        <v/>
      </c>
      <c r="BJ1466" s="81">
        <f>IFERROR($AJ1466/$AG1466,"")</f>
        <v/>
      </c>
      <c r="BK1466" s="81">
        <f>$X1466</f>
        <v/>
      </c>
      <c r="BL1466" s="82">
        <f>($J1466-$J1467)*100</f>
        <v/>
      </c>
      <c r="BM1466" s="82">
        <f>($F1466-$F1467)*100</f>
        <v/>
      </c>
      <c r="BN1466" s="82">
        <f>$AF1466-$AF1467</f>
        <v/>
      </c>
      <c r="BO1466" s="82">
        <f>$AG1466-$AG1467</f>
        <v/>
      </c>
      <c r="BP1466" s="82">
        <f>$AJ1466-$AJ1467</f>
        <v/>
      </c>
    </row>
    <row r="1467">
      <c r="AR1467" s="81">
        <f>($G1467+($H1467-$G1467)*0.5)+($P1467-($O1467+($Q1467-$O1467)*0.5))</f>
        <v/>
      </c>
      <c r="AS1467" s="81">
        <f>($J1467+($K1467-$J1467)*0.5)+($T1467-($S1467+($U1467-$S1467)*0.5))</f>
        <v/>
      </c>
      <c r="AT1467" s="82">
        <f>($J1467-$C1467)*100</f>
        <v/>
      </c>
      <c r="AU1467" s="82">
        <f>($H1467-$F1467)*100</f>
        <v/>
      </c>
      <c r="AV1467" s="82">
        <f>($J1467-$F1467)*100</f>
        <v/>
      </c>
      <c r="AW1467" s="82">
        <f>($L1467-$F1467)*100</f>
        <v/>
      </c>
      <c r="AX1467" s="82">
        <f>($J1467-$H1467)*100</f>
        <v/>
      </c>
      <c r="AY1467" s="82">
        <f>($L1467-$H1467)*100</f>
        <v/>
      </c>
      <c r="AZ1467" s="82">
        <f>($L1467-$J1467)*100</f>
        <v/>
      </c>
      <c r="BA1467" s="82">
        <f>(2*$H1467-$F1467-$J1467)*100</f>
        <v/>
      </c>
      <c r="BB1467" s="82">
        <f>(2*$J1467-$H1467-$L1467)*100</f>
        <v/>
      </c>
      <c r="BC1467" s="82">
        <f>($N1467-$F1467)*100</f>
        <v/>
      </c>
      <c r="BD1467" s="82">
        <f>($Q1467-$H1467)*100</f>
        <v/>
      </c>
      <c r="BE1467" s="82">
        <f>($S1467-$J1467)*100</f>
        <v/>
      </c>
      <c r="BF1467" s="82">
        <f>($V1467-$L1467)*100</f>
        <v/>
      </c>
      <c r="BG1467" s="82">
        <f>$AG1467-$AF1467</f>
        <v/>
      </c>
      <c r="BH1467" s="81">
        <f>IFERROR($AG1467/$AF1467,"")</f>
        <v/>
      </c>
      <c r="BI1467" s="82">
        <f>$AJ1467-$AF1467</f>
        <v/>
      </c>
      <c r="BJ1467" s="81">
        <f>IFERROR($AJ1467/$AG1467,"")</f>
        <v/>
      </c>
      <c r="BK1467" s="81">
        <f>$X1467</f>
        <v/>
      </c>
      <c r="BL1467" s="82">
        <f>($J1467-$J1468)*100</f>
        <v/>
      </c>
      <c r="BM1467" s="82">
        <f>($F1467-$F1468)*100</f>
        <v/>
      </c>
      <c r="BN1467" s="82">
        <f>$AF1467-$AF1468</f>
        <v/>
      </c>
      <c r="BO1467" s="82">
        <f>$AG1467-$AG1468</f>
        <v/>
      </c>
      <c r="BP1467" s="82">
        <f>$AJ1467-$AJ1468</f>
        <v/>
      </c>
    </row>
    <row r="1468">
      <c r="AR1468" s="81">
        <f>($G1468+($H1468-$G1468)*0.5)+($P1468-($O1468+($Q1468-$O1468)*0.5))</f>
        <v/>
      </c>
      <c r="AS1468" s="81">
        <f>($J1468+($K1468-$J1468)*0.5)+($T1468-($S1468+($U1468-$S1468)*0.5))</f>
        <v/>
      </c>
      <c r="AT1468" s="82">
        <f>($J1468-$C1468)*100</f>
        <v/>
      </c>
      <c r="AU1468" s="82">
        <f>($H1468-$F1468)*100</f>
        <v/>
      </c>
      <c r="AV1468" s="82">
        <f>($J1468-$F1468)*100</f>
        <v/>
      </c>
      <c r="AW1468" s="82">
        <f>($L1468-$F1468)*100</f>
        <v/>
      </c>
      <c r="AX1468" s="82">
        <f>($J1468-$H1468)*100</f>
        <v/>
      </c>
      <c r="AY1468" s="82">
        <f>($L1468-$H1468)*100</f>
        <v/>
      </c>
      <c r="AZ1468" s="82">
        <f>($L1468-$J1468)*100</f>
        <v/>
      </c>
      <c r="BA1468" s="82">
        <f>(2*$H1468-$F1468-$J1468)*100</f>
        <v/>
      </c>
      <c r="BB1468" s="82">
        <f>(2*$J1468-$H1468-$L1468)*100</f>
        <v/>
      </c>
      <c r="BC1468" s="82">
        <f>($N1468-$F1468)*100</f>
        <v/>
      </c>
      <c r="BD1468" s="82">
        <f>($Q1468-$H1468)*100</f>
        <v/>
      </c>
      <c r="BE1468" s="82">
        <f>($S1468-$J1468)*100</f>
        <v/>
      </c>
      <c r="BF1468" s="82">
        <f>($V1468-$L1468)*100</f>
        <v/>
      </c>
      <c r="BG1468" s="82">
        <f>$AG1468-$AF1468</f>
        <v/>
      </c>
      <c r="BH1468" s="81">
        <f>IFERROR($AG1468/$AF1468,"")</f>
        <v/>
      </c>
      <c r="BI1468" s="82">
        <f>$AJ1468-$AF1468</f>
        <v/>
      </c>
      <c r="BJ1468" s="81">
        <f>IFERROR($AJ1468/$AG1468,"")</f>
        <v/>
      </c>
      <c r="BK1468" s="81">
        <f>$X1468</f>
        <v/>
      </c>
      <c r="BL1468" s="82">
        <f>($J1468-$J1469)*100</f>
        <v/>
      </c>
      <c r="BM1468" s="82">
        <f>($F1468-$F1469)*100</f>
        <v/>
      </c>
      <c r="BN1468" s="82">
        <f>$AF1468-$AF1469</f>
        <v/>
      </c>
      <c r="BO1468" s="82">
        <f>$AG1468-$AG1469</f>
        <v/>
      </c>
      <c r="BP1468" s="82">
        <f>$AJ1468-$AJ1469</f>
        <v/>
      </c>
    </row>
    <row r="1469">
      <c r="AR1469" s="81">
        <f>($G1469+($H1469-$G1469)*0.5)+($P1469-($O1469+($Q1469-$O1469)*0.5))</f>
        <v/>
      </c>
      <c r="AS1469" s="81">
        <f>($J1469+($K1469-$J1469)*0.5)+($T1469-($S1469+($U1469-$S1469)*0.5))</f>
        <v/>
      </c>
      <c r="AT1469" s="82">
        <f>($J1469-$C1469)*100</f>
        <v/>
      </c>
      <c r="AU1469" s="82">
        <f>($H1469-$F1469)*100</f>
        <v/>
      </c>
      <c r="AV1469" s="82">
        <f>($J1469-$F1469)*100</f>
        <v/>
      </c>
      <c r="AW1469" s="82">
        <f>($L1469-$F1469)*100</f>
        <v/>
      </c>
      <c r="AX1469" s="82">
        <f>($J1469-$H1469)*100</f>
        <v/>
      </c>
      <c r="AY1469" s="82">
        <f>($L1469-$H1469)*100</f>
        <v/>
      </c>
      <c r="AZ1469" s="82">
        <f>($L1469-$J1469)*100</f>
        <v/>
      </c>
      <c r="BA1469" s="82">
        <f>(2*$H1469-$F1469-$J1469)*100</f>
        <v/>
      </c>
      <c r="BB1469" s="82">
        <f>(2*$J1469-$H1469-$L1469)*100</f>
        <v/>
      </c>
      <c r="BC1469" s="82">
        <f>($N1469-$F1469)*100</f>
        <v/>
      </c>
      <c r="BD1469" s="82">
        <f>($Q1469-$H1469)*100</f>
        <v/>
      </c>
      <c r="BE1469" s="82">
        <f>($S1469-$J1469)*100</f>
        <v/>
      </c>
      <c r="BF1469" s="82">
        <f>($V1469-$L1469)*100</f>
        <v/>
      </c>
      <c r="BG1469" s="82">
        <f>$AG1469-$AF1469</f>
        <v/>
      </c>
      <c r="BH1469" s="81">
        <f>IFERROR($AG1469/$AF1469,"")</f>
        <v/>
      </c>
      <c r="BI1469" s="82">
        <f>$AJ1469-$AF1469</f>
        <v/>
      </c>
      <c r="BJ1469" s="81">
        <f>IFERROR($AJ1469/$AG1469,"")</f>
        <v/>
      </c>
      <c r="BK1469" s="81">
        <f>$X1469</f>
        <v/>
      </c>
      <c r="BL1469" s="82">
        <f>($J1469-$J1470)*100</f>
        <v/>
      </c>
      <c r="BM1469" s="82">
        <f>($F1469-$F1470)*100</f>
        <v/>
      </c>
      <c r="BN1469" s="82">
        <f>$AF1469-$AF1470</f>
        <v/>
      </c>
      <c r="BO1469" s="82">
        <f>$AG1469-$AG1470</f>
        <v/>
      </c>
      <c r="BP1469" s="82">
        <f>$AJ1469-$AJ1470</f>
        <v/>
      </c>
    </row>
    <row r="1470">
      <c r="AR1470" s="81">
        <f>($G1470+($H1470-$G1470)*0.5)+($P1470-($O1470+($Q1470-$O1470)*0.5))</f>
        <v/>
      </c>
      <c r="AS1470" s="81">
        <f>($J1470+($K1470-$J1470)*0.5)+($T1470-($S1470+($U1470-$S1470)*0.5))</f>
        <v/>
      </c>
      <c r="AT1470" s="82">
        <f>($J1470-$C1470)*100</f>
        <v/>
      </c>
      <c r="AU1470" s="82">
        <f>($H1470-$F1470)*100</f>
        <v/>
      </c>
      <c r="AV1470" s="82">
        <f>($J1470-$F1470)*100</f>
        <v/>
      </c>
      <c r="AW1470" s="82">
        <f>($L1470-$F1470)*100</f>
        <v/>
      </c>
      <c r="AX1470" s="82">
        <f>($J1470-$H1470)*100</f>
        <v/>
      </c>
      <c r="AY1470" s="82">
        <f>($L1470-$H1470)*100</f>
        <v/>
      </c>
      <c r="AZ1470" s="82">
        <f>($L1470-$J1470)*100</f>
        <v/>
      </c>
      <c r="BA1470" s="82">
        <f>(2*$H1470-$F1470-$J1470)*100</f>
        <v/>
      </c>
      <c r="BB1470" s="82">
        <f>(2*$J1470-$H1470-$L1470)*100</f>
        <v/>
      </c>
      <c r="BC1470" s="82">
        <f>($N1470-$F1470)*100</f>
        <v/>
      </c>
      <c r="BD1470" s="82">
        <f>($Q1470-$H1470)*100</f>
        <v/>
      </c>
      <c r="BE1470" s="82">
        <f>($S1470-$J1470)*100</f>
        <v/>
      </c>
      <c r="BF1470" s="82">
        <f>($V1470-$L1470)*100</f>
        <v/>
      </c>
      <c r="BG1470" s="82">
        <f>$AG1470-$AF1470</f>
        <v/>
      </c>
      <c r="BH1470" s="81">
        <f>IFERROR($AG1470/$AF1470,"")</f>
        <v/>
      </c>
      <c r="BI1470" s="82">
        <f>$AJ1470-$AF1470</f>
        <v/>
      </c>
      <c r="BJ1470" s="81">
        <f>IFERROR($AJ1470/$AG1470,"")</f>
        <v/>
      </c>
      <c r="BK1470" s="81">
        <f>$X1470</f>
        <v/>
      </c>
      <c r="BL1470" s="82">
        <f>($J1470-$J1471)*100</f>
        <v/>
      </c>
      <c r="BM1470" s="82">
        <f>($F1470-$F1471)*100</f>
        <v/>
      </c>
      <c r="BN1470" s="82">
        <f>$AF1470-$AF1471</f>
        <v/>
      </c>
      <c r="BO1470" s="82">
        <f>$AG1470-$AG1471</f>
        <v/>
      </c>
      <c r="BP1470" s="82">
        <f>$AJ1470-$AJ1471</f>
        <v/>
      </c>
    </row>
    <row r="1471">
      <c r="AR1471" s="81">
        <f>($G1471+($H1471-$G1471)*0.5)+($P1471-($O1471+($Q1471-$O1471)*0.5))</f>
        <v/>
      </c>
      <c r="AS1471" s="81">
        <f>($J1471+($K1471-$J1471)*0.5)+($T1471-($S1471+($U1471-$S1471)*0.5))</f>
        <v/>
      </c>
      <c r="AT1471" s="82">
        <f>($J1471-$C1471)*100</f>
        <v/>
      </c>
      <c r="AU1471" s="82">
        <f>($H1471-$F1471)*100</f>
        <v/>
      </c>
      <c r="AV1471" s="82">
        <f>($J1471-$F1471)*100</f>
        <v/>
      </c>
      <c r="AW1471" s="82">
        <f>($L1471-$F1471)*100</f>
        <v/>
      </c>
      <c r="AX1471" s="82">
        <f>($J1471-$H1471)*100</f>
        <v/>
      </c>
      <c r="AY1471" s="82">
        <f>($L1471-$H1471)*100</f>
        <v/>
      </c>
      <c r="AZ1471" s="82">
        <f>($L1471-$J1471)*100</f>
        <v/>
      </c>
      <c r="BA1471" s="82">
        <f>(2*$H1471-$F1471-$J1471)*100</f>
        <v/>
      </c>
      <c r="BB1471" s="82">
        <f>(2*$J1471-$H1471-$L1471)*100</f>
        <v/>
      </c>
      <c r="BC1471" s="82">
        <f>($N1471-$F1471)*100</f>
        <v/>
      </c>
      <c r="BD1471" s="82">
        <f>($Q1471-$H1471)*100</f>
        <v/>
      </c>
      <c r="BE1471" s="82">
        <f>($S1471-$J1471)*100</f>
        <v/>
      </c>
      <c r="BF1471" s="82">
        <f>($V1471-$L1471)*100</f>
        <v/>
      </c>
      <c r="BG1471" s="82">
        <f>$AG1471-$AF1471</f>
        <v/>
      </c>
      <c r="BH1471" s="81">
        <f>IFERROR($AG1471/$AF1471,"")</f>
        <v/>
      </c>
      <c r="BI1471" s="82">
        <f>$AJ1471-$AF1471</f>
        <v/>
      </c>
      <c r="BJ1471" s="81">
        <f>IFERROR($AJ1471/$AG1471,"")</f>
        <v/>
      </c>
      <c r="BK1471" s="81">
        <f>$X1471</f>
        <v/>
      </c>
      <c r="BL1471" s="82">
        <f>($J1471-$J1472)*100</f>
        <v/>
      </c>
      <c r="BM1471" s="82">
        <f>($F1471-$F1472)*100</f>
        <v/>
      </c>
      <c r="BN1471" s="82">
        <f>$AF1471-$AF1472</f>
        <v/>
      </c>
      <c r="BO1471" s="82">
        <f>$AG1471-$AG1472</f>
        <v/>
      </c>
      <c r="BP1471" s="82">
        <f>$AJ1471-$AJ1472</f>
        <v/>
      </c>
    </row>
    <row r="1472">
      <c r="AR1472" s="81">
        <f>($G1472+($H1472-$G1472)*0.5)+($P1472-($O1472+($Q1472-$O1472)*0.5))</f>
        <v/>
      </c>
      <c r="AS1472" s="81">
        <f>($J1472+($K1472-$J1472)*0.5)+($T1472-($S1472+($U1472-$S1472)*0.5))</f>
        <v/>
      </c>
      <c r="AT1472" s="82">
        <f>($J1472-$C1472)*100</f>
        <v/>
      </c>
      <c r="AU1472" s="82">
        <f>($H1472-$F1472)*100</f>
        <v/>
      </c>
      <c r="AV1472" s="82">
        <f>($J1472-$F1472)*100</f>
        <v/>
      </c>
      <c r="AW1472" s="82">
        <f>($L1472-$F1472)*100</f>
        <v/>
      </c>
      <c r="AX1472" s="82">
        <f>($J1472-$H1472)*100</f>
        <v/>
      </c>
      <c r="AY1472" s="82">
        <f>($L1472-$H1472)*100</f>
        <v/>
      </c>
      <c r="AZ1472" s="82">
        <f>($L1472-$J1472)*100</f>
        <v/>
      </c>
      <c r="BA1472" s="82">
        <f>(2*$H1472-$F1472-$J1472)*100</f>
        <v/>
      </c>
      <c r="BB1472" s="82">
        <f>(2*$J1472-$H1472-$L1472)*100</f>
        <v/>
      </c>
      <c r="BC1472" s="82">
        <f>($N1472-$F1472)*100</f>
        <v/>
      </c>
      <c r="BD1472" s="82">
        <f>($Q1472-$H1472)*100</f>
        <v/>
      </c>
      <c r="BE1472" s="82">
        <f>($S1472-$J1472)*100</f>
        <v/>
      </c>
      <c r="BF1472" s="82">
        <f>($V1472-$L1472)*100</f>
        <v/>
      </c>
      <c r="BG1472" s="82">
        <f>$AG1472-$AF1472</f>
        <v/>
      </c>
      <c r="BH1472" s="81">
        <f>IFERROR($AG1472/$AF1472,"")</f>
        <v/>
      </c>
      <c r="BI1472" s="82">
        <f>$AJ1472-$AF1472</f>
        <v/>
      </c>
      <c r="BJ1472" s="81">
        <f>IFERROR($AJ1472/$AG1472,"")</f>
        <v/>
      </c>
      <c r="BK1472" s="81">
        <f>$X1472</f>
        <v/>
      </c>
      <c r="BL1472" s="82">
        <f>($J1472-$J1473)*100</f>
        <v/>
      </c>
      <c r="BM1472" s="82">
        <f>($F1472-$F1473)*100</f>
        <v/>
      </c>
      <c r="BN1472" s="82">
        <f>$AF1472-$AF1473</f>
        <v/>
      </c>
      <c r="BO1472" s="82">
        <f>$AG1472-$AG1473</f>
        <v/>
      </c>
      <c r="BP1472" s="82">
        <f>$AJ1472-$AJ1473</f>
        <v/>
      </c>
    </row>
    <row r="1473">
      <c r="AR1473" s="81">
        <f>($G1473+($H1473-$G1473)*0.5)+($P1473-($O1473+($Q1473-$O1473)*0.5))</f>
        <v/>
      </c>
      <c r="AS1473" s="81">
        <f>($J1473+($K1473-$J1473)*0.5)+($T1473-($S1473+($U1473-$S1473)*0.5))</f>
        <v/>
      </c>
      <c r="AT1473" s="82">
        <f>($J1473-$C1473)*100</f>
        <v/>
      </c>
      <c r="AU1473" s="82">
        <f>($H1473-$F1473)*100</f>
        <v/>
      </c>
      <c r="AV1473" s="82">
        <f>($J1473-$F1473)*100</f>
        <v/>
      </c>
      <c r="AW1473" s="82">
        <f>($L1473-$F1473)*100</f>
        <v/>
      </c>
      <c r="AX1473" s="82">
        <f>($J1473-$H1473)*100</f>
        <v/>
      </c>
      <c r="AY1473" s="82">
        <f>($L1473-$H1473)*100</f>
        <v/>
      </c>
      <c r="AZ1473" s="82">
        <f>($L1473-$J1473)*100</f>
        <v/>
      </c>
      <c r="BA1473" s="82">
        <f>(2*$H1473-$F1473-$J1473)*100</f>
        <v/>
      </c>
      <c r="BB1473" s="82">
        <f>(2*$J1473-$H1473-$L1473)*100</f>
        <v/>
      </c>
      <c r="BC1473" s="82">
        <f>($N1473-$F1473)*100</f>
        <v/>
      </c>
      <c r="BD1473" s="82">
        <f>($Q1473-$H1473)*100</f>
        <v/>
      </c>
      <c r="BE1473" s="82">
        <f>($S1473-$J1473)*100</f>
        <v/>
      </c>
      <c r="BF1473" s="82">
        <f>($V1473-$L1473)*100</f>
        <v/>
      </c>
      <c r="BG1473" s="82">
        <f>$AG1473-$AF1473</f>
        <v/>
      </c>
      <c r="BH1473" s="81">
        <f>IFERROR($AG1473/$AF1473,"")</f>
        <v/>
      </c>
      <c r="BI1473" s="82">
        <f>$AJ1473-$AF1473</f>
        <v/>
      </c>
      <c r="BJ1473" s="81">
        <f>IFERROR($AJ1473/$AG1473,"")</f>
        <v/>
      </c>
      <c r="BK1473" s="81">
        <f>$X1473</f>
        <v/>
      </c>
      <c r="BL1473" s="82">
        <f>($J1473-$J1474)*100</f>
        <v/>
      </c>
      <c r="BM1473" s="82">
        <f>($F1473-$F1474)*100</f>
        <v/>
      </c>
      <c r="BN1473" s="82">
        <f>$AF1473-$AF1474</f>
        <v/>
      </c>
      <c r="BO1473" s="82">
        <f>$AG1473-$AG1474</f>
        <v/>
      </c>
      <c r="BP1473" s="82">
        <f>$AJ1473-$AJ1474</f>
        <v/>
      </c>
    </row>
    <row r="1474">
      <c r="AR1474" s="81">
        <f>($G1474+($H1474-$G1474)*0.5)+($P1474-($O1474+($Q1474-$O1474)*0.5))</f>
        <v/>
      </c>
      <c r="AS1474" s="81">
        <f>($J1474+($K1474-$J1474)*0.5)+($T1474-($S1474+($U1474-$S1474)*0.5))</f>
        <v/>
      </c>
      <c r="AT1474" s="82">
        <f>($J1474-$C1474)*100</f>
        <v/>
      </c>
      <c r="AU1474" s="82">
        <f>($H1474-$F1474)*100</f>
        <v/>
      </c>
      <c r="AV1474" s="82">
        <f>($J1474-$F1474)*100</f>
        <v/>
      </c>
      <c r="AW1474" s="82">
        <f>($L1474-$F1474)*100</f>
        <v/>
      </c>
      <c r="AX1474" s="82">
        <f>($J1474-$H1474)*100</f>
        <v/>
      </c>
      <c r="AY1474" s="82">
        <f>($L1474-$H1474)*100</f>
        <v/>
      </c>
      <c r="AZ1474" s="82">
        <f>($L1474-$J1474)*100</f>
        <v/>
      </c>
      <c r="BA1474" s="82">
        <f>(2*$H1474-$F1474-$J1474)*100</f>
        <v/>
      </c>
      <c r="BB1474" s="82">
        <f>(2*$J1474-$H1474-$L1474)*100</f>
        <v/>
      </c>
      <c r="BC1474" s="82">
        <f>($N1474-$F1474)*100</f>
        <v/>
      </c>
      <c r="BD1474" s="82">
        <f>($Q1474-$H1474)*100</f>
        <v/>
      </c>
      <c r="BE1474" s="82">
        <f>($S1474-$J1474)*100</f>
        <v/>
      </c>
      <c r="BF1474" s="82">
        <f>($V1474-$L1474)*100</f>
        <v/>
      </c>
      <c r="BG1474" s="82">
        <f>$AG1474-$AF1474</f>
        <v/>
      </c>
      <c r="BH1474" s="81">
        <f>IFERROR($AG1474/$AF1474,"")</f>
        <v/>
      </c>
      <c r="BI1474" s="82">
        <f>$AJ1474-$AF1474</f>
        <v/>
      </c>
      <c r="BJ1474" s="81">
        <f>IFERROR($AJ1474/$AG1474,"")</f>
        <v/>
      </c>
      <c r="BK1474" s="81">
        <f>$X1474</f>
        <v/>
      </c>
      <c r="BL1474" s="82">
        <f>($J1474-$J1475)*100</f>
        <v/>
      </c>
      <c r="BM1474" s="82">
        <f>($F1474-$F1475)*100</f>
        <v/>
      </c>
      <c r="BN1474" s="82">
        <f>$AF1474-$AF1475</f>
        <v/>
      </c>
      <c r="BO1474" s="82">
        <f>$AG1474-$AG1475</f>
        <v/>
      </c>
      <c r="BP1474" s="82">
        <f>$AJ1474-$AJ1475</f>
        <v/>
      </c>
    </row>
    <row r="1475">
      <c r="AR1475" s="81">
        <f>($G1475+($H1475-$G1475)*0.5)+($P1475-($O1475+($Q1475-$O1475)*0.5))</f>
        <v/>
      </c>
      <c r="AS1475" s="81">
        <f>($J1475+($K1475-$J1475)*0.5)+($T1475-($S1475+($U1475-$S1475)*0.5))</f>
        <v/>
      </c>
      <c r="AT1475" s="82">
        <f>($J1475-$C1475)*100</f>
        <v/>
      </c>
      <c r="AU1475" s="82">
        <f>($H1475-$F1475)*100</f>
        <v/>
      </c>
      <c r="AV1475" s="82">
        <f>($J1475-$F1475)*100</f>
        <v/>
      </c>
      <c r="AW1475" s="82">
        <f>($L1475-$F1475)*100</f>
        <v/>
      </c>
      <c r="AX1475" s="82">
        <f>($J1475-$H1475)*100</f>
        <v/>
      </c>
      <c r="AY1475" s="82">
        <f>($L1475-$H1475)*100</f>
        <v/>
      </c>
      <c r="AZ1475" s="82">
        <f>($L1475-$J1475)*100</f>
        <v/>
      </c>
      <c r="BA1475" s="82">
        <f>(2*$H1475-$F1475-$J1475)*100</f>
        <v/>
      </c>
      <c r="BB1475" s="82">
        <f>(2*$J1475-$H1475-$L1475)*100</f>
        <v/>
      </c>
      <c r="BC1475" s="82">
        <f>($N1475-$F1475)*100</f>
        <v/>
      </c>
      <c r="BD1475" s="82">
        <f>($Q1475-$H1475)*100</f>
        <v/>
      </c>
      <c r="BE1475" s="82">
        <f>($S1475-$J1475)*100</f>
        <v/>
      </c>
      <c r="BF1475" s="82">
        <f>($V1475-$L1475)*100</f>
        <v/>
      </c>
      <c r="BG1475" s="82">
        <f>$AG1475-$AF1475</f>
        <v/>
      </c>
      <c r="BH1475" s="81">
        <f>IFERROR($AG1475/$AF1475,"")</f>
        <v/>
      </c>
      <c r="BI1475" s="82">
        <f>$AJ1475-$AF1475</f>
        <v/>
      </c>
      <c r="BJ1475" s="81">
        <f>IFERROR($AJ1475/$AG1475,"")</f>
        <v/>
      </c>
      <c r="BK1475" s="81">
        <f>$X1475</f>
        <v/>
      </c>
      <c r="BL1475" s="82">
        <f>($J1475-$J1476)*100</f>
        <v/>
      </c>
      <c r="BM1475" s="82">
        <f>($F1475-$F1476)*100</f>
        <v/>
      </c>
      <c r="BN1475" s="82">
        <f>$AF1475-$AF1476</f>
        <v/>
      </c>
      <c r="BO1475" s="82">
        <f>$AG1475-$AG1476</f>
        <v/>
      </c>
      <c r="BP1475" s="82">
        <f>$AJ1475-$AJ1476</f>
        <v/>
      </c>
    </row>
    <row r="1476">
      <c r="AR1476" s="81">
        <f>($G1476+($H1476-$G1476)*0.5)+($P1476-($O1476+($Q1476-$O1476)*0.5))</f>
        <v/>
      </c>
      <c r="AS1476" s="81">
        <f>($J1476+($K1476-$J1476)*0.5)+($T1476-($S1476+($U1476-$S1476)*0.5))</f>
        <v/>
      </c>
      <c r="AT1476" s="82">
        <f>($J1476-$C1476)*100</f>
        <v/>
      </c>
      <c r="AU1476" s="82">
        <f>($H1476-$F1476)*100</f>
        <v/>
      </c>
      <c r="AV1476" s="82">
        <f>($J1476-$F1476)*100</f>
        <v/>
      </c>
      <c r="AW1476" s="82">
        <f>($L1476-$F1476)*100</f>
        <v/>
      </c>
      <c r="AX1476" s="82">
        <f>($J1476-$H1476)*100</f>
        <v/>
      </c>
      <c r="AY1476" s="82">
        <f>($L1476-$H1476)*100</f>
        <v/>
      </c>
      <c r="AZ1476" s="82">
        <f>($L1476-$J1476)*100</f>
        <v/>
      </c>
      <c r="BA1476" s="82">
        <f>(2*$H1476-$F1476-$J1476)*100</f>
        <v/>
      </c>
      <c r="BB1476" s="82">
        <f>(2*$J1476-$H1476-$L1476)*100</f>
        <v/>
      </c>
      <c r="BC1476" s="82">
        <f>($N1476-$F1476)*100</f>
        <v/>
      </c>
      <c r="BD1476" s="82">
        <f>($Q1476-$H1476)*100</f>
        <v/>
      </c>
      <c r="BE1476" s="82">
        <f>($S1476-$J1476)*100</f>
        <v/>
      </c>
      <c r="BF1476" s="82">
        <f>($V1476-$L1476)*100</f>
        <v/>
      </c>
      <c r="BG1476" s="82">
        <f>$AG1476-$AF1476</f>
        <v/>
      </c>
      <c r="BH1476" s="81">
        <f>IFERROR($AG1476/$AF1476,"")</f>
        <v/>
      </c>
      <c r="BI1476" s="82">
        <f>$AJ1476-$AF1476</f>
        <v/>
      </c>
      <c r="BJ1476" s="81">
        <f>IFERROR($AJ1476/$AG1476,"")</f>
        <v/>
      </c>
      <c r="BK1476" s="81">
        <f>$X1476</f>
        <v/>
      </c>
      <c r="BL1476" s="82">
        <f>($J1476-$J1477)*100</f>
        <v/>
      </c>
      <c r="BM1476" s="82">
        <f>($F1476-$F1477)*100</f>
        <v/>
      </c>
      <c r="BN1476" s="82">
        <f>$AF1476-$AF1477</f>
        <v/>
      </c>
      <c r="BO1476" s="82">
        <f>$AG1476-$AG1477</f>
        <v/>
      </c>
      <c r="BP1476" s="82">
        <f>$AJ1476-$AJ1477</f>
        <v/>
      </c>
    </row>
    <row r="1477">
      <c r="AR1477" s="81">
        <f>($G1477+($H1477-$G1477)*0.5)+($P1477-($O1477+($Q1477-$O1477)*0.5))</f>
        <v/>
      </c>
      <c r="AS1477" s="81">
        <f>($J1477+($K1477-$J1477)*0.5)+($T1477-($S1477+($U1477-$S1477)*0.5))</f>
        <v/>
      </c>
      <c r="AT1477" s="82">
        <f>($J1477-$C1477)*100</f>
        <v/>
      </c>
      <c r="AU1477" s="82">
        <f>($H1477-$F1477)*100</f>
        <v/>
      </c>
      <c r="AV1477" s="82">
        <f>($J1477-$F1477)*100</f>
        <v/>
      </c>
      <c r="AW1477" s="82">
        <f>($L1477-$F1477)*100</f>
        <v/>
      </c>
      <c r="AX1477" s="82">
        <f>($J1477-$H1477)*100</f>
        <v/>
      </c>
      <c r="AY1477" s="82">
        <f>($L1477-$H1477)*100</f>
        <v/>
      </c>
      <c r="AZ1477" s="82">
        <f>($L1477-$J1477)*100</f>
        <v/>
      </c>
      <c r="BA1477" s="82">
        <f>(2*$H1477-$F1477-$J1477)*100</f>
        <v/>
      </c>
      <c r="BB1477" s="82">
        <f>(2*$J1477-$H1477-$L1477)*100</f>
        <v/>
      </c>
      <c r="BC1477" s="82">
        <f>($N1477-$F1477)*100</f>
        <v/>
      </c>
      <c r="BD1477" s="82">
        <f>($Q1477-$H1477)*100</f>
        <v/>
      </c>
      <c r="BE1477" s="82">
        <f>($S1477-$J1477)*100</f>
        <v/>
      </c>
      <c r="BF1477" s="82">
        <f>($V1477-$L1477)*100</f>
        <v/>
      </c>
      <c r="BG1477" s="82">
        <f>$AG1477-$AF1477</f>
        <v/>
      </c>
      <c r="BH1477" s="81">
        <f>IFERROR($AG1477/$AF1477,"")</f>
        <v/>
      </c>
      <c r="BI1477" s="82">
        <f>$AJ1477-$AF1477</f>
        <v/>
      </c>
      <c r="BJ1477" s="81">
        <f>IFERROR($AJ1477/$AG1477,"")</f>
        <v/>
      </c>
      <c r="BK1477" s="81">
        <f>$X1477</f>
        <v/>
      </c>
      <c r="BL1477" s="82">
        <f>($J1477-$J1478)*100</f>
        <v/>
      </c>
      <c r="BM1477" s="82">
        <f>($F1477-$F1478)*100</f>
        <v/>
      </c>
      <c r="BN1477" s="82">
        <f>$AF1477-$AF1478</f>
        <v/>
      </c>
      <c r="BO1477" s="82">
        <f>$AG1477-$AG1478</f>
        <v/>
      </c>
      <c r="BP1477" s="82">
        <f>$AJ1477-$AJ1478</f>
        <v/>
      </c>
    </row>
    <row r="1478">
      <c r="AR1478" s="81">
        <f>($G1478+($H1478-$G1478)*0.5)+($P1478-($O1478+($Q1478-$O1478)*0.5))</f>
        <v/>
      </c>
      <c r="AS1478" s="81">
        <f>($J1478+($K1478-$J1478)*0.5)+($T1478-($S1478+($U1478-$S1478)*0.5))</f>
        <v/>
      </c>
      <c r="AT1478" s="82">
        <f>($J1478-$C1478)*100</f>
        <v/>
      </c>
      <c r="AU1478" s="82">
        <f>($H1478-$F1478)*100</f>
        <v/>
      </c>
      <c r="AV1478" s="82">
        <f>($J1478-$F1478)*100</f>
        <v/>
      </c>
      <c r="AW1478" s="82">
        <f>($L1478-$F1478)*100</f>
        <v/>
      </c>
      <c r="AX1478" s="82">
        <f>($J1478-$H1478)*100</f>
        <v/>
      </c>
      <c r="AY1478" s="82">
        <f>($L1478-$H1478)*100</f>
        <v/>
      </c>
      <c r="AZ1478" s="82">
        <f>($L1478-$J1478)*100</f>
        <v/>
      </c>
      <c r="BA1478" s="82">
        <f>(2*$H1478-$F1478-$J1478)*100</f>
        <v/>
      </c>
      <c r="BB1478" s="82">
        <f>(2*$J1478-$H1478-$L1478)*100</f>
        <v/>
      </c>
      <c r="BC1478" s="82">
        <f>($N1478-$F1478)*100</f>
        <v/>
      </c>
      <c r="BD1478" s="82">
        <f>($Q1478-$H1478)*100</f>
        <v/>
      </c>
      <c r="BE1478" s="82">
        <f>($S1478-$J1478)*100</f>
        <v/>
      </c>
      <c r="BF1478" s="82">
        <f>($V1478-$L1478)*100</f>
        <v/>
      </c>
      <c r="BG1478" s="82">
        <f>$AG1478-$AF1478</f>
        <v/>
      </c>
      <c r="BH1478" s="81">
        <f>IFERROR($AG1478/$AF1478,"")</f>
        <v/>
      </c>
      <c r="BI1478" s="82">
        <f>$AJ1478-$AF1478</f>
        <v/>
      </c>
      <c r="BJ1478" s="81">
        <f>IFERROR($AJ1478/$AG1478,"")</f>
        <v/>
      </c>
      <c r="BK1478" s="81">
        <f>$X1478</f>
        <v/>
      </c>
      <c r="BL1478" s="82">
        <f>($J1478-$J1479)*100</f>
        <v/>
      </c>
      <c r="BM1478" s="82">
        <f>($F1478-$F1479)*100</f>
        <v/>
      </c>
      <c r="BN1478" s="82">
        <f>$AF1478-$AF1479</f>
        <v/>
      </c>
      <c r="BO1478" s="82">
        <f>$AG1478-$AG1479</f>
        <v/>
      </c>
      <c r="BP1478" s="82">
        <f>$AJ1478-$AJ1479</f>
        <v/>
      </c>
    </row>
    <row r="1479">
      <c r="AR1479" s="81">
        <f>($G1479+($H1479-$G1479)*0.5)+($P1479-($O1479+($Q1479-$O1479)*0.5))</f>
        <v/>
      </c>
      <c r="AS1479" s="81">
        <f>($J1479+($K1479-$J1479)*0.5)+($T1479-($S1479+($U1479-$S1479)*0.5))</f>
        <v/>
      </c>
      <c r="AT1479" s="82">
        <f>($J1479-$C1479)*100</f>
        <v/>
      </c>
      <c r="AU1479" s="82">
        <f>($H1479-$F1479)*100</f>
        <v/>
      </c>
      <c r="AV1479" s="82">
        <f>($J1479-$F1479)*100</f>
        <v/>
      </c>
      <c r="AW1479" s="82">
        <f>($L1479-$F1479)*100</f>
        <v/>
      </c>
      <c r="AX1479" s="82">
        <f>($J1479-$H1479)*100</f>
        <v/>
      </c>
      <c r="AY1479" s="82">
        <f>($L1479-$H1479)*100</f>
        <v/>
      </c>
      <c r="AZ1479" s="82">
        <f>($L1479-$J1479)*100</f>
        <v/>
      </c>
      <c r="BA1479" s="82">
        <f>(2*$H1479-$F1479-$J1479)*100</f>
        <v/>
      </c>
      <c r="BB1479" s="82">
        <f>(2*$J1479-$H1479-$L1479)*100</f>
        <v/>
      </c>
      <c r="BC1479" s="82">
        <f>($N1479-$F1479)*100</f>
        <v/>
      </c>
      <c r="BD1479" s="82">
        <f>($Q1479-$H1479)*100</f>
        <v/>
      </c>
      <c r="BE1479" s="82">
        <f>($S1479-$J1479)*100</f>
        <v/>
      </c>
      <c r="BF1479" s="82">
        <f>($V1479-$L1479)*100</f>
        <v/>
      </c>
      <c r="BG1479" s="82">
        <f>$AG1479-$AF1479</f>
        <v/>
      </c>
      <c r="BH1479" s="81">
        <f>IFERROR($AG1479/$AF1479,"")</f>
        <v/>
      </c>
      <c r="BI1479" s="82">
        <f>$AJ1479-$AF1479</f>
        <v/>
      </c>
      <c r="BJ1479" s="81">
        <f>IFERROR($AJ1479/$AG1479,"")</f>
        <v/>
      </c>
      <c r="BK1479" s="81">
        <f>$X1479</f>
        <v/>
      </c>
      <c r="BL1479" s="82">
        <f>($J1479-$J1480)*100</f>
        <v/>
      </c>
      <c r="BM1479" s="82">
        <f>($F1479-$F1480)*100</f>
        <v/>
      </c>
      <c r="BN1479" s="82">
        <f>$AF1479-$AF1480</f>
        <v/>
      </c>
      <c r="BO1479" s="82">
        <f>$AG1479-$AG1480</f>
        <v/>
      </c>
      <c r="BP1479" s="82">
        <f>$AJ1479-$AJ1480</f>
        <v/>
      </c>
    </row>
    <row r="1480">
      <c r="AR1480" s="81">
        <f>($G1480+($H1480-$G1480)*0.5)+($P1480-($O1480+($Q1480-$O1480)*0.5))</f>
        <v/>
      </c>
      <c r="AS1480" s="81">
        <f>($J1480+($K1480-$J1480)*0.5)+($T1480-($S1480+($U1480-$S1480)*0.5))</f>
        <v/>
      </c>
      <c r="AT1480" s="82">
        <f>($J1480-$C1480)*100</f>
        <v/>
      </c>
      <c r="AU1480" s="82">
        <f>($H1480-$F1480)*100</f>
        <v/>
      </c>
      <c r="AV1480" s="82">
        <f>($J1480-$F1480)*100</f>
        <v/>
      </c>
      <c r="AW1480" s="82">
        <f>($L1480-$F1480)*100</f>
        <v/>
      </c>
      <c r="AX1480" s="82">
        <f>($J1480-$H1480)*100</f>
        <v/>
      </c>
      <c r="AY1480" s="82">
        <f>($L1480-$H1480)*100</f>
        <v/>
      </c>
      <c r="AZ1480" s="82">
        <f>($L1480-$J1480)*100</f>
        <v/>
      </c>
      <c r="BA1480" s="82">
        <f>(2*$H1480-$F1480-$J1480)*100</f>
        <v/>
      </c>
      <c r="BB1480" s="82">
        <f>(2*$J1480-$H1480-$L1480)*100</f>
        <v/>
      </c>
      <c r="BC1480" s="82">
        <f>($N1480-$F1480)*100</f>
        <v/>
      </c>
      <c r="BD1480" s="82">
        <f>($Q1480-$H1480)*100</f>
        <v/>
      </c>
      <c r="BE1480" s="82">
        <f>($S1480-$J1480)*100</f>
        <v/>
      </c>
      <c r="BF1480" s="82">
        <f>($V1480-$L1480)*100</f>
        <v/>
      </c>
      <c r="BG1480" s="82">
        <f>$AG1480-$AF1480</f>
        <v/>
      </c>
      <c r="BH1480" s="81">
        <f>IFERROR($AG1480/$AF1480,"")</f>
        <v/>
      </c>
      <c r="BI1480" s="82">
        <f>$AJ1480-$AF1480</f>
        <v/>
      </c>
      <c r="BJ1480" s="81">
        <f>IFERROR($AJ1480/$AG1480,"")</f>
        <v/>
      </c>
      <c r="BK1480" s="81">
        <f>$X1480</f>
        <v/>
      </c>
      <c r="BL1480" s="82">
        <f>($J1480-$J1481)*100</f>
        <v/>
      </c>
      <c r="BM1480" s="82">
        <f>($F1480-$F1481)*100</f>
        <v/>
      </c>
      <c r="BN1480" s="82">
        <f>$AF1480-$AF1481</f>
        <v/>
      </c>
      <c r="BO1480" s="82">
        <f>$AG1480-$AG1481</f>
        <v/>
      </c>
      <c r="BP1480" s="82">
        <f>$AJ1480-$AJ1481</f>
        <v/>
      </c>
    </row>
    <row r="1481">
      <c r="AR1481" s="81">
        <f>($G1481+($H1481-$G1481)*0.5)+($P1481-($O1481+($Q1481-$O1481)*0.5))</f>
        <v/>
      </c>
      <c r="AS1481" s="81">
        <f>($J1481+($K1481-$J1481)*0.5)+($T1481-($S1481+($U1481-$S1481)*0.5))</f>
        <v/>
      </c>
      <c r="AT1481" s="82">
        <f>($J1481-$C1481)*100</f>
        <v/>
      </c>
      <c r="AU1481" s="82">
        <f>($H1481-$F1481)*100</f>
        <v/>
      </c>
      <c r="AV1481" s="82">
        <f>($J1481-$F1481)*100</f>
        <v/>
      </c>
      <c r="AW1481" s="82">
        <f>($L1481-$F1481)*100</f>
        <v/>
      </c>
      <c r="AX1481" s="82">
        <f>($J1481-$H1481)*100</f>
        <v/>
      </c>
      <c r="AY1481" s="82">
        <f>($L1481-$H1481)*100</f>
        <v/>
      </c>
      <c r="AZ1481" s="82">
        <f>($L1481-$J1481)*100</f>
        <v/>
      </c>
      <c r="BA1481" s="82">
        <f>(2*$H1481-$F1481-$J1481)*100</f>
        <v/>
      </c>
      <c r="BB1481" s="82">
        <f>(2*$J1481-$H1481-$L1481)*100</f>
        <v/>
      </c>
      <c r="BC1481" s="82">
        <f>($N1481-$F1481)*100</f>
        <v/>
      </c>
      <c r="BD1481" s="82">
        <f>($Q1481-$H1481)*100</f>
        <v/>
      </c>
      <c r="BE1481" s="82">
        <f>($S1481-$J1481)*100</f>
        <v/>
      </c>
      <c r="BF1481" s="82">
        <f>($V1481-$L1481)*100</f>
        <v/>
      </c>
      <c r="BG1481" s="82">
        <f>$AG1481-$AF1481</f>
        <v/>
      </c>
      <c r="BH1481" s="81">
        <f>IFERROR($AG1481/$AF1481,"")</f>
        <v/>
      </c>
      <c r="BI1481" s="82">
        <f>$AJ1481-$AF1481</f>
        <v/>
      </c>
      <c r="BJ1481" s="81">
        <f>IFERROR($AJ1481/$AG1481,"")</f>
        <v/>
      </c>
      <c r="BK1481" s="81">
        <f>$X1481</f>
        <v/>
      </c>
      <c r="BL1481" s="82">
        <f>($J1481-$J1482)*100</f>
        <v/>
      </c>
      <c r="BM1481" s="82">
        <f>($F1481-$F1482)*100</f>
        <v/>
      </c>
      <c r="BN1481" s="82">
        <f>$AF1481-$AF1482</f>
        <v/>
      </c>
      <c r="BO1481" s="82">
        <f>$AG1481-$AG1482</f>
        <v/>
      </c>
      <c r="BP1481" s="82">
        <f>$AJ1481-$AJ1482</f>
        <v/>
      </c>
    </row>
    <row r="1482">
      <c r="AR1482" s="81">
        <f>($G1482+($H1482-$G1482)*0.5)+($P1482-($O1482+($Q1482-$O1482)*0.5))</f>
        <v/>
      </c>
      <c r="AS1482" s="81">
        <f>($J1482+($K1482-$J1482)*0.5)+($T1482-($S1482+($U1482-$S1482)*0.5))</f>
        <v/>
      </c>
      <c r="AT1482" s="82">
        <f>($J1482-$C1482)*100</f>
        <v/>
      </c>
      <c r="AU1482" s="82">
        <f>($H1482-$F1482)*100</f>
        <v/>
      </c>
      <c r="AV1482" s="82">
        <f>($J1482-$F1482)*100</f>
        <v/>
      </c>
      <c r="AW1482" s="82">
        <f>($L1482-$F1482)*100</f>
        <v/>
      </c>
      <c r="AX1482" s="82">
        <f>($J1482-$H1482)*100</f>
        <v/>
      </c>
      <c r="AY1482" s="82">
        <f>($L1482-$H1482)*100</f>
        <v/>
      </c>
      <c r="AZ1482" s="82">
        <f>($L1482-$J1482)*100</f>
        <v/>
      </c>
      <c r="BA1482" s="82">
        <f>(2*$H1482-$F1482-$J1482)*100</f>
        <v/>
      </c>
      <c r="BB1482" s="82">
        <f>(2*$J1482-$H1482-$L1482)*100</f>
        <v/>
      </c>
      <c r="BC1482" s="82">
        <f>($N1482-$F1482)*100</f>
        <v/>
      </c>
      <c r="BD1482" s="82">
        <f>($Q1482-$H1482)*100</f>
        <v/>
      </c>
      <c r="BE1482" s="82">
        <f>($S1482-$J1482)*100</f>
        <v/>
      </c>
      <c r="BF1482" s="82">
        <f>($V1482-$L1482)*100</f>
        <v/>
      </c>
      <c r="BG1482" s="82">
        <f>$AG1482-$AF1482</f>
        <v/>
      </c>
      <c r="BH1482" s="81">
        <f>IFERROR($AG1482/$AF1482,"")</f>
        <v/>
      </c>
      <c r="BI1482" s="82">
        <f>$AJ1482-$AF1482</f>
        <v/>
      </c>
      <c r="BJ1482" s="81">
        <f>IFERROR($AJ1482/$AG1482,"")</f>
        <v/>
      </c>
      <c r="BK1482" s="81">
        <f>$X1482</f>
        <v/>
      </c>
      <c r="BL1482" s="82">
        <f>($J1482-$J1483)*100</f>
        <v/>
      </c>
      <c r="BM1482" s="82">
        <f>($F1482-$F1483)*100</f>
        <v/>
      </c>
      <c r="BN1482" s="82">
        <f>$AF1482-$AF1483</f>
        <v/>
      </c>
      <c r="BO1482" s="82">
        <f>$AG1482-$AG1483</f>
        <v/>
      </c>
      <c r="BP1482" s="82">
        <f>$AJ1482-$AJ1483</f>
        <v/>
      </c>
    </row>
    <row r="1483">
      <c r="AR1483" s="81">
        <f>($G1483+($H1483-$G1483)*0.5)+($P1483-($O1483+($Q1483-$O1483)*0.5))</f>
        <v/>
      </c>
      <c r="AS1483" s="81">
        <f>($J1483+($K1483-$J1483)*0.5)+($T1483-($S1483+($U1483-$S1483)*0.5))</f>
        <v/>
      </c>
      <c r="AT1483" s="82">
        <f>($J1483-$C1483)*100</f>
        <v/>
      </c>
      <c r="AU1483" s="82">
        <f>($H1483-$F1483)*100</f>
        <v/>
      </c>
      <c r="AV1483" s="82">
        <f>($J1483-$F1483)*100</f>
        <v/>
      </c>
      <c r="AW1483" s="82">
        <f>($L1483-$F1483)*100</f>
        <v/>
      </c>
      <c r="AX1483" s="82">
        <f>($J1483-$H1483)*100</f>
        <v/>
      </c>
      <c r="AY1483" s="82">
        <f>($L1483-$H1483)*100</f>
        <v/>
      </c>
      <c r="AZ1483" s="82">
        <f>($L1483-$J1483)*100</f>
        <v/>
      </c>
      <c r="BA1483" s="82">
        <f>(2*$H1483-$F1483-$J1483)*100</f>
        <v/>
      </c>
      <c r="BB1483" s="82">
        <f>(2*$J1483-$H1483-$L1483)*100</f>
        <v/>
      </c>
      <c r="BC1483" s="82">
        <f>($N1483-$F1483)*100</f>
        <v/>
      </c>
      <c r="BD1483" s="82">
        <f>($Q1483-$H1483)*100</f>
        <v/>
      </c>
      <c r="BE1483" s="82">
        <f>($S1483-$J1483)*100</f>
        <v/>
      </c>
      <c r="BF1483" s="82">
        <f>($V1483-$L1483)*100</f>
        <v/>
      </c>
      <c r="BG1483" s="82">
        <f>$AG1483-$AF1483</f>
        <v/>
      </c>
      <c r="BH1483" s="81">
        <f>IFERROR($AG1483/$AF1483,"")</f>
        <v/>
      </c>
      <c r="BI1483" s="82">
        <f>$AJ1483-$AF1483</f>
        <v/>
      </c>
      <c r="BJ1483" s="81">
        <f>IFERROR($AJ1483/$AG1483,"")</f>
        <v/>
      </c>
      <c r="BK1483" s="81">
        <f>$X1483</f>
        <v/>
      </c>
      <c r="BL1483" s="82">
        <f>($J1483-$J1484)*100</f>
        <v/>
      </c>
      <c r="BM1483" s="82">
        <f>($F1483-$F1484)*100</f>
        <v/>
      </c>
      <c r="BN1483" s="82">
        <f>$AF1483-$AF1484</f>
        <v/>
      </c>
      <c r="BO1483" s="82">
        <f>$AG1483-$AG1484</f>
        <v/>
      </c>
      <c r="BP1483" s="82">
        <f>$AJ1483-$AJ1484</f>
        <v/>
      </c>
    </row>
    <row r="1484">
      <c r="AR1484" s="81">
        <f>($G1484+($H1484-$G1484)*0.5)+($P1484-($O1484+($Q1484-$O1484)*0.5))</f>
        <v/>
      </c>
      <c r="AS1484" s="81">
        <f>($J1484+($K1484-$J1484)*0.5)+($T1484-($S1484+($U1484-$S1484)*0.5))</f>
        <v/>
      </c>
      <c r="AT1484" s="82">
        <f>($J1484-$C1484)*100</f>
        <v/>
      </c>
      <c r="AU1484" s="82">
        <f>($H1484-$F1484)*100</f>
        <v/>
      </c>
      <c r="AV1484" s="82">
        <f>($J1484-$F1484)*100</f>
        <v/>
      </c>
      <c r="AW1484" s="82">
        <f>($L1484-$F1484)*100</f>
        <v/>
      </c>
      <c r="AX1484" s="82">
        <f>($J1484-$H1484)*100</f>
        <v/>
      </c>
      <c r="AY1484" s="82">
        <f>($L1484-$H1484)*100</f>
        <v/>
      </c>
      <c r="AZ1484" s="82">
        <f>($L1484-$J1484)*100</f>
        <v/>
      </c>
      <c r="BA1484" s="82">
        <f>(2*$H1484-$F1484-$J1484)*100</f>
        <v/>
      </c>
      <c r="BB1484" s="82">
        <f>(2*$J1484-$H1484-$L1484)*100</f>
        <v/>
      </c>
      <c r="BC1484" s="82">
        <f>($N1484-$F1484)*100</f>
        <v/>
      </c>
      <c r="BD1484" s="82">
        <f>($Q1484-$H1484)*100</f>
        <v/>
      </c>
      <c r="BE1484" s="82">
        <f>($S1484-$J1484)*100</f>
        <v/>
      </c>
      <c r="BF1484" s="82">
        <f>($V1484-$L1484)*100</f>
        <v/>
      </c>
      <c r="BG1484" s="82">
        <f>$AG1484-$AF1484</f>
        <v/>
      </c>
      <c r="BH1484" s="81">
        <f>IFERROR($AG1484/$AF1484,"")</f>
        <v/>
      </c>
      <c r="BI1484" s="82">
        <f>$AJ1484-$AF1484</f>
        <v/>
      </c>
      <c r="BJ1484" s="81">
        <f>IFERROR($AJ1484/$AG1484,"")</f>
        <v/>
      </c>
      <c r="BK1484" s="81">
        <f>$X1484</f>
        <v/>
      </c>
      <c r="BL1484" s="82">
        <f>($J1484-$J1485)*100</f>
        <v/>
      </c>
      <c r="BM1484" s="82">
        <f>($F1484-$F1485)*100</f>
        <v/>
      </c>
      <c r="BN1484" s="82">
        <f>$AF1484-$AF1485</f>
        <v/>
      </c>
      <c r="BO1484" s="82">
        <f>$AG1484-$AG1485</f>
        <v/>
      </c>
      <c r="BP1484" s="82">
        <f>$AJ1484-$AJ1485</f>
        <v/>
      </c>
    </row>
    <row r="1485">
      <c r="AR1485" s="81">
        <f>($G1485+($H1485-$G1485)*0.5)+($P1485-($O1485+($Q1485-$O1485)*0.5))</f>
        <v/>
      </c>
      <c r="AS1485" s="81">
        <f>($J1485+($K1485-$J1485)*0.5)+($T1485-($S1485+($U1485-$S1485)*0.5))</f>
        <v/>
      </c>
      <c r="AT1485" s="82">
        <f>($J1485-$C1485)*100</f>
        <v/>
      </c>
      <c r="AU1485" s="82">
        <f>($H1485-$F1485)*100</f>
        <v/>
      </c>
      <c r="AV1485" s="82">
        <f>($J1485-$F1485)*100</f>
        <v/>
      </c>
      <c r="AW1485" s="82">
        <f>($L1485-$F1485)*100</f>
        <v/>
      </c>
      <c r="AX1485" s="82">
        <f>($J1485-$H1485)*100</f>
        <v/>
      </c>
      <c r="AY1485" s="82">
        <f>($L1485-$H1485)*100</f>
        <v/>
      </c>
      <c r="AZ1485" s="82">
        <f>($L1485-$J1485)*100</f>
        <v/>
      </c>
      <c r="BA1485" s="82">
        <f>(2*$H1485-$F1485-$J1485)*100</f>
        <v/>
      </c>
      <c r="BB1485" s="82">
        <f>(2*$J1485-$H1485-$L1485)*100</f>
        <v/>
      </c>
      <c r="BC1485" s="82">
        <f>($N1485-$F1485)*100</f>
        <v/>
      </c>
      <c r="BD1485" s="82">
        <f>($Q1485-$H1485)*100</f>
        <v/>
      </c>
      <c r="BE1485" s="82">
        <f>($S1485-$J1485)*100</f>
        <v/>
      </c>
      <c r="BF1485" s="82">
        <f>($V1485-$L1485)*100</f>
        <v/>
      </c>
      <c r="BG1485" s="82">
        <f>$AG1485-$AF1485</f>
        <v/>
      </c>
      <c r="BH1485" s="81">
        <f>IFERROR($AG1485/$AF1485,"")</f>
        <v/>
      </c>
      <c r="BI1485" s="82">
        <f>$AJ1485-$AF1485</f>
        <v/>
      </c>
      <c r="BJ1485" s="81">
        <f>IFERROR($AJ1485/$AG1485,"")</f>
        <v/>
      </c>
      <c r="BK1485" s="81">
        <f>$X1485</f>
        <v/>
      </c>
      <c r="BL1485" s="82">
        <f>($J1485-$J1486)*100</f>
        <v/>
      </c>
      <c r="BM1485" s="82">
        <f>($F1485-$F1486)*100</f>
        <v/>
      </c>
      <c r="BN1485" s="82">
        <f>$AF1485-$AF1486</f>
        <v/>
      </c>
      <c r="BO1485" s="82">
        <f>$AG1485-$AG1486</f>
        <v/>
      </c>
      <c r="BP1485" s="82">
        <f>$AJ1485-$AJ1486</f>
        <v/>
      </c>
    </row>
    <row r="1486">
      <c r="AR1486" s="81">
        <f>($G1486+($H1486-$G1486)*0.5)+($P1486-($O1486+($Q1486-$O1486)*0.5))</f>
        <v/>
      </c>
      <c r="AS1486" s="81">
        <f>($J1486+($K1486-$J1486)*0.5)+($T1486-($S1486+($U1486-$S1486)*0.5))</f>
        <v/>
      </c>
      <c r="AT1486" s="82">
        <f>($J1486-$C1486)*100</f>
        <v/>
      </c>
      <c r="AU1486" s="82">
        <f>($H1486-$F1486)*100</f>
        <v/>
      </c>
      <c r="AV1486" s="82">
        <f>($J1486-$F1486)*100</f>
        <v/>
      </c>
      <c r="AW1486" s="82">
        <f>($L1486-$F1486)*100</f>
        <v/>
      </c>
      <c r="AX1486" s="82">
        <f>($J1486-$H1486)*100</f>
        <v/>
      </c>
      <c r="AY1486" s="82">
        <f>($L1486-$H1486)*100</f>
        <v/>
      </c>
      <c r="AZ1486" s="82">
        <f>($L1486-$J1486)*100</f>
        <v/>
      </c>
      <c r="BA1486" s="82">
        <f>(2*$H1486-$F1486-$J1486)*100</f>
        <v/>
      </c>
      <c r="BB1486" s="82">
        <f>(2*$J1486-$H1486-$L1486)*100</f>
        <v/>
      </c>
      <c r="BC1486" s="82">
        <f>($N1486-$F1486)*100</f>
        <v/>
      </c>
      <c r="BD1486" s="82">
        <f>($Q1486-$H1486)*100</f>
        <v/>
      </c>
      <c r="BE1486" s="82">
        <f>($S1486-$J1486)*100</f>
        <v/>
      </c>
      <c r="BF1486" s="82">
        <f>($V1486-$L1486)*100</f>
        <v/>
      </c>
      <c r="BG1486" s="82">
        <f>$AG1486-$AF1486</f>
        <v/>
      </c>
      <c r="BH1486" s="81">
        <f>IFERROR($AG1486/$AF1486,"")</f>
        <v/>
      </c>
      <c r="BI1486" s="82">
        <f>$AJ1486-$AF1486</f>
        <v/>
      </c>
      <c r="BJ1486" s="81">
        <f>IFERROR($AJ1486/$AG1486,"")</f>
        <v/>
      </c>
      <c r="BK1486" s="81">
        <f>$X1486</f>
        <v/>
      </c>
      <c r="BL1486" s="82">
        <f>($J1486-$J1487)*100</f>
        <v/>
      </c>
      <c r="BM1486" s="82">
        <f>($F1486-$F1487)*100</f>
        <v/>
      </c>
      <c r="BN1486" s="82">
        <f>$AF1486-$AF1487</f>
        <v/>
      </c>
      <c r="BO1486" s="82">
        <f>$AG1486-$AG1487</f>
        <v/>
      </c>
      <c r="BP1486" s="82">
        <f>$AJ1486-$AJ1487</f>
        <v/>
      </c>
    </row>
    <row r="1487">
      <c r="AR1487" s="81">
        <f>($G1487+($H1487-$G1487)*0.5)+($P1487-($O1487+($Q1487-$O1487)*0.5))</f>
        <v/>
      </c>
      <c r="AS1487" s="81">
        <f>($J1487+($K1487-$J1487)*0.5)+($T1487-($S1487+($U1487-$S1487)*0.5))</f>
        <v/>
      </c>
      <c r="AT1487" s="82">
        <f>($J1487-$C1487)*100</f>
        <v/>
      </c>
      <c r="AU1487" s="82">
        <f>($H1487-$F1487)*100</f>
        <v/>
      </c>
      <c r="AV1487" s="82">
        <f>($J1487-$F1487)*100</f>
        <v/>
      </c>
      <c r="AW1487" s="82">
        <f>($L1487-$F1487)*100</f>
        <v/>
      </c>
      <c r="AX1487" s="82">
        <f>($J1487-$H1487)*100</f>
        <v/>
      </c>
      <c r="AY1487" s="82">
        <f>($L1487-$H1487)*100</f>
        <v/>
      </c>
      <c r="AZ1487" s="82">
        <f>($L1487-$J1487)*100</f>
        <v/>
      </c>
      <c r="BA1487" s="82">
        <f>(2*$H1487-$F1487-$J1487)*100</f>
        <v/>
      </c>
      <c r="BB1487" s="82">
        <f>(2*$J1487-$H1487-$L1487)*100</f>
        <v/>
      </c>
      <c r="BC1487" s="82">
        <f>($N1487-$F1487)*100</f>
        <v/>
      </c>
      <c r="BD1487" s="82">
        <f>($Q1487-$H1487)*100</f>
        <v/>
      </c>
      <c r="BE1487" s="82">
        <f>($S1487-$J1487)*100</f>
        <v/>
      </c>
      <c r="BF1487" s="82">
        <f>($V1487-$L1487)*100</f>
        <v/>
      </c>
      <c r="BG1487" s="82">
        <f>$AG1487-$AF1487</f>
        <v/>
      </c>
      <c r="BH1487" s="81">
        <f>IFERROR($AG1487/$AF1487,"")</f>
        <v/>
      </c>
      <c r="BI1487" s="82">
        <f>$AJ1487-$AF1487</f>
        <v/>
      </c>
      <c r="BJ1487" s="81">
        <f>IFERROR($AJ1487/$AG1487,"")</f>
        <v/>
      </c>
      <c r="BK1487" s="81">
        <f>$X1487</f>
        <v/>
      </c>
      <c r="BL1487" s="82">
        <f>($J1487-$J1488)*100</f>
        <v/>
      </c>
      <c r="BM1487" s="82">
        <f>($F1487-$F1488)*100</f>
        <v/>
      </c>
      <c r="BN1487" s="82">
        <f>$AF1487-$AF1488</f>
        <v/>
      </c>
      <c r="BO1487" s="82">
        <f>$AG1487-$AG1488</f>
        <v/>
      </c>
      <c r="BP1487" s="82">
        <f>$AJ1487-$AJ1488</f>
        <v/>
      </c>
    </row>
    <row r="1488">
      <c r="AR1488" s="81">
        <f>($G1488+($H1488-$G1488)*0.5)+($P1488-($O1488+($Q1488-$O1488)*0.5))</f>
        <v/>
      </c>
      <c r="AS1488" s="81">
        <f>($J1488+($K1488-$J1488)*0.5)+($T1488-($S1488+($U1488-$S1488)*0.5))</f>
        <v/>
      </c>
      <c r="AT1488" s="82">
        <f>($J1488-$C1488)*100</f>
        <v/>
      </c>
      <c r="AU1488" s="82">
        <f>($H1488-$F1488)*100</f>
        <v/>
      </c>
      <c r="AV1488" s="82">
        <f>($J1488-$F1488)*100</f>
        <v/>
      </c>
      <c r="AW1488" s="82">
        <f>($L1488-$F1488)*100</f>
        <v/>
      </c>
      <c r="AX1488" s="82">
        <f>($J1488-$H1488)*100</f>
        <v/>
      </c>
      <c r="AY1488" s="82">
        <f>($L1488-$H1488)*100</f>
        <v/>
      </c>
      <c r="AZ1488" s="82">
        <f>($L1488-$J1488)*100</f>
        <v/>
      </c>
      <c r="BA1488" s="82">
        <f>(2*$H1488-$F1488-$J1488)*100</f>
        <v/>
      </c>
      <c r="BB1488" s="82">
        <f>(2*$J1488-$H1488-$L1488)*100</f>
        <v/>
      </c>
      <c r="BC1488" s="82">
        <f>($N1488-$F1488)*100</f>
        <v/>
      </c>
      <c r="BD1488" s="82">
        <f>($Q1488-$H1488)*100</f>
        <v/>
      </c>
      <c r="BE1488" s="82">
        <f>($S1488-$J1488)*100</f>
        <v/>
      </c>
      <c r="BF1488" s="82">
        <f>($V1488-$L1488)*100</f>
        <v/>
      </c>
      <c r="BG1488" s="82">
        <f>$AG1488-$AF1488</f>
        <v/>
      </c>
      <c r="BH1488" s="81">
        <f>IFERROR($AG1488/$AF1488,"")</f>
        <v/>
      </c>
      <c r="BI1488" s="82">
        <f>$AJ1488-$AF1488</f>
        <v/>
      </c>
      <c r="BJ1488" s="81">
        <f>IFERROR($AJ1488/$AG1488,"")</f>
        <v/>
      </c>
      <c r="BK1488" s="81">
        <f>$X1488</f>
        <v/>
      </c>
      <c r="BL1488" s="82">
        <f>($J1488-$J1489)*100</f>
        <v/>
      </c>
      <c r="BM1488" s="82">
        <f>($F1488-$F1489)*100</f>
        <v/>
      </c>
      <c r="BN1488" s="82">
        <f>$AF1488-$AF1489</f>
        <v/>
      </c>
      <c r="BO1488" s="82">
        <f>$AG1488-$AG1489</f>
        <v/>
      </c>
      <c r="BP1488" s="82">
        <f>$AJ1488-$AJ1489</f>
        <v/>
      </c>
    </row>
    <row r="1489">
      <c r="AR1489" s="81">
        <f>($G1489+($H1489-$G1489)*0.5)+($P1489-($O1489+($Q1489-$O1489)*0.5))</f>
        <v/>
      </c>
      <c r="AS1489" s="81">
        <f>($J1489+($K1489-$J1489)*0.5)+($T1489-($S1489+($U1489-$S1489)*0.5))</f>
        <v/>
      </c>
      <c r="AT1489" s="82">
        <f>($J1489-$C1489)*100</f>
        <v/>
      </c>
      <c r="AU1489" s="82">
        <f>($H1489-$F1489)*100</f>
        <v/>
      </c>
      <c r="AV1489" s="82">
        <f>($J1489-$F1489)*100</f>
        <v/>
      </c>
      <c r="AW1489" s="82">
        <f>($L1489-$F1489)*100</f>
        <v/>
      </c>
      <c r="AX1489" s="82">
        <f>($J1489-$H1489)*100</f>
        <v/>
      </c>
      <c r="AY1489" s="82">
        <f>($L1489-$H1489)*100</f>
        <v/>
      </c>
      <c r="AZ1489" s="82">
        <f>($L1489-$J1489)*100</f>
        <v/>
      </c>
      <c r="BA1489" s="82">
        <f>(2*$H1489-$F1489-$J1489)*100</f>
        <v/>
      </c>
      <c r="BB1489" s="82">
        <f>(2*$J1489-$H1489-$L1489)*100</f>
        <v/>
      </c>
      <c r="BC1489" s="82">
        <f>($N1489-$F1489)*100</f>
        <v/>
      </c>
      <c r="BD1489" s="82">
        <f>($Q1489-$H1489)*100</f>
        <v/>
      </c>
      <c r="BE1489" s="82">
        <f>($S1489-$J1489)*100</f>
        <v/>
      </c>
      <c r="BF1489" s="82">
        <f>($V1489-$L1489)*100</f>
        <v/>
      </c>
      <c r="BG1489" s="82">
        <f>$AG1489-$AF1489</f>
        <v/>
      </c>
      <c r="BH1489" s="81">
        <f>IFERROR($AG1489/$AF1489,"")</f>
        <v/>
      </c>
      <c r="BI1489" s="82">
        <f>$AJ1489-$AF1489</f>
        <v/>
      </c>
      <c r="BJ1489" s="81">
        <f>IFERROR($AJ1489/$AG1489,"")</f>
        <v/>
      </c>
      <c r="BK1489" s="81">
        <f>$X1489</f>
        <v/>
      </c>
      <c r="BL1489" s="82">
        <f>($J1489-$J1490)*100</f>
        <v/>
      </c>
      <c r="BM1489" s="82">
        <f>($F1489-$F1490)*100</f>
        <v/>
      </c>
      <c r="BN1489" s="82">
        <f>$AF1489-$AF1490</f>
        <v/>
      </c>
      <c r="BO1489" s="82">
        <f>$AG1489-$AG1490</f>
        <v/>
      </c>
      <c r="BP1489" s="82">
        <f>$AJ1489-$AJ1490</f>
        <v/>
      </c>
    </row>
    <row r="1490">
      <c r="AR1490" s="81">
        <f>($G1490+($H1490-$G1490)*0.5)+($P1490-($O1490+($Q1490-$O1490)*0.5))</f>
        <v/>
      </c>
      <c r="AS1490" s="81">
        <f>($J1490+($K1490-$J1490)*0.5)+($T1490-($S1490+($U1490-$S1490)*0.5))</f>
        <v/>
      </c>
      <c r="AT1490" s="82">
        <f>($J1490-$C1490)*100</f>
        <v/>
      </c>
      <c r="AU1490" s="82">
        <f>($H1490-$F1490)*100</f>
        <v/>
      </c>
      <c r="AV1490" s="82">
        <f>($J1490-$F1490)*100</f>
        <v/>
      </c>
      <c r="AW1490" s="82">
        <f>($L1490-$F1490)*100</f>
        <v/>
      </c>
      <c r="AX1490" s="82">
        <f>($J1490-$H1490)*100</f>
        <v/>
      </c>
      <c r="AY1490" s="82">
        <f>($L1490-$H1490)*100</f>
        <v/>
      </c>
      <c r="AZ1490" s="82">
        <f>($L1490-$J1490)*100</f>
        <v/>
      </c>
      <c r="BA1490" s="82">
        <f>(2*$H1490-$F1490-$J1490)*100</f>
        <v/>
      </c>
      <c r="BB1490" s="82">
        <f>(2*$J1490-$H1490-$L1490)*100</f>
        <v/>
      </c>
      <c r="BC1490" s="82">
        <f>($N1490-$F1490)*100</f>
        <v/>
      </c>
      <c r="BD1490" s="82">
        <f>($Q1490-$H1490)*100</f>
        <v/>
      </c>
      <c r="BE1490" s="82">
        <f>($S1490-$J1490)*100</f>
        <v/>
      </c>
      <c r="BF1490" s="82">
        <f>($V1490-$L1490)*100</f>
        <v/>
      </c>
      <c r="BG1490" s="82">
        <f>$AG1490-$AF1490</f>
        <v/>
      </c>
      <c r="BH1490" s="81">
        <f>IFERROR($AG1490/$AF1490,"")</f>
        <v/>
      </c>
      <c r="BI1490" s="82">
        <f>$AJ1490-$AF1490</f>
        <v/>
      </c>
      <c r="BJ1490" s="81">
        <f>IFERROR($AJ1490/$AG1490,"")</f>
        <v/>
      </c>
      <c r="BK1490" s="81">
        <f>$X1490</f>
        <v/>
      </c>
      <c r="BL1490" s="82">
        <f>($J1490-$J1491)*100</f>
        <v/>
      </c>
      <c r="BM1490" s="82">
        <f>($F1490-$F1491)*100</f>
        <v/>
      </c>
      <c r="BN1490" s="82">
        <f>$AF1490-$AF1491</f>
        <v/>
      </c>
      <c r="BO1490" s="82">
        <f>$AG1490-$AG1491</f>
        <v/>
      </c>
      <c r="BP1490" s="82">
        <f>$AJ1490-$AJ1491</f>
        <v/>
      </c>
    </row>
    <row r="1491">
      <c r="AR1491" s="81">
        <f>($G1491+($H1491-$G1491)*0.5)+($P1491-($O1491+($Q1491-$O1491)*0.5))</f>
        <v/>
      </c>
      <c r="AS1491" s="81">
        <f>($J1491+($K1491-$J1491)*0.5)+($T1491-($S1491+($U1491-$S1491)*0.5))</f>
        <v/>
      </c>
      <c r="AT1491" s="82">
        <f>($J1491-$C1491)*100</f>
        <v/>
      </c>
      <c r="AU1491" s="82">
        <f>($H1491-$F1491)*100</f>
        <v/>
      </c>
      <c r="AV1491" s="82">
        <f>($J1491-$F1491)*100</f>
        <v/>
      </c>
      <c r="AW1491" s="82">
        <f>($L1491-$F1491)*100</f>
        <v/>
      </c>
      <c r="AX1491" s="82">
        <f>($J1491-$H1491)*100</f>
        <v/>
      </c>
      <c r="AY1491" s="82">
        <f>($L1491-$H1491)*100</f>
        <v/>
      </c>
      <c r="AZ1491" s="82">
        <f>($L1491-$J1491)*100</f>
        <v/>
      </c>
      <c r="BA1491" s="82">
        <f>(2*$H1491-$F1491-$J1491)*100</f>
        <v/>
      </c>
      <c r="BB1491" s="82">
        <f>(2*$J1491-$H1491-$L1491)*100</f>
        <v/>
      </c>
      <c r="BC1491" s="82">
        <f>($N1491-$F1491)*100</f>
        <v/>
      </c>
      <c r="BD1491" s="82">
        <f>($Q1491-$H1491)*100</f>
        <v/>
      </c>
      <c r="BE1491" s="82">
        <f>($S1491-$J1491)*100</f>
        <v/>
      </c>
      <c r="BF1491" s="82">
        <f>($V1491-$L1491)*100</f>
        <v/>
      </c>
      <c r="BG1491" s="82">
        <f>$AG1491-$AF1491</f>
        <v/>
      </c>
      <c r="BH1491" s="81">
        <f>IFERROR($AG1491/$AF1491,"")</f>
        <v/>
      </c>
      <c r="BI1491" s="82">
        <f>$AJ1491-$AF1491</f>
        <v/>
      </c>
      <c r="BJ1491" s="81">
        <f>IFERROR($AJ1491/$AG1491,"")</f>
        <v/>
      </c>
      <c r="BK1491" s="81">
        <f>$X1491</f>
        <v/>
      </c>
      <c r="BL1491" s="82">
        <f>($J1491-$J1492)*100</f>
        <v/>
      </c>
      <c r="BM1491" s="82">
        <f>($F1491-$F1492)*100</f>
        <v/>
      </c>
      <c r="BN1491" s="82">
        <f>$AF1491-$AF1492</f>
        <v/>
      </c>
      <c r="BO1491" s="82">
        <f>$AG1491-$AG1492</f>
        <v/>
      </c>
      <c r="BP1491" s="82">
        <f>$AJ1491-$AJ1492</f>
        <v/>
      </c>
    </row>
    <row r="1492">
      <c r="AR1492" s="81">
        <f>($G1492+($H1492-$G1492)*0.5)+($P1492-($O1492+($Q1492-$O1492)*0.5))</f>
        <v/>
      </c>
      <c r="AS1492" s="81">
        <f>($J1492+($K1492-$J1492)*0.5)+($T1492-($S1492+($U1492-$S1492)*0.5))</f>
        <v/>
      </c>
      <c r="AT1492" s="82">
        <f>($J1492-$C1492)*100</f>
        <v/>
      </c>
      <c r="AU1492" s="82">
        <f>($H1492-$F1492)*100</f>
        <v/>
      </c>
      <c r="AV1492" s="82">
        <f>($J1492-$F1492)*100</f>
        <v/>
      </c>
      <c r="AW1492" s="82">
        <f>($L1492-$F1492)*100</f>
        <v/>
      </c>
      <c r="AX1492" s="82">
        <f>($J1492-$H1492)*100</f>
        <v/>
      </c>
      <c r="AY1492" s="82">
        <f>($L1492-$H1492)*100</f>
        <v/>
      </c>
      <c r="AZ1492" s="82">
        <f>($L1492-$J1492)*100</f>
        <v/>
      </c>
      <c r="BA1492" s="82">
        <f>(2*$H1492-$F1492-$J1492)*100</f>
        <v/>
      </c>
      <c r="BB1492" s="82">
        <f>(2*$J1492-$H1492-$L1492)*100</f>
        <v/>
      </c>
      <c r="BC1492" s="82">
        <f>($N1492-$F1492)*100</f>
        <v/>
      </c>
      <c r="BD1492" s="82">
        <f>($Q1492-$H1492)*100</f>
        <v/>
      </c>
      <c r="BE1492" s="82">
        <f>($S1492-$J1492)*100</f>
        <v/>
      </c>
      <c r="BF1492" s="82">
        <f>($V1492-$L1492)*100</f>
        <v/>
      </c>
      <c r="BG1492" s="82">
        <f>$AG1492-$AF1492</f>
        <v/>
      </c>
      <c r="BH1492" s="81">
        <f>IFERROR($AG1492/$AF1492,"")</f>
        <v/>
      </c>
      <c r="BI1492" s="82">
        <f>$AJ1492-$AF1492</f>
        <v/>
      </c>
      <c r="BJ1492" s="81">
        <f>IFERROR($AJ1492/$AG1492,"")</f>
        <v/>
      </c>
      <c r="BK1492" s="81">
        <f>$X1492</f>
        <v/>
      </c>
      <c r="BL1492" s="82">
        <f>($J1492-$J1493)*100</f>
        <v/>
      </c>
      <c r="BM1492" s="82">
        <f>($F1492-$F1493)*100</f>
        <v/>
      </c>
      <c r="BN1492" s="82">
        <f>$AF1492-$AF1493</f>
        <v/>
      </c>
      <c r="BO1492" s="82">
        <f>$AG1492-$AG1493</f>
        <v/>
      </c>
      <c r="BP1492" s="82">
        <f>$AJ1492-$AJ1493</f>
        <v/>
      </c>
    </row>
    <row r="1493">
      <c r="AR1493" s="81">
        <f>($G1493+($H1493-$G1493)*0.5)+($P1493-($O1493+($Q1493-$O1493)*0.5))</f>
        <v/>
      </c>
      <c r="AS1493" s="81">
        <f>($J1493+($K1493-$J1493)*0.5)+($T1493-($S1493+($U1493-$S1493)*0.5))</f>
        <v/>
      </c>
      <c r="AT1493" s="82">
        <f>($J1493-$C1493)*100</f>
        <v/>
      </c>
      <c r="AU1493" s="82">
        <f>($H1493-$F1493)*100</f>
        <v/>
      </c>
      <c r="AV1493" s="82">
        <f>($J1493-$F1493)*100</f>
        <v/>
      </c>
      <c r="AW1493" s="82">
        <f>($L1493-$F1493)*100</f>
        <v/>
      </c>
      <c r="AX1493" s="82">
        <f>($J1493-$H1493)*100</f>
        <v/>
      </c>
      <c r="AY1493" s="82">
        <f>($L1493-$H1493)*100</f>
        <v/>
      </c>
      <c r="AZ1493" s="82">
        <f>($L1493-$J1493)*100</f>
        <v/>
      </c>
      <c r="BA1493" s="82">
        <f>(2*$H1493-$F1493-$J1493)*100</f>
        <v/>
      </c>
      <c r="BB1493" s="82">
        <f>(2*$J1493-$H1493-$L1493)*100</f>
        <v/>
      </c>
      <c r="BC1493" s="82">
        <f>($N1493-$F1493)*100</f>
        <v/>
      </c>
      <c r="BD1493" s="82">
        <f>($Q1493-$H1493)*100</f>
        <v/>
      </c>
      <c r="BE1493" s="82">
        <f>($S1493-$J1493)*100</f>
        <v/>
      </c>
      <c r="BF1493" s="82">
        <f>($V1493-$L1493)*100</f>
        <v/>
      </c>
      <c r="BG1493" s="82">
        <f>$AG1493-$AF1493</f>
        <v/>
      </c>
      <c r="BH1493" s="81">
        <f>IFERROR($AG1493/$AF1493,"")</f>
        <v/>
      </c>
      <c r="BI1493" s="82">
        <f>$AJ1493-$AF1493</f>
        <v/>
      </c>
      <c r="BJ1493" s="81">
        <f>IFERROR($AJ1493/$AG1493,"")</f>
        <v/>
      </c>
      <c r="BK1493" s="81">
        <f>$X1493</f>
        <v/>
      </c>
      <c r="BL1493" s="82">
        <f>($J1493-$J1494)*100</f>
        <v/>
      </c>
      <c r="BM1493" s="82">
        <f>($F1493-$F1494)*100</f>
        <v/>
      </c>
      <c r="BN1493" s="82">
        <f>$AF1493-$AF1494</f>
        <v/>
      </c>
      <c r="BO1493" s="82">
        <f>$AG1493-$AG1494</f>
        <v/>
      </c>
      <c r="BP1493" s="82">
        <f>$AJ1493-$AJ1494</f>
        <v/>
      </c>
    </row>
    <row r="1494">
      <c r="AR1494" s="81">
        <f>($G1494+($H1494-$G1494)*0.5)+($P1494-($O1494+($Q1494-$O1494)*0.5))</f>
        <v/>
      </c>
      <c r="AS1494" s="81">
        <f>($J1494+($K1494-$J1494)*0.5)+($T1494-($S1494+($U1494-$S1494)*0.5))</f>
        <v/>
      </c>
      <c r="AT1494" s="82">
        <f>($J1494-$C1494)*100</f>
        <v/>
      </c>
      <c r="AU1494" s="82">
        <f>($H1494-$F1494)*100</f>
        <v/>
      </c>
      <c r="AV1494" s="82">
        <f>($J1494-$F1494)*100</f>
        <v/>
      </c>
      <c r="AW1494" s="82">
        <f>($L1494-$F1494)*100</f>
        <v/>
      </c>
      <c r="AX1494" s="82">
        <f>($J1494-$H1494)*100</f>
        <v/>
      </c>
      <c r="AY1494" s="82">
        <f>($L1494-$H1494)*100</f>
        <v/>
      </c>
      <c r="AZ1494" s="82">
        <f>($L1494-$J1494)*100</f>
        <v/>
      </c>
      <c r="BA1494" s="82">
        <f>(2*$H1494-$F1494-$J1494)*100</f>
        <v/>
      </c>
      <c r="BB1494" s="82">
        <f>(2*$J1494-$H1494-$L1494)*100</f>
        <v/>
      </c>
      <c r="BC1494" s="82">
        <f>($N1494-$F1494)*100</f>
        <v/>
      </c>
      <c r="BD1494" s="82">
        <f>($Q1494-$H1494)*100</f>
        <v/>
      </c>
      <c r="BE1494" s="82">
        <f>($S1494-$J1494)*100</f>
        <v/>
      </c>
      <c r="BF1494" s="82">
        <f>($V1494-$L1494)*100</f>
        <v/>
      </c>
      <c r="BG1494" s="82">
        <f>$AG1494-$AF1494</f>
        <v/>
      </c>
      <c r="BH1494" s="81">
        <f>IFERROR($AG1494/$AF1494,"")</f>
        <v/>
      </c>
      <c r="BI1494" s="82">
        <f>$AJ1494-$AF1494</f>
        <v/>
      </c>
      <c r="BJ1494" s="81">
        <f>IFERROR($AJ1494/$AG1494,"")</f>
        <v/>
      </c>
      <c r="BK1494" s="81">
        <f>$X1494</f>
        <v/>
      </c>
      <c r="BL1494" s="82">
        <f>($J1494-$J1495)*100</f>
        <v/>
      </c>
      <c r="BM1494" s="82">
        <f>($F1494-$F1495)*100</f>
        <v/>
      </c>
      <c r="BN1494" s="82">
        <f>$AF1494-$AF1495</f>
        <v/>
      </c>
      <c r="BO1494" s="82">
        <f>$AG1494-$AG1495</f>
        <v/>
      </c>
      <c r="BP1494" s="82">
        <f>$AJ1494-$AJ1495</f>
        <v/>
      </c>
    </row>
    <row r="1495">
      <c r="AR1495" s="81">
        <f>($G1495+($H1495-$G1495)*0.5)+($P1495-($O1495+($Q1495-$O1495)*0.5))</f>
        <v/>
      </c>
      <c r="AS1495" s="81">
        <f>($J1495+($K1495-$J1495)*0.5)+($T1495-($S1495+($U1495-$S1495)*0.5))</f>
        <v/>
      </c>
      <c r="AT1495" s="82">
        <f>($J1495-$C1495)*100</f>
        <v/>
      </c>
      <c r="AU1495" s="82">
        <f>($H1495-$F1495)*100</f>
        <v/>
      </c>
      <c r="AV1495" s="82">
        <f>($J1495-$F1495)*100</f>
        <v/>
      </c>
      <c r="AW1495" s="82">
        <f>($L1495-$F1495)*100</f>
        <v/>
      </c>
      <c r="AX1495" s="82">
        <f>($J1495-$H1495)*100</f>
        <v/>
      </c>
      <c r="AY1495" s="82">
        <f>($L1495-$H1495)*100</f>
        <v/>
      </c>
      <c r="AZ1495" s="82">
        <f>($L1495-$J1495)*100</f>
        <v/>
      </c>
      <c r="BA1495" s="82">
        <f>(2*$H1495-$F1495-$J1495)*100</f>
        <v/>
      </c>
      <c r="BB1495" s="82">
        <f>(2*$J1495-$H1495-$L1495)*100</f>
        <v/>
      </c>
      <c r="BC1495" s="82">
        <f>($N1495-$F1495)*100</f>
        <v/>
      </c>
      <c r="BD1495" s="82">
        <f>($Q1495-$H1495)*100</f>
        <v/>
      </c>
      <c r="BE1495" s="82">
        <f>($S1495-$J1495)*100</f>
        <v/>
      </c>
      <c r="BF1495" s="82">
        <f>($V1495-$L1495)*100</f>
        <v/>
      </c>
      <c r="BG1495" s="82">
        <f>$AG1495-$AF1495</f>
        <v/>
      </c>
      <c r="BH1495" s="81">
        <f>IFERROR($AG1495/$AF1495,"")</f>
        <v/>
      </c>
      <c r="BI1495" s="82">
        <f>$AJ1495-$AF1495</f>
        <v/>
      </c>
      <c r="BJ1495" s="81">
        <f>IFERROR($AJ1495/$AG1495,"")</f>
        <v/>
      </c>
      <c r="BK1495" s="81">
        <f>$X1495</f>
        <v/>
      </c>
      <c r="BL1495" s="82">
        <f>($J1495-$J1496)*100</f>
        <v/>
      </c>
      <c r="BM1495" s="82">
        <f>($F1495-$F1496)*100</f>
        <v/>
      </c>
      <c r="BN1495" s="82">
        <f>$AF1495-$AF1496</f>
        <v/>
      </c>
      <c r="BO1495" s="82">
        <f>$AG1495-$AG1496</f>
        <v/>
      </c>
      <c r="BP1495" s="82">
        <f>$AJ1495-$AJ1496</f>
        <v/>
      </c>
    </row>
    <row r="1496">
      <c r="AR1496" s="81">
        <f>($G1496+($H1496-$G1496)*0.5)+($P1496-($O1496+($Q1496-$O1496)*0.5))</f>
        <v/>
      </c>
      <c r="AS1496" s="81">
        <f>($J1496+($K1496-$J1496)*0.5)+($T1496-($S1496+($U1496-$S1496)*0.5))</f>
        <v/>
      </c>
      <c r="AT1496" s="82">
        <f>($J1496-$C1496)*100</f>
        <v/>
      </c>
      <c r="AU1496" s="82">
        <f>($H1496-$F1496)*100</f>
        <v/>
      </c>
      <c r="AV1496" s="82">
        <f>($J1496-$F1496)*100</f>
        <v/>
      </c>
      <c r="AW1496" s="82">
        <f>($L1496-$F1496)*100</f>
        <v/>
      </c>
      <c r="AX1496" s="82">
        <f>($J1496-$H1496)*100</f>
        <v/>
      </c>
      <c r="AY1496" s="82">
        <f>($L1496-$H1496)*100</f>
        <v/>
      </c>
      <c r="AZ1496" s="82">
        <f>($L1496-$J1496)*100</f>
        <v/>
      </c>
      <c r="BA1496" s="82">
        <f>(2*$H1496-$F1496-$J1496)*100</f>
        <v/>
      </c>
      <c r="BB1496" s="82">
        <f>(2*$J1496-$H1496-$L1496)*100</f>
        <v/>
      </c>
      <c r="BC1496" s="82">
        <f>($N1496-$F1496)*100</f>
        <v/>
      </c>
      <c r="BD1496" s="82">
        <f>($Q1496-$H1496)*100</f>
        <v/>
      </c>
      <c r="BE1496" s="82">
        <f>($S1496-$J1496)*100</f>
        <v/>
      </c>
      <c r="BF1496" s="82">
        <f>($V1496-$L1496)*100</f>
        <v/>
      </c>
      <c r="BG1496" s="82">
        <f>$AG1496-$AF1496</f>
        <v/>
      </c>
      <c r="BH1496" s="81">
        <f>IFERROR($AG1496/$AF1496,"")</f>
        <v/>
      </c>
      <c r="BI1496" s="82">
        <f>$AJ1496-$AF1496</f>
        <v/>
      </c>
      <c r="BJ1496" s="81">
        <f>IFERROR($AJ1496/$AG1496,"")</f>
        <v/>
      </c>
      <c r="BK1496" s="81">
        <f>$X1496</f>
        <v/>
      </c>
      <c r="BL1496" s="82">
        <f>($J1496-$J1497)*100</f>
        <v/>
      </c>
      <c r="BM1496" s="82">
        <f>($F1496-$F1497)*100</f>
        <v/>
      </c>
      <c r="BN1496" s="82">
        <f>$AF1496-$AF1497</f>
        <v/>
      </c>
      <c r="BO1496" s="82">
        <f>$AG1496-$AG1497</f>
        <v/>
      </c>
      <c r="BP1496" s="82">
        <f>$AJ1496-$AJ1497</f>
        <v/>
      </c>
    </row>
    <row r="1497">
      <c r="AR1497" s="81">
        <f>($G1497+($H1497-$G1497)*0.5)+($P1497-($O1497+($Q1497-$O1497)*0.5))</f>
        <v/>
      </c>
      <c r="AS1497" s="81">
        <f>($J1497+($K1497-$J1497)*0.5)+($T1497-($S1497+($U1497-$S1497)*0.5))</f>
        <v/>
      </c>
      <c r="AT1497" s="82">
        <f>($J1497-$C1497)*100</f>
        <v/>
      </c>
      <c r="AU1497" s="82">
        <f>($H1497-$F1497)*100</f>
        <v/>
      </c>
      <c r="AV1497" s="82">
        <f>($J1497-$F1497)*100</f>
        <v/>
      </c>
      <c r="AW1497" s="82">
        <f>($L1497-$F1497)*100</f>
        <v/>
      </c>
      <c r="AX1497" s="82">
        <f>($J1497-$H1497)*100</f>
        <v/>
      </c>
      <c r="AY1497" s="82">
        <f>($L1497-$H1497)*100</f>
        <v/>
      </c>
      <c r="AZ1497" s="82">
        <f>($L1497-$J1497)*100</f>
        <v/>
      </c>
      <c r="BA1497" s="82">
        <f>(2*$H1497-$F1497-$J1497)*100</f>
        <v/>
      </c>
      <c r="BB1497" s="82">
        <f>(2*$J1497-$H1497-$L1497)*100</f>
        <v/>
      </c>
      <c r="BC1497" s="82">
        <f>($N1497-$F1497)*100</f>
        <v/>
      </c>
      <c r="BD1497" s="82">
        <f>($Q1497-$H1497)*100</f>
        <v/>
      </c>
      <c r="BE1497" s="82">
        <f>($S1497-$J1497)*100</f>
        <v/>
      </c>
      <c r="BF1497" s="82">
        <f>($V1497-$L1497)*100</f>
        <v/>
      </c>
      <c r="BG1497" s="82">
        <f>$AG1497-$AF1497</f>
        <v/>
      </c>
      <c r="BH1497" s="81">
        <f>IFERROR($AG1497/$AF1497,"")</f>
        <v/>
      </c>
      <c r="BI1497" s="82">
        <f>$AJ1497-$AF1497</f>
        <v/>
      </c>
      <c r="BJ1497" s="81">
        <f>IFERROR($AJ1497/$AG1497,"")</f>
        <v/>
      </c>
      <c r="BK1497" s="81">
        <f>$X1497</f>
        <v/>
      </c>
      <c r="BL1497" s="82">
        <f>($J1497-$J1498)*100</f>
        <v/>
      </c>
      <c r="BM1497" s="82">
        <f>($F1497-$F1498)*100</f>
        <v/>
      </c>
      <c r="BN1497" s="82">
        <f>$AF1497-$AF1498</f>
        <v/>
      </c>
      <c r="BO1497" s="82">
        <f>$AG1497-$AG1498</f>
        <v/>
      </c>
      <c r="BP1497" s="82">
        <f>$AJ1497-$AJ1498</f>
        <v/>
      </c>
    </row>
    <row r="1498">
      <c r="AR1498" s="81">
        <f>($G1498+($H1498-$G1498)*0.5)+($P1498-($O1498+($Q1498-$O1498)*0.5))</f>
        <v/>
      </c>
      <c r="AS1498" s="81">
        <f>($J1498+($K1498-$J1498)*0.5)+($T1498-($S1498+($U1498-$S1498)*0.5))</f>
        <v/>
      </c>
      <c r="AT1498" s="82">
        <f>($J1498-$C1498)*100</f>
        <v/>
      </c>
      <c r="AU1498" s="82">
        <f>($H1498-$F1498)*100</f>
        <v/>
      </c>
      <c r="AV1498" s="82">
        <f>($J1498-$F1498)*100</f>
        <v/>
      </c>
      <c r="AW1498" s="82">
        <f>($L1498-$F1498)*100</f>
        <v/>
      </c>
      <c r="AX1498" s="82">
        <f>($J1498-$H1498)*100</f>
        <v/>
      </c>
      <c r="AY1498" s="82">
        <f>($L1498-$H1498)*100</f>
        <v/>
      </c>
      <c r="AZ1498" s="82">
        <f>($L1498-$J1498)*100</f>
        <v/>
      </c>
      <c r="BA1498" s="82">
        <f>(2*$H1498-$F1498-$J1498)*100</f>
        <v/>
      </c>
      <c r="BB1498" s="82">
        <f>(2*$J1498-$H1498-$L1498)*100</f>
        <v/>
      </c>
      <c r="BC1498" s="82">
        <f>($N1498-$F1498)*100</f>
        <v/>
      </c>
      <c r="BD1498" s="82">
        <f>($Q1498-$H1498)*100</f>
        <v/>
      </c>
      <c r="BE1498" s="82">
        <f>($S1498-$J1498)*100</f>
        <v/>
      </c>
      <c r="BF1498" s="82">
        <f>($V1498-$L1498)*100</f>
        <v/>
      </c>
      <c r="BG1498" s="82">
        <f>$AG1498-$AF1498</f>
        <v/>
      </c>
      <c r="BH1498" s="81">
        <f>IFERROR($AG1498/$AF1498,"")</f>
        <v/>
      </c>
      <c r="BI1498" s="82">
        <f>$AJ1498-$AF1498</f>
        <v/>
      </c>
      <c r="BJ1498" s="81">
        <f>IFERROR($AJ1498/$AG1498,"")</f>
        <v/>
      </c>
      <c r="BK1498" s="81">
        <f>$X1498</f>
        <v/>
      </c>
      <c r="BL1498" s="82">
        <f>($J1498-$J1499)*100</f>
        <v/>
      </c>
      <c r="BM1498" s="82">
        <f>($F1498-$F1499)*100</f>
        <v/>
      </c>
      <c r="BN1498" s="82">
        <f>$AF1498-$AF1499</f>
        <v/>
      </c>
      <c r="BO1498" s="82">
        <f>$AG1498-$AG1499</f>
        <v/>
      </c>
      <c r="BP1498" s="82">
        <f>$AJ1498-$AJ1499</f>
        <v/>
      </c>
    </row>
    <row r="1499">
      <c r="AR1499" s="81">
        <f>($G1499+($H1499-$G1499)*0.5)+($P1499-($O1499+($Q1499-$O1499)*0.5))</f>
        <v/>
      </c>
      <c r="AS1499" s="81">
        <f>($J1499+($K1499-$J1499)*0.5)+($T1499-($S1499+($U1499-$S1499)*0.5))</f>
        <v/>
      </c>
      <c r="AT1499" s="82">
        <f>($J1499-$C1499)*100</f>
        <v/>
      </c>
      <c r="AU1499" s="82">
        <f>($H1499-$F1499)*100</f>
        <v/>
      </c>
      <c r="AV1499" s="82">
        <f>($J1499-$F1499)*100</f>
        <v/>
      </c>
      <c r="AW1499" s="82">
        <f>($L1499-$F1499)*100</f>
        <v/>
      </c>
      <c r="AX1499" s="82">
        <f>($J1499-$H1499)*100</f>
        <v/>
      </c>
      <c r="AY1499" s="82">
        <f>($L1499-$H1499)*100</f>
        <v/>
      </c>
      <c r="AZ1499" s="82">
        <f>($L1499-$J1499)*100</f>
        <v/>
      </c>
      <c r="BA1499" s="82">
        <f>(2*$H1499-$F1499-$J1499)*100</f>
        <v/>
      </c>
      <c r="BB1499" s="82">
        <f>(2*$J1499-$H1499-$L1499)*100</f>
        <v/>
      </c>
      <c r="BC1499" s="82">
        <f>($N1499-$F1499)*100</f>
        <v/>
      </c>
      <c r="BD1499" s="82">
        <f>($Q1499-$H1499)*100</f>
        <v/>
      </c>
      <c r="BE1499" s="82">
        <f>($S1499-$J1499)*100</f>
        <v/>
      </c>
      <c r="BF1499" s="82">
        <f>($V1499-$L1499)*100</f>
        <v/>
      </c>
      <c r="BG1499" s="82">
        <f>$AG1499-$AF1499</f>
        <v/>
      </c>
      <c r="BH1499" s="81">
        <f>IFERROR($AG1499/$AF1499,"")</f>
        <v/>
      </c>
      <c r="BI1499" s="82">
        <f>$AJ1499-$AF1499</f>
        <v/>
      </c>
      <c r="BJ1499" s="81">
        <f>IFERROR($AJ1499/$AG1499,"")</f>
        <v/>
      </c>
      <c r="BK1499" s="81">
        <f>$X1499</f>
        <v/>
      </c>
      <c r="BL1499" s="82">
        <f>($J1499-$J1500)*100</f>
        <v/>
      </c>
      <c r="BM1499" s="82">
        <f>($F1499-$F1500)*100</f>
        <v/>
      </c>
      <c r="BN1499" s="82">
        <f>$AF1499-$AF1500</f>
        <v/>
      </c>
      <c r="BO1499" s="82">
        <f>$AG1499-$AG1500</f>
        <v/>
      </c>
      <c r="BP1499" s="82">
        <f>$AJ1499-$AJ1500</f>
        <v/>
      </c>
    </row>
    <row r="1500">
      <c r="AR1500" s="81">
        <f>($G1500+($H1500-$G1500)*0.5)+($P1500-($O1500+($Q1500-$O1500)*0.5))</f>
        <v/>
      </c>
      <c r="AS1500" s="81">
        <f>($J1500+($K1500-$J1500)*0.5)+($T1500-($S1500+($U1500-$S1500)*0.5))</f>
        <v/>
      </c>
      <c r="AT1500" s="82">
        <f>($J1500-$C1500)*100</f>
        <v/>
      </c>
      <c r="AU1500" s="82">
        <f>($H1500-$F1500)*100</f>
        <v/>
      </c>
      <c r="AV1500" s="82">
        <f>($J1500-$F1500)*100</f>
        <v/>
      </c>
      <c r="AW1500" s="82">
        <f>($L1500-$F1500)*100</f>
        <v/>
      </c>
      <c r="AX1500" s="82">
        <f>($J1500-$H1500)*100</f>
        <v/>
      </c>
      <c r="AY1500" s="82">
        <f>($L1500-$H1500)*100</f>
        <v/>
      </c>
      <c r="AZ1500" s="82">
        <f>($L1500-$J1500)*100</f>
        <v/>
      </c>
      <c r="BA1500" s="82">
        <f>(2*$H1500-$F1500-$J1500)*100</f>
        <v/>
      </c>
      <c r="BB1500" s="82">
        <f>(2*$J1500-$H1500-$L1500)*100</f>
        <v/>
      </c>
      <c r="BC1500" s="82">
        <f>($N1500-$F1500)*100</f>
        <v/>
      </c>
      <c r="BD1500" s="82">
        <f>($Q1500-$H1500)*100</f>
        <v/>
      </c>
      <c r="BE1500" s="82">
        <f>($S1500-$J1500)*100</f>
        <v/>
      </c>
      <c r="BF1500" s="82">
        <f>($V1500-$L1500)*100</f>
        <v/>
      </c>
      <c r="BG1500" s="82">
        <f>$AG1500-$AF1500</f>
        <v/>
      </c>
      <c r="BH1500" s="81">
        <f>IFERROR($AG1500/$AF1500,"")</f>
        <v/>
      </c>
      <c r="BI1500" s="82">
        <f>$AJ1500-$AF1500</f>
        <v/>
      </c>
      <c r="BJ1500" s="81">
        <f>IFERROR($AJ1500/$AG1500,"")</f>
        <v/>
      </c>
      <c r="BK1500" s="81">
        <f>$X1500</f>
        <v/>
      </c>
      <c r="BL1500" s="82">
        <f>($J1500-$J1501)*100</f>
        <v/>
      </c>
      <c r="BM1500" s="82">
        <f>($F1500-$F1501)*100</f>
        <v/>
      </c>
      <c r="BN1500" s="82">
        <f>$AF1500-$AF1501</f>
        <v/>
      </c>
      <c r="BO1500" s="82">
        <f>$AG1500-$AG1501</f>
        <v/>
      </c>
      <c r="BP1500" s="82">
        <f>$AJ1500-$AJ1501</f>
        <v/>
      </c>
    </row>
    <row r="1501">
      <c r="AR1501" s="81">
        <f>($G1501+($H1501-$G1501)*0.5)+($P1501-($O1501+($Q1501-$O1501)*0.5))</f>
        <v/>
      </c>
      <c r="AS1501" s="81">
        <f>($J1501+($K1501-$J1501)*0.5)+($T1501-($S1501+($U1501-$S1501)*0.5))</f>
        <v/>
      </c>
      <c r="AT1501" s="82">
        <f>($J1501-$C1501)*100</f>
        <v/>
      </c>
      <c r="AU1501" s="82">
        <f>($H1501-$F1501)*100</f>
        <v/>
      </c>
      <c r="AV1501" s="82">
        <f>($J1501-$F1501)*100</f>
        <v/>
      </c>
      <c r="AW1501" s="82">
        <f>($L1501-$F1501)*100</f>
        <v/>
      </c>
      <c r="AX1501" s="82">
        <f>($J1501-$H1501)*100</f>
        <v/>
      </c>
      <c r="AY1501" s="82">
        <f>($L1501-$H1501)*100</f>
        <v/>
      </c>
      <c r="AZ1501" s="82">
        <f>($L1501-$J1501)*100</f>
        <v/>
      </c>
      <c r="BA1501" s="82">
        <f>(2*$H1501-$F1501-$J1501)*100</f>
        <v/>
      </c>
      <c r="BB1501" s="82">
        <f>(2*$J1501-$H1501-$L1501)*100</f>
        <v/>
      </c>
      <c r="BC1501" s="82">
        <f>($N1501-$F1501)*100</f>
        <v/>
      </c>
      <c r="BD1501" s="82">
        <f>($Q1501-$H1501)*100</f>
        <v/>
      </c>
      <c r="BE1501" s="82">
        <f>($S1501-$J1501)*100</f>
        <v/>
      </c>
      <c r="BF1501" s="82">
        <f>($V1501-$L1501)*100</f>
        <v/>
      </c>
      <c r="BG1501" s="82">
        <f>$AG1501-$AF1501</f>
        <v/>
      </c>
      <c r="BH1501" s="81">
        <f>IFERROR($AG1501/$AF1501,"")</f>
        <v/>
      </c>
      <c r="BI1501" s="82">
        <f>$AJ1501-$AF1501</f>
        <v/>
      </c>
      <c r="BJ1501" s="81">
        <f>IFERROR($AJ1501/$AG1501,"")</f>
        <v/>
      </c>
      <c r="BK1501" s="81">
        <f>$X1501</f>
        <v/>
      </c>
      <c r="BL1501" s="82">
        <f>($J1501-$J1502)*100</f>
        <v/>
      </c>
      <c r="BM1501" s="82">
        <f>($F1501-$F1502)*100</f>
        <v/>
      </c>
      <c r="BN1501" s="82">
        <f>$AF1501-$AF1502</f>
        <v/>
      </c>
      <c r="BO1501" s="82">
        <f>$AG1501-$AG1502</f>
        <v/>
      </c>
      <c r="BP1501" s="82">
        <f>$AJ1501-$AJ1502</f>
        <v/>
      </c>
    </row>
    <row r="1502">
      <c r="AR1502" s="81">
        <f>($G1502+($H1502-$G1502)*0.5)+($P1502-($O1502+($Q1502-$O1502)*0.5))</f>
        <v/>
      </c>
      <c r="AS1502" s="81">
        <f>($J1502+($K1502-$J1502)*0.5)+($T1502-($S1502+($U1502-$S1502)*0.5))</f>
        <v/>
      </c>
      <c r="AT1502" s="82">
        <f>($J1502-$C1502)*100</f>
        <v/>
      </c>
      <c r="AU1502" s="82">
        <f>($H1502-$F1502)*100</f>
        <v/>
      </c>
      <c r="AV1502" s="82">
        <f>($J1502-$F1502)*100</f>
        <v/>
      </c>
      <c r="AW1502" s="82">
        <f>($L1502-$F1502)*100</f>
        <v/>
      </c>
      <c r="AX1502" s="82">
        <f>($J1502-$H1502)*100</f>
        <v/>
      </c>
      <c r="AY1502" s="82">
        <f>($L1502-$H1502)*100</f>
        <v/>
      </c>
      <c r="AZ1502" s="82">
        <f>($L1502-$J1502)*100</f>
        <v/>
      </c>
      <c r="BA1502" s="82">
        <f>(2*$H1502-$F1502-$J1502)*100</f>
        <v/>
      </c>
      <c r="BB1502" s="82">
        <f>(2*$J1502-$H1502-$L1502)*100</f>
        <v/>
      </c>
      <c r="BC1502" s="82">
        <f>($N1502-$F1502)*100</f>
        <v/>
      </c>
      <c r="BD1502" s="82">
        <f>($Q1502-$H1502)*100</f>
        <v/>
      </c>
      <c r="BE1502" s="82">
        <f>($S1502-$J1502)*100</f>
        <v/>
      </c>
      <c r="BF1502" s="82">
        <f>($V1502-$L1502)*100</f>
        <v/>
      </c>
      <c r="BG1502" s="82">
        <f>$AG1502-$AF1502</f>
        <v/>
      </c>
      <c r="BH1502" s="81">
        <f>IFERROR($AG1502/$AF1502,"")</f>
        <v/>
      </c>
      <c r="BI1502" s="82">
        <f>$AJ1502-$AF1502</f>
        <v/>
      </c>
      <c r="BJ1502" s="81">
        <f>IFERROR($AJ1502/$AG1502,"")</f>
        <v/>
      </c>
      <c r="BK1502" s="81">
        <f>$X1502</f>
        <v/>
      </c>
      <c r="BL1502" s="82">
        <f>($J1502-$J1503)*100</f>
        <v/>
      </c>
      <c r="BM1502" s="82">
        <f>($F1502-$F1503)*100</f>
        <v/>
      </c>
      <c r="BN1502" s="82">
        <f>$AF1502-$AF1503</f>
        <v/>
      </c>
      <c r="BO1502" s="82">
        <f>$AG1502-$AG1503</f>
        <v/>
      </c>
      <c r="BP1502" s="82">
        <f>$AJ1502-$AJ1503</f>
        <v/>
      </c>
    </row>
    <row r="1503">
      <c r="AR1503" s="81">
        <f>($G1503+($H1503-$G1503)*0.5)+($P1503-($O1503+($Q1503-$O1503)*0.5))</f>
        <v/>
      </c>
      <c r="AS1503" s="81">
        <f>($J1503+($K1503-$J1503)*0.5)+($T1503-($S1503+($U1503-$S1503)*0.5))</f>
        <v/>
      </c>
      <c r="AT1503" s="82">
        <f>($J1503-$C1503)*100</f>
        <v/>
      </c>
      <c r="AU1503" s="82">
        <f>($H1503-$F1503)*100</f>
        <v/>
      </c>
      <c r="AV1503" s="82">
        <f>($J1503-$F1503)*100</f>
        <v/>
      </c>
      <c r="AW1503" s="82">
        <f>($L1503-$F1503)*100</f>
        <v/>
      </c>
      <c r="AX1503" s="82">
        <f>($J1503-$H1503)*100</f>
        <v/>
      </c>
      <c r="AY1503" s="82">
        <f>($L1503-$H1503)*100</f>
        <v/>
      </c>
      <c r="AZ1503" s="82">
        <f>($L1503-$J1503)*100</f>
        <v/>
      </c>
      <c r="BA1503" s="82">
        <f>(2*$H1503-$F1503-$J1503)*100</f>
        <v/>
      </c>
      <c r="BB1503" s="82">
        <f>(2*$J1503-$H1503-$L1503)*100</f>
        <v/>
      </c>
      <c r="BC1503" s="82">
        <f>($N1503-$F1503)*100</f>
        <v/>
      </c>
      <c r="BD1503" s="82">
        <f>($Q1503-$H1503)*100</f>
        <v/>
      </c>
      <c r="BE1503" s="82">
        <f>($S1503-$J1503)*100</f>
        <v/>
      </c>
      <c r="BF1503" s="82">
        <f>($V1503-$L1503)*100</f>
        <v/>
      </c>
      <c r="BG1503" s="82">
        <f>$AG1503-$AF1503</f>
        <v/>
      </c>
      <c r="BH1503" s="81">
        <f>IFERROR($AG1503/$AF1503,"")</f>
        <v/>
      </c>
      <c r="BI1503" s="82">
        <f>$AJ1503-$AF1503</f>
        <v/>
      </c>
      <c r="BJ1503" s="81">
        <f>IFERROR($AJ1503/$AG1503,"")</f>
        <v/>
      </c>
      <c r="BK1503" s="81">
        <f>$X1503</f>
        <v/>
      </c>
      <c r="BL1503" s="82">
        <f>($J1503-$J1504)*100</f>
        <v/>
      </c>
      <c r="BM1503" s="82">
        <f>($F1503-$F1504)*100</f>
        <v/>
      </c>
      <c r="BN1503" s="82">
        <f>$AF1503-$AF1504</f>
        <v/>
      </c>
      <c r="BO1503" s="82">
        <f>$AG1503-$AG1504</f>
        <v/>
      </c>
      <c r="BP1503" s="82">
        <f>$AJ1503-$AJ1504</f>
        <v/>
      </c>
    </row>
    <row r="1504">
      <c r="AR1504" s="81">
        <f>($G1504+($H1504-$G1504)*0.5)+($P1504-($O1504+($Q1504-$O1504)*0.5))</f>
        <v/>
      </c>
      <c r="AS1504" s="81">
        <f>($J1504+($K1504-$J1504)*0.5)+($T1504-($S1504+($U1504-$S1504)*0.5))</f>
        <v/>
      </c>
      <c r="AT1504" s="82">
        <f>($J1504-$C1504)*100</f>
        <v/>
      </c>
      <c r="AU1504" s="82">
        <f>($H1504-$F1504)*100</f>
        <v/>
      </c>
      <c r="AV1504" s="82">
        <f>($J1504-$F1504)*100</f>
        <v/>
      </c>
      <c r="AW1504" s="82">
        <f>($L1504-$F1504)*100</f>
        <v/>
      </c>
      <c r="AX1504" s="82">
        <f>($J1504-$H1504)*100</f>
        <v/>
      </c>
      <c r="AY1504" s="82">
        <f>($L1504-$H1504)*100</f>
        <v/>
      </c>
      <c r="AZ1504" s="82">
        <f>($L1504-$J1504)*100</f>
        <v/>
      </c>
      <c r="BA1504" s="82">
        <f>(2*$H1504-$F1504-$J1504)*100</f>
        <v/>
      </c>
      <c r="BB1504" s="82">
        <f>(2*$J1504-$H1504-$L1504)*100</f>
        <v/>
      </c>
      <c r="BC1504" s="82">
        <f>($N1504-$F1504)*100</f>
        <v/>
      </c>
      <c r="BD1504" s="82">
        <f>($Q1504-$H1504)*100</f>
        <v/>
      </c>
      <c r="BE1504" s="82">
        <f>($S1504-$J1504)*100</f>
        <v/>
      </c>
      <c r="BF1504" s="82">
        <f>($V1504-$L1504)*100</f>
        <v/>
      </c>
      <c r="BG1504" s="82">
        <f>$AG1504-$AF1504</f>
        <v/>
      </c>
      <c r="BH1504" s="81">
        <f>IFERROR($AG1504/$AF1504,"")</f>
        <v/>
      </c>
      <c r="BI1504" s="82">
        <f>$AJ1504-$AF1504</f>
        <v/>
      </c>
      <c r="BJ1504" s="81">
        <f>IFERROR($AJ1504/$AG1504,"")</f>
        <v/>
      </c>
      <c r="BK1504" s="81">
        <f>$X1504</f>
        <v/>
      </c>
      <c r="BL1504" s="82">
        <f>($J1504-$J1505)*100</f>
        <v/>
      </c>
      <c r="BM1504" s="82">
        <f>($F1504-$F1505)*100</f>
        <v/>
      </c>
      <c r="BN1504" s="82">
        <f>$AF1504-$AF1505</f>
        <v/>
      </c>
      <c r="BO1504" s="82">
        <f>$AG1504-$AG1505</f>
        <v/>
      </c>
      <c r="BP1504" s="82">
        <f>$AJ1504-$AJ1505</f>
        <v/>
      </c>
    </row>
    <row r="1505">
      <c r="AR1505" s="81">
        <f>($G1505+($H1505-$G1505)*0.5)+($P1505-($O1505+($Q1505-$O1505)*0.5))</f>
        <v/>
      </c>
      <c r="AS1505" s="81">
        <f>($J1505+($K1505-$J1505)*0.5)+($T1505-($S1505+($U1505-$S1505)*0.5))</f>
        <v/>
      </c>
      <c r="AT1505" s="82">
        <f>($J1505-$C1505)*100</f>
        <v/>
      </c>
      <c r="AU1505" s="82">
        <f>($H1505-$F1505)*100</f>
        <v/>
      </c>
      <c r="AV1505" s="82">
        <f>($J1505-$F1505)*100</f>
        <v/>
      </c>
      <c r="AW1505" s="82">
        <f>($L1505-$F1505)*100</f>
        <v/>
      </c>
      <c r="AX1505" s="82">
        <f>($J1505-$H1505)*100</f>
        <v/>
      </c>
      <c r="AY1505" s="82">
        <f>($L1505-$H1505)*100</f>
        <v/>
      </c>
      <c r="AZ1505" s="82">
        <f>($L1505-$J1505)*100</f>
        <v/>
      </c>
      <c r="BA1505" s="82">
        <f>(2*$H1505-$F1505-$J1505)*100</f>
        <v/>
      </c>
      <c r="BB1505" s="82">
        <f>(2*$J1505-$H1505-$L1505)*100</f>
        <v/>
      </c>
      <c r="BC1505" s="82">
        <f>($N1505-$F1505)*100</f>
        <v/>
      </c>
      <c r="BD1505" s="82">
        <f>($Q1505-$H1505)*100</f>
        <v/>
      </c>
      <c r="BE1505" s="82">
        <f>($S1505-$J1505)*100</f>
        <v/>
      </c>
      <c r="BF1505" s="82">
        <f>($V1505-$L1505)*100</f>
        <v/>
      </c>
      <c r="BG1505" s="82">
        <f>$AG1505-$AF1505</f>
        <v/>
      </c>
      <c r="BH1505" s="81">
        <f>IFERROR($AG1505/$AF1505,"")</f>
        <v/>
      </c>
      <c r="BI1505" s="82">
        <f>$AJ1505-$AF1505</f>
        <v/>
      </c>
      <c r="BJ1505" s="81">
        <f>IFERROR($AJ1505/$AG1505,"")</f>
        <v/>
      </c>
      <c r="BK1505" s="81">
        <f>$X1505</f>
        <v/>
      </c>
      <c r="BL1505" s="82">
        <f>($J1505-$J1506)*100</f>
        <v/>
      </c>
      <c r="BM1505" s="82">
        <f>($F1505-$F1506)*100</f>
        <v/>
      </c>
      <c r="BN1505" s="82">
        <f>$AF1505-$AF1506</f>
        <v/>
      </c>
      <c r="BO1505" s="82">
        <f>$AG1505-$AG1506</f>
        <v/>
      </c>
      <c r="BP1505" s="82">
        <f>$AJ1505-$AJ1506</f>
        <v/>
      </c>
    </row>
    <row r="1506">
      <c r="AR1506" s="81">
        <f>($G1506+($H1506-$G1506)*0.5)+($P1506-($O1506+($Q1506-$O1506)*0.5))</f>
        <v/>
      </c>
      <c r="AS1506" s="81">
        <f>($J1506+($K1506-$J1506)*0.5)+($T1506-($S1506+($U1506-$S1506)*0.5))</f>
        <v/>
      </c>
      <c r="AT1506" s="82">
        <f>($J1506-$C1506)*100</f>
        <v/>
      </c>
      <c r="AU1506" s="82">
        <f>($H1506-$F1506)*100</f>
        <v/>
      </c>
      <c r="AV1506" s="82">
        <f>($J1506-$F1506)*100</f>
        <v/>
      </c>
      <c r="AW1506" s="82">
        <f>($L1506-$F1506)*100</f>
        <v/>
      </c>
      <c r="AX1506" s="82">
        <f>($J1506-$H1506)*100</f>
        <v/>
      </c>
      <c r="AY1506" s="82">
        <f>($L1506-$H1506)*100</f>
        <v/>
      </c>
      <c r="AZ1506" s="82">
        <f>($L1506-$J1506)*100</f>
        <v/>
      </c>
      <c r="BA1506" s="82">
        <f>(2*$H1506-$F1506-$J1506)*100</f>
        <v/>
      </c>
      <c r="BB1506" s="82">
        <f>(2*$J1506-$H1506-$L1506)*100</f>
        <v/>
      </c>
      <c r="BC1506" s="82">
        <f>($N1506-$F1506)*100</f>
        <v/>
      </c>
      <c r="BD1506" s="82">
        <f>($Q1506-$H1506)*100</f>
        <v/>
      </c>
      <c r="BE1506" s="82">
        <f>($S1506-$J1506)*100</f>
        <v/>
      </c>
      <c r="BF1506" s="82">
        <f>($V1506-$L1506)*100</f>
        <v/>
      </c>
      <c r="BG1506" s="82">
        <f>$AG1506-$AF1506</f>
        <v/>
      </c>
      <c r="BH1506" s="81">
        <f>IFERROR($AG1506/$AF1506,"")</f>
        <v/>
      </c>
      <c r="BI1506" s="82">
        <f>$AJ1506-$AF1506</f>
        <v/>
      </c>
      <c r="BJ1506" s="81">
        <f>IFERROR($AJ1506/$AG1506,"")</f>
        <v/>
      </c>
      <c r="BK1506" s="81">
        <f>$X1506</f>
        <v/>
      </c>
      <c r="BL1506" s="82">
        <f>($J1506-$J1507)*100</f>
        <v/>
      </c>
      <c r="BM1506" s="82">
        <f>($F1506-$F1507)*100</f>
        <v/>
      </c>
      <c r="BN1506" s="82">
        <f>$AF1506-$AF1507</f>
        <v/>
      </c>
      <c r="BO1506" s="82">
        <f>$AG1506-$AG1507</f>
        <v/>
      </c>
      <c r="BP1506" s="82">
        <f>$AJ1506-$AJ1507</f>
        <v/>
      </c>
    </row>
    <row r="1507">
      <c r="AR1507" s="81">
        <f>($G1507+($H1507-$G1507)*0.5)+($P1507-($O1507+($Q1507-$O1507)*0.5))</f>
        <v/>
      </c>
      <c r="AS1507" s="81">
        <f>($J1507+($K1507-$J1507)*0.5)+($T1507-($S1507+($U1507-$S1507)*0.5))</f>
        <v/>
      </c>
      <c r="AT1507" s="82">
        <f>($J1507-$C1507)*100</f>
        <v/>
      </c>
      <c r="AU1507" s="82">
        <f>($H1507-$F1507)*100</f>
        <v/>
      </c>
      <c r="AV1507" s="82">
        <f>($J1507-$F1507)*100</f>
        <v/>
      </c>
      <c r="AW1507" s="82">
        <f>($L1507-$F1507)*100</f>
        <v/>
      </c>
      <c r="AX1507" s="82">
        <f>($J1507-$H1507)*100</f>
        <v/>
      </c>
      <c r="AY1507" s="82">
        <f>($L1507-$H1507)*100</f>
        <v/>
      </c>
      <c r="AZ1507" s="82">
        <f>($L1507-$J1507)*100</f>
        <v/>
      </c>
      <c r="BA1507" s="82">
        <f>(2*$H1507-$F1507-$J1507)*100</f>
        <v/>
      </c>
      <c r="BB1507" s="82">
        <f>(2*$J1507-$H1507-$L1507)*100</f>
        <v/>
      </c>
      <c r="BC1507" s="82">
        <f>($N1507-$F1507)*100</f>
        <v/>
      </c>
      <c r="BD1507" s="82">
        <f>($Q1507-$H1507)*100</f>
        <v/>
      </c>
      <c r="BE1507" s="82">
        <f>($S1507-$J1507)*100</f>
        <v/>
      </c>
      <c r="BF1507" s="82">
        <f>($V1507-$L1507)*100</f>
        <v/>
      </c>
      <c r="BG1507" s="82">
        <f>$AG1507-$AF1507</f>
        <v/>
      </c>
      <c r="BH1507" s="81">
        <f>IFERROR($AG1507/$AF1507,"")</f>
        <v/>
      </c>
      <c r="BI1507" s="82">
        <f>$AJ1507-$AF1507</f>
        <v/>
      </c>
      <c r="BJ1507" s="81">
        <f>IFERROR($AJ1507/$AG1507,"")</f>
        <v/>
      </c>
      <c r="BK1507" s="81">
        <f>$X1507</f>
        <v/>
      </c>
      <c r="BL1507" s="82">
        <f>($J1507-$J1508)*100</f>
        <v/>
      </c>
      <c r="BM1507" s="82">
        <f>($F1507-$F1508)*100</f>
        <v/>
      </c>
      <c r="BN1507" s="82">
        <f>$AF1507-$AF1508</f>
        <v/>
      </c>
      <c r="BO1507" s="82">
        <f>$AG1507-$AG1508</f>
        <v/>
      </c>
      <c r="BP1507" s="82">
        <f>$AJ1507-$AJ1508</f>
        <v/>
      </c>
    </row>
    <row r="1508">
      <c r="AR1508" s="81">
        <f>($G1508+($H1508-$G1508)*0.5)+($P1508-($O1508+($Q1508-$O1508)*0.5))</f>
        <v/>
      </c>
      <c r="AS1508" s="81">
        <f>($J1508+($K1508-$J1508)*0.5)+($T1508-($S1508+($U1508-$S1508)*0.5))</f>
        <v/>
      </c>
      <c r="AT1508" s="82">
        <f>($J1508-$C1508)*100</f>
        <v/>
      </c>
      <c r="AU1508" s="82">
        <f>($H1508-$F1508)*100</f>
        <v/>
      </c>
      <c r="AV1508" s="82">
        <f>($J1508-$F1508)*100</f>
        <v/>
      </c>
      <c r="AW1508" s="82">
        <f>($L1508-$F1508)*100</f>
        <v/>
      </c>
      <c r="AX1508" s="82">
        <f>($J1508-$H1508)*100</f>
        <v/>
      </c>
      <c r="AY1508" s="82">
        <f>($L1508-$H1508)*100</f>
        <v/>
      </c>
      <c r="AZ1508" s="82">
        <f>($L1508-$J1508)*100</f>
        <v/>
      </c>
      <c r="BA1508" s="82">
        <f>(2*$H1508-$F1508-$J1508)*100</f>
        <v/>
      </c>
      <c r="BB1508" s="82">
        <f>(2*$J1508-$H1508-$L1508)*100</f>
        <v/>
      </c>
      <c r="BC1508" s="82">
        <f>($N1508-$F1508)*100</f>
        <v/>
      </c>
      <c r="BD1508" s="82">
        <f>($Q1508-$H1508)*100</f>
        <v/>
      </c>
      <c r="BE1508" s="82">
        <f>($S1508-$J1508)*100</f>
        <v/>
      </c>
      <c r="BF1508" s="82">
        <f>($V1508-$L1508)*100</f>
        <v/>
      </c>
      <c r="BG1508" s="82">
        <f>$AG1508-$AF1508</f>
        <v/>
      </c>
      <c r="BH1508" s="81">
        <f>IFERROR($AG1508/$AF1508,"")</f>
        <v/>
      </c>
      <c r="BI1508" s="82">
        <f>$AJ1508-$AF1508</f>
        <v/>
      </c>
      <c r="BJ1508" s="81">
        <f>IFERROR($AJ1508/$AG1508,"")</f>
        <v/>
      </c>
      <c r="BK1508" s="81">
        <f>$X1508</f>
        <v/>
      </c>
      <c r="BL1508" s="82">
        <f>($J1508-$J1509)*100</f>
        <v/>
      </c>
      <c r="BM1508" s="82">
        <f>($F1508-$F1509)*100</f>
        <v/>
      </c>
      <c r="BN1508" s="82">
        <f>$AF1508-$AF1509</f>
        <v/>
      </c>
      <c r="BO1508" s="82">
        <f>$AG1508-$AG1509</f>
        <v/>
      </c>
      <c r="BP1508" s="82">
        <f>$AJ1508-$AJ1509</f>
        <v/>
      </c>
    </row>
    <row r="1509">
      <c r="AR1509" s="81">
        <f>($G1509+($H1509-$G1509)*0.5)+($P1509-($O1509+($Q1509-$O1509)*0.5))</f>
        <v/>
      </c>
      <c r="AS1509" s="81">
        <f>($J1509+($K1509-$J1509)*0.5)+($T1509-($S1509+($U1509-$S1509)*0.5))</f>
        <v/>
      </c>
      <c r="AT1509" s="82">
        <f>($J1509-$C1509)*100</f>
        <v/>
      </c>
      <c r="AU1509" s="82">
        <f>($H1509-$F1509)*100</f>
        <v/>
      </c>
      <c r="AV1509" s="82">
        <f>($J1509-$F1509)*100</f>
        <v/>
      </c>
      <c r="AW1509" s="82">
        <f>($L1509-$F1509)*100</f>
        <v/>
      </c>
      <c r="AX1509" s="82">
        <f>($J1509-$H1509)*100</f>
        <v/>
      </c>
      <c r="AY1509" s="82">
        <f>($L1509-$H1509)*100</f>
        <v/>
      </c>
      <c r="AZ1509" s="82">
        <f>($L1509-$J1509)*100</f>
        <v/>
      </c>
      <c r="BA1509" s="82">
        <f>(2*$H1509-$F1509-$J1509)*100</f>
        <v/>
      </c>
      <c r="BB1509" s="82">
        <f>(2*$J1509-$H1509-$L1509)*100</f>
        <v/>
      </c>
      <c r="BC1509" s="82">
        <f>($N1509-$F1509)*100</f>
        <v/>
      </c>
      <c r="BD1509" s="82">
        <f>($Q1509-$H1509)*100</f>
        <v/>
      </c>
      <c r="BE1509" s="82">
        <f>($S1509-$J1509)*100</f>
        <v/>
      </c>
      <c r="BF1509" s="82">
        <f>($V1509-$L1509)*100</f>
        <v/>
      </c>
      <c r="BG1509" s="82">
        <f>$AG1509-$AF1509</f>
        <v/>
      </c>
      <c r="BH1509" s="81">
        <f>IFERROR($AG1509/$AF1509,"")</f>
        <v/>
      </c>
      <c r="BI1509" s="82">
        <f>$AJ1509-$AF1509</f>
        <v/>
      </c>
      <c r="BJ1509" s="81">
        <f>IFERROR($AJ1509/$AG1509,"")</f>
        <v/>
      </c>
      <c r="BK1509" s="81">
        <f>$X1509</f>
        <v/>
      </c>
      <c r="BL1509" s="82">
        <f>($J1509-$J1510)*100</f>
        <v/>
      </c>
      <c r="BM1509" s="82">
        <f>($F1509-$F1510)*100</f>
        <v/>
      </c>
      <c r="BN1509" s="82">
        <f>$AF1509-$AF1510</f>
        <v/>
      </c>
      <c r="BO1509" s="82">
        <f>$AG1509-$AG1510</f>
        <v/>
      </c>
      <c r="BP1509" s="82">
        <f>$AJ1509-$AJ1510</f>
        <v/>
      </c>
    </row>
    <row r="1510">
      <c r="AR1510" s="81">
        <f>($G1510+($H1510-$G1510)*0.5)+($P1510-($O1510+($Q1510-$O1510)*0.5))</f>
        <v/>
      </c>
      <c r="AS1510" s="81">
        <f>($J1510+($K1510-$J1510)*0.5)+($T1510-($S1510+($U1510-$S1510)*0.5))</f>
        <v/>
      </c>
      <c r="AT1510" s="82">
        <f>($J1510-$C1510)*100</f>
        <v/>
      </c>
      <c r="AU1510" s="82">
        <f>($H1510-$F1510)*100</f>
        <v/>
      </c>
      <c r="AV1510" s="82">
        <f>($J1510-$F1510)*100</f>
        <v/>
      </c>
      <c r="AW1510" s="82">
        <f>($L1510-$F1510)*100</f>
        <v/>
      </c>
      <c r="AX1510" s="82">
        <f>($J1510-$H1510)*100</f>
        <v/>
      </c>
      <c r="AY1510" s="82">
        <f>($L1510-$H1510)*100</f>
        <v/>
      </c>
      <c r="AZ1510" s="82">
        <f>($L1510-$J1510)*100</f>
        <v/>
      </c>
      <c r="BA1510" s="82">
        <f>(2*$H1510-$F1510-$J1510)*100</f>
        <v/>
      </c>
      <c r="BB1510" s="82">
        <f>(2*$J1510-$H1510-$L1510)*100</f>
        <v/>
      </c>
      <c r="BC1510" s="82">
        <f>($N1510-$F1510)*100</f>
        <v/>
      </c>
      <c r="BD1510" s="82">
        <f>($Q1510-$H1510)*100</f>
        <v/>
      </c>
      <c r="BE1510" s="82">
        <f>($S1510-$J1510)*100</f>
        <v/>
      </c>
      <c r="BF1510" s="82">
        <f>($V1510-$L1510)*100</f>
        <v/>
      </c>
      <c r="BG1510" s="82">
        <f>$AG1510-$AF1510</f>
        <v/>
      </c>
      <c r="BH1510" s="81">
        <f>IFERROR($AG1510/$AF1510,"")</f>
        <v/>
      </c>
      <c r="BI1510" s="82">
        <f>$AJ1510-$AF1510</f>
        <v/>
      </c>
      <c r="BJ1510" s="81">
        <f>IFERROR($AJ1510/$AG1510,"")</f>
        <v/>
      </c>
      <c r="BK1510" s="81">
        <f>$X1510</f>
        <v/>
      </c>
      <c r="BL1510" s="82">
        <f>($J1510-$J1511)*100</f>
        <v/>
      </c>
      <c r="BM1510" s="82">
        <f>($F1510-$F1511)*100</f>
        <v/>
      </c>
      <c r="BN1510" s="82">
        <f>$AF1510-$AF1511</f>
        <v/>
      </c>
      <c r="BO1510" s="82">
        <f>$AG1510-$AG1511</f>
        <v/>
      </c>
      <c r="BP1510" s="82">
        <f>$AJ1510-$AJ1511</f>
        <v/>
      </c>
    </row>
    <row r="1511">
      <c r="AR1511" s="81">
        <f>($G1511+($H1511-$G1511)*0.5)+($P1511-($O1511+($Q1511-$O1511)*0.5))</f>
        <v/>
      </c>
      <c r="AS1511" s="81">
        <f>($J1511+($K1511-$J1511)*0.5)+($T1511-($S1511+($U1511-$S1511)*0.5))</f>
        <v/>
      </c>
      <c r="AT1511" s="82">
        <f>($J1511-$C1511)*100</f>
        <v/>
      </c>
      <c r="AU1511" s="82">
        <f>($H1511-$F1511)*100</f>
        <v/>
      </c>
      <c r="AV1511" s="82">
        <f>($J1511-$F1511)*100</f>
        <v/>
      </c>
      <c r="AW1511" s="82">
        <f>($L1511-$F1511)*100</f>
        <v/>
      </c>
      <c r="AX1511" s="82">
        <f>($J1511-$H1511)*100</f>
        <v/>
      </c>
      <c r="AY1511" s="82">
        <f>($L1511-$H1511)*100</f>
        <v/>
      </c>
      <c r="AZ1511" s="82">
        <f>($L1511-$J1511)*100</f>
        <v/>
      </c>
      <c r="BA1511" s="82">
        <f>(2*$H1511-$F1511-$J1511)*100</f>
        <v/>
      </c>
      <c r="BB1511" s="82">
        <f>(2*$J1511-$H1511-$L1511)*100</f>
        <v/>
      </c>
      <c r="BC1511" s="82">
        <f>($N1511-$F1511)*100</f>
        <v/>
      </c>
      <c r="BD1511" s="82">
        <f>($Q1511-$H1511)*100</f>
        <v/>
      </c>
      <c r="BE1511" s="82">
        <f>($S1511-$J1511)*100</f>
        <v/>
      </c>
      <c r="BF1511" s="82">
        <f>($V1511-$L1511)*100</f>
        <v/>
      </c>
      <c r="BG1511" s="82">
        <f>$AG1511-$AF1511</f>
        <v/>
      </c>
      <c r="BH1511" s="81">
        <f>IFERROR($AG1511/$AF1511,"")</f>
        <v/>
      </c>
      <c r="BI1511" s="82">
        <f>$AJ1511-$AF1511</f>
        <v/>
      </c>
      <c r="BJ1511" s="81">
        <f>IFERROR($AJ1511/$AG1511,"")</f>
        <v/>
      </c>
      <c r="BK1511" s="81">
        <f>$X1511</f>
        <v/>
      </c>
      <c r="BL1511" s="82">
        <f>($J1511-$J1512)*100</f>
        <v/>
      </c>
      <c r="BM1511" s="82">
        <f>($F1511-$F1512)*100</f>
        <v/>
      </c>
      <c r="BN1511" s="82">
        <f>$AF1511-$AF1512</f>
        <v/>
      </c>
      <c r="BO1511" s="82">
        <f>$AG1511-$AG1512</f>
        <v/>
      </c>
      <c r="BP1511" s="82">
        <f>$AJ1511-$AJ1512</f>
        <v/>
      </c>
    </row>
    <row r="1512">
      <c r="AR1512" s="81">
        <f>($G1512+($H1512-$G1512)*0.5)+($P1512-($O1512+($Q1512-$O1512)*0.5))</f>
        <v/>
      </c>
      <c r="AS1512" s="81">
        <f>($J1512+($K1512-$J1512)*0.5)+($T1512-($S1512+($U1512-$S1512)*0.5))</f>
        <v/>
      </c>
      <c r="AT1512" s="82">
        <f>($J1512-$C1512)*100</f>
        <v/>
      </c>
      <c r="AU1512" s="82">
        <f>($H1512-$F1512)*100</f>
        <v/>
      </c>
      <c r="AV1512" s="82">
        <f>($J1512-$F1512)*100</f>
        <v/>
      </c>
      <c r="AW1512" s="82">
        <f>($L1512-$F1512)*100</f>
        <v/>
      </c>
      <c r="AX1512" s="82">
        <f>($J1512-$H1512)*100</f>
        <v/>
      </c>
      <c r="AY1512" s="82">
        <f>($L1512-$H1512)*100</f>
        <v/>
      </c>
      <c r="AZ1512" s="82">
        <f>($L1512-$J1512)*100</f>
        <v/>
      </c>
      <c r="BA1512" s="82">
        <f>(2*$H1512-$F1512-$J1512)*100</f>
        <v/>
      </c>
      <c r="BB1512" s="82">
        <f>(2*$J1512-$H1512-$L1512)*100</f>
        <v/>
      </c>
      <c r="BC1512" s="82">
        <f>($N1512-$F1512)*100</f>
        <v/>
      </c>
      <c r="BD1512" s="82">
        <f>($Q1512-$H1512)*100</f>
        <v/>
      </c>
      <c r="BE1512" s="82">
        <f>($S1512-$J1512)*100</f>
        <v/>
      </c>
      <c r="BF1512" s="82">
        <f>($V1512-$L1512)*100</f>
        <v/>
      </c>
      <c r="BG1512" s="82">
        <f>$AG1512-$AF1512</f>
        <v/>
      </c>
      <c r="BH1512" s="81">
        <f>IFERROR($AG1512/$AF1512,"")</f>
        <v/>
      </c>
      <c r="BI1512" s="82">
        <f>$AJ1512-$AF1512</f>
        <v/>
      </c>
      <c r="BJ1512" s="81">
        <f>IFERROR($AJ1512/$AG1512,"")</f>
        <v/>
      </c>
      <c r="BK1512" s="81">
        <f>$X1512</f>
        <v/>
      </c>
      <c r="BL1512" s="82">
        <f>($J1512-$J1513)*100</f>
        <v/>
      </c>
      <c r="BM1512" s="82">
        <f>($F1512-$F1513)*100</f>
        <v/>
      </c>
      <c r="BN1512" s="82">
        <f>$AF1512-$AF1513</f>
        <v/>
      </c>
      <c r="BO1512" s="82">
        <f>$AG1512-$AG1513</f>
        <v/>
      </c>
      <c r="BP1512" s="82">
        <f>$AJ1512-$AJ1513</f>
        <v/>
      </c>
    </row>
    <row r="1513">
      <c r="AR1513" s="81">
        <f>($G1513+($H1513-$G1513)*0.5)+($P1513-($O1513+($Q1513-$O1513)*0.5))</f>
        <v/>
      </c>
      <c r="AS1513" s="81">
        <f>($J1513+($K1513-$J1513)*0.5)+($T1513-($S1513+($U1513-$S1513)*0.5))</f>
        <v/>
      </c>
      <c r="AT1513" s="82">
        <f>($J1513-$C1513)*100</f>
        <v/>
      </c>
      <c r="AU1513" s="82">
        <f>($H1513-$F1513)*100</f>
        <v/>
      </c>
      <c r="AV1513" s="82">
        <f>($J1513-$F1513)*100</f>
        <v/>
      </c>
      <c r="AW1513" s="82">
        <f>($L1513-$F1513)*100</f>
        <v/>
      </c>
      <c r="AX1513" s="82">
        <f>($J1513-$H1513)*100</f>
        <v/>
      </c>
      <c r="AY1513" s="82">
        <f>($L1513-$H1513)*100</f>
        <v/>
      </c>
      <c r="AZ1513" s="82">
        <f>($L1513-$J1513)*100</f>
        <v/>
      </c>
      <c r="BA1513" s="82">
        <f>(2*$H1513-$F1513-$J1513)*100</f>
        <v/>
      </c>
      <c r="BB1513" s="82">
        <f>(2*$J1513-$H1513-$L1513)*100</f>
        <v/>
      </c>
      <c r="BC1513" s="82">
        <f>($N1513-$F1513)*100</f>
        <v/>
      </c>
      <c r="BD1513" s="82">
        <f>($Q1513-$H1513)*100</f>
        <v/>
      </c>
      <c r="BE1513" s="82">
        <f>($S1513-$J1513)*100</f>
        <v/>
      </c>
      <c r="BF1513" s="82">
        <f>($V1513-$L1513)*100</f>
        <v/>
      </c>
      <c r="BG1513" s="82">
        <f>$AG1513-$AF1513</f>
        <v/>
      </c>
      <c r="BH1513" s="81">
        <f>IFERROR($AG1513/$AF1513,"")</f>
        <v/>
      </c>
      <c r="BI1513" s="82">
        <f>$AJ1513-$AF1513</f>
        <v/>
      </c>
      <c r="BJ1513" s="81">
        <f>IFERROR($AJ1513/$AG1513,"")</f>
        <v/>
      </c>
      <c r="BK1513" s="81">
        <f>$X1513</f>
        <v/>
      </c>
      <c r="BL1513" s="82">
        <f>($J1513-$J1514)*100</f>
        <v/>
      </c>
      <c r="BM1513" s="82">
        <f>($F1513-$F1514)*100</f>
        <v/>
      </c>
      <c r="BN1513" s="82">
        <f>$AF1513-$AF1514</f>
        <v/>
      </c>
      <c r="BO1513" s="82">
        <f>$AG1513-$AG1514</f>
        <v/>
      </c>
      <c r="BP1513" s="82">
        <f>$AJ1513-$AJ1514</f>
        <v/>
      </c>
    </row>
    <row r="1514">
      <c r="AR1514" s="81">
        <f>($G1514+($H1514-$G1514)*0.5)+($P1514-($O1514+($Q1514-$O1514)*0.5))</f>
        <v/>
      </c>
      <c r="AS1514" s="81">
        <f>($J1514+($K1514-$J1514)*0.5)+($T1514-($S1514+($U1514-$S1514)*0.5))</f>
        <v/>
      </c>
      <c r="AT1514" s="82">
        <f>($J1514-$C1514)*100</f>
        <v/>
      </c>
      <c r="AU1514" s="82">
        <f>($H1514-$F1514)*100</f>
        <v/>
      </c>
      <c r="AV1514" s="82">
        <f>($J1514-$F1514)*100</f>
        <v/>
      </c>
      <c r="AW1514" s="82">
        <f>($L1514-$F1514)*100</f>
        <v/>
      </c>
      <c r="AX1514" s="82">
        <f>($J1514-$H1514)*100</f>
        <v/>
      </c>
      <c r="AY1514" s="82">
        <f>($L1514-$H1514)*100</f>
        <v/>
      </c>
      <c r="AZ1514" s="82">
        <f>($L1514-$J1514)*100</f>
        <v/>
      </c>
      <c r="BA1514" s="82">
        <f>(2*$H1514-$F1514-$J1514)*100</f>
        <v/>
      </c>
      <c r="BB1514" s="82">
        <f>(2*$J1514-$H1514-$L1514)*100</f>
        <v/>
      </c>
      <c r="BC1514" s="82">
        <f>($N1514-$F1514)*100</f>
        <v/>
      </c>
      <c r="BD1514" s="82">
        <f>($Q1514-$H1514)*100</f>
        <v/>
      </c>
      <c r="BE1514" s="82">
        <f>($S1514-$J1514)*100</f>
        <v/>
      </c>
      <c r="BF1514" s="82">
        <f>($V1514-$L1514)*100</f>
        <v/>
      </c>
      <c r="BG1514" s="82">
        <f>$AG1514-$AF1514</f>
        <v/>
      </c>
      <c r="BH1514" s="81">
        <f>IFERROR($AG1514/$AF1514,"")</f>
        <v/>
      </c>
      <c r="BI1514" s="82">
        <f>$AJ1514-$AF1514</f>
        <v/>
      </c>
      <c r="BJ1514" s="81">
        <f>IFERROR($AJ1514/$AG1514,"")</f>
        <v/>
      </c>
      <c r="BK1514" s="81">
        <f>$X1514</f>
        <v/>
      </c>
      <c r="BL1514" s="82">
        <f>($J1514-$J1515)*100</f>
        <v/>
      </c>
      <c r="BM1514" s="82">
        <f>($F1514-$F1515)*100</f>
        <v/>
      </c>
      <c r="BN1514" s="82">
        <f>$AF1514-$AF1515</f>
        <v/>
      </c>
      <c r="BO1514" s="82">
        <f>$AG1514-$AG1515</f>
        <v/>
      </c>
      <c r="BP1514" s="82">
        <f>$AJ1514-$AJ1515</f>
        <v/>
      </c>
    </row>
    <row r="1515">
      <c r="AR1515" s="81">
        <f>($G1515+($H1515-$G1515)*0.5)+($P1515-($O1515+($Q1515-$O1515)*0.5))</f>
        <v/>
      </c>
      <c r="AS1515" s="81">
        <f>($J1515+($K1515-$J1515)*0.5)+($T1515-($S1515+($U1515-$S1515)*0.5))</f>
        <v/>
      </c>
      <c r="AT1515" s="82">
        <f>($J1515-$C1515)*100</f>
        <v/>
      </c>
      <c r="AU1515" s="82">
        <f>($H1515-$F1515)*100</f>
        <v/>
      </c>
      <c r="AV1515" s="82">
        <f>($J1515-$F1515)*100</f>
        <v/>
      </c>
      <c r="AW1515" s="82">
        <f>($L1515-$F1515)*100</f>
        <v/>
      </c>
      <c r="AX1515" s="82">
        <f>($J1515-$H1515)*100</f>
        <v/>
      </c>
      <c r="AY1515" s="82">
        <f>($L1515-$H1515)*100</f>
        <v/>
      </c>
      <c r="AZ1515" s="82">
        <f>($L1515-$J1515)*100</f>
        <v/>
      </c>
      <c r="BA1515" s="82">
        <f>(2*$H1515-$F1515-$J1515)*100</f>
        <v/>
      </c>
      <c r="BB1515" s="82">
        <f>(2*$J1515-$H1515-$L1515)*100</f>
        <v/>
      </c>
      <c r="BC1515" s="82">
        <f>($N1515-$F1515)*100</f>
        <v/>
      </c>
      <c r="BD1515" s="82">
        <f>($Q1515-$H1515)*100</f>
        <v/>
      </c>
      <c r="BE1515" s="82">
        <f>($S1515-$J1515)*100</f>
        <v/>
      </c>
      <c r="BF1515" s="82">
        <f>($V1515-$L1515)*100</f>
        <v/>
      </c>
      <c r="BG1515" s="82">
        <f>$AG1515-$AF1515</f>
        <v/>
      </c>
      <c r="BH1515" s="81">
        <f>IFERROR($AG1515/$AF1515,"")</f>
        <v/>
      </c>
      <c r="BI1515" s="82">
        <f>$AJ1515-$AF1515</f>
        <v/>
      </c>
      <c r="BJ1515" s="81">
        <f>IFERROR($AJ1515/$AG1515,"")</f>
        <v/>
      </c>
      <c r="BK1515" s="81">
        <f>$X1515</f>
        <v/>
      </c>
      <c r="BL1515" s="82">
        <f>($J1515-$J1516)*100</f>
        <v/>
      </c>
      <c r="BM1515" s="82">
        <f>($F1515-$F1516)*100</f>
        <v/>
      </c>
      <c r="BN1515" s="82">
        <f>$AF1515-$AF1516</f>
        <v/>
      </c>
      <c r="BO1515" s="82">
        <f>$AG1515-$AG1516</f>
        <v/>
      </c>
      <c r="BP1515" s="82">
        <f>$AJ1515-$AJ1516</f>
        <v/>
      </c>
    </row>
    <row r="1516">
      <c r="AR1516" s="81">
        <f>($G1516+($H1516-$G1516)*0.5)+($P1516-($O1516+($Q1516-$O1516)*0.5))</f>
        <v/>
      </c>
      <c r="AS1516" s="81">
        <f>($J1516+($K1516-$J1516)*0.5)+($T1516-($S1516+($U1516-$S1516)*0.5))</f>
        <v/>
      </c>
      <c r="AT1516" s="82">
        <f>($J1516-$C1516)*100</f>
        <v/>
      </c>
      <c r="AU1516" s="82">
        <f>($H1516-$F1516)*100</f>
        <v/>
      </c>
      <c r="AV1516" s="82">
        <f>($J1516-$F1516)*100</f>
        <v/>
      </c>
      <c r="AW1516" s="82">
        <f>($L1516-$F1516)*100</f>
        <v/>
      </c>
      <c r="AX1516" s="82">
        <f>($J1516-$H1516)*100</f>
        <v/>
      </c>
      <c r="AY1516" s="82">
        <f>($L1516-$H1516)*100</f>
        <v/>
      </c>
      <c r="AZ1516" s="82">
        <f>($L1516-$J1516)*100</f>
        <v/>
      </c>
      <c r="BA1516" s="82">
        <f>(2*$H1516-$F1516-$J1516)*100</f>
        <v/>
      </c>
      <c r="BB1516" s="82">
        <f>(2*$J1516-$H1516-$L1516)*100</f>
        <v/>
      </c>
      <c r="BC1516" s="82">
        <f>($N1516-$F1516)*100</f>
        <v/>
      </c>
      <c r="BD1516" s="82">
        <f>($Q1516-$H1516)*100</f>
        <v/>
      </c>
      <c r="BE1516" s="82">
        <f>($S1516-$J1516)*100</f>
        <v/>
      </c>
      <c r="BF1516" s="82">
        <f>($V1516-$L1516)*100</f>
        <v/>
      </c>
      <c r="BG1516" s="82">
        <f>$AG1516-$AF1516</f>
        <v/>
      </c>
      <c r="BH1516" s="81">
        <f>IFERROR($AG1516/$AF1516,"")</f>
        <v/>
      </c>
      <c r="BI1516" s="82">
        <f>$AJ1516-$AF1516</f>
        <v/>
      </c>
      <c r="BJ1516" s="81">
        <f>IFERROR($AJ1516/$AG1516,"")</f>
        <v/>
      </c>
      <c r="BK1516" s="81">
        <f>$X1516</f>
        <v/>
      </c>
      <c r="BL1516" s="82">
        <f>($J1516-$J1517)*100</f>
        <v/>
      </c>
      <c r="BM1516" s="82">
        <f>($F1516-$F1517)*100</f>
        <v/>
      </c>
      <c r="BN1516" s="82">
        <f>$AF1516-$AF1517</f>
        <v/>
      </c>
      <c r="BO1516" s="82">
        <f>$AG1516-$AG1517</f>
        <v/>
      </c>
      <c r="BP1516" s="82">
        <f>$AJ1516-$AJ1517</f>
        <v/>
      </c>
    </row>
    <row r="1517">
      <c r="AR1517" s="81">
        <f>($G1517+($H1517-$G1517)*0.5)+($P1517-($O1517+($Q1517-$O1517)*0.5))</f>
        <v/>
      </c>
      <c r="AS1517" s="81">
        <f>($J1517+($K1517-$J1517)*0.5)+($T1517-($S1517+($U1517-$S1517)*0.5))</f>
        <v/>
      </c>
      <c r="AT1517" s="82">
        <f>($J1517-$C1517)*100</f>
        <v/>
      </c>
      <c r="AU1517" s="82">
        <f>($H1517-$F1517)*100</f>
        <v/>
      </c>
      <c r="AV1517" s="82">
        <f>($J1517-$F1517)*100</f>
        <v/>
      </c>
      <c r="AW1517" s="82">
        <f>($L1517-$F1517)*100</f>
        <v/>
      </c>
      <c r="AX1517" s="82">
        <f>($J1517-$H1517)*100</f>
        <v/>
      </c>
      <c r="AY1517" s="82">
        <f>($L1517-$H1517)*100</f>
        <v/>
      </c>
      <c r="AZ1517" s="82">
        <f>($L1517-$J1517)*100</f>
        <v/>
      </c>
      <c r="BA1517" s="82">
        <f>(2*$H1517-$F1517-$J1517)*100</f>
        <v/>
      </c>
      <c r="BB1517" s="82">
        <f>(2*$J1517-$H1517-$L1517)*100</f>
        <v/>
      </c>
      <c r="BC1517" s="82">
        <f>($N1517-$F1517)*100</f>
        <v/>
      </c>
      <c r="BD1517" s="82">
        <f>($Q1517-$H1517)*100</f>
        <v/>
      </c>
      <c r="BE1517" s="82">
        <f>($S1517-$J1517)*100</f>
        <v/>
      </c>
      <c r="BF1517" s="82">
        <f>($V1517-$L1517)*100</f>
        <v/>
      </c>
      <c r="BG1517" s="82">
        <f>$AG1517-$AF1517</f>
        <v/>
      </c>
      <c r="BH1517" s="81">
        <f>IFERROR($AG1517/$AF1517,"")</f>
        <v/>
      </c>
      <c r="BI1517" s="82">
        <f>$AJ1517-$AF1517</f>
        <v/>
      </c>
      <c r="BJ1517" s="81">
        <f>IFERROR($AJ1517/$AG1517,"")</f>
        <v/>
      </c>
      <c r="BK1517" s="81">
        <f>$X1517</f>
        <v/>
      </c>
      <c r="BL1517" s="82">
        <f>($J1517-$J1518)*100</f>
        <v/>
      </c>
      <c r="BM1517" s="82">
        <f>($F1517-$F1518)*100</f>
        <v/>
      </c>
      <c r="BN1517" s="82">
        <f>$AF1517-$AF1518</f>
        <v/>
      </c>
      <c r="BO1517" s="82">
        <f>$AG1517-$AG1518</f>
        <v/>
      </c>
      <c r="BP1517" s="82">
        <f>$AJ1517-$AJ1518</f>
        <v/>
      </c>
    </row>
    <row r="1518">
      <c r="AR1518" s="81">
        <f>($G1518+($H1518-$G1518)*0.5)+($P1518-($O1518+($Q1518-$O1518)*0.5))</f>
        <v/>
      </c>
      <c r="AS1518" s="81">
        <f>($J1518+($K1518-$J1518)*0.5)+($T1518-($S1518+($U1518-$S1518)*0.5))</f>
        <v/>
      </c>
      <c r="AT1518" s="82">
        <f>($J1518-$C1518)*100</f>
        <v/>
      </c>
      <c r="AU1518" s="82">
        <f>($H1518-$F1518)*100</f>
        <v/>
      </c>
      <c r="AV1518" s="82">
        <f>($J1518-$F1518)*100</f>
        <v/>
      </c>
      <c r="AW1518" s="82">
        <f>($L1518-$F1518)*100</f>
        <v/>
      </c>
      <c r="AX1518" s="82">
        <f>($J1518-$H1518)*100</f>
        <v/>
      </c>
      <c r="AY1518" s="82">
        <f>($L1518-$H1518)*100</f>
        <v/>
      </c>
      <c r="AZ1518" s="82">
        <f>($L1518-$J1518)*100</f>
        <v/>
      </c>
      <c r="BA1518" s="82">
        <f>(2*$H1518-$F1518-$J1518)*100</f>
        <v/>
      </c>
      <c r="BB1518" s="82">
        <f>(2*$J1518-$H1518-$L1518)*100</f>
        <v/>
      </c>
      <c r="BC1518" s="82">
        <f>($N1518-$F1518)*100</f>
        <v/>
      </c>
      <c r="BD1518" s="82">
        <f>($Q1518-$H1518)*100</f>
        <v/>
      </c>
      <c r="BE1518" s="82">
        <f>($S1518-$J1518)*100</f>
        <v/>
      </c>
      <c r="BF1518" s="82">
        <f>($V1518-$L1518)*100</f>
        <v/>
      </c>
      <c r="BG1518" s="82">
        <f>$AG1518-$AF1518</f>
        <v/>
      </c>
      <c r="BH1518" s="81">
        <f>IFERROR($AG1518/$AF1518,"")</f>
        <v/>
      </c>
      <c r="BI1518" s="82">
        <f>$AJ1518-$AF1518</f>
        <v/>
      </c>
      <c r="BJ1518" s="81">
        <f>IFERROR($AJ1518/$AG1518,"")</f>
        <v/>
      </c>
      <c r="BK1518" s="81">
        <f>$X1518</f>
        <v/>
      </c>
      <c r="BL1518" s="82">
        <f>($J1518-$J1519)*100</f>
        <v/>
      </c>
      <c r="BM1518" s="82">
        <f>($F1518-$F1519)*100</f>
        <v/>
      </c>
      <c r="BN1518" s="82">
        <f>$AF1518-$AF1519</f>
        <v/>
      </c>
      <c r="BO1518" s="82">
        <f>$AG1518-$AG1519</f>
        <v/>
      </c>
      <c r="BP1518" s="82">
        <f>$AJ1518-$AJ1519</f>
        <v/>
      </c>
    </row>
    <row r="1519">
      <c r="AR1519" s="81">
        <f>($G1519+($H1519-$G1519)*0.5)+($P1519-($O1519+($Q1519-$O1519)*0.5))</f>
        <v/>
      </c>
      <c r="AS1519" s="81">
        <f>($J1519+($K1519-$J1519)*0.5)+($T1519-($S1519+($U1519-$S1519)*0.5))</f>
        <v/>
      </c>
      <c r="AT1519" s="82">
        <f>($J1519-$C1519)*100</f>
        <v/>
      </c>
      <c r="AU1519" s="82">
        <f>($H1519-$F1519)*100</f>
        <v/>
      </c>
      <c r="AV1519" s="82">
        <f>($J1519-$F1519)*100</f>
        <v/>
      </c>
      <c r="AW1519" s="82">
        <f>($L1519-$F1519)*100</f>
        <v/>
      </c>
      <c r="AX1519" s="82">
        <f>($J1519-$H1519)*100</f>
        <v/>
      </c>
      <c r="AY1519" s="82">
        <f>($L1519-$H1519)*100</f>
        <v/>
      </c>
      <c r="AZ1519" s="82">
        <f>($L1519-$J1519)*100</f>
        <v/>
      </c>
      <c r="BA1519" s="82">
        <f>(2*$H1519-$F1519-$J1519)*100</f>
        <v/>
      </c>
      <c r="BB1519" s="82">
        <f>(2*$J1519-$H1519-$L1519)*100</f>
        <v/>
      </c>
      <c r="BC1519" s="82">
        <f>($N1519-$F1519)*100</f>
        <v/>
      </c>
      <c r="BD1519" s="82">
        <f>($Q1519-$H1519)*100</f>
        <v/>
      </c>
      <c r="BE1519" s="82">
        <f>($S1519-$J1519)*100</f>
        <v/>
      </c>
      <c r="BF1519" s="82">
        <f>($V1519-$L1519)*100</f>
        <v/>
      </c>
      <c r="BG1519" s="82">
        <f>$AG1519-$AF1519</f>
        <v/>
      </c>
      <c r="BH1519" s="81">
        <f>IFERROR($AG1519/$AF1519,"")</f>
        <v/>
      </c>
      <c r="BI1519" s="82">
        <f>$AJ1519-$AF1519</f>
        <v/>
      </c>
      <c r="BJ1519" s="81">
        <f>IFERROR($AJ1519/$AG1519,"")</f>
        <v/>
      </c>
      <c r="BK1519" s="81">
        <f>$X1519</f>
        <v/>
      </c>
      <c r="BL1519" s="82">
        <f>($J1519-$J1520)*100</f>
        <v/>
      </c>
      <c r="BM1519" s="82">
        <f>($F1519-$F1520)*100</f>
        <v/>
      </c>
      <c r="BN1519" s="82">
        <f>$AF1519-$AF1520</f>
        <v/>
      </c>
      <c r="BO1519" s="82">
        <f>$AG1519-$AG1520</f>
        <v/>
      </c>
      <c r="BP1519" s="82">
        <f>$AJ1519-$AJ1520</f>
        <v/>
      </c>
    </row>
    <row r="1520">
      <c r="AR1520" s="81">
        <f>($G1520+($H1520-$G1520)*0.5)+($P1520-($O1520+($Q1520-$O1520)*0.5))</f>
        <v/>
      </c>
      <c r="AS1520" s="81">
        <f>($J1520+($K1520-$J1520)*0.5)+($T1520-($S1520+($U1520-$S1520)*0.5))</f>
        <v/>
      </c>
      <c r="AT1520" s="82">
        <f>($J1520-$C1520)*100</f>
        <v/>
      </c>
      <c r="AU1520" s="82">
        <f>($H1520-$F1520)*100</f>
        <v/>
      </c>
      <c r="AV1520" s="82">
        <f>($J1520-$F1520)*100</f>
        <v/>
      </c>
      <c r="AW1520" s="82">
        <f>($L1520-$F1520)*100</f>
        <v/>
      </c>
      <c r="AX1520" s="82">
        <f>($J1520-$H1520)*100</f>
        <v/>
      </c>
      <c r="AY1520" s="82">
        <f>($L1520-$H1520)*100</f>
        <v/>
      </c>
      <c r="AZ1520" s="82">
        <f>($L1520-$J1520)*100</f>
        <v/>
      </c>
      <c r="BA1520" s="82">
        <f>(2*$H1520-$F1520-$J1520)*100</f>
        <v/>
      </c>
      <c r="BB1520" s="82">
        <f>(2*$J1520-$H1520-$L1520)*100</f>
        <v/>
      </c>
      <c r="BC1520" s="82">
        <f>($N1520-$F1520)*100</f>
        <v/>
      </c>
      <c r="BD1520" s="82">
        <f>($Q1520-$H1520)*100</f>
        <v/>
      </c>
      <c r="BE1520" s="82">
        <f>($S1520-$J1520)*100</f>
        <v/>
      </c>
      <c r="BF1520" s="82">
        <f>($V1520-$L1520)*100</f>
        <v/>
      </c>
      <c r="BG1520" s="82">
        <f>$AG1520-$AF1520</f>
        <v/>
      </c>
      <c r="BH1520" s="81">
        <f>IFERROR($AG1520/$AF1520,"")</f>
        <v/>
      </c>
      <c r="BI1520" s="82">
        <f>$AJ1520-$AF1520</f>
        <v/>
      </c>
      <c r="BJ1520" s="81">
        <f>IFERROR($AJ1520/$AG1520,"")</f>
        <v/>
      </c>
      <c r="BK1520" s="81">
        <f>$X1520</f>
        <v/>
      </c>
      <c r="BL1520" s="82">
        <f>($J1520-$J1521)*100</f>
        <v/>
      </c>
      <c r="BM1520" s="82">
        <f>($F1520-$F1521)*100</f>
        <v/>
      </c>
      <c r="BN1520" s="82">
        <f>$AF1520-$AF1521</f>
        <v/>
      </c>
      <c r="BO1520" s="82">
        <f>$AG1520-$AG1521</f>
        <v/>
      </c>
      <c r="BP1520" s="82">
        <f>$AJ1520-$AJ1521</f>
        <v/>
      </c>
    </row>
    <row r="1521">
      <c r="AR1521" s="81">
        <f>($G1521+($H1521-$G1521)*0.5)+($P1521-($O1521+($Q1521-$O1521)*0.5))</f>
        <v/>
      </c>
      <c r="AS1521" s="81">
        <f>($J1521+($K1521-$J1521)*0.5)+($T1521-($S1521+($U1521-$S1521)*0.5))</f>
        <v/>
      </c>
      <c r="AT1521" s="82">
        <f>($J1521-$C1521)*100</f>
        <v/>
      </c>
      <c r="AU1521" s="82">
        <f>($H1521-$F1521)*100</f>
        <v/>
      </c>
      <c r="AV1521" s="82">
        <f>($J1521-$F1521)*100</f>
        <v/>
      </c>
      <c r="AW1521" s="82">
        <f>($L1521-$F1521)*100</f>
        <v/>
      </c>
      <c r="AX1521" s="82">
        <f>($J1521-$H1521)*100</f>
        <v/>
      </c>
      <c r="AY1521" s="82">
        <f>($L1521-$H1521)*100</f>
        <v/>
      </c>
      <c r="AZ1521" s="82">
        <f>($L1521-$J1521)*100</f>
        <v/>
      </c>
      <c r="BA1521" s="82">
        <f>(2*$H1521-$F1521-$J1521)*100</f>
        <v/>
      </c>
      <c r="BB1521" s="82">
        <f>(2*$J1521-$H1521-$L1521)*100</f>
        <v/>
      </c>
      <c r="BC1521" s="82">
        <f>($N1521-$F1521)*100</f>
        <v/>
      </c>
      <c r="BD1521" s="82">
        <f>($Q1521-$H1521)*100</f>
        <v/>
      </c>
      <c r="BE1521" s="82">
        <f>($S1521-$J1521)*100</f>
        <v/>
      </c>
      <c r="BF1521" s="82">
        <f>($V1521-$L1521)*100</f>
        <v/>
      </c>
      <c r="BG1521" s="82">
        <f>$AG1521-$AF1521</f>
        <v/>
      </c>
      <c r="BH1521" s="81">
        <f>IFERROR($AG1521/$AF1521,"")</f>
        <v/>
      </c>
      <c r="BI1521" s="82">
        <f>$AJ1521-$AF1521</f>
        <v/>
      </c>
      <c r="BJ1521" s="81">
        <f>IFERROR($AJ1521/$AG1521,"")</f>
        <v/>
      </c>
      <c r="BK1521" s="81">
        <f>$X1521</f>
        <v/>
      </c>
      <c r="BL1521" s="82">
        <f>($J1521-$J1522)*100</f>
        <v/>
      </c>
      <c r="BM1521" s="82">
        <f>($F1521-$F1522)*100</f>
        <v/>
      </c>
      <c r="BN1521" s="82">
        <f>$AF1521-$AF1522</f>
        <v/>
      </c>
      <c r="BO1521" s="82">
        <f>$AG1521-$AG1522</f>
        <v/>
      </c>
      <c r="BP1521" s="82">
        <f>$AJ1521-$AJ1522</f>
        <v/>
      </c>
    </row>
    <row r="1522">
      <c r="AR1522" s="81">
        <f>($G1522+($H1522-$G1522)*0.5)+($P1522-($O1522+($Q1522-$O1522)*0.5))</f>
        <v/>
      </c>
      <c r="AS1522" s="81">
        <f>($J1522+($K1522-$J1522)*0.5)+($T1522-($S1522+($U1522-$S1522)*0.5))</f>
        <v/>
      </c>
      <c r="AT1522" s="82">
        <f>($J1522-$C1522)*100</f>
        <v/>
      </c>
      <c r="AU1522" s="82">
        <f>($H1522-$F1522)*100</f>
        <v/>
      </c>
      <c r="AV1522" s="82">
        <f>($J1522-$F1522)*100</f>
        <v/>
      </c>
      <c r="AW1522" s="82">
        <f>($L1522-$F1522)*100</f>
        <v/>
      </c>
      <c r="AX1522" s="82">
        <f>($J1522-$H1522)*100</f>
        <v/>
      </c>
      <c r="AY1522" s="82">
        <f>($L1522-$H1522)*100</f>
        <v/>
      </c>
      <c r="AZ1522" s="82">
        <f>($L1522-$J1522)*100</f>
        <v/>
      </c>
      <c r="BA1522" s="82">
        <f>(2*$H1522-$F1522-$J1522)*100</f>
        <v/>
      </c>
      <c r="BB1522" s="82">
        <f>(2*$J1522-$H1522-$L1522)*100</f>
        <v/>
      </c>
      <c r="BC1522" s="82">
        <f>($N1522-$F1522)*100</f>
        <v/>
      </c>
      <c r="BD1522" s="82">
        <f>($Q1522-$H1522)*100</f>
        <v/>
      </c>
      <c r="BE1522" s="82">
        <f>($S1522-$J1522)*100</f>
        <v/>
      </c>
      <c r="BF1522" s="82">
        <f>($V1522-$L1522)*100</f>
        <v/>
      </c>
      <c r="BG1522" s="82">
        <f>$AG1522-$AF1522</f>
        <v/>
      </c>
      <c r="BH1522" s="81">
        <f>IFERROR($AG1522/$AF1522,"")</f>
        <v/>
      </c>
      <c r="BI1522" s="82">
        <f>$AJ1522-$AF1522</f>
        <v/>
      </c>
      <c r="BJ1522" s="81">
        <f>IFERROR($AJ1522/$AG1522,"")</f>
        <v/>
      </c>
      <c r="BK1522" s="81">
        <f>$X1522</f>
        <v/>
      </c>
      <c r="BL1522" s="82">
        <f>($J1522-$J1523)*100</f>
        <v/>
      </c>
      <c r="BM1522" s="82">
        <f>($F1522-$F1523)*100</f>
        <v/>
      </c>
      <c r="BN1522" s="82">
        <f>$AF1522-$AF1523</f>
        <v/>
      </c>
      <c r="BO1522" s="82">
        <f>$AG1522-$AG1523</f>
        <v/>
      </c>
      <c r="BP1522" s="82">
        <f>$AJ1522-$AJ1523</f>
        <v/>
      </c>
    </row>
    <row r="1523">
      <c r="AR1523" s="81">
        <f>($G1523+($H1523-$G1523)*0.5)+($P1523-($O1523+($Q1523-$O1523)*0.5))</f>
        <v/>
      </c>
      <c r="AS1523" s="81">
        <f>($J1523+($K1523-$J1523)*0.5)+($T1523-($S1523+($U1523-$S1523)*0.5))</f>
        <v/>
      </c>
      <c r="AT1523" s="82">
        <f>($J1523-$C1523)*100</f>
        <v/>
      </c>
      <c r="AU1523" s="82">
        <f>($H1523-$F1523)*100</f>
        <v/>
      </c>
      <c r="AV1523" s="82">
        <f>($J1523-$F1523)*100</f>
        <v/>
      </c>
      <c r="AW1523" s="82">
        <f>($L1523-$F1523)*100</f>
        <v/>
      </c>
      <c r="AX1523" s="82">
        <f>($J1523-$H1523)*100</f>
        <v/>
      </c>
      <c r="AY1523" s="82">
        <f>($L1523-$H1523)*100</f>
        <v/>
      </c>
      <c r="AZ1523" s="82">
        <f>($L1523-$J1523)*100</f>
        <v/>
      </c>
      <c r="BA1523" s="82">
        <f>(2*$H1523-$F1523-$J1523)*100</f>
        <v/>
      </c>
      <c r="BB1523" s="82">
        <f>(2*$J1523-$H1523-$L1523)*100</f>
        <v/>
      </c>
      <c r="BC1523" s="82">
        <f>($N1523-$F1523)*100</f>
        <v/>
      </c>
      <c r="BD1523" s="82">
        <f>($Q1523-$H1523)*100</f>
        <v/>
      </c>
      <c r="BE1523" s="82">
        <f>($S1523-$J1523)*100</f>
        <v/>
      </c>
      <c r="BF1523" s="82">
        <f>($V1523-$L1523)*100</f>
        <v/>
      </c>
      <c r="BG1523" s="82">
        <f>$AG1523-$AF1523</f>
        <v/>
      </c>
      <c r="BH1523" s="81">
        <f>IFERROR($AG1523/$AF1523,"")</f>
        <v/>
      </c>
      <c r="BI1523" s="82">
        <f>$AJ1523-$AF1523</f>
        <v/>
      </c>
      <c r="BJ1523" s="81">
        <f>IFERROR($AJ1523/$AG1523,"")</f>
        <v/>
      </c>
      <c r="BK1523" s="81">
        <f>$X1523</f>
        <v/>
      </c>
      <c r="BL1523" s="82">
        <f>($J1523-$J1524)*100</f>
        <v/>
      </c>
      <c r="BM1523" s="82">
        <f>($F1523-$F1524)*100</f>
        <v/>
      </c>
      <c r="BN1523" s="82">
        <f>$AF1523-$AF1524</f>
        <v/>
      </c>
      <c r="BO1523" s="82">
        <f>$AG1523-$AG1524</f>
        <v/>
      </c>
      <c r="BP1523" s="82">
        <f>$AJ1523-$AJ1524</f>
        <v/>
      </c>
    </row>
    <row r="1524">
      <c r="AR1524" s="81">
        <f>($G1524+($H1524-$G1524)*0.5)+($P1524-($O1524+($Q1524-$O1524)*0.5))</f>
        <v/>
      </c>
      <c r="AS1524" s="81">
        <f>($J1524+($K1524-$J1524)*0.5)+($T1524-($S1524+($U1524-$S1524)*0.5))</f>
        <v/>
      </c>
      <c r="AT1524" s="82">
        <f>($J1524-$C1524)*100</f>
        <v/>
      </c>
      <c r="AU1524" s="82">
        <f>($H1524-$F1524)*100</f>
        <v/>
      </c>
      <c r="AV1524" s="82">
        <f>($J1524-$F1524)*100</f>
        <v/>
      </c>
      <c r="AW1524" s="82">
        <f>($L1524-$F1524)*100</f>
        <v/>
      </c>
      <c r="AX1524" s="82">
        <f>($J1524-$H1524)*100</f>
        <v/>
      </c>
      <c r="AY1524" s="82">
        <f>($L1524-$H1524)*100</f>
        <v/>
      </c>
      <c r="AZ1524" s="82">
        <f>($L1524-$J1524)*100</f>
        <v/>
      </c>
      <c r="BA1524" s="82">
        <f>(2*$H1524-$F1524-$J1524)*100</f>
        <v/>
      </c>
      <c r="BB1524" s="82">
        <f>(2*$J1524-$H1524-$L1524)*100</f>
        <v/>
      </c>
      <c r="BC1524" s="82">
        <f>($N1524-$F1524)*100</f>
        <v/>
      </c>
      <c r="BD1524" s="82">
        <f>($Q1524-$H1524)*100</f>
        <v/>
      </c>
      <c r="BE1524" s="82">
        <f>($S1524-$J1524)*100</f>
        <v/>
      </c>
      <c r="BF1524" s="82">
        <f>($V1524-$L1524)*100</f>
        <v/>
      </c>
      <c r="BG1524" s="82">
        <f>$AG1524-$AF1524</f>
        <v/>
      </c>
      <c r="BH1524" s="81">
        <f>IFERROR($AG1524/$AF1524,"")</f>
        <v/>
      </c>
      <c r="BI1524" s="82">
        <f>$AJ1524-$AF1524</f>
        <v/>
      </c>
      <c r="BJ1524" s="81">
        <f>IFERROR($AJ1524/$AG1524,"")</f>
        <v/>
      </c>
      <c r="BK1524" s="81">
        <f>$X1524</f>
        <v/>
      </c>
      <c r="BL1524" s="82">
        <f>($J1524-$J1525)*100</f>
        <v/>
      </c>
      <c r="BM1524" s="82">
        <f>($F1524-$F1525)*100</f>
        <v/>
      </c>
      <c r="BN1524" s="82">
        <f>$AF1524-$AF1525</f>
        <v/>
      </c>
      <c r="BO1524" s="82">
        <f>$AG1524-$AG1525</f>
        <v/>
      </c>
      <c r="BP1524" s="82">
        <f>$AJ1524-$AJ1525</f>
        <v/>
      </c>
    </row>
    <row r="1525">
      <c r="AR1525" s="81">
        <f>($G1525+($H1525-$G1525)*0.5)+($P1525-($O1525+($Q1525-$O1525)*0.5))</f>
        <v/>
      </c>
      <c r="AS1525" s="81">
        <f>($J1525+($K1525-$J1525)*0.5)+($T1525-($S1525+($U1525-$S1525)*0.5))</f>
        <v/>
      </c>
      <c r="AT1525" s="82">
        <f>($J1525-$C1525)*100</f>
        <v/>
      </c>
      <c r="AU1525" s="82">
        <f>($H1525-$F1525)*100</f>
        <v/>
      </c>
      <c r="AV1525" s="82">
        <f>($J1525-$F1525)*100</f>
        <v/>
      </c>
      <c r="AW1525" s="82">
        <f>($L1525-$F1525)*100</f>
        <v/>
      </c>
      <c r="AX1525" s="82">
        <f>($J1525-$H1525)*100</f>
        <v/>
      </c>
      <c r="AY1525" s="82">
        <f>($L1525-$H1525)*100</f>
        <v/>
      </c>
      <c r="AZ1525" s="82">
        <f>($L1525-$J1525)*100</f>
        <v/>
      </c>
      <c r="BA1525" s="82">
        <f>(2*$H1525-$F1525-$J1525)*100</f>
        <v/>
      </c>
      <c r="BB1525" s="82">
        <f>(2*$J1525-$H1525-$L1525)*100</f>
        <v/>
      </c>
      <c r="BC1525" s="82">
        <f>($N1525-$F1525)*100</f>
        <v/>
      </c>
      <c r="BD1525" s="82">
        <f>($Q1525-$H1525)*100</f>
        <v/>
      </c>
      <c r="BE1525" s="82">
        <f>($S1525-$J1525)*100</f>
        <v/>
      </c>
      <c r="BF1525" s="82">
        <f>($V1525-$L1525)*100</f>
        <v/>
      </c>
      <c r="BG1525" s="82">
        <f>$AG1525-$AF1525</f>
        <v/>
      </c>
      <c r="BH1525" s="81">
        <f>IFERROR($AG1525/$AF1525,"")</f>
        <v/>
      </c>
      <c r="BI1525" s="82">
        <f>$AJ1525-$AF1525</f>
        <v/>
      </c>
      <c r="BJ1525" s="81">
        <f>IFERROR($AJ1525/$AG1525,"")</f>
        <v/>
      </c>
      <c r="BK1525" s="81">
        <f>$X1525</f>
        <v/>
      </c>
      <c r="BL1525" s="82">
        <f>($J1525-$J1526)*100</f>
        <v/>
      </c>
      <c r="BM1525" s="82">
        <f>($F1525-$F1526)*100</f>
        <v/>
      </c>
      <c r="BN1525" s="82">
        <f>$AF1525-$AF1526</f>
        <v/>
      </c>
      <c r="BO1525" s="82">
        <f>$AG1525-$AG1526</f>
        <v/>
      </c>
      <c r="BP1525" s="82">
        <f>$AJ1525-$AJ1526</f>
        <v/>
      </c>
    </row>
    <row r="1526">
      <c r="AR1526" s="81">
        <f>($G1526+($H1526-$G1526)*0.5)+($P1526-($O1526+($Q1526-$O1526)*0.5))</f>
        <v/>
      </c>
      <c r="AS1526" s="81">
        <f>($J1526+($K1526-$J1526)*0.5)+($T1526-($S1526+($U1526-$S1526)*0.5))</f>
        <v/>
      </c>
      <c r="AT1526" s="82">
        <f>($J1526-$C1526)*100</f>
        <v/>
      </c>
      <c r="AU1526" s="82">
        <f>($H1526-$F1526)*100</f>
        <v/>
      </c>
      <c r="AV1526" s="82">
        <f>($J1526-$F1526)*100</f>
        <v/>
      </c>
      <c r="AW1526" s="82">
        <f>($L1526-$F1526)*100</f>
        <v/>
      </c>
      <c r="AX1526" s="82">
        <f>($J1526-$H1526)*100</f>
        <v/>
      </c>
      <c r="AY1526" s="82">
        <f>($L1526-$H1526)*100</f>
        <v/>
      </c>
      <c r="AZ1526" s="82">
        <f>($L1526-$J1526)*100</f>
        <v/>
      </c>
      <c r="BA1526" s="82">
        <f>(2*$H1526-$F1526-$J1526)*100</f>
        <v/>
      </c>
      <c r="BB1526" s="82">
        <f>(2*$J1526-$H1526-$L1526)*100</f>
        <v/>
      </c>
      <c r="BC1526" s="82">
        <f>($N1526-$F1526)*100</f>
        <v/>
      </c>
      <c r="BD1526" s="82">
        <f>($Q1526-$H1526)*100</f>
        <v/>
      </c>
      <c r="BE1526" s="82">
        <f>($S1526-$J1526)*100</f>
        <v/>
      </c>
      <c r="BF1526" s="82">
        <f>($V1526-$L1526)*100</f>
        <v/>
      </c>
      <c r="BG1526" s="82">
        <f>$AG1526-$AF1526</f>
        <v/>
      </c>
      <c r="BH1526" s="81">
        <f>IFERROR($AG1526/$AF1526,"")</f>
        <v/>
      </c>
      <c r="BI1526" s="82">
        <f>$AJ1526-$AF1526</f>
        <v/>
      </c>
      <c r="BJ1526" s="81">
        <f>IFERROR($AJ1526/$AG1526,"")</f>
        <v/>
      </c>
      <c r="BK1526" s="81">
        <f>$X1526</f>
        <v/>
      </c>
      <c r="BL1526" s="82">
        <f>($J1526-$J1527)*100</f>
        <v/>
      </c>
      <c r="BM1526" s="82">
        <f>($F1526-$F1527)*100</f>
        <v/>
      </c>
      <c r="BN1526" s="82">
        <f>$AF1526-$AF1527</f>
        <v/>
      </c>
      <c r="BO1526" s="82">
        <f>$AG1526-$AG1527</f>
        <v/>
      </c>
      <c r="BP1526" s="82">
        <f>$AJ1526-$AJ1527</f>
        <v/>
      </c>
    </row>
    <row r="1527">
      <c r="AR1527" s="81">
        <f>($G1527+($H1527-$G1527)*0.5)+($P1527-($O1527+($Q1527-$O1527)*0.5))</f>
        <v/>
      </c>
      <c r="AS1527" s="81">
        <f>($J1527+($K1527-$J1527)*0.5)+($T1527-($S1527+($U1527-$S1527)*0.5))</f>
        <v/>
      </c>
      <c r="AT1527" s="82">
        <f>($J1527-$C1527)*100</f>
        <v/>
      </c>
      <c r="AU1527" s="82">
        <f>($H1527-$F1527)*100</f>
        <v/>
      </c>
      <c r="AV1527" s="82">
        <f>($J1527-$F1527)*100</f>
        <v/>
      </c>
      <c r="AW1527" s="82">
        <f>($L1527-$F1527)*100</f>
        <v/>
      </c>
      <c r="AX1527" s="82">
        <f>($J1527-$H1527)*100</f>
        <v/>
      </c>
      <c r="AY1527" s="82">
        <f>($L1527-$H1527)*100</f>
        <v/>
      </c>
      <c r="AZ1527" s="82">
        <f>($L1527-$J1527)*100</f>
        <v/>
      </c>
      <c r="BA1527" s="82">
        <f>(2*$H1527-$F1527-$J1527)*100</f>
        <v/>
      </c>
      <c r="BB1527" s="82">
        <f>(2*$J1527-$H1527-$L1527)*100</f>
        <v/>
      </c>
      <c r="BC1527" s="82">
        <f>($N1527-$F1527)*100</f>
        <v/>
      </c>
      <c r="BD1527" s="82">
        <f>($Q1527-$H1527)*100</f>
        <v/>
      </c>
      <c r="BE1527" s="82">
        <f>($S1527-$J1527)*100</f>
        <v/>
      </c>
      <c r="BF1527" s="82">
        <f>($V1527-$L1527)*100</f>
        <v/>
      </c>
      <c r="BG1527" s="82">
        <f>$AG1527-$AF1527</f>
        <v/>
      </c>
      <c r="BH1527" s="81">
        <f>IFERROR($AG1527/$AF1527,"")</f>
        <v/>
      </c>
      <c r="BI1527" s="82">
        <f>$AJ1527-$AF1527</f>
        <v/>
      </c>
      <c r="BJ1527" s="81">
        <f>IFERROR($AJ1527/$AG1527,"")</f>
        <v/>
      </c>
      <c r="BK1527" s="81">
        <f>$X1527</f>
        <v/>
      </c>
      <c r="BL1527" s="82">
        <f>($J1527-$J1528)*100</f>
        <v/>
      </c>
      <c r="BM1527" s="82">
        <f>($F1527-$F1528)*100</f>
        <v/>
      </c>
      <c r="BN1527" s="82">
        <f>$AF1527-$AF1528</f>
        <v/>
      </c>
      <c r="BO1527" s="82">
        <f>$AG1527-$AG1528</f>
        <v/>
      </c>
      <c r="BP1527" s="82">
        <f>$AJ1527-$AJ1528</f>
        <v/>
      </c>
    </row>
    <row r="1528">
      <c r="AR1528" s="81">
        <f>($G1528+($H1528-$G1528)*0.5)+($P1528-($O1528+($Q1528-$O1528)*0.5))</f>
        <v/>
      </c>
      <c r="AS1528" s="81">
        <f>($J1528+($K1528-$J1528)*0.5)+($T1528-($S1528+($U1528-$S1528)*0.5))</f>
        <v/>
      </c>
      <c r="AT1528" s="82">
        <f>($J1528-$C1528)*100</f>
        <v/>
      </c>
      <c r="AU1528" s="82">
        <f>($H1528-$F1528)*100</f>
        <v/>
      </c>
      <c r="AV1528" s="82">
        <f>($J1528-$F1528)*100</f>
        <v/>
      </c>
      <c r="AW1528" s="82">
        <f>($L1528-$F1528)*100</f>
        <v/>
      </c>
      <c r="AX1528" s="82">
        <f>($J1528-$H1528)*100</f>
        <v/>
      </c>
      <c r="AY1528" s="82">
        <f>($L1528-$H1528)*100</f>
        <v/>
      </c>
      <c r="AZ1528" s="82">
        <f>($L1528-$J1528)*100</f>
        <v/>
      </c>
      <c r="BA1528" s="82">
        <f>(2*$H1528-$F1528-$J1528)*100</f>
        <v/>
      </c>
      <c r="BB1528" s="82">
        <f>(2*$J1528-$H1528-$L1528)*100</f>
        <v/>
      </c>
      <c r="BC1528" s="82">
        <f>($N1528-$F1528)*100</f>
        <v/>
      </c>
      <c r="BD1528" s="82">
        <f>($Q1528-$H1528)*100</f>
        <v/>
      </c>
      <c r="BE1528" s="82">
        <f>($S1528-$J1528)*100</f>
        <v/>
      </c>
      <c r="BF1528" s="82">
        <f>($V1528-$L1528)*100</f>
        <v/>
      </c>
      <c r="BG1528" s="82">
        <f>$AG1528-$AF1528</f>
        <v/>
      </c>
      <c r="BH1528" s="81">
        <f>IFERROR($AG1528/$AF1528,"")</f>
        <v/>
      </c>
      <c r="BI1528" s="82">
        <f>$AJ1528-$AF1528</f>
        <v/>
      </c>
      <c r="BJ1528" s="81">
        <f>IFERROR($AJ1528/$AG1528,"")</f>
        <v/>
      </c>
      <c r="BK1528" s="81">
        <f>$X1528</f>
        <v/>
      </c>
      <c r="BL1528" s="82">
        <f>($J1528-$J1529)*100</f>
        <v/>
      </c>
      <c r="BM1528" s="82">
        <f>($F1528-$F1529)*100</f>
        <v/>
      </c>
      <c r="BN1528" s="82">
        <f>$AF1528-$AF1529</f>
        <v/>
      </c>
      <c r="BO1528" s="82">
        <f>$AG1528-$AG1529</f>
        <v/>
      </c>
      <c r="BP1528" s="82">
        <f>$AJ1528-$AJ1529</f>
        <v/>
      </c>
    </row>
    <row r="1529">
      <c r="AR1529" s="81">
        <f>($G1529+($H1529-$G1529)*0.5)+($P1529-($O1529+($Q1529-$O1529)*0.5))</f>
        <v/>
      </c>
      <c r="AS1529" s="81">
        <f>($J1529+($K1529-$J1529)*0.5)+($T1529-($S1529+($U1529-$S1529)*0.5))</f>
        <v/>
      </c>
      <c r="AT1529" s="82">
        <f>($J1529-$C1529)*100</f>
        <v/>
      </c>
      <c r="AU1529" s="82">
        <f>($H1529-$F1529)*100</f>
        <v/>
      </c>
      <c r="AV1529" s="82">
        <f>($J1529-$F1529)*100</f>
        <v/>
      </c>
      <c r="AW1529" s="82">
        <f>($L1529-$F1529)*100</f>
        <v/>
      </c>
      <c r="AX1529" s="82">
        <f>($J1529-$H1529)*100</f>
        <v/>
      </c>
      <c r="AY1529" s="82">
        <f>($L1529-$H1529)*100</f>
        <v/>
      </c>
      <c r="AZ1529" s="82">
        <f>($L1529-$J1529)*100</f>
        <v/>
      </c>
      <c r="BA1529" s="82">
        <f>(2*$H1529-$F1529-$J1529)*100</f>
        <v/>
      </c>
      <c r="BB1529" s="82">
        <f>(2*$J1529-$H1529-$L1529)*100</f>
        <v/>
      </c>
      <c r="BC1529" s="82">
        <f>($N1529-$F1529)*100</f>
        <v/>
      </c>
      <c r="BD1529" s="82">
        <f>($Q1529-$H1529)*100</f>
        <v/>
      </c>
      <c r="BE1529" s="82">
        <f>($S1529-$J1529)*100</f>
        <v/>
      </c>
      <c r="BF1529" s="82">
        <f>($V1529-$L1529)*100</f>
        <v/>
      </c>
      <c r="BG1529" s="82">
        <f>$AG1529-$AF1529</f>
        <v/>
      </c>
      <c r="BH1529" s="81">
        <f>IFERROR($AG1529/$AF1529,"")</f>
        <v/>
      </c>
      <c r="BI1529" s="82">
        <f>$AJ1529-$AF1529</f>
        <v/>
      </c>
      <c r="BJ1529" s="81">
        <f>IFERROR($AJ1529/$AG1529,"")</f>
        <v/>
      </c>
      <c r="BK1529" s="81">
        <f>$X1529</f>
        <v/>
      </c>
      <c r="BL1529" s="82">
        <f>($J1529-$J1530)*100</f>
        <v/>
      </c>
      <c r="BM1529" s="82">
        <f>($F1529-$F1530)*100</f>
        <v/>
      </c>
      <c r="BN1529" s="82">
        <f>$AF1529-$AF1530</f>
        <v/>
      </c>
      <c r="BO1529" s="82">
        <f>$AG1529-$AG1530</f>
        <v/>
      </c>
      <c r="BP1529" s="82">
        <f>$AJ1529-$AJ1530</f>
        <v/>
      </c>
    </row>
    <row r="1530">
      <c r="AR1530" s="81">
        <f>($G1530+($H1530-$G1530)*0.5)+($P1530-($O1530+($Q1530-$O1530)*0.5))</f>
        <v/>
      </c>
      <c r="AS1530" s="81">
        <f>($J1530+($K1530-$J1530)*0.5)+($T1530-($S1530+($U1530-$S1530)*0.5))</f>
        <v/>
      </c>
      <c r="AT1530" s="82">
        <f>($J1530-$C1530)*100</f>
        <v/>
      </c>
      <c r="AU1530" s="82">
        <f>($H1530-$F1530)*100</f>
        <v/>
      </c>
      <c r="AV1530" s="82">
        <f>($J1530-$F1530)*100</f>
        <v/>
      </c>
      <c r="AW1530" s="82">
        <f>($L1530-$F1530)*100</f>
        <v/>
      </c>
      <c r="AX1530" s="82">
        <f>($J1530-$H1530)*100</f>
        <v/>
      </c>
      <c r="AY1530" s="82">
        <f>($L1530-$H1530)*100</f>
        <v/>
      </c>
      <c r="AZ1530" s="82">
        <f>($L1530-$J1530)*100</f>
        <v/>
      </c>
      <c r="BA1530" s="82">
        <f>(2*$H1530-$F1530-$J1530)*100</f>
        <v/>
      </c>
      <c r="BB1530" s="82">
        <f>(2*$J1530-$H1530-$L1530)*100</f>
        <v/>
      </c>
      <c r="BC1530" s="82">
        <f>($N1530-$F1530)*100</f>
        <v/>
      </c>
      <c r="BD1530" s="82">
        <f>($Q1530-$H1530)*100</f>
        <v/>
      </c>
      <c r="BE1530" s="82">
        <f>($S1530-$J1530)*100</f>
        <v/>
      </c>
      <c r="BF1530" s="82">
        <f>($V1530-$L1530)*100</f>
        <v/>
      </c>
      <c r="BG1530" s="82">
        <f>$AG1530-$AF1530</f>
        <v/>
      </c>
      <c r="BH1530" s="81">
        <f>IFERROR($AG1530/$AF1530,"")</f>
        <v/>
      </c>
      <c r="BI1530" s="82">
        <f>$AJ1530-$AF1530</f>
        <v/>
      </c>
      <c r="BJ1530" s="81">
        <f>IFERROR($AJ1530/$AG1530,"")</f>
        <v/>
      </c>
      <c r="BK1530" s="81">
        <f>$X1530</f>
        <v/>
      </c>
      <c r="BL1530" s="82">
        <f>($J1530-$J1531)*100</f>
        <v/>
      </c>
      <c r="BM1530" s="82">
        <f>($F1530-$F1531)*100</f>
        <v/>
      </c>
      <c r="BN1530" s="82">
        <f>$AF1530-$AF1531</f>
        <v/>
      </c>
      <c r="BO1530" s="82">
        <f>$AG1530-$AG1531</f>
        <v/>
      </c>
      <c r="BP1530" s="82">
        <f>$AJ1530-$AJ1531</f>
        <v/>
      </c>
    </row>
    <row r="1531">
      <c r="AR1531" s="81">
        <f>($G1531+($H1531-$G1531)*0.5)+($P1531-($O1531+($Q1531-$O1531)*0.5))</f>
        <v/>
      </c>
      <c r="AS1531" s="81">
        <f>($J1531+($K1531-$J1531)*0.5)+($T1531-($S1531+($U1531-$S1531)*0.5))</f>
        <v/>
      </c>
      <c r="AT1531" s="82">
        <f>($J1531-$C1531)*100</f>
        <v/>
      </c>
      <c r="AU1531" s="82">
        <f>($H1531-$F1531)*100</f>
        <v/>
      </c>
      <c r="AV1531" s="82">
        <f>($J1531-$F1531)*100</f>
        <v/>
      </c>
      <c r="AW1531" s="82">
        <f>($L1531-$F1531)*100</f>
        <v/>
      </c>
      <c r="AX1531" s="82">
        <f>($J1531-$H1531)*100</f>
        <v/>
      </c>
      <c r="AY1531" s="82">
        <f>($L1531-$H1531)*100</f>
        <v/>
      </c>
      <c r="AZ1531" s="82">
        <f>($L1531-$J1531)*100</f>
        <v/>
      </c>
      <c r="BA1531" s="82">
        <f>(2*$H1531-$F1531-$J1531)*100</f>
        <v/>
      </c>
      <c r="BB1531" s="82">
        <f>(2*$J1531-$H1531-$L1531)*100</f>
        <v/>
      </c>
      <c r="BC1531" s="82">
        <f>($N1531-$F1531)*100</f>
        <v/>
      </c>
      <c r="BD1531" s="82">
        <f>($Q1531-$H1531)*100</f>
        <v/>
      </c>
      <c r="BE1531" s="82">
        <f>($S1531-$J1531)*100</f>
        <v/>
      </c>
      <c r="BF1531" s="82">
        <f>($V1531-$L1531)*100</f>
        <v/>
      </c>
      <c r="BG1531" s="82">
        <f>$AG1531-$AF1531</f>
        <v/>
      </c>
      <c r="BH1531" s="81">
        <f>IFERROR($AG1531/$AF1531,"")</f>
        <v/>
      </c>
      <c r="BI1531" s="82">
        <f>$AJ1531-$AF1531</f>
        <v/>
      </c>
      <c r="BJ1531" s="81">
        <f>IFERROR($AJ1531/$AG1531,"")</f>
        <v/>
      </c>
      <c r="BK1531" s="81">
        <f>$X1531</f>
        <v/>
      </c>
      <c r="BL1531" s="82">
        <f>($J1531-$J1532)*100</f>
        <v/>
      </c>
      <c r="BM1531" s="82">
        <f>($F1531-$F1532)*100</f>
        <v/>
      </c>
      <c r="BN1531" s="82">
        <f>$AF1531-$AF1532</f>
        <v/>
      </c>
      <c r="BO1531" s="82">
        <f>$AG1531-$AG1532</f>
        <v/>
      </c>
      <c r="BP1531" s="82">
        <f>$AJ1531-$AJ1532</f>
        <v/>
      </c>
    </row>
    <row r="1532">
      <c r="AR1532" s="81">
        <f>($G1532+($H1532-$G1532)*0.5)+($P1532-($O1532+($Q1532-$O1532)*0.5))</f>
        <v/>
      </c>
      <c r="AS1532" s="81">
        <f>($J1532+($K1532-$J1532)*0.5)+($T1532-($S1532+($U1532-$S1532)*0.5))</f>
        <v/>
      </c>
      <c r="AT1532" s="82">
        <f>($J1532-$C1532)*100</f>
        <v/>
      </c>
      <c r="AU1532" s="82">
        <f>($H1532-$F1532)*100</f>
        <v/>
      </c>
      <c r="AV1532" s="82">
        <f>($J1532-$F1532)*100</f>
        <v/>
      </c>
      <c r="AW1532" s="82">
        <f>($L1532-$F1532)*100</f>
        <v/>
      </c>
      <c r="AX1532" s="82">
        <f>($J1532-$H1532)*100</f>
        <v/>
      </c>
      <c r="AY1532" s="82">
        <f>($L1532-$H1532)*100</f>
        <v/>
      </c>
      <c r="AZ1532" s="82">
        <f>($L1532-$J1532)*100</f>
        <v/>
      </c>
      <c r="BA1532" s="82">
        <f>(2*$H1532-$F1532-$J1532)*100</f>
        <v/>
      </c>
      <c r="BB1532" s="82">
        <f>(2*$J1532-$H1532-$L1532)*100</f>
        <v/>
      </c>
      <c r="BC1532" s="82">
        <f>($N1532-$F1532)*100</f>
        <v/>
      </c>
      <c r="BD1532" s="82">
        <f>($Q1532-$H1532)*100</f>
        <v/>
      </c>
      <c r="BE1532" s="82">
        <f>($S1532-$J1532)*100</f>
        <v/>
      </c>
      <c r="BF1532" s="82">
        <f>($V1532-$L1532)*100</f>
        <v/>
      </c>
      <c r="BG1532" s="82">
        <f>$AG1532-$AF1532</f>
        <v/>
      </c>
      <c r="BH1532" s="81">
        <f>IFERROR($AG1532/$AF1532,"")</f>
        <v/>
      </c>
      <c r="BI1532" s="82">
        <f>$AJ1532-$AF1532</f>
        <v/>
      </c>
      <c r="BJ1532" s="81">
        <f>IFERROR($AJ1532/$AG1532,"")</f>
        <v/>
      </c>
      <c r="BK1532" s="81">
        <f>$X1532</f>
        <v/>
      </c>
      <c r="BL1532" s="82">
        <f>($J1532-$J1533)*100</f>
        <v/>
      </c>
      <c r="BM1532" s="82">
        <f>($F1532-$F1533)*100</f>
        <v/>
      </c>
      <c r="BN1532" s="82">
        <f>$AF1532-$AF1533</f>
        <v/>
      </c>
      <c r="BO1532" s="82">
        <f>$AG1532-$AG1533</f>
        <v/>
      </c>
      <c r="BP1532" s="82">
        <f>$AJ1532-$AJ1533</f>
        <v/>
      </c>
    </row>
    <row r="1533">
      <c r="AR1533" s="81">
        <f>($G1533+($H1533-$G1533)*0.5)+($P1533-($O1533+($Q1533-$O1533)*0.5))</f>
        <v/>
      </c>
      <c r="AS1533" s="81">
        <f>($J1533+($K1533-$J1533)*0.5)+($T1533-($S1533+($U1533-$S1533)*0.5))</f>
        <v/>
      </c>
      <c r="AT1533" s="82">
        <f>($J1533-$C1533)*100</f>
        <v/>
      </c>
      <c r="AU1533" s="82">
        <f>($H1533-$F1533)*100</f>
        <v/>
      </c>
      <c r="AV1533" s="82">
        <f>($J1533-$F1533)*100</f>
        <v/>
      </c>
      <c r="AW1533" s="82">
        <f>($L1533-$F1533)*100</f>
        <v/>
      </c>
      <c r="AX1533" s="82">
        <f>($J1533-$H1533)*100</f>
        <v/>
      </c>
      <c r="AY1533" s="82">
        <f>($L1533-$H1533)*100</f>
        <v/>
      </c>
      <c r="AZ1533" s="82">
        <f>($L1533-$J1533)*100</f>
        <v/>
      </c>
      <c r="BA1533" s="82">
        <f>(2*$H1533-$F1533-$J1533)*100</f>
        <v/>
      </c>
      <c r="BB1533" s="82">
        <f>(2*$J1533-$H1533-$L1533)*100</f>
        <v/>
      </c>
      <c r="BC1533" s="82">
        <f>($N1533-$F1533)*100</f>
        <v/>
      </c>
      <c r="BD1533" s="82">
        <f>($Q1533-$H1533)*100</f>
        <v/>
      </c>
      <c r="BE1533" s="82">
        <f>($S1533-$J1533)*100</f>
        <v/>
      </c>
      <c r="BF1533" s="82">
        <f>($V1533-$L1533)*100</f>
        <v/>
      </c>
      <c r="BG1533" s="82">
        <f>$AG1533-$AF1533</f>
        <v/>
      </c>
      <c r="BH1533" s="81">
        <f>IFERROR($AG1533/$AF1533,"")</f>
        <v/>
      </c>
      <c r="BI1533" s="82">
        <f>$AJ1533-$AF1533</f>
        <v/>
      </c>
      <c r="BJ1533" s="81">
        <f>IFERROR($AJ1533/$AG1533,"")</f>
        <v/>
      </c>
      <c r="BK1533" s="81">
        <f>$X1533</f>
        <v/>
      </c>
      <c r="BL1533" s="82">
        <f>($J1533-$J1534)*100</f>
        <v/>
      </c>
      <c r="BM1533" s="82">
        <f>($F1533-$F1534)*100</f>
        <v/>
      </c>
      <c r="BN1533" s="82">
        <f>$AF1533-$AF1534</f>
        <v/>
      </c>
      <c r="BO1533" s="82">
        <f>$AG1533-$AG1534</f>
        <v/>
      </c>
      <c r="BP1533" s="82">
        <f>$AJ1533-$AJ1534</f>
        <v/>
      </c>
    </row>
    <row r="1534">
      <c r="AR1534" s="81">
        <f>($G1534+($H1534-$G1534)*0.5)+($P1534-($O1534+($Q1534-$O1534)*0.5))</f>
        <v/>
      </c>
      <c r="AS1534" s="81">
        <f>($J1534+($K1534-$J1534)*0.5)+($T1534-($S1534+($U1534-$S1534)*0.5))</f>
        <v/>
      </c>
      <c r="AT1534" s="82">
        <f>($J1534-$C1534)*100</f>
        <v/>
      </c>
      <c r="AU1534" s="82">
        <f>($H1534-$F1534)*100</f>
        <v/>
      </c>
      <c r="AV1534" s="82">
        <f>($J1534-$F1534)*100</f>
        <v/>
      </c>
      <c r="AW1534" s="82">
        <f>($L1534-$F1534)*100</f>
        <v/>
      </c>
      <c r="AX1534" s="82">
        <f>($J1534-$H1534)*100</f>
        <v/>
      </c>
      <c r="AY1534" s="82">
        <f>($L1534-$H1534)*100</f>
        <v/>
      </c>
      <c r="AZ1534" s="82">
        <f>($L1534-$J1534)*100</f>
        <v/>
      </c>
      <c r="BA1534" s="82">
        <f>(2*$H1534-$F1534-$J1534)*100</f>
        <v/>
      </c>
      <c r="BB1534" s="82">
        <f>(2*$J1534-$H1534-$L1534)*100</f>
        <v/>
      </c>
      <c r="BC1534" s="82">
        <f>($N1534-$F1534)*100</f>
        <v/>
      </c>
      <c r="BD1534" s="82">
        <f>($Q1534-$H1534)*100</f>
        <v/>
      </c>
      <c r="BE1534" s="82">
        <f>($S1534-$J1534)*100</f>
        <v/>
      </c>
      <c r="BF1534" s="82">
        <f>($V1534-$L1534)*100</f>
        <v/>
      </c>
      <c r="BG1534" s="82">
        <f>$AG1534-$AF1534</f>
        <v/>
      </c>
      <c r="BH1534" s="81">
        <f>IFERROR($AG1534/$AF1534,"")</f>
        <v/>
      </c>
      <c r="BI1534" s="82">
        <f>$AJ1534-$AF1534</f>
        <v/>
      </c>
      <c r="BJ1534" s="81">
        <f>IFERROR($AJ1534/$AG1534,"")</f>
        <v/>
      </c>
      <c r="BK1534" s="81">
        <f>$X1534</f>
        <v/>
      </c>
      <c r="BL1534" s="82">
        <f>($J1534-$J1535)*100</f>
        <v/>
      </c>
      <c r="BM1534" s="82">
        <f>($F1534-$F1535)*100</f>
        <v/>
      </c>
      <c r="BN1534" s="82">
        <f>$AF1534-$AF1535</f>
        <v/>
      </c>
      <c r="BO1534" s="82">
        <f>$AG1534-$AG1535</f>
        <v/>
      </c>
      <c r="BP1534" s="82">
        <f>$AJ1534-$AJ1535</f>
        <v/>
      </c>
    </row>
    <row r="1535">
      <c r="AR1535" s="81">
        <f>($G1535+($H1535-$G1535)*0.5)+($P1535-($O1535+($Q1535-$O1535)*0.5))</f>
        <v/>
      </c>
      <c r="AS1535" s="81">
        <f>($J1535+($K1535-$J1535)*0.5)+($T1535-($S1535+($U1535-$S1535)*0.5))</f>
        <v/>
      </c>
      <c r="AT1535" s="82">
        <f>($J1535-$C1535)*100</f>
        <v/>
      </c>
      <c r="AU1535" s="82">
        <f>($H1535-$F1535)*100</f>
        <v/>
      </c>
      <c r="AV1535" s="82">
        <f>($J1535-$F1535)*100</f>
        <v/>
      </c>
      <c r="AW1535" s="82">
        <f>($L1535-$F1535)*100</f>
        <v/>
      </c>
      <c r="AX1535" s="82">
        <f>($J1535-$H1535)*100</f>
        <v/>
      </c>
      <c r="AY1535" s="82">
        <f>($L1535-$H1535)*100</f>
        <v/>
      </c>
      <c r="AZ1535" s="82">
        <f>($L1535-$J1535)*100</f>
        <v/>
      </c>
      <c r="BA1535" s="82">
        <f>(2*$H1535-$F1535-$J1535)*100</f>
        <v/>
      </c>
      <c r="BB1535" s="82">
        <f>(2*$J1535-$H1535-$L1535)*100</f>
        <v/>
      </c>
      <c r="BC1535" s="82">
        <f>($N1535-$F1535)*100</f>
        <v/>
      </c>
      <c r="BD1535" s="82">
        <f>($Q1535-$H1535)*100</f>
        <v/>
      </c>
      <c r="BE1535" s="82">
        <f>($S1535-$J1535)*100</f>
        <v/>
      </c>
      <c r="BF1535" s="82">
        <f>($V1535-$L1535)*100</f>
        <v/>
      </c>
      <c r="BG1535" s="82">
        <f>$AG1535-$AF1535</f>
        <v/>
      </c>
      <c r="BH1535" s="81">
        <f>IFERROR($AG1535/$AF1535,"")</f>
        <v/>
      </c>
      <c r="BI1535" s="82">
        <f>$AJ1535-$AF1535</f>
        <v/>
      </c>
      <c r="BJ1535" s="81">
        <f>IFERROR($AJ1535/$AG1535,"")</f>
        <v/>
      </c>
      <c r="BK1535" s="81">
        <f>$X1535</f>
        <v/>
      </c>
      <c r="BL1535" s="82">
        <f>($J1535-$J1536)*100</f>
        <v/>
      </c>
      <c r="BM1535" s="82">
        <f>($F1535-$F1536)*100</f>
        <v/>
      </c>
      <c r="BN1535" s="82">
        <f>$AF1535-$AF1536</f>
        <v/>
      </c>
      <c r="BO1535" s="82">
        <f>$AG1535-$AG1536</f>
        <v/>
      </c>
      <c r="BP1535" s="82">
        <f>$AJ1535-$AJ1536</f>
        <v/>
      </c>
    </row>
    <row r="1536">
      <c r="AR1536" s="81">
        <f>($G1536+($H1536-$G1536)*0.5)+($P1536-($O1536+($Q1536-$O1536)*0.5))</f>
        <v/>
      </c>
      <c r="AS1536" s="81">
        <f>($J1536+($K1536-$J1536)*0.5)+($T1536-($S1536+($U1536-$S1536)*0.5))</f>
        <v/>
      </c>
      <c r="AT1536" s="82">
        <f>($J1536-$C1536)*100</f>
        <v/>
      </c>
      <c r="AU1536" s="82">
        <f>($H1536-$F1536)*100</f>
        <v/>
      </c>
      <c r="AV1536" s="82">
        <f>($J1536-$F1536)*100</f>
        <v/>
      </c>
      <c r="AW1536" s="82">
        <f>($L1536-$F1536)*100</f>
        <v/>
      </c>
      <c r="AX1536" s="82">
        <f>($J1536-$H1536)*100</f>
        <v/>
      </c>
      <c r="AY1536" s="82">
        <f>($L1536-$H1536)*100</f>
        <v/>
      </c>
      <c r="AZ1536" s="82">
        <f>($L1536-$J1536)*100</f>
        <v/>
      </c>
      <c r="BA1536" s="82">
        <f>(2*$H1536-$F1536-$J1536)*100</f>
        <v/>
      </c>
      <c r="BB1536" s="82">
        <f>(2*$J1536-$H1536-$L1536)*100</f>
        <v/>
      </c>
      <c r="BC1536" s="82">
        <f>($N1536-$F1536)*100</f>
        <v/>
      </c>
      <c r="BD1536" s="82">
        <f>($Q1536-$H1536)*100</f>
        <v/>
      </c>
      <c r="BE1536" s="82">
        <f>($S1536-$J1536)*100</f>
        <v/>
      </c>
      <c r="BF1536" s="82">
        <f>($V1536-$L1536)*100</f>
        <v/>
      </c>
      <c r="BG1536" s="82">
        <f>$AG1536-$AF1536</f>
        <v/>
      </c>
      <c r="BH1536" s="81">
        <f>IFERROR($AG1536/$AF1536,"")</f>
        <v/>
      </c>
      <c r="BI1536" s="82">
        <f>$AJ1536-$AF1536</f>
        <v/>
      </c>
      <c r="BJ1536" s="81">
        <f>IFERROR($AJ1536/$AG1536,"")</f>
        <v/>
      </c>
      <c r="BK1536" s="81">
        <f>$X1536</f>
        <v/>
      </c>
      <c r="BL1536" s="82">
        <f>($J1536-$J1537)*100</f>
        <v/>
      </c>
      <c r="BM1536" s="82">
        <f>($F1536-$F1537)*100</f>
        <v/>
      </c>
      <c r="BN1536" s="82">
        <f>$AF1536-$AF1537</f>
        <v/>
      </c>
      <c r="BO1536" s="82">
        <f>$AG1536-$AG1537</f>
        <v/>
      </c>
      <c r="BP1536" s="82">
        <f>$AJ1536-$AJ1537</f>
        <v/>
      </c>
    </row>
    <row r="1537">
      <c r="AR1537" s="81">
        <f>($G1537+($H1537-$G1537)*0.5)+($P1537-($O1537+($Q1537-$O1537)*0.5))</f>
        <v/>
      </c>
      <c r="AS1537" s="81">
        <f>($J1537+($K1537-$J1537)*0.5)+($T1537-($S1537+($U1537-$S1537)*0.5))</f>
        <v/>
      </c>
      <c r="AT1537" s="82">
        <f>($J1537-$C1537)*100</f>
        <v/>
      </c>
      <c r="AU1537" s="82">
        <f>($H1537-$F1537)*100</f>
        <v/>
      </c>
      <c r="AV1537" s="82">
        <f>($J1537-$F1537)*100</f>
        <v/>
      </c>
      <c r="AW1537" s="82">
        <f>($L1537-$F1537)*100</f>
        <v/>
      </c>
      <c r="AX1537" s="82">
        <f>($J1537-$H1537)*100</f>
        <v/>
      </c>
      <c r="AY1537" s="82">
        <f>($L1537-$H1537)*100</f>
        <v/>
      </c>
      <c r="AZ1537" s="82">
        <f>($L1537-$J1537)*100</f>
        <v/>
      </c>
      <c r="BA1537" s="82">
        <f>(2*$H1537-$F1537-$J1537)*100</f>
        <v/>
      </c>
      <c r="BB1537" s="82">
        <f>(2*$J1537-$H1537-$L1537)*100</f>
        <v/>
      </c>
      <c r="BC1537" s="82">
        <f>($N1537-$F1537)*100</f>
        <v/>
      </c>
      <c r="BD1537" s="82">
        <f>($Q1537-$H1537)*100</f>
        <v/>
      </c>
      <c r="BE1537" s="82">
        <f>($S1537-$J1537)*100</f>
        <v/>
      </c>
      <c r="BF1537" s="82">
        <f>($V1537-$L1537)*100</f>
        <v/>
      </c>
      <c r="BG1537" s="82">
        <f>$AG1537-$AF1537</f>
        <v/>
      </c>
      <c r="BH1537" s="81">
        <f>IFERROR($AG1537/$AF1537,"")</f>
        <v/>
      </c>
      <c r="BI1537" s="82">
        <f>$AJ1537-$AF1537</f>
        <v/>
      </c>
      <c r="BJ1537" s="81">
        <f>IFERROR($AJ1537/$AG1537,"")</f>
        <v/>
      </c>
      <c r="BK1537" s="81">
        <f>$X1537</f>
        <v/>
      </c>
      <c r="BL1537" s="82">
        <f>($J1537-$J1538)*100</f>
        <v/>
      </c>
      <c r="BM1537" s="82">
        <f>($F1537-$F1538)*100</f>
        <v/>
      </c>
      <c r="BN1537" s="82">
        <f>$AF1537-$AF1538</f>
        <v/>
      </c>
      <c r="BO1537" s="82">
        <f>$AG1537-$AG1538</f>
        <v/>
      </c>
      <c r="BP1537" s="82">
        <f>$AJ1537-$AJ1538</f>
        <v/>
      </c>
    </row>
    <row r="1538">
      <c r="AR1538" s="81">
        <f>($G1538+($H1538-$G1538)*0.5)+($P1538-($O1538+($Q1538-$O1538)*0.5))</f>
        <v/>
      </c>
      <c r="AS1538" s="81">
        <f>($J1538+($K1538-$J1538)*0.5)+($T1538-($S1538+($U1538-$S1538)*0.5))</f>
        <v/>
      </c>
      <c r="AT1538" s="82">
        <f>($J1538-$C1538)*100</f>
        <v/>
      </c>
      <c r="AU1538" s="82">
        <f>($H1538-$F1538)*100</f>
        <v/>
      </c>
      <c r="AV1538" s="82">
        <f>($J1538-$F1538)*100</f>
        <v/>
      </c>
      <c r="AW1538" s="82">
        <f>($L1538-$F1538)*100</f>
        <v/>
      </c>
      <c r="AX1538" s="82">
        <f>($J1538-$H1538)*100</f>
        <v/>
      </c>
      <c r="AY1538" s="82">
        <f>($L1538-$H1538)*100</f>
        <v/>
      </c>
      <c r="AZ1538" s="82">
        <f>($L1538-$J1538)*100</f>
        <v/>
      </c>
      <c r="BA1538" s="82">
        <f>(2*$H1538-$F1538-$J1538)*100</f>
        <v/>
      </c>
      <c r="BB1538" s="82">
        <f>(2*$J1538-$H1538-$L1538)*100</f>
        <v/>
      </c>
      <c r="BC1538" s="82">
        <f>($N1538-$F1538)*100</f>
        <v/>
      </c>
      <c r="BD1538" s="82">
        <f>($Q1538-$H1538)*100</f>
        <v/>
      </c>
      <c r="BE1538" s="82">
        <f>($S1538-$J1538)*100</f>
        <v/>
      </c>
      <c r="BF1538" s="82">
        <f>($V1538-$L1538)*100</f>
        <v/>
      </c>
      <c r="BG1538" s="82">
        <f>$AG1538-$AF1538</f>
        <v/>
      </c>
      <c r="BH1538" s="81">
        <f>IFERROR($AG1538/$AF1538,"")</f>
        <v/>
      </c>
      <c r="BI1538" s="82">
        <f>$AJ1538-$AF1538</f>
        <v/>
      </c>
      <c r="BJ1538" s="81">
        <f>IFERROR($AJ1538/$AG1538,"")</f>
        <v/>
      </c>
      <c r="BK1538" s="81">
        <f>$X1538</f>
        <v/>
      </c>
      <c r="BL1538" s="82">
        <f>($J1538-$J1539)*100</f>
        <v/>
      </c>
      <c r="BM1538" s="82">
        <f>($F1538-$F1539)*100</f>
        <v/>
      </c>
      <c r="BN1538" s="82">
        <f>$AF1538-$AF1539</f>
        <v/>
      </c>
      <c r="BO1538" s="82">
        <f>$AG1538-$AG1539</f>
        <v/>
      </c>
      <c r="BP1538" s="82">
        <f>$AJ1538-$AJ1539</f>
        <v/>
      </c>
    </row>
    <row r="1539">
      <c r="AR1539" s="81">
        <f>($G1539+($H1539-$G1539)*0.5)+($P1539-($O1539+($Q1539-$O1539)*0.5))</f>
        <v/>
      </c>
      <c r="AS1539" s="81">
        <f>($J1539+($K1539-$J1539)*0.5)+($T1539-($S1539+($U1539-$S1539)*0.5))</f>
        <v/>
      </c>
      <c r="AT1539" s="82">
        <f>($J1539-$C1539)*100</f>
        <v/>
      </c>
      <c r="AU1539" s="82">
        <f>($H1539-$F1539)*100</f>
        <v/>
      </c>
      <c r="AV1539" s="82">
        <f>($J1539-$F1539)*100</f>
        <v/>
      </c>
      <c r="AW1539" s="82">
        <f>($L1539-$F1539)*100</f>
        <v/>
      </c>
      <c r="AX1539" s="82">
        <f>($J1539-$H1539)*100</f>
        <v/>
      </c>
      <c r="AY1539" s="82">
        <f>($L1539-$H1539)*100</f>
        <v/>
      </c>
      <c r="AZ1539" s="82">
        <f>($L1539-$J1539)*100</f>
        <v/>
      </c>
      <c r="BA1539" s="82">
        <f>(2*$H1539-$F1539-$J1539)*100</f>
        <v/>
      </c>
      <c r="BB1539" s="82">
        <f>(2*$J1539-$H1539-$L1539)*100</f>
        <v/>
      </c>
      <c r="BC1539" s="82">
        <f>($N1539-$F1539)*100</f>
        <v/>
      </c>
      <c r="BD1539" s="82">
        <f>($Q1539-$H1539)*100</f>
        <v/>
      </c>
      <c r="BE1539" s="82">
        <f>($S1539-$J1539)*100</f>
        <v/>
      </c>
      <c r="BF1539" s="82">
        <f>($V1539-$L1539)*100</f>
        <v/>
      </c>
      <c r="BG1539" s="82">
        <f>$AG1539-$AF1539</f>
        <v/>
      </c>
      <c r="BH1539" s="81">
        <f>IFERROR($AG1539/$AF1539,"")</f>
        <v/>
      </c>
      <c r="BI1539" s="82">
        <f>$AJ1539-$AF1539</f>
        <v/>
      </c>
      <c r="BJ1539" s="81">
        <f>IFERROR($AJ1539/$AG1539,"")</f>
        <v/>
      </c>
      <c r="BK1539" s="81">
        <f>$X1539</f>
        <v/>
      </c>
      <c r="BL1539" s="82">
        <f>($J1539-$J1540)*100</f>
        <v/>
      </c>
      <c r="BM1539" s="82">
        <f>($F1539-$F1540)*100</f>
        <v/>
      </c>
      <c r="BN1539" s="82">
        <f>$AF1539-$AF1540</f>
        <v/>
      </c>
      <c r="BO1539" s="82">
        <f>$AG1539-$AG1540</f>
        <v/>
      </c>
      <c r="BP1539" s="82">
        <f>$AJ1539-$AJ1540</f>
        <v/>
      </c>
    </row>
    <row r="1540">
      <c r="AR1540" s="81">
        <f>($G1540+($H1540-$G1540)*0.5)+($P1540-($O1540+($Q1540-$O1540)*0.5))</f>
        <v/>
      </c>
      <c r="AS1540" s="81">
        <f>($J1540+($K1540-$J1540)*0.5)+($T1540-($S1540+($U1540-$S1540)*0.5))</f>
        <v/>
      </c>
      <c r="AT1540" s="82">
        <f>($J1540-$C1540)*100</f>
        <v/>
      </c>
      <c r="AU1540" s="82">
        <f>($H1540-$F1540)*100</f>
        <v/>
      </c>
      <c r="AV1540" s="82">
        <f>($J1540-$F1540)*100</f>
        <v/>
      </c>
      <c r="AW1540" s="82">
        <f>($L1540-$F1540)*100</f>
        <v/>
      </c>
      <c r="AX1540" s="82">
        <f>($J1540-$H1540)*100</f>
        <v/>
      </c>
      <c r="AY1540" s="82">
        <f>($L1540-$H1540)*100</f>
        <v/>
      </c>
      <c r="AZ1540" s="82">
        <f>($L1540-$J1540)*100</f>
        <v/>
      </c>
      <c r="BA1540" s="82">
        <f>(2*$H1540-$F1540-$J1540)*100</f>
        <v/>
      </c>
      <c r="BB1540" s="82">
        <f>(2*$J1540-$H1540-$L1540)*100</f>
        <v/>
      </c>
      <c r="BC1540" s="82">
        <f>($N1540-$F1540)*100</f>
        <v/>
      </c>
      <c r="BD1540" s="82">
        <f>($Q1540-$H1540)*100</f>
        <v/>
      </c>
      <c r="BE1540" s="82">
        <f>($S1540-$J1540)*100</f>
        <v/>
      </c>
      <c r="BF1540" s="82">
        <f>($V1540-$L1540)*100</f>
        <v/>
      </c>
      <c r="BG1540" s="82">
        <f>$AG1540-$AF1540</f>
        <v/>
      </c>
      <c r="BH1540" s="81">
        <f>IFERROR($AG1540/$AF1540,"")</f>
        <v/>
      </c>
      <c r="BI1540" s="82">
        <f>$AJ1540-$AF1540</f>
        <v/>
      </c>
      <c r="BJ1540" s="81">
        <f>IFERROR($AJ1540/$AG1540,"")</f>
        <v/>
      </c>
      <c r="BK1540" s="81">
        <f>$X1540</f>
        <v/>
      </c>
      <c r="BL1540" s="82">
        <f>($J1540-$J1541)*100</f>
        <v/>
      </c>
      <c r="BM1540" s="82">
        <f>($F1540-$F1541)*100</f>
        <v/>
      </c>
      <c r="BN1540" s="82">
        <f>$AF1540-$AF1541</f>
        <v/>
      </c>
      <c r="BO1540" s="82">
        <f>$AG1540-$AG1541</f>
        <v/>
      </c>
      <c r="BP1540" s="82">
        <f>$AJ1540-$AJ1541</f>
        <v/>
      </c>
    </row>
    <row r="1541">
      <c r="AR1541" s="81">
        <f>($G1541+($H1541-$G1541)*0.5)+($P1541-($O1541+($Q1541-$O1541)*0.5))</f>
        <v/>
      </c>
      <c r="AS1541" s="81">
        <f>($J1541+($K1541-$J1541)*0.5)+($T1541-($S1541+($U1541-$S1541)*0.5))</f>
        <v/>
      </c>
      <c r="AT1541" s="82">
        <f>($J1541-$C1541)*100</f>
        <v/>
      </c>
      <c r="AU1541" s="82">
        <f>($H1541-$F1541)*100</f>
        <v/>
      </c>
      <c r="AV1541" s="82">
        <f>($J1541-$F1541)*100</f>
        <v/>
      </c>
      <c r="AW1541" s="82">
        <f>($L1541-$F1541)*100</f>
        <v/>
      </c>
      <c r="AX1541" s="82">
        <f>($J1541-$H1541)*100</f>
        <v/>
      </c>
      <c r="AY1541" s="82">
        <f>($L1541-$H1541)*100</f>
        <v/>
      </c>
      <c r="AZ1541" s="82">
        <f>($L1541-$J1541)*100</f>
        <v/>
      </c>
      <c r="BA1541" s="82">
        <f>(2*$H1541-$F1541-$J1541)*100</f>
        <v/>
      </c>
      <c r="BB1541" s="82">
        <f>(2*$J1541-$H1541-$L1541)*100</f>
        <v/>
      </c>
      <c r="BC1541" s="82">
        <f>($N1541-$F1541)*100</f>
        <v/>
      </c>
      <c r="BD1541" s="82">
        <f>($Q1541-$H1541)*100</f>
        <v/>
      </c>
      <c r="BE1541" s="82">
        <f>($S1541-$J1541)*100</f>
        <v/>
      </c>
      <c r="BF1541" s="82">
        <f>($V1541-$L1541)*100</f>
        <v/>
      </c>
      <c r="BG1541" s="82">
        <f>$AG1541-$AF1541</f>
        <v/>
      </c>
      <c r="BH1541" s="81">
        <f>IFERROR($AG1541/$AF1541,"")</f>
        <v/>
      </c>
      <c r="BI1541" s="82">
        <f>$AJ1541-$AF1541</f>
        <v/>
      </c>
      <c r="BJ1541" s="81">
        <f>IFERROR($AJ1541/$AG1541,"")</f>
        <v/>
      </c>
      <c r="BK1541" s="81">
        <f>$X1541</f>
        <v/>
      </c>
      <c r="BL1541" s="82">
        <f>($J1541-$J1542)*100</f>
        <v/>
      </c>
      <c r="BM1541" s="82">
        <f>($F1541-$F1542)*100</f>
        <v/>
      </c>
      <c r="BN1541" s="82">
        <f>$AF1541-$AF1542</f>
        <v/>
      </c>
      <c r="BO1541" s="82">
        <f>$AG1541-$AG1542</f>
        <v/>
      </c>
      <c r="BP1541" s="82">
        <f>$AJ1541-$AJ1542</f>
        <v/>
      </c>
    </row>
    <row r="1542">
      <c r="AR1542" s="81">
        <f>($G1542+($H1542-$G1542)*0.5)+($P1542-($O1542+($Q1542-$O1542)*0.5))</f>
        <v/>
      </c>
      <c r="AS1542" s="81">
        <f>($J1542+($K1542-$J1542)*0.5)+($T1542-($S1542+($U1542-$S1542)*0.5))</f>
        <v/>
      </c>
      <c r="AT1542" s="82">
        <f>($J1542-$C1542)*100</f>
        <v/>
      </c>
      <c r="AU1542" s="82">
        <f>($H1542-$F1542)*100</f>
        <v/>
      </c>
      <c r="AV1542" s="82">
        <f>($J1542-$F1542)*100</f>
        <v/>
      </c>
      <c r="AW1542" s="82">
        <f>($L1542-$F1542)*100</f>
        <v/>
      </c>
      <c r="AX1542" s="82">
        <f>($J1542-$H1542)*100</f>
        <v/>
      </c>
      <c r="AY1542" s="82">
        <f>($L1542-$H1542)*100</f>
        <v/>
      </c>
      <c r="AZ1542" s="82">
        <f>($L1542-$J1542)*100</f>
        <v/>
      </c>
      <c r="BA1542" s="82">
        <f>(2*$H1542-$F1542-$J1542)*100</f>
        <v/>
      </c>
      <c r="BB1542" s="82">
        <f>(2*$J1542-$H1542-$L1542)*100</f>
        <v/>
      </c>
      <c r="BC1542" s="82">
        <f>($N1542-$F1542)*100</f>
        <v/>
      </c>
      <c r="BD1542" s="82">
        <f>($Q1542-$H1542)*100</f>
        <v/>
      </c>
      <c r="BE1542" s="82">
        <f>($S1542-$J1542)*100</f>
        <v/>
      </c>
      <c r="BF1542" s="82">
        <f>($V1542-$L1542)*100</f>
        <v/>
      </c>
      <c r="BG1542" s="82">
        <f>$AG1542-$AF1542</f>
        <v/>
      </c>
      <c r="BH1542" s="81">
        <f>IFERROR($AG1542/$AF1542,"")</f>
        <v/>
      </c>
      <c r="BI1542" s="82">
        <f>$AJ1542-$AF1542</f>
        <v/>
      </c>
      <c r="BJ1542" s="81">
        <f>IFERROR($AJ1542/$AG1542,"")</f>
        <v/>
      </c>
      <c r="BK1542" s="81">
        <f>$X1542</f>
        <v/>
      </c>
      <c r="BL1542" s="82">
        <f>($J1542-$J1543)*100</f>
        <v/>
      </c>
      <c r="BM1542" s="82">
        <f>($F1542-$F1543)*100</f>
        <v/>
      </c>
      <c r="BN1542" s="82">
        <f>$AF1542-$AF1543</f>
        <v/>
      </c>
      <c r="BO1542" s="82">
        <f>$AG1542-$AG1543</f>
        <v/>
      </c>
      <c r="BP1542" s="82">
        <f>$AJ1542-$AJ1543</f>
        <v/>
      </c>
    </row>
    <row r="1543">
      <c r="AR1543" s="81">
        <f>($G1543+($H1543-$G1543)*0.5)+($P1543-($O1543+($Q1543-$O1543)*0.5))</f>
        <v/>
      </c>
      <c r="AS1543" s="81">
        <f>($J1543+($K1543-$J1543)*0.5)+($T1543-($S1543+($U1543-$S1543)*0.5))</f>
        <v/>
      </c>
      <c r="AT1543" s="82">
        <f>($J1543-$C1543)*100</f>
        <v/>
      </c>
      <c r="AU1543" s="82">
        <f>($H1543-$F1543)*100</f>
        <v/>
      </c>
      <c r="AV1543" s="82">
        <f>($J1543-$F1543)*100</f>
        <v/>
      </c>
      <c r="AW1543" s="82">
        <f>($L1543-$F1543)*100</f>
        <v/>
      </c>
      <c r="AX1543" s="82">
        <f>($J1543-$H1543)*100</f>
        <v/>
      </c>
      <c r="AY1543" s="82">
        <f>($L1543-$H1543)*100</f>
        <v/>
      </c>
      <c r="AZ1543" s="82">
        <f>($L1543-$J1543)*100</f>
        <v/>
      </c>
      <c r="BA1543" s="82">
        <f>(2*$H1543-$F1543-$J1543)*100</f>
        <v/>
      </c>
      <c r="BB1543" s="82">
        <f>(2*$J1543-$H1543-$L1543)*100</f>
        <v/>
      </c>
      <c r="BC1543" s="82">
        <f>($N1543-$F1543)*100</f>
        <v/>
      </c>
      <c r="BD1543" s="82">
        <f>($Q1543-$H1543)*100</f>
        <v/>
      </c>
      <c r="BE1543" s="82">
        <f>($S1543-$J1543)*100</f>
        <v/>
      </c>
      <c r="BF1543" s="82">
        <f>($V1543-$L1543)*100</f>
        <v/>
      </c>
      <c r="BG1543" s="82">
        <f>$AG1543-$AF1543</f>
        <v/>
      </c>
      <c r="BH1543" s="81">
        <f>IFERROR($AG1543/$AF1543,"")</f>
        <v/>
      </c>
      <c r="BI1543" s="82">
        <f>$AJ1543-$AF1543</f>
        <v/>
      </c>
      <c r="BJ1543" s="81">
        <f>IFERROR($AJ1543/$AG1543,"")</f>
        <v/>
      </c>
      <c r="BK1543" s="81">
        <f>$X1543</f>
        <v/>
      </c>
      <c r="BL1543" s="82">
        <f>($J1543-$J1544)*100</f>
        <v/>
      </c>
      <c r="BM1543" s="82">
        <f>($F1543-$F1544)*100</f>
        <v/>
      </c>
      <c r="BN1543" s="82">
        <f>$AF1543-$AF1544</f>
        <v/>
      </c>
      <c r="BO1543" s="82">
        <f>$AG1543-$AG1544</f>
        <v/>
      </c>
      <c r="BP1543" s="82">
        <f>$AJ1543-$AJ1544</f>
        <v/>
      </c>
    </row>
    <row r="1544">
      <c r="AR1544" s="81">
        <f>($G1544+($H1544-$G1544)*0.5)+($P1544-($O1544+($Q1544-$O1544)*0.5))</f>
        <v/>
      </c>
      <c r="AS1544" s="81">
        <f>($J1544+($K1544-$J1544)*0.5)+($T1544-($S1544+($U1544-$S1544)*0.5))</f>
        <v/>
      </c>
      <c r="AT1544" s="82">
        <f>($J1544-$C1544)*100</f>
        <v/>
      </c>
      <c r="AU1544" s="82">
        <f>($H1544-$F1544)*100</f>
        <v/>
      </c>
      <c r="AV1544" s="82">
        <f>($J1544-$F1544)*100</f>
        <v/>
      </c>
      <c r="AW1544" s="82">
        <f>($L1544-$F1544)*100</f>
        <v/>
      </c>
      <c r="AX1544" s="82">
        <f>($J1544-$H1544)*100</f>
        <v/>
      </c>
      <c r="AY1544" s="82">
        <f>($L1544-$H1544)*100</f>
        <v/>
      </c>
      <c r="AZ1544" s="82">
        <f>($L1544-$J1544)*100</f>
        <v/>
      </c>
      <c r="BA1544" s="82">
        <f>(2*$H1544-$F1544-$J1544)*100</f>
        <v/>
      </c>
      <c r="BB1544" s="82">
        <f>(2*$J1544-$H1544-$L1544)*100</f>
        <v/>
      </c>
      <c r="BC1544" s="82">
        <f>($N1544-$F1544)*100</f>
        <v/>
      </c>
      <c r="BD1544" s="82">
        <f>($Q1544-$H1544)*100</f>
        <v/>
      </c>
      <c r="BE1544" s="82">
        <f>($S1544-$J1544)*100</f>
        <v/>
      </c>
      <c r="BF1544" s="82">
        <f>($V1544-$L1544)*100</f>
        <v/>
      </c>
      <c r="BG1544" s="82">
        <f>$AG1544-$AF1544</f>
        <v/>
      </c>
      <c r="BH1544" s="81">
        <f>IFERROR($AG1544/$AF1544,"")</f>
        <v/>
      </c>
      <c r="BI1544" s="82">
        <f>$AJ1544-$AF1544</f>
        <v/>
      </c>
      <c r="BJ1544" s="81">
        <f>IFERROR($AJ1544/$AG1544,"")</f>
        <v/>
      </c>
      <c r="BK1544" s="81">
        <f>$X1544</f>
        <v/>
      </c>
      <c r="BL1544" s="82">
        <f>($J1544-$J1545)*100</f>
        <v/>
      </c>
      <c r="BM1544" s="82">
        <f>($F1544-$F1545)*100</f>
        <v/>
      </c>
      <c r="BN1544" s="82">
        <f>$AF1544-$AF1545</f>
        <v/>
      </c>
      <c r="BO1544" s="82">
        <f>$AG1544-$AG1545</f>
        <v/>
      </c>
      <c r="BP1544" s="82">
        <f>$AJ1544-$AJ1545</f>
        <v/>
      </c>
    </row>
    <row r="1545">
      <c r="AR1545" s="81">
        <f>($G1545+($H1545-$G1545)*0.5)+($P1545-($O1545+($Q1545-$O1545)*0.5))</f>
        <v/>
      </c>
      <c r="AS1545" s="81">
        <f>($J1545+($K1545-$J1545)*0.5)+($T1545-($S1545+($U1545-$S1545)*0.5))</f>
        <v/>
      </c>
      <c r="AT1545" s="82">
        <f>($J1545-$C1545)*100</f>
        <v/>
      </c>
      <c r="AU1545" s="82">
        <f>($H1545-$F1545)*100</f>
        <v/>
      </c>
      <c r="AV1545" s="82">
        <f>($J1545-$F1545)*100</f>
        <v/>
      </c>
      <c r="AW1545" s="82">
        <f>($L1545-$F1545)*100</f>
        <v/>
      </c>
      <c r="AX1545" s="82">
        <f>($J1545-$H1545)*100</f>
        <v/>
      </c>
      <c r="AY1545" s="82">
        <f>($L1545-$H1545)*100</f>
        <v/>
      </c>
      <c r="AZ1545" s="82">
        <f>($L1545-$J1545)*100</f>
        <v/>
      </c>
      <c r="BA1545" s="82">
        <f>(2*$H1545-$F1545-$J1545)*100</f>
        <v/>
      </c>
      <c r="BB1545" s="82">
        <f>(2*$J1545-$H1545-$L1545)*100</f>
        <v/>
      </c>
      <c r="BC1545" s="82">
        <f>($N1545-$F1545)*100</f>
        <v/>
      </c>
      <c r="BD1545" s="82">
        <f>($Q1545-$H1545)*100</f>
        <v/>
      </c>
      <c r="BE1545" s="82">
        <f>($S1545-$J1545)*100</f>
        <v/>
      </c>
      <c r="BF1545" s="82">
        <f>($V1545-$L1545)*100</f>
        <v/>
      </c>
      <c r="BG1545" s="82">
        <f>$AG1545-$AF1545</f>
        <v/>
      </c>
      <c r="BH1545" s="81">
        <f>IFERROR($AG1545/$AF1545,"")</f>
        <v/>
      </c>
      <c r="BI1545" s="82">
        <f>$AJ1545-$AF1545</f>
        <v/>
      </c>
      <c r="BJ1545" s="81">
        <f>IFERROR($AJ1545/$AG1545,"")</f>
        <v/>
      </c>
      <c r="BK1545" s="81">
        <f>$X1545</f>
        <v/>
      </c>
      <c r="BL1545" s="82">
        <f>($J1545-$J1546)*100</f>
        <v/>
      </c>
      <c r="BM1545" s="82">
        <f>($F1545-$F1546)*100</f>
        <v/>
      </c>
      <c r="BN1545" s="82">
        <f>$AF1545-$AF1546</f>
        <v/>
      </c>
      <c r="BO1545" s="82">
        <f>$AG1545-$AG1546</f>
        <v/>
      </c>
      <c r="BP1545" s="82">
        <f>$AJ1545-$AJ1546</f>
        <v/>
      </c>
    </row>
    <row r="1546">
      <c r="AR1546" s="81">
        <f>($G1546+($H1546-$G1546)*0.5)+($P1546-($O1546+($Q1546-$O1546)*0.5))</f>
        <v/>
      </c>
      <c r="AS1546" s="81">
        <f>($J1546+($K1546-$J1546)*0.5)+($T1546-($S1546+($U1546-$S1546)*0.5))</f>
        <v/>
      </c>
      <c r="AT1546" s="82">
        <f>($J1546-$C1546)*100</f>
        <v/>
      </c>
      <c r="AU1546" s="82">
        <f>($H1546-$F1546)*100</f>
        <v/>
      </c>
      <c r="AV1546" s="82">
        <f>($J1546-$F1546)*100</f>
        <v/>
      </c>
      <c r="AW1546" s="82">
        <f>($L1546-$F1546)*100</f>
        <v/>
      </c>
      <c r="AX1546" s="82">
        <f>($J1546-$H1546)*100</f>
        <v/>
      </c>
      <c r="AY1546" s="82">
        <f>($L1546-$H1546)*100</f>
        <v/>
      </c>
      <c r="AZ1546" s="82">
        <f>($L1546-$J1546)*100</f>
        <v/>
      </c>
      <c r="BA1546" s="82">
        <f>(2*$H1546-$F1546-$J1546)*100</f>
        <v/>
      </c>
      <c r="BB1546" s="82">
        <f>(2*$J1546-$H1546-$L1546)*100</f>
        <v/>
      </c>
      <c r="BC1546" s="82">
        <f>($N1546-$F1546)*100</f>
        <v/>
      </c>
      <c r="BD1546" s="82">
        <f>($Q1546-$H1546)*100</f>
        <v/>
      </c>
      <c r="BE1546" s="82">
        <f>($S1546-$J1546)*100</f>
        <v/>
      </c>
      <c r="BF1546" s="82">
        <f>($V1546-$L1546)*100</f>
        <v/>
      </c>
      <c r="BG1546" s="82">
        <f>$AG1546-$AF1546</f>
        <v/>
      </c>
      <c r="BH1546" s="81">
        <f>IFERROR($AG1546/$AF1546,"")</f>
        <v/>
      </c>
      <c r="BI1546" s="82">
        <f>$AJ1546-$AF1546</f>
        <v/>
      </c>
      <c r="BJ1546" s="81">
        <f>IFERROR($AJ1546/$AG1546,"")</f>
        <v/>
      </c>
      <c r="BK1546" s="81">
        <f>$X1546</f>
        <v/>
      </c>
      <c r="BL1546" s="82">
        <f>($J1546-$J1547)*100</f>
        <v/>
      </c>
      <c r="BM1546" s="82">
        <f>($F1546-$F1547)*100</f>
        <v/>
      </c>
      <c r="BN1546" s="82">
        <f>$AF1546-$AF1547</f>
        <v/>
      </c>
      <c r="BO1546" s="82">
        <f>$AG1546-$AG1547</f>
        <v/>
      </c>
      <c r="BP1546" s="82">
        <f>$AJ1546-$AJ1547</f>
        <v/>
      </c>
    </row>
    <row r="1547">
      <c r="AR1547" s="81">
        <f>($G1547+($H1547-$G1547)*0.5)+($P1547-($O1547+($Q1547-$O1547)*0.5))</f>
        <v/>
      </c>
      <c r="AS1547" s="81">
        <f>($J1547+($K1547-$J1547)*0.5)+($T1547-($S1547+($U1547-$S1547)*0.5))</f>
        <v/>
      </c>
      <c r="AT1547" s="82">
        <f>($J1547-$C1547)*100</f>
        <v/>
      </c>
      <c r="AU1547" s="82">
        <f>($H1547-$F1547)*100</f>
        <v/>
      </c>
      <c r="AV1547" s="82">
        <f>($J1547-$F1547)*100</f>
        <v/>
      </c>
      <c r="AW1547" s="82">
        <f>($L1547-$F1547)*100</f>
        <v/>
      </c>
      <c r="AX1547" s="82">
        <f>($J1547-$H1547)*100</f>
        <v/>
      </c>
      <c r="AY1547" s="82">
        <f>($L1547-$H1547)*100</f>
        <v/>
      </c>
      <c r="AZ1547" s="82">
        <f>($L1547-$J1547)*100</f>
        <v/>
      </c>
      <c r="BA1547" s="82">
        <f>(2*$H1547-$F1547-$J1547)*100</f>
        <v/>
      </c>
      <c r="BB1547" s="82">
        <f>(2*$J1547-$H1547-$L1547)*100</f>
        <v/>
      </c>
      <c r="BC1547" s="82">
        <f>($N1547-$F1547)*100</f>
        <v/>
      </c>
      <c r="BD1547" s="82">
        <f>($Q1547-$H1547)*100</f>
        <v/>
      </c>
      <c r="BE1547" s="82">
        <f>($S1547-$J1547)*100</f>
        <v/>
      </c>
      <c r="BF1547" s="82">
        <f>($V1547-$L1547)*100</f>
        <v/>
      </c>
      <c r="BG1547" s="82">
        <f>$AG1547-$AF1547</f>
        <v/>
      </c>
      <c r="BH1547" s="81">
        <f>IFERROR($AG1547/$AF1547,"")</f>
        <v/>
      </c>
      <c r="BI1547" s="82">
        <f>$AJ1547-$AF1547</f>
        <v/>
      </c>
      <c r="BJ1547" s="81">
        <f>IFERROR($AJ1547/$AG1547,"")</f>
        <v/>
      </c>
      <c r="BK1547" s="81">
        <f>$X1547</f>
        <v/>
      </c>
      <c r="BL1547" s="82">
        <f>($J1547-$J1548)*100</f>
        <v/>
      </c>
      <c r="BM1547" s="82">
        <f>($F1547-$F1548)*100</f>
        <v/>
      </c>
      <c r="BN1547" s="82">
        <f>$AF1547-$AF1548</f>
        <v/>
      </c>
      <c r="BO1547" s="82">
        <f>$AG1547-$AG1548</f>
        <v/>
      </c>
      <c r="BP1547" s="82">
        <f>$AJ1547-$AJ1548</f>
        <v/>
      </c>
    </row>
    <row r="1548">
      <c r="AR1548" s="81">
        <f>($G1548+($H1548-$G1548)*0.5)+($P1548-($O1548+($Q1548-$O1548)*0.5))</f>
        <v/>
      </c>
      <c r="AS1548" s="81">
        <f>($J1548+($K1548-$J1548)*0.5)+($T1548-($S1548+($U1548-$S1548)*0.5))</f>
        <v/>
      </c>
      <c r="AT1548" s="82">
        <f>($J1548-$C1548)*100</f>
        <v/>
      </c>
      <c r="AU1548" s="82">
        <f>($H1548-$F1548)*100</f>
        <v/>
      </c>
      <c r="AV1548" s="82">
        <f>($J1548-$F1548)*100</f>
        <v/>
      </c>
      <c r="AW1548" s="82">
        <f>($L1548-$F1548)*100</f>
        <v/>
      </c>
      <c r="AX1548" s="82">
        <f>($J1548-$H1548)*100</f>
        <v/>
      </c>
      <c r="AY1548" s="82">
        <f>($L1548-$H1548)*100</f>
        <v/>
      </c>
      <c r="AZ1548" s="82">
        <f>($L1548-$J1548)*100</f>
        <v/>
      </c>
      <c r="BA1548" s="82">
        <f>(2*$H1548-$F1548-$J1548)*100</f>
        <v/>
      </c>
      <c r="BB1548" s="82">
        <f>(2*$J1548-$H1548-$L1548)*100</f>
        <v/>
      </c>
      <c r="BC1548" s="82">
        <f>($N1548-$F1548)*100</f>
        <v/>
      </c>
      <c r="BD1548" s="82">
        <f>($Q1548-$H1548)*100</f>
        <v/>
      </c>
      <c r="BE1548" s="82">
        <f>($S1548-$J1548)*100</f>
        <v/>
      </c>
      <c r="BF1548" s="82">
        <f>($V1548-$L1548)*100</f>
        <v/>
      </c>
      <c r="BG1548" s="82">
        <f>$AG1548-$AF1548</f>
        <v/>
      </c>
      <c r="BH1548" s="81">
        <f>IFERROR($AG1548/$AF1548,"")</f>
        <v/>
      </c>
      <c r="BI1548" s="82">
        <f>$AJ1548-$AF1548</f>
        <v/>
      </c>
      <c r="BJ1548" s="81">
        <f>IFERROR($AJ1548/$AG1548,"")</f>
        <v/>
      </c>
      <c r="BK1548" s="81">
        <f>$X1548</f>
        <v/>
      </c>
      <c r="BL1548" s="82">
        <f>($J1548-$J1549)*100</f>
        <v/>
      </c>
      <c r="BM1548" s="82">
        <f>($F1548-$F1549)*100</f>
        <v/>
      </c>
      <c r="BN1548" s="82">
        <f>$AF1548-$AF1549</f>
        <v/>
      </c>
      <c r="BO1548" s="82">
        <f>$AG1548-$AG1549</f>
        <v/>
      </c>
      <c r="BP1548" s="82">
        <f>$AJ1548-$AJ1549</f>
        <v/>
      </c>
    </row>
    <row r="1549">
      <c r="AR1549" s="81">
        <f>($G1549+($H1549-$G1549)*0.5)+($P1549-($O1549+($Q1549-$O1549)*0.5))</f>
        <v/>
      </c>
      <c r="AS1549" s="81">
        <f>($J1549+($K1549-$J1549)*0.5)+($T1549-($S1549+($U1549-$S1549)*0.5))</f>
        <v/>
      </c>
      <c r="AT1549" s="82">
        <f>($J1549-$C1549)*100</f>
        <v/>
      </c>
      <c r="AU1549" s="82">
        <f>($H1549-$F1549)*100</f>
        <v/>
      </c>
      <c r="AV1549" s="82">
        <f>($J1549-$F1549)*100</f>
        <v/>
      </c>
      <c r="AW1549" s="82">
        <f>($L1549-$F1549)*100</f>
        <v/>
      </c>
      <c r="AX1549" s="82">
        <f>($J1549-$H1549)*100</f>
        <v/>
      </c>
      <c r="AY1549" s="82">
        <f>($L1549-$H1549)*100</f>
        <v/>
      </c>
      <c r="AZ1549" s="82">
        <f>($L1549-$J1549)*100</f>
        <v/>
      </c>
      <c r="BA1549" s="82">
        <f>(2*$H1549-$F1549-$J1549)*100</f>
        <v/>
      </c>
      <c r="BB1549" s="82">
        <f>(2*$J1549-$H1549-$L1549)*100</f>
        <v/>
      </c>
      <c r="BC1549" s="82">
        <f>($N1549-$F1549)*100</f>
        <v/>
      </c>
      <c r="BD1549" s="82">
        <f>($Q1549-$H1549)*100</f>
        <v/>
      </c>
      <c r="BE1549" s="82">
        <f>($S1549-$J1549)*100</f>
        <v/>
      </c>
      <c r="BF1549" s="82">
        <f>($V1549-$L1549)*100</f>
        <v/>
      </c>
      <c r="BG1549" s="82">
        <f>$AG1549-$AF1549</f>
        <v/>
      </c>
      <c r="BH1549" s="81">
        <f>IFERROR($AG1549/$AF1549,"")</f>
        <v/>
      </c>
      <c r="BI1549" s="82">
        <f>$AJ1549-$AF1549</f>
        <v/>
      </c>
      <c r="BJ1549" s="81">
        <f>IFERROR($AJ1549/$AG1549,"")</f>
        <v/>
      </c>
      <c r="BK1549" s="81">
        <f>$X1549</f>
        <v/>
      </c>
      <c r="BL1549" s="82">
        <f>($J1549-$J1550)*100</f>
        <v/>
      </c>
      <c r="BM1549" s="82">
        <f>($F1549-$F1550)*100</f>
        <v/>
      </c>
      <c r="BN1549" s="82">
        <f>$AF1549-$AF1550</f>
        <v/>
      </c>
      <c r="BO1549" s="82">
        <f>$AG1549-$AG1550</f>
        <v/>
      </c>
      <c r="BP1549" s="82">
        <f>$AJ1549-$AJ1550</f>
        <v/>
      </c>
    </row>
    <row r="1550">
      <c r="AR1550" s="81">
        <f>($G1550+($H1550-$G1550)*0.5)+($P1550-($O1550+($Q1550-$O1550)*0.5))</f>
        <v/>
      </c>
      <c r="AS1550" s="81">
        <f>($J1550+($K1550-$J1550)*0.5)+($T1550-($S1550+($U1550-$S1550)*0.5))</f>
        <v/>
      </c>
      <c r="AT1550" s="82">
        <f>($J1550-$C1550)*100</f>
        <v/>
      </c>
      <c r="AU1550" s="82">
        <f>($H1550-$F1550)*100</f>
        <v/>
      </c>
      <c r="AV1550" s="82">
        <f>($J1550-$F1550)*100</f>
        <v/>
      </c>
      <c r="AW1550" s="82">
        <f>($L1550-$F1550)*100</f>
        <v/>
      </c>
      <c r="AX1550" s="82">
        <f>($J1550-$H1550)*100</f>
        <v/>
      </c>
      <c r="AY1550" s="82">
        <f>($L1550-$H1550)*100</f>
        <v/>
      </c>
      <c r="AZ1550" s="82">
        <f>($L1550-$J1550)*100</f>
        <v/>
      </c>
      <c r="BA1550" s="82">
        <f>(2*$H1550-$F1550-$J1550)*100</f>
        <v/>
      </c>
      <c r="BB1550" s="82">
        <f>(2*$J1550-$H1550-$L1550)*100</f>
        <v/>
      </c>
      <c r="BC1550" s="82">
        <f>($N1550-$F1550)*100</f>
        <v/>
      </c>
      <c r="BD1550" s="82">
        <f>($Q1550-$H1550)*100</f>
        <v/>
      </c>
      <c r="BE1550" s="82">
        <f>($S1550-$J1550)*100</f>
        <v/>
      </c>
      <c r="BF1550" s="82">
        <f>($V1550-$L1550)*100</f>
        <v/>
      </c>
      <c r="BG1550" s="82">
        <f>$AG1550-$AF1550</f>
        <v/>
      </c>
      <c r="BH1550" s="81">
        <f>IFERROR($AG1550/$AF1550,"")</f>
        <v/>
      </c>
      <c r="BI1550" s="82">
        <f>$AJ1550-$AF1550</f>
        <v/>
      </c>
      <c r="BJ1550" s="81">
        <f>IFERROR($AJ1550/$AG1550,"")</f>
        <v/>
      </c>
      <c r="BK1550" s="81">
        <f>$X1550</f>
        <v/>
      </c>
      <c r="BL1550" s="82">
        <f>($J1550-$J1551)*100</f>
        <v/>
      </c>
      <c r="BM1550" s="82">
        <f>($F1550-$F1551)*100</f>
        <v/>
      </c>
      <c r="BN1550" s="82">
        <f>$AF1550-$AF1551</f>
        <v/>
      </c>
      <c r="BO1550" s="82">
        <f>$AG1550-$AG1551</f>
        <v/>
      </c>
      <c r="BP1550" s="82">
        <f>$AJ1550-$AJ1551</f>
        <v/>
      </c>
    </row>
    <row r="1551">
      <c r="AR1551" s="81">
        <f>($G1551+($H1551-$G1551)*0.5)+($P1551-($O1551+($Q1551-$O1551)*0.5))</f>
        <v/>
      </c>
      <c r="AS1551" s="81">
        <f>($J1551+($K1551-$J1551)*0.5)+($T1551-($S1551+($U1551-$S1551)*0.5))</f>
        <v/>
      </c>
      <c r="AT1551" s="82">
        <f>($J1551-$C1551)*100</f>
        <v/>
      </c>
      <c r="AU1551" s="82">
        <f>($H1551-$F1551)*100</f>
        <v/>
      </c>
      <c r="AV1551" s="82">
        <f>($J1551-$F1551)*100</f>
        <v/>
      </c>
      <c r="AW1551" s="82">
        <f>($L1551-$F1551)*100</f>
        <v/>
      </c>
      <c r="AX1551" s="82">
        <f>($J1551-$H1551)*100</f>
        <v/>
      </c>
      <c r="AY1551" s="82">
        <f>($L1551-$H1551)*100</f>
        <v/>
      </c>
      <c r="AZ1551" s="82">
        <f>($L1551-$J1551)*100</f>
        <v/>
      </c>
      <c r="BA1551" s="82">
        <f>(2*$H1551-$F1551-$J1551)*100</f>
        <v/>
      </c>
      <c r="BB1551" s="82">
        <f>(2*$J1551-$H1551-$L1551)*100</f>
        <v/>
      </c>
      <c r="BC1551" s="82">
        <f>($N1551-$F1551)*100</f>
        <v/>
      </c>
      <c r="BD1551" s="82">
        <f>($Q1551-$H1551)*100</f>
        <v/>
      </c>
      <c r="BE1551" s="82">
        <f>($S1551-$J1551)*100</f>
        <v/>
      </c>
      <c r="BF1551" s="82">
        <f>($V1551-$L1551)*100</f>
        <v/>
      </c>
      <c r="BG1551" s="82">
        <f>$AG1551-$AF1551</f>
        <v/>
      </c>
      <c r="BH1551" s="81">
        <f>IFERROR($AG1551/$AF1551,"")</f>
        <v/>
      </c>
      <c r="BI1551" s="82">
        <f>$AJ1551-$AF1551</f>
        <v/>
      </c>
      <c r="BJ1551" s="81">
        <f>IFERROR($AJ1551/$AG1551,"")</f>
        <v/>
      </c>
      <c r="BK1551" s="81">
        <f>$X1551</f>
        <v/>
      </c>
      <c r="BL1551" s="82">
        <f>($J1551-$J1552)*100</f>
        <v/>
      </c>
      <c r="BM1551" s="82">
        <f>($F1551-$F1552)*100</f>
        <v/>
      </c>
      <c r="BN1551" s="82">
        <f>$AF1551-$AF1552</f>
        <v/>
      </c>
      <c r="BO1551" s="82">
        <f>$AG1551-$AG1552</f>
        <v/>
      </c>
      <c r="BP1551" s="82">
        <f>$AJ1551-$AJ1552</f>
        <v/>
      </c>
    </row>
    <row r="1552">
      <c r="AR1552" s="81">
        <f>($G1552+($H1552-$G1552)*0.5)+($P1552-($O1552+($Q1552-$O1552)*0.5))</f>
        <v/>
      </c>
      <c r="AS1552" s="81">
        <f>($J1552+($K1552-$J1552)*0.5)+($T1552-($S1552+($U1552-$S1552)*0.5))</f>
        <v/>
      </c>
      <c r="AT1552" s="82">
        <f>($J1552-$C1552)*100</f>
        <v/>
      </c>
      <c r="AU1552" s="82">
        <f>($H1552-$F1552)*100</f>
        <v/>
      </c>
      <c r="AV1552" s="82">
        <f>($J1552-$F1552)*100</f>
        <v/>
      </c>
      <c r="AW1552" s="82">
        <f>($L1552-$F1552)*100</f>
        <v/>
      </c>
      <c r="AX1552" s="82">
        <f>($J1552-$H1552)*100</f>
        <v/>
      </c>
      <c r="AY1552" s="82">
        <f>($L1552-$H1552)*100</f>
        <v/>
      </c>
      <c r="AZ1552" s="82">
        <f>($L1552-$J1552)*100</f>
        <v/>
      </c>
      <c r="BA1552" s="82">
        <f>(2*$H1552-$F1552-$J1552)*100</f>
        <v/>
      </c>
      <c r="BB1552" s="82">
        <f>(2*$J1552-$H1552-$L1552)*100</f>
        <v/>
      </c>
      <c r="BC1552" s="82">
        <f>($N1552-$F1552)*100</f>
        <v/>
      </c>
      <c r="BD1552" s="82">
        <f>($Q1552-$H1552)*100</f>
        <v/>
      </c>
      <c r="BE1552" s="82">
        <f>($S1552-$J1552)*100</f>
        <v/>
      </c>
      <c r="BF1552" s="82">
        <f>($V1552-$L1552)*100</f>
        <v/>
      </c>
      <c r="BG1552" s="82">
        <f>$AG1552-$AF1552</f>
        <v/>
      </c>
      <c r="BH1552" s="81">
        <f>IFERROR($AG1552/$AF1552,"")</f>
        <v/>
      </c>
      <c r="BI1552" s="82">
        <f>$AJ1552-$AF1552</f>
        <v/>
      </c>
      <c r="BJ1552" s="81">
        <f>IFERROR($AJ1552/$AG1552,"")</f>
        <v/>
      </c>
      <c r="BK1552" s="81">
        <f>$X1552</f>
        <v/>
      </c>
      <c r="BL1552" s="82">
        <f>($J1552-$J1553)*100</f>
        <v/>
      </c>
      <c r="BM1552" s="82">
        <f>($F1552-$F1553)*100</f>
        <v/>
      </c>
      <c r="BN1552" s="82">
        <f>$AF1552-$AF1553</f>
        <v/>
      </c>
      <c r="BO1552" s="82">
        <f>$AG1552-$AG1553</f>
        <v/>
      </c>
      <c r="BP1552" s="82">
        <f>$AJ1552-$AJ1553</f>
        <v/>
      </c>
    </row>
    <row r="1553">
      <c r="AR1553" s="81">
        <f>($G1553+($H1553-$G1553)*0.5)+($P1553-($O1553+($Q1553-$O1553)*0.5))</f>
        <v/>
      </c>
      <c r="AS1553" s="81">
        <f>($J1553+($K1553-$J1553)*0.5)+($T1553-($S1553+($U1553-$S1553)*0.5))</f>
        <v/>
      </c>
      <c r="AT1553" s="82">
        <f>($J1553-$C1553)*100</f>
        <v/>
      </c>
      <c r="AU1553" s="82">
        <f>($H1553-$F1553)*100</f>
        <v/>
      </c>
      <c r="AV1553" s="82">
        <f>($J1553-$F1553)*100</f>
        <v/>
      </c>
      <c r="AW1553" s="82">
        <f>($L1553-$F1553)*100</f>
        <v/>
      </c>
      <c r="AX1553" s="82">
        <f>($J1553-$H1553)*100</f>
        <v/>
      </c>
      <c r="AY1553" s="82">
        <f>($L1553-$H1553)*100</f>
        <v/>
      </c>
      <c r="AZ1553" s="82">
        <f>($L1553-$J1553)*100</f>
        <v/>
      </c>
      <c r="BA1553" s="82">
        <f>(2*$H1553-$F1553-$J1553)*100</f>
        <v/>
      </c>
      <c r="BB1553" s="82">
        <f>(2*$J1553-$H1553-$L1553)*100</f>
        <v/>
      </c>
      <c r="BC1553" s="82">
        <f>($N1553-$F1553)*100</f>
        <v/>
      </c>
      <c r="BD1553" s="82">
        <f>($Q1553-$H1553)*100</f>
        <v/>
      </c>
      <c r="BE1553" s="82">
        <f>($S1553-$J1553)*100</f>
        <v/>
      </c>
      <c r="BF1553" s="82">
        <f>($V1553-$L1553)*100</f>
        <v/>
      </c>
      <c r="BG1553" s="82">
        <f>$AG1553-$AF1553</f>
        <v/>
      </c>
      <c r="BH1553" s="81">
        <f>IFERROR($AG1553/$AF1553,"")</f>
        <v/>
      </c>
      <c r="BI1553" s="82">
        <f>$AJ1553-$AF1553</f>
        <v/>
      </c>
      <c r="BJ1553" s="81">
        <f>IFERROR($AJ1553/$AG1553,"")</f>
        <v/>
      </c>
      <c r="BK1553" s="81">
        <f>$X1553</f>
        <v/>
      </c>
      <c r="BL1553" s="82">
        <f>($J1553-$J1554)*100</f>
        <v/>
      </c>
      <c r="BM1553" s="82">
        <f>($F1553-$F1554)*100</f>
        <v/>
      </c>
      <c r="BN1553" s="82">
        <f>$AF1553-$AF1554</f>
        <v/>
      </c>
      <c r="BO1553" s="82">
        <f>$AG1553-$AG1554</f>
        <v/>
      </c>
      <c r="BP1553" s="82">
        <f>$AJ1553-$AJ1554</f>
        <v/>
      </c>
    </row>
    <row r="1554">
      <c r="AR1554" s="81">
        <f>($G1554+($H1554-$G1554)*0.5)+($P1554-($O1554+($Q1554-$O1554)*0.5))</f>
        <v/>
      </c>
      <c r="AS1554" s="81">
        <f>($J1554+($K1554-$J1554)*0.5)+($T1554-($S1554+($U1554-$S1554)*0.5))</f>
        <v/>
      </c>
      <c r="AT1554" s="82">
        <f>($J1554-$C1554)*100</f>
        <v/>
      </c>
      <c r="AU1554" s="82">
        <f>($H1554-$F1554)*100</f>
        <v/>
      </c>
      <c r="AV1554" s="82">
        <f>($J1554-$F1554)*100</f>
        <v/>
      </c>
      <c r="AW1554" s="82">
        <f>($L1554-$F1554)*100</f>
        <v/>
      </c>
      <c r="AX1554" s="82">
        <f>($J1554-$H1554)*100</f>
        <v/>
      </c>
      <c r="AY1554" s="82">
        <f>($L1554-$H1554)*100</f>
        <v/>
      </c>
      <c r="AZ1554" s="82">
        <f>($L1554-$J1554)*100</f>
        <v/>
      </c>
      <c r="BA1554" s="82">
        <f>(2*$H1554-$F1554-$J1554)*100</f>
        <v/>
      </c>
      <c r="BB1554" s="82">
        <f>(2*$J1554-$H1554-$L1554)*100</f>
        <v/>
      </c>
      <c r="BC1554" s="82">
        <f>($N1554-$F1554)*100</f>
        <v/>
      </c>
      <c r="BD1554" s="82">
        <f>($Q1554-$H1554)*100</f>
        <v/>
      </c>
      <c r="BE1554" s="82">
        <f>($S1554-$J1554)*100</f>
        <v/>
      </c>
      <c r="BF1554" s="82">
        <f>($V1554-$L1554)*100</f>
        <v/>
      </c>
      <c r="BG1554" s="82">
        <f>$AG1554-$AF1554</f>
        <v/>
      </c>
      <c r="BH1554" s="81">
        <f>IFERROR($AG1554/$AF1554,"")</f>
        <v/>
      </c>
      <c r="BI1554" s="82">
        <f>$AJ1554-$AF1554</f>
        <v/>
      </c>
      <c r="BJ1554" s="81">
        <f>IFERROR($AJ1554/$AG1554,"")</f>
        <v/>
      </c>
      <c r="BK1554" s="81">
        <f>$X1554</f>
        <v/>
      </c>
      <c r="BL1554" s="82">
        <f>($J1554-$J1555)*100</f>
        <v/>
      </c>
      <c r="BM1554" s="82">
        <f>($F1554-$F1555)*100</f>
        <v/>
      </c>
      <c r="BN1554" s="82">
        <f>$AF1554-$AF1555</f>
        <v/>
      </c>
      <c r="BO1554" s="82">
        <f>$AG1554-$AG1555</f>
        <v/>
      </c>
      <c r="BP1554" s="82">
        <f>$AJ1554-$AJ1555</f>
        <v/>
      </c>
    </row>
    <row r="1555">
      <c r="AR1555" s="81">
        <f>($G1555+($H1555-$G1555)*0.5)+($P1555-($O1555+($Q1555-$O1555)*0.5))</f>
        <v/>
      </c>
      <c r="AS1555" s="81">
        <f>($J1555+($K1555-$J1555)*0.5)+($T1555-($S1555+($U1555-$S1555)*0.5))</f>
        <v/>
      </c>
      <c r="AT1555" s="82">
        <f>($J1555-$C1555)*100</f>
        <v/>
      </c>
      <c r="AU1555" s="82">
        <f>($H1555-$F1555)*100</f>
        <v/>
      </c>
      <c r="AV1555" s="82">
        <f>($J1555-$F1555)*100</f>
        <v/>
      </c>
      <c r="AW1555" s="82">
        <f>($L1555-$F1555)*100</f>
        <v/>
      </c>
      <c r="AX1555" s="82">
        <f>($J1555-$H1555)*100</f>
        <v/>
      </c>
      <c r="AY1555" s="82">
        <f>($L1555-$H1555)*100</f>
        <v/>
      </c>
      <c r="AZ1555" s="82">
        <f>($L1555-$J1555)*100</f>
        <v/>
      </c>
      <c r="BA1555" s="82">
        <f>(2*$H1555-$F1555-$J1555)*100</f>
        <v/>
      </c>
      <c r="BB1555" s="82">
        <f>(2*$J1555-$H1555-$L1555)*100</f>
        <v/>
      </c>
      <c r="BC1555" s="82">
        <f>($N1555-$F1555)*100</f>
        <v/>
      </c>
      <c r="BD1555" s="82">
        <f>($Q1555-$H1555)*100</f>
        <v/>
      </c>
      <c r="BE1555" s="82">
        <f>($S1555-$J1555)*100</f>
        <v/>
      </c>
      <c r="BF1555" s="82">
        <f>($V1555-$L1555)*100</f>
        <v/>
      </c>
      <c r="BG1555" s="82">
        <f>$AG1555-$AF1555</f>
        <v/>
      </c>
      <c r="BH1555" s="81">
        <f>IFERROR($AG1555/$AF1555,"")</f>
        <v/>
      </c>
      <c r="BI1555" s="82">
        <f>$AJ1555-$AF1555</f>
        <v/>
      </c>
      <c r="BJ1555" s="81">
        <f>IFERROR($AJ1555/$AG1555,"")</f>
        <v/>
      </c>
      <c r="BK1555" s="81">
        <f>$X1555</f>
        <v/>
      </c>
      <c r="BL1555" s="82">
        <f>($J1555-$J1556)*100</f>
        <v/>
      </c>
      <c r="BM1555" s="82">
        <f>($F1555-$F1556)*100</f>
        <v/>
      </c>
      <c r="BN1555" s="82">
        <f>$AF1555-$AF1556</f>
        <v/>
      </c>
      <c r="BO1555" s="82">
        <f>$AG1555-$AG1556</f>
        <v/>
      </c>
      <c r="BP1555" s="82">
        <f>$AJ1555-$AJ1556</f>
        <v/>
      </c>
    </row>
    <row r="1556">
      <c r="AR1556" s="81">
        <f>($G1556+($H1556-$G1556)*0.5)+($P1556-($O1556+($Q1556-$O1556)*0.5))</f>
        <v/>
      </c>
      <c r="AS1556" s="81">
        <f>($J1556+($K1556-$J1556)*0.5)+($T1556-($S1556+($U1556-$S1556)*0.5))</f>
        <v/>
      </c>
      <c r="AT1556" s="82">
        <f>($J1556-$C1556)*100</f>
        <v/>
      </c>
      <c r="AU1556" s="82">
        <f>($H1556-$F1556)*100</f>
        <v/>
      </c>
      <c r="AV1556" s="82">
        <f>($J1556-$F1556)*100</f>
        <v/>
      </c>
      <c r="AW1556" s="82">
        <f>($L1556-$F1556)*100</f>
        <v/>
      </c>
      <c r="AX1556" s="82">
        <f>($J1556-$H1556)*100</f>
        <v/>
      </c>
      <c r="AY1556" s="82">
        <f>($L1556-$H1556)*100</f>
        <v/>
      </c>
      <c r="AZ1556" s="82">
        <f>($L1556-$J1556)*100</f>
        <v/>
      </c>
      <c r="BA1556" s="82">
        <f>(2*$H1556-$F1556-$J1556)*100</f>
        <v/>
      </c>
      <c r="BB1556" s="82">
        <f>(2*$J1556-$H1556-$L1556)*100</f>
        <v/>
      </c>
      <c r="BC1556" s="82">
        <f>($N1556-$F1556)*100</f>
        <v/>
      </c>
      <c r="BD1556" s="82">
        <f>($Q1556-$H1556)*100</f>
        <v/>
      </c>
      <c r="BE1556" s="82">
        <f>($S1556-$J1556)*100</f>
        <v/>
      </c>
      <c r="BF1556" s="82">
        <f>($V1556-$L1556)*100</f>
        <v/>
      </c>
      <c r="BG1556" s="82">
        <f>$AG1556-$AF1556</f>
        <v/>
      </c>
      <c r="BH1556" s="81">
        <f>IFERROR($AG1556/$AF1556,"")</f>
        <v/>
      </c>
      <c r="BI1556" s="82">
        <f>$AJ1556-$AF1556</f>
        <v/>
      </c>
      <c r="BJ1556" s="81">
        <f>IFERROR($AJ1556/$AG1556,"")</f>
        <v/>
      </c>
      <c r="BK1556" s="81">
        <f>$X1556</f>
        <v/>
      </c>
      <c r="BL1556" s="82">
        <f>($J1556-$J1557)*100</f>
        <v/>
      </c>
      <c r="BM1556" s="82">
        <f>($F1556-$F1557)*100</f>
        <v/>
      </c>
      <c r="BN1556" s="82">
        <f>$AF1556-$AF1557</f>
        <v/>
      </c>
      <c r="BO1556" s="82">
        <f>$AG1556-$AG1557</f>
        <v/>
      </c>
      <c r="BP1556" s="82">
        <f>$AJ1556-$AJ1557</f>
        <v/>
      </c>
    </row>
    <row r="1557">
      <c r="AR1557" s="81">
        <f>($G1557+($H1557-$G1557)*0.5)+($P1557-($O1557+($Q1557-$O1557)*0.5))</f>
        <v/>
      </c>
      <c r="AS1557" s="81">
        <f>($J1557+($K1557-$J1557)*0.5)+($T1557-($S1557+($U1557-$S1557)*0.5))</f>
        <v/>
      </c>
      <c r="AT1557" s="82">
        <f>($J1557-$C1557)*100</f>
        <v/>
      </c>
      <c r="AU1557" s="82">
        <f>($H1557-$F1557)*100</f>
        <v/>
      </c>
      <c r="AV1557" s="82">
        <f>($J1557-$F1557)*100</f>
        <v/>
      </c>
      <c r="AW1557" s="82">
        <f>($L1557-$F1557)*100</f>
        <v/>
      </c>
      <c r="AX1557" s="82">
        <f>($J1557-$H1557)*100</f>
        <v/>
      </c>
      <c r="AY1557" s="82">
        <f>($L1557-$H1557)*100</f>
        <v/>
      </c>
      <c r="AZ1557" s="82">
        <f>($L1557-$J1557)*100</f>
        <v/>
      </c>
      <c r="BA1557" s="82">
        <f>(2*$H1557-$F1557-$J1557)*100</f>
        <v/>
      </c>
      <c r="BB1557" s="82">
        <f>(2*$J1557-$H1557-$L1557)*100</f>
        <v/>
      </c>
      <c r="BC1557" s="82">
        <f>($N1557-$F1557)*100</f>
        <v/>
      </c>
      <c r="BD1557" s="82">
        <f>($Q1557-$H1557)*100</f>
        <v/>
      </c>
      <c r="BE1557" s="82">
        <f>($S1557-$J1557)*100</f>
        <v/>
      </c>
      <c r="BF1557" s="82">
        <f>($V1557-$L1557)*100</f>
        <v/>
      </c>
      <c r="BG1557" s="82">
        <f>$AG1557-$AF1557</f>
        <v/>
      </c>
      <c r="BH1557" s="81">
        <f>IFERROR($AG1557/$AF1557,"")</f>
        <v/>
      </c>
      <c r="BI1557" s="82">
        <f>$AJ1557-$AF1557</f>
        <v/>
      </c>
      <c r="BJ1557" s="81">
        <f>IFERROR($AJ1557/$AG1557,"")</f>
        <v/>
      </c>
      <c r="BK1557" s="81">
        <f>$X1557</f>
        <v/>
      </c>
      <c r="BL1557" s="82">
        <f>($J1557-$J1558)*100</f>
        <v/>
      </c>
      <c r="BM1557" s="82">
        <f>($F1557-$F1558)*100</f>
        <v/>
      </c>
      <c r="BN1557" s="82">
        <f>$AF1557-$AF1558</f>
        <v/>
      </c>
      <c r="BO1557" s="82">
        <f>$AG1557-$AG1558</f>
        <v/>
      </c>
      <c r="BP1557" s="82">
        <f>$AJ1557-$AJ1558</f>
        <v/>
      </c>
    </row>
    <row r="1558">
      <c r="AR1558" s="81">
        <f>($G1558+($H1558-$G1558)*0.5)+($P1558-($O1558+($Q1558-$O1558)*0.5))</f>
        <v/>
      </c>
      <c r="AS1558" s="81">
        <f>($J1558+($K1558-$J1558)*0.5)+($T1558-($S1558+($U1558-$S1558)*0.5))</f>
        <v/>
      </c>
      <c r="AT1558" s="82">
        <f>($J1558-$C1558)*100</f>
        <v/>
      </c>
      <c r="AU1558" s="82">
        <f>($H1558-$F1558)*100</f>
        <v/>
      </c>
      <c r="AV1558" s="82">
        <f>($J1558-$F1558)*100</f>
        <v/>
      </c>
      <c r="AW1558" s="82">
        <f>($L1558-$F1558)*100</f>
        <v/>
      </c>
      <c r="AX1558" s="82">
        <f>($J1558-$H1558)*100</f>
        <v/>
      </c>
      <c r="AY1558" s="82">
        <f>($L1558-$H1558)*100</f>
        <v/>
      </c>
      <c r="AZ1558" s="82">
        <f>($L1558-$J1558)*100</f>
        <v/>
      </c>
      <c r="BA1558" s="82">
        <f>(2*$H1558-$F1558-$J1558)*100</f>
        <v/>
      </c>
      <c r="BB1558" s="82">
        <f>(2*$J1558-$H1558-$L1558)*100</f>
        <v/>
      </c>
      <c r="BC1558" s="82">
        <f>($N1558-$F1558)*100</f>
        <v/>
      </c>
      <c r="BD1558" s="82">
        <f>($Q1558-$H1558)*100</f>
        <v/>
      </c>
      <c r="BE1558" s="82">
        <f>($S1558-$J1558)*100</f>
        <v/>
      </c>
      <c r="BF1558" s="82">
        <f>($V1558-$L1558)*100</f>
        <v/>
      </c>
      <c r="BG1558" s="82">
        <f>$AG1558-$AF1558</f>
        <v/>
      </c>
      <c r="BH1558" s="81">
        <f>IFERROR($AG1558/$AF1558,"")</f>
        <v/>
      </c>
      <c r="BI1558" s="82">
        <f>$AJ1558-$AF1558</f>
        <v/>
      </c>
      <c r="BJ1558" s="81">
        <f>IFERROR($AJ1558/$AG1558,"")</f>
        <v/>
      </c>
      <c r="BK1558" s="81">
        <f>$X1558</f>
        <v/>
      </c>
      <c r="BL1558" s="82">
        <f>($J1558-$J1559)*100</f>
        <v/>
      </c>
      <c r="BM1558" s="82">
        <f>($F1558-$F1559)*100</f>
        <v/>
      </c>
      <c r="BN1558" s="82">
        <f>$AF1558-$AF1559</f>
        <v/>
      </c>
      <c r="BO1558" s="82">
        <f>$AG1558-$AG1559</f>
        <v/>
      </c>
      <c r="BP1558" s="82">
        <f>$AJ1558-$AJ1559</f>
        <v/>
      </c>
    </row>
    <row r="1559">
      <c r="AR1559" s="81">
        <f>($G1559+($H1559-$G1559)*0.5)+($P1559-($O1559+($Q1559-$O1559)*0.5))</f>
        <v/>
      </c>
      <c r="AS1559" s="81">
        <f>($J1559+($K1559-$J1559)*0.5)+($T1559-($S1559+($U1559-$S1559)*0.5))</f>
        <v/>
      </c>
      <c r="AT1559" s="82">
        <f>($J1559-$C1559)*100</f>
        <v/>
      </c>
      <c r="AU1559" s="82">
        <f>($H1559-$F1559)*100</f>
        <v/>
      </c>
      <c r="AV1559" s="82">
        <f>($J1559-$F1559)*100</f>
        <v/>
      </c>
      <c r="AW1559" s="82">
        <f>($L1559-$F1559)*100</f>
        <v/>
      </c>
      <c r="AX1559" s="82">
        <f>($J1559-$H1559)*100</f>
        <v/>
      </c>
      <c r="AY1559" s="82">
        <f>($L1559-$H1559)*100</f>
        <v/>
      </c>
      <c r="AZ1559" s="82">
        <f>($L1559-$J1559)*100</f>
        <v/>
      </c>
      <c r="BA1559" s="82">
        <f>(2*$H1559-$F1559-$J1559)*100</f>
        <v/>
      </c>
      <c r="BB1559" s="82">
        <f>(2*$J1559-$H1559-$L1559)*100</f>
        <v/>
      </c>
      <c r="BC1559" s="82">
        <f>($N1559-$F1559)*100</f>
        <v/>
      </c>
      <c r="BD1559" s="82">
        <f>($Q1559-$H1559)*100</f>
        <v/>
      </c>
      <c r="BE1559" s="82">
        <f>($S1559-$J1559)*100</f>
        <v/>
      </c>
      <c r="BF1559" s="82">
        <f>($V1559-$L1559)*100</f>
        <v/>
      </c>
      <c r="BG1559" s="82">
        <f>$AG1559-$AF1559</f>
        <v/>
      </c>
      <c r="BH1559" s="81">
        <f>IFERROR($AG1559/$AF1559,"")</f>
        <v/>
      </c>
      <c r="BI1559" s="82">
        <f>$AJ1559-$AF1559</f>
        <v/>
      </c>
      <c r="BJ1559" s="81">
        <f>IFERROR($AJ1559/$AG1559,"")</f>
        <v/>
      </c>
      <c r="BK1559" s="81">
        <f>$X1559</f>
        <v/>
      </c>
      <c r="BL1559" s="82">
        <f>($J1559-$J1560)*100</f>
        <v/>
      </c>
      <c r="BM1559" s="82">
        <f>($F1559-$F1560)*100</f>
        <v/>
      </c>
      <c r="BN1559" s="82">
        <f>$AF1559-$AF1560</f>
        <v/>
      </c>
      <c r="BO1559" s="82">
        <f>$AG1559-$AG1560</f>
        <v/>
      </c>
      <c r="BP1559" s="82">
        <f>$AJ1559-$AJ1560</f>
        <v/>
      </c>
    </row>
    <row r="1560">
      <c r="AR1560" s="81">
        <f>($G1560+($H1560-$G1560)*0.5)+($P1560-($O1560+($Q1560-$O1560)*0.5))</f>
        <v/>
      </c>
      <c r="AS1560" s="81">
        <f>($J1560+($K1560-$J1560)*0.5)+($T1560-($S1560+($U1560-$S1560)*0.5))</f>
        <v/>
      </c>
      <c r="AT1560" s="82">
        <f>($J1560-$C1560)*100</f>
        <v/>
      </c>
      <c r="AU1560" s="82">
        <f>($H1560-$F1560)*100</f>
        <v/>
      </c>
      <c r="AV1560" s="82">
        <f>($J1560-$F1560)*100</f>
        <v/>
      </c>
      <c r="AW1560" s="82">
        <f>($L1560-$F1560)*100</f>
        <v/>
      </c>
      <c r="AX1560" s="82">
        <f>($J1560-$H1560)*100</f>
        <v/>
      </c>
      <c r="AY1560" s="82">
        <f>($L1560-$H1560)*100</f>
        <v/>
      </c>
      <c r="AZ1560" s="82">
        <f>($L1560-$J1560)*100</f>
        <v/>
      </c>
      <c r="BA1560" s="82">
        <f>(2*$H1560-$F1560-$J1560)*100</f>
        <v/>
      </c>
      <c r="BB1560" s="82">
        <f>(2*$J1560-$H1560-$L1560)*100</f>
        <v/>
      </c>
      <c r="BC1560" s="82">
        <f>($N1560-$F1560)*100</f>
        <v/>
      </c>
      <c r="BD1560" s="82">
        <f>($Q1560-$H1560)*100</f>
        <v/>
      </c>
      <c r="BE1560" s="82">
        <f>($S1560-$J1560)*100</f>
        <v/>
      </c>
      <c r="BF1560" s="82">
        <f>($V1560-$L1560)*100</f>
        <v/>
      </c>
      <c r="BG1560" s="82">
        <f>$AG1560-$AF1560</f>
        <v/>
      </c>
      <c r="BH1560" s="81">
        <f>IFERROR($AG1560/$AF1560,"")</f>
        <v/>
      </c>
      <c r="BI1560" s="82">
        <f>$AJ1560-$AF1560</f>
        <v/>
      </c>
      <c r="BJ1560" s="81">
        <f>IFERROR($AJ1560/$AG1560,"")</f>
        <v/>
      </c>
      <c r="BK1560" s="81">
        <f>$X1560</f>
        <v/>
      </c>
      <c r="BL1560" s="82">
        <f>($J1560-$J1561)*100</f>
        <v/>
      </c>
      <c r="BM1560" s="82">
        <f>($F1560-$F1561)*100</f>
        <v/>
      </c>
      <c r="BN1560" s="82">
        <f>$AF1560-$AF1561</f>
        <v/>
      </c>
      <c r="BO1560" s="82">
        <f>$AG1560-$AG1561</f>
        <v/>
      </c>
      <c r="BP1560" s="82">
        <f>$AJ1560-$AJ1561</f>
        <v/>
      </c>
    </row>
    <row r="1561">
      <c r="AR1561" s="81">
        <f>($G1561+($H1561-$G1561)*0.5)+($P1561-($O1561+($Q1561-$O1561)*0.5))</f>
        <v/>
      </c>
      <c r="AS1561" s="81">
        <f>($J1561+($K1561-$J1561)*0.5)+($T1561-($S1561+($U1561-$S1561)*0.5))</f>
        <v/>
      </c>
      <c r="AT1561" s="82">
        <f>($J1561-$C1561)*100</f>
        <v/>
      </c>
      <c r="AU1561" s="82">
        <f>($H1561-$F1561)*100</f>
        <v/>
      </c>
      <c r="AV1561" s="82">
        <f>($J1561-$F1561)*100</f>
        <v/>
      </c>
      <c r="AW1561" s="82">
        <f>($L1561-$F1561)*100</f>
        <v/>
      </c>
      <c r="AX1561" s="82">
        <f>($J1561-$H1561)*100</f>
        <v/>
      </c>
      <c r="AY1561" s="82">
        <f>($L1561-$H1561)*100</f>
        <v/>
      </c>
      <c r="AZ1561" s="82">
        <f>($L1561-$J1561)*100</f>
        <v/>
      </c>
      <c r="BA1561" s="82">
        <f>(2*$H1561-$F1561-$J1561)*100</f>
        <v/>
      </c>
      <c r="BB1561" s="82">
        <f>(2*$J1561-$H1561-$L1561)*100</f>
        <v/>
      </c>
      <c r="BC1561" s="82">
        <f>($N1561-$F1561)*100</f>
        <v/>
      </c>
      <c r="BD1561" s="82">
        <f>($Q1561-$H1561)*100</f>
        <v/>
      </c>
      <c r="BE1561" s="82">
        <f>($S1561-$J1561)*100</f>
        <v/>
      </c>
      <c r="BF1561" s="82">
        <f>($V1561-$L1561)*100</f>
        <v/>
      </c>
      <c r="BG1561" s="82">
        <f>$AG1561-$AF1561</f>
        <v/>
      </c>
      <c r="BH1561" s="81">
        <f>IFERROR($AG1561/$AF1561,"")</f>
        <v/>
      </c>
      <c r="BI1561" s="82">
        <f>$AJ1561-$AF1561</f>
        <v/>
      </c>
      <c r="BJ1561" s="81">
        <f>IFERROR($AJ1561/$AG1561,"")</f>
        <v/>
      </c>
      <c r="BK1561" s="81">
        <f>$X1561</f>
        <v/>
      </c>
      <c r="BL1561" s="82">
        <f>($J1561-$J1562)*100</f>
        <v/>
      </c>
      <c r="BM1561" s="82">
        <f>($F1561-$F1562)*100</f>
        <v/>
      </c>
      <c r="BN1561" s="82">
        <f>$AF1561-$AF1562</f>
        <v/>
      </c>
      <c r="BO1561" s="82">
        <f>$AG1561-$AG1562</f>
        <v/>
      </c>
      <c r="BP1561" s="82">
        <f>$AJ1561-$AJ1562</f>
        <v/>
      </c>
    </row>
    <row r="1562">
      <c r="AR1562" s="81">
        <f>($G1562+($H1562-$G1562)*0.5)+($P1562-($O1562+($Q1562-$O1562)*0.5))</f>
        <v/>
      </c>
      <c r="AS1562" s="81">
        <f>($J1562+($K1562-$J1562)*0.5)+($T1562-($S1562+($U1562-$S1562)*0.5))</f>
        <v/>
      </c>
      <c r="AT1562" s="82">
        <f>($J1562-$C1562)*100</f>
        <v/>
      </c>
      <c r="AU1562" s="82">
        <f>($H1562-$F1562)*100</f>
        <v/>
      </c>
      <c r="AV1562" s="82">
        <f>($J1562-$F1562)*100</f>
        <v/>
      </c>
      <c r="AW1562" s="82">
        <f>($L1562-$F1562)*100</f>
        <v/>
      </c>
      <c r="AX1562" s="82">
        <f>($J1562-$H1562)*100</f>
        <v/>
      </c>
      <c r="AY1562" s="82">
        <f>($L1562-$H1562)*100</f>
        <v/>
      </c>
      <c r="AZ1562" s="82">
        <f>($L1562-$J1562)*100</f>
        <v/>
      </c>
      <c r="BA1562" s="82">
        <f>(2*$H1562-$F1562-$J1562)*100</f>
        <v/>
      </c>
      <c r="BB1562" s="82">
        <f>(2*$J1562-$H1562-$L1562)*100</f>
        <v/>
      </c>
      <c r="BC1562" s="82">
        <f>($N1562-$F1562)*100</f>
        <v/>
      </c>
      <c r="BD1562" s="82">
        <f>($Q1562-$H1562)*100</f>
        <v/>
      </c>
      <c r="BE1562" s="82">
        <f>($S1562-$J1562)*100</f>
        <v/>
      </c>
      <c r="BF1562" s="82">
        <f>($V1562-$L1562)*100</f>
        <v/>
      </c>
      <c r="BG1562" s="82">
        <f>$AG1562-$AF1562</f>
        <v/>
      </c>
      <c r="BH1562" s="81">
        <f>IFERROR($AG1562/$AF1562,"")</f>
        <v/>
      </c>
      <c r="BI1562" s="82">
        <f>$AJ1562-$AF1562</f>
        <v/>
      </c>
      <c r="BJ1562" s="81">
        <f>IFERROR($AJ1562/$AG1562,"")</f>
        <v/>
      </c>
      <c r="BK1562" s="81">
        <f>$X1562</f>
        <v/>
      </c>
      <c r="BL1562" s="82">
        <f>($J1562-$J1563)*100</f>
        <v/>
      </c>
      <c r="BM1562" s="82">
        <f>($F1562-$F1563)*100</f>
        <v/>
      </c>
      <c r="BN1562" s="82">
        <f>$AF1562-$AF1563</f>
        <v/>
      </c>
      <c r="BO1562" s="82">
        <f>$AG1562-$AG1563</f>
        <v/>
      </c>
      <c r="BP1562" s="82">
        <f>$AJ1562-$AJ1563</f>
        <v/>
      </c>
    </row>
    <row r="1563">
      <c r="AR1563" s="81">
        <f>($G1563+($H1563-$G1563)*0.5)+($P1563-($O1563+($Q1563-$O1563)*0.5))</f>
        <v/>
      </c>
      <c r="AS1563" s="81">
        <f>($J1563+($K1563-$J1563)*0.5)+($T1563-($S1563+($U1563-$S1563)*0.5))</f>
        <v/>
      </c>
      <c r="AT1563" s="82">
        <f>($J1563-$C1563)*100</f>
        <v/>
      </c>
      <c r="AU1563" s="82">
        <f>($H1563-$F1563)*100</f>
        <v/>
      </c>
      <c r="AV1563" s="82">
        <f>($J1563-$F1563)*100</f>
        <v/>
      </c>
      <c r="AW1563" s="82">
        <f>($L1563-$F1563)*100</f>
        <v/>
      </c>
      <c r="AX1563" s="82">
        <f>($J1563-$H1563)*100</f>
        <v/>
      </c>
      <c r="AY1563" s="82">
        <f>($L1563-$H1563)*100</f>
        <v/>
      </c>
      <c r="AZ1563" s="82">
        <f>($L1563-$J1563)*100</f>
        <v/>
      </c>
      <c r="BA1563" s="82">
        <f>(2*$H1563-$F1563-$J1563)*100</f>
        <v/>
      </c>
      <c r="BB1563" s="82">
        <f>(2*$J1563-$H1563-$L1563)*100</f>
        <v/>
      </c>
      <c r="BC1563" s="82">
        <f>($N1563-$F1563)*100</f>
        <v/>
      </c>
      <c r="BD1563" s="82">
        <f>($Q1563-$H1563)*100</f>
        <v/>
      </c>
      <c r="BE1563" s="82">
        <f>($S1563-$J1563)*100</f>
        <v/>
      </c>
      <c r="BF1563" s="82">
        <f>($V1563-$L1563)*100</f>
        <v/>
      </c>
      <c r="BG1563" s="82">
        <f>$AG1563-$AF1563</f>
        <v/>
      </c>
      <c r="BH1563" s="81">
        <f>IFERROR($AG1563/$AF1563,"")</f>
        <v/>
      </c>
      <c r="BI1563" s="82">
        <f>$AJ1563-$AF1563</f>
        <v/>
      </c>
      <c r="BJ1563" s="81">
        <f>IFERROR($AJ1563/$AG1563,"")</f>
        <v/>
      </c>
      <c r="BK1563" s="81">
        <f>$X1563</f>
        <v/>
      </c>
      <c r="BL1563" s="82">
        <f>($J1563-$J1564)*100</f>
        <v/>
      </c>
      <c r="BM1563" s="82">
        <f>($F1563-$F1564)*100</f>
        <v/>
      </c>
      <c r="BN1563" s="82">
        <f>$AF1563-$AF1564</f>
        <v/>
      </c>
      <c r="BO1563" s="82">
        <f>$AG1563-$AG1564</f>
        <v/>
      </c>
      <c r="BP1563" s="82">
        <f>$AJ1563-$AJ1564</f>
        <v/>
      </c>
    </row>
    <row r="1564">
      <c r="AR1564" s="81">
        <f>($G1564+($H1564-$G1564)*0.5)+($P1564-($O1564+($Q1564-$O1564)*0.5))</f>
        <v/>
      </c>
      <c r="AS1564" s="81">
        <f>($J1564+($K1564-$J1564)*0.5)+($T1564-($S1564+($U1564-$S1564)*0.5))</f>
        <v/>
      </c>
      <c r="AT1564" s="82">
        <f>($J1564-$C1564)*100</f>
        <v/>
      </c>
      <c r="AU1564" s="82">
        <f>($H1564-$F1564)*100</f>
        <v/>
      </c>
      <c r="AV1564" s="82">
        <f>($J1564-$F1564)*100</f>
        <v/>
      </c>
      <c r="AW1564" s="82">
        <f>($L1564-$F1564)*100</f>
        <v/>
      </c>
      <c r="AX1564" s="82">
        <f>($J1564-$H1564)*100</f>
        <v/>
      </c>
      <c r="AY1564" s="82">
        <f>($L1564-$H1564)*100</f>
        <v/>
      </c>
      <c r="AZ1564" s="82">
        <f>($L1564-$J1564)*100</f>
        <v/>
      </c>
      <c r="BA1564" s="82">
        <f>(2*$H1564-$F1564-$J1564)*100</f>
        <v/>
      </c>
      <c r="BB1564" s="82">
        <f>(2*$J1564-$H1564-$L1564)*100</f>
        <v/>
      </c>
      <c r="BC1564" s="82">
        <f>($N1564-$F1564)*100</f>
        <v/>
      </c>
      <c r="BD1564" s="82">
        <f>($Q1564-$H1564)*100</f>
        <v/>
      </c>
      <c r="BE1564" s="82">
        <f>($S1564-$J1564)*100</f>
        <v/>
      </c>
      <c r="BF1564" s="82">
        <f>($V1564-$L1564)*100</f>
        <v/>
      </c>
      <c r="BG1564" s="82">
        <f>$AG1564-$AF1564</f>
        <v/>
      </c>
      <c r="BH1564" s="81">
        <f>IFERROR($AG1564/$AF1564,"")</f>
        <v/>
      </c>
      <c r="BI1564" s="82">
        <f>$AJ1564-$AF1564</f>
        <v/>
      </c>
      <c r="BJ1564" s="81">
        <f>IFERROR($AJ1564/$AG1564,"")</f>
        <v/>
      </c>
      <c r="BK1564" s="81">
        <f>$X1564</f>
        <v/>
      </c>
      <c r="BL1564" s="82">
        <f>($J1564-$J1565)*100</f>
        <v/>
      </c>
      <c r="BM1564" s="82">
        <f>($F1564-$F1565)*100</f>
        <v/>
      </c>
      <c r="BN1564" s="82">
        <f>$AF1564-$AF1565</f>
        <v/>
      </c>
      <c r="BO1564" s="82">
        <f>$AG1564-$AG1565</f>
        <v/>
      </c>
      <c r="BP1564" s="82">
        <f>$AJ1564-$AJ1565</f>
        <v/>
      </c>
    </row>
    <row r="1565">
      <c r="AR1565" s="81">
        <f>($G1565+($H1565-$G1565)*0.5)+($P1565-($O1565+($Q1565-$O1565)*0.5))</f>
        <v/>
      </c>
      <c r="AS1565" s="81">
        <f>($J1565+($K1565-$J1565)*0.5)+($T1565-($S1565+($U1565-$S1565)*0.5))</f>
        <v/>
      </c>
      <c r="AT1565" s="82">
        <f>($J1565-$C1565)*100</f>
        <v/>
      </c>
      <c r="AU1565" s="82">
        <f>($H1565-$F1565)*100</f>
        <v/>
      </c>
      <c r="AV1565" s="82">
        <f>($J1565-$F1565)*100</f>
        <v/>
      </c>
      <c r="AW1565" s="82">
        <f>($L1565-$F1565)*100</f>
        <v/>
      </c>
      <c r="AX1565" s="82">
        <f>($J1565-$H1565)*100</f>
        <v/>
      </c>
      <c r="AY1565" s="82">
        <f>($L1565-$H1565)*100</f>
        <v/>
      </c>
      <c r="AZ1565" s="82">
        <f>($L1565-$J1565)*100</f>
        <v/>
      </c>
      <c r="BA1565" s="82">
        <f>(2*$H1565-$F1565-$J1565)*100</f>
        <v/>
      </c>
      <c r="BB1565" s="82">
        <f>(2*$J1565-$H1565-$L1565)*100</f>
        <v/>
      </c>
      <c r="BC1565" s="82">
        <f>($N1565-$F1565)*100</f>
        <v/>
      </c>
      <c r="BD1565" s="82">
        <f>($Q1565-$H1565)*100</f>
        <v/>
      </c>
      <c r="BE1565" s="82">
        <f>($S1565-$J1565)*100</f>
        <v/>
      </c>
      <c r="BF1565" s="82">
        <f>($V1565-$L1565)*100</f>
        <v/>
      </c>
      <c r="BG1565" s="82">
        <f>$AG1565-$AF1565</f>
        <v/>
      </c>
      <c r="BH1565" s="81">
        <f>IFERROR($AG1565/$AF1565,"")</f>
        <v/>
      </c>
      <c r="BI1565" s="82">
        <f>$AJ1565-$AF1565</f>
        <v/>
      </c>
      <c r="BJ1565" s="81">
        <f>IFERROR($AJ1565/$AG1565,"")</f>
        <v/>
      </c>
      <c r="BK1565" s="81">
        <f>$X1565</f>
        <v/>
      </c>
      <c r="BL1565" s="82">
        <f>($J1565-$J1566)*100</f>
        <v/>
      </c>
      <c r="BM1565" s="82">
        <f>($F1565-$F1566)*100</f>
        <v/>
      </c>
      <c r="BN1565" s="82">
        <f>$AF1565-$AF1566</f>
        <v/>
      </c>
      <c r="BO1565" s="82">
        <f>$AG1565-$AG1566</f>
        <v/>
      </c>
      <c r="BP1565" s="82">
        <f>$AJ1565-$AJ1566</f>
        <v/>
      </c>
    </row>
    <row r="1566">
      <c r="AR1566" s="81">
        <f>($G1566+($H1566-$G1566)*0.5)+($P1566-($O1566+($Q1566-$O1566)*0.5))</f>
        <v/>
      </c>
      <c r="AS1566" s="81">
        <f>($J1566+($K1566-$J1566)*0.5)+($T1566-($S1566+($U1566-$S1566)*0.5))</f>
        <v/>
      </c>
      <c r="AT1566" s="82">
        <f>($J1566-$C1566)*100</f>
        <v/>
      </c>
      <c r="AU1566" s="82">
        <f>($H1566-$F1566)*100</f>
        <v/>
      </c>
      <c r="AV1566" s="82">
        <f>($J1566-$F1566)*100</f>
        <v/>
      </c>
      <c r="AW1566" s="82">
        <f>($L1566-$F1566)*100</f>
        <v/>
      </c>
      <c r="AX1566" s="82">
        <f>($J1566-$H1566)*100</f>
        <v/>
      </c>
      <c r="AY1566" s="82">
        <f>($L1566-$H1566)*100</f>
        <v/>
      </c>
      <c r="AZ1566" s="82">
        <f>($L1566-$J1566)*100</f>
        <v/>
      </c>
      <c r="BA1566" s="82">
        <f>(2*$H1566-$F1566-$J1566)*100</f>
        <v/>
      </c>
      <c r="BB1566" s="82">
        <f>(2*$J1566-$H1566-$L1566)*100</f>
        <v/>
      </c>
      <c r="BC1566" s="82">
        <f>($N1566-$F1566)*100</f>
        <v/>
      </c>
      <c r="BD1566" s="82">
        <f>($Q1566-$H1566)*100</f>
        <v/>
      </c>
      <c r="BE1566" s="82">
        <f>($S1566-$J1566)*100</f>
        <v/>
      </c>
      <c r="BF1566" s="82">
        <f>($V1566-$L1566)*100</f>
        <v/>
      </c>
      <c r="BG1566" s="82">
        <f>$AG1566-$AF1566</f>
        <v/>
      </c>
      <c r="BH1566" s="81">
        <f>IFERROR($AG1566/$AF1566,"")</f>
        <v/>
      </c>
      <c r="BI1566" s="82">
        <f>$AJ1566-$AF1566</f>
        <v/>
      </c>
      <c r="BJ1566" s="81">
        <f>IFERROR($AJ1566/$AG1566,"")</f>
        <v/>
      </c>
      <c r="BK1566" s="81">
        <f>$X1566</f>
        <v/>
      </c>
      <c r="BL1566" s="82">
        <f>($J1566-$J1567)*100</f>
        <v/>
      </c>
      <c r="BM1566" s="82">
        <f>($F1566-$F1567)*100</f>
        <v/>
      </c>
      <c r="BN1566" s="82">
        <f>$AF1566-$AF1567</f>
        <v/>
      </c>
      <c r="BO1566" s="82">
        <f>$AG1566-$AG1567</f>
        <v/>
      </c>
      <c r="BP1566" s="82">
        <f>$AJ1566-$AJ1567</f>
        <v/>
      </c>
    </row>
    <row r="1567">
      <c r="AR1567" s="81">
        <f>($G1567+($H1567-$G1567)*0.5)+($P1567-($O1567+($Q1567-$O1567)*0.5))</f>
        <v/>
      </c>
      <c r="AS1567" s="81">
        <f>($J1567+($K1567-$J1567)*0.5)+($T1567-($S1567+($U1567-$S1567)*0.5))</f>
        <v/>
      </c>
      <c r="AT1567" s="82">
        <f>($J1567-$C1567)*100</f>
        <v/>
      </c>
      <c r="AU1567" s="82">
        <f>($H1567-$F1567)*100</f>
        <v/>
      </c>
      <c r="AV1567" s="82">
        <f>($J1567-$F1567)*100</f>
        <v/>
      </c>
      <c r="AW1567" s="82">
        <f>($L1567-$F1567)*100</f>
        <v/>
      </c>
      <c r="AX1567" s="82">
        <f>($J1567-$H1567)*100</f>
        <v/>
      </c>
      <c r="AY1567" s="82">
        <f>($L1567-$H1567)*100</f>
        <v/>
      </c>
      <c r="AZ1567" s="82">
        <f>($L1567-$J1567)*100</f>
        <v/>
      </c>
      <c r="BA1567" s="82">
        <f>(2*$H1567-$F1567-$J1567)*100</f>
        <v/>
      </c>
      <c r="BB1567" s="82">
        <f>(2*$J1567-$H1567-$L1567)*100</f>
        <v/>
      </c>
      <c r="BC1567" s="82">
        <f>($N1567-$F1567)*100</f>
        <v/>
      </c>
      <c r="BD1567" s="82">
        <f>($Q1567-$H1567)*100</f>
        <v/>
      </c>
      <c r="BE1567" s="82">
        <f>($S1567-$J1567)*100</f>
        <v/>
      </c>
      <c r="BF1567" s="82">
        <f>($V1567-$L1567)*100</f>
        <v/>
      </c>
      <c r="BG1567" s="82">
        <f>$AG1567-$AF1567</f>
        <v/>
      </c>
      <c r="BH1567" s="81">
        <f>IFERROR($AG1567/$AF1567,"")</f>
        <v/>
      </c>
      <c r="BI1567" s="82">
        <f>$AJ1567-$AF1567</f>
        <v/>
      </c>
      <c r="BJ1567" s="81">
        <f>IFERROR($AJ1567/$AG1567,"")</f>
        <v/>
      </c>
      <c r="BK1567" s="81">
        <f>$X1567</f>
        <v/>
      </c>
      <c r="BL1567" s="82">
        <f>($J1567-$J1568)*100</f>
        <v/>
      </c>
      <c r="BM1567" s="82">
        <f>($F1567-$F1568)*100</f>
        <v/>
      </c>
      <c r="BN1567" s="82">
        <f>$AF1567-$AF1568</f>
        <v/>
      </c>
      <c r="BO1567" s="82">
        <f>$AG1567-$AG1568</f>
        <v/>
      </c>
      <c r="BP1567" s="82">
        <f>$AJ1567-$AJ1568</f>
        <v/>
      </c>
    </row>
    <row r="1568">
      <c r="AR1568" s="81">
        <f>($G1568+($H1568-$G1568)*0.5)+($P1568-($O1568+($Q1568-$O1568)*0.5))</f>
        <v/>
      </c>
      <c r="AS1568" s="81">
        <f>($J1568+($K1568-$J1568)*0.5)+($T1568-($S1568+($U1568-$S1568)*0.5))</f>
        <v/>
      </c>
      <c r="AT1568" s="82">
        <f>($J1568-$C1568)*100</f>
        <v/>
      </c>
      <c r="AU1568" s="82">
        <f>($H1568-$F1568)*100</f>
        <v/>
      </c>
      <c r="AV1568" s="82">
        <f>($J1568-$F1568)*100</f>
        <v/>
      </c>
      <c r="AW1568" s="82">
        <f>($L1568-$F1568)*100</f>
        <v/>
      </c>
      <c r="AX1568" s="82">
        <f>($J1568-$H1568)*100</f>
        <v/>
      </c>
      <c r="AY1568" s="82">
        <f>($L1568-$H1568)*100</f>
        <v/>
      </c>
      <c r="AZ1568" s="82">
        <f>($L1568-$J1568)*100</f>
        <v/>
      </c>
      <c r="BA1568" s="82">
        <f>(2*$H1568-$F1568-$J1568)*100</f>
        <v/>
      </c>
      <c r="BB1568" s="82">
        <f>(2*$J1568-$H1568-$L1568)*100</f>
        <v/>
      </c>
      <c r="BC1568" s="82">
        <f>($N1568-$F1568)*100</f>
        <v/>
      </c>
      <c r="BD1568" s="82">
        <f>($Q1568-$H1568)*100</f>
        <v/>
      </c>
      <c r="BE1568" s="82">
        <f>($S1568-$J1568)*100</f>
        <v/>
      </c>
      <c r="BF1568" s="82">
        <f>($V1568-$L1568)*100</f>
        <v/>
      </c>
      <c r="BG1568" s="82">
        <f>$AG1568-$AF1568</f>
        <v/>
      </c>
      <c r="BH1568" s="81">
        <f>IFERROR($AG1568/$AF1568,"")</f>
        <v/>
      </c>
      <c r="BI1568" s="82">
        <f>$AJ1568-$AF1568</f>
        <v/>
      </c>
      <c r="BJ1568" s="81">
        <f>IFERROR($AJ1568/$AG1568,"")</f>
        <v/>
      </c>
      <c r="BK1568" s="81">
        <f>$X1568</f>
        <v/>
      </c>
      <c r="BL1568" s="82">
        <f>($J1568-$J1569)*100</f>
        <v/>
      </c>
      <c r="BM1568" s="82">
        <f>($F1568-$F1569)*100</f>
        <v/>
      </c>
      <c r="BN1568" s="82">
        <f>$AF1568-$AF1569</f>
        <v/>
      </c>
      <c r="BO1568" s="82">
        <f>$AG1568-$AG1569</f>
        <v/>
      </c>
      <c r="BP1568" s="82">
        <f>$AJ1568-$AJ1569</f>
        <v/>
      </c>
    </row>
    <row r="1569">
      <c r="AR1569" s="81">
        <f>($G1569+($H1569-$G1569)*0.5)+($P1569-($O1569+($Q1569-$O1569)*0.5))</f>
        <v/>
      </c>
      <c r="AS1569" s="81">
        <f>($J1569+($K1569-$J1569)*0.5)+($T1569-($S1569+($U1569-$S1569)*0.5))</f>
        <v/>
      </c>
      <c r="AT1569" s="82">
        <f>($J1569-$C1569)*100</f>
        <v/>
      </c>
      <c r="AU1569" s="82">
        <f>($H1569-$F1569)*100</f>
        <v/>
      </c>
      <c r="AV1569" s="82">
        <f>($J1569-$F1569)*100</f>
        <v/>
      </c>
      <c r="AW1569" s="82">
        <f>($L1569-$F1569)*100</f>
        <v/>
      </c>
      <c r="AX1569" s="82">
        <f>($J1569-$H1569)*100</f>
        <v/>
      </c>
      <c r="AY1569" s="82">
        <f>($L1569-$H1569)*100</f>
        <v/>
      </c>
      <c r="AZ1569" s="82">
        <f>($L1569-$J1569)*100</f>
        <v/>
      </c>
      <c r="BA1569" s="82">
        <f>(2*$H1569-$F1569-$J1569)*100</f>
        <v/>
      </c>
      <c r="BB1569" s="82">
        <f>(2*$J1569-$H1569-$L1569)*100</f>
        <v/>
      </c>
      <c r="BC1569" s="82">
        <f>($N1569-$F1569)*100</f>
        <v/>
      </c>
      <c r="BD1569" s="82">
        <f>($Q1569-$H1569)*100</f>
        <v/>
      </c>
      <c r="BE1569" s="82">
        <f>($S1569-$J1569)*100</f>
        <v/>
      </c>
      <c r="BF1569" s="82">
        <f>($V1569-$L1569)*100</f>
        <v/>
      </c>
      <c r="BG1569" s="82">
        <f>$AG1569-$AF1569</f>
        <v/>
      </c>
      <c r="BH1569" s="81">
        <f>IFERROR($AG1569/$AF1569,"")</f>
        <v/>
      </c>
      <c r="BI1569" s="82">
        <f>$AJ1569-$AF1569</f>
        <v/>
      </c>
      <c r="BJ1569" s="81">
        <f>IFERROR($AJ1569/$AG1569,"")</f>
        <v/>
      </c>
      <c r="BK1569" s="81">
        <f>$X1569</f>
        <v/>
      </c>
      <c r="BL1569" s="82">
        <f>($J1569-$J1570)*100</f>
        <v/>
      </c>
      <c r="BM1569" s="82">
        <f>($F1569-$F1570)*100</f>
        <v/>
      </c>
      <c r="BN1569" s="82">
        <f>$AF1569-$AF1570</f>
        <v/>
      </c>
      <c r="BO1569" s="82">
        <f>$AG1569-$AG1570</f>
        <v/>
      </c>
      <c r="BP1569" s="82">
        <f>$AJ1569-$AJ1570</f>
        <v/>
      </c>
    </row>
    <row r="1570">
      <c r="AR1570" s="81">
        <f>($G1570+($H1570-$G1570)*0.5)+($P1570-($O1570+($Q1570-$O1570)*0.5))</f>
        <v/>
      </c>
      <c r="AS1570" s="81">
        <f>($J1570+($K1570-$J1570)*0.5)+($T1570-($S1570+($U1570-$S1570)*0.5))</f>
        <v/>
      </c>
      <c r="AT1570" s="82">
        <f>($J1570-$C1570)*100</f>
        <v/>
      </c>
      <c r="AU1570" s="82">
        <f>($H1570-$F1570)*100</f>
        <v/>
      </c>
      <c r="AV1570" s="82">
        <f>($J1570-$F1570)*100</f>
        <v/>
      </c>
      <c r="AW1570" s="82">
        <f>($L1570-$F1570)*100</f>
        <v/>
      </c>
      <c r="AX1570" s="82">
        <f>($J1570-$H1570)*100</f>
        <v/>
      </c>
      <c r="AY1570" s="82">
        <f>($L1570-$H1570)*100</f>
        <v/>
      </c>
      <c r="AZ1570" s="82">
        <f>($L1570-$J1570)*100</f>
        <v/>
      </c>
      <c r="BA1570" s="82">
        <f>(2*$H1570-$F1570-$J1570)*100</f>
        <v/>
      </c>
      <c r="BB1570" s="82">
        <f>(2*$J1570-$H1570-$L1570)*100</f>
        <v/>
      </c>
      <c r="BC1570" s="82">
        <f>($N1570-$F1570)*100</f>
        <v/>
      </c>
      <c r="BD1570" s="82">
        <f>($Q1570-$H1570)*100</f>
        <v/>
      </c>
      <c r="BE1570" s="82">
        <f>($S1570-$J1570)*100</f>
        <v/>
      </c>
      <c r="BF1570" s="82">
        <f>($V1570-$L1570)*100</f>
        <v/>
      </c>
      <c r="BG1570" s="82">
        <f>$AG1570-$AF1570</f>
        <v/>
      </c>
      <c r="BH1570" s="81">
        <f>IFERROR($AG1570/$AF1570,"")</f>
        <v/>
      </c>
      <c r="BI1570" s="82">
        <f>$AJ1570-$AF1570</f>
        <v/>
      </c>
      <c r="BJ1570" s="81">
        <f>IFERROR($AJ1570/$AG1570,"")</f>
        <v/>
      </c>
      <c r="BK1570" s="81">
        <f>$X1570</f>
        <v/>
      </c>
      <c r="BL1570" s="82">
        <f>($J1570-$J1571)*100</f>
        <v/>
      </c>
      <c r="BM1570" s="82">
        <f>($F1570-$F1571)*100</f>
        <v/>
      </c>
      <c r="BN1570" s="82">
        <f>$AF1570-$AF1571</f>
        <v/>
      </c>
      <c r="BO1570" s="82">
        <f>$AG1570-$AG1571</f>
        <v/>
      </c>
      <c r="BP1570" s="82">
        <f>$AJ1570-$AJ1571</f>
        <v/>
      </c>
    </row>
    <row r="1571">
      <c r="AR1571" s="81">
        <f>($G1571+($H1571-$G1571)*0.5)+($P1571-($O1571+($Q1571-$O1571)*0.5))</f>
        <v/>
      </c>
      <c r="AS1571" s="81">
        <f>($J1571+($K1571-$J1571)*0.5)+($T1571-($S1571+($U1571-$S1571)*0.5))</f>
        <v/>
      </c>
      <c r="AT1571" s="82">
        <f>($J1571-$C1571)*100</f>
        <v/>
      </c>
      <c r="AU1571" s="82">
        <f>($H1571-$F1571)*100</f>
        <v/>
      </c>
      <c r="AV1571" s="82">
        <f>($J1571-$F1571)*100</f>
        <v/>
      </c>
      <c r="AW1571" s="82">
        <f>($L1571-$F1571)*100</f>
        <v/>
      </c>
      <c r="AX1571" s="82">
        <f>($J1571-$H1571)*100</f>
        <v/>
      </c>
      <c r="AY1571" s="82">
        <f>($L1571-$H1571)*100</f>
        <v/>
      </c>
      <c r="AZ1571" s="82">
        <f>($L1571-$J1571)*100</f>
        <v/>
      </c>
      <c r="BA1571" s="82">
        <f>(2*$H1571-$F1571-$J1571)*100</f>
        <v/>
      </c>
      <c r="BB1571" s="82">
        <f>(2*$J1571-$H1571-$L1571)*100</f>
        <v/>
      </c>
      <c r="BC1571" s="82">
        <f>($N1571-$F1571)*100</f>
        <v/>
      </c>
      <c r="BD1571" s="82">
        <f>($Q1571-$H1571)*100</f>
        <v/>
      </c>
      <c r="BE1571" s="82">
        <f>($S1571-$J1571)*100</f>
        <v/>
      </c>
      <c r="BF1571" s="82">
        <f>($V1571-$L1571)*100</f>
        <v/>
      </c>
      <c r="BG1571" s="82">
        <f>$AG1571-$AF1571</f>
        <v/>
      </c>
      <c r="BH1571" s="81">
        <f>IFERROR($AG1571/$AF1571,"")</f>
        <v/>
      </c>
      <c r="BI1571" s="82">
        <f>$AJ1571-$AF1571</f>
        <v/>
      </c>
      <c r="BJ1571" s="81">
        <f>IFERROR($AJ1571/$AG1571,"")</f>
        <v/>
      </c>
      <c r="BK1571" s="81">
        <f>$X1571</f>
        <v/>
      </c>
      <c r="BL1571" s="82">
        <f>($J1571-$J1572)*100</f>
        <v/>
      </c>
      <c r="BM1571" s="82">
        <f>($F1571-$F1572)*100</f>
        <v/>
      </c>
      <c r="BN1571" s="82">
        <f>$AF1571-$AF1572</f>
        <v/>
      </c>
      <c r="BO1571" s="82">
        <f>$AG1571-$AG1572</f>
        <v/>
      </c>
      <c r="BP1571" s="82">
        <f>$AJ1571-$AJ1572</f>
        <v/>
      </c>
    </row>
    <row r="1572">
      <c r="AR1572" s="81">
        <f>($G1572+($H1572-$G1572)*0.5)+($P1572-($O1572+($Q1572-$O1572)*0.5))</f>
        <v/>
      </c>
      <c r="AS1572" s="81">
        <f>($J1572+($K1572-$J1572)*0.5)+($T1572-($S1572+($U1572-$S1572)*0.5))</f>
        <v/>
      </c>
      <c r="AT1572" s="82">
        <f>($J1572-$C1572)*100</f>
        <v/>
      </c>
      <c r="AU1572" s="82">
        <f>($H1572-$F1572)*100</f>
        <v/>
      </c>
      <c r="AV1572" s="82">
        <f>($J1572-$F1572)*100</f>
        <v/>
      </c>
      <c r="AW1572" s="82">
        <f>($L1572-$F1572)*100</f>
        <v/>
      </c>
      <c r="AX1572" s="82">
        <f>($J1572-$H1572)*100</f>
        <v/>
      </c>
      <c r="AY1572" s="82">
        <f>($L1572-$H1572)*100</f>
        <v/>
      </c>
      <c r="AZ1572" s="82">
        <f>($L1572-$J1572)*100</f>
        <v/>
      </c>
      <c r="BA1572" s="82">
        <f>(2*$H1572-$F1572-$J1572)*100</f>
        <v/>
      </c>
      <c r="BB1572" s="82">
        <f>(2*$J1572-$H1572-$L1572)*100</f>
        <v/>
      </c>
      <c r="BC1572" s="82">
        <f>($N1572-$F1572)*100</f>
        <v/>
      </c>
      <c r="BD1572" s="82">
        <f>($Q1572-$H1572)*100</f>
        <v/>
      </c>
      <c r="BE1572" s="82">
        <f>($S1572-$J1572)*100</f>
        <v/>
      </c>
      <c r="BF1572" s="82">
        <f>($V1572-$L1572)*100</f>
        <v/>
      </c>
      <c r="BG1572" s="82">
        <f>$AG1572-$AF1572</f>
        <v/>
      </c>
      <c r="BH1572" s="81">
        <f>IFERROR($AG1572/$AF1572,"")</f>
        <v/>
      </c>
      <c r="BI1572" s="82">
        <f>$AJ1572-$AF1572</f>
        <v/>
      </c>
      <c r="BJ1572" s="81">
        <f>IFERROR($AJ1572/$AG1572,"")</f>
        <v/>
      </c>
      <c r="BK1572" s="81">
        <f>$X1572</f>
        <v/>
      </c>
      <c r="BL1572" s="82">
        <f>($J1572-$J1573)*100</f>
        <v/>
      </c>
      <c r="BM1572" s="82">
        <f>($F1572-$F1573)*100</f>
        <v/>
      </c>
      <c r="BN1572" s="82">
        <f>$AF1572-$AF1573</f>
        <v/>
      </c>
      <c r="BO1572" s="82">
        <f>$AG1572-$AG1573</f>
        <v/>
      </c>
      <c r="BP1572" s="82">
        <f>$AJ1572-$AJ1573</f>
        <v/>
      </c>
    </row>
    <row r="1573">
      <c r="AR1573" s="81">
        <f>($G1573+($H1573-$G1573)*0.5)+($P1573-($O1573+($Q1573-$O1573)*0.5))</f>
        <v/>
      </c>
      <c r="AS1573" s="81">
        <f>($J1573+($K1573-$J1573)*0.5)+($T1573-($S1573+($U1573-$S1573)*0.5))</f>
        <v/>
      </c>
      <c r="AT1573" s="82">
        <f>($J1573-$C1573)*100</f>
        <v/>
      </c>
      <c r="AU1573" s="82">
        <f>($H1573-$F1573)*100</f>
        <v/>
      </c>
      <c r="AV1573" s="82">
        <f>($J1573-$F1573)*100</f>
        <v/>
      </c>
      <c r="AW1573" s="82">
        <f>($L1573-$F1573)*100</f>
        <v/>
      </c>
      <c r="AX1573" s="82">
        <f>($J1573-$H1573)*100</f>
        <v/>
      </c>
      <c r="AY1573" s="82">
        <f>($L1573-$H1573)*100</f>
        <v/>
      </c>
      <c r="AZ1573" s="82">
        <f>($L1573-$J1573)*100</f>
        <v/>
      </c>
      <c r="BA1573" s="82">
        <f>(2*$H1573-$F1573-$J1573)*100</f>
        <v/>
      </c>
      <c r="BB1573" s="82">
        <f>(2*$J1573-$H1573-$L1573)*100</f>
        <v/>
      </c>
      <c r="BC1573" s="82">
        <f>($N1573-$F1573)*100</f>
        <v/>
      </c>
      <c r="BD1573" s="82">
        <f>($Q1573-$H1573)*100</f>
        <v/>
      </c>
      <c r="BE1573" s="82">
        <f>($S1573-$J1573)*100</f>
        <v/>
      </c>
      <c r="BF1573" s="82">
        <f>($V1573-$L1573)*100</f>
        <v/>
      </c>
      <c r="BG1573" s="82">
        <f>$AG1573-$AF1573</f>
        <v/>
      </c>
      <c r="BH1573" s="81">
        <f>IFERROR($AG1573/$AF1573,"")</f>
        <v/>
      </c>
      <c r="BI1573" s="82">
        <f>$AJ1573-$AF1573</f>
        <v/>
      </c>
      <c r="BJ1573" s="81">
        <f>IFERROR($AJ1573/$AG1573,"")</f>
        <v/>
      </c>
      <c r="BK1573" s="81">
        <f>$X1573</f>
        <v/>
      </c>
      <c r="BL1573" s="82">
        <f>($J1573-$J1574)*100</f>
        <v/>
      </c>
      <c r="BM1573" s="82">
        <f>($F1573-$F1574)*100</f>
        <v/>
      </c>
      <c r="BN1573" s="82">
        <f>$AF1573-$AF1574</f>
        <v/>
      </c>
      <c r="BO1573" s="82">
        <f>$AG1573-$AG1574</f>
        <v/>
      </c>
      <c r="BP1573" s="82">
        <f>$AJ1573-$AJ1574</f>
        <v/>
      </c>
    </row>
    <row r="1574">
      <c r="AR1574" s="81">
        <f>($G1574+($H1574-$G1574)*0.5)+($P1574-($O1574+($Q1574-$O1574)*0.5))</f>
        <v/>
      </c>
      <c r="AS1574" s="81">
        <f>($J1574+($K1574-$J1574)*0.5)+($T1574-($S1574+($U1574-$S1574)*0.5))</f>
        <v/>
      </c>
      <c r="AT1574" s="82">
        <f>($J1574-$C1574)*100</f>
        <v/>
      </c>
      <c r="AU1574" s="82">
        <f>($H1574-$F1574)*100</f>
        <v/>
      </c>
      <c r="AV1574" s="82">
        <f>($J1574-$F1574)*100</f>
        <v/>
      </c>
      <c r="AW1574" s="82">
        <f>($L1574-$F1574)*100</f>
        <v/>
      </c>
      <c r="AX1574" s="82">
        <f>($J1574-$H1574)*100</f>
        <v/>
      </c>
      <c r="AY1574" s="82">
        <f>($L1574-$H1574)*100</f>
        <v/>
      </c>
      <c r="AZ1574" s="82">
        <f>($L1574-$J1574)*100</f>
        <v/>
      </c>
      <c r="BA1574" s="82">
        <f>(2*$H1574-$F1574-$J1574)*100</f>
        <v/>
      </c>
      <c r="BB1574" s="82">
        <f>(2*$J1574-$H1574-$L1574)*100</f>
        <v/>
      </c>
      <c r="BC1574" s="82">
        <f>($N1574-$F1574)*100</f>
        <v/>
      </c>
      <c r="BD1574" s="82">
        <f>($Q1574-$H1574)*100</f>
        <v/>
      </c>
      <c r="BE1574" s="82">
        <f>($S1574-$J1574)*100</f>
        <v/>
      </c>
      <c r="BF1574" s="82">
        <f>($V1574-$L1574)*100</f>
        <v/>
      </c>
      <c r="BG1574" s="82">
        <f>$AG1574-$AF1574</f>
        <v/>
      </c>
      <c r="BH1574" s="81">
        <f>IFERROR($AG1574/$AF1574,"")</f>
        <v/>
      </c>
      <c r="BI1574" s="82">
        <f>$AJ1574-$AF1574</f>
        <v/>
      </c>
      <c r="BJ1574" s="81">
        <f>IFERROR($AJ1574/$AG1574,"")</f>
        <v/>
      </c>
      <c r="BK1574" s="81">
        <f>$X1574</f>
        <v/>
      </c>
      <c r="BL1574" s="82">
        <f>($J1574-$J1575)*100</f>
        <v/>
      </c>
      <c r="BM1574" s="82">
        <f>($F1574-$F1575)*100</f>
        <v/>
      </c>
      <c r="BN1574" s="82">
        <f>$AF1574-$AF1575</f>
        <v/>
      </c>
      <c r="BO1574" s="82">
        <f>$AG1574-$AG1575</f>
        <v/>
      </c>
      <c r="BP1574" s="82">
        <f>$AJ1574-$AJ1575</f>
        <v/>
      </c>
    </row>
    <row r="1575">
      <c r="AR1575" s="81">
        <f>($G1575+($H1575-$G1575)*0.5)+($P1575-($O1575+($Q1575-$O1575)*0.5))</f>
        <v/>
      </c>
      <c r="AS1575" s="81">
        <f>($J1575+($K1575-$J1575)*0.5)+($T1575-($S1575+($U1575-$S1575)*0.5))</f>
        <v/>
      </c>
      <c r="AT1575" s="82">
        <f>($J1575-$C1575)*100</f>
        <v/>
      </c>
      <c r="AU1575" s="82">
        <f>($H1575-$F1575)*100</f>
        <v/>
      </c>
      <c r="AV1575" s="82">
        <f>($J1575-$F1575)*100</f>
        <v/>
      </c>
      <c r="AW1575" s="82">
        <f>($L1575-$F1575)*100</f>
        <v/>
      </c>
      <c r="AX1575" s="82">
        <f>($J1575-$H1575)*100</f>
        <v/>
      </c>
      <c r="AY1575" s="82">
        <f>($L1575-$H1575)*100</f>
        <v/>
      </c>
      <c r="AZ1575" s="82">
        <f>($L1575-$J1575)*100</f>
        <v/>
      </c>
      <c r="BA1575" s="82">
        <f>(2*$H1575-$F1575-$J1575)*100</f>
        <v/>
      </c>
      <c r="BB1575" s="82">
        <f>(2*$J1575-$H1575-$L1575)*100</f>
        <v/>
      </c>
      <c r="BC1575" s="82">
        <f>($N1575-$F1575)*100</f>
        <v/>
      </c>
      <c r="BD1575" s="82">
        <f>($Q1575-$H1575)*100</f>
        <v/>
      </c>
      <c r="BE1575" s="82">
        <f>($S1575-$J1575)*100</f>
        <v/>
      </c>
      <c r="BF1575" s="82">
        <f>($V1575-$L1575)*100</f>
        <v/>
      </c>
      <c r="BG1575" s="82">
        <f>$AG1575-$AF1575</f>
        <v/>
      </c>
      <c r="BH1575" s="81">
        <f>IFERROR($AG1575/$AF1575,"")</f>
        <v/>
      </c>
      <c r="BI1575" s="82">
        <f>$AJ1575-$AF1575</f>
        <v/>
      </c>
      <c r="BJ1575" s="81">
        <f>IFERROR($AJ1575/$AG1575,"")</f>
        <v/>
      </c>
      <c r="BK1575" s="81">
        <f>$X1575</f>
        <v/>
      </c>
      <c r="BL1575" s="82">
        <f>($J1575-$J1576)*100</f>
        <v/>
      </c>
      <c r="BM1575" s="82">
        <f>($F1575-$F1576)*100</f>
        <v/>
      </c>
      <c r="BN1575" s="82">
        <f>$AF1575-$AF1576</f>
        <v/>
      </c>
      <c r="BO1575" s="82">
        <f>$AG1575-$AG1576</f>
        <v/>
      </c>
      <c r="BP1575" s="82">
        <f>$AJ1575-$AJ1576</f>
        <v/>
      </c>
    </row>
    <row r="1576">
      <c r="AR1576" s="81">
        <f>($G1576+($H1576-$G1576)*0.5)+($P1576-($O1576+($Q1576-$O1576)*0.5))</f>
        <v/>
      </c>
      <c r="AS1576" s="81">
        <f>($J1576+($K1576-$J1576)*0.5)+($T1576-($S1576+($U1576-$S1576)*0.5))</f>
        <v/>
      </c>
      <c r="AT1576" s="82">
        <f>($J1576-$C1576)*100</f>
        <v/>
      </c>
      <c r="AU1576" s="82">
        <f>($H1576-$F1576)*100</f>
        <v/>
      </c>
      <c r="AV1576" s="82">
        <f>($J1576-$F1576)*100</f>
        <v/>
      </c>
      <c r="AW1576" s="82">
        <f>($L1576-$F1576)*100</f>
        <v/>
      </c>
      <c r="AX1576" s="82">
        <f>($J1576-$H1576)*100</f>
        <v/>
      </c>
      <c r="AY1576" s="82">
        <f>($L1576-$H1576)*100</f>
        <v/>
      </c>
      <c r="AZ1576" s="82">
        <f>($L1576-$J1576)*100</f>
        <v/>
      </c>
      <c r="BA1576" s="82">
        <f>(2*$H1576-$F1576-$J1576)*100</f>
        <v/>
      </c>
      <c r="BB1576" s="82">
        <f>(2*$J1576-$H1576-$L1576)*100</f>
        <v/>
      </c>
      <c r="BC1576" s="82">
        <f>($N1576-$F1576)*100</f>
        <v/>
      </c>
      <c r="BD1576" s="82">
        <f>($Q1576-$H1576)*100</f>
        <v/>
      </c>
      <c r="BE1576" s="82">
        <f>($S1576-$J1576)*100</f>
        <v/>
      </c>
      <c r="BF1576" s="82">
        <f>($V1576-$L1576)*100</f>
        <v/>
      </c>
      <c r="BG1576" s="82">
        <f>$AG1576-$AF1576</f>
        <v/>
      </c>
      <c r="BH1576" s="81">
        <f>IFERROR($AG1576/$AF1576,"")</f>
        <v/>
      </c>
      <c r="BI1576" s="82">
        <f>$AJ1576-$AF1576</f>
        <v/>
      </c>
      <c r="BJ1576" s="81">
        <f>IFERROR($AJ1576/$AG1576,"")</f>
        <v/>
      </c>
      <c r="BK1576" s="81">
        <f>$X1576</f>
        <v/>
      </c>
      <c r="BL1576" s="82">
        <f>($J1576-$J1577)*100</f>
        <v/>
      </c>
      <c r="BM1576" s="82">
        <f>($F1576-$F1577)*100</f>
        <v/>
      </c>
      <c r="BN1576" s="82">
        <f>$AF1576-$AF1577</f>
        <v/>
      </c>
      <c r="BO1576" s="82">
        <f>$AG1576-$AG1577</f>
        <v/>
      </c>
      <c r="BP1576" s="82">
        <f>$AJ1576-$AJ1577</f>
        <v/>
      </c>
    </row>
    <row r="1577">
      <c r="AR1577" s="81">
        <f>($G1577+($H1577-$G1577)*0.5)+($P1577-($O1577+($Q1577-$O1577)*0.5))</f>
        <v/>
      </c>
      <c r="AS1577" s="81">
        <f>($J1577+($K1577-$J1577)*0.5)+($T1577-($S1577+($U1577-$S1577)*0.5))</f>
        <v/>
      </c>
      <c r="AT1577" s="82">
        <f>($J1577-$C1577)*100</f>
        <v/>
      </c>
      <c r="AU1577" s="82">
        <f>($H1577-$F1577)*100</f>
        <v/>
      </c>
      <c r="AV1577" s="82">
        <f>($J1577-$F1577)*100</f>
        <v/>
      </c>
      <c r="AW1577" s="82">
        <f>($L1577-$F1577)*100</f>
        <v/>
      </c>
      <c r="AX1577" s="82">
        <f>($J1577-$H1577)*100</f>
        <v/>
      </c>
      <c r="AY1577" s="82">
        <f>($L1577-$H1577)*100</f>
        <v/>
      </c>
      <c r="AZ1577" s="82">
        <f>($L1577-$J1577)*100</f>
        <v/>
      </c>
      <c r="BA1577" s="82">
        <f>(2*$H1577-$F1577-$J1577)*100</f>
        <v/>
      </c>
      <c r="BB1577" s="82">
        <f>(2*$J1577-$H1577-$L1577)*100</f>
        <v/>
      </c>
      <c r="BC1577" s="82">
        <f>($N1577-$F1577)*100</f>
        <v/>
      </c>
      <c r="BD1577" s="82">
        <f>($Q1577-$H1577)*100</f>
        <v/>
      </c>
      <c r="BE1577" s="82">
        <f>($S1577-$J1577)*100</f>
        <v/>
      </c>
      <c r="BF1577" s="82">
        <f>($V1577-$L1577)*100</f>
        <v/>
      </c>
      <c r="BG1577" s="82">
        <f>$AG1577-$AF1577</f>
        <v/>
      </c>
      <c r="BH1577" s="81">
        <f>IFERROR($AG1577/$AF1577,"")</f>
        <v/>
      </c>
      <c r="BI1577" s="82">
        <f>$AJ1577-$AF1577</f>
        <v/>
      </c>
      <c r="BJ1577" s="81">
        <f>IFERROR($AJ1577/$AG1577,"")</f>
        <v/>
      </c>
      <c r="BK1577" s="81">
        <f>$X1577</f>
        <v/>
      </c>
      <c r="BL1577" s="82">
        <f>($J1577-$J1578)*100</f>
        <v/>
      </c>
      <c r="BM1577" s="82">
        <f>($F1577-$F1578)*100</f>
        <v/>
      </c>
      <c r="BN1577" s="82">
        <f>$AF1577-$AF1578</f>
        <v/>
      </c>
      <c r="BO1577" s="82">
        <f>$AG1577-$AG1578</f>
        <v/>
      </c>
      <c r="BP1577" s="82">
        <f>$AJ1577-$AJ1578</f>
        <v/>
      </c>
    </row>
    <row r="1578">
      <c r="AR1578" s="81">
        <f>($G1578+($H1578-$G1578)*0.5)+($P1578-($O1578+($Q1578-$O1578)*0.5))</f>
        <v/>
      </c>
      <c r="AS1578" s="81">
        <f>($J1578+($K1578-$J1578)*0.5)+($T1578-($S1578+($U1578-$S1578)*0.5))</f>
        <v/>
      </c>
      <c r="AT1578" s="82">
        <f>($J1578-$C1578)*100</f>
        <v/>
      </c>
      <c r="AU1578" s="82">
        <f>($H1578-$F1578)*100</f>
        <v/>
      </c>
      <c r="AV1578" s="82">
        <f>($J1578-$F1578)*100</f>
        <v/>
      </c>
      <c r="AW1578" s="82">
        <f>($L1578-$F1578)*100</f>
        <v/>
      </c>
      <c r="AX1578" s="82">
        <f>($J1578-$H1578)*100</f>
        <v/>
      </c>
      <c r="AY1578" s="82">
        <f>($L1578-$H1578)*100</f>
        <v/>
      </c>
      <c r="AZ1578" s="82">
        <f>($L1578-$J1578)*100</f>
        <v/>
      </c>
      <c r="BA1578" s="82">
        <f>(2*$H1578-$F1578-$J1578)*100</f>
        <v/>
      </c>
      <c r="BB1578" s="82">
        <f>(2*$J1578-$H1578-$L1578)*100</f>
        <v/>
      </c>
      <c r="BC1578" s="82">
        <f>($N1578-$F1578)*100</f>
        <v/>
      </c>
      <c r="BD1578" s="82">
        <f>($Q1578-$H1578)*100</f>
        <v/>
      </c>
      <c r="BE1578" s="82">
        <f>($S1578-$J1578)*100</f>
        <v/>
      </c>
      <c r="BF1578" s="82">
        <f>($V1578-$L1578)*100</f>
        <v/>
      </c>
      <c r="BG1578" s="82">
        <f>$AG1578-$AF1578</f>
        <v/>
      </c>
      <c r="BH1578" s="81">
        <f>IFERROR($AG1578/$AF1578,"")</f>
        <v/>
      </c>
      <c r="BI1578" s="82">
        <f>$AJ1578-$AF1578</f>
        <v/>
      </c>
      <c r="BJ1578" s="81">
        <f>IFERROR($AJ1578/$AG1578,"")</f>
        <v/>
      </c>
      <c r="BK1578" s="81">
        <f>$X1578</f>
        <v/>
      </c>
      <c r="BL1578" s="82">
        <f>($J1578-$J1579)*100</f>
        <v/>
      </c>
      <c r="BM1578" s="82">
        <f>($F1578-$F1579)*100</f>
        <v/>
      </c>
      <c r="BN1578" s="82">
        <f>$AF1578-$AF1579</f>
        <v/>
      </c>
      <c r="BO1578" s="82">
        <f>$AG1578-$AG1579</f>
        <v/>
      </c>
      <c r="BP1578" s="82">
        <f>$AJ1578-$AJ1579</f>
        <v/>
      </c>
    </row>
    <row r="1579">
      <c r="AR1579" s="81">
        <f>($G1579+($H1579-$G1579)*0.5)+($P1579-($O1579+($Q1579-$O1579)*0.5))</f>
        <v/>
      </c>
      <c r="AS1579" s="81">
        <f>($J1579+($K1579-$J1579)*0.5)+($T1579-($S1579+($U1579-$S1579)*0.5))</f>
        <v/>
      </c>
      <c r="AT1579" s="82">
        <f>($J1579-$C1579)*100</f>
        <v/>
      </c>
      <c r="AU1579" s="82">
        <f>($H1579-$F1579)*100</f>
        <v/>
      </c>
      <c r="AV1579" s="82">
        <f>($J1579-$F1579)*100</f>
        <v/>
      </c>
      <c r="AW1579" s="82">
        <f>($L1579-$F1579)*100</f>
        <v/>
      </c>
      <c r="AX1579" s="82">
        <f>($J1579-$H1579)*100</f>
        <v/>
      </c>
      <c r="AY1579" s="82">
        <f>($L1579-$H1579)*100</f>
        <v/>
      </c>
      <c r="AZ1579" s="82">
        <f>($L1579-$J1579)*100</f>
        <v/>
      </c>
      <c r="BA1579" s="82">
        <f>(2*$H1579-$F1579-$J1579)*100</f>
        <v/>
      </c>
      <c r="BB1579" s="82">
        <f>(2*$J1579-$H1579-$L1579)*100</f>
        <v/>
      </c>
      <c r="BC1579" s="82">
        <f>($N1579-$F1579)*100</f>
        <v/>
      </c>
      <c r="BD1579" s="82">
        <f>($Q1579-$H1579)*100</f>
        <v/>
      </c>
      <c r="BE1579" s="82">
        <f>($S1579-$J1579)*100</f>
        <v/>
      </c>
      <c r="BF1579" s="82">
        <f>($V1579-$L1579)*100</f>
        <v/>
      </c>
      <c r="BG1579" s="82">
        <f>$AG1579-$AF1579</f>
        <v/>
      </c>
      <c r="BH1579" s="81">
        <f>IFERROR($AG1579/$AF1579,"")</f>
        <v/>
      </c>
      <c r="BI1579" s="82">
        <f>$AJ1579-$AF1579</f>
        <v/>
      </c>
      <c r="BJ1579" s="81">
        <f>IFERROR($AJ1579/$AG1579,"")</f>
        <v/>
      </c>
      <c r="BK1579" s="81">
        <f>$X1579</f>
        <v/>
      </c>
      <c r="BL1579" s="82">
        <f>($J1579-$J1580)*100</f>
        <v/>
      </c>
      <c r="BM1579" s="82">
        <f>($F1579-$F1580)*100</f>
        <v/>
      </c>
      <c r="BN1579" s="82">
        <f>$AF1579-$AF1580</f>
        <v/>
      </c>
      <c r="BO1579" s="82">
        <f>$AG1579-$AG1580</f>
        <v/>
      </c>
      <c r="BP1579" s="82">
        <f>$AJ1579-$AJ1580</f>
        <v/>
      </c>
    </row>
    <row r="1580">
      <c r="AR1580" s="81">
        <f>($G1580+($H1580-$G1580)*0.5)+($P1580-($O1580+($Q1580-$O1580)*0.5))</f>
        <v/>
      </c>
      <c r="AS1580" s="81">
        <f>($J1580+($K1580-$J1580)*0.5)+($T1580-($S1580+($U1580-$S1580)*0.5))</f>
        <v/>
      </c>
      <c r="AT1580" s="82">
        <f>($J1580-$C1580)*100</f>
        <v/>
      </c>
      <c r="AU1580" s="82">
        <f>($H1580-$F1580)*100</f>
        <v/>
      </c>
      <c r="AV1580" s="82">
        <f>($J1580-$F1580)*100</f>
        <v/>
      </c>
      <c r="AW1580" s="82">
        <f>($L1580-$F1580)*100</f>
        <v/>
      </c>
      <c r="AX1580" s="82">
        <f>($J1580-$H1580)*100</f>
        <v/>
      </c>
      <c r="AY1580" s="82">
        <f>($L1580-$H1580)*100</f>
        <v/>
      </c>
      <c r="AZ1580" s="82">
        <f>($L1580-$J1580)*100</f>
        <v/>
      </c>
      <c r="BA1580" s="82">
        <f>(2*$H1580-$F1580-$J1580)*100</f>
        <v/>
      </c>
      <c r="BB1580" s="82">
        <f>(2*$J1580-$H1580-$L1580)*100</f>
        <v/>
      </c>
      <c r="BC1580" s="82">
        <f>($N1580-$F1580)*100</f>
        <v/>
      </c>
      <c r="BD1580" s="82">
        <f>($Q1580-$H1580)*100</f>
        <v/>
      </c>
      <c r="BE1580" s="82">
        <f>($S1580-$J1580)*100</f>
        <v/>
      </c>
      <c r="BF1580" s="82">
        <f>($V1580-$L1580)*100</f>
        <v/>
      </c>
      <c r="BG1580" s="82">
        <f>$AG1580-$AF1580</f>
        <v/>
      </c>
      <c r="BH1580" s="81">
        <f>IFERROR($AG1580/$AF1580,"")</f>
        <v/>
      </c>
      <c r="BI1580" s="82">
        <f>$AJ1580-$AF1580</f>
        <v/>
      </c>
      <c r="BJ1580" s="81">
        <f>IFERROR($AJ1580/$AG1580,"")</f>
        <v/>
      </c>
      <c r="BK1580" s="81">
        <f>$X1580</f>
        <v/>
      </c>
      <c r="BL1580" s="82">
        <f>($J1580-$J1581)*100</f>
        <v/>
      </c>
      <c r="BM1580" s="82">
        <f>($F1580-$F1581)*100</f>
        <v/>
      </c>
      <c r="BN1580" s="82">
        <f>$AF1580-$AF1581</f>
        <v/>
      </c>
      <c r="BO1580" s="82">
        <f>$AG1580-$AG1581</f>
        <v/>
      </c>
      <c r="BP1580" s="82">
        <f>$AJ1580-$AJ1581</f>
        <v/>
      </c>
    </row>
    <row r="1581">
      <c r="AR1581" s="81">
        <f>($G1581+($H1581-$G1581)*0.5)+($P1581-($O1581+($Q1581-$O1581)*0.5))</f>
        <v/>
      </c>
      <c r="AS1581" s="81">
        <f>($J1581+($K1581-$J1581)*0.5)+($T1581-($S1581+($U1581-$S1581)*0.5))</f>
        <v/>
      </c>
      <c r="AT1581" s="82">
        <f>($J1581-$C1581)*100</f>
        <v/>
      </c>
      <c r="AU1581" s="82">
        <f>($H1581-$F1581)*100</f>
        <v/>
      </c>
      <c r="AV1581" s="82">
        <f>($J1581-$F1581)*100</f>
        <v/>
      </c>
      <c r="AW1581" s="82">
        <f>($L1581-$F1581)*100</f>
        <v/>
      </c>
      <c r="AX1581" s="82">
        <f>($J1581-$H1581)*100</f>
        <v/>
      </c>
      <c r="AY1581" s="82">
        <f>($L1581-$H1581)*100</f>
        <v/>
      </c>
      <c r="AZ1581" s="82">
        <f>($L1581-$J1581)*100</f>
        <v/>
      </c>
      <c r="BA1581" s="82">
        <f>(2*$H1581-$F1581-$J1581)*100</f>
        <v/>
      </c>
      <c r="BB1581" s="82">
        <f>(2*$J1581-$H1581-$L1581)*100</f>
        <v/>
      </c>
      <c r="BC1581" s="82">
        <f>($N1581-$F1581)*100</f>
        <v/>
      </c>
      <c r="BD1581" s="82">
        <f>($Q1581-$H1581)*100</f>
        <v/>
      </c>
      <c r="BE1581" s="82">
        <f>($S1581-$J1581)*100</f>
        <v/>
      </c>
      <c r="BF1581" s="82">
        <f>($V1581-$L1581)*100</f>
        <v/>
      </c>
      <c r="BG1581" s="82">
        <f>$AG1581-$AF1581</f>
        <v/>
      </c>
      <c r="BH1581" s="81">
        <f>IFERROR($AG1581/$AF1581,"")</f>
        <v/>
      </c>
      <c r="BI1581" s="82">
        <f>$AJ1581-$AF1581</f>
        <v/>
      </c>
      <c r="BJ1581" s="81">
        <f>IFERROR($AJ1581/$AG1581,"")</f>
        <v/>
      </c>
      <c r="BK1581" s="81">
        <f>$X1581</f>
        <v/>
      </c>
      <c r="BL1581" s="82">
        <f>($J1581-$J1582)*100</f>
        <v/>
      </c>
      <c r="BM1581" s="82">
        <f>($F1581-$F1582)*100</f>
        <v/>
      </c>
      <c r="BN1581" s="82">
        <f>$AF1581-$AF1582</f>
        <v/>
      </c>
      <c r="BO1581" s="82">
        <f>$AG1581-$AG1582</f>
        <v/>
      </c>
      <c r="BP1581" s="82">
        <f>$AJ1581-$AJ1582</f>
        <v/>
      </c>
    </row>
    <row r="1582">
      <c r="AR1582" s="81">
        <f>($G1582+($H1582-$G1582)*0.5)+($P1582-($O1582+($Q1582-$O1582)*0.5))</f>
        <v/>
      </c>
      <c r="AS1582" s="81">
        <f>($J1582+($K1582-$J1582)*0.5)+($T1582-($S1582+($U1582-$S1582)*0.5))</f>
        <v/>
      </c>
      <c r="AT1582" s="82">
        <f>($J1582-$C1582)*100</f>
        <v/>
      </c>
      <c r="AU1582" s="82">
        <f>($H1582-$F1582)*100</f>
        <v/>
      </c>
      <c r="AV1582" s="82">
        <f>($J1582-$F1582)*100</f>
        <v/>
      </c>
      <c r="AW1582" s="82">
        <f>($L1582-$F1582)*100</f>
        <v/>
      </c>
      <c r="AX1582" s="82">
        <f>($J1582-$H1582)*100</f>
        <v/>
      </c>
      <c r="AY1582" s="82">
        <f>($L1582-$H1582)*100</f>
        <v/>
      </c>
      <c r="AZ1582" s="82">
        <f>($L1582-$J1582)*100</f>
        <v/>
      </c>
      <c r="BA1582" s="82">
        <f>(2*$H1582-$F1582-$J1582)*100</f>
        <v/>
      </c>
      <c r="BB1582" s="82">
        <f>(2*$J1582-$H1582-$L1582)*100</f>
        <v/>
      </c>
      <c r="BC1582" s="82">
        <f>($N1582-$F1582)*100</f>
        <v/>
      </c>
      <c r="BD1582" s="82">
        <f>($Q1582-$H1582)*100</f>
        <v/>
      </c>
      <c r="BE1582" s="82">
        <f>($S1582-$J1582)*100</f>
        <v/>
      </c>
      <c r="BF1582" s="82">
        <f>($V1582-$L1582)*100</f>
        <v/>
      </c>
      <c r="BG1582" s="82">
        <f>$AG1582-$AF1582</f>
        <v/>
      </c>
      <c r="BH1582" s="81">
        <f>IFERROR($AG1582/$AF1582,"")</f>
        <v/>
      </c>
      <c r="BI1582" s="82">
        <f>$AJ1582-$AF1582</f>
        <v/>
      </c>
      <c r="BJ1582" s="81">
        <f>IFERROR($AJ1582/$AG1582,"")</f>
        <v/>
      </c>
      <c r="BK1582" s="81">
        <f>$X1582</f>
        <v/>
      </c>
      <c r="BL1582" s="82">
        <f>($J1582-$J1583)*100</f>
        <v/>
      </c>
      <c r="BM1582" s="82">
        <f>($F1582-$F1583)*100</f>
        <v/>
      </c>
      <c r="BN1582" s="82">
        <f>$AF1582-$AF1583</f>
        <v/>
      </c>
      <c r="BO1582" s="82">
        <f>$AG1582-$AG1583</f>
        <v/>
      </c>
      <c r="BP1582" s="82">
        <f>$AJ1582-$AJ1583</f>
        <v/>
      </c>
    </row>
    <row r="1583">
      <c r="AR1583" s="81">
        <f>($G1583+($H1583-$G1583)*0.5)+($P1583-($O1583+($Q1583-$O1583)*0.5))</f>
        <v/>
      </c>
      <c r="AS1583" s="81">
        <f>($J1583+($K1583-$J1583)*0.5)+($T1583-($S1583+($U1583-$S1583)*0.5))</f>
        <v/>
      </c>
      <c r="AT1583" s="82">
        <f>($J1583-$C1583)*100</f>
        <v/>
      </c>
      <c r="AU1583" s="82">
        <f>($H1583-$F1583)*100</f>
        <v/>
      </c>
      <c r="AV1583" s="82">
        <f>($J1583-$F1583)*100</f>
        <v/>
      </c>
      <c r="AW1583" s="82">
        <f>($L1583-$F1583)*100</f>
        <v/>
      </c>
      <c r="AX1583" s="82">
        <f>($J1583-$H1583)*100</f>
        <v/>
      </c>
      <c r="AY1583" s="82">
        <f>($L1583-$H1583)*100</f>
        <v/>
      </c>
      <c r="AZ1583" s="82">
        <f>($L1583-$J1583)*100</f>
        <v/>
      </c>
      <c r="BA1583" s="82">
        <f>(2*$H1583-$F1583-$J1583)*100</f>
        <v/>
      </c>
      <c r="BB1583" s="82">
        <f>(2*$J1583-$H1583-$L1583)*100</f>
        <v/>
      </c>
      <c r="BC1583" s="82">
        <f>($N1583-$F1583)*100</f>
        <v/>
      </c>
      <c r="BD1583" s="82">
        <f>($Q1583-$H1583)*100</f>
        <v/>
      </c>
      <c r="BE1583" s="82">
        <f>($S1583-$J1583)*100</f>
        <v/>
      </c>
      <c r="BF1583" s="82">
        <f>($V1583-$L1583)*100</f>
        <v/>
      </c>
      <c r="BG1583" s="82">
        <f>$AG1583-$AF1583</f>
        <v/>
      </c>
      <c r="BH1583" s="81">
        <f>IFERROR($AG1583/$AF1583,"")</f>
        <v/>
      </c>
      <c r="BI1583" s="82">
        <f>$AJ1583-$AF1583</f>
        <v/>
      </c>
      <c r="BJ1583" s="81">
        <f>IFERROR($AJ1583/$AG1583,"")</f>
        <v/>
      </c>
      <c r="BK1583" s="81">
        <f>$X1583</f>
        <v/>
      </c>
      <c r="BL1583" s="82">
        <f>($J1583-$J1584)*100</f>
        <v/>
      </c>
      <c r="BM1583" s="82">
        <f>($F1583-$F1584)*100</f>
        <v/>
      </c>
      <c r="BN1583" s="82">
        <f>$AF1583-$AF1584</f>
        <v/>
      </c>
      <c r="BO1583" s="82">
        <f>$AG1583-$AG1584</f>
        <v/>
      </c>
      <c r="BP1583" s="82">
        <f>$AJ1583-$AJ1584</f>
        <v/>
      </c>
    </row>
    <row r="1584">
      <c r="AR1584" s="81">
        <f>($G1584+($H1584-$G1584)*0.5)+($P1584-($O1584+($Q1584-$O1584)*0.5))</f>
        <v/>
      </c>
      <c r="AS1584" s="81">
        <f>($J1584+($K1584-$J1584)*0.5)+($T1584-($S1584+($U1584-$S1584)*0.5))</f>
        <v/>
      </c>
      <c r="AT1584" s="82">
        <f>($J1584-$C1584)*100</f>
        <v/>
      </c>
      <c r="AU1584" s="82">
        <f>($H1584-$F1584)*100</f>
        <v/>
      </c>
      <c r="AV1584" s="82">
        <f>($J1584-$F1584)*100</f>
        <v/>
      </c>
      <c r="AW1584" s="82">
        <f>($L1584-$F1584)*100</f>
        <v/>
      </c>
      <c r="AX1584" s="82">
        <f>($J1584-$H1584)*100</f>
        <v/>
      </c>
      <c r="AY1584" s="82">
        <f>($L1584-$H1584)*100</f>
        <v/>
      </c>
      <c r="AZ1584" s="82">
        <f>($L1584-$J1584)*100</f>
        <v/>
      </c>
      <c r="BA1584" s="82">
        <f>(2*$H1584-$F1584-$J1584)*100</f>
        <v/>
      </c>
      <c r="BB1584" s="82">
        <f>(2*$J1584-$H1584-$L1584)*100</f>
        <v/>
      </c>
      <c r="BC1584" s="82">
        <f>($N1584-$F1584)*100</f>
        <v/>
      </c>
      <c r="BD1584" s="82">
        <f>($Q1584-$H1584)*100</f>
        <v/>
      </c>
      <c r="BE1584" s="82">
        <f>($S1584-$J1584)*100</f>
        <v/>
      </c>
      <c r="BF1584" s="82">
        <f>($V1584-$L1584)*100</f>
        <v/>
      </c>
      <c r="BG1584" s="82">
        <f>$AG1584-$AF1584</f>
        <v/>
      </c>
      <c r="BH1584" s="81">
        <f>IFERROR($AG1584/$AF1584,"")</f>
        <v/>
      </c>
      <c r="BI1584" s="82">
        <f>$AJ1584-$AF1584</f>
        <v/>
      </c>
      <c r="BJ1584" s="81">
        <f>IFERROR($AJ1584/$AG1584,"")</f>
        <v/>
      </c>
      <c r="BK1584" s="81">
        <f>$X1584</f>
        <v/>
      </c>
      <c r="BL1584" s="82">
        <f>($J1584-$J1585)*100</f>
        <v/>
      </c>
      <c r="BM1584" s="82">
        <f>($F1584-$F1585)*100</f>
        <v/>
      </c>
      <c r="BN1584" s="82">
        <f>$AF1584-$AF1585</f>
        <v/>
      </c>
      <c r="BO1584" s="82">
        <f>$AG1584-$AG1585</f>
        <v/>
      </c>
      <c r="BP1584" s="82">
        <f>$AJ1584-$AJ1585</f>
        <v/>
      </c>
    </row>
    <row r="1585">
      <c r="AR1585" s="81">
        <f>($G1585+($H1585-$G1585)*0.5)+($P1585-($O1585+($Q1585-$O1585)*0.5))</f>
        <v/>
      </c>
      <c r="AS1585" s="81">
        <f>($J1585+($K1585-$J1585)*0.5)+($T1585-($S1585+($U1585-$S1585)*0.5))</f>
        <v/>
      </c>
      <c r="AT1585" s="82">
        <f>($J1585-$C1585)*100</f>
        <v/>
      </c>
      <c r="AU1585" s="82">
        <f>($H1585-$F1585)*100</f>
        <v/>
      </c>
      <c r="AV1585" s="82">
        <f>($J1585-$F1585)*100</f>
        <v/>
      </c>
      <c r="AW1585" s="82">
        <f>($L1585-$F1585)*100</f>
        <v/>
      </c>
      <c r="AX1585" s="82">
        <f>($J1585-$H1585)*100</f>
        <v/>
      </c>
      <c r="AY1585" s="82">
        <f>($L1585-$H1585)*100</f>
        <v/>
      </c>
      <c r="AZ1585" s="82">
        <f>($L1585-$J1585)*100</f>
        <v/>
      </c>
      <c r="BA1585" s="82">
        <f>(2*$H1585-$F1585-$J1585)*100</f>
        <v/>
      </c>
      <c r="BB1585" s="82">
        <f>(2*$J1585-$H1585-$L1585)*100</f>
        <v/>
      </c>
      <c r="BC1585" s="82">
        <f>($N1585-$F1585)*100</f>
        <v/>
      </c>
      <c r="BD1585" s="82">
        <f>($Q1585-$H1585)*100</f>
        <v/>
      </c>
      <c r="BE1585" s="82">
        <f>($S1585-$J1585)*100</f>
        <v/>
      </c>
      <c r="BF1585" s="82">
        <f>($V1585-$L1585)*100</f>
        <v/>
      </c>
      <c r="BG1585" s="82">
        <f>$AG1585-$AF1585</f>
        <v/>
      </c>
      <c r="BH1585" s="81">
        <f>IFERROR($AG1585/$AF1585,"")</f>
        <v/>
      </c>
      <c r="BI1585" s="82">
        <f>$AJ1585-$AF1585</f>
        <v/>
      </c>
      <c r="BJ1585" s="81">
        <f>IFERROR($AJ1585/$AG1585,"")</f>
        <v/>
      </c>
      <c r="BK1585" s="81">
        <f>$X1585</f>
        <v/>
      </c>
      <c r="BL1585" s="82">
        <f>($J1585-$J1586)*100</f>
        <v/>
      </c>
      <c r="BM1585" s="82">
        <f>($F1585-$F1586)*100</f>
        <v/>
      </c>
      <c r="BN1585" s="82">
        <f>$AF1585-$AF1586</f>
        <v/>
      </c>
      <c r="BO1585" s="82">
        <f>$AG1585-$AG1586</f>
        <v/>
      </c>
      <c r="BP1585" s="82">
        <f>$AJ1585-$AJ1586</f>
        <v/>
      </c>
    </row>
    <row r="1586">
      <c r="AR1586" s="81">
        <f>($G1586+($H1586-$G1586)*0.5)+($P1586-($O1586+($Q1586-$O1586)*0.5))</f>
        <v/>
      </c>
      <c r="AS1586" s="81">
        <f>($J1586+($K1586-$J1586)*0.5)+($T1586-($S1586+($U1586-$S1586)*0.5))</f>
        <v/>
      </c>
      <c r="AT1586" s="82">
        <f>($J1586-$C1586)*100</f>
        <v/>
      </c>
      <c r="AU1586" s="82">
        <f>($H1586-$F1586)*100</f>
        <v/>
      </c>
      <c r="AV1586" s="82">
        <f>($J1586-$F1586)*100</f>
        <v/>
      </c>
      <c r="AW1586" s="82">
        <f>($L1586-$F1586)*100</f>
        <v/>
      </c>
      <c r="AX1586" s="82">
        <f>($J1586-$H1586)*100</f>
        <v/>
      </c>
      <c r="AY1586" s="82">
        <f>($L1586-$H1586)*100</f>
        <v/>
      </c>
      <c r="AZ1586" s="82">
        <f>($L1586-$J1586)*100</f>
        <v/>
      </c>
      <c r="BA1586" s="82">
        <f>(2*$H1586-$F1586-$J1586)*100</f>
        <v/>
      </c>
      <c r="BB1586" s="82">
        <f>(2*$J1586-$H1586-$L1586)*100</f>
        <v/>
      </c>
      <c r="BC1586" s="82">
        <f>($N1586-$F1586)*100</f>
        <v/>
      </c>
      <c r="BD1586" s="82">
        <f>($Q1586-$H1586)*100</f>
        <v/>
      </c>
      <c r="BE1586" s="82">
        <f>($S1586-$J1586)*100</f>
        <v/>
      </c>
      <c r="BF1586" s="82">
        <f>($V1586-$L1586)*100</f>
        <v/>
      </c>
      <c r="BG1586" s="82">
        <f>$AG1586-$AF1586</f>
        <v/>
      </c>
      <c r="BH1586" s="81">
        <f>IFERROR($AG1586/$AF1586,"")</f>
        <v/>
      </c>
      <c r="BI1586" s="82">
        <f>$AJ1586-$AF1586</f>
        <v/>
      </c>
      <c r="BJ1586" s="81">
        <f>IFERROR($AJ1586/$AG1586,"")</f>
        <v/>
      </c>
      <c r="BK1586" s="81">
        <f>$X1586</f>
        <v/>
      </c>
      <c r="BL1586" s="82">
        <f>($J1586-$J1587)*100</f>
        <v/>
      </c>
      <c r="BM1586" s="82">
        <f>($F1586-$F1587)*100</f>
        <v/>
      </c>
      <c r="BN1586" s="82">
        <f>$AF1586-$AF1587</f>
        <v/>
      </c>
      <c r="BO1586" s="82">
        <f>$AG1586-$AG1587</f>
        <v/>
      </c>
      <c r="BP1586" s="82">
        <f>$AJ1586-$AJ1587</f>
        <v/>
      </c>
    </row>
    <row r="1587">
      <c r="AR1587" s="81">
        <f>($G1587+($H1587-$G1587)*0.5)+($P1587-($O1587+($Q1587-$O1587)*0.5))</f>
        <v/>
      </c>
      <c r="AS1587" s="81">
        <f>($J1587+($K1587-$J1587)*0.5)+($T1587-($S1587+($U1587-$S1587)*0.5))</f>
        <v/>
      </c>
      <c r="AT1587" s="82">
        <f>($J1587-$C1587)*100</f>
        <v/>
      </c>
      <c r="AU1587" s="82">
        <f>($H1587-$F1587)*100</f>
        <v/>
      </c>
      <c r="AV1587" s="82">
        <f>($J1587-$F1587)*100</f>
        <v/>
      </c>
      <c r="AW1587" s="82">
        <f>($L1587-$F1587)*100</f>
        <v/>
      </c>
      <c r="AX1587" s="82">
        <f>($J1587-$H1587)*100</f>
        <v/>
      </c>
      <c r="AY1587" s="82">
        <f>($L1587-$H1587)*100</f>
        <v/>
      </c>
      <c r="AZ1587" s="82">
        <f>($L1587-$J1587)*100</f>
        <v/>
      </c>
      <c r="BA1587" s="82">
        <f>(2*$H1587-$F1587-$J1587)*100</f>
        <v/>
      </c>
      <c r="BB1587" s="82">
        <f>(2*$J1587-$H1587-$L1587)*100</f>
        <v/>
      </c>
      <c r="BC1587" s="82">
        <f>($N1587-$F1587)*100</f>
        <v/>
      </c>
      <c r="BD1587" s="82">
        <f>($Q1587-$H1587)*100</f>
        <v/>
      </c>
      <c r="BE1587" s="82">
        <f>($S1587-$J1587)*100</f>
        <v/>
      </c>
      <c r="BF1587" s="82">
        <f>($V1587-$L1587)*100</f>
        <v/>
      </c>
      <c r="BG1587" s="82">
        <f>$AG1587-$AF1587</f>
        <v/>
      </c>
      <c r="BH1587" s="81">
        <f>IFERROR($AG1587/$AF1587,"")</f>
        <v/>
      </c>
      <c r="BI1587" s="82">
        <f>$AJ1587-$AF1587</f>
        <v/>
      </c>
      <c r="BJ1587" s="81">
        <f>IFERROR($AJ1587/$AG1587,"")</f>
        <v/>
      </c>
      <c r="BK1587" s="81">
        <f>$X1587</f>
        <v/>
      </c>
      <c r="BL1587" s="82">
        <f>($J1587-$J1588)*100</f>
        <v/>
      </c>
      <c r="BM1587" s="82">
        <f>($F1587-$F1588)*100</f>
        <v/>
      </c>
      <c r="BN1587" s="82">
        <f>$AF1587-$AF1588</f>
        <v/>
      </c>
      <c r="BO1587" s="82">
        <f>$AG1587-$AG1588</f>
        <v/>
      </c>
      <c r="BP1587" s="82">
        <f>$AJ1587-$AJ1588</f>
        <v/>
      </c>
    </row>
    <row r="1588">
      <c r="AR1588" s="81">
        <f>($G1588+($H1588-$G1588)*0.5)+($P1588-($O1588+($Q1588-$O1588)*0.5))</f>
        <v/>
      </c>
      <c r="AS1588" s="81">
        <f>($J1588+($K1588-$J1588)*0.5)+($T1588-($S1588+($U1588-$S1588)*0.5))</f>
        <v/>
      </c>
      <c r="AT1588" s="82">
        <f>($J1588-$C1588)*100</f>
        <v/>
      </c>
      <c r="AU1588" s="82">
        <f>($H1588-$F1588)*100</f>
        <v/>
      </c>
      <c r="AV1588" s="82">
        <f>($J1588-$F1588)*100</f>
        <v/>
      </c>
      <c r="AW1588" s="82">
        <f>($L1588-$F1588)*100</f>
        <v/>
      </c>
      <c r="AX1588" s="82">
        <f>($J1588-$H1588)*100</f>
        <v/>
      </c>
      <c r="AY1588" s="82">
        <f>($L1588-$H1588)*100</f>
        <v/>
      </c>
      <c r="AZ1588" s="82">
        <f>($L1588-$J1588)*100</f>
        <v/>
      </c>
      <c r="BA1588" s="82">
        <f>(2*$H1588-$F1588-$J1588)*100</f>
        <v/>
      </c>
      <c r="BB1588" s="82">
        <f>(2*$J1588-$H1588-$L1588)*100</f>
        <v/>
      </c>
      <c r="BC1588" s="82">
        <f>($N1588-$F1588)*100</f>
        <v/>
      </c>
      <c r="BD1588" s="82">
        <f>($Q1588-$H1588)*100</f>
        <v/>
      </c>
      <c r="BE1588" s="82">
        <f>($S1588-$J1588)*100</f>
        <v/>
      </c>
      <c r="BF1588" s="82">
        <f>($V1588-$L1588)*100</f>
        <v/>
      </c>
      <c r="BG1588" s="82">
        <f>$AG1588-$AF1588</f>
        <v/>
      </c>
      <c r="BH1588" s="81">
        <f>IFERROR($AG1588/$AF1588,"")</f>
        <v/>
      </c>
      <c r="BI1588" s="82">
        <f>$AJ1588-$AF1588</f>
        <v/>
      </c>
      <c r="BJ1588" s="81">
        <f>IFERROR($AJ1588/$AG1588,"")</f>
        <v/>
      </c>
      <c r="BK1588" s="81">
        <f>$X1588</f>
        <v/>
      </c>
      <c r="BL1588" s="82">
        <f>($J1588-$J1589)*100</f>
        <v/>
      </c>
      <c r="BM1588" s="82">
        <f>($F1588-$F1589)*100</f>
        <v/>
      </c>
      <c r="BN1588" s="82">
        <f>$AF1588-$AF1589</f>
        <v/>
      </c>
      <c r="BO1588" s="82">
        <f>$AG1588-$AG1589</f>
        <v/>
      </c>
      <c r="BP1588" s="82">
        <f>$AJ1588-$AJ1589</f>
        <v/>
      </c>
    </row>
    <row r="1589">
      <c r="AR1589" s="81">
        <f>($G1589+($H1589-$G1589)*0.5)+($P1589-($O1589+($Q1589-$O1589)*0.5))</f>
        <v/>
      </c>
      <c r="AS1589" s="81">
        <f>($J1589+($K1589-$J1589)*0.5)+($T1589-($S1589+($U1589-$S1589)*0.5))</f>
        <v/>
      </c>
      <c r="AT1589" s="82">
        <f>($J1589-$C1589)*100</f>
        <v/>
      </c>
      <c r="AU1589" s="82">
        <f>($H1589-$F1589)*100</f>
        <v/>
      </c>
      <c r="AV1589" s="82">
        <f>($J1589-$F1589)*100</f>
        <v/>
      </c>
      <c r="AW1589" s="82">
        <f>($L1589-$F1589)*100</f>
        <v/>
      </c>
      <c r="AX1589" s="82">
        <f>($J1589-$H1589)*100</f>
        <v/>
      </c>
      <c r="AY1589" s="82">
        <f>($L1589-$H1589)*100</f>
        <v/>
      </c>
      <c r="AZ1589" s="82">
        <f>($L1589-$J1589)*100</f>
        <v/>
      </c>
      <c r="BA1589" s="82">
        <f>(2*$H1589-$F1589-$J1589)*100</f>
        <v/>
      </c>
      <c r="BB1589" s="82">
        <f>(2*$J1589-$H1589-$L1589)*100</f>
        <v/>
      </c>
      <c r="BC1589" s="82">
        <f>($N1589-$F1589)*100</f>
        <v/>
      </c>
      <c r="BD1589" s="82">
        <f>($Q1589-$H1589)*100</f>
        <v/>
      </c>
      <c r="BE1589" s="82">
        <f>($S1589-$J1589)*100</f>
        <v/>
      </c>
      <c r="BF1589" s="82">
        <f>($V1589-$L1589)*100</f>
        <v/>
      </c>
      <c r="BG1589" s="82">
        <f>$AG1589-$AF1589</f>
        <v/>
      </c>
      <c r="BH1589" s="81">
        <f>IFERROR($AG1589/$AF1589,"")</f>
        <v/>
      </c>
      <c r="BI1589" s="82">
        <f>$AJ1589-$AF1589</f>
        <v/>
      </c>
      <c r="BJ1589" s="81">
        <f>IFERROR($AJ1589/$AG1589,"")</f>
        <v/>
      </c>
      <c r="BK1589" s="81">
        <f>$X1589</f>
        <v/>
      </c>
      <c r="BL1589" s="82">
        <f>($J1589-$J1590)*100</f>
        <v/>
      </c>
      <c r="BM1589" s="82">
        <f>($F1589-$F1590)*100</f>
        <v/>
      </c>
      <c r="BN1589" s="82">
        <f>$AF1589-$AF1590</f>
        <v/>
      </c>
      <c r="BO1589" s="82">
        <f>$AG1589-$AG1590</f>
        <v/>
      </c>
      <c r="BP1589" s="82">
        <f>$AJ1589-$AJ1590</f>
        <v/>
      </c>
    </row>
    <row r="1590">
      <c r="AR1590" s="81">
        <f>($G1590+($H1590-$G1590)*0.5)+($P1590-($O1590+($Q1590-$O1590)*0.5))</f>
        <v/>
      </c>
      <c r="AS1590" s="81">
        <f>($J1590+($K1590-$J1590)*0.5)+($T1590-($S1590+($U1590-$S1590)*0.5))</f>
        <v/>
      </c>
      <c r="AT1590" s="82">
        <f>($J1590-$C1590)*100</f>
        <v/>
      </c>
      <c r="AU1590" s="82">
        <f>($H1590-$F1590)*100</f>
        <v/>
      </c>
      <c r="AV1590" s="82">
        <f>($J1590-$F1590)*100</f>
        <v/>
      </c>
      <c r="AW1590" s="82">
        <f>($L1590-$F1590)*100</f>
        <v/>
      </c>
      <c r="AX1590" s="82">
        <f>($J1590-$H1590)*100</f>
        <v/>
      </c>
      <c r="AY1590" s="82">
        <f>($L1590-$H1590)*100</f>
        <v/>
      </c>
      <c r="AZ1590" s="82">
        <f>($L1590-$J1590)*100</f>
        <v/>
      </c>
      <c r="BA1590" s="82">
        <f>(2*$H1590-$F1590-$J1590)*100</f>
        <v/>
      </c>
      <c r="BB1590" s="82">
        <f>(2*$J1590-$H1590-$L1590)*100</f>
        <v/>
      </c>
      <c r="BC1590" s="82">
        <f>($N1590-$F1590)*100</f>
        <v/>
      </c>
      <c r="BD1590" s="82">
        <f>($Q1590-$H1590)*100</f>
        <v/>
      </c>
      <c r="BE1590" s="82">
        <f>($S1590-$J1590)*100</f>
        <v/>
      </c>
      <c r="BF1590" s="82">
        <f>($V1590-$L1590)*100</f>
        <v/>
      </c>
      <c r="BG1590" s="82">
        <f>$AG1590-$AF1590</f>
        <v/>
      </c>
      <c r="BH1590" s="81">
        <f>IFERROR($AG1590/$AF1590,"")</f>
        <v/>
      </c>
      <c r="BI1590" s="82">
        <f>$AJ1590-$AF1590</f>
        <v/>
      </c>
      <c r="BJ1590" s="81">
        <f>IFERROR($AJ1590/$AG1590,"")</f>
        <v/>
      </c>
      <c r="BK1590" s="81">
        <f>$X1590</f>
        <v/>
      </c>
      <c r="BL1590" s="82">
        <f>($J1590-$J1591)*100</f>
        <v/>
      </c>
      <c r="BM1590" s="82">
        <f>($F1590-$F1591)*100</f>
        <v/>
      </c>
      <c r="BN1590" s="82">
        <f>$AF1590-$AF1591</f>
        <v/>
      </c>
      <c r="BO1590" s="82">
        <f>$AG1590-$AG1591</f>
        <v/>
      </c>
      <c r="BP1590" s="82">
        <f>$AJ1590-$AJ1591</f>
        <v/>
      </c>
    </row>
    <row r="1591">
      <c r="AR1591" s="81">
        <f>($G1591+($H1591-$G1591)*0.5)+($P1591-($O1591+($Q1591-$O1591)*0.5))</f>
        <v/>
      </c>
      <c r="AS1591" s="81">
        <f>($J1591+($K1591-$J1591)*0.5)+($T1591-($S1591+($U1591-$S1591)*0.5))</f>
        <v/>
      </c>
      <c r="AT1591" s="82">
        <f>($J1591-$C1591)*100</f>
        <v/>
      </c>
      <c r="AU1591" s="82">
        <f>($H1591-$F1591)*100</f>
        <v/>
      </c>
      <c r="AV1591" s="82">
        <f>($J1591-$F1591)*100</f>
        <v/>
      </c>
      <c r="AW1591" s="82">
        <f>($L1591-$F1591)*100</f>
        <v/>
      </c>
      <c r="AX1591" s="82">
        <f>($J1591-$H1591)*100</f>
        <v/>
      </c>
      <c r="AY1591" s="82">
        <f>($L1591-$H1591)*100</f>
        <v/>
      </c>
      <c r="AZ1591" s="82">
        <f>($L1591-$J1591)*100</f>
        <v/>
      </c>
      <c r="BA1591" s="82">
        <f>(2*$H1591-$F1591-$J1591)*100</f>
        <v/>
      </c>
      <c r="BB1591" s="82">
        <f>(2*$J1591-$H1591-$L1591)*100</f>
        <v/>
      </c>
      <c r="BC1591" s="82">
        <f>($N1591-$F1591)*100</f>
        <v/>
      </c>
      <c r="BD1591" s="82">
        <f>($Q1591-$H1591)*100</f>
        <v/>
      </c>
      <c r="BE1591" s="82">
        <f>($S1591-$J1591)*100</f>
        <v/>
      </c>
      <c r="BF1591" s="82">
        <f>($V1591-$L1591)*100</f>
        <v/>
      </c>
      <c r="BG1591" s="82">
        <f>$AG1591-$AF1591</f>
        <v/>
      </c>
      <c r="BH1591" s="81">
        <f>IFERROR($AG1591/$AF1591,"")</f>
        <v/>
      </c>
      <c r="BI1591" s="82">
        <f>$AJ1591-$AF1591</f>
        <v/>
      </c>
      <c r="BJ1591" s="81">
        <f>IFERROR($AJ1591/$AG1591,"")</f>
        <v/>
      </c>
      <c r="BK1591" s="81">
        <f>$X1591</f>
        <v/>
      </c>
      <c r="BL1591" s="82">
        <f>($J1591-$J1592)*100</f>
        <v/>
      </c>
      <c r="BM1591" s="82">
        <f>($F1591-$F1592)*100</f>
        <v/>
      </c>
      <c r="BN1591" s="82">
        <f>$AF1591-$AF1592</f>
        <v/>
      </c>
      <c r="BO1591" s="82">
        <f>$AG1591-$AG1592</f>
        <v/>
      </c>
      <c r="BP1591" s="82">
        <f>$AJ1591-$AJ1592</f>
        <v/>
      </c>
    </row>
    <row r="1592">
      <c r="AR1592" s="81">
        <f>($G1592+($H1592-$G1592)*0.5)+($P1592-($O1592+($Q1592-$O1592)*0.5))</f>
        <v/>
      </c>
      <c r="AS1592" s="81">
        <f>($J1592+($K1592-$J1592)*0.5)+($T1592-($S1592+($U1592-$S1592)*0.5))</f>
        <v/>
      </c>
      <c r="AT1592" s="82">
        <f>($J1592-$C1592)*100</f>
        <v/>
      </c>
      <c r="AU1592" s="82">
        <f>($H1592-$F1592)*100</f>
        <v/>
      </c>
      <c r="AV1592" s="82">
        <f>($J1592-$F1592)*100</f>
        <v/>
      </c>
      <c r="AW1592" s="82">
        <f>($L1592-$F1592)*100</f>
        <v/>
      </c>
      <c r="AX1592" s="82">
        <f>($J1592-$H1592)*100</f>
        <v/>
      </c>
      <c r="AY1592" s="82">
        <f>($L1592-$H1592)*100</f>
        <v/>
      </c>
      <c r="AZ1592" s="82">
        <f>($L1592-$J1592)*100</f>
        <v/>
      </c>
      <c r="BA1592" s="82">
        <f>(2*$H1592-$F1592-$J1592)*100</f>
        <v/>
      </c>
      <c r="BB1592" s="82">
        <f>(2*$J1592-$H1592-$L1592)*100</f>
        <v/>
      </c>
      <c r="BC1592" s="82">
        <f>($N1592-$F1592)*100</f>
        <v/>
      </c>
      <c r="BD1592" s="82">
        <f>($Q1592-$H1592)*100</f>
        <v/>
      </c>
      <c r="BE1592" s="82">
        <f>($S1592-$J1592)*100</f>
        <v/>
      </c>
      <c r="BF1592" s="82">
        <f>($V1592-$L1592)*100</f>
        <v/>
      </c>
      <c r="BG1592" s="82">
        <f>$AG1592-$AF1592</f>
        <v/>
      </c>
      <c r="BH1592" s="81">
        <f>IFERROR($AG1592/$AF1592,"")</f>
        <v/>
      </c>
      <c r="BI1592" s="82">
        <f>$AJ1592-$AF1592</f>
        <v/>
      </c>
      <c r="BJ1592" s="81">
        <f>IFERROR($AJ1592/$AG1592,"")</f>
        <v/>
      </c>
      <c r="BK1592" s="81">
        <f>$X1592</f>
        <v/>
      </c>
      <c r="BL1592" s="82">
        <f>($J1592-$J1593)*100</f>
        <v/>
      </c>
      <c r="BM1592" s="82">
        <f>($F1592-$F1593)*100</f>
        <v/>
      </c>
      <c r="BN1592" s="82">
        <f>$AF1592-$AF1593</f>
        <v/>
      </c>
      <c r="BO1592" s="82">
        <f>$AG1592-$AG1593</f>
        <v/>
      </c>
      <c r="BP1592" s="82">
        <f>$AJ1592-$AJ1593</f>
        <v/>
      </c>
    </row>
    <row r="1593">
      <c r="AR1593" s="81">
        <f>($G1593+($H1593-$G1593)*0.5)+($P1593-($O1593+($Q1593-$O1593)*0.5))</f>
        <v/>
      </c>
      <c r="AS1593" s="81">
        <f>($J1593+($K1593-$J1593)*0.5)+($T1593-($S1593+($U1593-$S1593)*0.5))</f>
        <v/>
      </c>
      <c r="AT1593" s="82">
        <f>($J1593-$C1593)*100</f>
        <v/>
      </c>
      <c r="AU1593" s="82">
        <f>($H1593-$F1593)*100</f>
        <v/>
      </c>
      <c r="AV1593" s="82">
        <f>($J1593-$F1593)*100</f>
        <v/>
      </c>
      <c r="AW1593" s="82">
        <f>($L1593-$F1593)*100</f>
        <v/>
      </c>
      <c r="AX1593" s="82">
        <f>($J1593-$H1593)*100</f>
        <v/>
      </c>
      <c r="AY1593" s="82">
        <f>($L1593-$H1593)*100</f>
        <v/>
      </c>
      <c r="AZ1593" s="82">
        <f>($L1593-$J1593)*100</f>
        <v/>
      </c>
      <c r="BA1593" s="82">
        <f>(2*$H1593-$F1593-$J1593)*100</f>
        <v/>
      </c>
      <c r="BB1593" s="82">
        <f>(2*$J1593-$H1593-$L1593)*100</f>
        <v/>
      </c>
      <c r="BC1593" s="82">
        <f>($N1593-$F1593)*100</f>
        <v/>
      </c>
      <c r="BD1593" s="82">
        <f>($Q1593-$H1593)*100</f>
        <v/>
      </c>
      <c r="BE1593" s="82">
        <f>($S1593-$J1593)*100</f>
        <v/>
      </c>
      <c r="BF1593" s="82">
        <f>($V1593-$L1593)*100</f>
        <v/>
      </c>
      <c r="BG1593" s="82">
        <f>$AG1593-$AF1593</f>
        <v/>
      </c>
      <c r="BH1593" s="81">
        <f>IFERROR($AG1593/$AF1593,"")</f>
        <v/>
      </c>
      <c r="BI1593" s="82">
        <f>$AJ1593-$AF1593</f>
        <v/>
      </c>
      <c r="BJ1593" s="81">
        <f>IFERROR($AJ1593/$AG1593,"")</f>
        <v/>
      </c>
      <c r="BK1593" s="81">
        <f>$X1593</f>
        <v/>
      </c>
      <c r="BL1593" s="82">
        <f>($J1593-$J1594)*100</f>
        <v/>
      </c>
      <c r="BM1593" s="82">
        <f>($F1593-$F1594)*100</f>
        <v/>
      </c>
      <c r="BN1593" s="82">
        <f>$AF1593-$AF1594</f>
        <v/>
      </c>
      <c r="BO1593" s="82">
        <f>$AG1593-$AG1594</f>
        <v/>
      </c>
      <c r="BP1593" s="82">
        <f>$AJ1593-$AJ1594</f>
        <v/>
      </c>
    </row>
    <row r="1594">
      <c r="AR1594" s="81">
        <f>($G1594+($H1594-$G1594)*0.5)+($P1594-($O1594+($Q1594-$O1594)*0.5))</f>
        <v/>
      </c>
      <c r="AS1594" s="81">
        <f>($J1594+($K1594-$J1594)*0.5)+($T1594-($S1594+($U1594-$S1594)*0.5))</f>
        <v/>
      </c>
      <c r="AT1594" s="82">
        <f>($J1594-$C1594)*100</f>
        <v/>
      </c>
      <c r="AU1594" s="82">
        <f>($H1594-$F1594)*100</f>
        <v/>
      </c>
      <c r="AV1594" s="82">
        <f>($J1594-$F1594)*100</f>
        <v/>
      </c>
      <c r="AW1594" s="82">
        <f>($L1594-$F1594)*100</f>
        <v/>
      </c>
      <c r="AX1594" s="82">
        <f>($J1594-$H1594)*100</f>
        <v/>
      </c>
      <c r="AY1594" s="82">
        <f>($L1594-$H1594)*100</f>
        <v/>
      </c>
      <c r="AZ1594" s="82">
        <f>($L1594-$J1594)*100</f>
        <v/>
      </c>
      <c r="BA1594" s="82">
        <f>(2*$H1594-$F1594-$J1594)*100</f>
        <v/>
      </c>
      <c r="BB1594" s="82">
        <f>(2*$J1594-$H1594-$L1594)*100</f>
        <v/>
      </c>
      <c r="BC1594" s="82">
        <f>($N1594-$F1594)*100</f>
        <v/>
      </c>
      <c r="BD1594" s="82">
        <f>($Q1594-$H1594)*100</f>
        <v/>
      </c>
      <c r="BE1594" s="82">
        <f>($S1594-$J1594)*100</f>
        <v/>
      </c>
      <c r="BF1594" s="82">
        <f>($V1594-$L1594)*100</f>
        <v/>
      </c>
      <c r="BG1594" s="82">
        <f>$AG1594-$AF1594</f>
        <v/>
      </c>
      <c r="BH1594" s="81">
        <f>IFERROR($AG1594/$AF1594,"")</f>
        <v/>
      </c>
      <c r="BI1594" s="82">
        <f>$AJ1594-$AF1594</f>
        <v/>
      </c>
      <c r="BJ1594" s="81">
        <f>IFERROR($AJ1594/$AG1594,"")</f>
        <v/>
      </c>
      <c r="BK1594" s="81">
        <f>$X1594</f>
        <v/>
      </c>
      <c r="BL1594" s="82">
        <f>($J1594-$J1595)*100</f>
        <v/>
      </c>
      <c r="BM1594" s="82">
        <f>($F1594-$F1595)*100</f>
        <v/>
      </c>
      <c r="BN1594" s="82">
        <f>$AF1594-$AF1595</f>
        <v/>
      </c>
      <c r="BO1594" s="82">
        <f>$AG1594-$AG1595</f>
        <v/>
      </c>
      <c r="BP1594" s="82">
        <f>$AJ1594-$AJ1595</f>
        <v/>
      </c>
    </row>
    <row r="1595">
      <c r="AR1595" s="81">
        <f>($G1595+($H1595-$G1595)*0.5)+($P1595-($O1595+($Q1595-$O1595)*0.5))</f>
        <v/>
      </c>
      <c r="AS1595" s="81">
        <f>($J1595+($K1595-$J1595)*0.5)+($T1595-($S1595+($U1595-$S1595)*0.5))</f>
        <v/>
      </c>
      <c r="AT1595" s="82">
        <f>($J1595-$C1595)*100</f>
        <v/>
      </c>
      <c r="AU1595" s="82">
        <f>($H1595-$F1595)*100</f>
        <v/>
      </c>
      <c r="AV1595" s="82">
        <f>($J1595-$F1595)*100</f>
        <v/>
      </c>
      <c r="AW1595" s="82">
        <f>($L1595-$F1595)*100</f>
        <v/>
      </c>
      <c r="AX1595" s="82">
        <f>($J1595-$H1595)*100</f>
        <v/>
      </c>
      <c r="AY1595" s="82">
        <f>($L1595-$H1595)*100</f>
        <v/>
      </c>
      <c r="AZ1595" s="82">
        <f>($L1595-$J1595)*100</f>
        <v/>
      </c>
      <c r="BA1595" s="82">
        <f>(2*$H1595-$F1595-$J1595)*100</f>
        <v/>
      </c>
      <c r="BB1595" s="82">
        <f>(2*$J1595-$H1595-$L1595)*100</f>
        <v/>
      </c>
      <c r="BC1595" s="82">
        <f>($N1595-$F1595)*100</f>
        <v/>
      </c>
      <c r="BD1595" s="82">
        <f>($Q1595-$H1595)*100</f>
        <v/>
      </c>
      <c r="BE1595" s="82">
        <f>($S1595-$J1595)*100</f>
        <v/>
      </c>
      <c r="BF1595" s="82">
        <f>($V1595-$L1595)*100</f>
        <v/>
      </c>
      <c r="BG1595" s="82">
        <f>$AG1595-$AF1595</f>
        <v/>
      </c>
      <c r="BH1595" s="81">
        <f>IFERROR($AG1595/$AF1595,"")</f>
        <v/>
      </c>
      <c r="BI1595" s="82">
        <f>$AJ1595-$AF1595</f>
        <v/>
      </c>
      <c r="BJ1595" s="81">
        <f>IFERROR($AJ1595/$AG1595,"")</f>
        <v/>
      </c>
      <c r="BK1595" s="81">
        <f>$X1595</f>
        <v/>
      </c>
      <c r="BL1595" s="82">
        <f>($J1595-$J1596)*100</f>
        <v/>
      </c>
      <c r="BM1595" s="82">
        <f>($F1595-$F1596)*100</f>
        <v/>
      </c>
      <c r="BN1595" s="82">
        <f>$AF1595-$AF1596</f>
        <v/>
      </c>
      <c r="BO1595" s="82">
        <f>$AG1595-$AG1596</f>
        <v/>
      </c>
      <c r="BP1595" s="82">
        <f>$AJ1595-$AJ1596</f>
        <v/>
      </c>
    </row>
    <row r="1596">
      <c r="AR1596" s="81">
        <f>($G1596+($H1596-$G1596)*0.5)+($P1596-($O1596+($Q1596-$O1596)*0.5))</f>
        <v/>
      </c>
      <c r="AS1596" s="81">
        <f>($J1596+($K1596-$J1596)*0.5)+($T1596-($S1596+($U1596-$S1596)*0.5))</f>
        <v/>
      </c>
      <c r="AT1596" s="82">
        <f>($J1596-$C1596)*100</f>
        <v/>
      </c>
      <c r="AU1596" s="82">
        <f>($H1596-$F1596)*100</f>
        <v/>
      </c>
      <c r="AV1596" s="82">
        <f>($J1596-$F1596)*100</f>
        <v/>
      </c>
      <c r="AW1596" s="82">
        <f>($L1596-$F1596)*100</f>
        <v/>
      </c>
      <c r="AX1596" s="82">
        <f>($J1596-$H1596)*100</f>
        <v/>
      </c>
      <c r="AY1596" s="82">
        <f>($L1596-$H1596)*100</f>
        <v/>
      </c>
      <c r="AZ1596" s="82">
        <f>($L1596-$J1596)*100</f>
        <v/>
      </c>
      <c r="BA1596" s="82">
        <f>(2*$H1596-$F1596-$J1596)*100</f>
        <v/>
      </c>
      <c r="BB1596" s="82">
        <f>(2*$J1596-$H1596-$L1596)*100</f>
        <v/>
      </c>
      <c r="BC1596" s="82">
        <f>($N1596-$F1596)*100</f>
        <v/>
      </c>
      <c r="BD1596" s="82">
        <f>($Q1596-$H1596)*100</f>
        <v/>
      </c>
      <c r="BE1596" s="82">
        <f>($S1596-$J1596)*100</f>
        <v/>
      </c>
      <c r="BF1596" s="82">
        <f>($V1596-$L1596)*100</f>
        <v/>
      </c>
      <c r="BG1596" s="82">
        <f>$AG1596-$AF1596</f>
        <v/>
      </c>
      <c r="BH1596" s="81">
        <f>IFERROR($AG1596/$AF1596,"")</f>
        <v/>
      </c>
      <c r="BI1596" s="82">
        <f>$AJ1596-$AF1596</f>
        <v/>
      </c>
      <c r="BJ1596" s="81">
        <f>IFERROR($AJ1596/$AG1596,"")</f>
        <v/>
      </c>
      <c r="BK1596" s="81">
        <f>$X1596</f>
        <v/>
      </c>
      <c r="BL1596" s="82">
        <f>($J1596-$J1597)*100</f>
        <v/>
      </c>
      <c r="BM1596" s="82">
        <f>($F1596-$F1597)*100</f>
        <v/>
      </c>
      <c r="BN1596" s="82">
        <f>$AF1596-$AF1597</f>
        <v/>
      </c>
      <c r="BO1596" s="82">
        <f>$AG1596-$AG1597</f>
        <v/>
      </c>
      <c r="BP1596" s="82">
        <f>$AJ1596-$AJ1597</f>
        <v/>
      </c>
    </row>
    <row r="1597">
      <c r="AR1597" s="81">
        <f>($G1597+($H1597-$G1597)*0.5)+($P1597-($O1597+($Q1597-$O1597)*0.5))</f>
        <v/>
      </c>
      <c r="AS1597" s="81">
        <f>($J1597+($K1597-$J1597)*0.5)+($T1597-($S1597+($U1597-$S1597)*0.5))</f>
        <v/>
      </c>
      <c r="AT1597" s="82">
        <f>($J1597-$C1597)*100</f>
        <v/>
      </c>
      <c r="AU1597" s="82">
        <f>($H1597-$F1597)*100</f>
        <v/>
      </c>
      <c r="AV1597" s="82">
        <f>($J1597-$F1597)*100</f>
        <v/>
      </c>
      <c r="AW1597" s="82">
        <f>($L1597-$F1597)*100</f>
        <v/>
      </c>
      <c r="AX1597" s="82">
        <f>($J1597-$H1597)*100</f>
        <v/>
      </c>
      <c r="AY1597" s="82">
        <f>($L1597-$H1597)*100</f>
        <v/>
      </c>
      <c r="AZ1597" s="82">
        <f>($L1597-$J1597)*100</f>
        <v/>
      </c>
      <c r="BA1597" s="82">
        <f>(2*$H1597-$F1597-$J1597)*100</f>
        <v/>
      </c>
      <c r="BB1597" s="82">
        <f>(2*$J1597-$H1597-$L1597)*100</f>
        <v/>
      </c>
      <c r="BC1597" s="82">
        <f>($N1597-$F1597)*100</f>
        <v/>
      </c>
      <c r="BD1597" s="82">
        <f>($Q1597-$H1597)*100</f>
        <v/>
      </c>
      <c r="BE1597" s="82">
        <f>($S1597-$J1597)*100</f>
        <v/>
      </c>
      <c r="BF1597" s="82">
        <f>($V1597-$L1597)*100</f>
        <v/>
      </c>
      <c r="BG1597" s="82">
        <f>$AG1597-$AF1597</f>
        <v/>
      </c>
      <c r="BH1597" s="81">
        <f>IFERROR($AG1597/$AF1597,"")</f>
        <v/>
      </c>
      <c r="BI1597" s="82">
        <f>$AJ1597-$AF1597</f>
        <v/>
      </c>
      <c r="BJ1597" s="81">
        <f>IFERROR($AJ1597/$AG1597,"")</f>
        <v/>
      </c>
      <c r="BK1597" s="81">
        <f>$X1597</f>
        <v/>
      </c>
      <c r="BL1597" s="82">
        <f>($J1597-$J1598)*100</f>
        <v/>
      </c>
      <c r="BM1597" s="82">
        <f>($F1597-$F1598)*100</f>
        <v/>
      </c>
      <c r="BN1597" s="82">
        <f>$AF1597-$AF1598</f>
        <v/>
      </c>
      <c r="BO1597" s="82">
        <f>$AG1597-$AG1598</f>
        <v/>
      </c>
      <c r="BP1597" s="82">
        <f>$AJ1597-$AJ1598</f>
        <v/>
      </c>
    </row>
    <row r="1598">
      <c r="AR1598" s="81">
        <f>($G1598+($H1598-$G1598)*0.5)+($P1598-($O1598+($Q1598-$O1598)*0.5))</f>
        <v/>
      </c>
      <c r="AS1598" s="81">
        <f>($J1598+($K1598-$J1598)*0.5)+($T1598-($S1598+($U1598-$S1598)*0.5))</f>
        <v/>
      </c>
      <c r="AT1598" s="82">
        <f>($J1598-$C1598)*100</f>
        <v/>
      </c>
      <c r="AU1598" s="82">
        <f>($H1598-$F1598)*100</f>
        <v/>
      </c>
      <c r="AV1598" s="82">
        <f>($J1598-$F1598)*100</f>
        <v/>
      </c>
      <c r="AW1598" s="82">
        <f>($L1598-$F1598)*100</f>
        <v/>
      </c>
      <c r="AX1598" s="82">
        <f>($J1598-$H1598)*100</f>
        <v/>
      </c>
      <c r="AY1598" s="82">
        <f>($L1598-$H1598)*100</f>
        <v/>
      </c>
      <c r="AZ1598" s="82">
        <f>($L1598-$J1598)*100</f>
        <v/>
      </c>
      <c r="BA1598" s="82">
        <f>(2*$H1598-$F1598-$J1598)*100</f>
        <v/>
      </c>
      <c r="BB1598" s="82">
        <f>(2*$J1598-$H1598-$L1598)*100</f>
        <v/>
      </c>
      <c r="BC1598" s="82">
        <f>($N1598-$F1598)*100</f>
        <v/>
      </c>
      <c r="BD1598" s="82">
        <f>($Q1598-$H1598)*100</f>
        <v/>
      </c>
      <c r="BE1598" s="82">
        <f>($S1598-$J1598)*100</f>
        <v/>
      </c>
      <c r="BF1598" s="82">
        <f>($V1598-$L1598)*100</f>
        <v/>
      </c>
      <c r="BG1598" s="82">
        <f>$AG1598-$AF1598</f>
        <v/>
      </c>
      <c r="BH1598" s="81">
        <f>IFERROR($AG1598/$AF1598,"")</f>
        <v/>
      </c>
      <c r="BI1598" s="82">
        <f>$AJ1598-$AF1598</f>
        <v/>
      </c>
      <c r="BJ1598" s="81">
        <f>IFERROR($AJ1598/$AG1598,"")</f>
        <v/>
      </c>
      <c r="BK1598" s="81">
        <f>$X1598</f>
        <v/>
      </c>
      <c r="BL1598" s="82">
        <f>($J1598-$J1599)*100</f>
        <v/>
      </c>
      <c r="BM1598" s="82">
        <f>($F1598-$F1599)*100</f>
        <v/>
      </c>
      <c r="BN1598" s="82">
        <f>$AF1598-$AF1599</f>
        <v/>
      </c>
      <c r="BO1598" s="82">
        <f>$AG1598-$AG1599</f>
        <v/>
      </c>
      <c r="BP1598" s="82">
        <f>$AJ1598-$AJ1599</f>
        <v/>
      </c>
    </row>
    <row r="1599">
      <c r="AR1599" s="81">
        <f>($G1599+($H1599-$G1599)*0.5)+($P1599-($O1599+($Q1599-$O1599)*0.5))</f>
        <v/>
      </c>
      <c r="AS1599" s="81">
        <f>($J1599+($K1599-$J1599)*0.5)+($T1599-($S1599+($U1599-$S1599)*0.5))</f>
        <v/>
      </c>
      <c r="AT1599" s="82">
        <f>($J1599-$C1599)*100</f>
        <v/>
      </c>
      <c r="AU1599" s="82">
        <f>($H1599-$F1599)*100</f>
        <v/>
      </c>
      <c r="AV1599" s="82">
        <f>($J1599-$F1599)*100</f>
        <v/>
      </c>
      <c r="AW1599" s="82">
        <f>($L1599-$F1599)*100</f>
        <v/>
      </c>
      <c r="AX1599" s="82">
        <f>($J1599-$H1599)*100</f>
        <v/>
      </c>
      <c r="AY1599" s="82">
        <f>($L1599-$H1599)*100</f>
        <v/>
      </c>
      <c r="AZ1599" s="82">
        <f>($L1599-$J1599)*100</f>
        <v/>
      </c>
      <c r="BA1599" s="82">
        <f>(2*$H1599-$F1599-$J1599)*100</f>
        <v/>
      </c>
      <c r="BB1599" s="82">
        <f>(2*$J1599-$H1599-$L1599)*100</f>
        <v/>
      </c>
      <c r="BC1599" s="82">
        <f>($N1599-$F1599)*100</f>
        <v/>
      </c>
      <c r="BD1599" s="82">
        <f>($Q1599-$H1599)*100</f>
        <v/>
      </c>
      <c r="BE1599" s="82">
        <f>($S1599-$J1599)*100</f>
        <v/>
      </c>
      <c r="BF1599" s="82">
        <f>($V1599-$L1599)*100</f>
        <v/>
      </c>
      <c r="BG1599" s="82">
        <f>$AG1599-$AF1599</f>
        <v/>
      </c>
      <c r="BH1599" s="81">
        <f>IFERROR($AG1599/$AF1599,"")</f>
        <v/>
      </c>
      <c r="BI1599" s="82">
        <f>$AJ1599-$AF1599</f>
        <v/>
      </c>
      <c r="BJ1599" s="81">
        <f>IFERROR($AJ1599/$AG1599,"")</f>
        <v/>
      </c>
      <c r="BK1599" s="81">
        <f>$X1599</f>
        <v/>
      </c>
      <c r="BL1599" s="82">
        <f>($J1599-$J1600)*100</f>
        <v/>
      </c>
      <c r="BM1599" s="82">
        <f>($F1599-$F1600)*100</f>
        <v/>
      </c>
      <c r="BN1599" s="82">
        <f>$AF1599-$AF1600</f>
        <v/>
      </c>
      <c r="BO1599" s="82">
        <f>$AG1599-$AG1600</f>
        <v/>
      </c>
      <c r="BP1599" s="82">
        <f>$AJ1599-$AJ1600</f>
        <v/>
      </c>
    </row>
    <row r="1600">
      <c r="AR1600" s="81">
        <f>($G1600+($H1600-$G1600)*0.5)+($P1600-($O1600+($Q1600-$O1600)*0.5))</f>
        <v/>
      </c>
      <c r="AS1600" s="81">
        <f>($J1600+($K1600-$J1600)*0.5)+($T1600-($S1600+($U1600-$S1600)*0.5))</f>
        <v/>
      </c>
      <c r="AT1600" s="82">
        <f>($J1600-$C1600)*100</f>
        <v/>
      </c>
      <c r="AU1600" s="82">
        <f>($H1600-$F1600)*100</f>
        <v/>
      </c>
      <c r="AV1600" s="82">
        <f>($J1600-$F1600)*100</f>
        <v/>
      </c>
      <c r="AW1600" s="82">
        <f>($L1600-$F1600)*100</f>
        <v/>
      </c>
      <c r="AX1600" s="82">
        <f>($J1600-$H1600)*100</f>
        <v/>
      </c>
      <c r="AY1600" s="82">
        <f>($L1600-$H1600)*100</f>
        <v/>
      </c>
      <c r="AZ1600" s="82">
        <f>($L1600-$J1600)*100</f>
        <v/>
      </c>
      <c r="BA1600" s="82">
        <f>(2*$H1600-$F1600-$J1600)*100</f>
        <v/>
      </c>
      <c r="BB1600" s="82">
        <f>(2*$J1600-$H1600-$L1600)*100</f>
        <v/>
      </c>
      <c r="BC1600" s="82">
        <f>($N1600-$F1600)*100</f>
        <v/>
      </c>
      <c r="BD1600" s="82">
        <f>($Q1600-$H1600)*100</f>
        <v/>
      </c>
      <c r="BE1600" s="82">
        <f>($S1600-$J1600)*100</f>
        <v/>
      </c>
      <c r="BF1600" s="82">
        <f>($V1600-$L1600)*100</f>
        <v/>
      </c>
      <c r="BG1600" s="82">
        <f>$AG1600-$AF1600</f>
        <v/>
      </c>
      <c r="BH1600" s="81">
        <f>IFERROR($AG1600/$AF1600,"")</f>
        <v/>
      </c>
      <c r="BI1600" s="82">
        <f>$AJ1600-$AF1600</f>
        <v/>
      </c>
      <c r="BJ1600" s="81">
        <f>IFERROR($AJ1600/$AG1600,"")</f>
        <v/>
      </c>
      <c r="BK1600" s="81">
        <f>$X1600</f>
        <v/>
      </c>
      <c r="BL1600" s="82">
        <f>($J1600-$J1601)*100</f>
        <v/>
      </c>
      <c r="BM1600" s="82">
        <f>($F1600-$F1601)*100</f>
        <v/>
      </c>
      <c r="BN1600" s="82">
        <f>$AF1600-$AF1601</f>
        <v/>
      </c>
      <c r="BO1600" s="82">
        <f>$AG1600-$AG1601</f>
        <v/>
      </c>
      <c r="BP1600" s="82">
        <f>$AJ1600-$AJ1601</f>
        <v/>
      </c>
    </row>
    <row r="1601">
      <c r="AR1601" s="81">
        <f>($G1601+($H1601-$G1601)*0.5)+($P1601-($O1601+($Q1601-$O1601)*0.5))</f>
        <v/>
      </c>
      <c r="AS1601" s="81">
        <f>($J1601+($K1601-$J1601)*0.5)+($T1601-($S1601+($U1601-$S1601)*0.5))</f>
        <v/>
      </c>
      <c r="AT1601" s="82">
        <f>($J1601-$C1601)*100</f>
        <v/>
      </c>
      <c r="AU1601" s="82">
        <f>($H1601-$F1601)*100</f>
        <v/>
      </c>
      <c r="AV1601" s="82">
        <f>($J1601-$F1601)*100</f>
        <v/>
      </c>
      <c r="AW1601" s="82">
        <f>($L1601-$F1601)*100</f>
        <v/>
      </c>
      <c r="AX1601" s="82">
        <f>($J1601-$H1601)*100</f>
        <v/>
      </c>
      <c r="AY1601" s="82">
        <f>($L1601-$H1601)*100</f>
        <v/>
      </c>
      <c r="AZ1601" s="82">
        <f>($L1601-$J1601)*100</f>
        <v/>
      </c>
      <c r="BA1601" s="82">
        <f>(2*$H1601-$F1601-$J1601)*100</f>
        <v/>
      </c>
      <c r="BB1601" s="82">
        <f>(2*$J1601-$H1601-$L1601)*100</f>
        <v/>
      </c>
      <c r="BC1601" s="82">
        <f>($N1601-$F1601)*100</f>
        <v/>
      </c>
      <c r="BD1601" s="82">
        <f>($Q1601-$H1601)*100</f>
        <v/>
      </c>
      <c r="BE1601" s="82">
        <f>($S1601-$J1601)*100</f>
        <v/>
      </c>
      <c r="BF1601" s="82">
        <f>($V1601-$L1601)*100</f>
        <v/>
      </c>
      <c r="BG1601" s="82">
        <f>$AG1601-$AF1601</f>
        <v/>
      </c>
      <c r="BH1601" s="81">
        <f>IFERROR($AG1601/$AF1601,"")</f>
        <v/>
      </c>
      <c r="BI1601" s="82">
        <f>$AJ1601-$AF1601</f>
        <v/>
      </c>
      <c r="BJ1601" s="81">
        <f>IFERROR($AJ1601/$AG1601,"")</f>
        <v/>
      </c>
      <c r="BK1601" s="81">
        <f>$X1601</f>
        <v/>
      </c>
      <c r="BL1601" s="82">
        <f>($J1601-$J1602)*100</f>
        <v/>
      </c>
      <c r="BM1601" s="82">
        <f>($F1601-$F1602)*100</f>
        <v/>
      </c>
      <c r="BN1601" s="82">
        <f>$AF1601-$AF1602</f>
        <v/>
      </c>
      <c r="BO1601" s="82">
        <f>$AG1601-$AG1602</f>
        <v/>
      </c>
      <c r="BP1601" s="82">
        <f>$AJ1601-$AJ1602</f>
        <v/>
      </c>
    </row>
    <row r="1602">
      <c r="AR1602" s="81">
        <f>($G1602+($H1602-$G1602)*0.5)+($P1602-($O1602+($Q1602-$O1602)*0.5))</f>
        <v/>
      </c>
      <c r="AS1602" s="81">
        <f>($J1602+($K1602-$J1602)*0.5)+($T1602-($S1602+($U1602-$S1602)*0.5))</f>
        <v/>
      </c>
      <c r="AT1602" s="82">
        <f>($J1602-$C1602)*100</f>
        <v/>
      </c>
      <c r="AU1602" s="82">
        <f>($H1602-$F1602)*100</f>
        <v/>
      </c>
      <c r="AV1602" s="82">
        <f>($J1602-$F1602)*100</f>
        <v/>
      </c>
      <c r="AW1602" s="82">
        <f>($L1602-$F1602)*100</f>
        <v/>
      </c>
      <c r="AX1602" s="82">
        <f>($J1602-$H1602)*100</f>
        <v/>
      </c>
      <c r="AY1602" s="82">
        <f>($L1602-$H1602)*100</f>
        <v/>
      </c>
      <c r="AZ1602" s="82">
        <f>($L1602-$J1602)*100</f>
        <v/>
      </c>
      <c r="BA1602" s="82">
        <f>(2*$H1602-$F1602-$J1602)*100</f>
        <v/>
      </c>
      <c r="BB1602" s="82">
        <f>(2*$J1602-$H1602-$L1602)*100</f>
        <v/>
      </c>
      <c r="BC1602" s="82">
        <f>($N1602-$F1602)*100</f>
        <v/>
      </c>
      <c r="BD1602" s="82">
        <f>($Q1602-$H1602)*100</f>
        <v/>
      </c>
      <c r="BE1602" s="82">
        <f>($S1602-$J1602)*100</f>
        <v/>
      </c>
      <c r="BF1602" s="82">
        <f>($V1602-$L1602)*100</f>
        <v/>
      </c>
      <c r="BG1602" s="82">
        <f>$AG1602-$AF1602</f>
        <v/>
      </c>
      <c r="BH1602" s="81">
        <f>IFERROR($AG1602/$AF1602,"")</f>
        <v/>
      </c>
      <c r="BI1602" s="82">
        <f>$AJ1602-$AF1602</f>
        <v/>
      </c>
      <c r="BJ1602" s="81">
        <f>IFERROR($AJ1602/$AG1602,"")</f>
        <v/>
      </c>
      <c r="BK1602" s="81">
        <f>$X1602</f>
        <v/>
      </c>
      <c r="BL1602" s="82">
        <f>($J1602-$J1603)*100</f>
        <v/>
      </c>
      <c r="BM1602" s="82">
        <f>($F1602-$F1603)*100</f>
        <v/>
      </c>
      <c r="BN1602" s="82">
        <f>$AF1602-$AF1603</f>
        <v/>
      </c>
      <c r="BO1602" s="82">
        <f>$AG1602-$AG1603</f>
        <v/>
      </c>
      <c r="BP1602" s="82">
        <f>$AJ1602-$AJ1603</f>
        <v/>
      </c>
    </row>
    <row r="1603">
      <c r="AR1603" s="81">
        <f>($G1603+($H1603-$G1603)*0.5)+($P1603-($O1603+($Q1603-$O1603)*0.5))</f>
        <v/>
      </c>
      <c r="AS1603" s="81">
        <f>($J1603+($K1603-$J1603)*0.5)+($T1603-($S1603+($U1603-$S1603)*0.5))</f>
        <v/>
      </c>
      <c r="AT1603" s="82">
        <f>($J1603-$C1603)*100</f>
        <v/>
      </c>
      <c r="AU1603" s="82">
        <f>($H1603-$F1603)*100</f>
        <v/>
      </c>
      <c r="AV1603" s="82">
        <f>($J1603-$F1603)*100</f>
        <v/>
      </c>
      <c r="AW1603" s="82">
        <f>($L1603-$F1603)*100</f>
        <v/>
      </c>
      <c r="AX1603" s="82">
        <f>($J1603-$H1603)*100</f>
        <v/>
      </c>
      <c r="AY1603" s="82">
        <f>($L1603-$H1603)*100</f>
        <v/>
      </c>
      <c r="AZ1603" s="82">
        <f>($L1603-$J1603)*100</f>
        <v/>
      </c>
      <c r="BA1603" s="82">
        <f>(2*$H1603-$F1603-$J1603)*100</f>
        <v/>
      </c>
      <c r="BB1603" s="82">
        <f>(2*$J1603-$H1603-$L1603)*100</f>
        <v/>
      </c>
      <c r="BC1603" s="82">
        <f>($N1603-$F1603)*100</f>
        <v/>
      </c>
      <c r="BD1603" s="82">
        <f>($Q1603-$H1603)*100</f>
        <v/>
      </c>
      <c r="BE1603" s="82">
        <f>($S1603-$J1603)*100</f>
        <v/>
      </c>
      <c r="BF1603" s="82">
        <f>($V1603-$L1603)*100</f>
        <v/>
      </c>
      <c r="BG1603" s="82">
        <f>$AG1603-$AF1603</f>
        <v/>
      </c>
      <c r="BH1603" s="81">
        <f>IFERROR($AG1603/$AF1603,"")</f>
        <v/>
      </c>
      <c r="BI1603" s="82">
        <f>$AJ1603-$AF1603</f>
        <v/>
      </c>
      <c r="BJ1603" s="81">
        <f>IFERROR($AJ1603/$AG1603,"")</f>
        <v/>
      </c>
      <c r="BK1603" s="81">
        <f>$X1603</f>
        <v/>
      </c>
      <c r="BL1603" s="82">
        <f>($J1603-$J1604)*100</f>
        <v/>
      </c>
      <c r="BM1603" s="82">
        <f>($F1603-$F1604)*100</f>
        <v/>
      </c>
      <c r="BN1603" s="82">
        <f>$AF1603-$AF1604</f>
        <v/>
      </c>
      <c r="BO1603" s="82">
        <f>$AG1603-$AG1604</f>
        <v/>
      </c>
      <c r="BP1603" s="82">
        <f>$AJ1603-$AJ1604</f>
        <v/>
      </c>
    </row>
    <row r="1604">
      <c r="AR1604" s="81">
        <f>($G1604+($H1604-$G1604)*0.5)+($P1604-($O1604+($Q1604-$O1604)*0.5))</f>
        <v/>
      </c>
      <c r="AS1604" s="81">
        <f>($J1604+($K1604-$J1604)*0.5)+($T1604-($S1604+($U1604-$S1604)*0.5))</f>
        <v/>
      </c>
      <c r="AT1604" s="82">
        <f>($J1604-$C1604)*100</f>
        <v/>
      </c>
      <c r="AU1604" s="82">
        <f>($H1604-$F1604)*100</f>
        <v/>
      </c>
      <c r="AV1604" s="82">
        <f>($J1604-$F1604)*100</f>
        <v/>
      </c>
      <c r="AW1604" s="82">
        <f>($L1604-$F1604)*100</f>
        <v/>
      </c>
      <c r="AX1604" s="82">
        <f>($J1604-$H1604)*100</f>
        <v/>
      </c>
      <c r="AY1604" s="82">
        <f>($L1604-$H1604)*100</f>
        <v/>
      </c>
      <c r="AZ1604" s="82">
        <f>($L1604-$J1604)*100</f>
        <v/>
      </c>
      <c r="BA1604" s="82">
        <f>(2*$H1604-$F1604-$J1604)*100</f>
        <v/>
      </c>
      <c r="BB1604" s="82">
        <f>(2*$J1604-$H1604-$L1604)*100</f>
        <v/>
      </c>
      <c r="BC1604" s="82">
        <f>($N1604-$F1604)*100</f>
        <v/>
      </c>
      <c r="BD1604" s="82">
        <f>($Q1604-$H1604)*100</f>
        <v/>
      </c>
      <c r="BE1604" s="82">
        <f>($S1604-$J1604)*100</f>
        <v/>
      </c>
      <c r="BF1604" s="82">
        <f>($V1604-$L1604)*100</f>
        <v/>
      </c>
      <c r="BG1604" s="82">
        <f>$AG1604-$AF1604</f>
        <v/>
      </c>
      <c r="BH1604" s="81">
        <f>IFERROR($AG1604/$AF1604,"")</f>
        <v/>
      </c>
      <c r="BI1604" s="82">
        <f>$AJ1604-$AF1604</f>
        <v/>
      </c>
      <c r="BJ1604" s="81">
        <f>IFERROR($AJ1604/$AG1604,"")</f>
        <v/>
      </c>
      <c r="BK1604" s="81">
        <f>$X1604</f>
        <v/>
      </c>
      <c r="BL1604" s="82">
        <f>($J1604-$J1605)*100</f>
        <v/>
      </c>
      <c r="BM1604" s="82">
        <f>($F1604-$F1605)*100</f>
        <v/>
      </c>
      <c r="BN1604" s="82">
        <f>$AF1604-$AF1605</f>
        <v/>
      </c>
      <c r="BO1604" s="82">
        <f>$AG1604-$AG1605</f>
        <v/>
      </c>
      <c r="BP1604" s="82">
        <f>$AJ1604-$AJ1605</f>
        <v/>
      </c>
    </row>
    <row r="1605">
      <c r="AR1605" s="81">
        <f>($G1605+($H1605-$G1605)*0.5)+($P1605-($O1605+($Q1605-$O1605)*0.5))</f>
        <v/>
      </c>
      <c r="AS1605" s="81">
        <f>($J1605+($K1605-$J1605)*0.5)+($T1605-($S1605+($U1605-$S1605)*0.5))</f>
        <v/>
      </c>
      <c r="AT1605" s="82">
        <f>($J1605-$C1605)*100</f>
        <v/>
      </c>
      <c r="AU1605" s="82">
        <f>($H1605-$F1605)*100</f>
        <v/>
      </c>
      <c r="AV1605" s="82">
        <f>($J1605-$F1605)*100</f>
        <v/>
      </c>
      <c r="AW1605" s="82">
        <f>($L1605-$F1605)*100</f>
        <v/>
      </c>
      <c r="AX1605" s="82">
        <f>($J1605-$H1605)*100</f>
        <v/>
      </c>
      <c r="AY1605" s="82">
        <f>($L1605-$H1605)*100</f>
        <v/>
      </c>
      <c r="AZ1605" s="82">
        <f>($L1605-$J1605)*100</f>
        <v/>
      </c>
      <c r="BA1605" s="82">
        <f>(2*$H1605-$F1605-$J1605)*100</f>
        <v/>
      </c>
      <c r="BB1605" s="82">
        <f>(2*$J1605-$H1605-$L1605)*100</f>
        <v/>
      </c>
      <c r="BC1605" s="82">
        <f>($N1605-$F1605)*100</f>
        <v/>
      </c>
      <c r="BD1605" s="82">
        <f>($Q1605-$H1605)*100</f>
        <v/>
      </c>
      <c r="BE1605" s="82">
        <f>($S1605-$J1605)*100</f>
        <v/>
      </c>
      <c r="BF1605" s="82">
        <f>($V1605-$L1605)*100</f>
        <v/>
      </c>
      <c r="BG1605" s="82">
        <f>$AG1605-$AF1605</f>
        <v/>
      </c>
      <c r="BH1605" s="81">
        <f>IFERROR($AG1605/$AF1605,"")</f>
        <v/>
      </c>
      <c r="BI1605" s="82">
        <f>$AJ1605-$AF1605</f>
        <v/>
      </c>
      <c r="BJ1605" s="81">
        <f>IFERROR($AJ1605/$AG1605,"")</f>
        <v/>
      </c>
      <c r="BK1605" s="81">
        <f>$X1605</f>
        <v/>
      </c>
      <c r="BL1605" s="82">
        <f>($J1605-$J1606)*100</f>
        <v/>
      </c>
      <c r="BM1605" s="82">
        <f>($F1605-$F1606)*100</f>
        <v/>
      </c>
      <c r="BN1605" s="82">
        <f>$AF1605-$AF1606</f>
        <v/>
      </c>
      <c r="BO1605" s="82">
        <f>$AG1605-$AG1606</f>
        <v/>
      </c>
      <c r="BP1605" s="82">
        <f>$AJ1605-$AJ1606</f>
        <v/>
      </c>
    </row>
    <row r="1606">
      <c r="AR1606" s="81">
        <f>($G1606+($H1606-$G1606)*0.5)+($P1606-($O1606+($Q1606-$O1606)*0.5))</f>
        <v/>
      </c>
      <c r="AS1606" s="81">
        <f>($J1606+($K1606-$J1606)*0.5)+($T1606-($S1606+($U1606-$S1606)*0.5))</f>
        <v/>
      </c>
      <c r="AT1606" s="82">
        <f>($J1606-$C1606)*100</f>
        <v/>
      </c>
      <c r="AU1606" s="82">
        <f>($H1606-$F1606)*100</f>
        <v/>
      </c>
      <c r="AV1606" s="82">
        <f>($J1606-$F1606)*100</f>
        <v/>
      </c>
      <c r="AW1606" s="82">
        <f>($L1606-$F1606)*100</f>
        <v/>
      </c>
      <c r="AX1606" s="82">
        <f>($J1606-$H1606)*100</f>
        <v/>
      </c>
      <c r="AY1606" s="82">
        <f>($L1606-$H1606)*100</f>
        <v/>
      </c>
      <c r="AZ1606" s="82">
        <f>($L1606-$J1606)*100</f>
        <v/>
      </c>
      <c r="BA1606" s="82">
        <f>(2*$H1606-$F1606-$J1606)*100</f>
        <v/>
      </c>
      <c r="BB1606" s="82">
        <f>(2*$J1606-$H1606-$L1606)*100</f>
        <v/>
      </c>
      <c r="BC1606" s="82">
        <f>($N1606-$F1606)*100</f>
        <v/>
      </c>
      <c r="BD1606" s="82">
        <f>($Q1606-$H1606)*100</f>
        <v/>
      </c>
      <c r="BE1606" s="82">
        <f>($S1606-$J1606)*100</f>
        <v/>
      </c>
      <c r="BF1606" s="82">
        <f>($V1606-$L1606)*100</f>
        <v/>
      </c>
      <c r="BG1606" s="82">
        <f>$AG1606-$AF1606</f>
        <v/>
      </c>
      <c r="BH1606" s="81">
        <f>IFERROR($AG1606/$AF1606,"")</f>
        <v/>
      </c>
      <c r="BI1606" s="82">
        <f>$AJ1606-$AF1606</f>
        <v/>
      </c>
      <c r="BJ1606" s="81">
        <f>IFERROR($AJ1606/$AG1606,"")</f>
        <v/>
      </c>
      <c r="BK1606" s="81">
        <f>$X1606</f>
        <v/>
      </c>
      <c r="BL1606" s="82">
        <f>($J1606-$J1607)*100</f>
        <v/>
      </c>
      <c r="BM1606" s="82">
        <f>($F1606-$F1607)*100</f>
        <v/>
      </c>
      <c r="BN1606" s="82">
        <f>$AF1606-$AF1607</f>
        <v/>
      </c>
      <c r="BO1606" s="82">
        <f>$AG1606-$AG1607</f>
        <v/>
      </c>
      <c r="BP1606" s="82">
        <f>$AJ1606-$AJ1607</f>
        <v/>
      </c>
    </row>
    <row r="1607">
      <c r="AR1607" s="81">
        <f>($G1607+($H1607-$G1607)*0.5)+($P1607-($O1607+($Q1607-$O1607)*0.5))</f>
        <v/>
      </c>
      <c r="AS1607" s="81">
        <f>($J1607+($K1607-$J1607)*0.5)+($T1607-($S1607+($U1607-$S1607)*0.5))</f>
        <v/>
      </c>
      <c r="AT1607" s="82">
        <f>($J1607-$C1607)*100</f>
        <v/>
      </c>
      <c r="AU1607" s="82">
        <f>($H1607-$F1607)*100</f>
        <v/>
      </c>
      <c r="AV1607" s="82">
        <f>($J1607-$F1607)*100</f>
        <v/>
      </c>
      <c r="AW1607" s="82">
        <f>($L1607-$F1607)*100</f>
        <v/>
      </c>
      <c r="AX1607" s="82">
        <f>($J1607-$H1607)*100</f>
        <v/>
      </c>
      <c r="AY1607" s="82">
        <f>($L1607-$H1607)*100</f>
        <v/>
      </c>
      <c r="AZ1607" s="82">
        <f>($L1607-$J1607)*100</f>
        <v/>
      </c>
      <c r="BA1607" s="82">
        <f>(2*$H1607-$F1607-$J1607)*100</f>
        <v/>
      </c>
      <c r="BB1607" s="82">
        <f>(2*$J1607-$H1607-$L1607)*100</f>
        <v/>
      </c>
      <c r="BC1607" s="82">
        <f>($N1607-$F1607)*100</f>
        <v/>
      </c>
      <c r="BD1607" s="82">
        <f>($Q1607-$H1607)*100</f>
        <v/>
      </c>
      <c r="BE1607" s="82">
        <f>($S1607-$J1607)*100</f>
        <v/>
      </c>
      <c r="BF1607" s="82">
        <f>($V1607-$L1607)*100</f>
        <v/>
      </c>
      <c r="BG1607" s="82">
        <f>$AG1607-$AF1607</f>
        <v/>
      </c>
      <c r="BH1607" s="81">
        <f>IFERROR($AG1607/$AF1607,"")</f>
        <v/>
      </c>
      <c r="BI1607" s="82">
        <f>$AJ1607-$AF1607</f>
        <v/>
      </c>
      <c r="BJ1607" s="81">
        <f>IFERROR($AJ1607/$AG1607,"")</f>
        <v/>
      </c>
      <c r="BK1607" s="81">
        <f>$X1607</f>
        <v/>
      </c>
      <c r="BL1607" s="82">
        <f>($J1607-$J1608)*100</f>
        <v/>
      </c>
      <c r="BM1607" s="82">
        <f>($F1607-$F1608)*100</f>
        <v/>
      </c>
      <c r="BN1607" s="82">
        <f>$AF1607-$AF1608</f>
        <v/>
      </c>
      <c r="BO1607" s="82">
        <f>$AG1607-$AG1608</f>
        <v/>
      </c>
      <c r="BP1607" s="82">
        <f>$AJ1607-$AJ1608</f>
        <v/>
      </c>
    </row>
    <row r="1608">
      <c r="AR1608" s="81">
        <f>($G1608+($H1608-$G1608)*0.5)+($P1608-($O1608+($Q1608-$O1608)*0.5))</f>
        <v/>
      </c>
      <c r="AS1608" s="81">
        <f>($J1608+($K1608-$J1608)*0.5)+($T1608-($S1608+($U1608-$S1608)*0.5))</f>
        <v/>
      </c>
      <c r="AT1608" s="82">
        <f>($J1608-$C1608)*100</f>
        <v/>
      </c>
      <c r="AU1608" s="82">
        <f>($H1608-$F1608)*100</f>
        <v/>
      </c>
      <c r="AV1608" s="82">
        <f>($J1608-$F1608)*100</f>
        <v/>
      </c>
      <c r="AW1608" s="82">
        <f>($L1608-$F1608)*100</f>
        <v/>
      </c>
      <c r="AX1608" s="82">
        <f>($J1608-$H1608)*100</f>
        <v/>
      </c>
      <c r="AY1608" s="82">
        <f>($L1608-$H1608)*100</f>
        <v/>
      </c>
      <c r="AZ1608" s="82">
        <f>($L1608-$J1608)*100</f>
        <v/>
      </c>
      <c r="BA1608" s="82">
        <f>(2*$H1608-$F1608-$J1608)*100</f>
        <v/>
      </c>
      <c r="BB1608" s="82">
        <f>(2*$J1608-$H1608-$L1608)*100</f>
        <v/>
      </c>
      <c r="BC1608" s="82">
        <f>($N1608-$F1608)*100</f>
        <v/>
      </c>
      <c r="BD1608" s="82">
        <f>($Q1608-$H1608)*100</f>
        <v/>
      </c>
      <c r="BE1608" s="82">
        <f>($S1608-$J1608)*100</f>
        <v/>
      </c>
      <c r="BF1608" s="82">
        <f>($V1608-$L1608)*100</f>
        <v/>
      </c>
      <c r="BG1608" s="82">
        <f>$AG1608-$AF1608</f>
        <v/>
      </c>
      <c r="BH1608" s="81">
        <f>IFERROR($AG1608/$AF1608,"")</f>
        <v/>
      </c>
      <c r="BI1608" s="82">
        <f>$AJ1608-$AF1608</f>
        <v/>
      </c>
      <c r="BJ1608" s="81">
        <f>IFERROR($AJ1608/$AG1608,"")</f>
        <v/>
      </c>
      <c r="BK1608" s="81">
        <f>$X1608</f>
        <v/>
      </c>
      <c r="BL1608" s="82">
        <f>($J1608-$J1609)*100</f>
        <v/>
      </c>
      <c r="BM1608" s="82">
        <f>($F1608-$F1609)*100</f>
        <v/>
      </c>
      <c r="BN1608" s="82">
        <f>$AF1608-$AF1609</f>
        <v/>
      </c>
      <c r="BO1608" s="82">
        <f>$AG1608-$AG1609</f>
        <v/>
      </c>
      <c r="BP1608" s="82">
        <f>$AJ1608-$AJ1609</f>
        <v/>
      </c>
    </row>
    <row r="1609">
      <c r="AR1609" s="81">
        <f>($G1609+($H1609-$G1609)*0.5)+($P1609-($O1609+($Q1609-$O1609)*0.5))</f>
        <v/>
      </c>
      <c r="AS1609" s="81">
        <f>($J1609+($K1609-$J1609)*0.5)+($T1609-($S1609+($U1609-$S1609)*0.5))</f>
        <v/>
      </c>
      <c r="AT1609" s="82">
        <f>($J1609-$C1609)*100</f>
        <v/>
      </c>
      <c r="AU1609" s="82">
        <f>($H1609-$F1609)*100</f>
        <v/>
      </c>
      <c r="AV1609" s="82">
        <f>($J1609-$F1609)*100</f>
        <v/>
      </c>
      <c r="AW1609" s="82">
        <f>($L1609-$F1609)*100</f>
        <v/>
      </c>
      <c r="AX1609" s="82">
        <f>($J1609-$H1609)*100</f>
        <v/>
      </c>
      <c r="AY1609" s="82">
        <f>($L1609-$H1609)*100</f>
        <v/>
      </c>
      <c r="AZ1609" s="82">
        <f>($L1609-$J1609)*100</f>
        <v/>
      </c>
      <c r="BA1609" s="82">
        <f>(2*$H1609-$F1609-$J1609)*100</f>
        <v/>
      </c>
      <c r="BB1609" s="82">
        <f>(2*$J1609-$H1609-$L1609)*100</f>
        <v/>
      </c>
      <c r="BC1609" s="82">
        <f>($N1609-$F1609)*100</f>
        <v/>
      </c>
      <c r="BD1609" s="82">
        <f>($Q1609-$H1609)*100</f>
        <v/>
      </c>
      <c r="BE1609" s="82">
        <f>($S1609-$J1609)*100</f>
        <v/>
      </c>
      <c r="BF1609" s="82">
        <f>($V1609-$L1609)*100</f>
        <v/>
      </c>
      <c r="BG1609" s="82">
        <f>$AG1609-$AF1609</f>
        <v/>
      </c>
      <c r="BH1609" s="81">
        <f>IFERROR($AG1609/$AF1609,"")</f>
        <v/>
      </c>
      <c r="BI1609" s="82">
        <f>$AJ1609-$AF1609</f>
        <v/>
      </c>
      <c r="BJ1609" s="81">
        <f>IFERROR($AJ1609/$AG1609,"")</f>
        <v/>
      </c>
      <c r="BK1609" s="81">
        <f>$X1609</f>
        <v/>
      </c>
      <c r="BL1609" s="82">
        <f>($J1609-$J1610)*100</f>
        <v/>
      </c>
      <c r="BM1609" s="82">
        <f>($F1609-$F1610)*100</f>
        <v/>
      </c>
      <c r="BN1609" s="82">
        <f>$AF1609-$AF1610</f>
        <v/>
      </c>
      <c r="BO1609" s="82">
        <f>$AG1609-$AG1610</f>
        <v/>
      </c>
      <c r="BP1609" s="82">
        <f>$AJ1609-$AJ1610</f>
        <v/>
      </c>
    </row>
    <row r="1610">
      <c r="AR1610" s="81">
        <f>($G1610+($H1610-$G1610)*0.5)+($P1610-($O1610+($Q1610-$O1610)*0.5))</f>
        <v/>
      </c>
      <c r="AS1610" s="81">
        <f>($J1610+($K1610-$J1610)*0.5)+($T1610-($S1610+($U1610-$S1610)*0.5))</f>
        <v/>
      </c>
      <c r="AT1610" s="82">
        <f>($J1610-$C1610)*100</f>
        <v/>
      </c>
      <c r="AU1610" s="82">
        <f>($H1610-$F1610)*100</f>
        <v/>
      </c>
      <c r="AV1610" s="82">
        <f>($J1610-$F1610)*100</f>
        <v/>
      </c>
      <c r="AW1610" s="82">
        <f>($L1610-$F1610)*100</f>
        <v/>
      </c>
      <c r="AX1610" s="82">
        <f>($J1610-$H1610)*100</f>
        <v/>
      </c>
      <c r="AY1610" s="82">
        <f>($L1610-$H1610)*100</f>
        <v/>
      </c>
      <c r="AZ1610" s="82">
        <f>($L1610-$J1610)*100</f>
        <v/>
      </c>
      <c r="BA1610" s="82">
        <f>(2*$H1610-$F1610-$J1610)*100</f>
        <v/>
      </c>
      <c r="BB1610" s="82">
        <f>(2*$J1610-$H1610-$L1610)*100</f>
        <v/>
      </c>
      <c r="BC1610" s="82">
        <f>($N1610-$F1610)*100</f>
        <v/>
      </c>
      <c r="BD1610" s="82">
        <f>($Q1610-$H1610)*100</f>
        <v/>
      </c>
      <c r="BE1610" s="82">
        <f>($S1610-$J1610)*100</f>
        <v/>
      </c>
      <c r="BF1610" s="82">
        <f>($V1610-$L1610)*100</f>
        <v/>
      </c>
      <c r="BG1610" s="82">
        <f>$AG1610-$AF1610</f>
        <v/>
      </c>
      <c r="BH1610" s="81">
        <f>IFERROR($AG1610/$AF1610,"")</f>
        <v/>
      </c>
      <c r="BI1610" s="82">
        <f>$AJ1610-$AF1610</f>
        <v/>
      </c>
      <c r="BJ1610" s="81">
        <f>IFERROR($AJ1610/$AG1610,"")</f>
        <v/>
      </c>
      <c r="BK1610" s="81">
        <f>$X1610</f>
        <v/>
      </c>
      <c r="BL1610" s="82">
        <f>($J1610-$J1611)*100</f>
        <v/>
      </c>
      <c r="BM1610" s="82">
        <f>($F1610-$F1611)*100</f>
        <v/>
      </c>
      <c r="BN1610" s="82">
        <f>$AF1610-$AF1611</f>
        <v/>
      </c>
      <c r="BO1610" s="82">
        <f>$AG1610-$AG1611</f>
        <v/>
      </c>
      <c r="BP1610" s="82">
        <f>$AJ1610-$AJ1611</f>
        <v/>
      </c>
    </row>
    <row r="1611">
      <c r="AR1611" s="81">
        <f>($G1611+($H1611-$G1611)*0.5)+($P1611-($O1611+($Q1611-$O1611)*0.5))</f>
        <v/>
      </c>
      <c r="AS1611" s="81">
        <f>($J1611+($K1611-$J1611)*0.5)+($T1611-($S1611+($U1611-$S1611)*0.5))</f>
        <v/>
      </c>
      <c r="AT1611" s="82">
        <f>($J1611-$C1611)*100</f>
        <v/>
      </c>
      <c r="AU1611" s="82">
        <f>($H1611-$F1611)*100</f>
        <v/>
      </c>
      <c r="AV1611" s="82">
        <f>($J1611-$F1611)*100</f>
        <v/>
      </c>
      <c r="AW1611" s="82">
        <f>($L1611-$F1611)*100</f>
        <v/>
      </c>
      <c r="AX1611" s="82">
        <f>($J1611-$H1611)*100</f>
        <v/>
      </c>
      <c r="AY1611" s="82">
        <f>($L1611-$H1611)*100</f>
        <v/>
      </c>
      <c r="AZ1611" s="82">
        <f>($L1611-$J1611)*100</f>
        <v/>
      </c>
      <c r="BA1611" s="82">
        <f>(2*$H1611-$F1611-$J1611)*100</f>
        <v/>
      </c>
      <c r="BB1611" s="82">
        <f>(2*$J1611-$H1611-$L1611)*100</f>
        <v/>
      </c>
      <c r="BC1611" s="82">
        <f>($N1611-$F1611)*100</f>
        <v/>
      </c>
      <c r="BD1611" s="82">
        <f>($Q1611-$H1611)*100</f>
        <v/>
      </c>
      <c r="BE1611" s="82">
        <f>($S1611-$J1611)*100</f>
        <v/>
      </c>
      <c r="BF1611" s="82">
        <f>($V1611-$L1611)*100</f>
        <v/>
      </c>
      <c r="BG1611" s="82">
        <f>$AG1611-$AF1611</f>
        <v/>
      </c>
      <c r="BH1611" s="81">
        <f>IFERROR($AG1611/$AF1611,"")</f>
        <v/>
      </c>
      <c r="BI1611" s="82">
        <f>$AJ1611-$AF1611</f>
        <v/>
      </c>
      <c r="BJ1611" s="81">
        <f>IFERROR($AJ1611/$AG1611,"")</f>
        <v/>
      </c>
      <c r="BK1611" s="81">
        <f>$X1611</f>
        <v/>
      </c>
      <c r="BL1611" s="82">
        <f>($J1611-$J1612)*100</f>
        <v/>
      </c>
      <c r="BM1611" s="82">
        <f>($F1611-$F1612)*100</f>
        <v/>
      </c>
      <c r="BN1611" s="82">
        <f>$AF1611-$AF1612</f>
        <v/>
      </c>
      <c r="BO1611" s="82">
        <f>$AG1611-$AG1612</f>
        <v/>
      </c>
      <c r="BP1611" s="82">
        <f>$AJ1611-$AJ1612</f>
        <v/>
      </c>
    </row>
    <row r="1612">
      <c r="AR1612" s="81">
        <f>($G1612+($H1612-$G1612)*0.5)+($P1612-($O1612+($Q1612-$O1612)*0.5))</f>
        <v/>
      </c>
      <c r="AS1612" s="81">
        <f>($J1612+($K1612-$J1612)*0.5)+($T1612-($S1612+($U1612-$S1612)*0.5))</f>
        <v/>
      </c>
      <c r="AT1612" s="82">
        <f>($J1612-$C1612)*100</f>
        <v/>
      </c>
      <c r="AU1612" s="82">
        <f>($H1612-$F1612)*100</f>
        <v/>
      </c>
      <c r="AV1612" s="82">
        <f>($J1612-$F1612)*100</f>
        <v/>
      </c>
      <c r="AW1612" s="82">
        <f>($L1612-$F1612)*100</f>
        <v/>
      </c>
      <c r="AX1612" s="82">
        <f>($J1612-$H1612)*100</f>
        <v/>
      </c>
      <c r="AY1612" s="82">
        <f>($L1612-$H1612)*100</f>
        <v/>
      </c>
      <c r="AZ1612" s="82">
        <f>($L1612-$J1612)*100</f>
        <v/>
      </c>
      <c r="BA1612" s="82">
        <f>(2*$H1612-$F1612-$J1612)*100</f>
        <v/>
      </c>
      <c r="BB1612" s="82">
        <f>(2*$J1612-$H1612-$L1612)*100</f>
        <v/>
      </c>
      <c r="BC1612" s="82">
        <f>($N1612-$F1612)*100</f>
        <v/>
      </c>
      <c r="BD1612" s="82">
        <f>($Q1612-$H1612)*100</f>
        <v/>
      </c>
      <c r="BE1612" s="82">
        <f>($S1612-$J1612)*100</f>
        <v/>
      </c>
      <c r="BF1612" s="82">
        <f>($V1612-$L1612)*100</f>
        <v/>
      </c>
      <c r="BG1612" s="82">
        <f>$AG1612-$AF1612</f>
        <v/>
      </c>
      <c r="BH1612" s="81">
        <f>IFERROR($AG1612/$AF1612,"")</f>
        <v/>
      </c>
      <c r="BI1612" s="82">
        <f>$AJ1612-$AF1612</f>
        <v/>
      </c>
      <c r="BJ1612" s="81">
        <f>IFERROR($AJ1612/$AG1612,"")</f>
        <v/>
      </c>
      <c r="BK1612" s="81">
        <f>$X1612</f>
        <v/>
      </c>
      <c r="BL1612" s="82">
        <f>($J1612-$J1613)*100</f>
        <v/>
      </c>
      <c r="BM1612" s="82">
        <f>($F1612-$F1613)*100</f>
        <v/>
      </c>
      <c r="BN1612" s="82">
        <f>$AF1612-$AF1613</f>
        <v/>
      </c>
      <c r="BO1612" s="82">
        <f>$AG1612-$AG1613</f>
        <v/>
      </c>
      <c r="BP1612" s="82">
        <f>$AJ1612-$AJ1613</f>
        <v/>
      </c>
    </row>
    <row r="1613">
      <c r="AR1613" s="81">
        <f>($G1613+($H1613-$G1613)*0.5)+($P1613-($O1613+($Q1613-$O1613)*0.5))</f>
        <v/>
      </c>
      <c r="AS1613" s="81">
        <f>($J1613+($K1613-$J1613)*0.5)+($T1613-($S1613+($U1613-$S1613)*0.5))</f>
        <v/>
      </c>
      <c r="AT1613" s="82">
        <f>($J1613-$C1613)*100</f>
        <v/>
      </c>
      <c r="AU1613" s="82">
        <f>($H1613-$F1613)*100</f>
        <v/>
      </c>
      <c r="AV1613" s="82">
        <f>($J1613-$F1613)*100</f>
        <v/>
      </c>
      <c r="AW1613" s="82">
        <f>($L1613-$F1613)*100</f>
        <v/>
      </c>
      <c r="AX1613" s="82">
        <f>($J1613-$H1613)*100</f>
        <v/>
      </c>
      <c r="AY1613" s="82">
        <f>($L1613-$H1613)*100</f>
        <v/>
      </c>
      <c r="AZ1613" s="82">
        <f>($L1613-$J1613)*100</f>
        <v/>
      </c>
      <c r="BA1613" s="82">
        <f>(2*$H1613-$F1613-$J1613)*100</f>
        <v/>
      </c>
      <c r="BB1613" s="82">
        <f>(2*$J1613-$H1613-$L1613)*100</f>
        <v/>
      </c>
      <c r="BC1613" s="82">
        <f>($N1613-$F1613)*100</f>
        <v/>
      </c>
      <c r="BD1613" s="82">
        <f>($Q1613-$H1613)*100</f>
        <v/>
      </c>
      <c r="BE1613" s="82">
        <f>($S1613-$J1613)*100</f>
        <v/>
      </c>
      <c r="BF1613" s="82">
        <f>($V1613-$L1613)*100</f>
        <v/>
      </c>
      <c r="BG1613" s="82">
        <f>$AG1613-$AF1613</f>
        <v/>
      </c>
      <c r="BH1613" s="81">
        <f>IFERROR($AG1613/$AF1613,"")</f>
        <v/>
      </c>
      <c r="BI1613" s="82">
        <f>$AJ1613-$AF1613</f>
        <v/>
      </c>
      <c r="BJ1613" s="81">
        <f>IFERROR($AJ1613/$AG1613,"")</f>
        <v/>
      </c>
      <c r="BK1613" s="81">
        <f>$X1613</f>
        <v/>
      </c>
      <c r="BL1613" s="82">
        <f>($J1613-$J1614)*100</f>
        <v/>
      </c>
      <c r="BM1613" s="82">
        <f>($F1613-$F1614)*100</f>
        <v/>
      </c>
      <c r="BN1613" s="82">
        <f>$AF1613-$AF1614</f>
        <v/>
      </c>
      <c r="BO1613" s="82">
        <f>$AG1613-$AG1614</f>
        <v/>
      </c>
      <c r="BP1613" s="82">
        <f>$AJ1613-$AJ1614</f>
        <v/>
      </c>
    </row>
    <row r="1614">
      <c r="AR1614" s="81">
        <f>($G1614+($H1614-$G1614)*0.5)+($P1614-($O1614+($Q1614-$O1614)*0.5))</f>
        <v/>
      </c>
      <c r="AS1614" s="81">
        <f>($J1614+($K1614-$J1614)*0.5)+($T1614-($S1614+($U1614-$S1614)*0.5))</f>
        <v/>
      </c>
      <c r="AT1614" s="82">
        <f>($J1614-$C1614)*100</f>
        <v/>
      </c>
      <c r="AU1614" s="82">
        <f>($H1614-$F1614)*100</f>
        <v/>
      </c>
      <c r="AV1614" s="82">
        <f>($J1614-$F1614)*100</f>
        <v/>
      </c>
      <c r="AW1614" s="82">
        <f>($L1614-$F1614)*100</f>
        <v/>
      </c>
      <c r="AX1614" s="82">
        <f>($J1614-$H1614)*100</f>
        <v/>
      </c>
      <c r="AY1614" s="82">
        <f>($L1614-$H1614)*100</f>
        <v/>
      </c>
      <c r="AZ1614" s="82">
        <f>($L1614-$J1614)*100</f>
        <v/>
      </c>
      <c r="BA1614" s="82">
        <f>(2*$H1614-$F1614-$J1614)*100</f>
        <v/>
      </c>
      <c r="BB1614" s="82">
        <f>(2*$J1614-$H1614-$L1614)*100</f>
        <v/>
      </c>
      <c r="BC1614" s="82">
        <f>($N1614-$F1614)*100</f>
        <v/>
      </c>
      <c r="BD1614" s="82">
        <f>($Q1614-$H1614)*100</f>
        <v/>
      </c>
      <c r="BE1614" s="82">
        <f>($S1614-$J1614)*100</f>
        <v/>
      </c>
      <c r="BF1614" s="82">
        <f>($V1614-$L1614)*100</f>
        <v/>
      </c>
      <c r="BG1614" s="82">
        <f>$AG1614-$AF1614</f>
        <v/>
      </c>
      <c r="BH1614" s="81">
        <f>IFERROR($AG1614/$AF1614,"")</f>
        <v/>
      </c>
      <c r="BI1614" s="82">
        <f>$AJ1614-$AF1614</f>
        <v/>
      </c>
      <c r="BJ1614" s="81">
        <f>IFERROR($AJ1614/$AG1614,"")</f>
        <v/>
      </c>
      <c r="BK1614" s="81">
        <f>$X1614</f>
        <v/>
      </c>
      <c r="BL1614" s="82">
        <f>($J1614-$J1615)*100</f>
        <v/>
      </c>
      <c r="BM1614" s="82">
        <f>($F1614-$F1615)*100</f>
        <v/>
      </c>
      <c r="BN1614" s="82">
        <f>$AF1614-$AF1615</f>
        <v/>
      </c>
      <c r="BO1614" s="82">
        <f>$AG1614-$AG1615</f>
        <v/>
      </c>
      <c r="BP1614" s="82">
        <f>$AJ1614-$AJ1615</f>
        <v/>
      </c>
    </row>
    <row r="1615">
      <c r="AR1615" s="81">
        <f>($G1615+($H1615-$G1615)*0.5)+($P1615-($O1615+($Q1615-$O1615)*0.5))</f>
        <v/>
      </c>
      <c r="AS1615" s="81">
        <f>($J1615+($K1615-$J1615)*0.5)+($T1615-($S1615+($U1615-$S1615)*0.5))</f>
        <v/>
      </c>
      <c r="AT1615" s="82">
        <f>($J1615-$C1615)*100</f>
        <v/>
      </c>
      <c r="AU1615" s="82">
        <f>($H1615-$F1615)*100</f>
        <v/>
      </c>
      <c r="AV1615" s="82">
        <f>($J1615-$F1615)*100</f>
        <v/>
      </c>
      <c r="AW1615" s="82">
        <f>($L1615-$F1615)*100</f>
        <v/>
      </c>
      <c r="AX1615" s="82">
        <f>($J1615-$H1615)*100</f>
        <v/>
      </c>
      <c r="AY1615" s="82">
        <f>($L1615-$H1615)*100</f>
        <v/>
      </c>
      <c r="AZ1615" s="82">
        <f>($L1615-$J1615)*100</f>
        <v/>
      </c>
      <c r="BA1615" s="82">
        <f>(2*$H1615-$F1615-$J1615)*100</f>
        <v/>
      </c>
      <c r="BB1615" s="82">
        <f>(2*$J1615-$H1615-$L1615)*100</f>
        <v/>
      </c>
      <c r="BC1615" s="82">
        <f>($N1615-$F1615)*100</f>
        <v/>
      </c>
      <c r="BD1615" s="82">
        <f>($Q1615-$H1615)*100</f>
        <v/>
      </c>
      <c r="BE1615" s="82">
        <f>($S1615-$J1615)*100</f>
        <v/>
      </c>
      <c r="BF1615" s="82">
        <f>($V1615-$L1615)*100</f>
        <v/>
      </c>
      <c r="BG1615" s="82">
        <f>$AG1615-$AF1615</f>
        <v/>
      </c>
      <c r="BH1615" s="81">
        <f>IFERROR($AG1615/$AF1615,"")</f>
        <v/>
      </c>
      <c r="BI1615" s="82">
        <f>$AJ1615-$AF1615</f>
        <v/>
      </c>
      <c r="BJ1615" s="81">
        <f>IFERROR($AJ1615/$AG1615,"")</f>
        <v/>
      </c>
      <c r="BK1615" s="81">
        <f>$X1615</f>
        <v/>
      </c>
      <c r="BL1615" s="82">
        <f>($J1615-$J1616)*100</f>
        <v/>
      </c>
      <c r="BM1615" s="82">
        <f>($F1615-$F1616)*100</f>
        <v/>
      </c>
      <c r="BN1615" s="82">
        <f>$AF1615-$AF1616</f>
        <v/>
      </c>
      <c r="BO1615" s="82">
        <f>$AG1615-$AG1616</f>
        <v/>
      </c>
      <c r="BP1615" s="82">
        <f>$AJ1615-$AJ1616</f>
        <v/>
      </c>
    </row>
    <row r="1616">
      <c r="AR1616" s="81">
        <f>($G1616+($H1616-$G1616)*0.5)+($P1616-($O1616+($Q1616-$O1616)*0.5))</f>
        <v/>
      </c>
      <c r="AS1616" s="81">
        <f>($J1616+($K1616-$J1616)*0.5)+($T1616-($S1616+($U1616-$S1616)*0.5))</f>
        <v/>
      </c>
      <c r="AT1616" s="82">
        <f>($J1616-$C1616)*100</f>
        <v/>
      </c>
      <c r="AU1616" s="82">
        <f>($H1616-$F1616)*100</f>
        <v/>
      </c>
      <c r="AV1616" s="82">
        <f>($J1616-$F1616)*100</f>
        <v/>
      </c>
      <c r="AW1616" s="82">
        <f>($L1616-$F1616)*100</f>
        <v/>
      </c>
      <c r="AX1616" s="82">
        <f>($J1616-$H1616)*100</f>
        <v/>
      </c>
      <c r="AY1616" s="82">
        <f>($L1616-$H1616)*100</f>
        <v/>
      </c>
      <c r="AZ1616" s="82">
        <f>($L1616-$J1616)*100</f>
        <v/>
      </c>
      <c r="BA1616" s="82">
        <f>(2*$H1616-$F1616-$J1616)*100</f>
        <v/>
      </c>
      <c r="BB1616" s="82">
        <f>(2*$J1616-$H1616-$L1616)*100</f>
        <v/>
      </c>
      <c r="BC1616" s="82">
        <f>($N1616-$F1616)*100</f>
        <v/>
      </c>
      <c r="BD1616" s="82">
        <f>($Q1616-$H1616)*100</f>
        <v/>
      </c>
      <c r="BE1616" s="82">
        <f>($S1616-$J1616)*100</f>
        <v/>
      </c>
      <c r="BF1616" s="82">
        <f>($V1616-$L1616)*100</f>
        <v/>
      </c>
      <c r="BG1616" s="82">
        <f>$AG1616-$AF1616</f>
        <v/>
      </c>
      <c r="BH1616" s="81">
        <f>IFERROR($AG1616/$AF1616,"")</f>
        <v/>
      </c>
      <c r="BI1616" s="82">
        <f>$AJ1616-$AF1616</f>
        <v/>
      </c>
      <c r="BJ1616" s="81">
        <f>IFERROR($AJ1616/$AG1616,"")</f>
        <v/>
      </c>
      <c r="BK1616" s="81">
        <f>$X1616</f>
        <v/>
      </c>
      <c r="BL1616" s="82">
        <f>($J1616-$J1617)*100</f>
        <v/>
      </c>
      <c r="BM1616" s="82">
        <f>($F1616-$F1617)*100</f>
        <v/>
      </c>
      <c r="BN1616" s="82">
        <f>$AF1616-$AF1617</f>
        <v/>
      </c>
      <c r="BO1616" s="82">
        <f>$AG1616-$AG1617</f>
        <v/>
      </c>
      <c r="BP1616" s="82">
        <f>$AJ1616-$AJ1617</f>
        <v/>
      </c>
    </row>
    <row r="1617">
      <c r="AR1617" s="81">
        <f>($G1617+($H1617-$G1617)*0.5)+($P1617-($O1617+($Q1617-$O1617)*0.5))</f>
        <v/>
      </c>
      <c r="AS1617" s="81">
        <f>($J1617+($K1617-$J1617)*0.5)+($T1617-($S1617+($U1617-$S1617)*0.5))</f>
        <v/>
      </c>
      <c r="AT1617" s="82">
        <f>($J1617-$C1617)*100</f>
        <v/>
      </c>
      <c r="AU1617" s="82">
        <f>($H1617-$F1617)*100</f>
        <v/>
      </c>
      <c r="AV1617" s="82">
        <f>($J1617-$F1617)*100</f>
        <v/>
      </c>
      <c r="AW1617" s="82">
        <f>($L1617-$F1617)*100</f>
        <v/>
      </c>
      <c r="AX1617" s="82">
        <f>($J1617-$H1617)*100</f>
        <v/>
      </c>
      <c r="AY1617" s="82">
        <f>($L1617-$H1617)*100</f>
        <v/>
      </c>
      <c r="AZ1617" s="82">
        <f>($L1617-$J1617)*100</f>
        <v/>
      </c>
      <c r="BA1617" s="82">
        <f>(2*$H1617-$F1617-$J1617)*100</f>
        <v/>
      </c>
      <c r="BB1617" s="82">
        <f>(2*$J1617-$H1617-$L1617)*100</f>
        <v/>
      </c>
      <c r="BC1617" s="82">
        <f>($N1617-$F1617)*100</f>
        <v/>
      </c>
      <c r="BD1617" s="82">
        <f>($Q1617-$H1617)*100</f>
        <v/>
      </c>
      <c r="BE1617" s="82">
        <f>($S1617-$J1617)*100</f>
        <v/>
      </c>
      <c r="BF1617" s="82">
        <f>($V1617-$L1617)*100</f>
        <v/>
      </c>
      <c r="BG1617" s="82">
        <f>$AG1617-$AF1617</f>
        <v/>
      </c>
      <c r="BH1617" s="81">
        <f>IFERROR($AG1617/$AF1617,"")</f>
        <v/>
      </c>
      <c r="BI1617" s="82">
        <f>$AJ1617-$AF1617</f>
        <v/>
      </c>
      <c r="BJ1617" s="81">
        <f>IFERROR($AJ1617/$AG1617,"")</f>
        <v/>
      </c>
      <c r="BK1617" s="81">
        <f>$X1617</f>
        <v/>
      </c>
      <c r="BL1617" s="82">
        <f>($J1617-$J1618)*100</f>
        <v/>
      </c>
      <c r="BM1617" s="82">
        <f>($F1617-$F1618)*100</f>
        <v/>
      </c>
      <c r="BN1617" s="82">
        <f>$AF1617-$AF1618</f>
        <v/>
      </c>
      <c r="BO1617" s="82">
        <f>$AG1617-$AG1618</f>
        <v/>
      </c>
      <c r="BP1617" s="82">
        <f>$AJ1617-$AJ1618</f>
        <v/>
      </c>
    </row>
    <row r="1618">
      <c r="AR1618" s="81">
        <f>($G1618+($H1618-$G1618)*0.5)+($P1618-($O1618+($Q1618-$O1618)*0.5))</f>
        <v/>
      </c>
      <c r="AS1618" s="81">
        <f>($J1618+($K1618-$J1618)*0.5)+($T1618-($S1618+($U1618-$S1618)*0.5))</f>
        <v/>
      </c>
      <c r="AT1618" s="82">
        <f>($J1618-$C1618)*100</f>
        <v/>
      </c>
      <c r="AU1618" s="82">
        <f>($H1618-$F1618)*100</f>
        <v/>
      </c>
      <c r="AV1618" s="82">
        <f>($J1618-$F1618)*100</f>
        <v/>
      </c>
      <c r="AW1618" s="82">
        <f>($L1618-$F1618)*100</f>
        <v/>
      </c>
      <c r="AX1618" s="82">
        <f>($J1618-$H1618)*100</f>
        <v/>
      </c>
      <c r="AY1618" s="82">
        <f>($L1618-$H1618)*100</f>
        <v/>
      </c>
      <c r="AZ1618" s="82">
        <f>($L1618-$J1618)*100</f>
        <v/>
      </c>
      <c r="BA1618" s="82">
        <f>(2*$H1618-$F1618-$J1618)*100</f>
        <v/>
      </c>
      <c r="BB1618" s="82">
        <f>(2*$J1618-$H1618-$L1618)*100</f>
        <v/>
      </c>
      <c r="BC1618" s="82">
        <f>($N1618-$F1618)*100</f>
        <v/>
      </c>
      <c r="BD1618" s="82">
        <f>($Q1618-$H1618)*100</f>
        <v/>
      </c>
      <c r="BE1618" s="82">
        <f>($S1618-$J1618)*100</f>
        <v/>
      </c>
      <c r="BF1618" s="82">
        <f>($V1618-$L1618)*100</f>
        <v/>
      </c>
      <c r="BG1618" s="82">
        <f>$AG1618-$AF1618</f>
        <v/>
      </c>
      <c r="BH1618" s="81">
        <f>IFERROR($AG1618/$AF1618,"")</f>
        <v/>
      </c>
      <c r="BI1618" s="82">
        <f>$AJ1618-$AF1618</f>
        <v/>
      </c>
      <c r="BJ1618" s="81">
        <f>IFERROR($AJ1618/$AG1618,"")</f>
        <v/>
      </c>
      <c r="BK1618" s="81">
        <f>$X1618</f>
        <v/>
      </c>
      <c r="BL1618" s="82">
        <f>($J1618-$J1619)*100</f>
        <v/>
      </c>
      <c r="BM1618" s="82">
        <f>($F1618-$F1619)*100</f>
        <v/>
      </c>
      <c r="BN1618" s="82">
        <f>$AF1618-$AF1619</f>
        <v/>
      </c>
      <c r="BO1618" s="82">
        <f>$AG1618-$AG1619</f>
        <v/>
      </c>
      <c r="BP1618" s="82">
        <f>$AJ1618-$AJ1619</f>
        <v/>
      </c>
    </row>
    <row r="1619">
      <c r="AR1619" s="81">
        <f>($G1619+($H1619-$G1619)*0.5)+($P1619-($O1619+($Q1619-$O1619)*0.5))</f>
        <v/>
      </c>
      <c r="AS1619" s="81">
        <f>($J1619+($K1619-$J1619)*0.5)+($T1619-($S1619+($U1619-$S1619)*0.5))</f>
        <v/>
      </c>
      <c r="AT1619" s="82">
        <f>($J1619-$C1619)*100</f>
        <v/>
      </c>
      <c r="AU1619" s="82">
        <f>($H1619-$F1619)*100</f>
        <v/>
      </c>
      <c r="AV1619" s="82">
        <f>($J1619-$F1619)*100</f>
        <v/>
      </c>
      <c r="AW1619" s="82">
        <f>($L1619-$F1619)*100</f>
        <v/>
      </c>
      <c r="AX1619" s="82">
        <f>($J1619-$H1619)*100</f>
        <v/>
      </c>
      <c r="AY1619" s="82">
        <f>($L1619-$H1619)*100</f>
        <v/>
      </c>
      <c r="AZ1619" s="82">
        <f>($L1619-$J1619)*100</f>
        <v/>
      </c>
      <c r="BA1619" s="82">
        <f>(2*$H1619-$F1619-$J1619)*100</f>
        <v/>
      </c>
      <c r="BB1619" s="82">
        <f>(2*$J1619-$H1619-$L1619)*100</f>
        <v/>
      </c>
      <c r="BC1619" s="82">
        <f>($N1619-$F1619)*100</f>
        <v/>
      </c>
      <c r="BD1619" s="82">
        <f>($Q1619-$H1619)*100</f>
        <v/>
      </c>
      <c r="BE1619" s="82">
        <f>($S1619-$J1619)*100</f>
        <v/>
      </c>
      <c r="BF1619" s="82">
        <f>($V1619-$L1619)*100</f>
        <v/>
      </c>
      <c r="BG1619" s="82">
        <f>$AG1619-$AF1619</f>
        <v/>
      </c>
      <c r="BH1619" s="81">
        <f>IFERROR($AG1619/$AF1619,"")</f>
        <v/>
      </c>
      <c r="BI1619" s="82">
        <f>$AJ1619-$AF1619</f>
        <v/>
      </c>
      <c r="BJ1619" s="81">
        <f>IFERROR($AJ1619/$AG1619,"")</f>
        <v/>
      </c>
      <c r="BK1619" s="81">
        <f>$X1619</f>
        <v/>
      </c>
      <c r="BL1619" s="82">
        <f>($J1619-$J1620)*100</f>
        <v/>
      </c>
      <c r="BM1619" s="82">
        <f>($F1619-$F1620)*100</f>
        <v/>
      </c>
      <c r="BN1619" s="82">
        <f>$AF1619-$AF1620</f>
        <v/>
      </c>
      <c r="BO1619" s="82">
        <f>$AG1619-$AG1620</f>
        <v/>
      </c>
      <c r="BP1619" s="82">
        <f>$AJ1619-$AJ1620</f>
        <v/>
      </c>
    </row>
    <row r="1620">
      <c r="AR1620" s="81">
        <f>($G1620+($H1620-$G1620)*0.5)+($P1620-($O1620+($Q1620-$O1620)*0.5))</f>
        <v/>
      </c>
      <c r="AS1620" s="81">
        <f>($J1620+($K1620-$J1620)*0.5)+($T1620-($S1620+($U1620-$S1620)*0.5))</f>
        <v/>
      </c>
      <c r="AT1620" s="82">
        <f>($J1620-$C1620)*100</f>
        <v/>
      </c>
      <c r="AU1620" s="82">
        <f>($H1620-$F1620)*100</f>
        <v/>
      </c>
      <c r="AV1620" s="82">
        <f>($J1620-$F1620)*100</f>
        <v/>
      </c>
      <c r="AW1620" s="82">
        <f>($L1620-$F1620)*100</f>
        <v/>
      </c>
      <c r="AX1620" s="82">
        <f>($J1620-$H1620)*100</f>
        <v/>
      </c>
      <c r="AY1620" s="82">
        <f>($L1620-$H1620)*100</f>
        <v/>
      </c>
      <c r="AZ1620" s="82">
        <f>($L1620-$J1620)*100</f>
        <v/>
      </c>
      <c r="BA1620" s="82">
        <f>(2*$H1620-$F1620-$J1620)*100</f>
        <v/>
      </c>
      <c r="BB1620" s="82">
        <f>(2*$J1620-$H1620-$L1620)*100</f>
        <v/>
      </c>
      <c r="BC1620" s="82">
        <f>($N1620-$F1620)*100</f>
        <v/>
      </c>
      <c r="BD1620" s="82">
        <f>($Q1620-$H1620)*100</f>
        <v/>
      </c>
      <c r="BE1620" s="82">
        <f>($S1620-$J1620)*100</f>
        <v/>
      </c>
      <c r="BF1620" s="82">
        <f>($V1620-$L1620)*100</f>
        <v/>
      </c>
      <c r="BG1620" s="82">
        <f>$AG1620-$AF1620</f>
        <v/>
      </c>
      <c r="BH1620" s="81">
        <f>IFERROR($AG1620/$AF1620,"")</f>
        <v/>
      </c>
      <c r="BI1620" s="82">
        <f>$AJ1620-$AF1620</f>
        <v/>
      </c>
      <c r="BJ1620" s="81">
        <f>IFERROR($AJ1620/$AG1620,"")</f>
        <v/>
      </c>
      <c r="BK1620" s="81">
        <f>$X1620</f>
        <v/>
      </c>
      <c r="BL1620" s="82">
        <f>($J1620-$J1621)*100</f>
        <v/>
      </c>
      <c r="BM1620" s="82">
        <f>($F1620-$F1621)*100</f>
        <v/>
      </c>
      <c r="BN1620" s="82">
        <f>$AF1620-$AF1621</f>
        <v/>
      </c>
      <c r="BO1620" s="82">
        <f>$AG1620-$AG1621</f>
        <v/>
      </c>
      <c r="BP1620" s="82">
        <f>$AJ1620-$AJ1621</f>
        <v/>
      </c>
    </row>
    <row r="1621">
      <c r="AR1621" s="81">
        <f>($G1621+($H1621-$G1621)*0.5)+($P1621-($O1621+($Q1621-$O1621)*0.5))</f>
        <v/>
      </c>
      <c r="AS1621" s="81">
        <f>($J1621+($K1621-$J1621)*0.5)+($T1621-($S1621+($U1621-$S1621)*0.5))</f>
        <v/>
      </c>
      <c r="AT1621" s="82">
        <f>($J1621-$C1621)*100</f>
        <v/>
      </c>
      <c r="AU1621" s="82">
        <f>($H1621-$F1621)*100</f>
        <v/>
      </c>
      <c r="AV1621" s="82">
        <f>($J1621-$F1621)*100</f>
        <v/>
      </c>
      <c r="AW1621" s="82">
        <f>($L1621-$F1621)*100</f>
        <v/>
      </c>
      <c r="AX1621" s="82">
        <f>($J1621-$H1621)*100</f>
        <v/>
      </c>
      <c r="AY1621" s="82">
        <f>($L1621-$H1621)*100</f>
        <v/>
      </c>
      <c r="AZ1621" s="82">
        <f>($L1621-$J1621)*100</f>
        <v/>
      </c>
      <c r="BA1621" s="82">
        <f>(2*$H1621-$F1621-$J1621)*100</f>
        <v/>
      </c>
      <c r="BB1621" s="82">
        <f>(2*$J1621-$H1621-$L1621)*100</f>
        <v/>
      </c>
      <c r="BC1621" s="82">
        <f>($N1621-$F1621)*100</f>
        <v/>
      </c>
      <c r="BD1621" s="82">
        <f>($Q1621-$H1621)*100</f>
        <v/>
      </c>
      <c r="BE1621" s="82">
        <f>($S1621-$J1621)*100</f>
        <v/>
      </c>
      <c r="BF1621" s="82">
        <f>($V1621-$L1621)*100</f>
        <v/>
      </c>
      <c r="BG1621" s="82">
        <f>$AG1621-$AF1621</f>
        <v/>
      </c>
      <c r="BH1621" s="81">
        <f>IFERROR($AG1621/$AF1621,"")</f>
        <v/>
      </c>
      <c r="BI1621" s="82">
        <f>$AJ1621-$AF1621</f>
        <v/>
      </c>
      <c r="BJ1621" s="81">
        <f>IFERROR($AJ1621/$AG1621,"")</f>
        <v/>
      </c>
      <c r="BK1621" s="81">
        <f>$X1621</f>
        <v/>
      </c>
      <c r="BL1621" s="82">
        <f>($J1621-$J1622)*100</f>
        <v/>
      </c>
      <c r="BM1621" s="82">
        <f>($F1621-$F1622)*100</f>
        <v/>
      </c>
      <c r="BN1621" s="82">
        <f>$AF1621-$AF1622</f>
        <v/>
      </c>
      <c r="BO1621" s="82">
        <f>$AG1621-$AG1622</f>
        <v/>
      </c>
      <c r="BP1621" s="82">
        <f>$AJ1621-$AJ1622</f>
        <v/>
      </c>
    </row>
    <row r="1622">
      <c r="AR1622" s="81">
        <f>($G1622+($H1622-$G1622)*0.5)+($P1622-($O1622+($Q1622-$O1622)*0.5))</f>
        <v/>
      </c>
      <c r="AS1622" s="81">
        <f>($J1622+($K1622-$J1622)*0.5)+($T1622-($S1622+($U1622-$S1622)*0.5))</f>
        <v/>
      </c>
      <c r="AT1622" s="82">
        <f>($J1622-$C1622)*100</f>
        <v/>
      </c>
      <c r="AU1622" s="82">
        <f>($H1622-$F1622)*100</f>
        <v/>
      </c>
      <c r="AV1622" s="82">
        <f>($J1622-$F1622)*100</f>
        <v/>
      </c>
      <c r="AW1622" s="82">
        <f>($L1622-$F1622)*100</f>
        <v/>
      </c>
      <c r="AX1622" s="82">
        <f>($J1622-$H1622)*100</f>
        <v/>
      </c>
      <c r="AY1622" s="82">
        <f>($L1622-$H1622)*100</f>
        <v/>
      </c>
      <c r="AZ1622" s="82">
        <f>($L1622-$J1622)*100</f>
        <v/>
      </c>
      <c r="BA1622" s="82">
        <f>(2*$H1622-$F1622-$J1622)*100</f>
        <v/>
      </c>
      <c r="BB1622" s="82">
        <f>(2*$J1622-$H1622-$L1622)*100</f>
        <v/>
      </c>
      <c r="BC1622" s="82">
        <f>($N1622-$F1622)*100</f>
        <v/>
      </c>
      <c r="BD1622" s="82">
        <f>($Q1622-$H1622)*100</f>
        <v/>
      </c>
      <c r="BE1622" s="82">
        <f>($S1622-$J1622)*100</f>
        <v/>
      </c>
      <c r="BF1622" s="82">
        <f>($V1622-$L1622)*100</f>
        <v/>
      </c>
      <c r="BG1622" s="82">
        <f>$AG1622-$AF1622</f>
        <v/>
      </c>
      <c r="BH1622" s="81">
        <f>IFERROR($AG1622/$AF1622,"")</f>
        <v/>
      </c>
      <c r="BI1622" s="82">
        <f>$AJ1622-$AF1622</f>
        <v/>
      </c>
      <c r="BJ1622" s="81">
        <f>IFERROR($AJ1622/$AG1622,"")</f>
        <v/>
      </c>
      <c r="BK1622" s="81">
        <f>$X1622</f>
        <v/>
      </c>
      <c r="BL1622" s="82">
        <f>($J1622-$J1623)*100</f>
        <v/>
      </c>
      <c r="BM1622" s="82">
        <f>($F1622-$F1623)*100</f>
        <v/>
      </c>
      <c r="BN1622" s="82">
        <f>$AF1622-$AF1623</f>
        <v/>
      </c>
      <c r="BO1622" s="82">
        <f>$AG1622-$AG1623</f>
        <v/>
      </c>
      <c r="BP1622" s="82">
        <f>$AJ1622-$AJ1623</f>
        <v/>
      </c>
    </row>
    <row r="1623">
      <c r="AR1623" s="81">
        <f>($G1623+($H1623-$G1623)*0.5)+($P1623-($O1623+($Q1623-$O1623)*0.5))</f>
        <v/>
      </c>
      <c r="AS1623" s="81">
        <f>($J1623+($K1623-$J1623)*0.5)+($T1623-($S1623+($U1623-$S1623)*0.5))</f>
        <v/>
      </c>
      <c r="AT1623" s="82">
        <f>($J1623-$C1623)*100</f>
        <v/>
      </c>
      <c r="AU1623" s="82">
        <f>($H1623-$F1623)*100</f>
        <v/>
      </c>
      <c r="AV1623" s="82">
        <f>($J1623-$F1623)*100</f>
        <v/>
      </c>
      <c r="AW1623" s="82">
        <f>($L1623-$F1623)*100</f>
        <v/>
      </c>
      <c r="AX1623" s="82">
        <f>($J1623-$H1623)*100</f>
        <v/>
      </c>
      <c r="AY1623" s="82">
        <f>($L1623-$H1623)*100</f>
        <v/>
      </c>
      <c r="AZ1623" s="82">
        <f>($L1623-$J1623)*100</f>
        <v/>
      </c>
      <c r="BA1623" s="82">
        <f>(2*$H1623-$F1623-$J1623)*100</f>
        <v/>
      </c>
      <c r="BB1623" s="82">
        <f>(2*$J1623-$H1623-$L1623)*100</f>
        <v/>
      </c>
      <c r="BC1623" s="82">
        <f>($N1623-$F1623)*100</f>
        <v/>
      </c>
      <c r="BD1623" s="82">
        <f>($Q1623-$H1623)*100</f>
        <v/>
      </c>
      <c r="BE1623" s="82">
        <f>($S1623-$J1623)*100</f>
        <v/>
      </c>
      <c r="BF1623" s="82">
        <f>($V1623-$L1623)*100</f>
        <v/>
      </c>
      <c r="BG1623" s="82">
        <f>$AG1623-$AF1623</f>
        <v/>
      </c>
      <c r="BH1623" s="81">
        <f>IFERROR($AG1623/$AF1623,"")</f>
        <v/>
      </c>
      <c r="BI1623" s="82">
        <f>$AJ1623-$AF1623</f>
        <v/>
      </c>
      <c r="BJ1623" s="81">
        <f>IFERROR($AJ1623/$AG1623,"")</f>
        <v/>
      </c>
      <c r="BK1623" s="81">
        <f>$X1623</f>
        <v/>
      </c>
      <c r="BL1623" s="82">
        <f>($J1623-$J1624)*100</f>
        <v/>
      </c>
      <c r="BM1623" s="82">
        <f>($F1623-$F1624)*100</f>
        <v/>
      </c>
      <c r="BN1623" s="82">
        <f>$AF1623-$AF1624</f>
        <v/>
      </c>
      <c r="BO1623" s="82">
        <f>$AG1623-$AG1624</f>
        <v/>
      </c>
      <c r="BP1623" s="82">
        <f>$AJ1623-$AJ1624</f>
        <v/>
      </c>
    </row>
    <row r="1624">
      <c r="AR1624" s="81">
        <f>($G1624+($H1624-$G1624)*0.5)+($P1624-($O1624+($Q1624-$O1624)*0.5))</f>
        <v/>
      </c>
      <c r="AS1624" s="81">
        <f>($J1624+($K1624-$J1624)*0.5)+($T1624-($S1624+($U1624-$S1624)*0.5))</f>
        <v/>
      </c>
      <c r="AT1624" s="82">
        <f>($J1624-$C1624)*100</f>
        <v/>
      </c>
      <c r="AU1624" s="82">
        <f>($H1624-$F1624)*100</f>
        <v/>
      </c>
      <c r="AV1624" s="82">
        <f>($J1624-$F1624)*100</f>
        <v/>
      </c>
      <c r="AW1624" s="82">
        <f>($L1624-$F1624)*100</f>
        <v/>
      </c>
      <c r="AX1624" s="82">
        <f>($J1624-$H1624)*100</f>
        <v/>
      </c>
      <c r="AY1624" s="82">
        <f>($L1624-$H1624)*100</f>
        <v/>
      </c>
      <c r="AZ1624" s="82">
        <f>($L1624-$J1624)*100</f>
        <v/>
      </c>
      <c r="BA1624" s="82">
        <f>(2*$H1624-$F1624-$J1624)*100</f>
        <v/>
      </c>
      <c r="BB1624" s="82">
        <f>(2*$J1624-$H1624-$L1624)*100</f>
        <v/>
      </c>
      <c r="BC1624" s="82">
        <f>($N1624-$F1624)*100</f>
        <v/>
      </c>
      <c r="BD1624" s="82">
        <f>($Q1624-$H1624)*100</f>
        <v/>
      </c>
      <c r="BE1624" s="82">
        <f>($S1624-$J1624)*100</f>
        <v/>
      </c>
      <c r="BF1624" s="82">
        <f>($V1624-$L1624)*100</f>
        <v/>
      </c>
      <c r="BG1624" s="82">
        <f>$AG1624-$AF1624</f>
        <v/>
      </c>
      <c r="BH1624" s="81">
        <f>IFERROR($AG1624/$AF1624,"")</f>
        <v/>
      </c>
      <c r="BI1624" s="82">
        <f>$AJ1624-$AF1624</f>
        <v/>
      </c>
      <c r="BJ1624" s="81">
        <f>IFERROR($AJ1624/$AG1624,"")</f>
        <v/>
      </c>
      <c r="BK1624" s="81">
        <f>$X1624</f>
        <v/>
      </c>
      <c r="BL1624" s="82">
        <f>($J1624-$J1625)*100</f>
        <v/>
      </c>
      <c r="BM1624" s="82">
        <f>($F1624-$F1625)*100</f>
        <v/>
      </c>
      <c r="BN1624" s="82">
        <f>$AF1624-$AF1625</f>
        <v/>
      </c>
      <c r="BO1624" s="82">
        <f>$AG1624-$AG1625</f>
        <v/>
      </c>
      <c r="BP1624" s="82">
        <f>$AJ1624-$AJ1625</f>
        <v/>
      </c>
    </row>
    <row r="1625">
      <c r="AR1625" s="81">
        <f>($G1625+($H1625-$G1625)*0.5)+($P1625-($O1625+($Q1625-$O1625)*0.5))</f>
        <v/>
      </c>
      <c r="AS1625" s="81">
        <f>($J1625+($K1625-$J1625)*0.5)+($T1625-($S1625+($U1625-$S1625)*0.5))</f>
        <v/>
      </c>
      <c r="AT1625" s="82">
        <f>($J1625-$C1625)*100</f>
        <v/>
      </c>
      <c r="AU1625" s="82">
        <f>($H1625-$F1625)*100</f>
        <v/>
      </c>
      <c r="AV1625" s="82">
        <f>($J1625-$F1625)*100</f>
        <v/>
      </c>
      <c r="AW1625" s="82">
        <f>($L1625-$F1625)*100</f>
        <v/>
      </c>
      <c r="AX1625" s="82">
        <f>($J1625-$H1625)*100</f>
        <v/>
      </c>
      <c r="AY1625" s="82">
        <f>($L1625-$H1625)*100</f>
        <v/>
      </c>
      <c r="AZ1625" s="82">
        <f>($L1625-$J1625)*100</f>
        <v/>
      </c>
      <c r="BA1625" s="82">
        <f>(2*$H1625-$F1625-$J1625)*100</f>
        <v/>
      </c>
      <c r="BB1625" s="82">
        <f>(2*$J1625-$H1625-$L1625)*100</f>
        <v/>
      </c>
      <c r="BC1625" s="82">
        <f>($N1625-$F1625)*100</f>
        <v/>
      </c>
      <c r="BD1625" s="82">
        <f>($Q1625-$H1625)*100</f>
        <v/>
      </c>
      <c r="BE1625" s="82">
        <f>($S1625-$J1625)*100</f>
        <v/>
      </c>
      <c r="BF1625" s="82">
        <f>($V1625-$L1625)*100</f>
        <v/>
      </c>
      <c r="BG1625" s="82">
        <f>$AG1625-$AF1625</f>
        <v/>
      </c>
      <c r="BH1625" s="81">
        <f>IFERROR($AG1625/$AF1625,"")</f>
        <v/>
      </c>
      <c r="BI1625" s="82">
        <f>$AJ1625-$AF1625</f>
        <v/>
      </c>
      <c r="BJ1625" s="81">
        <f>IFERROR($AJ1625/$AG1625,"")</f>
        <v/>
      </c>
      <c r="BK1625" s="81">
        <f>$X1625</f>
        <v/>
      </c>
      <c r="BL1625" s="82">
        <f>($J1625-$J1626)*100</f>
        <v/>
      </c>
      <c r="BM1625" s="82">
        <f>($F1625-$F1626)*100</f>
        <v/>
      </c>
      <c r="BN1625" s="82">
        <f>$AF1625-$AF1626</f>
        <v/>
      </c>
      <c r="BO1625" s="82">
        <f>$AG1625-$AG1626</f>
        <v/>
      </c>
      <c r="BP1625" s="82">
        <f>$AJ1625-$AJ1626</f>
        <v/>
      </c>
    </row>
    <row r="1626">
      <c r="AR1626" s="81">
        <f>($G1626+($H1626-$G1626)*0.5)+($P1626-($O1626+($Q1626-$O1626)*0.5))</f>
        <v/>
      </c>
      <c r="AS1626" s="81">
        <f>($J1626+($K1626-$J1626)*0.5)+($T1626-($S1626+($U1626-$S1626)*0.5))</f>
        <v/>
      </c>
      <c r="AT1626" s="82">
        <f>($J1626-$C1626)*100</f>
        <v/>
      </c>
      <c r="AU1626" s="82">
        <f>($H1626-$F1626)*100</f>
        <v/>
      </c>
      <c r="AV1626" s="82">
        <f>($J1626-$F1626)*100</f>
        <v/>
      </c>
      <c r="AW1626" s="82">
        <f>($L1626-$F1626)*100</f>
        <v/>
      </c>
      <c r="AX1626" s="82">
        <f>($J1626-$H1626)*100</f>
        <v/>
      </c>
      <c r="AY1626" s="82">
        <f>($L1626-$H1626)*100</f>
        <v/>
      </c>
      <c r="AZ1626" s="82">
        <f>($L1626-$J1626)*100</f>
        <v/>
      </c>
      <c r="BA1626" s="82">
        <f>(2*$H1626-$F1626-$J1626)*100</f>
        <v/>
      </c>
      <c r="BB1626" s="82">
        <f>(2*$J1626-$H1626-$L1626)*100</f>
        <v/>
      </c>
      <c r="BC1626" s="82">
        <f>($N1626-$F1626)*100</f>
        <v/>
      </c>
      <c r="BD1626" s="82">
        <f>($Q1626-$H1626)*100</f>
        <v/>
      </c>
      <c r="BE1626" s="82">
        <f>($S1626-$J1626)*100</f>
        <v/>
      </c>
      <c r="BF1626" s="82">
        <f>($V1626-$L1626)*100</f>
        <v/>
      </c>
      <c r="BG1626" s="82">
        <f>$AG1626-$AF1626</f>
        <v/>
      </c>
      <c r="BH1626" s="81">
        <f>IFERROR($AG1626/$AF1626,"")</f>
        <v/>
      </c>
      <c r="BI1626" s="82">
        <f>$AJ1626-$AF1626</f>
        <v/>
      </c>
      <c r="BJ1626" s="81">
        <f>IFERROR($AJ1626/$AG1626,"")</f>
        <v/>
      </c>
      <c r="BK1626" s="81">
        <f>$X1626</f>
        <v/>
      </c>
      <c r="BL1626" s="82">
        <f>($J1626-$J1627)*100</f>
        <v/>
      </c>
      <c r="BM1626" s="82">
        <f>($F1626-$F1627)*100</f>
        <v/>
      </c>
      <c r="BN1626" s="82">
        <f>$AF1626-$AF1627</f>
        <v/>
      </c>
      <c r="BO1626" s="82">
        <f>$AG1626-$AG1627</f>
        <v/>
      </c>
      <c r="BP1626" s="82">
        <f>$AJ1626-$AJ1627</f>
        <v/>
      </c>
    </row>
    <row r="1627">
      <c r="AR1627" s="81">
        <f>($G1627+($H1627-$G1627)*0.5)+($P1627-($O1627+($Q1627-$O1627)*0.5))</f>
        <v/>
      </c>
      <c r="AS1627" s="81">
        <f>($J1627+($K1627-$J1627)*0.5)+($T1627-($S1627+($U1627-$S1627)*0.5))</f>
        <v/>
      </c>
      <c r="AT1627" s="82">
        <f>($J1627-$C1627)*100</f>
        <v/>
      </c>
      <c r="AU1627" s="82">
        <f>($H1627-$F1627)*100</f>
        <v/>
      </c>
      <c r="AV1627" s="82">
        <f>($J1627-$F1627)*100</f>
        <v/>
      </c>
      <c r="AW1627" s="82">
        <f>($L1627-$F1627)*100</f>
        <v/>
      </c>
      <c r="AX1627" s="82">
        <f>($J1627-$H1627)*100</f>
        <v/>
      </c>
      <c r="AY1627" s="82">
        <f>($L1627-$H1627)*100</f>
        <v/>
      </c>
      <c r="AZ1627" s="82">
        <f>($L1627-$J1627)*100</f>
        <v/>
      </c>
      <c r="BA1627" s="82">
        <f>(2*$H1627-$F1627-$J1627)*100</f>
        <v/>
      </c>
      <c r="BB1627" s="82">
        <f>(2*$J1627-$H1627-$L1627)*100</f>
        <v/>
      </c>
      <c r="BC1627" s="82">
        <f>($N1627-$F1627)*100</f>
        <v/>
      </c>
      <c r="BD1627" s="82">
        <f>($Q1627-$H1627)*100</f>
        <v/>
      </c>
      <c r="BE1627" s="82">
        <f>($S1627-$J1627)*100</f>
        <v/>
      </c>
      <c r="BF1627" s="82">
        <f>($V1627-$L1627)*100</f>
        <v/>
      </c>
      <c r="BG1627" s="82">
        <f>$AG1627-$AF1627</f>
        <v/>
      </c>
      <c r="BH1627" s="81">
        <f>IFERROR($AG1627/$AF1627,"")</f>
        <v/>
      </c>
      <c r="BI1627" s="82">
        <f>$AJ1627-$AF1627</f>
        <v/>
      </c>
      <c r="BJ1627" s="81">
        <f>IFERROR($AJ1627/$AG1627,"")</f>
        <v/>
      </c>
      <c r="BK1627" s="81">
        <f>$X1627</f>
        <v/>
      </c>
      <c r="BL1627" s="82">
        <f>($J1627-$J1628)*100</f>
        <v/>
      </c>
      <c r="BM1627" s="82">
        <f>($F1627-$F1628)*100</f>
        <v/>
      </c>
      <c r="BN1627" s="82">
        <f>$AF1627-$AF1628</f>
        <v/>
      </c>
      <c r="BO1627" s="82">
        <f>$AG1627-$AG1628</f>
        <v/>
      </c>
      <c r="BP1627" s="82">
        <f>$AJ1627-$AJ1628</f>
        <v/>
      </c>
    </row>
    <row r="1628">
      <c r="AR1628" s="81">
        <f>($G1628+($H1628-$G1628)*0.5)+($P1628-($O1628+($Q1628-$O1628)*0.5))</f>
        <v/>
      </c>
      <c r="AS1628" s="81">
        <f>($J1628+($K1628-$J1628)*0.5)+($T1628-($S1628+($U1628-$S1628)*0.5))</f>
        <v/>
      </c>
      <c r="AT1628" s="82">
        <f>($J1628-$C1628)*100</f>
        <v/>
      </c>
      <c r="AU1628" s="82">
        <f>($H1628-$F1628)*100</f>
        <v/>
      </c>
      <c r="AV1628" s="82">
        <f>($J1628-$F1628)*100</f>
        <v/>
      </c>
      <c r="AW1628" s="82">
        <f>($L1628-$F1628)*100</f>
        <v/>
      </c>
      <c r="AX1628" s="82">
        <f>($J1628-$H1628)*100</f>
        <v/>
      </c>
      <c r="AY1628" s="82">
        <f>($L1628-$H1628)*100</f>
        <v/>
      </c>
      <c r="AZ1628" s="82">
        <f>($L1628-$J1628)*100</f>
        <v/>
      </c>
      <c r="BA1628" s="82">
        <f>(2*$H1628-$F1628-$J1628)*100</f>
        <v/>
      </c>
      <c r="BB1628" s="82">
        <f>(2*$J1628-$H1628-$L1628)*100</f>
        <v/>
      </c>
      <c r="BC1628" s="82">
        <f>($N1628-$F1628)*100</f>
        <v/>
      </c>
      <c r="BD1628" s="82">
        <f>($Q1628-$H1628)*100</f>
        <v/>
      </c>
      <c r="BE1628" s="82">
        <f>($S1628-$J1628)*100</f>
        <v/>
      </c>
      <c r="BF1628" s="82">
        <f>($V1628-$L1628)*100</f>
        <v/>
      </c>
      <c r="BG1628" s="82">
        <f>$AG1628-$AF1628</f>
        <v/>
      </c>
      <c r="BH1628" s="81">
        <f>IFERROR($AG1628/$AF1628,"")</f>
        <v/>
      </c>
      <c r="BI1628" s="82">
        <f>$AJ1628-$AF1628</f>
        <v/>
      </c>
      <c r="BJ1628" s="81">
        <f>IFERROR($AJ1628/$AG1628,"")</f>
        <v/>
      </c>
      <c r="BK1628" s="81">
        <f>$X1628</f>
        <v/>
      </c>
      <c r="BL1628" s="82">
        <f>($J1628-$J1629)*100</f>
        <v/>
      </c>
      <c r="BM1628" s="82">
        <f>($F1628-$F1629)*100</f>
        <v/>
      </c>
      <c r="BN1628" s="82">
        <f>$AF1628-$AF1629</f>
        <v/>
      </c>
      <c r="BO1628" s="82">
        <f>$AG1628-$AG1629</f>
        <v/>
      </c>
      <c r="BP1628" s="82">
        <f>$AJ1628-$AJ1629</f>
        <v/>
      </c>
    </row>
    <row r="1629">
      <c r="AR1629" s="81">
        <f>($G1629+($H1629-$G1629)*0.5)+($P1629-($O1629+($Q1629-$O1629)*0.5))</f>
        <v/>
      </c>
      <c r="AS1629" s="81">
        <f>($J1629+($K1629-$J1629)*0.5)+($T1629-($S1629+($U1629-$S1629)*0.5))</f>
        <v/>
      </c>
      <c r="AT1629" s="82">
        <f>($J1629-$C1629)*100</f>
        <v/>
      </c>
      <c r="AU1629" s="82">
        <f>($H1629-$F1629)*100</f>
        <v/>
      </c>
      <c r="AV1629" s="82">
        <f>($J1629-$F1629)*100</f>
        <v/>
      </c>
      <c r="AW1629" s="82">
        <f>($L1629-$F1629)*100</f>
        <v/>
      </c>
      <c r="AX1629" s="82">
        <f>($J1629-$H1629)*100</f>
        <v/>
      </c>
      <c r="AY1629" s="82">
        <f>($L1629-$H1629)*100</f>
        <v/>
      </c>
      <c r="AZ1629" s="82">
        <f>($L1629-$J1629)*100</f>
        <v/>
      </c>
      <c r="BA1629" s="82">
        <f>(2*$H1629-$F1629-$J1629)*100</f>
        <v/>
      </c>
      <c r="BB1629" s="82">
        <f>(2*$J1629-$H1629-$L1629)*100</f>
        <v/>
      </c>
      <c r="BC1629" s="82">
        <f>($N1629-$F1629)*100</f>
        <v/>
      </c>
      <c r="BD1629" s="82">
        <f>($Q1629-$H1629)*100</f>
        <v/>
      </c>
      <c r="BE1629" s="82">
        <f>($S1629-$J1629)*100</f>
        <v/>
      </c>
      <c r="BF1629" s="82">
        <f>($V1629-$L1629)*100</f>
        <v/>
      </c>
      <c r="BG1629" s="82">
        <f>$AG1629-$AF1629</f>
        <v/>
      </c>
      <c r="BH1629" s="81">
        <f>IFERROR($AG1629/$AF1629,"")</f>
        <v/>
      </c>
      <c r="BI1629" s="82">
        <f>$AJ1629-$AF1629</f>
        <v/>
      </c>
      <c r="BJ1629" s="81">
        <f>IFERROR($AJ1629/$AG1629,"")</f>
        <v/>
      </c>
      <c r="BK1629" s="81">
        <f>$X1629</f>
        <v/>
      </c>
      <c r="BL1629" s="82">
        <f>($J1629-$J1630)*100</f>
        <v/>
      </c>
      <c r="BM1629" s="82">
        <f>($F1629-$F1630)*100</f>
        <v/>
      </c>
      <c r="BN1629" s="82">
        <f>$AF1629-$AF1630</f>
        <v/>
      </c>
      <c r="BO1629" s="82">
        <f>$AG1629-$AG1630</f>
        <v/>
      </c>
      <c r="BP1629" s="82">
        <f>$AJ1629-$AJ1630</f>
        <v/>
      </c>
    </row>
    <row r="1630">
      <c r="AR1630" s="81">
        <f>($G1630+($H1630-$G1630)*0.5)+($P1630-($O1630+($Q1630-$O1630)*0.5))</f>
        <v/>
      </c>
      <c r="AS1630" s="81">
        <f>($J1630+($K1630-$J1630)*0.5)+($T1630-($S1630+($U1630-$S1630)*0.5))</f>
        <v/>
      </c>
      <c r="AT1630" s="82">
        <f>($J1630-$C1630)*100</f>
        <v/>
      </c>
      <c r="AU1630" s="82">
        <f>($H1630-$F1630)*100</f>
        <v/>
      </c>
      <c r="AV1630" s="82">
        <f>($J1630-$F1630)*100</f>
        <v/>
      </c>
      <c r="AW1630" s="82">
        <f>($L1630-$F1630)*100</f>
        <v/>
      </c>
      <c r="AX1630" s="82">
        <f>($J1630-$H1630)*100</f>
        <v/>
      </c>
      <c r="AY1630" s="82">
        <f>($L1630-$H1630)*100</f>
        <v/>
      </c>
      <c r="AZ1630" s="82">
        <f>($L1630-$J1630)*100</f>
        <v/>
      </c>
      <c r="BA1630" s="82">
        <f>(2*$H1630-$F1630-$J1630)*100</f>
        <v/>
      </c>
      <c r="BB1630" s="82">
        <f>(2*$J1630-$H1630-$L1630)*100</f>
        <v/>
      </c>
      <c r="BC1630" s="82">
        <f>($N1630-$F1630)*100</f>
        <v/>
      </c>
      <c r="BD1630" s="82">
        <f>($Q1630-$H1630)*100</f>
        <v/>
      </c>
      <c r="BE1630" s="82">
        <f>($S1630-$J1630)*100</f>
        <v/>
      </c>
      <c r="BF1630" s="82">
        <f>($V1630-$L1630)*100</f>
        <v/>
      </c>
      <c r="BG1630" s="82">
        <f>$AG1630-$AF1630</f>
        <v/>
      </c>
      <c r="BH1630" s="81">
        <f>IFERROR($AG1630/$AF1630,"")</f>
        <v/>
      </c>
      <c r="BI1630" s="82">
        <f>$AJ1630-$AF1630</f>
        <v/>
      </c>
      <c r="BJ1630" s="81">
        <f>IFERROR($AJ1630/$AG1630,"")</f>
        <v/>
      </c>
      <c r="BK1630" s="81">
        <f>$X1630</f>
        <v/>
      </c>
      <c r="BL1630" s="82">
        <f>($J1630-$J1631)*100</f>
        <v/>
      </c>
      <c r="BM1630" s="82">
        <f>($F1630-$F1631)*100</f>
        <v/>
      </c>
      <c r="BN1630" s="82">
        <f>$AF1630-$AF1631</f>
        <v/>
      </c>
      <c r="BO1630" s="82">
        <f>$AG1630-$AG1631</f>
        <v/>
      </c>
      <c r="BP1630" s="82">
        <f>$AJ1630-$AJ1631</f>
        <v/>
      </c>
    </row>
    <row r="1631">
      <c r="AR1631" s="81">
        <f>($G1631+($H1631-$G1631)*0.5)+($P1631-($O1631+($Q1631-$O1631)*0.5))</f>
        <v/>
      </c>
      <c r="AS1631" s="81">
        <f>($J1631+($K1631-$J1631)*0.5)+($T1631-($S1631+($U1631-$S1631)*0.5))</f>
        <v/>
      </c>
      <c r="AT1631" s="82">
        <f>($J1631-$C1631)*100</f>
        <v/>
      </c>
      <c r="AU1631" s="82">
        <f>($H1631-$F1631)*100</f>
        <v/>
      </c>
      <c r="AV1631" s="82">
        <f>($J1631-$F1631)*100</f>
        <v/>
      </c>
      <c r="AW1631" s="82">
        <f>($L1631-$F1631)*100</f>
        <v/>
      </c>
      <c r="AX1631" s="82">
        <f>($J1631-$H1631)*100</f>
        <v/>
      </c>
      <c r="AY1631" s="82">
        <f>($L1631-$H1631)*100</f>
        <v/>
      </c>
      <c r="AZ1631" s="82">
        <f>($L1631-$J1631)*100</f>
        <v/>
      </c>
      <c r="BA1631" s="82">
        <f>(2*$H1631-$F1631-$J1631)*100</f>
        <v/>
      </c>
      <c r="BB1631" s="82">
        <f>(2*$J1631-$H1631-$L1631)*100</f>
        <v/>
      </c>
      <c r="BC1631" s="82">
        <f>($N1631-$F1631)*100</f>
        <v/>
      </c>
      <c r="BD1631" s="82">
        <f>($Q1631-$H1631)*100</f>
        <v/>
      </c>
      <c r="BE1631" s="82">
        <f>($S1631-$J1631)*100</f>
        <v/>
      </c>
      <c r="BF1631" s="82">
        <f>($V1631-$L1631)*100</f>
        <v/>
      </c>
      <c r="BG1631" s="82">
        <f>$AG1631-$AF1631</f>
        <v/>
      </c>
      <c r="BH1631" s="81">
        <f>IFERROR($AG1631/$AF1631,"")</f>
        <v/>
      </c>
      <c r="BI1631" s="82">
        <f>$AJ1631-$AF1631</f>
        <v/>
      </c>
      <c r="BJ1631" s="81">
        <f>IFERROR($AJ1631/$AG1631,"")</f>
        <v/>
      </c>
      <c r="BK1631" s="81">
        <f>$X1631</f>
        <v/>
      </c>
      <c r="BL1631" s="82">
        <f>($J1631-$J1632)*100</f>
        <v/>
      </c>
      <c r="BM1631" s="82">
        <f>($F1631-$F1632)*100</f>
        <v/>
      </c>
      <c r="BN1631" s="82">
        <f>$AF1631-$AF1632</f>
        <v/>
      </c>
      <c r="BO1631" s="82">
        <f>$AG1631-$AG1632</f>
        <v/>
      </c>
      <c r="BP1631" s="82">
        <f>$AJ1631-$AJ1632</f>
        <v/>
      </c>
    </row>
    <row r="1632">
      <c r="AR1632" s="81">
        <f>($G1632+($H1632-$G1632)*0.5)+($P1632-($O1632+($Q1632-$O1632)*0.5))</f>
        <v/>
      </c>
      <c r="AS1632" s="81">
        <f>($J1632+($K1632-$J1632)*0.5)+($T1632-($S1632+($U1632-$S1632)*0.5))</f>
        <v/>
      </c>
      <c r="AT1632" s="82">
        <f>($J1632-$C1632)*100</f>
        <v/>
      </c>
      <c r="AU1632" s="82">
        <f>($H1632-$F1632)*100</f>
        <v/>
      </c>
      <c r="AV1632" s="82">
        <f>($J1632-$F1632)*100</f>
        <v/>
      </c>
      <c r="AW1632" s="82">
        <f>($L1632-$F1632)*100</f>
        <v/>
      </c>
      <c r="AX1632" s="82">
        <f>($J1632-$H1632)*100</f>
        <v/>
      </c>
      <c r="AY1632" s="82">
        <f>($L1632-$H1632)*100</f>
        <v/>
      </c>
      <c r="AZ1632" s="82">
        <f>($L1632-$J1632)*100</f>
        <v/>
      </c>
      <c r="BA1632" s="82">
        <f>(2*$H1632-$F1632-$J1632)*100</f>
        <v/>
      </c>
      <c r="BB1632" s="82">
        <f>(2*$J1632-$H1632-$L1632)*100</f>
        <v/>
      </c>
      <c r="BC1632" s="82">
        <f>($N1632-$F1632)*100</f>
        <v/>
      </c>
      <c r="BD1632" s="82">
        <f>($Q1632-$H1632)*100</f>
        <v/>
      </c>
      <c r="BE1632" s="82">
        <f>($S1632-$J1632)*100</f>
        <v/>
      </c>
      <c r="BF1632" s="82">
        <f>($V1632-$L1632)*100</f>
        <v/>
      </c>
      <c r="BG1632" s="82">
        <f>$AG1632-$AF1632</f>
        <v/>
      </c>
      <c r="BH1632" s="81">
        <f>IFERROR($AG1632/$AF1632,"")</f>
        <v/>
      </c>
      <c r="BI1632" s="82">
        <f>$AJ1632-$AF1632</f>
        <v/>
      </c>
      <c r="BJ1632" s="81">
        <f>IFERROR($AJ1632/$AG1632,"")</f>
        <v/>
      </c>
      <c r="BK1632" s="81">
        <f>$X1632</f>
        <v/>
      </c>
      <c r="BL1632" s="82">
        <f>($J1632-$J1633)*100</f>
        <v/>
      </c>
      <c r="BM1632" s="82">
        <f>($F1632-$F1633)*100</f>
        <v/>
      </c>
      <c r="BN1632" s="82">
        <f>$AF1632-$AF1633</f>
        <v/>
      </c>
      <c r="BO1632" s="82">
        <f>$AG1632-$AG1633</f>
        <v/>
      </c>
      <c r="BP1632" s="82">
        <f>$AJ1632-$AJ1633</f>
        <v/>
      </c>
    </row>
    <row r="1633">
      <c r="AR1633" s="81">
        <f>($G1633+($H1633-$G1633)*0.5)+($P1633-($O1633+($Q1633-$O1633)*0.5))</f>
        <v/>
      </c>
      <c r="AS1633" s="81">
        <f>($J1633+($K1633-$J1633)*0.5)+($T1633-($S1633+($U1633-$S1633)*0.5))</f>
        <v/>
      </c>
      <c r="AT1633" s="82">
        <f>($J1633-$C1633)*100</f>
        <v/>
      </c>
      <c r="AU1633" s="82">
        <f>($H1633-$F1633)*100</f>
        <v/>
      </c>
      <c r="AV1633" s="82">
        <f>($J1633-$F1633)*100</f>
        <v/>
      </c>
      <c r="AW1633" s="82">
        <f>($L1633-$F1633)*100</f>
        <v/>
      </c>
      <c r="AX1633" s="82">
        <f>($J1633-$H1633)*100</f>
        <v/>
      </c>
      <c r="AY1633" s="82">
        <f>($L1633-$H1633)*100</f>
        <v/>
      </c>
      <c r="AZ1633" s="82">
        <f>($L1633-$J1633)*100</f>
        <v/>
      </c>
      <c r="BA1633" s="82">
        <f>(2*$H1633-$F1633-$J1633)*100</f>
        <v/>
      </c>
      <c r="BB1633" s="82">
        <f>(2*$J1633-$H1633-$L1633)*100</f>
        <v/>
      </c>
      <c r="BC1633" s="82">
        <f>($N1633-$F1633)*100</f>
        <v/>
      </c>
      <c r="BD1633" s="82">
        <f>($Q1633-$H1633)*100</f>
        <v/>
      </c>
      <c r="BE1633" s="82">
        <f>($S1633-$J1633)*100</f>
        <v/>
      </c>
      <c r="BF1633" s="82">
        <f>($V1633-$L1633)*100</f>
        <v/>
      </c>
      <c r="BG1633" s="82">
        <f>$AG1633-$AF1633</f>
        <v/>
      </c>
      <c r="BH1633" s="81">
        <f>IFERROR($AG1633/$AF1633,"")</f>
        <v/>
      </c>
      <c r="BI1633" s="82">
        <f>$AJ1633-$AF1633</f>
        <v/>
      </c>
      <c r="BJ1633" s="81">
        <f>IFERROR($AJ1633/$AG1633,"")</f>
        <v/>
      </c>
      <c r="BK1633" s="81">
        <f>$X1633</f>
        <v/>
      </c>
      <c r="BL1633" s="82">
        <f>($J1633-$J1634)*100</f>
        <v/>
      </c>
      <c r="BM1633" s="82">
        <f>($F1633-$F1634)*100</f>
        <v/>
      </c>
      <c r="BN1633" s="82">
        <f>$AF1633-$AF1634</f>
        <v/>
      </c>
      <c r="BO1633" s="82">
        <f>$AG1633-$AG1634</f>
        <v/>
      </c>
      <c r="BP1633" s="82">
        <f>$AJ1633-$AJ1634</f>
        <v/>
      </c>
    </row>
    <row r="1634">
      <c r="AR1634" s="81">
        <f>($G1634+($H1634-$G1634)*0.5)+($P1634-($O1634+($Q1634-$O1634)*0.5))</f>
        <v/>
      </c>
      <c r="AS1634" s="81">
        <f>($J1634+($K1634-$J1634)*0.5)+($T1634-($S1634+($U1634-$S1634)*0.5))</f>
        <v/>
      </c>
      <c r="AT1634" s="82">
        <f>($J1634-$C1634)*100</f>
        <v/>
      </c>
      <c r="AU1634" s="82">
        <f>($H1634-$F1634)*100</f>
        <v/>
      </c>
      <c r="AV1634" s="82">
        <f>($J1634-$F1634)*100</f>
        <v/>
      </c>
      <c r="AW1634" s="82">
        <f>($L1634-$F1634)*100</f>
        <v/>
      </c>
      <c r="AX1634" s="82">
        <f>($J1634-$H1634)*100</f>
        <v/>
      </c>
      <c r="AY1634" s="82">
        <f>($L1634-$H1634)*100</f>
        <v/>
      </c>
      <c r="AZ1634" s="82">
        <f>($L1634-$J1634)*100</f>
        <v/>
      </c>
      <c r="BA1634" s="82">
        <f>(2*$H1634-$F1634-$J1634)*100</f>
        <v/>
      </c>
      <c r="BB1634" s="82">
        <f>(2*$J1634-$H1634-$L1634)*100</f>
        <v/>
      </c>
      <c r="BC1634" s="82">
        <f>($N1634-$F1634)*100</f>
        <v/>
      </c>
      <c r="BD1634" s="82">
        <f>($Q1634-$H1634)*100</f>
        <v/>
      </c>
      <c r="BE1634" s="82">
        <f>($S1634-$J1634)*100</f>
        <v/>
      </c>
      <c r="BF1634" s="82">
        <f>($V1634-$L1634)*100</f>
        <v/>
      </c>
      <c r="BG1634" s="82">
        <f>$AG1634-$AF1634</f>
        <v/>
      </c>
      <c r="BH1634" s="81">
        <f>IFERROR($AG1634/$AF1634,"")</f>
        <v/>
      </c>
      <c r="BI1634" s="82">
        <f>$AJ1634-$AF1634</f>
        <v/>
      </c>
      <c r="BJ1634" s="81">
        <f>IFERROR($AJ1634/$AG1634,"")</f>
        <v/>
      </c>
      <c r="BK1634" s="81">
        <f>$X1634</f>
        <v/>
      </c>
      <c r="BL1634" s="82">
        <f>($J1634-$J1635)*100</f>
        <v/>
      </c>
      <c r="BM1634" s="82">
        <f>($F1634-$F1635)*100</f>
        <v/>
      </c>
      <c r="BN1634" s="82">
        <f>$AF1634-$AF1635</f>
        <v/>
      </c>
      <c r="BO1634" s="82">
        <f>$AG1634-$AG1635</f>
        <v/>
      </c>
      <c r="BP1634" s="82">
        <f>$AJ1634-$AJ1635</f>
        <v/>
      </c>
    </row>
    <row r="1635">
      <c r="AR1635" s="81">
        <f>($G1635+($H1635-$G1635)*0.5)+($P1635-($O1635+($Q1635-$O1635)*0.5))</f>
        <v/>
      </c>
      <c r="AS1635" s="81">
        <f>($J1635+($K1635-$J1635)*0.5)+($T1635-($S1635+($U1635-$S1635)*0.5))</f>
        <v/>
      </c>
      <c r="AT1635" s="82">
        <f>($J1635-$C1635)*100</f>
        <v/>
      </c>
      <c r="AU1635" s="82">
        <f>($H1635-$F1635)*100</f>
        <v/>
      </c>
      <c r="AV1635" s="82">
        <f>($J1635-$F1635)*100</f>
        <v/>
      </c>
      <c r="AW1635" s="82">
        <f>($L1635-$F1635)*100</f>
        <v/>
      </c>
      <c r="AX1635" s="82">
        <f>($J1635-$H1635)*100</f>
        <v/>
      </c>
      <c r="AY1635" s="82">
        <f>($L1635-$H1635)*100</f>
        <v/>
      </c>
      <c r="AZ1635" s="82">
        <f>($L1635-$J1635)*100</f>
        <v/>
      </c>
      <c r="BA1635" s="82">
        <f>(2*$H1635-$F1635-$J1635)*100</f>
        <v/>
      </c>
      <c r="BB1635" s="82">
        <f>(2*$J1635-$H1635-$L1635)*100</f>
        <v/>
      </c>
      <c r="BC1635" s="82">
        <f>($N1635-$F1635)*100</f>
        <v/>
      </c>
      <c r="BD1635" s="82">
        <f>($Q1635-$H1635)*100</f>
        <v/>
      </c>
      <c r="BE1635" s="82">
        <f>($S1635-$J1635)*100</f>
        <v/>
      </c>
      <c r="BF1635" s="82">
        <f>($V1635-$L1635)*100</f>
        <v/>
      </c>
      <c r="BG1635" s="82">
        <f>$AG1635-$AF1635</f>
        <v/>
      </c>
      <c r="BH1635" s="81">
        <f>IFERROR($AG1635/$AF1635,"")</f>
        <v/>
      </c>
      <c r="BI1635" s="82">
        <f>$AJ1635-$AF1635</f>
        <v/>
      </c>
      <c r="BJ1635" s="81">
        <f>IFERROR($AJ1635/$AG1635,"")</f>
        <v/>
      </c>
      <c r="BK1635" s="81">
        <f>$X1635</f>
        <v/>
      </c>
      <c r="BL1635" s="82">
        <f>($J1635-$J1636)*100</f>
        <v/>
      </c>
      <c r="BM1635" s="82">
        <f>($F1635-$F1636)*100</f>
        <v/>
      </c>
      <c r="BN1635" s="82">
        <f>$AF1635-$AF1636</f>
        <v/>
      </c>
      <c r="BO1635" s="82">
        <f>$AG1635-$AG1636</f>
        <v/>
      </c>
      <c r="BP1635" s="82">
        <f>$AJ1635-$AJ1636</f>
        <v/>
      </c>
    </row>
    <row r="1636">
      <c r="AR1636" s="81">
        <f>($G1636+($H1636-$G1636)*0.5)+($P1636-($O1636+($Q1636-$O1636)*0.5))</f>
        <v/>
      </c>
      <c r="AS1636" s="81">
        <f>($J1636+($K1636-$J1636)*0.5)+($T1636-($S1636+($U1636-$S1636)*0.5))</f>
        <v/>
      </c>
      <c r="AT1636" s="82">
        <f>($J1636-$C1636)*100</f>
        <v/>
      </c>
      <c r="AU1636" s="82">
        <f>($H1636-$F1636)*100</f>
        <v/>
      </c>
      <c r="AV1636" s="82">
        <f>($J1636-$F1636)*100</f>
        <v/>
      </c>
      <c r="AW1636" s="82">
        <f>($L1636-$F1636)*100</f>
        <v/>
      </c>
      <c r="AX1636" s="82">
        <f>($J1636-$H1636)*100</f>
        <v/>
      </c>
      <c r="AY1636" s="82">
        <f>($L1636-$H1636)*100</f>
        <v/>
      </c>
      <c r="AZ1636" s="82">
        <f>($L1636-$J1636)*100</f>
        <v/>
      </c>
      <c r="BA1636" s="82">
        <f>(2*$H1636-$F1636-$J1636)*100</f>
        <v/>
      </c>
      <c r="BB1636" s="82">
        <f>(2*$J1636-$H1636-$L1636)*100</f>
        <v/>
      </c>
      <c r="BC1636" s="82">
        <f>($N1636-$F1636)*100</f>
        <v/>
      </c>
      <c r="BD1636" s="82">
        <f>($Q1636-$H1636)*100</f>
        <v/>
      </c>
      <c r="BE1636" s="82">
        <f>($S1636-$J1636)*100</f>
        <v/>
      </c>
      <c r="BF1636" s="82">
        <f>($V1636-$L1636)*100</f>
        <v/>
      </c>
      <c r="BG1636" s="82">
        <f>$AG1636-$AF1636</f>
        <v/>
      </c>
      <c r="BH1636" s="81">
        <f>IFERROR($AG1636/$AF1636,"")</f>
        <v/>
      </c>
      <c r="BI1636" s="82">
        <f>$AJ1636-$AF1636</f>
        <v/>
      </c>
      <c r="BJ1636" s="81">
        <f>IFERROR($AJ1636/$AG1636,"")</f>
        <v/>
      </c>
      <c r="BK1636" s="81">
        <f>$X1636</f>
        <v/>
      </c>
      <c r="BL1636" s="82">
        <f>($J1636-$J1637)*100</f>
        <v/>
      </c>
      <c r="BM1636" s="82">
        <f>($F1636-$F1637)*100</f>
        <v/>
      </c>
      <c r="BN1636" s="82">
        <f>$AF1636-$AF1637</f>
        <v/>
      </c>
      <c r="BO1636" s="82">
        <f>$AG1636-$AG1637</f>
        <v/>
      </c>
      <c r="BP1636" s="82">
        <f>$AJ1636-$AJ1637</f>
        <v/>
      </c>
    </row>
    <row r="1637">
      <c r="AR1637" s="81">
        <f>($G1637+($H1637-$G1637)*0.5)+($P1637-($O1637+($Q1637-$O1637)*0.5))</f>
        <v/>
      </c>
      <c r="AS1637" s="81">
        <f>($J1637+($K1637-$J1637)*0.5)+($T1637-($S1637+($U1637-$S1637)*0.5))</f>
        <v/>
      </c>
      <c r="AT1637" s="82">
        <f>($J1637-$C1637)*100</f>
        <v/>
      </c>
      <c r="AU1637" s="82">
        <f>($H1637-$F1637)*100</f>
        <v/>
      </c>
      <c r="AV1637" s="82">
        <f>($J1637-$F1637)*100</f>
        <v/>
      </c>
      <c r="AW1637" s="82">
        <f>($L1637-$F1637)*100</f>
        <v/>
      </c>
      <c r="AX1637" s="82">
        <f>($J1637-$H1637)*100</f>
        <v/>
      </c>
      <c r="AY1637" s="82">
        <f>($L1637-$H1637)*100</f>
        <v/>
      </c>
      <c r="AZ1637" s="82">
        <f>($L1637-$J1637)*100</f>
        <v/>
      </c>
      <c r="BA1637" s="82">
        <f>(2*$H1637-$F1637-$J1637)*100</f>
        <v/>
      </c>
      <c r="BB1637" s="82">
        <f>(2*$J1637-$H1637-$L1637)*100</f>
        <v/>
      </c>
      <c r="BC1637" s="82">
        <f>($N1637-$F1637)*100</f>
        <v/>
      </c>
      <c r="BD1637" s="82">
        <f>($Q1637-$H1637)*100</f>
        <v/>
      </c>
      <c r="BE1637" s="82">
        <f>($S1637-$J1637)*100</f>
        <v/>
      </c>
      <c r="BF1637" s="82">
        <f>($V1637-$L1637)*100</f>
        <v/>
      </c>
      <c r="BG1637" s="82">
        <f>$AG1637-$AF1637</f>
        <v/>
      </c>
      <c r="BH1637" s="81">
        <f>IFERROR($AG1637/$AF1637,"")</f>
        <v/>
      </c>
      <c r="BI1637" s="82">
        <f>$AJ1637-$AF1637</f>
        <v/>
      </c>
      <c r="BJ1637" s="81">
        <f>IFERROR($AJ1637/$AG1637,"")</f>
        <v/>
      </c>
      <c r="BK1637" s="81">
        <f>$X1637</f>
        <v/>
      </c>
      <c r="BL1637" s="82">
        <f>($J1637-$J1638)*100</f>
        <v/>
      </c>
      <c r="BM1637" s="82">
        <f>($F1637-$F1638)*100</f>
        <v/>
      </c>
      <c r="BN1637" s="82">
        <f>$AF1637-$AF1638</f>
        <v/>
      </c>
      <c r="BO1637" s="82">
        <f>$AG1637-$AG1638</f>
        <v/>
      </c>
      <c r="BP1637" s="82">
        <f>$AJ1637-$AJ1638</f>
        <v/>
      </c>
    </row>
    <row r="1638">
      <c r="AR1638" s="81">
        <f>($G1638+($H1638-$G1638)*0.5)+($P1638-($O1638+($Q1638-$O1638)*0.5))</f>
        <v/>
      </c>
      <c r="AS1638" s="81">
        <f>($J1638+($K1638-$J1638)*0.5)+($T1638-($S1638+($U1638-$S1638)*0.5))</f>
        <v/>
      </c>
      <c r="AT1638" s="82">
        <f>($J1638-$C1638)*100</f>
        <v/>
      </c>
      <c r="AU1638" s="82">
        <f>($H1638-$F1638)*100</f>
        <v/>
      </c>
      <c r="AV1638" s="82">
        <f>($J1638-$F1638)*100</f>
        <v/>
      </c>
      <c r="AW1638" s="82">
        <f>($L1638-$F1638)*100</f>
        <v/>
      </c>
      <c r="AX1638" s="82">
        <f>($J1638-$H1638)*100</f>
        <v/>
      </c>
      <c r="AY1638" s="82">
        <f>($L1638-$H1638)*100</f>
        <v/>
      </c>
      <c r="AZ1638" s="82">
        <f>($L1638-$J1638)*100</f>
        <v/>
      </c>
      <c r="BA1638" s="82">
        <f>(2*$H1638-$F1638-$J1638)*100</f>
        <v/>
      </c>
      <c r="BB1638" s="82">
        <f>(2*$J1638-$H1638-$L1638)*100</f>
        <v/>
      </c>
      <c r="BC1638" s="82">
        <f>($N1638-$F1638)*100</f>
        <v/>
      </c>
      <c r="BD1638" s="82">
        <f>($Q1638-$H1638)*100</f>
        <v/>
      </c>
      <c r="BE1638" s="82">
        <f>($S1638-$J1638)*100</f>
        <v/>
      </c>
      <c r="BF1638" s="82">
        <f>($V1638-$L1638)*100</f>
        <v/>
      </c>
      <c r="BG1638" s="82">
        <f>$AG1638-$AF1638</f>
        <v/>
      </c>
      <c r="BH1638" s="81">
        <f>IFERROR($AG1638/$AF1638,"")</f>
        <v/>
      </c>
      <c r="BI1638" s="82">
        <f>$AJ1638-$AF1638</f>
        <v/>
      </c>
      <c r="BJ1638" s="81">
        <f>IFERROR($AJ1638/$AG1638,"")</f>
        <v/>
      </c>
      <c r="BK1638" s="81">
        <f>$X1638</f>
        <v/>
      </c>
      <c r="BL1638" s="82">
        <f>($J1638-$J1639)*100</f>
        <v/>
      </c>
      <c r="BM1638" s="82">
        <f>($F1638-$F1639)*100</f>
        <v/>
      </c>
      <c r="BN1638" s="82">
        <f>$AF1638-$AF1639</f>
        <v/>
      </c>
      <c r="BO1638" s="82">
        <f>$AG1638-$AG1639</f>
        <v/>
      </c>
      <c r="BP1638" s="82">
        <f>$AJ1638-$AJ1639</f>
        <v/>
      </c>
    </row>
    <row r="1639">
      <c r="AR1639" s="81">
        <f>($G1639+($H1639-$G1639)*0.5)+($P1639-($O1639+($Q1639-$O1639)*0.5))</f>
        <v/>
      </c>
      <c r="AS1639" s="81">
        <f>($J1639+($K1639-$J1639)*0.5)+($T1639-($S1639+($U1639-$S1639)*0.5))</f>
        <v/>
      </c>
      <c r="AT1639" s="82">
        <f>($J1639-$C1639)*100</f>
        <v/>
      </c>
      <c r="AU1639" s="82">
        <f>($H1639-$F1639)*100</f>
        <v/>
      </c>
      <c r="AV1639" s="82">
        <f>($J1639-$F1639)*100</f>
        <v/>
      </c>
      <c r="AW1639" s="82">
        <f>($L1639-$F1639)*100</f>
        <v/>
      </c>
      <c r="AX1639" s="82">
        <f>($J1639-$H1639)*100</f>
        <v/>
      </c>
      <c r="AY1639" s="82">
        <f>($L1639-$H1639)*100</f>
        <v/>
      </c>
      <c r="AZ1639" s="82">
        <f>($L1639-$J1639)*100</f>
        <v/>
      </c>
      <c r="BA1639" s="82">
        <f>(2*$H1639-$F1639-$J1639)*100</f>
        <v/>
      </c>
      <c r="BB1639" s="82">
        <f>(2*$J1639-$H1639-$L1639)*100</f>
        <v/>
      </c>
      <c r="BC1639" s="82">
        <f>($N1639-$F1639)*100</f>
        <v/>
      </c>
      <c r="BD1639" s="82">
        <f>($Q1639-$H1639)*100</f>
        <v/>
      </c>
      <c r="BE1639" s="82">
        <f>($S1639-$J1639)*100</f>
        <v/>
      </c>
      <c r="BF1639" s="82">
        <f>($V1639-$L1639)*100</f>
        <v/>
      </c>
      <c r="BG1639" s="82">
        <f>$AG1639-$AF1639</f>
        <v/>
      </c>
      <c r="BH1639" s="81">
        <f>IFERROR($AG1639/$AF1639,"")</f>
        <v/>
      </c>
      <c r="BI1639" s="82">
        <f>$AJ1639-$AF1639</f>
        <v/>
      </c>
      <c r="BJ1639" s="81">
        <f>IFERROR($AJ1639/$AG1639,"")</f>
        <v/>
      </c>
      <c r="BK1639" s="81">
        <f>$X1639</f>
        <v/>
      </c>
      <c r="BL1639" s="82">
        <f>($J1639-$J1640)*100</f>
        <v/>
      </c>
      <c r="BM1639" s="82">
        <f>($F1639-$F1640)*100</f>
        <v/>
      </c>
      <c r="BN1639" s="82">
        <f>$AF1639-$AF1640</f>
        <v/>
      </c>
      <c r="BO1639" s="82">
        <f>$AG1639-$AG1640</f>
        <v/>
      </c>
      <c r="BP1639" s="82">
        <f>$AJ1639-$AJ1640</f>
        <v/>
      </c>
    </row>
    <row r="1640">
      <c r="AR1640" s="81">
        <f>($G1640+($H1640-$G1640)*0.5)+($P1640-($O1640+($Q1640-$O1640)*0.5))</f>
        <v/>
      </c>
      <c r="AS1640" s="81">
        <f>($J1640+($K1640-$J1640)*0.5)+($T1640-($S1640+($U1640-$S1640)*0.5))</f>
        <v/>
      </c>
      <c r="AT1640" s="82">
        <f>($J1640-$C1640)*100</f>
        <v/>
      </c>
      <c r="AU1640" s="82">
        <f>($H1640-$F1640)*100</f>
        <v/>
      </c>
      <c r="AV1640" s="82">
        <f>($J1640-$F1640)*100</f>
        <v/>
      </c>
      <c r="AW1640" s="82">
        <f>($L1640-$F1640)*100</f>
        <v/>
      </c>
      <c r="AX1640" s="82">
        <f>($J1640-$H1640)*100</f>
        <v/>
      </c>
      <c r="AY1640" s="82">
        <f>($L1640-$H1640)*100</f>
        <v/>
      </c>
      <c r="AZ1640" s="82">
        <f>($L1640-$J1640)*100</f>
        <v/>
      </c>
      <c r="BA1640" s="82">
        <f>(2*$H1640-$F1640-$J1640)*100</f>
        <v/>
      </c>
      <c r="BB1640" s="82">
        <f>(2*$J1640-$H1640-$L1640)*100</f>
        <v/>
      </c>
      <c r="BC1640" s="82">
        <f>($N1640-$F1640)*100</f>
        <v/>
      </c>
      <c r="BD1640" s="82">
        <f>($Q1640-$H1640)*100</f>
        <v/>
      </c>
      <c r="BE1640" s="82">
        <f>($S1640-$J1640)*100</f>
        <v/>
      </c>
      <c r="BF1640" s="82">
        <f>($V1640-$L1640)*100</f>
        <v/>
      </c>
      <c r="BG1640" s="82">
        <f>$AG1640-$AF1640</f>
        <v/>
      </c>
      <c r="BH1640" s="81">
        <f>IFERROR($AG1640/$AF1640,"")</f>
        <v/>
      </c>
      <c r="BI1640" s="82">
        <f>$AJ1640-$AF1640</f>
        <v/>
      </c>
      <c r="BJ1640" s="81">
        <f>IFERROR($AJ1640/$AG1640,"")</f>
        <v/>
      </c>
      <c r="BK1640" s="81">
        <f>$X1640</f>
        <v/>
      </c>
      <c r="BL1640" s="82">
        <f>($J1640-$J1641)*100</f>
        <v/>
      </c>
      <c r="BM1640" s="82">
        <f>($F1640-$F1641)*100</f>
        <v/>
      </c>
      <c r="BN1640" s="82">
        <f>$AF1640-$AF1641</f>
        <v/>
      </c>
      <c r="BO1640" s="82">
        <f>$AG1640-$AG1641</f>
        <v/>
      </c>
      <c r="BP1640" s="82">
        <f>$AJ1640-$AJ1641</f>
        <v/>
      </c>
    </row>
    <row r="1641">
      <c r="AR1641" s="81">
        <f>($G1641+($H1641-$G1641)*0.5)+($P1641-($O1641+($Q1641-$O1641)*0.5))</f>
        <v/>
      </c>
      <c r="AS1641" s="81">
        <f>($J1641+($K1641-$J1641)*0.5)+($T1641-($S1641+($U1641-$S1641)*0.5))</f>
        <v/>
      </c>
      <c r="AT1641" s="82">
        <f>($J1641-$C1641)*100</f>
        <v/>
      </c>
      <c r="AU1641" s="82">
        <f>($H1641-$F1641)*100</f>
        <v/>
      </c>
      <c r="AV1641" s="82">
        <f>($J1641-$F1641)*100</f>
        <v/>
      </c>
      <c r="AW1641" s="82">
        <f>($L1641-$F1641)*100</f>
        <v/>
      </c>
      <c r="AX1641" s="82">
        <f>($J1641-$H1641)*100</f>
        <v/>
      </c>
      <c r="AY1641" s="82">
        <f>($L1641-$H1641)*100</f>
        <v/>
      </c>
      <c r="AZ1641" s="82">
        <f>($L1641-$J1641)*100</f>
        <v/>
      </c>
      <c r="BA1641" s="82">
        <f>(2*$H1641-$F1641-$J1641)*100</f>
        <v/>
      </c>
      <c r="BB1641" s="82">
        <f>(2*$J1641-$H1641-$L1641)*100</f>
        <v/>
      </c>
      <c r="BC1641" s="82">
        <f>($N1641-$F1641)*100</f>
        <v/>
      </c>
      <c r="BD1641" s="82">
        <f>($Q1641-$H1641)*100</f>
        <v/>
      </c>
      <c r="BE1641" s="82">
        <f>($S1641-$J1641)*100</f>
        <v/>
      </c>
      <c r="BF1641" s="82">
        <f>($V1641-$L1641)*100</f>
        <v/>
      </c>
      <c r="BG1641" s="82">
        <f>$AG1641-$AF1641</f>
        <v/>
      </c>
      <c r="BH1641" s="81">
        <f>IFERROR($AG1641/$AF1641,"")</f>
        <v/>
      </c>
      <c r="BI1641" s="82">
        <f>$AJ1641-$AF1641</f>
        <v/>
      </c>
      <c r="BJ1641" s="81">
        <f>IFERROR($AJ1641/$AG1641,"")</f>
        <v/>
      </c>
      <c r="BK1641" s="81">
        <f>$X1641</f>
        <v/>
      </c>
      <c r="BL1641" s="82">
        <f>($J1641-$J1642)*100</f>
        <v/>
      </c>
      <c r="BM1641" s="82">
        <f>($F1641-$F1642)*100</f>
        <v/>
      </c>
      <c r="BN1641" s="82">
        <f>$AF1641-$AF1642</f>
        <v/>
      </c>
      <c r="BO1641" s="82">
        <f>$AG1641-$AG1642</f>
        <v/>
      </c>
      <c r="BP1641" s="82">
        <f>$AJ1641-$AJ1642</f>
        <v/>
      </c>
    </row>
    <row r="1642">
      <c r="AR1642" s="81">
        <f>($G1642+($H1642-$G1642)*0.5)+($P1642-($O1642+($Q1642-$O1642)*0.5))</f>
        <v/>
      </c>
      <c r="AS1642" s="81">
        <f>($J1642+($K1642-$J1642)*0.5)+($T1642-($S1642+($U1642-$S1642)*0.5))</f>
        <v/>
      </c>
      <c r="AT1642" s="82">
        <f>($J1642-$C1642)*100</f>
        <v/>
      </c>
      <c r="AU1642" s="82">
        <f>($H1642-$F1642)*100</f>
        <v/>
      </c>
      <c r="AV1642" s="82">
        <f>($J1642-$F1642)*100</f>
        <v/>
      </c>
      <c r="AW1642" s="82">
        <f>($L1642-$F1642)*100</f>
        <v/>
      </c>
      <c r="AX1642" s="82">
        <f>($J1642-$H1642)*100</f>
        <v/>
      </c>
      <c r="AY1642" s="82">
        <f>($L1642-$H1642)*100</f>
        <v/>
      </c>
      <c r="AZ1642" s="82">
        <f>($L1642-$J1642)*100</f>
        <v/>
      </c>
      <c r="BA1642" s="82">
        <f>(2*$H1642-$F1642-$J1642)*100</f>
        <v/>
      </c>
      <c r="BB1642" s="82">
        <f>(2*$J1642-$H1642-$L1642)*100</f>
        <v/>
      </c>
      <c r="BC1642" s="82">
        <f>($N1642-$F1642)*100</f>
        <v/>
      </c>
      <c r="BD1642" s="82">
        <f>($Q1642-$H1642)*100</f>
        <v/>
      </c>
      <c r="BE1642" s="82">
        <f>($S1642-$J1642)*100</f>
        <v/>
      </c>
      <c r="BF1642" s="82">
        <f>($V1642-$L1642)*100</f>
        <v/>
      </c>
      <c r="BG1642" s="82">
        <f>$AG1642-$AF1642</f>
        <v/>
      </c>
      <c r="BH1642" s="81">
        <f>IFERROR($AG1642/$AF1642,"")</f>
        <v/>
      </c>
      <c r="BI1642" s="82">
        <f>$AJ1642-$AF1642</f>
        <v/>
      </c>
      <c r="BJ1642" s="81">
        <f>IFERROR($AJ1642/$AG1642,"")</f>
        <v/>
      </c>
      <c r="BK1642" s="81">
        <f>$X1642</f>
        <v/>
      </c>
      <c r="BL1642" s="82">
        <f>($J1642-$J1643)*100</f>
        <v/>
      </c>
      <c r="BM1642" s="82">
        <f>($F1642-$F1643)*100</f>
        <v/>
      </c>
      <c r="BN1642" s="82">
        <f>$AF1642-$AF1643</f>
        <v/>
      </c>
      <c r="BO1642" s="82">
        <f>$AG1642-$AG1643</f>
        <v/>
      </c>
      <c r="BP1642" s="82">
        <f>$AJ1642-$AJ1643</f>
        <v/>
      </c>
    </row>
    <row r="1643">
      <c r="AR1643" s="81">
        <f>($G1643+($H1643-$G1643)*0.5)+($P1643-($O1643+($Q1643-$O1643)*0.5))</f>
        <v/>
      </c>
      <c r="AS1643" s="81">
        <f>($J1643+($K1643-$J1643)*0.5)+($T1643-($S1643+($U1643-$S1643)*0.5))</f>
        <v/>
      </c>
      <c r="AT1643" s="82">
        <f>($J1643-$C1643)*100</f>
        <v/>
      </c>
      <c r="AU1643" s="82">
        <f>($H1643-$F1643)*100</f>
        <v/>
      </c>
      <c r="AV1643" s="82">
        <f>($J1643-$F1643)*100</f>
        <v/>
      </c>
      <c r="AW1643" s="82">
        <f>($L1643-$F1643)*100</f>
        <v/>
      </c>
      <c r="AX1643" s="82">
        <f>($J1643-$H1643)*100</f>
        <v/>
      </c>
      <c r="AY1643" s="82">
        <f>($L1643-$H1643)*100</f>
        <v/>
      </c>
      <c r="AZ1643" s="82">
        <f>($L1643-$J1643)*100</f>
        <v/>
      </c>
      <c r="BA1643" s="82">
        <f>(2*$H1643-$F1643-$J1643)*100</f>
        <v/>
      </c>
      <c r="BB1643" s="82">
        <f>(2*$J1643-$H1643-$L1643)*100</f>
        <v/>
      </c>
      <c r="BC1643" s="82">
        <f>($N1643-$F1643)*100</f>
        <v/>
      </c>
      <c r="BD1643" s="82">
        <f>($Q1643-$H1643)*100</f>
        <v/>
      </c>
      <c r="BE1643" s="82">
        <f>($S1643-$J1643)*100</f>
        <v/>
      </c>
      <c r="BF1643" s="82">
        <f>($V1643-$L1643)*100</f>
        <v/>
      </c>
      <c r="BG1643" s="82">
        <f>$AG1643-$AF1643</f>
        <v/>
      </c>
      <c r="BH1643" s="81">
        <f>IFERROR($AG1643/$AF1643,"")</f>
        <v/>
      </c>
      <c r="BI1643" s="82">
        <f>$AJ1643-$AF1643</f>
        <v/>
      </c>
      <c r="BJ1643" s="81">
        <f>IFERROR($AJ1643/$AG1643,"")</f>
        <v/>
      </c>
      <c r="BK1643" s="81">
        <f>$X1643</f>
        <v/>
      </c>
      <c r="BL1643" s="82">
        <f>($J1643-$J1644)*100</f>
        <v/>
      </c>
      <c r="BM1643" s="82">
        <f>($F1643-$F1644)*100</f>
        <v/>
      </c>
      <c r="BN1643" s="82">
        <f>$AF1643-$AF1644</f>
        <v/>
      </c>
      <c r="BO1643" s="82">
        <f>$AG1643-$AG1644</f>
        <v/>
      </c>
      <c r="BP1643" s="82">
        <f>$AJ1643-$AJ1644</f>
        <v/>
      </c>
    </row>
    <row r="1644">
      <c r="AR1644" s="81">
        <f>($G1644+($H1644-$G1644)*0.5)+($P1644-($O1644+($Q1644-$O1644)*0.5))</f>
        <v/>
      </c>
      <c r="AS1644" s="81">
        <f>($J1644+($K1644-$J1644)*0.5)+($T1644-($S1644+($U1644-$S1644)*0.5))</f>
        <v/>
      </c>
      <c r="AT1644" s="82">
        <f>($J1644-$C1644)*100</f>
        <v/>
      </c>
      <c r="AU1644" s="82">
        <f>($H1644-$F1644)*100</f>
        <v/>
      </c>
      <c r="AV1644" s="82">
        <f>($J1644-$F1644)*100</f>
        <v/>
      </c>
      <c r="AW1644" s="82">
        <f>($L1644-$F1644)*100</f>
        <v/>
      </c>
      <c r="AX1644" s="82">
        <f>($J1644-$H1644)*100</f>
        <v/>
      </c>
      <c r="AY1644" s="82">
        <f>($L1644-$H1644)*100</f>
        <v/>
      </c>
      <c r="AZ1644" s="82">
        <f>($L1644-$J1644)*100</f>
        <v/>
      </c>
      <c r="BA1644" s="82">
        <f>(2*$H1644-$F1644-$J1644)*100</f>
        <v/>
      </c>
      <c r="BB1644" s="82">
        <f>(2*$J1644-$H1644-$L1644)*100</f>
        <v/>
      </c>
      <c r="BC1644" s="82">
        <f>($N1644-$F1644)*100</f>
        <v/>
      </c>
      <c r="BD1644" s="82">
        <f>($Q1644-$H1644)*100</f>
        <v/>
      </c>
      <c r="BE1644" s="82">
        <f>($S1644-$J1644)*100</f>
        <v/>
      </c>
      <c r="BF1644" s="82">
        <f>($V1644-$L1644)*100</f>
        <v/>
      </c>
      <c r="BG1644" s="82">
        <f>$AG1644-$AF1644</f>
        <v/>
      </c>
      <c r="BH1644" s="81">
        <f>IFERROR($AG1644/$AF1644,"")</f>
        <v/>
      </c>
      <c r="BI1644" s="82">
        <f>$AJ1644-$AF1644</f>
        <v/>
      </c>
      <c r="BJ1644" s="81">
        <f>IFERROR($AJ1644/$AG1644,"")</f>
        <v/>
      </c>
      <c r="BK1644" s="81">
        <f>$X1644</f>
        <v/>
      </c>
      <c r="BL1644" s="82">
        <f>($J1644-$J1645)*100</f>
        <v/>
      </c>
      <c r="BM1644" s="82">
        <f>($F1644-$F1645)*100</f>
        <v/>
      </c>
      <c r="BN1644" s="82">
        <f>$AF1644-$AF1645</f>
        <v/>
      </c>
      <c r="BO1644" s="82">
        <f>$AG1644-$AG1645</f>
        <v/>
      </c>
      <c r="BP1644" s="82">
        <f>$AJ1644-$AJ1645</f>
        <v/>
      </c>
    </row>
    <row r="1645">
      <c r="AR1645" s="81">
        <f>($G1645+($H1645-$G1645)*0.5)+($P1645-($O1645+($Q1645-$O1645)*0.5))</f>
        <v/>
      </c>
      <c r="AS1645" s="81">
        <f>($J1645+($K1645-$J1645)*0.5)+($T1645-($S1645+($U1645-$S1645)*0.5))</f>
        <v/>
      </c>
      <c r="AT1645" s="82">
        <f>($J1645-$C1645)*100</f>
        <v/>
      </c>
      <c r="AU1645" s="82">
        <f>($H1645-$F1645)*100</f>
        <v/>
      </c>
      <c r="AV1645" s="82">
        <f>($J1645-$F1645)*100</f>
        <v/>
      </c>
      <c r="AW1645" s="82">
        <f>($L1645-$F1645)*100</f>
        <v/>
      </c>
      <c r="AX1645" s="82">
        <f>($J1645-$H1645)*100</f>
        <v/>
      </c>
      <c r="AY1645" s="82">
        <f>($L1645-$H1645)*100</f>
        <v/>
      </c>
      <c r="AZ1645" s="82">
        <f>($L1645-$J1645)*100</f>
        <v/>
      </c>
      <c r="BA1645" s="82">
        <f>(2*$H1645-$F1645-$J1645)*100</f>
        <v/>
      </c>
      <c r="BB1645" s="82">
        <f>(2*$J1645-$H1645-$L1645)*100</f>
        <v/>
      </c>
      <c r="BC1645" s="82">
        <f>($N1645-$F1645)*100</f>
        <v/>
      </c>
      <c r="BD1645" s="82">
        <f>($Q1645-$H1645)*100</f>
        <v/>
      </c>
      <c r="BE1645" s="82">
        <f>($S1645-$J1645)*100</f>
        <v/>
      </c>
      <c r="BF1645" s="82">
        <f>($V1645-$L1645)*100</f>
        <v/>
      </c>
      <c r="BG1645" s="82">
        <f>$AG1645-$AF1645</f>
        <v/>
      </c>
      <c r="BH1645" s="81">
        <f>IFERROR($AG1645/$AF1645,"")</f>
        <v/>
      </c>
      <c r="BI1645" s="82">
        <f>$AJ1645-$AF1645</f>
        <v/>
      </c>
      <c r="BJ1645" s="81">
        <f>IFERROR($AJ1645/$AG1645,"")</f>
        <v/>
      </c>
      <c r="BK1645" s="81">
        <f>$X1645</f>
        <v/>
      </c>
      <c r="BL1645" s="82">
        <f>($J1645-$J1646)*100</f>
        <v/>
      </c>
      <c r="BM1645" s="82">
        <f>($F1645-$F1646)*100</f>
        <v/>
      </c>
      <c r="BN1645" s="82">
        <f>$AF1645-$AF1646</f>
        <v/>
      </c>
      <c r="BO1645" s="82">
        <f>$AG1645-$AG1646</f>
        <v/>
      </c>
      <c r="BP1645" s="82">
        <f>$AJ1645-$AJ1646</f>
        <v/>
      </c>
    </row>
    <row r="1646">
      <c r="AR1646" s="81">
        <f>($G1646+($H1646-$G1646)*0.5)+($P1646-($O1646+($Q1646-$O1646)*0.5))</f>
        <v/>
      </c>
      <c r="AS1646" s="81">
        <f>($J1646+($K1646-$J1646)*0.5)+($T1646-($S1646+($U1646-$S1646)*0.5))</f>
        <v/>
      </c>
      <c r="AT1646" s="82">
        <f>($J1646-$C1646)*100</f>
        <v/>
      </c>
      <c r="AU1646" s="82">
        <f>($H1646-$F1646)*100</f>
        <v/>
      </c>
      <c r="AV1646" s="82">
        <f>($J1646-$F1646)*100</f>
        <v/>
      </c>
      <c r="AW1646" s="82">
        <f>($L1646-$F1646)*100</f>
        <v/>
      </c>
      <c r="AX1646" s="82">
        <f>($J1646-$H1646)*100</f>
        <v/>
      </c>
      <c r="AY1646" s="82">
        <f>($L1646-$H1646)*100</f>
        <v/>
      </c>
      <c r="AZ1646" s="82">
        <f>($L1646-$J1646)*100</f>
        <v/>
      </c>
      <c r="BA1646" s="82">
        <f>(2*$H1646-$F1646-$J1646)*100</f>
        <v/>
      </c>
      <c r="BB1646" s="82">
        <f>(2*$J1646-$H1646-$L1646)*100</f>
        <v/>
      </c>
      <c r="BC1646" s="82">
        <f>($N1646-$F1646)*100</f>
        <v/>
      </c>
      <c r="BD1646" s="82">
        <f>($Q1646-$H1646)*100</f>
        <v/>
      </c>
      <c r="BE1646" s="82">
        <f>($S1646-$J1646)*100</f>
        <v/>
      </c>
      <c r="BF1646" s="82">
        <f>($V1646-$L1646)*100</f>
        <v/>
      </c>
      <c r="BG1646" s="82">
        <f>$AG1646-$AF1646</f>
        <v/>
      </c>
      <c r="BH1646" s="81">
        <f>IFERROR($AG1646/$AF1646,"")</f>
        <v/>
      </c>
      <c r="BI1646" s="82">
        <f>$AJ1646-$AF1646</f>
        <v/>
      </c>
      <c r="BJ1646" s="81">
        <f>IFERROR($AJ1646/$AG1646,"")</f>
        <v/>
      </c>
      <c r="BK1646" s="81">
        <f>$X1646</f>
        <v/>
      </c>
      <c r="BL1646" s="82">
        <f>($J1646-$J1647)*100</f>
        <v/>
      </c>
      <c r="BM1646" s="82">
        <f>($F1646-$F1647)*100</f>
        <v/>
      </c>
      <c r="BN1646" s="82">
        <f>$AF1646-$AF1647</f>
        <v/>
      </c>
      <c r="BO1646" s="82">
        <f>$AG1646-$AG1647</f>
        <v/>
      </c>
      <c r="BP1646" s="82">
        <f>$AJ1646-$AJ1647</f>
        <v/>
      </c>
    </row>
    <row r="1647">
      <c r="AR1647" s="81">
        <f>($G1647+($H1647-$G1647)*0.5)+($P1647-($O1647+($Q1647-$O1647)*0.5))</f>
        <v/>
      </c>
      <c r="AS1647" s="81">
        <f>($J1647+($K1647-$J1647)*0.5)+($T1647-($S1647+($U1647-$S1647)*0.5))</f>
        <v/>
      </c>
      <c r="AT1647" s="82">
        <f>($J1647-$C1647)*100</f>
        <v/>
      </c>
      <c r="AU1647" s="82">
        <f>($H1647-$F1647)*100</f>
        <v/>
      </c>
      <c r="AV1647" s="82">
        <f>($J1647-$F1647)*100</f>
        <v/>
      </c>
      <c r="AW1647" s="82">
        <f>($L1647-$F1647)*100</f>
        <v/>
      </c>
      <c r="AX1647" s="82">
        <f>($J1647-$H1647)*100</f>
        <v/>
      </c>
      <c r="AY1647" s="82">
        <f>($L1647-$H1647)*100</f>
        <v/>
      </c>
      <c r="AZ1647" s="82">
        <f>($L1647-$J1647)*100</f>
        <v/>
      </c>
      <c r="BA1647" s="82">
        <f>(2*$H1647-$F1647-$J1647)*100</f>
        <v/>
      </c>
      <c r="BB1647" s="82">
        <f>(2*$J1647-$H1647-$L1647)*100</f>
        <v/>
      </c>
      <c r="BC1647" s="82">
        <f>($N1647-$F1647)*100</f>
        <v/>
      </c>
      <c r="BD1647" s="82">
        <f>($Q1647-$H1647)*100</f>
        <v/>
      </c>
      <c r="BE1647" s="82">
        <f>($S1647-$J1647)*100</f>
        <v/>
      </c>
      <c r="BF1647" s="82">
        <f>($V1647-$L1647)*100</f>
        <v/>
      </c>
      <c r="BG1647" s="82">
        <f>$AG1647-$AF1647</f>
        <v/>
      </c>
      <c r="BH1647" s="81">
        <f>IFERROR($AG1647/$AF1647,"")</f>
        <v/>
      </c>
      <c r="BI1647" s="82">
        <f>$AJ1647-$AF1647</f>
        <v/>
      </c>
      <c r="BJ1647" s="81">
        <f>IFERROR($AJ1647/$AG1647,"")</f>
        <v/>
      </c>
      <c r="BK1647" s="81">
        <f>$X1647</f>
        <v/>
      </c>
      <c r="BL1647" s="82">
        <f>($J1647-$J1648)*100</f>
        <v/>
      </c>
      <c r="BM1647" s="82">
        <f>($F1647-$F1648)*100</f>
        <v/>
      </c>
      <c r="BN1647" s="82">
        <f>$AF1647-$AF1648</f>
        <v/>
      </c>
      <c r="BO1647" s="82">
        <f>$AG1647-$AG1648</f>
        <v/>
      </c>
      <c r="BP1647" s="82">
        <f>$AJ1647-$AJ1648</f>
        <v/>
      </c>
    </row>
    <row r="1648">
      <c r="AR1648" s="81">
        <f>($G1648+($H1648-$G1648)*0.5)+($P1648-($O1648+($Q1648-$O1648)*0.5))</f>
        <v/>
      </c>
      <c r="AS1648" s="81">
        <f>($J1648+($K1648-$J1648)*0.5)+($T1648-($S1648+($U1648-$S1648)*0.5))</f>
        <v/>
      </c>
      <c r="AT1648" s="82">
        <f>($J1648-$C1648)*100</f>
        <v/>
      </c>
      <c r="AU1648" s="82">
        <f>($H1648-$F1648)*100</f>
        <v/>
      </c>
      <c r="AV1648" s="82">
        <f>($J1648-$F1648)*100</f>
        <v/>
      </c>
      <c r="AW1648" s="82">
        <f>($L1648-$F1648)*100</f>
        <v/>
      </c>
      <c r="AX1648" s="82">
        <f>($J1648-$H1648)*100</f>
        <v/>
      </c>
      <c r="AY1648" s="82">
        <f>($L1648-$H1648)*100</f>
        <v/>
      </c>
      <c r="AZ1648" s="82">
        <f>($L1648-$J1648)*100</f>
        <v/>
      </c>
      <c r="BA1648" s="82">
        <f>(2*$H1648-$F1648-$J1648)*100</f>
        <v/>
      </c>
      <c r="BB1648" s="82">
        <f>(2*$J1648-$H1648-$L1648)*100</f>
        <v/>
      </c>
      <c r="BC1648" s="82">
        <f>($N1648-$F1648)*100</f>
        <v/>
      </c>
      <c r="BD1648" s="82">
        <f>($Q1648-$H1648)*100</f>
        <v/>
      </c>
      <c r="BE1648" s="82">
        <f>($S1648-$J1648)*100</f>
        <v/>
      </c>
      <c r="BF1648" s="82">
        <f>($V1648-$L1648)*100</f>
        <v/>
      </c>
      <c r="BG1648" s="82">
        <f>$AG1648-$AF1648</f>
        <v/>
      </c>
      <c r="BH1648" s="81">
        <f>IFERROR($AG1648/$AF1648,"")</f>
        <v/>
      </c>
      <c r="BI1648" s="82">
        <f>$AJ1648-$AF1648</f>
        <v/>
      </c>
      <c r="BJ1648" s="81">
        <f>IFERROR($AJ1648/$AG1648,"")</f>
        <v/>
      </c>
      <c r="BK1648" s="81">
        <f>$X1648</f>
        <v/>
      </c>
      <c r="BL1648" s="82">
        <f>($J1648-$J1649)*100</f>
        <v/>
      </c>
      <c r="BM1648" s="82">
        <f>($F1648-$F1649)*100</f>
        <v/>
      </c>
      <c r="BN1648" s="82">
        <f>$AF1648-$AF1649</f>
        <v/>
      </c>
      <c r="BO1648" s="82">
        <f>$AG1648-$AG1649</f>
        <v/>
      </c>
      <c r="BP1648" s="82">
        <f>$AJ1648-$AJ1649</f>
        <v/>
      </c>
    </row>
    <row r="1649">
      <c r="AR1649" s="81">
        <f>($G1649+($H1649-$G1649)*0.5)+($P1649-($O1649+($Q1649-$O1649)*0.5))</f>
        <v/>
      </c>
      <c r="AS1649" s="81">
        <f>($J1649+($K1649-$J1649)*0.5)+($T1649-($S1649+($U1649-$S1649)*0.5))</f>
        <v/>
      </c>
      <c r="AT1649" s="82">
        <f>($J1649-$C1649)*100</f>
        <v/>
      </c>
      <c r="AU1649" s="82">
        <f>($H1649-$F1649)*100</f>
        <v/>
      </c>
      <c r="AV1649" s="82">
        <f>($J1649-$F1649)*100</f>
        <v/>
      </c>
      <c r="AW1649" s="82">
        <f>($L1649-$F1649)*100</f>
        <v/>
      </c>
      <c r="AX1649" s="82">
        <f>($J1649-$H1649)*100</f>
        <v/>
      </c>
      <c r="AY1649" s="82">
        <f>($L1649-$H1649)*100</f>
        <v/>
      </c>
      <c r="AZ1649" s="82">
        <f>($L1649-$J1649)*100</f>
        <v/>
      </c>
      <c r="BA1649" s="82">
        <f>(2*$H1649-$F1649-$J1649)*100</f>
        <v/>
      </c>
      <c r="BB1649" s="82">
        <f>(2*$J1649-$H1649-$L1649)*100</f>
        <v/>
      </c>
      <c r="BC1649" s="82">
        <f>($N1649-$F1649)*100</f>
        <v/>
      </c>
      <c r="BD1649" s="82">
        <f>($Q1649-$H1649)*100</f>
        <v/>
      </c>
      <c r="BE1649" s="82">
        <f>($S1649-$J1649)*100</f>
        <v/>
      </c>
      <c r="BF1649" s="82">
        <f>($V1649-$L1649)*100</f>
        <v/>
      </c>
      <c r="BG1649" s="82">
        <f>$AG1649-$AF1649</f>
        <v/>
      </c>
      <c r="BH1649" s="81">
        <f>IFERROR($AG1649/$AF1649,"")</f>
        <v/>
      </c>
      <c r="BI1649" s="82">
        <f>$AJ1649-$AF1649</f>
        <v/>
      </c>
      <c r="BJ1649" s="81">
        <f>IFERROR($AJ1649/$AG1649,"")</f>
        <v/>
      </c>
      <c r="BK1649" s="81">
        <f>$X1649</f>
        <v/>
      </c>
      <c r="BL1649" s="82">
        <f>($J1649-$J1650)*100</f>
        <v/>
      </c>
      <c r="BM1649" s="82">
        <f>($F1649-$F1650)*100</f>
        <v/>
      </c>
      <c r="BN1649" s="82">
        <f>$AF1649-$AF1650</f>
        <v/>
      </c>
      <c r="BO1649" s="82">
        <f>$AG1649-$AG1650</f>
        <v/>
      </c>
      <c r="BP1649" s="82">
        <f>$AJ1649-$AJ1650</f>
        <v/>
      </c>
    </row>
    <row r="1650">
      <c r="AR1650" s="81">
        <f>($G1650+($H1650-$G1650)*0.5)+($P1650-($O1650+($Q1650-$O1650)*0.5))</f>
        <v/>
      </c>
      <c r="AS1650" s="81">
        <f>($J1650+($K1650-$J1650)*0.5)+($T1650-($S1650+($U1650-$S1650)*0.5))</f>
        <v/>
      </c>
      <c r="AT1650" s="82">
        <f>($J1650-$C1650)*100</f>
        <v/>
      </c>
      <c r="AU1650" s="82">
        <f>($H1650-$F1650)*100</f>
        <v/>
      </c>
      <c r="AV1650" s="82">
        <f>($J1650-$F1650)*100</f>
        <v/>
      </c>
      <c r="AW1650" s="82">
        <f>($L1650-$F1650)*100</f>
        <v/>
      </c>
      <c r="AX1650" s="82">
        <f>($J1650-$H1650)*100</f>
        <v/>
      </c>
      <c r="AY1650" s="82">
        <f>($L1650-$H1650)*100</f>
        <v/>
      </c>
      <c r="AZ1650" s="82">
        <f>($L1650-$J1650)*100</f>
        <v/>
      </c>
      <c r="BA1650" s="82">
        <f>(2*$H1650-$F1650-$J1650)*100</f>
        <v/>
      </c>
      <c r="BB1650" s="82">
        <f>(2*$J1650-$H1650-$L1650)*100</f>
        <v/>
      </c>
      <c r="BC1650" s="82">
        <f>($N1650-$F1650)*100</f>
        <v/>
      </c>
      <c r="BD1650" s="82">
        <f>($Q1650-$H1650)*100</f>
        <v/>
      </c>
      <c r="BE1650" s="82">
        <f>($S1650-$J1650)*100</f>
        <v/>
      </c>
      <c r="BF1650" s="82">
        <f>($V1650-$L1650)*100</f>
        <v/>
      </c>
      <c r="BG1650" s="82">
        <f>$AG1650-$AF1650</f>
        <v/>
      </c>
      <c r="BH1650" s="81">
        <f>IFERROR($AG1650/$AF1650,"")</f>
        <v/>
      </c>
      <c r="BI1650" s="82">
        <f>$AJ1650-$AF1650</f>
        <v/>
      </c>
      <c r="BJ1650" s="81">
        <f>IFERROR($AJ1650/$AG1650,"")</f>
        <v/>
      </c>
      <c r="BK1650" s="81">
        <f>$X1650</f>
        <v/>
      </c>
      <c r="BL1650" s="82">
        <f>($J1650-$J1651)*100</f>
        <v/>
      </c>
      <c r="BM1650" s="82">
        <f>($F1650-$F1651)*100</f>
        <v/>
      </c>
      <c r="BN1650" s="82">
        <f>$AF1650-$AF1651</f>
        <v/>
      </c>
      <c r="BO1650" s="82">
        <f>$AG1650-$AG1651</f>
        <v/>
      </c>
      <c r="BP1650" s="82">
        <f>$AJ1650-$AJ1651</f>
        <v/>
      </c>
    </row>
    <row r="1651">
      <c r="AR1651" s="81">
        <f>($G1651+($H1651-$G1651)*0.5)+($P1651-($O1651+($Q1651-$O1651)*0.5))</f>
        <v/>
      </c>
      <c r="AS1651" s="81">
        <f>($J1651+($K1651-$J1651)*0.5)+($T1651-($S1651+($U1651-$S1651)*0.5))</f>
        <v/>
      </c>
      <c r="AT1651" s="82">
        <f>($J1651-$C1651)*100</f>
        <v/>
      </c>
      <c r="AU1651" s="82">
        <f>($H1651-$F1651)*100</f>
        <v/>
      </c>
      <c r="AV1651" s="82">
        <f>($J1651-$F1651)*100</f>
        <v/>
      </c>
      <c r="AW1651" s="82">
        <f>($L1651-$F1651)*100</f>
        <v/>
      </c>
      <c r="AX1651" s="82">
        <f>($J1651-$H1651)*100</f>
        <v/>
      </c>
      <c r="AY1651" s="82">
        <f>($L1651-$H1651)*100</f>
        <v/>
      </c>
      <c r="AZ1651" s="82">
        <f>($L1651-$J1651)*100</f>
        <v/>
      </c>
      <c r="BA1651" s="82">
        <f>(2*$H1651-$F1651-$J1651)*100</f>
        <v/>
      </c>
      <c r="BB1651" s="82">
        <f>(2*$J1651-$H1651-$L1651)*100</f>
        <v/>
      </c>
      <c r="BC1651" s="82">
        <f>($N1651-$F1651)*100</f>
        <v/>
      </c>
      <c r="BD1651" s="82">
        <f>($Q1651-$H1651)*100</f>
        <v/>
      </c>
      <c r="BE1651" s="82">
        <f>($S1651-$J1651)*100</f>
        <v/>
      </c>
      <c r="BF1651" s="82">
        <f>($V1651-$L1651)*100</f>
        <v/>
      </c>
      <c r="BG1651" s="82">
        <f>$AG1651-$AF1651</f>
        <v/>
      </c>
      <c r="BH1651" s="81">
        <f>IFERROR($AG1651/$AF1651,"")</f>
        <v/>
      </c>
      <c r="BI1651" s="82">
        <f>$AJ1651-$AF1651</f>
        <v/>
      </c>
      <c r="BJ1651" s="81">
        <f>IFERROR($AJ1651/$AG1651,"")</f>
        <v/>
      </c>
      <c r="BK1651" s="81">
        <f>$X1651</f>
        <v/>
      </c>
      <c r="BL1651" s="82">
        <f>($J1651-$J1652)*100</f>
        <v/>
      </c>
      <c r="BM1651" s="82">
        <f>($F1651-$F1652)*100</f>
        <v/>
      </c>
      <c r="BN1651" s="82">
        <f>$AF1651-$AF1652</f>
        <v/>
      </c>
      <c r="BO1651" s="82">
        <f>$AG1651-$AG1652</f>
        <v/>
      </c>
      <c r="BP1651" s="82">
        <f>$AJ1651-$AJ1652</f>
        <v/>
      </c>
    </row>
    <row r="1652">
      <c r="AR1652" s="81">
        <f>($G1652+($H1652-$G1652)*0.5)+($P1652-($O1652+($Q1652-$O1652)*0.5))</f>
        <v/>
      </c>
      <c r="AS1652" s="81">
        <f>($J1652+($K1652-$J1652)*0.5)+($T1652-($S1652+($U1652-$S1652)*0.5))</f>
        <v/>
      </c>
      <c r="AT1652" s="82">
        <f>($J1652-$C1652)*100</f>
        <v/>
      </c>
      <c r="AU1652" s="82">
        <f>($H1652-$F1652)*100</f>
        <v/>
      </c>
      <c r="AV1652" s="82">
        <f>($J1652-$F1652)*100</f>
        <v/>
      </c>
      <c r="AW1652" s="82">
        <f>($L1652-$F1652)*100</f>
        <v/>
      </c>
      <c r="AX1652" s="82">
        <f>($J1652-$H1652)*100</f>
        <v/>
      </c>
      <c r="AY1652" s="82">
        <f>($L1652-$H1652)*100</f>
        <v/>
      </c>
      <c r="AZ1652" s="82">
        <f>($L1652-$J1652)*100</f>
        <v/>
      </c>
      <c r="BA1652" s="82">
        <f>(2*$H1652-$F1652-$J1652)*100</f>
        <v/>
      </c>
      <c r="BB1652" s="82">
        <f>(2*$J1652-$H1652-$L1652)*100</f>
        <v/>
      </c>
      <c r="BC1652" s="82">
        <f>($N1652-$F1652)*100</f>
        <v/>
      </c>
      <c r="BD1652" s="82">
        <f>($Q1652-$H1652)*100</f>
        <v/>
      </c>
      <c r="BE1652" s="82">
        <f>($S1652-$J1652)*100</f>
        <v/>
      </c>
      <c r="BF1652" s="82">
        <f>($V1652-$L1652)*100</f>
        <v/>
      </c>
      <c r="BG1652" s="82">
        <f>$AG1652-$AF1652</f>
        <v/>
      </c>
      <c r="BH1652" s="81">
        <f>IFERROR($AG1652/$AF1652,"")</f>
        <v/>
      </c>
      <c r="BI1652" s="82">
        <f>$AJ1652-$AF1652</f>
        <v/>
      </c>
      <c r="BJ1652" s="81">
        <f>IFERROR($AJ1652/$AG1652,"")</f>
        <v/>
      </c>
      <c r="BK1652" s="81">
        <f>$X1652</f>
        <v/>
      </c>
      <c r="BL1652" s="82">
        <f>($J1652-$J1653)*100</f>
        <v/>
      </c>
      <c r="BM1652" s="82">
        <f>($F1652-$F1653)*100</f>
        <v/>
      </c>
      <c r="BN1652" s="82">
        <f>$AF1652-$AF1653</f>
        <v/>
      </c>
      <c r="BO1652" s="82">
        <f>$AG1652-$AG1653</f>
        <v/>
      </c>
      <c r="BP1652" s="82">
        <f>$AJ1652-$AJ1653</f>
        <v/>
      </c>
    </row>
    <row r="1653">
      <c r="AR1653" s="81">
        <f>($G1653+($H1653-$G1653)*0.5)+($P1653-($O1653+($Q1653-$O1653)*0.5))</f>
        <v/>
      </c>
      <c r="AS1653" s="81">
        <f>($J1653+($K1653-$J1653)*0.5)+($T1653-($S1653+($U1653-$S1653)*0.5))</f>
        <v/>
      </c>
      <c r="AT1653" s="82">
        <f>($J1653-$C1653)*100</f>
        <v/>
      </c>
      <c r="AU1653" s="82">
        <f>($H1653-$F1653)*100</f>
        <v/>
      </c>
      <c r="AV1653" s="82">
        <f>($J1653-$F1653)*100</f>
        <v/>
      </c>
      <c r="AW1653" s="82">
        <f>($L1653-$F1653)*100</f>
        <v/>
      </c>
      <c r="AX1653" s="82">
        <f>($J1653-$H1653)*100</f>
        <v/>
      </c>
      <c r="AY1653" s="82">
        <f>($L1653-$H1653)*100</f>
        <v/>
      </c>
      <c r="AZ1653" s="82">
        <f>($L1653-$J1653)*100</f>
        <v/>
      </c>
      <c r="BA1653" s="82">
        <f>(2*$H1653-$F1653-$J1653)*100</f>
        <v/>
      </c>
      <c r="BB1653" s="82">
        <f>(2*$J1653-$H1653-$L1653)*100</f>
        <v/>
      </c>
      <c r="BC1653" s="82">
        <f>($N1653-$F1653)*100</f>
        <v/>
      </c>
      <c r="BD1653" s="82">
        <f>($Q1653-$H1653)*100</f>
        <v/>
      </c>
      <c r="BE1653" s="82">
        <f>($S1653-$J1653)*100</f>
        <v/>
      </c>
      <c r="BF1653" s="82">
        <f>($V1653-$L1653)*100</f>
        <v/>
      </c>
      <c r="BG1653" s="82">
        <f>$AG1653-$AF1653</f>
        <v/>
      </c>
      <c r="BH1653" s="81">
        <f>IFERROR($AG1653/$AF1653,"")</f>
        <v/>
      </c>
      <c r="BI1653" s="82">
        <f>$AJ1653-$AF1653</f>
        <v/>
      </c>
      <c r="BJ1653" s="81">
        <f>IFERROR($AJ1653/$AG1653,"")</f>
        <v/>
      </c>
      <c r="BK1653" s="81">
        <f>$X1653</f>
        <v/>
      </c>
      <c r="BL1653" s="82">
        <f>($J1653-$J1654)*100</f>
        <v/>
      </c>
      <c r="BM1653" s="82">
        <f>($F1653-$F1654)*100</f>
        <v/>
      </c>
      <c r="BN1653" s="82">
        <f>$AF1653-$AF1654</f>
        <v/>
      </c>
      <c r="BO1653" s="82">
        <f>$AG1653-$AG1654</f>
        <v/>
      </c>
      <c r="BP1653" s="82">
        <f>$AJ1653-$AJ1654</f>
        <v/>
      </c>
    </row>
    <row r="1654">
      <c r="AR1654" s="81">
        <f>($G1654+($H1654-$G1654)*0.5)+($P1654-($O1654+($Q1654-$O1654)*0.5))</f>
        <v/>
      </c>
      <c r="AS1654" s="81">
        <f>($J1654+($K1654-$J1654)*0.5)+($T1654-($S1654+($U1654-$S1654)*0.5))</f>
        <v/>
      </c>
      <c r="AT1654" s="82">
        <f>($J1654-$C1654)*100</f>
        <v/>
      </c>
      <c r="AU1654" s="82">
        <f>($H1654-$F1654)*100</f>
        <v/>
      </c>
      <c r="AV1654" s="82">
        <f>($J1654-$F1654)*100</f>
        <v/>
      </c>
      <c r="AW1654" s="82">
        <f>($L1654-$F1654)*100</f>
        <v/>
      </c>
      <c r="AX1654" s="82">
        <f>($J1654-$H1654)*100</f>
        <v/>
      </c>
      <c r="AY1654" s="82">
        <f>($L1654-$H1654)*100</f>
        <v/>
      </c>
      <c r="AZ1654" s="82">
        <f>($L1654-$J1654)*100</f>
        <v/>
      </c>
      <c r="BA1654" s="82">
        <f>(2*$H1654-$F1654-$J1654)*100</f>
        <v/>
      </c>
      <c r="BB1654" s="82">
        <f>(2*$J1654-$H1654-$L1654)*100</f>
        <v/>
      </c>
      <c r="BC1654" s="82">
        <f>($N1654-$F1654)*100</f>
        <v/>
      </c>
      <c r="BD1654" s="82">
        <f>($Q1654-$H1654)*100</f>
        <v/>
      </c>
      <c r="BE1654" s="82">
        <f>($S1654-$J1654)*100</f>
        <v/>
      </c>
      <c r="BF1654" s="82">
        <f>($V1654-$L1654)*100</f>
        <v/>
      </c>
      <c r="BG1654" s="82">
        <f>$AG1654-$AF1654</f>
        <v/>
      </c>
      <c r="BH1654" s="81">
        <f>IFERROR($AG1654/$AF1654,"")</f>
        <v/>
      </c>
      <c r="BI1654" s="82">
        <f>$AJ1654-$AF1654</f>
        <v/>
      </c>
      <c r="BJ1654" s="81">
        <f>IFERROR($AJ1654/$AG1654,"")</f>
        <v/>
      </c>
      <c r="BK1654" s="81">
        <f>$X1654</f>
        <v/>
      </c>
      <c r="BL1654" s="82">
        <f>($J1654-$J1655)*100</f>
        <v/>
      </c>
      <c r="BM1654" s="82">
        <f>($F1654-$F1655)*100</f>
        <v/>
      </c>
      <c r="BN1654" s="82">
        <f>$AF1654-$AF1655</f>
        <v/>
      </c>
      <c r="BO1654" s="82">
        <f>$AG1654-$AG1655</f>
        <v/>
      </c>
      <c r="BP1654" s="82">
        <f>$AJ1654-$AJ1655</f>
        <v/>
      </c>
    </row>
    <row r="1655">
      <c r="AR1655" s="81">
        <f>($G1655+($H1655-$G1655)*0.5)+($P1655-($O1655+($Q1655-$O1655)*0.5))</f>
        <v/>
      </c>
      <c r="AS1655" s="81">
        <f>($J1655+($K1655-$J1655)*0.5)+($T1655-($S1655+($U1655-$S1655)*0.5))</f>
        <v/>
      </c>
      <c r="AT1655" s="82">
        <f>($J1655-$C1655)*100</f>
        <v/>
      </c>
      <c r="AU1655" s="82">
        <f>($H1655-$F1655)*100</f>
        <v/>
      </c>
      <c r="AV1655" s="82">
        <f>($J1655-$F1655)*100</f>
        <v/>
      </c>
      <c r="AW1655" s="82">
        <f>($L1655-$F1655)*100</f>
        <v/>
      </c>
      <c r="AX1655" s="82">
        <f>($J1655-$H1655)*100</f>
        <v/>
      </c>
      <c r="AY1655" s="82">
        <f>($L1655-$H1655)*100</f>
        <v/>
      </c>
      <c r="AZ1655" s="82">
        <f>($L1655-$J1655)*100</f>
        <v/>
      </c>
      <c r="BA1655" s="82">
        <f>(2*$H1655-$F1655-$J1655)*100</f>
        <v/>
      </c>
      <c r="BB1655" s="82">
        <f>(2*$J1655-$H1655-$L1655)*100</f>
        <v/>
      </c>
      <c r="BC1655" s="82">
        <f>($N1655-$F1655)*100</f>
        <v/>
      </c>
      <c r="BD1655" s="82">
        <f>($Q1655-$H1655)*100</f>
        <v/>
      </c>
      <c r="BE1655" s="82">
        <f>($S1655-$J1655)*100</f>
        <v/>
      </c>
      <c r="BF1655" s="82">
        <f>($V1655-$L1655)*100</f>
        <v/>
      </c>
      <c r="BG1655" s="82">
        <f>$AG1655-$AF1655</f>
        <v/>
      </c>
      <c r="BH1655" s="81">
        <f>IFERROR($AG1655/$AF1655,"")</f>
        <v/>
      </c>
      <c r="BI1655" s="82">
        <f>$AJ1655-$AF1655</f>
        <v/>
      </c>
      <c r="BJ1655" s="81">
        <f>IFERROR($AJ1655/$AG1655,"")</f>
        <v/>
      </c>
      <c r="BK1655" s="81">
        <f>$X1655</f>
        <v/>
      </c>
      <c r="BL1655" s="82">
        <f>($J1655-$J1656)*100</f>
        <v/>
      </c>
      <c r="BM1655" s="82">
        <f>($F1655-$F1656)*100</f>
        <v/>
      </c>
      <c r="BN1655" s="82">
        <f>$AF1655-$AF1656</f>
        <v/>
      </c>
      <c r="BO1655" s="82">
        <f>$AG1655-$AG1656</f>
        <v/>
      </c>
      <c r="BP1655" s="82">
        <f>$AJ1655-$AJ1656</f>
        <v/>
      </c>
    </row>
    <row r="1656">
      <c r="AR1656" s="81">
        <f>($G1656+($H1656-$G1656)*0.5)+($P1656-($O1656+($Q1656-$O1656)*0.5))</f>
        <v/>
      </c>
      <c r="AS1656" s="81">
        <f>($J1656+($K1656-$J1656)*0.5)+($T1656-($S1656+($U1656-$S1656)*0.5))</f>
        <v/>
      </c>
      <c r="AT1656" s="82">
        <f>($J1656-$C1656)*100</f>
        <v/>
      </c>
      <c r="AU1656" s="82">
        <f>($H1656-$F1656)*100</f>
        <v/>
      </c>
      <c r="AV1656" s="82">
        <f>($J1656-$F1656)*100</f>
        <v/>
      </c>
      <c r="AW1656" s="82">
        <f>($L1656-$F1656)*100</f>
        <v/>
      </c>
      <c r="AX1656" s="82">
        <f>($J1656-$H1656)*100</f>
        <v/>
      </c>
      <c r="AY1656" s="82">
        <f>($L1656-$H1656)*100</f>
        <v/>
      </c>
      <c r="AZ1656" s="82">
        <f>($L1656-$J1656)*100</f>
        <v/>
      </c>
      <c r="BA1656" s="82">
        <f>(2*$H1656-$F1656-$J1656)*100</f>
        <v/>
      </c>
      <c r="BB1656" s="82">
        <f>(2*$J1656-$H1656-$L1656)*100</f>
        <v/>
      </c>
      <c r="BC1656" s="82">
        <f>($N1656-$F1656)*100</f>
        <v/>
      </c>
      <c r="BD1656" s="82">
        <f>($Q1656-$H1656)*100</f>
        <v/>
      </c>
      <c r="BE1656" s="82">
        <f>($S1656-$J1656)*100</f>
        <v/>
      </c>
      <c r="BF1656" s="82">
        <f>($V1656-$L1656)*100</f>
        <v/>
      </c>
      <c r="BG1656" s="82">
        <f>$AG1656-$AF1656</f>
        <v/>
      </c>
      <c r="BH1656" s="81">
        <f>IFERROR($AG1656/$AF1656,"")</f>
        <v/>
      </c>
      <c r="BI1656" s="82">
        <f>$AJ1656-$AF1656</f>
        <v/>
      </c>
      <c r="BJ1656" s="81">
        <f>IFERROR($AJ1656/$AG1656,"")</f>
        <v/>
      </c>
      <c r="BK1656" s="81">
        <f>$X1656</f>
        <v/>
      </c>
      <c r="BL1656" s="82">
        <f>($J1656-$J1657)*100</f>
        <v/>
      </c>
      <c r="BM1656" s="82">
        <f>($F1656-$F1657)*100</f>
        <v/>
      </c>
      <c r="BN1656" s="82">
        <f>$AF1656-$AF1657</f>
        <v/>
      </c>
      <c r="BO1656" s="82">
        <f>$AG1656-$AG1657</f>
        <v/>
      </c>
      <c r="BP1656" s="82">
        <f>$AJ1656-$AJ1657</f>
        <v/>
      </c>
    </row>
    <row r="1657">
      <c r="AR1657" s="81">
        <f>($G1657+($H1657-$G1657)*0.5)+($P1657-($O1657+($Q1657-$O1657)*0.5))</f>
        <v/>
      </c>
      <c r="AS1657" s="81">
        <f>($J1657+($K1657-$J1657)*0.5)+($T1657-($S1657+($U1657-$S1657)*0.5))</f>
        <v/>
      </c>
      <c r="AT1657" s="82">
        <f>($J1657-$C1657)*100</f>
        <v/>
      </c>
      <c r="AU1657" s="82">
        <f>($H1657-$F1657)*100</f>
        <v/>
      </c>
      <c r="AV1657" s="82">
        <f>($J1657-$F1657)*100</f>
        <v/>
      </c>
      <c r="AW1657" s="82">
        <f>($L1657-$F1657)*100</f>
        <v/>
      </c>
      <c r="AX1657" s="82">
        <f>($J1657-$H1657)*100</f>
        <v/>
      </c>
      <c r="AY1657" s="82">
        <f>($L1657-$H1657)*100</f>
        <v/>
      </c>
      <c r="AZ1657" s="82">
        <f>($L1657-$J1657)*100</f>
        <v/>
      </c>
      <c r="BA1657" s="82">
        <f>(2*$H1657-$F1657-$J1657)*100</f>
        <v/>
      </c>
      <c r="BB1657" s="82">
        <f>(2*$J1657-$H1657-$L1657)*100</f>
        <v/>
      </c>
      <c r="BC1657" s="82">
        <f>($N1657-$F1657)*100</f>
        <v/>
      </c>
      <c r="BD1657" s="82">
        <f>($Q1657-$H1657)*100</f>
        <v/>
      </c>
      <c r="BE1657" s="82">
        <f>($S1657-$J1657)*100</f>
        <v/>
      </c>
      <c r="BF1657" s="82">
        <f>($V1657-$L1657)*100</f>
        <v/>
      </c>
      <c r="BG1657" s="82">
        <f>$AG1657-$AF1657</f>
        <v/>
      </c>
      <c r="BH1657" s="81">
        <f>IFERROR($AG1657/$AF1657,"")</f>
        <v/>
      </c>
      <c r="BI1657" s="82">
        <f>$AJ1657-$AF1657</f>
        <v/>
      </c>
      <c r="BJ1657" s="81">
        <f>IFERROR($AJ1657/$AG1657,"")</f>
        <v/>
      </c>
      <c r="BK1657" s="81">
        <f>$X1657</f>
        <v/>
      </c>
      <c r="BL1657" s="82">
        <f>($J1657-$J1658)*100</f>
        <v/>
      </c>
      <c r="BM1657" s="82">
        <f>($F1657-$F1658)*100</f>
        <v/>
      </c>
      <c r="BN1657" s="82">
        <f>$AF1657-$AF1658</f>
        <v/>
      </c>
      <c r="BO1657" s="82">
        <f>$AG1657-$AG1658</f>
        <v/>
      </c>
      <c r="BP1657" s="82">
        <f>$AJ1657-$AJ1658</f>
        <v/>
      </c>
    </row>
    <row r="1658">
      <c r="AR1658" s="81">
        <f>($G1658+($H1658-$G1658)*0.5)+($P1658-($O1658+($Q1658-$O1658)*0.5))</f>
        <v/>
      </c>
      <c r="AS1658" s="81">
        <f>($J1658+($K1658-$J1658)*0.5)+($T1658-($S1658+($U1658-$S1658)*0.5))</f>
        <v/>
      </c>
      <c r="AT1658" s="82">
        <f>($J1658-$C1658)*100</f>
        <v/>
      </c>
      <c r="AU1658" s="82">
        <f>($H1658-$F1658)*100</f>
        <v/>
      </c>
      <c r="AV1658" s="82">
        <f>($J1658-$F1658)*100</f>
        <v/>
      </c>
      <c r="AW1658" s="82">
        <f>($L1658-$F1658)*100</f>
        <v/>
      </c>
      <c r="AX1658" s="82">
        <f>($J1658-$H1658)*100</f>
        <v/>
      </c>
      <c r="AY1658" s="82">
        <f>($L1658-$H1658)*100</f>
        <v/>
      </c>
      <c r="AZ1658" s="82">
        <f>($L1658-$J1658)*100</f>
        <v/>
      </c>
      <c r="BA1658" s="82">
        <f>(2*$H1658-$F1658-$J1658)*100</f>
        <v/>
      </c>
      <c r="BB1658" s="82">
        <f>(2*$J1658-$H1658-$L1658)*100</f>
        <v/>
      </c>
      <c r="BC1658" s="82">
        <f>($N1658-$F1658)*100</f>
        <v/>
      </c>
      <c r="BD1658" s="82">
        <f>($Q1658-$H1658)*100</f>
        <v/>
      </c>
      <c r="BE1658" s="82">
        <f>($S1658-$J1658)*100</f>
        <v/>
      </c>
      <c r="BF1658" s="82">
        <f>($V1658-$L1658)*100</f>
        <v/>
      </c>
      <c r="BG1658" s="82">
        <f>$AG1658-$AF1658</f>
        <v/>
      </c>
      <c r="BH1658" s="81">
        <f>IFERROR($AG1658/$AF1658,"")</f>
        <v/>
      </c>
      <c r="BI1658" s="82">
        <f>$AJ1658-$AF1658</f>
        <v/>
      </c>
      <c r="BJ1658" s="81">
        <f>IFERROR($AJ1658/$AG1658,"")</f>
        <v/>
      </c>
      <c r="BK1658" s="81">
        <f>$X1658</f>
        <v/>
      </c>
      <c r="BL1658" s="82">
        <f>($J1658-$J1659)*100</f>
        <v/>
      </c>
      <c r="BM1658" s="82">
        <f>($F1658-$F1659)*100</f>
        <v/>
      </c>
      <c r="BN1658" s="82">
        <f>$AF1658-$AF1659</f>
        <v/>
      </c>
      <c r="BO1658" s="82">
        <f>$AG1658-$AG1659</f>
        <v/>
      </c>
      <c r="BP1658" s="82">
        <f>$AJ1658-$AJ1659</f>
        <v/>
      </c>
    </row>
    <row r="1659">
      <c r="AR1659" s="81">
        <f>($G1659+($H1659-$G1659)*0.5)+($P1659-($O1659+($Q1659-$O1659)*0.5))</f>
        <v/>
      </c>
      <c r="AS1659" s="81">
        <f>($J1659+($K1659-$J1659)*0.5)+($T1659-($S1659+($U1659-$S1659)*0.5))</f>
        <v/>
      </c>
      <c r="AT1659" s="82">
        <f>($J1659-$C1659)*100</f>
        <v/>
      </c>
      <c r="AU1659" s="82">
        <f>($H1659-$F1659)*100</f>
        <v/>
      </c>
      <c r="AV1659" s="82">
        <f>($J1659-$F1659)*100</f>
        <v/>
      </c>
      <c r="AW1659" s="82">
        <f>($L1659-$F1659)*100</f>
        <v/>
      </c>
      <c r="AX1659" s="82">
        <f>($J1659-$H1659)*100</f>
        <v/>
      </c>
      <c r="AY1659" s="82">
        <f>($L1659-$H1659)*100</f>
        <v/>
      </c>
      <c r="AZ1659" s="82">
        <f>($L1659-$J1659)*100</f>
        <v/>
      </c>
      <c r="BA1659" s="82">
        <f>(2*$H1659-$F1659-$J1659)*100</f>
        <v/>
      </c>
      <c r="BB1659" s="82">
        <f>(2*$J1659-$H1659-$L1659)*100</f>
        <v/>
      </c>
      <c r="BC1659" s="82">
        <f>($N1659-$F1659)*100</f>
        <v/>
      </c>
      <c r="BD1659" s="82">
        <f>($Q1659-$H1659)*100</f>
        <v/>
      </c>
      <c r="BE1659" s="82">
        <f>($S1659-$J1659)*100</f>
        <v/>
      </c>
      <c r="BF1659" s="82">
        <f>($V1659-$L1659)*100</f>
        <v/>
      </c>
      <c r="BG1659" s="82">
        <f>$AG1659-$AF1659</f>
        <v/>
      </c>
      <c r="BH1659" s="81">
        <f>IFERROR($AG1659/$AF1659,"")</f>
        <v/>
      </c>
      <c r="BI1659" s="82">
        <f>$AJ1659-$AF1659</f>
        <v/>
      </c>
      <c r="BJ1659" s="81">
        <f>IFERROR($AJ1659/$AG1659,"")</f>
        <v/>
      </c>
      <c r="BK1659" s="81">
        <f>$X1659</f>
        <v/>
      </c>
      <c r="BL1659" s="82">
        <f>($J1659-$J1660)*100</f>
        <v/>
      </c>
      <c r="BM1659" s="82">
        <f>($F1659-$F1660)*100</f>
        <v/>
      </c>
      <c r="BN1659" s="82">
        <f>$AF1659-$AF1660</f>
        <v/>
      </c>
      <c r="BO1659" s="82">
        <f>$AG1659-$AG1660</f>
        <v/>
      </c>
      <c r="BP1659" s="82">
        <f>$AJ1659-$AJ1660</f>
        <v/>
      </c>
    </row>
    <row r="1660">
      <c r="AR1660" s="81">
        <f>($G1660+($H1660-$G1660)*0.5)+($P1660-($O1660+($Q1660-$O1660)*0.5))</f>
        <v/>
      </c>
      <c r="AS1660" s="81">
        <f>($J1660+($K1660-$J1660)*0.5)+($T1660-($S1660+($U1660-$S1660)*0.5))</f>
        <v/>
      </c>
      <c r="AT1660" s="82">
        <f>($J1660-$C1660)*100</f>
        <v/>
      </c>
      <c r="AU1660" s="82">
        <f>($H1660-$F1660)*100</f>
        <v/>
      </c>
      <c r="AV1660" s="82">
        <f>($J1660-$F1660)*100</f>
        <v/>
      </c>
      <c r="AW1660" s="82">
        <f>($L1660-$F1660)*100</f>
        <v/>
      </c>
      <c r="AX1660" s="82">
        <f>($J1660-$H1660)*100</f>
        <v/>
      </c>
      <c r="AY1660" s="82">
        <f>($L1660-$H1660)*100</f>
        <v/>
      </c>
      <c r="AZ1660" s="82">
        <f>($L1660-$J1660)*100</f>
        <v/>
      </c>
      <c r="BA1660" s="82">
        <f>(2*$H1660-$F1660-$J1660)*100</f>
        <v/>
      </c>
      <c r="BB1660" s="82">
        <f>(2*$J1660-$H1660-$L1660)*100</f>
        <v/>
      </c>
      <c r="BC1660" s="82">
        <f>($N1660-$F1660)*100</f>
        <v/>
      </c>
      <c r="BD1660" s="82">
        <f>($Q1660-$H1660)*100</f>
        <v/>
      </c>
      <c r="BE1660" s="82">
        <f>($S1660-$J1660)*100</f>
        <v/>
      </c>
      <c r="BF1660" s="82">
        <f>($V1660-$L1660)*100</f>
        <v/>
      </c>
      <c r="BG1660" s="82">
        <f>$AG1660-$AF1660</f>
        <v/>
      </c>
      <c r="BH1660" s="81">
        <f>IFERROR($AG1660/$AF1660,"")</f>
        <v/>
      </c>
      <c r="BI1660" s="82">
        <f>$AJ1660-$AF1660</f>
        <v/>
      </c>
      <c r="BJ1660" s="81">
        <f>IFERROR($AJ1660/$AG1660,"")</f>
        <v/>
      </c>
      <c r="BK1660" s="81">
        <f>$X1660</f>
        <v/>
      </c>
      <c r="BL1660" s="82">
        <f>($J1660-$J1661)*100</f>
        <v/>
      </c>
      <c r="BM1660" s="82">
        <f>($F1660-$F1661)*100</f>
        <v/>
      </c>
      <c r="BN1660" s="82">
        <f>$AF1660-$AF1661</f>
        <v/>
      </c>
      <c r="BO1660" s="82">
        <f>$AG1660-$AG1661</f>
        <v/>
      </c>
      <c r="BP1660" s="82">
        <f>$AJ1660-$AJ1661</f>
        <v/>
      </c>
    </row>
    <row r="1661">
      <c r="AR1661" s="81">
        <f>($G1661+($H1661-$G1661)*0.5)+($P1661-($O1661+($Q1661-$O1661)*0.5))</f>
        <v/>
      </c>
      <c r="AS1661" s="81">
        <f>($J1661+($K1661-$J1661)*0.5)+($T1661-($S1661+($U1661-$S1661)*0.5))</f>
        <v/>
      </c>
      <c r="AT1661" s="82">
        <f>($J1661-$C1661)*100</f>
        <v/>
      </c>
      <c r="AU1661" s="82">
        <f>($H1661-$F1661)*100</f>
        <v/>
      </c>
      <c r="AV1661" s="82">
        <f>($J1661-$F1661)*100</f>
        <v/>
      </c>
      <c r="AW1661" s="82">
        <f>($L1661-$F1661)*100</f>
        <v/>
      </c>
      <c r="AX1661" s="82">
        <f>($J1661-$H1661)*100</f>
        <v/>
      </c>
      <c r="AY1661" s="82">
        <f>($L1661-$H1661)*100</f>
        <v/>
      </c>
      <c r="AZ1661" s="82">
        <f>($L1661-$J1661)*100</f>
        <v/>
      </c>
      <c r="BA1661" s="82">
        <f>(2*$H1661-$F1661-$J1661)*100</f>
        <v/>
      </c>
      <c r="BB1661" s="82">
        <f>(2*$J1661-$H1661-$L1661)*100</f>
        <v/>
      </c>
      <c r="BC1661" s="82">
        <f>($N1661-$F1661)*100</f>
        <v/>
      </c>
      <c r="BD1661" s="82">
        <f>($Q1661-$H1661)*100</f>
        <v/>
      </c>
      <c r="BE1661" s="82">
        <f>($S1661-$J1661)*100</f>
        <v/>
      </c>
      <c r="BF1661" s="82">
        <f>($V1661-$L1661)*100</f>
        <v/>
      </c>
      <c r="BG1661" s="82">
        <f>$AG1661-$AF1661</f>
        <v/>
      </c>
      <c r="BH1661" s="81">
        <f>IFERROR($AG1661/$AF1661,"")</f>
        <v/>
      </c>
      <c r="BI1661" s="82">
        <f>$AJ1661-$AF1661</f>
        <v/>
      </c>
      <c r="BJ1661" s="81">
        <f>IFERROR($AJ1661/$AG1661,"")</f>
        <v/>
      </c>
      <c r="BK1661" s="81">
        <f>$X1661</f>
        <v/>
      </c>
      <c r="BL1661" s="82">
        <f>($J1661-$J1662)*100</f>
        <v/>
      </c>
      <c r="BM1661" s="82">
        <f>($F1661-$F1662)*100</f>
        <v/>
      </c>
      <c r="BN1661" s="82">
        <f>$AF1661-$AF1662</f>
        <v/>
      </c>
      <c r="BO1661" s="82">
        <f>$AG1661-$AG1662</f>
        <v/>
      </c>
      <c r="BP1661" s="82">
        <f>$AJ1661-$AJ1662</f>
        <v/>
      </c>
    </row>
    <row r="1662">
      <c r="AR1662" s="81">
        <f>($G1662+($H1662-$G1662)*0.5)+($P1662-($O1662+($Q1662-$O1662)*0.5))</f>
        <v/>
      </c>
      <c r="AS1662" s="81">
        <f>($J1662+($K1662-$J1662)*0.5)+($T1662-($S1662+($U1662-$S1662)*0.5))</f>
        <v/>
      </c>
      <c r="AT1662" s="82">
        <f>($J1662-$C1662)*100</f>
        <v/>
      </c>
      <c r="AU1662" s="82">
        <f>($H1662-$F1662)*100</f>
        <v/>
      </c>
      <c r="AV1662" s="82">
        <f>($J1662-$F1662)*100</f>
        <v/>
      </c>
      <c r="AW1662" s="82">
        <f>($L1662-$F1662)*100</f>
        <v/>
      </c>
      <c r="AX1662" s="82">
        <f>($J1662-$H1662)*100</f>
        <v/>
      </c>
      <c r="AY1662" s="82">
        <f>($L1662-$H1662)*100</f>
        <v/>
      </c>
      <c r="AZ1662" s="82">
        <f>($L1662-$J1662)*100</f>
        <v/>
      </c>
      <c r="BA1662" s="82">
        <f>(2*$H1662-$F1662-$J1662)*100</f>
        <v/>
      </c>
      <c r="BB1662" s="82">
        <f>(2*$J1662-$H1662-$L1662)*100</f>
        <v/>
      </c>
      <c r="BC1662" s="82">
        <f>($N1662-$F1662)*100</f>
        <v/>
      </c>
      <c r="BD1662" s="82">
        <f>($Q1662-$H1662)*100</f>
        <v/>
      </c>
      <c r="BE1662" s="82">
        <f>($S1662-$J1662)*100</f>
        <v/>
      </c>
      <c r="BF1662" s="82">
        <f>($V1662-$L1662)*100</f>
        <v/>
      </c>
      <c r="BG1662" s="82">
        <f>$AG1662-$AF1662</f>
        <v/>
      </c>
      <c r="BH1662" s="81">
        <f>IFERROR($AG1662/$AF1662,"")</f>
        <v/>
      </c>
      <c r="BI1662" s="82">
        <f>$AJ1662-$AF1662</f>
        <v/>
      </c>
      <c r="BJ1662" s="81">
        <f>IFERROR($AJ1662/$AG1662,"")</f>
        <v/>
      </c>
      <c r="BK1662" s="81">
        <f>$X1662</f>
        <v/>
      </c>
      <c r="BL1662" s="82">
        <f>($J1662-$J1663)*100</f>
        <v/>
      </c>
      <c r="BM1662" s="82">
        <f>($F1662-$F1663)*100</f>
        <v/>
      </c>
      <c r="BN1662" s="82">
        <f>$AF1662-$AF1663</f>
        <v/>
      </c>
      <c r="BO1662" s="82">
        <f>$AG1662-$AG1663</f>
        <v/>
      </c>
      <c r="BP1662" s="82">
        <f>$AJ1662-$AJ1663</f>
        <v/>
      </c>
    </row>
    <row r="1663">
      <c r="AR1663" s="81">
        <f>($G1663+($H1663-$G1663)*0.5)+($P1663-($O1663+($Q1663-$O1663)*0.5))</f>
        <v/>
      </c>
      <c r="AS1663" s="81">
        <f>($J1663+($K1663-$J1663)*0.5)+($T1663-($S1663+($U1663-$S1663)*0.5))</f>
        <v/>
      </c>
      <c r="AT1663" s="82">
        <f>($J1663-$C1663)*100</f>
        <v/>
      </c>
      <c r="AU1663" s="82">
        <f>($H1663-$F1663)*100</f>
        <v/>
      </c>
      <c r="AV1663" s="82">
        <f>($J1663-$F1663)*100</f>
        <v/>
      </c>
      <c r="AW1663" s="82">
        <f>($L1663-$F1663)*100</f>
        <v/>
      </c>
      <c r="AX1663" s="82">
        <f>($J1663-$H1663)*100</f>
        <v/>
      </c>
      <c r="AY1663" s="82">
        <f>($L1663-$H1663)*100</f>
        <v/>
      </c>
      <c r="AZ1663" s="82">
        <f>($L1663-$J1663)*100</f>
        <v/>
      </c>
      <c r="BA1663" s="82">
        <f>(2*$H1663-$F1663-$J1663)*100</f>
        <v/>
      </c>
      <c r="BB1663" s="82">
        <f>(2*$J1663-$H1663-$L1663)*100</f>
        <v/>
      </c>
      <c r="BC1663" s="82">
        <f>($N1663-$F1663)*100</f>
        <v/>
      </c>
      <c r="BD1663" s="82">
        <f>($Q1663-$H1663)*100</f>
        <v/>
      </c>
      <c r="BE1663" s="82">
        <f>($S1663-$J1663)*100</f>
        <v/>
      </c>
      <c r="BF1663" s="82">
        <f>($V1663-$L1663)*100</f>
        <v/>
      </c>
      <c r="BG1663" s="82">
        <f>$AG1663-$AF1663</f>
        <v/>
      </c>
      <c r="BH1663" s="81">
        <f>IFERROR($AG1663/$AF1663,"")</f>
        <v/>
      </c>
      <c r="BI1663" s="82">
        <f>$AJ1663-$AF1663</f>
        <v/>
      </c>
      <c r="BJ1663" s="81">
        <f>IFERROR($AJ1663/$AG1663,"")</f>
        <v/>
      </c>
      <c r="BK1663" s="81">
        <f>$X1663</f>
        <v/>
      </c>
      <c r="BL1663" s="82">
        <f>($J1663-$J1664)*100</f>
        <v/>
      </c>
      <c r="BM1663" s="82">
        <f>($F1663-$F1664)*100</f>
        <v/>
      </c>
      <c r="BN1663" s="82">
        <f>$AF1663-$AF1664</f>
        <v/>
      </c>
      <c r="BO1663" s="82">
        <f>$AG1663-$AG1664</f>
        <v/>
      </c>
      <c r="BP1663" s="82">
        <f>$AJ1663-$AJ1664</f>
        <v/>
      </c>
    </row>
    <row r="1664">
      <c r="AR1664" s="81">
        <f>($G1664+($H1664-$G1664)*0.5)+($P1664-($O1664+($Q1664-$O1664)*0.5))</f>
        <v/>
      </c>
      <c r="AS1664" s="81">
        <f>($J1664+($K1664-$J1664)*0.5)+($T1664-($S1664+($U1664-$S1664)*0.5))</f>
        <v/>
      </c>
      <c r="AT1664" s="82">
        <f>($J1664-$C1664)*100</f>
        <v/>
      </c>
      <c r="AU1664" s="82">
        <f>($H1664-$F1664)*100</f>
        <v/>
      </c>
      <c r="AV1664" s="82">
        <f>($J1664-$F1664)*100</f>
        <v/>
      </c>
      <c r="AW1664" s="82">
        <f>($L1664-$F1664)*100</f>
        <v/>
      </c>
      <c r="AX1664" s="82">
        <f>($J1664-$H1664)*100</f>
        <v/>
      </c>
      <c r="AY1664" s="82">
        <f>($L1664-$H1664)*100</f>
        <v/>
      </c>
      <c r="AZ1664" s="82">
        <f>($L1664-$J1664)*100</f>
        <v/>
      </c>
      <c r="BA1664" s="82">
        <f>(2*$H1664-$F1664-$J1664)*100</f>
        <v/>
      </c>
      <c r="BB1664" s="82">
        <f>(2*$J1664-$H1664-$L1664)*100</f>
        <v/>
      </c>
      <c r="BC1664" s="82">
        <f>($N1664-$F1664)*100</f>
        <v/>
      </c>
      <c r="BD1664" s="82">
        <f>($Q1664-$H1664)*100</f>
        <v/>
      </c>
      <c r="BE1664" s="82">
        <f>($S1664-$J1664)*100</f>
        <v/>
      </c>
      <c r="BF1664" s="82">
        <f>($V1664-$L1664)*100</f>
        <v/>
      </c>
      <c r="BG1664" s="82">
        <f>$AG1664-$AF1664</f>
        <v/>
      </c>
      <c r="BH1664" s="81">
        <f>IFERROR($AG1664/$AF1664,"")</f>
        <v/>
      </c>
      <c r="BI1664" s="82">
        <f>$AJ1664-$AF1664</f>
        <v/>
      </c>
      <c r="BJ1664" s="81">
        <f>IFERROR($AJ1664/$AG1664,"")</f>
        <v/>
      </c>
      <c r="BK1664" s="81">
        <f>$X1664</f>
        <v/>
      </c>
      <c r="BL1664" s="82">
        <f>($J1664-$J1665)*100</f>
        <v/>
      </c>
      <c r="BM1664" s="82">
        <f>($F1664-$F1665)*100</f>
        <v/>
      </c>
      <c r="BN1664" s="82">
        <f>$AF1664-$AF1665</f>
        <v/>
      </c>
      <c r="BO1664" s="82">
        <f>$AG1664-$AG1665</f>
        <v/>
      </c>
      <c r="BP1664" s="82">
        <f>$AJ1664-$AJ1665</f>
        <v/>
      </c>
    </row>
    <row r="1665">
      <c r="AR1665" s="81">
        <f>($G1665+($H1665-$G1665)*0.5)+($P1665-($O1665+($Q1665-$O1665)*0.5))</f>
        <v/>
      </c>
      <c r="AS1665" s="81">
        <f>($J1665+($K1665-$J1665)*0.5)+($T1665-($S1665+($U1665-$S1665)*0.5))</f>
        <v/>
      </c>
      <c r="AT1665" s="82">
        <f>($J1665-$C1665)*100</f>
        <v/>
      </c>
      <c r="AU1665" s="82">
        <f>($H1665-$F1665)*100</f>
        <v/>
      </c>
      <c r="AV1665" s="82">
        <f>($J1665-$F1665)*100</f>
        <v/>
      </c>
      <c r="AW1665" s="82">
        <f>($L1665-$F1665)*100</f>
        <v/>
      </c>
      <c r="AX1665" s="82">
        <f>($J1665-$H1665)*100</f>
        <v/>
      </c>
      <c r="AY1665" s="82">
        <f>($L1665-$H1665)*100</f>
        <v/>
      </c>
      <c r="AZ1665" s="82">
        <f>($L1665-$J1665)*100</f>
        <v/>
      </c>
      <c r="BA1665" s="82">
        <f>(2*$H1665-$F1665-$J1665)*100</f>
        <v/>
      </c>
      <c r="BB1665" s="82">
        <f>(2*$J1665-$H1665-$L1665)*100</f>
        <v/>
      </c>
      <c r="BC1665" s="82">
        <f>($N1665-$F1665)*100</f>
        <v/>
      </c>
      <c r="BD1665" s="82">
        <f>($Q1665-$H1665)*100</f>
        <v/>
      </c>
      <c r="BE1665" s="82">
        <f>($S1665-$J1665)*100</f>
        <v/>
      </c>
      <c r="BF1665" s="82">
        <f>($V1665-$L1665)*100</f>
        <v/>
      </c>
      <c r="BG1665" s="82">
        <f>$AG1665-$AF1665</f>
        <v/>
      </c>
      <c r="BH1665" s="81">
        <f>IFERROR($AG1665/$AF1665,"")</f>
        <v/>
      </c>
      <c r="BI1665" s="82">
        <f>$AJ1665-$AF1665</f>
        <v/>
      </c>
      <c r="BJ1665" s="81">
        <f>IFERROR($AJ1665/$AG1665,"")</f>
        <v/>
      </c>
      <c r="BK1665" s="81">
        <f>$X1665</f>
        <v/>
      </c>
      <c r="BL1665" s="82">
        <f>($J1665-$J1666)*100</f>
        <v/>
      </c>
      <c r="BM1665" s="82">
        <f>($F1665-$F1666)*100</f>
        <v/>
      </c>
      <c r="BN1665" s="82">
        <f>$AF1665-$AF1666</f>
        <v/>
      </c>
      <c r="BO1665" s="82">
        <f>$AG1665-$AG1666</f>
        <v/>
      </c>
      <c r="BP1665" s="82">
        <f>$AJ1665-$AJ1666</f>
        <v/>
      </c>
    </row>
    <row r="1666">
      <c r="AR1666" s="81">
        <f>($G1666+($H1666-$G1666)*0.5)+($P1666-($O1666+($Q1666-$O1666)*0.5))</f>
        <v/>
      </c>
      <c r="AS1666" s="81">
        <f>($J1666+($K1666-$J1666)*0.5)+($T1666-($S1666+($U1666-$S1666)*0.5))</f>
        <v/>
      </c>
      <c r="AT1666" s="82">
        <f>($J1666-$C1666)*100</f>
        <v/>
      </c>
      <c r="AU1666" s="82">
        <f>($H1666-$F1666)*100</f>
        <v/>
      </c>
      <c r="AV1666" s="82">
        <f>($J1666-$F1666)*100</f>
        <v/>
      </c>
      <c r="AW1666" s="82">
        <f>($L1666-$F1666)*100</f>
        <v/>
      </c>
      <c r="AX1666" s="82">
        <f>($J1666-$H1666)*100</f>
        <v/>
      </c>
      <c r="AY1666" s="82">
        <f>($L1666-$H1666)*100</f>
        <v/>
      </c>
      <c r="AZ1666" s="82">
        <f>($L1666-$J1666)*100</f>
        <v/>
      </c>
      <c r="BA1666" s="82">
        <f>(2*$H1666-$F1666-$J1666)*100</f>
        <v/>
      </c>
      <c r="BB1666" s="82">
        <f>(2*$J1666-$H1666-$L1666)*100</f>
        <v/>
      </c>
      <c r="BC1666" s="82">
        <f>($N1666-$F1666)*100</f>
        <v/>
      </c>
      <c r="BD1666" s="82">
        <f>($Q1666-$H1666)*100</f>
        <v/>
      </c>
      <c r="BE1666" s="82">
        <f>($S1666-$J1666)*100</f>
        <v/>
      </c>
      <c r="BF1666" s="82">
        <f>($V1666-$L1666)*100</f>
        <v/>
      </c>
      <c r="BG1666" s="82">
        <f>$AG1666-$AF1666</f>
        <v/>
      </c>
      <c r="BH1666" s="81">
        <f>IFERROR($AG1666/$AF1666,"")</f>
        <v/>
      </c>
      <c r="BI1666" s="82">
        <f>$AJ1666-$AF1666</f>
        <v/>
      </c>
      <c r="BJ1666" s="81">
        <f>IFERROR($AJ1666/$AG1666,"")</f>
        <v/>
      </c>
      <c r="BK1666" s="81">
        <f>$X1666</f>
        <v/>
      </c>
      <c r="BL1666" s="82">
        <f>($J1666-$J1667)*100</f>
        <v/>
      </c>
      <c r="BM1666" s="82">
        <f>($F1666-$F1667)*100</f>
        <v/>
      </c>
      <c r="BN1666" s="82">
        <f>$AF1666-$AF1667</f>
        <v/>
      </c>
      <c r="BO1666" s="82">
        <f>$AG1666-$AG1667</f>
        <v/>
      </c>
      <c r="BP1666" s="82">
        <f>$AJ1666-$AJ1667</f>
        <v/>
      </c>
    </row>
    <row r="1667">
      <c r="AR1667" s="81">
        <f>($G1667+($H1667-$G1667)*0.5)+($P1667-($O1667+($Q1667-$O1667)*0.5))</f>
        <v/>
      </c>
      <c r="AS1667" s="81">
        <f>($J1667+($K1667-$J1667)*0.5)+($T1667-($S1667+($U1667-$S1667)*0.5))</f>
        <v/>
      </c>
      <c r="AT1667" s="82">
        <f>($J1667-$C1667)*100</f>
        <v/>
      </c>
      <c r="AU1667" s="82">
        <f>($H1667-$F1667)*100</f>
        <v/>
      </c>
      <c r="AV1667" s="82">
        <f>($J1667-$F1667)*100</f>
        <v/>
      </c>
      <c r="AW1667" s="82">
        <f>($L1667-$F1667)*100</f>
        <v/>
      </c>
      <c r="AX1667" s="82">
        <f>($J1667-$H1667)*100</f>
        <v/>
      </c>
      <c r="AY1667" s="82">
        <f>($L1667-$H1667)*100</f>
        <v/>
      </c>
      <c r="AZ1667" s="82">
        <f>($L1667-$J1667)*100</f>
        <v/>
      </c>
      <c r="BA1667" s="82">
        <f>(2*$H1667-$F1667-$J1667)*100</f>
        <v/>
      </c>
      <c r="BB1667" s="82">
        <f>(2*$J1667-$H1667-$L1667)*100</f>
        <v/>
      </c>
      <c r="BC1667" s="82">
        <f>($N1667-$F1667)*100</f>
        <v/>
      </c>
      <c r="BD1667" s="82">
        <f>($Q1667-$H1667)*100</f>
        <v/>
      </c>
      <c r="BE1667" s="82">
        <f>($S1667-$J1667)*100</f>
        <v/>
      </c>
      <c r="BF1667" s="82">
        <f>($V1667-$L1667)*100</f>
        <v/>
      </c>
      <c r="BG1667" s="82">
        <f>$AG1667-$AF1667</f>
        <v/>
      </c>
      <c r="BH1667" s="81">
        <f>IFERROR($AG1667/$AF1667,"")</f>
        <v/>
      </c>
      <c r="BI1667" s="82">
        <f>$AJ1667-$AF1667</f>
        <v/>
      </c>
      <c r="BJ1667" s="81">
        <f>IFERROR($AJ1667/$AG1667,"")</f>
        <v/>
      </c>
      <c r="BK1667" s="81">
        <f>$X1667</f>
        <v/>
      </c>
      <c r="BL1667" s="82">
        <f>($J1667-$J1668)*100</f>
        <v/>
      </c>
      <c r="BM1667" s="82">
        <f>($F1667-$F1668)*100</f>
        <v/>
      </c>
      <c r="BN1667" s="82">
        <f>$AF1667-$AF1668</f>
        <v/>
      </c>
      <c r="BO1667" s="82">
        <f>$AG1667-$AG1668</f>
        <v/>
      </c>
      <c r="BP1667" s="82">
        <f>$AJ1667-$AJ1668</f>
        <v/>
      </c>
    </row>
    <row r="1668">
      <c r="AR1668" s="81">
        <f>($G1668+($H1668-$G1668)*0.5)+($P1668-($O1668+($Q1668-$O1668)*0.5))</f>
        <v/>
      </c>
      <c r="AS1668" s="81">
        <f>($J1668+($K1668-$J1668)*0.5)+($T1668-($S1668+($U1668-$S1668)*0.5))</f>
        <v/>
      </c>
      <c r="AT1668" s="82">
        <f>($J1668-$C1668)*100</f>
        <v/>
      </c>
      <c r="AU1668" s="82">
        <f>($H1668-$F1668)*100</f>
        <v/>
      </c>
      <c r="AV1668" s="82">
        <f>($J1668-$F1668)*100</f>
        <v/>
      </c>
      <c r="AW1668" s="82">
        <f>($L1668-$F1668)*100</f>
        <v/>
      </c>
      <c r="AX1668" s="82">
        <f>($J1668-$H1668)*100</f>
        <v/>
      </c>
      <c r="AY1668" s="82">
        <f>($L1668-$H1668)*100</f>
        <v/>
      </c>
      <c r="AZ1668" s="82">
        <f>($L1668-$J1668)*100</f>
        <v/>
      </c>
      <c r="BA1668" s="82">
        <f>(2*$H1668-$F1668-$J1668)*100</f>
        <v/>
      </c>
      <c r="BB1668" s="82">
        <f>(2*$J1668-$H1668-$L1668)*100</f>
        <v/>
      </c>
      <c r="BC1668" s="82">
        <f>($N1668-$F1668)*100</f>
        <v/>
      </c>
      <c r="BD1668" s="82">
        <f>($Q1668-$H1668)*100</f>
        <v/>
      </c>
      <c r="BE1668" s="82">
        <f>($S1668-$J1668)*100</f>
        <v/>
      </c>
      <c r="BF1668" s="82">
        <f>($V1668-$L1668)*100</f>
        <v/>
      </c>
      <c r="BG1668" s="82">
        <f>$AG1668-$AF1668</f>
        <v/>
      </c>
      <c r="BH1668" s="81">
        <f>IFERROR($AG1668/$AF1668,"")</f>
        <v/>
      </c>
      <c r="BI1668" s="82">
        <f>$AJ1668-$AF1668</f>
        <v/>
      </c>
      <c r="BJ1668" s="81">
        <f>IFERROR($AJ1668/$AG1668,"")</f>
        <v/>
      </c>
      <c r="BK1668" s="81">
        <f>$X1668</f>
        <v/>
      </c>
      <c r="BL1668" s="82">
        <f>($J1668-$J1669)*100</f>
        <v/>
      </c>
      <c r="BM1668" s="82">
        <f>($F1668-$F1669)*100</f>
        <v/>
      </c>
      <c r="BN1668" s="82">
        <f>$AF1668-$AF1669</f>
        <v/>
      </c>
      <c r="BO1668" s="82">
        <f>$AG1668-$AG1669</f>
        <v/>
      </c>
      <c r="BP1668" s="82">
        <f>$AJ1668-$AJ1669</f>
        <v/>
      </c>
    </row>
    <row r="1669">
      <c r="AR1669" s="81">
        <f>($G1669+($H1669-$G1669)*0.5)+($P1669-($O1669+($Q1669-$O1669)*0.5))</f>
        <v/>
      </c>
      <c r="AS1669" s="81">
        <f>($J1669+($K1669-$J1669)*0.5)+($T1669-($S1669+($U1669-$S1669)*0.5))</f>
        <v/>
      </c>
      <c r="AT1669" s="82">
        <f>($J1669-$C1669)*100</f>
        <v/>
      </c>
      <c r="AU1669" s="82">
        <f>($H1669-$F1669)*100</f>
        <v/>
      </c>
      <c r="AV1669" s="82">
        <f>($J1669-$F1669)*100</f>
        <v/>
      </c>
      <c r="AW1669" s="82">
        <f>($L1669-$F1669)*100</f>
        <v/>
      </c>
      <c r="AX1669" s="82">
        <f>($J1669-$H1669)*100</f>
        <v/>
      </c>
      <c r="AY1669" s="82">
        <f>($L1669-$H1669)*100</f>
        <v/>
      </c>
      <c r="AZ1669" s="82">
        <f>($L1669-$J1669)*100</f>
        <v/>
      </c>
      <c r="BA1669" s="82">
        <f>(2*$H1669-$F1669-$J1669)*100</f>
        <v/>
      </c>
      <c r="BB1669" s="82">
        <f>(2*$J1669-$H1669-$L1669)*100</f>
        <v/>
      </c>
      <c r="BC1669" s="82">
        <f>($N1669-$F1669)*100</f>
        <v/>
      </c>
      <c r="BD1669" s="82">
        <f>($Q1669-$H1669)*100</f>
        <v/>
      </c>
      <c r="BE1669" s="82">
        <f>($S1669-$J1669)*100</f>
        <v/>
      </c>
      <c r="BF1669" s="82">
        <f>($V1669-$L1669)*100</f>
        <v/>
      </c>
      <c r="BG1669" s="82">
        <f>$AG1669-$AF1669</f>
        <v/>
      </c>
      <c r="BH1669" s="81">
        <f>IFERROR($AG1669/$AF1669,"")</f>
        <v/>
      </c>
      <c r="BI1669" s="82">
        <f>$AJ1669-$AF1669</f>
        <v/>
      </c>
      <c r="BJ1669" s="81">
        <f>IFERROR($AJ1669/$AG1669,"")</f>
        <v/>
      </c>
      <c r="BK1669" s="81">
        <f>$X1669</f>
        <v/>
      </c>
      <c r="BL1669" s="82">
        <f>($J1669-$J1670)*100</f>
        <v/>
      </c>
      <c r="BM1669" s="82">
        <f>($F1669-$F1670)*100</f>
        <v/>
      </c>
      <c r="BN1669" s="82">
        <f>$AF1669-$AF1670</f>
        <v/>
      </c>
      <c r="BO1669" s="82">
        <f>$AG1669-$AG1670</f>
        <v/>
      </c>
      <c r="BP1669" s="82">
        <f>$AJ1669-$AJ1670</f>
        <v/>
      </c>
    </row>
    <row r="1670">
      <c r="AR1670" s="81">
        <f>($G1670+($H1670-$G1670)*0.5)+($P1670-($O1670+($Q1670-$O1670)*0.5))</f>
        <v/>
      </c>
      <c r="AS1670" s="81">
        <f>($J1670+($K1670-$J1670)*0.5)+($T1670-($S1670+($U1670-$S1670)*0.5))</f>
        <v/>
      </c>
      <c r="AT1670" s="82">
        <f>($J1670-$C1670)*100</f>
        <v/>
      </c>
      <c r="AU1670" s="82">
        <f>($H1670-$F1670)*100</f>
        <v/>
      </c>
      <c r="AV1670" s="82">
        <f>($J1670-$F1670)*100</f>
        <v/>
      </c>
      <c r="AW1670" s="82">
        <f>($L1670-$F1670)*100</f>
        <v/>
      </c>
      <c r="AX1670" s="82">
        <f>($J1670-$H1670)*100</f>
        <v/>
      </c>
      <c r="AY1670" s="82">
        <f>($L1670-$H1670)*100</f>
        <v/>
      </c>
      <c r="AZ1670" s="82">
        <f>($L1670-$J1670)*100</f>
        <v/>
      </c>
      <c r="BA1670" s="82">
        <f>(2*$H1670-$F1670-$J1670)*100</f>
        <v/>
      </c>
      <c r="BB1670" s="82">
        <f>(2*$J1670-$H1670-$L1670)*100</f>
        <v/>
      </c>
      <c r="BC1670" s="82">
        <f>($N1670-$F1670)*100</f>
        <v/>
      </c>
      <c r="BD1670" s="82">
        <f>($Q1670-$H1670)*100</f>
        <v/>
      </c>
      <c r="BE1670" s="82">
        <f>($S1670-$J1670)*100</f>
        <v/>
      </c>
      <c r="BF1670" s="82">
        <f>($V1670-$L1670)*100</f>
        <v/>
      </c>
      <c r="BG1670" s="82">
        <f>$AG1670-$AF1670</f>
        <v/>
      </c>
      <c r="BH1670" s="81">
        <f>IFERROR($AG1670/$AF1670,"")</f>
        <v/>
      </c>
      <c r="BI1670" s="82">
        <f>$AJ1670-$AF1670</f>
        <v/>
      </c>
      <c r="BJ1670" s="81">
        <f>IFERROR($AJ1670/$AG1670,"")</f>
        <v/>
      </c>
      <c r="BK1670" s="81">
        <f>$X1670</f>
        <v/>
      </c>
      <c r="BL1670" s="82">
        <f>($J1670-$J1671)*100</f>
        <v/>
      </c>
      <c r="BM1670" s="82">
        <f>($F1670-$F1671)*100</f>
        <v/>
      </c>
      <c r="BN1670" s="82">
        <f>$AF1670-$AF1671</f>
        <v/>
      </c>
      <c r="BO1670" s="82">
        <f>$AG1670-$AG1671</f>
        <v/>
      </c>
      <c r="BP1670" s="82">
        <f>$AJ1670-$AJ1671</f>
        <v/>
      </c>
    </row>
    <row r="1671">
      <c r="AR1671" s="81">
        <f>($G1671+($H1671-$G1671)*0.5)+($P1671-($O1671+($Q1671-$O1671)*0.5))</f>
        <v/>
      </c>
      <c r="AS1671" s="81">
        <f>($J1671+($K1671-$J1671)*0.5)+($T1671-($S1671+($U1671-$S1671)*0.5))</f>
        <v/>
      </c>
      <c r="AT1671" s="82">
        <f>($J1671-$C1671)*100</f>
        <v/>
      </c>
      <c r="AU1671" s="82">
        <f>($H1671-$F1671)*100</f>
        <v/>
      </c>
      <c r="AV1671" s="82">
        <f>($J1671-$F1671)*100</f>
        <v/>
      </c>
      <c r="AW1671" s="82">
        <f>($L1671-$F1671)*100</f>
        <v/>
      </c>
      <c r="AX1671" s="82">
        <f>($J1671-$H1671)*100</f>
        <v/>
      </c>
      <c r="AY1671" s="82">
        <f>($L1671-$H1671)*100</f>
        <v/>
      </c>
      <c r="AZ1671" s="82">
        <f>($L1671-$J1671)*100</f>
        <v/>
      </c>
      <c r="BA1671" s="82">
        <f>(2*$H1671-$F1671-$J1671)*100</f>
        <v/>
      </c>
      <c r="BB1671" s="82">
        <f>(2*$J1671-$H1671-$L1671)*100</f>
        <v/>
      </c>
      <c r="BC1671" s="82">
        <f>($N1671-$F1671)*100</f>
        <v/>
      </c>
      <c r="BD1671" s="82">
        <f>($Q1671-$H1671)*100</f>
        <v/>
      </c>
      <c r="BE1671" s="82">
        <f>($S1671-$J1671)*100</f>
        <v/>
      </c>
      <c r="BF1671" s="82">
        <f>($V1671-$L1671)*100</f>
        <v/>
      </c>
      <c r="BG1671" s="82">
        <f>$AG1671-$AF1671</f>
        <v/>
      </c>
      <c r="BH1671" s="81">
        <f>IFERROR($AG1671/$AF1671,"")</f>
        <v/>
      </c>
      <c r="BI1671" s="82">
        <f>$AJ1671-$AF1671</f>
        <v/>
      </c>
      <c r="BJ1671" s="81">
        <f>IFERROR($AJ1671/$AG1671,"")</f>
        <v/>
      </c>
      <c r="BK1671" s="81">
        <f>$X1671</f>
        <v/>
      </c>
      <c r="BL1671" s="82">
        <f>($J1671-$J1672)*100</f>
        <v/>
      </c>
      <c r="BM1671" s="82">
        <f>($F1671-$F1672)*100</f>
        <v/>
      </c>
      <c r="BN1671" s="82">
        <f>$AF1671-$AF1672</f>
        <v/>
      </c>
      <c r="BO1671" s="82">
        <f>$AG1671-$AG1672</f>
        <v/>
      </c>
      <c r="BP1671" s="82">
        <f>$AJ1671-$AJ1672</f>
        <v/>
      </c>
    </row>
    <row r="1672">
      <c r="AR1672" s="81">
        <f>($G1672+($H1672-$G1672)*0.5)+($P1672-($O1672+($Q1672-$O1672)*0.5))</f>
        <v/>
      </c>
      <c r="AS1672" s="81">
        <f>($J1672+($K1672-$J1672)*0.5)+($T1672-($S1672+($U1672-$S1672)*0.5))</f>
        <v/>
      </c>
      <c r="AT1672" s="82">
        <f>($J1672-$C1672)*100</f>
        <v/>
      </c>
      <c r="AU1672" s="82">
        <f>($H1672-$F1672)*100</f>
        <v/>
      </c>
      <c r="AV1672" s="82">
        <f>($J1672-$F1672)*100</f>
        <v/>
      </c>
      <c r="AW1672" s="82">
        <f>($L1672-$F1672)*100</f>
        <v/>
      </c>
      <c r="AX1672" s="82">
        <f>($J1672-$H1672)*100</f>
        <v/>
      </c>
      <c r="AY1672" s="82">
        <f>($L1672-$H1672)*100</f>
        <v/>
      </c>
      <c r="AZ1672" s="82">
        <f>($L1672-$J1672)*100</f>
        <v/>
      </c>
      <c r="BA1672" s="82">
        <f>(2*$H1672-$F1672-$J1672)*100</f>
        <v/>
      </c>
      <c r="BB1672" s="82">
        <f>(2*$J1672-$H1672-$L1672)*100</f>
        <v/>
      </c>
      <c r="BC1672" s="82">
        <f>($N1672-$F1672)*100</f>
        <v/>
      </c>
      <c r="BD1672" s="82">
        <f>($Q1672-$H1672)*100</f>
        <v/>
      </c>
      <c r="BE1672" s="82">
        <f>($S1672-$J1672)*100</f>
        <v/>
      </c>
      <c r="BF1672" s="82">
        <f>($V1672-$L1672)*100</f>
        <v/>
      </c>
      <c r="BG1672" s="82">
        <f>$AG1672-$AF1672</f>
        <v/>
      </c>
      <c r="BH1672" s="81">
        <f>IFERROR($AG1672/$AF1672,"")</f>
        <v/>
      </c>
      <c r="BI1672" s="82">
        <f>$AJ1672-$AF1672</f>
        <v/>
      </c>
      <c r="BJ1672" s="81">
        <f>IFERROR($AJ1672/$AG1672,"")</f>
        <v/>
      </c>
      <c r="BK1672" s="81">
        <f>$X1672</f>
        <v/>
      </c>
      <c r="BL1672" s="82">
        <f>($J1672-$J1673)*100</f>
        <v/>
      </c>
      <c r="BM1672" s="82">
        <f>($F1672-$F1673)*100</f>
        <v/>
      </c>
      <c r="BN1672" s="82">
        <f>$AF1672-$AF1673</f>
        <v/>
      </c>
      <c r="BO1672" s="82">
        <f>$AG1672-$AG1673</f>
        <v/>
      </c>
      <c r="BP1672" s="82">
        <f>$AJ1672-$AJ1673</f>
        <v/>
      </c>
    </row>
    <row r="1673">
      <c r="AR1673" s="81">
        <f>($G1673+($H1673-$G1673)*0.5)+($P1673-($O1673+($Q1673-$O1673)*0.5))</f>
        <v/>
      </c>
      <c r="AS1673" s="81">
        <f>($J1673+($K1673-$J1673)*0.5)+($T1673-($S1673+($U1673-$S1673)*0.5))</f>
        <v/>
      </c>
      <c r="AT1673" s="82">
        <f>($J1673-$C1673)*100</f>
        <v/>
      </c>
      <c r="AU1673" s="82">
        <f>($H1673-$F1673)*100</f>
        <v/>
      </c>
      <c r="AV1673" s="82">
        <f>($J1673-$F1673)*100</f>
        <v/>
      </c>
      <c r="AW1673" s="82">
        <f>($L1673-$F1673)*100</f>
        <v/>
      </c>
      <c r="AX1673" s="82">
        <f>($J1673-$H1673)*100</f>
        <v/>
      </c>
      <c r="AY1673" s="82">
        <f>($L1673-$H1673)*100</f>
        <v/>
      </c>
      <c r="AZ1673" s="82">
        <f>($L1673-$J1673)*100</f>
        <v/>
      </c>
      <c r="BA1673" s="82">
        <f>(2*$H1673-$F1673-$J1673)*100</f>
        <v/>
      </c>
      <c r="BB1673" s="82">
        <f>(2*$J1673-$H1673-$L1673)*100</f>
        <v/>
      </c>
      <c r="BC1673" s="82">
        <f>($N1673-$F1673)*100</f>
        <v/>
      </c>
      <c r="BD1673" s="82">
        <f>($Q1673-$H1673)*100</f>
        <v/>
      </c>
      <c r="BE1673" s="82">
        <f>($S1673-$J1673)*100</f>
        <v/>
      </c>
      <c r="BF1673" s="82">
        <f>($V1673-$L1673)*100</f>
        <v/>
      </c>
      <c r="BG1673" s="82">
        <f>$AG1673-$AF1673</f>
        <v/>
      </c>
      <c r="BH1673" s="81">
        <f>IFERROR($AG1673/$AF1673,"")</f>
        <v/>
      </c>
      <c r="BI1673" s="82">
        <f>$AJ1673-$AF1673</f>
        <v/>
      </c>
      <c r="BJ1673" s="81">
        <f>IFERROR($AJ1673/$AG1673,"")</f>
        <v/>
      </c>
      <c r="BK1673" s="81">
        <f>$X1673</f>
        <v/>
      </c>
      <c r="BL1673" s="82">
        <f>($J1673-$J1674)*100</f>
        <v/>
      </c>
      <c r="BM1673" s="82">
        <f>($F1673-$F1674)*100</f>
        <v/>
      </c>
      <c r="BN1673" s="82">
        <f>$AF1673-$AF1674</f>
        <v/>
      </c>
      <c r="BO1673" s="82">
        <f>$AG1673-$AG1674</f>
        <v/>
      </c>
      <c r="BP1673" s="82">
        <f>$AJ1673-$AJ1674</f>
        <v/>
      </c>
    </row>
    <row r="1674">
      <c r="AR1674" s="81">
        <f>($G1674+($H1674-$G1674)*0.5)+($P1674-($O1674+($Q1674-$O1674)*0.5))</f>
        <v/>
      </c>
      <c r="AS1674" s="81">
        <f>($J1674+($K1674-$J1674)*0.5)+($T1674-($S1674+($U1674-$S1674)*0.5))</f>
        <v/>
      </c>
      <c r="AT1674" s="82">
        <f>($J1674-$C1674)*100</f>
        <v/>
      </c>
      <c r="AU1674" s="82">
        <f>($H1674-$F1674)*100</f>
        <v/>
      </c>
      <c r="AV1674" s="82">
        <f>($J1674-$F1674)*100</f>
        <v/>
      </c>
      <c r="AW1674" s="82">
        <f>($L1674-$F1674)*100</f>
        <v/>
      </c>
      <c r="AX1674" s="82">
        <f>($J1674-$H1674)*100</f>
        <v/>
      </c>
      <c r="AY1674" s="82">
        <f>($L1674-$H1674)*100</f>
        <v/>
      </c>
      <c r="AZ1674" s="82">
        <f>($L1674-$J1674)*100</f>
        <v/>
      </c>
      <c r="BA1674" s="82">
        <f>(2*$H1674-$F1674-$J1674)*100</f>
        <v/>
      </c>
      <c r="BB1674" s="82">
        <f>(2*$J1674-$H1674-$L1674)*100</f>
        <v/>
      </c>
      <c r="BC1674" s="82">
        <f>($N1674-$F1674)*100</f>
        <v/>
      </c>
      <c r="BD1674" s="82">
        <f>($Q1674-$H1674)*100</f>
        <v/>
      </c>
      <c r="BE1674" s="82">
        <f>($S1674-$J1674)*100</f>
        <v/>
      </c>
      <c r="BF1674" s="82">
        <f>($V1674-$L1674)*100</f>
        <v/>
      </c>
      <c r="BG1674" s="82">
        <f>$AG1674-$AF1674</f>
        <v/>
      </c>
      <c r="BH1674" s="81">
        <f>IFERROR($AG1674/$AF1674,"")</f>
        <v/>
      </c>
      <c r="BI1674" s="82">
        <f>$AJ1674-$AF1674</f>
        <v/>
      </c>
      <c r="BJ1674" s="81">
        <f>IFERROR($AJ1674/$AG1674,"")</f>
        <v/>
      </c>
      <c r="BK1674" s="81">
        <f>$X1674</f>
        <v/>
      </c>
      <c r="BL1674" s="82">
        <f>($J1674-$J1675)*100</f>
        <v/>
      </c>
      <c r="BM1674" s="82">
        <f>($F1674-$F1675)*100</f>
        <v/>
      </c>
      <c r="BN1674" s="82">
        <f>$AF1674-$AF1675</f>
        <v/>
      </c>
      <c r="BO1674" s="82">
        <f>$AG1674-$AG1675</f>
        <v/>
      </c>
      <c r="BP1674" s="82">
        <f>$AJ1674-$AJ1675</f>
        <v/>
      </c>
    </row>
    <row r="1675">
      <c r="AR1675" s="81">
        <f>($G1675+($H1675-$G1675)*0.5)+($P1675-($O1675+($Q1675-$O1675)*0.5))</f>
        <v/>
      </c>
      <c r="AS1675" s="81">
        <f>($J1675+($K1675-$J1675)*0.5)+($T1675-($S1675+($U1675-$S1675)*0.5))</f>
        <v/>
      </c>
      <c r="AT1675" s="82">
        <f>($J1675-$C1675)*100</f>
        <v/>
      </c>
      <c r="AU1675" s="82">
        <f>($H1675-$F1675)*100</f>
        <v/>
      </c>
      <c r="AV1675" s="82">
        <f>($J1675-$F1675)*100</f>
        <v/>
      </c>
      <c r="AW1675" s="82">
        <f>($L1675-$F1675)*100</f>
        <v/>
      </c>
      <c r="AX1675" s="82">
        <f>($J1675-$H1675)*100</f>
        <v/>
      </c>
      <c r="AY1675" s="82">
        <f>($L1675-$H1675)*100</f>
        <v/>
      </c>
      <c r="AZ1675" s="82">
        <f>($L1675-$J1675)*100</f>
        <v/>
      </c>
      <c r="BA1675" s="82">
        <f>(2*$H1675-$F1675-$J1675)*100</f>
        <v/>
      </c>
      <c r="BB1675" s="82">
        <f>(2*$J1675-$H1675-$L1675)*100</f>
        <v/>
      </c>
      <c r="BC1675" s="82">
        <f>($N1675-$F1675)*100</f>
        <v/>
      </c>
      <c r="BD1675" s="82">
        <f>($Q1675-$H1675)*100</f>
        <v/>
      </c>
      <c r="BE1675" s="82">
        <f>($S1675-$J1675)*100</f>
        <v/>
      </c>
      <c r="BF1675" s="82">
        <f>($V1675-$L1675)*100</f>
        <v/>
      </c>
      <c r="BG1675" s="82">
        <f>$AG1675-$AF1675</f>
        <v/>
      </c>
      <c r="BH1675" s="81">
        <f>IFERROR($AG1675/$AF1675,"")</f>
        <v/>
      </c>
      <c r="BI1675" s="82">
        <f>$AJ1675-$AF1675</f>
        <v/>
      </c>
      <c r="BJ1675" s="81">
        <f>IFERROR($AJ1675/$AG1675,"")</f>
        <v/>
      </c>
      <c r="BK1675" s="81">
        <f>$X1675</f>
        <v/>
      </c>
      <c r="BL1675" s="82">
        <f>($J1675-$J1676)*100</f>
        <v/>
      </c>
      <c r="BM1675" s="82">
        <f>($F1675-$F1676)*100</f>
        <v/>
      </c>
      <c r="BN1675" s="82">
        <f>$AF1675-$AF1676</f>
        <v/>
      </c>
      <c r="BO1675" s="82">
        <f>$AG1675-$AG1676</f>
        <v/>
      </c>
      <c r="BP1675" s="82">
        <f>$AJ1675-$AJ1676</f>
        <v/>
      </c>
    </row>
    <row r="1676">
      <c r="AR1676" s="81">
        <f>($G1676+($H1676-$G1676)*0.5)+($P1676-($O1676+($Q1676-$O1676)*0.5))</f>
        <v/>
      </c>
      <c r="AS1676" s="81">
        <f>($J1676+($K1676-$J1676)*0.5)+($T1676-($S1676+($U1676-$S1676)*0.5))</f>
        <v/>
      </c>
      <c r="AT1676" s="82">
        <f>($J1676-$C1676)*100</f>
        <v/>
      </c>
      <c r="AU1676" s="82">
        <f>($H1676-$F1676)*100</f>
        <v/>
      </c>
      <c r="AV1676" s="82">
        <f>($J1676-$F1676)*100</f>
        <v/>
      </c>
      <c r="AW1676" s="82">
        <f>($L1676-$F1676)*100</f>
        <v/>
      </c>
      <c r="AX1676" s="82">
        <f>($J1676-$H1676)*100</f>
        <v/>
      </c>
      <c r="AY1676" s="82">
        <f>($L1676-$H1676)*100</f>
        <v/>
      </c>
      <c r="AZ1676" s="82">
        <f>($L1676-$J1676)*100</f>
        <v/>
      </c>
      <c r="BA1676" s="82">
        <f>(2*$H1676-$F1676-$J1676)*100</f>
        <v/>
      </c>
      <c r="BB1676" s="82">
        <f>(2*$J1676-$H1676-$L1676)*100</f>
        <v/>
      </c>
      <c r="BC1676" s="82">
        <f>($N1676-$F1676)*100</f>
        <v/>
      </c>
      <c r="BD1676" s="82">
        <f>($Q1676-$H1676)*100</f>
        <v/>
      </c>
      <c r="BE1676" s="82">
        <f>($S1676-$J1676)*100</f>
        <v/>
      </c>
      <c r="BF1676" s="82">
        <f>($V1676-$L1676)*100</f>
        <v/>
      </c>
      <c r="BG1676" s="82">
        <f>$AG1676-$AF1676</f>
        <v/>
      </c>
      <c r="BH1676" s="81">
        <f>IFERROR($AG1676/$AF1676,"")</f>
        <v/>
      </c>
      <c r="BI1676" s="82">
        <f>$AJ1676-$AF1676</f>
        <v/>
      </c>
      <c r="BJ1676" s="81">
        <f>IFERROR($AJ1676/$AG1676,"")</f>
        <v/>
      </c>
      <c r="BK1676" s="81">
        <f>$X1676</f>
        <v/>
      </c>
      <c r="BL1676" s="82">
        <f>($J1676-$J1677)*100</f>
        <v/>
      </c>
      <c r="BM1676" s="82">
        <f>($F1676-$F1677)*100</f>
        <v/>
      </c>
      <c r="BN1676" s="82">
        <f>$AF1676-$AF1677</f>
        <v/>
      </c>
      <c r="BO1676" s="82">
        <f>$AG1676-$AG1677</f>
        <v/>
      </c>
      <c r="BP1676" s="82">
        <f>$AJ1676-$AJ1677</f>
        <v/>
      </c>
    </row>
    <row r="1677">
      <c r="AR1677" s="81">
        <f>($G1677+($H1677-$G1677)*0.5)+($P1677-($O1677+($Q1677-$O1677)*0.5))</f>
        <v/>
      </c>
      <c r="AS1677" s="81">
        <f>($J1677+($K1677-$J1677)*0.5)+($T1677-($S1677+($U1677-$S1677)*0.5))</f>
        <v/>
      </c>
      <c r="AT1677" s="82">
        <f>($J1677-$C1677)*100</f>
        <v/>
      </c>
      <c r="AU1677" s="82">
        <f>($H1677-$F1677)*100</f>
        <v/>
      </c>
      <c r="AV1677" s="82">
        <f>($J1677-$F1677)*100</f>
        <v/>
      </c>
      <c r="AW1677" s="82">
        <f>($L1677-$F1677)*100</f>
        <v/>
      </c>
      <c r="AX1677" s="82">
        <f>($J1677-$H1677)*100</f>
        <v/>
      </c>
      <c r="AY1677" s="82">
        <f>($L1677-$H1677)*100</f>
        <v/>
      </c>
      <c r="AZ1677" s="82">
        <f>($L1677-$J1677)*100</f>
        <v/>
      </c>
      <c r="BA1677" s="82">
        <f>(2*$H1677-$F1677-$J1677)*100</f>
        <v/>
      </c>
      <c r="BB1677" s="82">
        <f>(2*$J1677-$H1677-$L1677)*100</f>
        <v/>
      </c>
      <c r="BC1677" s="82">
        <f>($N1677-$F1677)*100</f>
        <v/>
      </c>
      <c r="BD1677" s="82">
        <f>($Q1677-$H1677)*100</f>
        <v/>
      </c>
      <c r="BE1677" s="82">
        <f>($S1677-$J1677)*100</f>
        <v/>
      </c>
      <c r="BF1677" s="82">
        <f>($V1677-$L1677)*100</f>
        <v/>
      </c>
      <c r="BG1677" s="82">
        <f>$AG1677-$AF1677</f>
        <v/>
      </c>
      <c r="BH1677" s="81">
        <f>IFERROR($AG1677/$AF1677,"")</f>
        <v/>
      </c>
      <c r="BI1677" s="82">
        <f>$AJ1677-$AF1677</f>
        <v/>
      </c>
      <c r="BJ1677" s="81">
        <f>IFERROR($AJ1677/$AG1677,"")</f>
        <v/>
      </c>
      <c r="BK1677" s="81">
        <f>$X1677</f>
        <v/>
      </c>
      <c r="BL1677" s="82">
        <f>($J1677-$J1678)*100</f>
        <v/>
      </c>
      <c r="BM1677" s="82">
        <f>($F1677-$F1678)*100</f>
        <v/>
      </c>
      <c r="BN1677" s="82">
        <f>$AF1677-$AF1678</f>
        <v/>
      </c>
      <c r="BO1677" s="82">
        <f>$AG1677-$AG1678</f>
        <v/>
      </c>
      <c r="BP1677" s="82">
        <f>$AJ1677-$AJ1678</f>
        <v/>
      </c>
    </row>
    <row r="1678">
      <c r="AR1678" s="81">
        <f>($G1678+($H1678-$G1678)*0.5)+($P1678-($O1678+($Q1678-$O1678)*0.5))</f>
        <v/>
      </c>
      <c r="AS1678" s="81">
        <f>($J1678+($K1678-$J1678)*0.5)+($T1678-($S1678+($U1678-$S1678)*0.5))</f>
        <v/>
      </c>
      <c r="AT1678" s="82">
        <f>($J1678-$C1678)*100</f>
        <v/>
      </c>
      <c r="AU1678" s="82">
        <f>($H1678-$F1678)*100</f>
        <v/>
      </c>
      <c r="AV1678" s="82">
        <f>($J1678-$F1678)*100</f>
        <v/>
      </c>
      <c r="AW1678" s="82">
        <f>($L1678-$F1678)*100</f>
        <v/>
      </c>
      <c r="AX1678" s="82">
        <f>($J1678-$H1678)*100</f>
        <v/>
      </c>
      <c r="AY1678" s="82">
        <f>($L1678-$H1678)*100</f>
        <v/>
      </c>
      <c r="AZ1678" s="82">
        <f>($L1678-$J1678)*100</f>
        <v/>
      </c>
      <c r="BA1678" s="82">
        <f>(2*$H1678-$F1678-$J1678)*100</f>
        <v/>
      </c>
      <c r="BB1678" s="82">
        <f>(2*$J1678-$H1678-$L1678)*100</f>
        <v/>
      </c>
      <c r="BC1678" s="82">
        <f>($N1678-$F1678)*100</f>
        <v/>
      </c>
      <c r="BD1678" s="82">
        <f>($Q1678-$H1678)*100</f>
        <v/>
      </c>
      <c r="BE1678" s="82">
        <f>($S1678-$J1678)*100</f>
        <v/>
      </c>
      <c r="BF1678" s="82">
        <f>($V1678-$L1678)*100</f>
        <v/>
      </c>
      <c r="BG1678" s="82">
        <f>$AG1678-$AF1678</f>
        <v/>
      </c>
      <c r="BH1678" s="81">
        <f>IFERROR($AG1678/$AF1678,"")</f>
        <v/>
      </c>
      <c r="BI1678" s="82">
        <f>$AJ1678-$AF1678</f>
        <v/>
      </c>
      <c r="BJ1678" s="81">
        <f>IFERROR($AJ1678/$AG1678,"")</f>
        <v/>
      </c>
      <c r="BK1678" s="81">
        <f>$X1678</f>
        <v/>
      </c>
      <c r="BL1678" s="82">
        <f>($J1678-$J1679)*100</f>
        <v/>
      </c>
      <c r="BM1678" s="82">
        <f>($F1678-$F1679)*100</f>
        <v/>
      </c>
      <c r="BN1678" s="82">
        <f>$AF1678-$AF1679</f>
        <v/>
      </c>
      <c r="BO1678" s="82">
        <f>$AG1678-$AG1679</f>
        <v/>
      </c>
      <c r="BP1678" s="82">
        <f>$AJ1678-$AJ1679</f>
        <v/>
      </c>
    </row>
    <row r="1679">
      <c r="AR1679" s="81">
        <f>($G1679+($H1679-$G1679)*0.5)+($P1679-($O1679+($Q1679-$O1679)*0.5))</f>
        <v/>
      </c>
      <c r="AS1679" s="81">
        <f>($J1679+($K1679-$J1679)*0.5)+($T1679-($S1679+($U1679-$S1679)*0.5))</f>
        <v/>
      </c>
      <c r="AT1679" s="82">
        <f>($J1679-$C1679)*100</f>
        <v/>
      </c>
      <c r="AU1679" s="82">
        <f>($H1679-$F1679)*100</f>
        <v/>
      </c>
      <c r="AV1679" s="82">
        <f>($J1679-$F1679)*100</f>
        <v/>
      </c>
      <c r="AW1679" s="82">
        <f>($L1679-$F1679)*100</f>
        <v/>
      </c>
      <c r="AX1679" s="82">
        <f>($J1679-$H1679)*100</f>
        <v/>
      </c>
      <c r="AY1679" s="82">
        <f>($L1679-$H1679)*100</f>
        <v/>
      </c>
      <c r="AZ1679" s="82">
        <f>($L1679-$J1679)*100</f>
        <v/>
      </c>
      <c r="BA1679" s="82">
        <f>(2*$H1679-$F1679-$J1679)*100</f>
        <v/>
      </c>
      <c r="BB1679" s="82">
        <f>(2*$J1679-$H1679-$L1679)*100</f>
        <v/>
      </c>
      <c r="BC1679" s="82">
        <f>($N1679-$F1679)*100</f>
        <v/>
      </c>
      <c r="BD1679" s="82">
        <f>($Q1679-$H1679)*100</f>
        <v/>
      </c>
      <c r="BE1679" s="82">
        <f>($S1679-$J1679)*100</f>
        <v/>
      </c>
      <c r="BF1679" s="82">
        <f>($V1679-$L1679)*100</f>
        <v/>
      </c>
      <c r="BG1679" s="82">
        <f>$AG1679-$AF1679</f>
        <v/>
      </c>
      <c r="BH1679" s="81">
        <f>IFERROR($AG1679/$AF1679,"")</f>
        <v/>
      </c>
      <c r="BI1679" s="82">
        <f>$AJ1679-$AF1679</f>
        <v/>
      </c>
      <c r="BJ1679" s="81">
        <f>IFERROR($AJ1679/$AG1679,"")</f>
        <v/>
      </c>
      <c r="BK1679" s="81">
        <f>$X1679</f>
        <v/>
      </c>
      <c r="BL1679" s="82">
        <f>($J1679-$J1680)*100</f>
        <v/>
      </c>
      <c r="BM1679" s="82">
        <f>($F1679-$F1680)*100</f>
        <v/>
      </c>
      <c r="BN1679" s="82">
        <f>$AF1679-$AF1680</f>
        <v/>
      </c>
      <c r="BO1679" s="82">
        <f>$AG1679-$AG1680</f>
        <v/>
      </c>
      <c r="BP1679" s="82">
        <f>$AJ1679-$AJ1680</f>
        <v/>
      </c>
    </row>
    <row r="1680">
      <c r="AR1680" s="81">
        <f>($G1680+($H1680-$G1680)*0.5)+($P1680-($O1680+($Q1680-$O1680)*0.5))</f>
        <v/>
      </c>
      <c r="AS1680" s="81">
        <f>($J1680+($K1680-$J1680)*0.5)+($T1680-($S1680+($U1680-$S1680)*0.5))</f>
        <v/>
      </c>
      <c r="AT1680" s="82">
        <f>($J1680-$C1680)*100</f>
        <v/>
      </c>
      <c r="AU1680" s="82">
        <f>($H1680-$F1680)*100</f>
        <v/>
      </c>
      <c r="AV1680" s="82">
        <f>($J1680-$F1680)*100</f>
        <v/>
      </c>
      <c r="AW1680" s="82">
        <f>($L1680-$F1680)*100</f>
        <v/>
      </c>
      <c r="AX1680" s="82">
        <f>($J1680-$H1680)*100</f>
        <v/>
      </c>
      <c r="AY1680" s="82">
        <f>($L1680-$H1680)*100</f>
        <v/>
      </c>
      <c r="AZ1680" s="82">
        <f>($L1680-$J1680)*100</f>
        <v/>
      </c>
      <c r="BA1680" s="82">
        <f>(2*$H1680-$F1680-$J1680)*100</f>
        <v/>
      </c>
      <c r="BB1680" s="82">
        <f>(2*$J1680-$H1680-$L1680)*100</f>
        <v/>
      </c>
      <c r="BC1680" s="82">
        <f>($N1680-$F1680)*100</f>
        <v/>
      </c>
      <c r="BD1680" s="82">
        <f>($Q1680-$H1680)*100</f>
        <v/>
      </c>
      <c r="BE1680" s="82">
        <f>($S1680-$J1680)*100</f>
        <v/>
      </c>
      <c r="BF1680" s="82">
        <f>($V1680-$L1680)*100</f>
        <v/>
      </c>
      <c r="BG1680" s="82">
        <f>$AG1680-$AF1680</f>
        <v/>
      </c>
      <c r="BH1680" s="81">
        <f>IFERROR($AG1680/$AF1680,"")</f>
        <v/>
      </c>
      <c r="BI1680" s="82">
        <f>$AJ1680-$AF1680</f>
        <v/>
      </c>
      <c r="BJ1680" s="81">
        <f>IFERROR($AJ1680/$AG1680,"")</f>
        <v/>
      </c>
      <c r="BK1680" s="81">
        <f>$X1680</f>
        <v/>
      </c>
      <c r="BL1680" s="82">
        <f>($J1680-$J1681)*100</f>
        <v/>
      </c>
      <c r="BM1680" s="82">
        <f>($F1680-$F1681)*100</f>
        <v/>
      </c>
      <c r="BN1680" s="82">
        <f>$AF1680-$AF1681</f>
        <v/>
      </c>
      <c r="BO1680" s="82">
        <f>$AG1680-$AG1681</f>
        <v/>
      </c>
      <c r="BP1680" s="82">
        <f>$AJ1680-$AJ1681</f>
        <v/>
      </c>
    </row>
    <row r="1681">
      <c r="AR1681" s="81">
        <f>($G1681+($H1681-$G1681)*0.5)+($P1681-($O1681+($Q1681-$O1681)*0.5))</f>
        <v/>
      </c>
      <c r="AS1681" s="81">
        <f>($J1681+($K1681-$J1681)*0.5)+($T1681-($S1681+($U1681-$S1681)*0.5))</f>
        <v/>
      </c>
      <c r="AT1681" s="82">
        <f>($J1681-$C1681)*100</f>
        <v/>
      </c>
      <c r="AU1681" s="82">
        <f>($H1681-$F1681)*100</f>
        <v/>
      </c>
      <c r="AV1681" s="82">
        <f>($J1681-$F1681)*100</f>
        <v/>
      </c>
      <c r="AW1681" s="82">
        <f>($L1681-$F1681)*100</f>
        <v/>
      </c>
      <c r="AX1681" s="82">
        <f>($J1681-$H1681)*100</f>
        <v/>
      </c>
      <c r="AY1681" s="82">
        <f>($L1681-$H1681)*100</f>
        <v/>
      </c>
      <c r="AZ1681" s="82">
        <f>($L1681-$J1681)*100</f>
        <v/>
      </c>
      <c r="BA1681" s="82">
        <f>(2*$H1681-$F1681-$J1681)*100</f>
        <v/>
      </c>
      <c r="BB1681" s="82">
        <f>(2*$J1681-$H1681-$L1681)*100</f>
        <v/>
      </c>
      <c r="BC1681" s="82">
        <f>($N1681-$F1681)*100</f>
        <v/>
      </c>
      <c r="BD1681" s="82">
        <f>($Q1681-$H1681)*100</f>
        <v/>
      </c>
      <c r="BE1681" s="82">
        <f>($S1681-$J1681)*100</f>
        <v/>
      </c>
      <c r="BF1681" s="82">
        <f>($V1681-$L1681)*100</f>
        <v/>
      </c>
      <c r="BG1681" s="82">
        <f>$AG1681-$AF1681</f>
        <v/>
      </c>
      <c r="BH1681" s="81">
        <f>IFERROR($AG1681/$AF1681,"")</f>
        <v/>
      </c>
      <c r="BI1681" s="82">
        <f>$AJ1681-$AF1681</f>
        <v/>
      </c>
      <c r="BJ1681" s="81">
        <f>IFERROR($AJ1681/$AG1681,"")</f>
        <v/>
      </c>
      <c r="BK1681" s="81">
        <f>$X1681</f>
        <v/>
      </c>
      <c r="BL1681" s="82">
        <f>($J1681-$J1682)*100</f>
        <v/>
      </c>
      <c r="BM1681" s="82">
        <f>($F1681-$F1682)*100</f>
        <v/>
      </c>
      <c r="BN1681" s="82">
        <f>$AF1681-$AF1682</f>
        <v/>
      </c>
      <c r="BO1681" s="82">
        <f>$AG1681-$AG1682</f>
        <v/>
      </c>
      <c r="BP1681" s="82">
        <f>$AJ1681-$AJ1682</f>
        <v/>
      </c>
    </row>
    <row r="1682">
      <c r="AR1682" s="81">
        <f>($G1682+($H1682-$G1682)*0.5)+($P1682-($O1682+($Q1682-$O1682)*0.5))</f>
        <v/>
      </c>
      <c r="AS1682" s="81">
        <f>($J1682+($K1682-$J1682)*0.5)+($T1682-($S1682+($U1682-$S1682)*0.5))</f>
        <v/>
      </c>
      <c r="AT1682" s="82">
        <f>($J1682-$C1682)*100</f>
        <v/>
      </c>
      <c r="AU1682" s="82">
        <f>($H1682-$F1682)*100</f>
        <v/>
      </c>
      <c r="AV1682" s="82">
        <f>($J1682-$F1682)*100</f>
        <v/>
      </c>
      <c r="AW1682" s="82">
        <f>($L1682-$F1682)*100</f>
        <v/>
      </c>
      <c r="AX1682" s="82">
        <f>($J1682-$H1682)*100</f>
        <v/>
      </c>
      <c r="AY1682" s="82">
        <f>($L1682-$H1682)*100</f>
        <v/>
      </c>
      <c r="AZ1682" s="82">
        <f>($L1682-$J1682)*100</f>
        <v/>
      </c>
      <c r="BA1682" s="82">
        <f>(2*$H1682-$F1682-$J1682)*100</f>
        <v/>
      </c>
      <c r="BB1682" s="82">
        <f>(2*$J1682-$H1682-$L1682)*100</f>
        <v/>
      </c>
      <c r="BC1682" s="82">
        <f>($N1682-$F1682)*100</f>
        <v/>
      </c>
      <c r="BD1682" s="82">
        <f>($Q1682-$H1682)*100</f>
        <v/>
      </c>
      <c r="BE1682" s="82">
        <f>($S1682-$J1682)*100</f>
        <v/>
      </c>
      <c r="BF1682" s="82">
        <f>($V1682-$L1682)*100</f>
        <v/>
      </c>
      <c r="BG1682" s="82">
        <f>$AG1682-$AF1682</f>
        <v/>
      </c>
      <c r="BH1682" s="81">
        <f>IFERROR($AG1682/$AF1682,"")</f>
        <v/>
      </c>
      <c r="BI1682" s="82">
        <f>$AJ1682-$AF1682</f>
        <v/>
      </c>
      <c r="BJ1682" s="81">
        <f>IFERROR($AJ1682/$AG1682,"")</f>
        <v/>
      </c>
      <c r="BK1682" s="81">
        <f>$X1682</f>
        <v/>
      </c>
      <c r="BL1682" s="82">
        <f>($J1682-$J1683)*100</f>
        <v/>
      </c>
      <c r="BM1682" s="82">
        <f>($F1682-$F1683)*100</f>
        <v/>
      </c>
      <c r="BN1682" s="82">
        <f>$AF1682-$AF1683</f>
        <v/>
      </c>
      <c r="BO1682" s="82">
        <f>$AG1682-$AG1683</f>
        <v/>
      </c>
      <c r="BP1682" s="82">
        <f>$AJ1682-$AJ1683</f>
        <v/>
      </c>
    </row>
    <row r="1683">
      <c r="AR1683" s="81">
        <f>($G1683+($H1683-$G1683)*0.5)+($P1683-($O1683+($Q1683-$O1683)*0.5))</f>
        <v/>
      </c>
      <c r="AS1683" s="81">
        <f>($J1683+($K1683-$J1683)*0.5)+($T1683-($S1683+($U1683-$S1683)*0.5))</f>
        <v/>
      </c>
      <c r="AT1683" s="82">
        <f>($J1683-$C1683)*100</f>
        <v/>
      </c>
      <c r="AU1683" s="82">
        <f>($H1683-$F1683)*100</f>
        <v/>
      </c>
      <c r="AV1683" s="82">
        <f>($J1683-$F1683)*100</f>
        <v/>
      </c>
      <c r="AW1683" s="82">
        <f>($L1683-$F1683)*100</f>
        <v/>
      </c>
      <c r="AX1683" s="82">
        <f>($J1683-$H1683)*100</f>
        <v/>
      </c>
      <c r="AY1683" s="82">
        <f>($L1683-$H1683)*100</f>
        <v/>
      </c>
      <c r="AZ1683" s="82">
        <f>($L1683-$J1683)*100</f>
        <v/>
      </c>
      <c r="BA1683" s="82">
        <f>(2*$H1683-$F1683-$J1683)*100</f>
        <v/>
      </c>
      <c r="BB1683" s="82">
        <f>(2*$J1683-$H1683-$L1683)*100</f>
        <v/>
      </c>
      <c r="BC1683" s="82">
        <f>($N1683-$F1683)*100</f>
        <v/>
      </c>
      <c r="BD1683" s="82">
        <f>($Q1683-$H1683)*100</f>
        <v/>
      </c>
      <c r="BE1683" s="82">
        <f>($S1683-$J1683)*100</f>
        <v/>
      </c>
      <c r="BF1683" s="82">
        <f>($V1683-$L1683)*100</f>
        <v/>
      </c>
      <c r="BG1683" s="82">
        <f>$AG1683-$AF1683</f>
        <v/>
      </c>
      <c r="BH1683" s="81">
        <f>IFERROR($AG1683/$AF1683,"")</f>
        <v/>
      </c>
      <c r="BI1683" s="82">
        <f>$AJ1683-$AF1683</f>
        <v/>
      </c>
      <c r="BJ1683" s="81">
        <f>IFERROR($AJ1683/$AG1683,"")</f>
        <v/>
      </c>
      <c r="BK1683" s="81">
        <f>$X1683</f>
        <v/>
      </c>
      <c r="BL1683" s="82">
        <f>($J1683-$J1684)*100</f>
        <v/>
      </c>
      <c r="BM1683" s="82">
        <f>($F1683-$F1684)*100</f>
        <v/>
      </c>
      <c r="BN1683" s="82">
        <f>$AF1683-$AF1684</f>
        <v/>
      </c>
      <c r="BO1683" s="82">
        <f>$AG1683-$AG1684</f>
        <v/>
      </c>
      <c r="BP1683" s="82">
        <f>$AJ1683-$AJ1684</f>
        <v/>
      </c>
    </row>
    <row r="1684">
      <c r="AR1684" s="81">
        <f>($G1684+($H1684-$G1684)*0.5)+($P1684-($O1684+($Q1684-$O1684)*0.5))</f>
        <v/>
      </c>
      <c r="AS1684" s="81">
        <f>($J1684+($K1684-$J1684)*0.5)+($T1684-($S1684+($U1684-$S1684)*0.5))</f>
        <v/>
      </c>
      <c r="AT1684" s="82">
        <f>($J1684-$C1684)*100</f>
        <v/>
      </c>
      <c r="AU1684" s="82">
        <f>($H1684-$F1684)*100</f>
        <v/>
      </c>
      <c r="AV1684" s="82">
        <f>($J1684-$F1684)*100</f>
        <v/>
      </c>
      <c r="AW1684" s="82">
        <f>($L1684-$F1684)*100</f>
        <v/>
      </c>
      <c r="AX1684" s="82">
        <f>($J1684-$H1684)*100</f>
        <v/>
      </c>
      <c r="AY1684" s="82">
        <f>($L1684-$H1684)*100</f>
        <v/>
      </c>
      <c r="AZ1684" s="82">
        <f>($L1684-$J1684)*100</f>
        <v/>
      </c>
      <c r="BA1684" s="82">
        <f>(2*$H1684-$F1684-$J1684)*100</f>
        <v/>
      </c>
      <c r="BB1684" s="82">
        <f>(2*$J1684-$H1684-$L1684)*100</f>
        <v/>
      </c>
      <c r="BC1684" s="82">
        <f>($N1684-$F1684)*100</f>
        <v/>
      </c>
      <c r="BD1684" s="82">
        <f>($Q1684-$H1684)*100</f>
        <v/>
      </c>
      <c r="BE1684" s="82">
        <f>($S1684-$J1684)*100</f>
        <v/>
      </c>
      <c r="BF1684" s="82">
        <f>($V1684-$L1684)*100</f>
        <v/>
      </c>
      <c r="BG1684" s="82">
        <f>$AG1684-$AF1684</f>
        <v/>
      </c>
      <c r="BH1684" s="81">
        <f>IFERROR($AG1684/$AF1684,"")</f>
        <v/>
      </c>
      <c r="BI1684" s="82">
        <f>$AJ1684-$AF1684</f>
        <v/>
      </c>
      <c r="BJ1684" s="81">
        <f>IFERROR($AJ1684/$AG1684,"")</f>
        <v/>
      </c>
      <c r="BK1684" s="81">
        <f>$X1684</f>
        <v/>
      </c>
      <c r="BL1684" s="82">
        <f>($J1684-$J1685)*100</f>
        <v/>
      </c>
      <c r="BM1684" s="82">
        <f>($F1684-$F1685)*100</f>
        <v/>
      </c>
      <c r="BN1684" s="82">
        <f>$AF1684-$AF1685</f>
        <v/>
      </c>
      <c r="BO1684" s="82">
        <f>$AG1684-$AG1685</f>
        <v/>
      </c>
      <c r="BP1684" s="82">
        <f>$AJ1684-$AJ1685</f>
        <v/>
      </c>
    </row>
    <row r="1685">
      <c r="AR1685" s="81">
        <f>($G1685+($H1685-$G1685)*0.5)+($P1685-($O1685+($Q1685-$O1685)*0.5))</f>
        <v/>
      </c>
      <c r="AS1685" s="81">
        <f>($J1685+($K1685-$J1685)*0.5)+($T1685-($S1685+($U1685-$S1685)*0.5))</f>
        <v/>
      </c>
      <c r="AT1685" s="82">
        <f>($J1685-$C1685)*100</f>
        <v/>
      </c>
      <c r="AU1685" s="82">
        <f>($H1685-$F1685)*100</f>
        <v/>
      </c>
      <c r="AV1685" s="82">
        <f>($J1685-$F1685)*100</f>
        <v/>
      </c>
      <c r="AW1685" s="82">
        <f>($L1685-$F1685)*100</f>
        <v/>
      </c>
      <c r="AX1685" s="82">
        <f>($J1685-$H1685)*100</f>
        <v/>
      </c>
      <c r="AY1685" s="82">
        <f>($L1685-$H1685)*100</f>
        <v/>
      </c>
      <c r="AZ1685" s="82">
        <f>($L1685-$J1685)*100</f>
        <v/>
      </c>
      <c r="BA1685" s="82">
        <f>(2*$H1685-$F1685-$J1685)*100</f>
        <v/>
      </c>
      <c r="BB1685" s="82">
        <f>(2*$J1685-$H1685-$L1685)*100</f>
        <v/>
      </c>
      <c r="BC1685" s="82">
        <f>($N1685-$F1685)*100</f>
        <v/>
      </c>
      <c r="BD1685" s="82">
        <f>($Q1685-$H1685)*100</f>
        <v/>
      </c>
      <c r="BE1685" s="82">
        <f>($S1685-$J1685)*100</f>
        <v/>
      </c>
      <c r="BF1685" s="82">
        <f>($V1685-$L1685)*100</f>
        <v/>
      </c>
      <c r="BG1685" s="82">
        <f>$AG1685-$AF1685</f>
        <v/>
      </c>
      <c r="BH1685" s="81">
        <f>IFERROR($AG1685/$AF1685,"")</f>
        <v/>
      </c>
      <c r="BI1685" s="82">
        <f>$AJ1685-$AF1685</f>
        <v/>
      </c>
      <c r="BJ1685" s="81">
        <f>IFERROR($AJ1685/$AG1685,"")</f>
        <v/>
      </c>
      <c r="BK1685" s="81">
        <f>$X1685</f>
        <v/>
      </c>
      <c r="BL1685" s="82">
        <f>($J1685-$J1686)*100</f>
        <v/>
      </c>
      <c r="BM1685" s="82">
        <f>($F1685-$F1686)*100</f>
        <v/>
      </c>
      <c r="BN1685" s="82">
        <f>$AF1685-$AF1686</f>
        <v/>
      </c>
      <c r="BO1685" s="82">
        <f>$AG1685-$AG1686</f>
        <v/>
      </c>
      <c r="BP1685" s="82">
        <f>$AJ1685-$AJ1686</f>
        <v/>
      </c>
    </row>
    <row r="1686">
      <c r="AR1686" s="81">
        <f>($G1686+($H1686-$G1686)*0.5)+($P1686-($O1686+($Q1686-$O1686)*0.5))</f>
        <v/>
      </c>
      <c r="AS1686" s="81">
        <f>($J1686+($K1686-$J1686)*0.5)+($T1686-($S1686+($U1686-$S1686)*0.5))</f>
        <v/>
      </c>
      <c r="AT1686" s="82">
        <f>($J1686-$C1686)*100</f>
        <v/>
      </c>
      <c r="AU1686" s="82">
        <f>($H1686-$F1686)*100</f>
        <v/>
      </c>
      <c r="AV1686" s="82">
        <f>($J1686-$F1686)*100</f>
        <v/>
      </c>
      <c r="AW1686" s="82">
        <f>($L1686-$F1686)*100</f>
        <v/>
      </c>
      <c r="AX1686" s="82">
        <f>($J1686-$H1686)*100</f>
        <v/>
      </c>
      <c r="AY1686" s="82">
        <f>($L1686-$H1686)*100</f>
        <v/>
      </c>
      <c r="AZ1686" s="82">
        <f>($L1686-$J1686)*100</f>
        <v/>
      </c>
      <c r="BA1686" s="82">
        <f>(2*$H1686-$F1686-$J1686)*100</f>
        <v/>
      </c>
      <c r="BB1686" s="82">
        <f>(2*$J1686-$H1686-$L1686)*100</f>
        <v/>
      </c>
      <c r="BC1686" s="82">
        <f>($N1686-$F1686)*100</f>
        <v/>
      </c>
      <c r="BD1686" s="82">
        <f>($Q1686-$H1686)*100</f>
        <v/>
      </c>
      <c r="BE1686" s="82">
        <f>($S1686-$J1686)*100</f>
        <v/>
      </c>
      <c r="BF1686" s="82">
        <f>($V1686-$L1686)*100</f>
        <v/>
      </c>
      <c r="BG1686" s="82">
        <f>$AG1686-$AF1686</f>
        <v/>
      </c>
      <c r="BH1686" s="81">
        <f>IFERROR($AG1686/$AF1686,"")</f>
        <v/>
      </c>
      <c r="BI1686" s="82">
        <f>$AJ1686-$AF1686</f>
        <v/>
      </c>
      <c r="BJ1686" s="81">
        <f>IFERROR($AJ1686/$AG1686,"")</f>
        <v/>
      </c>
      <c r="BK1686" s="81">
        <f>$X1686</f>
        <v/>
      </c>
      <c r="BL1686" s="82">
        <f>($J1686-$J1687)*100</f>
        <v/>
      </c>
      <c r="BM1686" s="82">
        <f>($F1686-$F1687)*100</f>
        <v/>
      </c>
      <c r="BN1686" s="82">
        <f>$AF1686-$AF1687</f>
        <v/>
      </c>
      <c r="BO1686" s="82">
        <f>$AG1686-$AG1687</f>
        <v/>
      </c>
      <c r="BP1686" s="82">
        <f>$AJ1686-$AJ1687</f>
        <v/>
      </c>
    </row>
    <row r="1687">
      <c r="AR1687" s="81">
        <f>($G1687+($H1687-$G1687)*0.5)+($P1687-($O1687+($Q1687-$O1687)*0.5))</f>
        <v/>
      </c>
      <c r="AS1687" s="81">
        <f>($J1687+($K1687-$J1687)*0.5)+($T1687-($S1687+($U1687-$S1687)*0.5))</f>
        <v/>
      </c>
      <c r="AT1687" s="82">
        <f>($J1687-$C1687)*100</f>
        <v/>
      </c>
      <c r="AU1687" s="82">
        <f>($H1687-$F1687)*100</f>
        <v/>
      </c>
      <c r="AV1687" s="82">
        <f>($J1687-$F1687)*100</f>
        <v/>
      </c>
      <c r="AW1687" s="82">
        <f>($L1687-$F1687)*100</f>
        <v/>
      </c>
      <c r="AX1687" s="82">
        <f>($J1687-$H1687)*100</f>
        <v/>
      </c>
      <c r="AY1687" s="82">
        <f>($L1687-$H1687)*100</f>
        <v/>
      </c>
      <c r="AZ1687" s="82">
        <f>($L1687-$J1687)*100</f>
        <v/>
      </c>
      <c r="BA1687" s="82">
        <f>(2*$H1687-$F1687-$J1687)*100</f>
        <v/>
      </c>
      <c r="BB1687" s="82">
        <f>(2*$J1687-$H1687-$L1687)*100</f>
        <v/>
      </c>
      <c r="BC1687" s="82">
        <f>($N1687-$F1687)*100</f>
        <v/>
      </c>
      <c r="BD1687" s="82">
        <f>($Q1687-$H1687)*100</f>
        <v/>
      </c>
      <c r="BE1687" s="82">
        <f>($S1687-$J1687)*100</f>
        <v/>
      </c>
      <c r="BF1687" s="82">
        <f>($V1687-$L1687)*100</f>
        <v/>
      </c>
      <c r="BG1687" s="82">
        <f>$AG1687-$AF1687</f>
        <v/>
      </c>
      <c r="BH1687" s="81">
        <f>IFERROR($AG1687/$AF1687,"")</f>
        <v/>
      </c>
      <c r="BI1687" s="82">
        <f>$AJ1687-$AF1687</f>
        <v/>
      </c>
      <c r="BJ1687" s="81">
        <f>IFERROR($AJ1687/$AG1687,"")</f>
        <v/>
      </c>
      <c r="BK1687" s="81">
        <f>$X1687</f>
        <v/>
      </c>
      <c r="BL1687" s="82">
        <f>($J1687-$J1688)*100</f>
        <v/>
      </c>
      <c r="BM1687" s="82">
        <f>($F1687-$F1688)*100</f>
        <v/>
      </c>
      <c r="BN1687" s="82">
        <f>$AF1687-$AF1688</f>
        <v/>
      </c>
      <c r="BO1687" s="82">
        <f>$AG1687-$AG1688</f>
        <v/>
      </c>
      <c r="BP1687" s="82">
        <f>$AJ1687-$AJ1688</f>
        <v/>
      </c>
    </row>
    <row r="1688">
      <c r="AR1688" s="81">
        <f>($G1688+($H1688-$G1688)*0.5)+($P1688-($O1688+($Q1688-$O1688)*0.5))</f>
        <v/>
      </c>
      <c r="AS1688" s="81">
        <f>($J1688+($K1688-$J1688)*0.5)+($T1688-($S1688+($U1688-$S1688)*0.5))</f>
        <v/>
      </c>
      <c r="AT1688" s="82">
        <f>($J1688-$C1688)*100</f>
        <v/>
      </c>
      <c r="AU1688" s="82">
        <f>($H1688-$F1688)*100</f>
        <v/>
      </c>
      <c r="AV1688" s="82">
        <f>($J1688-$F1688)*100</f>
        <v/>
      </c>
      <c r="AW1688" s="82">
        <f>($L1688-$F1688)*100</f>
        <v/>
      </c>
      <c r="AX1688" s="82">
        <f>($J1688-$H1688)*100</f>
        <v/>
      </c>
      <c r="AY1688" s="82">
        <f>($L1688-$H1688)*100</f>
        <v/>
      </c>
      <c r="AZ1688" s="82">
        <f>($L1688-$J1688)*100</f>
        <v/>
      </c>
      <c r="BA1688" s="82">
        <f>(2*$H1688-$F1688-$J1688)*100</f>
        <v/>
      </c>
      <c r="BB1688" s="82">
        <f>(2*$J1688-$H1688-$L1688)*100</f>
        <v/>
      </c>
      <c r="BC1688" s="82">
        <f>($N1688-$F1688)*100</f>
        <v/>
      </c>
      <c r="BD1688" s="82">
        <f>($Q1688-$H1688)*100</f>
        <v/>
      </c>
      <c r="BE1688" s="82">
        <f>($S1688-$J1688)*100</f>
        <v/>
      </c>
      <c r="BF1688" s="82">
        <f>($V1688-$L1688)*100</f>
        <v/>
      </c>
      <c r="BG1688" s="82">
        <f>$AG1688-$AF1688</f>
        <v/>
      </c>
      <c r="BH1688" s="81">
        <f>IFERROR($AG1688/$AF1688,"")</f>
        <v/>
      </c>
      <c r="BI1688" s="82">
        <f>$AJ1688-$AF1688</f>
        <v/>
      </c>
      <c r="BJ1688" s="81">
        <f>IFERROR($AJ1688/$AG1688,"")</f>
        <v/>
      </c>
      <c r="BK1688" s="81">
        <f>$X1688</f>
        <v/>
      </c>
      <c r="BL1688" s="82">
        <f>($J1688-$J1689)*100</f>
        <v/>
      </c>
      <c r="BM1688" s="82">
        <f>($F1688-$F1689)*100</f>
        <v/>
      </c>
      <c r="BN1688" s="82">
        <f>$AF1688-$AF1689</f>
        <v/>
      </c>
      <c r="BO1688" s="82">
        <f>$AG1688-$AG1689</f>
        <v/>
      </c>
      <c r="BP1688" s="82">
        <f>$AJ1688-$AJ1689</f>
        <v/>
      </c>
    </row>
    <row r="1689">
      <c r="AR1689" s="81">
        <f>($G1689+($H1689-$G1689)*0.5)+($P1689-($O1689+($Q1689-$O1689)*0.5))</f>
        <v/>
      </c>
      <c r="AS1689" s="81">
        <f>($J1689+($K1689-$J1689)*0.5)+($T1689-($S1689+($U1689-$S1689)*0.5))</f>
        <v/>
      </c>
      <c r="AT1689" s="82">
        <f>($J1689-$C1689)*100</f>
        <v/>
      </c>
      <c r="AU1689" s="82">
        <f>($H1689-$F1689)*100</f>
        <v/>
      </c>
      <c r="AV1689" s="82">
        <f>($J1689-$F1689)*100</f>
        <v/>
      </c>
      <c r="AW1689" s="82">
        <f>($L1689-$F1689)*100</f>
        <v/>
      </c>
      <c r="AX1689" s="82">
        <f>($J1689-$H1689)*100</f>
        <v/>
      </c>
      <c r="AY1689" s="82">
        <f>($L1689-$H1689)*100</f>
        <v/>
      </c>
      <c r="AZ1689" s="82">
        <f>($L1689-$J1689)*100</f>
        <v/>
      </c>
      <c r="BA1689" s="82">
        <f>(2*$H1689-$F1689-$J1689)*100</f>
        <v/>
      </c>
      <c r="BB1689" s="82">
        <f>(2*$J1689-$H1689-$L1689)*100</f>
        <v/>
      </c>
      <c r="BC1689" s="82">
        <f>($N1689-$F1689)*100</f>
        <v/>
      </c>
      <c r="BD1689" s="82">
        <f>($Q1689-$H1689)*100</f>
        <v/>
      </c>
      <c r="BE1689" s="82">
        <f>($S1689-$J1689)*100</f>
        <v/>
      </c>
      <c r="BF1689" s="82">
        <f>($V1689-$L1689)*100</f>
        <v/>
      </c>
      <c r="BG1689" s="82">
        <f>$AG1689-$AF1689</f>
        <v/>
      </c>
      <c r="BH1689" s="81">
        <f>IFERROR($AG1689/$AF1689,"")</f>
        <v/>
      </c>
      <c r="BI1689" s="82">
        <f>$AJ1689-$AF1689</f>
        <v/>
      </c>
      <c r="BJ1689" s="81">
        <f>IFERROR($AJ1689/$AG1689,"")</f>
        <v/>
      </c>
      <c r="BK1689" s="81">
        <f>$X1689</f>
        <v/>
      </c>
      <c r="BL1689" s="82">
        <f>($J1689-$J1690)*100</f>
        <v/>
      </c>
      <c r="BM1689" s="82">
        <f>($F1689-$F1690)*100</f>
        <v/>
      </c>
      <c r="BN1689" s="82">
        <f>$AF1689-$AF1690</f>
        <v/>
      </c>
      <c r="BO1689" s="82">
        <f>$AG1689-$AG1690</f>
        <v/>
      </c>
      <c r="BP1689" s="82">
        <f>$AJ1689-$AJ1690</f>
        <v/>
      </c>
    </row>
    <row r="1690">
      <c r="AR1690" s="81">
        <f>($G1690+($H1690-$G1690)*0.5)+($P1690-($O1690+($Q1690-$O1690)*0.5))</f>
        <v/>
      </c>
      <c r="AS1690" s="81">
        <f>($J1690+($K1690-$J1690)*0.5)+($T1690-($S1690+($U1690-$S1690)*0.5))</f>
        <v/>
      </c>
      <c r="AT1690" s="82">
        <f>($J1690-$C1690)*100</f>
        <v/>
      </c>
      <c r="AU1690" s="82">
        <f>($H1690-$F1690)*100</f>
        <v/>
      </c>
      <c r="AV1690" s="82">
        <f>($J1690-$F1690)*100</f>
        <v/>
      </c>
      <c r="AW1690" s="82">
        <f>($L1690-$F1690)*100</f>
        <v/>
      </c>
      <c r="AX1690" s="82">
        <f>($J1690-$H1690)*100</f>
        <v/>
      </c>
      <c r="AY1690" s="82">
        <f>($L1690-$H1690)*100</f>
        <v/>
      </c>
      <c r="AZ1690" s="82">
        <f>($L1690-$J1690)*100</f>
        <v/>
      </c>
      <c r="BA1690" s="82">
        <f>(2*$H1690-$F1690-$J1690)*100</f>
        <v/>
      </c>
      <c r="BB1690" s="82">
        <f>(2*$J1690-$H1690-$L1690)*100</f>
        <v/>
      </c>
      <c r="BC1690" s="82">
        <f>($N1690-$F1690)*100</f>
        <v/>
      </c>
      <c r="BD1690" s="82">
        <f>($Q1690-$H1690)*100</f>
        <v/>
      </c>
      <c r="BE1690" s="82">
        <f>($S1690-$J1690)*100</f>
        <v/>
      </c>
      <c r="BF1690" s="82">
        <f>($V1690-$L1690)*100</f>
        <v/>
      </c>
      <c r="BG1690" s="82">
        <f>$AG1690-$AF1690</f>
        <v/>
      </c>
      <c r="BH1690" s="81">
        <f>IFERROR($AG1690/$AF1690,"")</f>
        <v/>
      </c>
      <c r="BI1690" s="82">
        <f>$AJ1690-$AF1690</f>
        <v/>
      </c>
      <c r="BJ1690" s="81">
        <f>IFERROR($AJ1690/$AG1690,"")</f>
        <v/>
      </c>
      <c r="BK1690" s="81">
        <f>$X1690</f>
        <v/>
      </c>
      <c r="BL1690" s="82">
        <f>($J1690-$J1691)*100</f>
        <v/>
      </c>
      <c r="BM1690" s="82">
        <f>($F1690-$F1691)*100</f>
        <v/>
      </c>
      <c r="BN1690" s="82">
        <f>$AF1690-$AF1691</f>
        <v/>
      </c>
      <c r="BO1690" s="82">
        <f>$AG1690-$AG1691</f>
        <v/>
      </c>
      <c r="BP1690" s="82">
        <f>$AJ1690-$AJ1691</f>
        <v/>
      </c>
    </row>
    <row r="1691">
      <c r="AR1691" s="81">
        <f>($G1691+($H1691-$G1691)*0.5)+($P1691-($O1691+($Q1691-$O1691)*0.5))</f>
        <v/>
      </c>
      <c r="AS1691" s="81">
        <f>($J1691+($K1691-$J1691)*0.5)+($T1691-($S1691+($U1691-$S1691)*0.5))</f>
        <v/>
      </c>
      <c r="AT1691" s="82">
        <f>($J1691-$C1691)*100</f>
        <v/>
      </c>
      <c r="AU1691" s="82">
        <f>($H1691-$F1691)*100</f>
        <v/>
      </c>
      <c r="AV1691" s="82">
        <f>($J1691-$F1691)*100</f>
        <v/>
      </c>
      <c r="AW1691" s="82">
        <f>($L1691-$F1691)*100</f>
        <v/>
      </c>
      <c r="AX1691" s="82">
        <f>($J1691-$H1691)*100</f>
        <v/>
      </c>
      <c r="AY1691" s="82">
        <f>($L1691-$H1691)*100</f>
        <v/>
      </c>
      <c r="AZ1691" s="82">
        <f>($L1691-$J1691)*100</f>
        <v/>
      </c>
      <c r="BA1691" s="82">
        <f>(2*$H1691-$F1691-$J1691)*100</f>
        <v/>
      </c>
      <c r="BB1691" s="82">
        <f>(2*$J1691-$H1691-$L1691)*100</f>
        <v/>
      </c>
      <c r="BC1691" s="82">
        <f>($N1691-$F1691)*100</f>
        <v/>
      </c>
      <c r="BD1691" s="82">
        <f>($Q1691-$H1691)*100</f>
        <v/>
      </c>
      <c r="BE1691" s="82">
        <f>($S1691-$J1691)*100</f>
        <v/>
      </c>
      <c r="BF1691" s="82">
        <f>($V1691-$L1691)*100</f>
        <v/>
      </c>
      <c r="BG1691" s="82">
        <f>$AG1691-$AF1691</f>
        <v/>
      </c>
      <c r="BH1691" s="81">
        <f>IFERROR($AG1691/$AF1691,"")</f>
        <v/>
      </c>
      <c r="BI1691" s="82">
        <f>$AJ1691-$AF1691</f>
        <v/>
      </c>
      <c r="BJ1691" s="81">
        <f>IFERROR($AJ1691/$AG1691,"")</f>
        <v/>
      </c>
      <c r="BK1691" s="81">
        <f>$X1691</f>
        <v/>
      </c>
      <c r="BL1691" s="82">
        <f>($J1691-$J1692)*100</f>
        <v/>
      </c>
      <c r="BM1691" s="82">
        <f>($F1691-$F1692)*100</f>
        <v/>
      </c>
      <c r="BN1691" s="82">
        <f>$AF1691-$AF1692</f>
        <v/>
      </c>
      <c r="BO1691" s="82">
        <f>$AG1691-$AG1692</f>
        <v/>
      </c>
      <c r="BP1691" s="82">
        <f>$AJ1691-$AJ1692</f>
        <v/>
      </c>
    </row>
    <row r="1692">
      <c r="AR1692" s="81">
        <f>($G1692+($H1692-$G1692)*0.5)+($P1692-($O1692+($Q1692-$O1692)*0.5))</f>
        <v/>
      </c>
      <c r="AS1692" s="81">
        <f>($J1692+($K1692-$J1692)*0.5)+($T1692-($S1692+($U1692-$S1692)*0.5))</f>
        <v/>
      </c>
      <c r="AT1692" s="82">
        <f>($J1692-$C1692)*100</f>
        <v/>
      </c>
      <c r="AU1692" s="82">
        <f>($H1692-$F1692)*100</f>
        <v/>
      </c>
      <c r="AV1692" s="82">
        <f>($J1692-$F1692)*100</f>
        <v/>
      </c>
      <c r="AW1692" s="82">
        <f>($L1692-$F1692)*100</f>
        <v/>
      </c>
      <c r="AX1692" s="82">
        <f>($J1692-$H1692)*100</f>
        <v/>
      </c>
      <c r="AY1692" s="82">
        <f>($L1692-$H1692)*100</f>
        <v/>
      </c>
      <c r="AZ1692" s="82">
        <f>($L1692-$J1692)*100</f>
        <v/>
      </c>
      <c r="BA1692" s="82">
        <f>(2*$H1692-$F1692-$J1692)*100</f>
        <v/>
      </c>
      <c r="BB1692" s="82">
        <f>(2*$J1692-$H1692-$L1692)*100</f>
        <v/>
      </c>
      <c r="BC1692" s="82">
        <f>($N1692-$F1692)*100</f>
        <v/>
      </c>
      <c r="BD1692" s="82">
        <f>($Q1692-$H1692)*100</f>
        <v/>
      </c>
      <c r="BE1692" s="82">
        <f>($S1692-$J1692)*100</f>
        <v/>
      </c>
      <c r="BF1692" s="82">
        <f>($V1692-$L1692)*100</f>
        <v/>
      </c>
      <c r="BG1692" s="82">
        <f>$AG1692-$AF1692</f>
        <v/>
      </c>
      <c r="BH1692" s="81">
        <f>IFERROR($AG1692/$AF1692,"")</f>
        <v/>
      </c>
      <c r="BI1692" s="82">
        <f>$AJ1692-$AF1692</f>
        <v/>
      </c>
      <c r="BJ1692" s="81">
        <f>IFERROR($AJ1692/$AG1692,"")</f>
        <v/>
      </c>
      <c r="BK1692" s="81">
        <f>$X1692</f>
        <v/>
      </c>
      <c r="BL1692" s="82">
        <f>($J1692-$J1693)*100</f>
        <v/>
      </c>
      <c r="BM1692" s="82">
        <f>($F1692-$F1693)*100</f>
        <v/>
      </c>
      <c r="BN1692" s="82">
        <f>$AF1692-$AF1693</f>
        <v/>
      </c>
      <c r="BO1692" s="82">
        <f>$AG1692-$AG1693</f>
        <v/>
      </c>
      <c r="BP1692" s="82">
        <f>$AJ1692-$AJ1693</f>
        <v/>
      </c>
    </row>
    <row r="1693">
      <c r="AR1693" s="81">
        <f>($G1693+($H1693-$G1693)*0.5)+($P1693-($O1693+($Q1693-$O1693)*0.5))</f>
        <v/>
      </c>
      <c r="AS1693" s="81">
        <f>($J1693+($K1693-$J1693)*0.5)+($T1693-($S1693+($U1693-$S1693)*0.5))</f>
        <v/>
      </c>
      <c r="AT1693" s="82">
        <f>($J1693-$C1693)*100</f>
        <v/>
      </c>
      <c r="AU1693" s="82">
        <f>($H1693-$F1693)*100</f>
        <v/>
      </c>
      <c r="AV1693" s="82">
        <f>($J1693-$F1693)*100</f>
        <v/>
      </c>
      <c r="AW1693" s="82">
        <f>($L1693-$F1693)*100</f>
        <v/>
      </c>
      <c r="AX1693" s="82">
        <f>($J1693-$H1693)*100</f>
        <v/>
      </c>
      <c r="AY1693" s="82">
        <f>($L1693-$H1693)*100</f>
        <v/>
      </c>
      <c r="AZ1693" s="82">
        <f>($L1693-$J1693)*100</f>
        <v/>
      </c>
      <c r="BA1693" s="82">
        <f>(2*$H1693-$F1693-$J1693)*100</f>
        <v/>
      </c>
      <c r="BB1693" s="82">
        <f>(2*$J1693-$H1693-$L1693)*100</f>
        <v/>
      </c>
      <c r="BC1693" s="82">
        <f>($N1693-$F1693)*100</f>
        <v/>
      </c>
      <c r="BD1693" s="82">
        <f>($Q1693-$H1693)*100</f>
        <v/>
      </c>
      <c r="BE1693" s="82">
        <f>($S1693-$J1693)*100</f>
        <v/>
      </c>
      <c r="BF1693" s="82">
        <f>($V1693-$L1693)*100</f>
        <v/>
      </c>
      <c r="BG1693" s="82">
        <f>$AG1693-$AF1693</f>
        <v/>
      </c>
      <c r="BH1693" s="81">
        <f>IFERROR($AG1693/$AF1693,"")</f>
        <v/>
      </c>
      <c r="BI1693" s="82">
        <f>$AJ1693-$AF1693</f>
        <v/>
      </c>
      <c r="BJ1693" s="81">
        <f>IFERROR($AJ1693/$AG1693,"")</f>
        <v/>
      </c>
      <c r="BK1693" s="81">
        <f>$X1693</f>
        <v/>
      </c>
      <c r="BL1693" s="82">
        <f>($J1693-$J1694)*100</f>
        <v/>
      </c>
      <c r="BM1693" s="82">
        <f>($F1693-$F1694)*100</f>
        <v/>
      </c>
      <c r="BN1693" s="82">
        <f>$AF1693-$AF1694</f>
        <v/>
      </c>
      <c r="BO1693" s="82">
        <f>$AG1693-$AG1694</f>
        <v/>
      </c>
      <c r="BP1693" s="82">
        <f>$AJ1693-$AJ1694</f>
        <v/>
      </c>
    </row>
    <row r="1694">
      <c r="AR1694" s="81">
        <f>($G1694+($H1694-$G1694)*0.5)+($P1694-($O1694+($Q1694-$O1694)*0.5))</f>
        <v/>
      </c>
      <c r="AS1694" s="81">
        <f>($J1694+($K1694-$J1694)*0.5)+($T1694-($S1694+($U1694-$S1694)*0.5))</f>
        <v/>
      </c>
      <c r="AT1694" s="82">
        <f>($J1694-$C1694)*100</f>
        <v/>
      </c>
      <c r="AU1694" s="82">
        <f>($H1694-$F1694)*100</f>
        <v/>
      </c>
      <c r="AV1694" s="82">
        <f>($J1694-$F1694)*100</f>
        <v/>
      </c>
      <c r="AW1694" s="82">
        <f>($L1694-$F1694)*100</f>
        <v/>
      </c>
      <c r="AX1694" s="82">
        <f>($J1694-$H1694)*100</f>
        <v/>
      </c>
      <c r="AY1694" s="82">
        <f>($L1694-$H1694)*100</f>
        <v/>
      </c>
      <c r="AZ1694" s="82">
        <f>($L1694-$J1694)*100</f>
        <v/>
      </c>
      <c r="BA1694" s="82">
        <f>(2*$H1694-$F1694-$J1694)*100</f>
        <v/>
      </c>
      <c r="BB1694" s="82">
        <f>(2*$J1694-$H1694-$L1694)*100</f>
        <v/>
      </c>
      <c r="BC1694" s="82">
        <f>($N1694-$F1694)*100</f>
        <v/>
      </c>
      <c r="BD1694" s="82">
        <f>($Q1694-$H1694)*100</f>
        <v/>
      </c>
      <c r="BE1694" s="82">
        <f>($S1694-$J1694)*100</f>
        <v/>
      </c>
      <c r="BF1694" s="82">
        <f>($V1694-$L1694)*100</f>
        <v/>
      </c>
      <c r="BG1694" s="82">
        <f>$AG1694-$AF1694</f>
        <v/>
      </c>
      <c r="BH1694" s="81">
        <f>IFERROR($AG1694/$AF1694,"")</f>
        <v/>
      </c>
      <c r="BI1694" s="82">
        <f>$AJ1694-$AF1694</f>
        <v/>
      </c>
      <c r="BJ1694" s="81">
        <f>IFERROR($AJ1694/$AG1694,"")</f>
        <v/>
      </c>
      <c r="BK1694" s="81">
        <f>$X1694</f>
        <v/>
      </c>
      <c r="BL1694" s="82">
        <f>($J1694-$J1695)*100</f>
        <v/>
      </c>
      <c r="BM1694" s="82">
        <f>($F1694-$F1695)*100</f>
        <v/>
      </c>
      <c r="BN1694" s="82">
        <f>$AF1694-$AF1695</f>
        <v/>
      </c>
      <c r="BO1694" s="82">
        <f>$AG1694-$AG1695</f>
        <v/>
      </c>
      <c r="BP1694" s="82">
        <f>$AJ1694-$AJ1695</f>
        <v/>
      </c>
    </row>
    <row r="1695">
      <c r="AR1695" s="81">
        <f>($G1695+($H1695-$G1695)*0.5)+($P1695-($O1695+($Q1695-$O1695)*0.5))</f>
        <v/>
      </c>
      <c r="AS1695" s="81">
        <f>($J1695+($K1695-$J1695)*0.5)+($T1695-($S1695+($U1695-$S1695)*0.5))</f>
        <v/>
      </c>
      <c r="AT1695" s="82">
        <f>($J1695-$C1695)*100</f>
        <v/>
      </c>
      <c r="AU1695" s="82">
        <f>($H1695-$F1695)*100</f>
        <v/>
      </c>
      <c r="AV1695" s="82">
        <f>($J1695-$F1695)*100</f>
        <v/>
      </c>
      <c r="AW1695" s="82">
        <f>($L1695-$F1695)*100</f>
        <v/>
      </c>
      <c r="AX1695" s="82">
        <f>($J1695-$H1695)*100</f>
        <v/>
      </c>
      <c r="AY1695" s="82">
        <f>($L1695-$H1695)*100</f>
        <v/>
      </c>
      <c r="AZ1695" s="82">
        <f>($L1695-$J1695)*100</f>
        <v/>
      </c>
      <c r="BA1695" s="82">
        <f>(2*$H1695-$F1695-$J1695)*100</f>
        <v/>
      </c>
      <c r="BB1695" s="82">
        <f>(2*$J1695-$H1695-$L1695)*100</f>
        <v/>
      </c>
      <c r="BC1695" s="82">
        <f>($N1695-$F1695)*100</f>
        <v/>
      </c>
      <c r="BD1695" s="82">
        <f>($Q1695-$H1695)*100</f>
        <v/>
      </c>
      <c r="BE1695" s="82">
        <f>($S1695-$J1695)*100</f>
        <v/>
      </c>
      <c r="BF1695" s="82">
        <f>($V1695-$L1695)*100</f>
        <v/>
      </c>
      <c r="BG1695" s="82">
        <f>$AG1695-$AF1695</f>
        <v/>
      </c>
      <c r="BH1695" s="81">
        <f>IFERROR($AG1695/$AF1695,"")</f>
        <v/>
      </c>
      <c r="BI1695" s="82">
        <f>$AJ1695-$AF1695</f>
        <v/>
      </c>
      <c r="BJ1695" s="81">
        <f>IFERROR($AJ1695/$AG1695,"")</f>
        <v/>
      </c>
      <c r="BK1695" s="81">
        <f>$X1695</f>
        <v/>
      </c>
      <c r="BL1695" s="82">
        <f>($J1695-$J1696)*100</f>
        <v/>
      </c>
      <c r="BM1695" s="82">
        <f>($F1695-$F1696)*100</f>
        <v/>
      </c>
      <c r="BN1695" s="82">
        <f>$AF1695-$AF1696</f>
        <v/>
      </c>
      <c r="BO1695" s="82">
        <f>$AG1695-$AG1696</f>
        <v/>
      </c>
      <c r="BP1695" s="82">
        <f>$AJ1695-$AJ1696</f>
        <v/>
      </c>
    </row>
    <row r="1696">
      <c r="AR1696" s="81">
        <f>($G1696+($H1696-$G1696)*0.5)+($P1696-($O1696+($Q1696-$O1696)*0.5))</f>
        <v/>
      </c>
      <c r="AS1696" s="81">
        <f>($J1696+($K1696-$J1696)*0.5)+($T1696-($S1696+($U1696-$S1696)*0.5))</f>
        <v/>
      </c>
      <c r="AT1696" s="82">
        <f>($J1696-$C1696)*100</f>
        <v/>
      </c>
      <c r="AU1696" s="82">
        <f>($H1696-$F1696)*100</f>
        <v/>
      </c>
      <c r="AV1696" s="82">
        <f>($J1696-$F1696)*100</f>
        <v/>
      </c>
      <c r="AW1696" s="82">
        <f>($L1696-$F1696)*100</f>
        <v/>
      </c>
      <c r="AX1696" s="82">
        <f>($J1696-$H1696)*100</f>
        <v/>
      </c>
      <c r="AY1696" s="82">
        <f>($L1696-$H1696)*100</f>
        <v/>
      </c>
      <c r="AZ1696" s="82">
        <f>($L1696-$J1696)*100</f>
        <v/>
      </c>
      <c r="BA1696" s="82">
        <f>(2*$H1696-$F1696-$J1696)*100</f>
        <v/>
      </c>
      <c r="BB1696" s="82">
        <f>(2*$J1696-$H1696-$L1696)*100</f>
        <v/>
      </c>
      <c r="BC1696" s="82">
        <f>($N1696-$F1696)*100</f>
        <v/>
      </c>
      <c r="BD1696" s="82">
        <f>($Q1696-$H1696)*100</f>
        <v/>
      </c>
      <c r="BE1696" s="82">
        <f>($S1696-$J1696)*100</f>
        <v/>
      </c>
      <c r="BF1696" s="82">
        <f>($V1696-$L1696)*100</f>
        <v/>
      </c>
      <c r="BG1696" s="82">
        <f>$AG1696-$AF1696</f>
        <v/>
      </c>
      <c r="BH1696" s="81">
        <f>IFERROR($AG1696/$AF1696,"")</f>
        <v/>
      </c>
      <c r="BI1696" s="82">
        <f>$AJ1696-$AF1696</f>
        <v/>
      </c>
      <c r="BJ1696" s="81">
        <f>IFERROR($AJ1696/$AG1696,"")</f>
        <v/>
      </c>
      <c r="BK1696" s="81">
        <f>$X1696</f>
        <v/>
      </c>
      <c r="BL1696" s="82">
        <f>($J1696-$J1697)*100</f>
        <v/>
      </c>
      <c r="BM1696" s="82">
        <f>($F1696-$F1697)*100</f>
        <v/>
      </c>
      <c r="BN1696" s="82">
        <f>$AF1696-$AF1697</f>
        <v/>
      </c>
      <c r="BO1696" s="82">
        <f>$AG1696-$AG1697</f>
        <v/>
      </c>
      <c r="BP1696" s="82">
        <f>$AJ1696-$AJ1697</f>
        <v/>
      </c>
    </row>
    <row r="1697">
      <c r="AR1697" s="81">
        <f>($G1697+($H1697-$G1697)*0.5)+($P1697-($O1697+($Q1697-$O1697)*0.5))</f>
        <v/>
      </c>
      <c r="AS1697" s="81">
        <f>($J1697+($K1697-$J1697)*0.5)+($T1697-($S1697+($U1697-$S1697)*0.5))</f>
        <v/>
      </c>
      <c r="AT1697" s="82">
        <f>($J1697-$C1697)*100</f>
        <v/>
      </c>
      <c r="AU1697" s="82">
        <f>($H1697-$F1697)*100</f>
        <v/>
      </c>
      <c r="AV1697" s="82">
        <f>($J1697-$F1697)*100</f>
        <v/>
      </c>
      <c r="AW1697" s="82">
        <f>($L1697-$F1697)*100</f>
        <v/>
      </c>
      <c r="AX1697" s="82">
        <f>($J1697-$H1697)*100</f>
        <v/>
      </c>
      <c r="AY1697" s="82">
        <f>($L1697-$H1697)*100</f>
        <v/>
      </c>
      <c r="AZ1697" s="82">
        <f>($L1697-$J1697)*100</f>
        <v/>
      </c>
      <c r="BA1697" s="82">
        <f>(2*$H1697-$F1697-$J1697)*100</f>
        <v/>
      </c>
      <c r="BB1697" s="82">
        <f>(2*$J1697-$H1697-$L1697)*100</f>
        <v/>
      </c>
      <c r="BC1697" s="82">
        <f>($N1697-$F1697)*100</f>
        <v/>
      </c>
      <c r="BD1697" s="82">
        <f>($Q1697-$H1697)*100</f>
        <v/>
      </c>
      <c r="BE1697" s="82">
        <f>($S1697-$J1697)*100</f>
        <v/>
      </c>
      <c r="BF1697" s="82">
        <f>($V1697-$L1697)*100</f>
        <v/>
      </c>
      <c r="BG1697" s="82">
        <f>$AG1697-$AF1697</f>
        <v/>
      </c>
      <c r="BH1697" s="81">
        <f>IFERROR($AG1697/$AF1697,"")</f>
        <v/>
      </c>
      <c r="BI1697" s="82">
        <f>$AJ1697-$AF1697</f>
        <v/>
      </c>
      <c r="BJ1697" s="81">
        <f>IFERROR($AJ1697/$AG1697,"")</f>
        <v/>
      </c>
      <c r="BK1697" s="81">
        <f>$X1697</f>
        <v/>
      </c>
      <c r="BL1697" s="82">
        <f>($J1697-$J1698)*100</f>
        <v/>
      </c>
      <c r="BM1697" s="82">
        <f>($F1697-$F1698)*100</f>
        <v/>
      </c>
      <c r="BN1697" s="82">
        <f>$AF1697-$AF1698</f>
        <v/>
      </c>
      <c r="BO1697" s="82">
        <f>$AG1697-$AG1698</f>
        <v/>
      </c>
      <c r="BP1697" s="82">
        <f>$AJ1697-$AJ1698</f>
        <v/>
      </c>
    </row>
    <row r="1698">
      <c r="AR1698" s="81">
        <f>($G1698+($H1698-$G1698)*0.5)+($P1698-($O1698+($Q1698-$O1698)*0.5))</f>
        <v/>
      </c>
      <c r="AS1698" s="81">
        <f>($J1698+($K1698-$J1698)*0.5)+($T1698-($S1698+($U1698-$S1698)*0.5))</f>
        <v/>
      </c>
      <c r="AT1698" s="82">
        <f>($J1698-$C1698)*100</f>
        <v/>
      </c>
      <c r="AU1698" s="82">
        <f>($H1698-$F1698)*100</f>
        <v/>
      </c>
      <c r="AV1698" s="82">
        <f>($J1698-$F1698)*100</f>
        <v/>
      </c>
      <c r="AW1698" s="82">
        <f>($L1698-$F1698)*100</f>
        <v/>
      </c>
      <c r="AX1698" s="82">
        <f>($J1698-$H1698)*100</f>
        <v/>
      </c>
      <c r="AY1698" s="82">
        <f>($L1698-$H1698)*100</f>
        <v/>
      </c>
      <c r="AZ1698" s="82">
        <f>($L1698-$J1698)*100</f>
        <v/>
      </c>
      <c r="BA1698" s="82">
        <f>(2*$H1698-$F1698-$J1698)*100</f>
        <v/>
      </c>
      <c r="BB1698" s="82">
        <f>(2*$J1698-$H1698-$L1698)*100</f>
        <v/>
      </c>
      <c r="BC1698" s="82">
        <f>($N1698-$F1698)*100</f>
        <v/>
      </c>
      <c r="BD1698" s="82">
        <f>($Q1698-$H1698)*100</f>
        <v/>
      </c>
      <c r="BE1698" s="82">
        <f>($S1698-$J1698)*100</f>
        <v/>
      </c>
      <c r="BF1698" s="82">
        <f>($V1698-$L1698)*100</f>
        <v/>
      </c>
      <c r="BG1698" s="82">
        <f>$AG1698-$AF1698</f>
        <v/>
      </c>
      <c r="BH1698" s="81">
        <f>IFERROR($AG1698/$AF1698,"")</f>
        <v/>
      </c>
      <c r="BI1698" s="82">
        <f>$AJ1698-$AF1698</f>
        <v/>
      </c>
      <c r="BJ1698" s="81">
        <f>IFERROR($AJ1698/$AG1698,"")</f>
        <v/>
      </c>
      <c r="BK1698" s="81">
        <f>$X1698</f>
        <v/>
      </c>
      <c r="BL1698" s="82">
        <f>($J1698-$J1699)*100</f>
        <v/>
      </c>
      <c r="BM1698" s="82">
        <f>($F1698-$F1699)*100</f>
        <v/>
      </c>
      <c r="BN1698" s="82">
        <f>$AF1698-$AF1699</f>
        <v/>
      </c>
      <c r="BO1698" s="82">
        <f>$AG1698-$AG1699</f>
        <v/>
      </c>
      <c r="BP1698" s="82">
        <f>$AJ1698-$AJ1699</f>
        <v/>
      </c>
    </row>
    <row r="1699">
      <c r="AR1699" s="81">
        <f>($G1699+($H1699-$G1699)*0.5)+($P1699-($O1699+($Q1699-$O1699)*0.5))</f>
        <v/>
      </c>
      <c r="AS1699" s="81">
        <f>($J1699+($K1699-$J1699)*0.5)+($T1699-($S1699+($U1699-$S1699)*0.5))</f>
        <v/>
      </c>
      <c r="AT1699" s="82">
        <f>($J1699-$C1699)*100</f>
        <v/>
      </c>
      <c r="AU1699" s="82">
        <f>($H1699-$F1699)*100</f>
        <v/>
      </c>
      <c r="AV1699" s="82">
        <f>($J1699-$F1699)*100</f>
        <v/>
      </c>
      <c r="AW1699" s="82">
        <f>($L1699-$F1699)*100</f>
        <v/>
      </c>
      <c r="AX1699" s="82">
        <f>($J1699-$H1699)*100</f>
        <v/>
      </c>
      <c r="AY1699" s="82">
        <f>($L1699-$H1699)*100</f>
        <v/>
      </c>
      <c r="AZ1699" s="82">
        <f>($L1699-$J1699)*100</f>
        <v/>
      </c>
      <c r="BA1699" s="82">
        <f>(2*$H1699-$F1699-$J1699)*100</f>
        <v/>
      </c>
      <c r="BB1699" s="82">
        <f>(2*$J1699-$H1699-$L1699)*100</f>
        <v/>
      </c>
      <c r="BC1699" s="82">
        <f>($N1699-$F1699)*100</f>
        <v/>
      </c>
      <c r="BD1699" s="82">
        <f>($Q1699-$H1699)*100</f>
        <v/>
      </c>
      <c r="BE1699" s="82">
        <f>($S1699-$J1699)*100</f>
        <v/>
      </c>
      <c r="BF1699" s="82">
        <f>($V1699-$L1699)*100</f>
        <v/>
      </c>
      <c r="BG1699" s="82">
        <f>$AG1699-$AF1699</f>
        <v/>
      </c>
      <c r="BH1699" s="81">
        <f>IFERROR($AG1699/$AF1699,"")</f>
        <v/>
      </c>
      <c r="BI1699" s="82">
        <f>$AJ1699-$AF1699</f>
        <v/>
      </c>
      <c r="BJ1699" s="81">
        <f>IFERROR($AJ1699/$AG1699,"")</f>
        <v/>
      </c>
      <c r="BK1699" s="81">
        <f>$X1699</f>
        <v/>
      </c>
      <c r="BL1699" s="82">
        <f>($J1699-$J1700)*100</f>
        <v/>
      </c>
      <c r="BM1699" s="82">
        <f>($F1699-$F1700)*100</f>
        <v/>
      </c>
      <c r="BN1699" s="82">
        <f>$AF1699-$AF1700</f>
        <v/>
      </c>
      <c r="BO1699" s="82">
        <f>$AG1699-$AG1700</f>
        <v/>
      </c>
      <c r="BP1699" s="82">
        <f>$AJ1699-$AJ1700</f>
        <v/>
      </c>
    </row>
    <row r="1700">
      <c r="AR1700" s="81">
        <f>($G1700+($H1700-$G1700)*0.5)+($P1700-($O1700+($Q1700-$O1700)*0.5))</f>
        <v/>
      </c>
      <c r="AS1700" s="81">
        <f>($J1700+($K1700-$J1700)*0.5)+($T1700-($S1700+($U1700-$S1700)*0.5))</f>
        <v/>
      </c>
      <c r="AT1700" s="82">
        <f>($J1700-$C1700)*100</f>
        <v/>
      </c>
      <c r="AU1700" s="82">
        <f>($H1700-$F1700)*100</f>
        <v/>
      </c>
      <c r="AV1700" s="82">
        <f>($J1700-$F1700)*100</f>
        <v/>
      </c>
      <c r="AW1700" s="82">
        <f>($L1700-$F1700)*100</f>
        <v/>
      </c>
      <c r="AX1700" s="82">
        <f>($J1700-$H1700)*100</f>
        <v/>
      </c>
      <c r="AY1700" s="82">
        <f>($L1700-$H1700)*100</f>
        <v/>
      </c>
      <c r="AZ1700" s="82">
        <f>($L1700-$J1700)*100</f>
        <v/>
      </c>
      <c r="BA1700" s="82">
        <f>(2*$H1700-$F1700-$J1700)*100</f>
        <v/>
      </c>
      <c r="BB1700" s="82">
        <f>(2*$J1700-$H1700-$L1700)*100</f>
        <v/>
      </c>
      <c r="BC1700" s="82">
        <f>($N1700-$F1700)*100</f>
        <v/>
      </c>
      <c r="BD1700" s="82">
        <f>($Q1700-$H1700)*100</f>
        <v/>
      </c>
      <c r="BE1700" s="82">
        <f>($S1700-$J1700)*100</f>
        <v/>
      </c>
      <c r="BF1700" s="82">
        <f>($V1700-$L1700)*100</f>
        <v/>
      </c>
      <c r="BG1700" s="82">
        <f>$AG1700-$AF1700</f>
        <v/>
      </c>
      <c r="BH1700" s="81">
        <f>IFERROR($AG1700/$AF1700,"")</f>
        <v/>
      </c>
      <c r="BI1700" s="82">
        <f>$AJ1700-$AF1700</f>
        <v/>
      </c>
      <c r="BJ1700" s="81">
        <f>IFERROR($AJ1700/$AG1700,"")</f>
        <v/>
      </c>
      <c r="BK1700" s="81">
        <f>$X1700</f>
        <v/>
      </c>
      <c r="BL1700" s="82">
        <f>($J1700-$J1701)*100</f>
        <v/>
      </c>
      <c r="BM1700" s="82">
        <f>($F1700-$F1701)*100</f>
        <v/>
      </c>
      <c r="BN1700" s="82">
        <f>$AF1700-$AF1701</f>
        <v/>
      </c>
      <c r="BO1700" s="82">
        <f>$AG1700-$AG1701</f>
        <v/>
      </c>
      <c r="BP1700" s="82">
        <f>$AJ1700-$AJ1701</f>
        <v/>
      </c>
    </row>
    <row r="1701">
      <c r="AR1701" s="81">
        <f>($G1701+($H1701-$G1701)*0.5)+($P1701-($O1701+($Q1701-$O1701)*0.5))</f>
        <v/>
      </c>
      <c r="AS1701" s="81">
        <f>($J1701+($K1701-$J1701)*0.5)+($T1701-($S1701+($U1701-$S1701)*0.5))</f>
        <v/>
      </c>
      <c r="AT1701" s="82">
        <f>($J1701-$C1701)*100</f>
        <v/>
      </c>
      <c r="AU1701" s="82">
        <f>($H1701-$F1701)*100</f>
        <v/>
      </c>
      <c r="AV1701" s="82">
        <f>($J1701-$F1701)*100</f>
        <v/>
      </c>
      <c r="AW1701" s="82">
        <f>($L1701-$F1701)*100</f>
        <v/>
      </c>
      <c r="AX1701" s="82">
        <f>($J1701-$H1701)*100</f>
        <v/>
      </c>
      <c r="AY1701" s="82">
        <f>($L1701-$H1701)*100</f>
        <v/>
      </c>
      <c r="AZ1701" s="82">
        <f>($L1701-$J1701)*100</f>
        <v/>
      </c>
      <c r="BA1701" s="82">
        <f>(2*$H1701-$F1701-$J1701)*100</f>
        <v/>
      </c>
      <c r="BB1701" s="82">
        <f>(2*$J1701-$H1701-$L1701)*100</f>
        <v/>
      </c>
      <c r="BC1701" s="82">
        <f>($N1701-$F1701)*100</f>
        <v/>
      </c>
      <c r="BD1701" s="82">
        <f>($Q1701-$H1701)*100</f>
        <v/>
      </c>
      <c r="BE1701" s="82">
        <f>($S1701-$J1701)*100</f>
        <v/>
      </c>
      <c r="BF1701" s="82">
        <f>($V1701-$L1701)*100</f>
        <v/>
      </c>
      <c r="BG1701" s="82">
        <f>$AG1701-$AF1701</f>
        <v/>
      </c>
      <c r="BH1701" s="81">
        <f>IFERROR($AG1701/$AF1701,"")</f>
        <v/>
      </c>
      <c r="BI1701" s="82">
        <f>$AJ1701-$AF1701</f>
        <v/>
      </c>
      <c r="BJ1701" s="81">
        <f>IFERROR($AJ1701/$AG1701,"")</f>
        <v/>
      </c>
      <c r="BK1701" s="81">
        <f>$X1701</f>
        <v/>
      </c>
      <c r="BL1701" s="82">
        <f>($J1701-$J1702)*100</f>
        <v/>
      </c>
      <c r="BM1701" s="82">
        <f>($F1701-$F1702)*100</f>
        <v/>
      </c>
      <c r="BN1701" s="82">
        <f>$AF1701-$AF1702</f>
        <v/>
      </c>
      <c r="BO1701" s="82">
        <f>$AG1701-$AG1702</f>
        <v/>
      </c>
      <c r="BP1701" s="82">
        <f>$AJ1701-$AJ1702</f>
        <v/>
      </c>
    </row>
    <row r="1702">
      <c r="AR1702" s="81">
        <f>($G1702+($H1702-$G1702)*0.5)+($P1702-($O1702+($Q1702-$O1702)*0.5))</f>
        <v/>
      </c>
      <c r="AS1702" s="81">
        <f>($J1702+($K1702-$J1702)*0.5)+($T1702-($S1702+($U1702-$S1702)*0.5))</f>
        <v/>
      </c>
      <c r="AT1702" s="82">
        <f>($J1702-$C1702)*100</f>
        <v/>
      </c>
      <c r="AU1702" s="82">
        <f>($H1702-$F1702)*100</f>
        <v/>
      </c>
      <c r="AV1702" s="82">
        <f>($J1702-$F1702)*100</f>
        <v/>
      </c>
      <c r="AW1702" s="82">
        <f>($L1702-$F1702)*100</f>
        <v/>
      </c>
      <c r="AX1702" s="82">
        <f>($J1702-$H1702)*100</f>
        <v/>
      </c>
      <c r="AY1702" s="82">
        <f>($L1702-$H1702)*100</f>
        <v/>
      </c>
      <c r="AZ1702" s="82">
        <f>($L1702-$J1702)*100</f>
        <v/>
      </c>
      <c r="BA1702" s="82">
        <f>(2*$H1702-$F1702-$J1702)*100</f>
        <v/>
      </c>
      <c r="BB1702" s="82">
        <f>(2*$J1702-$H1702-$L1702)*100</f>
        <v/>
      </c>
      <c r="BC1702" s="82">
        <f>($N1702-$F1702)*100</f>
        <v/>
      </c>
      <c r="BD1702" s="82">
        <f>($Q1702-$H1702)*100</f>
        <v/>
      </c>
      <c r="BE1702" s="82">
        <f>($S1702-$J1702)*100</f>
        <v/>
      </c>
      <c r="BF1702" s="82">
        <f>($V1702-$L1702)*100</f>
        <v/>
      </c>
      <c r="BG1702" s="82">
        <f>$AG1702-$AF1702</f>
        <v/>
      </c>
      <c r="BH1702" s="81">
        <f>IFERROR($AG1702/$AF1702,"")</f>
        <v/>
      </c>
      <c r="BI1702" s="82">
        <f>$AJ1702-$AF1702</f>
        <v/>
      </c>
      <c r="BJ1702" s="81">
        <f>IFERROR($AJ1702/$AG1702,"")</f>
        <v/>
      </c>
      <c r="BK1702" s="81">
        <f>$X1702</f>
        <v/>
      </c>
      <c r="BL1702" s="82">
        <f>($J1702-$J1703)*100</f>
        <v/>
      </c>
      <c r="BM1702" s="82">
        <f>($F1702-$F1703)*100</f>
        <v/>
      </c>
      <c r="BN1702" s="82">
        <f>$AF1702-$AF1703</f>
        <v/>
      </c>
      <c r="BO1702" s="82">
        <f>$AG1702-$AG1703</f>
        <v/>
      </c>
      <c r="BP1702" s="82">
        <f>$AJ1702-$AJ1703</f>
        <v/>
      </c>
    </row>
    <row r="1703">
      <c r="AR1703" s="81">
        <f>($G1703+($H1703-$G1703)*0.5)+($P1703-($O1703+($Q1703-$O1703)*0.5))</f>
        <v/>
      </c>
      <c r="AS1703" s="81">
        <f>($J1703+($K1703-$J1703)*0.5)+($T1703-($S1703+($U1703-$S1703)*0.5))</f>
        <v/>
      </c>
      <c r="AT1703" s="82">
        <f>($J1703-$C1703)*100</f>
        <v/>
      </c>
      <c r="AU1703" s="82">
        <f>($H1703-$F1703)*100</f>
        <v/>
      </c>
      <c r="AV1703" s="82">
        <f>($J1703-$F1703)*100</f>
        <v/>
      </c>
      <c r="AW1703" s="82">
        <f>($L1703-$F1703)*100</f>
        <v/>
      </c>
      <c r="AX1703" s="82">
        <f>($J1703-$H1703)*100</f>
        <v/>
      </c>
      <c r="AY1703" s="82">
        <f>($L1703-$H1703)*100</f>
        <v/>
      </c>
      <c r="AZ1703" s="82">
        <f>($L1703-$J1703)*100</f>
        <v/>
      </c>
      <c r="BA1703" s="82">
        <f>(2*$H1703-$F1703-$J1703)*100</f>
        <v/>
      </c>
      <c r="BB1703" s="82">
        <f>(2*$J1703-$H1703-$L1703)*100</f>
        <v/>
      </c>
      <c r="BC1703" s="82">
        <f>($N1703-$F1703)*100</f>
        <v/>
      </c>
      <c r="BD1703" s="82">
        <f>($Q1703-$H1703)*100</f>
        <v/>
      </c>
      <c r="BE1703" s="82">
        <f>($S1703-$J1703)*100</f>
        <v/>
      </c>
      <c r="BF1703" s="82">
        <f>($V1703-$L1703)*100</f>
        <v/>
      </c>
      <c r="BG1703" s="82">
        <f>$AG1703-$AF1703</f>
        <v/>
      </c>
      <c r="BH1703" s="81">
        <f>IFERROR($AG1703/$AF1703,"")</f>
        <v/>
      </c>
      <c r="BI1703" s="82">
        <f>$AJ1703-$AF1703</f>
        <v/>
      </c>
      <c r="BJ1703" s="81">
        <f>IFERROR($AJ1703/$AG1703,"")</f>
        <v/>
      </c>
      <c r="BK1703" s="81">
        <f>$X1703</f>
        <v/>
      </c>
      <c r="BL1703" s="82">
        <f>($J1703-$J1704)*100</f>
        <v/>
      </c>
      <c r="BM1703" s="82">
        <f>($F1703-$F1704)*100</f>
        <v/>
      </c>
      <c r="BN1703" s="82">
        <f>$AF1703-$AF1704</f>
        <v/>
      </c>
      <c r="BO1703" s="82">
        <f>$AG1703-$AG1704</f>
        <v/>
      </c>
      <c r="BP1703" s="82">
        <f>$AJ1703-$AJ1704</f>
        <v/>
      </c>
    </row>
    <row r="1704">
      <c r="AR1704" s="81">
        <f>($G1704+($H1704-$G1704)*0.5)+($P1704-($O1704+($Q1704-$O1704)*0.5))</f>
        <v/>
      </c>
      <c r="AS1704" s="81">
        <f>($J1704+($K1704-$J1704)*0.5)+($T1704-($S1704+($U1704-$S1704)*0.5))</f>
        <v/>
      </c>
      <c r="AT1704" s="82">
        <f>($J1704-$C1704)*100</f>
        <v/>
      </c>
      <c r="AU1704" s="82">
        <f>($H1704-$F1704)*100</f>
        <v/>
      </c>
      <c r="AV1704" s="82">
        <f>($J1704-$F1704)*100</f>
        <v/>
      </c>
      <c r="AW1704" s="82">
        <f>($L1704-$F1704)*100</f>
        <v/>
      </c>
      <c r="AX1704" s="82">
        <f>($J1704-$H1704)*100</f>
        <v/>
      </c>
      <c r="AY1704" s="82">
        <f>($L1704-$H1704)*100</f>
        <v/>
      </c>
      <c r="AZ1704" s="82">
        <f>($L1704-$J1704)*100</f>
        <v/>
      </c>
      <c r="BA1704" s="82">
        <f>(2*$H1704-$F1704-$J1704)*100</f>
        <v/>
      </c>
      <c r="BB1704" s="82">
        <f>(2*$J1704-$H1704-$L1704)*100</f>
        <v/>
      </c>
      <c r="BC1704" s="82">
        <f>($N1704-$F1704)*100</f>
        <v/>
      </c>
      <c r="BD1704" s="82">
        <f>($Q1704-$H1704)*100</f>
        <v/>
      </c>
      <c r="BE1704" s="82">
        <f>($S1704-$J1704)*100</f>
        <v/>
      </c>
      <c r="BF1704" s="82">
        <f>($V1704-$L1704)*100</f>
        <v/>
      </c>
      <c r="BG1704" s="82">
        <f>$AG1704-$AF1704</f>
        <v/>
      </c>
      <c r="BH1704" s="81">
        <f>IFERROR($AG1704/$AF1704,"")</f>
        <v/>
      </c>
      <c r="BI1704" s="82">
        <f>$AJ1704-$AF1704</f>
        <v/>
      </c>
      <c r="BJ1704" s="81">
        <f>IFERROR($AJ1704/$AG1704,"")</f>
        <v/>
      </c>
      <c r="BK1704" s="81">
        <f>$X1704</f>
        <v/>
      </c>
      <c r="BL1704" s="82">
        <f>($J1704-$J1705)*100</f>
        <v/>
      </c>
      <c r="BM1704" s="82">
        <f>($F1704-$F1705)*100</f>
        <v/>
      </c>
      <c r="BN1704" s="82">
        <f>$AF1704-$AF1705</f>
        <v/>
      </c>
      <c r="BO1704" s="82">
        <f>$AG1704-$AG1705</f>
        <v/>
      </c>
      <c r="BP1704" s="82">
        <f>$AJ1704-$AJ1705</f>
        <v/>
      </c>
    </row>
    <row r="1705">
      <c r="AR1705" s="81">
        <f>($G1705+($H1705-$G1705)*0.5)+($P1705-($O1705+($Q1705-$O1705)*0.5))</f>
        <v/>
      </c>
      <c r="AS1705" s="81">
        <f>($J1705+($K1705-$J1705)*0.5)+($T1705-($S1705+($U1705-$S1705)*0.5))</f>
        <v/>
      </c>
      <c r="AT1705" s="82">
        <f>($J1705-$C1705)*100</f>
        <v/>
      </c>
      <c r="AU1705" s="82">
        <f>($H1705-$F1705)*100</f>
        <v/>
      </c>
      <c r="AV1705" s="82">
        <f>($J1705-$F1705)*100</f>
        <v/>
      </c>
      <c r="AW1705" s="82">
        <f>($L1705-$F1705)*100</f>
        <v/>
      </c>
      <c r="AX1705" s="82">
        <f>($J1705-$H1705)*100</f>
        <v/>
      </c>
      <c r="AY1705" s="82">
        <f>($L1705-$H1705)*100</f>
        <v/>
      </c>
      <c r="AZ1705" s="82">
        <f>($L1705-$J1705)*100</f>
        <v/>
      </c>
      <c r="BA1705" s="82">
        <f>(2*$H1705-$F1705-$J1705)*100</f>
        <v/>
      </c>
      <c r="BB1705" s="82">
        <f>(2*$J1705-$H1705-$L1705)*100</f>
        <v/>
      </c>
      <c r="BC1705" s="82">
        <f>($N1705-$F1705)*100</f>
        <v/>
      </c>
      <c r="BD1705" s="82">
        <f>($Q1705-$H1705)*100</f>
        <v/>
      </c>
      <c r="BE1705" s="82">
        <f>($S1705-$J1705)*100</f>
        <v/>
      </c>
      <c r="BF1705" s="82">
        <f>($V1705-$L1705)*100</f>
        <v/>
      </c>
      <c r="BG1705" s="82">
        <f>$AG1705-$AF1705</f>
        <v/>
      </c>
      <c r="BH1705" s="81">
        <f>IFERROR($AG1705/$AF1705,"")</f>
        <v/>
      </c>
      <c r="BI1705" s="82">
        <f>$AJ1705-$AF1705</f>
        <v/>
      </c>
      <c r="BJ1705" s="81">
        <f>IFERROR($AJ1705/$AG1705,"")</f>
        <v/>
      </c>
      <c r="BK1705" s="81">
        <f>$X1705</f>
        <v/>
      </c>
      <c r="BL1705" s="82">
        <f>($J1705-$J1706)*100</f>
        <v/>
      </c>
      <c r="BM1705" s="82">
        <f>($F1705-$F1706)*100</f>
        <v/>
      </c>
      <c r="BN1705" s="82">
        <f>$AF1705-$AF1706</f>
        <v/>
      </c>
      <c r="BO1705" s="82">
        <f>$AG1705-$AG1706</f>
        <v/>
      </c>
      <c r="BP1705" s="82">
        <f>$AJ1705-$AJ1706</f>
        <v/>
      </c>
    </row>
    <row r="1706">
      <c r="AR1706" s="81">
        <f>($G1706+($H1706-$G1706)*0.5)+($P1706-($O1706+($Q1706-$O1706)*0.5))</f>
        <v/>
      </c>
      <c r="AS1706" s="81">
        <f>($J1706+($K1706-$J1706)*0.5)+($T1706-($S1706+($U1706-$S1706)*0.5))</f>
        <v/>
      </c>
      <c r="AT1706" s="82">
        <f>($J1706-$C1706)*100</f>
        <v/>
      </c>
      <c r="AU1706" s="82">
        <f>($H1706-$F1706)*100</f>
        <v/>
      </c>
      <c r="AV1706" s="82">
        <f>($J1706-$F1706)*100</f>
        <v/>
      </c>
      <c r="AW1706" s="82">
        <f>($L1706-$F1706)*100</f>
        <v/>
      </c>
      <c r="AX1706" s="82">
        <f>($J1706-$H1706)*100</f>
        <v/>
      </c>
      <c r="AY1706" s="82">
        <f>($L1706-$H1706)*100</f>
        <v/>
      </c>
      <c r="AZ1706" s="82">
        <f>($L1706-$J1706)*100</f>
        <v/>
      </c>
      <c r="BA1706" s="82">
        <f>(2*$H1706-$F1706-$J1706)*100</f>
        <v/>
      </c>
      <c r="BB1706" s="82">
        <f>(2*$J1706-$H1706-$L1706)*100</f>
        <v/>
      </c>
      <c r="BC1706" s="82">
        <f>($N1706-$F1706)*100</f>
        <v/>
      </c>
      <c r="BD1706" s="82">
        <f>($Q1706-$H1706)*100</f>
        <v/>
      </c>
      <c r="BE1706" s="82">
        <f>($S1706-$J1706)*100</f>
        <v/>
      </c>
      <c r="BF1706" s="82">
        <f>($V1706-$L1706)*100</f>
        <v/>
      </c>
      <c r="BG1706" s="82">
        <f>$AG1706-$AF1706</f>
        <v/>
      </c>
      <c r="BH1706" s="81">
        <f>IFERROR($AG1706/$AF1706,"")</f>
        <v/>
      </c>
      <c r="BI1706" s="82">
        <f>$AJ1706-$AF1706</f>
        <v/>
      </c>
      <c r="BJ1706" s="81">
        <f>IFERROR($AJ1706/$AG1706,"")</f>
        <v/>
      </c>
      <c r="BK1706" s="81">
        <f>$X1706</f>
        <v/>
      </c>
      <c r="BL1706" s="82">
        <f>($J1706-$J1707)*100</f>
        <v/>
      </c>
      <c r="BM1706" s="82">
        <f>($F1706-$F1707)*100</f>
        <v/>
      </c>
      <c r="BN1706" s="82">
        <f>$AF1706-$AF1707</f>
        <v/>
      </c>
      <c r="BO1706" s="82">
        <f>$AG1706-$AG1707</f>
        <v/>
      </c>
      <c r="BP1706" s="82">
        <f>$AJ1706-$AJ1707</f>
        <v/>
      </c>
    </row>
    <row r="1707">
      <c r="AR1707" s="81">
        <f>($G1707+($H1707-$G1707)*0.5)+($P1707-($O1707+($Q1707-$O1707)*0.5))</f>
        <v/>
      </c>
      <c r="AS1707" s="81">
        <f>($J1707+($K1707-$J1707)*0.5)+($T1707-($S1707+($U1707-$S1707)*0.5))</f>
        <v/>
      </c>
      <c r="AT1707" s="82">
        <f>($J1707-$C1707)*100</f>
        <v/>
      </c>
      <c r="AU1707" s="82">
        <f>($H1707-$F1707)*100</f>
        <v/>
      </c>
      <c r="AV1707" s="82">
        <f>($J1707-$F1707)*100</f>
        <v/>
      </c>
      <c r="AW1707" s="82">
        <f>($L1707-$F1707)*100</f>
        <v/>
      </c>
      <c r="AX1707" s="82">
        <f>($J1707-$H1707)*100</f>
        <v/>
      </c>
      <c r="AY1707" s="82">
        <f>($L1707-$H1707)*100</f>
        <v/>
      </c>
      <c r="AZ1707" s="82">
        <f>($L1707-$J1707)*100</f>
        <v/>
      </c>
      <c r="BA1707" s="82">
        <f>(2*$H1707-$F1707-$J1707)*100</f>
        <v/>
      </c>
      <c r="BB1707" s="82">
        <f>(2*$J1707-$H1707-$L1707)*100</f>
        <v/>
      </c>
      <c r="BC1707" s="82">
        <f>($N1707-$F1707)*100</f>
        <v/>
      </c>
      <c r="BD1707" s="82">
        <f>($Q1707-$H1707)*100</f>
        <v/>
      </c>
      <c r="BE1707" s="82">
        <f>($S1707-$J1707)*100</f>
        <v/>
      </c>
      <c r="BF1707" s="82">
        <f>($V1707-$L1707)*100</f>
        <v/>
      </c>
      <c r="BG1707" s="82">
        <f>$AG1707-$AF1707</f>
        <v/>
      </c>
      <c r="BH1707" s="81">
        <f>IFERROR($AG1707/$AF1707,"")</f>
        <v/>
      </c>
      <c r="BI1707" s="82">
        <f>$AJ1707-$AF1707</f>
        <v/>
      </c>
      <c r="BJ1707" s="81">
        <f>IFERROR($AJ1707/$AG1707,"")</f>
        <v/>
      </c>
      <c r="BK1707" s="81">
        <f>$X1707</f>
        <v/>
      </c>
      <c r="BL1707" s="82">
        <f>($J1707-$J1708)*100</f>
        <v/>
      </c>
      <c r="BM1707" s="82">
        <f>($F1707-$F1708)*100</f>
        <v/>
      </c>
      <c r="BN1707" s="82">
        <f>$AF1707-$AF1708</f>
        <v/>
      </c>
      <c r="BO1707" s="82">
        <f>$AG1707-$AG1708</f>
        <v/>
      </c>
      <c r="BP1707" s="82">
        <f>$AJ1707-$AJ1708</f>
        <v/>
      </c>
    </row>
    <row r="1708">
      <c r="AR1708" s="81">
        <f>($G1708+($H1708-$G1708)*0.5)+($P1708-($O1708+($Q1708-$O1708)*0.5))</f>
        <v/>
      </c>
      <c r="AS1708" s="81">
        <f>($J1708+($K1708-$J1708)*0.5)+($T1708-($S1708+($U1708-$S1708)*0.5))</f>
        <v/>
      </c>
      <c r="AT1708" s="82">
        <f>($J1708-$C1708)*100</f>
        <v/>
      </c>
      <c r="AU1708" s="82">
        <f>($H1708-$F1708)*100</f>
        <v/>
      </c>
      <c r="AV1708" s="82">
        <f>($J1708-$F1708)*100</f>
        <v/>
      </c>
      <c r="AW1708" s="82">
        <f>($L1708-$F1708)*100</f>
        <v/>
      </c>
      <c r="AX1708" s="82">
        <f>($J1708-$H1708)*100</f>
        <v/>
      </c>
      <c r="AY1708" s="82">
        <f>($L1708-$H1708)*100</f>
        <v/>
      </c>
      <c r="AZ1708" s="82">
        <f>($L1708-$J1708)*100</f>
        <v/>
      </c>
      <c r="BA1708" s="82">
        <f>(2*$H1708-$F1708-$J1708)*100</f>
        <v/>
      </c>
      <c r="BB1708" s="82">
        <f>(2*$J1708-$H1708-$L1708)*100</f>
        <v/>
      </c>
      <c r="BC1708" s="82">
        <f>($N1708-$F1708)*100</f>
        <v/>
      </c>
      <c r="BD1708" s="82">
        <f>($Q1708-$H1708)*100</f>
        <v/>
      </c>
      <c r="BE1708" s="82">
        <f>($S1708-$J1708)*100</f>
        <v/>
      </c>
      <c r="BF1708" s="82">
        <f>($V1708-$L1708)*100</f>
        <v/>
      </c>
      <c r="BG1708" s="82">
        <f>$AG1708-$AF1708</f>
        <v/>
      </c>
      <c r="BH1708" s="81">
        <f>IFERROR($AG1708/$AF1708,"")</f>
        <v/>
      </c>
      <c r="BI1708" s="82">
        <f>$AJ1708-$AF1708</f>
        <v/>
      </c>
      <c r="BJ1708" s="81">
        <f>IFERROR($AJ1708/$AG1708,"")</f>
        <v/>
      </c>
      <c r="BK1708" s="81">
        <f>$X1708</f>
        <v/>
      </c>
      <c r="BL1708" s="82">
        <f>($J1708-$J1709)*100</f>
        <v/>
      </c>
      <c r="BM1708" s="82">
        <f>($F1708-$F1709)*100</f>
        <v/>
      </c>
      <c r="BN1708" s="82">
        <f>$AF1708-$AF1709</f>
        <v/>
      </c>
      <c r="BO1708" s="82">
        <f>$AG1708-$AG1709</f>
        <v/>
      </c>
      <c r="BP1708" s="82">
        <f>$AJ1708-$AJ1709</f>
        <v/>
      </c>
    </row>
    <row r="1709">
      <c r="AR1709" s="81">
        <f>($G1709+($H1709-$G1709)*0.5)+($P1709-($O1709+($Q1709-$O1709)*0.5))</f>
        <v/>
      </c>
      <c r="AS1709" s="81">
        <f>($J1709+($K1709-$J1709)*0.5)+($T1709-($S1709+($U1709-$S1709)*0.5))</f>
        <v/>
      </c>
      <c r="AT1709" s="82">
        <f>($J1709-$C1709)*100</f>
        <v/>
      </c>
      <c r="AU1709" s="82">
        <f>($H1709-$F1709)*100</f>
        <v/>
      </c>
      <c r="AV1709" s="82">
        <f>($J1709-$F1709)*100</f>
        <v/>
      </c>
      <c r="AW1709" s="82">
        <f>($L1709-$F1709)*100</f>
        <v/>
      </c>
      <c r="AX1709" s="82">
        <f>($J1709-$H1709)*100</f>
        <v/>
      </c>
      <c r="AY1709" s="82">
        <f>($L1709-$H1709)*100</f>
        <v/>
      </c>
      <c r="AZ1709" s="82">
        <f>($L1709-$J1709)*100</f>
        <v/>
      </c>
      <c r="BA1709" s="82">
        <f>(2*$H1709-$F1709-$J1709)*100</f>
        <v/>
      </c>
      <c r="BB1709" s="82">
        <f>(2*$J1709-$H1709-$L1709)*100</f>
        <v/>
      </c>
      <c r="BC1709" s="82">
        <f>($N1709-$F1709)*100</f>
        <v/>
      </c>
      <c r="BD1709" s="82">
        <f>($Q1709-$H1709)*100</f>
        <v/>
      </c>
      <c r="BE1709" s="82">
        <f>($S1709-$J1709)*100</f>
        <v/>
      </c>
      <c r="BF1709" s="82">
        <f>($V1709-$L1709)*100</f>
        <v/>
      </c>
      <c r="BG1709" s="82">
        <f>$AG1709-$AF1709</f>
        <v/>
      </c>
      <c r="BH1709" s="81">
        <f>IFERROR($AG1709/$AF1709,"")</f>
        <v/>
      </c>
      <c r="BI1709" s="82">
        <f>$AJ1709-$AF1709</f>
        <v/>
      </c>
      <c r="BJ1709" s="81">
        <f>IFERROR($AJ1709/$AG1709,"")</f>
        <v/>
      </c>
      <c r="BK1709" s="81">
        <f>$X1709</f>
        <v/>
      </c>
      <c r="BL1709" s="82">
        <f>($J1709-$J1710)*100</f>
        <v/>
      </c>
      <c r="BM1709" s="82">
        <f>($F1709-$F1710)*100</f>
        <v/>
      </c>
      <c r="BN1709" s="82">
        <f>$AF1709-$AF1710</f>
        <v/>
      </c>
      <c r="BO1709" s="82">
        <f>$AG1709-$AG1710</f>
        <v/>
      </c>
      <c r="BP1709" s="82">
        <f>$AJ1709-$AJ1710</f>
        <v/>
      </c>
    </row>
    <row r="1710">
      <c r="AR1710" s="81">
        <f>($G1710+($H1710-$G1710)*0.5)+($P1710-($O1710+($Q1710-$O1710)*0.5))</f>
        <v/>
      </c>
      <c r="AS1710" s="81">
        <f>($J1710+($K1710-$J1710)*0.5)+($T1710-($S1710+($U1710-$S1710)*0.5))</f>
        <v/>
      </c>
      <c r="AT1710" s="82">
        <f>($J1710-$C1710)*100</f>
        <v/>
      </c>
      <c r="AU1710" s="82">
        <f>($H1710-$F1710)*100</f>
        <v/>
      </c>
      <c r="AV1710" s="82">
        <f>($J1710-$F1710)*100</f>
        <v/>
      </c>
      <c r="AW1710" s="82">
        <f>($L1710-$F1710)*100</f>
        <v/>
      </c>
      <c r="AX1710" s="82">
        <f>($J1710-$H1710)*100</f>
        <v/>
      </c>
      <c r="AY1710" s="82">
        <f>($L1710-$H1710)*100</f>
        <v/>
      </c>
      <c r="AZ1710" s="82">
        <f>($L1710-$J1710)*100</f>
        <v/>
      </c>
      <c r="BA1710" s="82">
        <f>(2*$H1710-$F1710-$J1710)*100</f>
        <v/>
      </c>
      <c r="BB1710" s="82">
        <f>(2*$J1710-$H1710-$L1710)*100</f>
        <v/>
      </c>
      <c r="BC1710" s="82">
        <f>($N1710-$F1710)*100</f>
        <v/>
      </c>
      <c r="BD1710" s="82">
        <f>($Q1710-$H1710)*100</f>
        <v/>
      </c>
      <c r="BE1710" s="82">
        <f>($S1710-$J1710)*100</f>
        <v/>
      </c>
      <c r="BF1710" s="82">
        <f>($V1710-$L1710)*100</f>
        <v/>
      </c>
      <c r="BG1710" s="82">
        <f>$AG1710-$AF1710</f>
        <v/>
      </c>
      <c r="BH1710" s="81">
        <f>IFERROR($AG1710/$AF1710,"")</f>
        <v/>
      </c>
      <c r="BI1710" s="82">
        <f>$AJ1710-$AF1710</f>
        <v/>
      </c>
      <c r="BJ1710" s="81">
        <f>IFERROR($AJ1710/$AG1710,"")</f>
        <v/>
      </c>
      <c r="BK1710" s="81">
        <f>$X1710</f>
        <v/>
      </c>
      <c r="BL1710" s="82">
        <f>($J1710-$J1711)*100</f>
        <v/>
      </c>
      <c r="BM1710" s="82">
        <f>($F1710-$F1711)*100</f>
        <v/>
      </c>
      <c r="BN1710" s="82">
        <f>$AF1710-$AF1711</f>
        <v/>
      </c>
      <c r="BO1710" s="82">
        <f>$AG1710-$AG1711</f>
        <v/>
      </c>
      <c r="BP1710" s="82">
        <f>$AJ1710-$AJ1711</f>
        <v/>
      </c>
    </row>
    <row r="1711">
      <c r="AR1711" s="81">
        <f>($G1711+($H1711-$G1711)*0.5)+($P1711-($O1711+($Q1711-$O1711)*0.5))</f>
        <v/>
      </c>
      <c r="AS1711" s="81">
        <f>($J1711+($K1711-$J1711)*0.5)+($T1711-($S1711+($U1711-$S1711)*0.5))</f>
        <v/>
      </c>
      <c r="AT1711" s="82">
        <f>($J1711-$C1711)*100</f>
        <v/>
      </c>
      <c r="AU1711" s="82">
        <f>($H1711-$F1711)*100</f>
        <v/>
      </c>
      <c r="AV1711" s="82">
        <f>($J1711-$F1711)*100</f>
        <v/>
      </c>
      <c r="AW1711" s="82">
        <f>($L1711-$F1711)*100</f>
        <v/>
      </c>
      <c r="AX1711" s="82">
        <f>($J1711-$H1711)*100</f>
        <v/>
      </c>
      <c r="AY1711" s="82">
        <f>($L1711-$H1711)*100</f>
        <v/>
      </c>
      <c r="AZ1711" s="82">
        <f>($L1711-$J1711)*100</f>
        <v/>
      </c>
      <c r="BA1711" s="82">
        <f>(2*$H1711-$F1711-$J1711)*100</f>
        <v/>
      </c>
      <c r="BB1711" s="82">
        <f>(2*$J1711-$H1711-$L1711)*100</f>
        <v/>
      </c>
      <c r="BC1711" s="82">
        <f>($N1711-$F1711)*100</f>
        <v/>
      </c>
      <c r="BD1711" s="82">
        <f>($Q1711-$H1711)*100</f>
        <v/>
      </c>
      <c r="BE1711" s="82">
        <f>($S1711-$J1711)*100</f>
        <v/>
      </c>
      <c r="BF1711" s="82">
        <f>($V1711-$L1711)*100</f>
        <v/>
      </c>
      <c r="BG1711" s="82">
        <f>$AG1711-$AF1711</f>
        <v/>
      </c>
      <c r="BH1711" s="81">
        <f>IFERROR($AG1711/$AF1711,"")</f>
        <v/>
      </c>
      <c r="BI1711" s="82">
        <f>$AJ1711-$AF1711</f>
        <v/>
      </c>
      <c r="BJ1711" s="81">
        <f>IFERROR($AJ1711/$AG1711,"")</f>
        <v/>
      </c>
      <c r="BK1711" s="81">
        <f>$X1711</f>
        <v/>
      </c>
      <c r="BL1711" s="82">
        <f>($J1711-$J1712)*100</f>
        <v/>
      </c>
      <c r="BM1711" s="82">
        <f>($F1711-$F1712)*100</f>
        <v/>
      </c>
      <c r="BN1711" s="82">
        <f>$AF1711-$AF1712</f>
        <v/>
      </c>
      <c r="BO1711" s="82">
        <f>$AG1711-$AG1712</f>
        <v/>
      </c>
      <c r="BP1711" s="82">
        <f>$AJ1711-$AJ1712</f>
        <v/>
      </c>
    </row>
    <row r="1712">
      <c r="AR1712" s="81">
        <f>($G1712+($H1712-$G1712)*0.5)+($P1712-($O1712+($Q1712-$O1712)*0.5))</f>
        <v/>
      </c>
      <c r="AS1712" s="81">
        <f>($J1712+($K1712-$J1712)*0.5)+($T1712-($S1712+($U1712-$S1712)*0.5))</f>
        <v/>
      </c>
      <c r="AT1712" s="82">
        <f>($J1712-$C1712)*100</f>
        <v/>
      </c>
      <c r="AU1712" s="82">
        <f>($H1712-$F1712)*100</f>
        <v/>
      </c>
      <c r="AV1712" s="82">
        <f>($J1712-$F1712)*100</f>
        <v/>
      </c>
      <c r="AW1712" s="82">
        <f>($L1712-$F1712)*100</f>
        <v/>
      </c>
      <c r="AX1712" s="82">
        <f>($J1712-$H1712)*100</f>
        <v/>
      </c>
      <c r="AY1712" s="82">
        <f>($L1712-$H1712)*100</f>
        <v/>
      </c>
      <c r="AZ1712" s="82">
        <f>($L1712-$J1712)*100</f>
        <v/>
      </c>
      <c r="BA1712" s="82">
        <f>(2*$H1712-$F1712-$J1712)*100</f>
        <v/>
      </c>
      <c r="BB1712" s="82">
        <f>(2*$J1712-$H1712-$L1712)*100</f>
        <v/>
      </c>
      <c r="BC1712" s="82">
        <f>($N1712-$F1712)*100</f>
        <v/>
      </c>
      <c r="BD1712" s="82">
        <f>($Q1712-$H1712)*100</f>
        <v/>
      </c>
      <c r="BE1712" s="82">
        <f>($S1712-$J1712)*100</f>
        <v/>
      </c>
      <c r="BF1712" s="82">
        <f>($V1712-$L1712)*100</f>
        <v/>
      </c>
      <c r="BG1712" s="82">
        <f>$AG1712-$AF1712</f>
        <v/>
      </c>
      <c r="BH1712" s="81">
        <f>IFERROR($AG1712/$AF1712,"")</f>
        <v/>
      </c>
      <c r="BI1712" s="82">
        <f>$AJ1712-$AF1712</f>
        <v/>
      </c>
      <c r="BJ1712" s="81">
        <f>IFERROR($AJ1712/$AG1712,"")</f>
        <v/>
      </c>
      <c r="BK1712" s="81">
        <f>$X1712</f>
        <v/>
      </c>
      <c r="BL1712" s="82">
        <f>($J1712-$J1713)*100</f>
        <v/>
      </c>
      <c r="BM1712" s="82">
        <f>($F1712-$F1713)*100</f>
        <v/>
      </c>
      <c r="BN1712" s="82">
        <f>$AF1712-$AF1713</f>
        <v/>
      </c>
      <c r="BO1712" s="82">
        <f>$AG1712-$AG1713</f>
        <v/>
      </c>
      <c r="BP1712" s="82">
        <f>$AJ1712-$AJ1713</f>
        <v/>
      </c>
    </row>
    <row r="1713">
      <c r="AR1713" s="81">
        <f>($G1713+($H1713-$G1713)*0.5)+($P1713-($O1713+($Q1713-$O1713)*0.5))</f>
        <v/>
      </c>
      <c r="AS1713" s="81">
        <f>($J1713+($K1713-$J1713)*0.5)+($T1713-($S1713+($U1713-$S1713)*0.5))</f>
        <v/>
      </c>
      <c r="AT1713" s="82">
        <f>($J1713-$C1713)*100</f>
        <v/>
      </c>
      <c r="AU1713" s="82">
        <f>($H1713-$F1713)*100</f>
        <v/>
      </c>
      <c r="AV1713" s="82">
        <f>($J1713-$F1713)*100</f>
        <v/>
      </c>
      <c r="AW1713" s="82">
        <f>($L1713-$F1713)*100</f>
        <v/>
      </c>
      <c r="AX1713" s="82">
        <f>($J1713-$H1713)*100</f>
        <v/>
      </c>
      <c r="AY1713" s="82">
        <f>($L1713-$H1713)*100</f>
        <v/>
      </c>
      <c r="AZ1713" s="82">
        <f>($L1713-$J1713)*100</f>
        <v/>
      </c>
      <c r="BA1713" s="82">
        <f>(2*$H1713-$F1713-$J1713)*100</f>
        <v/>
      </c>
      <c r="BB1713" s="82">
        <f>(2*$J1713-$H1713-$L1713)*100</f>
        <v/>
      </c>
      <c r="BC1713" s="82">
        <f>($N1713-$F1713)*100</f>
        <v/>
      </c>
      <c r="BD1713" s="82">
        <f>($Q1713-$H1713)*100</f>
        <v/>
      </c>
      <c r="BE1713" s="82">
        <f>($S1713-$J1713)*100</f>
        <v/>
      </c>
      <c r="BF1713" s="82">
        <f>($V1713-$L1713)*100</f>
        <v/>
      </c>
      <c r="BG1713" s="82">
        <f>$AG1713-$AF1713</f>
        <v/>
      </c>
      <c r="BH1713" s="81">
        <f>IFERROR($AG1713/$AF1713,"")</f>
        <v/>
      </c>
      <c r="BI1713" s="82">
        <f>$AJ1713-$AF1713</f>
        <v/>
      </c>
      <c r="BJ1713" s="81">
        <f>IFERROR($AJ1713/$AG1713,"")</f>
        <v/>
      </c>
      <c r="BK1713" s="81">
        <f>$X1713</f>
        <v/>
      </c>
      <c r="BL1713" s="82">
        <f>($J1713-$J1714)*100</f>
        <v/>
      </c>
      <c r="BM1713" s="82">
        <f>($F1713-$F1714)*100</f>
        <v/>
      </c>
      <c r="BN1713" s="82">
        <f>$AF1713-$AF1714</f>
        <v/>
      </c>
      <c r="BO1713" s="82">
        <f>$AG1713-$AG1714</f>
        <v/>
      </c>
      <c r="BP1713" s="82">
        <f>$AJ1713-$AJ1714</f>
        <v/>
      </c>
    </row>
    <row r="1714">
      <c r="AR1714" s="81">
        <f>($G1714+($H1714-$G1714)*0.5)+($P1714-($O1714+($Q1714-$O1714)*0.5))</f>
        <v/>
      </c>
      <c r="AS1714" s="81">
        <f>($J1714+($K1714-$J1714)*0.5)+($T1714-($S1714+($U1714-$S1714)*0.5))</f>
        <v/>
      </c>
      <c r="AT1714" s="82">
        <f>($J1714-$C1714)*100</f>
        <v/>
      </c>
      <c r="AU1714" s="82">
        <f>($H1714-$F1714)*100</f>
        <v/>
      </c>
      <c r="AV1714" s="82">
        <f>($J1714-$F1714)*100</f>
        <v/>
      </c>
      <c r="AW1714" s="82">
        <f>($L1714-$F1714)*100</f>
        <v/>
      </c>
      <c r="AX1714" s="82">
        <f>($J1714-$H1714)*100</f>
        <v/>
      </c>
      <c r="AY1714" s="82">
        <f>($L1714-$H1714)*100</f>
        <v/>
      </c>
      <c r="AZ1714" s="82">
        <f>($L1714-$J1714)*100</f>
        <v/>
      </c>
      <c r="BA1714" s="82">
        <f>(2*$H1714-$F1714-$J1714)*100</f>
        <v/>
      </c>
      <c r="BB1714" s="82">
        <f>(2*$J1714-$H1714-$L1714)*100</f>
        <v/>
      </c>
      <c r="BC1714" s="82">
        <f>($N1714-$F1714)*100</f>
        <v/>
      </c>
      <c r="BD1714" s="82">
        <f>($Q1714-$H1714)*100</f>
        <v/>
      </c>
      <c r="BE1714" s="82">
        <f>($S1714-$J1714)*100</f>
        <v/>
      </c>
      <c r="BF1714" s="82">
        <f>($V1714-$L1714)*100</f>
        <v/>
      </c>
      <c r="BG1714" s="82">
        <f>$AG1714-$AF1714</f>
        <v/>
      </c>
      <c r="BH1714" s="81">
        <f>IFERROR($AG1714/$AF1714,"")</f>
        <v/>
      </c>
      <c r="BI1714" s="82">
        <f>$AJ1714-$AF1714</f>
        <v/>
      </c>
      <c r="BJ1714" s="81">
        <f>IFERROR($AJ1714/$AG1714,"")</f>
        <v/>
      </c>
      <c r="BK1714" s="81">
        <f>$X1714</f>
        <v/>
      </c>
      <c r="BL1714" s="82">
        <f>($J1714-$J1715)*100</f>
        <v/>
      </c>
      <c r="BM1714" s="82">
        <f>($F1714-$F1715)*100</f>
        <v/>
      </c>
      <c r="BN1714" s="82">
        <f>$AF1714-$AF1715</f>
        <v/>
      </c>
      <c r="BO1714" s="82">
        <f>$AG1714-$AG1715</f>
        <v/>
      </c>
      <c r="BP1714" s="82">
        <f>$AJ1714-$AJ1715</f>
        <v/>
      </c>
    </row>
    <row r="1715">
      <c r="AR1715" s="81">
        <f>($G1715+($H1715-$G1715)*0.5)+($P1715-($O1715+($Q1715-$O1715)*0.5))</f>
        <v/>
      </c>
      <c r="AS1715" s="81">
        <f>($J1715+($K1715-$J1715)*0.5)+($T1715-($S1715+($U1715-$S1715)*0.5))</f>
        <v/>
      </c>
      <c r="AT1715" s="82">
        <f>($J1715-$C1715)*100</f>
        <v/>
      </c>
      <c r="AU1715" s="82">
        <f>($H1715-$F1715)*100</f>
        <v/>
      </c>
      <c r="AV1715" s="82">
        <f>($J1715-$F1715)*100</f>
        <v/>
      </c>
      <c r="AW1715" s="82">
        <f>($L1715-$F1715)*100</f>
        <v/>
      </c>
      <c r="AX1715" s="82">
        <f>($J1715-$H1715)*100</f>
        <v/>
      </c>
      <c r="AY1715" s="82">
        <f>($L1715-$H1715)*100</f>
        <v/>
      </c>
      <c r="AZ1715" s="82">
        <f>($L1715-$J1715)*100</f>
        <v/>
      </c>
      <c r="BA1715" s="82">
        <f>(2*$H1715-$F1715-$J1715)*100</f>
        <v/>
      </c>
      <c r="BB1715" s="82">
        <f>(2*$J1715-$H1715-$L1715)*100</f>
        <v/>
      </c>
      <c r="BC1715" s="82">
        <f>($N1715-$F1715)*100</f>
        <v/>
      </c>
      <c r="BD1715" s="82">
        <f>($Q1715-$H1715)*100</f>
        <v/>
      </c>
      <c r="BE1715" s="82">
        <f>($S1715-$J1715)*100</f>
        <v/>
      </c>
      <c r="BF1715" s="82">
        <f>($V1715-$L1715)*100</f>
        <v/>
      </c>
      <c r="BG1715" s="82">
        <f>$AG1715-$AF1715</f>
        <v/>
      </c>
      <c r="BH1715" s="81">
        <f>IFERROR($AG1715/$AF1715,"")</f>
        <v/>
      </c>
      <c r="BI1715" s="82">
        <f>$AJ1715-$AF1715</f>
        <v/>
      </c>
      <c r="BJ1715" s="81">
        <f>IFERROR($AJ1715/$AG1715,"")</f>
        <v/>
      </c>
      <c r="BK1715" s="81">
        <f>$X1715</f>
        <v/>
      </c>
      <c r="BL1715" s="82">
        <f>($J1715-$J1716)*100</f>
        <v/>
      </c>
      <c r="BM1715" s="82">
        <f>($F1715-$F1716)*100</f>
        <v/>
      </c>
      <c r="BN1715" s="82">
        <f>$AF1715-$AF1716</f>
        <v/>
      </c>
      <c r="BO1715" s="82">
        <f>$AG1715-$AG1716</f>
        <v/>
      </c>
      <c r="BP1715" s="82">
        <f>$AJ1715-$AJ1716</f>
        <v/>
      </c>
    </row>
    <row r="1716">
      <c r="AR1716" s="81">
        <f>($G1716+($H1716-$G1716)*0.5)+($P1716-($O1716+($Q1716-$O1716)*0.5))</f>
        <v/>
      </c>
      <c r="AS1716" s="81">
        <f>($J1716+($K1716-$J1716)*0.5)+($T1716-($S1716+($U1716-$S1716)*0.5))</f>
        <v/>
      </c>
      <c r="AT1716" s="82">
        <f>($J1716-$C1716)*100</f>
        <v/>
      </c>
      <c r="AU1716" s="82">
        <f>($H1716-$F1716)*100</f>
        <v/>
      </c>
      <c r="AV1716" s="82">
        <f>($J1716-$F1716)*100</f>
        <v/>
      </c>
      <c r="AW1716" s="82">
        <f>($L1716-$F1716)*100</f>
        <v/>
      </c>
      <c r="AX1716" s="82">
        <f>($J1716-$H1716)*100</f>
        <v/>
      </c>
      <c r="AY1716" s="82">
        <f>($L1716-$H1716)*100</f>
        <v/>
      </c>
      <c r="AZ1716" s="82">
        <f>($L1716-$J1716)*100</f>
        <v/>
      </c>
      <c r="BA1716" s="82">
        <f>(2*$H1716-$F1716-$J1716)*100</f>
        <v/>
      </c>
      <c r="BB1716" s="82">
        <f>(2*$J1716-$H1716-$L1716)*100</f>
        <v/>
      </c>
      <c r="BC1716" s="82">
        <f>($N1716-$F1716)*100</f>
        <v/>
      </c>
      <c r="BD1716" s="82">
        <f>($Q1716-$H1716)*100</f>
        <v/>
      </c>
      <c r="BE1716" s="82">
        <f>($S1716-$J1716)*100</f>
        <v/>
      </c>
      <c r="BF1716" s="82">
        <f>($V1716-$L1716)*100</f>
        <v/>
      </c>
      <c r="BG1716" s="82">
        <f>$AG1716-$AF1716</f>
        <v/>
      </c>
      <c r="BH1716" s="81">
        <f>IFERROR($AG1716/$AF1716,"")</f>
        <v/>
      </c>
      <c r="BI1716" s="82">
        <f>$AJ1716-$AF1716</f>
        <v/>
      </c>
      <c r="BJ1716" s="81">
        <f>IFERROR($AJ1716/$AG1716,"")</f>
        <v/>
      </c>
      <c r="BK1716" s="81">
        <f>$X1716</f>
        <v/>
      </c>
      <c r="BL1716" s="82">
        <f>($J1716-$J1717)*100</f>
        <v/>
      </c>
      <c r="BM1716" s="82">
        <f>($F1716-$F1717)*100</f>
        <v/>
      </c>
      <c r="BN1716" s="82">
        <f>$AF1716-$AF1717</f>
        <v/>
      </c>
      <c r="BO1716" s="82">
        <f>$AG1716-$AG1717</f>
        <v/>
      </c>
      <c r="BP1716" s="82">
        <f>$AJ1716-$AJ1717</f>
        <v/>
      </c>
    </row>
    <row r="1717">
      <c r="AR1717" s="81">
        <f>($G1717+($H1717-$G1717)*0.5)+($P1717-($O1717+($Q1717-$O1717)*0.5))</f>
        <v/>
      </c>
      <c r="AS1717" s="81">
        <f>($J1717+($K1717-$J1717)*0.5)+($T1717-($S1717+($U1717-$S1717)*0.5))</f>
        <v/>
      </c>
      <c r="AT1717" s="82">
        <f>($J1717-$C1717)*100</f>
        <v/>
      </c>
      <c r="AU1717" s="82">
        <f>($H1717-$F1717)*100</f>
        <v/>
      </c>
      <c r="AV1717" s="82">
        <f>($J1717-$F1717)*100</f>
        <v/>
      </c>
      <c r="AW1717" s="82">
        <f>($L1717-$F1717)*100</f>
        <v/>
      </c>
      <c r="AX1717" s="82">
        <f>($J1717-$H1717)*100</f>
        <v/>
      </c>
      <c r="AY1717" s="82">
        <f>($L1717-$H1717)*100</f>
        <v/>
      </c>
      <c r="AZ1717" s="82">
        <f>($L1717-$J1717)*100</f>
        <v/>
      </c>
      <c r="BA1717" s="82">
        <f>(2*$H1717-$F1717-$J1717)*100</f>
        <v/>
      </c>
      <c r="BB1717" s="82">
        <f>(2*$J1717-$H1717-$L1717)*100</f>
        <v/>
      </c>
      <c r="BC1717" s="82">
        <f>($N1717-$F1717)*100</f>
        <v/>
      </c>
      <c r="BD1717" s="82">
        <f>($Q1717-$H1717)*100</f>
        <v/>
      </c>
      <c r="BE1717" s="82">
        <f>($S1717-$J1717)*100</f>
        <v/>
      </c>
      <c r="BF1717" s="82">
        <f>($V1717-$L1717)*100</f>
        <v/>
      </c>
      <c r="BG1717" s="82">
        <f>$AG1717-$AF1717</f>
        <v/>
      </c>
      <c r="BH1717" s="81">
        <f>IFERROR($AG1717/$AF1717,"")</f>
        <v/>
      </c>
      <c r="BI1717" s="82">
        <f>$AJ1717-$AF1717</f>
        <v/>
      </c>
      <c r="BJ1717" s="81">
        <f>IFERROR($AJ1717/$AG1717,"")</f>
        <v/>
      </c>
      <c r="BK1717" s="81">
        <f>$X1717</f>
        <v/>
      </c>
      <c r="BL1717" s="82">
        <f>($J1717-$J1718)*100</f>
        <v/>
      </c>
      <c r="BM1717" s="82">
        <f>($F1717-$F1718)*100</f>
        <v/>
      </c>
      <c r="BN1717" s="82">
        <f>$AF1717-$AF1718</f>
        <v/>
      </c>
      <c r="BO1717" s="82">
        <f>$AG1717-$AG1718</f>
        <v/>
      </c>
      <c r="BP1717" s="82">
        <f>$AJ1717-$AJ1718</f>
        <v/>
      </c>
    </row>
    <row r="1718">
      <c r="AR1718" s="81">
        <f>($G1718+($H1718-$G1718)*0.5)+($P1718-($O1718+($Q1718-$O1718)*0.5))</f>
        <v/>
      </c>
      <c r="AS1718" s="81">
        <f>($J1718+($K1718-$J1718)*0.5)+($T1718-($S1718+($U1718-$S1718)*0.5))</f>
        <v/>
      </c>
      <c r="AT1718" s="82">
        <f>($J1718-$C1718)*100</f>
        <v/>
      </c>
      <c r="AU1718" s="82">
        <f>($H1718-$F1718)*100</f>
        <v/>
      </c>
      <c r="AV1718" s="82">
        <f>($J1718-$F1718)*100</f>
        <v/>
      </c>
      <c r="AW1718" s="82">
        <f>($L1718-$F1718)*100</f>
        <v/>
      </c>
      <c r="AX1718" s="82">
        <f>($J1718-$H1718)*100</f>
        <v/>
      </c>
      <c r="AY1718" s="82">
        <f>($L1718-$H1718)*100</f>
        <v/>
      </c>
      <c r="AZ1718" s="82">
        <f>($L1718-$J1718)*100</f>
        <v/>
      </c>
      <c r="BA1718" s="82">
        <f>(2*$H1718-$F1718-$J1718)*100</f>
        <v/>
      </c>
      <c r="BB1718" s="82">
        <f>(2*$J1718-$H1718-$L1718)*100</f>
        <v/>
      </c>
      <c r="BC1718" s="82">
        <f>($N1718-$F1718)*100</f>
        <v/>
      </c>
      <c r="BD1718" s="82">
        <f>($Q1718-$H1718)*100</f>
        <v/>
      </c>
      <c r="BE1718" s="82">
        <f>($S1718-$J1718)*100</f>
        <v/>
      </c>
      <c r="BF1718" s="82">
        <f>($V1718-$L1718)*100</f>
        <v/>
      </c>
      <c r="BG1718" s="82">
        <f>$AG1718-$AF1718</f>
        <v/>
      </c>
      <c r="BH1718" s="81">
        <f>IFERROR($AG1718/$AF1718,"")</f>
        <v/>
      </c>
      <c r="BI1718" s="82">
        <f>$AJ1718-$AF1718</f>
        <v/>
      </c>
      <c r="BJ1718" s="81">
        <f>IFERROR($AJ1718/$AG1718,"")</f>
        <v/>
      </c>
      <c r="BK1718" s="81">
        <f>$X1718</f>
        <v/>
      </c>
      <c r="BL1718" s="82">
        <f>($J1718-$J1719)*100</f>
        <v/>
      </c>
      <c r="BM1718" s="82">
        <f>($F1718-$F1719)*100</f>
        <v/>
      </c>
      <c r="BN1718" s="82">
        <f>$AF1718-$AF1719</f>
        <v/>
      </c>
      <c r="BO1718" s="82">
        <f>$AG1718-$AG1719</f>
        <v/>
      </c>
      <c r="BP1718" s="82">
        <f>$AJ1718-$AJ1719</f>
        <v/>
      </c>
    </row>
    <row r="1719">
      <c r="AR1719" s="81">
        <f>($G1719+($H1719-$G1719)*0.5)+($P1719-($O1719+($Q1719-$O1719)*0.5))</f>
        <v/>
      </c>
      <c r="AS1719" s="81">
        <f>($J1719+($K1719-$J1719)*0.5)+($T1719-($S1719+($U1719-$S1719)*0.5))</f>
        <v/>
      </c>
      <c r="AT1719" s="82">
        <f>($J1719-$C1719)*100</f>
        <v/>
      </c>
      <c r="AU1719" s="82">
        <f>($H1719-$F1719)*100</f>
        <v/>
      </c>
      <c r="AV1719" s="82">
        <f>($J1719-$F1719)*100</f>
        <v/>
      </c>
      <c r="AW1719" s="82">
        <f>($L1719-$F1719)*100</f>
        <v/>
      </c>
      <c r="AX1719" s="82">
        <f>($J1719-$H1719)*100</f>
        <v/>
      </c>
      <c r="AY1719" s="82">
        <f>($L1719-$H1719)*100</f>
        <v/>
      </c>
      <c r="AZ1719" s="82">
        <f>($L1719-$J1719)*100</f>
        <v/>
      </c>
      <c r="BA1719" s="82">
        <f>(2*$H1719-$F1719-$J1719)*100</f>
        <v/>
      </c>
      <c r="BB1719" s="82">
        <f>(2*$J1719-$H1719-$L1719)*100</f>
        <v/>
      </c>
      <c r="BC1719" s="82">
        <f>($N1719-$F1719)*100</f>
        <v/>
      </c>
      <c r="BD1719" s="82">
        <f>($Q1719-$H1719)*100</f>
        <v/>
      </c>
      <c r="BE1719" s="82">
        <f>($S1719-$J1719)*100</f>
        <v/>
      </c>
      <c r="BF1719" s="82">
        <f>($V1719-$L1719)*100</f>
        <v/>
      </c>
      <c r="BG1719" s="82">
        <f>$AG1719-$AF1719</f>
        <v/>
      </c>
      <c r="BH1719" s="81">
        <f>IFERROR($AG1719/$AF1719,"")</f>
        <v/>
      </c>
      <c r="BI1719" s="82">
        <f>$AJ1719-$AF1719</f>
        <v/>
      </c>
      <c r="BJ1719" s="81">
        <f>IFERROR($AJ1719/$AG1719,"")</f>
        <v/>
      </c>
      <c r="BK1719" s="81">
        <f>$X1719</f>
        <v/>
      </c>
      <c r="BL1719" s="82">
        <f>($J1719-$J1720)*100</f>
        <v/>
      </c>
      <c r="BM1719" s="82">
        <f>($F1719-$F1720)*100</f>
        <v/>
      </c>
      <c r="BN1719" s="82">
        <f>$AF1719-$AF1720</f>
        <v/>
      </c>
      <c r="BO1719" s="82">
        <f>$AG1719-$AG1720</f>
        <v/>
      </c>
      <c r="BP1719" s="82">
        <f>$AJ1719-$AJ1720</f>
        <v/>
      </c>
    </row>
    <row r="1720">
      <c r="AR1720" s="81">
        <f>($G1720+($H1720-$G1720)*0.5)+($P1720-($O1720+($Q1720-$O1720)*0.5))</f>
        <v/>
      </c>
      <c r="AS1720" s="81">
        <f>($J1720+($K1720-$J1720)*0.5)+($T1720-($S1720+($U1720-$S1720)*0.5))</f>
        <v/>
      </c>
      <c r="AT1720" s="82">
        <f>($J1720-$C1720)*100</f>
        <v/>
      </c>
      <c r="AU1720" s="82">
        <f>($H1720-$F1720)*100</f>
        <v/>
      </c>
      <c r="AV1720" s="82">
        <f>($J1720-$F1720)*100</f>
        <v/>
      </c>
      <c r="AW1720" s="82">
        <f>($L1720-$F1720)*100</f>
        <v/>
      </c>
      <c r="AX1720" s="82">
        <f>($J1720-$H1720)*100</f>
        <v/>
      </c>
      <c r="AY1720" s="82">
        <f>($L1720-$H1720)*100</f>
        <v/>
      </c>
      <c r="AZ1720" s="82">
        <f>($L1720-$J1720)*100</f>
        <v/>
      </c>
      <c r="BA1720" s="82">
        <f>(2*$H1720-$F1720-$J1720)*100</f>
        <v/>
      </c>
      <c r="BB1720" s="82">
        <f>(2*$J1720-$H1720-$L1720)*100</f>
        <v/>
      </c>
      <c r="BC1720" s="82">
        <f>($N1720-$F1720)*100</f>
        <v/>
      </c>
      <c r="BD1720" s="82">
        <f>($Q1720-$H1720)*100</f>
        <v/>
      </c>
      <c r="BE1720" s="82">
        <f>($S1720-$J1720)*100</f>
        <v/>
      </c>
      <c r="BF1720" s="82">
        <f>($V1720-$L1720)*100</f>
        <v/>
      </c>
      <c r="BG1720" s="82">
        <f>$AG1720-$AF1720</f>
        <v/>
      </c>
      <c r="BH1720" s="81">
        <f>IFERROR($AG1720/$AF1720,"")</f>
        <v/>
      </c>
      <c r="BI1720" s="82">
        <f>$AJ1720-$AF1720</f>
        <v/>
      </c>
      <c r="BJ1720" s="81">
        <f>IFERROR($AJ1720/$AG1720,"")</f>
        <v/>
      </c>
      <c r="BK1720" s="81">
        <f>$X1720</f>
        <v/>
      </c>
      <c r="BL1720" s="82">
        <f>($J1720-$J1721)*100</f>
        <v/>
      </c>
      <c r="BM1720" s="82">
        <f>($F1720-$F1721)*100</f>
        <v/>
      </c>
      <c r="BN1720" s="82">
        <f>$AF1720-$AF1721</f>
        <v/>
      </c>
      <c r="BO1720" s="82">
        <f>$AG1720-$AG1721</f>
        <v/>
      </c>
      <c r="BP1720" s="82">
        <f>$AJ1720-$AJ1721</f>
        <v/>
      </c>
    </row>
    <row r="1721">
      <c r="AR1721" s="81">
        <f>($G1721+($H1721-$G1721)*0.5)+($P1721-($O1721+($Q1721-$O1721)*0.5))</f>
        <v/>
      </c>
      <c r="AS1721" s="81">
        <f>($J1721+($K1721-$J1721)*0.5)+($T1721-($S1721+($U1721-$S1721)*0.5))</f>
        <v/>
      </c>
      <c r="AT1721" s="82">
        <f>($J1721-$C1721)*100</f>
        <v/>
      </c>
      <c r="AU1721" s="82">
        <f>($H1721-$F1721)*100</f>
        <v/>
      </c>
      <c r="AV1721" s="82">
        <f>($J1721-$F1721)*100</f>
        <v/>
      </c>
      <c r="AW1721" s="82">
        <f>($L1721-$F1721)*100</f>
        <v/>
      </c>
      <c r="AX1721" s="82">
        <f>($J1721-$H1721)*100</f>
        <v/>
      </c>
      <c r="AY1721" s="82">
        <f>($L1721-$H1721)*100</f>
        <v/>
      </c>
      <c r="AZ1721" s="82">
        <f>($L1721-$J1721)*100</f>
        <v/>
      </c>
      <c r="BA1721" s="82">
        <f>(2*$H1721-$F1721-$J1721)*100</f>
        <v/>
      </c>
      <c r="BB1721" s="82">
        <f>(2*$J1721-$H1721-$L1721)*100</f>
        <v/>
      </c>
      <c r="BC1721" s="82">
        <f>($N1721-$F1721)*100</f>
        <v/>
      </c>
      <c r="BD1721" s="82">
        <f>($Q1721-$H1721)*100</f>
        <v/>
      </c>
      <c r="BE1721" s="82">
        <f>($S1721-$J1721)*100</f>
        <v/>
      </c>
      <c r="BF1721" s="82">
        <f>($V1721-$L1721)*100</f>
        <v/>
      </c>
      <c r="BG1721" s="82">
        <f>$AG1721-$AF1721</f>
        <v/>
      </c>
      <c r="BH1721" s="81">
        <f>IFERROR($AG1721/$AF1721,"")</f>
        <v/>
      </c>
      <c r="BI1721" s="82">
        <f>$AJ1721-$AF1721</f>
        <v/>
      </c>
      <c r="BJ1721" s="81">
        <f>IFERROR($AJ1721/$AG1721,"")</f>
        <v/>
      </c>
      <c r="BK1721" s="81">
        <f>$X1721</f>
        <v/>
      </c>
      <c r="BL1721" s="82">
        <f>($J1721-$J1722)*100</f>
        <v/>
      </c>
      <c r="BM1721" s="82">
        <f>($F1721-$F1722)*100</f>
        <v/>
      </c>
      <c r="BN1721" s="82">
        <f>$AF1721-$AF1722</f>
        <v/>
      </c>
      <c r="BO1721" s="82">
        <f>$AG1721-$AG1722</f>
        <v/>
      </c>
      <c r="BP1721" s="82">
        <f>$AJ1721-$AJ1722</f>
        <v/>
      </c>
    </row>
    <row r="1722">
      <c r="AR1722" s="81">
        <f>($G1722+($H1722-$G1722)*0.5)+($P1722-($O1722+($Q1722-$O1722)*0.5))</f>
        <v/>
      </c>
      <c r="AS1722" s="81">
        <f>($J1722+($K1722-$J1722)*0.5)+($T1722-($S1722+($U1722-$S1722)*0.5))</f>
        <v/>
      </c>
      <c r="AT1722" s="82">
        <f>($J1722-$C1722)*100</f>
        <v/>
      </c>
      <c r="AU1722" s="82">
        <f>($H1722-$F1722)*100</f>
        <v/>
      </c>
      <c r="AV1722" s="82">
        <f>($J1722-$F1722)*100</f>
        <v/>
      </c>
      <c r="AW1722" s="82">
        <f>($L1722-$F1722)*100</f>
        <v/>
      </c>
      <c r="AX1722" s="82">
        <f>($J1722-$H1722)*100</f>
        <v/>
      </c>
      <c r="AY1722" s="82">
        <f>($L1722-$H1722)*100</f>
        <v/>
      </c>
      <c r="AZ1722" s="82">
        <f>($L1722-$J1722)*100</f>
        <v/>
      </c>
      <c r="BA1722" s="82">
        <f>(2*$H1722-$F1722-$J1722)*100</f>
        <v/>
      </c>
      <c r="BB1722" s="82">
        <f>(2*$J1722-$H1722-$L1722)*100</f>
        <v/>
      </c>
      <c r="BC1722" s="82">
        <f>($N1722-$F1722)*100</f>
        <v/>
      </c>
      <c r="BD1722" s="82">
        <f>($Q1722-$H1722)*100</f>
        <v/>
      </c>
      <c r="BE1722" s="82">
        <f>($S1722-$J1722)*100</f>
        <v/>
      </c>
      <c r="BF1722" s="82">
        <f>($V1722-$L1722)*100</f>
        <v/>
      </c>
      <c r="BG1722" s="82">
        <f>$AG1722-$AF1722</f>
        <v/>
      </c>
      <c r="BH1722" s="81">
        <f>IFERROR($AG1722/$AF1722,"")</f>
        <v/>
      </c>
      <c r="BI1722" s="82">
        <f>$AJ1722-$AF1722</f>
        <v/>
      </c>
      <c r="BJ1722" s="81">
        <f>IFERROR($AJ1722/$AG1722,"")</f>
        <v/>
      </c>
      <c r="BK1722" s="81">
        <f>$X1722</f>
        <v/>
      </c>
      <c r="BL1722" s="82">
        <f>($J1722-$J1723)*100</f>
        <v/>
      </c>
      <c r="BM1722" s="82">
        <f>($F1722-$F1723)*100</f>
        <v/>
      </c>
      <c r="BN1722" s="82">
        <f>$AF1722-$AF1723</f>
        <v/>
      </c>
      <c r="BO1722" s="82">
        <f>$AG1722-$AG1723</f>
        <v/>
      </c>
      <c r="BP1722" s="82">
        <f>$AJ1722-$AJ1723</f>
        <v/>
      </c>
    </row>
    <row r="1723">
      <c r="AR1723" s="81">
        <f>($G1723+($H1723-$G1723)*0.5)+($P1723-($O1723+($Q1723-$O1723)*0.5))</f>
        <v/>
      </c>
      <c r="AS1723" s="81">
        <f>($J1723+($K1723-$J1723)*0.5)+($T1723-($S1723+($U1723-$S1723)*0.5))</f>
        <v/>
      </c>
      <c r="AT1723" s="82">
        <f>($J1723-$C1723)*100</f>
        <v/>
      </c>
      <c r="AU1723" s="82">
        <f>($H1723-$F1723)*100</f>
        <v/>
      </c>
      <c r="AV1723" s="82">
        <f>($J1723-$F1723)*100</f>
        <v/>
      </c>
      <c r="AW1723" s="82">
        <f>($L1723-$F1723)*100</f>
        <v/>
      </c>
      <c r="AX1723" s="82">
        <f>($J1723-$H1723)*100</f>
        <v/>
      </c>
      <c r="AY1723" s="82">
        <f>($L1723-$H1723)*100</f>
        <v/>
      </c>
      <c r="AZ1723" s="82">
        <f>($L1723-$J1723)*100</f>
        <v/>
      </c>
      <c r="BA1723" s="82">
        <f>(2*$H1723-$F1723-$J1723)*100</f>
        <v/>
      </c>
      <c r="BB1723" s="82">
        <f>(2*$J1723-$H1723-$L1723)*100</f>
        <v/>
      </c>
      <c r="BC1723" s="82">
        <f>($N1723-$F1723)*100</f>
        <v/>
      </c>
      <c r="BD1723" s="82">
        <f>($Q1723-$H1723)*100</f>
        <v/>
      </c>
      <c r="BE1723" s="82">
        <f>($S1723-$J1723)*100</f>
        <v/>
      </c>
      <c r="BF1723" s="82">
        <f>($V1723-$L1723)*100</f>
        <v/>
      </c>
      <c r="BG1723" s="82">
        <f>$AG1723-$AF1723</f>
        <v/>
      </c>
      <c r="BH1723" s="81">
        <f>IFERROR($AG1723/$AF1723,"")</f>
        <v/>
      </c>
      <c r="BI1723" s="82">
        <f>$AJ1723-$AF1723</f>
        <v/>
      </c>
      <c r="BJ1723" s="81">
        <f>IFERROR($AJ1723/$AG1723,"")</f>
        <v/>
      </c>
      <c r="BK1723" s="81">
        <f>$X1723</f>
        <v/>
      </c>
      <c r="BL1723" s="82">
        <f>($J1723-$J1724)*100</f>
        <v/>
      </c>
      <c r="BM1723" s="82">
        <f>($F1723-$F1724)*100</f>
        <v/>
      </c>
      <c r="BN1723" s="82">
        <f>$AF1723-$AF1724</f>
        <v/>
      </c>
      <c r="BO1723" s="82">
        <f>$AG1723-$AG1724</f>
        <v/>
      </c>
      <c r="BP1723" s="82">
        <f>$AJ1723-$AJ1724</f>
        <v/>
      </c>
    </row>
    <row r="1724">
      <c r="AR1724" s="81">
        <f>($G1724+($H1724-$G1724)*0.5)+($P1724-($O1724+($Q1724-$O1724)*0.5))</f>
        <v/>
      </c>
      <c r="AS1724" s="81">
        <f>($J1724+($K1724-$J1724)*0.5)+($T1724-($S1724+($U1724-$S1724)*0.5))</f>
        <v/>
      </c>
      <c r="AT1724" s="82">
        <f>($J1724-$C1724)*100</f>
        <v/>
      </c>
      <c r="AU1724" s="82">
        <f>($H1724-$F1724)*100</f>
        <v/>
      </c>
      <c r="AV1724" s="82">
        <f>($J1724-$F1724)*100</f>
        <v/>
      </c>
      <c r="AW1724" s="82">
        <f>($L1724-$F1724)*100</f>
        <v/>
      </c>
      <c r="AX1724" s="82">
        <f>($J1724-$H1724)*100</f>
        <v/>
      </c>
      <c r="AY1724" s="82">
        <f>($L1724-$H1724)*100</f>
        <v/>
      </c>
      <c r="AZ1724" s="82">
        <f>($L1724-$J1724)*100</f>
        <v/>
      </c>
      <c r="BA1724" s="82">
        <f>(2*$H1724-$F1724-$J1724)*100</f>
        <v/>
      </c>
      <c r="BB1724" s="82">
        <f>(2*$J1724-$H1724-$L1724)*100</f>
        <v/>
      </c>
      <c r="BC1724" s="82">
        <f>($N1724-$F1724)*100</f>
        <v/>
      </c>
      <c r="BD1724" s="82">
        <f>($Q1724-$H1724)*100</f>
        <v/>
      </c>
      <c r="BE1724" s="82">
        <f>($S1724-$J1724)*100</f>
        <v/>
      </c>
      <c r="BF1724" s="82">
        <f>($V1724-$L1724)*100</f>
        <v/>
      </c>
      <c r="BG1724" s="82">
        <f>$AG1724-$AF1724</f>
        <v/>
      </c>
      <c r="BH1724" s="81">
        <f>IFERROR($AG1724/$AF1724,"")</f>
        <v/>
      </c>
      <c r="BI1724" s="82">
        <f>$AJ1724-$AF1724</f>
        <v/>
      </c>
      <c r="BJ1724" s="81">
        <f>IFERROR($AJ1724/$AG1724,"")</f>
        <v/>
      </c>
      <c r="BK1724" s="81">
        <f>$X1724</f>
        <v/>
      </c>
      <c r="BL1724" s="82">
        <f>($J1724-$J1725)*100</f>
        <v/>
      </c>
      <c r="BM1724" s="82">
        <f>($F1724-$F1725)*100</f>
        <v/>
      </c>
      <c r="BN1724" s="82">
        <f>$AF1724-$AF1725</f>
        <v/>
      </c>
      <c r="BO1724" s="82">
        <f>$AG1724-$AG1725</f>
        <v/>
      </c>
      <c r="BP1724" s="82">
        <f>$AJ1724-$AJ1725</f>
        <v/>
      </c>
    </row>
    <row r="1725">
      <c r="AR1725" s="81">
        <f>($G1725+($H1725-$G1725)*0.5)+($P1725-($O1725+($Q1725-$O1725)*0.5))</f>
        <v/>
      </c>
      <c r="AS1725" s="81">
        <f>($J1725+($K1725-$J1725)*0.5)+($T1725-($S1725+($U1725-$S1725)*0.5))</f>
        <v/>
      </c>
      <c r="AT1725" s="82">
        <f>($J1725-$C1725)*100</f>
        <v/>
      </c>
      <c r="AU1725" s="82">
        <f>($H1725-$F1725)*100</f>
        <v/>
      </c>
      <c r="AV1725" s="82">
        <f>($J1725-$F1725)*100</f>
        <v/>
      </c>
      <c r="AW1725" s="82">
        <f>($L1725-$F1725)*100</f>
        <v/>
      </c>
      <c r="AX1725" s="82">
        <f>($J1725-$H1725)*100</f>
        <v/>
      </c>
      <c r="AY1725" s="82">
        <f>($L1725-$H1725)*100</f>
        <v/>
      </c>
      <c r="AZ1725" s="82">
        <f>($L1725-$J1725)*100</f>
        <v/>
      </c>
      <c r="BA1725" s="82">
        <f>(2*$H1725-$F1725-$J1725)*100</f>
        <v/>
      </c>
      <c r="BB1725" s="82">
        <f>(2*$J1725-$H1725-$L1725)*100</f>
        <v/>
      </c>
      <c r="BC1725" s="82">
        <f>($N1725-$F1725)*100</f>
        <v/>
      </c>
      <c r="BD1725" s="82">
        <f>($Q1725-$H1725)*100</f>
        <v/>
      </c>
      <c r="BE1725" s="82">
        <f>($S1725-$J1725)*100</f>
        <v/>
      </c>
      <c r="BF1725" s="82">
        <f>($V1725-$L1725)*100</f>
        <v/>
      </c>
      <c r="BG1725" s="82">
        <f>$AG1725-$AF1725</f>
        <v/>
      </c>
      <c r="BH1725" s="81">
        <f>IFERROR($AG1725/$AF1725,"")</f>
        <v/>
      </c>
      <c r="BI1725" s="82">
        <f>$AJ1725-$AF1725</f>
        <v/>
      </c>
      <c r="BJ1725" s="81">
        <f>IFERROR($AJ1725/$AG1725,"")</f>
        <v/>
      </c>
      <c r="BK1725" s="81">
        <f>$X1725</f>
        <v/>
      </c>
      <c r="BL1725" s="82">
        <f>($J1725-$J1726)*100</f>
        <v/>
      </c>
      <c r="BM1725" s="82">
        <f>($F1725-$F1726)*100</f>
        <v/>
      </c>
      <c r="BN1725" s="82">
        <f>$AF1725-$AF1726</f>
        <v/>
      </c>
      <c r="BO1725" s="82">
        <f>$AG1725-$AG1726</f>
        <v/>
      </c>
      <c r="BP1725" s="82">
        <f>$AJ1725-$AJ1726</f>
        <v/>
      </c>
    </row>
    <row r="1726">
      <c r="AR1726" s="81">
        <f>($G1726+($H1726-$G1726)*0.5)+($P1726-($O1726+($Q1726-$O1726)*0.5))</f>
        <v/>
      </c>
      <c r="AS1726" s="81">
        <f>($J1726+($K1726-$J1726)*0.5)+($T1726-($S1726+($U1726-$S1726)*0.5))</f>
        <v/>
      </c>
      <c r="AT1726" s="82">
        <f>($J1726-$C1726)*100</f>
        <v/>
      </c>
      <c r="AU1726" s="82">
        <f>($H1726-$F1726)*100</f>
        <v/>
      </c>
      <c r="AV1726" s="82">
        <f>($J1726-$F1726)*100</f>
        <v/>
      </c>
      <c r="AW1726" s="82">
        <f>($L1726-$F1726)*100</f>
        <v/>
      </c>
      <c r="AX1726" s="82">
        <f>($J1726-$H1726)*100</f>
        <v/>
      </c>
      <c r="AY1726" s="82">
        <f>($L1726-$H1726)*100</f>
        <v/>
      </c>
      <c r="AZ1726" s="82">
        <f>($L1726-$J1726)*100</f>
        <v/>
      </c>
      <c r="BA1726" s="82">
        <f>(2*$H1726-$F1726-$J1726)*100</f>
        <v/>
      </c>
      <c r="BB1726" s="82">
        <f>(2*$J1726-$H1726-$L1726)*100</f>
        <v/>
      </c>
      <c r="BC1726" s="82">
        <f>($N1726-$F1726)*100</f>
        <v/>
      </c>
      <c r="BD1726" s="82">
        <f>($Q1726-$H1726)*100</f>
        <v/>
      </c>
      <c r="BE1726" s="82">
        <f>($S1726-$J1726)*100</f>
        <v/>
      </c>
      <c r="BF1726" s="82">
        <f>($V1726-$L1726)*100</f>
        <v/>
      </c>
      <c r="BG1726" s="82">
        <f>$AG1726-$AF1726</f>
        <v/>
      </c>
      <c r="BH1726" s="81">
        <f>IFERROR($AG1726/$AF1726,"")</f>
        <v/>
      </c>
      <c r="BI1726" s="82">
        <f>$AJ1726-$AF1726</f>
        <v/>
      </c>
      <c r="BJ1726" s="81">
        <f>IFERROR($AJ1726/$AG1726,"")</f>
        <v/>
      </c>
      <c r="BK1726" s="81">
        <f>$X1726</f>
        <v/>
      </c>
      <c r="BL1726" s="82">
        <f>($J1726-$J1727)*100</f>
        <v/>
      </c>
      <c r="BM1726" s="82">
        <f>($F1726-$F1727)*100</f>
        <v/>
      </c>
      <c r="BN1726" s="82">
        <f>$AF1726-$AF1727</f>
        <v/>
      </c>
      <c r="BO1726" s="82">
        <f>$AG1726-$AG1727</f>
        <v/>
      </c>
      <c r="BP1726" s="82">
        <f>$AJ1726-$AJ1727</f>
        <v/>
      </c>
    </row>
    <row r="1727">
      <c r="AR1727" s="81">
        <f>($G1727+($H1727-$G1727)*0.5)+($P1727-($O1727+($Q1727-$O1727)*0.5))</f>
        <v/>
      </c>
      <c r="AS1727" s="81">
        <f>($J1727+($K1727-$J1727)*0.5)+($T1727-($S1727+($U1727-$S1727)*0.5))</f>
        <v/>
      </c>
      <c r="AT1727" s="82">
        <f>($J1727-$C1727)*100</f>
        <v/>
      </c>
      <c r="AU1727" s="82">
        <f>($H1727-$F1727)*100</f>
        <v/>
      </c>
      <c r="AV1727" s="82">
        <f>($J1727-$F1727)*100</f>
        <v/>
      </c>
      <c r="AW1727" s="82">
        <f>($L1727-$F1727)*100</f>
        <v/>
      </c>
      <c r="AX1727" s="82">
        <f>($J1727-$H1727)*100</f>
        <v/>
      </c>
      <c r="AY1727" s="82">
        <f>($L1727-$H1727)*100</f>
        <v/>
      </c>
      <c r="AZ1727" s="82">
        <f>($L1727-$J1727)*100</f>
        <v/>
      </c>
      <c r="BA1727" s="82">
        <f>(2*$H1727-$F1727-$J1727)*100</f>
        <v/>
      </c>
      <c r="BB1727" s="82">
        <f>(2*$J1727-$H1727-$L1727)*100</f>
        <v/>
      </c>
      <c r="BC1727" s="82">
        <f>($N1727-$F1727)*100</f>
        <v/>
      </c>
      <c r="BD1727" s="82">
        <f>($Q1727-$H1727)*100</f>
        <v/>
      </c>
      <c r="BE1727" s="82">
        <f>($S1727-$J1727)*100</f>
        <v/>
      </c>
      <c r="BF1727" s="82">
        <f>($V1727-$L1727)*100</f>
        <v/>
      </c>
      <c r="BG1727" s="82">
        <f>$AG1727-$AF1727</f>
        <v/>
      </c>
      <c r="BH1727" s="81">
        <f>IFERROR($AG1727/$AF1727,"")</f>
        <v/>
      </c>
      <c r="BI1727" s="82">
        <f>$AJ1727-$AF1727</f>
        <v/>
      </c>
      <c r="BJ1727" s="81">
        <f>IFERROR($AJ1727/$AG1727,"")</f>
        <v/>
      </c>
      <c r="BK1727" s="81">
        <f>$X1727</f>
        <v/>
      </c>
      <c r="BL1727" s="82">
        <f>($J1727-$J1728)*100</f>
        <v/>
      </c>
      <c r="BM1727" s="82">
        <f>($F1727-$F1728)*100</f>
        <v/>
      </c>
      <c r="BN1727" s="82">
        <f>$AF1727-$AF1728</f>
        <v/>
      </c>
      <c r="BO1727" s="82">
        <f>$AG1727-$AG1728</f>
        <v/>
      </c>
      <c r="BP1727" s="82">
        <f>$AJ1727-$AJ1728</f>
        <v/>
      </c>
    </row>
    <row r="1728">
      <c r="AR1728" s="81">
        <f>($G1728+($H1728-$G1728)*0.5)+($P1728-($O1728+($Q1728-$O1728)*0.5))</f>
        <v/>
      </c>
      <c r="AS1728" s="81">
        <f>($J1728+($K1728-$J1728)*0.5)+($T1728-($S1728+($U1728-$S1728)*0.5))</f>
        <v/>
      </c>
      <c r="AT1728" s="82">
        <f>($J1728-$C1728)*100</f>
        <v/>
      </c>
      <c r="AU1728" s="82">
        <f>($H1728-$F1728)*100</f>
        <v/>
      </c>
      <c r="AV1728" s="82">
        <f>($J1728-$F1728)*100</f>
        <v/>
      </c>
      <c r="AW1728" s="82">
        <f>($L1728-$F1728)*100</f>
        <v/>
      </c>
      <c r="AX1728" s="82">
        <f>($J1728-$H1728)*100</f>
        <v/>
      </c>
      <c r="AY1728" s="82">
        <f>($L1728-$H1728)*100</f>
        <v/>
      </c>
      <c r="AZ1728" s="82">
        <f>($L1728-$J1728)*100</f>
        <v/>
      </c>
      <c r="BA1728" s="82">
        <f>(2*$H1728-$F1728-$J1728)*100</f>
        <v/>
      </c>
      <c r="BB1728" s="82">
        <f>(2*$J1728-$H1728-$L1728)*100</f>
        <v/>
      </c>
      <c r="BC1728" s="82">
        <f>($N1728-$F1728)*100</f>
        <v/>
      </c>
      <c r="BD1728" s="82">
        <f>($Q1728-$H1728)*100</f>
        <v/>
      </c>
      <c r="BE1728" s="82">
        <f>($S1728-$J1728)*100</f>
        <v/>
      </c>
      <c r="BF1728" s="82">
        <f>($V1728-$L1728)*100</f>
        <v/>
      </c>
      <c r="BG1728" s="82">
        <f>$AG1728-$AF1728</f>
        <v/>
      </c>
      <c r="BH1728" s="81">
        <f>IFERROR($AG1728/$AF1728,"")</f>
        <v/>
      </c>
      <c r="BI1728" s="82">
        <f>$AJ1728-$AF1728</f>
        <v/>
      </c>
      <c r="BJ1728" s="81">
        <f>IFERROR($AJ1728/$AG1728,"")</f>
        <v/>
      </c>
      <c r="BK1728" s="81">
        <f>$X1728</f>
        <v/>
      </c>
      <c r="BL1728" s="82">
        <f>($J1728-$J1729)*100</f>
        <v/>
      </c>
      <c r="BM1728" s="82">
        <f>($F1728-$F1729)*100</f>
        <v/>
      </c>
      <c r="BN1728" s="82">
        <f>$AF1728-$AF1729</f>
        <v/>
      </c>
      <c r="BO1728" s="82">
        <f>$AG1728-$AG1729</f>
        <v/>
      </c>
      <c r="BP1728" s="82">
        <f>$AJ1728-$AJ1729</f>
        <v/>
      </c>
    </row>
    <row r="1729">
      <c r="AR1729" s="81">
        <f>($G1729+($H1729-$G1729)*0.5)+($P1729-($O1729+($Q1729-$O1729)*0.5))</f>
        <v/>
      </c>
      <c r="AS1729" s="81">
        <f>($J1729+($K1729-$J1729)*0.5)+($T1729-($S1729+($U1729-$S1729)*0.5))</f>
        <v/>
      </c>
      <c r="AT1729" s="82">
        <f>($J1729-$C1729)*100</f>
        <v/>
      </c>
      <c r="AU1729" s="82">
        <f>($H1729-$F1729)*100</f>
        <v/>
      </c>
      <c r="AV1729" s="82">
        <f>($J1729-$F1729)*100</f>
        <v/>
      </c>
      <c r="AW1729" s="82">
        <f>($L1729-$F1729)*100</f>
        <v/>
      </c>
      <c r="AX1729" s="82">
        <f>($J1729-$H1729)*100</f>
        <v/>
      </c>
      <c r="AY1729" s="82">
        <f>($L1729-$H1729)*100</f>
        <v/>
      </c>
      <c r="AZ1729" s="82">
        <f>($L1729-$J1729)*100</f>
        <v/>
      </c>
      <c r="BA1729" s="82">
        <f>(2*$H1729-$F1729-$J1729)*100</f>
        <v/>
      </c>
      <c r="BB1729" s="82">
        <f>(2*$J1729-$H1729-$L1729)*100</f>
        <v/>
      </c>
      <c r="BC1729" s="82">
        <f>($N1729-$F1729)*100</f>
        <v/>
      </c>
      <c r="BD1729" s="82">
        <f>($Q1729-$H1729)*100</f>
        <v/>
      </c>
      <c r="BE1729" s="82">
        <f>($S1729-$J1729)*100</f>
        <v/>
      </c>
      <c r="BF1729" s="82">
        <f>($V1729-$L1729)*100</f>
        <v/>
      </c>
      <c r="BG1729" s="82">
        <f>$AG1729-$AF1729</f>
        <v/>
      </c>
      <c r="BH1729" s="81">
        <f>IFERROR($AG1729/$AF1729,"")</f>
        <v/>
      </c>
      <c r="BI1729" s="82">
        <f>$AJ1729-$AF1729</f>
        <v/>
      </c>
      <c r="BJ1729" s="81">
        <f>IFERROR($AJ1729/$AG1729,"")</f>
        <v/>
      </c>
      <c r="BK1729" s="81">
        <f>$X1729</f>
        <v/>
      </c>
      <c r="BL1729" s="82">
        <f>($J1729-$J1730)*100</f>
        <v/>
      </c>
      <c r="BM1729" s="82">
        <f>($F1729-$F1730)*100</f>
        <v/>
      </c>
      <c r="BN1729" s="82">
        <f>$AF1729-$AF1730</f>
        <v/>
      </c>
      <c r="BO1729" s="82">
        <f>$AG1729-$AG1730</f>
        <v/>
      </c>
      <c r="BP1729" s="82">
        <f>$AJ1729-$AJ1730</f>
        <v/>
      </c>
    </row>
    <row r="1730">
      <c r="AR1730" s="81">
        <f>($G1730+($H1730-$G1730)*0.5)+($P1730-($O1730+($Q1730-$O1730)*0.5))</f>
        <v/>
      </c>
      <c r="AS1730" s="81">
        <f>($J1730+($K1730-$J1730)*0.5)+($T1730-($S1730+($U1730-$S1730)*0.5))</f>
        <v/>
      </c>
      <c r="AT1730" s="82">
        <f>($J1730-$C1730)*100</f>
        <v/>
      </c>
      <c r="AU1730" s="82">
        <f>($H1730-$F1730)*100</f>
        <v/>
      </c>
      <c r="AV1730" s="82">
        <f>($J1730-$F1730)*100</f>
        <v/>
      </c>
      <c r="AW1730" s="82">
        <f>($L1730-$F1730)*100</f>
        <v/>
      </c>
      <c r="AX1730" s="82">
        <f>($J1730-$H1730)*100</f>
        <v/>
      </c>
      <c r="AY1730" s="82">
        <f>($L1730-$H1730)*100</f>
        <v/>
      </c>
      <c r="AZ1730" s="82">
        <f>($L1730-$J1730)*100</f>
        <v/>
      </c>
      <c r="BA1730" s="82">
        <f>(2*$H1730-$F1730-$J1730)*100</f>
        <v/>
      </c>
      <c r="BB1730" s="82">
        <f>(2*$J1730-$H1730-$L1730)*100</f>
        <v/>
      </c>
      <c r="BC1730" s="82">
        <f>($N1730-$F1730)*100</f>
        <v/>
      </c>
      <c r="BD1730" s="82">
        <f>($Q1730-$H1730)*100</f>
        <v/>
      </c>
      <c r="BE1730" s="82">
        <f>($S1730-$J1730)*100</f>
        <v/>
      </c>
      <c r="BF1730" s="82">
        <f>($V1730-$L1730)*100</f>
        <v/>
      </c>
      <c r="BG1730" s="82">
        <f>$AG1730-$AF1730</f>
        <v/>
      </c>
      <c r="BH1730" s="81">
        <f>IFERROR($AG1730/$AF1730,"")</f>
        <v/>
      </c>
      <c r="BI1730" s="82">
        <f>$AJ1730-$AF1730</f>
        <v/>
      </c>
      <c r="BJ1730" s="81">
        <f>IFERROR($AJ1730/$AG1730,"")</f>
        <v/>
      </c>
      <c r="BK1730" s="81">
        <f>$X1730</f>
        <v/>
      </c>
      <c r="BL1730" s="82">
        <f>($J1730-$J1731)*100</f>
        <v/>
      </c>
      <c r="BM1730" s="82">
        <f>($F1730-$F1731)*100</f>
        <v/>
      </c>
      <c r="BN1730" s="82">
        <f>$AF1730-$AF1731</f>
        <v/>
      </c>
      <c r="BO1730" s="82">
        <f>$AG1730-$AG1731</f>
        <v/>
      </c>
      <c r="BP1730" s="82">
        <f>$AJ1730-$AJ1731</f>
        <v/>
      </c>
    </row>
    <row r="1731">
      <c r="AR1731" s="81">
        <f>($G1731+($H1731-$G1731)*0.5)+($P1731-($O1731+($Q1731-$O1731)*0.5))</f>
        <v/>
      </c>
      <c r="AS1731" s="81">
        <f>($J1731+($K1731-$J1731)*0.5)+($T1731-($S1731+($U1731-$S1731)*0.5))</f>
        <v/>
      </c>
      <c r="AT1731" s="82">
        <f>($J1731-$C1731)*100</f>
        <v/>
      </c>
      <c r="AU1731" s="82">
        <f>($H1731-$F1731)*100</f>
        <v/>
      </c>
      <c r="AV1731" s="82">
        <f>($J1731-$F1731)*100</f>
        <v/>
      </c>
      <c r="AW1731" s="82">
        <f>($L1731-$F1731)*100</f>
        <v/>
      </c>
      <c r="AX1731" s="82">
        <f>($J1731-$H1731)*100</f>
        <v/>
      </c>
      <c r="AY1731" s="82">
        <f>($L1731-$H1731)*100</f>
        <v/>
      </c>
      <c r="AZ1731" s="82">
        <f>($L1731-$J1731)*100</f>
        <v/>
      </c>
      <c r="BA1731" s="82">
        <f>(2*$H1731-$F1731-$J1731)*100</f>
        <v/>
      </c>
      <c r="BB1731" s="82">
        <f>(2*$J1731-$H1731-$L1731)*100</f>
        <v/>
      </c>
      <c r="BC1731" s="82">
        <f>($N1731-$F1731)*100</f>
        <v/>
      </c>
      <c r="BD1731" s="82">
        <f>($Q1731-$H1731)*100</f>
        <v/>
      </c>
      <c r="BE1731" s="82">
        <f>($S1731-$J1731)*100</f>
        <v/>
      </c>
      <c r="BF1731" s="82">
        <f>($V1731-$L1731)*100</f>
        <v/>
      </c>
      <c r="BG1731" s="82">
        <f>$AG1731-$AF1731</f>
        <v/>
      </c>
      <c r="BH1731" s="81">
        <f>IFERROR($AG1731/$AF1731,"")</f>
        <v/>
      </c>
      <c r="BI1731" s="82">
        <f>$AJ1731-$AF1731</f>
        <v/>
      </c>
      <c r="BJ1731" s="81">
        <f>IFERROR($AJ1731/$AG1731,"")</f>
        <v/>
      </c>
      <c r="BK1731" s="81">
        <f>$X1731</f>
        <v/>
      </c>
      <c r="BL1731" s="82">
        <f>($J1731-$J1732)*100</f>
        <v/>
      </c>
      <c r="BM1731" s="82">
        <f>($F1731-$F1732)*100</f>
        <v/>
      </c>
      <c r="BN1731" s="82">
        <f>$AF1731-$AF1732</f>
        <v/>
      </c>
      <c r="BO1731" s="82">
        <f>$AG1731-$AG1732</f>
        <v/>
      </c>
      <c r="BP1731" s="82">
        <f>$AJ1731-$AJ1732</f>
        <v/>
      </c>
    </row>
    <row r="1732">
      <c r="AR1732" s="81">
        <f>($G1732+($H1732-$G1732)*0.5)+($P1732-($O1732+($Q1732-$O1732)*0.5))</f>
        <v/>
      </c>
      <c r="AS1732" s="81">
        <f>($J1732+($K1732-$J1732)*0.5)+($T1732-($S1732+($U1732-$S1732)*0.5))</f>
        <v/>
      </c>
      <c r="AT1732" s="82">
        <f>($J1732-$C1732)*100</f>
        <v/>
      </c>
      <c r="AU1732" s="82">
        <f>($H1732-$F1732)*100</f>
        <v/>
      </c>
      <c r="AV1732" s="82">
        <f>($J1732-$F1732)*100</f>
        <v/>
      </c>
      <c r="AW1732" s="82">
        <f>($L1732-$F1732)*100</f>
        <v/>
      </c>
      <c r="AX1732" s="82">
        <f>($J1732-$H1732)*100</f>
        <v/>
      </c>
      <c r="AY1732" s="82">
        <f>($L1732-$H1732)*100</f>
        <v/>
      </c>
      <c r="AZ1732" s="82">
        <f>($L1732-$J1732)*100</f>
        <v/>
      </c>
      <c r="BA1732" s="82">
        <f>(2*$H1732-$F1732-$J1732)*100</f>
        <v/>
      </c>
      <c r="BB1732" s="82">
        <f>(2*$J1732-$H1732-$L1732)*100</f>
        <v/>
      </c>
      <c r="BC1732" s="82">
        <f>($N1732-$F1732)*100</f>
        <v/>
      </c>
      <c r="BD1732" s="82">
        <f>($Q1732-$H1732)*100</f>
        <v/>
      </c>
      <c r="BE1732" s="82">
        <f>($S1732-$J1732)*100</f>
        <v/>
      </c>
      <c r="BF1732" s="82">
        <f>($V1732-$L1732)*100</f>
        <v/>
      </c>
      <c r="BG1732" s="82">
        <f>$AG1732-$AF1732</f>
        <v/>
      </c>
      <c r="BH1732" s="81">
        <f>IFERROR($AG1732/$AF1732,"")</f>
        <v/>
      </c>
      <c r="BI1732" s="82">
        <f>$AJ1732-$AF1732</f>
        <v/>
      </c>
      <c r="BJ1732" s="81">
        <f>IFERROR($AJ1732/$AG1732,"")</f>
        <v/>
      </c>
      <c r="BK1732" s="81">
        <f>$X1732</f>
        <v/>
      </c>
      <c r="BL1732" s="82">
        <f>($J1732-$J1733)*100</f>
        <v/>
      </c>
      <c r="BM1732" s="82">
        <f>($F1732-$F1733)*100</f>
        <v/>
      </c>
      <c r="BN1732" s="82">
        <f>$AF1732-$AF1733</f>
        <v/>
      </c>
      <c r="BO1732" s="82">
        <f>$AG1732-$AG1733</f>
        <v/>
      </c>
      <c r="BP1732" s="82">
        <f>$AJ1732-$AJ1733</f>
        <v/>
      </c>
    </row>
    <row r="1733">
      <c r="AR1733" s="81">
        <f>($G1733+($H1733-$G1733)*0.5)+($P1733-($O1733+($Q1733-$O1733)*0.5))</f>
        <v/>
      </c>
      <c r="AS1733" s="81">
        <f>($J1733+($K1733-$J1733)*0.5)+($T1733-($S1733+($U1733-$S1733)*0.5))</f>
        <v/>
      </c>
      <c r="AT1733" s="82">
        <f>($J1733-$C1733)*100</f>
        <v/>
      </c>
      <c r="AU1733" s="82">
        <f>($H1733-$F1733)*100</f>
        <v/>
      </c>
      <c r="AV1733" s="82">
        <f>($J1733-$F1733)*100</f>
        <v/>
      </c>
      <c r="AW1733" s="82">
        <f>($L1733-$F1733)*100</f>
        <v/>
      </c>
      <c r="AX1733" s="82">
        <f>($J1733-$H1733)*100</f>
        <v/>
      </c>
      <c r="AY1733" s="82">
        <f>($L1733-$H1733)*100</f>
        <v/>
      </c>
      <c r="AZ1733" s="82">
        <f>($L1733-$J1733)*100</f>
        <v/>
      </c>
      <c r="BA1733" s="82">
        <f>(2*$H1733-$F1733-$J1733)*100</f>
        <v/>
      </c>
      <c r="BB1733" s="82">
        <f>(2*$J1733-$H1733-$L1733)*100</f>
        <v/>
      </c>
      <c r="BC1733" s="82">
        <f>($N1733-$F1733)*100</f>
        <v/>
      </c>
      <c r="BD1733" s="82">
        <f>($Q1733-$H1733)*100</f>
        <v/>
      </c>
      <c r="BE1733" s="82">
        <f>($S1733-$J1733)*100</f>
        <v/>
      </c>
      <c r="BF1733" s="82">
        <f>($V1733-$L1733)*100</f>
        <v/>
      </c>
      <c r="BG1733" s="82">
        <f>$AG1733-$AF1733</f>
        <v/>
      </c>
      <c r="BH1733" s="81">
        <f>IFERROR($AG1733/$AF1733,"")</f>
        <v/>
      </c>
      <c r="BI1733" s="82">
        <f>$AJ1733-$AF1733</f>
        <v/>
      </c>
      <c r="BJ1733" s="81">
        <f>IFERROR($AJ1733/$AG1733,"")</f>
        <v/>
      </c>
      <c r="BK1733" s="81">
        <f>$X1733</f>
        <v/>
      </c>
      <c r="BL1733" s="82">
        <f>($J1733-$J1734)*100</f>
        <v/>
      </c>
      <c r="BM1733" s="82">
        <f>($F1733-$F1734)*100</f>
        <v/>
      </c>
      <c r="BN1733" s="82">
        <f>$AF1733-$AF1734</f>
        <v/>
      </c>
      <c r="BO1733" s="82">
        <f>$AG1733-$AG1734</f>
        <v/>
      </c>
      <c r="BP1733" s="82">
        <f>$AJ1733-$AJ1734</f>
        <v/>
      </c>
    </row>
    <row r="1734">
      <c r="AR1734" s="81">
        <f>($G1734+($H1734-$G1734)*0.5)+($P1734-($O1734+($Q1734-$O1734)*0.5))</f>
        <v/>
      </c>
      <c r="AS1734" s="81">
        <f>($J1734+($K1734-$J1734)*0.5)+($T1734-($S1734+($U1734-$S1734)*0.5))</f>
        <v/>
      </c>
      <c r="AT1734" s="82">
        <f>($J1734-$C1734)*100</f>
        <v/>
      </c>
      <c r="AU1734" s="82">
        <f>($H1734-$F1734)*100</f>
        <v/>
      </c>
      <c r="AV1734" s="82">
        <f>($J1734-$F1734)*100</f>
        <v/>
      </c>
      <c r="AW1734" s="82">
        <f>($L1734-$F1734)*100</f>
        <v/>
      </c>
      <c r="AX1734" s="82">
        <f>($J1734-$H1734)*100</f>
        <v/>
      </c>
      <c r="AY1734" s="82">
        <f>($L1734-$H1734)*100</f>
        <v/>
      </c>
      <c r="AZ1734" s="82">
        <f>($L1734-$J1734)*100</f>
        <v/>
      </c>
      <c r="BA1734" s="82">
        <f>(2*$H1734-$F1734-$J1734)*100</f>
        <v/>
      </c>
      <c r="BB1734" s="82">
        <f>(2*$J1734-$H1734-$L1734)*100</f>
        <v/>
      </c>
      <c r="BC1734" s="82">
        <f>($N1734-$F1734)*100</f>
        <v/>
      </c>
      <c r="BD1734" s="82">
        <f>($Q1734-$H1734)*100</f>
        <v/>
      </c>
      <c r="BE1734" s="82">
        <f>($S1734-$J1734)*100</f>
        <v/>
      </c>
      <c r="BF1734" s="82">
        <f>($V1734-$L1734)*100</f>
        <v/>
      </c>
      <c r="BG1734" s="82">
        <f>$AG1734-$AF1734</f>
        <v/>
      </c>
      <c r="BH1734" s="81">
        <f>IFERROR($AG1734/$AF1734,"")</f>
        <v/>
      </c>
      <c r="BI1734" s="82">
        <f>$AJ1734-$AF1734</f>
        <v/>
      </c>
      <c r="BJ1734" s="81">
        <f>IFERROR($AJ1734/$AG1734,"")</f>
        <v/>
      </c>
      <c r="BK1734" s="81">
        <f>$X1734</f>
        <v/>
      </c>
      <c r="BL1734" s="82">
        <f>($J1734-$J1735)*100</f>
        <v/>
      </c>
      <c r="BM1734" s="82">
        <f>($F1734-$F1735)*100</f>
        <v/>
      </c>
      <c r="BN1734" s="82">
        <f>$AF1734-$AF1735</f>
        <v/>
      </c>
      <c r="BO1734" s="82">
        <f>$AG1734-$AG1735</f>
        <v/>
      </c>
      <c r="BP1734" s="82">
        <f>$AJ1734-$AJ1735</f>
        <v/>
      </c>
    </row>
    <row r="1735">
      <c r="AR1735" s="81">
        <f>($G1735+($H1735-$G1735)*0.5)+($P1735-($O1735+($Q1735-$O1735)*0.5))</f>
        <v/>
      </c>
      <c r="AS1735" s="81">
        <f>($J1735+($K1735-$J1735)*0.5)+($T1735-($S1735+($U1735-$S1735)*0.5))</f>
        <v/>
      </c>
      <c r="AT1735" s="82">
        <f>($J1735-$C1735)*100</f>
        <v/>
      </c>
      <c r="AU1735" s="82">
        <f>($H1735-$F1735)*100</f>
        <v/>
      </c>
      <c r="AV1735" s="82">
        <f>($J1735-$F1735)*100</f>
        <v/>
      </c>
      <c r="AW1735" s="82">
        <f>($L1735-$F1735)*100</f>
        <v/>
      </c>
      <c r="AX1735" s="82">
        <f>($J1735-$H1735)*100</f>
        <v/>
      </c>
      <c r="AY1735" s="82">
        <f>($L1735-$H1735)*100</f>
        <v/>
      </c>
      <c r="AZ1735" s="82">
        <f>($L1735-$J1735)*100</f>
        <v/>
      </c>
      <c r="BA1735" s="82">
        <f>(2*$H1735-$F1735-$J1735)*100</f>
        <v/>
      </c>
      <c r="BB1735" s="82">
        <f>(2*$J1735-$H1735-$L1735)*100</f>
        <v/>
      </c>
      <c r="BC1735" s="82">
        <f>($N1735-$F1735)*100</f>
        <v/>
      </c>
      <c r="BD1735" s="82">
        <f>($Q1735-$H1735)*100</f>
        <v/>
      </c>
      <c r="BE1735" s="82">
        <f>($S1735-$J1735)*100</f>
        <v/>
      </c>
      <c r="BF1735" s="82">
        <f>($V1735-$L1735)*100</f>
        <v/>
      </c>
      <c r="BG1735" s="82">
        <f>$AG1735-$AF1735</f>
        <v/>
      </c>
      <c r="BH1735" s="81">
        <f>IFERROR($AG1735/$AF1735,"")</f>
        <v/>
      </c>
      <c r="BI1735" s="82">
        <f>$AJ1735-$AF1735</f>
        <v/>
      </c>
      <c r="BJ1735" s="81">
        <f>IFERROR($AJ1735/$AG1735,"")</f>
        <v/>
      </c>
      <c r="BK1735" s="81">
        <f>$X1735</f>
        <v/>
      </c>
      <c r="BL1735" s="82">
        <f>($J1735-$J1736)*100</f>
        <v/>
      </c>
      <c r="BM1735" s="82">
        <f>($F1735-$F1736)*100</f>
        <v/>
      </c>
      <c r="BN1735" s="82">
        <f>$AF1735-$AF1736</f>
        <v/>
      </c>
      <c r="BO1735" s="82">
        <f>$AG1735-$AG1736</f>
        <v/>
      </c>
      <c r="BP1735" s="82">
        <f>$AJ1735-$AJ1736</f>
        <v/>
      </c>
    </row>
    <row r="1736">
      <c r="AR1736" s="81">
        <f>($G1736+($H1736-$G1736)*0.5)+($P1736-($O1736+($Q1736-$O1736)*0.5))</f>
        <v/>
      </c>
      <c r="AS1736" s="81">
        <f>($J1736+($K1736-$J1736)*0.5)+($T1736-($S1736+($U1736-$S1736)*0.5))</f>
        <v/>
      </c>
      <c r="AT1736" s="82">
        <f>($J1736-$C1736)*100</f>
        <v/>
      </c>
      <c r="AU1736" s="82">
        <f>($H1736-$F1736)*100</f>
        <v/>
      </c>
      <c r="AV1736" s="82">
        <f>($J1736-$F1736)*100</f>
        <v/>
      </c>
      <c r="AW1736" s="82">
        <f>($L1736-$F1736)*100</f>
        <v/>
      </c>
      <c r="AX1736" s="82">
        <f>($J1736-$H1736)*100</f>
        <v/>
      </c>
      <c r="AY1736" s="82">
        <f>($L1736-$H1736)*100</f>
        <v/>
      </c>
      <c r="AZ1736" s="82">
        <f>($L1736-$J1736)*100</f>
        <v/>
      </c>
      <c r="BA1736" s="82">
        <f>(2*$H1736-$F1736-$J1736)*100</f>
        <v/>
      </c>
      <c r="BB1736" s="82">
        <f>(2*$J1736-$H1736-$L1736)*100</f>
        <v/>
      </c>
      <c r="BC1736" s="82">
        <f>($N1736-$F1736)*100</f>
        <v/>
      </c>
      <c r="BD1736" s="82">
        <f>($Q1736-$H1736)*100</f>
        <v/>
      </c>
      <c r="BE1736" s="82">
        <f>($S1736-$J1736)*100</f>
        <v/>
      </c>
      <c r="BF1736" s="82">
        <f>($V1736-$L1736)*100</f>
        <v/>
      </c>
      <c r="BG1736" s="82">
        <f>$AG1736-$AF1736</f>
        <v/>
      </c>
      <c r="BH1736" s="81">
        <f>IFERROR($AG1736/$AF1736,"")</f>
        <v/>
      </c>
      <c r="BI1736" s="82">
        <f>$AJ1736-$AF1736</f>
        <v/>
      </c>
      <c r="BJ1736" s="81">
        <f>IFERROR($AJ1736/$AG1736,"")</f>
        <v/>
      </c>
      <c r="BK1736" s="81">
        <f>$X1736</f>
        <v/>
      </c>
      <c r="BL1736" s="82">
        <f>($J1736-$J1737)*100</f>
        <v/>
      </c>
      <c r="BM1736" s="82">
        <f>($F1736-$F1737)*100</f>
        <v/>
      </c>
      <c r="BN1736" s="82">
        <f>$AF1736-$AF1737</f>
        <v/>
      </c>
      <c r="BO1736" s="82">
        <f>$AG1736-$AG1737</f>
        <v/>
      </c>
      <c r="BP1736" s="82">
        <f>$AJ1736-$AJ1737</f>
        <v/>
      </c>
    </row>
    <row r="1737">
      <c r="AR1737" s="81">
        <f>($G1737+($H1737-$G1737)*0.5)+($P1737-($O1737+($Q1737-$O1737)*0.5))</f>
        <v/>
      </c>
      <c r="AS1737" s="81">
        <f>($J1737+($K1737-$J1737)*0.5)+($T1737-($S1737+($U1737-$S1737)*0.5))</f>
        <v/>
      </c>
      <c r="AT1737" s="82">
        <f>($J1737-$C1737)*100</f>
        <v/>
      </c>
      <c r="AU1737" s="82">
        <f>($H1737-$F1737)*100</f>
        <v/>
      </c>
      <c r="AV1737" s="82">
        <f>($J1737-$F1737)*100</f>
        <v/>
      </c>
      <c r="AW1737" s="82">
        <f>($L1737-$F1737)*100</f>
        <v/>
      </c>
      <c r="AX1737" s="82">
        <f>($J1737-$H1737)*100</f>
        <v/>
      </c>
      <c r="AY1737" s="82">
        <f>($L1737-$H1737)*100</f>
        <v/>
      </c>
      <c r="AZ1737" s="82">
        <f>($L1737-$J1737)*100</f>
        <v/>
      </c>
      <c r="BA1737" s="82">
        <f>(2*$H1737-$F1737-$J1737)*100</f>
        <v/>
      </c>
      <c r="BB1737" s="82">
        <f>(2*$J1737-$H1737-$L1737)*100</f>
        <v/>
      </c>
      <c r="BC1737" s="82">
        <f>($N1737-$F1737)*100</f>
        <v/>
      </c>
      <c r="BD1737" s="82">
        <f>($Q1737-$H1737)*100</f>
        <v/>
      </c>
      <c r="BE1737" s="82">
        <f>($S1737-$J1737)*100</f>
        <v/>
      </c>
      <c r="BF1737" s="82">
        <f>($V1737-$L1737)*100</f>
        <v/>
      </c>
      <c r="BG1737" s="82">
        <f>$AG1737-$AF1737</f>
        <v/>
      </c>
      <c r="BH1737" s="81">
        <f>IFERROR($AG1737/$AF1737,"")</f>
        <v/>
      </c>
      <c r="BI1737" s="82">
        <f>$AJ1737-$AF1737</f>
        <v/>
      </c>
      <c r="BJ1737" s="81">
        <f>IFERROR($AJ1737/$AG1737,"")</f>
        <v/>
      </c>
      <c r="BK1737" s="81">
        <f>$X1737</f>
        <v/>
      </c>
      <c r="BL1737" s="82">
        <f>($J1737-$J1738)*100</f>
        <v/>
      </c>
      <c r="BM1737" s="82">
        <f>($F1737-$F1738)*100</f>
        <v/>
      </c>
      <c r="BN1737" s="82">
        <f>$AF1737-$AF1738</f>
        <v/>
      </c>
      <c r="BO1737" s="82">
        <f>$AG1737-$AG1738</f>
        <v/>
      </c>
      <c r="BP1737" s="82">
        <f>$AJ1737-$AJ1738</f>
        <v/>
      </c>
    </row>
    <row r="1738">
      <c r="AR1738" s="81">
        <f>($G1738+($H1738-$G1738)*0.5)+($P1738-($O1738+($Q1738-$O1738)*0.5))</f>
        <v/>
      </c>
      <c r="AS1738" s="81">
        <f>($J1738+($K1738-$J1738)*0.5)+($T1738-($S1738+($U1738-$S1738)*0.5))</f>
        <v/>
      </c>
      <c r="AT1738" s="82">
        <f>($J1738-$C1738)*100</f>
        <v/>
      </c>
      <c r="AU1738" s="82">
        <f>($H1738-$F1738)*100</f>
        <v/>
      </c>
      <c r="AV1738" s="82">
        <f>($J1738-$F1738)*100</f>
        <v/>
      </c>
      <c r="AW1738" s="82">
        <f>($L1738-$F1738)*100</f>
        <v/>
      </c>
      <c r="AX1738" s="82">
        <f>($J1738-$H1738)*100</f>
        <v/>
      </c>
      <c r="AY1738" s="82">
        <f>($L1738-$H1738)*100</f>
        <v/>
      </c>
      <c r="AZ1738" s="82">
        <f>($L1738-$J1738)*100</f>
        <v/>
      </c>
      <c r="BA1738" s="82">
        <f>(2*$H1738-$F1738-$J1738)*100</f>
        <v/>
      </c>
      <c r="BB1738" s="82">
        <f>(2*$J1738-$H1738-$L1738)*100</f>
        <v/>
      </c>
      <c r="BC1738" s="82">
        <f>($N1738-$F1738)*100</f>
        <v/>
      </c>
      <c r="BD1738" s="82">
        <f>($Q1738-$H1738)*100</f>
        <v/>
      </c>
      <c r="BE1738" s="82">
        <f>($S1738-$J1738)*100</f>
        <v/>
      </c>
      <c r="BF1738" s="82">
        <f>($V1738-$L1738)*100</f>
        <v/>
      </c>
      <c r="BG1738" s="82">
        <f>$AG1738-$AF1738</f>
        <v/>
      </c>
      <c r="BH1738" s="81">
        <f>IFERROR($AG1738/$AF1738,"")</f>
        <v/>
      </c>
      <c r="BI1738" s="82">
        <f>$AJ1738-$AF1738</f>
        <v/>
      </c>
      <c r="BJ1738" s="81">
        <f>IFERROR($AJ1738/$AG1738,"")</f>
        <v/>
      </c>
      <c r="BK1738" s="81">
        <f>$X1738</f>
        <v/>
      </c>
      <c r="BL1738" s="82">
        <f>($J1738-$J1739)*100</f>
        <v/>
      </c>
      <c r="BM1738" s="82">
        <f>($F1738-$F1739)*100</f>
        <v/>
      </c>
      <c r="BN1738" s="82">
        <f>$AF1738-$AF1739</f>
        <v/>
      </c>
      <c r="BO1738" s="82">
        <f>$AG1738-$AG1739</f>
        <v/>
      </c>
      <c r="BP1738" s="82">
        <f>$AJ1738-$AJ1739</f>
        <v/>
      </c>
    </row>
    <row r="1739">
      <c r="AR1739" s="81">
        <f>($G1739+($H1739-$G1739)*0.5)+($P1739-($O1739+($Q1739-$O1739)*0.5))</f>
        <v/>
      </c>
      <c r="AS1739" s="81">
        <f>($J1739+($K1739-$J1739)*0.5)+($T1739-($S1739+($U1739-$S1739)*0.5))</f>
        <v/>
      </c>
      <c r="AT1739" s="82">
        <f>($J1739-$C1739)*100</f>
        <v/>
      </c>
      <c r="AU1739" s="82">
        <f>($H1739-$F1739)*100</f>
        <v/>
      </c>
      <c r="AV1739" s="82">
        <f>($J1739-$F1739)*100</f>
        <v/>
      </c>
      <c r="AW1739" s="82">
        <f>($L1739-$F1739)*100</f>
        <v/>
      </c>
      <c r="AX1739" s="82">
        <f>($J1739-$H1739)*100</f>
        <v/>
      </c>
      <c r="AY1739" s="82">
        <f>($L1739-$H1739)*100</f>
        <v/>
      </c>
      <c r="AZ1739" s="82">
        <f>($L1739-$J1739)*100</f>
        <v/>
      </c>
      <c r="BA1739" s="82">
        <f>(2*$H1739-$F1739-$J1739)*100</f>
        <v/>
      </c>
      <c r="BB1739" s="82">
        <f>(2*$J1739-$H1739-$L1739)*100</f>
        <v/>
      </c>
      <c r="BC1739" s="82">
        <f>($N1739-$F1739)*100</f>
        <v/>
      </c>
      <c r="BD1739" s="82">
        <f>($Q1739-$H1739)*100</f>
        <v/>
      </c>
      <c r="BE1739" s="82">
        <f>($S1739-$J1739)*100</f>
        <v/>
      </c>
      <c r="BF1739" s="82">
        <f>($V1739-$L1739)*100</f>
        <v/>
      </c>
      <c r="BG1739" s="82">
        <f>$AG1739-$AF1739</f>
        <v/>
      </c>
      <c r="BH1739" s="81">
        <f>IFERROR($AG1739/$AF1739,"")</f>
        <v/>
      </c>
      <c r="BI1739" s="82">
        <f>$AJ1739-$AF1739</f>
        <v/>
      </c>
      <c r="BJ1739" s="81">
        <f>IFERROR($AJ1739/$AG1739,"")</f>
        <v/>
      </c>
      <c r="BK1739" s="81">
        <f>$X1739</f>
        <v/>
      </c>
      <c r="BL1739" s="82">
        <f>($J1739-$J1740)*100</f>
        <v/>
      </c>
      <c r="BM1739" s="82">
        <f>($F1739-$F1740)*100</f>
        <v/>
      </c>
      <c r="BN1739" s="82">
        <f>$AF1739-$AF1740</f>
        <v/>
      </c>
      <c r="BO1739" s="82">
        <f>$AG1739-$AG1740</f>
        <v/>
      </c>
      <c r="BP1739" s="82">
        <f>$AJ1739-$AJ1740</f>
        <v/>
      </c>
    </row>
    <row r="1740">
      <c r="AR1740" s="81">
        <f>($G1740+($H1740-$G1740)*0.5)+($P1740-($O1740+($Q1740-$O1740)*0.5))</f>
        <v/>
      </c>
      <c r="AS1740" s="81">
        <f>($J1740+($K1740-$J1740)*0.5)+($T1740-($S1740+($U1740-$S1740)*0.5))</f>
        <v/>
      </c>
      <c r="AT1740" s="82">
        <f>($J1740-$C1740)*100</f>
        <v/>
      </c>
      <c r="AU1740" s="82">
        <f>($H1740-$F1740)*100</f>
        <v/>
      </c>
      <c r="AV1740" s="82">
        <f>($J1740-$F1740)*100</f>
        <v/>
      </c>
      <c r="AW1740" s="82">
        <f>($L1740-$F1740)*100</f>
        <v/>
      </c>
      <c r="AX1740" s="82">
        <f>($J1740-$H1740)*100</f>
        <v/>
      </c>
      <c r="AY1740" s="82">
        <f>($L1740-$H1740)*100</f>
        <v/>
      </c>
      <c r="AZ1740" s="82">
        <f>($L1740-$J1740)*100</f>
        <v/>
      </c>
      <c r="BA1740" s="82">
        <f>(2*$H1740-$F1740-$J1740)*100</f>
        <v/>
      </c>
      <c r="BB1740" s="82">
        <f>(2*$J1740-$H1740-$L1740)*100</f>
        <v/>
      </c>
      <c r="BC1740" s="82">
        <f>($N1740-$F1740)*100</f>
        <v/>
      </c>
      <c r="BD1740" s="82">
        <f>($Q1740-$H1740)*100</f>
        <v/>
      </c>
      <c r="BE1740" s="82">
        <f>($S1740-$J1740)*100</f>
        <v/>
      </c>
      <c r="BF1740" s="82">
        <f>($V1740-$L1740)*100</f>
        <v/>
      </c>
      <c r="BG1740" s="82">
        <f>$AG1740-$AF1740</f>
        <v/>
      </c>
      <c r="BH1740" s="81">
        <f>IFERROR($AG1740/$AF1740,"")</f>
        <v/>
      </c>
      <c r="BI1740" s="82">
        <f>$AJ1740-$AF1740</f>
        <v/>
      </c>
      <c r="BJ1740" s="81">
        <f>IFERROR($AJ1740/$AG1740,"")</f>
        <v/>
      </c>
      <c r="BK1740" s="81">
        <f>$X1740</f>
        <v/>
      </c>
      <c r="BL1740" s="82">
        <f>($J1740-$J1741)*100</f>
        <v/>
      </c>
      <c r="BM1740" s="82">
        <f>($F1740-$F1741)*100</f>
        <v/>
      </c>
      <c r="BN1740" s="82">
        <f>$AF1740-$AF1741</f>
        <v/>
      </c>
      <c r="BO1740" s="82">
        <f>$AG1740-$AG1741</f>
        <v/>
      </c>
      <c r="BP1740" s="82">
        <f>$AJ1740-$AJ1741</f>
        <v/>
      </c>
    </row>
    <row r="1741">
      <c r="AR1741" s="81">
        <f>($G1741+($H1741-$G1741)*0.5)+($P1741-($O1741+($Q1741-$O1741)*0.5))</f>
        <v/>
      </c>
      <c r="AS1741" s="81">
        <f>($J1741+($K1741-$J1741)*0.5)+($T1741-($S1741+($U1741-$S1741)*0.5))</f>
        <v/>
      </c>
      <c r="AT1741" s="82">
        <f>($J1741-$C1741)*100</f>
        <v/>
      </c>
      <c r="AU1741" s="82">
        <f>($H1741-$F1741)*100</f>
        <v/>
      </c>
      <c r="AV1741" s="82">
        <f>($J1741-$F1741)*100</f>
        <v/>
      </c>
      <c r="AW1741" s="82">
        <f>($L1741-$F1741)*100</f>
        <v/>
      </c>
      <c r="AX1741" s="82">
        <f>($J1741-$H1741)*100</f>
        <v/>
      </c>
      <c r="AY1741" s="82">
        <f>($L1741-$H1741)*100</f>
        <v/>
      </c>
      <c r="AZ1741" s="82">
        <f>($L1741-$J1741)*100</f>
        <v/>
      </c>
      <c r="BA1741" s="82">
        <f>(2*$H1741-$F1741-$J1741)*100</f>
        <v/>
      </c>
      <c r="BB1741" s="82">
        <f>(2*$J1741-$H1741-$L1741)*100</f>
        <v/>
      </c>
      <c r="BC1741" s="82">
        <f>($N1741-$F1741)*100</f>
        <v/>
      </c>
      <c r="BD1741" s="82">
        <f>($Q1741-$H1741)*100</f>
        <v/>
      </c>
      <c r="BE1741" s="82">
        <f>($S1741-$J1741)*100</f>
        <v/>
      </c>
      <c r="BF1741" s="82">
        <f>($V1741-$L1741)*100</f>
        <v/>
      </c>
      <c r="BG1741" s="82">
        <f>$AG1741-$AF1741</f>
        <v/>
      </c>
      <c r="BH1741" s="81">
        <f>IFERROR($AG1741/$AF1741,"")</f>
        <v/>
      </c>
      <c r="BI1741" s="82">
        <f>$AJ1741-$AF1741</f>
        <v/>
      </c>
      <c r="BJ1741" s="81">
        <f>IFERROR($AJ1741/$AG1741,"")</f>
        <v/>
      </c>
      <c r="BK1741" s="81">
        <f>$X1741</f>
        <v/>
      </c>
      <c r="BL1741" s="82">
        <f>($J1741-$J1742)*100</f>
        <v/>
      </c>
      <c r="BM1741" s="82">
        <f>($F1741-$F1742)*100</f>
        <v/>
      </c>
      <c r="BN1741" s="82">
        <f>$AF1741-$AF1742</f>
        <v/>
      </c>
      <c r="BO1741" s="82">
        <f>$AG1741-$AG1742</f>
        <v/>
      </c>
      <c r="BP1741" s="82">
        <f>$AJ1741-$AJ1742</f>
        <v/>
      </c>
    </row>
    <row r="1742">
      <c r="AR1742" s="81">
        <f>($G1742+($H1742-$G1742)*0.5)+($P1742-($O1742+($Q1742-$O1742)*0.5))</f>
        <v/>
      </c>
      <c r="AS1742" s="81">
        <f>($J1742+($K1742-$J1742)*0.5)+($T1742-($S1742+($U1742-$S1742)*0.5))</f>
        <v/>
      </c>
      <c r="AT1742" s="82">
        <f>($J1742-$C1742)*100</f>
        <v/>
      </c>
      <c r="AU1742" s="82">
        <f>($H1742-$F1742)*100</f>
        <v/>
      </c>
      <c r="AV1742" s="82">
        <f>($J1742-$F1742)*100</f>
        <v/>
      </c>
      <c r="AW1742" s="82">
        <f>($L1742-$F1742)*100</f>
        <v/>
      </c>
      <c r="AX1742" s="82">
        <f>($J1742-$H1742)*100</f>
        <v/>
      </c>
      <c r="AY1742" s="82">
        <f>($L1742-$H1742)*100</f>
        <v/>
      </c>
      <c r="AZ1742" s="82">
        <f>($L1742-$J1742)*100</f>
        <v/>
      </c>
      <c r="BA1742" s="82">
        <f>(2*$H1742-$F1742-$J1742)*100</f>
        <v/>
      </c>
      <c r="BB1742" s="82">
        <f>(2*$J1742-$H1742-$L1742)*100</f>
        <v/>
      </c>
      <c r="BC1742" s="82">
        <f>($N1742-$F1742)*100</f>
        <v/>
      </c>
      <c r="BD1742" s="82">
        <f>($Q1742-$H1742)*100</f>
        <v/>
      </c>
      <c r="BE1742" s="82">
        <f>($S1742-$J1742)*100</f>
        <v/>
      </c>
      <c r="BF1742" s="82">
        <f>($V1742-$L1742)*100</f>
        <v/>
      </c>
      <c r="BG1742" s="82">
        <f>$AG1742-$AF1742</f>
        <v/>
      </c>
      <c r="BH1742" s="81">
        <f>IFERROR($AG1742/$AF1742,"")</f>
        <v/>
      </c>
      <c r="BI1742" s="82">
        <f>$AJ1742-$AF1742</f>
        <v/>
      </c>
      <c r="BJ1742" s="81">
        <f>IFERROR($AJ1742/$AG1742,"")</f>
        <v/>
      </c>
      <c r="BK1742" s="81">
        <f>$X1742</f>
        <v/>
      </c>
      <c r="BL1742" s="82">
        <f>($J1742-$J1743)*100</f>
        <v/>
      </c>
      <c r="BM1742" s="82">
        <f>($F1742-$F1743)*100</f>
        <v/>
      </c>
      <c r="BN1742" s="82">
        <f>$AF1742-$AF1743</f>
        <v/>
      </c>
      <c r="BO1742" s="82">
        <f>$AG1742-$AG1743</f>
        <v/>
      </c>
      <c r="BP1742" s="82">
        <f>$AJ1742-$AJ1743</f>
        <v/>
      </c>
    </row>
    <row r="1743">
      <c r="AR1743" s="81">
        <f>($G1743+($H1743-$G1743)*0.5)+($P1743-($O1743+($Q1743-$O1743)*0.5))</f>
        <v/>
      </c>
      <c r="AS1743" s="81">
        <f>($J1743+($K1743-$J1743)*0.5)+($T1743-($S1743+($U1743-$S1743)*0.5))</f>
        <v/>
      </c>
      <c r="AT1743" s="82">
        <f>($J1743-$C1743)*100</f>
        <v/>
      </c>
      <c r="AU1743" s="82">
        <f>($H1743-$F1743)*100</f>
        <v/>
      </c>
      <c r="AV1743" s="82">
        <f>($J1743-$F1743)*100</f>
        <v/>
      </c>
      <c r="AW1743" s="82">
        <f>($L1743-$F1743)*100</f>
        <v/>
      </c>
      <c r="AX1743" s="82">
        <f>($J1743-$H1743)*100</f>
        <v/>
      </c>
      <c r="AY1743" s="82">
        <f>($L1743-$H1743)*100</f>
        <v/>
      </c>
      <c r="AZ1743" s="82">
        <f>($L1743-$J1743)*100</f>
        <v/>
      </c>
      <c r="BA1743" s="82">
        <f>(2*$H1743-$F1743-$J1743)*100</f>
        <v/>
      </c>
      <c r="BB1743" s="82">
        <f>(2*$J1743-$H1743-$L1743)*100</f>
        <v/>
      </c>
      <c r="BC1743" s="82">
        <f>($N1743-$F1743)*100</f>
        <v/>
      </c>
      <c r="BD1743" s="82">
        <f>($Q1743-$H1743)*100</f>
        <v/>
      </c>
      <c r="BE1743" s="82">
        <f>($S1743-$J1743)*100</f>
        <v/>
      </c>
      <c r="BF1743" s="82">
        <f>($V1743-$L1743)*100</f>
        <v/>
      </c>
      <c r="BG1743" s="82">
        <f>$AG1743-$AF1743</f>
        <v/>
      </c>
      <c r="BH1743" s="81">
        <f>IFERROR($AG1743/$AF1743,"")</f>
        <v/>
      </c>
      <c r="BI1743" s="82">
        <f>$AJ1743-$AF1743</f>
        <v/>
      </c>
      <c r="BJ1743" s="81">
        <f>IFERROR($AJ1743/$AG1743,"")</f>
        <v/>
      </c>
      <c r="BK1743" s="81">
        <f>$X1743</f>
        <v/>
      </c>
      <c r="BL1743" s="82">
        <f>($J1743-$J1744)*100</f>
        <v/>
      </c>
      <c r="BM1743" s="82">
        <f>($F1743-$F1744)*100</f>
        <v/>
      </c>
      <c r="BN1743" s="82">
        <f>$AF1743-$AF1744</f>
        <v/>
      </c>
      <c r="BO1743" s="82">
        <f>$AG1743-$AG1744</f>
        <v/>
      </c>
      <c r="BP1743" s="82">
        <f>$AJ1743-$AJ1744</f>
        <v/>
      </c>
    </row>
    <row r="1744">
      <c r="AR1744" s="81">
        <f>($G1744+($H1744-$G1744)*0.5)+($P1744-($O1744+($Q1744-$O1744)*0.5))</f>
        <v/>
      </c>
      <c r="AS1744" s="81">
        <f>($J1744+($K1744-$J1744)*0.5)+($T1744-($S1744+($U1744-$S1744)*0.5))</f>
        <v/>
      </c>
      <c r="AT1744" s="82">
        <f>($J1744-$C1744)*100</f>
        <v/>
      </c>
      <c r="AU1744" s="82">
        <f>($H1744-$F1744)*100</f>
        <v/>
      </c>
      <c r="AV1744" s="82">
        <f>($J1744-$F1744)*100</f>
        <v/>
      </c>
      <c r="AW1744" s="82">
        <f>($L1744-$F1744)*100</f>
        <v/>
      </c>
      <c r="AX1744" s="82">
        <f>($J1744-$H1744)*100</f>
        <v/>
      </c>
      <c r="AY1744" s="82">
        <f>($L1744-$H1744)*100</f>
        <v/>
      </c>
      <c r="AZ1744" s="82">
        <f>($L1744-$J1744)*100</f>
        <v/>
      </c>
      <c r="BA1744" s="82">
        <f>(2*$H1744-$F1744-$J1744)*100</f>
        <v/>
      </c>
      <c r="BB1744" s="82">
        <f>(2*$J1744-$H1744-$L1744)*100</f>
        <v/>
      </c>
      <c r="BC1744" s="82">
        <f>($N1744-$F1744)*100</f>
        <v/>
      </c>
      <c r="BD1744" s="82">
        <f>($Q1744-$H1744)*100</f>
        <v/>
      </c>
      <c r="BE1744" s="82">
        <f>($S1744-$J1744)*100</f>
        <v/>
      </c>
      <c r="BF1744" s="82">
        <f>($V1744-$L1744)*100</f>
        <v/>
      </c>
      <c r="BG1744" s="82">
        <f>$AG1744-$AF1744</f>
        <v/>
      </c>
      <c r="BH1744" s="81">
        <f>IFERROR($AG1744/$AF1744,"")</f>
        <v/>
      </c>
      <c r="BI1744" s="82">
        <f>$AJ1744-$AF1744</f>
        <v/>
      </c>
      <c r="BJ1744" s="81">
        <f>IFERROR($AJ1744/$AG1744,"")</f>
        <v/>
      </c>
      <c r="BK1744" s="81">
        <f>$X1744</f>
        <v/>
      </c>
      <c r="BL1744" s="82">
        <f>($J1744-$J1745)*100</f>
        <v/>
      </c>
      <c r="BM1744" s="82">
        <f>($F1744-$F1745)*100</f>
        <v/>
      </c>
      <c r="BN1744" s="82">
        <f>$AF1744-$AF1745</f>
        <v/>
      </c>
      <c r="BO1744" s="82">
        <f>$AG1744-$AG1745</f>
        <v/>
      </c>
      <c r="BP1744" s="82">
        <f>$AJ1744-$AJ1745</f>
        <v/>
      </c>
    </row>
    <row r="1745">
      <c r="AR1745" s="81">
        <f>($G1745+($H1745-$G1745)*0.5)+($P1745-($O1745+($Q1745-$O1745)*0.5))</f>
        <v/>
      </c>
      <c r="AS1745" s="81">
        <f>($J1745+($K1745-$J1745)*0.5)+($T1745-($S1745+($U1745-$S1745)*0.5))</f>
        <v/>
      </c>
      <c r="AT1745" s="82">
        <f>($J1745-$C1745)*100</f>
        <v/>
      </c>
      <c r="AU1745" s="82">
        <f>($H1745-$F1745)*100</f>
        <v/>
      </c>
      <c r="AV1745" s="82">
        <f>($J1745-$F1745)*100</f>
        <v/>
      </c>
      <c r="AW1745" s="82">
        <f>($L1745-$F1745)*100</f>
        <v/>
      </c>
      <c r="AX1745" s="82">
        <f>($J1745-$H1745)*100</f>
        <v/>
      </c>
      <c r="AY1745" s="82">
        <f>($L1745-$H1745)*100</f>
        <v/>
      </c>
      <c r="AZ1745" s="82">
        <f>($L1745-$J1745)*100</f>
        <v/>
      </c>
      <c r="BA1745" s="82">
        <f>(2*$H1745-$F1745-$J1745)*100</f>
        <v/>
      </c>
      <c r="BB1745" s="82">
        <f>(2*$J1745-$H1745-$L1745)*100</f>
        <v/>
      </c>
      <c r="BC1745" s="82">
        <f>($N1745-$F1745)*100</f>
        <v/>
      </c>
      <c r="BD1745" s="82">
        <f>($Q1745-$H1745)*100</f>
        <v/>
      </c>
      <c r="BE1745" s="82">
        <f>($S1745-$J1745)*100</f>
        <v/>
      </c>
      <c r="BF1745" s="82">
        <f>($V1745-$L1745)*100</f>
        <v/>
      </c>
      <c r="BG1745" s="82">
        <f>$AG1745-$AF1745</f>
        <v/>
      </c>
      <c r="BH1745" s="81">
        <f>IFERROR($AG1745/$AF1745,"")</f>
        <v/>
      </c>
      <c r="BI1745" s="82">
        <f>$AJ1745-$AF1745</f>
        <v/>
      </c>
      <c r="BJ1745" s="81">
        <f>IFERROR($AJ1745/$AG1745,"")</f>
        <v/>
      </c>
      <c r="BK1745" s="81">
        <f>$X1745</f>
        <v/>
      </c>
      <c r="BL1745" s="82">
        <f>($J1745-$J1746)*100</f>
        <v/>
      </c>
      <c r="BM1745" s="82">
        <f>($F1745-$F1746)*100</f>
        <v/>
      </c>
      <c r="BN1745" s="82">
        <f>$AF1745-$AF1746</f>
        <v/>
      </c>
      <c r="BO1745" s="82">
        <f>$AG1745-$AG1746</f>
        <v/>
      </c>
      <c r="BP1745" s="82">
        <f>$AJ1745-$AJ1746</f>
        <v/>
      </c>
    </row>
    <row r="1746">
      <c r="AR1746" s="81">
        <f>($G1746+($H1746-$G1746)*0.5)+($P1746-($O1746+($Q1746-$O1746)*0.5))</f>
        <v/>
      </c>
      <c r="AS1746" s="81">
        <f>($J1746+($K1746-$J1746)*0.5)+($T1746-($S1746+($U1746-$S1746)*0.5))</f>
        <v/>
      </c>
      <c r="AT1746" s="82">
        <f>($J1746-$C1746)*100</f>
        <v/>
      </c>
      <c r="AU1746" s="82">
        <f>($H1746-$F1746)*100</f>
        <v/>
      </c>
      <c r="AV1746" s="82">
        <f>($J1746-$F1746)*100</f>
        <v/>
      </c>
      <c r="AW1746" s="82">
        <f>($L1746-$F1746)*100</f>
        <v/>
      </c>
      <c r="AX1746" s="82">
        <f>($J1746-$H1746)*100</f>
        <v/>
      </c>
      <c r="AY1746" s="82">
        <f>($L1746-$H1746)*100</f>
        <v/>
      </c>
      <c r="AZ1746" s="82">
        <f>($L1746-$J1746)*100</f>
        <v/>
      </c>
      <c r="BA1746" s="82">
        <f>(2*$H1746-$F1746-$J1746)*100</f>
        <v/>
      </c>
      <c r="BB1746" s="82">
        <f>(2*$J1746-$H1746-$L1746)*100</f>
        <v/>
      </c>
      <c r="BC1746" s="82">
        <f>($N1746-$F1746)*100</f>
        <v/>
      </c>
      <c r="BD1746" s="82">
        <f>($Q1746-$H1746)*100</f>
        <v/>
      </c>
      <c r="BE1746" s="82">
        <f>($S1746-$J1746)*100</f>
        <v/>
      </c>
      <c r="BF1746" s="82">
        <f>($V1746-$L1746)*100</f>
        <v/>
      </c>
      <c r="BG1746" s="82">
        <f>$AG1746-$AF1746</f>
        <v/>
      </c>
      <c r="BH1746" s="81">
        <f>IFERROR($AG1746/$AF1746,"")</f>
        <v/>
      </c>
      <c r="BI1746" s="82">
        <f>$AJ1746-$AF1746</f>
        <v/>
      </c>
      <c r="BJ1746" s="81">
        <f>IFERROR($AJ1746/$AG1746,"")</f>
        <v/>
      </c>
      <c r="BK1746" s="81">
        <f>$X1746</f>
        <v/>
      </c>
      <c r="BL1746" s="82">
        <f>($J1746-$J1747)*100</f>
        <v/>
      </c>
      <c r="BM1746" s="82">
        <f>($F1746-$F1747)*100</f>
        <v/>
      </c>
      <c r="BN1746" s="82">
        <f>$AF1746-$AF1747</f>
        <v/>
      </c>
      <c r="BO1746" s="82">
        <f>$AG1746-$AG1747</f>
        <v/>
      </c>
      <c r="BP1746" s="82">
        <f>$AJ1746-$AJ1747</f>
        <v/>
      </c>
    </row>
    <row r="1747">
      <c r="AR1747" s="81">
        <f>($G1747+($H1747-$G1747)*0.5)+($P1747-($O1747+($Q1747-$O1747)*0.5))</f>
        <v/>
      </c>
      <c r="AS1747" s="81">
        <f>($J1747+($K1747-$J1747)*0.5)+($T1747-($S1747+($U1747-$S1747)*0.5))</f>
        <v/>
      </c>
      <c r="AT1747" s="82">
        <f>($J1747-$C1747)*100</f>
        <v/>
      </c>
      <c r="AU1747" s="82">
        <f>($H1747-$F1747)*100</f>
        <v/>
      </c>
      <c r="AV1747" s="82">
        <f>($J1747-$F1747)*100</f>
        <v/>
      </c>
      <c r="AW1747" s="82">
        <f>($L1747-$F1747)*100</f>
        <v/>
      </c>
      <c r="AX1747" s="82">
        <f>($J1747-$H1747)*100</f>
        <v/>
      </c>
      <c r="AY1747" s="82">
        <f>($L1747-$H1747)*100</f>
        <v/>
      </c>
      <c r="AZ1747" s="82">
        <f>($L1747-$J1747)*100</f>
        <v/>
      </c>
      <c r="BA1747" s="82">
        <f>(2*$H1747-$F1747-$J1747)*100</f>
        <v/>
      </c>
      <c r="BB1747" s="82">
        <f>(2*$J1747-$H1747-$L1747)*100</f>
        <v/>
      </c>
      <c r="BC1747" s="82">
        <f>($N1747-$F1747)*100</f>
        <v/>
      </c>
      <c r="BD1747" s="82">
        <f>($Q1747-$H1747)*100</f>
        <v/>
      </c>
      <c r="BE1747" s="82">
        <f>($S1747-$J1747)*100</f>
        <v/>
      </c>
      <c r="BF1747" s="82">
        <f>($V1747-$L1747)*100</f>
        <v/>
      </c>
      <c r="BG1747" s="82">
        <f>$AG1747-$AF1747</f>
        <v/>
      </c>
      <c r="BH1747" s="81">
        <f>IFERROR($AG1747/$AF1747,"")</f>
        <v/>
      </c>
      <c r="BI1747" s="82">
        <f>$AJ1747-$AF1747</f>
        <v/>
      </c>
      <c r="BJ1747" s="81">
        <f>IFERROR($AJ1747/$AG1747,"")</f>
        <v/>
      </c>
      <c r="BK1747" s="81">
        <f>$X1747</f>
        <v/>
      </c>
      <c r="BL1747" s="82">
        <f>($J1747-$J1748)*100</f>
        <v/>
      </c>
      <c r="BM1747" s="82">
        <f>($F1747-$F1748)*100</f>
        <v/>
      </c>
      <c r="BN1747" s="82">
        <f>$AF1747-$AF1748</f>
        <v/>
      </c>
      <c r="BO1747" s="82">
        <f>$AG1747-$AG1748</f>
        <v/>
      </c>
      <c r="BP1747" s="82">
        <f>$AJ1747-$AJ1748</f>
        <v/>
      </c>
    </row>
    <row r="1748">
      <c r="AR1748" s="81">
        <f>($G1748+($H1748-$G1748)*0.5)+($P1748-($O1748+($Q1748-$O1748)*0.5))</f>
        <v/>
      </c>
      <c r="AS1748" s="81">
        <f>($J1748+($K1748-$J1748)*0.5)+($T1748-($S1748+($U1748-$S1748)*0.5))</f>
        <v/>
      </c>
      <c r="AT1748" s="82">
        <f>($J1748-$C1748)*100</f>
        <v/>
      </c>
      <c r="AU1748" s="82">
        <f>($H1748-$F1748)*100</f>
        <v/>
      </c>
      <c r="AV1748" s="82">
        <f>($J1748-$F1748)*100</f>
        <v/>
      </c>
      <c r="AW1748" s="82">
        <f>($L1748-$F1748)*100</f>
        <v/>
      </c>
      <c r="AX1748" s="82">
        <f>($J1748-$H1748)*100</f>
        <v/>
      </c>
      <c r="AY1748" s="82">
        <f>($L1748-$H1748)*100</f>
        <v/>
      </c>
      <c r="AZ1748" s="82">
        <f>($L1748-$J1748)*100</f>
        <v/>
      </c>
      <c r="BA1748" s="82">
        <f>(2*$H1748-$F1748-$J1748)*100</f>
        <v/>
      </c>
      <c r="BB1748" s="82">
        <f>(2*$J1748-$H1748-$L1748)*100</f>
        <v/>
      </c>
      <c r="BC1748" s="82">
        <f>($N1748-$F1748)*100</f>
        <v/>
      </c>
      <c r="BD1748" s="82">
        <f>($Q1748-$H1748)*100</f>
        <v/>
      </c>
      <c r="BE1748" s="82">
        <f>($S1748-$J1748)*100</f>
        <v/>
      </c>
      <c r="BF1748" s="82">
        <f>($V1748-$L1748)*100</f>
        <v/>
      </c>
      <c r="BG1748" s="82">
        <f>$AG1748-$AF1748</f>
        <v/>
      </c>
      <c r="BH1748" s="81">
        <f>IFERROR($AG1748/$AF1748,"")</f>
        <v/>
      </c>
      <c r="BI1748" s="82">
        <f>$AJ1748-$AF1748</f>
        <v/>
      </c>
      <c r="BJ1748" s="81">
        <f>IFERROR($AJ1748/$AG1748,"")</f>
        <v/>
      </c>
      <c r="BK1748" s="81">
        <f>$X1748</f>
        <v/>
      </c>
      <c r="BL1748" s="82">
        <f>($J1748-$J1749)*100</f>
        <v/>
      </c>
      <c r="BM1748" s="82">
        <f>($F1748-$F1749)*100</f>
        <v/>
      </c>
      <c r="BN1748" s="82">
        <f>$AF1748-$AF1749</f>
        <v/>
      </c>
      <c r="BO1748" s="82">
        <f>$AG1748-$AG1749</f>
        <v/>
      </c>
      <c r="BP1748" s="82">
        <f>$AJ1748-$AJ1749</f>
        <v/>
      </c>
    </row>
    <row r="1749">
      <c r="AR1749" s="81">
        <f>($G1749+($H1749-$G1749)*0.5)+($P1749-($O1749+($Q1749-$O1749)*0.5))</f>
        <v/>
      </c>
      <c r="AS1749" s="81">
        <f>($J1749+($K1749-$J1749)*0.5)+($T1749-($S1749+($U1749-$S1749)*0.5))</f>
        <v/>
      </c>
      <c r="AT1749" s="82">
        <f>($J1749-$C1749)*100</f>
        <v/>
      </c>
      <c r="AU1749" s="82">
        <f>($H1749-$F1749)*100</f>
        <v/>
      </c>
      <c r="AV1749" s="82">
        <f>($J1749-$F1749)*100</f>
        <v/>
      </c>
      <c r="AW1749" s="82">
        <f>($L1749-$F1749)*100</f>
        <v/>
      </c>
      <c r="AX1749" s="82">
        <f>($J1749-$H1749)*100</f>
        <v/>
      </c>
      <c r="AY1749" s="82">
        <f>($L1749-$H1749)*100</f>
        <v/>
      </c>
      <c r="AZ1749" s="82">
        <f>($L1749-$J1749)*100</f>
        <v/>
      </c>
      <c r="BA1749" s="82">
        <f>(2*$H1749-$F1749-$J1749)*100</f>
        <v/>
      </c>
      <c r="BB1749" s="82">
        <f>(2*$J1749-$H1749-$L1749)*100</f>
        <v/>
      </c>
      <c r="BC1749" s="82">
        <f>($N1749-$F1749)*100</f>
        <v/>
      </c>
      <c r="BD1749" s="82">
        <f>($Q1749-$H1749)*100</f>
        <v/>
      </c>
      <c r="BE1749" s="82">
        <f>($S1749-$J1749)*100</f>
        <v/>
      </c>
      <c r="BF1749" s="82">
        <f>($V1749-$L1749)*100</f>
        <v/>
      </c>
      <c r="BG1749" s="82">
        <f>$AG1749-$AF1749</f>
        <v/>
      </c>
      <c r="BH1749" s="81">
        <f>IFERROR($AG1749/$AF1749,"")</f>
        <v/>
      </c>
      <c r="BI1749" s="82">
        <f>$AJ1749-$AF1749</f>
        <v/>
      </c>
      <c r="BJ1749" s="81">
        <f>IFERROR($AJ1749/$AG1749,"")</f>
        <v/>
      </c>
      <c r="BK1749" s="81">
        <f>$X1749</f>
        <v/>
      </c>
      <c r="BL1749" s="82">
        <f>($J1749-$J1750)*100</f>
        <v/>
      </c>
      <c r="BM1749" s="82">
        <f>($F1749-$F1750)*100</f>
        <v/>
      </c>
      <c r="BN1749" s="82">
        <f>$AF1749-$AF1750</f>
        <v/>
      </c>
      <c r="BO1749" s="82">
        <f>$AG1749-$AG1750</f>
        <v/>
      </c>
      <c r="BP1749" s="82">
        <f>$AJ1749-$AJ1750</f>
        <v/>
      </c>
    </row>
    <row r="1750">
      <c r="AR1750" s="81">
        <f>($G1750+($H1750-$G1750)*0.5)+($P1750-($O1750+($Q1750-$O1750)*0.5))</f>
        <v/>
      </c>
      <c r="AS1750" s="81">
        <f>($J1750+($K1750-$J1750)*0.5)+($T1750-($S1750+($U1750-$S1750)*0.5))</f>
        <v/>
      </c>
      <c r="AT1750" s="82">
        <f>($J1750-$C1750)*100</f>
        <v/>
      </c>
      <c r="AU1750" s="82">
        <f>($H1750-$F1750)*100</f>
        <v/>
      </c>
      <c r="AV1750" s="82">
        <f>($J1750-$F1750)*100</f>
        <v/>
      </c>
      <c r="AW1750" s="82">
        <f>($L1750-$F1750)*100</f>
        <v/>
      </c>
      <c r="AX1750" s="82">
        <f>($J1750-$H1750)*100</f>
        <v/>
      </c>
      <c r="AY1750" s="82">
        <f>($L1750-$H1750)*100</f>
        <v/>
      </c>
      <c r="AZ1750" s="82">
        <f>($L1750-$J1750)*100</f>
        <v/>
      </c>
      <c r="BA1750" s="82">
        <f>(2*$H1750-$F1750-$J1750)*100</f>
        <v/>
      </c>
      <c r="BB1750" s="82">
        <f>(2*$J1750-$H1750-$L1750)*100</f>
        <v/>
      </c>
      <c r="BC1750" s="82">
        <f>($N1750-$F1750)*100</f>
        <v/>
      </c>
      <c r="BD1750" s="82">
        <f>($Q1750-$H1750)*100</f>
        <v/>
      </c>
      <c r="BE1750" s="82">
        <f>($S1750-$J1750)*100</f>
        <v/>
      </c>
      <c r="BF1750" s="82">
        <f>($V1750-$L1750)*100</f>
        <v/>
      </c>
      <c r="BG1750" s="82">
        <f>$AG1750-$AF1750</f>
        <v/>
      </c>
      <c r="BH1750" s="81">
        <f>IFERROR($AG1750/$AF1750,"")</f>
        <v/>
      </c>
      <c r="BI1750" s="82">
        <f>$AJ1750-$AF1750</f>
        <v/>
      </c>
      <c r="BJ1750" s="81">
        <f>IFERROR($AJ1750/$AG1750,"")</f>
        <v/>
      </c>
      <c r="BK1750" s="81">
        <f>$X1750</f>
        <v/>
      </c>
      <c r="BL1750" s="82">
        <f>($J1750-$J1751)*100</f>
        <v/>
      </c>
      <c r="BM1750" s="82">
        <f>($F1750-$F1751)*100</f>
        <v/>
      </c>
      <c r="BN1750" s="82">
        <f>$AF1750-$AF1751</f>
        <v/>
      </c>
      <c r="BO1750" s="82">
        <f>$AG1750-$AG1751</f>
        <v/>
      </c>
      <c r="BP1750" s="82">
        <f>$AJ1750-$AJ1751</f>
        <v/>
      </c>
    </row>
    <row r="1751">
      <c r="AR1751" s="81">
        <f>($G1751+($H1751-$G1751)*0.5)+($P1751-($O1751+($Q1751-$O1751)*0.5))</f>
        <v/>
      </c>
      <c r="AS1751" s="81">
        <f>($J1751+($K1751-$J1751)*0.5)+($T1751-($S1751+($U1751-$S1751)*0.5))</f>
        <v/>
      </c>
      <c r="AT1751" s="82">
        <f>($J1751-$C1751)*100</f>
        <v/>
      </c>
      <c r="AU1751" s="82">
        <f>($H1751-$F1751)*100</f>
        <v/>
      </c>
      <c r="AV1751" s="82">
        <f>($J1751-$F1751)*100</f>
        <v/>
      </c>
      <c r="AW1751" s="82">
        <f>($L1751-$F1751)*100</f>
        <v/>
      </c>
      <c r="AX1751" s="82">
        <f>($J1751-$H1751)*100</f>
        <v/>
      </c>
      <c r="AY1751" s="82">
        <f>($L1751-$H1751)*100</f>
        <v/>
      </c>
      <c r="AZ1751" s="82">
        <f>($L1751-$J1751)*100</f>
        <v/>
      </c>
      <c r="BA1751" s="82">
        <f>(2*$H1751-$F1751-$J1751)*100</f>
        <v/>
      </c>
      <c r="BB1751" s="82">
        <f>(2*$J1751-$H1751-$L1751)*100</f>
        <v/>
      </c>
      <c r="BC1751" s="82">
        <f>($N1751-$F1751)*100</f>
        <v/>
      </c>
      <c r="BD1751" s="82">
        <f>($Q1751-$H1751)*100</f>
        <v/>
      </c>
      <c r="BE1751" s="82">
        <f>($S1751-$J1751)*100</f>
        <v/>
      </c>
      <c r="BF1751" s="82">
        <f>($V1751-$L1751)*100</f>
        <v/>
      </c>
      <c r="BG1751" s="82">
        <f>$AG1751-$AF1751</f>
        <v/>
      </c>
      <c r="BH1751" s="81">
        <f>IFERROR($AG1751/$AF1751,"")</f>
        <v/>
      </c>
      <c r="BI1751" s="82">
        <f>$AJ1751-$AF1751</f>
        <v/>
      </c>
      <c r="BJ1751" s="81">
        <f>IFERROR($AJ1751/$AG1751,"")</f>
        <v/>
      </c>
      <c r="BK1751" s="81">
        <f>$X1751</f>
        <v/>
      </c>
      <c r="BL1751" s="82">
        <f>($J1751-$J1752)*100</f>
        <v/>
      </c>
      <c r="BM1751" s="82">
        <f>($F1751-$F1752)*100</f>
        <v/>
      </c>
      <c r="BN1751" s="82">
        <f>$AF1751-$AF1752</f>
        <v/>
      </c>
      <c r="BO1751" s="82">
        <f>$AG1751-$AG1752</f>
        <v/>
      </c>
      <c r="BP1751" s="82">
        <f>$AJ1751-$AJ1752</f>
        <v/>
      </c>
    </row>
    <row r="1752">
      <c r="AR1752" s="81">
        <f>($G1752+($H1752-$G1752)*0.5)+($P1752-($O1752+($Q1752-$O1752)*0.5))</f>
        <v/>
      </c>
      <c r="AS1752" s="81">
        <f>($J1752+($K1752-$J1752)*0.5)+($T1752-($S1752+($U1752-$S1752)*0.5))</f>
        <v/>
      </c>
      <c r="AT1752" s="82">
        <f>($J1752-$C1752)*100</f>
        <v/>
      </c>
      <c r="AU1752" s="82">
        <f>($H1752-$F1752)*100</f>
        <v/>
      </c>
      <c r="AV1752" s="82">
        <f>($J1752-$F1752)*100</f>
        <v/>
      </c>
      <c r="AW1752" s="82">
        <f>($L1752-$F1752)*100</f>
        <v/>
      </c>
      <c r="AX1752" s="82">
        <f>($J1752-$H1752)*100</f>
        <v/>
      </c>
      <c r="AY1752" s="82">
        <f>($L1752-$H1752)*100</f>
        <v/>
      </c>
      <c r="AZ1752" s="82">
        <f>($L1752-$J1752)*100</f>
        <v/>
      </c>
      <c r="BA1752" s="82">
        <f>(2*$H1752-$F1752-$J1752)*100</f>
        <v/>
      </c>
      <c r="BB1752" s="82">
        <f>(2*$J1752-$H1752-$L1752)*100</f>
        <v/>
      </c>
      <c r="BC1752" s="82">
        <f>($N1752-$F1752)*100</f>
        <v/>
      </c>
      <c r="BD1752" s="82">
        <f>($Q1752-$H1752)*100</f>
        <v/>
      </c>
      <c r="BE1752" s="82">
        <f>($S1752-$J1752)*100</f>
        <v/>
      </c>
      <c r="BF1752" s="82">
        <f>($V1752-$L1752)*100</f>
        <v/>
      </c>
      <c r="BG1752" s="82">
        <f>$AG1752-$AF1752</f>
        <v/>
      </c>
      <c r="BH1752" s="81">
        <f>IFERROR($AG1752/$AF1752,"")</f>
        <v/>
      </c>
      <c r="BI1752" s="82">
        <f>$AJ1752-$AF1752</f>
        <v/>
      </c>
      <c r="BJ1752" s="81">
        <f>IFERROR($AJ1752/$AG1752,"")</f>
        <v/>
      </c>
      <c r="BK1752" s="81">
        <f>$X1752</f>
        <v/>
      </c>
      <c r="BL1752" s="82">
        <f>($J1752-$J1753)*100</f>
        <v/>
      </c>
      <c r="BM1752" s="82">
        <f>($F1752-$F1753)*100</f>
        <v/>
      </c>
      <c r="BN1752" s="82">
        <f>$AF1752-$AF1753</f>
        <v/>
      </c>
      <c r="BO1752" s="82">
        <f>$AG1752-$AG1753</f>
        <v/>
      </c>
      <c r="BP1752" s="82">
        <f>$AJ1752-$AJ1753</f>
        <v/>
      </c>
    </row>
    <row r="1753">
      <c r="AR1753" s="81">
        <f>($G1753+($H1753-$G1753)*0.5)+($P1753-($O1753+($Q1753-$O1753)*0.5))</f>
        <v/>
      </c>
      <c r="AS1753" s="81">
        <f>($J1753+($K1753-$J1753)*0.5)+($T1753-($S1753+($U1753-$S1753)*0.5))</f>
        <v/>
      </c>
      <c r="AT1753" s="82">
        <f>($J1753-$C1753)*100</f>
        <v/>
      </c>
      <c r="AU1753" s="82">
        <f>($H1753-$F1753)*100</f>
        <v/>
      </c>
      <c r="AV1753" s="82">
        <f>($J1753-$F1753)*100</f>
        <v/>
      </c>
      <c r="AW1753" s="82">
        <f>($L1753-$F1753)*100</f>
        <v/>
      </c>
      <c r="AX1753" s="82">
        <f>($J1753-$H1753)*100</f>
        <v/>
      </c>
      <c r="AY1753" s="82">
        <f>($L1753-$H1753)*100</f>
        <v/>
      </c>
      <c r="AZ1753" s="82">
        <f>($L1753-$J1753)*100</f>
        <v/>
      </c>
      <c r="BA1753" s="82">
        <f>(2*$H1753-$F1753-$J1753)*100</f>
        <v/>
      </c>
      <c r="BB1753" s="82">
        <f>(2*$J1753-$H1753-$L1753)*100</f>
        <v/>
      </c>
      <c r="BC1753" s="82">
        <f>($N1753-$F1753)*100</f>
        <v/>
      </c>
      <c r="BD1753" s="82">
        <f>($Q1753-$H1753)*100</f>
        <v/>
      </c>
      <c r="BE1753" s="82">
        <f>($S1753-$J1753)*100</f>
        <v/>
      </c>
      <c r="BF1753" s="82">
        <f>($V1753-$L1753)*100</f>
        <v/>
      </c>
      <c r="BG1753" s="82">
        <f>$AG1753-$AF1753</f>
        <v/>
      </c>
      <c r="BH1753" s="81">
        <f>IFERROR($AG1753/$AF1753,"")</f>
        <v/>
      </c>
      <c r="BI1753" s="82">
        <f>$AJ1753-$AF1753</f>
        <v/>
      </c>
      <c r="BJ1753" s="81">
        <f>IFERROR($AJ1753/$AG1753,"")</f>
        <v/>
      </c>
      <c r="BK1753" s="81">
        <f>$X1753</f>
        <v/>
      </c>
      <c r="BL1753" s="82">
        <f>($J1753-$J1754)*100</f>
        <v/>
      </c>
      <c r="BM1753" s="82">
        <f>($F1753-$F1754)*100</f>
        <v/>
      </c>
      <c r="BN1753" s="82">
        <f>$AF1753-$AF1754</f>
        <v/>
      </c>
      <c r="BO1753" s="82">
        <f>$AG1753-$AG1754</f>
        <v/>
      </c>
      <c r="BP1753" s="82">
        <f>$AJ1753-$AJ1754</f>
        <v/>
      </c>
    </row>
    <row r="1754">
      <c r="AR1754" s="81">
        <f>($G1754+($H1754-$G1754)*0.5)+($P1754-($O1754+($Q1754-$O1754)*0.5))</f>
        <v/>
      </c>
      <c r="AS1754" s="81">
        <f>($J1754+($K1754-$J1754)*0.5)+($T1754-($S1754+($U1754-$S1754)*0.5))</f>
        <v/>
      </c>
      <c r="AT1754" s="82">
        <f>($J1754-$C1754)*100</f>
        <v/>
      </c>
      <c r="AU1754" s="82">
        <f>($H1754-$F1754)*100</f>
        <v/>
      </c>
      <c r="AV1754" s="82">
        <f>($J1754-$F1754)*100</f>
        <v/>
      </c>
      <c r="AW1754" s="82">
        <f>($L1754-$F1754)*100</f>
        <v/>
      </c>
      <c r="AX1754" s="82">
        <f>($J1754-$H1754)*100</f>
        <v/>
      </c>
      <c r="AY1754" s="82">
        <f>($L1754-$H1754)*100</f>
        <v/>
      </c>
      <c r="AZ1754" s="82">
        <f>($L1754-$J1754)*100</f>
        <v/>
      </c>
      <c r="BA1754" s="82">
        <f>(2*$H1754-$F1754-$J1754)*100</f>
        <v/>
      </c>
      <c r="BB1754" s="82">
        <f>(2*$J1754-$H1754-$L1754)*100</f>
        <v/>
      </c>
      <c r="BC1754" s="82">
        <f>($N1754-$F1754)*100</f>
        <v/>
      </c>
      <c r="BD1754" s="82">
        <f>($Q1754-$H1754)*100</f>
        <v/>
      </c>
      <c r="BE1754" s="82">
        <f>($S1754-$J1754)*100</f>
        <v/>
      </c>
      <c r="BF1754" s="82">
        <f>($V1754-$L1754)*100</f>
        <v/>
      </c>
      <c r="BG1754" s="82">
        <f>$AG1754-$AF1754</f>
        <v/>
      </c>
      <c r="BH1754" s="81">
        <f>IFERROR($AG1754/$AF1754,"")</f>
        <v/>
      </c>
      <c r="BI1754" s="82">
        <f>$AJ1754-$AF1754</f>
        <v/>
      </c>
      <c r="BJ1754" s="81">
        <f>IFERROR($AJ1754/$AG1754,"")</f>
        <v/>
      </c>
      <c r="BK1754" s="81">
        <f>$X1754</f>
        <v/>
      </c>
      <c r="BL1754" s="82">
        <f>($J1754-$J1755)*100</f>
        <v/>
      </c>
      <c r="BM1754" s="82">
        <f>($F1754-$F1755)*100</f>
        <v/>
      </c>
      <c r="BN1754" s="82">
        <f>$AF1754-$AF1755</f>
        <v/>
      </c>
      <c r="BO1754" s="82">
        <f>$AG1754-$AG1755</f>
        <v/>
      </c>
      <c r="BP1754" s="82">
        <f>$AJ1754-$AJ1755</f>
        <v/>
      </c>
    </row>
    <row r="1755">
      <c r="AR1755" s="81">
        <f>($G1755+($H1755-$G1755)*0.5)+($P1755-($O1755+($Q1755-$O1755)*0.5))</f>
        <v/>
      </c>
      <c r="AS1755" s="81">
        <f>($J1755+($K1755-$J1755)*0.5)+($T1755-($S1755+($U1755-$S1755)*0.5))</f>
        <v/>
      </c>
      <c r="AT1755" s="82">
        <f>($J1755-$C1755)*100</f>
        <v/>
      </c>
      <c r="AU1755" s="82">
        <f>($H1755-$F1755)*100</f>
        <v/>
      </c>
      <c r="AV1755" s="82">
        <f>($J1755-$F1755)*100</f>
        <v/>
      </c>
      <c r="AW1755" s="82">
        <f>($L1755-$F1755)*100</f>
        <v/>
      </c>
      <c r="AX1755" s="82">
        <f>($J1755-$H1755)*100</f>
        <v/>
      </c>
      <c r="AY1755" s="82">
        <f>($L1755-$H1755)*100</f>
        <v/>
      </c>
      <c r="AZ1755" s="82">
        <f>($L1755-$J1755)*100</f>
        <v/>
      </c>
      <c r="BA1755" s="82">
        <f>(2*$H1755-$F1755-$J1755)*100</f>
        <v/>
      </c>
      <c r="BB1755" s="82">
        <f>(2*$J1755-$H1755-$L1755)*100</f>
        <v/>
      </c>
      <c r="BC1755" s="82">
        <f>($N1755-$F1755)*100</f>
        <v/>
      </c>
      <c r="BD1755" s="82">
        <f>($Q1755-$H1755)*100</f>
        <v/>
      </c>
      <c r="BE1755" s="82">
        <f>($S1755-$J1755)*100</f>
        <v/>
      </c>
      <c r="BF1755" s="82">
        <f>($V1755-$L1755)*100</f>
        <v/>
      </c>
      <c r="BG1755" s="82">
        <f>$AG1755-$AF1755</f>
        <v/>
      </c>
      <c r="BH1755" s="81">
        <f>IFERROR($AG1755/$AF1755,"")</f>
        <v/>
      </c>
      <c r="BI1755" s="82">
        <f>$AJ1755-$AF1755</f>
        <v/>
      </c>
      <c r="BJ1755" s="81">
        <f>IFERROR($AJ1755/$AG1755,"")</f>
        <v/>
      </c>
      <c r="BK1755" s="81">
        <f>$X1755</f>
        <v/>
      </c>
      <c r="BL1755" s="82">
        <f>($J1755-$J1756)*100</f>
        <v/>
      </c>
      <c r="BM1755" s="82">
        <f>($F1755-$F1756)*100</f>
        <v/>
      </c>
      <c r="BN1755" s="82">
        <f>$AF1755-$AF1756</f>
        <v/>
      </c>
      <c r="BO1755" s="82">
        <f>$AG1755-$AG1756</f>
        <v/>
      </c>
      <c r="BP1755" s="82">
        <f>$AJ1755-$AJ1756</f>
        <v/>
      </c>
    </row>
    <row r="1756">
      <c r="AR1756" s="81">
        <f>($G1756+($H1756-$G1756)*0.5)+($P1756-($O1756+($Q1756-$O1756)*0.5))</f>
        <v/>
      </c>
      <c r="AS1756" s="81">
        <f>($J1756+($K1756-$J1756)*0.5)+($T1756-($S1756+($U1756-$S1756)*0.5))</f>
        <v/>
      </c>
      <c r="AT1756" s="82">
        <f>($J1756-$C1756)*100</f>
        <v/>
      </c>
      <c r="AU1756" s="82">
        <f>($H1756-$F1756)*100</f>
        <v/>
      </c>
      <c r="AV1756" s="82">
        <f>($J1756-$F1756)*100</f>
        <v/>
      </c>
      <c r="AW1756" s="82">
        <f>($L1756-$F1756)*100</f>
        <v/>
      </c>
      <c r="AX1756" s="82">
        <f>($J1756-$H1756)*100</f>
        <v/>
      </c>
      <c r="AY1756" s="82">
        <f>($L1756-$H1756)*100</f>
        <v/>
      </c>
      <c r="AZ1756" s="82">
        <f>($L1756-$J1756)*100</f>
        <v/>
      </c>
      <c r="BA1756" s="82">
        <f>(2*$H1756-$F1756-$J1756)*100</f>
        <v/>
      </c>
      <c r="BB1756" s="82">
        <f>(2*$J1756-$H1756-$L1756)*100</f>
        <v/>
      </c>
      <c r="BC1756" s="82">
        <f>($N1756-$F1756)*100</f>
        <v/>
      </c>
      <c r="BD1756" s="82">
        <f>($Q1756-$H1756)*100</f>
        <v/>
      </c>
      <c r="BE1756" s="82">
        <f>($S1756-$J1756)*100</f>
        <v/>
      </c>
      <c r="BF1756" s="82">
        <f>($V1756-$L1756)*100</f>
        <v/>
      </c>
      <c r="BG1756" s="82">
        <f>$AG1756-$AF1756</f>
        <v/>
      </c>
      <c r="BH1756" s="81">
        <f>IFERROR($AG1756/$AF1756,"")</f>
        <v/>
      </c>
      <c r="BI1756" s="82">
        <f>$AJ1756-$AF1756</f>
        <v/>
      </c>
      <c r="BJ1756" s="81">
        <f>IFERROR($AJ1756/$AG1756,"")</f>
        <v/>
      </c>
      <c r="BK1756" s="81">
        <f>$X1756</f>
        <v/>
      </c>
      <c r="BL1756" s="82">
        <f>($J1756-$J1757)*100</f>
        <v/>
      </c>
      <c r="BM1756" s="82">
        <f>($F1756-$F1757)*100</f>
        <v/>
      </c>
      <c r="BN1756" s="82">
        <f>$AF1756-$AF1757</f>
        <v/>
      </c>
      <c r="BO1756" s="82">
        <f>$AG1756-$AG1757</f>
        <v/>
      </c>
      <c r="BP1756" s="82">
        <f>$AJ1756-$AJ1757</f>
        <v/>
      </c>
    </row>
    <row r="1757">
      <c r="AR1757" s="81">
        <f>($G1757+($H1757-$G1757)*0.5)+($P1757-($O1757+($Q1757-$O1757)*0.5))</f>
        <v/>
      </c>
      <c r="AS1757" s="81">
        <f>($J1757+($K1757-$J1757)*0.5)+($T1757-($S1757+($U1757-$S1757)*0.5))</f>
        <v/>
      </c>
      <c r="AT1757" s="82">
        <f>($J1757-$C1757)*100</f>
        <v/>
      </c>
      <c r="AU1757" s="82">
        <f>($H1757-$F1757)*100</f>
        <v/>
      </c>
      <c r="AV1757" s="82">
        <f>($J1757-$F1757)*100</f>
        <v/>
      </c>
      <c r="AW1757" s="82">
        <f>($L1757-$F1757)*100</f>
        <v/>
      </c>
      <c r="AX1757" s="82">
        <f>($J1757-$H1757)*100</f>
        <v/>
      </c>
      <c r="AY1757" s="82">
        <f>($L1757-$H1757)*100</f>
        <v/>
      </c>
      <c r="AZ1757" s="82">
        <f>($L1757-$J1757)*100</f>
        <v/>
      </c>
      <c r="BA1757" s="82">
        <f>(2*$H1757-$F1757-$J1757)*100</f>
        <v/>
      </c>
      <c r="BB1757" s="82">
        <f>(2*$J1757-$H1757-$L1757)*100</f>
        <v/>
      </c>
      <c r="BC1757" s="82">
        <f>($N1757-$F1757)*100</f>
        <v/>
      </c>
      <c r="BD1757" s="82">
        <f>($Q1757-$H1757)*100</f>
        <v/>
      </c>
      <c r="BE1757" s="82">
        <f>($S1757-$J1757)*100</f>
        <v/>
      </c>
      <c r="BF1757" s="82">
        <f>($V1757-$L1757)*100</f>
        <v/>
      </c>
      <c r="BG1757" s="82">
        <f>$AG1757-$AF1757</f>
        <v/>
      </c>
      <c r="BH1757" s="81">
        <f>IFERROR($AG1757/$AF1757,"")</f>
        <v/>
      </c>
      <c r="BI1757" s="82">
        <f>$AJ1757-$AF1757</f>
        <v/>
      </c>
      <c r="BJ1757" s="81">
        <f>IFERROR($AJ1757/$AG1757,"")</f>
        <v/>
      </c>
      <c r="BK1757" s="81">
        <f>$X1757</f>
        <v/>
      </c>
      <c r="BL1757" s="82">
        <f>($J1757-$J1758)*100</f>
        <v/>
      </c>
      <c r="BM1757" s="82">
        <f>($F1757-$F1758)*100</f>
        <v/>
      </c>
      <c r="BN1757" s="82">
        <f>$AF1757-$AF1758</f>
        <v/>
      </c>
      <c r="BO1757" s="82">
        <f>$AG1757-$AG1758</f>
        <v/>
      </c>
      <c r="BP1757" s="82">
        <f>$AJ1757-$AJ1758</f>
        <v/>
      </c>
    </row>
    <row r="1758">
      <c r="AR1758" s="81">
        <f>($G1758+($H1758-$G1758)*0.5)+($P1758-($O1758+($Q1758-$O1758)*0.5))</f>
        <v/>
      </c>
      <c r="AS1758" s="81">
        <f>($J1758+($K1758-$J1758)*0.5)+($T1758-($S1758+($U1758-$S1758)*0.5))</f>
        <v/>
      </c>
      <c r="AT1758" s="82">
        <f>($J1758-$C1758)*100</f>
        <v/>
      </c>
      <c r="AU1758" s="82">
        <f>($H1758-$F1758)*100</f>
        <v/>
      </c>
      <c r="AV1758" s="82">
        <f>($J1758-$F1758)*100</f>
        <v/>
      </c>
      <c r="AW1758" s="82">
        <f>($L1758-$F1758)*100</f>
        <v/>
      </c>
      <c r="AX1758" s="82">
        <f>($J1758-$H1758)*100</f>
        <v/>
      </c>
      <c r="AY1758" s="82">
        <f>($L1758-$H1758)*100</f>
        <v/>
      </c>
      <c r="AZ1758" s="82">
        <f>($L1758-$J1758)*100</f>
        <v/>
      </c>
      <c r="BA1758" s="82">
        <f>(2*$H1758-$F1758-$J1758)*100</f>
        <v/>
      </c>
      <c r="BB1758" s="82">
        <f>(2*$J1758-$H1758-$L1758)*100</f>
        <v/>
      </c>
      <c r="BC1758" s="82">
        <f>($N1758-$F1758)*100</f>
        <v/>
      </c>
      <c r="BD1758" s="82">
        <f>($Q1758-$H1758)*100</f>
        <v/>
      </c>
      <c r="BE1758" s="82">
        <f>($S1758-$J1758)*100</f>
        <v/>
      </c>
      <c r="BF1758" s="82">
        <f>($V1758-$L1758)*100</f>
        <v/>
      </c>
      <c r="BG1758" s="82">
        <f>$AG1758-$AF1758</f>
        <v/>
      </c>
      <c r="BH1758" s="81">
        <f>IFERROR($AG1758/$AF1758,"")</f>
        <v/>
      </c>
      <c r="BI1758" s="82">
        <f>$AJ1758-$AF1758</f>
        <v/>
      </c>
      <c r="BJ1758" s="81">
        <f>IFERROR($AJ1758/$AG1758,"")</f>
        <v/>
      </c>
      <c r="BK1758" s="81">
        <f>$X1758</f>
        <v/>
      </c>
      <c r="BL1758" s="82">
        <f>($J1758-$J1759)*100</f>
        <v/>
      </c>
      <c r="BM1758" s="82">
        <f>($F1758-$F1759)*100</f>
        <v/>
      </c>
      <c r="BN1758" s="82">
        <f>$AF1758-$AF1759</f>
        <v/>
      </c>
      <c r="BO1758" s="82">
        <f>$AG1758-$AG1759</f>
        <v/>
      </c>
      <c r="BP1758" s="82">
        <f>$AJ1758-$AJ1759</f>
        <v/>
      </c>
    </row>
    <row r="1759">
      <c r="AR1759" s="81">
        <f>($G1759+($H1759-$G1759)*0.5)+($P1759-($O1759+($Q1759-$O1759)*0.5))</f>
        <v/>
      </c>
      <c r="AS1759" s="81">
        <f>($J1759+($K1759-$J1759)*0.5)+($T1759-($S1759+($U1759-$S1759)*0.5))</f>
        <v/>
      </c>
      <c r="AT1759" s="82">
        <f>($J1759-$C1759)*100</f>
        <v/>
      </c>
      <c r="AU1759" s="82">
        <f>($H1759-$F1759)*100</f>
        <v/>
      </c>
      <c r="AV1759" s="82">
        <f>($J1759-$F1759)*100</f>
        <v/>
      </c>
      <c r="AW1759" s="82">
        <f>($L1759-$F1759)*100</f>
        <v/>
      </c>
      <c r="AX1759" s="82">
        <f>($J1759-$H1759)*100</f>
        <v/>
      </c>
      <c r="AY1759" s="82">
        <f>($L1759-$H1759)*100</f>
        <v/>
      </c>
      <c r="AZ1759" s="82">
        <f>($L1759-$J1759)*100</f>
        <v/>
      </c>
      <c r="BA1759" s="82">
        <f>(2*$H1759-$F1759-$J1759)*100</f>
        <v/>
      </c>
      <c r="BB1759" s="82">
        <f>(2*$J1759-$H1759-$L1759)*100</f>
        <v/>
      </c>
      <c r="BC1759" s="82">
        <f>($N1759-$F1759)*100</f>
        <v/>
      </c>
      <c r="BD1759" s="82">
        <f>($Q1759-$H1759)*100</f>
        <v/>
      </c>
      <c r="BE1759" s="82">
        <f>($S1759-$J1759)*100</f>
        <v/>
      </c>
      <c r="BF1759" s="82">
        <f>($V1759-$L1759)*100</f>
        <v/>
      </c>
      <c r="BG1759" s="82">
        <f>$AG1759-$AF1759</f>
        <v/>
      </c>
      <c r="BH1759" s="81">
        <f>IFERROR($AG1759/$AF1759,"")</f>
        <v/>
      </c>
      <c r="BI1759" s="82">
        <f>$AJ1759-$AF1759</f>
        <v/>
      </c>
      <c r="BJ1759" s="81">
        <f>IFERROR($AJ1759/$AG1759,"")</f>
        <v/>
      </c>
      <c r="BK1759" s="81">
        <f>$X1759</f>
        <v/>
      </c>
      <c r="BL1759" s="82">
        <f>($J1759-$J1760)*100</f>
        <v/>
      </c>
      <c r="BM1759" s="82">
        <f>($F1759-$F1760)*100</f>
        <v/>
      </c>
      <c r="BN1759" s="82">
        <f>$AF1759-$AF1760</f>
        <v/>
      </c>
      <c r="BO1759" s="82">
        <f>$AG1759-$AG1760</f>
        <v/>
      </c>
      <c r="BP1759" s="82">
        <f>$AJ1759-$AJ1760</f>
        <v/>
      </c>
    </row>
    <row r="1760">
      <c r="AR1760" s="81">
        <f>($G1760+($H1760-$G1760)*0.5)+($P1760-($O1760+($Q1760-$O1760)*0.5))</f>
        <v/>
      </c>
      <c r="AS1760" s="81">
        <f>($J1760+($K1760-$J1760)*0.5)+($T1760-($S1760+($U1760-$S1760)*0.5))</f>
        <v/>
      </c>
      <c r="AT1760" s="82">
        <f>($J1760-$C1760)*100</f>
        <v/>
      </c>
      <c r="AU1760" s="82">
        <f>($H1760-$F1760)*100</f>
        <v/>
      </c>
      <c r="AV1760" s="82">
        <f>($J1760-$F1760)*100</f>
        <v/>
      </c>
      <c r="AW1760" s="82">
        <f>($L1760-$F1760)*100</f>
        <v/>
      </c>
      <c r="AX1760" s="82">
        <f>($J1760-$H1760)*100</f>
        <v/>
      </c>
      <c r="AY1760" s="82">
        <f>($L1760-$H1760)*100</f>
        <v/>
      </c>
      <c r="AZ1760" s="82">
        <f>($L1760-$J1760)*100</f>
        <v/>
      </c>
      <c r="BA1760" s="82">
        <f>(2*$H1760-$F1760-$J1760)*100</f>
        <v/>
      </c>
      <c r="BB1760" s="82">
        <f>(2*$J1760-$H1760-$L1760)*100</f>
        <v/>
      </c>
      <c r="BC1760" s="82">
        <f>($N1760-$F1760)*100</f>
        <v/>
      </c>
      <c r="BD1760" s="82">
        <f>($Q1760-$H1760)*100</f>
        <v/>
      </c>
      <c r="BE1760" s="82">
        <f>($S1760-$J1760)*100</f>
        <v/>
      </c>
      <c r="BF1760" s="82">
        <f>($V1760-$L1760)*100</f>
        <v/>
      </c>
      <c r="BG1760" s="82">
        <f>$AG1760-$AF1760</f>
        <v/>
      </c>
      <c r="BH1760" s="81">
        <f>IFERROR($AG1760/$AF1760,"")</f>
        <v/>
      </c>
      <c r="BI1760" s="82">
        <f>$AJ1760-$AF1760</f>
        <v/>
      </c>
      <c r="BJ1760" s="81">
        <f>IFERROR($AJ1760/$AG1760,"")</f>
        <v/>
      </c>
      <c r="BK1760" s="81">
        <f>$X1760</f>
        <v/>
      </c>
      <c r="BL1760" s="82">
        <f>($J1760-$J1761)*100</f>
        <v/>
      </c>
      <c r="BM1760" s="82">
        <f>($F1760-$F1761)*100</f>
        <v/>
      </c>
      <c r="BN1760" s="82">
        <f>$AF1760-$AF1761</f>
        <v/>
      </c>
      <c r="BO1760" s="82">
        <f>$AG1760-$AG1761</f>
        <v/>
      </c>
      <c r="BP1760" s="82">
        <f>$AJ1760-$AJ1761</f>
        <v/>
      </c>
    </row>
    <row r="1761">
      <c r="AR1761" s="81">
        <f>($G1761+($H1761-$G1761)*0.5)+($P1761-($O1761+($Q1761-$O1761)*0.5))</f>
        <v/>
      </c>
      <c r="AS1761" s="81">
        <f>($J1761+($K1761-$J1761)*0.5)+($T1761-($S1761+($U1761-$S1761)*0.5))</f>
        <v/>
      </c>
      <c r="AT1761" s="82">
        <f>($J1761-$C1761)*100</f>
        <v/>
      </c>
      <c r="AU1761" s="82">
        <f>($H1761-$F1761)*100</f>
        <v/>
      </c>
      <c r="AV1761" s="82">
        <f>($J1761-$F1761)*100</f>
        <v/>
      </c>
      <c r="AW1761" s="82">
        <f>($L1761-$F1761)*100</f>
        <v/>
      </c>
      <c r="AX1761" s="82">
        <f>($J1761-$H1761)*100</f>
        <v/>
      </c>
      <c r="AY1761" s="82">
        <f>($L1761-$H1761)*100</f>
        <v/>
      </c>
      <c r="AZ1761" s="82">
        <f>($L1761-$J1761)*100</f>
        <v/>
      </c>
      <c r="BA1761" s="82">
        <f>(2*$H1761-$F1761-$J1761)*100</f>
        <v/>
      </c>
      <c r="BB1761" s="82">
        <f>(2*$J1761-$H1761-$L1761)*100</f>
        <v/>
      </c>
      <c r="BC1761" s="82">
        <f>($N1761-$F1761)*100</f>
        <v/>
      </c>
      <c r="BD1761" s="82">
        <f>($Q1761-$H1761)*100</f>
        <v/>
      </c>
      <c r="BE1761" s="82">
        <f>($S1761-$J1761)*100</f>
        <v/>
      </c>
      <c r="BF1761" s="82">
        <f>($V1761-$L1761)*100</f>
        <v/>
      </c>
      <c r="BG1761" s="82">
        <f>$AG1761-$AF1761</f>
        <v/>
      </c>
      <c r="BH1761" s="81">
        <f>IFERROR($AG1761/$AF1761,"")</f>
        <v/>
      </c>
      <c r="BI1761" s="82">
        <f>$AJ1761-$AF1761</f>
        <v/>
      </c>
      <c r="BJ1761" s="81">
        <f>IFERROR($AJ1761/$AG1761,"")</f>
        <v/>
      </c>
      <c r="BK1761" s="81">
        <f>$X1761</f>
        <v/>
      </c>
      <c r="BL1761" s="82">
        <f>($J1761-$J1762)*100</f>
        <v/>
      </c>
      <c r="BM1761" s="82">
        <f>($F1761-$F1762)*100</f>
        <v/>
      </c>
      <c r="BN1761" s="82">
        <f>$AF1761-$AF1762</f>
        <v/>
      </c>
      <c r="BO1761" s="82">
        <f>$AG1761-$AG1762</f>
        <v/>
      </c>
      <c r="BP1761" s="82">
        <f>$AJ1761-$AJ1762</f>
        <v/>
      </c>
    </row>
    <row r="1762">
      <c r="AR1762" s="81">
        <f>($G1762+($H1762-$G1762)*0.5)+($P1762-($O1762+($Q1762-$O1762)*0.5))</f>
        <v/>
      </c>
      <c r="AS1762" s="81">
        <f>($J1762+($K1762-$J1762)*0.5)+($T1762-($S1762+($U1762-$S1762)*0.5))</f>
        <v/>
      </c>
      <c r="AT1762" s="82">
        <f>($J1762-$C1762)*100</f>
        <v/>
      </c>
      <c r="AU1762" s="82">
        <f>($H1762-$F1762)*100</f>
        <v/>
      </c>
      <c r="AV1762" s="82">
        <f>($J1762-$F1762)*100</f>
        <v/>
      </c>
      <c r="AW1762" s="82">
        <f>($L1762-$F1762)*100</f>
        <v/>
      </c>
      <c r="AX1762" s="82">
        <f>($J1762-$H1762)*100</f>
        <v/>
      </c>
      <c r="AY1762" s="82">
        <f>($L1762-$H1762)*100</f>
        <v/>
      </c>
      <c r="AZ1762" s="82">
        <f>($L1762-$J1762)*100</f>
        <v/>
      </c>
      <c r="BA1762" s="82">
        <f>(2*$H1762-$F1762-$J1762)*100</f>
        <v/>
      </c>
      <c r="BB1762" s="82">
        <f>(2*$J1762-$H1762-$L1762)*100</f>
        <v/>
      </c>
      <c r="BC1762" s="82">
        <f>($N1762-$F1762)*100</f>
        <v/>
      </c>
      <c r="BD1762" s="82">
        <f>($Q1762-$H1762)*100</f>
        <v/>
      </c>
      <c r="BE1762" s="82">
        <f>($S1762-$J1762)*100</f>
        <v/>
      </c>
      <c r="BF1762" s="82">
        <f>($V1762-$L1762)*100</f>
        <v/>
      </c>
      <c r="BG1762" s="82">
        <f>$AG1762-$AF1762</f>
        <v/>
      </c>
      <c r="BH1762" s="81">
        <f>IFERROR($AG1762/$AF1762,"")</f>
        <v/>
      </c>
      <c r="BI1762" s="82">
        <f>$AJ1762-$AF1762</f>
        <v/>
      </c>
      <c r="BJ1762" s="81">
        <f>IFERROR($AJ1762/$AG1762,"")</f>
        <v/>
      </c>
      <c r="BK1762" s="81">
        <f>$X1762</f>
        <v/>
      </c>
      <c r="BL1762" s="82">
        <f>($J1762-$J1763)*100</f>
        <v/>
      </c>
      <c r="BM1762" s="82">
        <f>($F1762-$F1763)*100</f>
        <v/>
      </c>
      <c r="BN1762" s="82">
        <f>$AF1762-$AF1763</f>
        <v/>
      </c>
      <c r="BO1762" s="82">
        <f>$AG1762-$AG1763</f>
        <v/>
      </c>
      <c r="BP1762" s="82">
        <f>$AJ1762-$AJ1763</f>
        <v/>
      </c>
    </row>
    <row r="1763">
      <c r="AR1763" s="81">
        <f>($G1763+($H1763-$G1763)*0.5)+($P1763-($O1763+($Q1763-$O1763)*0.5))</f>
        <v/>
      </c>
      <c r="AS1763" s="81">
        <f>($J1763+($K1763-$J1763)*0.5)+($T1763-($S1763+($U1763-$S1763)*0.5))</f>
        <v/>
      </c>
      <c r="AT1763" s="82">
        <f>($J1763-$C1763)*100</f>
        <v/>
      </c>
      <c r="AU1763" s="82">
        <f>($H1763-$F1763)*100</f>
        <v/>
      </c>
      <c r="AV1763" s="82">
        <f>($J1763-$F1763)*100</f>
        <v/>
      </c>
      <c r="AW1763" s="82">
        <f>($L1763-$F1763)*100</f>
        <v/>
      </c>
      <c r="AX1763" s="82">
        <f>($J1763-$H1763)*100</f>
        <v/>
      </c>
      <c r="AY1763" s="82">
        <f>($L1763-$H1763)*100</f>
        <v/>
      </c>
      <c r="AZ1763" s="82">
        <f>($L1763-$J1763)*100</f>
        <v/>
      </c>
      <c r="BA1763" s="82">
        <f>(2*$H1763-$F1763-$J1763)*100</f>
        <v/>
      </c>
      <c r="BB1763" s="82">
        <f>(2*$J1763-$H1763-$L1763)*100</f>
        <v/>
      </c>
      <c r="BC1763" s="82">
        <f>($N1763-$F1763)*100</f>
        <v/>
      </c>
      <c r="BD1763" s="82">
        <f>($Q1763-$H1763)*100</f>
        <v/>
      </c>
      <c r="BE1763" s="82">
        <f>($S1763-$J1763)*100</f>
        <v/>
      </c>
      <c r="BF1763" s="82">
        <f>($V1763-$L1763)*100</f>
        <v/>
      </c>
      <c r="BG1763" s="82">
        <f>$AG1763-$AF1763</f>
        <v/>
      </c>
      <c r="BH1763" s="81">
        <f>IFERROR($AG1763/$AF1763,"")</f>
        <v/>
      </c>
      <c r="BI1763" s="82">
        <f>$AJ1763-$AF1763</f>
        <v/>
      </c>
      <c r="BJ1763" s="81">
        <f>IFERROR($AJ1763/$AG1763,"")</f>
        <v/>
      </c>
      <c r="BK1763" s="81">
        <f>$X1763</f>
        <v/>
      </c>
      <c r="BL1763" s="82">
        <f>($J1763-$J1764)*100</f>
        <v/>
      </c>
      <c r="BM1763" s="82">
        <f>($F1763-$F1764)*100</f>
        <v/>
      </c>
      <c r="BN1763" s="82">
        <f>$AF1763-$AF1764</f>
        <v/>
      </c>
      <c r="BO1763" s="82">
        <f>$AG1763-$AG1764</f>
        <v/>
      </c>
      <c r="BP1763" s="82">
        <f>$AJ1763-$AJ1764</f>
        <v/>
      </c>
    </row>
    <row r="1764">
      <c r="AR1764" s="81">
        <f>($G1764+($H1764-$G1764)*0.5)+($P1764-($O1764+($Q1764-$O1764)*0.5))</f>
        <v/>
      </c>
      <c r="AS1764" s="81">
        <f>($J1764+($K1764-$J1764)*0.5)+($T1764-($S1764+($U1764-$S1764)*0.5))</f>
        <v/>
      </c>
      <c r="AT1764" s="82">
        <f>($J1764-$C1764)*100</f>
        <v/>
      </c>
      <c r="AU1764" s="82">
        <f>($H1764-$F1764)*100</f>
        <v/>
      </c>
      <c r="AV1764" s="82">
        <f>($J1764-$F1764)*100</f>
        <v/>
      </c>
      <c r="AW1764" s="82">
        <f>($L1764-$F1764)*100</f>
        <v/>
      </c>
      <c r="AX1764" s="82">
        <f>($J1764-$H1764)*100</f>
        <v/>
      </c>
      <c r="AY1764" s="82">
        <f>($L1764-$H1764)*100</f>
        <v/>
      </c>
      <c r="AZ1764" s="82">
        <f>($L1764-$J1764)*100</f>
        <v/>
      </c>
      <c r="BA1764" s="82">
        <f>(2*$H1764-$F1764-$J1764)*100</f>
        <v/>
      </c>
      <c r="BB1764" s="82">
        <f>(2*$J1764-$H1764-$L1764)*100</f>
        <v/>
      </c>
      <c r="BC1764" s="82">
        <f>($N1764-$F1764)*100</f>
        <v/>
      </c>
      <c r="BD1764" s="82">
        <f>($Q1764-$H1764)*100</f>
        <v/>
      </c>
      <c r="BE1764" s="82">
        <f>($S1764-$J1764)*100</f>
        <v/>
      </c>
      <c r="BF1764" s="82">
        <f>($V1764-$L1764)*100</f>
        <v/>
      </c>
      <c r="BG1764" s="82">
        <f>$AG1764-$AF1764</f>
        <v/>
      </c>
      <c r="BH1764" s="81">
        <f>IFERROR($AG1764/$AF1764,"")</f>
        <v/>
      </c>
      <c r="BI1764" s="82">
        <f>$AJ1764-$AF1764</f>
        <v/>
      </c>
      <c r="BJ1764" s="81">
        <f>IFERROR($AJ1764/$AG1764,"")</f>
        <v/>
      </c>
      <c r="BK1764" s="81">
        <f>$X1764</f>
        <v/>
      </c>
      <c r="BL1764" s="82">
        <f>($J1764-$J1765)*100</f>
        <v/>
      </c>
      <c r="BM1764" s="82">
        <f>($F1764-$F1765)*100</f>
        <v/>
      </c>
      <c r="BN1764" s="82">
        <f>$AF1764-$AF1765</f>
        <v/>
      </c>
      <c r="BO1764" s="82">
        <f>$AG1764-$AG1765</f>
        <v/>
      </c>
      <c r="BP1764" s="82">
        <f>$AJ1764-$AJ1765</f>
        <v/>
      </c>
    </row>
    <row r="1765">
      <c r="AR1765" s="81">
        <f>($G1765+($H1765-$G1765)*0.5)+($P1765-($O1765+($Q1765-$O1765)*0.5))</f>
        <v/>
      </c>
      <c r="AS1765" s="81">
        <f>($J1765+($K1765-$J1765)*0.5)+($T1765-($S1765+($U1765-$S1765)*0.5))</f>
        <v/>
      </c>
      <c r="AT1765" s="82">
        <f>($J1765-$C1765)*100</f>
        <v/>
      </c>
      <c r="AU1765" s="82">
        <f>($H1765-$F1765)*100</f>
        <v/>
      </c>
      <c r="AV1765" s="82">
        <f>($J1765-$F1765)*100</f>
        <v/>
      </c>
      <c r="AW1765" s="82">
        <f>($L1765-$F1765)*100</f>
        <v/>
      </c>
      <c r="AX1765" s="82">
        <f>($J1765-$H1765)*100</f>
        <v/>
      </c>
      <c r="AY1765" s="82">
        <f>($L1765-$H1765)*100</f>
        <v/>
      </c>
      <c r="AZ1765" s="82">
        <f>($L1765-$J1765)*100</f>
        <v/>
      </c>
      <c r="BA1765" s="82">
        <f>(2*$H1765-$F1765-$J1765)*100</f>
        <v/>
      </c>
      <c r="BB1765" s="82">
        <f>(2*$J1765-$H1765-$L1765)*100</f>
        <v/>
      </c>
      <c r="BC1765" s="82">
        <f>($N1765-$F1765)*100</f>
        <v/>
      </c>
      <c r="BD1765" s="82">
        <f>($Q1765-$H1765)*100</f>
        <v/>
      </c>
      <c r="BE1765" s="82">
        <f>($S1765-$J1765)*100</f>
        <v/>
      </c>
      <c r="BF1765" s="82">
        <f>($V1765-$L1765)*100</f>
        <v/>
      </c>
      <c r="BG1765" s="82">
        <f>$AG1765-$AF1765</f>
        <v/>
      </c>
      <c r="BH1765" s="81">
        <f>IFERROR($AG1765/$AF1765,"")</f>
        <v/>
      </c>
      <c r="BI1765" s="82">
        <f>$AJ1765-$AF1765</f>
        <v/>
      </c>
      <c r="BJ1765" s="81">
        <f>IFERROR($AJ1765/$AG1765,"")</f>
        <v/>
      </c>
      <c r="BK1765" s="81">
        <f>$X1765</f>
        <v/>
      </c>
      <c r="BL1765" s="82">
        <f>($J1765-$J1766)*100</f>
        <v/>
      </c>
      <c r="BM1765" s="82">
        <f>($F1765-$F1766)*100</f>
        <v/>
      </c>
      <c r="BN1765" s="82">
        <f>$AF1765-$AF1766</f>
        <v/>
      </c>
      <c r="BO1765" s="82">
        <f>$AG1765-$AG1766</f>
        <v/>
      </c>
      <c r="BP1765" s="82">
        <f>$AJ1765-$AJ1766</f>
        <v/>
      </c>
    </row>
    <row r="1766">
      <c r="AR1766" s="81">
        <f>($G1766+($H1766-$G1766)*0.5)+($P1766-($O1766+($Q1766-$O1766)*0.5))</f>
        <v/>
      </c>
      <c r="AS1766" s="81">
        <f>($J1766+($K1766-$J1766)*0.5)+($T1766-($S1766+($U1766-$S1766)*0.5))</f>
        <v/>
      </c>
      <c r="AT1766" s="82">
        <f>($J1766-$C1766)*100</f>
        <v/>
      </c>
      <c r="AU1766" s="82">
        <f>($H1766-$F1766)*100</f>
        <v/>
      </c>
      <c r="AV1766" s="82">
        <f>($J1766-$F1766)*100</f>
        <v/>
      </c>
      <c r="AW1766" s="82">
        <f>($L1766-$F1766)*100</f>
        <v/>
      </c>
      <c r="AX1766" s="82">
        <f>($J1766-$H1766)*100</f>
        <v/>
      </c>
      <c r="AY1766" s="82">
        <f>($L1766-$H1766)*100</f>
        <v/>
      </c>
      <c r="AZ1766" s="82">
        <f>($L1766-$J1766)*100</f>
        <v/>
      </c>
      <c r="BA1766" s="82">
        <f>(2*$H1766-$F1766-$J1766)*100</f>
        <v/>
      </c>
      <c r="BB1766" s="82">
        <f>(2*$J1766-$H1766-$L1766)*100</f>
        <v/>
      </c>
      <c r="BC1766" s="82">
        <f>($N1766-$F1766)*100</f>
        <v/>
      </c>
      <c r="BD1766" s="82">
        <f>($Q1766-$H1766)*100</f>
        <v/>
      </c>
      <c r="BE1766" s="82">
        <f>($S1766-$J1766)*100</f>
        <v/>
      </c>
      <c r="BF1766" s="82">
        <f>($V1766-$L1766)*100</f>
        <v/>
      </c>
      <c r="BG1766" s="82">
        <f>$AG1766-$AF1766</f>
        <v/>
      </c>
      <c r="BH1766" s="81">
        <f>IFERROR($AG1766/$AF1766,"")</f>
        <v/>
      </c>
      <c r="BI1766" s="82">
        <f>$AJ1766-$AF1766</f>
        <v/>
      </c>
      <c r="BJ1766" s="81">
        <f>IFERROR($AJ1766/$AG1766,"")</f>
        <v/>
      </c>
      <c r="BK1766" s="81">
        <f>$X1766</f>
        <v/>
      </c>
      <c r="BL1766" s="82">
        <f>($J1766-$J1767)*100</f>
        <v/>
      </c>
      <c r="BM1766" s="82">
        <f>($F1766-$F1767)*100</f>
        <v/>
      </c>
      <c r="BN1766" s="82">
        <f>$AF1766-$AF1767</f>
        <v/>
      </c>
      <c r="BO1766" s="82">
        <f>$AG1766-$AG1767</f>
        <v/>
      </c>
      <c r="BP1766" s="82">
        <f>$AJ1766-$AJ1767</f>
        <v/>
      </c>
    </row>
    <row r="1767">
      <c r="AR1767" s="81">
        <f>($G1767+($H1767-$G1767)*0.5)+($P1767-($O1767+($Q1767-$O1767)*0.5))</f>
        <v/>
      </c>
      <c r="AS1767" s="81">
        <f>($J1767+($K1767-$J1767)*0.5)+($T1767-($S1767+($U1767-$S1767)*0.5))</f>
        <v/>
      </c>
      <c r="AT1767" s="82">
        <f>($J1767-$C1767)*100</f>
        <v/>
      </c>
      <c r="AU1767" s="82">
        <f>($H1767-$F1767)*100</f>
        <v/>
      </c>
      <c r="AV1767" s="82">
        <f>($J1767-$F1767)*100</f>
        <v/>
      </c>
      <c r="AW1767" s="82">
        <f>($L1767-$F1767)*100</f>
        <v/>
      </c>
      <c r="AX1767" s="82">
        <f>($J1767-$H1767)*100</f>
        <v/>
      </c>
      <c r="AY1767" s="82">
        <f>($L1767-$H1767)*100</f>
        <v/>
      </c>
      <c r="AZ1767" s="82">
        <f>($L1767-$J1767)*100</f>
        <v/>
      </c>
      <c r="BA1767" s="82">
        <f>(2*$H1767-$F1767-$J1767)*100</f>
        <v/>
      </c>
      <c r="BB1767" s="82">
        <f>(2*$J1767-$H1767-$L1767)*100</f>
        <v/>
      </c>
      <c r="BC1767" s="82">
        <f>($N1767-$F1767)*100</f>
        <v/>
      </c>
      <c r="BD1767" s="82">
        <f>($Q1767-$H1767)*100</f>
        <v/>
      </c>
      <c r="BE1767" s="82">
        <f>($S1767-$J1767)*100</f>
        <v/>
      </c>
      <c r="BF1767" s="82">
        <f>($V1767-$L1767)*100</f>
        <v/>
      </c>
      <c r="BG1767" s="82">
        <f>$AG1767-$AF1767</f>
        <v/>
      </c>
      <c r="BH1767" s="81">
        <f>IFERROR($AG1767/$AF1767,"")</f>
        <v/>
      </c>
      <c r="BI1767" s="82">
        <f>$AJ1767-$AF1767</f>
        <v/>
      </c>
      <c r="BJ1767" s="81">
        <f>IFERROR($AJ1767/$AG1767,"")</f>
        <v/>
      </c>
      <c r="BK1767" s="81">
        <f>$X1767</f>
        <v/>
      </c>
      <c r="BL1767" s="82">
        <f>($J1767-$J1768)*100</f>
        <v/>
      </c>
      <c r="BM1767" s="82">
        <f>($F1767-$F1768)*100</f>
        <v/>
      </c>
      <c r="BN1767" s="82">
        <f>$AF1767-$AF1768</f>
        <v/>
      </c>
      <c r="BO1767" s="82">
        <f>$AG1767-$AG1768</f>
        <v/>
      </c>
      <c r="BP1767" s="82">
        <f>$AJ1767-$AJ1768</f>
        <v/>
      </c>
    </row>
    <row r="1768">
      <c r="AR1768" s="81">
        <f>($G1768+($H1768-$G1768)*0.5)+($P1768-($O1768+($Q1768-$O1768)*0.5))</f>
        <v/>
      </c>
      <c r="AS1768" s="81">
        <f>($J1768+($K1768-$J1768)*0.5)+($T1768-($S1768+($U1768-$S1768)*0.5))</f>
        <v/>
      </c>
      <c r="AT1768" s="82">
        <f>($J1768-$C1768)*100</f>
        <v/>
      </c>
      <c r="AU1768" s="82">
        <f>($H1768-$F1768)*100</f>
        <v/>
      </c>
      <c r="AV1768" s="82">
        <f>($J1768-$F1768)*100</f>
        <v/>
      </c>
      <c r="AW1768" s="82">
        <f>($L1768-$F1768)*100</f>
        <v/>
      </c>
      <c r="AX1768" s="82">
        <f>($J1768-$H1768)*100</f>
        <v/>
      </c>
      <c r="AY1768" s="82">
        <f>($L1768-$H1768)*100</f>
        <v/>
      </c>
      <c r="AZ1768" s="82">
        <f>($L1768-$J1768)*100</f>
        <v/>
      </c>
      <c r="BA1768" s="82">
        <f>(2*$H1768-$F1768-$J1768)*100</f>
        <v/>
      </c>
      <c r="BB1768" s="82">
        <f>(2*$J1768-$H1768-$L1768)*100</f>
        <v/>
      </c>
      <c r="BC1768" s="82">
        <f>($N1768-$F1768)*100</f>
        <v/>
      </c>
      <c r="BD1768" s="82">
        <f>($Q1768-$H1768)*100</f>
        <v/>
      </c>
      <c r="BE1768" s="82">
        <f>($S1768-$J1768)*100</f>
        <v/>
      </c>
      <c r="BF1768" s="82">
        <f>($V1768-$L1768)*100</f>
        <v/>
      </c>
      <c r="BG1768" s="82">
        <f>$AG1768-$AF1768</f>
        <v/>
      </c>
      <c r="BH1768" s="81">
        <f>IFERROR($AG1768/$AF1768,"")</f>
        <v/>
      </c>
      <c r="BI1768" s="82">
        <f>$AJ1768-$AF1768</f>
        <v/>
      </c>
      <c r="BJ1768" s="81">
        <f>IFERROR($AJ1768/$AG1768,"")</f>
        <v/>
      </c>
      <c r="BK1768" s="81">
        <f>$X1768</f>
        <v/>
      </c>
      <c r="BL1768" s="82">
        <f>($J1768-$J1769)*100</f>
        <v/>
      </c>
      <c r="BM1768" s="82">
        <f>($F1768-$F1769)*100</f>
        <v/>
      </c>
      <c r="BN1768" s="82">
        <f>$AF1768-$AF1769</f>
        <v/>
      </c>
      <c r="BO1768" s="82">
        <f>$AG1768-$AG1769</f>
        <v/>
      </c>
      <c r="BP1768" s="82">
        <f>$AJ1768-$AJ1769</f>
        <v/>
      </c>
    </row>
    <row r="1769">
      <c r="AR1769" s="81">
        <f>($G1769+($H1769-$G1769)*0.5)+($P1769-($O1769+($Q1769-$O1769)*0.5))</f>
        <v/>
      </c>
      <c r="AS1769" s="81">
        <f>($J1769+($K1769-$J1769)*0.5)+($T1769-($S1769+($U1769-$S1769)*0.5))</f>
        <v/>
      </c>
      <c r="AT1769" s="82">
        <f>($J1769-$C1769)*100</f>
        <v/>
      </c>
      <c r="AU1769" s="82">
        <f>($H1769-$F1769)*100</f>
        <v/>
      </c>
      <c r="AV1769" s="82">
        <f>($J1769-$F1769)*100</f>
        <v/>
      </c>
      <c r="AW1769" s="82">
        <f>($L1769-$F1769)*100</f>
        <v/>
      </c>
      <c r="AX1769" s="82">
        <f>($J1769-$H1769)*100</f>
        <v/>
      </c>
      <c r="AY1769" s="82">
        <f>($L1769-$H1769)*100</f>
        <v/>
      </c>
      <c r="AZ1769" s="82">
        <f>($L1769-$J1769)*100</f>
        <v/>
      </c>
      <c r="BA1769" s="82">
        <f>(2*$H1769-$F1769-$J1769)*100</f>
        <v/>
      </c>
      <c r="BB1769" s="82">
        <f>(2*$J1769-$H1769-$L1769)*100</f>
        <v/>
      </c>
      <c r="BC1769" s="82">
        <f>($N1769-$F1769)*100</f>
        <v/>
      </c>
      <c r="BD1769" s="82">
        <f>($Q1769-$H1769)*100</f>
        <v/>
      </c>
      <c r="BE1769" s="82">
        <f>($S1769-$J1769)*100</f>
        <v/>
      </c>
      <c r="BF1769" s="82">
        <f>($V1769-$L1769)*100</f>
        <v/>
      </c>
      <c r="BG1769" s="82">
        <f>$AG1769-$AF1769</f>
        <v/>
      </c>
      <c r="BH1769" s="81">
        <f>IFERROR($AG1769/$AF1769,"")</f>
        <v/>
      </c>
      <c r="BI1769" s="82">
        <f>$AJ1769-$AF1769</f>
        <v/>
      </c>
      <c r="BJ1769" s="81">
        <f>IFERROR($AJ1769/$AG1769,"")</f>
        <v/>
      </c>
      <c r="BK1769" s="81">
        <f>$X1769</f>
        <v/>
      </c>
      <c r="BL1769" s="82">
        <f>($J1769-$J1770)*100</f>
        <v/>
      </c>
      <c r="BM1769" s="82">
        <f>($F1769-$F1770)*100</f>
        <v/>
      </c>
      <c r="BN1769" s="82">
        <f>$AF1769-$AF1770</f>
        <v/>
      </c>
      <c r="BO1769" s="82">
        <f>$AG1769-$AG1770</f>
        <v/>
      </c>
      <c r="BP1769" s="82">
        <f>$AJ1769-$AJ1770</f>
        <v/>
      </c>
    </row>
    <row r="1770">
      <c r="AR1770" s="81">
        <f>($G1770+($H1770-$G1770)*0.5)+($P1770-($O1770+($Q1770-$O1770)*0.5))</f>
        <v/>
      </c>
      <c r="AS1770" s="81">
        <f>($J1770+($K1770-$J1770)*0.5)+($T1770-($S1770+($U1770-$S1770)*0.5))</f>
        <v/>
      </c>
      <c r="AT1770" s="82">
        <f>($J1770-$C1770)*100</f>
        <v/>
      </c>
      <c r="AU1770" s="82">
        <f>($H1770-$F1770)*100</f>
        <v/>
      </c>
      <c r="AV1770" s="82">
        <f>($J1770-$F1770)*100</f>
        <v/>
      </c>
      <c r="AW1770" s="82">
        <f>($L1770-$F1770)*100</f>
        <v/>
      </c>
      <c r="AX1770" s="82">
        <f>($J1770-$H1770)*100</f>
        <v/>
      </c>
      <c r="AY1770" s="82">
        <f>($L1770-$H1770)*100</f>
        <v/>
      </c>
      <c r="AZ1770" s="82">
        <f>($L1770-$J1770)*100</f>
        <v/>
      </c>
      <c r="BA1770" s="82">
        <f>(2*$H1770-$F1770-$J1770)*100</f>
        <v/>
      </c>
      <c r="BB1770" s="82">
        <f>(2*$J1770-$H1770-$L1770)*100</f>
        <v/>
      </c>
      <c r="BC1770" s="82">
        <f>($N1770-$F1770)*100</f>
        <v/>
      </c>
      <c r="BD1770" s="82">
        <f>($Q1770-$H1770)*100</f>
        <v/>
      </c>
      <c r="BE1770" s="82">
        <f>($S1770-$J1770)*100</f>
        <v/>
      </c>
      <c r="BF1770" s="82">
        <f>($V1770-$L1770)*100</f>
        <v/>
      </c>
      <c r="BG1770" s="82">
        <f>$AG1770-$AF1770</f>
        <v/>
      </c>
      <c r="BH1770" s="81">
        <f>IFERROR($AG1770/$AF1770,"")</f>
        <v/>
      </c>
      <c r="BI1770" s="82">
        <f>$AJ1770-$AF1770</f>
        <v/>
      </c>
      <c r="BJ1770" s="81">
        <f>IFERROR($AJ1770/$AG1770,"")</f>
        <v/>
      </c>
      <c r="BK1770" s="81">
        <f>$X1770</f>
        <v/>
      </c>
      <c r="BL1770" s="82">
        <f>($J1770-$J1771)*100</f>
        <v/>
      </c>
      <c r="BM1770" s="82">
        <f>($F1770-$F1771)*100</f>
        <v/>
      </c>
      <c r="BN1770" s="82">
        <f>$AF1770-$AF1771</f>
        <v/>
      </c>
      <c r="BO1770" s="82">
        <f>$AG1770-$AG1771</f>
        <v/>
      </c>
      <c r="BP1770" s="82">
        <f>$AJ1770-$AJ1771</f>
        <v/>
      </c>
    </row>
    <row r="1771">
      <c r="AR1771" s="81">
        <f>($G1771+($H1771-$G1771)*0.5)+($P1771-($O1771+($Q1771-$O1771)*0.5))</f>
        <v/>
      </c>
      <c r="AS1771" s="81">
        <f>($J1771+($K1771-$J1771)*0.5)+($T1771-($S1771+($U1771-$S1771)*0.5))</f>
        <v/>
      </c>
      <c r="AT1771" s="82">
        <f>($J1771-$C1771)*100</f>
        <v/>
      </c>
      <c r="AU1771" s="82">
        <f>($H1771-$F1771)*100</f>
        <v/>
      </c>
      <c r="AV1771" s="82">
        <f>($J1771-$F1771)*100</f>
        <v/>
      </c>
      <c r="AW1771" s="82">
        <f>($L1771-$F1771)*100</f>
        <v/>
      </c>
      <c r="AX1771" s="82">
        <f>($J1771-$H1771)*100</f>
        <v/>
      </c>
      <c r="AY1771" s="82">
        <f>($L1771-$H1771)*100</f>
        <v/>
      </c>
      <c r="AZ1771" s="82">
        <f>($L1771-$J1771)*100</f>
        <v/>
      </c>
      <c r="BA1771" s="82">
        <f>(2*$H1771-$F1771-$J1771)*100</f>
        <v/>
      </c>
      <c r="BB1771" s="82">
        <f>(2*$J1771-$H1771-$L1771)*100</f>
        <v/>
      </c>
      <c r="BC1771" s="82">
        <f>($N1771-$F1771)*100</f>
        <v/>
      </c>
      <c r="BD1771" s="82">
        <f>($Q1771-$H1771)*100</f>
        <v/>
      </c>
      <c r="BE1771" s="82">
        <f>($S1771-$J1771)*100</f>
        <v/>
      </c>
      <c r="BF1771" s="82">
        <f>($V1771-$L1771)*100</f>
        <v/>
      </c>
      <c r="BG1771" s="82">
        <f>$AG1771-$AF1771</f>
        <v/>
      </c>
      <c r="BH1771" s="81">
        <f>IFERROR($AG1771/$AF1771,"")</f>
        <v/>
      </c>
      <c r="BI1771" s="82">
        <f>$AJ1771-$AF1771</f>
        <v/>
      </c>
      <c r="BJ1771" s="81">
        <f>IFERROR($AJ1771/$AG1771,"")</f>
        <v/>
      </c>
      <c r="BK1771" s="81">
        <f>$X1771</f>
        <v/>
      </c>
      <c r="BL1771" s="82">
        <f>($J1771-$J1772)*100</f>
        <v/>
      </c>
      <c r="BM1771" s="82">
        <f>($F1771-$F1772)*100</f>
        <v/>
      </c>
      <c r="BN1771" s="82">
        <f>$AF1771-$AF1772</f>
        <v/>
      </c>
      <c r="BO1771" s="82">
        <f>$AG1771-$AG1772</f>
        <v/>
      </c>
      <c r="BP1771" s="82">
        <f>$AJ1771-$AJ1772</f>
        <v/>
      </c>
    </row>
    <row r="1772">
      <c r="AR1772" s="81">
        <f>($G1772+($H1772-$G1772)*0.5)+($P1772-($O1772+($Q1772-$O1772)*0.5))</f>
        <v/>
      </c>
      <c r="AS1772" s="81">
        <f>($J1772+($K1772-$J1772)*0.5)+($T1772-($S1772+($U1772-$S1772)*0.5))</f>
        <v/>
      </c>
      <c r="AT1772" s="82">
        <f>($J1772-$C1772)*100</f>
        <v/>
      </c>
      <c r="AU1772" s="82">
        <f>($H1772-$F1772)*100</f>
        <v/>
      </c>
      <c r="AV1772" s="82">
        <f>($J1772-$F1772)*100</f>
        <v/>
      </c>
      <c r="AW1772" s="82">
        <f>($L1772-$F1772)*100</f>
        <v/>
      </c>
      <c r="AX1772" s="82">
        <f>($J1772-$H1772)*100</f>
        <v/>
      </c>
      <c r="AY1772" s="82">
        <f>($L1772-$H1772)*100</f>
        <v/>
      </c>
      <c r="AZ1772" s="82">
        <f>($L1772-$J1772)*100</f>
        <v/>
      </c>
      <c r="BA1772" s="82">
        <f>(2*$H1772-$F1772-$J1772)*100</f>
        <v/>
      </c>
      <c r="BB1772" s="82">
        <f>(2*$J1772-$H1772-$L1772)*100</f>
        <v/>
      </c>
      <c r="BC1772" s="82">
        <f>($N1772-$F1772)*100</f>
        <v/>
      </c>
      <c r="BD1772" s="82">
        <f>($Q1772-$H1772)*100</f>
        <v/>
      </c>
      <c r="BE1772" s="82">
        <f>($S1772-$J1772)*100</f>
        <v/>
      </c>
      <c r="BF1772" s="82">
        <f>($V1772-$L1772)*100</f>
        <v/>
      </c>
      <c r="BG1772" s="82">
        <f>$AG1772-$AF1772</f>
        <v/>
      </c>
      <c r="BH1772" s="81">
        <f>IFERROR($AG1772/$AF1772,"")</f>
        <v/>
      </c>
      <c r="BI1772" s="82">
        <f>$AJ1772-$AF1772</f>
        <v/>
      </c>
      <c r="BJ1772" s="81">
        <f>IFERROR($AJ1772/$AG1772,"")</f>
        <v/>
      </c>
      <c r="BK1772" s="81">
        <f>$X1772</f>
        <v/>
      </c>
      <c r="BL1772" s="82">
        <f>($J1772-$J1773)*100</f>
        <v/>
      </c>
      <c r="BM1772" s="82">
        <f>($F1772-$F1773)*100</f>
        <v/>
      </c>
      <c r="BN1772" s="82">
        <f>$AF1772-$AF1773</f>
        <v/>
      </c>
      <c r="BO1772" s="82">
        <f>$AG1772-$AG1773</f>
        <v/>
      </c>
      <c r="BP1772" s="82">
        <f>$AJ1772-$AJ1773</f>
        <v/>
      </c>
    </row>
    <row r="1773">
      <c r="AR1773" s="81">
        <f>($G1773+($H1773-$G1773)*0.5)+($P1773-($O1773+($Q1773-$O1773)*0.5))</f>
        <v/>
      </c>
      <c r="AS1773" s="81">
        <f>($J1773+($K1773-$J1773)*0.5)+($T1773-($S1773+($U1773-$S1773)*0.5))</f>
        <v/>
      </c>
      <c r="AT1773" s="82">
        <f>($J1773-$C1773)*100</f>
        <v/>
      </c>
      <c r="AU1773" s="82">
        <f>($H1773-$F1773)*100</f>
        <v/>
      </c>
      <c r="AV1773" s="82">
        <f>($J1773-$F1773)*100</f>
        <v/>
      </c>
      <c r="AW1773" s="82">
        <f>($L1773-$F1773)*100</f>
        <v/>
      </c>
      <c r="AX1773" s="82">
        <f>($J1773-$H1773)*100</f>
        <v/>
      </c>
      <c r="AY1773" s="82">
        <f>($L1773-$H1773)*100</f>
        <v/>
      </c>
      <c r="AZ1773" s="82">
        <f>($L1773-$J1773)*100</f>
        <v/>
      </c>
      <c r="BA1773" s="82">
        <f>(2*$H1773-$F1773-$J1773)*100</f>
        <v/>
      </c>
      <c r="BB1773" s="82">
        <f>(2*$J1773-$H1773-$L1773)*100</f>
        <v/>
      </c>
      <c r="BC1773" s="82">
        <f>($N1773-$F1773)*100</f>
        <v/>
      </c>
      <c r="BD1773" s="82">
        <f>($Q1773-$H1773)*100</f>
        <v/>
      </c>
      <c r="BE1773" s="82">
        <f>($S1773-$J1773)*100</f>
        <v/>
      </c>
      <c r="BF1773" s="82">
        <f>($V1773-$L1773)*100</f>
        <v/>
      </c>
      <c r="BG1773" s="82">
        <f>$AG1773-$AF1773</f>
        <v/>
      </c>
      <c r="BH1773" s="81">
        <f>IFERROR($AG1773/$AF1773,"")</f>
        <v/>
      </c>
      <c r="BI1773" s="82">
        <f>$AJ1773-$AF1773</f>
        <v/>
      </c>
      <c r="BJ1773" s="81">
        <f>IFERROR($AJ1773/$AG1773,"")</f>
        <v/>
      </c>
      <c r="BK1773" s="81">
        <f>$X1773</f>
        <v/>
      </c>
      <c r="BL1773" s="82">
        <f>($J1773-$J1774)*100</f>
        <v/>
      </c>
      <c r="BM1773" s="82">
        <f>($F1773-$F1774)*100</f>
        <v/>
      </c>
      <c r="BN1773" s="82">
        <f>$AF1773-$AF1774</f>
        <v/>
      </c>
      <c r="BO1773" s="82">
        <f>$AG1773-$AG1774</f>
        <v/>
      </c>
      <c r="BP1773" s="82">
        <f>$AJ1773-$AJ1774</f>
        <v/>
      </c>
    </row>
    <row r="1774">
      <c r="AR1774" s="81">
        <f>($G1774+($H1774-$G1774)*0.5)+($P1774-($O1774+($Q1774-$O1774)*0.5))</f>
        <v/>
      </c>
      <c r="AS1774" s="81">
        <f>($J1774+($K1774-$J1774)*0.5)+($T1774-($S1774+($U1774-$S1774)*0.5))</f>
        <v/>
      </c>
      <c r="AT1774" s="82">
        <f>($J1774-$C1774)*100</f>
        <v/>
      </c>
      <c r="AU1774" s="82">
        <f>($H1774-$F1774)*100</f>
        <v/>
      </c>
      <c r="AV1774" s="82">
        <f>($J1774-$F1774)*100</f>
        <v/>
      </c>
      <c r="AW1774" s="82">
        <f>($L1774-$F1774)*100</f>
        <v/>
      </c>
      <c r="AX1774" s="82">
        <f>($J1774-$H1774)*100</f>
        <v/>
      </c>
      <c r="AY1774" s="82">
        <f>($L1774-$H1774)*100</f>
        <v/>
      </c>
      <c r="AZ1774" s="82">
        <f>($L1774-$J1774)*100</f>
        <v/>
      </c>
      <c r="BA1774" s="82">
        <f>(2*$H1774-$F1774-$J1774)*100</f>
        <v/>
      </c>
      <c r="BB1774" s="82">
        <f>(2*$J1774-$H1774-$L1774)*100</f>
        <v/>
      </c>
      <c r="BC1774" s="82">
        <f>($N1774-$F1774)*100</f>
        <v/>
      </c>
      <c r="BD1774" s="82">
        <f>($Q1774-$H1774)*100</f>
        <v/>
      </c>
      <c r="BE1774" s="82">
        <f>($S1774-$J1774)*100</f>
        <v/>
      </c>
      <c r="BF1774" s="82">
        <f>($V1774-$L1774)*100</f>
        <v/>
      </c>
      <c r="BG1774" s="82">
        <f>$AG1774-$AF1774</f>
        <v/>
      </c>
      <c r="BH1774" s="81">
        <f>IFERROR($AG1774/$AF1774,"")</f>
        <v/>
      </c>
      <c r="BI1774" s="82">
        <f>$AJ1774-$AF1774</f>
        <v/>
      </c>
      <c r="BJ1774" s="81">
        <f>IFERROR($AJ1774/$AG1774,"")</f>
        <v/>
      </c>
      <c r="BK1774" s="81">
        <f>$X1774</f>
        <v/>
      </c>
      <c r="BL1774" s="82">
        <f>($J1774-$J1775)*100</f>
        <v/>
      </c>
      <c r="BM1774" s="82">
        <f>($F1774-$F1775)*100</f>
        <v/>
      </c>
      <c r="BN1774" s="82">
        <f>$AF1774-$AF1775</f>
        <v/>
      </c>
      <c r="BO1774" s="82">
        <f>$AG1774-$AG1775</f>
        <v/>
      </c>
      <c r="BP1774" s="82">
        <f>$AJ1774-$AJ1775</f>
        <v/>
      </c>
    </row>
    <row r="1775">
      <c r="AR1775" s="81">
        <f>($G1775+($H1775-$G1775)*0.5)+($P1775-($O1775+($Q1775-$O1775)*0.5))</f>
        <v/>
      </c>
      <c r="AS1775" s="81">
        <f>($J1775+($K1775-$J1775)*0.5)+($T1775-($S1775+($U1775-$S1775)*0.5))</f>
        <v/>
      </c>
      <c r="AT1775" s="82">
        <f>($J1775-$C1775)*100</f>
        <v/>
      </c>
      <c r="AU1775" s="82">
        <f>($H1775-$F1775)*100</f>
        <v/>
      </c>
      <c r="AV1775" s="82">
        <f>($J1775-$F1775)*100</f>
        <v/>
      </c>
      <c r="AW1775" s="82">
        <f>($L1775-$F1775)*100</f>
        <v/>
      </c>
      <c r="AX1775" s="82">
        <f>($J1775-$H1775)*100</f>
        <v/>
      </c>
      <c r="AY1775" s="82">
        <f>($L1775-$H1775)*100</f>
        <v/>
      </c>
      <c r="AZ1775" s="82">
        <f>($L1775-$J1775)*100</f>
        <v/>
      </c>
      <c r="BA1775" s="82">
        <f>(2*$H1775-$F1775-$J1775)*100</f>
        <v/>
      </c>
      <c r="BB1775" s="82">
        <f>(2*$J1775-$H1775-$L1775)*100</f>
        <v/>
      </c>
      <c r="BC1775" s="82">
        <f>($N1775-$F1775)*100</f>
        <v/>
      </c>
      <c r="BD1775" s="82">
        <f>($Q1775-$H1775)*100</f>
        <v/>
      </c>
      <c r="BE1775" s="82">
        <f>($S1775-$J1775)*100</f>
        <v/>
      </c>
      <c r="BF1775" s="82">
        <f>($V1775-$L1775)*100</f>
        <v/>
      </c>
      <c r="BG1775" s="82">
        <f>$AG1775-$AF1775</f>
        <v/>
      </c>
      <c r="BH1775" s="81">
        <f>IFERROR($AG1775/$AF1775,"")</f>
        <v/>
      </c>
      <c r="BI1775" s="82">
        <f>$AJ1775-$AF1775</f>
        <v/>
      </c>
      <c r="BJ1775" s="81">
        <f>IFERROR($AJ1775/$AG1775,"")</f>
        <v/>
      </c>
      <c r="BK1775" s="81">
        <f>$X1775</f>
        <v/>
      </c>
      <c r="BL1775" s="82">
        <f>($J1775-$J1776)*100</f>
        <v/>
      </c>
      <c r="BM1775" s="82">
        <f>($F1775-$F1776)*100</f>
        <v/>
      </c>
      <c r="BN1775" s="82">
        <f>$AF1775-$AF1776</f>
        <v/>
      </c>
      <c r="BO1775" s="82">
        <f>$AG1775-$AG1776</f>
        <v/>
      </c>
      <c r="BP1775" s="82">
        <f>$AJ1775-$AJ1776</f>
        <v/>
      </c>
    </row>
    <row r="1776">
      <c r="AR1776" s="81">
        <f>($G1776+($H1776-$G1776)*0.5)+($P1776-($O1776+($Q1776-$O1776)*0.5))</f>
        <v/>
      </c>
      <c r="AS1776" s="81">
        <f>($J1776+($K1776-$J1776)*0.5)+($T1776-($S1776+($U1776-$S1776)*0.5))</f>
        <v/>
      </c>
      <c r="AT1776" s="82">
        <f>($J1776-$C1776)*100</f>
        <v/>
      </c>
      <c r="AU1776" s="82">
        <f>($H1776-$F1776)*100</f>
        <v/>
      </c>
      <c r="AV1776" s="82">
        <f>($J1776-$F1776)*100</f>
        <v/>
      </c>
      <c r="AW1776" s="82">
        <f>($L1776-$F1776)*100</f>
        <v/>
      </c>
      <c r="AX1776" s="82">
        <f>($J1776-$H1776)*100</f>
        <v/>
      </c>
      <c r="AY1776" s="82">
        <f>($L1776-$H1776)*100</f>
        <v/>
      </c>
      <c r="AZ1776" s="82">
        <f>($L1776-$J1776)*100</f>
        <v/>
      </c>
      <c r="BA1776" s="82">
        <f>(2*$H1776-$F1776-$J1776)*100</f>
        <v/>
      </c>
      <c r="BB1776" s="82">
        <f>(2*$J1776-$H1776-$L1776)*100</f>
        <v/>
      </c>
      <c r="BC1776" s="82">
        <f>($N1776-$F1776)*100</f>
        <v/>
      </c>
      <c r="BD1776" s="82">
        <f>($Q1776-$H1776)*100</f>
        <v/>
      </c>
      <c r="BE1776" s="82">
        <f>($S1776-$J1776)*100</f>
        <v/>
      </c>
      <c r="BF1776" s="82">
        <f>($V1776-$L1776)*100</f>
        <v/>
      </c>
      <c r="BG1776" s="82">
        <f>$AG1776-$AF1776</f>
        <v/>
      </c>
      <c r="BH1776" s="81">
        <f>IFERROR($AG1776/$AF1776,"")</f>
        <v/>
      </c>
      <c r="BI1776" s="82">
        <f>$AJ1776-$AF1776</f>
        <v/>
      </c>
      <c r="BJ1776" s="81">
        <f>IFERROR($AJ1776/$AG1776,"")</f>
        <v/>
      </c>
      <c r="BK1776" s="81">
        <f>$X1776</f>
        <v/>
      </c>
      <c r="BL1776" s="82">
        <f>($J1776-$J1777)*100</f>
        <v/>
      </c>
      <c r="BM1776" s="82">
        <f>($F1776-$F1777)*100</f>
        <v/>
      </c>
      <c r="BN1776" s="82">
        <f>$AF1776-$AF1777</f>
        <v/>
      </c>
      <c r="BO1776" s="82">
        <f>$AG1776-$AG1777</f>
        <v/>
      </c>
      <c r="BP1776" s="82">
        <f>$AJ1776-$AJ1777</f>
        <v/>
      </c>
    </row>
    <row r="1777">
      <c r="AR1777" s="81">
        <f>($G1777+($H1777-$G1777)*0.5)+($P1777-($O1777+($Q1777-$O1777)*0.5))</f>
        <v/>
      </c>
      <c r="AS1777" s="81">
        <f>($J1777+($K1777-$J1777)*0.5)+($T1777-($S1777+($U1777-$S1777)*0.5))</f>
        <v/>
      </c>
      <c r="AT1777" s="82">
        <f>($J1777-$C1777)*100</f>
        <v/>
      </c>
      <c r="AU1777" s="82">
        <f>($H1777-$F1777)*100</f>
        <v/>
      </c>
      <c r="AV1777" s="82">
        <f>($J1777-$F1777)*100</f>
        <v/>
      </c>
      <c r="AW1777" s="82">
        <f>($L1777-$F1777)*100</f>
        <v/>
      </c>
      <c r="AX1777" s="82">
        <f>($J1777-$H1777)*100</f>
        <v/>
      </c>
      <c r="AY1777" s="82">
        <f>($L1777-$H1777)*100</f>
        <v/>
      </c>
      <c r="AZ1777" s="82">
        <f>($L1777-$J1777)*100</f>
        <v/>
      </c>
      <c r="BA1777" s="82">
        <f>(2*$H1777-$F1777-$J1777)*100</f>
        <v/>
      </c>
      <c r="BB1777" s="82">
        <f>(2*$J1777-$H1777-$L1777)*100</f>
        <v/>
      </c>
      <c r="BC1777" s="82">
        <f>($N1777-$F1777)*100</f>
        <v/>
      </c>
      <c r="BD1777" s="82">
        <f>($Q1777-$H1777)*100</f>
        <v/>
      </c>
      <c r="BE1777" s="82">
        <f>($S1777-$J1777)*100</f>
        <v/>
      </c>
      <c r="BF1777" s="82">
        <f>($V1777-$L1777)*100</f>
        <v/>
      </c>
      <c r="BG1777" s="82">
        <f>$AG1777-$AF1777</f>
        <v/>
      </c>
      <c r="BH1777" s="81">
        <f>IFERROR($AG1777/$AF1777,"")</f>
        <v/>
      </c>
      <c r="BI1777" s="82">
        <f>$AJ1777-$AF1777</f>
        <v/>
      </c>
      <c r="BJ1777" s="81">
        <f>IFERROR($AJ1777/$AG1777,"")</f>
        <v/>
      </c>
      <c r="BK1777" s="81">
        <f>$X1777</f>
        <v/>
      </c>
      <c r="BL1777" s="82">
        <f>($J1777-$J1778)*100</f>
        <v/>
      </c>
      <c r="BM1777" s="82">
        <f>($F1777-$F1778)*100</f>
        <v/>
      </c>
      <c r="BN1777" s="82">
        <f>$AF1777-$AF1778</f>
        <v/>
      </c>
      <c r="BO1777" s="82">
        <f>$AG1777-$AG1778</f>
        <v/>
      </c>
      <c r="BP1777" s="82">
        <f>$AJ1777-$AJ1778</f>
        <v/>
      </c>
    </row>
    <row r="1778">
      <c r="AR1778" s="81">
        <f>($G1778+($H1778-$G1778)*0.5)+($P1778-($O1778+($Q1778-$O1778)*0.5))</f>
        <v/>
      </c>
      <c r="AS1778" s="81">
        <f>($J1778+($K1778-$J1778)*0.5)+($T1778-($S1778+($U1778-$S1778)*0.5))</f>
        <v/>
      </c>
      <c r="AT1778" s="82">
        <f>($J1778-$C1778)*100</f>
        <v/>
      </c>
      <c r="AU1778" s="82">
        <f>($H1778-$F1778)*100</f>
        <v/>
      </c>
      <c r="AV1778" s="82">
        <f>($J1778-$F1778)*100</f>
        <v/>
      </c>
      <c r="AW1778" s="82">
        <f>($L1778-$F1778)*100</f>
        <v/>
      </c>
      <c r="AX1778" s="82">
        <f>($J1778-$H1778)*100</f>
        <v/>
      </c>
      <c r="AY1778" s="82">
        <f>($L1778-$H1778)*100</f>
        <v/>
      </c>
      <c r="AZ1778" s="82">
        <f>($L1778-$J1778)*100</f>
        <v/>
      </c>
      <c r="BA1778" s="82">
        <f>(2*$H1778-$F1778-$J1778)*100</f>
        <v/>
      </c>
      <c r="BB1778" s="82">
        <f>(2*$J1778-$H1778-$L1778)*100</f>
        <v/>
      </c>
      <c r="BC1778" s="82">
        <f>($N1778-$F1778)*100</f>
        <v/>
      </c>
      <c r="BD1778" s="82">
        <f>($Q1778-$H1778)*100</f>
        <v/>
      </c>
      <c r="BE1778" s="82">
        <f>($S1778-$J1778)*100</f>
        <v/>
      </c>
      <c r="BF1778" s="82">
        <f>($V1778-$L1778)*100</f>
        <v/>
      </c>
      <c r="BG1778" s="82">
        <f>$AG1778-$AF1778</f>
        <v/>
      </c>
      <c r="BH1778" s="81">
        <f>IFERROR($AG1778/$AF1778,"")</f>
        <v/>
      </c>
      <c r="BI1778" s="82">
        <f>$AJ1778-$AF1778</f>
        <v/>
      </c>
      <c r="BJ1778" s="81">
        <f>IFERROR($AJ1778/$AG1778,"")</f>
        <v/>
      </c>
      <c r="BK1778" s="81">
        <f>$X1778</f>
        <v/>
      </c>
      <c r="BL1778" s="82">
        <f>($J1778-$J1779)*100</f>
        <v/>
      </c>
      <c r="BM1778" s="82">
        <f>($F1778-$F1779)*100</f>
        <v/>
      </c>
      <c r="BN1778" s="82">
        <f>$AF1778-$AF1779</f>
        <v/>
      </c>
      <c r="BO1778" s="82">
        <f>$AG1778-$AG1779</f>
        <v/>
      </c>
      <c r="BP1778" s="82">
        <f>$AJ1778-$AJ1779</f>
        <v/>
      </c>
    </row>
    <row r="1779">
      <c r="AR1779" s="81">
        <f>($G1779+($H1779-$G1779)*0.5)+($P1779-($O1779+($Q1779-$O1779)*0.5))</f>
        <v/>
      </c>
      <c r="AS1779" s="81">
        <f>($J1779+($K1779-$J1779)*0.5)+($T1779-($S1779+($U1779-$S1779)*0.5))</f>
        <v/>
      </c>
      <c r="AT1779" s="82">
        <f>($J1779-$C1779)*100</f>
        <v/>
      </c>
      <c r="AU1779" s="82">
        <f>($H1779-$F1779)*100</f>
        <v/>
      </c>
      <c r="AV1779" s="82">
        <f>($J1779-$F1779)*100</f>
        <v/>
      </c>
      <c r="AW1779" s="82">
        <f>($L1779-$F1779)*100</f>
        <v/>
      </c>
      <c r="AX1779" s="82">
        <f>($J1779-$H1779)*100</f>
        <v/>
      </c>
      <c r="AY1779" s="82">
        <f>($L1779-$H1779)*100</f>
        <v/>
      </c>
      <c r="AZ1779" s="82">
        <f>($L1779-$J1779)*100</f>
        <v/>
      </c>
      <c r="BA1779" s="82">
        <f>(2*$H1779-$F1779-$J1779)*100</f>
        <v/>
      </c>
      <c r="BB1779" s="82">
        <f>(2*$J1779-$H1779-$L1779)*100</f>
        <v/>
      </c>
      <c r="BC1779" s="82">
        <f>($N1779-$F1779)*100</f>
        <v/>
      </c>
      <c r="BD1779" s="82">
        <f>($Q1779-$H1779)*100</f>
        <v/>
      </c>
      <c r="BE1779" s="82">
        <f>($S1779-$J1779)*100</f>
        <v/>
      </c>
      <c r="BF1779" s="82">
        <f>($V1779-$L1779)*100</f>
        <v/>
      </c>
      <c r="BG1779" s="82">
        <f>$AG1779-$AF1779</f>
        <v/>
      </c>
      <c r="BH1779" s="81">
        <f>IFERROR($AG1779/$AF1779,"")</f>
        <v/>
      </c>
      <c r="BI1779" s="82">
        <f>$AJ1779-$AF1779</f>
        <v/>
      </c>
      <c r="BJ1779" s="81">
        <f>IFERROR($AJ1779/$AG1779,"")</f>
        <v/>
      </c>
      <c r="BK1779" s="81">
        <f>$X1779</f>
        <v/>
      </c>
      <c r="BL1779" s="82">
        <f>($J1779-$J1780)*100</f>
        <v/>
      </c>
      <c r="BM1779" s="82">
        <f>($F1779-$F1780)*100</f>
        <v/>
      </c>
      <c r="BN1779" s="82">
        <f>$AF1779-$AF1780</f>
        <v/>
      </c>
      <c r="BO1779" s="82">
        <f>$AG1779-$AG1780</f>
        <v/>
      </c>
      <c r="BP1779" s="82">
        <f>$AJ1779-$AJ1780</f>
        <v/>
      </c>
    </row>
    <row r="1780">
      <c r="AR1780" s="81">
        <f>($G1780+($H1780-$G1780)*0.5)+($P1780-($O1780+($Q1780-$O1780)*0.5))</f>
        <v/>
      </c>
      <c r="AS1780" s="81">
        <f>($J1780+($K1780-$J1780)*0.5)+($T1780-($S1780+($U1780-$S1780)*0.5))</f>
        <v/>
      </c>
      <c r="AT1780" s="82">
        <f>($J1780-$C1780)*100</f>
        <v/>
      </c>
      <c r="AU1780" s="82">
        <f>($H1780-$F1780)*100</f>
        <v/>
      </c>
      <c r="AV1780" s="82">
        <f>($J1780-$F1780)*100</f>
        <v/>
      </c>
      <c r="AW1780" s="82">
        <f>($L1780-$F1780)*100</f>
        <v/>
      </c>
      <c r="AX1780" s="82">
        <f>($J1780-$H1780)*100</f>
        <v/>
      </c>
      <c r="AY1780" s="82">
        <f>($L1780-$H1780)*100</f>
        <v/>
      </c>
      <c r="AZ1780" s="82">
        <f>($L1780-$J1780)*100</f>
        <v/>
      </c>
      <c r="BA1780" s="82">
        <f>(2*$H1780-$F1780-$J1780)*100</f>
        <v/>
      </c>
      <c r="BB1780" s="82">
        <f>(2*$J1780-$H1780-$L1780)*100</f>
        <v/>
      </c>
      <c r="BC1780" s="82">
        <f>($N1780-$F1780)*100</f>
        <v/>
      </c>
      <c r="BD1780" s="82">
        <f>($Q1780-$H1780)*100</f>
        <v/>
      </c>
      <c r="BE1780" s="82">
        <f>($S1780-$J1780)*100</f>
        <v/>
      </c>
      <c r="BF1780" s="82">
        <f>($V1780-$L1780)*100</f>
        <v/>
      </c>
      <c r="BG1780" s="82">
        <f>$AG1780-$AF1780</f>
        <v/>
      </c>
      <c r="BH1780" s="81">
        <f>IFERROR($AG1780/$AF1780,"")</f>
        <v/>
      </c>
      <c r="BI1780" s="82">
        <f>$AJ1780-$AF1780</f>
        <v/>
      </c>
      <c r="BJ1780" s="81">
        <f>IFERROR($AJ1780/$AG1780,"")</f>
        <v/>
      </c>
      <c r="BK1780" s="81">
        <f>$X1780</f>
        <v/>
      </c>
      <c r="BL1780" s="82">
        <f>($J1780-$J1781)*100</f>
        <v/>
      </c>
      <c r="BM1780" s="82">
        <f>($F1780-$F1781)*100</f>
        <v/>
      </c>
      <c r="BN1780" s="82">
        <f>$AF1780-$AF1781</f>
        <v/>
      </c>
      <c r="BO1780" s="82">
        <f>$AG1780-$AG1781</f>
        <v/>
      </c>
      <c r="BP1780" s="82">
        <f>$AJ1780-$AJ1781</f>
        <v/>
      </c>
    </row>
    <row r="1781">
      <c r="AR1781" s="81">
        <f>($G1781+($H1781-$G1781)*0.5)+($P1781-($O1781+($Q1781-$O1781)*0.5))</f>
        <v/>
      </c>
      <c r="AS1781" s="81">
        <f>($J1781+($K1781-$J1781)*0.5)+($T1781-($S1781+($U1781-$S1781)*0.5))</f>
        <v/>
      </c>
      <c r="AT1781" s="82">
        <f>($J1781-$C1781)*100</f>
        <v/>
      </c>
      <c r="AU1781" s="82">
        <f>($H1781-$F1781)*100</f>
        <v/>
      </c>
      <c r="AV1781" s="82">
        <f>($J1781-$F1781)*100</f>
        <v/>
      </c>
      <c r="AW1781" s="82">
        <f>($L1781-$F1781)*100</f>
        <v/>
      </c>
      <c r="AX1781" s="82">
        <f>($J1781-$H1781)*100</f>
        <v/>
      </c>
      <c r="AY1781" s="82">
        <f>($L1781-$H1781)*100</f>
        <v/>
      </c>
      <c r="AZ1781" s="82">
        <f>($L1781-$J1781)*100</f>
        <v/>
      </c>
      <c r="BA1781" s="82">
        <f>(2*$H1781-$F1781-$J1781)*100</f>
        <v/>
      </c>
      <c r="BB1781" s="82">
        <f>(2*$J1781-$H1781-$L1781)*100</f>
        <v/>
      </c>
      <c r="BC1781" s="82">
        <f>($N1781-$F1781)*100</f>
        <v/>
      </c>
      <c r="BD1781" s="82">
        <f>($Q1781-$H1781)*100</f>
        <v/>
      </c>
      <c r="BE1781" s="82">
        <f>($S1781-$J1781)*100</f>
        <v/>
      </c>
      <c r="BF1781" s="82">
        <f>($V1781-$L1781)*100</f>
        <v/>
      </c>
      <c r="BG1781" s="82">
        <f>$AG1781-$AF1781</f>
        <v/>
      </c>
      <c r="BH1781" s="81">
        <f>IFERROR($AG1781/$AF1781,"")</f>
        <v/>
      </c>
      <c r="BI1781" s="82">
        <f>$AJ1781-$AF1781</f>
        <v/>
      </c>
      <c r="BJ1781" s="81">
        <f>IFERROR($AJ1781/$AG1781,"")</f>
        <v/>
      </c>
      <c r="BK1781" s="81">
        <f>$X1781</f>
        <v/>
      </c>
      <c r="BL1781" s="82">
        <f>($J1781-$J1782)*100</f>
        <v/>
      </c>
      <c r="BM1781" s="82">
        <f>($F1781-$F1782)*100</f>
        <v/>
      </c>
      <c r="BN1781" s="82">
        <f>$AF1781-$AF1782</f>
        <v/>
      </c>
      <c r="BO1781" s="82">
        <f>$AG1781-$AG1782</f>
        <v/>
      </c>
      <c r="BP1781" s="82">
        <f>$AJ1781-$AJ1782</f>
        <v/>
      </c>
    </row>
    <row r="1782">
      <c r="AR1782" s="81">
        <f>($G1782+($H1782-$G1782)*0.5)+($P1782-($O1782+($Q1782-$O1782)*0.5))</f>
        <v/>
      </c>
      <c r="AS1782" s="81">
        <f>($J1782+($K1782-$J1782)*0.5)+($T1782-($S1782+($U1782-$S1782)*0.5))</f>
        <v/>
      </c>
      <c r="AT1782" s="82">
        <f>($J1782-$C1782)*100</f>
        <v/>
      </c>
      <c r="AU1782" s="82">
        <f>($H1782-$F1782)*100</f>
        <v/>
      </c>
      <c r="AV1782" s="82">
        <f>($J1782-$F1782)*100</f>
        <v/>
      </c>
      <c r="AW1782" s="82">
        <f>($L1782-$F1782)*100</f>
        <v/>
      </c>
      <c r="AX1782" s="82">
        <f>($J1782-$H1782)*100</f>
        <v/>
      </c>
      <c r="AY1782" s="82">
        <f>($L1782-$H1782)*100</f>
        <v/>
      </c>
      <c r="AZ1782" s="82">
        <f>($L1782-$J1782)*100</f>
        <v/>
      </c>
      <c r="BA1782" s="82">
        <f>(2*$H1782-$F1782-$J1782)*100</f>
        <v/>
      </c>
      <c r="BB1782" s="82">
        <f>(2*$J1782-$H1782-$L1782)*100</f>
        <v/>
      </c>
      <c r="BC1782" s="82">
        <f>($N1782-$F1782)*100</f>
        <v/>
      </c>
      <c r="BD1782" s="82">
        <f>($Q1782-$H1782)*100</f>
        <v/>
      </c>
      <c r="BE1782" s="82">
        <f>($S1782-$J1782)*100</f>
        <v/>
      </c>
      <c r="BF1782" s="82">
        <f>($V1782-$L1782)*100</f>
        <v/>
      </c>
      <c r="BG1782" s="82">
        <f>$AG1782-$AF1782</f>
        <v/>
      </c>
      <c r="BH1782" s="81">
        <f>IFERROR($AG1782/$AF1782,"")</f>
        <v/>
      </c>
      <c r="BI1782" s="82">
        <f>$AJ1782-$AF1782</f>
        <v/>
      </c>
      <c r="BJ1782" s="81">
        <f>IFERROR($AJ1782/$AG1782,"")</f>
        <v/>
      </c>
      <c r="BK1782" s="81">
        <f>$X1782</f>
        <v/>
      </c>
      <c r="BL1782" s="82">
        <f>($J1782-$J1783)*100</f>
        <v/>
      </c>
      <c r="BM1782" s="82">
        <f>($F1782-$F1783)*100</f>
        <v/>
      </c>
      <c r="BN1782" s="82">
        <f>$AF1782-$AF1783</f>
        <v/>
      </c>
      <c r="BO1782" s="82">
        <f>$AG1782-$AG1783</f>
        <v/>
      </c>
      <c r="BP1782" s="82">
        <f>$AJ1782-$AJ1783</f>
        <v/>
      </c>
    </row>
    <row r="1783">
      <c r="AR1783" s="81">
        <f>($G1783+($H1783-$G1783)*0.5)+($P1783-($O1783+($Q1783-$O1783)*0.5))</f>
        <v/>
      </c>
      <c r="AS1783" s="81">
        <f>($J1783+($K1783-$J1783)*0.5)+($T1783-($S1783+($U1783-$S1783)*0.5))</f>
        <v/>
      </c>
      <c r="AT1783" s="82">
        <f>($J1783-$C1783)*100</f>
        <v/>
      </c>
      <c r="AU1783" s="82">
        <f>($H1783-$F1783)*100</f>
        <v/>
      </c>
      <c r="AV1783" s="82">
        <f>($J1783-$F1783)*100</f>
        <v/>
      </c>
      <c r="AW1783" s="82">
        <f>($L1783-$F1783)*100</f>
        <v/>
      </c>
      <c r="AX1783" s="82">
        <f>($J1783-$H1783)*100</f>
        <v/>
      </c>
      <c r="AY1783" s="82">
        <f>($L1783-$H1783)*100</f>
        <v/>
      </c>
      <c r="AZ1783" s="82">
        <f>($L1783-$J1783)*100</f>
        <v/>
      </c>
      <c r="BA1783" s="82">
        <f>(2*$H1783-$F1783-$J1783)*100</f>
        <v/>
      </c>
      <c r="BB1783" s="82">
        <f>(2*$J1783-$H1783-$L1783)*100</f>
        <v/>
      </c>
      <c r="BC1783" s="82">
        <f>($N1783-$F1783)*100</f>
        <v/>
      </c>
      <c r="BD1783" s="82">
        <f>($Q1783-$H1783)*100</f>
        <v/>
      </c>
      <c r="BE1783" s="82">
        <f>($S1783-$J1783)*100</f>
        <v/>
      </c>
      <c r="BF1783" s="82">
        <f>($V1783-$L1783)*100</f>
        <v/>
      </c>
      <c r="BG1783" s="82">
        <f>$AG1783-$AF1783</f>
        <v/>
      </c>
      <c r="BH1783" s="81">
        <f>IFERROR($AG1783/$AF1783,"")</f>
        <v/>
      </c>
      <c r="BI1783" s="82">
        <f>$AJ1783-$AF1783</f>
        <v/>
      </c>
      <c r="BJ1783" s="81">
        <f>IFERROR($AJ1783/$AG1783,"")</f>
        <v/>
      </c>
      <c r="BK1783" s="81">
        <f>$X1783</f>
        <v/>
      </c>
      <c r="BL1783" s="82">
        <f>($J1783-$J1784)*100</f>
        <v/>
      </c>
      <c r="BM1783" s="82">
        <f>($F1783-$F1784)*100</f>
        <v/>
      </c>
      <c r="BN1783" s="82">
        <f>$AF1783-$AF1784</f>
        <v/>
      </c>
      <c r="BO1783" s="82">
        <f>$AG1783-$AG1784</f>
        <v/>
      </c>
      <c r="BP1783" s="82">
        <f>$AJ1783-$AJ1784</f>
        <v/>
      </c>
    </row>
    <row r="1784">
      <c r="AR1784" s="81">
        <f>($G1784+($H1784-$G1784)*0.5)+($P1784-($O1784+($Q1784-$O1784)*0.5))</f>
        <v/>
      </c>
      <c r="AS1784" s="81">
        <f>($J1784+($K1784-$J1784)*0.5)+($T1784-($S1784+($U1784-$S1784)*0.5))</f>
        <v/>
      </c>
      <c r="AT1784" s="82">
        <f>($J1784-$C1784)*100</f>
        <v/>
      </c>
      <c r="AU1784" s="82">
        <f>($H1784-$F1784)*100</f>
        <v/>
      </c>
      <c r="AV1784" s="82">
        <f>($J1784-$F1784)*100</f>
        <v/>
      </c>
      <c r="AW1784" s="82">
        <f>($L1784-$F1784)*100</f>
        <v/>
      </c>
      <c r="AX1784" s="82">
        <f>($J1784-$H1784)*100</f>
        <v/>
      </c>
      <c r="AY1784" s="82">
        <f>($L1784-$H1784)*100</f>
        <v/>
      </c>
      <c r="AZ1784" s="82">
        <f>($L1784-$J1784)*100</f>
        <v/>
      </c>
      <c r="BA1784" s="82">
        <f>(2*$H1784-$F1784-$J1784)*100</f>
        <v/>
      </c>
      <c r="BB1784" s="82">
        <f>(2*$J1784-$H1784-$L1784)*100</f>
        <v/>
      </c>
      <c r="BC1784" s="82">
        <f>($N1784-$F1784)*100</f>
        <v/>
      </c>
      <c r="BD1784" s="82">
        <f>($Q1784-$H1784)*100</f>
        <v/>
      </c>
      <c r="BE1784" s="82">
        <f>($S1784-$J1784)*100</f>
        <v/>
      </c>
      <c r="BF1784" s="82">
        <f>($V1784-$L1784)*100</f>
        <v/>
      </c>
      <c r="BG1784" s="82">
        <f>$AG1784-$AF1784</f>
        <v/>
      </c>
      <c r="BH1784" s="81">
        <f>IFERROR($AG1784/$AF1784,"")</f>
        <v/>
      </c>
      <c r="BI1784" s="82">
        <f>$AJ1784-$AF1784</f>
        <v/>
      </c>
      <c r="BJ1784" s="81">
        <f>IFERROR($AJ1784/$AG1784,"")</f>
        <v/>
      </c>
      <c r="BK1784" s="81">
        <f>$X1784</f>
        <v/>
      </c>
      <c r="BL1784" s="82">
        <f>($J1784-$J1785)*100</f>
        <v/>
      </c>
      <c r="BM1784" s="82">
        <f>($F1784-$F1785)*100</f>
        <v/>
      </c>
      <c r="BN1784" s="82">
        <f>$AF1784-$AF1785</f>
        <v/>
      </c>
      <c r="BO1784" s="82">
        <f>$AG1784-$AG1785</f>
        <v/>
      </c>
      <c r="BP1784" s="82">
        <f>$AJ1784-$AJ1785</f>
        <v/>
      </c>
    </row>
    <row r="1785">
      <c r="AR1785" s="81">
        <f>($G1785+($H1785-$G1785)*0.5)+($P1785-($O1785+($Q1785-$O1785)*0.5))</f>
        <v/>
      </c>
      <c r="AS1785" s="81">
        <f>($J1785+($K1785-$J1785)*0.5)+($T1785-($S1785+($U1785-$S1785)*0.5))</f>
        <v/>
      </c>
      <c r="AT1785" s="82">
        <f>($J1785-$C1785)*100</f>
        <v/>
      </c>
      <c r="AU1785" s="82">
        <f>($H1785-$F1785)*100</f>
        <v/>
      </c>
      <c r="AV1785" s="82">
        <f>($J1785-$F1785)*100</f>
        <v/>
      </c>
      <c r="AW1785" s="82">
        <f>($L1785-$F1785)*100</f>
        <v/>
      </c>
      <c r="AX1785" s="82">
        <f>($J1785-$H1785)*100</f>
        <v/>
      </c>
      <c r="AY1785" s="82">
        <f>($L1785-$H1785)*100</f>
        <v/>
      </c>
      <c r="AZ1785" s="82">
        <f>($L1785-$J1785)*100</f>
        <v/>
      </c>
      <c r="BA1785" s="82">
        <f>(2*$H1785-$F1785-$J1785)*100</f>
        <v/>
      </c>
      <c r="BB1785" s="82">
        <f>(2*$J1785-$H1785-$L1785)*100</f>
        <v/>
      </c>
      <c r="BC1785" s="82">
        <f>($N1785-$F1785)*100</f>
        <v/>
      </c>
      <c r="BD1785" s="82">
        <f>($Q1785-$H1785)*100</f>
        <v/>
      </c>
      <c r="BE1785" s="82">
        <f>($S1785-$J1785)*100</f>
        <v/>
      </c>
      <c r="BF1785" s="82">
        <f>($V1785-$L1785)*100</f>
        <v/>
      </c>
      <c r="BG1785" s="82">
        <f>$AG1785-$AF1785</f>
        <v/>
      </c>
      <c r="BH1785" s="81">
        <f>IFERROR($AG1785/$AF1785,"")</f>
        <v/>
      </c>
      <c r="BI1785" s="82">
        <f>$AJ1785-$AF1785</f>
        <v/>
      </c>
      <c r="BJ1785" s="81">
        <f>IFERROR($AJ1785/$AG1785,"")</f>
        <v/>
      </c>
      <c r="BK1785" s="81">
        <f>$X1785</f>
        <v/>
      </c>
      <c r="BL1785" s="82">
        <f>($J1785-$J1786)*100</f>
        <v/>
      </c>
      <c r="BM1785" s="82">
        <f>($F1785-$F1786)*100</f>
        <v/>
      </c>
      <c r="BN1785" s="82">
        <f>$AF1785-$AF1786</f>
        <v/>
      </c>
      <c r="BO1785" s="82">
        <f>$AG1785-$AG1786</f>
        <v/>
      </c>
      <c r="BP1785" s="82">
        <f>$AJ1785-$AJ1786</f>
        <v/>
      </c>
    </row>
    <row r="1786">
      <c r="AR1786" s="81">
        <f>($G1786+($H1786-$G1786)*0.5)+($P1786-($O1786+($Q1786-$O1786)*0.5))</f>
        <v/>
      </c>
      <c r="AS1786" s="81">
        <f>($J1786+($K1786-$J1786)*0.5)+($T1786-($S1786+($U1786-$S1786)*0.5))</f>
        <v/>
      </c>
      <c r="AT1786" s="82">
        <f>($J1786-$C1786)*100</f>
        <v/>
      </c>
      <c r="AU1786" s="82">
        <f>($H1786-$F1786)*100</f>
        <v/>
      </c>
      <c r="AV1786" s="82">
        <f>($J1786-$F1786)*100</f>
        <v/>
      </c>
      <c r="AW1786" s="82">
        <f>($L1786-$F1786)*100</f>
        <v/>
      </c>
      <c r="AX1786" s="82">
        <f>($J1786-$H1786)*100</f>
        <v/>
      </c>
      <c r="AY1786" s="82">
        <f>($L1786-$H1786)*100</f>
        <v/>
      </c>
      <c r="AZ1786" s="82">
        <f>($L1786-$J1786)*100</f>
        <v/>
      </c>
      <c r="BA1786" s="82">
        <f>(2*$H1786-$F1786-$J1786)*100</f>
        <v/>
      </c>
      <c r="BB1786" s="82">
        <f>(2*$J1786-$H1786-$L1786)*100</f>
        <v/>
      </c>
      <c r="BC1786" s="82">
        <f>($N1786-$F1786)*100</f>
        <v/>
      </c>
      <c r="BD1786" s="82">
        <f>($Q1786-$H1786)*100</f>
        <v/>
      </c>
      <c r="BE1786" s="82">
        <f>($S1786-$J1786)*100</f>
        <v/>
      </c>
      <c r="BF1786" s="82">
        <f>($V1786-$L1786)*100</f>
        <v/>
      </c>
      <c r="BG1786" s="82">
        <f>$AG1786-$AF1786</f>
        <v/>
      </c>
      <c r="BH1786" s="81">
        <f>IFERROR($AG1786/$AF1786,"")</f>
        <v/>
      </c>
      <c r="BI1786" s="82">
        <f>$AJ1786-$AF1786</f>
        <v/>
      </c>
      <c r="BJ1786" s="81">
        <f>IFERROR($AJ1786/$AG1786,"")</f>
        <v/>
      </c>
      <c r="BK1786" s="81">
        <f>$X1786</f>
        <v/>
      </c>
      <c r="BL1786" s="82">
        <f>($J1786-$J1787)*100</f>
        <v/>
      </c>
      <c r="BM1786" s="82">
        <f>($F1786-$F1787)*100</f>
        <v/>
      </c>
      <c r="BN1786" s="82">
        <f>$AF1786-$AF1787</f>
        <v/>
      </c>
      <c r="BO1786" s="82">
        <f>$AG1786-$AG1787</f>
        <v/>
      </c>
      <c r="BP1786" s="82">
        <f>$AJ1786-$AJ1787</f>
        <v/>
      </c>
    </row>
    <row r="1787">
      <c r="AR1787" s="81">
        <f>($G1787+($H1787-$G1787)*0.5)+($P1787-($O1787+($Q1787-$O1787)*0.5))</f>
        <v/>
      </c>
      <c r="AS1787" s="81">
        <f>($J1787+($K1787-$J1787)*0.5)+($T1787-($S1787+($U1787-$S1787)*0.5))</f>
        <v/>
      </c>
      <c r="AT1787" s="82">
        <f>($J1787-$C1787)*100</f>
        <v/>
      </c>
      <c r="AU1787" s="82">
        <f>($H1787-$F1787)*100</f>
        <v/>
      </c>
      <c r="AV1787" s="82">
        <f>($J1787-$F1787)*100</f>
        <v/>
      </c>
      <c r="AW1787" s="82">
        <f>($L1787-$F1787)*100</f>
        <v/>
      </c>
      <c r="AX1787" s="82">
        <f>($J1787-$H1787)*100</f>
        <v/>
      </c>
      <c r="AY1787" s="82">
        <f>($L1787-$H1787)*100</f>
        <v/>
      </c>
      <c r="AZ1787" s="82">
        <f>($L1787-$J1787)*100</f>
        <v/>
      </c>
      <c r="BA1787" s="82">
        <f>(2*$H1787-$F1787-$J1787)*100</f>
        <v/>
      </c>
      <c r="BB1787" s="82">
        <f>(2*$J1787-$H1787-$L1787)*100</f>
        <v/>
      </c>
      <c r="BC1787" s="82">
        <f>($N1787-$F1787)*100</f>
        <v/>
      </c>
      <c r="BD1787" s="82">
        <f>($Q1787-$H1787)*100</f>
        <v/>
      </c>
      <c r="BE1787" s="82">
        <f>($S1787-$J1787)*100</f>
        <v/>
      </c>
      <c r="BF1787" s="82">
        <f>($V1787-$L1787)*100</f>
        <v/>
      </c>
      <c r="BG1787" s="82">
        <f>$AG1787-$AF1787</f>
        <v/>
      </c>
      <c r="BH1787" s="81">
        <f>IFERROR($AG1787/$AF1787,"")</f>
        <v/>
      </c>
      <c r="BI1787" s="82">
        <f>$AJ1787-$AF1787</f>
        <v/>
      </c>
      <c r="BJ1787" s="81">
        <f>IFERROR($AJ1787/$AG1787,"")</f>
        <v/>
      </c>
      <c r="BK1787" s="81">
        <f>$X1787</f>
        <v/>
      </c>
      <c r="BL1787" s="82">
        <f>($J1787-$J1788)*100</f>
        <v/>
      </c>
      <c r="BM1787" s="82">
        <f>($F1787-$F1788)*100</f>
        <v/>
      </c>
      <c r="BN1787" s="82">
        <f>$AF1787-$AF1788</f>
        <v/>
      </c>
      <c r="BO1787" s="82">
        <f>$AG1787-$AG1788</f>
        <v/>
      </c>
      <c r="BP1787" s="82">
        <f>$AJ1787-$AJ1788</f>
        <v/>
      </c>
    </row>
    <row r="1788">
      <c r="AR1788" s="81">
        <f>($G1788+($H1788-$G1788)*0.5)+($P1788-($O1788+($Q1788-$O1788)*0.5))</f>
        <v/>
      </c>
      <c r="AS1788" s="81">
        <f>($J1788+($K1788-$J1788)*0.5)+($T1788-($S1788+($U1788-$S1788)*0.5))</f>
        <v/>
      </c>
      <c r="AT1788" s="82">
        <f>($J1788-$C1788)*100</f>
        <v/>
      </c>
      <c r="AU1788" s="82">
        <f>($H1788-$F1788)*100</f>
        <v/>
      </c>
      <c r="AV1788" s="82">
        <f>($J1788-$F1788)*100</f>
        <v/>
      </c>
      <c r="AW1788" s="82">
        <f>($L1788-$F1788)*100</f>
        <v/>
      </c>
      <c r="AX1788" s="82">
        <f>($J1788-$H1788)*100</f>
        <v/>
      </c>
      <c r="AY1788" s="82">
        <f>($L1788-$H1788)*100</f>
        <v/>
      </c>
      <c r="AZ1788" s="82">
        <f>($L1788-$J1788)*100</f>
        <v/>
      </c>
      <c r="BA1788" s="82">
        <f>(2*$H1788-$F1788-$J1788)*100</f>
        <v/>
      </c>
      <c r="BB1788" s="82">
        <f>(2*$J1788-$H1788-$L1788)*100</f>
        <v/>
      </c>
      <c r="BC1788" s="82">
        <f>($N1788-$F1788)*100</f>
        <v/>
      </c>
      <c r="BD1788" s="82">
        <f>($Q1788-$H1788)*100</f>
        <v/>
      </c>
      <c r="BE1788" s="82">
        <f>($S1788-$J1788)*100</f>
        <v/>
      </c>
      <c r="BF1788" s="82">
        <f>($V1788-$L1788)*100</f>
        <v/>
      </c>
      <c r="BG1788" s="82">
        <f>$AG1788-$AF1788</f>
        <v/>
      </c>
      <c r="BH1788" s="81">
        <f>IFERROR($AG1788/$AF1788,"")</f>
        <v/>
      </c>
      <c r="BI1788" s="82">
        <f>$AJ1788-$AF1788</f>
        <v/>
      </c>
      <c r="BJ1788" s="81">
        <f>IFERROR($AJ1788/$AG1788,"")</f>
        <v/>
      </c>
      <c r="BK1788" s="81">
        <f>$X1788</f>
        <v/>
      </c>
      <c r="BL1788" s="82">
        <f>($J1788-$J1789)*100</f>
        <v/>
      </c>
      <c r="BM1788" s="82">
        <f>($F1788-$F1789)*100</f>
        <v/>
      </c>
      <c r="BN1788" s="82">
        <f>$AF1788-$AF1789</f>
        <v/>
      </c>
      <c r="BO1788" s="82">
        <f>$AG1788-$AG1789</f>
        <v/>
      </c>
      <c r="BP1788" s="82">
        <f>$AJ1788-$AJ1789</f>
        <v/>
      </c>
    </row>
    <row r="1789">
      <c r="AR1789" s="81">
        <f>($G1789+($H1789-$G1789)*0.5)+($P1789-($O1789+($Q1789-$O1789)*0.5))</f>
        <v/>
      </c>
      <c r="AS1789" s="81">
        <f>($J1789+($K1789-$J1789)*0.5)+($T1789-($S1789+($U1789-$S1789)*0.5))</f>
        <v/>
      </c>
      <c r="AT1789" s="82">
        <f>($J1789-$C1789)*100</f>
        <v/>
      </c>
      <c r="AU1789" s="82">
        <f>($H1789-$F1789)*100</f>
        <v/>
      </c>
      <c r="AV1789" s="82">
        <f>($J1789-$F1789)*100</f>
        <v/>
      </c>
      <c r="AW1789" s="82">
        <f>($L1789-$F1789)*100</f>
        <v/>
      </c>
      <c r="AX1789" s="82">
        <f>($J1789-$H1789)*100</f>
        <v/>
      </c>
      <c r="AY1789" s="82">
        <f>($L1789-$H1789)*100</f>
        <v/>
      </c>
      <c r="AZ1789" s="82">
        <f>($L1789-$J1789)*100</f>
        <v/>
      </c>
      <c r="BA1789" s="82">
        <f>(2*$H1789-$F1789-$J1789)*100</f>
        <v/>
      </c>
      <c r="BB1789" s="82">
        <f>(2*$J1789-$H1789-$L1789)*100</f>
        <v/>
      </c>
      <c r="BC1789" s="82">
        <f>($N1789-$F1789)*100</f>
        <v/>
      </c>
      <c r="BD1789" s="82">
        <f>($Q1789-$H1789)*100</f>
        <v/>
      </c>
      <c r="BE1789" s="82">
        <f>($S1789-$J1789)*100</f>
        <v/>
      </c>
      <c r="BF1789" s="82">
        <f>($V1789-$L1789)*100</f>
        <v/>
      </c>
      <c r="BG1789" s="82">
        <f>$AG1789-$AF1789</f>
        <v/>
      </c>
      <c r="BH1789" s="81">
        <f>IFERROR($AG1789/$AF1789,"")</f>
        <v/>
      </c>
      <c r="BI1789" s="82">
        <f>$AJ1789-$AF1789</f>
        <v/>
      </c>
      <c r="BJ1789" s="81">
        <f>IFERROR($AJ1789/$AG1789,"")</f>
        <v/>
      </c>
      <c r="BK1789" s="81">
        <f>$X1789</f>
        <v/>
      </c>
      <c r="BL1789" s="82">
        <f>($J1789-$J1790)*100</f>
        <v/>
      </c>
      <c r="BM1789" s="82">
        <f>($F1789-$F1790)*100</f>
        <v/>
      </c>
      <c r="BN1789" s="82">
        <f>$AF1789-$AF1790</f>
        <v/>
      </c>
      <c r="BO1789" s="82">
        <f>$AG1789-$AG1790</f>
        <v/>
      </c>
      <c r="BP1789" s="82">
        <f>$AJ1789-$AJ1790</f>
        <v/>
      </c>
    </row>
    <row r="1790">
      <c r="AR1790" s="81">
        <f>($G1790+($H1790-$G1790)*0.5)+($P1790-($O1790+($Q1790-$O1790)*0.5))</f>
        <v/>
      </c>
      <c r="AS1790" s="81">
        <f>($J1790+($K1790-$J1790)*0.5)+($T1790-($S1790+($U1790-$S1790)*0.5))</f>
        <v/>
      </c>
      <c r="AT1790" s="82">
        <f>($J1790-$C1790)*100</f>
        <v/>
      </c>
      <c r="AU1790" s="82">
        <f>($H1790-$F1790)*100</f>
        <v/>
      </c>
      <c r="AV1790" s="82">
        <f>($J1790-$F1790)*100</f>
        <v/>
      </c>
      <c r="AW1790" s="82">
        <f>($L1790-$F1790)*100</f>
        <v/>
      </c>
      <c r="AX1790" s="82">
        <f>($J1790-$H1790)*100</f>
        <v/>
      </c>
      <c r="AY1790" s="82">
        <f>($L1790-$H1790)*100</f>
        <v/>
      </c>
      <c r="AZ1790" s="82">
        <f>($L1790-$J1790)*100</f>
        <v/>
      </c>
      <c r="BA1790" s="82">
        <f>(2*$H1790-$F1790-$J1790)*100</f>
        <v/>
      </c>
      <c r="BB1790" s="82">
        <f>(2*$J1790-$H1790-$L1790)*100</f>
        <v/>
      </c>
      <c r="BC1790" s="82">
        <f>($N1790-$F1790)*100</f>
        <v/>
      </c>
      <c r="BD1790" s="82">
        <f>($Q1790-$H1790)*100</f>
        <v/>
      </c>
      <c r="BE1790" s="82">
        <f>($S1790-$J1790)*100</f>
        <v/>
      </c>
      <c r="BF1790" s="82">
        <f>($V1790-$L1790)*100</f>
        <v/>
      </c>
      <c r="BG1790" s="82">
        <f>$AG1790-$AF1790</f>
        <v/>
      </c>
      <c r="BH1790" s="81">
        <f>IFERROR($AG1790/$AF1790,"")</f>
        <v/>
      </c>
      <c r="BI1790" s="82">
        <f>$AJ1790-$AF1790</f>
        <v/>
      </c>
      <c r="BJ1790" s="81">
        <f>IFERROR($AJ1790/$AG1790,"")</f>
        <v/>
      </c>
      <c r="BK1790" s="81">
        <f>$X1790</f>
        <v/>
      </c>
      <c r="BL1790" s="82">
        <f>($J1790-$J1791)*100</f>
        <v/>
      </c>
      <c r="BM1790" s="82">
        <f>($F1790-$F1791)*100</f>
        <v/>
      </c>
      <c r="BN1790" s="82">
        <f>$AF1790-$AF1791</f>
        <v/>
      </c>
      <c r="BO1790" s="82">
        <f>$AG1790-$AG1791</f>
        <v/>
      </c>
      <c r="BP1790" s="82">
        <f>$AJ1790-$AJ1791</f>
        <v/>
      </c>
    </row>
    <row r="1791">
      <c r="AR1791" s="81">
        <f>($G1791+($H1791-$G1791)*0.5)+($P1791-($O1791+($Q1791-$O1791)*0.5))</f>
        <v/>
      </c>
      <c r="AS1791" s="81">
        <f>($J1791+($K1791-$J1791)*0.5)+($T1791-($S1791+($U1791-$S1791)*0.5))</f>
        <v/>
      </c>
      <c r="AT1791" s="82">
        <f>($J1791-$C1791)*100</f>
        <v/>
      </c>
      <c r="AU1791" s="82">
        <f>($H1791-$F1791)*100</f>
        <v/>
      </c>
      <c r="AV1791" s="82">
        <f>($J1791-$F1791)*100</f>
        <v/>
      </c>
      <c r="AW1791" s="82">
        <f>($L1791-$F1791)*100</f>
        <v/>
      </c>
      <c r="AX1791" s="82">
        <f>($J1791-$H1791)*100</f>
        <v/>
      </c>
      <c r="AY1791" s="82">
        <f>($L1791-$H1791)*100</f>
        <v/>
      </c>
      <c r="AZ1791" s="82">
        <f>($L1791-$J1791)*100</f>
        <v/>
      </c>
      <c r="BA1791" s="82">
        <f>(2*$H1791-$F1791-$J1791)*100</f>
        <v/>
      </c>
      <c r="BB1791" s="82">
        <f>(2*$J1791-$H1791-$L1791)*100</f>
        <v/>
      </c>
      <c r="BC1791" s="82">
        <f>($N1791-$F1791)*100</f>
        <v/>
      </c>
      <c r="BD1791" s="82">
        <f>($Q1791-$H1791)*100</f>
        <v/>
      </c>
      <c r="BE1791" s="82">
        <f>($S1791-$J1791)*100</f>
        <v/>
      </c>
      <c r="BF1791" s="82">
        <f>($V1791-$L1791)*100</f>
        <v/>
      </c>
      <c r="BG1791" s="82">
        <f>$AG1791-$AF1791</f>
        <v/>
      </c>
      <c r="BH1791" s="81">
        <f>IFERROR($AG1791/$AF1791,"")</f>
        <v/>
      </c>
      <c r="BI1791" s="82">
        <f>$AJ1791-$AF1791</f>
        <v/>
      </c>
      <c r="BJ1791" s="81">
        <f>IFERROR($AJ1791/$AG1791,"")</f>
        <v/>
      </c>
      <c r="BK1791" s="81">
        <f>$X1791</f>
        <v/>
      </c>
      <c r="BL1791" s="82">
        <f>($J1791-$J1792)*100</f>
        <v/>
      </c>
      <c r="BM1791" s="82">
        <f>($F1791-$F1792)*100</f>
        <v/>
      </c>
      <c r="BN1791" s="82">
        <f>$AF1791-$AF1792</f>
        <v/>
      </c>
      <c r="BO1791" s="82">
        <f>$AG1791-$AG1792</f>
        <v/>
      </c>
      <c r="BP1791" s="82">
        <f>$AJ1791-$AJ1792</f>
        <v/>
      </c>
    </row>
    <row r="1792">
      <c r="AR1792" s="81">
        <f>($G1792+($H1792-$G1792)*0.5)+($P1792-($O1792+($Q1792-$O1792)*0.5))</f>
        <v/>
      </c>
      <c r="AS1792" s="81">
        <f>($J1792+($K1792-$J1792)*0.5)+($T1792-($S1792+($U1792-$S1792)*0.5))</f>
        <v/>
      </c>
      <c r="AT1792" s="82">
        <f>($J1792-$C1792)*100</f>
        <v/>
      </c>
      <c r="AU1792" s="82">
        <f>($H1792-$F1792)*100</f>
        <v/>
      </c>
      <c r="AV1792" s="82">
        <f>($J1792-$F1792)*100</f>
        <v/>
      </c>
      <c r="AW1792" s="82">
        <f>($L1792-$F1792)*100</f>
        <v/>
      </c>
      <c r="AX1792" s="82">
        <f>($J1792-$H1792)*100</f>
        <v/>
      </c>
      <c r="AY1792" s="82">
        <f>($L1792-$H1792)*100</f>
        <v/>
      </c>
      <c r="AZ1792" s="82">
        <f>($L1792-$J1792)*100</f>
        <v/>
      </c>
      <c r="BA1792" s="82">
        <f>(2*$H1792-$F1792-$J1792)*100</f>
        <v/>
      </c>
      <c r="BB1792" s="82">
        <f>(2*$J1792-$H1792-$L1792)*100</f>
        <v/>
      </c>
      <c r="BC1792" s="82">
        <f>($N1792-$F1792)*100</f>
        <v/>
      </c>
      <c r="BD1792" s="82">
        <f>($Q1792-$H1792)*100</f>
        <v/>
      </c>
      <c r="BE1792" s="82">
        <f>($S1792-$J1792)*100</f>
        <v/>
      </c>
      <c r="BF1792" s="82">
        <f>($V1792-$L1792)*100</f>
        <v/>
      </c>
      <c r="BG1792" s="82">
        <f>$AG1792-$AF1792</f>
        <v/>
      </c>
      <c r="BH1792" s="81">
        <f>IFERROR($AG1792/$AF1792,"")</f>
        <v/>
      </c>
      <c r="BI1792" s="82">
        <f>$AJ1792-$AF1792</f>
        <v/>
      </c>
      <c r="BJ1792" s="81">
        <f>IFERROR($AJ1792/$AG1792,"")</f>
        <v/>
      </c>
      <c r="BK1792" s="81">
        <f>$X1792</f>
        <v/>
      </c>
      <c r="BL1792" s="82">
        <f>($J1792-$J1793)*100</f>
        <v/>
      </c>
      <c r="BM1792" s="82">
        <f>($F1792-$F1793)*100</f>
        <v/>
      </c>
      <c r="BN1792" s="82">
        <f>$AF1792-$AF1793</f>
        <v/>
      </c>
      <c r="BO1792" s="82">
        <f>$AG1792-$AG1793</f>
        <v/>
      </c>
      <c r="BP1792" s="82">
        <f>$AJ1792-$AJ1793</f>
        <v/>
      </c>
    </row>
    <row r="1793">
      <c r="AR1793" s="81">
        <f>($G1793+($H1793-$G1793)*0.5)+($P1793-($O1793+($Q1793-$O1793)*0.5))</f>
        <v/>
      </c>
      <c r="AS1793" s="81">
        <f>($J1793+($K1793-$J1793)*0.5)+($T1793-($S1793+($U1793-$S1793)*0.5))</f>
        <v/>
      </c>
      <c r="AT1793" s="82">
        <f>($J1793-$C1793)*100</f>
        <v/>
      </c>
      <c r="AU1793" s="82">
        <f>($H1793-$F1793)*100</f>
        <v/>
      </c>
      <c r="AV1793" s="82">
        <f>($J1793-$F1793)*100</f>
        <v/>
      </c>
      <c r="AW1793" s="82">
        <f>($L1793-$F1793)*100</f>
        <v/>
      </c>
      <c r="AX1793" s="82">
        <f>($J1793-$H1793)*100</f>
        <v/>
      </c>
      <c r="AY1793" s="82">
        <f>($L1793-$H1793)*100</f>
        <v/>
      </c>
      <c r="AZ1793" s="82">
        <f>($L1793-$J1793)*100</f>
        <v/>
      </c>
      <c r="BA1793" s="82">
        <f>(2*$H1793-$F1793-$J1793)*100</f>
        <v/>
      </c>
      <c r="BB1793" s="82">
        <f>(2*$J1793-$H1793-$L1793)*100</f>
        <v/>
      </c>
      <c r="BC1793" s="82">
        <f>($N1793-$F1793)*100</f>
        <v/>
      </c>
      <c r="BD1793" s="82">
        <f>($Q1793-$H1793)*100</f>
        <v/>
      </c>
      <c r="BE1793" s="82">
        <f>($S1793-$J1793)*100</f>
        <v/>
      </c>
      <c r="BF1793" s="82">
        <f>($V1793-$L1793)*100</f>
        <v/>
      </c>
      <c r="BG1793" s="82">
        <f>$AG1793-$AF1793</f>
        <v/>
      </c>
      <c r="BH1793" s="81">
        <f>IFERROR($AG1793/$AF1793,"")</f>
        <v/>
      </c>
      <c r="BI1793" s="82">
        <f>$AJ1793-$AF1793</f>
        <v/>
      </c>
      <c r="BJ1793" s="81">
        <f>IFERROR($AJ1793/$AG1793,"")</f>
        <v/>
      </c>
      <c r="BK1793" s="81">
        <f>$X1793</f>
        <v/>
      </c>
      <c r="BL1793" s="82">
        <f>($J1793-$J1794)*100</f>
        <v/>
      </c>
      <c r="BM1793" s="82">
        <f>($F1793-$F1794)*100</f>
        <v/>
      </c>
      <c r="BN1793" s="82">
        <f>$AF1793-$AF1794</f>
        <v/>
      </c>
      <c r="BO1793" s="82">
        <f>$AG1793-$AG1794</f>
        <v/>
      </c>
      <c r="BP1793" s="82">
        <f>$AJ1793-$AJ1794</f>
        <v/>
      </c>
    </row>
    <row r="1794">
      <c r="AR1794" s="81">
        <f>($G1794+($H1794-$G1794)*0.5)+($P1794-($O1794+($Q1794-$O1794)*0.5))</f>
        <v/>
      </c>
      <c r="AS1794" s="81">
        <f>($J1794+($K1794-$J1794)*0.5)+($T1794-($S1794+($U1794-$S1794)*0.5))</f>
        <v/>
      </c>
      <c r="AT1794" s="82">
        <f>($J1794-$C1794)*100</f>
        <v/>
      </c>
      <c r="AU1794" s="82">
        <f>($H1794-$F1794)*100</f>
        <v/>
      </c>
      <c r="AV1794" s="82">
        <f>($J1794-$F1794)*100</f>
        <v/>
      </c>
      <c r="AW1794" s="82">
        <f>($L1794-$F1794)*100</f>
        <v/>
      </c>
      <c r="AX1794" s="82">
        <f>($J1794-$H1794)*100</f>
        <v/>
      </c>
      <c r="AY1794" s="82">
        <f>($L1794-$H1794)*100</f>
        <v/>
      </c>
      <c r="AZ1794" s="82">
        <f>($L1794-$J1794)*100</f>
        <v/>
      </c>
      <c r="BA1794" s="82">
        <f>(2*$H1794-$F1794-$J1794)*100</f>
        <v/>
      </c>
      <c r="BB1794" s="82">
        <f>(2*$J1794-$H1794-$L1794)*100</f>
        <v/>
      </c>
      <c r="BC1794" s="82">
        <f>($N1794-$F1794)*100</f>
        <v/>
      </c>
      <c r="BD1794" s="82">
        <f>($Q1794-$H1794)*100</f>
        <v/>
      </c>
      <c r="BE1794" s="82">
        <f>($S1794-$J1794)*100</f>
        <v/>
      </c>
      <c r="BF1794" s="82">
        <f>($V1794-$L1794)*100</f>
        <v/>
      </c>
      <c r="BG1794" s="82">
        <f>$AG1794-$AF1794</f>
        <v/>
      </c>
      <c r="BH1794" s="81">
        <f>IFERROR($AG1794/$AF1794,"")</f>
        <v/>
      </c>
      <c r="BI1794" s="82">
        <f>$AJ1794-$AF1794</f>
        <v/>
      </c>
      <c r="BJ1794" s="81">
        <f>IFERROR($AJ1794/$AG1794,"")</f>
        <v/>
      </c>
      <c r="BK1794" s="81">
        <f>$X1794</f>
        <v/>
      </c>
      <c r="BL1794" s="82">
        <f>($J1794-$J1795)*100</f>
        <v/>
      </c>
      <c r="BM1794" s="82">
        <f>($F1794-$F1795)*100</f>
        <v/>
      </c>
      <c r="BN1794" s="82">
        <f>$AF1794-$AF1795</f>
        <v/>
      </c>
      <c r="BO1794" s="82">
        <f>$AG1794-$AG1795</f>
        <v/>
      </c>
      <c r="BP1794" s="82">
        <f>$AJ1794-$AJ1795</f>
        <v/>
      </c>
    </row>
    <row r="1795">
      <c r="AR1795" s="81">
        <f>($G1795+($H1795-$G1795)*0.5)+($P1795-($O1795+($Q1795-$O1795)*0.5))</f>
        <v/>
      </c>
      <c r="AS1795" s="81">
        <f>($J1795+($K1795-$J1795)*0.5)+($T1795-($S1795+($U1795-$S1795)*0.5))</f>
        <v/>
      </c>
      <c r="AT1795" s="82">
        <f>($J1795-$C1795)*100</f>
        <v/>
      </c>
      <c r="AU1795" s="82">
        <f>($H1795-$F1795)*100</f>
        <v/>
      </c>
      <c r="AV1795" s="82">
        <f>($J1795-$F1795)*100</f>
        <v/>
      </c>
      <c r="AW1795" s="82">
        <f>($L1795-$F1795)*100</f>
        <v/>
      </c>
      <c r="AX1795" s="82">
        <f>($J1795-$H1795)*100</f>
        <v/>
      </c>
      <c r="AY1795" s="82">
        <f>($L1795-$H1795)*100</f>
        <v/>
      </c>
      <c r="AZ1795" s="82">
        <f>($L1795-$J1795)*100</f>
        <v/>
      </c>
      <c r="BA1795" s="82">
        <f>(2*$H1795-$F1795-$J1795)*100</f>
        <v/>
      </c>
      <c r="BB1795" s="82">
        <f>(2*$J1795-$H1795-$L1795)*100</f>
        <v/>
      </c>
      <c r="BC1795" s="82">
        <f>($N1795-$F1795)*100</f>
        <v/>
      </c>
      <c r="BD1795" s="82">
        <f>($Q1795-$H1795)*100</f>
        <v/>
      </c>
      <c r="BE1795" s="82">
        <f>($S1795-$J1795)*100</f>
        <v/>
      </c>
      <c r="BF1795" s="82">
        <f>($V1795-$L1795)*100</f>
        <v/>
      </c>
      <c r="BG1795" s="82">
        <f>$AG1795-$AF1795</f>
        <v/>
      </c>
      <c r="BH1795" s="81">
        <f>IFERROR($AG1795/$AF1795,"")</f>
        <v/>
      </c>
      <c r="BI1795" s="82">
        <f>$AJ1795-$AF1795</f>
        <v/>
      </c>
      <c r="BJ1795" s="81">
        <f>IFERROR($AJ1795/$AG1795,"")</f>
        <v/>
      </c>
      <c r="BK1795" s="81">
        <f>$X1795</f>
        <v/>
      </c>
      <c r="BL1795" s="82">
        <f>($J1795-$J1796)*100</f>
        <v/>
      </c>
      <c r="BM1795" s="82">
        <f>($F1795-$F1796)*100</f>
        <v/>
      </c>
      <c r="BN1795" s="82">
        <f>$AF1795-$AF1796</f>
        <v/>
      </c>
      <c r="BO1795" s="82">
        <f>$AG1795-$AG1796</f>
        <v/>
      </c>
      <c r="BP1795" s="82">
        <f>$AJ1795-$AJ1796</f>
        <v/>
      </c>
    </row>
    <row r="1796">
      <c r="AR1796" s="81">
        <f>($G1796+($H1796-$G1796)*0.5)+($P1796-($O1796+($Q1796-$O1796)*0.5))</f>
        <v/>
      </c>
      <c r="AS1796" s="81">
        <f>($J1796+($K1796-$J1796)*0.5)+($T1796-($S1796+($U1796-$S1796)*0.5))</f>
        <v/>
      </c>
      <c r="AT1796" s="82">
        <f>($J1796-$C1796)*100</f>
        <v/>
      </c>
      <c r="AU1796" s="82">
        <f>($H1796-$F1796)*100</f>
        <v/>
      </c>
      <c r="AV1796" s="82">
        <f>($J1796-$F1796)*100</f>
        <v/>
      </c>
      <c r="AW1796" s="82">
        <f>($L1796-$F1796)*100</f>
        <v/>
      </c>
      <c r="AX1796" s="82">
        <f>($J1796-$H1796)*100</f>
        <v/>
      </c>
      <c r="AY1796" s="82">
        <f>($L1796-$H1796)*100</f>
        <v/>
      </c>
      <c r="AZ1796" s="82">
        <f>($L1796-$J1796)*100</f>
        <v/>
      </c>
      <c r="BA1796" s="82">
        <f>(2*$H1796-$F1796-$J1796)*100</f>
        <v/>
      </c>
      <c r="BB1796" s="82">
        <f>(2*$J1796-$H1796-$L1796)*100</f>
        <v/>
      </c>
      <c r="BC1796" s="82">
        <f>($N1796-$F1796)*100</f>
        <v/>
      </c>
      <c r="BD1796" s="82">
        <f>($Q1796-$H1796)*100</f>
        <v/>
      </c>
      <c r="BE1796" s="82">
        <f>($S1796-$J1796)*100</f>
        <v/>
      </c>
      <c r="BF1796" s="82">
        <f>($V1796-$L1796)*100</f>
        <v/>
      </c>
      <c r="BG1796" s="82">
        <f>$AG1796-$AF1796</f>
        <v/>
      </c>
      <c r="BH1796" s="81">
        <f>IFERROR($AG1796/$AF1796,"")</f>
        <v/>
      </c>
      <c r="BI1796" s="82">
        <f>$AJ1796-$AF1796</f>
        <v/>
      </c>
      <c r="BJ1796" s="81">
        <f>IFERROR($AJ1796/$AG1796,"")</f>
        <v/>
      </c>
      <c r="BK1796" s="81">
        <f>$X1796</f>
        <v/>
      </c>
      <c r="BL1796" s="82">
        <f>($J1796-$J1797)*100</f>
        <v/>
      </c>
      <c r="BM1796" s="82">
        <f>($F1796-$F1797)*100</f>
        <v/>
      </c>
      <c r="BN1796" s="82">
        <f>$AF1796-$AF1797</f>
        <v/>
      </c>
      <c r="BO1796" s="82">
        <f>$AG1796-$AG1797</f>
        <v/>
      </c>
      <c r="BP1796" s="82">
        <f>$AJ1796-$AJ1797</f>
        <v/>
      </c>
    </row>
    <row r="1797">
      <c r="AR1797" s="81">
        <f>($G1797+($H1797-$G1797)*0.5)+($P1797-($O1797+($Q1797-$O1797)*0.5))</f>
        <v/>
      </c>
      <c r="AS1797" s="81">
        <f>($J1797+($K1797-$J1797)*0.5)+($T1797-($S1797+($U1797-$S1797)*0.5))</f>
        <v/>
      </c>
      <c r="AT1797" s="82">
        <f>($J1797-$C1797)*100</f>
        <v/>
      </c>
      <c r="AU1797" s="82">
        <f>($H1797-$F1797)*100</f>
        <v/>
      </c>
      <c r="AV1797" s="82">
        <f>($J1797-$F1797)*100</f>
        <v/>
      </c>
      <c r="AW1797" s="82">
        <f>($L1797-$F1797)*100</f>
        <v/>
      </c>
      <c r="AX1797" s="82">
        <f>($J1797-$H1797)*100</f>
        <v/>
      </c>
      <c r="AY1797" s="82">
        <f>($L1797-$H1797)*100</f>
        <v/>
      </c>
      <c r="AZ1797" s="82">
        <f>($L1797-$J1797)*100</f>
        <v/>
      </c>
      <c r="BA1797" s="82">
        <f>(2*$H1797-$F1797-$J1797)*100</f>
        <v/>
      </c>
      <c r="BB1797" s="82">
        <f>(2*$J1797-$H1797-$L1797)*100</f>
        <v/>
      </c>
      <c r="BC1797" s="82">
        <f>($N1797-$F1797)*100</f>
        <v/>
      </c>
      <c r="BD1797" s="82">
        <f>($Q1797-$H1797)*100</f>
        <v/>
      </c>
      <c r="BE1797" s="82">
        <f>($S1797-$J1797)*100</f>
        <v/>
      </c>
      <c r="BF1797" s="82">
        <f>($V1797-$L1797)*100</f>
        <v/>
      </c>
      <c r="BG1797" s="82">
        <f>$AG1797-$AF1797</f>
        <v/>
      </c>
      <c r="BH1797" s="81">
        <f>IFERROR($AG1797/$AF1797,"")</f>
        <v/>
      </c>
      <c r="BI1797" s="82">
        <f>$AJ1797-$AF1797</f>
        <v/>
      </c>
      <c r="BJ1797" s="81">
        <f>IFERROR($AJ1797/$AG1797,"")</f>
        <v/>
      </c>
      <c r="BK1797" s="81">
        <f>$X1797</f>
        <v/>
      </c>
      <c r="BL1797" s="82">
        <f>($J1797-$J1798)*100</f>
        <v/>
      </c>
      <c r="BM1797" s="82">
        <f>($F1797-$F1798)*100</f>
        <v/>
      </c>
      <c r="BN1797" s="82">
        <f>$AF1797-$AF1798</f>
        <v/>
      </c>
      <c r="BO1797" s="82">
        <f>$AG1797-$AG1798</f>
        <v/>
      </c>
      <c r="BP1797" s="82">
        <f>$AJ1797-$AJ1798</f>
        <v/>
      </c>
    </row>
    <row r="1798">
      <c r="AR1798" s="81">
        <f>($G1798+($H1798-$G1798)*0.5)+($P1798-($O1798+($Q1798-$O1798)*0.5))</f>
        <v/>
      </c>
      <c r="AS1798" s="81">
        <f>($J1798+($K1798-$J1798)*0.5)+($T1798-($S1798+($U1798-$S1798)*0.5))</f>
        <v/>
      </c>
      <c r="AT1798" s="82">
        <f>($J1798-$C1798)*100</f>
        <v/>
      </c>
      <c r="AU1798" s="82">
        <f>($H1798-$F1798)*100</f>
        <v/>
      </c>
      <c r="AV1798" s="82">
        <f>($J1798-$F1798)*100</f>
        <v/>
      </c>
      <c r="AW1798" s="82">
        <f>($L1798-$F1798)*100</f>
        <v/>
      </c>
      <c r="AX1798" s="82">
        <f>($J1798-$H1798)*100</f>
        <v/>
      </c>
      <c r="AY1798" s="82">
        <f>($L1798-$H1798)*100</f>
        <v/>
      </c>
      <c r="AZ1798" s="82">
        <f>($L1798-$J1798)*100</f>
        <v/>
      </c>
      <c r="BA1798" s="82">
        <f>(2*$H1798-$F1798-$J1798)*100</f>
        <v/>
      </c>
      <c r="BB1798" s="82">
        <f>(2*$J1798-$H1798-$L1798)*100</f>
        <v/>
      </c>
      <c r="BC1798" s="82">
        <f>($N1798-$F1798)*100</f>
        <v/>
      </c>
      <c r="BD1798" s="82">
        <f>($Q1798-$H1798)*100</f>
        <v/>
      </c>
      <c r="BE1798" s="82">
        <f>($S1798-$J1798)*100</f>
        <v/>
      </c>
      <c r="BF1798" s="82">
        <f>($V1798-$L1798)*100</f>
        <v/>
      </c>
      <c r="BG1798" s="82">
        <f>$AG1798-$AF1798</f>
        <v/>
      </c>
      <c r="BH1798" s="81">
        <f>IFERROR($AG1798/$AF1798,"")</f>
        <v/>
      </c>
      <c r="BI1798" s="82">
        <f>$AJ1798-$AF1798</f>
        <v/>
      </c>
      <c r="BJ1798" s="81">
        <f>IFERROR($AJ1798/$AG1798,"")</f>
        <v/>
      </c>
      <c r="BK1798" s="81">
        <f>$X1798</f>
        <v/>
      </c>
      <c r="BL1798" s="82">
        <f>($J1798-$J1799)*100</f>
        <v/>
      </c>
      <c r="BM1798" s="82">
        <f>($F1798-$F1799)*100</f>
        <v/>
      </c>
      <c r="BN1798" s="82">
        <f>$AF1798-$AF1799</f>
        <v/>
      </c>
      <c r="BO1798" s="82">
        <f>$AG1798-$AG1799</f>
        <v/>
      </c>
      <c r="BP1798" s="82">
        <f>$AJ1798-$AJ1799</f>
        <v/>
      </c>
    </row>
    <row r="1799">
      <c r="AR1799" s="81">
        <f>($G1799+($H1799-$G1799)*0.5)+($P1799-($O1799+($Q1799-$O1799)*0.5))</f>
        <v/>
      </c>
      <c r="AS1799" s="81">
        <f>($J1799+($K1799-$J1799)*0.5)+($T1799-($S1799+($U1799-$S1799)*0.5))</f>
        <v/>
      </c>
      <c r="AT1799" s="82">
        <f>($J1799-$C1799)*100</f>
        <v/>
      </c>
      <c r="AU1799" s="82">
        <f>($H1799-$F1799)*100</f>
        <v/>
      </c>
      <c r="AV1799" s="82">
        <f>($J1799-$F1799)*100</f>
        <v/>
      </c>
      <c r="AW1799" s="82">
        <f>($L1799-$F1799)*100</f>
        <v/>
      </c>
      <c r="AX1799" s="82">
        <f>($J1799-$H1799)*100</f>
        <v/>
      </c>
      <c r="AY1799" s="82">
        <f>($L1799-$H1799)*100</f>
        <v/>
      </c>
      <c r="AZ1799" s="82">
        <f>($L1799-$J1799)*100</f>
        <v/>
      </c>
      <c r="BA1799" s="82">
        <f>(2*$H1799-$F1799-$J1799)*100</f>
        <v/>
      </c>
      <c r="BB1799" s="82">
        <f>(2*$J1799-$H1799-$L1799)*100</f>
        <v/>
      </c>
      <c r="BC1799" s="82">
        <f>($N1799-$F1799)*100</f>
        <v/>
      </c>
      <c r="BD1799" s="82">
        <f>($Q1799-$H1799)*100</f>
        <v/>
      </c>
      <c r="BE1799" s="82">
        <f>($S1799-$J1799)*100</f>
        <v/>
      </c>
      <c r="BF1799" s="82">
        <f>($V1799-$L1799)*100</f>
        <v/>
      </c>
      <c r="BG1799" s="82">
        <f>$AG1799-$AF1799</f>
        <v/>
      </c>
      <c r="BH1799" s="81">
        <f>IFERROR($AG1799/$AF1799,"")</f>
        <v/>
      </c>
      <c r="BI1799" s="82">
        <f>$AJ1799-$AF1799</f>
        <v/>
      </c>
      <c r="BJ1799" s="81">
        <f>IFERROR($AJ1799/$AG1799,"")</f>
        <v/>
      </c>
      <c r="BK1799" s="81">
        <f>$X1799</f>
        <v/>
      </c>
      <c r="BL1799" s="82">
        <f>($J1799-$J1800)*100</f>
        <v/>
      </c>
      <c r="BM1799" s="82">
        <f>($F1799-$F1800)*100</f>
        <v/>
      </c>
      <c r="BN1799" s="82">
        <f>$AF1799-$AF1800</f>
        <v/>
      </c>
      <c r="BO1799" s="82">
        <f>$AG1799-$AG1800</f>
        <v/>
      </c>
      <c r="BP1799" s="82">
        <f>$AJ1799-$AJ1800</f>
        <v/>
      </c>
    </row>
    <row r="1800">
      <c r="AR1800" s="81">
        <f>($G1800+($H1800-$G1800)*0.5)+($P1800-($O1800+($Q1800-$O1800)*0.5))</f>
        <v/>
      </c>
      <c r="AS1800" s="81">
        <f>($J1800+($K1800-$J1800)*0.5)+($T1800-($S1800+($U1800-$S1800)*0.5))</f>
        <v/>
      </c>
      <c r="AT1800" s="82">
        <f>($J1800-$C1800)*100</f>
        <v/>
      </c>
      <c r="AU1800" s="82">
        <f>($H1800-$F1800)*100</f>
        <v/>
      </c>
      <c r="AV1800" s="82">
        <f>($J1800-$F1800)*100</f>
        <v/>
      </c>
      <c r="AW1800" s="82">
        <f>($L1800-$F1800)*100</f>
        <v/>
      </c>
      <c r="AX1800" s="82">
        <f>($J1800-$H1800)*100</f>
        <v/>
      </c>
      <c r="AY1800" s="82">
        <f>($L1800-$H1800)*100</f>
        <v/>
      </c>
      <c r="AZ1800" s="82">
        <f>($L1800-$J1800)*100</f>
        <v/>
      </c>
      <c r="BA1800" s="82">
        <f>(2*$H1800-$F1800-$J1800)*100</f>
        <v/>
      </c>
      <c r="BB1800" s="82">
        <f>(2*$J1800-$H1800-$L1800)*100</f>
        <v/>
      </c>
      <c r="BC1800" s="82">
        <f>($N1800-$F1800)*100</f>
        <v/>
      </c>
      <c r="BD1800" s="82">
        <f>($Q1800-$H1800)*100</f>
        <v/>
      </c>
      <c r="BE1800" s="82">
        <f>($S1800-$J1800)*100</f>
        <v/>
      </c>
      <c r="BF1800" s="82">
        <f>($V1800-$L1800)*100</f>
        <v/>
      </c>
      <c r="BG1800" s="82">
        <f>$AG1800-$AF1800</f>
        <v/>
      </c>
      <c r="BH1800" s="81">
        <f>IFERROR($AG1800/$AF1800,"")</f>
        <v/>
      </c>
      <c r="BI1800" s="82">
        <f>$AJ1800-$AF1800</f>
        <v/>
      </c>
      <c r="BJ1800" s="81">
        <f>IFERROR($AJ1800/$AG1800,"")</f>
        <v/>
      </c>
      <c r="BK1800" s="81">
        <f>$X1800</f>
        <v/>
      </c>
      <c r="BL1800" s="82">
        <f>($J1800-$J1801)*100</f>
        <v/>
      </c>
      <c r="BM1800" s="82">
        <f>($F1800-$F1801)*100</f>
        <v/>
      </c>
      <c r="BN1800" s="82">
        <f>$AF1800-$AF1801</f>
        <v/>
      </c>
      <c r="BO1800" s="82">
        <f>$AG1800-$AG1801</f>
        <v/>
      </c>
      <c r="BP1800" s="82">
        <f>$AJ1800-$AJ1801</f>
        <v/>
      </c>
    </row>
    <row r="1801">
      <c r="AR1801" s="81">
        <f>($G1801+($H1801-$G1801)*0.5)+($P1801-($O1801+($Q1801-$O1801)*0.5))</f>
        <v/>
      </c>
      <c r="AS1801" s="81">
        <f>($J1801+($K1801-$J1801)*0.5)+($T1801-($S1801+($U1801-$S1801)*0.5))</f>
        <v/>
      </c>
      <c r="AT1801" s="82">
        <f>($J1801-$C1801)*100</f>
        <v/>
      </c>
      <c r="AU1801" s="82">
        <f>($H1801-$F1801)*100</f>
        <v/>
      </c>
      <c r="AV1801" s="82">
        <f>($J1801-$F1801)*100</f>
        <v/>
      </c>
      <c r="AW1801" s="82">
        <f>($L1801-$F1801)*100</f>
        <v/>
      </c>
      <c r="AX1801" s="82">
        <f>($J1801-$H1801)*100</f>
        <v/>
      </c>
      <c r="AY1801" s="82">
        <f>($L1801-$H1801)*100</f>
        <v/>
      </c>
      <c r="AZ1801" s="82">
        <f>($L1801-$J1801)*100</f>
        <v/>
      </c>
      <c r="BA1801" s="82">
        <f>(2*$H1801-$F1801-$J1801)*100</f>
        <v/>
      </c>
      <c r="BB1801" s="82">
        <f>(2*$J1801-$H1801-$L1801)*100</f>
        <v/>
      </c>
      <c r="BC1801" s="82">
        <f>($N1801-$F1801)*100</f>
        <v/>
      </c>
      <c r="BD1801" s="82">
        <f>($Q1801-$H1801)*100</f>
        <v/>
      </c>
      <c r="BE1801" s="82">
        <f>($S1801-$J1801)*100</f>
        <v/>
      </c>
      <c r="BF1801" s="82">
        <f>($V1801-$L1801)*100</f>
        <v/>
      </c>
      <c r="BG1801" s="82">
        <f>$AG1801-$AF1801</f>
        <v/>
      </c>
      <c r="BH1801" s="81">
        <f>IFERROR($AG1801/$AF1801,"")</f>
        <v/>
      </c>
      <c r="BI1801" s="82">
        <f>$AJ1801-$AF1801</f>
        <v/>
      </c>
      <c r="BJ1801" s="81">
        <f>IFERROR($AJ1801/$AG1801,"")</f>
        <v/>
      </c>
      <c r="BK1801" s="81">
        <f>$X1801</f>
        <v/>
      </c>
      <c r="BL1801" s="82">
        <f>($J1801-$J1802)*100</f>
        <v/>
      </c>
      <c r="BM1801" s="82">
        <f>($F1801-$F1802)*100</f>
        <v/>
      </c>
      <c r="BN1801" s="82">
        <f>$AF1801-$AF1802</f>
        <v/>
      </c>
      <c r="BO1801" s="82">
        <f>$AG1801-$AG1802</f>
        <v/>
      </c>
      <c r="BP1801" s="82">
        <f>$AJ1801-$AJ1802</f>
        <v/>
      </c>
    </row>
    <row r="1802">
      <c r="AR1802" s="81">
        <f>($G1802+($H1802-$G1802)*0.5)+($P1802-($O1802+($Q1802-$O1802)*0.5))</f>
        <v/>
      </c>
      <c r="AS1802" s="81">
        <f>($J1802+($K1802-$J1802)*0.5)+($T1802-($S1802+($U1802-$S1802)*0.5))</f>
        <v/>
      </c>
      <c r="AT1802" s="82">
        <f>($J1802-$C1802)*100</f>
        <v/>
      </c>
      <c r="AU1802" s="82">
        <f>($H1802-$F1802)*100</f>
        <v/>
      </c>
      <c r="AV1802" s="82">
        <f>($J1802-$F1802)*100</f>
        <v/>
      </c>
      <c r="AW1802" s="82">
        <f>($L1802-$F1802)*100</f>
        <v/>
      </c>
      <c r="AX1802" s="82">
        <f>($J1802-$H1802)*100</f>
        <v/>
      </c>
      <c r="AY1802" s="82">
        <f>($L1802-$H1802)*100</f>
        <v/>
      </c>
      <c r="AZ1802" s="82">
        <f>($L1802-$J1802)*100</f>
        <v/>
      </c>
      <c r="BA1802" s="82">
        <f>(2*$H1802-$F1802-$J1802)*100</f>
        <v/>
      </c>
      <c r="BB1802" s="82">
        <f>(2*$J1802-$H1802-$L1802)*100</f>
        <v/>
      </c>
      <c r="BC1802" s="82">
        <f>($N1802-$F1802)*100</f>
        <v/>
      </c>
      <c r="BD1802" s="82">
        <f>($Q1802-$H1802)*100</f>
        <v/>
      </c>
      <c r="BE1802" s="82">
        <f>($S1802-$J1802)*100</f>
        <v/>
      </c>
      <c r="BF1802" s="82">
        <f>($V1802-$L1802)*100</f>
        <v/>
      </c>
      <c r="BG1802" s="82">
        <f>$AG1802-$AF1802</f>
        <v/>
      </c>
      <c r="BH1802" s="81">
        <f>IFERROR($AG1802/$AF1802,"")</f>
        <v/>
      </c>
      <c r="BI1802" s="82">
        <f>$AJ1802-$AF1802</f>
        <v/>
      </c>
      <c r="BJ1802" s="81">
        <f>IFERROR($AJ1802/$AG1802,"")</f>
        <v/>
      </c>
      <c r="BK1802" s="81">
        <f>$X1802</f>
        <v/>
      </c>
      <c r="BL1802" s="82">
        <f>($J1802-$J1803)*100</f>
        <v/>
      </c>
      <c r="BM1802" s="82">
        <f>($F1802-$F1803)*100</f>
        <v/>
      </c>
      <c r="BN1802" s="82">
        <f>$AF1802-$AF1803</f>
        <v/>
      </c>
      <c r="BO1802" s="82">
        <f>$AG1802-$AG1803</f>
        <v/>
      </c>
      <c r="BP1802" s="82">
        <f>$AJ1802-$AJ1803</f>
        <v/>
      </c>
    </row>
    <row r="1803">
      <c r="AR1803" s="81">
        <f>($G1803+($H1803-$G1803)*0.5)+($P1803-($O1803+($Q1803-$O1803)*0.5))</f>
        <v/>
      </c>
      <c r="AS1803" s="81">
        <f>($J1803+($K1803-$J1803)*0.5)+($T1803-($S1803+($U1803-$S1803)*0.5))</f>
        <v/>
      </c>
      <c r="AT1803" s="82">
        <f>($J1803-$C1803)*100</f>
        <v/>
      </c>
      <c r="AU1803" s="82">
        <f>($H1803-$F1803)*100</f>
        <v/>
      </c>
      <c r="AV1803" s="82">
        <f>($J1803-$F1803)*100</f>
        <v/>
      </c>
      <c r="AW1803" s="82">
        <f>($L1803-$F1803)*100</f>
        <v/>
      </c>
      <c r="AX1803" s="82">
        <f>($J1803-$H1803)*100</f>
        <v/>
      </c>
      <c r="AY1803" s="82">
        <f>($L1803-$H1803)*100</f>
        <v/>
      </c>
      <c r="AZ1803" s="82">
        <f>($L1803-$J1803)*100</f>
        <v/>
      </c>
      <c r="BA1803" s="82">
        <f>(2*$H1803-$F1803-$J1803)*100</f>
        <v/>
      </c>
      <c r="BB1803" s="82">
        <f>(2*$J1803-$H1803-$L1803)*100</f>
        <v/>
      </c>
      <c r="BC1803" s="82">
        <f>($N1803-$F1803)*100</f>
        <v/>
      </c>
      <c r="BD1803" s="82">
        <f>($Q1803-$H1803)*100</f>
        <v/>
      </c>
      <c r="BE1803" s="82">
        <f>($S1803-$J1803)*100</f>
        <v/>
      </c>
      <c r="BF1803" s="82">
        <f>($V1803-$L1803)*100</f>
        <v/>
      </c>
      <c r="BG1803" s="82">
        <f>$AG1803-$AF1803</f>
        <v/>
      </c>
      <c r="BH1803" s="81">
        <f>IFERROR($AG1803/$AF1803,"")</f>
        <v/>
      </c>
      <c r="BI1803" s="82">
        <f>$AJ1803-$AF1803</f>
        <v/>
      </c>
      <c r="BJ1803" s="81">
        <f>IFERROR($AJ1803/$AG1803,"")</f>
        <v/>
      </c>
      <c r="BK1803" s="81">
        <f>$X1803</f>
        <v/>
      </c>
      <c r="BL1803" s="82">
        <f>($J1803-$J1804)*100</f>
        <v/>
      </c>
      <c r="BM1803" s="82">
        <f>($F1803-$F1804)*100</f>
        <v/>
      </c>
      <c r="BN1803" s="82">
        <f>$AF1803-$AF1804</f>
        <v/>
      </c>
      <c r="BO1803" s="82">
        <f>$AG1803-$AG1804</f>
        <v/>
      </c>
      <c r="BP1803" s="82">
        <f>$AJ1803-$AJ1804</f>
        <v/>
      </c>
    </row>
    <row r="1804">
      <c r="AR1804" s="81">
        <f>($G1804+($H1804-$G1804)*0.5)+($P1804-($O1804+($Q1804-$O1804)*0.5))</f>
        <v/>
      </c>
      <c r="AS1804" s="81">
        <f>($J1804+($K1804-$J1804)*0.5)+($T1804-($S1804+($U1804-$S1804)*0.5))</f>
        <v/>
      </c>
      <c r="AT1804" s="82">
        <f>($J1804-$C1804)*100</f>
        <v/>
      </c>
      <c r="AU1804" s="82">
        <f>($H1804-$F1804)*100</f>
        <v/>
      </c>
      <c r="AV1804" s="82">
        <f>($J1804-$F1804)*100</f>
        <v/>
      </c>
      <c r="AW1804" s="82">
        <f>($L1804-$F1804)*100</f>
        <v/>
      </c>
      <c r="AX1804" s="82">
        <f>($J1804-$H1804)*100</f>
        <v/>
      </c>
      <c r="AY1804" s="82">
        <f>($L1804-$H1804)*100</f>
        <v/>
      </c>
      <c r="AZ1804" s="82">
        <f>($L1804-$J1804)*100</f>
        <v/>
      </c>
      <c r="BA1804" s="82">
        <f>(2*$H1804-$F1804-$J1804)*100</f>
        <v/>
      </c>
      <c r="BB1804" s="82">
        <f>(2*$J1804-$H1804-$L1804)*100</f>
        <v/>
      </c>
      <c r="BC1804" s="82">
        <f>($N1804-$F1804)*100</f>
        <v/>
      </c>
      <c r="BD1804" s="82">
        <f>($Q1804-$H1804)*100</f>
        <v/>
      </c>
      <c r="BE1804" s="82">
        <f>($S1804-$J1804)*100</f>
        <v/>
      </c>
      <c r="BF1804" s="82">
        <f>($V1804-$L1804)*100</f>
        <v/>
      </c>
      <c r="BG1804" s="82">
        <f>$AG1804-$AF1804</f>
        <v/>
      </c>
      <c r="BH1804" s="81">
        <f>IFERROR($AG1804/$AF1804,"")</f>
        <v/>
      </c>
      <c r="BI1804" s="82">
        <f>$AJ1804-$AF1804</f>
        <v/>
      </c>
      <c r="BJ1804" s="81">
        <f>IFERROR($AJ1804/$AG1804,"")</f>
        <v/>
      </c>
      <c r="BK1804" s="81">
        <f>$X1804</f>
        <v/>
      </c>
      <c r="BL1804" s="82">
        <f>($J1804-$J1805)*100</f>
        <v/>
      </c>
      <c r="BM1804" s="82">
        <f>($F1804-$F1805)*100</f>
        <v/>
      </c>
      <c r="BN1804" s="82">
        <f>$AF1804-$AF1805</f>
        <v/>
      </c>
      <c r="BO1804" s="82">
        <f>$AG1804-$AG1805</f>
        <v/>
      </c>
      <c r="BP1804" s="82">
        <f>$AJ1804-$AJ1805</f>
        <v/>
      </c>
    </row>
    <row r="1805">
      <c r="AR1805" s="81">
        <f>($G1805+($H1805-$G1805)*0.5)+($P1805-($O1805+($Q1805-$O1805)*0.5))</f>
        <v/>
      </c>
      <c r="AS1805" s="81">
        <f>($J1805+($K1805-$J1805)*0.5)+($T1805-($S1805+($U1805-$S1805)*0.5))</f>
        <v/>
      </c>
      <c r="AT1805" s="82">
        <f>($J1805-$C1805)*100</f>
        <v/>
      </c>
      <c r="AU1805" s="82">
        <f>($H1805-$F1805)*100</f>
        <v/>
      </c>
      <c r="AV1805" s="82">
        <f>($J1805-$F1805)*100</f>
        <v/>
      </c>
      <c r="AW1805" s="82">
        <f>($L1805-$F1805)*100</f>
        <v/>
      </c>
      <c r="AX1805" s="82">
        <f>($J1805-$H1805)*100</f>
        <v/>
      </c>
      <c r="AY1805" s="82">
        <f>($L1805-$H1805)*100</f>
        <v/>
      </c>
      <c r="AZ1805" s="82">
        <f>($L1805-$J1805)*100</f>
        <v/>
      </c>
      <c r="BA1805" s="82">
        <f>(2*$H1805-$F1805-$J1805)*100</f>
        <v/>
      </c>
      <c r="BB1805" s="82">
        <f>(2*$J1805-$H1805-$L1805)*100</f>
        <v/>
      </c>
      <c r="BC1805" s="82">
        <f>($N1805-$F1805)*100</f>
        <v/>
      </c>
      <c r="BD1805" s="82">
        <f>($Q1805-$H1805)*100</f>
        <v/>
      </c>
      <c r="BE1805" s="82">
        <f>($S1805-$J1805)*100</f>
        <v/>
      </c>
      <c r="BF1805" s="82">
        <f>($V1805-$L1805)*100</f>
        <v/>
      </c>
      <c r="BG1805" s="82">
        <f>$AG1805-$AF1805</f>
        <v/>
      </c>
      <c r="BH1805" s="81">
        <f>IFERROR($AG1805/$AF1805,"")</f>
        <v/>
      </c>
      <c r="BI1805" s="82">
        <f>$AJ1805-$AF1805</f>
        <v/>
      </c>
      <c r="BJ1805" s="81">
        <f>IFERROR($AJ1805/$AG1805,"")</f>
        <v/>
      </c>
      <c r="BK1805" s="81">
        <f>$X1805</f>
        <v/>
      </c>
      <c r="BL1805" s="82">
        <f>($J1805-$J1806)*100</f>
        <v/>
      </c>
      <c r="BM1805" s="82">
        <f>($F1805-$F1806)*100</f>
        <v/>
      </c>
      <c r="BN1805" s="82">
        <f>$AF1805-$AF1806</f>
        <v/>
      </c>
      <c r="BO1805" s="82">
        <f>$AG1805-$AG1806</f>
        <v/>
      </c>
      <c r="BP1805" s="82">
        <f>$AJ1805-$AJ1806</f>
        <v/>
      </c>
    </row>
    <row r="1806">
      <c r="AR1806" s="81">
        <f>($G1806+($H1806-$G1806)*0.5)+($P1806-($O1806+($Q1806-$O1806)*0.5))</f>
        <v/>
      </c>
      <c r="AS1806" s="81">
        <f>($J1806+($K1806-$J1806)*0.5)+($T1806-($S1806+($U1806-$S1806)*0.5))</f>
        <v/>
      </c>
      <c r="AT1806" s="82">
        <f>($J1806-$C1806)*100</f>
        <v/>
      </c>
      <c r="AU1806" s="82">
        <f>($H1806-$F1806)*100</f>
        <v/>
      </c>
      <c r="AV1806" s="82">
        <f>($J1806-$F1806)*100</f>
        <v/>
      </c>
      <c r="AW1806" s="82">
        <f>($L1806-$F1806)*100</f>
        <v/>
      </c>
      <c r="AX1806" s="82">
        <f>($J1806-$H1806)*100</f>
        <v/>
      </c>
      <c r="AY1806" s="82">
        <f>($L1806-$H1806)*100</f>
        <v/>
      </c>
      <c r="AZ1806" s="82">
        <f>($L1806-$J1806)*100</f>
        <v/>
      </c>
      <c r="BA1806" s="82">
        <f>(2*$H1806-$F1806-$J1806)*100</f>
        <v/>
      </c>
      <c r="BB1806" s="82">
        <f>(2*$J1806-$H1806-$L1806)*100</f>
        <v/>
      </c>
      <c r="BC1806" s="82">
        <f>($N1806-$F1806)*100</f>
        <v/>
      </c>
      <c r="BD1806" s="82">
        <f>($Q1806-$H1806)*100</f>
        <v/>
      </c>
      <c r="BE1806" s="82">
        <f>($S1806-$J1806)*100</f>
        <v/>
      </c>
      <c r="BF1806" s="82">
        <f>($V1806-$L1806)*100</f>
        <v/>
      </c>
      <c r="BG1806" s="82">
        <f>$AG1806-$AF1806</f>
        <v/>
      </c>
      <c r="BH1806" s="81">
        <f>IFERROR($AG1806/$AF1806,"")</f>
        <v/>
      </c>
      <c r="BI1806" s="82">
        <f>$AJ1806-$AF1806</f>
        <v/>
      </c>
      <c r="BJ1806" s="81">
        <f>IFERROR($AJ1806/$AG1806,"")</f>
        <v/>
      </c>
      <c r="BK1806" s="81">
        <f>$X1806</f>
        <v/>
      </c>
      <c r="BL1806" s="82">
        <f>($J1806-$J1807)*100</f>
        <v/>
      </c>
      <c r="BM1806" s="82">
        <f>($F1806-$F1807)*100</f>
        <v/>
      </c>
      <c r="BN1806" s="82">
        <f>$AF1806-$AF1807</f>
        <v/>
      </c>
      <c r="BO1806" s="82">
        <f>$AG1806-$AG1807</f>
        <v/>
      </c>
      <c r="BP1806" s="82">
        <f>$AJ1806-$AJ1807</f>
        <v/>
      </c>
    </row>
    <row r="1807">
      <c r="AR1807" s="81">
        <f>($G1807+($H1807-$G1807)*0.5)+($P1807-($O1807+($Q1807-$O1807)*0.5))</f>
        <v/>
      </c>
      <c r="AS1807" s="81">
        <f>($J1807+($K1807-$J1807)*0.5)+($T1807-($S1807+($U1807-$S1807)*0.5))</f>
        <v/>
      </c>
      <c r="AT1807" s="82">
        <f>($J1807-$C1807)*100</f>
        <v/>
      </c>
      <c r="AU1807" s="82">
        <f>($H1807-$F1807)*100</f>
        <v/>
      </c>
      <c r="AV1807" s="82">
        <f>($J1807-$F1807)*100</f>
        <v/>
      </c>
      <c r="AW1807" s="82">
        <f>($L1807-$F1807)*100</f>
        <v/>
      </c>
      <c r="AX1807" s="82">
        <f>($J1807-$H1807)*100</f>
        <v/>
      </c>
      <c r="AY1807" s="82">
        <f>($L1807-$H1807)*100</f>
        <v/>
      </c>
      <c r="AZ1807" s="82">
        <f>($L1807-$J1807)*100</f>
        <v/>
      </c>
      <c r="BA1807" s="82">
        <f>(2*$H1807-$F1807-$J1807)*100</f>
        <v/>
      </c>
      <c r="BB1807" s="82">
        <f>(2*$J1807-$H1807-$L1807)*100</f>
        <v/>
      </c>
      <c r="BC1807" s="82">
        <f>($N1807-$F1807)*100</f>
        <v/>
      </c>
      <c r="BD1807" s="82">
        <f>($Q1807-$H1807)*100</f>
        <v/>
      </c>
      <c r="BE1807" s="82">
        <f>($S1807-$J1807)*100</f>
        <v/>
      </c>
      <c r="BF1807" s="82">
        <f>($V1807-$L1807)*100</f>
        <v/>
      </c>
      <c r="BG1807" s="82">
        <f>$AG1807-$AF1807</f>
        <v/>
      </c>
      <c r="BH1807" s="81">
        <f>IFERROR($AG1807/$AF1807,"")</f>
        <v/>
      </c>
      <c r="BI1807" s="82">
        <f>$AJ1807-$AF1807</f>
        <v/>
      </c>
      <c r="BJ1807" s="81">
        <f>IFERROR($AJ1807/$AG1807,"")</f>
        <v/>
      </c>
      <c r="BK1807" s="81">
        <f>$X1807</f>
        <v/>
      </c>
      <c r="BL1807" s="82">
        <f>($J1807-$J1808)*100</f>
        <v/>
      </c>
      <c r="BM1807" s="82">
        <f>($F1807-$F1808)*100</f>
        <v/>
      </c>
      <c r="BN1807" s="82">
        <f>$AF1807-$AF1808</f>
        <v/>
      </c>
      <c r="BO1807" s="82">
        <f>$AG1807-$AG1808</f>
        <v/>
      </c>
      <c r="BP1807" s="82">
        <f>$AJ1807-$AJ1808</f>
        <v/>
      </c>
    </row>
    <row r="1808">
      <c r="AR1808" s="81">
        <f>($G1808+($H1808-$G1808)*0.5)+($P1808-($O1808+($Q1808-$O1808)*0.5))</f>
        <v/>
      </c>
      <c r="AS1808" s="81">
        <f>($J1808+($K1808-$J1808)*0.5)+($T1808-($S1808+($U1808-$S1808)*0.5))</f>
        <v/>
      </c>
      <c r="AT1808" s="82">
        <f>($J1808-$C1808)*100</f>
        <v/>
      </c>
      <c r="AU1808" s="82">
        <f>($H1808-$F1808)*100</f>
        <v/>
      </c>
      <c r="AV1808" s="82">
        <f>($J1808-$F1808)*100</f>
        <v/>
      </c>
      <c r="AW1808" s="82">
        <f>($L1808-$F1808)*100</f>
        <v/>
      </c>
      <c r="AX1808" s="82">
        <f>($J1808-$H1808)*100</f>
        <v/>
      </c>
      <c r="AY1808" s="82">
        <f>($L1808-$H1808)*100</f>
        <v/>
      </c>
      <c r="AZ1808" s="82">
        <f>($L1808-$J1808)*100</f>
        <v/>
      </c>
      <c r="BA1808" s="82">
        <f>(2*$H1808-$F1808-$J1808)*100</f>
        <v/>
      </c>
      <c r="BB1808" s="82">
        <f>(2*$J1808-$H1808-$L1808)*100</f>
        <v/>
      </c>
      <c r="BC1808" s="82">
        <f>($N1808-$F1808)*100</f>
        <v/>
      </c>
      <c r="BD1808" s="82">
        <f>($Q1808-$H1808)*100</f>
        <v/>
      </c>
      <c r="BE1808" s="82">
        <f>($S1808-$J1808)*100</f>
        <v/>
      </c>
      <c r="BF1808" s="82">
        <f>($V1808-$L1808)*100</f>
        <v/>
      </c>
      <c r="BG1808" s="82">
        <f>$AG1808-$AF1808</f>
        <v/>
      </c>
      <c r="BH1808" s="81">
        <f>IFERROR($AG1808/$AF1808,"")</f>
        <v/>
      </c>
      <c r="BI1808" s="82">
        <f>$AJ1808-$AF1808</f>
        <v/>
      </c>
      <c r="BJ1808" s="81">
        <f>IFERROR($AJ1808/$AG1808,"")</f>
        <v/>
      </c>
      <c r="BK1808" s="81">
        <f>$X1808</f>
        <v/>
      </c>
      <c r="BL1808" s="82">
        <f>($J1808-$J1809)*100</f>
        <v/>
      </c>
      <c r="BM1808" s="82">
        <f>($F1808-$F1809)*100</f>
        <v/>
      </c>
      <c r="BN1808" s="82">
        <f>$AF1808-$AF1809</f>
        <v/>
      </c>
      <c r="BO1808" s="82">
        <f>$AG1808-$AG1809</f>
        <v/>
      </c>
      <c r="BP1808" s="82">
        <f>$AJ1808-$AJ1809</f>
        <v/>
      </c>
    </row>
    <row r="1809">
      <c r="AR1809" s="81">
        <f>($G1809+($H1809-$G1809)*0.5)+($P1809-($O1809+($Q1809-$O1809)*0.5))</f>
        <v/>
      </c>
      <c r="AS1809" s="81">
        <f>($J1809+($K1809-$J1809)*0.5)+($T1809-($S1809+($U1809-$S1809)*0.5))</f>
        <v/>
      </c>
      <c r="AT1809" s="82">
        <f>($J1809-$C1809)*100</f>
        <v/>
      </c>
      <c r="AU1809" s="82">
        <f>($H1809-$F1809)*100</f>
        <v/>
      </c>
      <c r="AV1809" s="82">
        <f>($J1809-$F1809)*100</f>
        <v/>
      </c>
      <c r="AW1809" s="82">
        <f>($L1809-$F1809)*100</f>
        <v/>
      </c>
      <c r="AX1809" s="82">
        <f>($J1809-$H1809)*100</f>
        <v/>
      </c>
      <c r="AY1809" s="82">
        <f>($L1809-$H1809)*100</f>
        <v/>
      </c>
      <c r="AZ1809" s="82">
        <f>($L1809-$J1809)*100</f>
        <v/>
      </c>
      <c r="BA1809" s="82">
        <f>(2*$H1809-$F1809-$J1809)*100</f>
        <v/>
      </c>
      <c r="BB1809" s="82">
        <f>(2*$J1809-$H1809-$L1809)*100</f>
        <v/>
      </c>
      <c r="BC1809" s="82">
        <f>($N1809-$F1809)*100</f>
        <v/>
      </c>
      <c r="BD1809" s="82">
        <f>($Q1809-$H1809)*100</f>
        <v/>
      </c>
      <c r="BE1809" s="82">
        <f>($S1809-$J1809)*100</f>
        <v/>
      </c>
      <c r="BF1809" s="82">
        <f>($V1809-$L1809)*100</f>
        <v/>
      </c>
      <c r="BG1809" s="82">
        <f>$AG1809-$AF1809</f>
        <v/>
      </c>
      <c r="BH1809" s="81">
        <f>IFERROR($AG1809/$AF1809,"")</f>
        <v/>
      </c>
      <c r="BI1809" s="82">
        <f>$AJ1809-$AF1809</f>
        <v/>
      </c>
      <c r="BJ1809" s="81">
        <f>IFERROR($AJ1809/$AG1809,"")</f>
        <v/>
      </c>
      <c r="BK1809" s="81">
        <f>$X1809</f>
        <v/>
      </c>
      <c r="BL1809" s="82">
        <f>($J1809-$J1810)*100</f>
        <v/>
      </c>
      <c r="BM1809" s="82">
        <f>($F1809-$F1810)*100</f>
        <v/>
      </c>
      <c r="BN1809" s="82">
        <f>$AF1809-$AF1810</f>
        <v/>
      </c>
      <c r="BO1809" s="82">
        <f>$AG1809-$AG1810</f>
        <v/>
      </c>
      <c r="BP1809" s="82">
        <f>$AJ1809-$AJ1810</f>
        <v/>
      </c>
    </row>
    <row r="1810">
      <c r="AR1810" s="81">
        <f>($G1810+($H1810-$G1810)*0.5)+($P1810-($O1810+($Q1810-$O1810)*0.5))</f>
        <v/>
      </c>
      <c r="AS1810" s="81">
        <f>($J1810+($K1810-$J1810)*0.5)+($T1810-($S1810+($U1810-$S1810)*0.5))</f>
        <v/>
      </c>
      <c r="AT1810" s="82">
        <f>($J1810-$C1810)*100</f>
        <v/>
      </c>
      <c r="AU1810" s="82">
        <f>($H1810-$F1810)*100</f>
        <v/>
      </c>
      <c r="AV1810" s="82">
        <f>($J1810-$F1810)*100</f>
        <v/>
      </c>
      <c r="AW1810" s="82">
        <f>($L1810-$F1810)*100</f>
        <v/>
      </c>
      <c r="AX1810" s="82">
        <f>($J1810-$H1810)*100</f>
        <v/>
      </c>
      <c r="AY1810" s="82">
        <f>($L1810-$H1810)*100</f>
        <v/>
      </c>
      <c r="AZ1810" s="82">
        <f>($L1810-$J1810)*100</f>
        <v/>
      </c>
      <c r="BA1810" s="82">
        <f>(2*$H1810-$F1810-$J1810)*100</f>
        <v/>
      </c>
      <c r="BB1810" s="82">
        <f>(2*$J1810-$H1810-$L1810)*100</f>
        <v/>
      </c>
      <c r="BC1810" s="82">
        <f>($N1810-$F1810)*100</f>
        <v/>
      </c>
      <c r="BD1810" s="82">
        <f>($Q1810-$H1810)*100</f>
        <v/>
      </c>
      <c r="BE1810" s="82">
        <f>($S1810-$J1810)*100</f>
        <v/>
      </c>
      <c r="BF1810" s="82">
        <f>($V1810-$L1810)*100</f>
        <v/>
      </c>
      <c r="BG1810" s="82">
        <f>$AG1810-$AF1810</f>
        <v/>
      </c>
      <c r="BH1810" s="81">
        <f>IFERROR($AG1810/$AF1810,"")</f>
        <v/>
      </c>
      <c r="BI1810" s="82">
        <f>$AJ1810-$AF1810</f>
        <v/>
      </c>
      <c r="BJ1810" s="81">
        <f>IFERROR($AJ1810/$AG1810,"")</f>
        <v/>
      </c>
      <c r="BK1810" s="81">
        <f>$X1810</f>
        <v/>
      </c>
      <c r="BL1810" s="82">
        <f>($J1810-$J1811)*100</f>
        <v/>
      </c>
      <c r="BM1810" s="82">
        <f>($F1810-$F1811)*100</f>
        <v/>
      </c>
      <c r="BN1810" s="82">
        <f>$AF1810-$AF1811</f>
        <v/>
      </c>
      <c r="BO1810" s="82">
        <f>$AG1810-$AG1811</f>
        <v/>
      </c>
      <c r="BP1810" s="82">
        <f>$AJ1810-$AJ1811</f>
        <v/>
      </c>
    </row>
    <row r="1811">
      <c r="AR1811" s="81">
        <f>($G1811+($H1811-$G1811)*0.5)+($P1811-($O1811+($Q1811-$O1811)*0.5))</f>
        <v/>
      </c>
      <c r="AS1811" s="81">
        <f>($J1811+($K1811-$J1811)*0.5)+($T1811-($S1811+($U1811-$S1811)*0.5))</f>
        <v/>
      </c>
      <c r="AT1811" s="82">
        <f>($J1811-$C1811)*100</f>
        <v/>
      </c>
      <c r="AU1811" s="82">
        <f>($H1811-$F1811)*100</f>
        <v/>
      </c>
      <c r="AV1811" s="82">
        <f>($J1811-$F1811)*100</f>
        <v/>
      </c>
      <c r="AW1811" s="82">
        <f>($L1811-$F1811)*100</f>
        <v/>
      </c>
      <c r="AX1811" s="82">
        <f>($J1811-$H1811)*100</f>
        <v/>
      </c>
      <c r="AY1811" s="82">
        <f>($L1811-$H1811)*100</f>
        <v/>
      </c>
      <c r="AZ1811" s="82">
        <f>($L1811-$J1811)*100</f>
        <v/>
      </c>
      <c r="BA1811" s="82">
        <f>(2*$H1811-$F1811-$J1811)*100</f>
        <v/>
      </c>
      <c r="BB1811" s="82">
        <f>(2*$J1811-$H1811-$L1811)*100</f>
        <v/>
      </c>
      <c r="BC1811" s="82">
        <f>($N1811-$F1811)*100</f>
        <v/>
      </c>
      <c r="BD1811" s="82">
        <f>($Q1811-$H1811)*100</f>
        <v/>
      </c>
      <c r="BE1811" s="82">
        <f>($S1811-$J1811)*100</f>
        <v/>
      </c>
      <c r="BF1811" s="82">
        <f>($V1811-$L1811)*100</f>
        <v/>
      </c>
      <c r="BG1811" s="82">
        <f>$AG1811-$AF1811</f>
        <v/>
      </c>
      <c r="BH1811" s="81">
        <f>IFERROR($AG1811/$AF1811,"")</f>
        <v/>
      </c>
      <c r="BI1811" s="82">
        <f>$AJ1811-$AF1811</f>
        <v/>
      </c>
      <c r="BJ1811" s="81">
        <f>IFERROR($AJ1811/$AG1811,"")</f>
        <v/>
      </c>
      <c r="BK1811" s="81">
        <f>$X1811</f>
        <v/>
      </c>
      <c r="BL1811" s="82">
        <f>($J1811-$J1812)*100</f>
        <v/>
      </c>
      <c r="BM1811" s="82">
        <f>($F1811-$F1812)*100</f>
        <v/>
      </c>
      <c r="BN1811" s="82">
        <f>$AF1811-$AF1812</f>
        <v/>
      </c>
      <c r="BO1811" s="82">
        <f>$AG1811-$AG1812</f>
        <v/>
      </c>
      <c r="BP1811" s="82">
        <f>$AJ1811-$AJ1812</f>
        <v/>
      </c>
    </row>
    <row r="1812">
      <c r="AR1812" s="81">
        <f>($G1812+($H1812-$G1812)*0.5)+($P1812-($O1812+($Q1812-$O1812)*0.5))</f>
        <v/>
      </c>
      <c r="AS1812" s="81">
        <f>($J1812+($K1812-$J1812)*0.5)+($T1812-($S1812+($U1812-$S1812)*0.5))</f>
        <v/>
      </c>
      <c r="AT1812" s="82">
        <f>($J1812-$C1812)*100</f>
        <v/>
      </c>
      <c r="AU1812" s="82">
        <f>($H1812-$F1812)*100</f>
        <v/>
      </c>
      <c r="AV1812" s="82">
        <f>($J1812-$F1812)*100</f>
        <v/>
      </c>
      <c r="AW1812" s="82">
        <f>($L1812-$F1812)*100</f>
        <v/>
      </c>
      <c r="AX1812" s="82">
        <f>($J1812-$H1812)*100</f>
        <v/>
      </c>
      <c r="AY1812" s="82">
        <f>($L1812-$H1812)*100</f>
        <v/>
      </c>
      <c r="AZ1812" s="82">
        <f>($L1812-$J1812)*100</f>
        <v/>
      </c>
      <c r="BA1812" s="82">
        <f>(2*$H1812-$F1812-$J1812)*100</f>
        <v/>
      </c>
      <c r="BB1812" s="82">
        <f>(2*$J1812-$H1812-$L1812)*100</f>
        <v/>
      </c>
      <c r="BC1812" s="82">
        <f>($N1812-$F1812)*100</f>
        <v/>
      </c>
      <c r="BD1812" s="82">
        <f>($Q1812-$H1812)*100</f>
        <v/>
      </c>
      <c r="BE1812" s="82">
        <f>($S1812-$J1812)*100</f>
        <v/>
      </c>
      <c r="BF1812" s="82">
        <f>($V1812-$L1812)*100</f>
        <v/>
      </c>
      <c r="BG1812" s="82">
        <f>$AG1812-$AF1812</f>
        <v/>
      </c>
      <c r="BH1812" s="81">
        <f>IFERROR($AG1812/$AF1812,"")</f>
        <v/>
      </c>
      <c r="BI1812" s="82">
        <f>$AJ1812-$AF1812</f>
        <v/>
      </c>
      <c r="BJ1812" s="81">
        <f>IFERROR($AJ1812/$AG1812,"")</f>
        <v/>
      </c>
      <c r="BK1812" s="81">
        <f>$X1812</f>
        <v/>
      </c>
      <c r="BL1812" s="82">
        <f>($J1812-$J1813)*100</f>
        <v/>
      </c>
      <c r="BM1812" s="82">
        <f>($F1812-$F1813)*100</f>
        <v/>
      </c>
      <c r="BN1812" s="82">
        <f>$AF1812-$AF1813</f>
        <v/>
      </c>
      <c r="BO1812" s="82">
        <f>$AG1812-$AG1813</f>
        <v/>
      </c>
      <c r="BP1812" s="82">
        <f>$AJ1812-$AJ1813</f>
        <v/>
      </c>
    </row>
    <row r="1813">
      <c r="AR1813" s="81">
        <f>($G1813+($H1813-$G1813)*0.5)+($P1813-($O1813+($Q1813-$O1813)*0.5))</f>
        <v/>
      </c>
      <c r="AS1813" s="81">
        <f>($J1813+($K1813-$J1813)*0.5)+($T1813-($S1813+($U1813-$S1813)*0.5))</f>
        <v/>
      </c>
      <c r="AT1813" s="82">
        <f>($J1813-$C1813)*100</f>
        <v/>
      </c>
      <c r="AU1813" s="82">
        <f>($H1813-$F1813)*100</f>
        <v/>
      </c>
      <c r="AV1813" s="82">
        <f>($J1813-$F1813)*100</f>
        <v/>
      </c>
      <c r="AW1813" s="82">
        <f>($L1813-$F1813)*100</f>
        <v/>
      </c>
      <c r="AX1813" s="82">
        <f>($J1813-$H1813)*100</f>
        <v/>
      </c>
      <c r="AY1813" s="82">
        <f>($L1813-$H1813)*100</f>
        <v/>
      </c>
      <c r="AZ1813" s="82">
        <f>($L1813-$J1813)*100</f>
        <v/>
      </c>
      <c r="BA1813" s="82">
        <f>(2*$H1813-$F1813-$J1813)*100</f>
        <v/>
      </c>
      <c r="BB1813" s="82">
        <f>(2*$J1813-$H1813-$L1813)*100</f>
        <v/>
      </c>
      <c r="BC1813" s="82">
        <f>($N1813-$F1813)*100</f>
        <v/>
      </c>
      <c r="BD1813" s="82">
        <f>($Q1813-$H1813)*100</f>
        <v/>
      </c>
      <c r="BE1813" s="82">
        <f>($S1813-$J1813)*100</f>
        <v/>
      </c>
      <c r="BF1813" s="82">
        <f>($V1813-$L1813)*100</f>
        <v/>
      </c>
      <c r="BG1813" s="82">
        <f>$AG1813-$AF1813</f>
        <v/>
      </c>
      <c r="BH1813" s="81">
        <f>IFERROR($AG1813/$AF1813,"")</f>
        <v/>
      </c>
      <c r="BI1813" s="82">
        <f>$AJ1813-$AF1813</f>
        <v/>
      </c>
      <c r="BJ1813" s="81">
        <f>IFERROR($AJ1813/$AG1813,"")</f>
        <v/>
      </c>
      <c r="BK1813" s="81">
        <f>$X1813</f>
        <v/>
      </c>
      <c r="BL1813" s="82">
        <f>($J1813-$J1814)*100</f>
        <v/>
      </c>
      <c r="BM1813" s="82">
        <f>($F1813-$F1814)*100</f>
        <v/>
      </c>
      <c r="BN1813" s="82">
        <f>$AF1813-$AF1814</f>
        <v/>
      </c>
      <c r="BO1813" s="82">
        <f>$AG1813-$AG1814</f>
        <v/>
      </c>
      <c r="BP1813" s="82">
        <f>$AJ1813-$AJ1814</f>
        <v/>
      </c>
    </row>
    <row r="1814">
      <c r="AR1814" s="81">
        <f>($G1814+($H1814-$G1814)*0.5)+($P1814-($O1814+($Q1814-$O1814)*0.5))</f>
        <v/>
      </c>
      <c r="AS1814" s="81">
        <f>($J1814+($K1814-$J1814)*0.5)+($T1814-($S1814+($U1814-$S1814)*0.5))</f>
        <v/>
      </c>
      <c r="AT1814" s="82">
        <f>($J1814-$C1814)*100</f>
        <v/>
      </c>
      <c r="AU1814" s="82">
        <f>($H1814-$F1814)*100</f>
        <v/>
      </c>
      <c r="AV1814" s="82">
        <f>($J1814-$F1814)*100</f>
        <v/>
      </c>
      <c r="AW1814" s="82">
        <f>($L1814-$F1814)*100</f>
        <v/>
      </c>
      <c r="AX1814" s="82">
        <f>($J1814-$H1814)*100</f>
        <v/>
      </c>
      <c r="AY1814" s="82">
        <f>($L1814-$H1814)*100</f>
        <v/>
      </c>
      <c r="AZ1814" s="82">
        <f>($L1814-$J1814)*100</f>
        <v/>
      </c>
      <c r="BA1814" s="82">
        <f>(2*$H1814-$F1814-$J1814)*100</f>
        <v/>
      </c>
      <c r="BB1814" s="82">
        <f>(2*$J1814-$H1814-$L1814)*100</f>
        <v/>
      </c>
      <c r="BC1814" s="82">
        <f>($N1814-$F1814)*100</f>
        <v/>
      </c>
      <c r="BD1814" s="82">
        <f>($Q1814-$H1814)*100</f>
        <v/>
      </c>
      <c r="BE1814" s="82">
        <f>($S1814-$J1814)*100</f>
        <v/>
      </c>
      <c r="BF1814" s="82">
        <f>($V1814-$L1814)*100</f>
        <v/>
      </c>
      <c r="BG1814" s="82">
        <f>$AG1814-$AF1814</f>
        <v/>
      </c>
      <c r="BH1814" s="81">
        <f>IFERROR($AG1814/$AF1814,"")</f>
        <v/>
      </c>
      <c r="BI1814" s="82">
        <f>$AJ1814-$AF1814</f>
        <v/>
      </c>
      <c r="BJ1814" s="81">
        <f>IFERROR($AJ1814/$AG1814,"")</f>
        <v/>
      </c>
      <c r="BK1814" s="81">
        <f>$X1814</f>
        <v/>
      </c>
      <c r="BL1814" s="82">
        <f>($J1814-$J1815)*100</f>
        <v/>
      </c>
      <c r="BM1814" s="82">
        <f>($F1814-$F1815)*100</f>
        <v/>
      </c>
      <c r="BN1814" s="82">
        <f>$AF1814-$AF1815</f>
        <v/>
      </c>
      <c r="BO1814" s="82">
        <f>$AG1814-$AG1815</f>
        <v/>
      </c>
      <c r="BP1814" s="82">
        <f>$AJ1814-$AJ1815</f>
        <v/>
      </c>
    </row>
    <row r="1815">
      <c r="AR1815" s="81">
        <f>($G1815+($H1815-$G1815)*0.5)+($P1815-($O1815+($Q1815-$O1815)*0.5))</f>
        <v/>
      </c>
      <c r="AS1815" s="81">
        <f>($J1815+($K1815-$J1815)*0.5)+($T1815-($S1815+($U1815-$S1815)*0.5))</f>
        <v/>
      </c>
      <c r="AT1815" s="82">
        <f>($J1815-$C1815)*100</f>
        <v/>
      </c>
      <c r="AU1815" s="82">
        <f>($H1815-$F1815)*100</f>
        <v/>
      </c>
      <c r="AV1815" s="82">
        <f>($J1815-$F1815)*100</f>
        <v/>
      </c>
      <c r="AW1815" s="82">
        <f>($L1815-$F1815)*100</f>
        <v/>
      </c>
      <c r="AX1815" s="82">
        <f>($J1815-$H1815)*100</f>
        <v/>
      </c>
      <c r="AY1815" s="82">
        <f>($L1815-$H1815)*100</f>
        <v/>
      </c>
      <c r="AZ1815" s="82">
        <f>($L1815-$J1815)*100</f>
        <v/>
      </c>
      <c r="BA1815" s="82">
        <f>(2*$H1815-$F1815-$J1815)*100</f>
        <v/>
      </c>
      <c r="BB1815" s="82">
        <f>(2*$J1815-$H1815-$L1815)*100</f>
        <v/>
      </c>
      <c r="BC1815" s="82">
        <f>($N1815-$F1815)*100</f>
        <v/>
      </c>
      <c r="BD1815" s="82">
        <f>($Q1815-$H1815)*100</f>
        <v/>
      </c>
      <c r="BE1815" s="82">
        <f>($S1815-$J1815)*100</f>
        <v/>
      </c>
      <c r="BF1815" s="82">
        <f>($V1815-$L1815)*100</f>
        <v/>
      </c>
      <c r="BG1815" s="82">
        <f>$AG1815-$AF1815</f>
        <v/>
      </c>
      <c r="BH1815" s="81">
        <f>IFERROR($AG1815/$AF1815,"")</f>
        <v/>
      </c>
      <c r="BI1815" s="82">
        <f>$AJ1815-$AF1815</f>
        <v/>
      </c>
      <c r="BJ1815" s="81">
        <f>IFERROR($AJ1815/$AG1815,"")</f>
        <v/>
      </c>
      <c r="BK1815" s="81">
        <f>$X1815</f>
        <v/>
      </c>
      <c r="BL1815" s="82">
        <f>($J1815-$J1816)*100</f>
        <v/>
      </c>
      <c r="BM1815" s="82">
        <f>($F1815-$F1816)*100</f>
        <v/>
      </c>
      <c r="BN1815" s="82">
        <f>$AF1815-$AF1816</f>
        <v/>
      </c>
      <c r="BO1815" s="82">
        <f>$AG1815-$AG1816</f>
        <v/>
      </c>
      <c r="BP1815" s="82">
        <f>$AJ1815-$AJ1816</f>
        <v/>
      </c>
    </row>
    <row r="1816">
      <c r="AR1816" s="81">
        <f>($G1816+($H1816-$G1816)*0.5)+($P1816-($O1816+($Q1816-$O1816)*0.5))</f>
        <v/>
      </c>
      <c r="AS1816" s="81">
        <f>($J1816+($K1816-$J1816)*0.5)+($T1816-($S1816+($U1816-$S1816)*0.5))</f>
        <v/>
      </c>
      <c r="AT1816" s="82">
        <f>($J1816-$C1816)*100</f>
        <v/>
      </c>
      <c r="AU1816" s="82">
        <f>($H1816-$F1816)*100</f>
        <v/>
      </c>
      <c r="AV1816" s="82">
        <f>($J1816-$F1816)*100</f>
        <v/>
      </c>
      <c r="AW1816" s="82">
        <f>($L1816-$F1816)*100</f>
        <v/>
      </c>
      <c r="AX1816" s="82">
        <f>($J1816-$H1816)*100</f>
        <v/>
      </c>
      <c r="AY1816" s="82">
        <f>($L1816-$H1816)*100</f>
        <v/>
      </c>
      <c r="AZ1816" s="82">
        <f>($L1816-$J1816)*100</f>
        <v/>
      </c>
      <c r="BA1816" s="82">
        <f>(2*$H1816-$F1816-$J1816)*100</f>
        <v/>
      </c>
      <c r="BB1816" s="82">
        <f>(2*$J1816-$H1816-$L1816)*100</f>
        <v/>
      </c>
      <c r="BC1816" s="82">
        <f>($N1816-$F1816)*100</f>
        <v/>
      </c>
      <c r="BD1816" s="82">
        <f>($Q1816-$H1816)*100</f>
        <v/>
      </c>
      <c r="BE1816" s="82">
        <f>($S1816-$J1816)*100</f>
        <v/>
      </c>
      <c r="BF1816" s="82">
        <f>($V1816-$L1816)*100</f>
        <v/>
      </c>
      <c r="BG1816" s="82">
        <f>$AG1816-$AF1816</f>
        <v/>
      </c>
      <c r="BH1816" s="81">
        <f>IFERROR($AG1816/$AF1816,"")</f>
        <v/>
      </c>
      <c r="BI1816" s="82">
        <f>$AJ1816-$AF1816</f>
        <v/>
      </c>
      <c r="BJ1816" s="81">
        <f>IFERROR($AJ1816/$AG1816,"")</f>
        <v/>
      </c>
      <c r="BK1816" s="81">
        <f>$X1816</f>
        <v/>
      </c>
      <c r="BL1816" s="82">
        <f>($J1816-$J1817)*100</f>
        <v/>
      </c>
      <c r="BM1816" s="82">
        <f>($F1816-$F1817)*100</f>
        <v/>
      </c>
      <c r="BN1816" s="82">
        <f>$AF1816-$AF1817</f>
        <v/>
      </c>
      <c r="BO1816" s="82">
        <f>$AG1816-$AG1817</f>
        <v/>
      </c>
      <c r="BP1816" s="82">
        <f>$AJ1816-$AJ1817</f>
        <v/>
      </c>
    </row>
    <row r="1817">
      <c r="AR1817" s="81">
        <f>($G1817+($H1817-$G1817)*0.5)+($P1817-($O1817+($Q1817-$O1817)*0.5))</f>
        <v/>
      </c>
      <c r="AS1817" s="81">
        <f>($J1817+($K1817-$J1817)*0.5)+($T1817-($S1817+($U1817-$S1817)*0.5))</f>
        <v/>
      </c>
      <c r="AT1817" s="82">
        <f>($J1817-$C1817)*100</f>
        <v/>
      </c>
      <c r="AU1817" s="82">
        <f>($H1817-$F1817)*100</f>
        <v/>
      </c>
      <c r="AV1817" s="82">
        <f>($J1817-$F1817)*100</f>
        <v/>
      </c>
      <c r="AW1817" s="82">
        <f>($L1817-$F1817)*100</f>
        <v/>
      </c>
      <c r="AX1817" s="82">
        <f>($J1817-$H1817)*100</f>
        <v/>
      </c>
      <c r="AY1817" s="82">
        <f>($L1817-$H1817)*100</f>
        <v/>
      </c>
      <c r="AZ1817" s="82">
        <f>($L1817-$J1817)*100</f>
        <v/>
      </c>
      <c r="BA1817" s="82">
        <f>(2*$H1817-$F1817-$J1817)*100</f>
        <v/>
      </c>
      <c r="BB1817" s="82">
        <f>(2*$J1817-$H1817-$L1817)*100</f>
        <v/>
      </c>
      <c r="BC1817" s="82">
        <f>($N1817-$F1817)*100</f>
        <v/>
      </c>
      <c r="BD1817" s="82">
        <f>($Q1817-$H1817)*100</f>
        <v/>
      </c>
      <c r="BE1817" s="82">
        <f>($S1817-$J1817)*100</f>
        <v/>
      </c>
      <c r="BF1817" s="82">
        <f>($V1817-$L1817)*100</f>
        <v/>
      </c>
      <c r="BG1817" s="82">
        <f>$AG1817-$AF1817</f>
        <v/>
      </c>
      <c r="BH1817" s="81">
        <f>IFERROR($AG1817/$AF1817,"")</f>
        <v/>
      </c>
      <c r="BI1817" s="82">
        <f>$AJ1817-$AF1817</f>
        <v/>
      </c>
      <c r="BJ1817" s="81">
        <f>IFERROR($AJ1817/$AG1817,"")</f>
        <v/>
      </c>
      <c r="BK1817" s="81">
        <f>$X1817</f>
        <v/>
      </c>
      <c r="BL1817" s="82">
        <f>($J1817-$J1818)*100</f>
        <v/>
      </c>
      <c r="BM1817" s="82">
        <f>($F1817-$F1818)*100</f>
        <v/>
      </c>
      <c r="BN1817" s="82">
        <f>$AF1817-$AF1818</f>
        <v/>
      </c>
      <c r="BO1817" s="82">
        <f>$AG1817-$AG1818</f>
        <v/>
      </c>
      <c r="BP1817" s="82">
        <f>$AJ1817-$AJ1818</f>
        <v/>
      </c>
    </row>
    <row r="1818">
      <c r="AR1818" s="81">
        <f>($G1818+($H1818-$G1818)*0.5)+($P1818-($O1818+($Q1818-$O1818)*0.5))</f>
        <v/>
      </c>
      <c r="AS1818" s="81">
        <f>($J1818+($K1818-$J1818)*0.5)+($T1818-($S1818+($U1818-$S1818)*0.5))</f>
        <v/>
      </c>
      <c r="AT1818" s="82">
        <f>($J1818-$C1818)*100</f>
        <v/>
      </c>
      <c r="AU1818" s="82">
        <f>($H1818-$F1818)*100</f>
        <v/>
      </c>
      <c r="AV1818" s="82">
        <f>($J1818-$F1818)*100</f>
        <v/>
      </c>
      <c r="AW1818" s="82">
        <f>($L1818-$F1818)*100</f>
        <v/>
      </c>
      <c r="AX1818" s="82">
        <f>($J1818-$H1818)*100</f>
        <v/>
      </c>
      <c r="AY1818" s="82">
        <f>($L1818-$H1818)*100</f>
        <v/>
      </c>
      <c r="AZ1818" s="82">
        <f>($L1818-$J1818)*100</f>
        <v/>
      </c>
      <c r="BA1818" s="82">
        <f>(2*$H1818-$F1818-$J1818)*100</f>
        <v/>
      </c>
      <c r="BB1818" s="82">
        <f>(2*$J1818-$H1818-$L1818)*100</f>
        <v/>
      </c>
      <c r="BC1818" s="82">
        <f>($N1818-$F1818)*100</f>
        <v/>
      </c>
      <c r="BD1818" s="82">
        <f>($Q1818-$H1818)*100</f>
        <v/>
      </c>
      <c r="BE1818" s="82">
        <f>($S1818-$J1818)*100</f>
        <v/>
      </c>
      <c r="BF1818" s="82">
        <f>($V1818-$L1818)*100</f>
        <v/>
      </c>
      <c r="BG1818" s="82">
        <f>$AG1818-$AF1818</f>
        <v/>
      </c>
      <c r="BH1818" s="81">
        <f>IFERROR($AG1818/$AF1818,"")</f>
        <v/>
      </c>
      <c r="BI1818" s="82">
        <f>$AJ1818-$AF1818</f>
        <v/>
      </c>
      <c r="BJ1818" s="81">
        <f>IFERROR($AJ1818/$AG1818,"")</f>
        <v/>
      </c>
      <c r="BK1818" s="81">
        <f>$X1818</f>
        <v/>
      </c>
      <c r="BL1818" s="82">
        <f>($J1818-$J1819)*100</f>
        <v/>
      </c>
      <c r="BM1818" s="82">
        <f>($F1818-$F1819)*100</f>
        <v/>
      </c>
      <c r="BN1818" s="82">
        <f>$AF1818-$AF1819</f>
        <v/>
      </c>
      <c r="BO1818" s="82">
        <f>$AG1818-$AG1819</f>
        <v/>
      </c>
      <c r="BP1818" s="82">
        <f>$AJ1818-$AJ1819</f>
        <v/>
      </c>
    </row>
    <row r="1819">
      <c r="AR1819" s="81">
        <f>($G1819+($H1819-$G1819)*0.5)+($P1819-($O1819+($Q1819-$O1819)*0.5))</f>
        <v/>
      </c>
      <c r="AS1819" s="81">
        <f>($J1819+($K1819-$J1819)*0.5)+($T1819-($S1819+($U1819-$S1819)*0.5))</f>
        <v/>
      </c>
      <c r="AT1819" s="82">
        <f>($J1819-$C1819)*100</f>
        <v/>
      </c>
      <c r="AU1819" s="82">
        <f>($H1819-$F1819)*100</f>
        <v/>
      </c>
      <c r="AV1819" s="82">
        <f>($J1819-$F1819)*100</f>
        <v/>
      </c>
      <c r="AW1819" s="82">
        <f>($L1819-$F1819)*100</f>
        <v/>
      </c>
      <c r="AX1819" s="82">
        <f>($J1819-$H1819)*100</f>
        <v/>
      </c>
      <c r="AY1819" s="82">
        <f>($L1819-$H1819)*100</f>
        <v/>
      </c>
      <c r="AZ1819" s="82">
        <f>($L1819-$J1819)*100</f>
        <v/>
      </c>
      <c r="BA1819" s="82">
        <f>(2*$H1819-$F1819-$J1819)*100</f>
        <v/>
      </c>
      <c r="BB1819" s="82">
        <f>(2*$J1819-$H1819-$L1819)*100</f>
        <v/>
      </c>
      <c r="BC1819" s="82">
        <f>($N1819-$F1819)*100</f>
        <v/>
      </c>
      <c r="BD1819" s="82">
        <f>($Q1819-$H1819)*100</f>
        <v/>
      </c>
      <c r="BE1819" s="82">
        <f>($S1819-$J1819)*100</f>
        <v/>
      </c>
      <c r="BF1819" s="82">
        <f>($V1819-$L1819)*100</f>
        <v/>
      </c>
      <c r="BG1819" s="82">
        <f>$AG1819-$AF1819</f>
        <v/>
      </c>
      <c r="BH1819" s="81">
        <f>IFERROR($AG1819/$AF1819,"")</f>
        <v/>
      </c>
      <c r="BI1819" s="82">
        <f>$AJ1819-$AF1819</f>
        <v/>
      </c>
      <c r="BJ1819" s="81">
        <f>IFERROR($AJ1819/$AG1819,"")</f>
        <v/>
      </c>
      <c r="BK1819" s="81">
        <f>$X1819</f>
        <v/>
      </c>
      <c r="BL1819" s="82">
        <f>($J1819-$J1820)*100</f>
        <v/>
      </c>
      <c r="BM1819" s="82">
        <f>($F1819-$F1820)*100</f>
        <v/>
      </c>
      <c r="BN1819" s="82">
        <f>$AF1819-$AF1820</f>
        <v/>
      </c>
      <c r="BO1819" s="82">
        <f>$AG1819-$AG1820</f>
        <v/>
      </c>
      <c r="BP1819" s="82">
        <f>$AJ1819-$AJ1820</f>
        <v/>
      </c>
    </row>
    <row r="1820">
      <c r="AR1820" s="81">
        <f>($G1820+($H1820-$G1820)*0.5)+($P1820-($O1820+($Q1820-$O1820)*0.5))</f>
        <v/>
      </c>
      <c r="AS1820" s="81">
        <f>($J1820+($K1820-$J1820)*0.5)+($T1820-($S1820+($U1820-$S1820)*0.5))</f>
        <v/>
      </c>
      <c r="AT1820" s="82">
        <f>($J1820-$C1820)*100</f>
        <v/>
      </c>
      <c r="AU1820" s="82">
        <f>($H1820-$F1820)*100</f>
        <v/>
      </c>
      <c r="AV1820" s="82">
        <f>($J1820-$F1820)*100</f>
        <v/>
      </c>
      <c r="AW1820" s="82">
        <f>($L1820-$F1820)*100</f>
        <v/>
      </c>
      <c r="AX1820" s="82">
        <f>($J1820-$H1820)*100</f>
        <v/>
      </c>
      <c r="AY1820" s="82">
        <f>($L1820-$H1820)*100</f>
        <v/>
      </c>
      <c r="AZ1820" s="82">
        <f>($L1820-$J1820)*100</f>
        <v/>
      </c>
      <c r="BA1820" s="82">
        <f>(2*$H1820-$F1820-$J1820)*100</f>
        <v/>
      </c>
      <c r="BB1820" s="82">
        <f>(2*$J1820-$H1820-$L1820)*100</f>
        <v/>
      </c>
      <c r="BC1820" s="82">
        <f>($N1820-$F1820)*100</f>
        <v/>
      </c>
      <c r="BD1820" s="82">
        <f>($Q1820-$H1820)*100</f>
        <v/>
      </c>
      <c r="BE1820" s="82">
        <f>($S1820-$J1820)*100</f>
        <v/>
      </c>
      <c r="BF1820" s="82">
        <f>($V1820-$L1820)*100</f>
        <v/>
      </c>
      <c r="BG1820" s="82">
        <f>$AG1820-$AF1820</f>
        <v/>
      </c>
      <c r="BH1820" s="81">
        <f>IFERROR($AG1820/$AF1820,"")</f>
        <v/>
      </c>
      <c r="BI1820" s="82">
        <f>$AJ1820-$AF1820</f>
        <v/>
      </c>
      <c r="BJ1820" s="81">
        <f>IFERROR($AJ1820/$AG1820,"")</f>
        <v/>
      </c>
      <c r="BK1820" s="81">
        <f>$X1820</f>
        <v/>
      </c>
      <c r="BL1820" s="82">
        <f>($J1820-$J1821)*100</f>
        <v/>
      </c>
      <c r="BM1820" s="82">
        <f>($F1820-$F1821)*100</f>
        <v/>
      </c>
      <c r="BN1820" s="82">
        <f>$AF1820-$AF1821</f>
        <v/>
      </c>
      <c r="BO1820" s="82">
        <f>$AG1820-$AG1821</f>
        <v/>
      </c>
      <c r="BP1820" s="82">
        <f>$AJ1820-$AJ1821</f>
        <v/>
      </c>
    </row>
    <row r="1821">
      <c r="AR1821" s="81">
        <f>($G1821+($H1821-$G1821)*0.5)+($P1821-($O1821+($Q1821-$O1821)*0.5))</f>
        <v/>
      </c>
      <c r="AS1821" s="81">
        <f>($J1821+($K1821-$J1821)*0.5)+($T1821-($S1821+($U1821-$S1821)*0.5))</f>
        <v/>
      </c>
      <c r="AT1821" s="82">
        <f>($J1821-$C1821)*100</f>
        <v/>
      </c>
      <c r="AU1821" s="82">
        <f>($H1821-$F1821)*100</f>
        <v/>
      </c>
      <c r="AV1821" s="82">
        <f>($J1821-$F1821)*100</f>
        <v/>
      </c>
      <c r="AW1821" s="82">
        <f>($L1821-$F1821)*100</f>
        <v/>
      </c>
      <c r="AX1821" s="82">
        <f>($J1821-$H1821)*100</f>
        <v/>
      </c>
      <c r="AY1821" s="82">
        <f>($L1821-$H1821)*100</f>
        <v/>
      </c>
      <c r="AZ1821" s="82">
        <f>($L1821-$J1821)*100</f>
        <v/>
      </c>
      <c r="BA1821" s="82">
        <f>(2*$H1821-$F1821-$J1821)*100</f>
        <v/>
      </c>
      <c r="BB1821" s="82">
        <f>(2*$J1821-$H1821-$L1821)*100</f>
        <v/>
      </c>
      <c r="BC1821" s="82">
        <f>($N1821-$F1821)*100</f>
        <v/>
      </c>
      <c r="BD1821" s="82">
        <f>($Q1821-$H1821)*100</f>
        <v/>
      </c>
      <c r="BE1821" s="82">
        <f>($S1821-$J1821)*100</f>
        <v/>
      </c>
      <c r="BF1821" s="82">
        <f>($V1821-$L1821)*100</f>
        <v/>
      </c>
      <c r="BG1821" s="82">
        <f>$AG1821-$AF1821</f>
        <v/>
      </c>
      <c r="BH1821" s="81">
        <f>IFERROR($AG1821/$AF1821,"")</f>
        <v/>
      </c>
      <c r="BI1821" s="82">
        <f>$AJ1821-$AF1821</f>
        <v/>
      </c>
      <c r="BJ1821" s="81">
        <f>IFERROR($AJ1821/$AG1821,"")</f>
        <v/>
      </c>
      <c r="BK1821" s="81">
        <f>$X1821</f>
        <v/>
      </c>
      <c r="BL1821" s="82">
        <f>($J1821-$J1822)*100</f>
        <v/>
      </c>
      <c r="BM1821" s="82">
        <f>($F1821-$F1822)*100</f>
        <v/>
      </c>
      <c r="BN1821" s="82">
        <f>$AF1821-$AF1822</f>
        <v/>
      </c>
      <c r="BO1821" s="82">
        <f>$AG1821-$AG1822</f>
        <v/>
      </c>
      <c r="BP1821" s="82">
        <f>$AJ1821-$AJ1822</f>
        <v/>
      </c>
    </row>
    <row r="1822">
      <c r="AR1822" s="81">
        <f>($G1822+($H1822-$G1822)*0.5)+($P1822-($O1822+($Q1822-$O1822)*0.5))</f>
        <v/>
      </c>
      <c r="AS1822" s="81">
        <f>($J1822+($K1822-$J1822)*0.5)+($T1822-($S1822+($U1822-$S1822)*0.5))</f>
        <v/>
      </c>
      <c r="AT1822" s="82">
        <f>($J1822-$C1822)*100</f>
        <v/>
      </c>
      <c r="AU1822" s="82">
        <f>($H1822-$F1822)*100</f>
        <v/>
      </c>
      <c r="AV1822" s="82">
        <f>($J1822-$F1822)*100</f>
        <v/>
      </c>
      <c r="AW1822" s="82">
        <f>($L1822-$F1822)*100</f>
        <v/>
      </c>
      <c r="AX1822" s="82">
        <f>($J1822-$H1822)*100</f>
        <v/>
      </c>
      <c r="AY1822" s="82">
        <f>($L1822-$H1822)*100</f>
        <v/>
      </c>
      <c r="AZ1822" s="82">
        <f>($L1822-$J1822)*100</f>
        <v/>
      </c>
      <c r="BA1822" s="82">
        <f>(2*$H1822-$F1822-$J1822)*100</f>
        <v/>
      </c>
      <c r="BB1822" s="82">
        <f>(2*$J1822-$H1822-$L1822)*100</f>
        <v/>
      </c>
      <c r="BC1822" s="82">
        <f>($N1822-$F1822)*100</f>
        <v/>
      </c>
      <c r="BD1822" s="82">
        <f>($Q1822-$H1822)*100</f>
        <v/>
      </c>
      <c r="BE1822" s="82">
        <f>($S1822-$J1822)*100</f>
        <v/>
      </c>
      <c r="BF1822" s="82">
        <f>($V1822-$L1822)*100</f>
        <v/>
      </c>
      <c r="BG1822" s="82">
        <f>$AG1822-$AF1822</f>
        <v/>
      </c>
      <c r="BH1822" s="81">
        <f>IFERROR($AG1822/$AF1822,"")</f>
        <v/>
      </c>
      <c r="BI1822" s="82">
        <f>$AJ1822-$AF1822</f>
        <v/>
      </c>
      <c r="BJ1822" s="81">
        <f>IFERROR($AJ1822/$AG1822,"")</f>
        <v/>
      </c>
      <c r="BK1822" s="81">
        <f>$X1822</f>
        <v/>
      </c>
      <c r="BL1822" s="82">
        <f>($J1822-$J1823)*100</f>
        <v/>
      </c>
      <c r="BM1822" s="82">
        <f>($F1822-$F1823)*100</f>
        <v/>
      </c>
      <c r="BN1822" s="82">
        <f>$AF1822-$AF1823</f>
        <v/>
      </c>
      <c r="BO1822" s="82">
        <f>$AG1822-$AG1823</f>
        <v/>
      </c>
      <c r="BP1822" s="82">
        <f>$AJ1822-$AJ1823</f>
        <v/>
      </c>
    </row>
    <row r="1823">
      <c r="AR1823" s="81">
        <f>($G1823+($H1823-$G1823)*0.5)+($P1823-($O1823+($Q1823-$O1823)*0.5))</f>
        <v/>
      </c>
      <c r="AS1823" s="81">
        <f>($J1823+($K1823-$J1823)*0.5)+($T1823-($S1823+($U1823-$S1823)*0.5))</f>
        <v/>
      </c>
      <c r="AT1823" s="82">
        <f>($J1823-$C1823)*100</f>
        <v/>
      </c>
      <c r="AU1823" s="82">
        <f>($H1823-$F1823)*100</f>
        <v/>
      </c>
      <c r="AV1823" s="82">
        <f>($J1823-$F1823)*100</f>
        <v/>
      </c>
      <c r="AW1823" s="82">
        <f>($L1823-$F1823)*100</f>
        <v/>
      </c>
      <c r="AX1823" s="82">
        <f>($J1823-$H1823)*100</f>
        <v/>
      </c>
      <c r="AY1823" s="82">
        <f>($L1823-$H1823)*100</f>
        <v/>
      </c>
      <c r="AZ1823" s="82">
        <f>($L1823-$J1823)*100</f>
        <v/>
      </c>
      <c r="BA1823" s="82">
        <f>(2*$H1823-$F1823-$J1823)*100</f>
        <v/>
      </c>
      <c r="BB1823" s="82">
        <f>(2*$J1823-$H1823-$L1823)*100</f>
        <v/>
      </c>
      <c r="BC1823" s="82">
        <f>($N1823-$F1823)*100</f>
        <v/>
      </c>
      <c r="BD1823" s="82">
        <f>($Q1823-$H1823)*100</f>
        <v/>
      </c>
      <c r="BE1823" s="82">
        <f>($S1823-$J1823)*100</f>
        <v/>
      </c>
      <c r="BF1823" s="82">
        <f>($V1823-$L1823)*100</f>
        <v/>
      </c>
      <c r="BG1823" s="82">
        <f>$AG1823-$AF1823</f>
        <v/>
      </c>
      <c r="BH1823" s="81">
        <f>IFERROR($AG1823/$AF1823,"")</f>
        <v/>
      </c>
      <c r="BI1823" s="82">
        <f>$AJ1823-$AF1823</f>
        <v/>
      </c>
      <c r="BJ1823" s="81">
        <f>IFERROR($AJ1823/$AG1823,"")</f>
        <v/>
      </c>
      <c r="BK1823" s="81">
        <f>$X1823</f>
        <v/>
      </c>
      <c r="BL1823" s="82">
        <f>($J1823-$J1824)*100</f>
        <v/>
      </c>
      <c r="BM1823" s="82">
        <f>($F1823-$F1824)*100</f>
        <v/>
      </c>
      <c r="BN1823" s="82">
        <f>$AF1823-$AF1824</f>
        <v/>
      </c>
      <c r="BO1823" s="82">
        <f>$AG1823-$AG1824</f>
        <v/>
      </c>
      <c r="BP1823" s="82">
        <f>$AJ1823-$AJ1824</f>
        <v/>
      </c>
    </row>
    <row r="1824">
      <c r="AR1824" s="81">
        <f>($G1824+($H1824-$G1824)*0.5)+($P1824-($O1824+($Q1824-$O1824)*0.5))</f>
        <v/>
      </c>
      <c r="AS1824" s="81">
        <f>($J1824+($K1824-$J1824)*0.5)+($T1824-($S1824+($U1824-$S1824)*0.5))</f>
        <v/>
      </c>
      <c r="AT1824" s="82">
        <f>($J1824-$C1824)*100</f>
        <v/>
      </c>
      <c r="AU1824" s="82">
        <f>($H1824-$F1824)*100</f>
        <v/>
      </c>
      <c r="AV1824" s="82">
        <f>($J1824-$F1824)*100</f>
        <v/>
      </c>
      <c r="AW1824" s="82">
        <f>($L1824-$F1824)*100</f>
        <v/>
      </c>
      <c r="AX1824" s="82">
        <f>($J1824-$H1824)*100</f>
        <v/>
      </c>
      <c r="AY1824" s="82">
        <f>($L1824-$H1824)*100</f>
        <v/>
      </c>
      <c r="AZ1824" s="82">
        <f>($L1824-$J1824)*100</f>
        <v/>
      </c>
      <c r="BA1824" s="82">
        <f>(2*$H1824-$F1824-$J1824)*100</f>
        <v/>
      </c>
      <c r="BB1824" s="82">
        <f>(2*$J1824-$H1824-$L1824)*100</f>
        <v/>
      </c>
      <c r="BC1824" s="82">
        <f>($N1824-$F1824)*100</f>
        <v/>
      </c>
      <c r="BD1824" s="82">
        <f>($Q1824-$H1824)*100</f>
        <v/>
      </c>
      <c r="BE1824" s="82">
        <f>($S1824-$J1824)*100</f>
        <v/>
      </c>
      <c r="BF1824" s="82">
        <f>($V1824-$L1824)*100</f>
        <v/>
      </c>
      <c r="BG1824" s="82">
        <f>$AG1824-$AF1824</f>
        <v/>
      </c>
      <c r="BH1824" s="81">
        <f>IFERROR($AG1824/$AF1824,"")</f>
        <v/>
      </c>
      <c r="BI1824" s="82">
        <f>$AJ1824-$AF1824</f>
        <v/>
      </c>
      <c r="BJ1824" s="81">
        <f>IFERROR($AJ1824/$AG1824,"")</f>
        <v/>
      </c>
      <c r="BK1824" s="81">
        <f>$X1824</f>
        <v/>
      </c>
      <c r="BL1824" s="82">
        <f>($J1824-$J1825)*100</f>
        <v/>
      </c>
      <c r="BM1824" s="82">
        <f>($F1824-$F1825)*100</f>
        <v/>
      </c>
      <c r="BN1824" s="82">
        <f>$AF1824-$AF1825</f>
        <v/>
      </c>
      <c r="BO1824" s="82">
        <f>$AG1824-$AG1825</f>
        <v/>
      </c>
      <c r="BP1824" s="82">
        <f>$AJ1824-$AJ1825</f>
        <v/>
      </c>
    </row>
    <row r="1825">
      <c r="AR1825" s="81">
        <f>($G1825+($H1825-$G1825)*0.5)+($P1825-($O1825+($Q1825-$O1825)*0.5))</f>
        <v/>
      </c>
      <c r="AS1825" s="81">
        <f>($J1825+($K1825-$J1825)*0.5)+($T1825-($S1825+($U1825-$S1825)*0.5))</f>
        <v/>
      </c>
      <c r="AT1825" s="82">
        <f>($J1825-$C1825)*100</f>
        <v/>
      </c>
      <c r="AU1825" s="82">
        <f>($H1825-$F1825)*100</f>
        <v/>
      </c>
      <c r="AV1825" s="82">
        <f>($J1825-$F1825)*100</f>
        <v/>
      </c>
      <c r="AW1825" s="82">
        <f>($L1825-$F1825)*100</f>
        <v/>
      </c>
      <c r="AX1825" s="82">
        <f>($J1825-$H1825)*100</f>
        <v/>
      </c>
      <c r="AY1825" s="82">
        <f>($L1825-$H1825)*100</f>
        <v/>
      </c>
      <c r="AZ1825" s="82">
        <f>($L1825-$J1825)*100</f>
        <v/>
      </c>
      <c r="BA1825" s="82">
        <f>(2*$H1825-$F1825-$J1825)*100</f>
        <v/>
      </c>
      <c r="BB1825" s="82">
        <f>(2*$J1825-$H1825-$L1825)*100</f>
        <v/>
      </c>
      <c r="BC1825" s="82">
        <f>($N1825-$F1825)*100</f>
        <v/>
      </c>
      <c r="BD1825" s="82">
        <f>($Q1825-$H1825)*100</f>
        <v/>
      </c>
      <c r="BE1825" s="82">
        <f>($S1825-$J1825)*100</f>
        <v/>
      </c>
      <c r="BF1825" s="82">
        <f>($V1825-$L1825)*100</f>
        <v/>
      </c>
      <c r="BG1825" s="82">
        <f>$AG1825-$AF1825</f>
        <v/>
      </c>
      <c r="BH1825" s="81">
        <f>IFERROR($AG1825/$AF1825,"")</f>
        <v/>
      </c>
      <c r="BI1825" s="82">
        <f>$AJ1825-$AF1825</f>
        <v/>
      </c>
      <c r="BJ1825" s="81">
        <f>IFERROR($AJ1825/$AG1825,"")</f>
        <v/>
      </c>
      <c r="BK1825" s="81">
        <f>$X1825</f>
        <v/>
      </c>
      <c r="BL1825" s="82">
        <f>($J1825-$J1826)*100</f>
        <v/>
      </c>
      <c r="BM1825" s="82">
        <f>($F1825-$F1826)*100</f>
        <v/>
      </c>
      <c r="BN1825" s="82">
        <f>$AF1825-$AF1826</f>
        <v/>
      </c>
      <c r="BO1825" s="82">
        <f>$AG1825-$AG1826</f>
        <v/>
      </c>
      <c r="BP1825" s="82">
        <f>$AJ1825-$AJ1826</f>
        <v/>
      </c>
    </row>
    <row r="1826">
      <c r="AR1826" s="81">
        <f>($G1826+($H1826-$G1826)*0.5)+($P1826-($O1826+($Q1826-$O1826)*0.5))</f>
        <v/>
      </c>
      <c r="AS1826" s="81">
        <f>($J1826+($K1826-$J1826)*0.5)+($T1826-($S1826+($U1826-$S1826)*0.5))</f>
        <v/>
      </c>
      <c r="AT1826" s="82">
        <f>($J1826-$C1826)*100</f>
        <v/>
      </c>
      <c r="AU1826" s="82">
        <f>($H1826-$F1826)*100</f>
        <v/>
      </c>
      <c r="AV1826" s="82">
        <f>($J1826-$F1826)*100</f>
        <v/>
      </c>
      <c r="AW1826" s="82">
        <f>($L1826-$F1826)*100</f>
        <v/>
      </c>
      <c r="AX1826" s="82">
        <f>($J1826-$H1826)*100</f>
        <v/>
      </c>
      <c r="AY1826" s="82">
        <f>($L1826-$H1826)*100</f>
        <v/>
      </c>
      <c r="AZ1826" s="82">
        <f>($L1826-$J1826)*100</f>
        <v/>
      </c>
      <c r="BA1826" s="82">
        <f>(2*$H1826-$F1826-$J1826)*100</f>
        <v/>
      </c>
      <c r="BB1826" s="82">
        <f>(2*$J1826-$H1826-$L1826)*100</f>
        <v/>
      </c>
      <c r="BC1826" s="82">
        <f>($N1826-$F1826)*100</f>
        <v/>
      </c>
      <c r="BD1826" s="82">
        <f>($Q1826-$H1826)*100</f>
        <v/>
      </c>
      <c r="BE1826" s="82">
        <f>($S1826-$J1826)*100</f>
        <v/>
      </c>
      <c r="BF1826" s="82">
        <f>($V1826-$L1826)*100</f>
        <v/>
      </c>
      <c r="BG1826" s="82">
        <f>$AG1826-$AF1826</f>
        <v/>
      </c>
      <c r="BH1826" s="81">
        <f>IFERROR($AG1826/$AF1826,"")</f>
        <v/>
      </c>
      <c r="BI1826" s="82">
        <f>$AJ1826-$AF1826</f>
        <v/>
      </c>
      <c r="BJ1826" s="81">
        <f>IFERROR($AJ1826/$AG1826,"")</f>
        <v/>
      </c>
      <c r="BK1826" s="81">
        <f>$X1826</f>
        <v/>
      </c>
      <c r="BL1826" s="82">
        <f>($J1826-$J1827)*100</f>
        <v/>
      </c>
      <c r="BM1826" s="82">
        <f>($F1826-$F1827)*100</f>
        <v/>
      </c>
      <c r="BN1826" s="82">
        <f>$AF1826-$AF1827</f>
        <v/>
      </c>
      <c r="BO1826" s="82">
        <f>$AG1826-$AG1827</f>
        <v/>
      </c>
      <c r="BP1826" s="82">
        <f>$AJ1826-$AJ1827</f>
        <v/>
      </c>
    </row>
    <row r="1827">
      <c r="AR1827" s="81">
        <f>($G1827+($H1827-$G1827)*0.5)+($P1827-($O1827+($Q1827-$O1827)*0.5))</f>
        <v/>
      </c>
      <c r="AS1827" s="81">
        <f>($J1827+($K1827-$J1827)*0.5)+($T1827-($S1827+($U1827-$S1827)*0.5))</f>
        <v/>
      </c>
      <c r="AT1827" s="82">
        <f>($J1827-$C1827)*100</f>
        <v/>
      </c>
      <c r="AU1827" s="82">
        <f>($H1827-$F1827)*100</f>
        <v/>
      </c>
      <c r="AV1827" s="82">
        <f>($J1827-$F1827)*100</f>
        <v/>
      </c>
      <c r="AW1827" s="82">
        <f>($L1827-$F1827)*100</f>
        <v/>
      </c>
      <c r="AX1827" s="82">
        <f>($J1827-$H1827)*100</f>
        <v/>
      </c>
      <c r="AY1827" s="82">
        <f>($L1827-$H1827)*100</f>
        <v/>
      </c>
      <c r="AZ1827" s="82">
        <f>($L1827-$J1827)*100</f>
        <v/>
      </c>
      <c r="BA1827" s="82">
        <f>(2*$H1827-$F1827-$J1827)*100</f>
        <v/>
      </c>
      <c r="BB1827" s="82">
        <f>(2*$J1827-$H1827-$L1827)*100</f>
        <v/>
      </c>
      <c r="BC1827" s="82">
        <f>($N1827-$F1827)*100</f>
        <v/>
      </c>
      <c r="BD1827" s="82">
        <f>($Q1827-$H1827)*100</f>
        <v/>
      </c>
      <c r="BE1827" s="82">
        <f>($S1827-$J1827)*100</f>
        <v/>
      </c>
      <c r="BF1827" s="82">
        <f>($V1827-$L1827)*100</f>
        <v/>
      </c>
      <c r="BG1827" s="82">
        <f>$AG1827-$AF1827</f>
        <v/>
      </c>
      <c r="BH1827" s="81">
        <f>IFERROR($AG1827/$AF1827,"")</f>
        <v/>
      </c>
      <c r="BI1827" s="82">
        <f>$AJ1827-$AF1827</f>
        <v/>
      </c>
      <c r="BJ1827" s="81">
        <f>IFERROR($AJ1827/$AG1827,"")</f>
        <v/>
      </c>
      <c r="BK1827" s="81">
        <f>$X1827</f>
        <v/>
      </c>
      <c r="BL1827" s="82">
        <f>($J1827-$J1828)*100</f>
        <v/>
      </c>
      <c r="BM1827" s="82">
        <f>($F1827-$F1828)*100</f>
        <v/>
      </c>
      <c r="BN1827" s="82">
        <f>$AF1827-$AF1828</f>
        <v/>
      </c>
      <c r="BO1827" s="82">
        <f>$AG1827-$AG1828</f>
        <v/>
      </c>
      <c r="BP1827" s="82">
        <f>$AJ1827-$AJ1828</f>
        <v/>
      </c>
    </row>
    <row r="1828">
      <c r="AR1828" s="81">
        <f>($G1828+($H1828-$G1828)*0.5)+($P1828-($O1828+($Q1828-$O1828)*0.5))</f>
        <v/>
      </c>
      <c r="AS1828" s="81">
        <f>($J1828+($K1828-$J1828)*0.5)+($T1828-($S1828+($U1828-$S1828)*0.5))</f>
        <v/>
      </c>
      <c r="AT1828" s="82">
        <f>($J1828-$C1828)*100</f>
        <v/>
      </c>
      <c r="AU1828" s="82">
        <f>($H1828-$F1828)*100</f>
        <v/>
      </c>
      <c r="AV1828" s="82">
        <f>($J1828-$F1828)*100</f>
        <v/>
      </c>
      <c r="AW1828" s="82">
        <f>($L1828-$F1828)*100</f>
        <v/>
      </c>
      <c r="AX1828" s="82">
        <f>($J1828-$H1828)*100</f>
        <v/>
      </c>
      <c r="AY1828" s="82">
        <f>($L1828-$H1828)*100</f>
        <v/>
      </c>
      <c r="AZ1828" s="82">
        <f>($L1828-$J1828)*100</f>
        <v/>
      </c>
      <c r="BA1828" s="82">
        <f>(2*$H1828-$F1828-$J1828)*100</f>
        <v/>
      </c>
      <c r="BB1828" s="82">
        <f>(2*$J1828-$H1828-$L1828)*100</f>
        <v/>
      </c>
      <c r="BC1828" s="82">
        <f>($N1828-$F1828)*100</f>
        <v/>
      </c>
      <c r="BD1828" s="82">
        <f>($Q1828-$H1828)*100</f>
        <v/>
      </c>
      <c r="BE1828" s="82">
        <f>($S1828-$J1828)*100</f>
        <v/>
      </c>
      <c r="BF1828" s="82">
        <f>($V1828-$L1828)*100</f>
        <v/>
      </c>
      <c r="BG1828" s="82">
        <f>$AG1828-$AF1828</f>
        <v/>
      </c>
      <c r="BH1828" s="81">
        <f>IFERROR($AG1828/$AF1828,"")</f>
        <v/>
      </c>
      <c r="BI1828" s="82">
        <f>$AJ1828-$AF1828</f>
        <v/>
      </c>
      <c r="BJ1828" s="81">
        <f>IFERROR($AJ1828/$AG1828,"")</f>
        <v/>
      </c>
      <c r="BK1828" s="81">
        <f>$X1828</f>
        <v/>
      </c>
      <c r="BL1828" s="82">
        <f>($J1828-$J1829)*100</f>
        <v/>
      </c>
      <c r="BM1828" s="82">
        <f>($F1828-$F1829)*100</f>
        <v/>
      </c>
      <c r="BN1828" s="82">
        <f>$AF1828-$AF1829</f>
        <v/>
      </c>
      <c r="BO1828" s="82">
        <f>$AG1828-$AG1829</f>
        <v/>
      </c>
      <c r="BP1828" s="82">
        <f>$AJ1828-$AJ1829</f>
        <v/>
      </c>
    </row>
    <row r="1829">
      <c r="AR1829" s="81">
        <f>($G1829+($H1829-$G1829)*0.5)+($P1829-($O1829+($Q1829-$O1829)*0.5))</f>
        <v/>
      </c>
      <c r="AS1829" s="81">
        <f>($J1829+($K1829-$J1829)*0.5)+($T1829-($S1829+($U1829-$S1829)*0.5))</f>
        <v/>
      </c>
      <c r="AT1829" s="82">
        <f>($J1829-$C1829)*100</f>
        <v/>
      </c>
      <c r="AU1829" s="82">
        <f>($H1829-$F1829)*100</f>
        <v/>
      </c>
      <c r="AV1829" s="82">
        <f>($J1829-$F1829)*100</f>
        <v/>
      </c>
      <c r="AW1829" s="82">
        <f>($L1829-$F1829)*100</f>
        <v/>
      </c>
      <c r="AX1829" s="82">
        <f>($J1829-$H1829)*100</f>
        <v/>
      </c>
      <c r="AY1829" s="82">
        <f>($L1829-$H1829)*100</f>
        <v/>
      </c>
      <c r="AZ1829" s="82">
        <f>($L1829-$J1829)*100</f>
        <v/>
      </c>
      <c r="BA1829" s="82">
        <f>(2*$H1829-$F1829-$J1829)*100</f>
        <v/>
      </c>
      <c r="BB1829" s="82">
        <f>(2*$J1829-$H1829-$L1829)*100</f>
        <v/>
      </c>
      <c r="BC1829" s="82">
        <f>($N1829-$F1829)*100</f>
        <v/>
      </c>
      <c r="BD1829" s="82">
        <f>($Q1829-$H1829)*100</f>
        <v/>
      </c>
      <c r="BE1829" s="82">
        <f>($S1829-$J1829)*100</f>
        <v/>
      </c>
      <c r="BF1829" s="82">
        <f>($V1829-$L1829)*100</f>
        <v/>
      </c>
      <c r="BG1829" s="82">
        <f>$AG1829-$AF1829</f>
        <v/>
      </c>
      <c r="BH1829" s="81">
        <f>IFERROR($AG1829/$AF1829,"")</f>
        <v/>
      </c>
      <c r="BI1829" s="82">
        <f>$AJ1829-$AF1829</f>
        <v/>
      </c>
      <c r="BJ1829" s="81">
        <f>IFERROR($AJ1829/$AG1829,"")</f>
        <v/>
      </c>
      <c r="BK1829" s="81">
        <f>$X1829</f>
        <v/>
      </c>
      <c r="BL1829" s="82">
        <f>($J1829-$J1830)*100</f>
        <v/>
      </c>
      <c r="BM1829" s="82">
        <f>($F1829-$F1830)*100</f>
        <v/>
      </c>
      <c r="BN1829" s="82">
        <f>$AF1829-$AF1830</f>
        <v/>
      </c>
      <c r="BO1829" s="82">
        <f>$AG1829-$AG1830</f>
        <v/>
      </c>
      <c r="BP1829" s="82">
        <f>$AJ1829-$AJ1830</f>
        <v/>
      </c>
    </row>
    <row r="1830">
      <c r="AR1830" s="81">
        <f>($G1830+($H1830-$G1830)*0.5)+($P1830-($O1830+($Q1830-$O1830)*0.5))</f>
        <v/>
      </c>
      <c r="AS1830" s="81">
        <f>($J1830+($K1830-$J1830)*0.5)+($T1830-($S1830+($U1830-$S1830)*0.5))</f>
        <v/>
      </c>
      <c r="AT1830" s="82">
        <f>($J1830-$C1830)*100</f>
        <v/>
      </c>
      <c r="AU1830" s="82">
        <f>($H1830-$F1830)*100</f>
        <v/>
      </c>
      <c r="AV1830" s="82">
        <f>($J1830-$F1830)*100</f>
        <v/>
      </c>
      <c r="AW1830" s="82">
        <f>($L1830-$F1830)*100</f>
        <v/>
      </c>
      <c r="AX1830" s="82">
        <f>($J1830-$H1830)*100</f>
        <v/>
      </c>
      <c r="AY1830" s="82">
        <f>($L1830-$H1830)*100</f>
        <v/>
      </c>
      <c r="AZ1830" s="82">
        <f>($L1830-$J1830)*100</f>
        <v/>
      </c>
      <c r="BA1830" s="82">
        <f>(2*$H1830-$F1830-$J1830)*100</f>
        <v/>
      </c>
      <c r="BB1830" s="82">
        <f>(2*$J1830-$H1830-$L1830)*100</f>
        <v/>
      </c>
      <c r="BC1830" s="82">
        <f>($N1830-$F1830)*100</f>
        <v/>
      </c>
      <c r="BD1830" s="82">
        <f>($Q1830-$H1830)*100</f>
        <v/>
      </c>
      <c r="BE1830" s="82">
        <f>($S1830-$J1830)*100</f>
        <v/>
      </c>
      <c r="BF1830" s="82">
        <f>($V1830-$L1830)*100</f>
        <v/>
      </c>
      <c r="BG1830" s="82">
        <f>$AG1830-$AF1830</f>
        <v/>
      </c>
      <c r="BH1830" s="81">
        <f>IFERROR($AG1830/$AF1830,"")</f>
        <v/>
      </c>
      <c r="BI1830" s="82">
        <f>$AJ1830-$AF1830</f>
        <v/>
      </c>
      <c r="BJ1830" s="81">
        <f>IFERROR($AJ1830/$AG1830,"")</f>
        <v/>
      </c>
      <c r="BK1830" s="81">
        <f>$X1830</f>
        <v/>
      </c>
      <c r="BL1830" s="82">
        <f>($J1830-$J1831)*100</f>
        <v/>
      </c>
      <c r="BM1830" s="82">
        <f>($F1830-$F1831)*100</f>
        <v/>
      </c>
      <c r="BN1830" s="82">
        <f>$AF1830-$AF1831</f>
        <v/>
      </c>
      <c r="BO1830" s="82">
        <f>$AG1830-$AG1831</f>
        <v/>
      </c>
      <c r="BP1830" s="82">
        <f>$AJ1830-$AJ1831</f>
        <v/>
      </c>
    </row>
    <row r="1831">
      <c r="AR1831" s="81">
        <f>($G1831+($H1831-$G1831)*0.5)+($P1831-($O1831+($Q1831-$O1831)*0.5))</f>
        <v/>
      </c>
      <c r="AS1831" s="81">
        <f>($J1831+($K1831-$J1831)*0.5)+($T1831-($S1831+($U1831-$S1831)*0.5))</f>
        <v/>
      </c>
      <c r="AT1831" s="82">
        <f>($J1831-$C1831)*100</f>
        <v/>
      </c>
      <c r="AU1831" s="82">
        <f>($H1831-$F1831)*100</f>
        <v/>
      </c>
      <c r="AV1831" s="82">
        <f>($J1831-$F1831)*100</f>
        <v/>
      </c>
      <c r="AW1831" s="82">
        <f>($L1831-$F1831)*100</f>
        <v/>
      </c>
      <c r="AX1831" s="82">
        <f>($J1831-$H1831)*100</f>
        <v/>
      </c>
      <c r="AY1831" s="82">
        <f>($L1831-$H1831)*100</f>
        <v/>
      </c>
      <c r="AZ1831" s="82">
        <f>($L1831-$J1831)*100</f>
        <v/>
      </c>
      <c r="BA1831" s="82">
        <f>(2*$H1831-$F1831-$J1831)*100</f>
        <v/>
      </c>
      <c r="BB1831" s="82">
        <f>(2*$J1831-$H1831-$L1831)*100</f>
        <v/>
      </c>
      <c r="BC1831" s="82">
        <f>($N1831-$F1831)*100</f>
        <v/>
      </c>
      <c r="BD1831" s="82">
        <f>($Q1831-$H1831)*100</f>
        <v/>
      </c>
      <c r="BE1831" s="82">
        <f>($S1831-$J1831)*100</f>
        <v/>
      </c>
      <c r="BF1831" s="82">
        <f>($V1831-$L1831)*100</f>
        <v/>
      </c>
      <c r="BG1831" s="82">
        <f>$AG1831-$AF1831</f>
        <v/>
      </c>
      <c r="BH1831" s="81">
        <f>IFERROR($AG1831/$AF1831,"")</f>
        <v/>
      </c>
      <c r="BI1831" s="82">
        <f>$AJ1831-$AF1831</f>
        <v/>
      </c>
      <c r="BJ1831" s="81">
        <f>IFERROR($AJ1831/$AG1831,"")</f>
        <v/>
      </c>
      <c r="BK1831" s="81">
        <f>$X1831</f>
        <v/>
      </c>
      <c r="BL1831" s="82">
        <f>($J1831-$J1832)*100</f>
        <v/>
      </c>
      <c r="BM1831" s="82">
        <f>($F1831-$F1832)*100</f>
        <v/>
      </c>
      <c r="BN1831" s="82">
        <f>$AF1831-$AF1832</f>
        <v/>
      </c>
      <c r="BO1831" s="82">
        <f>$AG1831-$AG1832</f>
        <v/>
      </c>
      <c r="BP1831" s="82">
        <f>$AJ1831-$AJ1832</f>
        <v/>
      </c>
    </row>
    <row r="1832">
      <c r="AR1832" s="81">
        <f>($G1832+($H1832-$G1832)*0.5)+($P1832-($O1832+($Q1832-$O1832)*0.5))</f>
        <v/>
      </c>
      <c r="AS1832" s="81">
        <f>($J1832+($K1832-$J1832)*0.5)+($T1832-($S1832+($U1832-$S1832)*0.5))</f>
        <v/>
      </c>
      <c r="AT1832" s="82">
        <f>($J1832-$C1832)*100</f>
        <v/>
      </c>
      <c r="AU1832" s="82">
        <f>($H1832-$F1832)*100</f>
        <v/>
      </c>
      <c r="AV1832" s="82">
        <f>($J1832-$F1832)*100</f>
        <v/>
      </c>
      <c r="AW1832" s="82">
        <f>($L1832-$F1832)*100</f>
        <v/>
      </c>
      <c r="AX1832" s="82">
        <f>($J1832-$H1832)*100</f>
        <v/>
      </c>
      <c r="AY1832" s="82">
        <f>($L1832-$H1832)*100</f>
        <v/>
      </c>
      <c r="AZ1832" s="82">
        <f>($L1832-$J1832)*100</f>
        <v/>
      </c>
      <c r="BA1832" s="82">
        <f>(2*$H1832-$F1832-$J1832)*100</f>
        <v/>
      </c>
      <c r="BB1832" s="82">
        <f>(2*$J1832-$H1832-$L1832)*100</f>
        <v/>
      </c>
      <c r="BC1832" s="82">
        <f>($N1832-$F1832)*100</f>
        <v/>
      </c>
      <c r="BD1832" s="82">
        <f>($Q1832-$H1832)*100</f>
        <v/>
      </c>
      <c r="BE1832" s="82">
        <f>($S1832-$J1832)*100</f>
        <v/>
      </c>
      <c r="BF1832" s="82">
        <f>($V1832-$L1832)*100</f>
        <v/>
      </c>
      <c r="BG1832" s="82">
        <f>$AG1832-$AF1832</f>
        <v/>
      </c>
      <c r="BH1832" s="81">
        <f>IFERROR($AG1832/$AF1832,"")</f>
        <v/>
      </c>
      <c r="BI1832" s="82">
        <f>$AJ1832-$AF1832</f>
        <v/>
      </c>
      <c r="BJ1832" s="81">
        <f>IFERROR($AJ1832/$AG1832,"")</f>
        <v/>
      </c>
      <c r="BK1832" s="81">
        <f>$X1832</f>
        <v/>
      </c>
      <c r="BL1832" s="82">
        <f>($J1832-$J1833)*100</f>
        <v/>
      </c>
      <c r="BM1832" s="82">
        <f>($F1832-$F1833)*100</f>
        <v/>
      </c>
      <c r="BN1832" s="82">
        <f>$AF1832-$AF1833</f>
        <v/>
      </c>
      <c r="BO1832" s="82">
        <f>$AG1832-$AG1833</f>
        <v/>
      </c>
      <c r="BP1832" s="82">
        <f>$AJ1832-$AJ1833</f>
        <v/>
      </c>
    </row>
    <row r="1833">
      <c r="AR1833" s="81">
        <f>($G1833+($H1833-$G1833)*0.5)+($P1833-($O1833+($Q1833-$O1833)*0.5))</f>
        <v/>
      </c>
      <c r="AS1833" s="81">
        <f>($J1833+($K1833-$J1833)*0.5)+($T1833-($S1833+($U1833-$S1833)*0.5))</f>
        <v/>
      </c>
      <c r="AT1833" s="82">
        <f>($J1833-$C1833)*100</f>
        <v/>
      </c>
      <c r="AU1833" s="82">
        <f>($H1833-$F1833)*100</f>
        <v/>
      </c>
      <c r="AV1833" s="82">
        <f>($J1833-$F1833)*100</f>
        <v/>
      </c>
      <c r="AW1833" s="82">
        <f>($L1833-$F1833)*100</f>
        <v/>
      </c>
      <c r="AX1833" s="82">
        <f>($J1833-$H1833)*100</f>
        <v/>
      </c>
      <c r="AY1833" s="82">
        <f>($L1833-$H1833)*100</f>
        <v/>
      </c>
      <c r="AZ1833" s="82">
        <f>($L1833-$J1833)*100</f>
        <v/>
      </c>
      <c r="BA1833" s="82">
        <f>(2*$H1833-$F1833-$J1833)*100</f>
        <v/>
      </c>
      <c r="BB1833" s="82">
        <f>(2*$J1833-$H1833-$L1833)*100</f>
        <v/>
      </c>
      <c r="BC1833" s="82">
        <f>($N1833-$F1833)*100</f>
        <v/>
      </c>
      <c r="BD1833" s="82">
        <f>($Q1833-$H1833)*100</f>
        <v/>
      </c>
      <c r="BE1833" s="82">
        <f>($S1833-$J1833)*100</f>
        <v/>
      </c>
      <c r="BF1833" s="82">
        <f>($V1833-$L1833)*100</f>
        <v/>
      </c>
      <c r="BG1833" s="82">
        <f>$AG1833-$AF1833</f>
        <v/>
      </c>
      <c r="BH1833" s="81">
        <f>IFERROR($AG1833/$AF1833,"")</f>
        <v/>
      </c>
      <c r="BI1833" s="82">
        <f>$AJ1833-$AF1833</f>
        <v/>
      </c>
      <c r="BJ1833" s="81">
        <f>IFERROR($AJ1833/$AG1833,"")</f>
        <v/>
      </c>
      <c r="BK1833" s="81">
        <f>$X1833</f>
        <v/>
      </c>
      <c r="BL1833" s="82">
        <f>($J1833-$J1834)*100</f>
        <v/>
      </c>
      <c r="BM1833" s="82">
        <f>($F1833-$F1834)*100</f>
        <v/>
      </c>
      <c r="BN1833" s="82">
        <f>$AF1833-$AF1834</f>
        <v/>
      </c>
      <c r="BO1833" s="82">
        <f>$AG1833-$AG1834</f>
        <v/>
      </c>
      <c r="BP1833" s="82">
        <f>$AJ1833-$AJ1834</f>
        <v/>
      </c>
    </row>
    <row r="1834">
      <c r="AR1834" s="81">
        <f>($G1834+($H1834-$G1834)*0.5)+($P1834-($O1834+($Q1834-$O1834)*0.5))</f>
        <v/>
      </c>
      <c r="AS1834" s="81">
        <f>($J1834+($K1834-$J1834)*0.5)+($T1834-($S1834+($U1834-$S1834)*0.5))</f>
        <v/>
      </c>
      <c r="AT1834" s="82">
        <f>($J1834-$C1834)*100</f>
        <v/>
      </c>
      <c r="AU1834" s="82">
        <f>($H1834-$F1834)*100</f>
        <v/>
      </c>
      <c r="AV1834" s="82">
        <f>($J1834-$F1834)*100</f>
        <v/>
      </c>
      <c r="AW1834" s="82">
        <f>($L1834-$F1834)*100</f>
        <v/>
      </c>
      <c r="AX1834" s="82">
        <f>($J1834-$H1834)*100</f>
        <v/>
      </c>
      <c r="AY1834" s="82">
        <f>($L1834-$H1834)*100</f>
        <v/>
      </c>
      <c r="AZ1834" s="82">
        <f>($L1834-$J1834)*100</f>
        <v/>
      </c>
      <c r="BA1834" s="82">
        <f>(2*$H1834-$F1834-$J1834)*100</f>
        <v/>
      </c>
      <c r="BB1834" s="82">
        <f>(2*$J1834-$H1834-$L1834)*100</f>
        <v/>
      </c>
      <c r="BC1834" s="82">
        <f>($N1834-$F1834)*100</f>
        <v/>
      </c>
      <c r="BD1834" s="82">
        <f>($Q1834-$H1834)*100</f>
        <v/>
      </c>
      <c r="BE1834" s="82">
        <f>($S1834-$J1834)*100</f>
        <v/>
      </c>
      <c r="BF1834" s="82">
        <f>($V1834-$L1834)*100</f>
        <v/>
      </c>
      <c r="BG1834" s="82">
        <f>$AG1834-$AF1834</f>
        <v/>
      </c>
      <c r="BH1834" s="81">
        <f>IFERROR($AG1834/$AF1834,"")</f>
        <v/>
      </c>
      <c r="BI1834" s="82">
        <f>$AJ1834-$AF1834</f>
        <v/>
      </c>
      <c r="BJ1834" s="81">
        <f>IFERROR($AJ1834/$AG1834,"")</f>
        <v/>
      </c>
      <c r="BK1834" s="81">
        <f>$X1834</f>
        <v/>
      </c>
      <c r="BL1834" s="82">
        <f>($J1834-$J1835)*100</f>
        <v/>
      </c>
      <c r="BM1834" s="82">
        <f>($F1834-$F1835)*100</f>
        <v/>
      </c>
      <c r="BN1834" s="82">
        <f>$AF1834-$AF1835</f>
        <v/>
      </c>
      <c r="BO1834" s="82">
        <f>$AG1834-$AG1835</f>
        <v/>
      </c>
      <c r="BP1834" s="82">
        <f>$AJ1834-$AJ1835</f>
        <v/>
      </c>
    </row>
    <row r="1835">
      <c r="AR1835" s="81">
        <f>($G1835+($H1835-$G1835)*0.5)+($P1835-($O1835+($Q1835-$O1835)*0.5))</f>
        <v/>
      </c>
      <c r="AS1835" s="81">
        <f>($J1835+($K1835-$J1835)*0.5)+($T1835-($S1835+($U1835-$S1835)*0.5))</f>
        <v/>
      </c>
      <c r="AT1835" s="82">
        <f>($J1835-$C1835)*100</f>
        <v/>
      </c>
      <c r="AU1835" s="82">
        <f>($H1835-$F1835)*100</f>
        <v/>
      </c>
      <c r="AV1835" s="82">
        <f>($J1835-$F1835)*100</f>
        <v/>
      </c>
      <c r="AW1835" s="82">
        <f>($L1835-$F1835)*100</f>
        <v/>
      </c>
      <c r="AX1835" s="82">
        <f>($J1835-$H1835)*100</f>
        <v/>
      </c>
      <c r="AY1835" s="82">
        <f>($L1835-$H1835)*100</f>
        <v/>
      </c>
      <c r="AZ1835" s="82">
        <f>($L1835-$J1835)*100</f>
        <v/>
      </c>
      <c r="BA1835" s="82">
        <f>(2*$H1835-$F1835-$J1835)*100</f>
        <v/>
      </c>
      <c r="BB1835" s="82">
        <f>(2*$J1835-$H1835-$L1835)*100</f>
        <v/>
      </c>
      <c r="BC1835" s="82">
        <f>($N1835-$F1835)*100</f>
        <v/>
      </c>
      <c r="BD1835" s="82">
        <f>($Q1835-$H1835)*100</f>
        <v/>
      </c>
      <c r="BE1835" s="82">
        <f>($S1835-$J1835)*100</f>
        <v/>
      </c>
      <c r="BF1835" s="82">
        <f>($V1835-$L1835)*100</f>
        <v/>
      </c>
      <c r="BG1835" s="82">
        <f>$AG1835-$AF1835</f>
        <v/>
      </c>
      <c r="BH1835" s="81">
        <f>IFERROR($AG1835/$AF1835,"")</f>
        <v/>
      </c>
      <c r="BI1835" s="82">
        <f>$AJ1835-$AF1835</f>
        <v/>
      </c>
      <c r="BJ1835" s="81">
        <f>IFERROR($AJ1835/$AG1835,"")</f>
        <v/>
      </c>
      <c r="BK1835" s="81">
        <f>$X1835</f>
        <v/>
      </c>
      <c r="BL1835" s="82">
        <f>($J1835-$J1836)*100</f>
        <v/>
      </c>
      <c r="BM1835" s="82">
        <f>($F1835-$F1836)*100</f>
        <v/>
      </c>
      <c r="BN1835" s="82">
        <f>$AF1835-$AF1836</f>
        <v/>
      </c>
      <c r="BO1835" s="82">
        <f>$AG1835-$AG1836</f>
        <v/>
      </c>
      <c r="BP1835" s="82">
        <f>$AJ1835-$AJ1836</f>
        <v/>
      </c>
    </row>
    <row r="1836">
      <c r="AR1836" s="81">
        <f>($G1836+($H1836-$G1836)*0.5)+($P1836-($O1836+($Q1836-$O1836)*0.5))</f>
        <v/>
      </c>
      <c r="AS1836" s="81">
        <f>($J1836+($K1836-$J1836)*0.5)+($T1836-($S1836+($U1836-$S1836)*0.5))</f>
        <v/>
      </c>
      <c r="AT1836" s="82">
        <f>($J1836-$C1836)*100</f>
        <v/>
      </c>
      <c r="AU1836" s="82">
        <f>($H1836-$F1836)*100</f>
        <v/>
      </c>
      <c r="AV1836" s="82">
        <f>($J1836-$F1836)*100</f>
        <v/>
      </c>
      <c r="AW1836" s="82">
        <f>($L1836-$F1836)*100</f>
        <v/>
      </c>
      <c r="AX1836" s="82">
        <f>($J1836-$H1836)*100</f>
        <v/>
      </c>
      <c r="AY1836" s="82">
        <f>($L1836-$H1836)*100</f>
        <v/>
      </c>
      <c r="AZ1836" s="82">
        <f>($L1836-$J1836)*100</f>
        <v/>
      </c>
      <c r="BA1836" s="82">
        <f>(2*$H1836-$F1836-$J1836)*100</f>
        <v/>
      </c>
      <c r="BB1836" s="82">
        <f>(2*$J1836-$H1836-$L1836)*100</f>
        <v/>
      </c>
      <c r="BC1836" s="82">
        <f>($N1836-$F1836)*100</f>
        <v/>
      </c>
      <c r="BD1836" s="82">
        <f>($Q1836-$H1836)*100</f>
        <v/>
      </c>
      <c r="BE1836" s="82">
        <f>($S1836-$J1836)*100</f>
        <v/>
      </c>
      <c r="BF1836" s="82">
        <f>($V1836-$L1836)*100</f>
        <v/>
      </c>
      <c r="BG1836" s="82">
        <f>$AG1836-$AF1836</f>
        <v/>
      </c>
      <c r="BH1836" s="81">
        <f>IFERROR($AG1836/$AF1836,"")</f>
        <v/>
      </c>
      <c r="BI1836" s="82">
        <f>$AJ1836-$AF1836</f>
        <v/>
      </c>
      <c r="BJ1836" s="81">
        <f>IFERROR($AJ1836/$AG1836,"")</f>
        <v/>
      </c>
      <c r="BK1836" s="81">
        <f>$X1836</f>
        <v/>
      </c>
      <c r="BL1836" s="82">
        <f>($J1836-$J1837)*100</f>
        <v/>
      </c>
      <c r="BM1836" s="82">
        <f>($F1836-$F1837)*100</f>
        <v/>
      </c>
      <c r="BN1836" s="82">
        <f>$AF1836-$AF1837</f>
        <v/>
      </c>
      <c r="BO1836" s="82">
        <f>$AG1836-$AG1837</f>
        <v/>
      </c>
      <c r="BP1836" s="82">
        <f>$AJ1836-$AJ1837</f>
        <v/>
      </c>
    </row>
    <row r="1837">
      <c r="AR1837" s="81">
        <f>($G1837+($H1837-$G1837)*0.5)+($P1837-($O1837+($Q1837-$O1837)*0.5))</f>
        <v/>
      </c>
      <c r="AS1837" s="81">
        <f>($J1837+($K1837-$J1837)*0.5)+($T1837-($S1837+($U1837-$S1837)*0.5))</f>
        <v/>
      </c>
      <c r="AT1837" s="82">
        <f>($J1837-$C1837)*100</f>
        <v/>
      </c>
      <c r="AU1837" s="82">
        <f>($H1837-$F1837)*100</f>
        <v/>
      </c>
      <c r="AV1837" s="82">
        <f>($J1837-$F1837)*100</f>
        <v/>
      </c>
      <c r="AW1837" s="82">
        <f>($L1837-$F1837)*100</f>
        <v/>
      </c>
      <c r="AX1837" s="82">
        <f>($J1837-$H1837)*100</f>
        <v/>
      </c>
      <c r="AY1837" s="82">
        <f>($L1837-$H1837)*100</f>
        <v/>
      </c>
      <c r="AZ1837" s="82">
        <f>($L1837-$J1837)*100</f>
        <v/>
      </c>
      <c r="BA1837" s="82">
        <f>(2*$H1837-$F1837-$J1837)*100</f>
        <v/>
      </c>
      <c r="BB1837" s="82">
        <f>(2*$J1837-$H1837-$L1837)*100</f>
        <v/>
      </c>
      <c r="BC1837" s="82">
        <f>($N1837-$F1837)*100</f>
        <v/>
      </c>
      <c r="BD1837" s="82">
        <f>($Q1837-$H1837)*100</f>
        <v/>
      </c>
      <c r="BE1837" s="82">
        <f>($S1837-$J1837)*100</f>
        <v/>
      </c>
      <c r="BF1837" s="82">
        <f>($V1837-$L1837)*100</f>
        <v/>
      </c>
      <c r="BG1837" s="82">
        <f>$AG1837-$AF1837</f>
        <v/>
      </c>
      <c r="BH1837" s="81">
        <f>IFERROR($AG1837/$AF1837,"")</f>
        <v/>
      </c>
      <c r="BI1837" s="82">
        <f>$AJ1837-$AF1837</f>
        <v/>
      </c>
      <c r="BJ1837" s="81">
        <f>IFERROR($AJ1837/$AG1837,"")</f>
        <v/>
      </c>
      <c r="BK1837" s="81">
        <f>$X1837</f>
        <v/>
      </c>
      <c r="BL1837" s="82">
        <f>($J1837-$J1838)*100</f>
        <v/>
      </c>
      <c r="BM1837" s="82">
        <f>($F1837-$F1838)*100</f>
        <v/>
      </c>
      <c r="BN1837" s="82">
        <f>$AF1837-$AF1838</f>
        <v/>
      </c>
      <c r="BO1837" s="82">
        <f>$AG1837-$AG1838</f>
        <v/>
      </c>
      <c r="BP1837" s="82">
        <f>$AJ1837-$AJ1838</f>
        <v/>
      </c>
    </row>
    <row r="1838">
      <c r="AR1838" s="81">
        <f>($G1838+($H1838-$G1838)*0.5)+($P1838-($O1838+($Q1838-$O1838)*0.5))</f>
        <v/>
      </c>
      <c r="AS1838" s="81">
        <f>($J1838+($K1838-$J1838)*0.5)+($T1838-($S1838+($U1838-$S1838)*0.5))</f>
        <v/>
      </c>
      <c r="AT1838" s="82">
        <f>($J1838-$C1838)*100</f>
        <v/>
      </c>
      <c r="AU1838" s="82">
        <f>($H1838-$F1838)*100</f>
        <v/>
      </c>
      <c r="AV1838" s="82">
        <f>($J1838-$F1838)*100</f>
        <v/>
      </c>
      <c r="AW1838" s="82">
        <f>($L1838-$F1838)*100</f>
        <v/>
      </c>
      <c r="AX1838" s="82">
        <f>($J1838-$H1838)*100</f>
        <v/>
      </c>
      <c r="AY1838" s="82">
        <f>($L1838-$H1838)*100</f>
        <v/>
      </c>
      <c r="AZ1838" s="82">
        <f>($L1838-$J1838)*100</f>
        <v/>
      </c>
      <c r="BA1838" s="82">
        <f>(2*$H1838-$F1838-$J1838)*100</f>
        <v/>
      </c>
      <c r="BB1838" s="82">
        <f>(2*$J1838-$H1838-$L1838)*100</f>
        <v/>
      </c>
      <c r="BC1838" s="82">
        <f>($N1838-$F1838)*100</f>
        <v/>
      </c>
      <c r="BD1838" s="82">
        <f>($Q1838-$H1838)*100</f>
        <v/>
      </c>
      <c r="BE1838" s="82">
        <f>($S1838-$J1838)*100</f>
        <v/>
      </c>
      <c r="BF1838" s="82">
        <f>($V1838-$L1838)*100</f>
        <v/>
      </c>
      <c r="BG1838" s="82">
        <f>$AG1838-$AF1838</f>
        <v/>
      </c>
      <c r="BH1838" s="81">
        <f>IFERROR($AG1838/$AF1838,"")</f>
        <v/>
      </c>
      <c r="BI1838" s="82">
        <f>$AJ1838-$AF1838</f>
        <v/>
      </c>
      <c r="BJ1838" s="81">
        <f>IFERROR($AJ1838/$AG1838,"")</f>
        <v/>
      </c>
      <c r="BK1838" s="81">
        <f>$X1838</f>
        <v/>
      </c>
      <c r="BL1838" s="82">
        <f>($J1838-$J1839)*100</f>
        <v/>
      </c>
      <c r="BM1838" s="82">
        <f>($F1838-$F1839)*100</f>
        <v/>
      </c>
      <c r="BN1838" s="82">
        <f>$AF1838-$AF1839</f>
        <v/>
      </c>
      <c r="BO1838" s="82">
        <f>$AG1838-$AG1839</f>
        <v/>
      </c>
      <c r="BP1838" s="82">
        <f>$AJ1838-$AJ1839</f>
        <v/>
      </c>
    </row>
    <row r="1839">
      <c r="AR1839" s="81">
        <f>($G1839+($H1839-$G1839)*0.5)+($P1839-($O1839+($Q1839-$O1839)*0.5))</f>
        <v/>
      </c>
      <c r="AS1839" s="81">
        <f>($J1839+($K1839-$J1839)*0.5)+($T1839-($S1839+($U1839-$S1839)*0.5))</f>
        <v/>
      </c>
      <c r="AT1839" s="82">
        <f>($J1839-$C1839)*100</f>
        <v/>
      </c>
      <c r="AU1839" s="82">
        <f>($H1839-$F1839)*100</f>
        <v/>
      </c>
      <c r="AV1839" s="82">
        <f>($J1839-$F1839)*100</f>
        <v/>
      </c>
      <c r="AW1839" s="82">
        <f>($L1839-$F1839)*100</f>
        <v/>
      </c>
      <c r="AX1839" s="82">
        <f>($J1839-$H1839)*100</f>
        <v/>
      </c>
      <c r="AY1839" s="82">
        <f>($L1839-$H1839)*100</f>
        <v/>
      </c>
      <c r="AZ1839" s="82">
        <f>($L1839-$J1839)*100</f>
        <v/>
      </c>
      <c r="BA1839" s="82">
        <f>(2*$H1839-$F1839-$J1839)*100</f>
        <v/>
      </c>
      <c r="BB1839" s="82">
        <f>(2*$J1839-$H1839-$L1839)*100</f>
        <v/>
      </c>
      <c r="BC1839" s="82">
        <f>($N1839-$F1839)*100</f>
        <v/>
      </c>
      <c r="BD1839" s="82">
        <f>($Q1839-$H1839)*100</f>
        <v/>
      </c>
      <c r="BE1839" s="82">
        <f>($S1839-$J1839)*100</f>
        <v/>
      </c>
      <c r="BF1839" s="82">
        <f>($V1839-$L1839)*100</f>
        <v/>
      </c>
      <c r="BG1839" s="82">
        <f>$AG1839-$AF1839</f>
        <v/>
      </c>
      <c r="BH1839" s="81">
        <f>IFERROR($AG1839/$AF1839,"")</f>
        <v/>
      </c>
      <c r="BI1839" s="82">
        <f>$AJ1839-$AF1839</f>
        <v/>
      </c>
      <c r="BJ1839" s="81">
        <f>IFERROR($AJ1839/$AG1839,"")</f>
        <v/>
      </c>
      <c r="BK1839" s="81">
        <f>$X1839</f>
        <v/>
      </c>
      <c r="BL1839" s="82">
        <f>($J1839-$J1840)*100</f>
        <v/>
      </c>
      <c r="BM1839" s="82">
        <f>($F1839-$F1840)*100</f>
        <v/>
      </c>
      <c r="BN1839" s="82">
        <f>$AF1839-$AF1840</f>
        <v/>
      </c>
      <c r="BO1839" s="82">
        <f>$AG1839-$AG1840</f>
        <v/>
      </c>
      <c r="BP1839" s="82">
        <f>$AJ1839-$AJ1840</f>
        <v/>
      </c>
    </row>
    <row r="1840">
      <c r="AR1840" s="81">
        <f>($G1840+($H1840-$G1840)*0.5)+($P1840-($O1840+($Q1840-$O1840)*0.5))</f>
        <v/>
      </c>
      <c r="AS1840" s="81">
        <f>($J1840+($K1840-$J1840)*0.5)+($T1840-($S1840+($U1840-$S1840)*0.5))</f>
        <v/>
      </c>
      <c r="AT1840" s="82">
        <f>($J1840-$C1840)*100</f>
        <v/>
      </c>
      <c r="AU1840" s="82">
        <f>($H1840-$F1840)*100</f>
        <v/>
      </c>
      <c r="AV1840" s="82">
        <f>($J1840-$F1840)*100</f>
        <v/>
      </c>
      <c r="AW1840" s="82">
        <f>($L1840-$F1840)*100</f>
        <v/>
      </c>
      <c r="AX1840" s="82">
        <f>($J1840-$H1840)*100</f>
        <v/>
      </c>
      <c r="AY1840" s="82">
        <f>($L1840-$H1840)*100</f>
        <v/>
      </c>
      <c r="AZ1840" s="82">
        <f>($L1840-$J1840)*100</f>
        <v/>
      </c>
      <c r="BA1840" s="82">
        <f>(2*$H1840-$F1840-$J1840)*100</f>
        <v/>
      </c>
      <c r="BB1840" s="82">
        <f>(2*$J1840-$H1840-$L1840)*100</f>
        <v/>
      </c>
      <c r="BC1840" s="82">
        <f>($N1840-$F1840)*100</f>
        <v/>
      </c>
      <c r="BD1840" s="82">
        <f>($Q1840-$H1840)*100</f>
        <v/>
      </c>
      <c r="BE1840" s="82">
        <f>($S1840-$J1840)*100</f>
        <v/>
      </c>
      <c r="BF1840" s="82">
        <f>($V1840-$L1840)*100</f>
        <v/>
      </c>
      <c r="BG1840" s="82">
        <f>$AG1840-$AF1840</f>
        <v/>
      </c>
      <c r="BH1840" s="81">
        <f>IFERROR($AG1840/$AF1840,"")</f>
        <v/>
      </c>
      <c r="BI1840" s="82">
        <f>$AJ1840-$AF1840</f>
        <v/>
      </c>
      <c r="BJ1840" s="81">
        <f>IFERROR($AJ1840/$AG1840,"")</f>
        <v/>
      </c>
      <c r="BK1840" s="81">
        <f>$X1840</f>
        <v/>
      </c>
      <c r="BL1840" s="82">
        <f>($J1840-$J1841)*100</f>
        <v/>
      </c>
      <c r="BM1840" s="82">
        <f>($F1840-$F1841)*100</f>
        <v/>
      </c>
      <c r="BN1840" s="82">
        <f>$AF1840-$AF1841</f>
        <v/>
      </c>
      <c r="BO1840" s="82">
        <f>$AG1840-$AG1841</f>
        <v/>
      </c>
      <c r="BP1840" s="82">
        <f>$AJ1840-$AJ1841</f>
        <v/>
      </c>
    </row>
    <row r="1841">
      <c r="AR1841" s="81">
        <f>($G1841+($H1841-$G1841)*0.5)+($P1841-($O1841+($Q1841-$O1841)*0.5))</f>
        <v/>
      </c>
      <c r="AS1841" s="81">
        <f>($J1841+($K1841-$J1841)*0.5)+($T1841-($S1841+($U1841-$S1841)*0.5))</f>
        <v/>
      </c>
      <c r="AT1841" s="82">
        <f>($J1841-$C1841)*100</f>
        <v/>
      </c>
      <c r="AU1841" s="82">
        <f>($H1841-$F1841)*100</f>
        <v/>
      </c>
      <c r="AV1841" s="82">
        <f>($J1841-$F1841)*100</f>
        <v/>
      </c>
      <c r="AW1841" s="82">
        <f>($L1841-$F1841)*100</f>
        <v/>
      </c>
      <c r="AX1841" s="82">
        <f>($J1841-$H1841)*100</f>
        <v/>
      </c>
      <c r="AY1841" s="82">
        <f>($L1841-$H1841)*100</f>
        <v/>
      </c>
      <c r="AZ1841" s="82">
        <f>($L1841-$J1841)*100</f>
        <v/>
      </c>
      <c r="BA1841" s="82">
        <f>(2*$H1841-$F1841-$J1841)*100</f>
        <v/>
      </c>
      <c r="BB1841" s="82">
        <f>(2*$J1841-$H1841-$L1841)*100</f>
        <v/>
      </c>
      <c r="BC1841" s="82">
        <f>($N1841-$F1841)*100</f>
        <v/>
      </c>
      <c r="BD1841" s="82">
        <f>($Q1841-$H1841)*100</f>
        <v/>
      </c>
      <c r="BE1841" s="82">
        <f>($S1841-$J1841)*100</f>
        <v/>
      </c>
      <c r="BF1841" s="82">
        <f>($V1841-$L1841)*100</f>
        <v/>
      </c>
      <c r="BG1841" s="82">
        <f>$AG1841-$AF1841</f>
        <v/>
      </c>
      <c r="BH1841" s="81">
        <f>IFERROR($AG1841/$AF1841,"")</f>
        <v/>
      </c>
      <c r="BI1841" s="82">
        <f>$AJ1841-$AF1841</f>
        <v/>
      </c>
      <c r="BJ1841" s="81">
        <f>IFERROR($AJ1841/$AG1841,"")</f>
        <v/>
      </c>
      <c r="BK1841" s="81">
        <f>$X1841</f>
        <v/>
      </c>
      <c r="BL1841" s="82">
        <f>($J1841-$J1842)*100</f>
        <v/>
      </c>
      <c r="BM1841" s="82">
        <f>($F1841-$F1842)*100</f>
        <v/>
      </c>
      <c r="BN1841" s="82">
        <f>$AF1841-$AF1842</f>
        <v/>
      </c>
      <c r="BO1841" s="82">
        <f>$AG1841-$AG1842</f>
        <v/>
      </c>
      <c r="BP1841" s="82">
        <f>$AJ1841-$AJ1842</f>
        <v/>
      </c>
    </row>
    <row r="1842">
      <c r="AR1842" s="81">
        <f>($G1842+($H1842-$G1842)*0.5)+($P1842-($O1842+($Q1842-$O1842)*0.5))</f>
        <v/>
      </c>
      <c r="AS1842" s="81">
        <f>($J1842+($K1842-$J1842)*0.5)+($T1842-($S1842+($U1842-$S1842)*0.5))</f>
        <v/>
      </c>
      <c r="AT1842" s="82">
        <f>($J1842-$C1842)*100</f>
        <v/>
      </c>
      <c r="AU1842" s="82">
        <f>($H1842-$F1842)*100</f>
        <v/>
      </c>
      <c r="AV1842" s="82">
        <f>($J1842-$F1842)*100</f>
        <v/>
      </c>
      <c r="AW1842" s="82">
        <f>($L1842-$F1842)*100</f>
        <v/>
      </c>
      <c r="AX1842" s="82">
        <f>($J1842-$H1842)*100</f>
        <v/>
      </c>
      <c r="AY1842" s="82">
        <f>($L1842-$H1842)*100</f>
        <v/>
      </c>
      <c r="AZ1842" s="82">
        <f>($L1842-$J1842)*100</f>
        <v/>
      </c>
      <c r="BA1842" s="82">
        <f>(2*$H1842-$F1842-$J1842)*100</f>
        <v/>
      </c>
      <c r="BB1842" s="82">
        <f>(2*$J1842-$H1842-$L1842)*100</f>
        <v/>
      </c>
      <c r="BC1842" s="82">
        <f>($N1842-$F1842)*100</f>
        <v/>
      </c>
      <c r="BD1842" s="82">
        <f>($Q1842-$H1842)*100</f>
        <v/>
      </c>
      <c r="BE1842" s="82">
        <f>($S1842-$J1842)*100</f>
        <v/>
      </c>
      <c r="BF1842" s="82">
        <f>($V1842-$L1842)*100</f>
        <v/>
      </c>
      <c r="BG1842" s="82">
        <f>$AG1842-$AF1842</f>
        <v/>
      </c>
      <c r="BH1842" s="81">
        <f>IFERROR($AG1842/$AF1842,"")</f>
        <v/>
      </c>
      <c r="BI1842" s="82">
        <f>$AJ1842-$AF1842</f>
        <v/>
      </c>
      <c r="BJ1842" s="81">
        <f>IFERROR($AJ1842/$AG1842,"")</f>
        <v/>
      </c>
      <c r="BK1842" s="81">
        <f>$X1842</f>
        <v/>
      </c>
      <c r="BL1842" s="82">
        <f>($J1842-$J1843)*100</f>
        <v/>
      </c>
      <c r="BM1842" s="82">
        <f>($F1842-$F1843)*100</f>
        <v/>
      </c>
      <c r="BN1842" s="82">
        <f>$AF1842-$AF1843</f>
        <v/>
      </c>
      <c r="BO1842" s="82">
        <f>$AG1842-$AG1843</f>
        <v/>
      </c>
      <c r="BP1842" s="82">
        <f>$AJ1842-$AJ1843</f>
        <v/>
      </c>
    </row>
    <row r="1843">
      <c r="AR1843" s="81">
        <f>($G1843+($H1843-$G1843)*0.5)+($P1843-($O1843+($Q1843-$O1843)*0.5))</f>
        <v/>
      </c>
      <c r="AS1843" s="81">
        <f>($J1843+($K1843-$J1843)*0.5)+($T1843-($S1843+($U1843-$S1843)*0.5))</f>
        <v/>
      </c>
      <c r="AT1843" s="82">
        <f>($J1843-$C1843)*100</f>
        <v/>
      </c>
      <c r="AU1843" s="82">
        <f>($H1843-$F1843)*100</f>
        <v/>
      </c>
      <c r="AV1843" s="82">
        <f>($J1843-$F1843)*100</f>
        <v/>
      </c>
      <c r="AW1843" s="82">
        <f>($L1843-$F1843)*100</f>
        <v/>
      </c>
      <c r="AX1843" s="82">
        <f>($J1843-$H1843)*100</f>
        <v/>
      </c>
      <c r="AY1843" s="82">
        <f>($L1843-$H1843)*100</f>
        <v/>
      </c>
      <c r="AZ1843" s="82">
        <f>($L1843-$J1843)*100</f>
        <v/>
      </c>
      <c r="BA1843" s="82">
        <f>(2*$H1843-$F1843-$J1843)*100</f>
        <v/>
      </c>
      <c r="BB1843" s="82">
        <f>(2*$J1843-$H1843-$L1843)*100</f>
        <v/>
      </c>
      <c r="BC1843" s="82">
        <f>($N1843-$F1843)*100</f>
        <v/>
      </c>
      <c r="BD1843" s="82">
        <f>($Q1843-$H1843)*100</f>
        <v/>
      </c>
      <c r="BE1843" s="82">
        <f>($S1843-$J1843)*100</f>
        <v/>
      </c>
      <c r="BF1843" s="82">
        <f>($V1843-$L1843)*100</f>
        <v/>
      </c>
      <c r="BG1843" s="82">
        <f>$AG1843-$AF1843</f>
        <v/>
      </c>
      <c r="BH1843" s="81">
        <f>IFERROR($AG1843/$AF1843,"")</f>
        <v/>
      </c>
      <c r="BI1843" s="82">
        <f>$AJ1843-$AF1843</f>
        <v/>
      </c>
      <c r="BJ1843" s="81">
        <f>IFERROR($AJ1843/$AG1843,"")</f>
        <v/>
      </c>
      <c r="BK1843" s="81">
        <f>$X1843</f>
        <v/>
      </c>
      <c r="BL1843" s="82">
        <f>($J1843-$J1844)*100</f>
        <v/>
      </c>
      <c r="BM1843" s="82">
        <f>($F1843-$F1844)*100</f>
        <v/>
      </c>
      <c r="BN1843" s="82">
        <f>$AF1843-$AF1844</f>
        <v/>
      </c>
      <c r="BO1843" s="82">
        <f>$AG1843-$AG1844</f>
        <v/>
      </c>
      <c r="BP1843" s="82">
        <f>$AJ1843-$AJ1844</f>
        <v/>
      </c>
    </row>
    <row r="1844">
      <c r="AR1844" s="81">
        <f>($G1844+($H1844-$G1844)*0.5)+($P1844-($O1844+($Q1844-$O1844)*0.5))</f>
        <v/>
      </c>
      <c r="AS1844" s="81">
        <f>($J1844+($K1844-$J1844)*0.5)+($T1844-($S1844+($U1844-$S1844)*0.5))</f>
        <v/>
      </c>
      <c r="AT1844" s="82">
        <f>($J1844-$C1844)*100</f>
        <v/>
      </c>
      <c r="AU1844" s="82">
        <f>($H1844-$F1844)*100</f>
        <v/>
      </c>
      <c r="AV1844" s="82">
        <f>($J1844-$F1844)*100</f>
        <v/>
      </c>
      <c r="AW1844" s="82">
        <f>($L1844-$F1844)*100</f>
        <v/>
      </c>
      <c r="AX1844" s="82">
        <f>($J1844-$H1844)*100</f>
        <v/>
      </c>
      <c r="AY1844" s="82">
        <f>($L1844-$H1844)*100</f>
        <v/>
      </c>
      <c r="AZ1844" s="82">
        <f>($L1844-$J1844)*100</f>
        <v/>
      </c>
      <c r="BA1844" s="82">
        <f>(2*$H1844-$F1844-$J1844)*100</f>
        <v/>
      </c>
      <c r="BB1844" s="82">
        <f>(2*$J1844-$H1844-$L1844)*100</f>
        <v/>
      </c>
      <c r="BC1844" s="82">
        <f>($N1844-$F1844)*100</f>
        <v/>
      </c>
      <c r="BD1844" s="82">
        <f>($Q1844-$H1844)*100</f>
        <v/>
      </c>
      <c r="BE1844" s="82">
        <f>($S1844-$J1844)*100</f>
        <v/>
      </c>
      <c r="BF1844" s="82">
        <f>($V1844-$L1844)*100</f>
        <v/>
      </c>
      <c r="BG1844" s="82">
        <f>$AG1844-$AF1844</f>
        <v/>
      </c>
      <c r="BH1844" s="81">
        <f>IFERROR($AG1844/$AF1844,"")</f>
        <v/>
      </c>
      <c r="BI1844" s="82">
        <f>$AJ1844-$AF1844</f>
        <v/>
      </c>
      <c r="BJ1844" s="81">
        <f>IFERROR($AJ1844/$AG1844,"")</f>
        <v/>
      </c>
      <c r="BK1844" s="81">
        <f>$X1844</f>
        <v/>
      </c>
      <c r="BL1844" s="82">
        <f>($J1844-$J1845)*100</f>
        <v/>
      </c>
      <c r="BM1844" s="82">
        <f>($F1844-$F1845)*100</f>
        <v/>
      </c>
      <c r="BN1844" s="82">
        <f>$AF1844-$AF1845</f>
        <v/>
      </c>
      <c r="BO1844" s="82">
        <f>$AG1844-$AG1845</f>
        <v/>
      </c>
      <c r="BP1844" s="82">
        <f>$AJ1844-$AJ1845</f>
        <v/>
      </c>
    </row>
    <row r="1845">
      <c r="AR1845" s="81">
        <f>($G1845+($H1845-$G1845)*0.5)+($P1845-($O1845+($Q1845-$O1845)*0.5))</f>
        <v/>
      </c>
      <c r="AS1845" s="81">
        <f>($J1845+($K1845-$J1845)*0.5)+($T1845-($S1845+($U1845-$S1845)*0.5))</f>
        <v/>
      </c>
      <c r="AT1845" s="82">
        <f>($J1845-$C1845)*100</f>
        <v/>
      </c>
      <c r="AU1845" s="82">
        <f>($H1845-$F1845)*100</f>
        <v/>
      </c>
      <c r="AV1845" s="82">
        <f>($J1845-$F1845)*100</f>
        <v/>
      </c>
      <c r="AW1845" s="82">
        <f>($L1845-$F1845)*100</f>
        <v/>
      </c>
      <c r="AX1845" s="82">
        <f>($J1845-$H1845)*100</f>
        <v/>
      </c>
      <c r="AY1845" s="82">
        <f>($L1845-$H1845)*100</f>
        <v/>
      </c>
      <c r="AZ1845" s="82">
        <f>($L1845-$J1845)*100</f>
        <v/>
      </c>
      <c r="BA1845" s="82">
        <f>(2*$H1845-$F1845-$J1845)*100</f>
        <v/>
      </c>
      <c r="BB1845" s="82">
        <f>(2*$J1845-$H1845-$L1845)*100</f>
        <v/>
      </c>
      <c r="BC1845" s="82">
        <f>($N1845-$F1845)*100</f>
        <v/>
      </c>
      <c r="BD1845" s="82">
        <f>($Q1845-$H1845)*100</f>
        <v/>
      </c>
      <c r="BE1845" s="82">
        <f>($S1845-$J1845)*100</f>
        <v/>
      </c>
      <c r="BF1845" s="82">
        <f>($V1845-$L1845)*100</f>
        <v/>
      </c>
      <c r="BG1845" s="82">
        <f>$AG1845-$AF1845</f>
        <v/>
      </c>
      <c r="BH1845" s="81">
        <f>IFERROR($AG1845/$AF1845,"")</f>
        <v/>
      </c>
      <c r="BI1845" s="82">
        <f>$AJ1845-$AF1845</f>
        <v/>
      </c>
      <c r="BJ1845" s="81">
        <f>IFERROR($AJ1845/$AG1845,"")</f>
        <v/>
      </c>
      <c r="BK1845" s="81">
        <f>$X1845</f>
        <v/>
      </c>
      <c r="BL1845" s="82">
        <f>($J1845-$J1846)*100</f>
        <v/>
      </c>
      <c r="BM1845" s="82">
        <f>($F1845-$F1846)*100</f>
        <v/>
      </c>
      <c r="BN1845" s="82">
        <f>$AF1845-$AF1846</f>
        <v/>
      </c>
      <c r="BO1845" s="82">
        <f>$AG1845-$AG1846</f>
        <v/>
      </c>
      <c r="BP1845" s="82">
        <f>$AJ1845-$AJ1846</f>
        <v/>
      </c>
    </row>
    <row r="1846">
      <c r="AR1846" s="81">
        <f>($G1846+($H1846-$G1846)*0.5)+($P1846-($O1846+($Q1846-$O1846)*0.5))</f>
        <v/>
      </c>
      <c r="AS1846" s="81">
        <f>($J1846+($K1846-$J1846)*0.5)+($T1846-($S1846+($U1846-$S1846)*0.5))</f>
        <v/>
      </c>
      <c r="AT1846" s="82">
        <f>($J1846-$C1846)*100</f>
        <v/>
      </c>
      <c r="AU1846" s="82">
        <f>($H1846-$F1846)*100</f>
        <v/>
      </c>
      <c r="AV1846" s="82">
        <f>($J1846-$F1846)*100</f>
        <v/>
      </c>
      <c r="AW1846" s="82">
        <f>($L1846-$F1846)*100</f>
        <v/>
      </c>
      <c r="AX1846" s="82">
        <f>($J1846-$H1846)*100</f>
        <v/>
      </c>
      <c r="AY1846" s="82">
        <f>($L1846-$H1846)*100</f>
        <v/>
      </c>
      <c r="AZ1846" s="82">
        <f>($L1846-$J1846)*100</f>
        <v/>
      </c>
      <c r="BA1846" s="82">
        <f>(2*$H1846-$F1846-$J1846)*100</f>
        <v/>
      </c>
      <c r="BB1846" s="82">
        <f>(2*$J1846-$H1846-$L1846)*100</f>
        <v/>
      </c>
      <c r="BC1846" s="82">
        <f>($N1846-$F1846)*100</f>
        <v/>
      </c>
      <c r="BD1846" s="82">
        <f>($Q1846-$H1846)*100</f>
        <v/>
      </c>
      <c r="BE1846" s="82">
        <f>($S1846-$J1846)*100</f>
        <v/>
      </c>
      <c r="BF1846" s="82">
        <f>($V1846-$L1846)*100</f>
        <v/>
      </c>
      <c r="BG1846" s="82">
        <f>$AG1846-$AF1846</f>
        <v/>
      </c>
      <c r="BH1846" s="81">
        <f>IFERROR($AG1846/$AF1846,"")</f>
        <v/>
      </c>
      <c r="BI1846" s="82">
        <f>$AJ1846-$AF1846</f>
        <v/>
      </c>
      <c r="BJ1846" s="81">
        <f>IFERROR($AJ1846/$AG1846,"")</f>
        <v/>
      </c>
      <c r="BK1846" s="81">
        <f>$X1846</f>
        <v/>
      </c>
      <c r="BL1846" s="82">
        <f>($J1846-$J1847)*100</f>
        <v/>
      </c>
      <c r="BM1846" s="82">
        <f>($F1846-$F1847)*100</f>
        <v/>
      </c>
      <c r="BN1846" s="82">
        <f>$AF1846-$AF1847</f>
        <v/>
      </c>
      <c r="BO1846" s="82">
        <f>$AG1846-$AG1847</f>
        <v/>
      </c>
      <c r="BP1846" s="82">
        <f>$AJ1846-$AJ1847</f>
        <v/>
      </c>
    </row>
    <row r="1847">
      <c r="AR1847" s="81">
        <f>($G1847+($H1847-$G1847)*0.5)+($P1847-($O1847+($Q1847-$O1847)*0.5))</f>
        <v/>
      </c>
      <c r="AS1847" s="81">
        <f>($J1847+($K1847-$J1847)*0.5)+($T1847-($S1847+($U1847-$S1847)*0.5))</f>
        <v/>
      </c>
      <c r="AT1847" s="82">
        <f>($J1847-$C1847)*100</f>
        <v/>
      </c>
      <c r="AU1847" s="82">
        <f>($H1847-$F1847)*100</f>
        <v/>
      </c>
      <c r="AV1847" s="82">
        <f>($J1847-$F1847)*100</f>
        <v/>
      </c>
      <c r="AW1847" s="82">
        <f>($L1847-$F1847)*100</f>
        <v/>
      </c>
      <c r="AX1847" s="82">
        <f>($J1847-$H1847)*100</f>
        <v/>
      </c>
      <c r="AY1847" s="82">
        <f>($L1847-$H1847)*100</f>
        <v/>
      </c>
      <c r="AZ1847" s="82">
        <f>($L1847-$J1847)*100</f>
        <v/>
      </c>
      <c r="BA1847" s="82">
        <f>(2*$H1847-$F1847-$J1847)*100</f>
        <v/>
      </c>
      <c r="BB1847" s="82">
        <f>(2*$J1847-$H1847-$L1847)*100</f>
        <v/>
      </c>
      <c r="BC1847" s="82">
        <f>($N1847-$F1847)*100</f>
        <v/>
      </c>
      <c r="BD1847" s="82">
        <f>($Q1847-$H1847)*100</f>
        <v/>
      </c>
      <c r="BE1847" s="82">
        <f>($S1847-$J1847)*100</f>
        <v/>
      </c>
      <c r="BF1847" s="82">
        <f>($V1847-$L1847)*100</f>
        <v/>
      </c>
      <c r="BG1847" s="82">
        <f>$AG1847-$AF1847</f>
        <v/>
      </c>
      <c r="BH1847" s="81">
        <f>IFERROR($AG1847/$AF1847,"")</f>
        <v/>
      </c>
      <c r="BI1847" s="82">
        <f>$AJ1847-$AF1847</f>
        <v/>
      </c>
      <c r="BJ1847" s="81">
        <f>IFERROR($AJ1847/$AG1847,"")</f>
        <v/>
      </c>
      <c r="BK1847" s="81">
        <f>$X1847</f>
        <v/>
      </c>
      <c r="BL1847" s="82">
        <f>($J1847-$J1848)*100</f>
        <v/>
      </c>
      <c r="BM1847" s="82">
        <f>($F1847-$F1848)*100</f>
        <v/>
      </c>
      <c r="BN1847" s="82">
        <f>$AF1847-$AF1848</f>
        <v/>
      </c>
      <c r="BO1847" s="82">
        <f>$AG1847-$AG1848</f>
        <v/>
      </c>
      <c r="BP1847" s="82">
        <f>$AJ1847-$AJ1848</f>
        <v/>
      </c>
    </row>
    <row r="1848">
      <c r="AR1848" s="81">
        <f>($G1848+($H1848-$G1848)*0.5)+($P1848-($O1848+($Q1848-$O1848)*0.5))</f>
        <v/>
      </c>
      <c r="AS1848" s="81">
        <f>($J1848+($K1848-$J1848)*0.5)+($T1848-($S1848+($U1848-$S1848)*0.5))</f>
        <v/>
      </c>
      <c r="AT1848" s="82">
        <f>($J1848-$C1848)*100</f>
        <v/>
      </c>
      <c r="AU1848" s="82">
        <f>($H1848-$F1848)*100</f>
        <v/>
      </c>
      <c r="AV1848" s="82">
        <f>($J1848-$F1848)*100</f>
        <v/>
      </c>
      <c r="AW1848" s="82">
        <f>($L1848-$F1848)*100</f>
        <v/>
      </c>
      <c r="AX1848" s="82">
        <f>($J1848-$H1848)*100</f>
        <v/>
      </c>
      <c r="AY1848" s="82">
        <f>($L1848-$H1848)*100</f>
        <v/>
      </c>
      <c r="AZ1848" s="82">
        <f>($L1848-$J1848)*100</f>
        <v/>
      </c>
      <c r="BA1848" s="82">
        <f>(2*$H1848-$F1848-$J1848)*100</f>
        <v/>
      </c>
      <c r="BB1848" s="82">
        <f>(2*$J1848-$H1848-$L1848)*100</f>
        <v/>
      </c>
      <c r="BC1848" s="82">
        <f>($N1848-$F1848)*100</f>
        <v/>
      </c>
      <c r="BD1848" s="82">
        <f>($Q1848-$H1848)*100</f>
        <v/>
      </c>
      <c r="BE1848" s="82">
        <f>($S1848-$J1848)*100</f>
        <v/>
      </c>
      <c r="BF1848" s="82">
        <f>($V1848-$L1848)*100</f>
        <v/>
      </c>
      <c r="BG1848" s="82">
        <f>$AG1848-$AF1848</f>
        <v/>
      </c>
      <c r="BH1848" s="81">
        <f>IFERROR($AG1848/$AF1848,"")</f>
        <v/>
      </c>
      <c r="BI1848" s="82">
        <f>$AJ1848-$AF1848</f>
        <v/>
      </c>
      <c r="BJ1848" s="81">
        <f>IFERROR($AJ1848/$AG1848,"")</f>
        <v/>
      </c>
      <c r="BK1848" s="81">
        <f>$X1848</f>
        <v/>
      </c>
      <c r="BL1848" s="82">
        <f>($J1848-$J1849)*100</f>
        <v/>
      </c>
      <c r="BM1848" s="82">
        <f>($F1848-$F1849)*100</f>
        <v/>
      </c>
      <c r="BN1848" s="82">
        <f>$AF1848-$AF1849</f>
        <v/>
      </c>
      <c r="BO1848" s="82">
        <f>$AG1848-$AG1849</f>
        <v/>
      </c>
      <c r="BP1848" s="82">
        <f>$AJ1848-$AJ1849</f>
        <v/>
      </c>
    </row>
    <row r="1849">
      <c r="AR1849" s="81">
        <f>($G1849+($H1849-$G1849)*0.5)+($P1849-($O1849+($Q1849-$O1849)*0.5))</f>
        <v/>
      </c>
      <c r="AS1849" s="81">
        <f>($J1849+($K1849-$J1849)*0.5)+($T1849-($S1849+($U1849-$S1849)*0.5))</f>
        <v/>
      </c>
      <c r="AT1849" s="82">
        <f>($J1849-$C1849)*100</f>
        <v/>
      </c>
      <c r="AU1849" s="82">
        <f>($H1849-$F1849)*100</f>
        <v/>
      </c>
      <c r="AV1849" s="82">
        <f>($J1849-$F1849)*100</f>
        <v/>
      </c>
      <c r="AW1849" s="82">
        <f>($L1849-$F1849)*100</f>
        <v/>
      </c>
      <c r="AX1849" s="82">
        <f>($J1849-$H1849)*100</f>
        <v/>
      </c>
      <c r="AY1849" s="82">
        <f>($L1849-$H1849)*100</f>
        <v/>
      </c>
      <c r="AZ1849" s="82">
        <f>($L1849-$J1849)*100</f>
        <v/>
      </c>
      <c r="BA1849" s="82">
        <f>(2*$H1849-$F1849-$J1849)*100</f>
        <v/>
      </c>
      <c r="BB1849" s="82">
        <f>(2*$J1849-$H1849-$L1849)*100</f>
        <v/>
      </c>
      <c r="BC1849" s="82">
        <f>($N1849-$F1849)*100</f>
        <v/>
      </c>
      <c r="BD1849" s="82">
        <f>($Q1849-$H1849)*100</f>
        <v/>
      </c>
      <c r="BE1849" s="82">
        <f>($S1849-$J1849)*100</f>
        <v/>
      </c>
      <c r="BF1849" s="82">
        <f>($V1849-$L1849)*100</f>
        <v/>
      </c>
      <c r="BG1849" s="82">
        <f>$AG1849-$AF1849</f>
        <v/>
      </c>
      <c r="BH1849" s="81">
        <f>IFERROR($AG1849/$AF1849,"")</f>
        <v/>
      </c>
      <c r="BI1849" s="82">
        <f>$AJ1849-$AF1849</f>
        <v/>
      </c>
      <c r="BJ1849" s="81">
        <f>IFERROR($AJ1849/$AG1849,"")</f>
        <v/>
      </c>
      <c r="BK1849" s="81">
        <f>$X1849</f>
        <v/>
      </c>
      <c r="BL1849" s="82">
        <f>($J1849-$J1850)*100</f>
        <v/>
      </c>
      <c r="BM1849" s="82">
        <f>($F1849-$F1850)*100</f>
        <v/>
      </c>
      <c r="BN1849" s="82">
        <f>$AF1849-$AF1850</f>
        <v/>
      </c>
      <c r="BO1849" s="82">
        <f>$AG1849-$AG1850</f>
        <v/>
      </c>
      <c r="BP1849" s="82">
        <f>$AJ1849-$AJ1850</f>
        <v/>
      </c>
    </row>
    <row r="1850">
      <c r="AR1850" s="81">
        <f>($G1850+($H1850-$G1850)*0.5)+($P1850-($O1850+($Q1850-$O1850)*0.5))</f>
        <v/>
      </c>
      <c r="AS1850" s="81">
        <f>($J1850+($K1850-$J1850)*0.5)+($T1850-($S1850+($U1850-$S1850)*0.5))</f>
        <v/>
      </c>
      <c r="AT1850" s="82">
        <f>($J1850-$C1850)*100</f>
        <v/>
      </c>
      <c r="AU1850" s="82">
        <f>($H1850-$F1850)*100</f>
        <v/>
      </c>
      <c r="AV1850" s="82">
        <f>($J1850-$F1850)*100</f>
        <v/>
      </c>
      <c r="AW1850" s="82">
        <f>($L1850-$F1850)*100</f>
        <v/>
      </c>
      <c r="AX1850" s="82">
        <f>($J1850-$H1850)*100</f>
        <v/>
      </c>
      <c r="AY1850" s="82">
        <f>($L1850-$H1850)*100</f>
        <v/>
      </c>
      <c r="AZ1850" s="82">
        <f>($L1850-$J1850)*100</f>
        <v/>
      </c>
      <c r="BA1850" s="82">
        <f>(2*$H1850-$F1850-$J1850)*100</f>
        <v/>
      </c>
      <c r="BB1850" s="82">
        <f>(2*$J1850-$H1850-$L1850)*100</f>
        <v/>
      </c>
      <c r="BC1850" s="82">
        <f>($N1850-$F1850)*100</f>
        <v/>
      </c>
      <c r="BD1850" s="82">
        <f>($Q1850-$H1850)*100</f>
        <v/>
      </c>
      <c r="BE1850" s="82">
        <f>($S1850-$J1850)*100</f>
        <v/>
      </c>
      <c r="BF1850" s="82">
        <f>($V1850-$L1850)*100</f>
        <v/>
      </c>
      <c r="BG1850" s="82">
        <f>$AG1850-$AF1850</f>
        <v/>
      </c>
      <c r="BH1850" s="81">
        <f>IFERROR($AG1850/$AF1850,"")</f>
        <v/>
      </c>
      <c r="BI1850" s="82">
        <f>$AJ1850-$AF1850</f>
        <v/>
      </c>
      <c r="BJ1850" s="81">
        <f>IFERROR($AJ1850/$AG1850,"")</f>
        <v/>
      </c>
      <c r="BK1850" s="81">
        <f>$X1850</f>
        <v/>
      </c>
      <c r="BL1850" s="82">
        <f>($J1850-$J1851)*100</f>
        <v/>
      </c>
      <c r="BM1850" s="82">
        <f>($F1850-$F1851)*100</f>
        <v/>
      </c>
      <c r="BN1850" s="82">
        <f>$AF1850-$AF1851</f>
        <v/>
      </c>
      <c r="BO1850" s="82">
        <f>$AG1850-$AG1851</f>
        <v/>
      </c>
      <c r="BP1850" s="82">
        <f>$AJ1850-$AJ1851</f>
        <v/>
      </c>
    </row>
    <row r="1851">
      <c r="AR1851" s="81">
        <f>($G1851+($H1851-$G1851)*0.5)+($P1851-($O1851+($Q1851-$O1851)*0.5))</f>
        <v/>
      </c>
      <c r="AS1851" s="81">
        <f>($J1851+($K1851-$J1851)*0.5)+($T1851-($S1851+($U1851-$S1851)*0.5))</f>
        <v/>
      </c>
      <c r="AT1851" s="82">
        <f>($J1851-$C1851)*100</f>
        <v/>
      </c>
      <c r="AU1851" s="82">
        <f>($H1851-$F1851)*100</f>
        <v/>
      </c>
      <c r="AV1851" s="82">
        <f>($J1851-$F1851)*100</f>
        <v/>
      </c>
      <c r="AW1851" s="82">
        <f>($L1851-$F1851)*100</f>
        <v/>
      </c>
      <c r="AX1851" s="82">
        <f>($J1851-$H1851)*100</f>
        <v/>
      </c>
      <c r="AY1851" s="82">
        <f>($L1851-$H1851)*100</f>
        <v/>
      </c>
      <c r="AZ1851" s="82">
        <f>($L1851-$J1851)*100</f>
        <v/>
      </c>
      <c r="BA1851" s="82">
        <f>(2*$H1851-$F1851-$J1851)*100</f>
        <v/>
      </c>
      <c r="BB1851" s="82">
        <f>(2*$J1851-$H1851-$L1851)*100</f>
        <v/>
      </c>
      <c r="BC1851" s="82">
        <f>($N1851-$F1851)*100</f>
        <v/>
      </c>
      <c r="BD1851" s="82">
        <f>($Q1851-$H1851)*100</f>
        <v/>
      </c>
      <c r="BE1851" s="82">
        <f>($S1851-$J1851)*100</f>
        <v/>
      </c>
      <c r="BF1851" s="82">
        <f>($V1851-$L1851)*100</f>
        <v/>
      </c>
      <c r="BG1851" s="82">
        <f>$AG1851-$AF1851</f>
        <v/>
      </c>
      <c r="BH1851" s="81">
        <f>IFERROR($AG1851/$AF1851,"")</f>
        <v/>
      </c>
      <c r="BI1851" s="82">
        <f>$AJ1851-$AF1851</f>
        <v/>
      </c>
      <c r="BJ1851" s="81">
        <f>IFERROR($AJ1851/$AG1851,"")</f>
        <v/>
      </c>
      <c r="BK1851" s="81">
        <f>$X1851</f>
        <v/>
      </c>
      <c r="BL1851" s="82">
        <f>($J1851-$J1852)*100</f>
        <v/>
      </c>
      <c r="BM1851" s="82">
        <f>($F1851-$F1852)*100</f>
        <v/>
      </c>
      <c r="BN1851" s="82">
        <f>$AF1851-$AF1852</f>
        <v/>
      </c>
      <c r="BO1851" s="82">
        <f>$AG1851-$AG1852</f>
        <v/>
      </c>
      <c r="BP1851" s="82">
        <f>$AJ1851-$AJ1852</f>
        <v/>
      </c>
    </row>
    <row r="1852">
      <c r="AR1852" s="81">
        <f>($G1852+($H1852-$G1852)*0.5)+($P1852-($O1852+($Q1852-$O1852)*0.5))</f>
        <v/>
      </c>
      <c r="AS1852" s="81">
        <f>($J1852+($K1852-$J1852)*0.5)+($T1852-($S1852+($U1852-$S1852)*0.5))</f>
        <v/>
      </c>
      <c r="AT1852" s="82">
        <f>($J1852-$C1852)*100</f>
        <v/>
      </c>
      <c r="AU1852" s="82">
        <f>($H1852-$F1852)*100</f>
        <v/>
      </c>
      <c r="AV1852" s="82">
        <f>($J1852-$F1852)*100</f>
        <v/>
      </c>
      <c r="AW1852" s="82">
        <f>($L1852-$F1852)*100</f>
        <v/>
      </c>
      <c r="AX1852" s="82">
        <f>($J1852-$H1852)*100</f>
        <v/>
      </c>
      <c r="AY1852" s="82">
        <f>($L1852-$H1852)*100</f>
        <v/>
      </c>
      <c r="AZ1852" s="82">
        <f>($L1852-$J1852)*100</f>
        <v/>
      </c>
      <c r="BA1852" s="82">
        <f>(2*$H1852-$F1852-$J1852)*100</f>
        <v/>
      </c>
      <c r="BB1852" s="82">
        <f>(2*$J1852-$H1852-$L1852)*100</f>
        <v/>
      </c>
      <c r="BC1852" s="82">
        <f>($N1852-$F1852)*100</f>
        <v/>
      </c>
      <c r="BD1852" s="82">
        <f>($Q1852-$H1852)*100</f>
        <v/>
      </c>
      <c r="BE1852" s="82">
        <f>($S1852-$J1852)*100</f>
        <v/>
      </c>
      <c r="BF1852" s="82">
        <f>($V1852-$L1852)*100</f>
        <v/>
      </c>
      <c r="BG1852" s="82">
        <f>$AG1852-$AF1852</f>
        <v/>
      </c>
      <c r="BH1852" s="81">
        <f>IFERROR($AG1852/$AF1852,"")</f>
        <v/>
      </c>
      <c r="BI1852" s="82">
        <f>$AJ1852-$AF1852</f>
        <v/>
      </c>
      <c r="BJ1852" s="81">
        <f>IFERROR($AJ1852/$AG1852,"")</f>
        <v/>
      </c>
      <c r="BK1852" s="81">
        <f>$X1852</f>
        <v/>
      </c>
      <c r="BL1852" s="82">
        <f>($J1852-$J1853)*100</f>
        <v/>
      </c>
      <c r="BM1852" s="82">
        <f>($F1852-$F1853)*100</f>
        <v/>
      </c>
      <c r="BN1852" s="82">
        <f>$AF1852-$AF1853</f>
        <v/>
      </c>
      <c r="BO1852" s="82">
        <f>$AG1852-$AG1853</f>
        <v/>
      </c>
      <c r="BP1852" s="82">
        <f>$AJ1852-$AJ1853</f>
        <v/>
      </c>
    </row>
    <row r="1853">
      <c r="AR1853" s="81">
        <f>($G1853+($H1853-$G1853)*0.5)+($P1853-($O1853+($Q1853-$O1853)*0.5))</f>
        <v/>
      </c>
      <c r="AS1853" s="81">
        <f>($J1853+($K1853-$J1853)*0.5)+($T1853-($S1853+($U1853-$S1853)*0.5))</f>
        <v/>
      </c>
      <c r="AT1853" s="82">
        <f>($J1853-$C1853)*100</f>
        <v/>
      </c>
      <c r="AU1853" s="82">
        <f>($H1853-$F1853)*100</f>
        <v/>
      </c>
      <c r="AV1853" s="82">
        <f>($J1853-$F1853)*100</f>
        <v/>
      </c>
      <c r="AW1853" s="82">
        <f>($L1853-$F1853)*100</f>
        <v/>
      </c>
      <c r="AX1853" s="82">
        <f>($J1853-$H1853)*100</f>
        <v/>
      </c>
      <c r="AY1853" s="82">
        <f>($L1853-$H1853)*100</f>
        <v/>
      </c>
      <c r="AZ1853" s="82">
        <f>($L1853-$J1853)*100</f>
        <v/>
      </c>
      <c r="BA1853" s="82">
        <f>(2*$H1853-$F1853-$J1853)*100</f>
        <v/>
      </c>
      <c r="BB1853" s="82">
        <f>(2*$J1853-$H1853-$L1853)*100</f>
        <v/>
      </c>
      <c r="BC1853" s="82">
        <f>($N1853-$F1853)*100</f>
        <v/>
      </c>
      <c r="BD1853" s="82">
        <f>($Q1853-$H1853)*100</f>
        <v/>
      </c>
      <c r="BE1853" s="82">
        <f>($S1853-$J1853)*100</f>
        <v/>
      </c>
      <c r="BF1853" s="82">
        <f>($V1853-$L1853)*100</f>
        <v/>
      </c>
      <c r="BG1853" s="82">
        <f>$AG1853-$AF1853</f>
        <v/>
      </c>
      <c r="BH1853" s="81">
        <f>IFERROR($AG1853/$AF1853,"")</f>
        <v/>
      </c>
      <c r="BI1853" s="82">
        <f>$AJ1853-$AF1853</f>
        <v/>
      </c>
      <c r="BJ1853" s="81">
        <f>IFERROR($AJ1853/$AG1853,"")</f>
        <v/>
      </c>
      <c r="BK1853" s="81">
        <f>$X1853</f>
        <v/>
      </c>
      <c r="BL1853" s="82">
        <f>($J1853-$J1854)*100</f>
        <v/>
      </c>
      <c r="BM1853" s="82">
        <f>($F1853-$F1854)*100</f>
        <v/>
      </c>
      <c r="BN1853" s="82">
        <f>$AF1853-$AF1854</f>
        <v/>
      </c>
      <c r="BO1853" s="82">
        <f>$AG1853-$AG1854</f>
        <v/>
      </c>
      <c r="BP1853" s="82">
        <f>$AJ1853-$AJ1854</f>
        <v/>
      </c>
    </row>
    <row r="1854">
      <c r="AR1854" s="81">
        <f>($G1854+($H1854-$G1854)*0.5)+($P1854-($O1854+($Q1854-$O1854)*0.5))</f>
        <v/>
      </c>
      <c r="AS1854" s="81">
        <f>($J1854+($K1854-$J1854)*0.5)+($T1854-($S1854+($U1854-$S1854)*0.5))</f>
        <v/>
      </c>
      <c r="AT1854" s="82">
        <f>($J1854-$C1854)*100</f>
        <v/>
      </c>
      <c r="AU1854" s="82">
        <f>($H1854-$F1854)*100</f>
        <v/>
      </c>
      <c r="AV1854" s="82">
        <f>($J1854-$F1854)*100</f>
        <v/>
      </c>
      <c r="AW1854" s="82">
        <f>($L1854-$F1854)*100</f>
        <v/>
      </c>
      <c r="AX1854" s="82">
        <f>($J1854-$H1854)*100</f>
        <v/>
      </c>
      <c r="AY1854" s="82">
        <f>($L1854-$H1854)*100</f>
        <v/>
      </c>
      <c r="AZ1854" s="82">
        <f>($L1854-$J1854)*100</f>
        <v/>
      </c>
      <c r="BA1854" s="82">
        <f>(2*$H1854-$F1854-$J1854)*100</f>
        <v/>
      </c>
      <c r="BB1854" s="82">
        <f>(2*$J1854-$H1854-$L1854)*100</f>
        <v/>
      </c>
      <c r="BC1854" s="82">
        <f>($N1854-$F1854)*100</f>
        <v/>
      </c>
      <c r="BD1854" s="82">
        <f>($Q1854-$H1854)*100</f>
        <v/>
      </c>
      <c r="BE1854" s="82">
        <f>($S1854-$J1854)*100</f>
        <v/>
      </c>
      <c r="BF1854" s="82">
        <f>($V1854-$L1854)*100</f>
        <v/>
      </c>
      <c r="BG1854" s="82">
        <f>$AG1854-$AF1854</f>
        <v/>
      </c>
      <c r="BH1854" s="81">
        <f>IFERROR($AG1854/$AF1854,"")</f>
        <v/>
      </c>
      <c r="BI1854" s="82">
        <f>$AJ1854-$AF1854</f>
        <v/>
      </c>
      <c r="BJ1854" s="81">
        <f>IFERROR($AJ1854/$AG1854,"")</f>
        <v/>
      </c>
      <c r="BK1854" s="81">
        <f>$X1854</f>
        <v/>
      </c>
      <c r="BL1854" s="82">
        <f>($J1854-$J1855)*100</f>
        <v/>
      </c>
      <c r="BM1854" s="82">
        <f>($F1854-$F1855)*100</f>
        <v/>
      </c>
      <c r="BN1854" s="82">
        <f>$AF1854-$AF1855</f>
        <v/>
      </c>
      <c r="BO1854" s="82">
        <f>$AG1854-$AG1855</f>
        <v/>
      </c>
      <c r="BP1854" s="82">
        <f>$AJ1854-$AJ1855</f>
        <v/>
      </c>
    </row>
    <row r="1855">
      <c r="AR1855" s="81">
        <f>($G1855+($H1855-$G1855)*0.5)+($P1855-($O1855+($Q1855-$O1855)*0.5))</f>
        <v/>
      </c>
      <c r="AS1855" s="81">
        <f>($J1855+($K1855-$J1855)*0.5)+($T1855-($S1855+($U1855-$S1855)*0.5))</f>
        <v/>
      </c>
      <c r="AT1855" s="82">
        <f>($J1855-$C1855)*100</f>
        <v/>
      </c>
      <c r="AU1855" s="82">
        <f>($H1855-$F1855)*100</f>
        <v/>
      </c>
      <c r="AV1855" s="82">
        <f>($J1855-$F1855)*100</f>
        <v/>
      </c>
      <c r="AW1855" s="82">
        <f>($L1855-$F1855)*100</f>
        <v/>
      </c>
      <c r="AX1855" s="82">
        <f>($J1855-$H1855)*100</f>
        <v/>
      </c>
      <c r="AY1855" s="82">
        <f>($L1855-$H1855)*100</f>
        <v/>
      </c>
      <c r="AZ1855" s="82">
        <f>($L1855-$J1855)*100</f>
        <v/>
      </c>
      <c r="BA1855" s="82">
        <f>(2*$H1855-$F1855-$J1855)*100</f>
        <v/>
      </c>
      <c r="BB1855" s="82">
        <f>(2*$J1855-$H1855-$L1855)*100</f>
        <v/>
      </c>
      <c r="BC1855" s="82">
        <f>($N1855-$F1855)*100</f>
        <v/>
      </c>
      <c r="BD1855" s="82">
        <f>($Q1855-$H1855)*100</f>
        <v/>
      </c>
      <c r="BE1855" s="82">
        <f>($S1855-$J1855)*100</f>
        <v/>
      </c>
      <c r="BF1855" s="82">
        <f>($V1855-$L1855)*100</f>
        <v/>
      </c>
      <c r="BG1855" s="82">
        <f>$AG1855-$AF1855</f>
        <v/>
      </c>
      <c r="BH1855" s="81">
        <f>IFERROR($AG1855/$AF1855,"")</f>
        <v/>
      </c>
      <c r="BI1855" s="82">
        <f>$AJ1855-$AF1855</f>
        <v/>
      </c>
      <c r="BJ1855" s="81">
        <f>IFERROR($AJ1855/$AG1855,"")</f>
        <v/>
      </c>
      <c r="BK1855" s="81">
        <f>$X1855</f>
        <v/>
      </c>
      <c r="BL1855" s="82">
        <f>($J1855-$J1856)*100</f>
        <v/>
      </c>
      <c r="BM1855" s="82">
        <f>($F1855-$F1856)*100</f>
        <v/>
      </c>
      <c r="BN1855" s="82">
        <f>$AF1855-$AF1856</f>
        <v/>
      </c>
      <c r="BO1855" s="82">
        <f>$AG1855-$AG1856</f>
        <v/>
      </c>
      <c r="BP1855" s="82">
        <f>$AJ1855-$AJ1856</f>
        <v/>
      </c>
    </row>
    <row r="1856">
      <c r="AR1856" s="81">
        <f>($G1856+($H1856-$G1856)*0.5)+($P1856-($O1856+($Q1856-$O1856)*0.5))</f>
        <v/>
      </c>
      <c r="AS1856" s="81">
        <f>($J1856+($K1856-$J1856)*0.5)+($T1856-($S1856+($U1856-$S1856)*0.5))</f>
        <v/>
      </c>
      <c r="AT1856" s="82">
        <f>($J1856-$C1856)*100</f>
        <v/>
      </c>
      <c r="AU1856" s="82">
        <f>($H1856-$F1856)*100</f>
        <v/>
      </c>
      <c r="AV1856" s="82">
        <f>($J1856-$F1856)*100</f>
        <v/>
      </c>
      <c r="AW1856" s="82">
        <f>($L1856-$F1856)*100</f>
        <v/>
      </c>
      <c r="AX1856" s="82">
        <f>($J1856-$H1856)*100</f>
        <v/>
      </c>
      <c r="AY1856" s="82">
        <f>($L1856-$H1856)*100</f>
        <v/>
      </c>
      <c r="AZ1856" s="82">
        <f>($L1856-$J1856)*100</f>
        <v/>
      </c>
      <c r="BA1856" s="82">
        <f>(2*$H1856-$F1856-$J1856)*100</f>
        <v/>
      </c>
      <c r="BB1856" s="82">
        <f>(2*$J1856-$H1856-$L1856)*100</f>
        <v/>
      </c>
      <c r="BC1856" s="82">
        <f>($N1856-$F1856)*100</f>
        <v/>
      </c>
      <c r="BD1856" s="82">
        <f>($Q1856-$H1856)*100</f>
        <v/>
      </c>
      <c r="BE1856" s="82">
        <f>($S1856-$J1856)*100</f>
        <v/>
      </c>
      <c r="BF1856" s="82">
        <f>($V1856-$L1856)*100</f>
        <v/>
      </c>
      <c r="BG1856" s="82">
        <f>$AG1856-$AF1856</f>
        <v/>
      </c>
      <c r="BH1856" s="81">
        <f>IFERROR($AG1856/$AF1856,"")</f>
        <v/>
      </c>
      <c r="BI1856" s="82">
        <f>$AJ1856-$AF1856</f>
        <v/>
      </c>
      <c r="BJ1856" s="81">
        <f>IFERROR($AJ1856/$AG1856,"")</f>
        <v/>
      </c>
      <c r="BK1856" s="81">
        <f>$X1856</f>
        <v/>
      </c>
      <c r="BL1856" s="82">
        <f>($J1856-$J1857)*100</f>
        <v/>
      </c>
      <c r="BM1856" s="82">
        <f>($F1856-$F1857)*100</f>
        <v/>
      </c>
      <c r="BN1856" s="82">
        <f>$AF1856-$AF1857</f>
        <v/>
      </c>
      <c r="BO1856" s="82">
        <f>$AG1856-$AG1857</f>
        <v/>
      </c>
      <c r="BP1856" s="82">
        <f>$AJ1856-$AJ1857</f>
        <v/>
      </c>
    </row>
    <row r="1857">
      <c r="AR1857" s="81">
        <f>($G1857+($H1857-$G1857)*0.5)+($P1857-($O1857+($Q1857-$O1857)*0.5))</f>
        <v/>
      </c>
      <c r="AS1857" s="81">
        <f>($J1857+($K1857-$J1857)*0.5)+($T1857-($S1857+($U1857-$S1857)*0.5))</f>
        <v/>
      </c>
      <c r="AT1857" s="82">
        <f>($J1857-$C1857)*100</f>
        <v/>
      </c>
      <c r="AU1857" s="82">
        <f>($H1857-$F1857)*100</f>
        <v/>
      </c>
      <c r="AV1857" s="82">
        <f>($J1857-$F1857)*100</f>
        <v/>
      </c>
      <c r="AW1857" s="82">
        <f>($L1857-$F1857)*100</f>
        <v/>
      </c>
      <c r="AX1857" s="82">
        <f>($J1857-$H1857)*100</f>
        <v/>
      </c>
      <c r="AY1857" s="82">
        <f>($L1857-$H1857)*100</f>
        <v/>
      </c>
      <c r="AZ1857" s="82">
        <f>($L1857-$J1857)*100</f>
        <v/>
      </c>
      <c r="BA1857" s="82">
        <f>(2*$H1857-$F1857-$J1857)*100</f>
        <v/>
      </c>
      <c r="BB1857" s="82">
        <f>(2*$J1857-$H1857-$L1857)*100</f>
        <v/>
      </c>
      <c r="BC1857" s="82">
        <f>($N1857-$F1857)*100</f>
        <v/>
      </c>
      <c r="BD1857" s="82">
        <f>($Q1857-$H1857)*100</f>
        <v/>
      </c>
      <c r="BE1857" s="82">
        <f>($S1857-$J1857)*100</f>
        <v/>
      </c>
      <c r="BF1857" s="82">
        <f>($V1857-$L1857)*100</f>
        <v/>
      </c>
      <c r="BG1857" s="82">
        <f>$AG1857-$AF1857</f>
        <v/>
      </c>
      <c r="BH1857" s="81">
        <f>IFERROR($AG1857/$AF1857,"")</f>
        <v/>
      </c>
      <c r="BI1857" s="82">
        <f>$AJ1857-$AF1857</f>
        <v/>
      </c>
      <c r="BJ1857" s="81">
        <f>IFERROR($AJ1857/$AG1857,"")</f>
        <v/>
      </c>
      <c r="BK1857" s="81">
        <f>$X1857</f>
        <v/>
      </c>
      <c r="BL1857" s="82">
        <f>($J1857-$J1858)*100</f>
        <v/>
      </c>
      <c r="BM1857" s="82">
        <f>($F1857-$F1858)*100</f>
        <v/>
      </c>
      <c r="BN1857" s="82">
        <f>$AF1857-$AF1858</f>
        <v/>
      </c>
      <c r="BO1857" s="82">
        <f>$AG1857-$AG1858</f>
        <v/>
      </c>
      <c r="BP1857" s="82">
        <f>$AJ1857-$AJ1858</f>
        <v/>
      </c>
    </row>
    <row r="1858">
      <c r="AR1858" s="81">
        <f>($G1858+($H1858-$G1858)*0.5)+($P1858-($O1858+($Q1858-$O1858)*0.5))</f>
        <v/>
      </c>
      <c r="AS1858" s="81">
        <f>($J1858+($K1858-$J1858)*0.5)+($T1858-($S1858+($U1858-$S1858)*0.5))</f>
        <v/>
      </c>
      <c r="AT1858" s="82">
        <f>($J1858-$C1858)*100</f>
        <v/>
      </c>
      <c r="AU1858" s="82">
        <f>($H1858-$F1858)*100</f>
        <v/>
      </c>
      <c r="AV1858" s="82">
        <f>($J1858-$F1858)*100</f>
        <v/>
      </c>
      <c r="AW1858" s="82">
        <f>($L1858-$F1858)*100</f>
        <v/>
      </c>
      <c r="AX1858" s="82">
        <f>($J1858-$H1858)*100</f>
        <v/>
      </c>
      <c r="AY1858" s="82">
        <f>($L1858-$H1858)*100</f>
        <v/>
      </c>
      <c r="AZ1858" s="82">
        <f>($L1858-$J1858)*100</f>
        <v/>
      </c>
      <c r="BA1858" s="82">
        <f>(2*$H1858-$F1858-$J1858)*100</f>
        <v/>
      </c>
      <c r="BB1858" s="82">
        <f>(2*$J1858-$H1858-$L1858)*100</f>
        <v/>
      </c>
      <c r="BC1858" s="82">
        <f>($N1858-$F1858)*100</f>
        <v/>
      </c>
      <c r="BD1858" s="82">
        <f>($Q1858-$H1858)*100</f>
        <v/>
      </c>
      <c r="BE1858" s="82">
        <f>($S1858-$J1858)*100</f>
        <v/>
      </c>
      <c r="BF1858" s="82">
        <f>($V1858-$L1858)*100</f>
        <v/>
      </c>
      <c r="BG1858" s="82">
        <f>$AG1858-$AF1858</f>
        <v/>
      </c>
      <c r="BH1858" s="81">
        <f>IFERROR($AG1858/$AF1858,"")</f>
        <v/>
      </c>
      <c r="BI1858" s="82">
        <f>$AJ1858-$AF1858</f>
        <v/>
      </c>
      <c r="BJ1858" s="81">
        <f>IFERROR($AJ1858/$AG1858,"")</f>
        <v/>
      </c>
      <c r="BK1858" s="81">
        <f>$X1858</f>
        <v/>
      </c>
      <c r="BL1858" s="82">
        <f>($J1858-$J1859)*100</f>
        <v/>
      </c>
      <c r="BM1858" s="82">
        <f>($F1858-$F1859)*100</f>
        <v/>
      </c>
      <c r="BN1858" s="82">
        <f>$AF1858-$AF1859</f>
        <v/>
      </c>
      <c r="BO1858" s="82">
        <f>$AG1858-$AG1859</f>
        <v/>
      </c>
      <c r="BP1858" s="82">
        <f>$AJ1858-$AJ1859</f>
        <v/>
      </c>
    </row>
    <row r="1859">
      <c r="AR1859" s="81">
        <f>($G1859+($H1859-$G1859)*0.5)+($P1859-($O1859+($Q1859-$O1859)*0.5))</f>
        <v/>
      </c>
      <c r="AS1859" s="81">
        <f>($J1859+($K1859-$J1859)*0.5)+($T1859-($S1859+($U1859-$S1859)*0.5))</f>
        <v/>
      </c>
      <c r="AT1859" s="82">
        <f>($J1859-$C1859)*100</f>
        <v/>
      </c>
      <c r="AU1859" s="82">
        <f>($H1859-$F1859)*100</f>
        <v/>
      </c>
      <c r="AV1859" s="82">
        <f>($J1859-$F1859)*100</f>
        <v/>
      </c>
      <c r="AW1859" s="82">
        <f>($L1859-$F1859)*100</f>
        <v/>
      </c>
      <c r="AX1859" s="82">
        <f>($J1859-$H1859)*100</f>
        <v/>
      </c>
      <c r="AY1859" s="82">
        <f>($L1859-$H1859)*100</f>
        <v/>
      </c>
      <c r="AZ1859" s="82">
        <f>($L1859-$J1859)*100</f>
        <v/>
      </c>
      <c r="BA1859" s="82">
        <f>(2*$H1859-$F1859-$J1859)*100</f>
        <v/>
      </c>
      <c r="BB1859" s="82">
        <f>(2*$J1859-$H1859-$L1859)*100</f>
        <v/>
      </c>
      <c r="BC1859" s="82">
        <f>($N1859-$F1859)*100</f>
        <v/>
      </c>
      <c r="BD1859" s="82">
        <f>($Q1859-$H1859)*100</f>
        <v/>
      </c>
      <c r="BE1859" s="82">
        <f>($S1859-$J1859)*100</f>
        <v/>
      </c>
      <c r="BF1859" s="82">
        <f>($V1859-$L1859)*100</f>
        <v/>
      </c>
      <c r="BG1859" s="82">
        <f>$AG1859-$AF1859</f>
        <v/>
      </c>
      <c r="BH1859" s="81">
        <f>IFERROR($AG1859/$AF1859,"")</f>
        <v/>
      </c>
      <c r="BI1859" s="82">
        <f>$AJ1859-$AF1859</f>
        <v/>
      </c>
      <c r="BJ1859" s="81">
        <f>IFERROR($AJ1859/$AG1859,"")</f>
        <v/>
      </c>
      <c r="BK1859" s="81">
        <f>$X1859</f>
        <v/>
      </c>
      <c r="BL1859" s="82">
        <f>($J1859-$J1860)*100</f>
        <v/>
      </c>
      <c r="BM1859" s="82">
        <f>($F1859-$F1860)*100</f>
        <v/>
      </c>
      <c r="BN1859" s="82">
        <f>$AF1859-$AF1860</f>
        <v/>
      </c>
      <c r="BO1859" s="82">
        <f>$AG1859-$AG1860</f>
        <v/>
      </c>
      <c r="BP1859" s="82">
        <f>$AJ1859-$AJ1860</f>
        <v/>
      </c>
    </row>
    <row r="1860">
      <c r="AR1860" s="81">
        <f>($G1860+($H1860-$G1860)*0.5)+($P1860-($O1860+($Q1860-$O1860)*0.5))</f>
        <v/>
      </c>
      <c r="AS1860" s="81">
        <f>($J1860+($K1860-$J1860)*0.5)+($T1860-($S1860+($U1860-$S1860)*0.5))</f>
        <v/>
      </c>
      <c r="AT1860" s="82">
        <f>($J1860-$C1860)*100</f>
        <v/>
      </c>
      <c r="AU1860" s="82">
        <f>($H1860-$F1860)*100</f>
        <v/>
      </c>
      <c r="AV1860" s="82">
        <f>($J1860-$F1860)*100</f>
        <v/>
      </c>
      <c r="AW1860" s="82">
        <f>($L1860-$F1860)*100</f>
        <v/>
      </c>
      <c r="AX1860" s="82">
        <f>($J1860-$H1860)*100</f>
        <v/>
      </c>
      <c r="AY1860" s="82">
        <f>($L1860-$H1860)*100</f>
        <v/>
      </c>
      <c r="AZ1860" s="82">
        <f>($L1860-$J1860)*100</f>
        <v/>
      </c>
      <c r="BA1860" s="82">
        <f>(2*$H1860-$F1860-$J1860)*100</f>
        <v/>
      </c>
      <c r="BB1860" s="82">
        <f>(2*$J1860-$H1860-$L1860)*100</f>
        <v/>
      </c>
      <c r="BC1860" s="82">
        <f>($N1860-$F1860)*100</f>
        <v/>
      </c>
      <c r="BD1860" s="82">
        <f>($Q1860-$H1860)*100</f>
        <v/>
      </c>
      <c r="BE1860" s="82">
        <f>($S1860-$J1860)*100</f>
        <v/>
      </c>
      <c r="BF1860" s="82">
        <f>($V1860-$L1860)*100</f>
        <v/>
      </c>
      <c r="BG1860" s="82">
        <f>$AG1860-$AF1860</f>
        <v/>
      </c>
      <c r="BH1860" s="81">
        <f>IFERROR($AG1860/$AF1860,"")</f>
        <v/>
      </c>
      <c r="BI1860" s="82">
        <f>$AJ1860-$AF1860</f>
        <v/>
      </c>
      <c r="BJ1860" s="81">
        <f>IFERROR($AJ1860/$AG1860,"")</f>
        <v/>
      </c>
      <c r="BK1860" s="81">
        <f>$X1860</f>
        <v/>
      </c>
      <c r="BL1860" s="82">
        <f>($J1860-$J1861)*100</f>
        <v/>
      </c>
      <c r="BM1860" s="82">
        <f>($F1860-$F1861)*100</f>
        <v/>
      </c>
      <c r="BN1860" s="82">
        <f>$AF1860-$AF1861</f>
        <v/>
      </c>
      <c r="BO1860" s="82">
        <f>$AG1860-$AG1861</f>
        <v/>
      </c>
      <c r="BP1860" s="82">
        <f>$AJ1860-$AJ1861</f>
        <v/>
      </c>
    </row>
    <row r="1861">
      <c r="AR1861" s="81">
        <f>($G1861+($H1861-$G1861)*0.5)+($P1861-($O1861+($Q1861-$O1861)*0.5))</f>
        <v/>
      </c>
      <c r="AS1861" s="81">
        <f>($J1861+($K1861-$J1861)*0.5)+($T1861-($S1861+($U1861-$S1861)*0.5))</f>
        <v/>
      </c>
      <c r="AT1861" s="82">
        <f>($J1861-$C1861)*100</f>
        <v/>
      </c>
      <c r="AU1861" s="82">
        <f>($H1861-$F1861)*100</f>
        <v/>
      </c>
      <c r="AV1861" s="82">
        <f>($J1861-$F1861)*100</f>
        <v/>
      </c>
      <c r="AW1861" s="82">
        <f>($L1861-$F1861)*100</f>
        <v/>
      </c>
      <c r="AX1861" s="82">
        <f>($J1861-$H1861)*100</f>
        <v/>
      </c>
      <c r="AY1861" s="82">
        <f>($L1861-$H1861)*100</f>
        <v/>
      </c>
      <c r="AZ1861" s="82">
        <f>($L1861-$J1861)*100</f>
        <v/>
      </c>
      <c r="BA1861" s="82">
        <f>(2*$H1861-$F1861-$J1861)*100</f>
        <v/>
      </c>
      <c r="BB1861" s="82">
        <f>(2*$J1861-$H1861-$L1861)*100</f>
        <v/>
      </c>
      <c r="BC1861" s="82">
        <f>($N1861-$F1861)*100</f>
        <v/>
      </c>
      <c r="BD1861" s="82">
        <f>($Q1861-$H1861)*100</f>
        <v/>
      </c>
      <c r="BE1861" s="82">
        <f>($S1861-$J1861)*100</f>
        <v/>
      </c>
      <c r="BF1861" s="82">
        <f>($V1861-$L1861)*100</f>
        <v/>
      </c>
      <c r="BG1861" s="82">
        <f>$AG1861-$AF1861</f>
        <v/>
      </c>
      <c r="BH1861" s="81">
        <f>IFERROR($AG1861/$AF1861,"")</f>
        <v/>
      </c>
      <c r="BI1861" s="82">
        <f>$AJ1861-$AF1861</f>
        <v/>
      </c>
      <c r="BJ1861" s="81">
        <f>IFERROR($AJ1861/$AG1861,"")</f>
        <v/>
      </c>
      <c r="BK1861" s="81">
        <f>$X1861</f>
        <v/>
      </c>
      <c r="BL1861" s="82">
        <f>($J1861-$J1862)*100</f>
        <v/>
      </c>
      <c r="BM1861" s="82">
        <f>($F1861-$F1862)*100</f>
        <v/>
      </c>
      <c r="BN1861" s="82">
        <f>$AF1861-$AF1862</f>
        <v/>
      </c>
      <c r="BO1861" s="82">
        <f>$AG1861-$AG1862</f>
        <v/>
      </c>
      <c r="BP1861" s="82">
        <f>$AJ1861-$AJ1862</f>
        <v/>
      </c>
    </row>
    <row r="1862">
      <c r="AR1862" s="81">
        <f>($G1862+($H1862-$G1862)*0.5)+($P1862-($O1862+($Q1862-$O1862)*0.5))</f>
        <v/>
      </c>
      <c r="AS1862" s="81">
        <f>($J1862+($K1862-$J1862)*0.5)+($T1862-($S1862+($U1862-$S1862)*0.5))</f>
        <v/>
      </c>
      <c r="AT1862" s="82">
        <f>($J1862-$C1862)*100</f>
        <v/>
      </c>
      <c r="AU1862" s="82">
        <f>($H1862-$F1862)*100</f>
        <v/>
      </c>
      <c r="AV1862" s="82">
        <f>($J1862-$F1862)*100</f>
        <v/>
      </c>
      <c r="AW1862" s="82">
        <f>($L1862-$F1862)*100</f>
        <v/>
      </c>
      <c r="AX1862" s="82">
        <f>($J1862-$H1862)*100</f>
        <v/>
      </c>
      <c r="AY1862" s="82">
        <f>($L1862-$H1862)*100</f>
        <v/>
      </c>
      <c r="AZ1862" s="82">
        <f>($L1862-$J1862)*100</f>
        <v/>
      </c>
      <c r="BA1862" s="82">
        <f>(2*$H1862-$F1862-$J1862)*100</f>
        <v/>
      </c>
      <c r="BB1862" s="82">
        <f>(2*$J1862-$H1862-$L1862)*100</f>
        <v/>
      </c>
      <c r="BC1862" s="82">
        <f>($N1862-$F1862)*100</f>
        <v/>
      </c>
      <c r="BD1862" s="82">
        <f>($Q1862-$H1862)*100</f>
        <v/>
      </c>
      <c r="BE1862" s="82">
        <f>($S1862-$J1862)*100</f>
        <v/>
      </c>
      <c r="BF1862" s="82">
        <f>($V1862-$L1862)*100</f>
        <v/>
      </c>
      <c r="BG1862" s="82">
        <f>$AG1862-$AF1862</f>
        <v/>
      </c>
      <c r="BH1862" s="81">
        <f>IFERROR($AG1862/$AF1862,"")</f>
        <v/>
      </c>
      <c r="BI1862" s="82">
        <f>$AJ1862-$AF1862</f>
        <v/>
      </c>
      <c r="BJ1862" s="81">
        <f>IFERROR($AJ1862/$AG1862,"")</f>
        <v/>
      </c>
      <c r="BK1862" s="81">
        <f>$X1862</f>
        <v/>
      </c>
      <c r="BL1862" s="82">
        <f>($J1862-$J1863)*100</f>
        <v/>
      </c>
      <c r="BM1862" s="82">
        <f>($F1862-$F1863)*100</f>
        <v/>
      </c>
      <c r="BN1862" s="82">
        <f>$AF1862-$AF1863</f>
        <v/>
      </c>
      <c r="BO1862" s="82">
        <f>$AG1862-$AG1863</f>
        <v/>
      </c>
      <c r="BP1862" s="82">
        <f>$AJ1862-$AJ1863</f>
        <v/>
      </c>
    </row>
    <row r="1863">
      <c r="AR1863" s="81">
        <f>($G1863+($H1863-$G1863)*0.5)+($P1863-($O1863+($Q1863-$O1863)*0.5))</f>
        <v/>
      </c>
      <c r="AS1863" s="81">
        <f>($J1863+($K1863-$J1863)*0.5)+($T1863-($S1863+($U1863-$S1863)*0.5))</f>
        <v/>
      </c>
      <c r="AT1863" s="82">
        <f>($J1863-$C1863)*100</f>
        <v/>
      </c>
      <c r="AU1863" s="82">
        <f>($H1863-$F1863)*100</f>
        <v/>
      </c>
      <c r="AV1863" s="82">
        <f>($J1863-$F1863)*100</f>
        <v/>
      </c>
      <c r="AW1863" s="82">
        <f>($L1863-$F1863)*100</f>
        <v/>
      </c>
      <c r="AX1863" s="82">
        <f>($J1863-$H1863)*100</f>
        <v/>
      </c>
      <c r="AY1863" s="82">
        <f>($L1863-$H1863)*100</f>
        <v/>
      </c>
      <c r="AZ1863" s="82">
        <f>($L1863-$J1863)*100</f>
        <v/>
      </c>
      <c r="BA1863" s="82">
        <f>(2*$H1863-$F1863-$J1863)*100</f>
        <v/>
      </c>
      <c r="BB1863" s="82">
        <f>(2*$J1863-$H1863-$L1863)*100</f>
        <v/>
      </c>
      <c r="BC1863" s="82">
        <f>($N1863-$F1863)*100</f>
        <v/>
      </c>
      <c r="BD1863" s="82">
        <f>($Q1863-$H1863)*100</f>
        <v/>
      </c>
      <c r="BE1863" s="82">
        <f>($S1863-$J1863)*100</f>
        <v/>
      </c>
      <c r="BF1863" s="82">
        <f>($V1863-$L1863)*100</f>
        <v/>
      </c>
      <c r="BG1863" s="82">
        <f>$AG1863-$AF1863</f>
        <v/>
      </c>
      <c r="BH1863" s="81">
        <f>IFERROR($AG1863/$AF1863,"")</f>
        <v/>
      </c>
      <c r="BI1863" s="82">
        <f>$AJ1863-$AF1863</f>
        <v/>
      </c>
      <c r="BJ1863" s="81">
        <f>IFERROR($AJ1863/$AG1863,"")</f>
        <v/>
      </c>
      <c r="BK1863" s="81">
        <f>$X1863</f>
        <v/>
      </c>
      <c r="BL1863" s="82">
        <f>($J1863-$J1864)*100</f>
        <v/>
      </c>
      <c r="BM1863" s="82">
        <f>($F1863-$F1864)*100</f>
        <v/>
      </c>
      <c r="BN1863" s="82">
        <f>$AF1863-$AF1864</f>
        <v/>
      </c>
      <c r="BO1863" s="82">
        <f>$AG1863-$AG1864</f>
        <v/>
      </c>
      <c r="BP1863" s="82">
        <f>$AJ1863-$AJ1864</f>
        <v/>
      </c>
    </row>
    <row r="1864">
      <c r="AR1864" s="81">
        <f>($G1864+($H1864-$G1864)*0.5)+($P1864-($O1864+($Q1864-$O1864)*0.5))</f>
        <v/>
      </c>
      <c r="AS1864" s="81">
        <f>($J1864+($K1864-$J1864)*0.5)+($T1864-($S1864+($U1864-$S1864)*0.5))</f>
        <v/>
      </c>
      <c r="AT1864" s="82">
        <f>($J1864-$C1864)*100</f>
        <v/>
      </c>
      <c r="AU1864" s="82">
        <f>($H1864-$F1864)*100</f>
        <v/>
      </c>
      <c r="AV1864" s="82">
        <f>($J1864-$F1864)*100</f>
        <v/>
      </c>
      <c r="AW1864" s="82">
        <f>($L1864-$F1864)*100</f>
        <v/>
      </c>
      <c r="AX1864" s="82">
        <f>($J1864-$H1864)*100</f>
        <v/>
      </c>
      <c r="AY1864" s="82">
        <f>($L1864-$H1864)*100</f>
        <v/>
      </c>
      <c r="AZ1864" s="82">
        <f>($L1864-$J1864)*100</f>
        <v/>
      </c>
      <c r="BA1864" s="82">
        <f>(2*$H1864-$F1864-$J1864)*100</f>
        <v/>
      </c>
      <c r="BB1864" s="82">
        <f>(2*$J1864-$H1864-$L1864)*100</f>
        <v/>
      </c>
      <c r="BC1864" s="82">
        <f>($N1864-$F1864)*100</f>
        <v/>
      </c>
      <c r="BD1864" s="82">
        <f>($Q1864-$H1864)*100</f>
        <v/>
      </c>
      <c r="BE1864" s="82">
        <f>($S1864-$J1864)*100</f>
        <v/>
      </c>
      <c r="BF1864" s="82">
        <f>($V1864-$L1864)*100</f>
        <v/>
      </c>
      <c r="BG1864" s="82">
        <f>$AG1864-$AF1864</f>
        <v/>
      </c>
      <c r="BH1864" s="81">
        <f>IFERROR($AG1864/$AF1864,"")</f>
        <v/>
      </c>
      <c r="BI1864" s="82">
        <f>$AJ1864-$AF1864</f>
        <v/>
      </c>
      <c r="BJ1864" s="81">
        <f>IFERROR($AJ1864/$AG1864,"")</f>
        <v/>
      </c>
      <c r="BK1864" s="81">
        <f>$X1864</f>
        <v/>
      </c>
      <c r="BL1864" s="82">
        <f>($J1864-$J1865)*100</f>
        <v/>
      </c>
      <c r="BM1864" s="82">
        <f>($F1864-$F1865)*100</f>
        <v/>
      </c>
      <c r="BN1864" s="82">
        <f>$AF1864-$AF1865</f>
        <v/>
      </c>
      <c r="BO1864" s="82">
        <f>$AG1864-$AG1865</f>
        <v/>
      </c>
      <c r="BP1864" s="82">
        <f>$AJ1864-$AJ1865</f>
        <v/>
      </c>
    </row>
    <row r="1865">
      <c r="AR1865" s="81">
        <f>($G1865+($H1865-$G1865)*0.5)+($P1865-($O1865+($Q1865-$O1865)*0.5))</f>
        <v/>
      </c>
      <c r="AS1865" s="81">
        <f>($J1865+($K1865-$J1865)*0.5)+($T1865-($S1865+($U1865-$S1865)*0.5))</f>
        <v/>
      </c>
      <c r="AT1865" s="82">
        <f>($J1865-$C1865)*100</f>
        <v/>
      </c>
      <c r="AU1865" s="82">
        <f>($H1865-$F1865)*100</f>
        <v/>
      </c>
      <c r="AV1865" s="82">
        <f>($J1865-$F1865)*100</f>
        <v/>
      </c>
      <c r="AW1865" s="82">
        <f>($L1865-$F1865)*100</f>
        <v/>
      </c>
      <c r="AX1865" s="82">
        <f>($J1865-$H1865)*100</f>
        <v/>
      </c>
      <c r="AY1865" s="82">
        <f>($L1865-$H1865)*100</f>
        <v/>
      </c>
      <c r="AZ1865" s="82">
        <f>($L1865-$J1865)*100</f>
        <v/>
      </c>
      <c r="BA1865" s="82">
        <f>(2*$H1865-$F1865-$J1865)*100</f>
        <v/>
      </c>
      <c r="BB1865" s="82">
        <f>(2*$J1865-$H1865-$L1865)*100</f>
        <v/>
      </c>
      <c r="BC1865" s="82">
        <f>($N1865-$F1865)*100</f>
        <v/>
      </c>
      <c r="BD1865" s="82">
        <f>($Q1865-$H1865)*100</f>
        <v/>
      </c>
      <c r="BE1865" s="82">
        <f>($S1865-$J1865)*100</f>
        <v/>
      </c>
      <c r="BF1865" s="82">
        <f>($V1865-$L1865)*100</f>
        <v/>
      </c>
      <c r="BG1865" s="82">
        <f>$AG1865-$AF1865</f>
        <v/>
      </c>
      <c r="BH1865" s="81">
        <f>IFERROR($AG1865/$AF1865,"")</f>
        <v/>
      </c>
      <c r="BI1865" s="82">
        <f>$AJ1865-$AF1865</f>
        <v/>
      </c>
      <c r="BJ1865" s="81">
        <f>IFERROR($AJ1865/$AG1865,"")</f>
        <v/>
      </c>
      <c r="BK1865" s="81">
        <f>$X1865</f>
        <v/>
      </c>
      <c r="BL1865" s="82">
        <f>($J1865-$J1866)*100</f>
        <v/>
      </c>
      <c r="BM1865" s="82">
        <f>($F1865-$F1866)*100</f>
        <v/>
      </c>
      <c r="BN1865" s="82">
        <f>$AF1865-$AF1866</f>
        <v/>
      </c>
      <c r="BO1865" s="82">
        <f>$AG1865-$AG1866</f>
        <v/>
      </c>
      <c r="BP1865" s="82">
        <f>$AJ1865-$AJ1866</f>
        <v/>
      </c>
    </row>
    <row r="1866">
      <c r="AR1866" s="81">
        <f>($G1866+($H1866-$G1866)*0.5)+($P1866-($O1866+($Q1866-$O1866)*0.5))</f>
        <v/>
      </c>
      <c r="AS1866" s="81">
        <f>($J1866+($K1866-$J1866)*0.5)+($T1866-($S1866+($U1866-$S1866)*0.5))</f>
        <v/>
      </c>
      <c r="AT1866" s="82">
        <f>($J1866-$C1866)*100</f>
        <v/>
      </c>
      <c r="AU1866" s="82">
        <f>($H1866-$F1866)*100</f>
        <v/>
      </c>
      <c r="AV1866" s="82">
        <f>($J1866-$F1866)*100</f>
        <v/>
      </c>
      <c r="AW1866" s="82">
        <f>($L1866-$F1866)*100</f>
        <v/>
      </c>
      <c r="AX1866" s="82">
        <f>($J1866-$H1866)*100</f>
        <v/>
      </c>
      <c r="AY1866" s="82">
        <f>($L1866-$H1866)*100</f>
        <v/>
      </c>
      <c r="AZ1866" s="82">
        <f>($L1866-$J1866)*100</f>
        <v/>
      </c>
      <c r="BA1866" s="82">
        <f>(2*$H1866-$F1866-$J1866)*100</f>
        <v/>
      </c>
      <c r="BB1866" s="82">
        <f>(2*$J1866-$H1866-$L1866)*100</f>
        <v/>
      </c>
      <c r="BC1866" s="82">
        <f>($N1866-$F1866)*100</f>
        <v/>
      </c>
      <c r="BD1866" s="82">
        <f>($Q1866-$H1866)*100</f>
        <v/>
      </c>
      <c r="BE1866" s="82">
        <f>($S1866-$J1866)*100</f>
        <v/>
      </c>
      <c r="BF1866" s="82">
        <f>($V1866-$L1866)*100</f>
        <v/>
      </c>
      <c r="BG1866" s="82">
        <f>$AG1866-$AF1866</f>
        <v/>
      </c>
      <c r="BH1866" s="81">
        <f>IFERROR($AG1866/$AF1866,"")</f>
        <v/>
      </c>
      <c r="BI1866" s="82">
        <f>$AJ1866-$AF1866</f>
        <v/>
      </c>
      <c r="BJ1866" s="81">
        <f>IFERROR($AJ1866/$AG1866,"")</f>
        <v/>
      </c>
      <c r="BK1866" s="81">
        <f>$X1866</f>
        <v/>
      </c>
      <c r="BL1866" s="82">
        <f>($J1866-$J1867)*100</f>
        <v/>
      </c>
      <c r="BM1866" s="82">
        <f>($F1866-$F1867)*100</f>
        <v/>
      </c>
      <c r="BN1866" s="82">
        <f>$AF1866-$AF1867</f>
        <v/>
      </c>
      <c r="BO1866" s="82">
        <f>$AG1866-$AG1867</f>
        <v/>
      </c>
      <c r="BP1866" s="82">
        <f>$AJ1866-$AJ1867</f>
        <v/>
      </c>
    </row>
    <row r="1867">
      <c r="AR1867" s="81">
        <f>($G1867+($H1867-$G1867)*0.5)+($P1867-($O1867+($Q1867-$O1867)*0.5))</f>
        <v/>
      </c>
      <c r="AS1867" s="81">
        <f>($J1867+($K1867-$J1867)*0.5)+($T1867-($S1867+($U1867-$S1867)*0.5))</f>
        <v/>
      </c>
      <c r="AT1867" s="82">
        <f>($J1867-$C1867)*100</f>
        <v/>
      </c>
      <c r="AU1867" s="82">
        <f>($H1867-$F1867)*100</f>
        <v/>
      </c>
      <c r="AV1867" s="82">
        <f>($J1867-$F1867)*100</f>
        <v/>
      </c>
      <c r="AW1867" s="82">
        <f>($L1867-$F1867)*100</f>
        <v/>
      </c>
      <c r="AX1867" s="82">
        <f>($J1867-$H1867)*100</f>
        <v/>
      </c>
      <c r="AY1867" s="82">
        <f>($L1867-$H1867)*100</f>
        <v/>
      </c>
      <c r="AZ1867" s="82">
        <f>($L1867-$J1867)*100</f>
        <v/>
      </c>
      <c r="BA1867" s="82">
        <f>(2*$H1867-$F1867-$J1867)*100</f>
        <v/>
      </c>
      <c r="BB1867" s="82">
        <f>(2*$J1867-$H1867-$L1867)*100</f>
        <v/>
      </c>
      <c r="BC1867" s="82">
        <f>($N1867-$F1867)*100</f>
        <v/>
      </c>
      <c r="BD1867" s="82">
        <f>($Q1867-$H1867)*100</f>
        <v/>
      </c>
      <c r="BE1867" s="82">
        <f>($S1867-$J1867)*100</f>
        <v/>
      </c>
      <c r="BF1867" s="82">
        <f>($V1867-$L1867)*100</f>
        <v/>
      </c>
      <c r="BG1867" s="82">
        <f>$AG1867-$AF1867</f>
        <v/>
      </c>
      <c r="BH1867" s="81">
        <f>IFERROR($AG1867/$AF1867,"")</f>
        <v/>
      </c>
      <c r="BI1867" s="82">
        <f>$AJ1867-$AF1867</f>
        <v/>
      </c>
      <c r="BJ1867" s="81">
        <f>IFERROR($AJ1867/$AG1867,"")</f>
        <v/>
      </c>
      <c r="BK1867" s="81">
        <f>$X1867</f>
        <v/>
      </c>
      <c r="BL1867" s="82">
        <f>($J1867-$J1868)*100</f>
        <v/>
      </c>
      <c r="BM1867" s="82">
        <f>($F1867-$F1868)*100</f>
        <v/>
      </c>
      <c r="BN1867" s="82">
        <f>$AF1867-$AF1868</f>
        <v/>
      </c>
      <c r="BO1867" s="82">
        <f>$AG1867-$AG1868</f>
        <v/>
      </c>
      <c r="BP1867" s="82">
        <f>$AJ1867-$AJ1868</f>
        <v/>
      </c>
    </row>
    <row r="1868">
      <c r="AR1868" s="81">
        <f>($G1868+($H1868-$G1868)*0.5)+($P1868-($O1868+($Q1868-$O1868)*0.5))</f>
        <v/>
      </c>
      <c r="AS1868" s="81">
        <f>($J1868+($K1868-$J1868)*0.5)+($T1868-($S1868+($U1868-$S1868)*0.5))</f>
        <v/>
      </c>
      <c r="AT1868" s="82">
        <f>($J1868-$C1868)*100</f>
        <v/>
      </c>
      <c r="AU1868" s="82">
        <f>($H1868-$F1868)*100</f>
        <v/>
      </c>
      <c r="AV1868" s="82">
        <f>($J1868-$F1868)*100</f>
        <v/>
      </c>
      <c r="AW1868" s="82">
        <f>($L1868-$F1868)*100</f>
        <v/>
      </c>
      <c r="AX1868" s="82">
        <f>($J1868-$H1868)*100</f>
        <v/>
      </c>
      <c r="AY1868" s="82">
        <f>($L1868-$H1868)*100</f>
        <v/>
      </c>
      <c r="AZ1868" s="82">
        <f>($L1868-$J1868)*100</f>
        <v/>
      </c>
      <c r="BA1868" s="82">
        <f>(2*$H1868-$F1868-$J1868)*100</f>
        <v/>
      </c>
      <c r="BB1868" s="82">
        <f>(2*$J1868-$H1868-$L1868)*100</f>
        <v/>
      </c>
      <c r="BC1868" s="82">
        <f>($N1868-$F1868)*100</f>
        <v/>
      </c>
      <c r="BD1868" s="82">
        <f>($Q1868-$H1868)*100</f>
        <v/>
      </c>
      <c r="BE1868" s="82">
        <f>($S1868-$J1868)*100</f>
        <v/>
      </c>
      <c r="BF1868" s="82">
        <f>($V1868-$L1868)*100</f>
        <v/>
      </c>
      <c r="BG1868" s="82">
        <f>$AG1868-$AF1868</f>
        <v/>
      </c>
      <c r="BH1868" s="81">
        <f>IFERROR($AG1868/$AF1868,"")</f>
        <v/>
      </c>
      <c r="BI1868" s="82">
        <f>$AJ1868-$AF1868</f>
        <v/>
      </c>
      <c r="BJ1868" s="81">
        <f>IFERROR($AJ1868/$AG1868,"")</f>
        <v/>
      </c>
      <c r="BK1868" s="81">
        <f>$X1868</f>
        <v/>
      </c>
      <c r="BL1868" s="82">
        <f>($J1868-$J1869)*100</f>
        <v/>
      </c>
      <c r="BM1868" s="82">
        <f>($F1868-$F1869)*100</f>
        <v/>
      </c>
      <c r="BN1868" s="82">
        <f>$AF1868-$AF1869</f>
        <v/>
      </c>
      <c r="BO1868" s="82">
        <f>$AG1868-$AG1869</f>
        <v/>
      </c>
      <c r="BP1868" s="82">
        <f>$AJ1868-$AJ1869</f>
        <v/>
      </c>
    </row>
    <row r="1869">
      <c r="AR1869" s="81">
        <f>($G1869+($H1869-$G1869)*0.5)+($P1869-($O1869+($Q1869-$O1869)*0.5))</f>
        <v/>
      </c>
      <c r="AS1869" s="81">
        <f>($J1869+($K1869-$J1869)*0.5)+($T1869-($S1869+($U1869-$S1869)*0.5))</f>
        <v/>
      </c>
      <c r="AT1869" s="82">
        <f>($J1869-$C1869)*100</f>
        <v/>
      </c>
      <c r="AU1869" s="82">
        <f>($H1869-$F1869)*100</f>
        <v/>
      </c>
      <c r="AV1869" s="82">
        <f>($J1869-$F1869)*100</f>
        <v/>
      </c>
      <c r="AW1869" s="82">
        <f>($L1869-$F1869)*100</f>
        <v/>
      </c>
      <c r="AX1869" s="82">
        <f>($J1869-$H1869)*100</f>
        <v/>
      </c>
      <c r="AY1869" s="82">
        <f>($L1869-$H1869)*100</f>
        <v/>
      </c>
      <c r="AZ1869" s="82">
        <f>($L1869-$J1869)*100</f>
        <v/>
      </c>
      <c r="BA1869" s="82">
        <f>(2*$H1869-$F1869-$J1869)*100</f>
        <v/>
      </c>
      <c r="BB1869" s="82">
        <f>(2*$J1869-$H1869-$L1869)*100</f>
        <v/>
      </c>
      <c r="BC1869" s="82">
        <f>($N1869-$F1869)*100</f>
        <v/>
      </c>
      <c r="BD1869" s="82">
        <f>($Q1869-$H1869)*100</f>
        <v/>
      </c>
      <c r="BE1869" s="82">
        <f>($S1869-$J1869)*100</f>
        <v/>
      </c>
      <c r="BF1869" s="82">
        <f>($V1869-$L1869)*100</f>
        <v/>
      </c>
      <c r="BG1869" s="82">
        <f>$AG1869-$AF1869</f>
        <v/>
      </c>
      <c r="BH1869" s="81">
        <f>IFERROR($AG1869/$AF1869,"")</f>
        <v/>
      </c>
      <c r="BI1869" s="82">
        <f>$AJ1869-$AF1869</f>
        <v/>
      </c>
      <c r="BJ1869" s="81">
        <f>IFERROR($AJ1869/$AG1869,"")</f>
        <v/>
      </c>
      <c r="BK1869" s="81">
        <f>$X1869</f>
        <v/>
      </c>
      <c r="BL1869" s="82">
        <f>($J1869-$J1870)*100</f>
        <v/>
      </c>
      <c r="BM1869" s="82">
        <f>($F1869-$F1870)*100</f>
        <v/>
      </c>
      <c r="BN1869" s="82">
        <f>$AF1869-$AF1870</f>
        <v/>
      </c>
      <c r="BO1869" s="82">
        <f>$AG1869-$AG1870</f>
        <v/>
      </c>
      <c r="BP1869" s="82">
        <f>$AJ1869-$AJ1870</f>
        <v/>
      </c>
    </row>
    <row r="1870">
      <c r="AR1870" s="81">
        <f>($G1870+($H1870-$G1870)*0.5)+($P1870-($O1870+($Q1870-$O1870)*0.5))</f>
        <v/>
      </c>
      <c r="AS1870" s="81">
        <f>($J1870+($K1870-$J1870)*0.5)+($T1870-($S1870+($U1870-$S1870)*0.5))</f>
        <v/>
      </c>
      <c r="AT1870" s="82">
        <f>($J1870-$C1870)*100</f>
        <v/>
      </c>
      <c r="AU1870" s="82">
        <f>($H1870-$F1870)*100</f>
        <v/>
      </c>
      <c r="AV1870" s="82">
        <f>($J1870-$F1870)*100</f>
        <v/>
      </c>
      <c r="AW1870" s="82">
        <f>($L1870-$F1870)*100</f>
        <v/>
      </c>
      <c r="AX1870" s="82">
        <f>($J1870-$H1870)*100</f>
        <v/>
      </c>
      <c r="AY1870" s="82">
        <f>($L1870-$H1870)*100</f>
        <v/>
      </c>
      <c r="AZ1870" s="82">
        <f>($L1870-$J1870)*100</f>
        <v/>
      </c>
      <c r="BA1870" s="82">
        <f>(2*$H1870-$F1870-$J1870)*100</f>
        <v/>
      </c>
      <c r="BB1870" s="82">
        <f>(2*$J1870-$H1870-$L1870)*100</f>
        <v/>
      </c>
      <c r="BC1870" s="82">
        <f>($N1870-$F1870)*100</f>
        <v/>
      </c>
      <c r="BD1870" s="82">
        <f>($Q1870-$H1870)*100</f>
        <v/>
      </c>
      <c r="BE1870" s="82">
        <f>($S1870-$J1870)*100</f>
        <v/>
      </c>
      <c r="BF1870" s="82">
        <f>($V1870-$L1870)*100</f>
        <v/>
      </c>
      <c r="BG1870" s="82">
        <f>$AG1870-$AF1870</f>
        <v/>
      </c>
      <c r="BH1870" s="81">
        <f>IFERROR($AG1870/$AF1870,"")</f>
        <v/>
      </c>
      <c r="BI1870" s="82">
        <f>$AJ1870-$AF1870</f>
        <v/>
      </c>
      <c r="BJ1870" s="81">
        <f>IFERROR($AJ1870/$AG1870,"")</f>
        <v/>
      </c>
      <c r="BK1870" s="81">
        <f>$X1870</f>
        <v/>
      </c>
      <c r="BL1870" s="82">
        <f>($J1870-$J1871)*100</f>
        <v/>
      </c>
      <c r="BM1870" s="82">
        <f>($F1870-$F1871)*100</f>
        <v/>
      </c>
      <c r="BN1870" s="82">
        <f>$AF1870-$AF1871</f>
        <v/>
      </c>
      <c r="BO1870" s="82">
        <f>$AG1870-$AG1871</f>
        <v/>
      </c>
      <c r="BP1870" s="82">
        <f>$AJ1870-$AJ1871</f>
        <v/>
      </c>
    </row>
    <row r="1871">
      <c r="AR1871" s="81">
        <f>($G1871+($H1871-$G1871)*0.5)+($P1871-($O1871+($Q1871-$O1871)*0.5))</f>
        <v/>
      </c>
      <c r="AS1871" s="81">
        <f>($J1871+($K1871-$J1871)*0.5)+($T1871-($S1871+($U1871-$S1871)*0.5))</f>
        <v/>
      </c>
      <c r="AT1871" s="82">
        <f>($J1871-$C1871)*100</f>
        <v/>
      </c>
      <c r="AU1871" s="82">
        <f>($H1871-$F1871)*100</f>
        <v/>
      </c>
      <c r="AV1871" s="82">
        <f>($J1871-$F1871)*100</f>
        <v/>
      </c>
      <c r="AW1871" s="82">
        <f>($L1871-$F1871)*100</f>
        <v/>
      </c>
      <c r="AX1871" s="82">
        <f>($J1871-$H1871)*100</f>
        <v/>
      </c>
      <c r="AY1871" s="82">
        <f>($L1871-$H1871)*100</f>
        <v/>
      </c>
      <c r="AZ1871" s="82">
        <f>($L1871-$J1871)*100</f>
        <v/>
      </c>
      <c r="BA1871" s="82">
        <f>(2*$H1871-$F1871-$J1871)*100</f>
        <v/>
      </c>
      <c r="BB1871" s="82">
        <f>(2*$J1871-$H1871-$L1871)*100</f>
        <v/>
      </c>
      <c r="BC1871" s="82">
        <f>($N1871-$F1871)*100</f>
        <v/>
      </c>
      <c r="BD1871" s="82">
        <f>($Q1871-$H1871)*100</f>
        <v/>
      </c>
      <c r="BE1871" s="82">
        <f>($S1871-$J1871)*100</f>
        <v/>
      </c>
      <c r="BF1871" s="82">
        <f>($V1871-$L1871)*100</f>
        <v/>
      </c>
      <c r="BG1871" s="82">
        <f>$AG1871-$AF1871</f>
        <v/>
      </c>
      <c r="BH1871" s="81">
        <f>IFERROR($AG1871/$AF1871,"")</f>
        <v/>
      </c>
      <c r="BI1871" s="82">
        <f>$AJ1871-$AF1871</f>
        <v/>
      </c>
      <c r="BJ1871" s="81">
        <f>IFERROR($AJ1871/$AG1871,"")</f>
        <v/>
      </c>
      <c r="BK1871" s="81">
        <f>$X1871</f>
        <v/>
      </c>
      <c r="BL1871" s="82">
        <f>($J1871-$J1872)*100</f>
        <v/>
      </c>
      <c r="BM1871" s="82">
        <f>($F1871-$F1872)*100</f>
        <v/>
      </c>
      <c r="BN1871" s="82">
        <f>$AF1871-$AF1872</f>
        <v/>
      </c>
      <c r="BO1871" s="82">
        <f>$AG1871-$AG1872</f>
        <v/>
      </c>
      <c r="BP1871" s="82">
        <f>$AJ1871-$AJ1872</f>
        <v/>
      </c>
    </row>
    <row r="1872">
      <c r="AR1872" s="81">
        <f>($G1872+($H1872-$G1872)*0.5)+($P1872-($O1872+($Q1872-$O1872)*0.5))</f>
        <v/>
      </c>
      <c r="AS1872" s="81">
        <f>($J1872+($K1872-$J1872)*0.5)+($T1872-($S1872+($U1872-$S1872)*0.5))</f>
        <v/>
      </c>
      <c r="AT1872" s="82">
        <f>($J1872-$C1872)*100</f>
        <v/>
      </c>
      <c r="AU1872" s="82">
        <f>($H1872-$F1872)*100</f>
        <v/>
      </c>
      <c r="AV1872" s="82">
        <f>($J1872-$F1872)*100</f>
        <v/>
      </c>
      <c r="AW1872" s="82">
        <f>($L1872-$F1872)*100</f>
        <v/>
      </c>
      <c r="AX1872" s="82">
        <f>($J1872-$H1872)*100</f>
        <v/>
      </c>
      <c r="AY1872" s="82">
        <f>($L1872-$H1872)*100</f>
        <v/>
      </c>
      <c r="AZ1872" s="82">
        <f>($L1872-$J1872)*100</f>
        <v/>
      </c>
      <c r="BA1872" s="82">
        <f>(2*$H1872-$F1872-$J1872)*100</f>
        <v/>
      </c>
      <c r="BB1872" s="82">
        <f>(2*$J1872-$H1872-$L1872)*100</f>
        <v/>
      </c>
      <c r="BC1872" s="82">
        <f>($N1872-$F1872)*100</f>
        <v/>
      </c>
      <c r="BD1872" s="82">
        <f>($Q1872-$H1872)*100</f>
        <v/>
      </c>
      <c r="BE1872" s="82">
        <f>($S1872-$J1872)*100</f>
        <v/>
      </c>
      <c r="BF1872" s="82">
        <f>($V1872-$L1872)*100</f>
        <v/>
      </c>
      <c r="BG1872" s="82">
        <f>$AG1872-$AF1872</f>
        <v/>
      </c>
      <c r="BH1872" s="81">
        <f>IFERROR($AG1872/$AF1872,"")</f>
        <v/>
      </c>
      <c r="BI1872" s="82">
        <f>$AJ1872-$AF1872</f>
        <v/>
      </c>
      <c r="BJ1872" s="81">
        <f>IFERROR($AJ1872/$AG1872,"")</f>
        <v/>
      </c>
      <c r="BK1872" s="81">
        <f>$X1872</f>
        <v/>
      </c>
      <c r="BL1872" s="82">
        <f>($J1872-$J1873)*100</f>
        <v/>
      </c>
      <c r="BM1872" s="82">
        <f>($F1872-$F1873)*100</f>
        <v/>
      </c>
      <c r="BN1872" s="82">
        <f>$AF1872-$AF1873</f>
        <v/>
      </c>
      <c r="BO1872" s="82">
        <f>$AG1872-$AG1873</f>
        <v/>
      </c>
      <c r="BP1872" s="82">
        <f>$AJ1872-$AJ1873</f>
        <v/>
      </c>
    </row>
    <row r="1873">
      <c r="AR1873" s="81">
        <f>($G1873+($H1873-$G1873)*0.5)+($P1873-($O1873+($Q1873-$O1873)*0.5))</f>
        <v/>
      </c>
      <c r="AS1873" s="81">
        <f>($J1873+($K1873-$J1873)*0.5)+($T1873-($S1873+($U1873-$S1873)*0.5))</f>
        <v/>
      </c>
      <c r="AT1873" s="82">
        <f>($J1873-$C1873)*100</f>
        <v/>
      </c>
      <c r="AU1873" s="82">
        <f>($H1873-$F1873)*100</f>
        <v/>
      </c>
      <c r="AV1873" s="82">
        <f>($J1873-$F1873)*100</f>
        <v/>
      </c>
      <c r="AW1873" s="82">
        <f>($L1873-$F1873)*100</f>
        <v/>
      </c>
      <c r="AX1873" s="82">
        <f>($J1873-$H1873)*100</f>
        <v/>
      </c>
      <c r="AY1873" s="82">
        <f>($L1873-$H1873)*100</f>
        <v/>
      </c>
      <c r="AZ1873" s="82">
        <f>($L1873-$J1873)*100</f>
        <v/>
      </c>
      <c r="BA1873" s="82">
        <f>(2*$H1873-$F1873-$J1873)*100</f>
        <v/>
      </c>
      <c r="BB1873" s="82">
        <f>(2*$J1873-$H1873-$L1873)*100</f>
        <v/>
      </c>
      <c r="BC1873" s="82">
        <f>($N1873-$F1873)*100</f>
        <v/>
      </c>
      <c r="BD1873" s="82">
        <f>($Q1873-$H1873)*100</f>
        <v/>
      </c>
      <c r="BE1873" s="82">
        <f>($S1873-$J1873)*100</f>
        <v/>
      </c>
      <c r="BF1873" s="82">
        <f>($V1873-$L1873)*100</f>
        <v/>
      </c>
      <c r="BG1873" s="82">
        <f>$AG1873-$AF1873</f>
        <v/>
      </c>
      <c r="BH1873" s="81">
        <f>IFERROR($AG1873/$AF1873,"")</f>
        <v/>
      </c>
      <c r="BI1873" s="82">
        <f>$AJ1873-$AF1873</f>
        <v/>
      </c>
      <c r="BJ1873" s="81">
        <f>IFERROR($AJ1873/$AG1873,"")</f>
        <v/>
      </c>
      <c r="BK1873" s="81">
        <f>$X1873</f>
        <v/>
      </c>
      <c r="BL1873" s="82">
        <f>($J1873-$J1874)*100</f>
        <v/>
      </c>
      <c r="BM1873" s="82">
        <f>($F1873-$F1874)*100</f>
        <v/>
      </c>
      <c r="BN1873" s="82">
        <f>$AF1873-$AF1874</f>
        <v/>
      </c>
      <c r="BO1873" s="82">
        <f>$AG1873-$AG1874</f>
        <v/>
      </c>
      <c r="BP1873" s="82">
        <f>$AJ1873-$AJ1874</f>
        <v/>
      </c>
    </row>
    <row r="1874">
      <c r="AR1874" s="81">
        <f>($G1874+($H1874-$G1874)*0.5)+($P1874-($O1874+($Q1874-$O1874)*0.5))</f>
        <v/>
      </c>
      <c r="AS1874" s="81">
        <f>($J1874+($K1874-$J1874)*0.5)+($T1874-($S1874+($U1874-$S1874)*0.5))</f>
        <v/>
      </c>
      <c r="AT1874" s="82">
        <f>($J1874-$C1874)*100</f>
        <v/>
      </c>
      <c r="AU1874" s="82">
        <f>($H1874-$F1874)*100</f>
        <v/>
      </c>
      <c r="AV1874" s="82">
        <f>($J1874-$F1874)*100</f>
        <v/>
      </c>
      <c r="AW1874" s="82">
        <f>($L1874-$F1874)*100</f>
        <v/>
      </c>
      <c r="AX1874" s="82">
        <f>($J1874-$H1874)*100</f>
        <v/>
      </c>
      <c r="AY1874" s="82">
        <f>($L1874-$H1874)*100</f>
        <v/>
      </c>
      <c r="AZ1874" s="82">
        <f>($L1874-$J1874)*100</f>
        <v/>
      </c>
      <c r="BA1874" s="82">
        <f>(2*$H1874-$F1874-$J1874)*100</f>
        <v/>
      </c>
      <c r="BB1874" s="82">
        <f>(2*$J1874-$H1874-$L1874)*100</f>
        <v/>
      </c>
      <c r="BC1874" s="82">
        <f>($N1874-$F1874)*100</f>
        <v/>
      </c>
      <c r="BD1874" s="82">
        <f>($Q1874-$H1874)*100</f>
        <v/>
      </c>
      <c r="BE1874" s="82">
        <f>($S1874-$J1874)*100</f>
        <v/>
      </c>
      <c r="BF1874" s="82">
        <f>($V1874-$L1874)*100</f>
        <v/>
      </c>
      <c r="BG1874" s="82">
        <f>$AG1874-$AF1874</f>
        <v/>
      </c>
      <c r="BH1874" s="81">
        <f>IFERROR($AG1874/$AF1874,"")</f>
        <v/>
      </c>
      <c r="BI1874" s="82">
        <f>$AJ1874-$AF1874</f>
        <v/>
      </c>
      <c r="BJ1874" s="81">
        <f>IFERROR($AJ1874/$AG1874,"")</f>
        <v/>
      </c>
      <c r="BK1874" s="81">
        <f>$X1874</f>
        <v/>
      </c>
      <c r="BL1874" s="82">
        <f>($J1874-$J1875)*100</f>
        <v/>
      </c>
      <c r="BM1874" s="82">
        <f>($F1874-$F1875)*100</f>
        <v/>
      </c>
      <c r="BN1874" s="82">
        <f>$AF1874-$AF1875</f>
        <v/>
      </c>
      <c r="BO1874" s="82">
        <f>$AG1874-$AG1875</f>
        <v/>
      </c>
      <c r="BP1874" s="82">
        <f>$AJ1874-$AJ1875</f>
        <v/>
      </c>
    </row>
    <row r="1875">
      <c r="AR1875" s="81">
        <f>($G1875+($H1875-$G1875)*0.5)+($P1875-($O1875+($Q1875-$O1875)*0.5))</f>
        <v/>
      </c>
      <c r="AS1875" s="81">
        <f>($J1875+($K1875-$J1875)*0.5)+($T1875-($S1875+($U1875-$S1875)*0.5))</f>
        <v/>
      </c>
      <c r="AT1875" s="82">
        <f>($J1875-$C1875)*100</f>
        <v/>
      </c>
      <c r="AU1875" s="82">
        <f>($H1875-$F1875)*100</f>
        <v/>
      </c>
      <c r="AV1875" s="82">
        <f>($J1875-$F1875)*100</f>
        <v/>
      </c>
      <c r="AW1875" s="82">
        <f>($L1875-$F1875)*100</f>
        <v/>
      </c>
      <c r="AX1875" s="82">
        <f>($J1875-$H1875)*100</f>
        <v/>
      </c>
      <c r="AY1875" s="82">
        <f>($L1875-$H1875)*100</f>
        <v/>
      </c>
      <c r="AZ1875" s="82">
        <f>($L1875-$J1875)*100</f>
        <v/>
      </c>
      <c r="BA1875" s="82">
        <f>(2*$H1875-$F1875-$J1875)*100</f>
        <v/>
      </c>
      <c r="BB1875" s="82">
        <f>(2*$J1875-$H1875-$L1875)*100</f>
        <v/>
      </c>
      <c r="BC1875" s="82">
        <f>($N1875-$F1875)*100</f>
        <v/>
      </c>
      <c r="BD1875" s="82">
        <f>($Q1875-$H1875)*100</f>
        <v/>
      </c>
      <c r="BE1875" s="82">
        <f>($S1875-$J1875)*100</f>
        <v/>
      </c>
      <c r="BF1875" s="82">
        <f>($V1875-$L1875)*100</f>
        <v/>
      </c>
      <c r="BG1875" s="82">
        <f>$AG1875-$AF1875</f>
        <v/>
      </c>
      <c r="BH1875" s="81">
        <f>IFERROR($AG1875/$AF1875,"")</f>
        <v/>
      </c>
      <c r="BI1875" s="82">
        <f>$AJ1875-$AF1875</f>
        <v/>
      </c>
      <c r="BJ1875" s="81">
        <f>IFERROR($AJ1875/$AG1875,"")</f>
        <v/>
      </c>
      <c r="BK1875" s="81">
        <f>$X1875</f>
        <v/>
      </c>
      <c r="BL1875" s="82">
        <f>($J1875-$J1876)*100</f>
        <v/>
      </c>
      <c r="BM1875" s="82">
        <f>($F1875-$F1876)*100</f>
        <v/>
      </c>
      <c r="BN1875" s="82">
        <f>$AF1875-$AF1876</f>
        <v/>
      </c>
      <c r="BO1875" s="82">
        <f>$AG1875-$AG1876</f>
        <v/>
      </c>
      <c r="BP1875" s="82">
        <f>$AJ1875-$AJ1876</f>
        <v/>
      </c>
    </row>
    <row r="1876">
      <c r="AR1876" s="81">
        <f>($G1876+($H1876-$G1876)*0.5)+($P1876-($O1876+($Q1876-$O1876)*0.5))</f>
        <v/>
      </c>
      <c r="AS1876" s="81">
        <f>($J1876+($K1876-$J1876)*0.5)+($T1876-($S1876+($U1876-$S1876)*0.5))</f>
        <v/>
      </c>
      <c r="AT1876" s="82">
        <f>($J1876-$C1876)*100</f>
        <v/>
      </c>
      <c r="AU1876" s="82">
        <f>($H1876-$F1876)*100</f>
        <v/>
      </c>
      <c r="AV1876" s="82">
        <f>($J1876-$F1876)*100</f>
        <v/>
      </c>
      <c r="AW1876" s="82">
        <f>($L1876-$F1876)*100</f>
        <v/>
      </c>
      <c r="AX1876" s="82">
        <f>($J1876-$H1876)*100</f>
        <v/>
      </c>
      <c r="AY1876" s="82">
        <f>($L1876-$H1876)*100</f>
        <v/>
      </c>
      <c r="AZ1876" s="82">
        <f>($L1876-$J1876)*100</f>
        <v/>
      </c>
      <c r="BA1876" s="82">
        <f>(2*$H1876-$F1876-$J1876)*100</f>
        <v/>
      </c>
      <c r="BB1876" s="82">
        <f>(2*$J1876-$H1876-$L1876)*100</f>
        <v/>
      </c>
      <c r="BC1876" s="82">
        <f>($N1876-$F1876)*100</f>
        <v/>
      </c>
      <c r="BD1876" s="82">
        <f>($Q1876-$H1876)*100</f>
        <v/>
      </c>
      <c r="BE1876" s="82">
        <f>($S1876-$J1876)*100</f>
        <v/>
      </c>
      <c r="BF1876" s="82">
        <f>($V1876-$L1876)*100</f>
        <v/>
      </c>
      <c r="BG1876" s="82">
        <f>$AG1876-$AF1876</f>
        <v/>
      </c>
      <c r="BH1876" s="81">
        <f>IFERROR($AG1876/$AF1876,"")</f>
        <v/>
      </c>
      <c r="BI1876" s="82">
        <f>$AJ1876-$AF1876</f>
        <v/>
      </c>
      <c r="BJ1876" s="81">
        <f>IFERROR($AJ1876/$AG1876,"")</f>
        <v/>
      </c>
      <c r="BK1876" s="81">
        <f>$X1876</f>
        <v/>
      </c>
      <c r="BL1876" s="82">
        <f>($J1876-$J1877)*100</f>
        <v/>
      </c>
      <c r="BM1876" s="82">
        <f>($F1876-$F1877)*100</f>
        <v/>
      </c>
      <c r="BN1876" s="82">
        <f>$AF1876-$AF1877</f>
        <v/>
      </c>
      <c r="BO1876" s="82">
        <f>$AG1876-$AG1877</f>
        <v/>
      </c>
      <c r="BP1876" s="82">
        <f>$AJ1876-$AJ1877</f>
        <v/>
      </c>
    </row>
    <row r="1877">
      <c r="AR1877" s="81">
        <f>($G1877+($H1877-$G1877)*0.5)+($P1877-($O1877+($Q1877-$O1877)*0.5))</f>
        <v/>
      </c>
      <c r="AS1877" s="81">
        <f>($J1877+($K1877-$J1877)*0.5)+($T1877-($S1877+($U1877-$S1877)*0.5))</f>
        <v/>
      </c>
      <c r="AT1877" s="82">
        <f>($J1877-$C1877)*100</f>
        <v/>
      </c>
      <c r="AU1877" s="82">
        <f>($H1877-$F1877)*100</f>
        <v/>
      </c>
      <c r="AV1877" s="82">
        <f>($J1877-$F1877)*100</f>
        <v/>
      </c>
      <c r="AW1877" s="82">
        <f>($L1877-$F1877)*100</f>
        <v/>
      </c>
      <c r="AX1877" s="82">
        <f>($J1877-$H1877)*100</f>
        <v/>
      </c>
      <c r="AY1877" s="82">
        <f>($L1877-$H1877)*100</f>
        <v/>
      </c>
      <c r="AZ1877" s="82">
        <f>($L1877-$J1877)*100</f>
        <v/>
      </c>
      <c r="BA1877" s="82">
        <f>(2*$H1877-$F1877-$J1877)*100</f>
        <v/>
      </c>
      <c r="BB1877" s="82">
        <f>(2*$J1877-$H1877-$L1877)*100</f>
        <v/>
      </c>
      <c r="BC1877" s="82">
        <f>($N1877-$F1877)*100</f>
        <v/>
      </c>
      <c r="BD1877" s="82">
        <f>($Q1877-$H1877)*100</f>
        <v/>
      </c>
      <c r="BE1877" s="82">
        <f>($S1877-$J1877)*100</f>
        <v/>
      </c>
      <c r="BF1877" s="82">
        <f>($V1877-$L1877)*100</f>
        <v/>
      </c>
      <c r="BG1877" s="82">
        <f>$AG1877-$AF1877</f>
        <v/>
      </c>
      <c r="BH1877" s="81">
        <f>IFERROR($AG1877/$AF1877,"")</f>
        <v/>
      </c>
      <c r="BI1877" s="82">
        <f>$AJ1877-$AF1877</f>
        <v/>
      </c>
      <c r="BJ1877" s="81">
        <f>IFERROR($AJ1877/$AG1877,"")</f>
        <v/>
      </c>
      <c r="BK1877" s="81">
        <f>$X1877</f>
        <v/>
      </c>
      <c r="BL1877" s="82">
        <f>($J1877-$J1878)*100</f>
        <v/>
      </c>
      <c r="BM1877" s="82">
        <f>($F1877-$F1878)*100</f>
        <v/>
      </c>
      <c r="BN1877" s="82">
        <f>$AF1877-$AF1878</f>
        <v/>
      </c>
      <c r="BO1877" s="82">
        <f>$AG1877-$AG1878</f>
        <v/>
      </c>
      <c r="BP1877" s="82">
        <f>$AJ1877-$AJ1878</f>
        <v/>
      </c>
    </row>
    <row r="1878">
      <c r="AR1878" s="81">
        <f>($G1878+($H1878-$G1878)*0.5)+($P1878-($O1878+($Q1878-$O1878)*0.5))</f>
        <v/>
      </c>
      <c r="AS1878" s="81">
        <f>($J1878+($K1878-$J1878)*0.5)+($T1878-($S1878+($U1878-$S1878)*0.5))</f>
        <v/>
      </c>
      <c r="AT1878" s="82">
        <f>($J1878-$C1878)*100</f>
        <v/>
      </c>
      <c r="AU1878" s="82">
        <f>($H1878-$F1878)*100</f>
        <v/>
      </c>
      <c r="AV1878" s="82">
        <f>($J1878-$F1878)*100</f>
        <v/>
      </c>
      <c r="AW1878" s="82">
        <f>($L1878-$F1878)*100</f>
        <v/>
      </c>
      <c r="AX1878" s="82">
        <f>($J1878-$H1878)*100</f>
        <v/>
      </c>
      <c r="AY1878" s="82">
        <f>($L1878-$H1878)*100</f>
        <v/>
      </c>
      <c r="AZ1878" s="82">
        <f>($L1878-$J1878)*100</f>
        <v/>
      </c>
      <c r="BA1878" s="82">
        <f>(2*$H1878-$F1878-$J1878)*100</f>
        <v/>
      </c>
      <c r="BB1878" s="82">
        <f>(2*$J1878-$H1878-$L1878)*100</f>
        <v/>
      </c>
      <c r="BC1878" s="82">
        <f>($N1878-$F1878)*100</f>
        <v/>
      </c>
      <c r="BD1878" s="82">
        <f>($Q1878-$H1878)*100</f>
        <v/>
      </c>
      <c r="BE1878" s="82">
        <f>($S1878-$J1878)*100</f>
        <v/>
      </c>
      <c r="BF1878" s="82">
        <f>($V1878-$L1878)*100</f>
        <v/>
      </c>
      <c r="BG1878" s="82">
        <f>$AG1878-$AF1878</f>
        <v/>
      </c>
      <c r="BH1878" s="81">
        <f>IFERROR($AG1878/$AF1878,"")</f>
        <v/>
      </c>
      <c r="BI1878" s="82">
        <f>$AJ1878-$AF1878</f>
        <v/>
      </c>
      <c r="BJ1878" s="81">
        <f>IFERROR($AJ1878/$AG1878,"")</f>
        <v/>
      </c>
      <c r="BK1878" s="81">
        <f>$X1878</f>
        <v/>
      </c>
      <c r="BL1878" s="82">
        <f>($J1878-$J1879)*100</f>
        <v/>
      </c>
      <c r="BM1878" s="82">
        <f>($F1878-$F1879)*100</f>
        <v/>
      </c>
      <c r="BN1878" s="82">
        <f>$AF1878-$AF1879</f>
        <v/>
      </c>
      <c r="BO1878" s="82">
        <f>$AG1878-$AG1879</f>
        <v/>
      </c>
      <c r="BP1878" s="82">
        <f>$AJ1878-$AJ1879</f>
        <v/>
      </c>
    </row>
    <row r="1879">
      <c r="AR1879" s="81">
        <f>($G1879+($H1879-$G1879)*0.5)+($P1879-($O1879+($Q1879-$O1879)*0.5))</f>
        <v/>
      </c>
      <c r="AS1879" s="81">
        <f>($J1879+($K1879-$J1879)*0.5)+($T1879-($S1879+($U1879-$S1879)*0.5))</f>
        <v/>
      </c>
      <c r="AT1879" s="82">
        <f>($J1879-$C1879)*100</f>
        <v/>
      </c>
      <c r="AU1879" s="82">
        <f>($H1879-$F1879)*100</f>
        <v/>
      </c>
      <c r="AV1879" s="82">
        <f>($J1879-$F1879)*100</f>
        <v/>
      </c>
      <c r="AW1879" s="82">
        <f>($L1879-$F1879)*100</f>
        <v/>
      </c>
      <c r="AX1879" s="82">
        <f>($J1879-$H1879)*100</f>
        <v/>
      </c>
      <c r="AY1879" s="82">
        <f>($L1879-$H1879)*100</f>
        <v/>
      </c>
      <c r="AZ1879" s="82">
        <f>($L1879-$J1879)*100</f>
        <v/>
      </c>
      <c r="BA1879" s="82">
        <f>(2*$H1879-$F1879-$J1879)*100</f>
        <v/>
      </c>
      <c r="BB1879" s="82">
        <f>(2*$J1879-$H1879-$L1879)*100</f>
        <v/>
      </c>
      <c r="BC1879" s="82">
        <f>($N1879-$F1879)*100</f>
        <v/>
      </c>
      <c r="BD1879" s="82">
        <f>($Q1879-$H1879)*100</f>
        <v/>
      </c>
      <c r="BE1879" s="82">
        <f>($S1879-$J1879)*100</f>
        <v/>
      </c>
      <c r="BF1879" s="82">
        <f>($V1879-$L1879)*100</f>
        <v/>
      </c>
      <c r="BG1879" s="82">
        <f>$AG1879-$AF1879</f>
        <v/>
      </c>
      <c r="BH1879" s="81">
        <f>IFERROR($AG1879/$AF1879,"")</f>
        <v/>
      </c>
      <c r="BI1879" s="82">
        <f>$AJ1879-$AF1879</f>
        <v/>
      </c>
      <c r="BJ1879" s="81">
        <f>IFERROR($AJ1879/$AG1879,"")</f>
        <v/>
      </c>
      <c r="BK1879" s="81">
        <f>$X1879</f>
        <v/>
      </c>
      <c r="BL1879" s="82">
        <f>($J1879-$J1880)*100</f>
        <v/>
      </c>
      <c r="BM1879" s="82">
        <f>($F1879-$F1880)*100</f>
        <v/>
      </c>
      <c r="BN1879" s="82">
        <f>$AF1879-$AF1880</f>
        <v/>
      </c>
      <c r="BO1879" s="82">
        <f>$AG1879-$AG1880</f>
        <v/>
      </c>
      <c r="BP1879" s="82">
        <f>$AJ1879-$AJ1880</f>
        <v/>
      </c>
    </row>
    <row r="1880">
      <c r="AR1880" s="81">
        <f>($G1880+($H1880-$G1880)*0.5)+($P1880-($O1880+($Q1880-$O1880)*0.5))</f>
        <v/>
      </c>
      <c r="AS1880" s="81">
        <f>($J1880+($K1880-$J1880)*0.5)+($T1880-($S1880+($U1880-$S1880)*0.5))</f>
        <v/>
      </c>
      <c r="AT1880" s="82">
        <f>($J1880-$C1880)*100</f>
        <v/>
      </c>
      <c r="AU1880" s="82">
        <f>($H1880-$F1880)*100</f>
        <v/>
      </c>
      <c r="AV1880" s="82">
        <f>($J1880-$F1880)*100</f>
        <v/>
      </c>
      <c r="AW1880" s="82">
        <f>($L1880-$F1880)*100</f>
        <v/>
      </c>
      <c r="AX1880" s="82">
        <f>($J1880-$H1880)*100</f>
        <v/>
      </c>
      <c r="AY1880" s="82">
        <f>($L1880-$H1880)*100</f>
        <v/>
      </c>
      <c r="AZ1880" s="82">
        <f>($L1880-$J1880)*100</f>
        <v/>
      </c>
      <c r="BA1880" s="82">
        <f>(2*$H1880-$F1880-$J1880)*100</f>
        <v/>
      </c>
      <c r="BB1880" s="82">
        <f>(2*$J1880-$H1880-$L1880)*100</f>
        <v/>
      </c>
      <c r="BC1880" s="82">
        <f>($N1880-$F1880)*100</f>
        <v/>
      </c>
      <c r="BD1880" s="82">
        <f>($Q1880-$H1880)*100</f>
        <v/>
      </c>
      <c r="BE1880" s="82">
        <f>($S1880-$J1880)*100</f>
        <v/>
      </c>
      <c r="BF1880" s="82">
        <f>($V1880-$L1880)*100</f>
        <v/>
      </c>
      <c r="BG1880" s="82">
        <f>$AG1880-$AF1880</f>
        <v/>
      </c>
      <c r="BH1880" s="81">
        <f>IFERROR($AG1880/$AF1880,"")</f>
        <v/>
      </c>
      <c r="BI1880" s="82">
        <f>$AJ1880-$AF1880</f>
        <v/>
      </c>
      <c r="BJ1880" s="81">
        <f>IFERROR($AJ1880/$AG1880,"")</f>
        <v/>
      </c>
      <c r="BK1880" s="81">
        <f>$X1880</f>
        <v/>
      </c>
      <c r="BL1880" s="82">
        <f>($J1880-$J1881)*100</f>
        <v/>
      </c>
      <c r="BM1880" s="82">
        <f>($F1880-$F1881)*100</f>
        <v/>
      </c>
      <c r="BN1880" s="82">
        <f>$AF1880-$AF1881</f>
        <v/>
      </c>
      <c r="BO1880" s="82">
        <f>$AG1880-$AG1881</f>
        <v/>
      </c>
      <c r="BP1880" s="82">
        <f>$AJ1880-$AJ1881</f>
        <v/>
      </c>
    </row>
    <row r="1881">
      <c r="AR1881" s="81">
        <f>($G1881+($H1881-$G1881)*0.5)+($P1881-($O1881+($Q1881-$O1881)*0.5))</f>
        <v/>
      </c>
      <c r="AS1881" s="81">
        <f>($J1881+($K1881-$J1881)*0.5)+($T1881-($S1881+($U1881-$S1881)*0.5))</f>
        <v/>
      </c>
      <c r="AT1881" s="82">
        <f>($J1881-$C1881)*100</f>
        <v/>
      </c>
      <c r="AU1881" s="82">
        <f>($H1881-$F1881)*100</f>
        <v/>
      </c>
      <c r="AV1881" s="82">
        <f>($J1881-$F1881)*100</f>
        <v/>
      </c>
      <c r="AW1881" s="82">
        <f>($L1881-$F1881)*100</f>
        <v/>
      </c>
      <c r="AX1881" s="82">
        <f>($J1881-$H1881)*100</f>
        <v/>
      </c>
      <c r="AY1881" s="82">
        <f>($L1881-$H1881)*100</f>
        <v/>
      </c>
      <c r="AZ1881" s="82">
        <f>($L1881-$J1881)*100</f>
        <v/>
      </c>
      <c r="BA1881" s="82">
        <f>(2*$H1881-$F1881-$J1881)*100</f>
        <v/>
      </c>
      <c r="BB1881" s="82">
        <f>(2*$J1881-$H1881-$L1881)*100</f>
        <v/>
      </c>
      <c r="BC1881" s="82">
        <f>($N1881-$F1881)*100</f>
        <v/>
      </c>
      <c r="BD1881" s="82">
        <f>($Q1881-$H1881)*100</f>
        <v/>
      </c>
      <c r="BE1881" s="82">
        <f>($S1881-$J1881)*100</f>
        <v/>
      </c>
      <c r="BF1881" s="82">
        <f>($V1881-$L1881)*100</f>
        <v/>
      </c>
      <c r="BG1881" s="82">
        <f>$AG1881-$AF1881</f>
        <v/>
      </c>
      <c r="BH1881" s="81">
        <f>IFERROR($AG1881/$AF1881,"")</f>
        <v/>
      </c>
      <c r="BI1881" s="82">
        <f>$AJ1881-$AF1881</f>
        <v/>
      </c>
      <c r="BJ1881" s="81">
        <f>IFERROR($AJ1881/$AG1881,"")</f>
        <v/>
      </c>
      <c r="BK1881" s="81">
        <f>$X1881</f>
        <v/>
      </c>
      <c r="BL1881" s="82">
        <f>($J1881-$J1882)*100</f>
        <v/>
      </c>
      <c r="BM1881" s="82">
        <f>($F1881-$F1882)*100</f>
        <v/>
      </c>
      <c r="BN1881" s="82">
        <f>$AF1881-$AF1882</f>
        <v/>
      </c>
      <c r="BO1881" s="82">
        <f>$AG1881-$AG1882</f>
        <v/>
      </c>
      <c r="BP1881" s="82">
        <f>$AJ1881-$AJ1882</f>
        <v/>
      </c>
    </row>
    <row r="1882">
      <c r="AR1882" s="81">
        <f>($G1882+($H1882-$G1882)*0.5)+($P1882-($O1882+($Q1882-$O1882)*0.5))</f>
        <v/>
      </c>
      <c r="AS1882" s="81">
        <f>($J1882+($K1882-$J1882)*0.5)+($T1882-($S1882+($U1882-$S1882)*0.5))</f>
        <v/>
      </c>
      <c r="AT1882" s="82">
        <f>($J1882-$C1882)*100</f>
        <v/>
      </c>
      <c r="AU1882" s="82">
        <f>($H1882-$F1882)*100</f>
        <v/>
      </c>
      <c r="AV1882" s="82">
        <f>($J1882-$F1882)*100</f>
        <v/>
      </c>
      <c r="AW1882" s="82">
        <f>($L1882-$F1882)*100</f>
        <v/>
      </c>
      <c r="AX1882" s="82">
        <f>($J1882-$H1882)*100</f>
        <v/>
      </c>
      <c r="AY1882" s="82">
        <f>($L1882-$H1882)*100</f>
        <v/>
      </c>
      <c r="AZ1882" s="82">
        <f>($L1882-$J1882)*100</f>
        <v/>
      </c>
      <c r="BA1882" s="82">
        <f>(2*$H1882-$F1882-$J1882)*100</f>
        <v/>
      </c>
      <c r="BB1882" s="82">
        <f>(2*$J1882-$H1882-$L1882)*100</f>
        <v/>
      </c>
      <c r="BC1882" s="82">
        <f>($N1882-$F1882)*100</f>
        <v/>
      </c>
      <c r="BD1882" s="82">
        <f>($Q1882-$H1882)*100</f>
        <v/>
      </c>
      <c r="BE1882" s="82">
        <f>($S1882-$J1882)*100</f>
        <v/>
      </c>
      <c r="BF1882" s="82">
        <f>($V1882-$L1882)*100</f>
        <v/>
      </c>
      <c r="BG1882" s="82">
        <f>$AG1882-$AF1882</f>
        <v/>
      </c>
      <c r="BH1882" s="81">
        <f>IFERROR($AG1882/$AF1882,"")</f>
        <v/>
      </c>
      <c r="BI1882" s="82">
        <f>$AJ1882-$AF1882</f>
        <v/>
      </c>
      <c r="BJ1882" s="81">
        <f>IFERROR($AJ1882/$AG1882,"")</f>
        <v/>
      </c>
      <c r="BK1882" s="81">
        <f>$X1882</f>
        <v/>
      </c>
      <c r="BL1882" s="82">
        <f>($J1882-$J1883)*100</f>
        <v/>
      </c>
      <c r="BM1882" s="82">
        <f>($F1882-$F1883)*100</f>
        <v/>
      </c>
      <c r="BN1882" s="82">
        <f>$AF1882-$AF1883</f>
        <v/>
      </c>
      <c r="BO1882" s="82">
        <f>$AG1882-$AG1883</f>
        <v/>
      </c>
      <c r="BP1882" s="82">
        <f>$AJ1882-$AJ1883</f>
        <v/>
      </c>
    </row>
    <row r="1883">
      <c r="AR1883" s="81">
        <f>($G1883+($H1883-$G1883)*0.5)+($P1883-($O1883+($Q1883-$O1883)*0.5))</f>
        <v/>
      </c>
      <c r="AS1883" s="81">
        <f>($J1883+($K1883-$J1883)*0.5)+($T1883-($S1883+($U1883-$S1883)*0.5))</f>
        <v/>
      </c>
      <c r="AT1883" s="82">
        <f>($J1883-$C1883)*100</f>
        <v/>
      </c>
      <c r="AU1883" s="82">
        <f>($H1883-$F1883)*100</f>
        <v/>
      </c>
      <c r="AV1883" s="82">
        <f>($J1883-$F1883)*100</f>
        <v/>
      </c>
      <c r="AW1883" s="82">
        <f>($L1883-$F1883)*100</f>
        <v/>
      </c>
      <c r="AX1883" s="82">
        <f>($J1883-$H1883)*100</f>
        <v/>
      </c>
      <c r="AY1883" s="82">
        <f>($L1883-$H1883)*100</f>
        <v/>
      </c>
      <c r="AZ1883" s="82">
        <f>($L1883-$J1883)*100</f>
        <v/>
      </c>
      <c r="BA1883" s="82">
        <f>(2*$H1883-$F1883-$J1883)*100</f>
        <v/>
      </c>
      <c r="BB1883" s="82">
        <f>(2*$J1883-$H1883-$L1883)*100</f>
        <v/>
      </c>
      <c r="BC1883" s="82">
        <f>($N1883-$F1883)*100</f>
        <v/>
      </c>
      <c r="BD1883" s="82">
        <f>($Q1883-$H1883)*100</f>
        <v/>
      </c>
      <c r="BE1883" s="82">
        <f>($S1883-$J1883)*100</f>
        <v/>
      </c>
      <c r="BF1883" s="82">
        <f>($V1883-$L1883)*100</f>
        <v/>
      </c>
      <c r="BG1883" s="82">
        <f>$AG1883-$AF1883</f>
        <v/>
      </c>
      <c r="BH1883" s="81">
        <f>IFERROR($AG1883/$AF1883,"")</f>
        <v/>
      </c>
      <c r="BI1883" s="82">
        <f>$AJ1883-$AF1883</f>
        <v/>
      </c>
      <c r="BJ1883" s="81">
        <f>IFERROR($AJ1883/$AG1883,"")</f>
        <v/>
      </c>
      <c r="BK1883" s="81">
        <f>$X1883</f>
        <v/>
      </c>
      <c r="BL1883" s="82">
        <f>($J1883-$J1884)*100</f>
        <v/>
      </c>
      <c r="BM1883" s="82">
        <f>($F1883-$F1884)*100</f>
        <v/>
      </c>
      <c r="BN1883" s="82">
        <f>$AF1883-$AF1884</f>
        <v/>
      </c>
      <c r="BO1883" s="82">
        <f>$AG1883-$AG1884</f>
        <v/>
      </c>
      <c r="BP1883" s="82">
        <f>$AJ1883-$AJ1884</f>
        <v/>
      </c>
    </row>
    <row r="1884">
      <c r="AR1884" s="81">
        <f>($G1884+($H1884-$G1884)*0.5)+($P1884-($O1884+($Q1884-$O1884)*0.5))</f>
        <v/>
      </c>
      <c r="AS1884" s="81">
        <f>($J1884+($K1884-$J1884)*0.5)+($T1884-($S1884+($U1884-$S1884)*0.5))</f>
        <v/>
      </c>
      <c r="AT1884" s="82">
        <f>($J1884-$C1884)*100</f>
        <v/>
      </c>
      <c r="AU1884" s="82">
        <f>($H1884-$F1884)*100</f>
        <v/>
      </c>
      <c r="AV1884" s="82">
        <f>($J1884-$F1884)*100</f>
        <v/>
      </c>
      <c r="AW1884" s="82">
        <f>($L1884-$F1884)*100</f>
        <v/>
      </c>
      <c r="AX1884" s="82">
        <f>($J1884-$H1884)*100</f>
        <v/>
      </c>
      <c r="AY1884" s="82">
        <f>($L1884-$H1884)*100</f>
        <v/>
      </c>
      <c r="AZ1884" s="82">
        <f>($L1884-$J1884)*100</f>
        <v/>
      </c>
      <c r="BA1884" s="82">
        <f>(2*$H1884-$F1884-$J1884)*100</f>
        <v/>
      </c>
      <c r="BB1884" s="82">
        <f>(2*$J1884-$H1884-$L1884)*100</f>
        <v/>
      </c>
      <c r="BC1884" s="82">
        <f>($N1884-$F1884)*100</f>
        <v/>
      </c>
      <c r="BD1884" s="82">
        <f>($Q1884-$H1884)*100</f>
        <v/>
      </c>
      <c r="BE1884" s="82">
        <f>($S1884-$J1884)*100</f>
        <v/>
      </c>
      <c r="BF1884" s="82">
        <f>($V1884-$L1884)*100</f>
        <v/>
      </c>
      <c r="BG1884" s="82">
        <f>$AG1884-$AF1884</f>
        <v/>
      </c>
      <c r="BH1884" s="81">
        <f>IFERROR($AG1884/$AF1884,"")</f>
        <v/>
      </c>
      <c r="BI1884" s="82">
        <f>$AJ1884-$AF1884</f>
        <v/>
      </c>
      <c r="BJ1884" s="81">
        <f>IFERROR($AJ1884/$AG1884,"")</f>
        <v/>
      </c>
      <c r="BK1884" s="81">
        <f>$X1884</f>
        <v/>
      </c>
      <c r="BL1884" s="82">
        <f>($J1884-$J1885)*100</f>
        <v/>
      </c>
      <c r="BM1884" s="82">
        <f>($F1884-$F1885)*100</f>
        <v/>
      </c>
      <c r="BN1884" s="82">
        <f>$AF1884-$AF1885</f>
        <v/>
      </c>
      <c r="BO1884" s="82">
        <f>$AG1884-$AG1885</f>
        <v/>
      </c>
      <c r="BP1884" s="82">
        <f>$AJ1884-$AJ1885</f>
        <v/>
      </c>
    </row>
    <row r="1885">
      <c r="AR1885" s="81">
        <f>($G1885+($H1885-$G1885)*0.5)+($P1885-($O1885+($Q1885-$O1885)*0.5))</f>
        <v/>
      </c>
      <c r="AS1885" s="81">
        <f>($J1885+($K1885-$J1885)*0.5)+($T1885-($S1885+($U1885-$S1885)*0.5))</f>
        <v/>
      </c>
      <c r="AT1885" s="82">
        <f>($J1885-$C1885)*100</f>
        <v/>
      </c>
      <c r="AU1885" s="82">
        <f>($H1885-$F1885)*100</f>
        <v/>
      </c>
      <c r="AV1885" s="82">
        <f>($J1885-$F1885)*100</f>
        <v/>
      </c>
      <c r="AW1885" s="82">
        <f>($L1885-$F1885)*100</f>
        <v/>
      </c>
      <c r="AX1885" s="82">
        <f>($J1885-$H1885)*100</f>
        <v/>
      </c>
      <c r="AY1885" s="82">
        <f>($L1885-$H1885)*100</f>
        <v/>
      </c>
      <c r="AZ1885" s="82">
        <f>($L1885-$J1885)*100</f>
        <v/>
      </c>
      <c r="BA1885" s="82">
        <f>(2*$H1885-$F1885-$J1885)*100</f>
        <v/>
      </c>
      <c r="BB1885" s="82">
        <f>(2*$J1885-$H1885-$L1885)*100</f>
        <v/>
      </c>
      <c r="BC1885" s="82">
        <f>($N1885-$F1885)*100</f>
        <v/>
      </c>
      <c r="BD1885" s="82">
        <f>($Q1885-$H1885)*100</f>
        <v/>
      </c>
      <c r="BE1885" s="82">
        <f>($S1885-$J1885)*100</f>
        <v/>
      </c>
      <c r="BF1885" s="82">
        <f>($V1885-$L1885)*100</f>
        <v/>
      </c>
      <c r="BG1885" s="82">
        <f>$AG1885-$AF1885</f>
        <v/>
      </c>
      <c r="BH1885" s="81">
        <f>IFERROR($AG1885/$AF1885,"")</f>
        <v/>
      </c>
      <c r="BI1885" s="82">
        <f>$AJ1885-$AF1885</f>
        <v/>
      </c>
      <c r="BJ1885" s="81">
        <f>IFERROR($AJ1885/$AG1885,"")</f>
        <v/>
      </c>
      <c r="BK1885" s="81">
        <f>$X1885</f>
        <v/>
      </c>
      <c r="BL1885" s="82">
        <f>($J1885-$J1886)*100</f>
        <v/>
      </c>
      <c r="BM1885" s="82">
        <f>($F1885-$F1886)*100</f>
        <v/>
      </c>
      <c r="BN1885" s="82">
        <f>$AF1885-$AF1886</f>
        <v/>
      </c>
      <c r="BO1885" s="82">
        <f>$AG1885-$AG1886</f>
        <v/>
      </c>
      <c r="BP1885" s="82">
        <f>$AJ1885-$AJ1886</f>
        <v/>
      </c>
    </row>
    <row r="1886">
      <c r="AR1886" s="81">
        <f>($G1886+($H1886-$G1886)*0.5)+($P1886-($O1886+($Q1886-$O1886)*0.5))</f>
        <v/>
      </c>
      <c r="AS1886" s="81">
        <f>($J1886+($K1886-$J1886)*0.5)+($T1886-($S1886+($U1886-$S1886)*0.5))</f>
        <v/>
      </c>
      <c r="AT1886" s="82">
        <f>($J1886-$C1886)*100</f>
        <v/>
      </c>
      <c r="AU1886" s="82">
        <f>($H1886-$F1886)*100</f>
        <v/>
      </c>
      <c r="AV1886" s="82">
        <f>($J1886-$F1886)*100</f>
        <v/>
      </c>
      <c r="AW1886" s="82">
        <f>($L1886-$F1886)*100</f>
        <v/>
      </c>
      <c r="AX1886" s="82">
        <f>($J1886-$H1886)*100</f>
        <v/>
      </c>
      <c r="AY1886" s="82">
        <f>($L1886-$H1886)*100</f>
        <v/>
      </c>
      <c r="AZ1886" s="82">
        <f>($L1886-$J1886)*100</f>
        <v/>
      </c>
      <c r="BA1886" s="82">
        <f>(2*$H1886-$F1886-$J1886)*100</f>
        <v/>
      </c>
      <c r="BB1886" s="82">
        <f>(2*$J1886-$H1886-$L1886)*100</f>
        <v/>
      </c>
      <c r="BC1886" s="82">
        <f>($N1886-$F1886)*100</f>
        <v/>
      </c>
      <c r="BD1886" s="82">
        <f>($Q1886-$H1886)*100</f>
        <v/>
      </c>
      <c r="BE1886" s="82">
        <f>($S1886-$J1886)*100</f>
        <v/>
      </c>
      <c r="BF1886" s="82">
        <f>($V1886-$L1886)*100</f>
        <v/>
      </c>
      <c r="BG1886" s="82">
        <f>$AG1886-$AF1886</f>
        <v/>
      </c>
      <c r="BH1886" s="81">
        <f>IFERROR($AG1886/$AF1886,"")</f>
        <v/>
      </c>
      <c r="BI1886" s="82">
        <f>$AJ1886-$AF1886</f>
        <v/>
      </c>
      <c r="BJ1886" s="81">
        <f>IFERROR($AJ1886/$AG1886,"")</f>
        <v/>
      </c>
      <c r="BK1886" s="81">
        <f>$X1886</f>
        <v/>
      </c>
      <c r="BL1886" s="82">
        <f>($J1886-$J1887)*100</f>
        <v/>
      </c>
      <c r="BM1886" s="82">
        <f>($F1886-$F1887)*100</f>
        <v/>
      </c>
      <c r="BN1886" s="82">
        <f>$AF1886-$AF1887</f>
        <v/>
      </c>
      <c r="BO1886" s="82">
        <f>$AG1886-$AG1887</f>
        <v/>
      </c>
      <c r="BP1886" s="82">
        <f>$AJ1886-$AJ1887</f>
        <v/>
      </c>
    </row>
    <row r="1887">
      <c r="AR1887" s="81">
        <f>($G1887+($H1887-$G1887)*0.5)+($P1887-($O1887+($Q1887-$O1887)*0.5))</f>
        <v/>
      </c>
      <c r="AS1887" s="81">
        <f>($J1887+($K1887-$J1887)*0.5)+($T1887-($S1887+($U1887-$S1887)*0.5))</f>
        <v/>
      </c>
      <c r="AT1887" s="82">
        <f>($J1887-$C1887)*100</f>
        <v/>
      </c>
      <c r="AU1887" s="82">
        <f>($H1887-$F1887)*100</f>
        <v/>
      </c>
      <c r="AV1887" s="82">
        <f>($J1887-$F1887)*100</f>
        <v/>
      </c>
      <c r="AW1887" s="82">
        <f>($L1887-$F1887)*100</f>
        <v/>
      </c>
      <c r="AX1887" s="82">
        <f>($J1887-$H1887)*100</f>
        <v/>
      </c>
      <c r="AY1887" s="82">
        <f>($L1887-$H1887)*100</f>
        <v/>
      </c>
      <c r="AZ1887" s="82">
        <f>($L1887-$J1887)*100</f>
        <v/>
      </c>
      <c r="BA1887" s="82">
        <f>(2*$H1887-$F1887-$J1887)*100</f>
        <v/>
      </c>
      <c r="BB1887" s="82">
        <f>(2*$J1887-$H1887-$L1887)*100</f>
        <v/>
      </c>
      <c r="BC1887" s="82">
        <f>($N1887-$F1887)*100</f>
        <v/>
      </c>
      <c r="BD1887" s="82">
        <f>($Q1887-$H1887)*100</f>
        <v/>
      </c>
      <c r="BE1887" s="82">
        <f>($S1887-$J1887)*100</f>
        <v/>
      </c>
      <c r="BF1887" s="82">
        <f>($V1887-$L1887)*100</f>
        <v/>
      </c>
      <c r="BG1887" s="82">
        <f>$AG1887-$AF1887</f>
        <v/>
      </c>
      <c r="BH1887" s="81">
        <f>IFERROR($AG1887/$AF1887,"")</f>
        <v/>
      </c>
      <c r="BI1887" s="82">
        <f>$AJ1887-$AF1887</f>
        <v/>
      </c>
      <c r="BJ1887" s="81">
        <f>IFERROR($AJ1887/$AG1887,"")</f>
        <v/>
      </c>
      <c r="BK1887" s="81">
        <f>$X1887</f>
        <v/>
      </c>
      <c r="BL1887" s="82">
        <f>($J1887-$J1888)*100</f>
        <v/>
      </c>
      <c r="BM1887" s="82">
        <f>($F1887-$F1888)*100</f>
        <v/>
      </c>
      <c r="BN1887" s="82">
        <f>$AF1887-$AF1888</f>
        <v/>
      </c>
      <c r="BO1887" s="82">
        <f>$AG1887-$AG1888</f>
        <v/>
      </c>
      <c r="BP1887" s="82">
        <f>$AJ1887-$AJ1888</f>
        <v/>
      </c>
    </row>
    <row r="1888">
      <c r="AR1888" s="81">
        <f>($G1888+($H1888-$G1888)*0.5)+($P1888-($O1888+($Q1888-$O1888)*0.5))</f>
        <v/>
      </c>
      <c r="AS1888" s="81">
        <f>($J1888+($K1888-$J1888)*0.5)+($T1888-($S1888+($U1888-$S1888)*0.5))</f>
        <v/>
      </c>
      <c r="AT1888" s="82">
        <f>($J1888-$C1888)*100</f>
        <v/>
      </c>
      <c r="AU1888" s="82">
        <f>($H1888-$F1888)*100</f>
        <v/>
      </c>
      <c r="AV1888" s="82">
        <f>($J1888-$F1888)*100</f>
        <v/>
      </c>
      <c r="AW1888" s="82">
        <f>($L1888-$F1888)*100</f>
        <v/>
      </c>
      <c r="AX1888" s="82">
        <f>($J1888-$H1888)*100</f>
        <v/>
      </c>
      <c r="AY1888" s="82">
        <f>($L1888-$H1888)*100</f>
        <v/>
      </c>
      <c r="AZ1888" s="82">
        <f>($L1888-$J1888)*100</f>
        <v/>
      </c>
      <c r="BA1888" s="82">
        <f>(2*$H1888-$F1888-$J1888)*100</f>
        <v/>
      </c>
      <c r="BB1888" s="82">
        <f>(2*$J1888-$H1888-$L1888)*100</f>
        <v/>
      </c>
      <c r="BC1888" s="82">
        <f>($N1888-$F1888)*100</f>
        <v/>
      </c>
      <c r="BD1888" s="82">
        <f>($Q1888-$H1888)*100</f>
        <v/>
      </c>
      <c r="BE1888" s="82">
        <f>($S1888-$J1888)*100</f>
        <v/>
      </c>
      <c r="BF1888" s="82">
        <f>($V1888-$L1888)*100</f>
        <v/>
      </c>
      <c r="BG1888" s="82">
        <f>$AG1888-$AF1888</f>
        <v/>
      </c>
      <c r="BH1888" s="81">
        <f>IFERROR($AG1888/$AF1888,"")</f>
        <v/>
      </c>
      <c r="BI1888" s="82">
        <f>$AJ1888-$AF1888</f>
        <v/>
      </c>
      <c r="BJ1888" s="81">
        <f>IFERROR($AJ1888/$AG1888,"")</f>
        <v/>
      </c>
      <c r="BK1888" s="81">
        <f>$X1888</f>
        <v/>
      </c>
      <c r="BL1888" s="82">
        <f>($J1888-$J1889)*100</f>
        <v/>
      </c>
      <c r="BM1888" s="82">
        <f>($F1888-$F1889)*100</f>
        <v/>
      </c>
      <c r="BN1888" s="82">
        <f>$AF1888-$AF1889</f>
        <v/>
      </c>
      <c r="BO1888" s="82">
        <f>$AG1888-$AG1889</f>
        <v/>
      </c>
      <c r="BP1888" s="82">
        <f>$AJ1888-$AJ1889</f>
        <v/>
      </c>
    </row>
    <row r="1889">
      <c r="AR1889" s="81">
        <f>($G1889+($H1889-$G1889)*0.5)+($P1889-($O1889+($Q1889-$O1889)*0.5))</f>
        <v/>
      </c>
      <c r="AS1889" s="81">
        <f>($J1889+($K1889-$J1889)*0.5)+($T1889-($S1889+($U1889-$S1889)*0.5))</f>
        <v/>
      </c>
      <c r="AT1889" s="82">
        <f>($J1889-$C1889)*100</f>
        <v/>
      </c>
      <c r="AU1889" s="82">
        <f>($H1889-$F1889)*100</f>
        <v/>
      </c>
      <c r="AV1889" s="82">
        <f>($J1889-$F1889)*100</f>
        <v/>
      </c>
      <c r="AW1889" s="82">
        <f>($L1889-$F1889)*100</f>
        <v/>
      </c>
      <c r="AX1889" s="82">
        <f>($J1889-$H1889)*100</f>
        <v/>
      </c>
      <c r="AY1889" s="82">
        <f>($L1889-$H1889)*100</f>
        <v/>
      </c>
      <c r="AZ1889" s="82">
        <f>($L1889-$J1889)*100</f>
        <v/>
      </c>
      <c r="BA1889" s="82">
        <f>(2*$H1889-$F1889-$J1889)*100</f>
        <v/>
      </c>
      <c r="BB1889" s="82">
        <f>(2*$J1889-$H1889-$L1889)*100</f>
        <v/>
      </c>
      <c r="BC1889" s="82">
        <f>($N1889-$F1889)*100</f>
        <v/>
      </c>
      <c r="BD1889" s="82">
        <f>($Q1889-$H1889)*100</f>
        <v/>
      </c>
      <c r="BE1889" s="82">
        <f>($S1889-$J1889)*100</f>
        <v/>
      </c>
      <c r="BF1889" s="82">
        <f>($V1889-$L1889)*100</f>
        <v/>
      </c>
      <c r="BG1889" s="82">
        <f>$AG1889-$AF1889</f>
        <v/>
      </c>
      <c r="BH1889" s="81">
        <f>IFERROR($AG1889/$AF1889,"")</f>
        <v/>
      </c>
      <c r="BI1889" s="82">
        <f>$AJ1889-$AF1889</f>
        <v/>
      </c>
      <c r="BJ1889" s="81">
        <f>IFERROR($AJ1889/$AG1889,"")</f>
        <v/>
      </c>
      <c r="BK1889" s="81">
        <f>$X1889</f>
        <v/>
      </c>
      <c r="BL1889" s="82">
        <f>($J1889-$J1890)*100</f>
        <v/>
      </c>
      <c r="BM1889" s="82">
        <f>($F1889-$F1890)*100</f>
        <v/>
      </c>
      <c r="BN1889" s="82">
        <f>$AF1889-$AF1890</f>
        <v/>
      </c>
      <c r="BO1889" s="82">
        <f>$AG1889-$AG1890</f>
        <v/>
      </c>
      <c r="BP1889" s="82">
        <f>$AJ1889-$AJ1890</f>
        <v/>
      </c>
    </row>
    <row r="1890">
      <c r="AR1890" s="81">
        <f>($G1890+($H1890-$G1890)*0.5)+($P1890-($O1890+($Q1890-$O1890)*0.5))</f>
        <v/>
      </c>
      <c r="AS1890" s="81">
        <f>($J1890+($K1890-$J1890)*0.5)+($T1890-($S1890+($U1890-$S1890)*0.5))</f>
        <v/>
      </c>
      <c r="AT1890" s="82">
        <f>($J1890-$C1890)*100</f>
        <v/>
      </c>
      <c r="AU1890" s="82">
        <f>($H1890-$F1890)*100</f>
        <v/>
      </c>
      <c r="AV1890" s="82">
        <f>($J1890-$F1890)*100</f>
        <v/>
      </c>
      <c r="AW1890" s="82">
        <f>($L1890-$F1890)*100</f>
        <v/>
      </c>
      <c r="AX1890" s="82">
        <f>($J1890-$H1890)*100</f>
        <v/>
      </c>
      <c r="AY1890" s="82">
        <f>($L1890-$H1890)*100</f>
        <v/>
      </c>
      <c r="AZ1890" s="82">
        <f>($L1890-$J1890)*100</f>
        <v/>
      </c>
      <c r="BA1890" s="82">
        <f>(2*$H1890-$F1890-$J1890)*100</f>
        <v/>
      </c>
      <c r="BB1890" s="82">
        <f>(2*$J1890-$H1890-$L1890)*100</f>
        <v/>
      </c>
      <c r="BC1890" s="82">
        <f>($N1890-$F1890)*100</f>
        <v/>
      </c>
      <c r="BD1890" s="82">
        <f>($Q1890-$H1890)*100</f>
        <v/>
      </c>
      <c r="BE1890" s="82">
        <f>($S1890-$J1890)*100</f>
        <v/>
      </c>
      <c r="BF1890" s="82">
        <f>($V1890-$L1890)*100</f>
        <v/>
      </c>
      <c r="BG1890" s="82">
        <f>$AG1890-$AF1890</f>
        <v/>
      </c>
      <c r="BH1890" s="81">
        <f>IFERROR($AG1890/$AF1890,"")</f>
        <v/>
      </c>
      <c r="BI1890" s="82">
        <f>$AJ1890-$AF1890</f>
        <v/>
      </c>
      <c r="BJ1890" s="81">
        <f>IFERROR($AJ1890/$AG1890,"")</f>
        <v/>
      </c>
      <c r="BK1890" s="81">
        <f>$X1890</f>
        <v/>
      </c>
      <c r="BL1890" s="82">
        <f>($J1890-$J1891)*100</f>
        <v/>
      </c>
      <c r="BM1890" s="82">
        <f>($F1890-$F1891)*100</f>
        <v/>
      </c>
      <c r="BN1890" s="82">
        <f>$AF1890-$AF1891</f>
        <v/>
      </c>
      <c r="BO1890" s="82">
        <f>$AG1890-$AG1891</f>
        <v/>
      </c>
      <c r="BP1890" s="82">
        <f>$AJ1890-$AJ1891</f>
        <v/>
      </c>
    </row>
    <row r="1891">
      <c r="AR1891" s="81">
        <f>($G1891+($H1891-$G1891)*0.5)+($P1891-($O1891+($Q1891-$O1891)*0.5))</f>
        <v/>
      </c>
      <c r="AS1891" s="81">
        <f>($J1891+($K1891-$J1891)*0.5)+($T1891-($S1891+($U1891-$S1891)*0.5))</f>
        <v/>
      </c>
      <c r="AT1891" s="82">
        <f>($J1891-$C1891)*100</f>
        <v/>
      </c>
      <c r="AU1891" s="82">
        <f>($H1891-$F1891)*100</f>
        <v/>
      </c>
      <c r="AV1891" s="82">
        <f>($J1891-$F1891)*100</f>
        <v/>
      </c>
      <c r="AW1891" s="82">
        <f>($L1891-$F1891)*100</f>
        <v/>
      </c>
      <c r="AX1891" s="82">
        <f>($J1891-$H1891)*100</f>
        <v/>
      </c>
      <c r="AY1891" s="82">
        <f>($L1891-$H1891)*100</f>
        <v/>
      </c>
      <c r="AZ1891" s="82">
        <f>($L1891-$J1891)*100</f>
        <v/>
      </c>
      <c r="BA1891" s="82">
        <f>(2*$H1891-$F1891-$J1891)*100</f>
        <v/>
      </c>
      <c r="BB1891" s="82">
        <f>(2*$J1891-$H1891-$L1891)*100</f>
        <v/>
      </c>
      <c r="BC1891" s="82">
        <f>($N1891-$F1891)*100</f>
        <v/>
      </c>
      <c r="BD1891" s="82">
        <f>($Q1891-$H1891)*100</f>
        <v/>
      </c>
      <c r="BE1891" s="82">
        <f>($S1891-$J1891)*100</f>
        <v/>
      </c>
      <c r="BF1891" s="82">
        <f>($V1891-$L1891)*100</f>
        <v/>
      </c>
      <c r="BG1891" s="82">
        <f>$AG1891-$AF1891</f>
        <v/>
      </c>
      <c r="BH1891" s="81">
        <f>IFERROR($AG1891/$AF1891,"")</f>
        <v/>
      </c>
      <c r="BI1891" s="82">
        <f>$AJ1891-$AF1891</f>
        <v/>
      </c>
      <c r="BJ1891" s="81">
        <f>IFERROR($AJ1891/$AG1891,"")</f>
        <v/>
      </c>
      <c r="BK1891" s="81">
        <f>$X1891</f>
        <v/>
      </c>
      <c r="BL1891" s="82">
        <f>($J1891-$J1892)*100</f>
        <v/>
      </c>
      <c r="BM1891" s="82">
        <f>($F1891-$F1892)*100</f>
        <v/>
      </c>
      <c r="BN1891" s="82">
        <f>$AF1891-$AF1892</f>
        <v/>
      </c>
      <c r="BO1891" s="82">
        <f>$AG1891-$AG1892</f>
        <v/>
      </c>
      <c r="BP1891" s="82">
        <f>$AJ1891-$AJ1892</f>
        <v/>
      </c>
    </row>
    <row r="1892">
      <c r="AR1892" s="81">
        <f>($G1892+($H1892-$G1892)*0.5)+($P1892-($O1892+($Q1892-$O1892)*0.5))</f>
        <v/>
      </c>
      <c r="AS1892" s="81">
        <f>($J1892+($K1892-$J1892)*0.5)+($T1892-($S1892+($U1892-$S1892)*0.5))</f>
        <v/>
      </c>
      <c r="AT1892" s="82">
        <f>($J1892-$C1892)*100</f>
        <v/>
      </c>
      <c r="AU1892" s="82">
        <f>($H1892-$F1892)*100</f>
        <v/>
      </c>
      <c r="AV1892" s="82">
        <f>($J1892-$F1892)*100</f>
        <v/>
      </c>
      <c r="AW1892" s="82">
        <f>($L1892-$F1892)*100</f>
        <v/>
      </c>
      <c r="AX1892" s="82">
        <f>($J1892-$H1892)*100</f>
        <v/>
      </c>
      <c r="AY1892" s="82">
        <f>($L1892-$H1892)*100</f>
        <v/>
      </c>
      <c r="AZ1892" s="82">
        <f>($L1892-$J1892)*100</f>
        <v/>
      </c>
      <c r="BA1892" s="82">
        <f>(2*$H1892-$F1892-$J1892)*100</f>
        <v/>
      </c>
      <c r="BB1892" s="82">
        <f>(2*$J1892-$H1892-$L1892)*100</f>
        <v/>
      </c>
      <c r="BC1892" s="82">
        <f>($N1892-$F1892)*100</f>
        <v/>
      </c>
      <c r="BD1892" s="82">
        <f>($Q1892-$H1892)*100</f>
        <v/>
      </c>
      <c r="BE1892" s="82">
        <f>($S1892-$J1892)*100</f>
        <v/>
      </c>
      <c r="BF1892" s="82">
        <f>($V1892-$L1892)*100</f>
        <v/>
      </c>
      <c r="BG1892" s="82">
        <f>$AG1892-$AF1892</f>
        <v/>
      </c>
      <c r="BH1892" s="81">
        <f>IFERROR($AG1892/$AF1892,"")</f>
        <v/>
      </c>
      <c r="BI1892" s="82">
        <f>$AJ1892-$AF1892</f>
        <v/>
      </c>
      <c r="BJ1892" s="81">
        <f>IFERROR($AJ1892/$AG1892,"")</f>
        <v/>
      </c>
      <c r="BK1892" s="81">
        <f>$X1892</f>
        <v/>
      </c>
      <c r="BL1892" s="82">
        <f>($J1892-$J1893)*100</f>
        <v/>
      </c>
      <c r="BM1892" s="82">
        <f>($F1892-$F1893)*100</f>
        <v/>
      </c>
      <c r="BN1892" s="82">
        <f>$AF1892-$AF1893</f>
        <v/>
      </c>
      <c r="BO1892" s="82">
        <f>$AG1892-$AG1893</f>
        <v/>
      </c>
      <c r="BP1892" s="82">
        <f>$AJ1892-$AJ1893</f>
        <v/>
      </c>
    </row>
    <row r="1893">
      <c r="AR1893" s="81">
        <f>($G1893+($H1893-$G1893)*0.5)+($P1893-($O1893+($Q1893-$O1893)*0.5))</f>
        <v/>
      </c>
      <c r="AS1893" s="81">
        <f>($J1893+($K1893-$J1893)*0.5)+($T1893-($S1893+($U1893-$S1893)*0.5))</f>
        <v/>
      </c>
      <c r="AT1893" s="82">
        <f>($J1893-$C1893)*100</f>
        <v/>
      </c>
      <c r="AU1893" s="82">
        <f>($H1893-$F1893)*100</f>
        <v/>
      </c>
      <c r="AV1893" s="82">
        <f>($J1893-$F1893)*100</f>
        <v/>
      </c>
      <c r="AW1893" s="82">
        <f>($L1893-$F1893)*100</f>
        <v/>
      </c>
      <c r="AX1893" s="82">
        <f>($J1893-$H1893)*100</f>
        <v/>
      </c>
      <c r="AY1893" s="82">
        <f>($L1893-$H1893)*100</f>
        <v/>
      </c>
      <c r="AZ1893" s="82">
        <f>($L1893-$J1893)*100</f>
        <v/>
      </c>
      <c r="BA1893" s="82">
        <f>(2*$H1893-$F1893-$J1893)*100</f>
        <v/>
      </c>
      <c r="BB1893" s="82">
        <f>(2*$J1893-$H1893-$L1893)*100</f>
        <v/>
      </c>
      <c r="BC1893" s="82">
        <f>($N1893-$F1893)*100</f>
        <v/>
      </c>
      <c r="BD1893" s="82">
        <f>($Q1893-$H1893)*100</f>
        <v/>
      </c>
      <c r="BE1893" s="82">
        <f>($S1893-$J1893)*100</f>
        <v/>
      </c>
      <c r="BF1893" s="82">
        <f>($V1893-$L1893)*100</f>
        <v/>
      </c>
      <c r="BG1893" s="82">
        <f>$AG1893-$AF1893</f>
        <v/>
      </c>
      <c r="BH1893" s="81">
        <f>IFERROR($AG1893/$AF1893,"")</f>
        <v/>
      </c>
      <c r="BI1893" s="82">
        <f>$AJ1893-$AF1893</f>
        <v/>
      </c>
      <c r="BJ1893" s="81">
        <f>IFERROR($AJ1893/$AG1893,"")</f>
        <v/>
      </c>
      <c r="BK1893" s="81">
        <f>$X1893</f>
        <v/>
      </c>
      <c r="BL1893" s="82">
        <f>($J1893-$J1894)*100</f>
        <v/>
      </c>
      <c r="BM1893" s="82">
        <f>($F1893-$F1894)*100</f>
        <v/>
      </c>
      <c r="BN1893" s="82">
        <f>$AF1893-$AF1894</f>
        <v/>
      </c>
      <c r="BO1893" s="82">
        <f>$AG1893-$AG1894</f>
        <v/>
      </c>
      <c r="BP1893" s="82">
        <f>$AJ1893-$AJ1894</f>
        <v/>
      </c>
    </row>
    <row r="1894">
      <c r="AR1894" s="81">
        <f>($G1894+($H1894-$G1894)*0.5)+($P1894-($O1894+($Q1894-$O1894)*0.5))</f>
        <v/>
      </c>
      <c r="AS1894" s="81">
        <f>($J1894+($K1894-$J1894)*0.5)+($T1894-($S1894+($U1894-$S1894)*0.5))</f>
        <v/>
      </c>
      <c r="AT1894" s="82">
        <f>($J1894-$C1894)*100</f>
        <v/>
      </c>
      <c r="AU1894" s="82">
        <f>($H1894-$F1894)*100</f>
        <v/>
      </c>
      <c r="AV1894" s="82">
        <f>($J1894-$F1894)*100</f>
        <v/>
      </c>
      <c r="AW1894" s="82">
        <f>($L1894-$F1894)*100</f>
        <v/>
      </c>
      <c r="AX1894" s="82">
        <f>($J1894-$H1894)*100</f>
        <v/>
      </c>
      <c r="AY1894" s="82">
        <f>($L1894-$H1894)*100</f>
        <v/>
      </c>
      <c r="AZ1894" s="82">
        <f>($L1894-$J1894)*100</f>
        <v/>
      </c>
      <c r="BA1894" s="82">
        <f>(2*$H1894-$F1894-$J1894)*100</f>
        <v/>
      </c>
      <c r="BB1894" s="82">
        <f>(2*$J1894-$H1894-$L1894)*100</f>
        <v/>
      </c>
      <c r="BC1894" s="82">
        <f>($N1894-$F1894)*100</f>
        <v/>
      </c>
      <c r="BD1894" s="82">
        <f>($Q1894-$H1894)*100</f>
        <v/>
      </c>
      <c r="BE1894" s="82">
        <f>($S1894-$J1894)*100</f>
        <v/>
      </c>
      <c r="BF1894" s="82">
        <f>($V1894-$L1894)*100</f>
        <v/>
      </c>
      <c r="BG1894" s="82">
        <f>$AG1894-$AF1894</f>
        <v/>
      </c>
      <c r="BH1894" s="81">
        <f>IFERROR($AG1894/$AF1894,"")</f>
        <v/>
      </c>
      <c r="BI1894" s="82">
        <f>$AJ1894-$AF1894</f>
        <v/>
      </c>
      <c r="BJ1894" s="81">
        <f>IFERROR($AJ1894/$AG1894,"")</f>
        <v/>
      </c>
      <c r="BK1894" s="81">
        <f>$X1894</f>
        <v/>
      </c>
      <c r="BL1894" s="82">
        <f>($J1894-$J1895)*100</f>
        <v/>
      </c>
      <c r="BM1894" s="82">
        <f>($F1894-$F1895)*100</f>
        <v/>
      </c>
      <c r="BN1894" s="82">
        <f>$AF1894-$AF1895</f>
        <v/>
      </c>
      <c r="BO1894" s="82">
        <f>$AG1894-$AG1895</f>
        <v/>
      </c>
      <c r="BP1894" s="82">
        <f>$AJ1894-$AJ1895</f>
        <v/>
      </c>
    </row>
    <row r="1895">
      <c r="AR1895" s="81">
        <f>($G1895+($H1895-$G1895)*0.5)+($P1895-($O1895+($Q1895-$O1895)*0.5))</f>
        <v/>
      </c>
      <c r="AS1895" s="81">
        <f>($J1895+($K1895-$J1895)*0.5)+($T1895-($S1895+($U1895-$S1895)*0.5))</f>
        <v/>
      </c>
      <c r="AT1895" s="82">
        <f>($J1895-$C1895)*100</f>
        <v/>
      </c>
      <c r="AU1895" s="82">
        <f>($H1895-$F1895)*100</f>
        <v/>
      </c>
      <c r="AV1895" s="82">
        <f>($J1895-$F1895)*100</f>
        <v/>
      </c>
      <c r="AW1895" s="82">
        <f>($L1895-$F1895)*100</f>
        <v/>
      </c>
      <c r="AX1895" s="82">
        <f>($J1895-$H1895)*100</f>
        <v/>
      </c>
      <c r="AY1895" s="82">
        <f>($L1895-$H1895)*100</f>
        <v/>
      </c>
      <c r="AZ1895" s="82">
        <f>($L1895-$J1895)*100</f>
        <v/>
      </c>
      <c r="BA1895" s="82">
        <f>(2*$H1895-$F1895-$J1895)*100</f>
        <v/>
      </c>
      <c r="BB1895" s="82">
        <f>(2*$J1895-$H1895-$L1895)*100</f>
        <v/>
      </c>
      <c r="BC1895" s="82">
        <f>($N1895-$F1895)*100</f>
        <v/>
      </c>
      <c r="BD1895" s="82">
        <f>($Q1895-$H1895)*100</f>
        <v/>
      </c>
      <c r="BE1895" s="82">
        <f>($S1895-$J1895)*100</f>
        <v/>
      </c>
      <c r="BF1895" s="82">
        <f>($V1895-$L1895)*100</f>
        <v/>
      </c>
      <c r="BG1895" s="82">
        <f>$AG1895-$AF1895</f>
        <v/>
      </c>
      <c r="BH1895" s="81">
        <f>IFERROR($AG1895/$AF1895,"")</f>
        <v/>
      </c>
      <c r="BI1895" s="82">
        <f>$AJ1895-$AF1895</f>
        <v/>
      </c>
      <c r="BJ1895" s="81">
        <f>IFERROR($AJ1895/$AG1895,"")</f>
        <v/>
      </c>
      <c r="BK1895" s="81">
        <f>$X1895</f>
        <v/>
      </c>
      <c r="BL1895" s="82">
        <f>($J1895-$J1896)*100</f>
        <v/>
      </c>
      <c r="BM1895" s="82">
        <f>($F1895-$F1896)*100</f>
        <v/>
      </c>
      <c r="BN1895" s="82">
        <f>$AF1895-$AF1896</f>
        <v/>
      </c>
      <c r="BO1895" s="82">
        <f>$AG1895-$AG1896</f>
        <v/>
      </c>
      <c r="BP1895" s="82">
        <f>$AJ1895-$AJ1896</f>
        <v/>
      </c>
    </row>
    <row r="1896">
      <c r="AR1896" s="81">
        <f>($G1896+($H1896-$G1896)*0.5)+($P1896-($O1896+($Q1896-$O1896)*0.5))</f>
        <v/>
      </c>
      <c r="AS1896" s="81">
        <f>($J1896+($K1896-$J1896)*0.5)+($T1896-($S1896+($U1896-$S1896)*0.5))</f>
        <v/>
      </c>
      <c r="AT1896" s="82">
        <f>($J1896-$C1896)*100</f>
        <v/>
      </c>
      <c r="AU1896" s="82">
        <f>($H1896-$F1896)*100</f>
        <v/>
      </c>
      <c r="AV1896" s="82">
        <f>($J1896-$F1896)*100</f>
        <v/>
      </c>
      <c r="AW1896" s="82">
        <f>($L1896-$F1896)*100</f>
        <v/>
      </c>
      <c r="AX1896" s="82">
        <f>($J1896-$H1896)*100</f>
        <v/>
      </c>
      <c r="AY1896" s="82">
        <f>($L1896-$H1896)*100</f>
        <v/>
      </c>
      <c r="AZ1896" s="82">
        <f>($L1896-$J1896)*100</f>
        <v/>
      </c>
      <c r="BA1896" s="82">
        <f>(2*$H1896-$F1896-$J1896)*100</f>
        <v/>
      </c>
      <c r="BB1896" s="82">
        <f>(2*$J1896-$H1896-$L1896)*100</f>
        <v/>
      </c>
      <c r="BC1896" s="82">
        <f>($N1896-$F1896)*100</f>
        <v/>
      </c>
      <c r="BD1896" s="82">
        <f>($Q1896-$H1896)*100</f>
        <v/>
      </c>
      <c r="BE1896" s="82">
        <f>($S1896-$J1896)*100</f>
        <v/>
      </c>
      <c r="BF1896" s="82">
        <f>($V1896-$L1896)*100</f>
        <v/>
      </c>
      <c r="BG1896" s="82">
        <f>$AG1896-$AF1896</f>
        <v/>
      </c>
      <c r="BH1896" s="81">
        <f>IFERROR($AG1896/$AF1896,"")</f>
        <v/>
      </c>
      <c r="BI1896" s="82">
        <f>$AJ1896-$AF1896</f>
        <v/>
      </c>
      <c r="BJ1896" s="81">
        <f>IFERROR($AJ1896/$AG1896,"")</f>
        <v/>
      </c>
      <c r="BK1896" s="81">
        <f>$X1896</f>
        <v/>
      </c>
      <c r="BL1896" s="82">
        <f>($J1896-$J1897)*100</f>
        <v/>
      </c>
      <c r="BM1896" s="82">
        <f>($F1896-$F1897)*100</f>
        <v/>
      </c>
      <c r="BN1896" s="82">
        <f>$AF1896-$AF1897</f>
        <v/>
      </c>
      <c r="BO1896" s="82">
        <f>$AG1896-$AG1897</f>
        <v/>
      </c>
      <c r="BP1896" s="82">
        <f>$AJ1896-$AJ1897</f>
        <v/>
      </c>
    </row>
    <row r="1897">
      <c r="AR1897" s="81">
        <f>($G1897+($H1897-$G1897)*0.5)+($P1897-($O1897+($Q1897-$O1897)*0.5))</f>
        <v/>
      </c>
      <c r="AS1897" s="81">
        <f>($J1897+($K1897-$J1897)*0.5)+($T1897-($S1897+($U1897-$S1897)*0.5))</f>
        <v/>
      </c>
      <c r="AT1897" s="82">
        <f>($J1897-$C1897)*100</f>
        <v/>
      </c>
      <c r="AU1897" s="82">
        <f>($H1897-$F1897)*100</f>
        <v/>
      </c>
      <c r="AV1897" s="82">
        <f>($J1897-$F1897)*100</f>
        <v/>
      </c>
      <c r="AW1897" s="82">
        <f>($L1897-$F1897)*100</f>
        <v/>
      </c>
      <c r="AX1897" s="82">
        <f>($J1897-$H1897)*100</f>
        <v/>
      </c>
      <c r="AY1897" s="82">
        <f>($L1897-$H1897)*100</f>
        <v/>
      </c>
      <c r="AZ1897" s="82">
        <f>($L1897-$J1897)*100</f>
        <v/>
      </c>
      <c r="BA1897" s="82">
        <f>(2*$H1897-$F1897-$J1897)*100</f>
        <v/>
      </c>
      <c r="BB1897" s="82">
        <f>(2*$J1897-$H1897-$L1897)*100</f>
        <v/>
      </c>
      <c r="BC1897" s="82">
        <f>($N1897-$F1897)*100</f>
        <v/>
      </c>
      <c r="BD1897" s="82">
        <f>($Q1897-$H1897)*100</f>
        <v/>
      </c>
      <c r="BE1897" s="82">
        <f>($S1897-$J1897)*100</f>
        <v/>
      </c>
      <c r="BF1897" s="82">
        <f>($V1897-$L1897)*100</f>
        <v/>
      </c>
      <c r="BG1897" s="82">
        <f>$AG1897-$AF1897</f>
        <v/>
      </c>
      <c r="BH1897" s="81">
        <f>IFERROR($AG1897/$AF1897,"")</f>
        <v/>
      </c>
      <c r="BI1897" s="82">
        <f>$AJ1897-$AF1897</f>
        <v/>
      </c>
      <c r="BJ1897" s="81">
        <f>IFERROR($AJ1897/$AG1897,"")</f>
        <v/>
      </c>
      <c r="BK1897" s="81">
        <f>$X1897</f>
        <v/>
      </c>
      <c r="BL1897" s="82">
        <f>($J1897-$J1898)*100</f>
        <v/>
      </c>
      <c r="BM1897" s="82">
        <f>($F1897-$F1898)*100</f>
        <v/>
      </c>
      <c r="BN1897" s="82">
        <f>$AF1897-$AF1898</f>
        <v/>
      </c>
      <c r="BO1897" s="82">
        <f>$AG1897-$AG1898</f>
        <v/>
      </c>
      <c r="BP1897" s="82">
        <f>$AJ1897-$AJ1898</f>
        <v/>
      </c>
    </row>
    <row r="1898">
      <c r="AR1898" s="81">
        <f>($G1898+($H1898-$G1898)*0.5)+($P1898-($O1898+($Q1898-$O1898)*0.5))</f>
        <v/>
      </c>
      <c r="AS1898" s="81">
        <f>($J1898+($K1898-$J1898)*0.5)+($T1898-($S1898+($U1898-$S1898)*0.5))</f>
        <v/>
      </c>
      <c r="AT1898" s="82">
        <f>($J1898-$C1898)*100</f>
        <v/>
      </c>
      <c r="AU1898" s="82">
        <f>($H1898-$F1898)*100</f>
        <v/>
      </c>
      <c r="AV1898" s="82">
        <f>($J1898-$F1898)*100</f>
        <v/>
      </c>
      <c r="AW1898" s="82">
        <f>($L1898-$F1898)*100</f>
        <v/>
      </c>
      <c r="AX1898" s="82">
        <f>($J1898-$H1898)*100</f>
        <v/>
      </c>
      <c r="AY1898" s="82">
        <f>($L1898-$H1898)*100</f>
        <v/>
      </c>
      <c r="AZ1898" s="82">
        <f>($L1898-$J1898)*100</f>
        <v/>
      </c>
      <c r="BA1898" s="82">
        <f>(2*$H1898-$F1898-$J1898)*100</f>
        <v/>
      </c>
      <c r="BB1898" s="82">
        <f>(2*$J1898-$H1898-$L1898)*100</f>
        <v/>
      </c>
      <c r="BC1898" s="82">
        <f>($N1898-$F1898)*100</f>
        <v/>
      </c>
      <c r="BD1898" s="82">
        <f>($Q1898-$H1898)*100</f>
        <v/>
      </c>
      <c r="BE1898" s="82">
        <f>($S1898-$J1898)*100</f>
        <v/>
      </c>
      <c r="BF1898" s="82">
        <f>($V1898-$L1898)*100</f>
        <v/>
      </c>
      <c r="BG1898" s="82">
        <f>$AG1898-$AF1898</f>
        <v/>
      </c>
      <c r="BH1898" s="81">
        <f>IFERROR($AG1898/$AF1898,"")</f>
        <v/>
      </c>
      <c r="BI1898" s="82">
        <f>$AJ1898-$AF1898</f>
        <v/>
      </c>
      <c r="BJ1898" s="81">
        <f>IFERROR($AJ1898/$AG1898,"")</f>
        <v/>
      </c>
      <c r="BK1898" s="81">
        <f>$X1898</f>
        <v/>
      </c>
      <c r="BL1898" s="82">
        <f>($J1898-$J1899)*100</f>
        <v/>
      </c>
      <c r="BM1898" s="82">
        <f>($F1898-$F1899)*100</f>
        <v/>
      </c>
      <c r="BN1898" s="82">
        <f>$AF1898-$AF1899</f>
        <v/>
      </c>
      <c r="BO1898" s="82">
        <f>$AG1898-$AG1899</f>
        <v/>
      </c>
      <c r="BP1898" s="82">
        <f>$AJ1898-$AJ1899</f>
        <v/>
      </c>
    </row>
    <row r="1899">
      <c r="AR1899" s="81">
        <f>($G1899+($H1899-$G1899)*0.5)+($P1899-($O1899+($Q1899-$O1899)*0.5))</f>
        <v/>
      </c>
      <c r="AS1899" s="81">
        <f>($J1899+($K1899-$J1899)*0.5)+($T1899-($S1899+($U1899-$S1899)*0.5))</f>
        <v/>
      </c>
      <c r="AT1899" s="82">
        <f>($J1899-$C1899)*100</f>
        <v/>
      </c>
      <c r="AU1899" s="82">
        <f>($H1899-$F1899)*100</f>
        <v/>
      </c>
      <c r="AV1899" s="82">
        <f>($J1899-$F1899)*100</f>
        <v/>
      </c>
      <c r="AW1899" s="82">
        <f>($L1899-$F1899)*100</f>
        <v/>
      </c>
      <c r="AX1899" s="82">
        <f>($J1899-$H1899)*100</f>
        <v/>
      </c>
      <c r="AY1899" s="82">
        <f>($L1899-$H1899)*100</f>
        <v/>
      </c>
      <c r="AZ1899" s="82">
        <f>($L1899-$J1899)*100</f>
        <v/>
      </c>
      <c r="BA1899" s="82">
        <f>(2*$H1899-$F1899-$J1899)*100</f>
        <v/>
      </c>
      <c r="BB1899" s="82">
        <f>(2*$J1899-$H1899-$L1899)*100</f>
        <v/>
      </c>
      <c r="BC1899" s="82">
        <f>($N1899-$F1899)*100</f>
        <v/>
      </c>
      <c r="BD1899" s="82">
        <f>($Q1899-$H1899)*100</f>
        <v/>
      </c>
      <c r="BE1899" s="82">
        <f>($S1899-$J1899)*100</f>
        <v/>
      </c>
      <c r="BF1899" s="82">
        <f>($V1899-$L1899)*100</f>
        <v/>
      </c>
      <c r="BG1899" s="82">
        <f>$AG1899-$AF1899</f>
        <v/>
      </c>
      <c r="BH1899" s="81">
        <f>IFERROR($AG1899/$AF1899,"")</f>
        <v/>
      </c>
      <c r="BI1899" s="82">
        <f>$AJ1899-$AF1899</f>
        <v/>
      </c>
      <c r="BJ1899" s="81">
        <f>IFERROR($AJ1899/$AG1899,"")</f>
        <v/>
      </c>
      <c r="BK1899" s="81">
        <f>$X1899</f>
        <v/>
      </c>
      <c r="BL1899" s="82">
        <f>($J1899-$J1900)*100</f>
        <v/>
      </c>
      <c r="BM1899" s="82">
        <f>($F1899-$F1900)*100</f>
        <v/>
      </c>
      <c r="BN1899" s="82">
        <f>$AF1899-$AF1900</f>
        <v/>
      </c>
      <c r="BO1899" s="82">
        <f>$AG1899-$AG1900</f>
        <v/>
      </c>
      <c r="BP1899" s="82">
        <f>$AJ1899-$AJ1900</f>
        <v/>
      </c>
    </row>
    <row r="1900">
      <c r="AR1900" s="81">
        <f>($G1900+($H1900-$G1900)*0.5)+($P1900-($O1900+($Q1900-$O1900)*0.5))</f>
        <v/>
      </c>
      <c r="AS1900" s="81">
        <f>($J1900+($K1900-$J1900)*0.5)+($T1900-($S1900+($U1900-$S1900)*0.5))</f>
        <v/>
      </c>
      <c r="AT1900" s="82">
        <f>($J1900-$C1900)*100</f>
        <v/>
      </c>
      <c r="AU1900" s="82">
        <f>($H1900-$F1900)*100</f>
        <v/>
      </c>
      <c r="AV1900" s="82">
        <f>($J1900-$F1900)*100</f>
        <v/>
      </c>
      <c r="AW1900" s="82">
        <f>($L1900-$F1900)*100</f>
        <v/>
      </c>
      <c r="AX1900" s="82">
        <f>($J1900-$H1900)*100</f>
        <v/>
      </c>
      <c r="AY1900" s="82">
        <f>($L1900-$H1900)*100</f>
        <v/>
      </c>
      <c r="AZ1900" s="82">
        <f>($L1900-$J1900)*100</f>
        <v/>
      </c>
      <c r="BA1900" s="82">
        <f>(2*$H1900-$F1900-$J1900)*100</f>
        <v/>
      </c>
      <c r="BB1900" s="82">
        <f>(2*$J1900-$H1900-$L1900)*100</f>
        <v/>
      </c>
      <c r="BC1900" s="82">
        <f>($N1900-$F1900)*100</f>
        <v/>
      </c>
      <c r="BD1900" s="82">
        <f>($Q1900-$H1900)*100</f>
        <v/>
      </c>
      <c r="BE1900" s="82">
        <f>($S1900-$J1900)*100</f>
        <v/>
      </c>
      <c r="BF1900" s="82">
        <f>($V1900-$L1900)*100</f>
        <v/>
      </c>
      <c r="BG1900" s="82">
        <f>$AG1900-$AF1900</f>
        <v/>
      </c>
      <c r="BH1900" s="81">
        <f>IFERROR($AG1900/$AF1900,"")</f>
        <v/>
      </c>
      <c r="BI1900" s="82">
        <f>$AJ1900-$AF1900</f>
        <v/>
      </c>
      <c r="BJ1900" s="81">
        <f>IFERROR($AJ1900/$AG1900,"")</f>
        <v/>
      </c>
      <c r="BK1900" s="81">
        <f>$X1900</f>
        <v/>
      </c>
      <c r="BL1900" s="82">
        <f>($J1900-$J1901)*100</f>
        <v/>
      </c>
      <c r="BM1900" s="82">
        <f>($F1900-$F1901)*100</f>
        <v/>
      </c>
      <c r="BN1900" s="82">
        <f>$AF1900-$AF1901</f>
        <v/>
      </c>
      <c r="BO1900" s="82">
        <f>$AG1900-$AG1901</f>
        <v/>
      </c>
      <c r="BP1900" s="82">
        <f>$AJ1900-$AJ1901</f>
        <v/>
      </c>
    </row>
    <row r="1901">
      <c r="AR1901" s="81">
        <f>($G1901+($H1901-$G1901)*0.5)+($P1901-($O1901+($Q1901-$O1901)*0.5))</f>
        <v/>
      </c>
      <c r="AS1901" s="81">
        <f>($J1901+($K1901-$J1901)*0.5)+($T1901-($S1901+($U1901-$S1901)*0.5))</f>
        <v/>
      </c>
      <c r="AT1901" s="82">
        <f>($J1901-$C1901)*100</f>
        <v/>
      </c>
      <c r="AU1901" s="82">
        <f>($H1901-$F1901)*100</f>
        <v/>
      </c>
      <c r="AV1901" s="82">
        <f>($J1901-$F1901)*100</f>
        <v/>
      </c>
      <c r="AW1901" s="82">
        <f>($L1901-$F1901)*100</f>
        <v/>
      </c>
      <c r="AX1901" s="82">
        <f>($J1901-$H1901)*100</f>
        <v/>
      </c>
      <c r="AY1901" s="82">
        <f>($L1901-$H1901)*100</f>
        <v/>
      </c>
      <c r="AZ1901" s="82">
        <f>($L1901-$J1901)*100</f>
        <v/>
      </c>
      <c r="BA1901" s="82">
        <f>(2*$H1901-$F1901-$J1901)*100</f>
        <v/>
      </c>
      <c r="BB1901" s="82">
        <f>(2*$J1901-$H1901-$L1901)*100</f>
        <v/>
      </c>
      <c r="BC1901" s="82">
        <f>($N1901-$F1901)*100</f>
        <v/>
      </c>
      <c r="BD1901" s="82">
        <f>($Q1901-$H1901)*100</f>
        <v/>
      </c>
      <c r="BE1901" s="82">
        <f>($S1901-$J1901)*100</f>
        <v/>
      </c>
      <c r="BF1901" s="82">
        <f>($V1901-$L1901)*100</f>
        <v/>
      </c>
      <c r="BG1901" s="82">
        <f>$AG1901-$AF1901</f>
        <v/>
      </c>
      <c r="BH1901" s="81">
        <f>IFERROR($AG1901/$AF1901,"")</f>
        <v/>
      </c>
      <c r="BI1901" s="82">
        <f>$AJ1901-$AF1901</f>
        <v/>
      </c>
      <c r="BJ1901" s="81">
        <f>IFERROR($AJ1901/$AG1901,"")</f>
        <v/>
      </c>
      <c r="BK1901" s="81">
        <f>$X1901</f>
        <v/>
      </c>
      <c r="BL1901" s="82">
        <f>($J1901-$J1902)*100</f>
        <v/>
      </c>
      <c r="BM1901" s="82">
        <f>($F1901-$F1902)*100</f>
        <v/>
      </c>
      <c r="BN1901" s="82">
        <f>$AF1901-$AF1902</f>
        <v/>
      </c>
      <c r="BO1901" s="82">
        <f>$AG1901-$AG1902</f>
        <v/>
      </c>
      <c r="BP1901" s="82">
        <f>$AJ1901-$AJ1902</f>
        <v/>
      </c>
    </row>
    <row r="1902">
      <c r="AR1902" s="81">
        <f>($G1902+($H1902-$G1902)*0.5)+($P1902-($O1902+($Q1902-$O1902)*0.5))</f>
        <v/>
      </c>
      <c r="AS1902" s="81">
        <f>($J1902+($K1902-$J1902)*0.5)+($T1902-($S1902+($U1902-$S1902)*0.5))</f>
        <v/>
      </c>
      <c r="AT1902" s="82">
        <f>($J1902-$C1902)*100</f>
        <v/>
      </c>
      <c r="AU1902" s="82">
        <f>($H1902-$F1902)*100</f>
        <v/>
      </c>
      <c r="AV1902" s="82">
        <f>($J1902-$F1902)*100</f>
        <v/>
      </c>
      <c r="AW1902" s="82">
        <f>($L1902-$F1902)*100</f>
        <v/>
      </c>
      <c r="AX1902" s="82">
        <f>($J1902-$H1902)*100</f>
        <v/>
      </c>
      <c r="AY1902" s="82">
        <f>($L1902-$H1902)*100</f>
        <v/>
      </c>
      <c r="AZ1902" s="82">
        <f>($L1902-$J1902)*100</f>
        <v/>
      </c>
      <c r="BA1902" s="82">
        <f>(2*$H1902-$F1902-$J1902)*100</f>
        <v/>
      </c>
      <c r="BB1902" s="82">
        <f>(2*$J1902-$H1902-$L1902)*100</f>
        <v/>
      </c>
      <c r="BC1902" s="82">
        <f>($N1902-$F1902)*100</f>
        <v/>
      </c>
      <c r="BD1902" s="82">
        <f>($Q1902-$H1902)*100</f>
        <v/>
      </c>
      <c r="BE1902" s="82">
        <f>($S1902-$J1902)*100</f>
        <v/>
      </c>
      <c r="BF1902" s="82">
        <f>($V1902-$L1902)*100</f>
        <v/>
      </c>
      <c r="BG1902" s="82">
        <f>$AG1902-$AF1902</f>
        <v/>
      </c>
      <c r="BH1902" s="81">
        <f>IFERROR($AG1902/$AF1902,"")</f>
        <v/>
      </c>
      <c r="BI1902" s="82">
        <f>$AJ1902-$AF1902</f>
        <v/>
      </c>
      <c r="BJ1902" s="81">
        <f>IFERROR($AJ1902/$AG1902,"")</f>
        <v/>
      </c>
      <c r="BK1902" s="81">
        <f>$X1902</f>
        <v/>
      </c>
      <c r="BL1902" s="82">
        <f>($J1902-$J1903)*100</f>
        <v/>
      </c>
      <c r="BM1902" s="82">
        <f>($F1902-$F1903)*100</f>
        <v/>
      </c>
      <c r="BN1902" s="82">
        <f>$AF1902-$AF1903</f>
        <v/>
      </c>
      <c r="BO1902" s="82">
        <f>$AG1902-$AG1903</f>
        <v/>
      </c>
      <c r="BP1902" s="82">
        <f>$AJ1902-$AJ1903</f>
        <v/>
      </c>
    </row>
    <row r="1903">
      <c r="AR1903" s="81">
        <f>($G1903+($H1903-$G1903)*0.5)+($P1903-($O1903+($Q1903-$O1903)*0.5))</f>
        <v/>
      </c>
      <c r="AS1903" s="81">
        <f>($J1903+($K1903-$J1903)*0.5)+($T1903-($S1903+($U1903-$S1903)*0.5))</f>
        <v/>
      </c>
      <c r="AT1903" s="82">
        <f>($J1903-$C1903)*100</f>
        <v/>
      </c>
      <c r="AU1903" s="82">
        <f>($H1903-$F1903)*100</f>
        <v/>
      </c>
      <c r="AV1903" s="82">
        <f>($J1903-$F1903)*100</f>
        <v/>
      </c>
      <c r="AW1903" s="82">
        <f>($L1903-$F1903)*100</f>
        <v/>
      </c>
      <c r="AX1903" s="82">
        <f>($J1903-$H1903)*100</f>
        <v/>
      </c>
      <c r="AY1903" s="82">
        <f>($L1903-$H1903)*100</f>
        <v/>
      </c>
      <c r="AZ1903" s="82">
        <f>($L1903-$J1903)*100</f>
        <v/>
      </c>
      <c r="BA1903" s="82">
        <f>(2*$H1903-$F1903-$J1903)*100</f>
        <v/>
      </c>
      <c r="BB1903" s="82">
        <f>(2*$J1903-$H1903-$L1903)*100</f>
        <v/>
      </c>
      <c r="BC1903" s="82">
        <f>($N1903-$F1903)*100</f>
        <v/>
      </c>
      <c r="BD1903" s="82">
        <f>($Q1903-$H1903)*100</f>
        <v/>
      </c>
      <c r="BE1903" s="82">
        <f>($S1903-$J1903)*100</f>
        <v/>
      </c>
      <c r="BF1903" s="82">
        <f>($V1903-$L1903)*100</f>
        <v/>
      </c>
      <c r="BG1903" s="82">
        <f>$AG1903-$AF1903</f>
        <v/>
      </c>
      <c r="BH1903" s="81">
        <f>IFERROR($AG1903/$AF1903,"")</f>
        <v/>
      </c>
      <c r="BI1903" s="82">
        <f>$AJ1903-$AF1903</f>
        <v/>
      </c>
      <c r="BJ1903" s="81">
        <f>IFERROR($AJ1903/$AG1903,"")</f>
        <v/>
      </c>
      <c r="BK1903" s="81">
        <f>$X1903</f>
        <v/>
      </c>
      <c r="BL1903" s="82">
        <f>($J1903-$J1904)*100</f>
        <v/>
      </c>
      <c r="BM1903" s="82">
        <f>($F1903-$F1904)*100</f>
        <v/>
      </c>
      <c r="BN1903" s="82">
        <f>$AF1903-$AF1904</f>
        <v/>
      </c>
      <c r="BO1903" s="82">
        <f>$AG1903-$AG1904</f>
        <v/>
      </c>
      <c r="BP1903" s="82">
        <f>$AJ1903-$AJ1904</f>
        <v/>
      </c>
    </row>
    <row r="1904">
      <c r="AR1904" s="81">
        <f>($G1904+($H1904-$G1904)*0.5)+($P1904-($O1904+($Q1904-$O1904)*0.5))</f>
        <v/>
      </c>
      <c r="AS1904" s="81">
        <f>($J1904+($K1904-$J1904)*0.5)+($T1904-($S1904+($U1904-$S1904)*0.5))</f>
        <v/>
      </c>
      <c r="AT1904" s="82">
        <f>($J1904-$C1904)*100</f>
        <v/>
      </c>
      <c r="AU1904" s="82">
        <f>($H1904-$F1904)*100</f>
        <v/>
      </c>
      <c r="AV1904" s="82">
        <f>($J1904-$F1904)*100</f>
        <v/>
      </c>
      <c r="AW1904" s="82">
        <f>($L1904-$F1904)*100</f>
        <v/>
      </c>
      <c r="AX1904" s="82">
        <f>($J1904-$H1904)*100</f>
        <v/>
      </c>
      <c r="AY1904" s="82">
        <f>($L1904-$H1904)*100</f>
        <v/>
      </c>
      <c r="AZ1904" s="82">
        <f>($L1904-$J1904)*100</f>
        <v/>
      </c>
      <c r="BA1904" s="82">
        <f>(2*$H1904-$F1904-$J1904)*100</f>
        <v/>
      </c>
      <c r="BB1904" s="82">
        <f>(2*$J1904-$H1904-$L1904)*100</f>
        <v/>
      </c>
      <c r="BC1904" s="82">
        <f>($N1904-$F1904)*100</f>
        <v/>
      </c>
      <c r="BD1904" s="82">
        <f>($Q1904-$H1904)*100</f>
        <v/>
      </c>
      <c r="BE1904" s="82">
        <f>($S1904-$J1904)*100</f>
        <v/>
      </c>
      <c r="BF1904" s="82">
        <f>($V1904-$L1904)*100</f>
        <v/>
      </c>
      <c r="BG1904" s="82">
        <f>$AG1904-$AF1904</f>
        <v/>
      </c>
      <c r="BH1904" s="81">
        <f>IFERROR($AG1904/$AF1904,"")</f>
        <v/>
      </c>
      <c r="BI1904" s="82">
        <f>$AJ1904-$AF1904</f>
        <v/>
      </c>
      <c r="BJ1904" s="81">
        <f>IFERROR($AJ1904/$AG1904,"")</f>
        <v/>
      </c>
      <c r="BK1904" s="81">
        <f>$X1904</f>
        <v/>
      </c>
      <c r="BL1904" s="82">
        <f>($J1904-$J1905)*100</f>
        <v/>
      </c>
      <c r="BM1904" s="82">
        <f>($F1904-$F1905)*100</f>
        <v/>
      </c>
      <c r="BN1904" s="82">
        <f>$AF1904-$AF1905</f>
        <v/>
      </c>
      <c r="BO1904" s="82">
        <f>$AG1904-$AG1905</f>
        <v/>
      </c>
      <c r="BP1904" s="82">
        <f>$AJ1904-$AJ1905</f>
        <v/>
      </c>
    </row>
    <row r="1905">
      <c r="AR1905" s="81">
        <f>($G1905+($H1905-$G1905)*0.5)+($P1905-($O1905+($Q1905-$O1905)*0.5))</f>
        <v/>
      </c>
      <c r="AS1905" s="81">
        <f>($J1905+($K1905-$J1905)*0.5)+($T1905-($S1905+($U1905-$S1905)*0.5))</f>
        <v/>
      </c>
      <c r="AT1905" s="82">
        <f>($J1905-$C1905)*100</f>
        <v/>
      </c>
      <c r="AU1905" s="82">
        <f>($H1905-$F1905)*100</f>
        <v/>
      </c>
      <c r="AV1905" s="82">
        <f>($J1905-$F1905)*100</f>
        <v/>
      </c>
      <c r="AW1905" s="82">
        <f>($L1905-$F1905)*100</f>
        <v/>
      </c>
      <c r="AX1905" s="82">
        <f>($J1905-$H1905)*100</f>
        <v/>
      </c>
      <c r="AY1905" s="82">
        <f>($L1905-$H1905)*100</f>
        <v/>
      </c>
      <c r="AZ1905" s="82">
        <f>($L1905-$J1905)*100</f>
        <v/>
      </c>
      <c r="BA1905" s="82">
        <f>(2*$H1905-$F1905-$J1905)*100</f>
        <v/>
      </c>
      <c r="BB1905" s="82">
        <f>(2*$J1905-$H1905-$L1905)*100</f>
        <v/>
      </c>
      <c r="BC1905" s="82">
        <f>($N1905-$F1905)*100</f>
        <v/>
      </c>
      <c r="BD1905" s="82">
        <f>($Q1905-$H1905)*100</f>
        <v/>
      </c>
      <c r="BE1905" s="82">
        <f>($S1905-$J1905)*100</f>
        <v/>
      </c>
      <c r="BF1905" s="82">
        <f>($V1905-$L1905)*100</f>
        <v/>
      </c>
      <c r="BG1905" s="82">
        <f>$AG1905-$AF1905</f>
        <v/>
      </c>
      <c r="BH1905" s="81">
        <f>IFERROR($AG1905/$AF1905,"")</f>
        <v/>
      </c>
      <c r="BI1905" s="82">
        <f>$AJ1905-$AF1905</f>
        <v/>
      </c>
      <c r="BJ1905" s="81">
        <f>IFERROR($AJ1905/$AG1905,"")</f>
        <v/>
      </c>
      <c r="BK1905" s="81">
        <f>$X1905</f>
        <v/>
      </c>
      <c r="BL1905" s="82">
        <f>($J1905-$J1906)*100</f>
        <v/>
      </c>
      <c r="BM1905" s="82">
        <f>($F1905-$F1906)*100</f>
        <v/>
      </c>
      <c r="BN1905" s="82">
        <f>$AF1905-$AF1906</f>
        <v/>
      </c>
      <c r="BO1905" s="82">
        <f>$AG1905-$AG1906</f>
        <v/>
      </c>
      <c r="BP1905" s="82">
        <f>$AJ1905-$AJ1906</f>
        <v/>
      </c>
    </row>
    <row r="1906">
      <c r="AR1906" s="81">
        <f>($G1906+($H1906-$G1906)*0.5)+($P1906-($O1906+($Q1906-$O1906)*0.5))</f>
        <v/>
      </c>
      <c r="AS1906" s="81">
        <f>($J1906+($K1906-$J1906)*0.5)+($T1906-($S1906+($U1906-$S1906)*0.5))</f>
        <v/>
      </c>
      <c r="AT1906" s="82">
        <f>($J1906-$C1906)*100</f>
        <v/>
      </c>
      <c r="AU1906" s="82">
        <f>($H1906-$F1906)*100</f>
        <v/>
      </c>
      <c r="AV1906" s="82">
        <f>($J1906-$F1906)*100</f>
        <v/>
      </c>
      <c r="AW1906" s="82">
        <f>($L1906-$F1906)*100</f>
        <v/>
      </c>
      <c r="AX1906" s="82">
        <f>($J1906-$H1906)*100</f>
        <v/>
      </c>
      <c r="AY1906" s="82">
        <f>($L1906-$H1906)*100</f>
        <v/>
      </c>
      <c r="AZ1906" s="82">
        <f>($L1906-$J1906)*100</f>
        <v/>
      </c>
      <c r="BA1906" s="82">
        <f>(2*$H1906-$F1906-$J1906)*100</f>
        <v/>
      </c>
      <c r="BB1906" s="82">
        <f>(2*$J1906-$H1906-$L1906)*100</f>
        <v/>
      </c>
      <c r="BC1906" s="82">
        <f>($N1906-$F1906)*100</f>
        <v/>
      </c>
      <c r="BD1906" s="82">
        <f>($Q1906-$H1906)*100</f>
        <v/>
      </c>
      <c r="BE1906" s="82">
        <f>($S1906-$J1906)*100</f>
        <v/>
      </c>
      <c r="BF1906" s="82">
        <f>($V1906-$L1906)*100</f>
        <v/>
      </c>
      <c r="BG1906" s="82">
        <f>$AG1906-$AF1906</f>
        <v/>
      </c>
      <c r="BH1906" s="81">
        <f>IFERROR($AG1906/$AF1906,"")</f>
        <v/>
      </c>
      <c r="BI1906" s="82">
        <f>$AJ1906-$AF1906</f>
        <v/>
      </c>
      <c r="BJ1906" s="81">
        <f>IFERROR($AJ1906/$AG1906,"")</f>
        <v/>
      </c>
      <c r="BK1906" s="81">
        <f>$X1906</f>
        <v/>
      </c>
      <c r="BL1906" s="82">
        <f>($J1906-$J1907)*100</f>
        <v/>
      </c>
      <c r="BM1906" s="82">
        <f>($F1906-$F1907)*100</f>
        <v/>
      </c>
      <c r="BN1906" s="82">
        <f>$AF1906-$AF1907</f>
        <v/>
      </c>
      <c r="BO1906" s="82">
        <f>$AG1906-$AG1907</f>
        <v/>
      </c>
      <c r="BP1906" s="82">
        <f>$AJ1906-$AJ1907</f>
        <v/>
      </c>
    </row>
    <row r="1907">
      <c r="AR1907" s="81">
        <f>($G1907+($H1907-$G1907)*0.5)+($P1907-($O1907+($Q1907-$O1907)*0.5))</f>
        <v/>
      </c>
      <c r="AS1907" s="81">
        <f>($J1907+($K1907-$J1907)*0.5)+($T1907-($S1907+($U1907-$S1907)*0.5))</f>
        <v/>
      </c>
      <c r="AT1907" s="82">
        <f>($J1907-$C1907)*100</f>
        <v/>
      </c>
      <c r="AU1907" s="82">
        <f>($H1907-$F1907)*100</f>
        <v/>
      </c>
      <c r="AV1907" s="82">
        <f>($J1907-$F1907)*100</f>
        <v/>
      </c>
      <c r="AW1907" s="82">
        <f>($L1907-$F1907)*100</f>
        <v/>
      </c>
      <c r="AX1907" s="82">
        <f>($J1907-$H1907)*100</f>
        <v/>
      </c>
      <c r="AY1907" s="82">
        <f>($L1907-$H1907)*100</f>
        <v/>
      </c>
      <c r="AZ1907" s="82">
        <f>($L1907-$J1907)*100</f>
        <v/>
      </c>
      <c r="BA1907" s="82">
        <f>(2*$H1907-$F1907-$J1907)*100</f>
        <v/>
      </c>
      <c r="BB1907" s="82">
        <f>(2*$J1907-$H1907-$L1907)*100</f>
        <v/>
      </c>
      <c r="BC1907" s="82">
        <f>($N1907-$F1907)*100</f>
        <v/>
      </c>
      <c r="BD1907" s="82">
        <f>($Q1907-$H1907)*100</f>
        <v/>
      </c>
      <c r="BE1907" s="82">
        <f>($S1907-$J1907)*100</f>
        <v/>
      </c>
      <c r="BF1907" s="82">
        <f>($V1907-$L1907)*100</f>
        <v/>
      </c>
      <c r="BG1907" s="82">
        <f>$AG1907-$AF1907</f>
        <v/>
      </c>
      <c r="BH1907" s="81">
        <f>IFERROR($AG1907/$AF1907,"")</f>
        <v/>
      </c>
      <c r="BI1907" s="82">
        <f>$AJ1907-$AF1907</f>
        <v/>
      </c>
      <c r="BJ1907" s="81">
        <f>IFERROR($AJ1907/$AG1907,"")</f>
        <v/>
      </c>
      <c r="BK1907" s="81">
        <f>$X1907</f>
        <v/>
      </c>
      <c r="BL1907" s="82">
        <f>($J1907-$J1908)*100</f>
        <v/>
      </c>
      <c r="BM1907" s="82">
        <f>($F1907-$F1908)*100</f>
        <v/>
      </c>
      <c r="BN1907" s="82">
        <f>$AF1907-$AF1908</f>
        <v/>
      </c>
      <c r="BO1907" s="82">
        <f>$AG1907-$AG1908</f>
        <v/>
      </c>
      <c r="BP1907" s="82">
        <f>$AJ1907-$AJ1908</f>
        <v/>
      </c>
    </row>
    <row r="1908">
      <c r="AR1908" s="81">
        <f>($G1908+($H1908-$G1908)*0.5)+($P1908-($O1908+($Q1908-$O1908)*0.5))</f>
        <v/>
      </c>
      <c r="AS1908" s="81">
        <f>($J1908+($K1908-$J1908)*0.5)+($T1908-($S1908+($U1908-$S1908)*0.5))</f>
        <v/>
      </c>
      <c r="AT1908" s="82">
        <f>($J1908-$C1908)*100</f>
        <v/>
      </c>
      <c r="AU1908" s="82">
        <f>($H1908-$F1908)*100</f>
        <v/>
      </c>
      <c r="AV1908" s="82">
        <f>($J1908-$F1908)*100</f>
        <v/>
      </c>
      <c r="AW1908" s="82">
        <f>($L1908-$F1908)*100</f>
        <v/>
      </c>
      <c r="AX1908" s="82">
        <f>($J1908-$H1908)*100</f>
        <v/>
      </c>
      <c r="AY1908" s="82">
        <f>($L1908-$H1908)*100</f>
        <v/>
      </c>
      <c r="AZ1908" s="82">
        <f>($L1908-$J1908)*100</f>
        <v/>
      </c>
      <c r="BA1908" s="82">
        <f>(2*$H1908-$F1908-$J1908)*100</f>
        <v/>
      </c>
      <c r="BB1908" s="82">
        <f>(2*$J1908-$H1908-$L1908)*100</f>
        <v/>
      </c>
      <c r="BC1908" s="82">
        <f>($N1908-$F1908)*100</f>
        <v/>
      </c>
      <c r="BD1908" s="82">
        <f>($Q1908-$H1908)*100</f>
        <v/>
      </c>
      <c r="BE1908" s="82">
        <f>($S1908-$J1908)*100</f>
        <v/>
      </c>
      <c r="BF1908" s="82">
        <f>($V1908-$L1908)*100</f>
        <v/>
      </c>
      <c r="BG1908" s="82">
        <f>$AG1908-$AF1908</f>
        <v/>
      </c>
      <c r="BH1908" s="81">
        <f>IFERROR($AG1908/$AF1908,"")</f>
        <v/>
      </c>
      <c r="BI1908" s="82">
        <f>$AJ1908-$AF1908</f>
        <v/>
      </c>
      <c r="BJ1908" s="81">
        <f>IFERROR($AJ1908/$AG1908,"")</f>
        <v/>
      </c>
      <c r="BK1908" s="81">
        <f>$X1908</f>
        <v/>
      </c>
      <c r="BL1908" s="82">
        <f>($J1908-$J1909)*100</f>
        <v/>
      </c>
      <c r="BM1908" s="82">
        <f>($F1908-$F1909)*100</f>
        <v/>
      </c>
      <c r="BN1908" s="82">
        <f>$AF1908-$AF1909</f>
        <v/>
      </c>
      <c r="BO1908" s="82">
        <f>$AG1908-$AG1909</f>
        <v/>
      </c>
      <c r="BP1908" s="82">
        <f>$AJ1908-$AJ1909</f>
        <v/>
      </c>
    </row>
    <row r="1909">
      <c r="AR1909" s="81">
        <f>($G1909+($H1909-$G1909)*0.5)+($P1909-($O1909+($Q1909-$O1909)*0.5))</f>
        <v/>
      </c>
      <c r="AS1909" s="81">
        <f>($J1909+($K1909-$J1909)*0.5)+($T1909-($S1909+($U1909-$S1909)*0.5))</f>
        <v/>
      </c>
      <c r="AT1909" s="82">
        <f>($J1909-$C1909)*100</f>
        <v/>
      </c>
      <c r="AU1909" s="82">
        <f>($H1909-$F1909)*100</f>
        <v/>
      </c>
      <c r="AV1909" s="82">
        <f>($J1909-$F1909)*100</f>
        <v/>
      </c>
      <c r="AW1909" s="82">
        <f>($L1909-$F1909)*100</f>
        <v/>
      </c>
      <c r="AX1909" s="82">
        <f>($J1909-$H1909)*100</f>
        <v/>
      </c>
      <c r="AY1909" s="82">
        <f>($L1909-$H1909)*100</f>
        <v/>
      </c>
      <c r="AZ1909" s="82">
        <f>($L1909-$J1909)*100</f>
        <v/>
      </c>
      <c r="BA1909" s="82">
        <f>(2*$H1909-$F1909-$J1909)*100</f>
        <v/>
      </c>
      <c r="BB1909" s="82">
        <f>(2*$J1909-$H1909-$L1909)*100</f>
        <v/>
      </c>
      <c r="BC1909" s="82">
        <f>($N1909-$F1909)*100</f>
        <v/>
      </c>
      <c r="BD1909" s="82">
        <f>($Q1909-$H1909)*100</f>
        <v/>
      </c>
      <c r="BE1909" s="82">
        <f>($S1909-$J1909)*100</f>
        <v/>
      </c>
      <c r="BF1909" s="82">
        <f>($V1909-$L1909)*100</f>
        <v/>
      </c>
      <c r="BG1909" s="82">
        <f>$AG1909-$AF1909</f>
        <v/>
      </c>
      <c r="BH1909" s="81">
        <f>IFERROR($AG1909/$AF1909,"")</f>
        <v/>
      </c>
      <c r="BI1909" s="82">
        <f>$AJ1909-$AF1909</f>
        <v/>
      </c>
      <c r="BJ1909" s="81">
        <f>IFERROR($AJ1909/$AG1909,"")</f>
        <v/>
      </c>
      <c r="BK1909" s="81">
        <f>$X1909</f>
        <v/>
      </c>
      <c r="BL1909" s="82">
        <f>($J1909-$J1910)*100</f>
        <v/>
      </c>
      <c r="BM1909" s="82">
        <f>($F1909-$F1910)*100</f>
        <v/>
      </c>
      <c r="BN1909" s="82">
        <f>$AF1909-$AF1910</f>
        <v/>
      </c>
      <c r="BO1909" s="82">
        <f>$AG1909-$AG1910</f>
        <v/>
      </c>
      <c r="BP1909" s="82">
        <f>$AJ1909-$AJ1910</f>
        <v/>
      </c>
    </row>
    <row r="1910">
      <c r="AR1910" s="81">
        <f>($G1910+($H1910-$G1910)*0.5)+($P1910-($O1910+($Q1910-$O1910)*0.5))</f>
        <v/>
      </c>
      <c r="AS1910" s="81">
        <f>($J1910+($K1910-$J1910)*0.5)+($T1910-($S1910+($U1910-$S1910)*0.5))</f>
        <v/>
      </c>
      <c r="AT1910" s="82">
        <f>($J1910-$C1910)*100</f>
        <v/>
      </c>
      <c r="AU1910" s="82">
        <f>($H1910-$F1910)*100</f>
        <v/>
      </c>
      <c r="AV1910" s="82">
        <f>($J1910-$F1910)*100</f>
        <v/>
      </c>
      <c r="AW1910" s="82">
        <f>($L1910-$F1910)*100</f>
        <v/>
      </c>
      <c r="AX1910" s="82">
        <f>($J1910-$H1910)*100</f>
        <v/>
      </c>
      <c r="AY1910" s="82">
        <f>($L1910-$H1910)*100</f>
        <v/>
      </c>
      <c r="AZ1910" s="82">
        <f>($L1910-$J1910)*100</f>
        <v/>
      </c>
      <c r="BA1910" s="82">
        <f>(2*$H1910-$F1910-$J1910)*100</f>
        <v/>
      </c>
      <c r="BB1910" s="82">
        <f>(2*$J1910-$H1910-$L1910)*100</f>
        <v/>
      </c>
      <c r="BC1910" s="82">
        <f>($N1910-$F1910)*100</f>
        <v/>
      </c>
      <c r="BD1910" s="82">
        <f>($Q1910-$H1910)*100</f>
        <v/>
      </c>
      <c r="BE1910" s="82">
        <f>($S1910-$J1910)*100</f>
        <v/>
      </c>
      <c r="BF1910" s="82">
        <f>($V1910-$L1910)*100</f>
        <v/>
      </c>
      <c r="BG1910" s="82">
        <f>$AG1910-$AF1910</f>
        <v/>
      </c>
      <c r="BH1910" s="81">
        <f>IFERROR($AG1910/$AF1910,"")</f>
        <v/>
      </c>
      <c r="BI1910" s="82">
        <f>$AJ1910-$AF1910</f>
        <v/>
      </c>
      <c r="BJ1910" s="81">
        <f>IFERROR($AJ1910/$AG1910,"")</f>
        <v/>
      </c>
      <c r="BK1910" s="81">
        <f>$X1910</f>
        <v/>
      </c>
      <c r="BL1910" s="82">
        <f>($J1910-$J1911)*100</f>
        <v/>
      </c>
      <c r="BM1910" s="82">
        <f>($F1910-$F1911)*100</f>
        <v/>
      </c>
      <c r="BN1910" s="82">
        <f>$AF1910-$AF1911</f>
        <v/>
      </c>
      <c r="BO1910" s="82">
        <f>$AG1910-$AG1911</f>
        <v/>
      </c>
      <c r="BP1910" s="82">
        <f>$AJ1910-$AJ1911</f>
        <v/>
      </c>
    </row>
    <row r="1911">
      <c r="AR1911" s="81">
        <f>($G1911+($H1911-$G1911)*0.5)+($P1911-($O1911+($Q1911-$O1911)*0.5))</f>
        <v/>
      </c>
      <c r="AS1911" s="81">
        <f>($J1911+($K1911-$J1911)*0.5)+($T1911-($S1911+($U1911-$S1911)*0.5))</f>
        <v/>
      </c>
      <c r="AT1911" s="82">
        <f>($J1911-$C1911)*100</f>
        <v/>
      </c>
      <c r="AU1911" s="82">
        <f>($H1911-$F1911)*100</f>
        <v/>
      </c>
      <c r="AV1911" s="82">
        <f>($J1911-$F1911)*100</f>
        <v/>
      </c>
      <c r="AW1911" s="82">
        <f>($L1911-$F1911)*100</f>
        <v/>
      </c>
      <c r="AX1911" s="82">
        <f>($J1911-$H1911)*100</f>
        <v/>
      </c>
      <c r="AY1911" s="82">
        <f>($L1911-$H1911)*100</f>
        <v/>
      </c>
      <c r="AZ1911" s="82">
        <f>($L1911-$J1911)*100</f>
        <v/>
      </c>
      <c r="BA1911" s="82">
        <f>(2*$H1911-$F1911-$J1911)*100</f>
        <v/>
      </c>
      <c r="BB1911" s="82">
        <f>(2*$J1911-$H1911-$L1911)*100</f>
        <v/>
      </c>
      <c r="BC1911" s="82">
        <f>($N1911-$F1911)*100</f>
        <v/>
      </c>
      <c r="BD1911" s="82">
        <f>($Q1911-$H1911)*100</f>
        <v/>
      </c>
      <c r="BE1911" s="82">
        <f>($S1911-$J1911)*100</f>
        <v/>
      </c>
      <c r="BF1911" s="82">
        <f>($V1911-$L1911)*100</f>
        <v/>
      </c>
      <c r="BG1911" s="82">
        <f>$AG1911-$AF1911</f>
        <v/>
      </c>
      <c r="BH1911" s="81">
        <f>IFERROR($AG1911/$AF1911,"")</f>
        <v/>
      </c>
      <c r="BI1911" s="82">
        <f>$AJ1911-$AF1911</f>
        <v/>
      </c>
      <c r="BJ1911" s="81">
        <f>IFERROR($AJ1911/$AG1911,"")</f>
        <v/>
      </c>
      <c r="BK1911" s="81">
        <f>$X1911</f>
        <v/>
      </c>
      <c r="BL1911" s="82">
        <f>($J1911-$J1912)*100</f>
        <v/>
      </c>
      <c r="BM1911" s="82">
        <f>($F1911-$F1912)*100</f>
        <v/>
      </c>
      <c r="BN1911" s="82">
        <f>$AF1911-$AF1912</f>
        <v/>
      </c>
      <c r="BO1911" s="82">
        <f>$AG1911-$AG1912</f>
        <v/>
      </c>
      <c r="BP1911" s="82">
        <f>$AJ1911-$AJ1912</f>
        <v/>
      </c>
    </row>
    <row r="1912">
      <c r="AR1912" s="81">
        <f>($G1912+($H1912-$G1912)*0.5)+($P1912-($O1912+($Q1912-$O1912)*0.5))</f>
        <v/>
      </c>
      <c r="AS1912" s="81">
        <f>($J1912+($K1912-$J1912)*0.5)+($T1912-($S1912+($U1912-$S1912)*0.5))</f>
        <v/>
      </c>
      <c r="AT1912" s="82">
        <f>($J1912-$C1912)*100</f>
        <v/>
      </c>
      <c r="AU1912" s="82">
        <f>($H1912-$F1912)*100</f>
        <v/>
      </c>
      <c r="AV1912" s="82">
        <f>($J1912-$F1912)*100</f>
        <v/>
      </c>
      <c r="AW1912" s="82">
        <f>($L1912-$F1912)*100</f>
        <v/>
      </c>
      <c r="AX1912" s="82">
        <f>($J1912-$H1912)*100</f>
        <v/>
      </c>
      <c r="AY1912" s="82">
        <f>($L1912-$H1912)*100</f>
        <v/>
      </c>
      <c r="AZ1912" s="82">
        <f>($L1912-$J1912)*100</f>
        <v/>
      </c>
      <c r="BA1912" s="82">
        <f>(2*$H1912-$F1912-$J1912)*100</f>
        <v/>
      </c>
      <c r="BB1912" s="82">
        <f>(2*$J1912-$H1912-$L1912)*100</f>
        <v/>
      </c>
      <c r="BC1912" s="82">
        <f>($N1912-$F1912)*100</f>
        <v/>
      </c>
      <c r="BD1912" s="82">
        <f>($Q1912-$H1912)*100</f>
        <v/>
      </c>
      <c r="BE1912" s="82">
        <f>($S1912-$J1912)*100</f>
        <v/>
      </c>
      <c r="BF1912" s="82">
        <f>($V1912-$L1912)*100</f>
        <v/>
      </c>
      <c r="BG1912" s="82">
        <f>$AG1912-$AF1912</f>
        <v/>
      </c>
      <c r="BH1912" s="81">
        <f>IFERROR($AG1912/$AF1912,"")</f>
        <v/>
      </c>
      <c r="BI1912" s="82">
        <f>$AJ1912-$AF1912</f>
        <v/>
      </c>
      <c r="BJ1912" s="81">
        <f>IFERROR($AJ1912/$AG1912,"")</f>
        <v/>
      </c>
      <c r="BK1912" s="81">
        <f>$X1912</f>
        <v/>
      </c>
      <c r="BL1912" s="82">
        <f>($J1912-$J1913)*100</f>
        <v/>
      </c>
      <c r="BM1912" s="82">
        <f>($F1912-$F1913)*100</f>
        <v/>
      </c>
      <c r="BN1912" s="82">
        <f>$AF1912-$AF1913</f>
        <v/>
      </c>
      <c r="BO1912" s="82">
        <f>$AG1912-$AG1913</f>
        <v/>
      </c>
      <c r="BP1912" s="82">
        <f>$AJ1912-$AJ1913</f>
        <v/>
      </c>
    </row>
    <row r="1913">
      <c r="AR1913" s="81">
        <f>($G1913+($H1913-$G1913)*0.5)+($P1913-($O1913+($Q1913-$O1913)*0.5))</f>
        <v/>
      </c>
      <c r="AS1913" s="81">
        <f>($J1913+($K1913-$J1913)*0.5)+($T1913-($S1913+($U1913-$S1913)*0.5))</f>
        <v/>
      </c>
      <c r="AT1913" s="82">
        <f>($J1913-$C1913)*100</f>
        <v/>
      </c>
      <c r="AU1913" s="82">
        <f>($H1913-$F1913)*100</f>
        <v/>
      </c>
      <c r="AV1913" s="82">
        <f>($J1913-$F1913)*100</f>
        <v/>
      </c>
      <c r="AW1913" s="82">
        <f>($L1913-$F1913)*100</f>
        <v/>
      </c>
      <c r="AX1913" s="82">
        <f>($J1913-$H1913)*100</f>
        <v/>
      </c>
      <c r="AY1913" s="82">
        <f>($L1913-$H1913)*100</f>
        <v/>
      </c>
      <c r="AZ1913" s="82">
        <f>($L1913-$J1913)*100</f>
        <v/>
      </c>
      <c r="BA1913" s="82">
        <f>(2*$H1913-$F1913-$J1913)*100</f>
        <v/>
      </c>
      <c r="BB1913" s="82">
        <f>(2*$J1913-$H1913-$L1913)*100</f>
        <v/>
      </c>
      <c r="BC1913" s="82">
        <f>($N1913-$F1913)*100</f>
        <v/>
      </c>
      <c r="BD1913" s="82">
        <f>($Q1913-$H1913)*100</f>
        <v/>
      </c>
      <c r="BE1913" s="82">
        <f>($S1913-$J1913)*100</f>
        <v/>
      </c>
      <c r="BF1913" s="82">
        <f>($V1913-$L1913)*100</f>
        <v/>
      </c>
      <c r="BG1913" s="82">
        <f>$AG1913-$AF1913</f>
        <v/>
      </c>
      <c r="BH1913" s="81">
        <f>IFERROR($AG1913/$AF1913,"")</f>
        <v/>
      </c>
      <c r="BI1913" s="82">
        <f>$AJ1913-$AF1913</f>
        <v/>
      </c>
      <c r="BJ1913" s="81">
        <f>IFERROR($AJ1913/$AG1913,"")</f>
        <v/>
      </c>
      <c r="BK1913" s="81">
        <f>$X1913</f>
        <v/>
      </c>
      <c r="BL1913" s="82">
        <f>($J1913-$J1914)*100</f>
        <v/>
      </c>
      <c r="BM1913" s="82">
        <f>($F1913-$F1914)*100</f>
        <v/>
      </c>
      <c r="BN1913" s="82">
        <f>$AF1913-$AF1914</f>
        <v/>
      </c>
      <c r="BO1913" s="82">
        <f>$AG1913-$AG1914</f>
        <v/>
      </c>
      <c r="BP1913" s="82">
        <f>$AJ1913-$AJ1914</f>
        <v/>
      </c>
    </row>
    <row r="1914">
      <c r="AR1914" s="81">
        <f>($G1914+($H1914-$G1914)*0.5)+($P1914-($O1914+($Q1914-$O1914)*0.5))</f>
        <v/>
      </c>
      <c r="AS1914" s="81">
        <f>($J1914+($K1914-$J1914)*0.5)+($T1914-($S1914+($U1914-$S1914)*0.5))</f>
        <v/>
      </c>
      <c r="AT1914" s="82">
        <f>($J1914-$C1914)*100</f>
        <v/>
      </c>
      <c r="AU1914" s="82">
        <f>($H1914-$F1914)*100</f>
        <v/>
      </c>
      <c r="AV1914" s="82">
        <f>($J1914-$F1914)*100</f>
        <v/>
      </c>
      <c r="AW1914" s="82">
        <f>($L1914-$F1914)*100</f>
        <v/>
      </c>
      <c r="AX1914" s="82">
        <f>($J1914-$H1914)*100</f>
        <v/>
      </c>
      <c r="AY1914" s="82">
        <f>($L1914-$H1914)*100</f>
        <v/>
      </c>
      <c r="AZ1914" s="82">
        <f>($L1914-$J1914)*100</f>
        <v/>
      </c>
      <c r="BA1914" s="82">
        <f>(2*$H1914-$F1914-$J1914)*100</f>
        <v/>
      </c>
      <c r="BB1914" s="82">
        <f>(2*$J1914-$H1914-$L1914)*100</f>
        <v/>
      </c>
      <c r="BC1914" s="82">
        <f>($N1914-$F1914)*100</f>
        <v/>
      </c>
      <c r="BD1914" s="82">
        <f>($Q1914-$H1914)*100</f>
        <v/>
      </c>
      <c r="BE1914" s="82">
        <f>($S1914-$J1914)*100</f>
        <v/>
      </c>
      <c r="BF1914" s="82">
        <f>($V1914-$L1914)*100</f>
        <v/>
      </c>
      <c r="BG1914" s="82">
        <f>$AG1914-$AF1914</f>
        <v/>
      </c>
      <c r="BH1914" s="81">
        <f>IFERROR($AG1914/$AF1914,"")</f>
        <v/>
      </c>
      <c r="BI1914" s="82">
        <f>$AJ1914-$AF1914</f>
        <v/>
      </c>
      <c r="BJ1914" s="81">
        <f>IFERROR($AJ1914/$AG1914,"")</f>
        <v/>
      </c>
      <c r="BK1914" s="81">
        <f>$X1914</f>
        <v/>
      </c>
      <c r="BL1914" s="82">
        <f>($J1914-$J1915)*100</f>
        <v/>
      </c>
      <c r="BM1914" s="82">
        <f>($F1914-$F1915)*100</f>
        <v/>
      </c>
      <c r="BN1914" s="82">
        <f>$AF1914-$AF1915</f>
        <v/>
      </c>
      <c r="BO1914" s="82">
        <f>$AG1914-$AG1915</f>
        <v/>
      </c>
      <c r="BP1914" s="82">
        <f>$AJ1914-$AJ1915</f>
        <v/>
      </c>
    </row>
    <row r="1915">
      <c r="AR1915" s="81">
        <f>($G1915+($H1915-$G1915)*0.5)+($P1915-($O1915+($Q1915-$O1915)*0.5))</f>
        <v/>
      </c>
      <c r="AS1915" s="81">
        <f>($J1915+($K1915-$J1915)*0.5)+($T1915-($S1915+($U1915-$S1915)*0.5))</f>
        <v/>
      </c>
      <c r="AT1915" s="82">
        <f>($J1915-$C1915)*100</f>
        <v/>
      </c>
      <c r="AU1915" s="82">
        <f>($H1915-$F1915)*100</f>
        <v/>
      </c>
      <c r="AV1915" s="82">
        <f>($J1915-$F1915)*100</f>
        <v/>
      </c>
      <c r="AW1915" s="82">
        <f>($L1915-$F1915)*100</f>
        <v/>
      </c>
      <c r="AX1915" s="82">
        <f>($J1915-$H1915)*100</f>
        <v/>
      </c>
      <c r="AY1915" s="82">
        <f>($L1915-$H1915)*100</f>
        <v/>
      </c>
      <c r="AZ1915" s="82">
        <f>($L1915-$J1915)*100</f>
        <v/>
      </c>
      <c r="BA1915" s="82">
        <f>(2*$H1915-$F1915-$J1915)*100</f>
        <v/>
      </c>
      <c r="BB1915" s="82">
        <f>(2*$J1915-$H1915-$L1915)*100</f>
        <v/>
      </c>
      <c r="BC1915" s="82">
        <f>($N1915-$F1915)*100</f>
        <v/>
      </c>
      <c r="BD1915" s="82">
        <f>($Q1915-$H1915)*100</f>
        <v/>
      </c>
      <c r="BE1915" s="82">
        <f>($S1915-$J1915)*100</f>
        <v/>
      </c>
      <c r="BF1915" s="82">
        <f>($V1915-$L1915)*100</f>
        <v/>
      </c>
      <c r="BG1915" s="82">
        <f>$AG1915-$AF1915</f>
        <v/>
      </c>
      <c r="BH1915" s="81">
        <f>IFERROR($AG1915/$AF1915,"")</f>
        <v/>
      </c>
      <c r="BI1915" s="82">
        <f>$AJ1915-$AF1915</f>
        <v/>
      </c>
      <c r="BJ1915" s="81">
        <f>IFERROR($AJ1915/$AG1915,"")</f>
        <v/>
      </c>
      <c r="BK1915" s="81">
        <f>$X1915</f>
        <v/>
      </c>
      <c r="BL1915" s="82">
        <f>($J1915-$J1916)*100</f>
        <v/>
      </c>
      <c r="BM1915" s="82">
        <f>($F1915-$F1916)*100</f>
        <v/>
      </c>
      <c r="BN1915" s="82">
        <f>$AF1915-$AF1916</f>
        <v/>
      </c>
      <c r="BO1915" s="82">
        <f>$AG1915-$AG1916</f>
        <v/>
      </c>
      <c r="BP1915" s="82">
        <f>$AJ1915-$AJ1916</f>
        <v/>
      </c>
    </row>
    <row r="1916">
      <c r="AR1916" s="81">
        <f>($G1916+($H1916-$G1916)*0.5)+($P1916-($O1916+($Q1916-$O1916)*0.5))</f>
        <v/>
      </c>
      <c r="AS1916" s="81">
        <f>($J1916+($K1916-$J1916)*0.5)+($T1916-($S1916+($U1916-$S1916)*0.5))</f>
        <v/>
      </c>
      <c r="AT1916" s="82">
        <f>($J1916-$C1916)*100</f>
        <v/>
      </c>
      <c r="AU1916" s="82">
        <f>($H1916-$F1916)*100</f>
        <v/>
      </c>
      <c r="AV1916" s="82">
        <f>($J1916-$F1916)*100</f>
        <v/>
      </c>
      <c r="AW1916" s="82">
        <f>($L1916-$F1916)*100</f>
        <v/>
      </c>
      <c r="AX1916" s="82">
        <f>($J1916-$H1916)*100</f>
        <v/>
      </c>
      <c r="AY1916" s="82">
        <f>($L1916-$H1916)*100</f>
        <v/>
      </c>
      <c r="AZ1916" s="82">
        <f>($L1916-$J1916)*100</f>
        <v/>
      </c>
      <c r="BA1916" s="82">
        <f>(2*$H1916-$F1916-$J1916)*100</f>
        <v/>
      </c>
      <c r="BB1916" s="82">
        <f>(2*$J1916-$H1916-$L1916)*100</f>
        <v/>
      </c>
      <c r="BC1916" s="82">
        <f>($N1916-$F1916)*100</f>
        <v/>
      </c>
      <c r="BD1916" s="82">
        <f>($Q1916-$H1916)*100</f>
        <v/>
      </c>
      <c r="BE1916" s="82">
        <f>($S1916-$J1916)*100</f>
        <v/>
      </c>
      <c r="BF1916" s="82">
        <f>($V1916-$L1916)*100</f>
        <v/>
      </c>
      <c r="BG1916" s="82">
        <f>$AG1916-$AF1916</f>
        <v/>
      </c>
      <c r="BH1916" s="81">
        <f>IFERROR($AG1916/$AF1916,"")</f>
        <v/>
      </c>
      <c r="BI1916" s="82">
        <f>$AJ1916-$AF1916</f>
        <v/>
      </c>
      <c r="BJ1916" s="81">
        <f>IFERROR($AJ1916/$AG1916,"")</f>
        <v/>
      </c>
      <c r="BK1916" s="81">
        <f>$X1916</f>
        <v/>
      </c>
      <c r="BL1916" s="82">
        <f>($J1916-$J1917)*100</f>
        <v/>
      </c>
      <c r="BM1916" s="82">
        <f>($F1916-$F1917)*100</f>
        <v/>
      </c>
      <c r="BN1916" s="82">
        <f>$AF1916-$AF1917</f>
        <v/>
      </c>
      <c r="BO1916" s="82">
        <f>$AG1916-$AG1917</f>
        <v/>
      </c>
      <c r="BP1916" s="82">
        <f>$AJ1916-$AJ1917</f>
        <v/>
      </c>
    </row>
    <row r="1917">
      <c r="AR1917" s="81">
        <f>($G1917+($H1917-$G1917)*0.5)+($P1917-($O1917+($Q1917-$O1917)*0.5))</f>
        <v/>
      </c>
      <c r="AS1917" s="81">
        <f>($J1917+($K1917-$J1917)*0.5)+($T1917-($S1917+($U1917-$S1917)*0.5))</f>
        <v/>
      </c>
      <c r="AT1917" s="82">
        <f>($J1917-$C1917)*100</f>
        <v/>
      </c>
      <c r="AU1917" s="82">
        <f>($H1917-$F1917)*100</f>
        <v/>
      </c>
      <c r="AV1917" s="82">
        <f>($J1917-$F1917)*100</f>
        <v/>
      </c>
      <c r="AW1917" s="82">
        <f>($L1917-$F1917)*100</f>
        <v/>
      </c>
      <c r="AX1917" s="82">
        <f>($J1917-$H1917)*100</f>
        <v/>
      </c>
      <c r="AY1917" s="82">
        <f>($L1917-$H1917)*100</f>
        <v/>
      </c>
      <c r="AZ1917" s="82">
        <f>($L1917-$J1917)*100</f>
        <v/>
      </c>
      <c r="BA1917" s="82">
        <f>(2*$H1917-$F1917-$J1917)*100</f>
        <v/>
      </c>
      <c r="BB1917" s="82">
        <f>(2*$J1917-$H1917-$L1917)*100</f>
        <v/>
      </c>
      <c r="BC1917" s="82">
        <f>($N1917-$F1917)*100</f>
        <v/>
      </c>
      <c r="BD1917" s="82">
        <f>($Q1917-$H1917)*100</f>
        <v/>
      </c>
      <c r="BE1917" s="82">
        <f>($S1917-$J1917)*100</f>
        <v/>
      </c>
      <c r="BF1917" s="82">
        <f>($V1917-$L1917)*100</f>
        <v/>
      </c>
      <c r="BG1917" s="82">
        <f>$AG1917-$AF1917</f>
        <v/>
      </c>
      <c r="BH1917" s="81">
        <f>IFERROR($AG1917/$AF1917,"")</f>
        <v/>
      </c>
      <c r="BI1917" s="82">
        <f>$AJ1917-$AF1917</f>
        <v/>
      </c>
      <c r="BJ1917" s="81">
        <f>IFERROR($AJ1917/$AG1917,"")</f>
        <v/>
      </c>
      <c r="BK1917" s="81">
        <f>$X1917</f>
        <v/>
      </c>
      <c r="BL1917" s="82">
        <f>($J1917-$J1918)*100</f>
        <v/>
      </c>
      <c r="BM1917" s="82">
        <f>($F1917-$F1918)*100</f>
        <v/>
      </c>
      <c r="BN1917" s="82">
        <f>$AF1917-$AF1918</f>
        <v/>
      </c>
      <c r="BO1917" s="82">
        <f>$AG1917-$AG1918</f>
        <v/>
      </c>
      <c r="BP1917" s="82">
        <f>$AJ1917-$AJ1918</f>
        <v/>
      </c>
    </row>
    <row r="1918">
      <c r="AR1918" s="81">
        <f>($G1918+($H1918-$G1918)*0.5)+($P1918-($O1918+($Q1918-$O1918)*0.5))</f>
        <v/>
      </c>
      <c r="AS1918" s="81">
        <f>($J1918+($K1918-$J1918)*0.5)+($T1918-($S1918+($U1918-$S1918)*0.5))</f>
        <v/>
      </c>
      <c r="AT1918" s="82">
        <f>($J1918-$C1918)*100</f>
        <v/>
      </c>
      <c r="AU1918" s="82">
        <f>($H1918-$F1918)*100</f>
        <v/>
      </c>
      <c r="AV1918" s="82">
        <f>($J1918-$F1918)*100</f>
        <v/>
      </c>
      <c r="AW1918" s="82">
        <f>($L1918-$F1918)*100</f>
        <v/>
      </c>
      <c r="AX1918" s="82">
        <f>($J1918-$H1918)*100</f>
        <v/>
      </c>
      <c r="AY1918" s="82">
        <f>($L1918-$H1918)*100</f>
        <v/>
      </c>
      <c r="AZ1918" s="82">
        <f>($L1918-$J1918)*100</f>
        <v/>
      </c>
      <c r="BA1918" s="82">
        <f>(2*$H1918-$F1918-$J1918)*100</f>
        <v/>
      </c>
      <c r="BB1918" s="82">
        <f>(2*$J1918-$H1918-$L1918)*100</f>
        <v/>
      </c>
      <c r="BC1918" s="82">
        <f>($N1918-$F1918)*100</f>
        <v/>
      </c>
      <c r="BD1918" s="82">
        <f>($Q1918-$H1918)*100</f>
        <v/>
      </c>
      <c r="BE1918" s="82">
        <f>($S1918-$J1918)*100</f>
        <v/>
      </c>
      <c r="BF1918" s="82">
        <f>($V1918-$L1918)*100</f>
        <v/>
      </c>
      <c r="BG1918" s="82">
        <f>$AG1918-$AF1918</f>
        <v/>
      </c>
      <c r="BH1918" s="81">
        <f>IFERROR($AG1918/$AF1918,"")</f>
        <v/>
      </c>
      <c r="BI1918" s="82">
        <f>$AJ1918-$AF1918</f>
        <v/>
      </c>
      <c r="BJ1918" s="81">
        <f>IFERROR($AJ1918/$AG1918,"")</f>
        <v/>
      </c>
      <c r="BK1918" s="81">
        <f>$X1918</f>
        <v/>
      </c>
      <c r="BL1918" s="82">
        <f>($J1918-$J1919)*100</f>
        <v/>
      </c>
      <c r="BM1918" s="82">
        <f>($F1918-$F1919)*100</f>
        <v/>
      </c>
      <c r="BN1918" s="82">
        <f>$AF1918-$AF1919</f>
        <v/>
      </c>
      <c r="BO1918" s="82">
        <f>$AG1918-$AG1919</f>
        <v/>
      </c>
      <c r="BP1918" s="82">
        <f>$AJ1918-$AJ1919</f>
        <v/>
      </c>
    </row>
    <row r="1919">
      <c r="AR1919" s="81">
        <f>($G1919+($H1919-$G1919)*0.5)+($P1919-($O1919+($Q1919-$O1919)*0.5))</f>
        <v/>
      </c>
      <c r="AS1919" s="81">
        <f>($J1919+($K1919-$J1919)*0.5)+($T1919-($S1919+($U1919-$S1919)*0.5))</f>
        <v/>
      </c>
      <c r="AT1919" s="82">
        <f>($J1919-$C1919)*100</f>
        <v/>
      </c>
      <c r="AU1919" s="82">
        <f>($H1919-$F1919)*100</f>
        <v/>
      </c>
      <c r="AV1919" s="82">
        <f>($J1919-$F1919)*100</f>
        <v/>
      </c>
      <c r="AW1919" s="82">
        <f>($L1919-$F1919)*100</f>
        <v/>
      </c>
      <c r="AX1919" s="82">
        <f>($J1919-$H1919)*100</f>
        <v/>
      </c>
      <c r="AY1919" s="82">
        <f>($L1919-$H1919)*100</f>
        <v/>
      </c>
      <c r="AZ1919" s="82">
        <f>($L1919-$J1919)*100</f>
        <v/>
      </c>
      <c r="BA1919" s="82">
        <f>(2*$H1919-$F1919-$J1919)*100</f>
        <v/>
      </c>
      <c r="BB1919" s="82">
        <f>(2*$J1919-$H1919-$L1919)*100</f>
        <v/>
      </c>
      <c r="BC1919" s="82">
        <f>($N1919-$F1919)*100</f>
        <v/>
      </c>
      <c r="BD1919" s="82">
        <f>($Q1919-$H1919)*100</f>
        <v/>
      </c>
      <c r="BE1919" s="82">
        <f>($S1919-$J1919)*100</f>
        <v/>
      </c>
      <c r="BF1919" s="82">
        <f>($V1919-$L1919)*100</f>
        <v/>
      </c>
      <c r="BG1919" s="82">
        <f>$AG1919-$AF1919</f>
        <v/>
      </c>
      <c r="BH1919" s="81">
        <f>IFERROR($AG1919/$AF1919,"")</f>
        <v/>
      </c>
      <c r="BI1919" s="82">
        <f>$AJ1919-$AF1919</f>
        <v/>
      </c>
      <c r="BJ1919" s="81">
        <f>IFERROR($AJ1919/$AG1919,"")</f>
        <v/>
      </c>
      <c r="BK1919" s="81">
        <f>$X1919</f>
        <v/>
      </c>
      <c r="BL1919" s="82">
        <f>($J1919-$J1920)*100</f>
        <v/>
      </c>
      <c r="BM1919" s="82">
        <f>($F1919-$F1920)*100</f>
        <v/>
      </c>
      <c r="BN1919" s="82">
        <f>$AF1919-$AF1920</f>
        <v/>
      </c>
      <c r="BO1919" s="82">
        <f>$AG1919-$AG1920</f>
        <v/>
      </c>
      <c r="BP1919" s="82">
        <f>$AJ1919-$AJ1920</f>
        <v/>
      </c>
    </row>
    <row r="1920">
      <c r="AR1920" s="81">
        <f>($G1920+($H1920-$G1920)*0.5)+($P1920-($O1920+($Q1920-$O1920)*0.5))</f>
        <v/>
      </c>
      <c r="AS1920" s="81">
        <f>($J1920+($K1920-$J1920)*0.5)+($T1920-($S1920+($U1920-$S1920)*0.5))</f>
        <v/>
      </c>
      <c r="AT1920" s="82">
        <f>($J1920-$C1920)*100</f>
        <v/>
      </c>
      <c r="AU1920" s="82">
        <f>($H1920-$F1920)*100</f>
        <v/>
      </c>
      <c r="AV1920" s="82">
        <f>($J1920-$F1920)*100</f>
        <v/>
      </c>
      <c r="AW1920" s="82">
        <f>($L1920-$F1920)*100</f>
        <v/>
      </c>
      <c r="AX1920" s="82">
        <f>($J1920-$H1920)*100</f>
        <v/>
      </c>
      <c r="AY1920" s="82">
        <f>($L1920-$H1920)*100</f>
        <v/>
      </c>
      <c r="AZ1920" s="82">
        <f>($L1920-$J1920)*100</f>
        <v/>
      </c>
      <c r="BA1920" s="82">
        <f>(2*$H1920-$F1920-$J1920)*100</f>
        <v/>
      </c>
      <c r="BB1920" s="82">
        <f>(2*$J1920-$H1920-$L1920)*100</f>
        <v/>
      </c>
      <c r="BC1920" s="82">
        <f>($N1920-$F1920)*100</f>
        <v/>
      </c>
      <c r="BD1920" s="82">
        <f>($Q1920-$H1920)*100</f>
        <v/>
      </c>
      <c r="BE1920" s="82">
        <f>($S1920-$J1920)*100</f>
        <v/>
      </c>
      <c r="BF1920" s="82">
        <f>($V1920-$L1920)*100</f>
        <v/>
      </c>
      <c r="BG1920" s="82">
        <f>$AG1920-$AF1920</f>
        <v/>
      </c>
      <c r="BH1920" s="81">
        <f>IFERROR($AG1920/$AF1920,"")</f>
        <v/>
      </c>
      <c r="BI1920" s="82">
        <f>$AJ1920-$AF1920</f>
        <v/>
      </c>
      <c r="BJ1920" s="81">
        <f>IFERROR($AJ1920/$AG1920,"")</f>
        <v/>
      </c>
      <c r="BK1920" s="81">
        <f>$X1920</f>
        <v/>
      </c>
      <c r="BL1920" s="82">
        <f>($J1920-$J1921)*100</f>
        <v/>
      </c>
      <c r="BM1920" s="82">
        <f>($F1920-$F1921)*100</f>
        <v/>
      </c>
      <c r="BN1920" s="82">
        <f>$AF1920-$AF1921</f>
        <v/>
      </c>
      <c r="BO1920" s="82">
        <f>$AG1920-$AG1921</f>
        <v/>
      </c>
      <c r="BP1920" s="82">
        <f>$AJ1920-$AJ1921</f>
        <v/>
      </c>
    </row>
    <row r="1921">
      <c r="AR1921" s="81">
        <f>($G1921+($H1921-$G1921)*0.5)+($P1921-($O1921+($Q1921-$O1921)*0.5))</f>
        <v/>
      </c>
      <c r="AS1921" s="81">
        <f>($J1921+($K1921-$J1921)*0.5)+($T1921-($S1921+($U1921-$S1921)*0.5))</f>
        <v/>
      </c>
      <c r="AT1921" s="82">
        <f>($J1921-$C1921)*100</f>
        <v/>
      </c>
      <c r="AU1921" s="82">
        <f>($H1921-$F1921)*100</f>
        <v/>
      </c>
      <c r="AV1921" s="82">
        <f>($J1921-$F1921)*100</f>
        <v/>
      </c>
      <c r="AW1921" s="82">
        <f>($L1921-$F1921)*100</f>
        <v/>
      </c>
      <c r="AX1921" s="82">
        <f>($J1921-$H1921)*100</f>
        <v/>
      </c>
      <c r="AY1921" s="82">
        <f>($L1921-$H1921)*100</f>
        <v/>
      </c>
      <c r="AZ1921" s="82">
        <f>($L1921-$J1921)*100</f>
        <v/>
      </c>
      <c r="BA1921" s="82">
        <f>(2*$H1921-$F1921-$J1921)*100</f>
        <v/>
      </c>
      <c r="BB1921" s="82">
        <f>(2*$J1921-$H1921-$L1921)*100</f>
        <v/>
      </c>
      <c r="BC1921" s="82">
        <f>($N1921-$F1921)*100</f>
        <v/>
      </c>
      <c r="BD1921" s="82">
        <f>($Q1921-$H1921)*100</f>
        <v/>
      </c>
      <c r="BE1921" s="82">
        <f>($S1921-$J1921)*100</f>
        <v/>
      </c>
      <c r="BF1921" s="82">
        <f>($V1921-$L1921)*100</f>
        <v/>
      </c>
      <c r="BG1921" s="82">
        <f>$AG1921-$AF1921</f>
        <v/>
      </c>
      <c r="BH1921" s="81">
        <f>IFERROR($AG1921/$AF1921,"")</f>
        <v/>
      </c>
      <c r="BI1921" s="82">
        <f>$AJ1921-$AF1921</f>
        <v/>
      </c>
      <c r="BJ1921" s="81">
        <f>IFERROR($AJ1921/$AG1921,"")</f>
        <v/>
      </c>
      <c r="BK1921" s="81">
        <f>$X1921</f>
        <v/>
      </c>
      <c r="BL1921" s="82">
        <f>($J1921-$J1922)*100</f>
        <v/>
      </c>
      <c r="BM1921" s="82">
        <f>($F1921-$F1922)*100</f>
        <v/>
      </c>
      <c r="BN1921" s="82">
        <f>$AF1921-$AF1922</f>
        <v/>
      </c>
      <c r="BO1921" s="82">
        <f>$AG1921-$AG1922</f>
        <v/>
      </c>
      <c r="BP1921" s="82">
        <f>$AJ1921-$AJ1922</f>
        <v/>
      </c>
    </row>
    <row r="1922">
      <c r="AR1922" s="81">
        <f>($G1922+($H1922-$G1922)*0.5)+($P1922-($O1922+($Q1922-$O1922)*0.5))</f>
        <v/>
      </c>
      <c r="AS1922" s="81">
        <f>($J1922+($K1922-$J1922)*0.5)+($T1922-($S1922+($U1922-$S1922)*0.5))</f>
        <v/>
      </c>
      <c r="AT1922" s="82">
        <f>($J1922-$C1922)*100</f>
        <v/>
      </c>
      <c r="AU1922" s="82">
        <f>($H1922-$F1922)*100</f>
        <v/>
      </c>
      <c r="AV1922" s="82">
        <f>($J1922-$F1922)*100</f>
        <v/>
      </c>
      <c r="AW1922" s="82">
        <f>($L1922-$F1922)*100</f>
        <v/>
      </c>
      <c r="AX1922" s="82">
        <f>($J1922-$H1922)*100</f>
        <v/>
      </c>
      <c r="AY1922" s="82">
        <f>($L1922-$H1922)*100</f>
        <v/>
      </c>
      <c r="AZ1922" s="82">
        <f>($L1922-$J1922)*100</f>
        <v/>
      </c>
      <c r="BA1922" s="82">
        <f>(2*$H1922-$F1922-$J1922)*100</f>
        <v/>
      </c>
      <c r="BB1922" s="82">
        <f>(2*$J1922-$H1922-$L1922)*100</f>
        <v/>
      </c>
      <c r="BC1922" s="82">
        <f>($N1922-$F1922)*100</f>
        <v/>
      </c>
      <c r="BD1922" s="82">
        <f>($Q1922-$H1922)*100</f>
        <v/>
      </c>
      <c r="BE1922" s="82">
        <f>($S1922-$J1922)*100</f>
        <v/>
      </c>
      <c r="BF1922" s="82">
        <f>($V1922-$L1922)*100</f>
        <v/>
      </c>
      <c r="BG1922" s="82">
        <f>$AG1922-$AF1922</f>
        <v/>
      </c>
      <c r="BH1922" s="81">
        <f>IFERROR($AG1922/$AF1922,"")</f>
        <v/>
      </c>
      <c r="BI1922" s="82">
        <f>$AJ1922-$AF1922</f>
        <v/>
      </c>
      <c r="BJ1922" s="81">
        <f>IFERROR($AJ1922/$AG1922,"")</f>
        <v/>
      </c>
      <c r="BK1922" s="81">
        <f>$X1922</f>
        <v/>
      </c>
      <c r="BL1922" s="82">
        <f>($J1922-$J1923)*100</f>
        <v/>
      </c>
      <c r="BM1922" s="82">
        <f>($F1922-$F1923)*100</f>
        <v/>
      </c>
      <c r="BN1922" s="82">
        <f>$AF1922-$AF1923</f>
        <v/>
      </c>
      <c r="BO1922" s="82">
        <f>$AG1922-$AG1923</f>
        <v/>
      </c>
      <c r="BP1922" s="82">
        <f>$AJ1922-$AJ1923</f>
        <v/>
      </c>
    </row>
    <row r="1923">
      <c r="AR1923" s="81">
        <f>($G1923+($H1923-$G1923)*0.5)+($P1923-($O1923+($Q1923-$O1923)*0.5))</f>
        <v/>
      </c>
      <c r="AS1923" s="81">
        <f>($J1923+($K1923-$J1923)*0.5)+($T1923-($S1923+($U1923-$S1923)*0.5))</f>
        <v/>
      </c>
      <c r="AT1923" s="82">
        <f>($J1923-$C1923)*100</f>
        <v/>
      </c>
      <c r="AU1923" s="82">
        <f>($H1923-$F1923)*100</f>
        <v/>
      </c>
      <c r="AV1923" s="82">
        <f>($J1923-$F1923)*100</f>
        <v/>
      </c>
      <c r="AW1923" s="82">
        <f>($L1923-$F1923)*100</f>
        <v/>
      </c>
      <c r="AX1923" s="82">
        <f>($J1923-$H1923)*100</f>
        <v/>
      </c>
      <c r="AY1923" s="82">
        <f>($L1923-$H1923)*100</f>
        <v/>
      </c>
      <c r="AZ1923" s="82">
        <f>($L1923-$J1923)*100</f>
        <v/>
      </c>
      <c r="BA1923" s="82">
        <f>(2*$H1923-$F1923-$J1923)*100</f>
        <v/>
      </c>
      <c r="BB1923" s="82">
        <f>(2*$J1923-$H1923-$L1923)*100</f>
        <v/>
      </c>
      <c r="BC1923" s="82">
        <f>($N1923-$F1923)*100</f>
        <v/>
      </c>
      <c r="BD1923" s="82">
        <f>($Q1923-$H1923)*100</f>
        <v/>
      </c>
      <c r="BE1923" s="82">
        <f>($S1923-$J1923)*100</f>
        <v/>
      </c>
      <c r="BF1923" s="82">
        <f>($V1923-$L1923)*100</f>
        <v/>
      </c>
      <c r="BG1923" s="82">
        <f>$AG1923-$AF1923</f>
        <v/>
      </c>
      <c r="BH1923" s="81">
        <f>IFERROR($AG1923/$AF1923,"")</f>
        <v/>
      </c>
      <c r="BI1923" s="82">
        <f>$AJ1923-$AF1923</f>
        <v/>
      </c>
      <c r="BJ1923" s="81">
        <f>IFERROR($AJ1923/$AG1923,"")</f>
        <v/>
      </c>
      <c r="BK1923" s="81">
        <f>$X1923</f>
        <v/>
      </c>
      <c r="BL1923" s="82">
        <f>($J1923-$J1924)*100</f>
        <v/>
      </c>
      <c r="BM1923" s="82">
        <f>($F1923-$F1924)*100</f>
        <v/>
      </c>
      <c r="BN1923" s="82">
        <f>$AF1923-$AF1924</f>
        <v/>
      </c>
      <c r="BO1923" s="82">
        <f>$AG1923-$AG1924</f>
        <v/>
      </c>
      <c r="BP1923" s="82">
        <f>$AJ1923-$AJ1924</f>
        <v/>
      </c>
    </row>
    <row r="1924">
      <c r="AR1924" s="81">
        <f>($G1924+($H1924-$G1924)*0.5)+($P1924-($O1924+($Q1924-$O1924)*0.5))</f>
        <v/>
      </c>
      <c r="AS1924" s="81">
        <f>($J1924+($K1924-$J1924)*0.5)+($T1924-($S1924+($U1924-$S1924)*0.5))</f>
        <v/>
      </c>
      <c r="AT1924" s="82">
        <f>($J1924-$C1924)*100</f>
        <v/>
      </c>
      <c r="AU1924" s="82">
        <f>($H1924-$F1924)*100</f>
        <v/>
      </c>
      <c r="AV1924" s="82">
        <f>($J1924-$F1924)*100</f>
        <v/>
      </c>
      <c r="AW1924" s="82">
        <f>($L1924-$F1924)*100</f>
        <v/>
      </c>
      <c r="AX1924" s="82">
        <f>($J1924-$H1924)*100</f>
        <v/>
      </c>
      <c r="AY1924" s="82">
        <f>($L1924-$H1924)*100</f>
        <v/>
      </c>
      <c r="AZ1924" s="82">
        <f>($L1924-$J1924)*100</f>
        <v/>
      </c>
      <c r="BA1924" s="82">
        <f>(2*$H1924-$F1924-$J1924)*100</f>
        <v/>
      </c>
      <c r="BB1924" s="82">
        <f>(2*$J1924-$H1924-$L1924)*100</f>
        <v/>
      </c>
      <c r="BC1924" s="82">
        <f>($N1924-$F1924)*100</f>
        <v/>
      </c>
      <c r="BD1924" s="82">
        <f>($Q1924-$H1924)*100</f>
        <v/>
      </c>
      <c r="BE1924" s="82">
        <f>($S1924-$J1924)*100</f>
        <v/>
      </c>
      <c r="BF1924" s="82">
        <f>($V1924-$L1924)*100</f>
        <v/>
      </c>
      <c r="BG1924" s="82">
        <f>$AG1924-$AF1924</f>
        <v/>
      </c>
      <c r="BH1924" s="81">
        <f>IFERROR($AG1924/$AF1924,"")</f>
        <v/>
      </c>
      <c r="BI1924" s="82">
        <f>$AJ1924-$AF1924</f>
        <v/>
      </c>
      <c r="BJ1924" s="81">
        <f>IFERROR($AJ1924/$AG1924,"")</f>
        <v/>
      </c>
      <c r="BK1924" s="81">
        <f>$X1924</f>
        <v/>
      </c>
      <c r="BL1924" s="82">
        <f>($J1924-$J1925)*100</f>
        <v/>
      </c>
      <c r="BM1924" s="82">
        <f>($F1924-$F1925)*100</f>
        <v/>
      </c>
      <c r="BN1924" s="82">
        <f>$AF1924-$AF1925</f>
        <v/>
      </c>
      <c r="BO1924" s="82">
        <f>$AG1924-$AG1925</f>
        <v/>
      </c>
      <c r="BP1924" s="82">
        <f>$AJ1924-$AJ1925</f>
        <v/>
      </c>
    </row>
    <row r="1925">
      <c r="AR1925" s="81">
        <f>($G1925+($H1925-$G1925)*0.5)+($P1925-($O1925+($Q1925-$O1925)*0.5))</f>
        <v/>
      </c>
      <c r="AS1925" s="81">
        <f>($J1925+($K1925-$J1925)*0.5)+($T1925-($S1925+($U1925-$S1925)*0.5))</f>
        <v/>
      </c>
      <c r="AT1925" s="82">
        <f>($J1925-$C1925)*100</f>
        <v/>
      </c>
      <c r="AU1925" s="82">
        <f>($H1925-$F1925)*100</f>
        <v/>
      </c>
      <c r="AV1925" s="82">
        <f>($J1925-$F1925)*100</f>
        <v/>
      </c>
      <c r="AW1925" s="82">
        <f>($L1925-$F1925)*100</f>
        <v/>
      </c>
      <c r="AX1925" s="82">
        <f>($J1925-$H1925)*100</f>
        <v/>
      </c>
      <c r="AY1925" s="82">
        <f>($L1925-$H1925)*100</f>
        <v/>
      </c>
      <c r="AZ1925" s="82">
        <f>($L1925-$J1925)*100</f>
        <v/>
      </c>
      <c r="BA1925" s="82">
        <f>(2*$H1925-$F1925-$J1925)*100</f>
        <v/>
      </c>
      <c r="BB1925" s="82">
        <f>(2*$J1925-$H1925-$L1925)*100</f>
        <v/>
      </c>
      <c r="BC1925" s="82">
        <f>($N1925-$F1925)*100</f>
        <v/>
      </c>
      <c r="BD1925" s="82">
        <f>($Q1925-$H1925)*100</f>
        <v/>
      </c>
      <c r="BE1925" s="82">
        <f>($S1925-$J1925)*100</f>
        <v/>
      </c>
      <c r="BF1925" s="82">
        <f>($V1925-$L1925)*100</f>
        <v/>
      </c>
      <c r="BG1925" s="82">
        <f>$AG1925-$AF1925</f>
        <v/>
      </c>
      <c r="BH1925" s="81">
        <f>IFERROR($AG1925/$AF1925,"")</f>
        <v/>
      </c>
      <c r="BI1925" s="82">
        <f>$AJ1925-$AF1925</f>
        <v/>
      </c>
      <c r="BJ1925" s="81">
        <f>IFERROR($AJ1925/$AG1925,"")</f>
        <v/>
      </c>
      <c r="BK1925" s="81">
        <f>$X1925</f>
        <v/>
      </c>
      <c r="BL1925" s="82">
        <f>($J1925-$J1926)*100</f>
        <v/>
      </c>
      <c r="BM1925" s="82">
        <f>($F1925-$F1926)*100</f>
        <v/>
      </c>
      <c r="BN1925" s="82">
        <f>$AF1925-$AF1926</f>
        <v/>
      </c>
      <c r="BO1925" s="82">
        <f>$AG1925-$AG1926</f>
        <v/>
      </c>
      <c r="BP1925" s="82">
        <f>$AJ1925-$AJ1926</f>
        <v/>
      </c>
    </row>
    <row r="1926">
      <c r="AR1926" s="81">
        <f>($G1926+($H1926-$G1926)*0.5)+($P1926-($O1926+($Q1926-$O1926)*0.5))</f>
        <v/>
      </c>
      <c r="AS1926" s="81">
        <f>($J1926+($K1926-$J1926)*0.5)+($T1926-($S1926+($U1926-$S1926)*0.5))</f>
        <v/>
      </c>
      <c r="AT1926" s="82">
        <f>($J1926-$C1926)*100</f>
        <v/>
      </c>
      <c r="AU1926" s="82">
        <f>($H1926-$F1926)*100</f>
        <v/>
      </c>
      <c r="AV1926" s="82">
        <f>($J1926-$F1926)*100</f>
        <v/>
      </c>
      <c r="AW1926" s="82">
        <f>($L1926-$F1926)*100</f>
        <v/>
      </c>
      <c r="AX1926" s="82">
        <f>($J1926-$H1926)*100</f>
        <v/>
      </c>
      <c r="AY1926" s="82">
        <f>($L1926-$H1926)*100</f>
        <v/>
      </c>
      <c r="AZ1926" s="82">
        <f>($L1926-$J1926)*100</f>
        <v/>
      </c>
      <c r="BA1926" s="82">
        <f>(2*$H1926-$F1926-$J1926)*100</f>
        <v/>
      </c>
      <c r="BB1926" s="82">
        <f>(2*$J1926-$H1926-$L1926)*100</f>
        <v/>
      </c>
      <c r="BC1926" s="82">
        <f>($N1926-$F1926)*100</f>
        <v/>
      </c>
      <c r="BD1926" s="82">
        <f>($Q1926-$H1926)*100</f>
        <v/>
      </c>
      <c r="BE1926" s="82">
        <f>($S1926-$J1926)*100</f>
        <v/>
      </c>
      <c r="BF1926" s="82">
        <f>($V1926-$L1926)*100</f>
        <v/>
      </c>
      <c r="BG1926" s="82">
        <f>$AG1926-$AF1926</f>
        <v/>
      </c>
      <c r="BH1926" s="81">
        <f>IFERROR($AG1926/$AF1926,"")</f>
        <v/>
      </c>
      <c r="BI1926" s="82">
        <f>$AJ1926-$AF1926</f>
        <v/>
      </c>
      <c r="BJ1926" s="81">
        <f>IFERROR($AJ1926/$AG1926,"")</f>
        <v/>
      </c>
      <c r="BK1926" s="81">
        <f>$X1926</f>
        <v/>
      </c>
      <c r="BL1926" s="82">
        <f>($J1926-$J1927)*100</f>
        <v/>
      </c>
      <c r="BM1926" s="82">
        <f>($F1926-$F1927)*100</f>
        <v/>
      </c>
      <c r="BN1926" s="82">
        <f>$AF1926-$AF1927</f>
        <v/>
      </c>
      <c r="BO1926" s="82">
        <f>$AG1926-$AG1927</f>
        <v/>
      </c>
      <c r="BP1926" s="82">
        <f>$AJ1926-$AJ1927</f>
        <v/>
      </c>
    </row>
    <row r="1927">
      <c r="AR1927" s="81">
        <f>($G1927+($H1927-$G1927)*0.5)+($P1927-($O1927+($Q1927-$O1927)*0.5))</f>
        <v/>
      </c>
      <c r="AS1927" s="81">
        <f>($J1927+($K1927-$J1927)*0.5)+($T1927-($S1927+($U1927-$S1927)*0.5))</f>
        <v/>
      </c>
      <c r="AT1927" s="82">
        <f>($J1927-$C1927)*100</f>
        <v/>
      </c>
      <c r="AU1927" s="82">
        <f>($H1927-$F1927)*100</f>
        <v/>
      </c>
      <c r="AV1927" s="82">
        <f>($J1927-$F1927)*100</f>
        <v/>
      </c>
      <c r="AW1927" s="82">
        <f>($L1927-$F1927)*100</f>
        <v/>
      </c>
      <c r="AX1927" s="82">
        <f>($J1927-$H1927)*100</f>
        <v/>
      </c>
      <c r="AY1927" s="82">
        <f>($L1927-$H1927)*100</f>
        <v/>
      </c>
      <c r="AZ1927" s="82">
        <f>($L1927-$J1927)*100</f>
        <v/>
      </c>
      <c r="BA1927" s="82">
        <f>(2*$H1927-$F1927-$J1927)*100</f>
        <v/>
      </c>
      <c r="BB1927" s="82">
        <f>(2*$J1927-$H1927-$L1927)*100</f>
        <v/>
      </c>
      <c r="BC1927" s="82">
        <f>($N1927-$F1927)*100</f>
        <v/>
      </c>
      <c r="BD1927" s="82">
        <f>($Q1927-$H1927)*100</f>
        <v/>
      </c>
      <c r="BE1927" s="82">
        <f>($S1927-$J1927)*100</f>
        <v/>
      </c>
      <c r="BF1927" s="82">
        <f>($V1927-$L1927)*100</f>
        <v/>
      </c>
      <c r="BG1927" s="82">
        <f>$AG1927-$AF1927</f>
        <v/>
      </c>
      <c r="BH1927" s="81">
        <f>IFERROR($AG1927/$AF1927,"")</f>
        <v/>
      </c>
      <c r="BI1927" s="82">
        <f>$AJ1927-$AF1927</f>
        <v/>
      </c>
      <c r="BJ1927" s="81">
        <f>IFERROR($AJ1927/$AG1927,"")</f>
        <v/>
      </c>
      <c r="BK1927" s="81">
        <f>$X1927</f>
        <v/>
      </c>
      <c r="BL1927" s="82">
        <f>($J1927-$J1928)*100</f>
        <v/>
      </c>
      <c r="BM1927" s="82">
        <f>($F1927-$F1928)*100</f>
        <v/>
      </c>
      <c r="BN1927" s="82">
        <f>$AF1927-$AF1928</f>
        <v/>
      </c>
      <c r="BO1927" s="82">
        <f>$AG1927-$AG1928</f>
        <v/>
      </c>
      <c r="BP1927" s="82">
        <f>$AJ1927-$AJ1928</f>
        <v/>
      </c>
    </row>
    <row r="1928">
      <c r="AR1928" s="81">
        <f>($G1928+($H1928-$G1928)*0.5)+($P1928-($O1928+($Q1928-$O1928)*0.5))</f>
        <v/>
      </c>
      <c r="AS1928" s="81">
        <f>($J1928+($K1928-$J1928)*0.5)+($T1928-($S1928+($U1928-$S1928)*0.5))</f>
        <v/>
      </c>
      <c r="AT1928" s="82">
        <f>($J1928-$C1928)*100</f>
        <v/>
      </c>
      <c r="AU1928" s="82">
        <f>($H1928-$F1928)*100</f>
        <v/>
      </c>
      <c r="AV1928" s="82">
        <f>($J1928-$F1928)*100</f>
        <v/>
      </c>
      <c r="AW1928" s="82">
        <f>($L1928-$F1928)*100</f>
        <v/>
      </c>
      <c r="AX1928" s="82">
        <f>($J1928-$H1928)*100</f>
        <v/>
      </c>
      <c r="AY1928" s="82">
        <f>($L1928-$H1928)*100</f>
        <v/>
      </c>
      <c r="AZ1928" s="82">
        <f>($L1928-$J1928)*100</f>
        <v/>
      </c>
      <c r="BA1928" s="82">
        <f>(2*$H1928-$F1928-$J1928)*100</f>
        <v/>
      </c>
      <c r="BB1928" s="82">
        <f>(2*$J1928-$H1928-$L1928)*100</f>
        <v/>
      </c>
      <c r="BC1928" s="82">
        <f>($N1928-$F1928)*100</f>
        <v/>
      </c>
      <c r="BD1928" s="82">
        <f>($Q1928-$H1928)*100</f>
        <v/>
      </c>
      <c r="BE1928" s="82">
        <f>($S1928-$J1928)*100</f>
        <v/>
      </c>
      <c r="BF1928" s="82">
        <f>($V1928-$L1928)*100</f>
        <v/>
      </c>
      <c r="BG1928" s="82">
        <f>$AG1928-$AF1928</f>
        <v/>
      </c>
      <c r="BH1928" s="81">
        <f>IFERROR($AG1928/$AF1928,"")</f>
        <v/>
      </c>
      <c r="BI1928" s="82">
        <f>$AJ1928-$AF1928</f>
        <v/>
      </c>
      <c r="BJ1928" s="81">
        <f>IFERROR($AJ1928/$AG1928,"")</f>
        <v/>
      </c>
      <c r="BK1928" s="81">
        <f>$X1928</f>
        <v/>
      </c>
      <c r="BL1928" s="82">
        <f>($J1928-$J1929)*100</f>
        <v/>
      </c>
      <c r="BM1928" s="82">
        <f>($F1928-$F1929)*100</f>
        <v/>
      </c>
      <c r="BN1928" s="82">
        <f>$AF1928-$AF1929</f>
        <v/>
      </c>
      <c r="BO1928" s="82">
        <f>$AG1928-$AG1929</f>
        <v/>
      </c>
      <c r="BP1928" s="82">
        <f>$AJ1928-$AJ1929</f>
        <v/>
      </c>
    </row>
    <row r="1929">
      <c r="AR1929" s="81">
        <f>($G1929+($H1929-$G1929)*0.5)+($P1929-($O1929+($Q1929-$O1929)*0.5))</f>
        <v/>
      </c>
      <c r="AS1929" s="81">
        <f>($J1929+($K1929-$J1929)*0.5)+($T1929-($S1929+($U1929-$S1929)*0.5))</f>
        <v/>
      </c>
      <c r="AT1929" s="82">
        <f>($J1929-$C1929)*100</f>
        <v/>
      </c>
      <c r="AU1929" s="82">
        <f>($H1929-$F1929)*100</f>
        <v/>
      </c>
      <c r="AV1929" s="82">
        <f>($J1929-$F1929)*100</f>
        <v/>
      </c>
      <c r="AW1929" s="82">
        <f>($L1929-$F1929)*100</f>
        <v/>
      </c>
      <c r="AX1929" s="82">
        <f>($J1929-$H1929)*100</f>
        <v/>
      </c>
      <c r="AY1929" s="82">
        <f>($L1929-$H1929)*100</f>
        <v/>
      </c>
      <c r="AZ1929" s="82">
        <f>($L1929-$J1929)*100</f>
        <v/>
      </c>
      <c r="BA1929" s="82">
        <f>(2*$H1929-$F1929-$J1929)*100</f>
        <v/>
      </c>
      <c r="BB1929" s="82">
        <f>(2*$J1929-$H1929-$L1929)*100</f>
        <v/>
      </c>
      <c r="BC1929" s="82">
        <f>($N1929-$F1929)*100</f>
        <v/>
      </c>
      <c r="BD1929" s="82">
        <f>($Q1929-$H1929)*100</f>
        <v/>
      </c>
      <c r="BE1929" s="82">
        <f>($S1929-$J1929)*100</f>
        <v/>
      </c>
      <c r="BF1929" s="82">
        <f>($V1929-$L1929)*100</f>
        <v/>
      </c>
      <c r="BG1929" s="82">
        <f>$AG1929-$AF1929</f>
        <v/>
      </c>
      <c r="BH1929" s="81">
        <f>IFERROR($AG1929/$AF1929,"")</f>
        <v/>
      </c>
      <c r="BI1929" s="82">
        <f>$AJ1929-$AF1929</f>
        <v/>
      </c>
      <c r="BJ1929" s="81">
        <f>IFERROR($AJ1929/$AG1929,"")</f>
        <v/>
      </c>
      <c r="BK1929" s="81">
        <f>$X1929</f>
        <v/>
      </c>
      <c r="BL1929" s="82">
        <f>($J1929-$J1930)*100</f>
        <v/>
      </c>
      <c r="BM1929" s="82">
        <f>($F1929-$F1930)*100</f>
        <v/>
      </c>
      <c r="BN1929" s="82">
        <f>$AF1929-$AF1930</f>
        <v/>
      </c>
      <c r="BO1929" s="82">
        <f>$AG1929-$AG1930</f>
        <v/>
      </c>
      <c r="BP1929" s="82">
        <f>$AJ1929-$AJ1930</f>
        <v/>
      </c>
    </row>
    <row r="1930">
      <c r="AR1930" s="81">
        <f>($G1930+($H1930-$G1930)*0.5)+($P1930-($O1930+($Q1930-$O1930)*0.5))</f>
        <v/>
      </c>
      <c r="AS1930" s="81">
        <f>($J1930+($K1930-$J1930)*0.5)+($T1930-($S1930+($U1930-$S1930)*0.5))</f>
        <v/>
      </c>
      <c r="AT1930" s="82">
        <f>($J1930-$C1930)*100</f>
        <v/>
      </c>
      <c r="AU1930" s="82">
        <f>($H1930-$F1930)*100</f>
        <v/>
      </c>
      <c r="AV1930" s="82">
        <f>($J1930-$F1930)*100</f>
        <v/>
      </c>
      <c r="AW1930" s="82">
        <f>($L1930-$F1930)*100</f>
        <v/>
      </c>
      <c r="AX1930" s="82">
        <f>($J1930-$H1930)*100</f>
        <v/>
      </c>
      <c r="AY1930" s="82">
        <f>($L1930-$H1930)*100</f>
        <v/>
      </c>
      <c r="AZ1930" s="82">
        <f>($L1930-$J1930)*100</f>
        <v/>
      </c>
      <c r="BA1930" s="82">
        <f>(2*$H1930-$F1930-$J1930)*100</f>
        <v/>
      </c>
      <c r="BB1930" s="82">
        <f>(2*$J1930-$H1930-$L1930)*100</f>
        <v/>
      </c>
      <c r="BC1930" s="82">
        <f>($N1930-$F1930)*100</f>
        <v/>
      </c>
      <c r="BD1930" s="82">
        <f>($Q1930-$H1930)*100</f>
        <v/>
      </c>
      <c r="BE1930" s="82">
        <f>($S1930-$J1930)*100</f>
        <v/>
      </c>
      <c r="BF1930" s="82">
        <f>($V1930-$L1930)*100</f>
        <v/>
      </c>
      <c r="BG1930" s="82">
        <f>$AG1930-$AF1930</f>
        <v/>
      </c>
      <c r="BH1930" s="81">
        <f>IFERROR($AG1930/$AF1930,"")</f>
        <v/>
      </c>
      <c r="BI1930" s="82">
        <f>$AJ1930-$AF1930</f>
        <v/>
      </c>
      <c r="BJ1930" s="81">
        <f>IFERROR($AJ1930/$AG1930,"")</f>
        <v/>
      </c>
      <c r="BK1930" s="81">
        <f>$X1930</f>
        <v/>
      </c>
      <c r="BL1930" s="82">
        <f>($J1930-$J1931)*100</f>
        <v/>
      </c>
      <c r="BM1930" s="82">
        <f>($F1930-$F1931)*100</f>
        <v/>
      </c>
      <c r="BN1930" s="82">
        <f>$AF1930-$AF1931</f>
        <v/>
      </c>
      <c r="BO1930" s="82">
        <f>$AG1930-$AG1931</f>
        <v/>
      </c>
      <c r="BP1930" s="82">
        <f>$AJ1930-$AJ1931</f>
        <v/>
      </c>
    </row>
    <row r="1931">
      <c r="AR1931" s="81">
        <f>($G1931+($H1931-$G1931)*0.5)+($P1931-($O1931+($Q1931-$O1931)*0.5))</f>
        <v/>
      </c>
      <c r="AS1931" s="81">
        <f>($J1931+($K1931-$J1931)*0.5)+($T1931-($S1931+($U1931-$S1931)*0.5))</f>
        <v/>
      </c>
      <c r="AT1931" s="82">
        <f>($J1931-$C1931)*100</f>
        <v/>
      </c>
      <c r="AU1931" s="82">
        <f>($H1931-$F1931)*100</f>
        <v/>
      </c>
      <c r="AV1931" s="82">
        <f>($J1931-$F1931)*100</f>
        <v/>
      </c>
      <c r="AW1931" s="82">
        <f>($L1931-$F1931)*100</f>
        <v/>
      </c>
      <c r="AX1931" s="82">
        <f>($J1931-$H1931)*100</f>
        <v/>
      </c>
      <c r="AY1931" s="82">
        <f>($L1931-$H1931)*100</f>
        <v/>
      </c>
      <c r="AZ1931" s="82">
        <f>($L1931-$J1931)*100</f>
        <v/>
      </c>
      <c r="BA1931" s="82">
        <f>(2*$H1931-$F1931-$J1931)*100</f>
        <v/>
      </c>
      <c r="BB1931" s="82">
        <f>(2*$J1931-$H1931-$L1931)*100</f>
        <v/>
      </c>
      <c r="BC1931" s="82">
        <f>($N1931-$F1931)*100</f>
        <v/>
      </c>
      <c r="BD1931" s="82">
        <f>($Q1931-$H1931)*100</f>
        <v/>
      </c>
      <c r="BE1931" s="82">
        <f>($S1931-$J1931)*100</f>
        <v/>
      </c>
      <c r="BF1931" s="82">
        <f>($V1931-$L1931)*100</f>
        <v/>
      </c>
      <c r="BG1931" s="82">
        <f>$AG1931-$AF1931</f>
        <v/>
      </c>
      <c r="BH1931" s="81">
        <f>IFERROR($AG1931/$AF1931,"")</f>
        <v/>
      </c>
      <c r="BI1931" s="82">
        <f>$AJ1931-$AF1931</f>
        <v/>
      </c>
      <c r="BJ1931" s="81">
        <f>IFERROR($AJ1931/$AG1931,"")</f>
        <v/>
      </c>
      <c r="BK1931" s="81">
        <f>$X1931</f>
        <v/>
      </c>
      <c r="BL1931" s="82">
        <f>($J1931-$J1932)*100</f>
        <v/>
      </c>
      <c r="BM1931" s="82">
        <f>($F1931-$F1932)*100</f>
        <v/>
      </c>
      <c r="BN1931" s="82">
        <f>$AF1931-$AF1932</f>
        <v/>
      </c>
      <c r="BO1931" s="82">
        <f>$AG1931-$AG1932</f>
        <v/>
      </c>
      <c r="BP1931" s="82">
        <f>$AJ1931-$AJ1932</f>
        <v/>
      </c>
    </row>
    <row r="1932">
      <c r="AR1932" s="81">
        <f>($G1932+($H1932-$G1932)*0.5)+($P1932-($O1932+($Q1932-$O1932)*0.5))</f>
        <v/>
      </c>
      <c r="AS1932" s="81">
        <f>($J1932+($K1932-$J1932)*0.5)+($T1932-($S1932+($U1932-$S1932)*0.5))</f>
        <v/>
      </c>
      <c r="AT1932" s="82">
        <f>($J1932-$C1932)*100</f>
        <v/>
      </c>
      <c r="AU1932" s="82">
        <f>($H1932-$F1932)*100</f>
        <v/>
      </c>
      <c r="AV1932" s="82">
        <f>($J1932-$F1932)*100</f>
        <v/>
      </c>
      <c r="AW1932" s="82">
        <f>($L1932-$F1932)*100</f>
        <v/>
      </c>
      <c r="AX1932" s="82">
        <f>($J1932-$H1932)*100</f>
        <v/>
      </c>
      <c r="AY1932" s="82">
        <f>($L1932-$H1932)*100</f>
        <v/>
      </c>
      <c r="AZ1932" s="82">
        <f>($L1932-$J1932)*100</f>
        <v/>
      </c>
      <c r="BA1932" s="82">
        <f>(2*$H1932-$F1932-$J1932)*100</f>
        <v/>
      </c>
      <c r="BB1932" s="82">
        <f>(2*$J1932-$H1932-$L1932)*100</f>
        <v/>
      </c>
      <c r="BC1932" s="82">
        <f>($N1932-$F1932)*100</f>
        <v/>
      </c>
      <c r="BD1932" s="82">
        <f>($Q1932-$H1932)*100</f>
        <v/>
      </c>
      <c r="BE1932" s="82">
        <f>($S1932-$J1932)*100</f>
        <v/>
      </c>
      <c r="BF1932" s="82">
        <f>($V1932-$L1932)*100</f>
        <v/>
      </c>
      <c r="BG1932" s="82">
        <f>$AG1932-$AF1932</f>
        <v/>
      </c>
      <c r="BH1932" s="81">
        <f>IFERROR($AG1932/$AF1932,"")</f>
        <v/>
      </c>
      <c r="BI1932" s="82">
        <f>$AJ1932-$AF1932</f>
        <v/>
      </c>
      <c r="BJ1932" s="81">
        <f>IFERROR($AJ1932/$AG1932,"")</f>
        <v/>
      </c>
      <c r="BK1932" s="81">
        <f>$X1932</f>
        <v/>
      </c>
      <c r="BL1932" s="82">
        <f>($J1932-$J1933)*100</f>
        <v/>
      </c>
      <c r="BM1932" s="82">
        <f>($F1932-$F1933)*100</f>
        <v/>
      </c>
      <c r="BN1932" s="82">
        <f>$AF1932-$AF1933</f>
        <v/>
      </c>
      <c r="BO1932" s="82">
        <f>$AG1932-$AG1933</f>
        <v/>
      </c>
      <c r="BP1932" s="82">
        <f>$AJ1932-$AJ1933</f>
        <v/>
      </c>
    </row>
    <row r="1933">
      <c r="AR1933" s="81">
        <f>($G1933+($H1933-$G1933)*0.5)+($P1933-($O1933+($Q1933-$O1933)*0.5))</f>
        <v/>
      </c>
      <c r="AS1933" s="81">
        <f>($J1933+($K1933-$J1933)*0.5)+($T1933-($S1933+($U1933-$S1933)*0.5))</f>
        <v/>
      </c>
      <c r="AT1933" s="82">
        <f>($J1933-$C1933)*100</f>
        <v/>
      </c>
      <c r="AU1933" s="82">
        <f>($H1933-$F1933)*100</f>
        <v/>
      </c>
      <c r="AV1933" s="82">
        <f>($J1933-$F1933)*100</f>
        <v/>
      </c>
      <c r="AW1933" s="82">
        <f>($L1933-$F1933)*100</f>
        <v/>
      </c>
      <c r="AX1933" s="82">
        <f>($J1933-$H1933)*100</f>
        <v/>
      </c>
      <c r="AY1933" s="82">
        <f>($L1933-$H1933)*100</f>
        <v/>
      </c>
      <c r="AZ1933" s="82">
        <f>($L1933-$J1933)*100</f>
        <v/>
      </c>
      <c r="BA1933" s="82">
        <f>(2*$H1933-$F1933-$J1933)*100</f>
        <v/>
      </c>
      <c r="BB1933" s="82">
        <f>(2*$J1933-$H1933-$L1933)*100</f>
        <v/>
      </c>
      <c r="BC1933" s="82">
        <f>($N1933-$F1933)*100</f>
        <v/>
      </c>
      <c r="BD1933" s="82">
        <f>($Q1933-$H1933)*100</f>
        <v/>
      </c>
      <c r="BE1933" s="82">
        <f>($S1933-$J1933)*100</f>
        <v/>
      </c>
      <c r="BF1933" s="82">
        <f>($V1933-$L1933)*100</f>
        <v/>
      </c>
      <c r="BG1933" s="82">
        <f>$AG1933-$AF1933</f>
        <v/>
      </c>
      <c r="BH1933" s="81">
        <f>IFERROR($AG1933/$AF1933,"")</f>
        <v/>
      </c>
      <c r="BI1933" s="82">
        <f>$AJ1933-$AF1933</f>
        <v/>
      </c>
      <c r="BJ1933" s="81">
        <f>IFERROR($AJ1933/$AG1933,"")</f>
        <v/>
      </c>
      <c r="BK1933" s="81">
        <f>$X1933</f>
        <v/>
      </c>
      <c r="BL1933" s="82">
        <f>($J1933-$J1934)*100</f>
        <v/>
      </c>
      <c r="BM1933" s="82">
        <f>($F1933-$F1934)*100</f>
        <v/>
      </c>
      <c r="BN1933" s="82">
        <f>$AF1933-$AF1934</f>
        <v/>
      </c>
      <c r="BO1933" s="82">
        <f>$AG1933-$AG1934</f>
        <v/>
      </c>
      <c r="BP1933" s="82">
        <f>$AJ1933-$AJ1934</f>
        <v/>
      </c>
    </row>
    <row r="1934">
      <c r="AR1934" s="81">
        <f>($G1934+($H1934-$G1934)*0.5)+($P1934-($O1934+($Q1934-$O1934)*0.5))</f>
        <v/>
      </c>
      <c r="AS1934" s="81">
        <f>($J1934+($K1934-$J1934)*0.5)+($T1934-($S1934+($U1934-$S1934)*0.5))</f>
        <v/>
      </c>
      <c r="AT1934" s="82">
        <f>($J1934-$C1934)*100</f>
        <v/>
      </c>
      <c r="AU1934" s="82">
        <f>($H1934-$F1934)*100</f>
        <v/>
      </c>
      <c r="AV1934" s="82">
        <f>($J1934-$F1934)*100</f>
        <v/>
      </c>
      <c r="AW1934" s="82">
        <f>($L1934-$F1934)*100</f>
        <v/>
      </c>
      <c r="AX1934" s="82">
        <f>($J1934-$H1934)*100</f>
        <v/>
      </c>
      <c r="AY1934" s="82">
        <f>($L1934-$H1934)*100</f>
        <v/>
      </c>
      <c r="AZ1934" s="82">
        <f>($L1934-$J1934)*100</f>
        <v/>
      </c>
      <c r="BA1934" s="82">
        <f>(2*$H1934-$F1934-$J1934)*100</f>
        <v/>
      </c>
      <c r="BB1934" s="82">
        <f>(2*$J1934-$H1934-$L1934)*100</f>
        <v/>
      </c>
      <c r="BC1934" s="82">
        <f>($N1934-$F1934)*100</f>
        <v/>
      </c>
      <c r="BD1934" s="82">
        <f>($Q1934-$H1934)*100</f>
        <v/>
      </c>
      <c r="BE1934" s="82">
        <f>($S1934-$J1934)*100</f>
        <v/>
      </c>
      <c r="BF1934" s="82">
        <f>($V1934-$L1934)*100</f>
        <v/>
      </c>
      <c r="BG1934" s="82">
        <f>$AG1934-$AF1934</f>
        <v/>
      </c>
      <c r="BH1934" s="81">
        <f>IFERROR($AG1934/$AF1934,"")</f>
        <v/>
      </c>
      <c r="BI1934" s="82">
        <f>$AJ1934-$AF1934</f>
        <v/>
      </c>
      <c r="BJ1934" s="81">
        <f>IFERROR($AJ1934/$AG1934,"")</f>
        <v/>
      </c>
      <c r="BK1934" s="81">
        <f>$X1934</f>
        <v/>
      </c>
      <c r="BL1934" s="82">
        <f>($J1934-$J1935)*100</f>
        <v/>
      </c>
      <c r="BM1934" s="82">
        <f>($F1934-$F1935)*100</f>
        <v/>
      </c>
      <c r="BN1934" s="82">
        <f>$AF1934-$AF1935</f>
        <v/>
      </c>
      <c r="BO1934" s="82">
        <f>$AG1934-$AG1935</f>
        <v/>
      </c>
      <c r="BP1934" s="82">
        <f>$AJ1934-$AJ1935</f>
        <v/>
      </c>
    </row>
    <row r="1935">
      <c r="AR1935" s="81">
        <f>($G1935+($H1935-$G1935)*0.5)+($P1935-($O1935+($Q1935-$O1935)*0.5))</f>
        <v/>
      </c>
      <c r="AS1935" s="81">
        <f>($J1935+($K1935-$J1935)*0.5)+($T1935-($S1935+($U1935-$S1935)*0.5))</f>
        <v/>
      </c>
      <c r="AT1935" s="82">
        <f>($J1935-$C1935)*100</f>
        <v/>
      </c>
      <c r="AU1935" s="82">
        <f>($H1935-$F1935)*100</f>
        <v/>
      </c>
      <c r="AV1935" s="82">
        <f>($J1935-$F1935)*100</f>
        <v/>
      </c>
      <c r="AW1935" s="82">
        <f>($L1935-$F1935)*100</f>
        <v/>
      </c>
      <c r="AX1935" s="82">
        <f>($J1935-$H1935)*100</f>
        <v/>
      </c>
      <c r="AY1935" s="82">
        <f>($L1935-$H1935)*100</f>
        <v/>
      </c>
      <c r="AZ1935" s="82">
        <f>($L1935-$J1935)*100</f>
        <v/>
      </c>
      <c r="BA1935" s="82">
        <f>(2*$H1935-$F1935-$J1935)*100</f>
        <v/>
      </c>
      <c r="BB1935" s="82">
        <f>(2*$J1935-$H1935-$L1935)*100</f>
        <v/>
      </c>
      <c r="BC1935" s="82">
        <f>($N1935-$F1935)*100</f>
        <v/>
      </c>
      <c r="BD1935" s="82">
        <f>($Q1935-$H1935)*100</f>
        <v/>
      </c>
      <c r="BE1935" s="82">
        <f>($S1935-$J1935)*100</f>
        <v/>
      </c>
      <c r="BF1935" s="82">
        <f>($V1935-$L1935)*100</f>
        <v/>
      </c>
      <c r="BG1935" s="82">
        <f>$AG1935-$AF1935</f>
        <v/>
      </c>
      <c r="BH1935" s="81">
        <f>IFERROR($AG1935/$AF1935,"")</f>
        <v/>
      </c>
      <c r="BI1935" s="82">
        <f>$AJ1935-$AF1935</f>
        <v/>
      </c>
      <c r="BJ1935" s="81">
        <f>IFERROR($AJ1935/$AG1935,"")</f>
        <v/>
      </c>
      <c r="BK1935" s="81">
        <f>$X1935</f>
        <v/>
      </c>
      <c r="BL1935" s="82">
        <f>($J1935-$J1936)*100</f>
        <v/>
      </c>
      <c r="BM1935" s="82">
        <f>($F1935-$F1936)*100</f>
        <v/>
      </c>
      <c r="BN1935" s="82">
        <f>$AF1935-$AF1936</f>
        <v/>
      </c>
      <c r="BO1935" s="82">
        <f>$AG1935-$AG1936</f>
        <v/>
      </c>
      <c r="BP1935" s="82">
        <f>$AJ1935-$AJ1936</f>
        <v/>
      </c>
    </row>
    <row r="1936">
      <c r="AR1936" s="81">
        <f>($G1936+($H1936-$G1936)*0.5)+($P1936-($O1936+($Q1936-$O1936)*0.5))</f>
        <v/>
      </c>
      <c r="AS1936" s="81">
        <f>($J1936+($K1936-$J1936)*0.5)+($T1936-($S1936+($U1936-$S1936)*0.5))</f>
        <v/>
      </c>
      <c r="AT1936" s="82">
        <f>($J1936-$C1936)*100</f>
        <v/>
      </c>
      <c r="AU1936" s="82">
        <f>($H1936-$F1936)*100</f>
        <v/>
      </c>
      <c r="AV1936" s="82">
        <f>($J1936-$F1936)*100</f>
        <v/>
      </c>
      <c r="AW1936" s="82">
        <f>($L1936-$F1936)*100</f>
        <v/>
      </c>
      <c r="AX1936" s="82">
        <f>($J1936-$H1936)*100</f>
        <v/>
      </c>
      <c r="AY1936" s="82">
        <f>($L1936-$H1936)*100</f>
        <v/>
      </c>
      <c r="AZ1936" s="82">
        <f>($L1936-$J1936)*100</f>
        <v/>
      </c>
      <c r="BA1936" s="82">
        <f>(2*$H1936-$F1936-$J1936)*100</f>
        <v/>
      </c>
      <c r="BB1936" s="82">
        <f>(2*$J1936-$H1936-$L1936)*100</f>
        <v/>
      </c>
      <c r="BC1936" s="82">
        <f>($N1936-$F1936)*100</f>
        <v/>
      </c>
      <c r="BD1936" s="82">
        <f>($Q1936-$H1936)*100</f>
        <v/>
      </c>
      <c r="BE1936" s="82">
        <f>($S1936-$J1936)*100</f>
        <v/>
      </c>
      <c r="BF1936" s="82">
        <f>($V1936-$L1936)*100</f>
        <v/>
      </c>
      <c r="BG1936" s="82">
        <f>$AG1936-$AF1936</f>
        <v/>
      </c>
      <c r="BH1936" s="81">
        <f>IFERROR($AG1936/$AF1936,"")</f>
        <v/>
      </c>
      <c r="BI1936" s="82">
        <f>$AJ1936-$AF1936</f>
        <v/>
      </c>
      <c r="BJ1936" s="81">
        <f>IFERROR($AJ1936/$AG1936,"")</f>
        <v/>
      </c>
      <c r="BK1936" s="81">
        <f>$X1936</f>
        <v/>
      </c>
      <c r="BL1936" s="82">
        <f>($J1936-$J1937)*100</f>
        <v/>
      </c>
      <c r="BM1936" s="82">
        <f>($F1936-$F1937)*100</f>
        <v/>
      </c>
      <c r="BN1936" s="82">
        <f>$AF1936-$AF1937</f>
        <v/>
      </c>
      <c r="BO1936" s="82">
        <f>$AG1936-$AG1937</f>
        <v/>
      </c>
      <c r="BP1936" s="82">
        <f>$AJ1936-$AJ1937</f>
        <v/>
      </c>
    </row>
    <row r="1937">
      <c r="AR1937" s="81">
        <f>($G1937+($H1937-$G1937)*0.5)+($P1937-($O1937+($Q1937-$O1937)*0.5))</f>
        <v/>
      </c>
      <c r="AS1937" s="81">
        <f>($J1937+($K1937-$J1937)*0.5)+($T1937-($S1937+($U1937-$S1937)*0.5))</f>
        <v/>
      </c>
      <c r="AT1937" s="82">
        <f>($J1937-$C1937)*100</f>
        <v/>
      </c>
      <c r="AU1937" s="82">
        <f>($H1937-$F1937)*100</f>
        <v/>
      </c>
      <c r="AV1937" s="82">
        <f>($J1937-$F1937)*100</f>
        <v/>
      </c>
      <c r="AW1937" s="82">
        <f>($L1937-$F1937)*100</f>
        <v/>
      </c>
      <c r="AX1937" s="82">
        <f>($J1937-$H1937)*100</f>
        <v/>
      </c>
      <c r="AY1937" s="82">
        <f>($L1937-$H1937)*100</f>
        <v/>
      </c>
      <c r="AZ1937" s="82">
        <f>($L1937-$J1937)*100</f>
        <v/>
      </c>
      <c r="BA1937" s="82">
        <f>(2*$H1937-$F1937-$J1937)*100</f>
        <v/>
      </c>
      <c r="BB1937" s="82">
        <f>(2*$J1937-$H1937-$L1937)*100</f>
        <v/>
      </c>
      <c r="BC1937" s="82">
        <f>($N1937-$F1937)*100</f>
        <v/>
      </c>
      <c r="BD1937" s="82">
        <f>($Q1937-$H1937)*100</f>
        <v/>
      </c>
      <c r="BE1937" s="82">
        <f>($S1937-$J1937)*100</f>
        <v/>
      </c>
      <c r="BF1937" s="82">
        <f>($V1937-$L1937)*100</f>
        <v/>
      </c>
      <c r="BG1937" s="82">
        <f>$AG1937-$AF1937</f>
        <v/>
      </c>
      <c r="BH1937" s="81">
        <f>IFERROR($AG1937/$AF1937,"")</f>
        <v/>
      </c>
      <c r="BI1937" s="82">
        <f>$AJ1937-$AF1937</f>
        <v/>
      </c>
      <c r="BJ1937" s="81">
        <f>IFERROR($AJ1937/$AG1937,"")</f>
        <v/>
      </c>
      <c r="BK1937" s="81">
        <f>$X1937</f>
        <v/>
      </c>
      <c r="BL1937" s="82">
        <f>($J1937-$J1938)*100</f>
        <v/>
      </c>
      <c r="BM1937" s="82">
        <f>($F1937-$F1938)*100</f>
        <v/>
      </c>
      <c r="BN1937" s="82">
        <f>$AF1937-$AF1938</f>
        <v/>
      </c>
      <c r="BO1937" s="82">
        <f>$AG1937-$AG1938</f>
        <v/>
      </c>
      <c r="BP1937" s="82">
        <f>$AJ1937-$AJ1938</f>
        <v/>
      </c>
    </row>
    <row r="1938">
      <c r="AR1938" s="81">
        <f>($G1938+($H1938-$G1938)*0.5)+($P1938-($O1938+($Q1938-$O1938)*0.5))</f>
        <v/>
      </c>
      <c r="AS1938" s="81">
        <f>($J1938+($K1938-$J1938)*0.5)+($T1938-($S1938+($U1938-$S1938)*0.5))</f>
        <v/>
      </c>
      <c r="AT1938" s="82">
        <f>($J1938-$C1938)*100</f>
        <v/>
      </c>
      <c r="AU1938" s="82">
        <f>($H1938-$F1938)*100</f>
        <v/>
      </c>
      <c r="AV1938" s="82">
        <f>($J1938-$F1938)*100</f>
        <v/>
      </c>
      <c r="AW1938" s="82">
        <f>($L1938-$F1938)*100</f>
        <v/>
      </c>
      <c r="AX1938" s="82">
        <f>($J1938-$H1938)*100</f>
        <v/>
      </c>
      <c r="AY1938" s="82">
        <f>($L1938-$H1938)*100</f>
        <v/>
      </c>
      <c r="AZ1938" s="82">
        <f>($L1938-$J1938)*100</f>
        <v/>
      </c>
      <c r="BA1938" s="82">
        <f>(2*$H1938-$F1938-$J1938)*100</f>
        <v/>
      </c>
      <c r="BB1938" s="82">
        <f>(2*$J1938-$H1938-$L1938)*100</f>
        <v/>
      </c>
      <c r="BC1938" s="82">
        <f>($N1938-$F1938)*100</f>
        <v/>
      </c>
      <c r="BD1938" s="82">
        <f>($Q1938-$H1938)*100</f>
        <v/>
      </c>
      <c r="BE1938" s="82">
        <f>($S1938-$J1938)*100</f>
        <v/>
      </c>
      <c r="BF1938" s="82">
        <f>($V1938-$L1938)*100</f>
        <v/>
      </c>
      <c r="BG1938" s="82">
        <f>$AG1938-$AF1938</f>
        <v/>
      </c>
      <c r="BH1938" s="81">
        <f>IFERROR($AG1938/$AF1938,"")</f>
        <v/>
      </c>
      <c r="BI1938" s="82">
        <f>$AJ1938-$AF1938</f>
        <v/>
      </c>
      <c r="BJ1938" s="81">
        <f>IFERROR($AJ1938/$AG1938,"")</f>
        <v/>
      </c>
      <c r="BK1938" s="81">
        <f>$X1938</f>
        <v/>
      </c>
      <c r="BL1938" s="82">
        <f>($J1938-$J1939)*100</f>
        <v/>
      </c>
      <c r="BM1938" s="82">
        <f>($F1938-$F1939)*100</f>
        <v/>
      </c>
      <c r="BN1938" s="82">
        <f>$AF1938-$AF1939</f>
        <v/>
      </c>
      <c r="BO1938" s="82">
        <f>$AG1938-$AG1939</f>
        <v/>
      </c>
      <c r="BP1938" s="82">
        <f>$AJ1938-$AJ1939</f>
        <v/>
      </c>
    </row>
    <row r="1939">
      <c r="AR1939" s="81">
        <f>($G1939+($H1939-$G1939)*0.5)+($P1939-($O1939+($Q1939-$O1939)*0.5))</f>
        <v/>
      </c>
      <c r="AS1939" s="81">
        <f>($J1939+($K1939-$J1939)*0.5)+($T1939-($S1939+($U1939-$S1939)*0.5))</f>
        <v/>
      </c>
      <c r="AT1939" s="82">
        <f>($J1939-$C1939)*100</f>
        <v/>
      </c>
      <c r="AU1939" s="82">
        <f>($H1939-$F1939)*100</f>
        <v/>
      </c>
      <c r="AV1939" s="82">
        <f>($J1939-$F1939)*100</f>
        <v/>
      </c>
      <c r="AW1939" s="82">
        <f>($L1939-$F1939)*100</f>
        <v/>
      </c>
      <c r="AX1939" s="82">
        <f>($J1939-$H1939)*100</f>
        <v/>
      </c>
      <c r="AY1939" s="82">
        <f>($L1939-$H1939)*100</f>
        <v/>
      </c>
      <c r="AZ1939" s="82">
        <f>($L1939-$J1939)*100</f>
        <v/>
      </c>
      <c r="BA1939" s="82">
        <f>(2*$H1939-$F1939-$J1939)*100</f>
        <v/>
      </c>
      <c r="BB1939" s="82">
        <f>(2*$J1939-$H1939-$L1939)*100</f>
        <v/>
      </c>
      <c r="BC1939" s="82">
        <f>($N1939-$F1939)*100</f>
        <v/>
      </c>
      <c r="BD1939" s="82">
        <f>($Q1939-$H1939)*100</f>
        <v/>
      </c>
      <c r="BE1939" s="82">
        <f>($S1939-$J1939)*100</f>
        <v/>
      </c>
      <c r="BF1939" s="82">
        <f>($V1939-$L1939)*100</f>
        <v/>
      </c>
      <c r="BG1939" s="82">
        <f>$AG1939-$AF1939</f>
        <v/>
      </c>
      <c r="BH1939" s="81">
        <f>IFERROR($AG1939/$AF1939,"")</f>
        <v/>
      </c>
      <c r="BI1939" s="82">
        <f>$AJ1939-$AF1939</f>
        <v/>
      </c>
      <c r="BJ1939" s="81">
        <f>IFERROR($AJ1939/$AG1939,"")</f>
        <v/>
      </c>
      <c r="BK1939" s="81">
        <f>$X1939</f>
        <v/>
      </c>
      <c r="BL1939" s="82">
        <f>($J1939-$J1940)*100</f>
        <v/>
      </c>
      <c r="BM1939" s="82">
        <f>($F1939-$F1940)*100</f>
        <v/>
      </c>
      <c r="BN1939" s="82">
        <f>$AF1939-$AF1940</f>
        <v/>
      </c>
      <c r="BO1939" s="82">
        <f>$AG1939-$AG1940</f>
        <v/>
      </c>
      <c r="BP1939" s="82">
        <f>$AJ1939-$AJ1940</f>
        <v/>
      </c>
    </row>
    <row r="1940">
      <c r="AR1940" s="81">
        <f>($G1940+($H1940-$G1940)*0.5)+($P1940-($O1940+($Q1940-$O1940)*0.5))</f>
        <v/>
      </c>
      <c r="AS1940" s="81">
        <f>($J1940+($K1940-$J1940)*0.5)+($T1940-($S1940+($U1940-$S1940)*0.5))</f>
        <v/>
      </c>
      <c r="AT1940" s="82">
        <f>($J1940-$C1940)*100</f>
        <v/>
      </c>
      <c r="AU1940" s="82">
        <f>($H1940-$F1940)*100</f>
        <v/>
      </c>
      <c r="AV1940" s="82">
        <f>($J1940-$F1940)*100</f>
        <v/>
      </c>
      <c r="AW1940" s="82">
        <f>($L1940-$F1940)*100</f>
        <v/>
      </c>
      <c r="AX1940" s="82">
        <f>($J1940-$H1940)*100</f>
        <v/>
      </c>
      <c r="AY1940" s="82">
        <f>($L1940-$H1940)*100</f>
        <v/>
      </c>
      <c r="AZ1940" s="82">
        <f>($L1940-$J1940)*100</f>
        <v/>
      </c>
      <c r="BA1940" s="82">
        <f>(2*$H1940-$F1940-$J1940)*100</f>
        <v/>
      </c>
      <c r="BB1940" s="82">
        <f>(2*$J1940-$H1940-$L1940)*100</f>
        <v/>
      </c>
      <c r="BC1940" s="82">
        <f>($N1940-$F1940)*100</f>
        <v/>
      </c>
      <c r="BD1940" s="82">
        <f>($Q1940-$H1940)*100</f>
        <v/>
      </c>
      <c r="BE1940" s="82">
        <f>($S1940-$J1940)*100</f>
        <v/>
      </c>
      <c r="BF1940" s="82">
        <f>($V1940-$L1940)*100</f>
        <v/>
      </c>
      <c r="BG1940" s="82">
        <f>$AG1940-$AF1940</f>
        <v/>
      </c>
      <c r="BH1940" s="81">
        <f>IFERROR($AG1940/$AF1940,"")</f>
        <v/>
      </c>
      <c r="BI1940" s="82">
        <f>$AJ1940-$AF1940</f>
        <v/>
      </c>
      <c r="BJ1940" s="81">
        <f>IFERROR($AJ1940/$AG1940,"")</f>
        <v/>
      </c>
      <c r="BK1940" s="81">
        <f>$X1940</f>
        <v/>
      </c>
      <c r="BL1940" s="82">
        <f>($J1940-$J1941)*100</f>
        <v/>
      </c>
      <c r="BM1940" s="82">
        <f>($F1940-$F1941)*100</f>
        <v/>
      </c>
      <c r="BN1940" s="82">
        <f>$AF1940-$AF1941</f>
        <v/>
      </c>
      <c r="BO1940" s="82">
        <f>$AG1940-$AG1941</f>
        <v/>
      </c>
      <c r="BP1940" s="82">
        <f>$AJ1940-$AJ1941</f>
        <v/>
      </c>
    </row>
    <row r="1941">
      <c r="AR1941" s="81">
        <f>($G1941+($H1941-$G1941)*0.5)+($P1941-($O1941+($Q1941-$O1941)*0.5))</f>
        <v/>
      </c>
      <c r="AS1941" s="81">
        <f>($J1941+($K1941-$J1941)*0.5)+($T1941-($S1941+($U1941-$S1941)*0.5))</f>
        <v/>
      </c>
      <c r="AT1941" s="82">
        <f>($J1941-$C1941)*100</f>
        <v/>
      </c>
      <c r="AU1941" s="82">
        <f>($H1941-$F1941)*100</f>
        <v/>
      </c>
      <c r="AV1941" s="82">
        <f>($J1941-$F1941)*100</f>
        <v/>
      </c>
      <c r="AW1941" s="82">
        <f>($L1941-$F1941)*100</f>
        <v/>
      </c>
      <c r="AX1941" s="82">
        <f>($J1941-$H1941)*100</f>
        <v/>
      </c>
      <c r="AY1941" s="82">
        <f>($L1941-$H1941)*100</f>
        <v/>
      </c>
      <c r="AZ1941" s="82">
        <f>($L1941-$J1941)*100</f>
        <v/>
      </c>
      <c r="BA1941" s="82">
        <f>(2*$H1941-$F1941-$J1941)*100</f>
        <v/>
      </c>
      <c r="BB1941" s="82">
        <f>(2*$J1941-$H1941-$L1941)*100</f>
        <v/>
      </c>
      <c r="BC1941" s="82">
        <f>($N1941-$F1941)*100</f>
        <v/>
      </c>
      <c r="BD1941" s="82">
        <f>($Q1941-$H1941)*100</f>
        <v/>
      </c>
      <c r="BE1941" s="82">
        <f>($S1941-$J1941)*100</f>
        <v/>
      </c>
      <c r="BF1941" s="82">
        <f>($V1941-$L1941)*100</f>
        <v/>
      </c>
      <c r="BG1941" s="82">
        <f>$AG1941-$AF1941</f>
        <v/>
      </c>
      <c r="BH1941" s="81">
        <f>IFERROR($AG1941/$AF1941,"")</f>
        <v/>
      </c>
      <c r="BI1941" s="82">
        <f>$AJ1941-$AF1941</f>
        <v/>
      </c>
      <c r="BJ1941" s="81">
        <f>IFERROR($AJ1941/$AG1941,"")</f>
        <v/>
      </c>
      <c r="BK1941" s="81">
        <f>$X1941</f>
        <v/>
      </c>
      <c r="BL1941" s="82">
        <f>($J1941-$J1942)*100</f>
        <v/>
      </c>
      <c r="BM1941" s="82">
        <f>($F1941-$F1942)*100</f>
        <v/>
      </c>
      <c r="BN1941" s="82">
        <f>$AF1941-$AF1942</f>
        <v/>
      </c>
      <c r="BO1941" s="82">
        <f>$AG1941-$AG1942</f>
        <v/>
      </c>
      <c r="BP1941" s="82">
        <f>$AJ1941-$AJ1942</f>
        <v/>
      </c>
    </row>
    <row r="1942">
      <c r="AR1942" s="81">
        <f>($G1942+($H1942-$G1942)*0.5)+($P1942-($O1942+($Q1942-$O1942)*0.5))</f>
        <v/>
      </c>
      <c r="AS1942" s="81">
        <f>($J1942+($K1942-$J1942)*0.5)+($T1942-($S1942+($U1942-$S1942)*0.5))</f>
        <v/>
      </c>
      <c r="AT1942" s="82">
        <f>($J1942-$C1942)*100</f>
        <v/>
      </c>
      <c r="AU1942" s="82">
        <f>($H1942-$F1942)*100</f>
        <v/>
      </c>
      <c r="AV1942" s="82">
        <f>($J1942-$F1942)*100</f>
        <v/>
      </c>
      <c r="AW1942" s="82">
        <f>($L1942-$F1942)*100</f>
        <v/>
      </c>
      <c r="AX1942" s="82">
        <f>($J1942-$H1942)*100</f>
        <v/>
      </c>
      <c r="AY1942" s="82">
        <f>($L1942-$H1942)*100</f>
        <v/>
      </c>
      <c r="AZ1942" s="82">
        <f>($L1942-$J1942)*100</f>
        <v/>
      </c>
      <c r="BA1942" s="82">
        <f>(2*$H1942-$F1942-$J1942)*100</f>
        <v/>
      </c>
      <c r="BB1942" s="82">
        <f>(2*$J1942-$H1942-$L1942)*100</f>
        <v/>
      </c>
      <c r="BC1942" s="82">
        <f>($N1942-$F1942)*100</f>
        <v/>
      </c>
      <c r="BD1942" s="82">
        <f>($Q1942-$H1942)*100</f>
        <v/>
      </c>
      <c r="BE1942" s="82">
        <f>($S1942-$J1942)*100</f>
        <v/>
      </c>
      <c r="BF1942" s="82">
        <f>($V1942-$L1942)*100</f>
        <v/>
      </c>
      <c r="BG1942" s="82">
        <f>$AG1942-$AF1942</f>
        <v/>
      </c>
      <c r="BH1942" s="81">
        <f>IFERROR($AG1942/$AF1942,"")</f>
        <v/>
      </c>
      <c r="BI1942" s="82">
        <f>$AJ1942-$AF1942</f>
        <v/>
      </c>
      <c r="BJ1942" s="81">
        <f>IFERROR($AJ1942/$AG1942,"")</f>
        <v/>
      </c>
      <c r="BK1942" s="81">
        <f>$X1942</f>
        <v/>
      </c>
      <c r="BL1942" s="82">
        <f>($J1942-$J1943)*100</f>
        <v/>
      </c>
      <c r="BM1942" s="82">
        <f>($F1942-$F1943)*100</f>
        <v/>
      </c>
      <c r="BN1942" s="82">
        <f>$AF1942-$AF1943</f>
        <v/>
      </c>
      <c r="BO1942" s="82">
        <f>$AG1942-$AG1943</f>
        <v/>
      </c>
      <c r="BP1942" s="82">
        <f>$AJ1942-$AJ1943</f>
        <v/>
      </c>
    </row>
    <row r="1943">
      <c r="AR1943" s="81">
        <f>($G1943+($H1943-$G1943)*0.5)+($P1943-($O1943+($Q1943-$O1943)*0.5))</f>
        <v/>
      </c>
      <c r="AS1943" s="81">
        <f>($J1943+($K1943-$J1943)*0.5)+($T1943-($S1943+($U1943-$S1943)*0.5))</f>
        <v/>
      </c>
      <c r="AT1943" s="82">
        <f>($J1943-$C1943)*100</f>
        <v/>
      </c>
      <c r="AU1943" s="82">
        <f>($H1943-$F1943)*100</f>
        <v/>
      </c>
      <c r="AV1943" s="82">
        <f>($J1943-$F1943)*100</f>
        <v/>
      </c>
      <c r="AW1943" s="82">
        <f>($L1943-$F1943)*100</f>
        <v/>
      </c>
      <c r="AX1943" s="82">
        <f>($J1943-$H1943)*100</f>
        <v/>
      </c>
      <c r="AY1943" s="82">
        <f>($L1943-$H1943)*100</f>
        <v/>
      </c>
      <c r="AZ1943" s="82">
        <f>($L1943-$J1943)*100</f>
        <v/>
      </c>
      <c r="BA1943" s="82">
        <f>(2*$H1943-$F1943-$J1943)*100</f>
        <v/>
      </c>
      <c r="BB1943" s="82">
        <f>(2*$J1943-$H1943-$L1943)*100</f>
        <v/>
      </c>
      <c r="BC1943" s="82">
        <f>($N1943-$F1943)*100</f>
        <v/>
      </c>
      <c r="BD1943" s="82">
        <f>($Q1943-$H1943)*100</f>
        <v/>
      </c>
      <c r="BE1943" s="82">
        <f>($S1943-$J1943)*100</f>
        <v/>
      </c>
      <c r="BF1943" s="82">
        <f>($V1943-$L1943)*100</f>
        <v/>
      </c>
      <c r="BG1943" s="82">
        <f>$AG1943-$AF1943</f>
        <v/>
      </c>
      <c r="BH1943" s="81">
        <f>IFERROR($AG1943/$AF1943,"")</f>
        <v/>
      </c>
      <c r="BI1943" s="82">
        <f>$AJ1943-$AF1943</f>
        <v/>
      </c>
      <c r="BJ1943" s="81">
        <f>IFERROR($AJ1943/$AG1943,"")</f>
        <v/>
      </c>
      <c r="BK1943" s="81">
        <f>$X1943</f>
        <v/>
      </c>
      <c r="BL1943" s="82">
        <f>($J1943-$J1944)*100</f>
        <v/>
      </c>
      <c r="BM1943" s="82">
        <f>($F1943-$F1944)*100</f>
        <v/>
      </c>
      <c r="BN1943" s="82">
        <f>$AF1943-$AF1944</f>
        <v/>
      </c>
      <c r="BO1943" s="82">
        <f>$AG1943-$AG1944</f>
        <v/>
      </c>
      <c r="BP1943" s="82">
        <f>$AJ1943-$AJ1944</f>
        <v/>
      </c>
    </row>
    <row r="1944">
      <c r="AR1944" s="81">
        <f>($G1944+($H1944-$G1944)*0.5)+($P1944-($O1944+($Q1944-$O1944)*0.5))</f>
        <v/>
      </c>
      <c r="AS1944" s="81">
        <f>($J1944+($K1944-$J1944)*0.5)+($T1944-($S1944+($U1944-$S1944)*0.5))</f>
        <v/>
      </c>
      <c r="AT1944" s="82">
        <f>($J1944-$C1944)*100</f>
        <v/>
      </c>
      <c r="AU1944" s="82">
        <f>($H1944-$F1944)*100</f>
        <v/>
      </c>
      <c r="AV1944" s="82">
        <f>($J1944-$F1944)*100</f>
        <v/>
      </c>
      <c r="AW1944" s="82">
        <f>($L1944-$F1944)*100</f>
        <v/>
      </c>
      <c r="AX1944" s="82">
        <f>($J1944-$H1944)*100</f>
        <v/>
      </c>
      <c r="AY1944" s="82">
        <f>($L1944-$H1944)*100</f>
        <v/>
      </c>
      <c r="AZ1944" s="82">
        <f>($L1944-$J1944)*100</f>
        <v/>
      </c>
      <c r="BA1944" s="82">
        <f>(2*$H1944-$F1944-$J1944)*100</f>
        <v/>
      </c>
      <c r="BB1944" s="82">
        <f>(2*$J1944-$H1944-$L1944)*100</f>
        <v/>
      </c>
      <c r="BC1944" s="82">
        <f>($N1944-$F1944)*100</f>
        <v/>
      </c>
      <c r="BD1944" s="82">
        <f>($Q1944-$H1944)*100</f>
        <v/>
      </c>
      <c r="BE1944" s="82">
        <f>($S1944-$J1944)*100</f>
        <v/>
      </c>
      <c r="BF1944" s="82">
        <f>($V1944-$L1944)*100</f>
        <v/>
      </c>
      <c r="BG1944" s="82">
        <f>$AG1944-$AF1944</f>
        <v/>
      </c>
      <c r="BH1944" s="81">
        <f>IFERROR($AG1944/$AF1944,"")</f>
        <v/>
      </c>
      <c r="BI1944" s="82">
        <f>$AJ1944-$AF1944</f>
        <v/>
      </c>
      <c r="BJ1944" s="81">
        <f>IFERROR($AJ1944/$AG1944,"")</f>
        <v/>
      </c>
      <c r="BK1944" s="81">
        <f>$X1944</f>
        <v/>
      </c>
      <c r="BL1944" s="82">
        <f>($J1944-$J1945)*100</f>
        <v/>
      </c>
      <c r="BM1944" s="82">
        <f>($F1944-$F1945)*100</f>
        <v/>
      </c>
      <c r="BN1944" s="82">
        <f>$AF1944-$AF1945</f>
        <v/>
      </c>
      <c r="BO1944" s="82">
        <f>$AG1944-$AG1945</f>
        <v/>
      </c>
      <c r="BP1944" s="82">
        <f>$AJ1944-$AJ1945</f>
        <v/>
      </c>
    </row>
    <row r="1945">
      <c r="AR1945" s="81">
        <f>($G1945+($H1945-$G1945)*0.5)+($P1945-($O1945+($Q1945-$O1945)*0.5))</f>
        <v/>
      </c>
      <c r="AS1945" s="81">
        <f>($J1945+($K1945-$J1945)*0.5)+($T1945-($S1945+($U1945-$S1945)*0.5))</f>
        <v/>
      </c>
      <c r="AT1945" s="82">
        <f>($J1945-$C1945)*100</f>
        <v/>
      </c>
      <c r="AU1945" s="82">
        <f>($H1945-$F1945)*100</f>
        <v/>
      </c>
      <c r="AV1945" s="82">
        <f>($J1945-$F1945)*100</f>
        <v/>
      </c>
      <c r="AW1945" s="82">
        <f>($L1945-$F1945)*100</f>
        <v/>
      </c>
      <c r="AX1945" s="82">
        <f>($J1945-$H1945)*100</f>
        <v/>
      </c>
      <c r="AY1945" s="82">
        <f>($L1945-$H1945)*100</f>
        <v/>
      </c>
      <c r="AZ1945" s="82">
        <f>($L1945-$J1945)*100</f>
        <v/>
      </c>
      <c r="BA1945" s="82">
        <f>(2*$H1945-$F1945-$J1945)*100</f>
        <v/>
      </c>
      <c r="BB1945" s="82">
        <f>(2*$J1945-$H1945-$L1945)*100</f>
        <v/>
      </c>
      <c r="BC1945" s="82">
        <f>($N1945-$F1945)*100</f>
        <v/>
      </c>
      <c r="BD1945" s="82">
        <f>($Q1945-$H1945)*100</f>
        <v/>
      </c>
      <c r="BE1945" s="82">
        <f>($S1945-$J1945)*100</f>
        <v/>
      </c>
      <c r="BF1945" s="82">
        <f>($V1945-$L1945)*100</f>
        <v/>
      </c>
      <c r="BG1945" s="82">
        <f>$AG1945-$AF1945</f>
        <v/>
      </c>
      <c r="BH1945" s="81">
        <f>IFERROR($AG1945/$AF1945,"")</f>
        <v/>
      </c>
      <c r="BI1945" s="82">
        <f>$AJ1945-$AF1945</f>
        <v/>
      </c>
      <c r="BJ1945" s="81">
        <f>IFERROR($AJ1945/$AG1945,"")</f>
        <v/>
      </c>
      <c r="BK1945" s="81">
        <f>$X1945</f>
        <v/>
      </c>
      <c r="BL1945" s="82">
        <f>($J1945-$J1946)*100</f>
        <v/>
      </c>
      <c r="BM1945" s="82">
        <f>($F1945-$F1946)*100</f>
        <v/>
      </c>
      <c r="BN1945" s="82">
        <f>$AF1945-$AF1946</f>
        <v/>
      </c>
      <c r="BO1945" s="82">
        <f>$AG1945-$AG1946</f>
        <v/>
      </c>
      <c r="BP1945" s="82">
        <f>$AJ1945-$AJ1946</f>
        <v/>
      </c>
    </row>
    <row r="1946">
      <c r="AR1946" s="81">
        <f>($G1946+($H1946-$G1946)*0.5)+($P1946-($O1946+($Q1946-$O1946)*0.5))</f>
        <v/>
      </c>
      <c r="AS1946" s="81">
        <f>($J1946+($K1946-$J1946)*0.5)+($T1946-($S1946+($U1946-$S1946)*0.5))</f>
        <v/>
      </c>
      <c r="AT1946" s="82">
        <f>($J1946-$C1946)*100</f>
        <v/>
      </c>
      <c r="AU1946" s="82">
        <f>($H1946-$F1946)*100</f>
        <v/>
      </c>
      <c r="AV1946" s="82">
        <f>($J1946-$F1946)*100</f>
        <v/>
      </c>
      <c r="AW1946" s="82">
        <f>($L1946-$F1946)*100</f>
        <v/>
      </c>
      <c r="AX1946" s="82">
        <f>($J1946-$H1946)*100</f>
        <v/>
      </c>
      <c r="AY1946" s="82">
        <f>($L1946-$H1946)*100</f>
        <v/>
      </c>
      <c r="AZ1946" s="82">
        <f>($L1946-$J1946)*100</f>
        <v/>
      </c>
      <c r="BA1946" s="82">
        <f>(2*$H1946-$F1946-$J1946)*100</f>
        <v/>
      </c>
      <c r="BB1946" s="82">
        <f>(2*$J1946-$H1946-$L1946)*100</f>
        <v/>
      </c>
      <c r="BC1946" s="82">
        <f>($N1946-$F1946)*100</f>
        <v/>
      </c>
      <c r="BD1946" s="82">
        <f>($Q1946-$H1946)*100</f>
        <v/>
      </c>
      <c r="BE1946" s="82">
        <f>($S1946-$J1946)*100</f>
        <v/>
      </c>
      <c r="BF1946" s="82">
        <f>($V1946-$L1946)*100</f>
        <v/>
      </c>
      <c r="BG1946" s="82">
        <f>$AG1946-$AF1946</f>
        <v/>
      </c>
      <c r="BH1946" s="81">
        <f>IFERROR($AG1946/$AF1946,"")</f>
        <v/>
      </c>
      <c r="BI1946" s="82">
        <f>$AJ1946-$AF1946</f>
        <v/>
      </c>
      <c r="BJ1946" s="81">
        <f>IFERROR($AJ1946/$AG1946,"")</f>
        <v/>
      </c>
      <c r="BK1946" s="81">
        <f>$X1946</f>
        <v/>
      </c>
      <c r="BL1946" s="82">
        <f>($J1946-$J1947)*100</f>
        <v/>
      </c>
      <c r="BM1946" s="82">
        <f>($F1946-$F1947)*100</f>
        <v/>
      </c>
      <c r="BN1946" s="82">
        <f>$AF1946-$AF1947</f>
        <v/>
      </c>
      <c r="BO1946" s="82">
        <f>$AG1946-$AG1947</f>
        <v/>
      </c>
      <c r="BP1946" s="82">
        <f>$AJ1946-$AJ1947</f>
        <v/>
      </c>
    </row>
    <row r="1947">
      <c r="AR1947" s="81">
        <f>($G1947+($H1947-$G1947)*0.5)+($P1947-($O1947+($Q1947-$O1947)*0.5))</f>
        <v/>
      </c>
      <c r="AS1947" s="81">
        <f>($J1947+($K1947-$J1947)*0.5)+($T1947-($S1947+($U1947-$S1947)*0.5))</f>
        <v/>
      </c>
      <c r="AT1947" s="82">
        <f>($J1947-$C1947)*100</f>
        <v/>
      </c>
      <c r="AU1947" s="82">
        <f>($H1947-$F1947)*100</f>
        <v/>
      </c>
      <c r="AV1947" s="82">
        <f>($J1947-$F1947)*100</f>
        <v/>
      </c>
      <c r="AW1947" s="82">
        <f>($L1947-$F1947)*100</f>
        <v/>
      </c>
      <c r="AX1947" s="82">
        <f>($J1947-$H1947)*100</f>
        <v/>
      </c>
      <c r="AY1947" s="82">
        <f>($L1947-$H1947)*100</f>
        <v/>
      </c>
      <c r="AZ1947" s="82">
        <f>($L1947-$J1947)*100</f>
        <v/>
      </c>
      <c r="BA1947" s="82">
        <f>(2*$H1947-$F1947-$J1947)*100</f>
        <v/>
      </c>
      <c r="BB1947" s="82">
        <f>(2*$J1947-$H1947-$L1947)*100</f>
        <v/>
      </c>
      <c r="BC1947" s="82">
        <f>($N1947-$F1947)*100</f>
        <v/>
      </c>
      <c r="BD1947" s="82">
        <f>($Q1947-$H1947)*100</f>
        <v/>
      </c>
      <c r="BE1947" s="82">
        <f>($S1947-$J1947)*100</f>
        <v/>
      </c>
      <c r="BF1947" s="82">
        <f>($V1947-$L1947)*100</f>
        <v/>
      </c>
      <c r="BG1947" s="82">
        <f>$AG1947-$AF1947</f>
        <v/>
      </c>
      <c r="BH1947" s="81">
        <f>IFERROR($AG1947/$AF1947,"")</f>
        <v/>
      </c>
      <c r="BI1947" s="82">
        <f>$AJ1947-$AF1947</f>
        <v/>
      </c>
      <c r="BJ1947" s="81">
        <f>IFERROR($AJ1947/$AG1947,"")</f>
        <v/>
      </c>
      <c r="BK1947" s="81">
        <f>$X1947</f>
        <v/>
      </c>
      <c r="BL1947" s="82">
        <f>($J1947-$J1948)*100</f>
        <v/>
      </c>
      <c r="BM1947" s="82">
        <f>($F1947-$F1948)*100</f>
        <v/>
      </c>
      <c r="BN1947" s="82">
        <f>$AF1947-$AF1948</f>
        <v/>
      </c>
      <c r="BO1947" s="82">
        <f>$AG1947-$AG1948</f>
        <v/>
      </c>
      <c r="BP1947" s="82">
        <f>$AJ1947-$AJ1948</f>
        <v/>
      </c>
    </row>
    <row r="1948">
      <c r="AR1948" s="81">
        <f>($G1948+($H1948-$G1948)*0.5)+($P1948-($O1948+($Q1948-$O1948)*0.5))</f>
        <v/>
      </c>
      <c r="AS1948" s="81">
        <f>($J1948+($K1948-$J1948)*0.5)+($T1948-($S1948+($U1948-$S1948)*0.5))</f>
        <v/>
      </c>
      <c r="AT1948" s="82">
        <f>($J1948-$C1948)*100</f>
        <v/>
      </c>
      <c r="AU1948" s="82">
        <f>($H1948-$F1948)*100</f>
        <v/>
      </c>
      <c r="AV1948" s="82">
        <f>($J1948-$F1948)*100</f>
        <v/>
      </c>
      <c r="AW1948" s="82">
        <f>($L1948-$F1948)*100</f>
        <v/>
      </c>
      <c r="AX1948" s="82">
        <f>($J1948-$H1948)*100</f>
        <v/>
      </c>
      <c r="AY1948" s="82">
        <f>($L1948-$H1948)*100</f>
        <v/>
      </c>
      <c r="AZ1948" s="82">
        <f>($L1948-$J1948)*100</f>
        <v/>
      </c>
      <c r="BA1948" s="82">
        <f>(2*$H1948-$F1948-$J1948)*100</f>
        <v/>
      </c>
      <c r="BB1948" s="82">
        <f>(2*$J1948-$H1948-$L1948)*100</f>
        <v/>
      </c>
      <c r="BC1948" s="82">
        <f>($N1948-$F1948)*100</f>
        <v/>
      </c>
      <c r="BD1948" s="82">
        <f>($Q1948-$H1948)*100</f>
        <v/>
      </c>
      <c r="BE1948" s="82">
        <f>($S1948-$J1948)*100</f>
        <v/>
      </c>
      <c r="BF1948" s="82">
        <f>($V1948-$L1948)*100</f>
        <v/>
      </c>
      <c r="BG1948" s="82">
        <f>$AG1948-$AF1948</f>
        <v/>
      </c>
      <c r="BH1948" s="81">
        <f>IFERROR($AG1948/$AF1948,"")</f>
        <v/>
      </c>
      <c r="BI1948" s="82">
        <f>$AJ1948-$AF1948</f>
        <v/>
      </c>
      <c r="BJ1948" s="81">
        <f>IFERROR($AJ1948/$AG1948,"")</f>
        <v/>
      </c>
      <c r="BK1948" s="81">
        <f>$X1948</f>
        <v/>
      </c>
      <c r="BL1948" s="82">
        <f>($J1948-$J1949)*100</f>
        <v/>
      </c>
      <c r="BM1948" s="82">
        <f>($F1948-$F1949)*100</f>
        <v/>
      </c>
      <c r="BN1948" s="82">
        <f>$AF1948-$AF1949</f>
        <v/>
      </c>
      <c r="BO1948" s="82">
        <f>$AG1948-$AG1949</f>
        <v/>
      </c>
      <c r="BP1948" s="82">
        <f>$AJ1948-$AJ1949</f>
        <v/>
      </c>
    </row>
    <row r="1949">
      <c r="AR1949" s="81">
        <f>($G1949+($H1949-$G1949)*0.5)+($P1949-($O1949+($Q1949-$O1949)*0.5))</f>
        <v/>
      </c>
      <c r="AS1949" s="81">
        <f>($J1949+($K1949-$J1949)*0.5)+($T1949-($S1949+($U1949-$S1949)*0.5))</f>
        <v/>
      </c>
      <c r="AT1949" s="82">
        <f>($J1949-$C1949)*100</f>
        <v/>
      </c>
      <c r="AU1949" s="82">
        <f>($H1949-$F1949)*100</f>
        <v/>
      </c>
      <c r="AV1949" s="82">
        <f>($J1949-$F1949)*100</f>
        <v/>
      </c>
      <c r="AW1949" s="82">
        <f>($L1949-$F1949)*100</f>
        <v/>
      </c>
      <c r="AX1949" s="82">
        <f>($J1949-$H1949)*100</f>
        <v/>
      </c>
      <c r="AY1949" s="82">
        <f>($L1949-$H1949)*100</f>
        <v/>
      </c>
      <c r="AZ1949" s="82">
        <f>($L1949-$J1949)*100</f>
        <v/>
      </c>
      <c r="BA1949" s="82">
        <f>(2*$H1949-$F1949-$J1949)*100</f>
        <v/>
      </c>
      <c r="BB1949" s="82">
        <f>(2*$J1949-$H1949-$L1949)*100</f>
        <v/>
      </c>
      <c r="BC1949" s="82">
        <f>($N1949-$F1949)*100</f>
        <v/>
      </c>
      <c r="BD1949" s="82">
        <f>($Q1949-$H1949)*100</f>
        <v/>
      </c>
      <c r="BE1949" s="82">
        <f>($S1949-$J1949)*100</f>
        <v/>
      </c>
      <c r="BF1949" s="82">
        <f>($V1949-$L1949)*100</f>
        <v/>
      </c>
      <c r="BG1949" s="82">
        <f>$AG1949-$AF1949</f>
        <v/>
      </c>
      <c r="BH1949" s="81">
        <f>IFERROR($AG1949/$AF1949,"")</f>
        <v/>
      </c>
      <c r="BI1949" s="82">
        <f>$AJ1949-$AF1949</f>
        <v/>
      </c>
      <c r="BJ1949" s="81">
        <f>IFERROR($AJ1949/$AG1949,"")</f>
        <v/>
      </c>
      <c r="BK1949" s="81">
        <f>$X1949</f>
        <v/>
      </c>
      <c r="BL1949" s="82">
        <f>($J1949-$J1950)*100</f>
        <v/>
      </c>
      <c r="BM1949" s="82">
        <f>($F1949-$F1950)*100</f>
        <v/>
      </c>
      <c r="BN1949" s="82">
        <f>$AF1949-$AF1950</f>
        <v/>
      </c>
      <c r="BO1949" s="82">
        <f>$AG1949-$AG1950</f>
        <v/>
      </c>
      <c r="BP1949" s="82">
        <f>$AJ1949-$AJ1950</f>
        <v/>
      </c>
    </row>
    <row r="1950">
      <c r="AR1950" s="81">
        <f>($G1950+($H1950-$G1950)*0.5)+($P1950-($O1950+($Q1950-$O1950)*0.5))</f>
        <v/>
      </c>
      <c r="AS1950" s="81">
        <f>($J1950+($K1950-$J1950)*0.5)+($T1950-($S1950+($U1950-$S1950)*0.5))</f>
        <v/>
      </c>
      <c r="AT1950" s="82">
        <f>($J1950-$C1950)*100</f>
        <v/>
      </c>
      <c r="AU1950" s="82">
        <f>($H1950-$F1950)*100</f>
        <v/>
      </c>
      <c r="AV1950" s="82">
        <f>($J1950-$F1950)*100</f>
        <v/>
      </c>
      <c r="AW1950" s="82">
        <f>($L1950-$F1950)*100</f>
        <v/>
      </c>
      <c r="AX1950" s="82">
        <f>($J1950-$H1950)*100</f>
        <v/>
      </c>
      <c r="AY1950" s="82">
        <f>($L1950-$H1950)*100</f>
        <v/>
      </c>
      <c r="AZ1950" s="82">
        <f>($L1950-$J1950)*100</f>
        <v/>
      </c>
      <c r="BA1950" s="82">
        <f>(2*$H1950-$F1950-$J1950)*100</f>
        <v/>
      </c>
      <c r="BB1950" s="82">
        <f>(2*$J1950-$H1950-$L1950)*100</f>
        <v/>
      </c>
      <c r="BC1950" s="82">
        <f>($N1950-$F1950)*100</f>
        <v/>
      </c>
      <c r="BD1950" s="82">
        <f>($Q1950-$H1950)*100</f>
        <v/>
      </c>
      <c r="BE1950" s="82">
        <f>($S1950-$J1950)*100</f>
        <v/>
      </c>
      <c r="BF1950" s="82">
        <f>($V1950-$L1950)*100</f>
        <v/>
      </c>
      <c r="BG1950" s="82">
        <f>$AG1950-$AF1950</f>
        <v/>
      </c>
      <c r="BH1950" s="81">
        <f>IFERROR($AG1950/$AF1950,"")</f>
        <v/>
      </c>
      <c r="BI1950" s="82">
        <f>$AJ1950-$AF1950</f>
        <v/>
      </c>
      <c r="BJ1950" s="81">
        <f>IFERROR($AJ1950/$AG1950,"")</f>
        <v/>
      </c>
      <c r="BK1950" s="81">
        <f>$X1950</f>
        <v/>
      </c>
      <c r="BL1950" s="82">
        <f>($J1950-$J1951)*100</f>
        <v/>
      </c>
      <c r="BM1950" s="82">
        <f>($F1950-$F1951)*100</f>
        <v/>
      </c>
      <c r="BN1950" s="82">
        <f>$AF1950-$AF1951</f>
        <v/>
      </c>
      <c r="BO1950" s="82">
        <f>$AG1950-$AG1951</f>
        <v/>
      </c>
      <c r="BP1950" s="82">
        <f>$AJ1950-$AJ1951</f>
        <v/>
      </c>
    </row>
    <row r="1951">
      <c r="AR1951" s="81">
        <f>($G1951+($H1951-$G1951)*0.5)+($P1951-($O1951+($Q1951-$O1951)*0.5))</f>
        <v/>
      </c>
      <c r="AS1951" s="81">
        <f>($J1951+($K1951-$J1951)*0.5)+($T1951-($S1951+($U1951-$S1951)*0.5))</f>
        <v/>
      </c>
      <c r="AT1951" s="82">
        <f>($J1951-$C1951)*100</f>
        <v/>
      </c>
      <c r="AU1951" s="82">
        <f>($H1951-$F1951)*100</f>
        <v/>
      </c>
      <c r="AV1951" s="82">
        <f>($J1951-$F1951)*100</f>
        <v/>
      </c>
      <c r="AW1951" s="82">
        <f>($L1951-$F1951)*100</f>
        <v/>
      </c>
      <c r="AX1951" s="82">
        <f>($J1951-$H1951)*100</f>
        <v/>
      </c>
      <c r="AY1951" s="82">
        <f>($L1951-$H1951)*100</f>
        <v/>
      </c>
      <c r="AZ1951" s="82">
        <f>($L1951-$J1951)*100</f>
        <v/>
      </c>
      <c r="BA1951" s="82">
        <f>(2*$H1951-$F1951-$J1951)*100</f>
        <v/>
      </c>
      <c r="BB1951" s="82">
        <f>(2*$J1951-$H1951-$L1951)*100</f>
        <v/>
      </c>
      <c r="BC1951" s="82">
        <f>($N1951-$F1951)*100</f>
        <v/>
      </c>
      <c r="BD1951" s="82">
        <f>($Q1951-$H1951)*100</f>
        <v/>
      </c>
      <c r="BE1951" s="82">
        <f>($S1951-$J1951)*100</f>
        <v/>
      </c>
      <c r="BF1951" s="82">
        <f>($V1951-$L1951)*100</f>
        <v/>
      </c>
      <c r="BG1951" s="82">
        <f>$AG1951-$AF1951</f>
        <v/>
      </c>
      <c r="BH1951" s="81">
        <f>IFERROR($AG1951/$AF1951,"")</f>
        <v/>
      </c>
      <c r="BI1951" s="82">
        <f>$AJ1951-$AF1951</f>
        <v/>
      </c>
      <c r="BJ1951" s="81">
        <f>IFERROR($AJ1951/$AG1951,"")</f>
        <v/>
      </c>
      <c r="BK1951" s="81">
        <f>$X1951</f>
        <v/>
      </c>
      <c r="BL1951" s="82">
        <f>($J1951-$J1952)*100</f>
        <v/>
      </c>
      <c r="BM1951" s="82">
        <f>($F1951-$F1952)*100</f>
        <v/>
      </c>
      <c r="BN1951" s="82">
        <f>$AF1951-$AF1952</f>
        <v/>
      </c>
      <c r="BO1951" s="82">
        <f>$AG1951-$AG1952</f>
        <v/>
      </c>
      <c r="BP1951" s="82">
        <f>$AJ1951-$AJ1952</f>
        <v/>
      </c>
    </row>
    <row r="1952">
      <c r="AR1952" s="81">
        <f>($G1952+($H1952-$G1952)*0.5)+($P1952-($O1952+($Q1952-$O1952)*0.5))</f>
        <v/>
      </c>
      <c r="AS1952" s="81">
        <f>($J1952+($K1952-$J1952)*0.5)+($T1952-($S1952+($U1952-$S1952)*0.5))</f>
        <v/>
      </c>
      <c r="AT1952" s="82">
        <f>($J1952-$C1952)*100</f>
        <v/>
      </c>
      <c r="AU1952" s="82">
        <f>($H1952-$F1952)*100</f>
        <v/>
      </c>
      <c r="AV1952" s="82">
        <f>($J1952-$F1952)*100</f>
        <v/>
      </c>
      <c r="AW1952" s="82">
        <f>($L1952-$F1952)*100</f>
        <v/>
      </c>
      <c r="AX1952" s="82">
        <f>($J1952-$H1952)*100</f>
        <v/>
      </c>
      <c r="AY1952" s="82">
        <f>($L1952-$H1952)*100</f>
        <v/>
      </c>
      <c r="AZ1952" s="82">
        <f>($L1952-$J1952)*100</f>
        <v/>
      </c>
      <c r="BA1952" s="82">
        <f>(2*$H1952-$F1952-$J1952)*100</f>
        <v/>
      </c>
      <c r="BB1952" s="82">
        <f>(2*$J1952-$H1952-$L1952)*100</f>
        <v/>
      </c>
      <c r="BC1952" s="82">
        <f>($N1952-$F1952)*100</f>
        <v/>
      </c>
      <c r="BD1952" s="82">
        <f>($Q1952-$H1952)*100</f>
        <v/>
      </c>
      <c r="BE1952" s="82">
        <f>($S1952-$J1952)*100</f>
        <v/>
      </c>
      <c r="BF1952" s="82">
        <f>($V1952-$L1952)*100</f>
        <v/>
      </c>
      <c r="BG1952" s="82">
        <f>$AG1952-$AF1952</f>
        <v/>
      </c>
      <c r="BH1952" s="81">
        <f>IFERROR($AG1952/$AF1952,"")</f>
        <v/>
      </c>
      <c r="BI1952" s="82">
        <f>$AJ1952-$AF1952</f>
        <v/>
      </c>
      <c r="BJ1952" s="81">
        <f>IFERROR($AJ1952/$AG1952,"")</f>
        <v/>
      </c>
      <c r="BK1952" s="81">
        <f>$X1952</f>
        <v/>
      </c>
      <c r="BL1952" s="82">
        <f>($J1952-$J1953)*100</f>
        <v/>
      </c>
      <c r="BM1952" s="82">
        <f>($F1952-$F1953)*100</f>
        <v/>
      </c>
      <c r="BN1952" s="82">
        <f>$AF1952-$AF1953</f>
        <v/>
      </c>
      <c r="BO1952" s="82">
        <f>$AG1952-$AG1953</f>
        <v/>
      </c>
      <c r="BP1952" s="82">
        <f>$AJ1952-$AJ1953</f>
        <v/>
      </c>
    </row>
    <row r="1953">
      <c r="AR1953" s="81">
        <f>($G1953+($H1953-$G1953)*0.5)+($P1953-($O1953+($Q1953-$O1953)*0.5))</f>
        <v/>
      </c>
      <c r="AS1953" s="81">
        <f>($J1953+($K1953-$J1953)*0.5)+($T1953-($S1953+($U1953-$S1953)*0.5))</f>
        <v/>
      </c>
      <c r="AT1953" s="82">
        <f>($J1953-$C1953)*100</f>
        <v/>
      </c>
      <c r="AU1953" s="82">
        <f>($H1953-$F1953)*100</f>
        <v/>
      </c>
      <c r="AV1953" s="82">
        <f>($J1953-$F1953)*100</f>
        <v/>
      </c>
      <c r="AW1953" s="82">
        <f>($L1953-$F1953)*100</f>
        <v/>
      </c>
      <c r="AX1953" s="82">
        <f>($J1953-$H1953)*100</f>
        <v/>
      </c>
      <c r="AY1953" s="82">
        <f>($L1953-$H1953)*100</f>
        <v/>
      </c>
      <c r="AZ1953" s="82">
        <f>($L1953-$J1953)*100</f>
        <v/>
      </c>
      <c r="BA1953" s="82">
        <f>(2*$H1953-$F1953-$J1953)*100</f>
        <v/>
      </c>
      <c r="BB1953" s="82">
        <f>(2*$J1953-$H1953-$L1953)*100</f>
        <v/>
      </c>
      <c r="BC1953" s="82">
        <f>($N1953-$F1953)*100</f>
        <v/>
      </c>
      <c r="BD1953" s="82">
        <f>($Q1953-$H1953)*100</f>
        <v/>
      </c>
      <c r="BE1953" s="82">
        <f>($S1953-$J1953)*100</f>
        <v/>
      </c>
      <c r="BF1953" s="82">
        <f>($V1953-$L1953)*100</f>
        <v/>
      </c>
      <c r="BG1953" s="82">
        <f>$AG1953-$AF1953</f>
        <v/>
      </c>
      <c r="BH1953" s="81">
        <f>IFERROR($AG1953/$AF1953,"")</f>
        <v/>
      </c>
      <c r="BI1953" s="82">
        <f>$AJ1953-$AF1953</f>
        <v/>
      </c>
      <c r="BJ1953" s="81">
        <f>IFERROR($AJ1953/$AG1953,"")</f>
        <v/>
      </c>
      <c r="BK1953" s="81">
        <f>$X1953</f>
        <v/>
      </c>
      <c r="BL1953" s="82">
        <f>($J1953-$J1954)*100</f>
        <v/>
      </c>
      <c r="BM1953" s="82">
        <f>($F1953-$F1954)*100</f>
        <v/>
      </c>
      <c r="BN1953" s="82">
        <f>$AF1953-$AF1954</f>
        <v/>
      </c>
      <c r="BO1953" s="82">
        <f>$AG1953-$AG1954</f>
        <v/>
      </c>
      <c r="BP1953" s="82">
        <f>$AJ1953-$AJ1954</f>
        <v/>
      </c>
    </row>
    <row r="1954">
      <c r="AR1954" s="81">
        <f>($G1954+($H1954-$G1954)*0.5)+($P1954-($O1954+($Q1954-$O1954)*0.5))</f>
        <v/>
      </c>
      <c r="AS1954" s="81">
        <f>($J1954+($K1954-$J1954)*0.5)+($T1954-($S1954+($U1954-$S1954)*0.5))</f>
        <v/>
      </c>
      <c r="AT1954" s="82">
        <f>($J1954-$C1954)*100</f>
        <v/>
      </c>
      <c r="AU1954" s="82">
        <f>($H1954-$F1954)*100</f>
        <v/>
      </c>
      <c r="AV1954" s="82">
        <f>($J1954-$F1954)*100</f>
        <v/>
      </c>
      <c r="AW1954" s="82">
        <f>($L1954-$F1954)*100</f>
        <v/>
      </c>
      <c r="AX1954" s="82">
        <f>($J1954-$H1954)*100</f>
        <v/>
      </c>
      <c r="AY1954" s="82">
        <f>($L1954-$H1954)*100</f>
        <v/>
      </c>
      <c r="AZ1954" s="82">
        <f>($L1954-$J1954)*100</f>
        <v/>
      </c>
      <c r="BA1954" s="82">
        <f>(2*$H1954-$F1954-$J1954)*100</f>
        <v/>
      </c>
      <c r="BB1954" s="82">
        <f>(2*$J1954-$H1954-$L1954)*100</f>
        <v/>
      </c>
      <c r="BC1954" s="82">
        <f>($N1954-$F1954)*100</f>
        <v/>
      </c>
      <c r="BD1954" s="82">
        <f>($Q1954-$H1954)*100</f>
        <v/>
      </c>
      <c r="BE1954" s="82">
        <f>($S1954-$J1954)*100</f>
        <v/>
      </c>
      <c r="BF1954" s="82">
        <f>($V1954-$L1954)*100</f>
        <v/>
      </c>
      <c r="BG1954" s="82">
        <f>$AG1954-$AF1954</f>
        <v/>
      </c>
      <c r="BH1954" s="81">
        <f>IFERROR($AG1954/$AF1954,"")</f>
        <v/>
      </c>
      <c r="BI1954" s="82">
        <f>$AJ1954-$AF1954</f>
        <v/>
      </c>
      <c r="BJ1954" s="81">
        <f>IFERROR($AJ1954/$AG1954,"")</f>
        <v/>
      </c>
      <c r="BK1954" s="81">
        <f>$X1954</f>
        <v/>
      </c>
      <c r="BL1954" s="82">
        <f>($J1954-$J1955)*100</f>
        <v/>
      </c>
      <c r="BM1954" s="82">
        <f>($F1954-$F1955)*100</f>
        <v/>
      </c>
      <c r="BN1954" s="82">
        <f>$AF1954-$AF1955</f>
        <v/>
      </c>
      <c r="BO1954" s="82">
        <f>$AG1954-$AG1955</f>
        <v/>
      </c>
      <c r="BP1954" s="82">
        <f>$AJ1954-$AJ1955</f>
        <v/>
      </c>
    </row>
    <row r="1955">
      <c r="AR1955" s="81">
        <f>($G1955+($H1955-$G1955)*0.5)+($P1955-($O1955+($Q1955-$O1955)*0.5))</f>
        <v/>
      </c>
      <c r="AS1955" s="81">
        <f>($J1955+($K1955-$J1955)*0.5)+($T1955-($S1955+($U1955-$S1955)*0.5))</f>
        <v/>
      </c>
      <c r="AT1955" s="82">
        <f>($J1955-$C1955)*100</f>
        <v/>
      </c>
      <c r="AU1955" s="82">
        <f>($H1955-$F1955)*100</f>
        <v/>
      </c>
      <c r="AV1955" s="82">
        <f>($J1955-$F1955)*100</f>
        <v/>
      </c>
      <c r="AW1955" s="82">
        <f>($L1955-$F1955)*100</f>
        <v/>
      </c>
      <c r="AX1955" s="82">
        <f>($J1955-$H1955)*100</f>
        <v/>
      </c>
      <c r="AY1955" s="82">
        <f>($L1955-$H1955)*100</f>
        <v/>
      </c>
      <c r="AZ1955" s="82">
        <f>($L1955-$J1955)*100</f>
        <v/>
      </c>
      <c r="BA1955" s="82">
        <f>(2*$H1955-$F1955-$J1955)*100</f>
        <v/>
      </c>
      <c r="BB1955" s="82">
        <f>(2*$J1955-$H1955-$L1955)*100</f>
        <v/>
      </c>
      <c r="BC1955" s="82">
        <f>($N1955-$F1955)*100</f>
        <v/>
      </c>
      <c r="BD1955" s="82">
        <f>($Q1955-$H1955)*100</f>
        <v/>
      </c>
      <c r="BE1955" s="82">
        <f>($S1955-$J1955)*100</f>
        <v/>
      </c>
      <c r="BF1955" s="82">
        <f>($V1955-$L1955)*100</f>
        <v/>
      </c>
      <c r="BG1955" s="82">
        <f>$AG1955-$AF1955</f>
        <v/>
      </c>
      <c r="BH1955" s="81">
        <f>IFERROR($AG1955/$AF1955,"")</f>
        <v/>
      </c>
      <c r="BI1955" s="82">
        <f>$AJ1955-$AF1955</f>
        <v/>
      </c>
      <c r="BJ1955" s="81">
        <f>IFERROR($AJ1955/$AG1955,"")</f>
        <v/>
      </c>
      <c r="BK1955" s="81">
        <f>$X1955</f>
        <v/>
      </c>
      <c r="BL1955" s="82">
        <f>($J1955-$J1956)*100</f>
        <v/>
      </c>
      <c r="BM1955" s="82">
        <f>($F1955-$F1956)*100</f>
        <v/>
      </c>
      <c r="BN1955" s="82">
        <f>$AF1955-$AF1956</f>
        <v/>
      </c>
      <c r="BO1955" s="82">
        <f>$AG1955-$AG1956</f>
        <v/>
      </c>
      <c r="BP1955" s="82">
        <f>$AJ1955-$AJ1956</f>
        <v/>
      </c>
    </row>
    <row r="1956">
      <c r="AR1956" s="81">
        <f>($G1956+($H1956-$G1956)*0.5)+($P1956-($O1956+($Q1956-$O1956)*0.5))</f>
        <v/>
      </c>
      <c r="AS1956" s="81">
        <f>($J1956+($K1956-$J1956)*0.5)+($T1956-($S1956+($U1956-$S1956)*0.5))</f>
        <v/>
      </c>
      <c r="AT1956" s="82">
        <f>($J1956-$C1956)*100</f>
        <v/>
      </c>
      <c r="AU1956" s="82">
        <f>($H1956-$F1956)*100</f>
        <v/>
      </c>
      <c r="AV1956" s="82">
        <f>($J1956-$F1956)*100</f>
        <v/>
      </c>
      <c r="AW1956" s="82">
        <f>($L1956-$F1956)*100</f>
        <v/>
      </c>
      <c r="AX1956" s="82">
        <f>($J1956-$H1956)*100</f>
        <v/>
      </c>
      <c r="AY1956" s="82">
        <f>($L1956-$H1956)*100</f>
        <v/>
      </c>
      <c r="AZ1956" s="82">
        <f>($L1956-$J1956)*100</f>
        <v/>
      </c>
      <c r="BA1956" s="82">
        <f>(2*$H1956-$F1956-$J1956)*100</f>
        <v/>
      </c>
      <c r="BB1956" s="82">
        <f>(2*$J1956-$H1956-$L1956)*100</f>
        <v/>
      </c>
      <c r="BC1956" s="82">
        <f>($N1956-$F1956)*100</f>
        <v/>
      </c>
      <c r="BD1956" s="82">
        <f>($Q1956-$H1956)*100</f>
        <v/>
      </c>
      <c r="BE1956" s="82">
        <f>($S1956-$J1956)*100</f>
        <v/>
      </c>
      <c r="BF1956" s="82">
        <f>($V1956-$L1956)*100</f>
        <v/>
      </c>
      <c r="BG1956" s="82">
        <f>$AG1956-$AF1956</f>
        <v/>
      </c>
      <c r="BH1956" s="81">
        <f>IFERROR($AG1956/$AF1956,"")</f>
        <v/>
      </c>
      <c r="BI1956" s="82">
        <f>$AJ1956-$AF1956</f>
        <v/>
      </c>
      <c r="BJ1956" s="81">
        <f>IFERROR($AJ1956/$AG1956,"")</f>
        <v/>
      </c>
      <c r="BK1956" s="81">
        <f>$X1956</f>
        <v/>
      </c>
      <c r="BL1956" s="82">
        <f>($J1956-$J1957)*100</f>
        <v/>
      </c>
      <c r="BM1956" s="82">
        <f>($F1956-$F1957)*100</f>
        <v/>
      </c>
      <c r="BN1956" s="82">
        <f>$AF1956-$AF1957</f>
        <v/>
      </c>
      <c r="BO1956" s="82">
        <f>$AG1956-$AG1957</f>
        <v/>
      </c>
      <c r="BP1956" s="82">
        <f>$AJ1956-$AJ1957</f>
        <v/>
      </c>
    </row>
    <row r="1957">
      <c r="AR1957" s="81">
        <f>($G1957+($H1957-$G1957)*0.5)+($P1957-($O1957+($Q1957-$O1957)*0.5))</f>
        <v/>
      </c>
      <c r="AS1957" s="81">
        <f>($J1957+($K1957-$J1957)*0.5)+($T1957-($S1957+($U1957-$S1957)*0.5))</f>
        <v/>
      </c>
      <c r="AT1957" s="82">
        <f>($J1957-$C1957)*100</f>
        <v/>
      </c>
      <c r="AU1957" s="82">
        <f>($H1957-$F1957)*100</f>
        <v/>
      </c>
      <c r="AV1957" s="82">
        <f>($J1957-$F1957)*100</f>
        <v/>
      </c>
      <c r="AW1957" s="82">
        <f>($L1957-$F1957)*100</f>
        <v/>
      </c>
      <c r="AX1957" s="82">
        <f>($J1957-$H1957)*100</f>
        <v/>
      </c>
      <c r="AY1957" s="82">
        <f>($L1957-$H1957)*100</f>
        <v/>
      </c>
      <c r="AZ1957" s="82">
        <f>($L1957-$J1957)*100</f>
        <v/>
      </c>
      <c r="BA1957" s="82">
        <f>(2*$H1957-$F1957-$J1957)*100</f>
        <v/>
      </c>
      <c r="BB1957" s="82">
        <f>(2*$J1957-$H1957-$L1957)*100</f>
        <v/>
      </c>
      <c r="BC1957" s="82">
        <f>($N1957-$F1957)*100</f>
        <v/>
      </c>
      <c r="BD1957" s="82">
        <f>($Q1957-$H1957)*100</f>
        <v/>
      </c>
      <c r="BE1957" s="82">
        <f>($S1957-$J1957)*100</f>
        <v/>
      </c>
      <c r="BF1957" s="82">
        <f>($V1957-$L1957)*100</f>
        <v/>
      </c>
      <c r="BG1957" s="82">
        <f>$AG1957-$AF1957</f>
        <v/>
      </c>
      <c r="BH1957" s="81">
        <f>IFERROR($AG1957/$AF1957,"")</f>
        <v/>
      </c>
      <c r="BI1957" s="82">
        <f>$AJ1957-$AF1957</f>
        <v/>
      </c>
      <c r="BJ1957" s="81">
        <f>IFERROR($AJ1957/$AG1957,"")</f>
        <v/>
      </c>
      <c r="BK1957" s="81">
        <f>$X1957</f>
        <v/>
      </c>
      <c r="BL1957" s="82">
        <f>($J1957-$J1958)*100</f>
        <v/>
      </c>
      <c r="BM1957" s="82">
        <f>($F1957-$F1958)*100</f>
        <v/>
      </c>
      <c r="BN1957" s="82">
        <f>$AF1957-$AF1958</f>
        <v/>
      </c>
      <c r="BO1957" s="82">
        <f>$AG1957-$AG1958</f>
        <v/>
      </c>
      <c r="BP1957" s="82">
        <f>$AJ1957-$AJ1958</f>
        <v/>
      </c>
    </row>
    <row r="1958">
      <c r="AR1958" s="81">
        <f>($G1958+($H1958-$G1958)*0.5)+($P1958-($O1958+($Q1958-$O1958)*0.5))</f>
        <v/>
      </c>
      <c r="AS1958" s="81">
        <f>($J1958+($K1958-$J1958)*0.5)+($T1958-($S1958+($U1958-$S1958)*0.5))</f>
        <v/>
      </c>
      <c r="AT1958" s="82">
        <f>($J1958-$C1958)*100</f>
        <v/>
      </c>
      <c r="AU1958" s="82">
        <f>($H1958-$F1958)*100</f>
        <v/>
      </c>
      <c r="AV1958" s="82">
        <f>($J1958-$F1958)*100</f>
        <v/>
      </c>
      <c r="AW1958" s="82">
        <f>($L1958-$F1958)*100</f>
        <v/>
      </c>
      <c r="AX1958" s="82">
        <f>($J1958-$H1958)*100</f>
        <v/>
      </c>
      <c r="AY1958" s="82">
        <f>($L1958-$H1958)*100</f>
        <v/>
      </c>
      <c r="AZ1958" s="82">
        <f>($L1958-$J1958)*100</f>
        <v/>
      </c>
      <c r="BA1958" s="82">
        <f>(2*$H1958-$F1958-$J1958)*100</f>
        <v/>
      </c>
      <c r="BB1958" s="82">
        <f>(2*$J1958-$H1958-$L1958)*100</f>
        <v/>
      </c>
      <c r="BC1958" s="82">
        <f>($N1958-$F1958)*100</f>
        <v/>
      </c>
      <c r="BD1958" s="82">
        <f>($Q1958-$H1958)*100</f>
        <v/>
      </c>
      <c r="BE1958" s="82">
        <f>($S1958-$J1958)*100</f>
        <v/>
      </c>
      <c r="BF1958" s="82">
        <f>($V1958-$L1958)*100</f>
        <v/>
      </c>
      <c r="BG1958" s="82">
        <f>$AG1958-$AF1958</f>
        <v/>
      </c>
      <c r="BH1958" s="81">
        <f>IFERROR($AG1958/$AF1958,"")</f>
        <v/>
      </c>
      <c r="BI1958" s="82">
        <f>$AJ1958-$AF1958</f>
        <v/>
      </c>
      <c r="BJ1958" s="81">
        <f>IFERROR($AJ1958/$AG1958,"")</f>
        <v/>
      </c>
      <c r="BK1958" s="81">
        <f>$X1958</f>
        <v/>
      </c>
      <c r="BL1958" s="82">
        <f>($J1958-$J1959)*100</f>
        <v/>
      </c>
      <c r="BM1958" s="82">
        <f>($F1958-$F1959)*100</f>
        <v/>
      </c>
      <c r="BN1958" s="82">
        <f>$AF1958-$AF1959</f>
        <v/>
      </c>
      <c r="BO1958" s="82">
        <f>$AG1958-$AG1959</f>
        <v/>
      </c>
      <c r="BP1958" s="82">
        <f>$AJ1958-$AJ1959</f>
        <v/>
      </c>
    </row>
    <row r="1959">
      <c r="AR1959" s="81">
        <f>($G1959+($H1959-$G1959)*0.5)+($P1959-($O1959+($Q1959-$O1959)*0.5))</f>
        <v/>
      </c>
      <c r="AS1959" s="81">
        <f>($J1959+($K1959-$J1959)*0.5)+($T1959-($S1959+($U1959-$S1959)*0.5))</f>
        <v/>
      </c>
      <c r="AT1959" s="82">
        <f>($J1959-$C1959)*100</f>
        <v/>
      </c>
      <c r="AU1959" s="82">
        <f>($H1959-$F1959)*100</f>
        <v/>
      </c>
      <c r="AV1959" s="82">
        <f>($J1959-$F1959)*100</f>
        <v/>
      </c>
      <c r="AW1959" s="82">
        <f>($L1959-$F1959)*100</f>
        <v/>
      </c>
      <c r="AX1959" s="82">
        <f>($J1959-$H1959)*100</f>
        <v/>
      </c>
      <c r="AY1959" s="82">
        <f>($L1959-$H1959)*100</f>
        <v/>
      </c>
      <c r="AZ1959" s="82">
        <f>($L1959-$J1959)*100</f>
        <v/>
      </c>
      <c r="BA1959" s="82">
        <f>(2*$H1959-$F1959-$J1959)*100</f>
        <v/>
      </c>
      <c r="BB1959" s="82">
        <f>(2*$J1959-$H1959-$L1959)*100</f>
        <v/>
      </c>
      <c r="BC1959" s="82">
        <f>($N1959-$F1959)*100</f>
        <v/>
      </c>
      <c r="BD1959" s="82">
        <f>($Q1959-$H1959)*100</f>
        <v/>
      </c>
      <c r="BE1959" s="82">
        <f>($S1959-$J1959)*100</f>
        <v/>
      </c>
      <c r="BF1959" s="82">
        <f>($V1959-$L1959)*100</f>
        <v/>
      </c>
      <c r="BG1959" s="82">
        <f>$AG1959-$AF1959</f>
        <v/>
      </c>
      <c r="BH1959" s="81">
        <f>IFERROR($AG1959/$AF1959,"")</f>
        <v/>
      </c>
      <c r="BI1959" s="82">
        <f>$AJ1959-$AF1959</f>
        <v/>
      </c>
      <c r="BJ1959" s="81">
        <f>IFERROR($AJ1959/$AG1959,"")</f>
        <v/>
      </c>
      <c r="BK1959" s="81">
        <f>$X1959</f>
        <v/>
      </c>
      <c r="BL1959" s="82">
        <f>($J1959-$J1960)*100</f>
        <v/>
      </c>
      <c r="BM1959" s="82">
        <f>($F1959-$F1960)*100</f>
        <v/>
      </c>
      <c r="BN1959" s="82">
        <f>$AF1959-$AF1960</f>
        <v/>
      </c>
      <c r="BO1959" s="82">
        <f>$AG1959-$AG1960</f>
        <v/>
      </c>
      <c r="BP1959" s="82">
        <f>$AJ1959-$AJ1960</f>
        <v/>
      </c>
    </row>
    <row r="1960">
      <c r="AR1960" s="81">
        <f>($G1960+($H1960-$G1960)*0.5)+($P1960-($O1960+($Q1960-$O1960)*0.5))</f>
        <v/>
      </c>
      <c r="AS1960" s="81">
        <f>($J1960+($K1960-$J1960)*0.5)+($T1960-($S1960+($U1960-$S1960)*0.5))</f>
        <v/>
      </c>
      <c r="AT1960" s="82">
        <f>($J1960-$C1960)*100</f>
        <v/>
      </c>
      <c r="AU1960" s="82">
        <f>($H1960-$F1960)*100</f>
        <v/>
      </c>
      <c r="AV1960" s="82">
        <f>($J1960-$F1960)*100</f>
        <v/>
      </c>
      <c r="AW1960" s="82">
        <f>($L1960-$F1960)*100</f>
        <v/>
      </c>
      <c r="AX1960" s="82">
        <f>($J1960-$H1960)*100</f>
        <v/>
      </c>
      <c r="AY1960" s="82">
        <f>($L1960-$H1960)*100</f>
        <v/>
      </c>
      <c r="AZ1960" s="82">
        <f>($L1960-$J1960)*100</f>
        <v/>
      </c>
      <c r="BA1960" s="82">
        <f>(2*$H1960-$F1960-$J1960)*100</f>
        <v/>
      </c>
      <c r="BB1960" s="82">
        <f>(2*$J1960-$H1960-$L1960)*100</f>
        <v/>
      </c>
      <c r="BC1960" s="82">
        <f>($N1960-$F1960)*100</f>
        <v/>
      </c>
      <c r="BD1960" s="82">
        <f>($Q1960-$H1960)*100</f>
        <v/>
      </c>
      <c r="BE1960" s="82">
        <f>($S1960-$J1960)*100</f>
        <v/>
      </c>
      <c r="BF1960" s="82">
        <f>($V1960-$L1960)*100</f>
        <v/>
      </c>
      <c r="BG1960" s="82">
        <f>$AG1960-$AF1960</f>
        <v/>
      </c>
      <c r="BH1960" s="81">
        <f>IFERROR($AG1960/$AF1960,"")</f>
        <v/>
      </c>
      <c r="BI1960" s="82">
        <f>$AJ1960-$AF1960</f>
        <v/>
      </c>
      <c r="BJ1960" s="81">
        <f>IFERROR($AJ1960/$AG1960,"")</f>
        <v/>
      </c>
      <c r="BK1960" s="81">
        <f>$X1960</f>
        <v/>
      </c>
      <c r="BL1960" s="82">
        <f>($J1960-$J1961)*100</f>
        <v/>
      </c>
      <c r="BM1960" s="82">
        <f>($F1960-$F1961)*100</f>
        <v/>
      </c>
      <c r="BN1960" s="82">
        <f>$AF1960-$AF1961</f>
        <v/>
      </c>
      <c r="BO1960" s="82">
        <f>$AG1960-$AG1961</f>
        <v/>
      </c>
      <c r="BP1960" s="82">
        <f>$AJ1960-$AJ1961</f>
        <v/>
      </c>
    </row>
    <row r="1961">
      <c r="AR1961" s="81">
        <f>($G1961+($H1961-$G1961)*0.5)+($P1961-($O1961+($Q1961-$O1961)*0.5))</f>
        <v/>
      </c>
      <c r="AS1961" s="81">
        <f>($J1961+($K1961-$J1961)*0.5)+($T1961-($S1961+($U1961-$S1961)*0.5))</f>
        <v/>
      </c>
      <c r="AT1961" s="82">
        <f>($J1961-$C1961)*100</f>
        <v/>
      </c>
      <c r="AU1961" s="82">
        <f>($H1961-$F1961)*100</f>
        <v/>
      </c>
      <c r="AV1961" s="82">
        <f>($J1961-$F1961)*100</f>
        <v/>
      </c>
      <c r="AW1961" s="82">
        <f>($L1961-$F1961)*100</f>
        <v/>
      </c>
      <c r="AX1961" s="82">
        <f>($J1961-$H1961)*100</f>
        <v/>
      </c>
      <c r="AY1961" s="82">
        <f>($L1961-$H1961)*100</f>
        <v/>
      </c>
      <c r="AZ1961" s="82">
        <f>($L1961-$J1961)*100</f>
        <v/>
      </c>
      <c r="BA1961" s="82">
        <f>(2*$H1961-$F1961-$J1961)*100</f>
        <v/>
      </c>
      <c r="BB1961" s="82">
        <f>(2*$J1961-$H1961-$L1961)*100</f>
        <v/>
      </c>
      <c r="BC1961" s="82">
        <f>($N1961-$F1961)*100</f>
        <v/>
      </c>
      <c r="BD1961" s="82">
        <f>($Q1961-$H1961)*100</f>
        <v/>
      </c>
      <c r="BE1961" s="82">
        <f>($S1961-$J1961)*100</f>
        <v/>
      </c>
      <c r="BF1961" s="82">
        <f>($V1961-$L1961)*100</f>
        <v/>
      </c>
      <c r="BG1961" s="82">
        <f>$AG1961-$AF1961</f>
        <v/>
      </c>
      <c r="BH1961" s="81">
        <f>IFERROR($AG1961/$AF1961,"")</f>
        <v/>
      </c>
      <c r="BI1961" s="82">
        <f>$AJ1961-$AF1961</f>
        <v/>
      </c>
      <c r="BJ1961" s="81">
        <f>IFERROR($AJ1961/$AG1961,"")</f>
        <v/>
      </c>
      <c r="BK1961" s="81">
        <f>$X1961</f>
        <v/>
      </c>
      <c r="BL1961" s="82">
        <f>($J1961-$J1962)*100</f>
        <v/>
      </c>
      <c r="BM1961" s="82">
        <f>($F1961-$F1962)*100</f>
        <v/>
      </c>
      <c r="BN1961" s="82">
        <f>$AF1961-$AF1962</f>
        <v/>
      </c>
      <c r="BO1961" s="82">
        <f>$AG1961-$AG1962</f>
        <v/>
      </c>
      <c r="BP1961" s="82">
        <f>$AJ1961-$AJ1962</f>
        <v/>
      </c>
    </row>
    <row r="1962">
      <c r="AR1962" s="81">
        <f>($G1962+($H1962-$G1962)*0.5)+($P1962-($O1962+($Q1962-$O1962)*0.5))</f>
        <v/>
      </c>
      <c r="AS1962" s="81">
        <f>($J1962+($K1962-$J1962)*0.5)+($T1962-($S1962+($U1962-$S1962)*0.5))</f>
        <v/>
      </c>
      <c r="AT1962" s="82">
        <f>($J1962-$C1962)*100</f>
        <v/>
      </c>
      <c r="AU1962" s="82">
        <f>($H1962-$F1962)*100</f>
        <v/>
      </c>
      <c r="AV1962" s="82">
        <f>($J1962-$F1962)*100</f>
        <v/>
      </c>
      <c r="AW1962" s="82">
        <f>($L1962-$F1962)*100</f>
        <v/>
      </c>
      <c r="AX1962" s="82">
        <f>($J1962-$H1962)*100</f>
        <v/>
      </c>
      <c r="AY1962" s="82">
        <f>($L1962-$H1962)*100</f>
        <v/>
      </c>
      <c r="AZ1962" s="82">
        <f>($L1962-$J1962)*100</f>
        <v/>
      </c>
      <c r="BA1962" s="82">
        <f>(2*$H1962-$F1962-$J1962)*100</f>
        <v/>
      </c>
      <c r="BB1962" s="82">
        <f>(2*$J1962-$H1962-$L1962)*100</f>
        <v/>
      </c>
      <c r="BC1962" s="82">
        <f>($N1962-$F1962)*100</f>
        <v/>
      </c>
      <c r="BD1962" s="82">
        <f>($Q1962-$H1962)*100</f>
        <v/>
      </c>
      <c r="BE1962" s="82">
        <f>($S1962-$J1962)*100</f>
        <v/>
      </c>
      <c r="BF1962" s="82">
        <f>($V1962-$L1962)*100</f>
        <v/>
      </c>
      <c r="BG1962" s="82">
        <f>$AG1962-$AF1962</f>
        <v/>
      </c>
      <c r="BH1962" s="81">
        <f>IFERROR($AG1962/$AF1962,"")</f>
        <v/>
      </c>
      <c r="BI1962" s="82">
        <f>$AJ1962-$AF1962</f>
        <v/>
      </c>
      <c r="BJ1962" s="81">
        <f>IFERROR($AJ1962/$AG1962,"")</f>
        <v/>
      </c>
      <c r="BK1962" s="81">
        <f>$X1962</f>
        <v/>
      </c>
      <c r="BL1962" s="82">
        <f>($J1962-$J1963)*100</f>
        <v/>
      </c>
      <c r="BM1962" s="82">
        <f>($F1962-$F1963)*100</f>
        <v/>
      </c>
      <c r="BN1962" s="82">
        <f>$AF1962-$AF1963</f>
        <v/>
      </c>
      <c r="BO1962" s="82">
        <f>$AG1962-$AG1963</f>
        <v/>
      </c>
      <c r="BP1962" s="82">
        <f>$AJ1962-$AJ1963</f>
        <v/>
      </c>
    </row>
    <row r="1963">
      <c r="AR1963" s="81">
        <f>($G1963+($H1963-$G1963)*0.5)+($P1963-($O1963+($Q1963-$O1963)*0.5))</f>
        <v/>
      </c>
      <c r="AS1963" s="81">
        <f>($J1963+($K1963-$J1963)*0.5)+($T1963-($S1963+($U1963-$S1963)*0.5))</f>
        <v/>
      </c>
      <c r="AT1963" s="82">
        <f>($J1963-$C1963)*100</f>
        <v/>
      </c>
      <c r="AU1963" s="82">
        <f>($H1963-$F1963)*100</f>
        <v/>
      </c>
      <c r="AV1963" s="82">
        <f>($J1963-$F1963)*100</f>
        <v/>
      </c>
      <c r="AW1963" s="82">
        <f>($L1963-$F1963)*100</f>
        <v/>
      </c>
      <c r="AX1963" s="82">
        <f>($J1963-$H1963)*100</f>
        <v/>
      </c>
      <c r="AY1963" s="82">
        <f>($L1963-$H1963)*100</f>
        <v/>
      </c>
      <c r="AZ1963" s="82">
        <f>($L1963-$J1963)*100</f>
        <v/>
      </c>
      <c r="BA1963" s="82">
        <f>(2*$H1963-$F1963-$J1963)*100</f>
        <v/>
      </c>
      <c r="BB1963" s="82">
        <f>(2*$J1963-$H1963-$L1963)*100</f>
        <v/>
      </c>
      <c r="BC1963" s="82">
        <f>($N1963-$F1963)*100</f>
        <v/>
      </c>
      <c r="BD1963" s="82">
        <f>($Q1963-$H1963)*100</f>
        <v/>
      </c>
      <c r="BE1963" s="82">
        <f>($S1963-$J1963)*100</f>
        <v/>
      </c>
      <c r="BF1963" s="82">
        <f>($V1963-$L1963)*100</f>
        <v/>
      </c>
      <c r="BG1963" s="82">
        <f>$AG1963-$AF1963</f>
        <v/>
      </c>
      <c r="BH1963" s="81">
        <f>IFERROR($AG1963/$AF1963,"")</f>
        <v/>
      </c>
      <c r="BI1963" s="82">
        <f>$AJ1963-$AF1963</f>
        <v/>
      </c>
      <c r="BJ1963" s="81">
        <f>IFERROR($AJ1963/$AG1963,"")</f>
        <v/>
      </c>
      <c r="BK1963" s="81">
        <f>$X1963</f>
        <v/>
      </c>
      <c r="BL1963" s="82">
        <f>($J1963-$J1964)*100</f>
        <v/>
      </c>
      <c r="BM1963" s="82">
        <f>($F1963-$F1964)*100</f>
        <v/>
      </c>
      <c r="BN1963" s="82">
        <f>$AF1963-$AF1964</f>
        <v/>
      </c>
      <c r="BO1963" s="82">
        <f>$AG1963-$AG1964</f>
        <v/>
      </c>
      <c r="BP1963" s="82">
        <f>$AJ1963-$AJ1964</f>
        <v/>
      </c>
    </row>
    <row r="1964">
      <c r="AR1964" s="81">
        <f>($G1964+($H1964-$G1964)*0.5)+($P1964-($O1964+($Q1964-$O1964)*0.5))</f>
        <v/>
      </c>
      <c r="AS1964" s="81">
        <f>($J1964+($K1964-$J1964)*0.5)+($T1964-($S1964+($U1964-$S1964)*0.5))</f>
        <v/>
      </c>
      <c r="AT1964" s="82">
        <f>($J1964-$C1964)*100</f>
        <v/>
      </c>
      <c r="AU1964" s="82">
        <f>($H1964-$F1964)*100</f>
        <v/>
      </c>
      <c r="AV1964" s="82">
        <f>($J1964-$F1964)*100</f>
        <v/>
      </c>
      <c r="AW1964" s="82">
        <f>($L1964-$F1964)*100</f>
        <v/>
      </c>
      <c r="AX1964" s="82">
        <f>($J1964-$H1964)*100</f>
        <v/>
      </c>
      <c r="AY1964" s="82">
        <f>($L1964-$H1964)*100</f>
        <v/>
      </c>
      <c r="AZ1964" s="82">
        <f>($L1964-$J1964)*100</f>
        <v/>
      </c>
      <c r="BA1964" s="82">
        <f>(2*$H1964-$F1964-$J1964)*100</f>
        <v/>
      </c>
      <c r="BB1964" s="82">
        <f>(2*$J1964-$H1964-$L1964)*100</f>
        <v/>
      </c>
      <c r="BC1964" s="82">
        <f>($N1964-$F1964)*100</f>
        <v/>
      </c>
      <c r="BD1964" s="82">
        <f>($Q1964-$H1964)*100</f>
        <v/>
      </c>
      <c r="BE1964" s="82">
        <f>($S1964-$J1964)*100</f>
        <v/>
      </c>
      <c r="BF1964" s="82">
        <f>($V1964-$L1964)*100</f>
        <v/>
      </c>
      <c r="BG1964" s="82">
        <f>$AG1964-$AF1964</f>
        <v/>
      </c>
      <c r="BH1964" s="81">
        <f>IFERROR($AG1964/$AF1964,"")</f>
        <v/>
      </c>
      <c r="BI1964" s="82">
        <f>$AJ1964-$AF1964</f>
        <v/>
      </c>
      <c r="BJ1964" s="81">
        <f>IFERROR($AJ1964/$AG1964,"")</f>
        <v/>
      </c>
      <c r="BK1964" s="81">
        <f>$X1964</f>
        <v/>
      </c>
      <c r="BL1964" s="82">
        <f>($J1964-$J1965)*100</f>
        <v/>
      </c>
      <c r="BM1964" s="82">
        <f>($F1964-$F1965)*100</f>
        <v/>
      </c>
      <c r="BN1964" s="82">
        <f>$AF1964-$AF1965</f>
        <v/>
      </c>
      <c r="BO1964" s="82">
        <f>$AG1964-$AG1965</f>
        <v/>
      </c>
      <c r="BP1964" s="82">
        <f>$AJ1964-$AJ1965</f>
        <v/>
      </c>
    </row>
    <row r="1965">
      <c r="AR1965" s="81">
        <f>($G1965+($H1965-$G1965)*0.5)+($P1965-($O1965+($Q1965-$O1965)*0.5))</f>
        <v/>
      </c>
      <c r="AS1965" s="81">
        <f>($J1965+($K1965-$J1965)*0.5)+($T1965-($S1965+($U1965-$S1965)*0.5))</f>
        <v/>
      </c>
      <c r="AT1965" s="82">
        <f>($J1965-$C1965)*100</f>
        <v/>
      </c>
      <c r="AU1965" s="82">
        <f>($H1965-$F1965)*100</f>
        <v/>
      </c>
      <c r="AV1965" s="82">
        <f>($J1965-$F1965)*100</f>
        <v/>
      </c>
      <c r="AW1965" s="82">
        <f>($L1965-$F1965)*100</f>
        <v/>
      </c>
      <c r="AX1965" s="82">
        <f>($J1965-$H1965)*100</f>
        <v/>
      </c>
      <c r="AY1965" s="82">
        <f>($L1965-$H1965)*100</f>
        <v/>
      </c>
      <c r="AZ1965" s="82">
        <f>($L1965-$J1965)*100</f>
        <v/>
      </c>
      <c r="BA1965" s="82">
        <f>(2*$H1965-$F1965-$J1965)*100</f>
        <v/>
      </c>
      <c r="BB1965" s="82">
        <f>(2*$J1965-$H1965-$L1965)*100</f>
        <v/>
      </c>
      <c r="BC1965" s="82">
        <f>($N1965-$F1965)*100</f>
        <v/>
      </c>
      <c r="BD1965" s="82">
        <f>($Q1965-$H1965)*100</f>
        <v/>
      </c>
      <c r="BE1965" s="82">
        <f>($S1965-$J1965)*100</f>
        <v/>
      </c>
      <c r="BF1965" s="82">
        <f>($V1965-$L1965)*100</f>
        <v/>
      </c>
      <c r="BG1965" s="82">
        <f>$AG1965-$AF1965</f>
        <v/>
      </c>
      <c r="BH1965" s="81">
        <f>IFERROR($AG1965/$AF1965,"")</f>
        <v/>
      </c>
      <c r="BI1965" s="82">
        <f>$AJ1965-$AF1965</f>
        <v/>
      </c>
      <c r="BJ1965" s="81">
        <f>IFERROR($AJ1965/$AG1965,"")</f>
        <v/>
      </c>
      <c r="BK1965" s="81">
        <f>$X1965</f>
        <v/>
      </c>
      <c r="BL1965" s="82">
        <f>($J1965-$J1966)*100</f>
        <v/>
      </c>
      <c r="BM1965" s="82">
        <f>($F1965-$F1966)*100</f>
        <v/>
      </c>
      <c r="BN1965" s="82">
        <f>$AF1965-$AF1966</f>
        <v/>
      </c>
      <c r="BO1965" s="82">
        <f>$AG1965-$AG1966</f>
        <v/>
      </c>
      <c r="BP1965" s="82">
        <f>$AJ1965-$AJ1966</f>
        <v/>
      </c>
    </row>
    <row r="1966">
      <c r="AR1966" s="81">
        <f>($G1966+($H1966-$G1966)*0.5)+($P1966-($O1966+($Q1966-$O1966)*0.5))</f>
        <v/>
      </c>
      <c r="AS1966" s="81">
        <f>($J1966+($K1966-$J1966)*0.5)+($T1966-($S1966+($U1966-$S1966)*0.5))</f>
        <v/>
      </c>
      <c r="AT1966" s="82">
        <f>($J1966-$C1966)*100</f>
        <v/>
      </c>
      <c r="AU1966" s="82">
        <f>($H1966-$F1966)*100</f>
        <v/>
      </c>
      <c r="AV1966" s="82">
        <f>($J1966-$F1966)*100</f>
        <v/>
      </c>
      <c r="AW1966" s="82">
        <f>($L1966-$F1966)*100</f>
        <v/>
      </c>
      <c r="AX1966" s="82">
        <f>($J1966-$H1966)*100</f>
        <v/>
      </c>
      <c r="AY1966" s="82">
        <f>($L1966-$H1966)*100</f>
        <v/>
      </c>
      <c r="AZ1966" s="82">
        <f>($L1966-$J1966)*100</f>
        <v/>
      </c>
      <c r="BA1966" s="82">
        <f>(2*$H1966-$F1966-$J1966)*100</f>
        <v/>
      </c>
      <c r="BB1966" s="82">
        <f>(2*$J1966-$H1966-$L1966)*100</f>
        <v/>
      </c>
      <c r="BC1966" s="82">
        <f>($N1966-$F1966)*100</f>
        <v/>
      </c>
      <c r="BD1966" s="82">
        <f>($Q1966-$H1966)*100</f>
        <v/>
      </c>
      <c r="BE1966" s="82">
        <f>($S1966-$J1966)*100</f>
        <v/>
      </c>
      <c r="BF1966" s="82">
        <f>($V1966-$L1966)*100</f>
        <v/>
      </c>
      <c r="BG1966" s="82">
        <f>$AG1966-$AF1966</f>
        <v/>
      </c>
      <c r="BH1966" s="81">
        <f>IFERROR($AG1966/$AF1966,"")</f>
        <v/>
      </c>
      <c r="BI1966" s="82">
        <f>$AJ1966-$AF1966</f>
        <v/>
      </c>
      <c r="BJ1966" s="81">
        <f>IFERROR($AJ1966/$AG1966,"")</f>
        <v/>
      </c>
      <c r="BK1966" s="81">
        <f>$X1966</f>
        <v/>
      </c>
      <c r="BL1966" s="82">
        <f>($J1966-$J1967)*100</f>
        <v/>
      </c>
      <c r="BM1966" s="82">
        <f>($F1966-$F1967)*100</f>
        <v/>
      </c>
      <c r="BN1966" s="82">
        <f>$AF1966-$AF1967</f>
        <v/>
      </c>
      <c r="BO1966" s="82">
        <f>$AG1966-$AG1967</f>
        <v/>
      </c>
      <c r="BP1966" s="82">
        <f>$AJ1966-$AJ1967</f>
        <v/>
      </c>
    </row>
    <row r="1967">
      <c r="AR1967" s="81">
        <f>($G1967+($H1967-$G1967)*0.5)+($P1967-($O1967+($Q1967-$O1967)*0.5))</f>
        <v/>
      </c>
      <c r="AS1967" s="81">
        <f>($J1967+($K1967-$J1967)*0.5)+($T1967-($S1967+($U1967-$S1967)*0.5))</f>
        <v/>
      </c>
      <c r="AT1967" s="82">
        <f>($J1967-$C1967)*100</f>
        <v/>
      </c>
      <c r="AU1967" s="82">
        <f>($H1967-$F1967)*100</f>
        <v/>
      </c>
      <c r="AV1967" s="82">
        <f>($J1967-$F1967)*100</f>
        <v/>
      </c>
      <c r="AW1967" s="82">
        <f>($L1967-$F1967)*100</f>
        <v/>
      </c>
      <c r="AX1967" s="82">
        <f>($J1967-$H1967)*100</f>
        <v/>
      </c>
      <c r="AY1967" s="82">
        <f>($L1967-$H1967)*100</f>
        <v/>
      </c>
      <c r="AZ1967" s="82">
        <f>($L1967-$J1967)*100</f>
        <v/>
      </c>
      <c r="BA1967" s="82">
        <f>(2*$H1967-$F1967-$J1967)*100</f>
        <v/>
      </c>
      <c r="BB1967" s="82">
        <f>(2*$J1967-$H1967-$L1967)*100</f>
        <v/>
      </c>
      <c r="BC1967" s="82">
        <f>($N1967-$F1967)*100</f>
        <v/>
      </c>
      <c r="BD1967" s="82">
        <f>($Q1967-$H1967)*100</f>
        <v/>
      </c>
      <c r="BE1967" s="82">
        <f>($S1967-$J1967)*100</f>
        <v/>
      </c>
      <c r="BF1967" s="82">
        <f>($V1967-$L1967)*100</f>
        <v/>
      </c>
      <c r="BG1967" s="82">
        <f>$AG1967-$AF1967</f>
        <v/>
      </c>
      <c r="BH1967" s="81">
        <f>IFERROR($AG1967/$AF1967,"")</f>
        <v/>
      </c>
      <c r="BI1967" s="82">
        <f>$AJ1967-$AF1967</f>
        <v/>
      </c>
      <c r="BJ1967" s="81">
        <f>IFERROR($AJ1967/$AG1967,"")</f>
        <v/>
      </c>
      <c r="BK1967" s="81">
        <f>$X1967</f>
        <v/>
      </c>
      <c r="BL1967" s="82">
        <f>($J1967-$J1968)*100</f>
        <v/>
      </c>
      <c r="BM1967" s="82">
        <f>($F1967-$F1968)*100</f>
        <v/>
      </c>
      <c r="BN1967" s="82">
        <f>$AF1967-$AF1968</f>
        <v/>
      </c>
      <c r="BO1967" s="82">
        <f>$AG1967-$AG1968</f>
        <v/>
      </c>
      <c r="BP1967" s="82">
        <f>$AJ1967-$AJ1968</f>
        <v/>
      </c>
    </row>
    <row r="1968">
      <c r="AR1968" s="81">
        <f>($G1968+($H1968-$G1968)*0.5)+($P1968-($O1968+($Q1968-$O1968)*0.5))</f>
        <v/>
      </c>
      <c r="AS1968" s="81">
        <f>($J1968+($K1968-$J1968)*0.5)+($T1968-($S1968+($U1968-$S1968)*0.5))</f>
        <v/>
      </c>
      <c r="AT1968" s="82">
        <f>($J1968-$C1968)*100</f>
        <v/>
      </c>
      <c r="AU1968" s="82">
        <f>($H1968-$F1968)*100</f>
        <v/>
      </c>
      <c r="AV1968" s="82">
        <f>($J1968-$F1968)*100</f>
        <v/>
      </c>
      <c r="AW1968" s="82">
        <f>($L1968-$F1968)*100</f>
        <v/>
      </c>
      <c r="AX1968" s="82">
        <f>($J1968-$H1968)*100</f>
        <v/>
      </c>
      <c r="AY1968" s="82">
        <f>($L1968-$H1968)*100</f>
        <v/>
      </c>
      <c r="AZ1968" s="82">
        <f>($L1968-$J1968)*100</f>
        <v/>
      </c>
      <c r="BA1968" s="82">
        <f>(2*$H1968-$F1968-$J1968)*100</f>
        <v/>
      </c>
      <c r="BB1968" s="82">
        <f>(2*$J1968-$H1968-$L1968)*100</f>
        <v/>
      </c>
      <c r="BC1968" s="82">
        <f>($N1968-$F1968)*100</f>
        <v/>
      </c>
      <c r="BD1968" s="82">
        <f>($Q1968-$H1968)*100</f>
        <v/>
      </c>
      <c r="BE1968" s="82">
        <f>($S1968-$J1968)*100</f>
        <v/>
      </c>
      <c r="BF1968" s="82">
        <f>($V1968-$L1968)*100</f>
        <v/>
      </c>
      <c r="BG1968" s="82">
        <f>$AG1968-$AF1968</f>
        <v/>
      </c>
      <c r="BH1968" s="81">
        <f>IFERROR($AG1968/$AF1968,"")</f>
        <v/>
      </c>
      <c r="BI1968" s="82">
        <f>$AJ1968-$AF1968</f>
        <v/>
      </c>
      <c r="BJ1968" s="81">
        <f>IFERROR($AJ1968/$AG1968,"")</f>
        <v/>
      </c>
      <c r="BK1968" s="81">
        <f>$X1968</f>
        <v/>
      </c>
      <c r="BL1968" s="82">
        <f>($J1968-$J1969)*100</f>
        <v/>
      </c>
      <c r="BM1968" s="82">
        <f>($F1968-$F1969)*100</f>
        <v/>
      </c>
      <c r="BN1968" s="82">
        <f>$AF1968-$AF1969</f>
        <v/>
      </c>
      <c r="BO1968" s="82">
        <f>$AG1968-$AG1969</f>
        <v/>
      </c>
      <c r="BP1968" s="82">
        <f>$AJ1968-$AJ1969</f>
        <v/>
      </c>
    </row>
    <row r="1969">
      <c r="AR1969" s="81">
        <f>($G1969+($H1969-$G1969)*0.5)+($P1969-($O1969+($Q1969-$O1969)*0.5))</f>
        <v/>
      </c>
      <c r="AS1969" s="81">
        <f>($J1969+($K1969-$J1969)*0.5)+($T1969-($S1969+($U1969-$S1969)*0.5))</f>
        <v/>
      </c>
      <c r="AT1969" s="82">
        <f>($J1969-$C1969)*100</f>
        <v/>
      </c>
      <c r="AU1969" s="82">
        <f>($H1969-$F1969)*100</f>
        <v/>
      </c>
      <c r="AV1969" s="82">
        <f>($J1969-$F1969)*100</f>
        <v/>
      </c>
      <c r="AW1969" s="82">
        <f>($L1969-$F1969)*100</f>
        <v/>
      </c>
      <c r="AX1969" s="82">
        <f>($J1969-$H1969)*100</f>
        <v/>
      </c>
      <c r="AY1969" s="82">
        <f>($L1969-$H1969)*100</f>
        <v/>
      </c>
      <c r="AZ1969" s="82">
        <f>($L1969-$J1969)*100</f>
        <v/>
      </c>
      <c r="BA1969" s="82">
        <f>(2*$H1969-$F1969-$J1969)*100</f>
        <v/>
      </c>
      <c r="BB1969" s="82">
        <f>(2*$J1969-$H1969-$L1969)*100</f>
        <v/>
      </c>
      <c r="BC1969" s="82">
        <f>($N1969-$F1969)*100</f>
        <v/>
      </c>
      <c r="BD1969" s="82">
        <f>($Q1969-$H1969)*100</f>
        <v/>
      </c>
      <c r="BE1969" s="82">
        <f>($S1969-$J1969)*100</f>
        <v/>
      </c>
      <c r="BF1969" s="82">
        <f>($V1969-$L1969)*100</f>
        <v/>
      </c>
      <c r="BG1969" s="82">
        <f>$AG1969-$AF1969</f>
        <v/>
      </c>
      <c r="BH1969" s="81">
        <f>IFERROR($AG1969/$AF1969,"")</f>
        <v/>
      </c>
      <c r="BI1969" s="82">
        <f>$AJ1969-$AF1969</f>
        <v/>
      </c>
      <c r="BJ1969" s="81">
        <f>IFERROR($AJ1969/$AG1969,"")</f>
        <v/>
      </c>
      <c r="BK1969" s="81">
        <f>$X1969</f>
        <v/>
      </c>
      <c r="BL1969" s="82">
        <f>($J1969-$J1970)*100</f>
        <v/>
      </c>
      <c r="BM1969" s="82">
        <f>($F1969-$F1970)*100</f>
        <v/>
      </c>
      <c r="BN1969" s="82">
        <f>$AF1969-$AF1970</f>
        <v/>
      </c>
      <c r="BO1969" s="82">
        <f>$AG1969-$AG1970</f>
        <v/>
      </c>
      <c r="BP1969" s="82">
        <f>$AJ1969-$AJ1970</f>
        <v/>
      </c>
    </row>
    <row r="1970">
      <c r="AR1970" s="81">
        <f>($G1970+($H1970-$G1970)*0.5)+($P1970-($O1970+($Q1970-$O1970)*0.5))</f>
        <v/>
      </c>
      <c r="AS1970" s="81">
        <f>($J1970+($K1970-$J1970)*0.5)+($T1970-($S1970+($U1970-$S1970)*0.5))</f>
        <v/>
      </c>
      <c r="AT1970" s="82">
        <f>($J1970-$C1970)*100</f>
        <v/>
      </c>
      <c r="AU1970" s="82">
        <f>($H1970-$F1970)*100</f>
        <v/>
      </c>
      <c r="AV1970" s="82">
        <f>($J1970-$F1970)*100</f>
        <v/>
      </c>
      <c r="AW1970" s="82">
        <f>($L1970-$F1970)*100</f>
        <v/>
      </c>
      <c r="AX1970" s="82">
        <f>($J1970-$H1970)*100</f>
        <v/>
      </c>
      <c r="AY1970" s="82">
        <f>($L1970-$H1970)*100</f>
        <v/>
      </c>
      <c r="AZ1970" s="82">
        <f>($L1970-$J1970)*100</f>
        <v/>
      </c>
      <c r="BA1970" s="82">
        <f>(2*$H1970-$F1970-$J1970)*100</f>
        <v/>
      </c>
      <c r="BB1970" s="82">
        <f>(2*$J1970-$H1970-$L1970)*100</f>
        <v/>
      </c>
      <c r="BC1970" s="82">
        <f>($N1970-$F1970)*100</f>
        <v/>
      </c>
      <c r="BD1970" s="82">
        <f>($Q1970-$H1970)*100</f>
        <v/>
      </c>
      <c r="BE1970" s="82">
        <f>($S1970-$J1970)*100</f>
        <v/>
      </c>
      <c r="BF1970" s="82">
        <f>($V1970-$L1970)*100</f>
        <v/>
      </c>
      <c r="BG1970" s="82">
        <f>$AG1970-$AF1970</f>
        <v/>
      </c>
      <c r="BH1970" s="81">
        <f>IFERROR($AG1970/$AF1970,"")</f>
        <v/>
      </c>
      <c r="BI1970" s="82">
        <f>$AJ1970-$AF1970</f>
        <v/>
      </c>
      <c r="BJ1970" s="81">
        <f>IFERROR($AJ1970/$AG1970,"")</f>
        <v/>
      </c>
      <c r="BK1970" s="81">
        <f>$X1970</f>
        <v/>
      </c>
      <c r="BL1970" s="82">
        <f>($J1970-$J1971)*100</f>
        <v/>
      </c>
      <c r="BM1970" s="82">
        <f>($F1970-$F1971)*100</f>
        <v/>
      </c>
      <c r="BN1970" s="82">
        <f>$AF1970-$AF1971</f>
        <v/>
      </c>
      <c r="BO1970" s="82">
        <f>$AG1970-$AG1971</f>
        <v/>
      </c>
      <c r="BP1970" s="82">
        <f>$AJ1970-$AJ1971</f>
        <v/>
      </c>
    </row>
    <row r="1971">
      <c r="AR1971" s="81">
        <f>($G1971+($H1971-$G1971)*0.5)+($P1971-($O1971+($Q1971-$O1971)*0.5))</f>
        <v/>
      </c>
      <c r="AS1971" s="81">
        <f>($J1971+($K1971-$J1971)*0.5)+($T1971-($S1971+($U1971-$S1971)*0.5))</f>
        <v/>
      </c>
      <c r="AT1971" s="82">
        <f>($J1971-$C1971)*100</f>
        <v/>
      </c>
      <c r="AU1971" s="82">
        <f>($H1971-$F1971)*100</f>
        <v/>
      </c>
      <c r="AV1971" s="82">
        <f>($J1971-$F1971)*100</f>
        <v/>
      </c>
      <c r="AW1971" s="82">
        <f>($L1971-$F1971)*100</f>
        <v/>
      </c>
      <c r="AX1971" s="82">
        <f>($J1971-$H1971)*100</f>
        <v/>
      </c>
      <c r="AY1971" s="82">
        <f>($L1971-$H1971)*100</f>
        <v/>
      </c>
      <c r="AZ1971" s="82">
        <f>($L1971-$J1971)*100</f>
        <v/>
      </c>
      <c r="BA1971" s="82">
        <f>(2*$H1971-$F1971-$J1971)*100</f>
        <v/>
      </c>
      <c r="BB1971" s="82">
        <f>(2*$J1971-$H1971-$L1971)*100</f>
        <v/>
      </c>
      <c r="BC1971" s="82">
        <f>($N1971-$F1971)*100</f>
        <v/>
      </c>
      <c r="BD1971" s="82">
        <f>($Q1971-$H1971)*100</f>
        <v/>
      </c>
      <c r="BE1971" s="82">
        <f>($S1971-$J1971)*100</f>
        <v/>
      </c>
      <c r="BF1971" s="82">
        <f>($V1971-$L1971)*100</f>
        <v/>
      </c>
      <c r="BG1971" s="82">
        <f>$AG1971-$AF1971</f>
        <v/>
      </c>
      <c r="BH1971" s="81">
        <f>IFERROR($AG1971/$AF1971,"")</f>
        <v/>
      </c>
      <c r="BI1971" s="82">
        <f>$AJ1971-$AF1971</f>
        <v/>
      </c>
      <c r="BJ1971" s="81">
        <f>IFERROR($AJ1971/$AG1971,"")</f>
        <v/>
      </c>
      <c r="BK1971" s="81">
        <f>$X1971</f>
        <v/>
      </c>
      <c r="BL1971" s="82">
        <f>($J1971-$J1972)*100</f>
        <v/>
      </c>
      <c r="BM1971" s="82">
        <f>($F1971-$F1972)*100</f>
        <v/>
      </c>
      <c r="BN1971" s="82">
        <f>$AF1971-$AF1972</f>
        <v/>
      </c>
      <c r="BO1971" s="82">
        <f>$AG1971-$AG1972</f>
        <v/>
      </c>
      <c r="BP1971" s="82">
        <f>$AJ1971-$AJ1972</f>
        <v/>
      </c>
    </row>
    <row r="1972">
      <c r="AR1972" s="81">
        <f>($G1972+($H1972-$G1972)*0.5)+($P1972-($O1972+($Q1972-$O1972)*0.5))</f>
        <v/>
      </c>
      <c r="AS1972" s="81">
        <f>($J1972+($K1972-$J1972)*0.5)+($T1972-($S1972+($U1972-$S1972)*0.5))</f>
        <v/>
      </c>
      <c r="AT1972" s="82">
        <f>($J1972-$C1972)*100</f>
        <v/>
      </c>
      <c r="AU1972" s="82">
        <f>($H1972-$F1972)*100</f>
        <v/>
      </c>
      <c r="AV1972" s="82">
        <f>($J1972-$F1972)*100</f>
        <v/>
      </c>
      <c r="AW1972" s="82">
        <f>($L1972-$F1972)*100</f>
        <v/>
      </c>
      <c r="AX1972" s="82">
        <f>($J1972-$H1972)*100</f>
        <v/>
      </c>
      <c r="AY1972" s="82">
        <f>($L1972-$H1972)*100</f>
        <v/>
      </c>
      <c r="AZ1972" s="82">
        <f>($L1972-$J1972)*100</f>
        <v/>
      </c>
      <c r="BA1972" s="82">
        <f>(2*$H1972-$F1972-$J1972)*100</f>
        <v/>
      </c>
      <c r="BB1972" s="82">
        <f>(2*$J1972-$H1972-$L1972)*100</f>
        <v/>
      </c>
      <c r="BC1972" s="82">
        <f>($N1972-$F1972)*100</f>
        <v/>
      </c>
      <c r="BD1972" s="82">
        <f>($Q1972-$H1972)*100</f>
        <v/>
      </c>
      <c r="BE1972" s="82">
        <f>($S1972-$J1972)*100</f>
        <v/>
      </c>
      <c r="BF1972" s="82">
        <f>($V1972-$L1972)*100</f>
        <v/>
      </c>
      <c r="BG1972" s="82">
        <f>$AG1972-$AF1972</f>
        <v/>
      </c>
      <c r="BH1972" s="81">
        <f>IFERROR($AG1972/$AF1972,"")</f>
        <v/>
      </c>
      <c r="BI1972" s="82">
        <f>$AJ1972-$AF1972</f>
        <v/>
      </c>
      <c r="BJ1972" s="81">
        <f>IFERROR($AJ1972/$AG1972,"")</f>
        <v/>
      </c>
      <c r="BK1972" s="81">
        <f>$X1972</f>
        <v/>
      </c>
      <c r="BL1972" s="82">
        <f>($J1972-$J1973)*100</f>
        <v/>
      </c>
      <c r="BM1972" s="82">
        <f>($F1972-$F1973)*100</f>
        <v/>
      </c>
      <c r="BN1972" s="82">
        <f>$AF1972-$AF1973</f>
        <v/>
      </c>
      <c r="BO1972" s="82">
        <f>$AG1972-$AG1973</f>
        <v/>
      </c>
      <c r="BP1972" s="82">
        <f>$AJ1972-$AJ1973</f>
        <v/>
      </c>
    </row>
    <row r="1973">
      <c r="AR1973" s="81">
        <f>($G1973+($H1973-$G1973)*0.5)+($P1973-($O1973+($Q1973-$O1973)*0.5))</f>
        <v/>
      </c>
      <c r="AS1973" s="81">
        <f>($J1973+($K1973-$J1973)*0.5)+($T1973-($S1973+($U1973-$S1973)*0.5))</f>
        <v/>
      </c>
      <c r="AT1973" s="82">
        <f>($J1973-$C1973)*100</f>
        <v/>
      </c>
      <c r="AU1973" s="82">
        <f>($H1973-$F1973)*100</f>
        <v/>
      </c>
      <c r="AV1973" s="82">
        <f>($J1973-$F1973)*100</f>
        <v/>
      </c>
      <c r="AW1973" s="82">
        <f>($L1973-$F1973)*100</f>
        <v/>
      </c>
      <c r="AX1973" s="82">
        <f>($J1973-$H1973)*100</f>
        <v/>
      </c>
      <c r="AY1973" s="82">
        <f>($L1973-$H1973)*100</f>
        <v/>
      </c>
      <c r="AZ1973" s="82">
        <f>($L1973-$J1973)*100</f>
        <v/>
      </c>
      <c r="BA1973" s="82">
        <f>(2*$H1973-$F1973-$J1973)*100</f>
        <v/>
      </c>
      <c r="BB1973" s="82">
        <f>(2*$J1973-$H1973-$L1973)*100</f>
        <v/>
      </c>
      <c r="BC1973" s="82">
        <f>($N1973-$F1973)*100</f>
        <v/>
      </c>
      <c r="BD1973" s="82">
        <f>($Q1973-$H1973)*100</f>
        <v/>
      </c>
      <c r="BE1973" s="82">
        <f>($S1973-$J1973)*100</f>
        <v/>
      </c>
      <c r="BF1973" s="82">
        <f>($V1973-$L1973)*100</f>
        <v/>
      </c>
      <c r="BG1973" s="82">
        <f>$AG1973-$AF1973</f>
        <v/>
      </c>
      <c r="BH1973" s="81">
        <f>IFERROR($AG1973/$AF1973,"")</f>
        <v/>
      </c>
      <c r="BI1973" s="82">
        <f>$AJ1973-$AF1973</f>
        <v/>
      </c>
      <c r="BJ1973" s="81">
        <f>IFERROR($AJ1973/$AG1973,"")</f>
        <v/>
      </c>
      <c r="BK1973" s="81">
        <f>$X1973</f>
        <v/>
      </c>
      <c r="BL1973" s="82">
        <f>($J1973-$J1974)*100</f>
        <v/>
      </c>
      <c r="BM1973" s="82">
        <f>($F1973-$F1974)*100</f>
        <v/>
      </c>
      <c r="BN1973" s="82">
        <f>$AF1973-$AF1974</f>
        <v/>
      </c>
      <c r="BO1973" s="82">
        <f>$AG1973-$AG1974</f>
        <v/>
      </c>
      <c r="BP1973" s="82">
        <f>$AJ1973-$AJ1974</f>
        <v/>
      </c>
    </row>
    <row r="1974">
      <c r="AR1974" s="81">
        <f>($G1974+($H1974-$G1974)*0.5)+($P1974-($O1974+($Q1974-$O1974)*0.5))</f>
        <v/>
      </c>
      <c r="AS1974" s="81">
        <f>($J1974+($K1974-$J1974)*0.5)+($T1974-($S1974+($U1974-$S1974)*0.5))</f>
        <v/>
      </c>
      <c r="AT1974" s="82">
        <f>($J1974-$C1974)*100</f>
        <v/>
      </c>
      <c r="AU1974" s="82">
        <f>($H1974-$F1974)*100</f>
        <v/>
      </c>
      <c r="AV1974" s="82">
        <f>($J1974-$F1974)*100</f>
        <v/>
      </c>
      <c r="AW1974" s="82">
        <f>($L1974-$F1974)*100</f>
        <v/>
      </c>
      <c r="AX1974" s="82">
        <f>($J1974-$H1974)*100</f>
        <v/>
      </c>
      <c r="AY1974" s="82">
        <f>($L1974-$H1974)*100</f>
        <v/>
      </c>
      <c r="AZ1974" s="82">
        <f>($L1974-$J1974)*100</f>
        <v/>
      </c>
      <c r="BA1974" s="82">
        <f>(2*$H1974-$F1974-$J1974)*100</f>
        <v/>
      </c>
      <c r="BB1974" s="82">
        <f>(2*$J1974-$H1974-$L1974)*100</f>
        <v/>
      </c>
      <c r="BC1974" s="82">
        <f>($N1974-$F1974)*100</f>
        <v/>
      </c>
      <c r="BD1974" s="82">
        <f>($Q1974-$H1974)*100</f>
        <v/>
      </c>
      <c r="BE1974" s="82">
        <f>($S1974-$J1974)*100</f>
        <v/>
      </c>
      <c r="BF1974" s="82">
        <f>($V1974-$L1974)*100</f>
        <v/>
      </c>
      <c r="BG1974" s="82">
        <f>$AG1974-$AF1974</f>
        <v/>
      </c>
      <c r="BH1974" s="81">
        <f>IFERROR($AG1974/$AF1974,"")</f>
        <v/>
      </c>
      <c r="BI1974" s="82">
        <f>$AJ1974-$AF1974</f>
        <v/>
      </c>
      <c r="BJ1974" s="81">
        <f>IFERROR($AJ1974/$AG1974,"")</f>
        <v/>
      </c>
      <c r="BK1974" s="81">
        <f>$X1974</f>
        <v/>
      </c>
      <c r="BL1974" s="82">
        <f>($J1974-$J1975)*100</f>
        <v/>
      </c>
      <c r="BM1974" s="82">
        <f>($F1974-$F1975)*100</f>
        <v/>
      </c>
      <c r="BN1974" s="82">
        <f>$AF1974-$AF1975</f>
        <v/>
      </c>
      <c r="BO1974" s="82">
        <f>$AG1974-$AG1975</f>
        <v/>
      </c>
      <c r="BP1974" s="82">
        <f>$AJ1974-$AJ1975</f>
        <v/>
      </c>
    </row>
    <row r="1975">
      <c r="AR1975" s="81">
        <f>($G1975+($H1975-$G1975)*0.5)+($P1975-($O1975+($Q1975-$O1975)*0.5))</f>
        <v/>
      </c>
      <c r="AS1975" s="81">
        <f>($J1975+($K1975-$J1975)*0.5)+($T1975-($S1975+($U1975-$S1975)*0.5))</f>
        <v/>
      </c>
      <c r="AT1975" s="82">
        <f>($J1975-$C1975)*100</f>
        <v/>
      </c>
      <c r="AU1975" s="82">
        <f>($H1975-$F1975)*100</f>
        <v/>
      </c>
      <c r="AV1975" s="82">
        <f>($J1975-$F1975)*100</f>
        <v/>
      </c>
      <c r="AW1975" s="82">
        <f>($L1975-$F1975)*100</f>
        <v/>
      </c>
      <c r="AX1975" s="82">
        <f>($J1975-$H1975)*100</f>
        <v/>
      </c>
      <c r="AY1975" s="82">
        <f>($L1975-$H1975)*100</f>
        <v/>
      </c>
      <c r="AZ1975" s="82">
        <f>($L1975-$J1975)*100</f>
        <v/>
      </c>
      <c r="BA1975" s="82">
        <f>(2*$H1975-$F1975-$J1975)*100</f>
        <v/>
      </c>
      <c r="BB1975" s="82">
        <f>(2*$J1975-$H1975-$L1975)*100</f>
        <v/>
      </c>
      <c r="BC1975" s="82">
        <f>($N1975-$F1975)*100</f>
        <v/>
      </c>
      <c r="BD1975" s="82">
        <f>($Q1975-$H1975)*100</f>
        <v/>
      </c>
      <c r="BE1975" s="82">
        <f>($S1975-$J1975)*100</f>
        <v/>
      </c>
      <c r="BF1975" s="82">
        <f>($V1975-$L1975)*100</f>
        <v/>
      </c>
      <c r="BG1975" s="82">
        <f>$AG1975-$AF1975</f>
        <v/>
      </c>
      <c r="BH1975" s="81">
        <f>IFERROR($AG1975/$AF1975,"")</f>
        <v/>
      </c>
      <c r="BI1975" s="82">
        <f>$AJ1975-$AF1975</f>
        <v/>
      </c>
      <c r="BJ1975" s="81">
        <f>IFERROR($AJ1975/$AG1975,"")</f>
        <v/>
      </c>
      <c r="BK1975" s="81">
        <f>$X1975</f>
        <v/>
      </c>
      <c r="BL1975" s="82">
        <f>($J1975-$J1976)*100</f>
        <v/>
      </c>
      <c r="BM1975" s="82">
        <f>($F1975-$F1976)*100</f>
        <v/>
      </c>
      <c r="BN1975" s="82">
        <f>$AF1975-$AF1976</f>
        <v/>
      </c>
      <c r="BO1975" s="82">
        <f>$AG1975-$AG1976</f>
        <v/>
      </c>
      <c r="BP1975" s="82">
        <f>$AJ1975-$AJ1976</f>
        <v/>
      </c>
    </row>
    <row r="1976">
      <c r="AR1976" s="81">
        <f>($G1976+($H1976-$G1976)*0.5)+($P1976-($O1976+($Q1976-$O1976)*0.5))</f>
        <v/>
      </c>
      <c r="AS1976" s="81">
        <f>($J1976+($K1976-$J1976)*0.5)+($T1976-($S1976+($U1976-$S1976)*0.5))</f>
        <v/>
      </c>
      <c r="AT1976" s="82">
        <f>($J1976-$C1976)*100</f>
        <v/>
      </c>
      <c r="AU1976" s="82">
        <f>($H1976-$F1976)*100</f>
        <v/>
      </c>
      <c r="AV1976" s="82">
        <f>($J1976-$F1976)*100</f>
        <v/>
      </c>
      <c r="AW1976" s="82">
        <f>($L1976-$F1976)*100</f>
        <v/>
      </c>
      <c r="AX1976" s="82">
        <f>($J1976-$H1976)*100</f>
        <v/>
      </c>
      <c r="AY1976" s="82">
        <f>($L1976-$H1976)*100</f>
        <v/>
      </c>
      <c r="AZ1976" s="82">
        <f>($L1976-$J1976)*100</f>
        <v/>
      </c>
      <c r="BA1976" s="82">
        <f>(2*$H1976-$F1976-$J1976)*100</f>
        <v/>
      </c>
      <c r="BB1976" s="82">
        <f>(2*$J1976-$H1976-$L1976)*100</f>
        <v/>
      </c>
      <c r="BC1976" s="82">
        <f>($N1976-$F1976)*100</f>
        <v/>
      </c>
      <c r="BD1976" s="82">
        <f>($Q1976-$H1976)*100</f>
        <v/>
      </c>
      <c r="BE1976" s="82">
        <f>($S1976-$J1976)*100</f>
        <v/>
      </c>
      <c r="BF1976" s="82">
        <f>($V1976-$L1976)*100</f>
        <v/>
      </c>
      <c r="BG1976" s="82">
        <f>$AG1976-$AF1976</f>
        <v/>
      </c>
      <c r="BH1976" s="81">
        <f>IFERROR($AG1976/$AF1976,"")</f>
        <v/>
      </c>
      <c r="BI1976" s="82">
        <f>$AJ1976-$AF1976</f>
        <v/>
      </c>
      <c r="BJ1976" s="81">
        <f>IFERROR($AJ1976/$AG1976,"")</f>
        <v/>
      </c>
      <c r="BK1976" s="81">
        <f>$X1976</f>
        <v/>
      </c>
      <c r="BL1976" s="82">
        <f>($J1976-$J1977)*100</f>
        <v/>
      </c>
      <c r="BM1976" s="82">
        <f>($F1976-$F1977)*100</f>
        <v/>
      </c>
      <c r="BN1976" s="82">
        <f>$AF1976-$AF1977</f>
        <v/>
      </c>
      <c r="BO1976" s="82">
        <f>$AG1976-$AG1977</f>
        <v/>
      </c>
      <c r="BP1976" s="82">
        <f>$AJ1976-$AJ1977</f>
        <v/>
      </c>
    </row>
    <row r="1977">
      <c r="AR1977" s="81">
        <f>($G1977+($H1977-$G1977)*0.5)+($P1977-($O1977+($Q1977-$O1977)*0.5))</f>
        <v/>
      </c>
      <c r="AS1977" s="81">
        <f>($J1977+($K1977-$J1977)*0.5)+($T1977-($S1977+($U1977-$S1977)*0.5))</f>
        <v/>
      </c>
      <c r="AT1977" s="82">
        <f>($J1977-$C1977)*100</f>
        <v/>
      </c>
      <c r="AU1977" s="82">
        <f>($H1977-$F1977)*100</f>
        <v/>
      </c>
      <c r="AV1977" s="82">
        <f>($J1977-$F1977)*100</f>
        <v/>
      </c>
      <c r="AW1977" s="82">
        <f>($L1977-$F1977)*100</f>
        <v/>
      </c>
      <c r="AX1977" s="82">
        <f>($J1977-$H1977)*100</f>
        <v/>
      </c>
      <c r="AY1977" s="82">
        <f>($L1977-$H1977)*100</f>
        <v/>
      </c>
      <c r="AZ1977" s="82">
        <f>($L1977-$J1977)*100</f>
        <v/>
      </c>
      <c r="BA1977" s="82">
        <f>(2*$H1977-$F1977-$J1977)*100</f>
        <v/>
      </c>
      <c r="BB1977" s="82">
        <f>(2*$J1977-$H1977-$L1977)*100</f>
        <v/>
      </c>
      <c r="BC1977" s="82">
        <f>($N1977-$F1977)*100</f>
        <v/>
      </c>
      <c r="BD1977" s="82">
        <f>($Q1977-$H1977)*100</f>
        <v/>
      </c>
      <c r="BE1977" s="82">
        <f>($S1977-$J1977)*100</f>
        <v/>
      </c>
      <c r="BF1977" s="82">
        <f>($V1977-$L1977)*100</f>
        <v/>
      </c>
      <c r="BG1977" s="82">
        <f>$AG1977-$AF1977</f>
        <v/>
      </c>
      <c r="BH1977" s="81">
        <f>IFERROR($AG1977/$AF1977,"")</f>
        <v/>
      </c>
      <c r="BI1977" s="82">
        <f>$AJ1977-$AF1977</f>
        <v/>
      </c>
      <c r="BJ1977" s="81">
        <f>IFERROR($AJ1977/$AG1977,"")</f>
        <v/>
      </c>
      <c r="BK1977" s="81">
        <f>$X1977</f>
        <v/>
      </c>
      <c r="BL1977" s="82">
        <f>($J1977-$J1978)*100</f>
        <v/>
      </c>
      <c r="BM1977" s="82">
        <f>($F1977-$F1978)*100</f>
        <v/>
      </c>
      <c r="BN1977" s="82">
        <f>$AF1977-$AF1978</f>
        <v/>
      </c>
      <c r="BO1977" s="82">
        <f>$AG1977-$AG1978</f>
        <v/>
      </c>
      <c r="BP1977" s="82">
        <f>$AJ1977-$AJ1978</f>
        <v/>
      </c>
    </row>
    <row r="1978">
      <c r="AR1978" s="81">
        <f>($G1978+($H1978-$G1978)*0.5)+($P1978-($O1978+($Q1978-$O1978)*0.5))</f>
        <v/>
      </c>
      <c r="AS1978" s="81">
        <f>($J1978+($K1978-$J1978)*0.5)+($T1978-($S1978+($U1978-$S1978)*0.5))</f>
        <v/>
      </c>
      <c r="AT1978" s="82">
        <f>($J1978-$C1978)*100</f>
        <v/>
      </c>
      <c r="AU1978" s="82">
        <f>($H1978-$F1978)*100</f>
        <v/>
      </c>
      <c r="AV1978" s="82">
        <f>($J1978-$F1978)*100</f>
        <v/>
      </c>
      <c r="AW1978" s="82">
        <f>($L1978-$F1978)*100</f>
        <v/>
      </c>
      <c r="AX1978" s="82">
        <f>($J1978-$H1978)*100</f>
        <v/>
      </c>
      <c r="AY1978" s="82">
        <f>($L1978-$H1978)*100</f>
        <v/>
      </c>
      <c r="AZ1978" s="82">
        <f>($L1978-$J1978)*100</f>
        <v/>
      </c>
      <c r="BA1978" s="82">
        <f>(2*$H1978-$F1978-$J1978)*100</f>
        <v/>
      </c>
      <c r="BB1978" s="82">
        <f>(2*$J1978-$H1978-$L1978)*100</f>
        <v/>
      </c>
      <c r="BC1978" s="82">
        <f>($N1978-$F1978)*100</f>
        <v/>
      </c>
      <c r="BD1978" s="82">
        <f>($Q1978-$H1978)*100</f>
        <v/>
      </c>
      <c r="BE1978" s="82">
        <f>($S1978-$J1978)*100</f>
        <v/>
      </c>
      <c r="BF1978" s="82">
        <f>($V1978-$L1978)*100</f>
        <v/>
      </c>
      <c r="BG1978" s="82">
        <f>$AG1978-$AF1978</f>
        <v/>
      </c>
      <c r="BH1978" s="81">
        <f>IFERROR($AG1978/$AF1978,"")</f>
        <v/>
      </c>
      <c r="BI1978" s="82">
        <f>$AJ1978-$AF1978</f>
        <v/>
      </c>
      <c r="BJ1978" s="81">
        <f>IFERROR($AJ1978/$AG1978,"")</f>
        <v/>
      </c>
      <c r="BK1978" s="81">
        <f>$X1978</f>
        <v/>
      </c>
      <c r="BL1978" s="82">
        <f>($J1978-$J1979)*100</f>
        <v/>
      </c>
      <c r="BM1978" s="82">
        <f>($F1978-$F1979)*100</f>
        <v/>
      </c>
      <c r="BN1978" s="82">
        <f>$AF1978-$AF1979</f>
        <v/>
      </c>
      <c r="BO1978" s="82">
        <f>$AG1978-$AG1979</f>
        <v/>
      </c>
      <c r="BP1978" s="82">
        <f>$AJ1978-$AJ1979</f>
        <v/>
      </c>
    </row>
    <row r="1979">
      <c r="AR1979" s="81">
        <f>($G1979+($H1979-$G1979)*0.5)+($P1979-($O1979+($Q1979-$O1979)*0.5))</f>
        <v/>
      </c>
      <c r="AS1979" s="81">
        <f>($J1979+($K1979-$J1979)*0.5)+($T1979-($S1979+($U1979-$S1979)*0.5))</f>
        <v/>
      </c>
      <c r="AT1979" s="82">
        <f>($J1979-$C1979)*100</f>
        <v/>
      </c>
      <c r="AU1979" s="82">
        <f>($H1979-$F1979)*100</f>
        <v/>
      </c>
      <c r="AV1979" s="82">
        <f>($J1979-$F1979)*100</f>
        <v/>
      </c>
      <c r="AW1979" s="82">
        <f>($L1979-$F1979)*100</f>
        <v/>
      </c>
      <c r="AX1979" s="82">
        <f>($J1979-$H1979)*100</f>
        <v/>
      </c>
      <c r="AY1979" s="82">
        <f>($L1979-$H1979)*100</f>
        <v/>
      </c>
      <c r="AZ1979" s="82">
        <f>($L1979-$J1979)*100</f>
        <v/>
      </c>
      <c r="BA1979" s="82">
        <f>(2*$H1979-$F1979-$J1979)*100</f>
        <v/>
      </c>
      <c r="BB1979" s="82">
        <f>(2*$J1979-$H1979-$L1979)*100</f>
        <v/>
      </c>
      <c r="BC1979" s="82">
        <f>($N1979-$F1979)*100</f>
        <v/>
      </c>
      <c r="BD1979" s="82">
        <f>($Q1979-$H1979)*100</f>
        <v/>
      </c>
      <c r="BE1979" s="82">
        <f>($S1979-$J1979)*100</f>
        <v/>
      </c>
      <c r="BF1979" s="82">
        <f>($V1979-$L1979)*100</f>
        <v/>
      </c>
      <c r="BG1979" s="82">
        <f>$AG1979-$AF1979</f>
        <v/>
      </c>
      <c r="BH1979" s="81">
        <f>IFERROR($AG1979/$AF1979,"")</f>
        <v/>
      </c>
      <c r="BI1979" s="82">
        <f>$AJ1979-$AF1979</f>
        <v/>
      </c>
      <c r="BJ1979" s="81">
        <f>IFERROR($AJ1979/$AG1979,"")</f>
        <v/>
      </c>
      <c r="BK1979" s="81">
        <f>$X1979</f>
        <v/>
      </c>
      <c r="BL1979" s="82">
        <f>($J1979-$J1980)*100</f>
        <v/>
      </c>
      <c r="BM1979" s="82">
        <f>($F1979-$F1980)*100</f>
        <v/>
      </c>
      <c r="BN1979" s="82">
        <f>$AF1979-$AF1980</f>
        <v/>
      </c>
      <c r="BO1979" s="82">
        <f>$AG1979-$AG1980</f>
        <v/>
      </c>
      <c r="BP1979" s="82">
        <f>$AJ1979-$AJ1980</f>
        <v/>
      </c>
    </row>
    <row r="1980">
      <c r="AR1980" s="81">
        <f>($G1980+($H1980-$G1980)*0.5)+($P1980-($O1980+($Q1980-$O1980)*0.5))</f>
        <v/>
      </c>
      <c r="AS1980" s="81">
        <f>($J1980+($K1980-$J1980)*0.5)+($T1980-($S1980+($U1980-$S1980)*0.5))</f>
        <v/>
      </c>
      <c r="AT1980" s="82">
        <f>($J1980-$C1980)*100</f>
        <v/>
      </c>
      <c r="AU1980" s="82">
        <f>($H1980-$F1980)*100</f>
        <v/>
      </c>
      <c r="AV1980" s="82">
        <f>($J1980-$F1980)*100</f>
        <v/>
      </c>
      <c r="AW1980" s="82">
        <f>($L1980-$F1980)*100</f>
        <v/>
      </c>
      <c r="AX1980" s="82">
        <f>($J1980-$H1980)*100</f>
        <v/>
      </c>
      <c r="AY1980" s="82">
        <f>($L1980-$H1980)*100</f>
        <v/>
      </c>
      <c r="AZ1980" s="82">
        <f>($L1980-$J1980)*100</f>
        <v/>
      </c>
      <c r="BA1980" s="82">
        <f>(2*$H1980-$F1980-$J1980)*100</f>
        <v/>
      </c>
      <c r="BB1980" s="82">
        <f>(2*$J1980-$H1980-$L1980)*100</f>
        <v/>
      </c>
      <c r="BC1980" s="82">
        <f>($N1980-$F1980)*100</f>
        <v/>
      </c>
      <c r="BD1980" s="82">
        <f>($Q1980-$H1980)*100</f>
        <v/>
      </c>
      <c r="BE1980" s="82">
        <f>($S1980-$J1980)*100</f>
        <v/>
      </c>
      <c r="BF1980" s="82">
        <f>($V1980-$L1980)*100</f>
        <v/>
      </c>
      <c r="BG1980" s="82">
        <f>$AG1980-$AF1980</f>
        <v/>
      </c>
      <c r="BH1980" s="81">
        <f>IFERROR($AG1980/$AF1980,"")</f>
        <v/>
      </c>
      <c r="BI1980" s="82">
        <f>$AJ1980-$AF1980</f>
        <v/>
      </c>
      <c r="BJ1980" s="81">
        <f>IFERROR($AJ1980/$AG1980,"")</f>
        <v/>
      </c>
      <c r="BK1980" s="81">
        <f>$X1980</f>
        <v/>
      </c>
      <c r="BL1980" s="82">
        <f>($J1980-$J1981)*100</f>
        <v/>
      </c>
      <c r="BM1980" s="82">
        <f>($F1980-$F1981)*100</f>
        <v/>
      </c>
      <c r="BN1980" s="82">
        <f>$AF1980-$AF1981</f>
        <v/>
      </c>
      <c r="BO1980" s="82">
        <f>$AG1980-$AG1981</f>
        <v/>
      </c>
      <c r="BP1980" s="82">
        <f>$AJ1980-$AJ1981</f>
        <v/>
      </c>
    </row>
    <row r="1981">
      <c r="AR1981" s="81">
        <f>($G1981+($H1981-$G1981)*0.5)+($P1981-($O1981+($Q1981-$O1981)*0.5))</f>
        <v/>
      </c>
      <c r="AS1981" s="81">
        <f>($J1981+($K1981-$J1981)*0.5)+($T1981-($S1981+($U1981-$S1981)*0.5))</f>
        <v/>
      </c>
      <c r="AT1981" s="82">
        <f>($J1981-$C1981)*100</f>
        <v/>
      </c>
      <c r="AU1981" s="82">
        <f>($H1981-$F1981)*100</f>
        <v/>
      </c>
      <c r="AV1981" s="82">
        <f>($J1981-$F1981)*100</f>
        <v/>
      </c>
      <c r="AW1981" s="82">
        <f>($L1981-$F1981)*100</f>
        <v/>
      </c>
      <c r="AX1981" s="82">
        <f>($J1981-$H1981)*100</f>
        <v/>
      </c>
      <c r="AY1981" s="82">
        <f>($L1981-$H1981)*100</f>
        <v/>
      </c>
      <c r="AZ1981" s="82">
        <f>($L1981-$J1981)*100</f>
        <v/>
      </c>
      <c r="BA1981" s="82">
        <f>(2*$H1981-$F1981-$J1981)*100</f>
        <v/>
      </c>
      <c r="BB1981" s="82">
        <f>(2*$J1981-$H1981-$L1981)*100</f>
        <v/>
      </c>
      <c r="BC1981" s="82">
        <f>($N1981-$F1981)*100</f>
        <v/>
      </c>
      <c r="BD1981" s="82">
        <f>($Q1981-$H1981)*100</f>
        <v/>
      </c>
      <c r="BE1981" s="82">
        <f>($S1981-$J1981)*100</f>
        <v/>
      </c>
      <c r="BF1981" s="82">
        <f>($V1981-$L1981)*100</f>
        <v/>
      </c>
      <c r="BG1981" s="82">
        <f>$AG1981-$AF1981</f>
        <v/>
      </c>
      <c r="BH1981" s="81">
        <f>IFERROR($AG1981/$AF1981,"")</f>
        <v/>
      </c>
      <c r="BI1981" s="82">
        <f>$AJ1981-$AF1981</f>
        <v/>
      </c>
      <c r="BJ1981" s="81">
        <f>IFERROR($AJ1981/$AG1981,"")</f>
        <v/>
      </c>
      <c r="BK1981" s="81">
        <f>$X1981</f>
        <v/>
      </c>
      <c r="BL1981" s="82">
        <f>($J1981-$J1982)*100</f>
        <v/>
      </c>
      <c r="BM1981" s="82">
        <f>($F1981-$F1982)*100</f>
        <v/>
      </c>
      <c r="BN1981" s="82">
        <f>$AF1981-$AF1982</f>
        <v/>
      </c>
      <c r="BO1981" s="82">
        <f>$AG1981-$AG1982</f>
        <v/>
      </c>
      <c r="BP1981" s="82">
        <f>$AJ1981-$AJ1982</f>
        <v/>
      </c>
    </row>
    <row r="1982">
      <c r="AR1982" s="81">
        <f>($G1982+($H1982-$G1982)*0.5)+($P1982-($O1982+($Q1982-$O1982)*0.5))</f>
        <v/>
      </c>
      <c r="AS1982" s="81">
        <f>($J1982+($K1982-$J1982)*0.5)+($T1982-($S1982+($U1982-$S1982)*0.5))</f>
        <v/>
      </c>
      <c r="AT1982" s="82">
        <f>($J1982-$C1982)*100</f>
        <v/>
      </c>
      <c r="AU1982" s="82">
        <f>($H1982-$F1982)*100</f>
        <v/>
      </c>
      <c r="AV1982" s="82">
        <f>($J1982-$F1982)*100</f>
        <v/>
      </c>
      <c r="AW1982" s="82">
        <f>($L1982-$F1982)*100</f>
        <v/>
      </c>
      <c r="AX1982" s="82">
        <f>($J1982-$H1982)*100</f>
        <v/>
      </c>
      <c r="AY1982" s="82">
        <f>($L1982-$H1982)*100</f>
        <v/>
      </c>
      <c r="AZ1982" s="82">
        <f>($L1982-$J1982)*100</f>
        <v/>
      </c>
      <c r="BA1982" s="82">
        <f>(2*$H1982-$F1982-$J1982)*100</f>
        <v/>
      </c>
      <c r="BB1982" s="82">
        <f>(2*$J1982-$H1982-$L1982)*100</f>
        <v/>
      </c>
      <c r="BC1982" s="82">
        <f>($N1982-$F1982)*100</f>
        <v/>
      </c>
      <c r="BD1982" s="82">
        <f>($Q1982-$H1982)*100</f>
        <v/>
      </c>
      <c r="BE1982" s="82">
        <f>($S1982-$J1982)*100</f>
        <v/>
      </c>
      <c r="BF1982" s="82">
        <f>($V1982-$L1982)*100</f>
        <v/>
      </c>
      <c r="BG1982" s="82">
        <f>$AG1982-$AF1982</f>
        <v/>
      </c>
      <c r="BH1982" s="81">
        <f>IFERROR($AG1982/$AF1982,"")</f>
        <v/>
      </c>
      <c r="BI1982" s="82">
        <f>$AJ1982-$AF1982</f>
        <v/>
      </c>
      <c r="BJ1982" s="81">
        <f>IFERROR($AJ1982/$AG1982,"")</f>
        <v/>
      </c>
      <c r="BK1982" s="81">
        <f>$X1982</f>
        <v/>
      </c>
      <c r="BL1982" s="82">
        <f>($J1982-$J1983)*100</f>
        <v/>
      </c>
      <c r="BM1982" s="82">
        <f>($F1982-$F1983)*100</f>
        <v/>
      </c>
      <c r="BN1982" s="82">
        <f>$AF1982-$AF1983</f>
        <v/>
      </c>
      <c r="BO1982" s="82">
        <f>$AG1982-$AG1983</f>
        <v/>
      </c>
      <c r="BP1982" s="82">
        <f>$AJ1982-$AJ1983</f>
        <v/>
      </c>
    </row>
    <row r="1983">
      <c r="AR1983" s="81">
        <f>($G1983+($H1983-$G1983)*0.5)+($P1983-($O1983+($Q1983-$O1983)*0.5))</f>
        <v/>
      </c>
      <c r="AS1983" s="81">
        <f>($J1983+($K1983-$J1983)*0.5)+($T1983-($S1983+($U1983-$S1983)*0.5))</f>
        <v/>
      </c>
      <c r="AT1983" s="82">
        <f>($J1983-$C1983)*100</f>
        <v/>
      </c>
      <c r="AU1983" s="82">
        <f>($H1983-$F1983)*100</f>
        <v/>
      </c>
      <c r="AV1983" s="82">
        <f>($J1983-$F1983)*100</f>
        <v/>
      </c>
      <c r="AW1983" s="82">
        <f>($L1983-$F1983)*100</f>
        <v/>
      </c>
      <c r="AX1983" s="82">
        <f>($J1983-$H1983)*100</f>
        <v/>
      </c>
      <c r="AY1983" s="82">
        <f>($L1983-$H1983)*100</f>
        <v/>
      </c>
      <c r="AZ1983" s="82">
        <f>($L1983-$J1983)*100</f>
        <v/>
      </c>
      <c r="BA1983" s="82">
        <f>(2*$H1983-$F1983-$J1983)*100</f>
        <v/>
      </c>
      <c r="BB1983" s="82">
        <f>(2*$J1983-$H1983-$L1983)*100</f>
        <v/>
      </c>
      <c r="BC1983" s="82">
        <f>($N1983-$F1983)*100</f>
        <v/>
      </c>
      <c r="BD1983" s="82">
        <f>($Q1983-$H1983)*100</f>
        <v/>
      </c>
      <c r="BE1983" s="82">
        <f>($S1983-$J1983)*100</f>
        <v/>
      </c>
      <c r="BF1983" s="82">
        <f>($V1983-$L1983)*100</f>
        <v/>
      </c>
      <c r="BG1983" s="82">
        <f>$AG1983-$AF1983</f>
        <v/>
      </c>
      <c r="BH1983" s="81">
        <f>IFERROR($AG1983/$AF1983,"")</f>
        <v/>
      </c>
      <c r="BI1983" s="82">
        <f>$AJ1983-$AF1983</f>
        <v/>
      </c>
      <c r="BJ1983" s="81">
        <f>IFERROR($AJ1983/$AG1983,"")</f>
        <v/>
      </c>
      <c r="BK1983" s="81">
        <f>$X1983</f>
        <v/>
      </c>
      <c r="BL1983" s="82">
        <f>($J1983-$J1984)*100</f>
        <v/>
      </c>
      <c r="BM1983" s="82">
        <f>($F1983-$F1984)*100</f>
        <v/>
      </c>
      <c r="BN1983" s="82">
        <f>$AF1983-$AF1984</f>
        <v/>
      </c>
      <c r="BO1983" s="82">
        <f>$AG1983-$AG1984</f>
        <v/>
      </c>
      <c r="BP1983" s="82">
        <f>$AJ1983-$AJ1984</f>
        <v/>
      </c>
    </row>
    <row r="1984">
      <c r="AR1984" s="81">
        <f>($G1984+($H1984-$G1984)*0.5)+($P1984-($O1984+($Q1984-$O1984)*0.5))</f>
        <v/>
      </c>
      <c r="AS1984" s="81">
        <f>($J1984+($K1984-$J1984)*0.5)+($T1984-($S1984+($U1984-$S1984)*0.5))</f>
        <v/>
      </c>
      <c r="AT1984" s="82">
        <f>($J1984-$C1984)*100</f>
        <v/>
      </c>
      <c r="AU1984" s="82">
        <f>($H1984-$F1984)*100</f>
        <v/>
      </c>
      <c r="AV1984" s="82">
        <f>($J1984-$F1984)*100</f>
        <v/>
      </c>
      <c r="AW1984" s="82">
        <f>($L1984-$F1984)*100</f>
        <v/>
      </c>
      <c r="AX1984" s="82">
        <f>($J1984-$H1984)*100</f>
        <v/>
      </c>
      <c r="AY1984" s="82">
        <f>($L1984-$H1984)*100</f>
        <v/>
      </c>
      <c r="AZ1984" s="82">
        <f>($L1984-$J1984)*100</f>
        <v/>
      </c>
      <c r="BA1984" s="82">
        <f>(2*$H1984-$F1984-$J1984)*100</f>
        <v/>
      </c>
      <c r="BB1984" s="82">
        <f>(2*$J1984-$H1984-$L1984)*100</f>
        <v/>
      </c>
      <c r="BC1984" s="82">
        <f>($N1984-$F1984)*100</f>
        <v/>
      </c>
      <c r="BD1984" s="82">
        <f>($Q1984-$H1984)*100</f>
        <v/>
      </c>
      <c r="BE1984" s="82">
        <f>($S1984-$J1984)*100</f>
        <v/>
      </c>
      <c r="BF1984" s="82">
        <f>($V1984-$L1984)*100</f>
        <v/>
      </c>
      <c r="BG1984" s="82">
        <f>$AG1984-$AF1984</f>
        <v/>
      </c>
      <c r="BH1984" s="81">
        <f>IFERROR($AG1984/$AF1984,"")</f>
        <v/>
      </c>
      <c r="BI1984" s="82">
        <f>$AJ1984-$AF1984</f>
        <v/>
      </c>
      <c r="BJ1984" s="81">
        <f>IFERROR($AJ1984/$AG1984,"")</f>
        <v/>
      </c>
      <c r="BK1984" s="81">
        <f>$X1984</f>
        <v/>
      </c>
      <c r="BL1984" s="82">
        <f>($J1984-$J1985)*100</f>
        <v/>
      </c>
      <c r="BM1984" s="82">
        <f>($F1984-$F1985)*100</f>
        <v/>
      </c>
      <c r="BN1984" s="82">
        <f>$AF1984-$AF1985</f>
        <v/>
      </c>
      <c r="BO1984" s="82">
        <f>$AG1984-$AG1985</f>
        <v/>
      </c>
      <c r="BP1984" s="82">
        <f>$AJ1984-$AJ1985</f>
        <v/>
      </c>
    </row>
    <row r="1985">
      <c r="AR1985" s="81">
        <f>($G1985+($H1985-$G1985)*0.5)+($P1985-($O1985+($Q1985-$O1985)*0.5))</f>
        <v/>
      </c>
      <c r="AS1985" s="81">
        <f>($J1985+($K1985-$J1985)*0.5)+($T1985-($S1985+($U1985-$S1985)*0.5))</f>
        <v/>
      </c>
      <c r="AT1985" s="82">
        <f>($J1985-$C1985)*100</f>
        <v/>
      </c>
      <c r="AU1985" s="82">
        <f>($H1985-$F1985)*100</f>
        <v/>
      </c>
      <c r="AV1985" s="82">
        <f>($J1985-$F1985)*100</f>
        <v/>
      </c>
      <c r="AW1985" s="82">
        <f>($L1985-$F1985)*100</f>
        <v/>
      </c>
      <c r="AX1985" s="82">
        <f>($J1985-$H1985)*100</f>
        <v/>
      </c>
      <c r="AY1985" s="82">
        <f>($L1985-$H1985)*100</f>
        <v/>
      </c>
      <c r="AZ1985" s="82">
        <f>($L1985-$J1985)*100</f>
        <v/>
      </c>
      <c r="BA1985" s="82">
        <f>(2*$H1985-$F1985-$J1985)*100</f>
        <v/>
      </c>
      <c r="BB1985" s="82">
        <f>(2*$J1985-$H1985-$L1985)*100</f>
        <v/>
      </c>
      <c r="BC1985" s="82">
        <f>($N1985-$F1985)*100</f>
        <v/>
      </c>
      <c r="BD1985" s="82">
        <f>($Q1985-$H1985)*100</f>
        <v/>
      </c>
      <c r="BE1985" s="82">
        <f>($S1985-$J1985)*100</f>
        <v/>
      </c>
      <c r="BF1985" s="82">
        <f>($V1985-$L1985)*100</f>
        <v/>
      </c>
      <c r="BG1985" s="82">
        <f>$AG1985-$AF1985</f>
        <v/>
      </c>
      <c r="BH1985" s="81">
        <f>IFERROR($AG1985/$AF1985,"")</f>
        <v/>
      </c>
      <c r="BI1985" s="82">
        <f>$AJ1985-$AF1985</f>
        <v/>
      </c>
      <c r="BJ1985" s="81">
        <f>IFERROR($AJ1985/$AG1985,"")</f>
        <v/>
      </c>
      <c r="BK1985" s="81">
        <f>$X1985</f>
        <v/>
      </c>
      <c r="BL1985" s="82">
        <f>($J1985-$J1986)*100</f>
        <v/>
      </c>
      <c r="BM1985" s="82">
        <f>($F1985-$F1986)*100</f>
        <v/>
      </c>
      <c r="BN1985" s="82">
        <f>$AF1985-$AF1986</f>
        <v/>
      </c>
      <c r="BO1985" s="82">
        <f>$AG1985-$AG1986</f>
        <v/>
      </c>
      <c r="BP1985" s="82">
        <f>$AJ1985-$AJ1986</f>
        <v/>
      </c>
    </row>
    <row r="1986">
      <c r="AR1986" s="81">
        <f>($G1986+($H1986-$G1986)*0.5)+($P1986-($O1986+($Q1986-$O1986)*0.5))</f>
        <v/>
      </c>
      <c r="AS1986" s="81">
        <f>($J1986+($K1986-$J1986)*0.5)+($T1986-($S1986+($U1986-$S1986)*0.5))</f>
        <v/>
      </c>
      <c r="AT1986" s="82">
        <f>($J1986-$C1986)*100</f>
        <v/>
      </c>
      <c r="AU1986" s="82">
        <f>($H1986-$F1986)*100</f>
        <v/>
      </c>
      <c r="AV1986" s="82">
        <f>($J1986-$F1986)*100</f>
        <v/>
      </c>
      <c r="AW1986" s="82">
        <f>($L1986-$F1986)*100</f>
        <v/>
      </c>
      <c r="AX1986" s="82">
        <f>($J1986-$H1986)*100</f>
        <v/>
      </c>
      <c r="AY1986" s="82">
        <f>($L1986-$H1986)*100</f>
        <v/>
      </c>
      <c r="AZ1986" s="82">
        <f>($L1986-$J1986)*100</f>
        <v/>
      </c>
      <c r="BA1986" s="82">
        <f>(2*$H1986-$F1986-$J1986)*100</f>
        <v/>
      </c>
      <c r="BB1986" s="82">
        <f>(2*$J1986-$H1986-$L1986)*100</f>
        <v/>
      </c>
      <c r="BC1986" s="82">
        <f>($N1986-$F1986)*100</f>
        <v/>
      </c>
      <c r="BD1986" s="82">
        <f>($Q1986-$H1986)*100</f>
        <v/>
      </c>
      <c r="BE1986" s="82">
        <f>($S1986-$J1986)*100</f>
        <v/>
      </c>
      <c r="BF1986" s="82">
        <f>($V1986-$L1986)*100</f>
        <v/>
      </c>
      <c r="BG1986" s="82">
        <f>$AG1986-$AF1986</f>
        <v/>
      </c>
      <c r="BH1986" s="81">
        <f>IFERROR($AG1986/$AF1986,"")</f>
        <v/>
      </c>
      <c r="BI1986" s="82">
        <f>$AJ1986-$AF1986</f>
        <v/>
      </c>
      <c r="BJ1986" s="81">
        <f>IFERROR($AJ1986/$AG1986,"")</f>
        <v/>
      </c>
      <c r="BK1986" s="81">
        <f>$X1986</f>
        <v/>
      </c>
      <c r="BL1986" s="82">
        <f>($J1986-$J1987)*100</f>
        <v/>
      </c>
      <c r="BM1986" s="82">
        <f>($F1986-$F1987)*100</f>
        <v/>
      </c>
      <c r="BN1986" s="82">
        <f>$AF1986-$AF1987</f>
        <v/>
      </c>
      <c r="BO1986" s="82">
        <f>$AG1986-$AG1987</f>
        <v/>
      </c>
      <c r="BP1986" s="82">
        <f>$AJ1986-$AJ1987</f>
        <v/>
      </c>
    </row>
    <row r="1987">
      <c r="AR1987" s="81">
        <f>($G1987+($H1987-$G1987)*0.5)+($P1987-($O1987+($Q1987-$O1987)*0.5))</f>
        <v/>
      </c>
      <c r="AS1987" s="81">
        <f>($J1987+($K1987-$J1987)*0.5)+($T1987-($S1987+($U1987-$S1987)*0.5))</f>
        <v/>
      </c>
      <c r="AT1987" s="82">
        <f>($J1987-$C1987)*100</f>
        <v/>
      </c>
      <c r="AU1987" s="82">
        <f>($H1987-$F1987)*100</f>
        <v/>
      </c>
      <c r="AV1987" s="82">
        <f>($J1987-$F1987)*100</f>
        <v/>
      </c>
      <c r="AW1987" s="82">
        <f>($L1987-$F1987)*100</f>
        <v/>
      </c>
      <c r="AX1987" s="82">
        <f>($J1987-$H1987)*100</f>
        <v/>
      </c>
      <c r="AY1987" s="82">
        <f>($L1987-$H1987)*100</f>
        <v/>
      </c>
      <c r="AZ1987" s="82">
        <f>($L1987-$J1987)*100</f>
        <v/>
      </c>
      <c r="BA1987" s="82">
        <f>(2*$H1987-$F1987-$J1987)*100</f>
        <v/>
      </c>
      <c r="BB1987" s="82">
        <f>(2*$J1987-$H1987-$L1987)*100</f>
        <v/>
      </c>
      <c r="BC1987" s="82">
        <f>($N1987-$F1987)*100</f>
        <v/>
      </c>
      <c r="BD1987" s="82">
        <f>($Q1987-$H1987)*100</f>
        <v/>
      </c>
      <c r="BE1987" s="82">
        <f>($S1987-$J1987)*100</f>
        <v/>
      </c>
      <c r="BF1987" s="82">
        <f>($V1987-$L1987)*100</f>
        <v/>
      </c>
      <c r="BG1987" s="82">
        <f>$AG1987-$AF1987</f>
        <v/>
      </c>
      <c r="BH1987" s="81">
        <f>IFERROR($AG1987/$AF1987,"")</f>
        <v/>
      </c>
      <c r="BI1987" s="82">
        <f>$AJ1987-$AF1987</f>
        <v/>
      </c>
      <c r="BJ1987" s="81">
        <f>IFERROR($AJ1987/$AG1987,"")</f>
        <v/>
      </c>
      <c r="BK1987" s="81">
        <f>$X1987</f>
        <v/>
      </c>
      <c r="BL1987" s="82">
        <f>($J1987-$J1988)*100</f>
        <v/>
      </c>
      <c r="BM1987" s="82">
        <f>($F1987-$F1988)*100</f>
        <v/>
      </c>
      <c r="BN1987" s="82">
        <f>$AF1987-$AF1988</f>
        <v/>
      </c>
      <c r="BO1987" s="82">
        <f>$AG1987-$AG1988</f>
        <v/>
      </c>
      <c r="BP1987" s="82">
        <f>$AJ1987-$AJ1988</f>
        <v/>
      </c>
    </row>
    <row r="1988">
      <c r="AR1988" s="81">
        <f>($G1988+($H1988-$G1988)*0.5)+($P1988-($O1988+($Q1988-$O1988)*0.5))</f>
        <v/>
      </c>
      <c r="AS1988" s="81">
        <f>($J1988+($K1988-$J1988)*0.5)+($T1988-($S1988+($U1988-$S1988)*0.5))</f>
        <v/>
      </c>
      <c r="AT1988" s="82">
        <f>($J1988-$C1988)*100</f>
        <v/>
      </c>
      <c r="AU1988" s="82">
        <f>($H1988-$F1988)*100</f>
        <v/>
      </c>
      <c r="AV1988" s="82">
        <f>($J1988-$F1988)*100</f>
        <v/>
      </c>
      <c r="AW1988" s="82">
        <f>($L1988-$F1988)*100</f>
        <v/>
      </c>
      <c r="AX1988" s="82">
        <f>($J1988-$H1988)*100</f>
        <v/>
      </c>
      <c r="AY1988" s="82">
        <f>($L1988-$H1988)*100</f>
        <v/>
      </c>
      <c r="AZ1988" s="82">
        <f>($L1988-$J1988)*100</f>
        <v/>
      </c>
      <c r="BA1988" s="82">
        <f>(2*$H1988-$F1988-$J1988)*100</f>
        <v/>
      </c>
      <c r="BB1988" s="82">
        <f>(2*$J1988-$H1988-$L1988)*100</f>
        <v/>
      </c>
      <c r="BC1988" s="82">
        <f>($N1988-$F1988)*100</f>
        <v/>
      </c>
      <c r="BD1988" s="82">
        <f>($Q1988-$H1988)*100</f>
        <v/>
      </c>
      <c r="BE1988" s="82">
        <f>($S1988-$J1988)*100</f>
        <v/>
      </c>
      <c r="BF1988" s="82">
        <f>($V1988-$L1988)*100</f>
        <v/>
      </c>
      <c r="BG1988" s="82">
        <f>$AG1988-$AF1988</f>
        <v/>
      </c>
      <c r="BH1988" s="81">
        <f>IFERROR($AG1988/$AF1988,"")</f>
        <v/>
      </c>
      <c r="BI1988" s="82">
        <f>$AJ1988-$AF1988</f>
        <v/>
      </c>
      <c r="BJ1988" s="81">
        <f>IFERROR($AJ1988/$AG1988,"")</f>
        <v/>
      </c>
      <c r="BK1988" s="81">
        <f>$X1988</f>
        <v/>
      </c>
      <c r="BL1988" s="82">
        <f>($J1988-$J1989)*100</f>
        <v/>
      </c>
      <c r="BM1988" s="82">
        <f>($F1988-$F1989)*100</f>
        <v/>
      </c>
      <c r="BN1988" s="82">
        <f>$AF1988-$AF1989</f>
        <v/>
      </c>
      <c r="BO1988" s="82">
        <f>$AG1988-$AG1989</f>
        <v/>
      </c>
      <c r="BP1988" s="82">
        <f>$AJ1988-$AJ1989</f>
        <v/>
      </c>
    </row>
    <row r="1989">
      <c r="AR1989" s="81">
        <f>($G1989+($H1989-$G1989)*0.5)+($P1989-($O1989+($Q1989-$O1989)*0.5))</f>
        <v/>
      </c>
      <c r="AS1989" s="81">
        <f>($J1989+($K1989-$J1989)*0.5)+($T1989-($S1989+($U1989-$S1989)*0.5))</f>
        <v/>
      </c>
      <c r="AT1989" s="82">
        <f>($J1989-$C1989)*100</f>
        <v/>
      </c>
      <c r="AU1989" s="82">
        <f>($H1989-$F1989)*100</f>
        <v/>
      </c>
      <c r="AV1989" s="82">
        <f>($J1989-$F1989)*100</f>
        <v/>
      </c>
      <c r="AW1989" s="82">
        <f>($L1989-$F1989)*100</f>
        <v/>
      </c>
      <c r="AX1989" s="82">
        <f>($J1989-$H1989)*100</f>
        <v/>
      </c>
      <c r="AY1989" s="82">
        <f>($L1989-$H1989)*100</f>
        <v/>
      </c>
      <c r="AZ1989" s="82">
        <f>($L1989-$J1989)*100</f>
        <v/>
      </c>
      <c r="BA1989" s="82">
        <f>(2*$H1989-$F1989-$J1989)*100</f>
        <v/>
      </c>
      <c r="BB1989" s="82">
        <f>(2*$J1989-$H1989-$L1989)*100</f>
        <v/>
      </c>
      <c r="BC1989" s="82">
        <f>($N1989-$F1989)*100</f>
        <v/>
      </c>
      <c r="BD1989" s="82">
        <f>($Q1989-$H1989)*100</f>
        <v/>
      </c>
      <c r="BE1989" s="82">
        <f>($S1989-$J1989)*100</f>
        <v/>
      </c>
      <c r="BF1989" s="82">
        <f>($V1989-$L1989)*100</f>
        <v/>
      </c>
      <c r="BG1989" s="82">
        <f>$AG1989-$AF1989</f>
        <v/>
      </c>
      <c r="BH1989" s="81">
        <f>IFERROR($AG1989/$AF1989,"")</f>
        <v/>
      </c>
      <c r="BI1989" s="82">
        <f>$AJ1989-$AF1989</f>
        <v/>
      </c>
      <c r="BJ1989" s="81">
        <f>IFERROR($AJ1989/$AG1989,"")</f>
        <v/>
      </c>
      <c r="BK1989" s="81">
        <f>$X1989</f>
        <v/>
      </c>
      <c r="BL1989" s="82">
        <f>($J1989-$J1990)*100</f>
        <v/>
      </c>
      <c r="BM1989" s="82">
        <f>($F1989-$F1990)*100</f>
        <v/>
      </c>
      <c r="BN1989" s="82">
        <f>$AF1989-$AF1990</f>
        <v/>
      </c>
      <c r="BO1989" s="82">
        <f>$AG1989-$AG1990</f>
        <v/>
      </c>
      <c r="BP1989" s="82">
        <f>$AJ1989-$AJ1990</f>
        <v/>
      </c>
    </row>
    <row r="1990">
      <c r="AR1990" s="81">
        <f>($G1990+($H1990-$G1990)*0.5)+($P1990-($O1990+($Q1990-$O1990)*0.5))</f>
        <v/>
      </c>
      <c r="AS1990" s="81">
        <f>($J1990+($K1990-$J1990)*0.5)+($T1990-($S1990+($U1990-$S1990)*0.5))</f>
        <v/>
      </c>
      <c r="AT1990" s="82">
        <f>($J1990-$C1990)*100</f>
        <v/>
      </c>
      <c r="AU1990" s="82">
        <f>($H1990-$F1990)*100</f>
        <v/>
      </c>
      <c r="AV1990" s="82">
        <f>($J1990-$F1990)*100</f>
        <v/>
      </c>
      <c r="AW1990" s="82">
        <f>($L1990-$F1990)*100</f>
        <v/>
      </c>
      <c r="AX1990" s="82">
        <f>($J1990-$H1990)*100</f>
        <v/>
      </c>
      <c r="AY1990" s="82">
        <f>($L1990-$H1990)*100</f>
        <v/>
      </c>
      <c r="AZ1990" s="82">
        <f>($L1990-$J1990)*100</f>
        <v/>
      </c>
      <c r="BA1990" s="82">
        <f>(2*$H1990-$F1990-$J1990)*100</f>
        <v/>
      </c>
      <c r="BB1990" s="82">
        <f>(2*$J1990-$H1990-$L1990)*100</f>
        <v/>
      </c>
      <c r="BC1990" s="82">
        <f>($N1990-$F1990)*100</f>
        <v/>
      </c>
      <c r="BD1990" s="82">
        <f>($Q1990-$H1990)*100</f>
        <v/>
      </c>
      <c r="BE1990" s="82">
        <f>($S1990-$J1990)*100</f>
        <v/>
      </c>
      <c r="BF1990" s="82">
        <f>($V1990-$L1990)*100</f>
        <v/>
      </c>
      <c r="BG1990" s="82">
        <f>$AG1990-$AF1990</f>
        <v/>
      </c>
      <c r="BH1990" s="81">
        <f>IFERROR($AG1990/$AF1990,"")</f>
        <v/>
      </c>
      <c r="BI1990" s="82">
        <f>$AJ1990-$AF1990</f>
        <v/>
      </c>
      <c r="BJ1990" s="81">
        <f>IFERROR($AJ1990/$AG1990,"")</f>
        <v/>
      </c>
      <c r="BK1990" s="81">
        <f>$X1990</f>
        <v/>
      </c>
      <c r="BL1990" s="82">
        <f>($J1990-$J1991)*100</f>
        <v/>
      </c>
      <c r="BM1990" s="82">
        <f>($F1990-$F1991)*100</f>
        <v/>
      </c>
      <c r="BN1990" s="82">
        <f>$AF1990-$AF1991</f>
        <v/>
      </c>
      <c r="BO1990" s="82">
        <f>$AG1990-$AG1991</f>
        <v/>
      </c>
      <c r="BP1990" s="82">
        <f>$AJ1990-$AJ1991</f>
        <v/>
      </c>
    </row>
    <row r="1991">
      <c r="AR1991" s="81">
        <f>($G1991+($H1991-$G1991)*0.5)+($P1991-($O1991+($Q1991-$O1991)*0.5))</f>
        <v/>
      </c>
      <c r="AS1991" s="81">
        <f>($J1991+($K1991-$J1991)*0.5)+($T1991-($S1991+($U1991-$S1991)*0.5))</f>
        <v/>
      </c>
      <c r="AT1991" s="82">
        <f>($J1991-$C1991)*100</f>
        <v/>
      </c>
      <c r="AU1991" s="82">
        <f>($H1991-$F1991)*100</f>
        <v/>
      </c>
      <c r="AV1991" s="82">
        <f>($J1991-$F1991)*100</f>
        <v/>
      </c>
      <c r="AW1991" s="82">
        <f>($L1991-$F1991)*100</f>
        <v/>
      </c>
      <c r="AX1991" s="82">
        <f>($J1991-$H1991)*100</f>
        <v/>
      </c>
      <c r="AY1991" s="82">
        <f>($L1991-$H1991)*100</f>
        <v/>
      </c>
      <c r="AZ1991" s="82">
        <f>($L1991-$J1991)*100</f>
        <v/>
      </c>
      <c r="BA1991" s="82">
        <f>(2*$H1991-$F1991-$J1991)*100</f>
        <v/>
      </c>
      <c r="BB1991" s="82">
        <f>(2*$J1991-$H1991-$L1991)*100</f>
        <v/>
      </c>
      <c r="BC1991" s="82">
        <f>($N1991-$F1991)*100</f>
        <v/>
      </c>
      <c r="BD1991" s="82">
        <f>($Q1991-$H1991)*100</f>
        <v/>
      </c>
      <c r="BE1991" s="82">
        <f>($S1991-$J1991)*100</f>
        <v/>
      </c>
      <c r="BF1991" s="82">
        <f>($V1991-$L1991)*100</f>
        <v/>
      </c>
      <c r="BG1991" s="82">
        <f>$AG1991-$AF1991</f>
        <v/>
      </c>
      <c r="BH1991" s="81">
        <f>IFERROR($AG1991/$AF1991,"")</f>
        <v/>
      </c>
      <c r="BI1991" s="82">
        <f>$AJ1991-$AF1991</f>
        <v/>
      </c>
      <c r="BJ1991" s="81">
        <f>IFERROR($AJ1991/$AG1991,"")</f>
        <v/>
      </c>
      <c r="BK1991" s="81">
        <f>$X1991</f>
        <v/>
      </c>
      <c r="BL1991" s="82">
        <f>($J1991-$J1992)*100</f>
        <v/>
      </c>
      <c r="BM1991" s="82">
        <f>($F1991-$F1992)*100</f>
        <v/>
      </c>
      <c r="BN1991" s="82">
        <f>$AF1991-$AF1992</f>
        <v/>
      </c>
      <c r="BO1991" s="82">
        <f>$AG1991-$AG1992</f>
        <v/>
      </c>
      <c r="BP1991" s="82">
        <f>$AJ1991-$AJ1992</f>
        <v/>
      </c>
    </row>
    <row r="1992">
      <c r="AR1992" s="81">
        <f>($G1992+($H1992-$G1992)*0.5)+($P1992-($O1992+($Q1992-$O1992)*0.5))</f>
        <v/>
      </c>
      <c r="AS1992" s="81">
        <f>($J1992+($K1992-$J1992)*0.5)+($T1992-($S1992+($U1992-$S1992)*0.5))</f>
        <v/>
      </c>
      <c r="AT1992" s="82">
        <f>($J1992-$C1992)*100</f>
        <v/>
      </c>
      <c r="AU1992" s="82">
        <f>($H1992-$F1992)*100</f>
        <v/>
      </c>
      <c r="AV1992" s="82">
        <f>($J1992-$F1992)*100</f>
        <v/>
      </c>
      <c r="AW1992" s="82">
        <f>($L1992-$F1992)*100</f>
        <v/>
      </c>
      <c r="AX1992" s="82">
        <f>($J1992-$H1992)*100</f>
        <v/>
      </c>
      <c r="AY1992" s="82">
        <f>($L1992-$H1992)*100</f>
        <v/>
      </c>
      <c r="AZ1992" s="82">
        <f>($L1992-$J1992)*100</f>
        <v/>
      </c>
      <c r="BA1992" s="82">
        <f>(2*$H1992-$F1992-$J1992)*100</f>
        <v/>
      </c>
      <c r="BB1992" s="82">
        <f>(2*$J1992-$H1992-$L1992)*100</f>
        <v/>
      </c>
      <c r="BC1992" s="82">
        <f>($N1992-$F1992)*100</f>
        <v/>
      </c>
      <c r="BD1992" s="82">
        <f>($Q1992-$H1992)*100</f>
        <v/>
      </c>
      <c r="BE1992" s="82">
        <f>($S1992-$J1992)*100</f>
        <v/>
      </c>
      <c r="BF1992" s="82">
        <f>($V1992-$L1992)*100</f>
        <v/>
      </c>
      <c r="BG1992" s="82">
        <f>$AG1992-$AF1992</f>
        <v/>
      </c>
      <c r="BH1992" s="81">
        <f>IFERROR($AG1992/$AF1992,"")</f>
        <v/>
      </c>
      <c r="BI1992" s="82">
        <f>$AJ1992-$AF1992</f>
        <v/>
      </c>
      <c r="BJ1992" s="81">
        <f>IFERROR($AJ1992/$AG1992,"")</f>
        <v/>
      </c>
      <c r="BK1992" s="81">
        <f>$X1992</f>
        <v/>
      </c>
      <c r="BL1992" s="82">
        <f>($J1992-$J1993)*100</f>
        <v/>
      </c>
      <c r="BM1992" s="82">
        <f>($F1992-$F1993)*100</f>
        <v/>
      </c>
      <c r="BN1992" s="82">
        <f>$AF1992-$AF1993</f>
        <v/>
      </c>
      <c r="BO1992" s="82">
        <f>$AG1992-$AG1993</f>
        <v/>
      </c>
      <c r="BP1992" s="82">
        <f>$AJ1992-$AJ1993</f>
        <v/>
      </c>
    </row>
    <row r="1993">
      <c r="AR1993" s="81">
        <f>($G1993+($H1993-$G1993)*0.5)+($P1993-($O1993+($Q1993-$O1993)*0.5))</f>
        <v/>
      </c>
      <c r="AS1993" s="81">
        <f>($J1993+($K1993-$J1993)*0.5)+($T1993-($S1993+($U1993-$S1993)*0.5))</f>
        <v/>
      </c>
      <c r="AT1993" s="82">
        <f>($J1993-$C1993)*100</f>
        <v/>
      </c>
      <c r="AU1993" s="82">
        <f>($H1993-$F1993)*100</f>
        <v/>
      </c>
      <c r="AV1993" s="82">
        <f>($J1993-$F1993)*100</f>
        <v/>
      </c>
      <c r="AW1993" s="82">
        <f>($L1993-$F1993)*100</f>
        <v/>
      </c>
      <c r="AX1993" s="82">
        <f>($J1993-$H1993)*100</f>
        <v/>
      </c>
      <c r="AY1993" s="82">
        <f>($L1993-$H1993)*100</f>
        <v/>
      </c>
      <c r="AZ1993" s="82">
        <f>($L1993-$J1993)*100</f>
        <v/>
      </c>
      <c r="BA1993" s="82">
        <f>(2*$H1993-$F1993-$J1993)*100</f>
        <v/>
      </c>
      <c r="BB1993" s="82">
        <f>(2*$J1993-$H1993-$L1993)*100</f>
        <v/>
      </c>
      <c r="BC1993" s="82">
        <f>($N1993-$F1993)*100</f>
        <v/>
      </c>
      <c r="BD1993" s="82">
        <f>($Q1993-$H1993)*100</f>
        <v/>
      </c>
      <c r="BE1993" s="82">
        <f>($S1993-$J1993)*100</f>
        <v/>
      </c>
      <c r="BF1993" s="82">
        <f>($V1993-$L1993)*100</f>
        <v/>
      </c>
      <c r="BG1993" s="82">
        <f>$AG1993-$AF1993</f>
        <v/>
      </c>
      <c r="BH1993" s="81">
        <f>IFERROR($AG1993/$AF1993,"")</f>
        <v/>
      </c>
      <c r="BI1993" s="82">
        <f>$AJ1993-$AF1993</f>
        <v/>
      </c>
      <c r="BJ1993" s="81">
        <f>IFERROR($AJ1993/$AG1993,"")</f>
        <v/>
      </c>
      <c r="BK1993" s="81">
        <f>$X1993</f>
        <v/>
      </c>
      <c r="BL1993" s="82">
        <f>($J1993-$J1994)*100</f>
        <v/>
      </c>
      <c r="BM1993" s="82">
        <f>($F1993-$F1994)*100</f>
        <v/>
      </c>
      <c r="BN1993" s="82">
        <f>$AF1993-$AF1994</f>
        <v/>
      </c>
      <c r="BO1993" s="82">
        <f>$AG1993-$AG1994</f>
        <v/>
      </c>
      <c r="BP1993" s="82">
        <f>$AJ1993-$AJ1994</f>
        <v/>
      </c>
    </row>
    <row r="1994">
      <c r="AR1994" s="81">
        <f>($G1994+($H1994-$G1994)*0.5)+($P1994-($O1994+($Q1994-$O1994)*0.5))</f>
        <v/>
      </c>
      <c r="AS1994" s="81">
        <f>($J1994+($K1994-$J1994)*0.5)+($T1994-($S1994+($U1994-$S1994)*0.5))</f>
        <v/>
      </c>
      <c r="AT1994" s="82">
        <f>($J1994-$C1994)*100</f>
        <v/>
      </c>
      <c r="AU1994" s="82">
        <f>($H1994-$F1994)*100</f>
        <v/>
      </c>
      <c r="AV1994" s="82">
        <f>($J1994-$F1994)*100</f>
        <v/>
      </c>
      <c r="AW1994" s="82">
        <f>($L1994-$F1994)*100</f>
        <v/>
      </c>
      <c r="AX1994" s="82">
        <f>($J1994-$H1994)*100</f>
        <v/>
      </c>
      <c r="AY1994" s="82">
        <f>($L1994-$H1994)*100</f>
        <v/>
      </c>
      <c r="AZ1994" s="82">
        <f>($L1994-$J1994)*100</f>
        <v/>
      </c>
      <c r="BA1994" s="82">
        <f>(2*$H1994-$F1994-$J1994)*100</f>
        <v/>
      </c>
      <c r="BB1994" s="82">
        <f>(2*$J1994-$H1994-$L1994)*100</f>
        <v/>
      </c>
      <c r="BC1994" s="82">
        <f>($N1994-$F1994)*100</f>
        <v/>
      </c>
      <c r="BD1994" s="82">
        <f>($Q1994-$H1994)*100</f>
        <v/>
      </c>
      <c r="BE1994" s="82">
        <f>($S1994-$J1994)*100</f>
        <v/>
      </c>
      <c r="BF1994" s="82">
        <f>($V1994-$L1994)*100</f>
        <v/>
      </c>
      <c r="BG1994" s="82">
        <f>$AG1994-$AF1994</f>
        <v/>
      </c>
      <c r="BH1994" s="81">
        <f>IFERROR($AG1994/$AF1994,"")</f>
        <v/>
      </c>
      <c r="BI1994" s="82">
        <f>$AJ1994-$AF1994</f>
        <v/>
      </c>
      <c r="BJ1994" s="81">
        <f>IFERROR($AJ1994/$AG1994,"")</f>
        <v/>
      </c>
      <c r="BK1994" s="81">
        <f>$X1994</f>
        <v/>
      </c>
      <c r="BL1994" s="82">
        <f>($J1994-$J1995)*100</f>
        <v/>
      </c>
      <c r="BM1994" s="82">
        <f>($F1994-$F1995)*100</f>
        <v/>
      </c>
      <c r="BN1994" s="82">
        <f>$AF1994-$AF1995</f>
        <v/>
      </c>
      <c r="BO1994" s="82">
        <f>$AG1994-$AG1995</f>
        <v/>
      </c>
      <c r="BP1994" s="82">
        <f>$AJ1994-$AJ1995</f>
        <v/>
      </c>
    </row>
    <row r="1995">
      <c r="AR1995" s="81">
        <f>($G1995+($H1995-$G1995)*0.5)+($P1995-($O1995+($Q1995-$O1995)*0.5))</f>
        <v/>
      </c>
      <c r="AS1995" s="81">
        <f>($J1995+($K1995-$J1995)*0.5)+($T1995-($S1995+($U1995-$S1995)*0.5))</f>
        <v/>
      </c>
      <c r="AT1995" s="82">
        <f>($J1995-$C1995)*100</f>
        <v/>
      </c>
      <c r="AU1995" s="82">
        <f>($H1995-$F1995)*100</f>
        <v/>
      </c>
      <c r="AV1995" s="82">
        <f>($J1995-$F1995)*100</f>
        <v/>
      </c>
      <c r="AW1995" s="82">
        <f>($L1995-$F1995)*100</f>
        <v/>
      </c>
      <c r="AX1995" s="82">
        <f>($J1995-$H1995)*100</f>
        <v/>
      </c>
      <c r="AY1995" s="82">
        <f>($L1995-$H1995)*100</f>
        <v/>
      </c>
      <c r="AZ1995" s="82">
        <f>($L1995-$J1995)*100</f>
        <v/>
      </c>
      <c r="BA1995" s="82">
        <f>(2*$H1995-$F1995-$J1995)*100</f>
        <v/>
      </c>
      <c r="BB1995" s="82">
        <f>(2*$J1995-$H1995-$L1995)*100</f>
        <v/>
      </c>
      <c r="BC1995" s="82">
        <f>($N1995-$F1995)*100</f>
        <v/>
      </c>
      <c r="BD1995" s="82">
        <f>($Q1995-$H1995)*100</f>
        <v/>
      </c>
      <c r="BE1995" s="82">
        <f>($S1995-$J1995)*100</f>
        <v/>
      </c>
      <c r="BF1995" s="82">
        <f>($V1995-$L1995)*100</f>
        <v/>
      </c>
      <c r="BG1995" s="82">
        <f>$AG1995-$AF1995</f>
        <v/>
      </c>
      <c r="BH1995" s="81">
        <f>IFERROR($AG1995/$AF1995,"")</f>
        <v/>
      </c>
      <c r="BI1995" s="82">
        <f>$AJ1995-$AF1995</f>
        <v/>
      </c>
      <c r="BJ1995" s="81">
        <f>IFERROR($AJ1995/$AG1995,"")</f>
        <v/>
      </c>
      <c r="BK1995" s="81">
        <f>$X1995</f>
        <v/>
      </c>
      <c r="BL1995" s="82">
        <f>($J1995-$J1996)*100</f>
        <v/>
      </c>
      <c r="BM1995" s="82">
        <f>($F1995-$F1996)*100</f>
        <v/>
      </c>
      <c r="BN1995" s="82">
        <f>$AF1995-$AF1996</f>
        <v/>
      </c>
      <c r="BO1995" s="82">
        <f>$AG1995-$AG1996</f>
        <v/>
      </c>
      <c r="BP1995" s="82">
        <f>$AJ1995-$AJ1996</f>
        <v/>
      </c>
    </row>
    <row r="1996">
      <c r="AR1996" s="81">
        <f>($G1996+($H1996-$G1996)*0.5)+($P1996-($O1996+($Q1996-$O1996)*0.5))</f>
        <v/>
      </c>
      <c r="AS1996" s="81">
        <f>($J1996+($K1996-$J1996)*0.5)+($T1996-($S1996+($U1996-$S1996)*0.5))</f>
        <v/>
      </c>
      <c r="AT1996" s="82">
        <f>($J1996-$C1996)*100</f>
        <v/>
      </c>
      <c r="AU1996" s="82">
        <f>($H1996-$F1996)*100</f>
        <v/>
      </c>
      <c r="AV1996" s="82">
        <f>($J1996-$F1996)*100</f>
        <v/>
      </c>
      <c r="AW1996" s="82">
        <f>($L1996-$F1996)*100</f>
        <v/>
      </c>
      <c r="AX1996" s="82">
        <f>($J1996-$H1996)*100</f>
        <v/>
      </c>
      <c r="AY1996" s="82">
        <f>($L1996-$H1996)*100</f>
        <v/>
      </c>
      <c r="AZ1996" s="82">
        <f>($L1996-$J1996)*100</f>
        <v/>
      </c>
      <c r="BA1996" s="82">
        <f>(2*$H1996-$F1996-$J1996)*100</f>
        <v/>
      </c>
      <c r="BB1996" s="82">
        <f>(2*$J1996-$H1996-$L1996)*100</f>
        <v/>
      </c>
      <c r="BC1996" s="82">
        <f>($N1996-$F1996)*100</f>
        <v/>
      </c>
      <c r="BD1996" s="82">
        <f>($Q1996-$H1996)*100</f>
        <v/>
      </c>
      <c r="BE1996" s="82">
        <f>($S1996-$J1996)*100</f>
        <v/>
      </c>
      <c r="BF1996" s="82">
        <f>($V1996-$L1996)*100</f>
        <v/>
      </c>
      <c r="BG1996" s="82">
        <f>$AG1996-$AF1996</f>
        <v/>
      </c>
      <c r="BH1996" s="81">
        <f>IFERROR($AG1996/$AF1996,"")</f>
        <v/>
      </c>
      <c r="BI1996" s="82">
        <f>$AJ1996-$AF1996</f>
        <v/>
      </c>
      <c r="BJ1996" s="81">
        <f>IFERROR($AJ1996/$AG1996,"")</f>
        <v/>
      </c>
      <c r="BK1996" s="81">
        <f>$X1996</f>
        <v/>
      </c>
      <c r="BL1996" s="82">
        <f>($J1996-$J1997)*100</f>
        <v/>
      </c>
      <c r="BM1996" s="82">
        <f>($F1996-$F1997)*100</f>
        <v/>
      </c>
      <c r="BN1996" s="82">
        <f>$AF1996-$AF1997</f>
        <v/>
      </c>
      <c r="BO1996" s="82">
        <f>$AG1996-$AG1997</f>
        <v/>
      </c>
      <c r="BP1996" s="82">
        <f>$AJ1996-$AJ1997</f>
        <v/>
      </c>
    </row>
    <row r="1997">
      <c r="AR1997" s="81">
        <f>($G1997+($H1997-$G1997)*0.5)+($P1997-($O1997+($Q1997-$O1997)*0.5))</f>
        <v/>
      </c>
      <c r="AS1997" s="81">
        <f>($J1997+($K1997-$J1997)*0.5)+($T1997-($S1997+($U1997-$S1997)*0.5))</f>
        <v/>
      </c>
      <c r="AT1997" s="82">
        <f>($J1997-$C1997)*100</f>
        <v/>
      </c>
      <c r="AU1997" s="82">
        <f>($H1997-$F1997)*100</f>
        <v/>
      </c>
      <c r="AV1997" s="82">
        <f>($J1997-$F1997)*100</f>
        <v/>
      </c>
      <c r="AW1997" s="82">
        <f>($L1997-$F1997)*100</f>
        <v/>
      </c>
      <c r="AX1997" s="82">
        <f>($J1997-$H1997)*100</f>
        <v/>
      </c>
      <c r="AY1997" s="82">
        <f>($L1997-$H1997)*100</f>
        <v/>
      </c>
      <c r="AZ1997" s="82">
        <f>($L1997-$J1997)*100</f>
        <v/>
      </c>
      <c r="BA1997" s="82">
        <f>(2*$H1997-$F1997-$J1997)*100</f>
        <v/>
      </c>
      <c r="BB1997" s="82">
        <f>(2*$J1997-$H1997-$L1997)*100</f>
        <v/>
      </c>
      <c r="BC1997" s="82">
        <f>($N1997-$F1997)*100</f>
        <v/>
      </c>
      <c r="BD1997" s="82">
        <f>($Q1997-$H1997)*100</f>
        <v/>
      </c>
      <c r="BE1997" s="82">
        <f>($S1997-$J1997)*100</f>
        <v/>
      </c>
      <c r="BF1997" s="82">
        <f>($V1997-$L1997)*100</f>
        <v/>
      </c>
      <c r="BG1997" s="82">
        <f>$AG1997-$AF1997</f>
        <v/>
      </c>
      <c r="BH1997" s="81">
        <f>IFERROR($AG1997/$AF1997,"")</f>
        <v/>
      </c>
      <c r="BI1997" s="82">
        <f>$AJ1997-$AF1997</f>
        <v/>
      </c>
      <c r="BJ1997" s="81">
        <f>IFERROR($AJ1997/$AG1997,"")</f>
        <v/>
      </c>
      <c r="BK1997" s="81">
        <f>$X1997</f>
        <v/>
      </c>
      <c r="BL1997" s="82">
        <f>($J1997-$J1998)*100</f>
        <v/>
      </c>
      <c r="BM1997" s="82">
        <f>($F1997-$F1998)*100</f>
        <v/>
      </c>
      <c r="BN1997" s="82">
        <f>$AF1997-$AF1998</f>
        <v/>
      </c>
      <c r="BO1997" s="82">
        <f>$AG1997-$AG1998</f>
        <v/>
      </c>
      <c r="BP1997" s="82">
        <f>$AJ1997-$AJ1998</f>
        <v/>
      </c>
    </row>
    <row r="1998">
      <c r="AR1998" s="81">
        <f>($G1998+($H1998-$G1998)*0.5)+($P1998-($O1998+($Q1998-$O1998)*0.5))</f>
        <v/>
      </c>
      <c r="AS1998" s="81">
        <f>($J1998+($K1998-$J1998)*0.5)+($T1998-($S1998+($U1998-$S1998)*0.5))</f>
        <v/>
      </c>
      <c r="AT1998" s="82">
        <f>($J1998-$C1998)*100</f>
        <v/>
      </c>
      <c r="AU1998" s="82">
        <f>($H1998-$F1998)*100</f>
        <v/>
      </c>
      <c r="AV1998" s="82">
        <f>($J1998-$F1998)*100</f>
        <v/>
      </c>
      <c r="AW1998" s="82">
        <f>($L1998-$F1998)*100</f>
        <v/>
      </c>
      <c r="AX1998" s="82">
        <f>($J1998-$H1998)*100</f>
        <v/>
      </c>
      <c r="AY1998" s="82">
        <f>($L1998-$H1998)*100</f>
        <v/>
      </c>
      <c r="AZ1998" s="82">
        <f>($L1998-$J1998)*100</f>
        <v/>
      </c>
      <c r="BA1998" s="82">
        <f>(2*$H1998-$F1998-$J1998)*100</f>
        <v/>
      </c>
      <c r="BB1998" s="82">
        <f>(2*$J1998-$H1998-$L1998)*100</f>
        <v/>
      </c>
      <c r="BC1998" s="82">
        <f>($N1998-$F1998)*100</f>
        <v/>
      </c>
      <c r="BD1998" s="82">
        <f>($Q1998-$H1998)*100</f>
        <v/>
      </c>
      <c r="BE1998" s="82">
        <f>($S1998-$J1998)*100</f>
        <v/>
      </c>
      <c r="BF1998" s="82">
        <f>($V1998-$L1998)*100</f>
        <v/>
      </c>
      <c r="BG1998" s="82">
        <f>$AG1998-$AF1998</f>
        <v/>
      </c>
      <c r="BH1998" s="81">
        <f>IFERROR($AG1998/$AF1998,"")</f>
        <v/>
      </c>
      <c r="BI1998" s="82">
        <f>$AJ1998-$AF1998</f>
        <v/>
      </c>
      <c r="BJ1998" s="81">
        <f>IFERROR($AJ1998/$AG1998,"")</f>
        <v/>
      </c>
      <c r="BK1998" s="81">
        <f>$X1998</f>
        <v/>
      </c>
      <c r="BL1998" s="82">
        <f>($J1998-$J1999)*100</f>
        <v/>
      </c>
      <c r="BM1998" s="82">
        <f>($F1998-$F1999)*100</f>
        <v/>
      </c>
      <c r="BN1998" s="82">
        <f>$AF1998-$AF1999</f>
        <v/>
      </c>
      <c r="BO1998" s="82">
        <f>$AG1998-$AG1999</f>
        <v/>
      </c>
      <c r="BP1998" s="82">
        <f>$AJ1998-$AJ1999</f>
        <v/>
      </c>
    </row>
    <row r="1999">
      <c r="AR1999" s="81">
        <f>($G1999+($H1999-$G1999)*0.5)+($P1999-($O1999+($Q1999-$O1999)*0.5))</f>
        <v/>
      </c>
      <c r="AS1999" s="81">
        <f>($J1999+($K1999-$J1999)*0.5)+($T1999-($S1999+($U1999-$S1999)*0.5))</f>
        <v/>
      </c>
      <c r="AT1999" s="82">
        <f>($J1999-$C1999)*100</f>
        <v/>
      </c>
      <c r="AU1999" s="82">
        <f>($H1999-$F1999)*100</f>
        <v/>
      </c>
      <c r="AV1999" s="82">
        <f>($J1999-$F1999)*100</f>
        <v/>
      </c>
      <c r="AW1999" s="82">
        <f>($L1999-$F1999)*100</f>
        <v/>
      </c>
      <c r="AX1999" s="82">
        <f>($J1999-$H1999)*100</f>
        <v/>
      </c>
      <c r="AY1999" s="82">
        <f>($L1999-$H1999)*100</f>
        <v/>
      </c>
      <c r="AZ1999" s="82">
        <f>($L1999-$J1999)*100</f>
        <v/>
      </c>
      <c r="BA1999" s="82">
        <f>(2*$H1999-$F1999-$J1999)*100</f>
        <v/>
      </c>
      <c r="BB1999" s="82">
        <f>(2*$J1999-$H1999-$L1999)*100</f>
        <v/>
      </c>
      <c r="BC1999" s="82">
        <f>($N1999-$F1999)*100</f>
        <v/>
      </c>
      <c r="BD1999" s="82">
        <f>($Q1999-$H1999)*100</f>
        <v/>
      </c>
      <c r="BE1999" s="82">
        <f>($S1999-$J1999)*100</f>
        <v/>
      </c>
      <c r="BF1999" s="82">
        <f>($V1999-$L1999)*100</f>
        <v/>
      </c>
      <c r="BG1999" s="82">
        <f>$AG1999-$AF1999</f>
        <v/>
      </c>
      <c r="BH1999" s="81">
        <f>IFERROR($AG1999/$AF1999,"")</f>
        <v/>
      </c>
      <c r="BI1999" s="82">
        <f>$AJ1999-$AF1999</f>
        <v/>
      </c>
      <c r="BJ1999" s="81">
        <f>IFERROR($AJ1999/$AG1999,"")</f>
        <v/>
      </c>
      <c r="BK1999" s="81">
        <f>$X1999</f>
        <v/>
      </c>
      <c r="BL1999" s="82">
        <f>($J1999-$J2000)*100</f>
        <v/>
      </c>
      <c r="BM1999" s="82">
        <f>($F1999-$F2000)*100</f>
        <v/>
      </c>
      <c r="BN1999" s="82">
        <f>$AF1999-$AF2000</f>
        <v/>
      </c>
      <c r="BO1999" s="82">
        <f>$AG1999-$AG2000</f>
        <v/>
      </c>
      <c r="BP1999" s="82">
        <f>$AJ1999-$AJ2000</f>
        <v/>
      </c>
    </row>
    <row r="2000">
      <c r="AR2000" s="81">
        <f>($G2000+($H2000-$G2000)*0.5)+($P2000-($O2000+($Q2000-$O2000)*0.5))</f>
        <v/>
      </c>
      <c r="AS2000" s="81">
        <f>($J2000+($K2000-$J2000)*0.5)+($T2000-($S2000+($U2000-$S2000)*0.5))</f>
        <v/>
      </c>
      <c r="AT2000" s="82">
        <f>($J2000-$C2000)*100</f>
        <v/>
      </c>
      <c r="AU2000" s="82">
        <f>($H2000-$F2000)*100</f>
        <v/>
      </c>
      <c r="AV2000" s="82">
        <f>($J2000-$F2000)*100</f>
        <v/>
      </c>
      <c r="AW2000" s="82">
        <f>($L2000-$F2000)*100</f>
        <v/>
      </c>
      <c r="AX2000" s="82">
        <f>($J2000-$H2000)*100</f>
        <v/>
      </c>
      <c r="AY2000" s="82">
        <f>($L2000-$H2000)*100</f>
        <v/>
      </c>
      <c r="AZ2000" s="82">
        <f>($L2000-$J2000)*100</f>
        <v/>
      </c>
      <c r="BA2000" s="82">
        <f>(2*$H2000-$F2000-$J2000)*100</f>
        <v/>
      </c>
      <c r="BB2000" s="82">
        <f>(2*$J2000-$H2000-$L2000)*100</f>
        <v/>
      </c>
      <c r="BC2000" s="82">
        <f>($N2000-$F2000)*100</f>
        <v/>
      </c>
      <c r="BD2000" s="82">
        <f>($Q2000-$H2000)*100</f>
        <v/>
      </c>
      <c r="BE2000" s="82">
        <f>($S2000-$J2000)*100</f>
        <v/>
      </c>
      <c r="BF2000" s="82">
        <f>($V2000-$L2000)*100</f>
        <v/>
      </c>
      <c r="BG2000" s="82">
        <f>$AG2000-$AF2000</f>
        <v/>
      </c>
      <c r="BH2000" s="81">
        <f>IFERROR($AG2000/$AF2000,"")</f>
        <v/>
      </c>
      <c r="BI2000" s="82">
        <f>$AJ2000-$AF2000</f>
        <v/>
      </c>
      <c r="BJ2000" s="81">
        <f>IFERROR($AJ2000/$AG2000,"")</f>
        <v/>
      </c>
      <c r="BK2000" s="81">
        <f>$X2000</f>
        <v/>
      </c>
      <c r="BL2000" s="82">
        <f>($J2000-$J2001)*100</f>
        <v/>
      </c>
      <c r="BM2000" s="82">
        <f>($F2000-$F2001)*100</f>
        <v/>
      </c>
      <c r="BN2000" s="82">
        <f>$AF2000-$AF2001</f>
        <v/>
      </c>
      <c r="BO2000" s="82">
        <f>$AG2000-$AG2001</f>
        <v/>
      </c>
      <c r="BP2000" s="82">
        <f>$AJ2000-$AJ2001</f>
        <v/>
      </c>
    </row>
    <row r="2001">
      <c r="AR2001" s="81">
        <f>($G2001+($H2001-$G2001)*0.5)+($P2001-($O2001+($Q2001-$O2001)*0.5))</f>
        <v/>
      </c>
      <c r="AS2001" s="81">
        <f>($J2001+($K2001-$J2001)*0.5)+($T2001-($S2001+($U2001-$S2001)*0.5))</f>
        <v/>
      </c>
      <c r="AT2001" s="82">
        <f>($J2001-$C2001)*100</f>
        <v/>
      </c>
      <c r="AU2001" s="82">
        <f>($H2001-$F2001)*100</f>
        <v/>
      </c>
      <c r="AV2001" s="82">
        <f>($J2001-$F2001)*100</f>
        <v/>
      </c>
      <c r="AW2001" s="82">
        <f>($L2001-$F2001)*100</f>
        <v/>
      </c>
      <c r="AX2001" s="82">
        <f>($J2001-$H2001)*100</f>
        <v/>
      </c>
      <c r="AY2001" s="82">
        <f>($L2001-$H2001)*100</f>
        <v/>
      </c>
      <c r="AZ2001" s="82">
        <f>($L2001-$J2001)*100</f>
        <v/>
      </c>
      <c r="BA2001" s="82">
        <f>(2*$H2001-$F2001-$J2001)*100</f>
        <v/>
      </c>
      <c r="BB2001" s="82">
        <f>(2*$J2001-$H2001-$L2001)*100</f>
        <v/>
      </c>
      <c r="BC2001" s="82">
        <f>($N2001-$F2001)*100</f>
        <v/>
      </c>
      <c r="BD2001" s="82">
        <f>($Q2001-$H2001)*100</f>
        <v/>
      </c>
      <c r="BE2001" s="82">
        <f>($S2001-$J2001)*100</f>
        <v/>
      </c>
      <c r="BF2001" s="82">
        <f>($V2001-$L2001)*100</f>
        <v/>
      </c>
      <c r="BG2001" s="82">
        <f>$AG2001-$AF2001</f>
        <v/>
      </c>
      <c r="BH2001" s="81">
        <f>IFERROR($AG2001/$AF2001,"")</f>
        <v/>
      </c>
      <c r="BI2001" s="82">
        <f>$AJ2001-$AF2001</f>
        <v/>
      </c>
      <c r="BJ2001" s="81">
        <f>IFERROR($AJ2001/$AG2001,"")</f>
        <v/>
      </c>
      <c r="BK2001" s="81">
        <f>$X2001</f>
        <v/>
      </c>
      <c r="BL2001" s="82">
        <f>($J2001-$J2002)*100</f>
        <v/>
      </c>
      <c r="BM2001" s="82">
        <f>($F2001-$F2002)*100</f>
        <v/>
      </c>
      <c r="BN2001" s="82">
        <f>$AF2001-$AF2002</f>
        <v/>
      </c>
      <c r="BO2001" s="82">
        <f>$AG2001-$AG2002</f>
        <v/>
      </c>
      <c r="BP2001" s="82">
        <f>$AJ2001-$AJ2002</f>
        <v/>
      </c>
    </row>
    <row r="2002">
      <c r="AR2002" s="81">
        <f>($G2002+($H2002-$G2002)*0.5)+($P2002-($O2002+($Q2002-$O2002)*0.5))</f>
        <v/>
      </c>
      <c r="AS2002" s="81">
        <f>($J2002+($K2002-$J2002)*0.5)+($T2002-($S2002+($U2002-$S2002)*0.5))</f>
        <v/>
      </c>
      <c r="AT2002" s="82">
        <f>($J2002-$C2002)*100</f>
        <v/>
      </c>
      <c r="AU2002" s="82">
        <f>($H2002-$F2002)*100</f>
        <v/>
      </c>
      <c r="AV2002" s="82">
        <f>($J2002-$F2002)*100</f>
        <v/>
      </c>
      <c r="AW2002" s="82">
        <f>($L2002-$F2002)*100</f>
        <v/>
      </c>
      <c r="AX2002" s="82">
        <f>($J2002-$H2002)*100</f>
        <v/>
      </c>
      <c r="AY2002" s="82">
        <f>($L2002-$H2002)*100</f>
        <v/>
      </c>
      <c r="AZ2002" s="82">
        <f>($L2002-$J2002)*100</f>
        <v/>
      </c>
      <c r="BA2002" s="82">
        <f>(2*$H2002-$F2002-$J2002)*100</f>
        <v/>
      </c>
      <c r="BB2002" s="82">
        <f>(2*$J2002-$H2002-$L2002)*100</f>
        <v/>
      </c>
      <c r="BC2002" s="82">
        <f>($N2002-$F2002)*100</f>
        <v/>
      </c>
      <c r="BD2002" s="82">
        <f>($Q2002-$H2002)*100</f>
        <v/>
      </c>
      <c r="BE2002" s="82">
        <f>($S2002-$J2002)*100</f>
        <v/>
      </c>
      <c r="BF2002" s="82">
        <f>($V2002-$L2002)*100</f>
        <v/>
      </c>
      <c r="BG2002" s="82">
        <f>$AG2002-$AF2002</f>
        <v/>
      </c>
      <c r="BH2002" s="81">
        <f>IFERROR($AG2002/$AF2002,"")</f>
        <v/>
      </c>
      <c r="BI2002" s="82">
        <f>$AJ2002-$AF2002</f>
        <v/>
      </c>
      <c r="BJ2002" s="81">
        <f>IFERROR($AJ2002/$AG2002,"")</f>
        <v/>
      </c>
      <c r="BK2002" s="81">
        <f>$X2002</f>
        <v/>
      </c>
      <c r="BL2002" s="82">
        <f>($J2002-$J2003)*100</f>
        <v/>
      </c>
      <c r="BM2002" s="82">
        <f>($F2002-$F2003)*100</f>
        <v/>
      </c>
      <c r="BN2002" s="82">
        <f>$AF2002-$AF2003</f>
        <v/>
      </c>
      <c r="BO2002" s="82">
        <f>$AG2002-$AG2003</f>
        <v/>
      </c>
      <c r="BP2002" s="82">
        <f>$AJ2002-$AJ2003</f>
        <v/>
      </c>
    </row>
    <row r="2003">
      <c r="AR2003" s="81">
        <f>($G2003+($H2003-$G2003)*0.5)+($P2003-($O2003+($Q2003-$O2003)*0.5))</f>
        <v/>
      </c>
      <c r="AS2003" s="81">
        <f>($J2003+($K2003-$J2003)*0.5)+($T2003-($S2003+($U2003-$S2003)*0.5))</f>
        <v/>
      </c>
      <c r="AT2003" s="82">
        <f>($J2003-$C2003)*100</f>
        <v/>
      </c>
      <c r="AU2003" s="82">
        <f>($H2003-$F2003)*100</f>
        <v/>
      </c>
      <c r="AV2003" s="82">
        <f>($J2003-$F2003)*100</f>
        <v/>
      </c>
      <c r="AW2003" s="82">
        <f>($L2003-$F2003)*100</f>
        <v/>
      </c>
      <c r="AX2003" s="82">
        <f>($J2003-$H2003)*100</f>
        <v/>
      </c>
      <c r="AY2003" s="82">
        <f>($L2003-$H2003)*100</f>
        <v/>
      </c>
      <c r="AZ2003" s="82">
        <f>($L2003-$J2003)*100</f>
        <v/>
      </c>
      <c r="BA2003" s="82">
        <f>(2*$H2003-$F2003-$J2003)*100</f>
        <v/>
      </c>
      <c r="BB2003" s="82">
        <f>(2*$J2003-$H2003-$L2003)*100</f>
        <v/>
      </c>
      <c r="BC2003" s="82">
        <f>($N2003-$F2003)*100</f>
        <v/>
      </c>
      <c r="BD2003" s="82">
        <f>($Q2003-$H2003)*100</f>
        <v/>
      </c>
      <c r="BE2003" s="82">
        <f>($S2003-$J2003)*100</f>
        <v/>
      </c>
      <c r="BF2003" s="82">
        <f>($V2003-$L2003)*100</f>
        <v/>
      </c>
      <c r="BG2003" s="82">
        <f>$AG2003-$AF2003</f>
        <v/>
      </c>
      <c r="BH2003" s="81">
        <f>IFERROR($AG2003/$AF2003,"")</f>
        <v/>
      </c>
      <c r="BI2003" s="82">
        <f>$AJ2003-$AF2003</f>
        <v/>
      </c>
      <c r="BJ2003" s="81">
        <f>IFERROR($AJ2003/$AG2003,"")</f>
        <v/>
      </c>
      <c r="BK2003" s="81">
        <f>$X2003</f>
        <v/>
      </c>
      <c r="BL2003" s="82">
        <f>($J2003-$J2004)*100</f>
        <v/>
      </c>
      <c r="BM2003" s="82">
        <f>($F2003-$F2004)*100</f>
        <v/>
      </c>
      <c r="BN2003" s="82">
        <f>$AF2003-$AF2004</f>
        <v/>
      </c>
      <c r="BO2003" s="82">
        <f>$AG2003-$AG2004</f>
        <v/>
      </c>
      <c r="BP2003" s="82">
        <f>$AJ2003-$AJ2004</f>
        <v/>
      </c>
    </row>
    <row r="2004">
      <c r="AR2004" s="81">
        <f>($G2004+($H2004-$G2004)*0.5)+($P2004-($O2004+($Q2004-$O2004)*0.5))</f>
        <v/>
      </c>
      <c r="AS2004" s="81">
        <f>($J2004+($K2004-$J2004)*0.5)+($T2004-($S2004+($U2004-$S2004)*0.5))</f>
        <v/>
      </c>
      <c r="AT2004" s="82">
        <f>($J2004-$C2004)*100</f>
        <v/>
      </c>
      <c r="AU2004" s="82">
        <f>($H2004-$F2004)*100</f>
        <v/>
      </c>
      <c r="AV2004" s="82">
        <f>($J2004-$F2004)*100</f>
        <v/>
      </c>
      <c r="AW2004" s="82">
        <f>($L2004-$F2004)*100</f>
        <v/>
      </c>
      <c r="AX2004" s="82">
        <f>($J2004-$H2004)*100</f>
        <v/>
      </c>
      <c r="AY2004" s="82">
        <f>($L2004-$H2004)*100</f>
        <v/>
      </c>
      <c r="AZ2004" s="82">
        <f>($L2004-$J2004)*100</f>
        <v/>
      </c>
      <c r="BA2004" s="82">
        <f>(2*$H2004-$F2004-$J2004)*100</f>
        <v/>
      </c>
      <c r="BB2004" s="82">
        <f>(2*$J2004-$H2004-$L2004)*100</f>
        <v/>
      </c>
      <c r="BC2004" s="82">
        <f>($N2004-$F2004)*100</f>
        <v/>
      </c>
      <c r="BD2004" s="82">
        <f>($Q2004-$H2004)*100</f>
        <v/>
      </c>
      <c r="BE2004" s="82">
        <f>($S2004-$J2004)*100</f>
        <v/>
      </c>
      <c r="BF2004" s="82">
        <f>($V2004-$L2004)*100</f>
        <v/>
      </c>
      <c r="BG2004" s="82">
        <f>$AG2004-$AF2004</f>
        <v/>
      </c>
      <c r="BH2004" s="81">
        <f>IFERROR($AG2004/$AF2004,"")</f>
        <v/>
      </c>
      <c r="BI2004" s="82">
        <f>$AJ2004-$AF2004</f>
        <v/>
      </c>
      <c r="BJ2004" s="81">
        <f>IFERROR($AJ2004/$AG2004,"")</f>
        <v/>
      </c>
      <c r="BK2004" s="81">
        <f>$X2004</f>
        <v/>
      </c>
      <c r="BL2004" s="82">
        <f>($J2004-$J2005)*100</f>
        <v/>
      </c>
      <c r="BM2004" s="82">
        <f>($F2004-$F2005)*100</f>
        <v/>
      </c>
      <c r="BN2004" s="82">
        <f>$AF2004-$AF2005</f>
        <v/>
      </c>
      <c r="BO2004" s="82">
        <f>$AG2004-$AG2005</f>
        <v/>
      </c>
      <c r="BP2004" s="82">
        <f>$AJ2004-$AJ2005</f>
        <v/>
      </c>
    </row>
    <row r="2005">
      <c r="AR2005" s="81">
        <f>($G2005+($H2005-$G2005)*0.5)+($P2005-($O2005+($Q2005-$O2005)*0.5))</f>
        <v/>
      </c>
      <c r="AS2005" s="81">
        <f>($J2005+($K2005-$J2005)*0.5)+($T2005-($S2005+($U2005-$S2005)*0.5))</f>
        <v/>
      </c>
      <c r="AT2005" s="82">
        <f>($J2005-$C2005)*100</f>
        <v/>
      </c>
      <c r="AU2005" s="82">
        <f>($H2005-$F2005)*100</f>
        <v/>
      </c>
      <c r="AV2005" s="82">
        <f>($J2005-$F2005)*100</f>
        <v/>
      </c>
      <c r="AW2005" s="82">
        <f>($L2005-$F2005)*100</f>
        <v/>
      </c>
      <c r="AX2005" s="82">
        <f>($J2005-$H2005)*100</f>
        <v/>
      </c>
      <c r="AY2005" s="82">
        <f>($L2005-$H2005)*100</f>
        <v/>
      </c>
      <c r="AZ2005" s="82">
        <f>($L2005-$J2005)*100</f>
        <v/>
      </c>
      <c r="BA2005" s="82">
        <f>(2*$H2005-$F2005-$J2005)*100</f>
        <v/>
      </c>
      <c r="BB2005" s="82">
        <f>(2*$J2005-$H2005-$L2005)*100</f>
        <v/>
      </c>
      <c r="BC2005" s="82">
        <f>($N2005-$F2005)*100</f>
        <v/>
      </c>
      <c r="BD2005" s="82">
        <f>($Q2005-$H2005)*100</f>
        <v/>
      </c>
      <c r="BE2005" s="82">
        <f>($S2005-$J2005)*100</f>
        <v/>
      </c>
      <c r="BF2005" s="82">
        <f>($V2005-$L2005)*100</f>
        <v/>
      </c>
      <c r="BG2005" s="82">
        <f>$AG2005-$AF2005</f>
        <v/>
      </c>
      <c r="BH2005" s="81">
        <f>IFERROR($AG2005/$AF2005,"")</f>
        <v/>
      </c>
      <c r="BI2005" s="82">
        <f>$AJ2005-$AF2005</f>
        <v/>
      </c>
      <c r="BJ2005" s="81">
        <f>IFERROR($AJ2005/$AG2005,"")</f>
        <v/>
      </c>
      <c r="BK2005" s="81">
        <f>$X2005</f>
        <v/>
      </c>
      <c r="BL2005" s="82">
        <f>($J2005-$J2006)*100</f>
        <v/>
      </c>
      <c r="BM2005" s="82">
        <f>($F2005-$F2006)*100</f>
        <v/>
      </c>
      <c r="BN2005" s="82">
        <f>$AF2005-$AF2006</f>
        <v/>
      </c>
      <c r="BO2005" s="82">
        <f>$AG2005-$AG2006</f>
        <v/>
      </c>
      <c r="BP2005" s="82">
        <f>$AJ2005-$AJ2006</f>
        <v/>
      </c>
    </row>
    <row r="2006">
      <c r="AR2006" s="81">
        <f>($G2006+($H2006-$G2006)*0.5)+($P2006-($O2006+($Q2006-$O2006)*0.5))</f>
        <v/>
      </c>
      <c r="AS2006" s="81">
        <f>($J2006+($K2006-$J2006)*0.5)+($T2006-($S2006+($U2006-$S2006)*0.5))</f>
        <v/>
      </c>
      <c r="AT2006" s="82">
        <f>($J2006-$C2006)*100</f>
        <v/>
      </c>
      <c r="AU2006" s="82">
        <f>($H2006-$F2006)*100</f>
        <v/>
      </c>
      <c r="AV2006" s="82">
        <f>($J2006-$F2006)*100</f>
        <v/>
      </c>
      <c r="AW2006" s="82">
        <f>($L2006-$F2006)*100</f>
        <v/>
      </c>
      <c r="AX2006" s="82">
        <f>($J2006-$H2006)*100</f>
        <v/>
      </c>
      <c r="AY2006" s="82">
        <f>($L2006-$H2006)*100</f>
        <v/>
      </c>
      <c r="AZ2006" s="82">
        <f>($L2006-$J2006)*100</f>
        <v/>
      </c>
      <c r="BA2006" s="82">
        <f>(2*$H2006-$F2006-$J2006)*100</f>
        <v/>
      </c>
      <c r="BB2006" s="82">
        <f>(2*$J2006-$H2006-$L2006)*100</f>
        <v/>
      </c>
      <c r="BC2006" s="82">
        <f>($N2006-$F2006)*100</f>
        <v/>
      </c>
      <c r="BD2006" s="82">
        <f>($Q2006-$H2006)*100</f>
        <v/>
      </c>
      <c r="BE2006" s="82">
        <f>($S2006-$J2006)*100</f>
        <v/>
      </c>
      <c r="BF2006" s="82">
        <f>($V2006-$L2006)*100</f>
        <v/>
      </c>
      <c r="BG2006" s="82">
        <f>$AG2006-$AF2006</f>
        <v/>
      </c>
      <c r="BH2006" s="81">
        <f>IFERROR($AG2006/$AF2006,"")</f>
        <v/>
      </c>
      <c r="BI2006" s="82">
        <f>$AJ2006-$AF2006</f>
        <v/>
      </c>
      <c r="BJ2006" s="81">
        <f>IFERROR($AJ2006/$AG2006,"")</f>
        <v/>
      </c>
      <c r="BK2006" s="81">
        <f>$X2006</f>
        <v/>
      </c>
      <c r="BL2006" s="82">
        <f>($J2006-$J2007)*100</f>
        <v/>
      </c>
      <c r="BM2006" s="82">
        <f>($F2006-$F2007)*100</f>
        <v/>
      </c>
      <c r="BN2006" s="82">
        <f>$AF2006-$AF2007</f>
        <v/>
      </c>
      <c r="BO2006" s="82">
        <f>$AG2006-$AG2007</f>
        <v/>
      </c>
      <c r="BP2006" s="82">
        <f>$AJ2006-$AJ2007</f>
        <v/>
      </c>
    </row>
    <row r="2007">
      <c r="AR2007" s="81">
        <f>($G2007+($H2007-$G2007)*0.5)+($P2007-($O2007+($Q2007-$O2007)*0.5))</f>
        <v/>
      </c>
      <c r="AS2007" s="81">
        <f>($J2007+($K2007-$J2007)*0.5)+($T2007-($S2007+($U2007-$S2007)*0.5))</f>
        <v/>
      </c>
      <c r="AT2007" s="82">
        <f>($J2007-$C2007)*100</f>
        <v/>
      </c>
      <c r="AU2007" s="82">
        <f>($H2007-$F2007)*100</f>
        <v/>
      </c>
      <c r="AV2007" s="82">
        <f>($J2007-$F2007)*100</f>
        <v/>
      </c>
      <c r="AW2007" s="82">
        <f>($L2007-$F2007)*100</f>
        <v/>
      </c>
      <c r="AX2007" s="82">
        <f>($J2007-$H2007)*100</f>
        <v/>
      </c>
      <c r="AY2007" s="82">
        <f>($L2007-$H2007)*100</f>
        <v/>
      </c>
      <c r="AZ2007" s="82">
        <f>($L2007-$J2007)*100</f>
        <v/>
      </c>
      <c r="BA2007" s="82">
        <f>(2*$H2007-$F2007-$J2007)*100</f>
        <v/>
      </c>
      <c r="BB2007" s="82">
        <f>(2*$J2007-$H2007-$L2007)*100</f>
        <v/>
      </c>
      <c r="BC2007" s="82">
        <f>($N2007-$F2007)*100</f>
        <v/>
      </c>
      <c r="BD2007" s="82">
        <f>($Q2007-$H2007)*100</f>
        <v/>
      </c>
      <c r="BE2007" s="82">
        <f>($S2007-$J2007)*100</f>
        <v/>
      </c>
      <c r="BF2007" s="82">
        <f>($V2007-$L2007)*100</f>
        <v/>
      </c>
      <c r="BG2007" s="82">
        <f>$AG2007-$AF2007</f>
        <v/>
      </c>
      <c r="BH2007" s="81">
        <f>IFERROR($AG2007/$AF2007,"")</f>
        <v/>
      </c>
      <c r="BI2007" s="82">
        <f>$AJ2007-$AF2007</f>
        <v/>
      </c>
      <c r="BJ2007" s="81">
        <f>IFERROR($AJ2007/$AG2007,"")</f>
        <v/>
      </c>
      <c r="BK2007" s="81">
        <f>$X2007</f>
        <v/>
      </c>
      <c r="BL2007" s="82">
        <f>($J2007-$J2008)*100</f>
        <v/>
      </c>
      <c r="BM2007" s="82">
        <f>($F2007-$F2008)*100</f>
        <v/>
      </c>
      <c r="BN2007" s="82">
        <f>$AF2007-$AF2008</f>
        <v/>
      </c>
      <c r="BO2007" s="82">
        <f>$AG2007-$AG2008</f>
        <v/>
      </c>
      <c r="BP2007" s="82">
        <f>$AJ2007-$AJ2008</f>
        <v/>
      </c>
    </row>
    <row r="2008">
      <c r="AR2008" s="81">
        <f>($G2008+($H2008-$G2008)*0.5)+($P2008-($O2008+($Q2008-$O2008)*0.5))</f>
        <v/>
      </c>
      <c r="AS2008" s="81">
        <f>($J2008+($K2008-$J2008)*0.5)+($T2008-($S2008+($U2008-$S2008)*0.5))</f>
        <v/>
      </c>
      <c r="AT2008" s="82">
        <f>($J2008-$C2008)*100</f>
        <v/>
      </c>
      <c r="AU2008" s="82">
        <f>($H2008-$F2008)*100</f>
        <v/>
      </c>
      <c r="AV2008" s="82">
        <f>($J2008-$F2008)*100</f>
        <v/>
      </c>
      <c r="AW2008" s="82">
        <f>($L2008-$F2008)*100</f>
        <v/>
      </c>
      <c r="AX2008" s="82">
        <f>($J2008-$H2008)*100</f>
        <v/>
      </c>
      <c r="AY2008" s="82">
        <f>($L2008-$H2008)*100</f>
        <v/>
      </c>
      <c r="AZ2008" s="82">
        <f>($L2008-$J2008)*100</f>
        <v/>
      </c>
      <c r="BA2008" s="82">
        <f>(2*$H2008-$F2008-$J2008)*100</f>
        <v/>
      </c>
      <c r="BB2008" s="82">
        <f>(2*$J2008-$H2008-$L2008)*100</f>
        <v/>
      </c>
      <c r="BC2008" s="82">
        <f>($N2008-$F2008)*100</f>
        <v/>
      </c>
      <c r="BD2008" s="82">
        <f>($Q2008-$H2008)*100</f>
        <v/>
      </c>
      <c r="BE2008" s="82">
        <f>($S2008-$J2008)*100</f>
        <v/>
      </c>
      <c r="BF2008" s="82">
        <f>($V2008-$L2008)*100</f>
        <v/>
      </c>
      <c r="BG2008" s="82">
        <f>$AG2008-$AF2008</f>
        <v/>
      </c>
      <c r="BH2008" s="81">
        <f>IFERROR($AG2008/$AF2008,"")</f>
        <v/>
      </c>
      <c r="BI2008" s="82">
        <f>$AJ2008-$AF2008</f>
        <v/>
      </c>
      <c r="BJ2008" s="81">
        <f>IFERROR($AJ2008/$AG2008,"")</f>
        <v/>
      </c>
      <c r="BK2008" s="81">
        <f>$X2008</f>
        <v/>
      </c>
      <c r="BL2008" s="82">
        <f>($J2008-$J2009)*100</f>
        <v/>
      </c>
      <c r="BM2008" s="82">
        <f>($F2008-$F2009)*100</f>
        <v/>
      </c>
      <c r="BN2008" s="82">
        <f>$AF2008-$AF2009</f>
        <v/>
      </c>
      <c r="BO2008" s="82">
        <f>$AG2008-$AG2009</f>
        <v/>
      </c>
      <c r="BP2008" s="82">
        <f>$AJ2008-$AJ2009</f>
        <v/>
      </c>
    </row>
    <row r="2009">
      <c r="AR2009" s="81">
        <f>($G2009+($H2009-$G2009)*0.5)+($P2009-($O2009+($Q2009-$O2009)*0.5))</f>
        <v/>
      </c>
      <c r="AS2009" s="81">
        <f>($J2009+($K2009-$J2009)*0.5)+($T2009-($S2009+($U2009-$S2009)*0.5))</f>
        <v/>
      </c>
      <c r="AT2009" s="82">
        <f>($J2009-$C2009)*100</f>
        <v/>
      </c>
      <c r="AU2009" s="82">
        <f>($H2009-$F2009)*100</f>
        <v/>
      </c>
      <c r="AV2009" s="82">
        <f>($J2009-$F2009)*100</f>
        <v/>
      </c>
      <c r="AW2009" s="82">
        <f>($L2009-$F2009)*100</f>
        <v/>
      </c>
      <c r="AX2009" s="82">
        <f>($J2009-$H2009)*100</f>
        <v/>
      </c>
      <c r="AY2009" s="82">
        <f>($L2009-$H2009)*100</f>
        <v/>
      </c>
      <c r="AZ2009" s="82">
        <f>($L2009-$J2009)*100</f>
        <v/>
      </c>
      <c r="BA2009" s="82">
        <f>(2*$H2009-$F2009-$J2009)*100</f>
        <v/>
      </c>
      <c r="BB2009" s="82">
        <f>(2*$J2009-$H2009-$L2009)*100</f>
        <v/>
      </c>
      <c r="BC2009" s="82">
        <f>($N2009-$F2009)*100</f>
        <v/>
      </c>
      <c r="BD2009" s="82">
        <f>($Q2009-$H2009)*100</f>
        <v/>
      </c>
      <c r="BE2009" s="82">
        <f>($S2009-$J2009)*100</f>
        <v/>
      </c>
      <c r="BF2009" s="82">
        <f>($V2009-$L2009)*100</f>
        <v/>
      </c>
      <c r="BG2009" s="82">
        <f>$AG2009-$AF2009</f>
        <v/>
      </c>
      <c r="BH2009" s="81">
        <f>IFERROR($AG2009/$AF2009,"")</f>
        <v/>
      </c>
      <c r="BI2009" s="82">
        <f>$AJ2009-$AF2009</f>
        <v/>
      </c>
      <c r="BJ2009" s="81">
        <f>IFERROR($AJ2009/$AG2009,"")</f>
        <v/>
      </c>
      <c r="BK2009" s="81">
        <f>$X2009</f>
        <v/>
      </c>
      <c r="BL2009" s="82">
        <f>($J2009-$J2010)*100</f>
        <v/>
      </c>
      <c r="BM2009" s="82">
        <f>($F2009-$F2010)*100</f>
        <v/>
      </c>
      <c r="BN2009" s="82">
        <f>$AF2009-$AF2010</f>
        <v/>
      </c>
      <c r="BO2009" s="82">
        <f>$AG2009-$AG2010</f>
        <v/>
      </c>
      <c r="BP2009" s="82">
        <f>$AJ2009-$AJ2010</f>
        <v/>
      </c>
    </row>
    <row r="2010">
      <c r="AR2010" s="81">
        <f>($G2010+($H2010-$G2010)*0.5)+($P2010-($O2010+($Q2010-$O2010)*0.5))</f>
        <v/>
      </c>
      <c r="AS2010" s="81">
        <f>($J2010+($K2010-$J2010)*0.5)+($T2010-($S2010+($U2010-$S2010)*0.5))</f>
        <v/>
      </c>
      <c r="AT2010" s="82">
        <f>($J2010-$C2010)*100</f>
        <v/>
      </c>
      <c r="AU2010" s="82">
        <f>($H2010-$F2010)*100</f>
        <v/>
      </c>
      <c r="AV2010" s="82">
        <f>($J2010-$F2010)*100</f>
        <v/>
      </c>
      <c r="AW2010" s="82">
        <f>($L2010-$F2010)*100</f>
        <v/>
      </c>
      <c r="AX2010" s="82">
        <f>($J2010-$H2010)*100</f>
        <v/>
      </c>
      <c r="AY2010" s="82">
        <f>($L2010-$H2010)*100</f>
        <v/>
      </c>
      <c r="AZ2010" s="82">
        <f>($L2010-$J2010)*100</f>
        <v/>
      </c>
      <c r="BA2010" s="82">
        <f>(2*$H2010-$F2010-$J2010)*100</f>
        <v/>
      </c>
      <c r="BB2010" s="82">
        <f>(2*$J2010-$H2010-$L2010)*100</f>
        <v/>
      </c>
      <c r="BC2010" s="82">
        <f>($N2010-$F2010)*100</f>
        <v/>
      </c>
      <c r="BD2010" s="82">
        <f>($Q2010-$H2010)*100</f>
        <v/>
      </c>
      <c r="BE2010" s="82">
        <f>($S2010-$J2010)*100</f>
        <v/>
      </c>
      <c r="BF2010" s="82">
        <f>($V2010-$L2010)*100</f>
        <v/>
      </c>
      <c r="BG2010" s="82">
        <f>$AG2010-$AF2010</f>
        <v/>
      </c>
      <c r="BH2010" s="81">
        <f>IFERROR($AG2010/$AF2010,"")</f>
        <v/>
      </c>
      <c r="BI2010" s="82">
        <f>$AJ2010-$AF2010</f>
        <v/>
      </c>
      <c r="BJ2010" s="81">
        <f>IFERROR($AJ2010/$AG2010,"")</f>
        <v/>
      </c>
      <c r="BK2010" s="81">
        <f>$X2010</f>
        <v/>
      </c>
      <c r="BL2010" s="82">
        <f>($J2010-$J2011)*100</f>
        <v/>
      </c>
      <c r="BM2010" s="82">
        <f>($F2010-$F2011)*100</f>
        <v/>
      </c>
      <c r="BN2010" s="82">
        <f>$AF2010-$AF2011</f>
        <v/>
      </c>
      <c r="BO2010" s="82">
        <f>$AG2010-$AG2011</f>
        <v/>
      </c>
      <c r="BP2010" s="82">
        <f>$AJ2010-$AJ2011</f>
        <v/>
      </c>
    </row>
    <row r="2011">
      <c r="AR2011" s="81">
        <f>($G2011+($H2011-$G2011)*0.5)+($P2011-($O2011+($Q2011-$O2011)*0.5))</f>
        <v/>
      </c>
      <c r="AS2011" s="81">
        <f>($J2011+($K2011-$J2011)*0.5)+($T2011-($S2011+($U2011-$S2011)*0.5))</f>
        <v/>
      </c>
      <c r="AT2011" s="82">
        <f>($J2011-$C2011)*100</f>
        <v/>
      </c>
      <c r="AU2011" s="82">
        <f>($H2011-$F2011)*100</f>
        <v/>
      </c>
      <c r="AV2011" s="82">
        <f>($J2011-$F2011)*100</f>
        <v/>
      </c>
      <c r="AW2011" s="82">
        <f>($L2011-$F2011)*100</f>
        <v/>
      </c>
      <c r="AX2011" s="82">
        <f>($J2011-$H2011)*100</f>
        <v/>
      </c>
      <c r="AY2011" s="82">
        <f>($L2011-$H2011)*100</f>
        <v/>
      </c>
      <c r="AZ2011" s="82">
        <f>($L2011-$J2011)*100</f>
        <v/>
      </c>
      <c r="BA2011" s="82">
        <f>(2*$H2011-$F2011-$J2011)*100</f>
        <v/>
      </c>
      <c r="BB2011" s="82">
        <f>(2*$J2011-$H2011-$L2011)*100</f>
        <v/>
      </c>
      <c r="BC2011" s="82">
        <f>($N2011-$F2011)*100</f>
        <v/>
      </c>
      <c r="BD2011" s="82">
        <f>($Q2011-$H2011)*100</f>
        <v/>
      </c>
      <c r="BE2011" s="82">
        <f>($S2011-$J2011)*100</f>
        <v/>
      </c>
      <c r="BF2011" s="82">
        <f>($V2011-$L2011)*100</f>
        <v/>
      </c>
      <c r="BG2011" s="82">
        <f>$AG2011-$AF2011</f>
        <v/>
      </c>
      <c r="BH2011" s="81">
        <f>IFERROR($AG2011/$AF2011,"")</f>
        <v/>
      </c>
      <c r="BI2011" s="82">
        <f>$AJ2011-$AF2011</f>
        <v/>
      </c>
      <c r="BJ2011" s="81">
        <f>IFERROR($AJ2011/$AG2011,"")</f>
        <v/>
      </c>
      <c r="BK2011" s="81">
        <f>$X2011</f>
        <v/>
      </c>
      <c r="BL2011" s="82">
        <f>($J2011-$J2012)*100</f>
        <v/>
      </c>
      <c r="BM2011" s="82">
        <f>($F2011-$F2012)*100</f>
        <v/>
      </c>
      <c r="BN2011" s="82">
        <f>$AF2011-$AF2012</f>
        <v/>
      </c>
      <c r="BO2011" s="82">
        <f>$AG2011-$AG2012</f>
        <v/>
      </c>
      <c r="BP2011" s="82">
        <f>$AJ2011-$AJ2012</f>
        <v/>
      </c>
    </row>
    <row r="2012">
      <c r="AR2012" s="81">
        <f>($G2012+($H2012-$G2012)*0.5)+($P2012-($O2012+($Q2012-$O2012)*0.5))</f>
        <v/>
      </c>
      <c r="AS2012" s="81">
        <f>($J2012+($K2012-$J2012)*0.5)+($T2012-($S2012+($U2012-$S2012)*0.5))</f>
        <v/>
      </c>
      <c r="AT2012" s="82">
        <f>($J2012-$C2012)*100</f>
        <v/>
      </c>
      <c r="AU2012" s="82">
        <f>($H2012-$F2012)*100</f>
        <v/>
      </c>
      <c r="AV2012" s="82">
        <f>($J2012-$F2012)*100</f>
        <v/>
      </c>
      <c r="AW2012" s="82">
        <f>($L2012-$F2012)*100</f>
        <v/>
      </c>
      <c r="AX2012" s="82">
        <f>($J2012-$H2012)*100</f>
        <v/>
      </c>
      <c r="AY2012" s="82">
        <f>($L2012-$H2012)*100</f>
        <v/>
      </c>
      <c r="AZ2012" s="82">
        <f>($L2012-$J2012)*100</f>
        <v/>
      </c>
      <c r="BA2012" s="82">
        <f>(2*$H2012-$F2012-$J2012)*100</f>
        <v/>
      </c>
      <c r="BB2012" s="82">
        <f>(2*$J2012-$H2012-$L2012)*100</f>
        <v/>
      </c>
      <c r="BC2012" s="82">
        <f>($N2012-$F2012)*100</f>
        <v/>
      </c>
      <c r="BD2012" s="82">
        <f>($Q2012-$H2012)*100</f>
        <v/>
      </c>
      <c r="BE2012" s="82">
        <f>($S2012-$J2012)*100</f>
        <v/>
      </c>
      <c r="BF2012" s="82">
        <f>($V2012-$L2012)*100</f>
        <v/>
      </c>
      <c r="BG2012" s="82">
        <f>$AG2012-$AF2012</f>
        <v/>
      </c>
      <c r="BH2012" s="81">
        <f>IFERROR($AG2012/$AF2012,"")</f>
        <v/>
      </c>
      <c r="BI2012" s="82">
        <f>$AJ2012-$AF2012</f>
        <v/>
      </c>
      <c r="BJ2012" s="81">
        <f>IFERROR($AJ2012/$AG2012,"")</f>
        <v/>
      </c>
      <c r="BK2012" s="81">
        <f>$X2012</f>
        <v/>
      </c>
      <c r="BL2012" s="82">
        <f>($J2012-$J2013)*100</f>
        <v/>
      </c>
      <c r="BM2012" s="82">
        <f>($F2012-$F2013)*100</f>
        <v/>
      </c>
      <c r="BN2012" s="82">
        <f>$AF2012-$AF2013</f>
        <v/>
      </c>
      <c r="BO2012" s="82">
        <f>$AG2012-$AG2013</f>
        <v/>
      </c>
      <c r="BP2012" s="82">
        <f>$AJ2012-$AJ2013</f>
        <v/>
      </c>
    </row>
    <row r="2013">
      <c r="AR2013" s="81">
        <f>($G2013+($H2013-$G2013)*0.5)+($P2013-($O2013+($Q2013-$O2013)*0.5))</f>
        <v/>
      </c>
      <c r="AS2013" s="81">
        <f>($J2013+($K2013-$J2013)*0.5)+($T2013-($S2013+($U2013-$S2013)*0.5))</f>
        <v/>
      </c>
      <c r="AT2013" s="82">
        <f>($J2013-$C2013)*100</f>
        <v/>
      </c>
      <c r="AU2013" s="82">
        <f>($H2013-$F2013)*100</f>
        <v/>
      </c>
      <c r="AV2013" s="82">
        <f>($J2013-$F2013)*100</f>
        <v/>
      </c>
      <c r="AW2013" s="82">
        <f>($L2013-$F2013)*100</f>
        <v/>
      </c>
      <c r="AX2013" s="82">
        <f>($J2013-$H2013)*100</f>
        <v/>
      </c>
      <c r="AY2013" s="82">
        <f>($L2013-$H2013)*100</f>
        <v/>
      </c>
      <c r="AZ2013" s="82">
        <f>($L2013-$J2013)*100</f>
        <v/>
      </c>
      <c r="BA2013" s="82">
        <f>(2*$H2013-$F2013-$J2013)*100</f>
        <v/>
      </c>
      <c r="BB2013" s="82">
        <f>(2*$J2013-$H2013-$L2013)*100</f>
        <v/>
      </c>
      <c r="BC2013" s="82">
        <f>($N2013-$F2013)*100</f>
        <v/>
      </c>
      <c r="BD2013" s="82">
        <f>($Q2013-$H2013)*100</f>
        <v/>
      </c>
      <c r="BE2013" s="82">
        <f>($S2013-$J2013)*100</f>
        <v/>
      </c>
      <c r="BF2013" s="82">
        <f>($V2013-$L2013)*100</f>
        <v/>
      </c>
      <c r="BG2013" s="82">
        <f>$AG2013-$AF2013</f>
        <v/>
      </c>
      <c r="BH2013" s="81">
        <f>IFERROR($AG2013/$AF2013,"")</f>
        <v/>
      </c>
      <c r="BI2013" s="82">
        <f>$AJ2013-$AF2013</f>
        <v/>
      </c>
      <c r="BJ2013" s="81">
        <f>IFERROR($AJ2013/$AG2013,"")</f>
        <v/>
      </c>
      <c r="BK2013" s="81">
        <f>$X2013</f>
        <v/>
      </c>
      <c r="BL2013" s="82">
        <f>($J2013-$J2014)*100</f>
        <v/>
      </c>
      <c r="BM2013" s="82">
        <f>($F2013-$F2014)*100</f>
        <v/>
      </c>
      <c r="BN2013" s="82">
        <f>$AF2013-$AF2014</f>
        <v/>
      </c>
      <c r="BO2013" s="82">
        <f>$AG2013-$AG2014</f>
        <v/>
      </c>
      <c r="BP2013" s="82">
        <f>$AJ2013-$AJ2014</f>
        <v/>
      </c>
    </row>
    <row r="2014">
      <c r="AR2014" s="81">
        <f>($G2014+($H2014-$G2014)*0.5)+($P2014-($O2014+($Q2014-$O2014)*0.5))</f>
        <v/>
      </c>
      <c r="AS2014" s="81">
        <f>($J2014+($K2014-$J2014)*0.5)+($T2014-($S2014+($U2014-$S2014)*0.5))</f>
        <v/>
      </c>
      <c r="AT2014" s="82">
        <f>($J2014-$C2014)*100</f>
        <v/>
      </c>
      <c r="AU2014" s="82">
        <f>($H2014-$F2014)*100</f>
        <v/>
      </c>
      <c r="AV2014" s="82">
        <f>($J2014-$F2014)*100</f>
        <v/>
      </c>
      <c r="AW2014" s="82">
        <f>($L2014-$F2014)*100</f>
        <v/>
      </c>
      <c r="AX2014" s="82">
        <f>($J2014-$H2014)*100</f>
        <v/>
      </c>
      <c r="AY2014" s="82">
        <f>($L2014-$H2014)*100</f>
        <v/>
      </c>
      <c r="AZ2014" s="82">
        <f>($L2014-$J2014)*100</f>
        <v/>
      </c>
      <c r="BA2014" s="82">
        <f>(2*$H2014-$F2014-$J2014)*100</f>
        <v/>
      </c>
      <c r="BB2014" s="82">
        <f>(2*$J2014-$H2014-$L2014)*100</f>
        <v/>
      </c>
      <c r="BC2014" s="82">
        <f>($N2014-$F2014)*100</f>
        <v/>
      </c>
      <c r="BD2014" s="82">
        <f>($Q2014-$H2014)*100</f>
        <v/>
      </c>
      <c r="BE2014" s="82">
        <f>($S2014-$J2014)*100</f>
        <v/>
      </c>
      <c r="BF2014" s="82">
        <f>($V2014-$L2014)*100</f>
        <v/>
      </c>
      <c r="BG2014" s="82">
        <f>$AG2014-$AF2014</f>
        <v/>
      </c>
      <c r="BH2014" s="81">
        <f>IFERROR($AG2014/$AF2014,"")</f>
        <v/>
      </c>
      <c r="BI2014" s="82">
        <f>$AJ2014-$AF2014</f>
        <v/>
      </c>
      <c r="BJ2014" s="81">
        <f>IFERROR($AJ2014/$AG2014,"")</f>
        <v/>
      </c>
      <c r="BK2014" s="81">
        <f>$X2014</f>
        <v/>
      </c>
      <c r="BL2014" s="82">
        <f>($J2014-$J2015)*100</f>
        <v/>
      </c>
      <c r="BM2014" s="82">
        <f>($F2014-$F2015)*100</f>
        <v/>
      </c>
      <c r="BN2014" s="82">
        <f>$AF2014-$AF2015</f>
        <v/>
      </c>
      <c r="BO2014" s="82">
        <f>$AG2014-$AG2015</f>
        <v/>
      </c>
      <c r="BP2014" s="82">
        <f>$AJ2014-$AJ2015</f>
        <v/>
      </c>
    </row>
    <row r="2015">
      <c r="AR2015" s="81">
        <f>($G2015+($H2015-$G2015)*0.5)+($P2015-($O2015+($Q2015-$O2015)*0.5))</f>
        <v/>
      </c>
      <c r="AS2015" s="81">
        <f>($J2015+($K2015-$J2015)*0.5)+($T2015-($S2015+($U2015-$S2015)*0.5))</f>
        <v/>
      </c>
      <c r="AT2015" s="82">
        <f>($J2015-$C2015)*100</f>
        <v/>
      </c>
      <c r="AU2015" s="82">
        <f>($H2015-$F2015)*100</f>
        <v/>
      </c>
      <c r="AV2015" s="82">
        <f>($J2015-$F2015)*100</f>
        <v/>
      </c>
      <c r="AW2015" s="82">
        <f>($L2015-$F2015)*100</f>
        <v/>
      </c>
      <c r="AX2015" s="82">
        <f>($J2015-$H2015)*100</f>
        <v/>
      </c>
      <c r="AY2015" s="82">
        <f>($L2015-$H2015)*100</f>
        <v/>
      </c>
      <c r="AZ2015" s="82">
        <f>($L2015-$J2015)*100</f>
        <v/>
      </c>
      <c r="BA2015" s="82">
        <f>(2*$H2015-$F2015-$J2015)*100</f>
        <v/>
      </c>
      <c r="BB2015" s="82">
        <f>(2*$J2015-$H2015-$L2015)*100</f>
        <v/>
      </c>
      <c r="BC2015" s="82">
        <f>($N2015-$F2015)*100</f>
        <v/>
      </c>
      <c r="BD2015" s="82">
        <f>($Q2015-$H2015)*100</f>
        <v/>
      </c>
      <c r="BE2015" s="82">
        <f>($S2015-$J2015)*100</f>
        <v/>
      </c>
      <c r="BF2015" s="82">
        <f>($V2015-$L2015)*100</f>
        <v/>
      </c>
      <c r="BG2015" s="82">
        <f>$AG2015-$AF2015</f>
        <v/>
      </c>
      <c r="BH2015" s="81">
        <f>IFERROR($AG2015/$AF2015,"")</f>
        <v/>
      </c>
      <c r="BI2015" s="82">
        <f>$AJ2015-$AF2015</f>
        <v/>
      </c>
      <c r="BJ2015" s="81">
        <f>IFERROR($AJ2015/$AG2015,"")</f>
        <v/>
      </c>
      <c r="BK2015" s="81">
        <f>$X2015</f>
        <v/>
      </c>
      <c r="BL2015" s="82">
        <f>($J2015-$J2016)*100</f>
        <v/>
      </c>
      <c r="BM2015" s="82">
        <f>($F2015-$F2016)*100</f>
        <v/>
      </c>
      <c r="BN2015" s="82">
        <f>$AF2015-$AF2016</f>
        <v/>
      </c>
      <c r="BO2015" s="82">
        <f>$AG2015-$AG2016</f>
        <v/>
      </c>
      <c r="BP2015" s="82">
        <f>$AJ2015-$AJ2016</f>
        <v/>
      </c>
    </row>
    <row r="2016">
      <c r="AR2016" s="81">
        <f>($G2016+($H2016-$G2016)*0.5)+($P2016-($O2016+($Q2016-$O2016)*0.5))</f>
        <v/>
      </c>
      <c r="AS2016" s="81">
        <f>($J2016+($K2016-$J2016)*0.5)+($T2016-($S2016+($U2016-$S2016)*0.5))</f>
        <v/>
      </c>
      <c r="AT2016" s="82">
        <f>($J2016-$C2016)*100</f>
        <v/>
      </c>
      <c r="AU2016" s="82">
        <f>($H2016-$F2016)*100</f>
        <v/>
      </c>
      <c r="AV2016" s="82">
        <f>($J2016-$F2016)*100</f>
        <v/>
      </c>
      <c r="AW2016" s="82">
        <f>($L2016-$F2016)*100</f>
        <v/>
      </c>
      <c r="AX2016" s="82">
        <f>($J2016-$H2016)*100</f>
        <v/>
      </c>
      <c r="AY2016" s="82">
        <f>($L2016-$H2016)*100</f>
        <v/>
      </c>
      <c r="AZ2016" s="82">
        <f>($L2016-$J2016)*100</f>
        <v/>
      </c>
      <c r="BA2016" s="82">
        <f>(2*$H2016-$F2016-$J2016)*100</f>
        <v/>
      </c>
      <c r="BB2016" s="82">
        <f>(2*$J2016-$H2016-$L2016)*100</f>
        <v/>
      </c>
      <c r="BC2016" s="82">
        <f>($N2016-$F2016)*100</f>
        <v/>
      </c>
      <c r="BD2016" s="82">
        <f>($Q2016-$H2016)*100</f>
        <v/>
      </c>
      <c r="BE2016" s="82">
        <f>($S2016-$J2016)*100</f>
        <v/>
      </c>
      <c r="BF2016" s="82">
        <f>($V2016-$L2016)*100</f>
        <v/>
      </c>
      <c r="BG2016" s="82">
        <f>$AG2016-$AF2016</f>
        <v/>
      </c>
      <c r="BH2016" s="81">
        <f>IFERROR($AG2016/$AF2016,"")</f>
        <v/>
      </c>
      <c r="BI2016" s="82">
        <f>$AJ2016-$AF2016</f>
        <v/>
      </c>
      <c r="BJ2016" s="81">
        <f>IFERROR($AJ2016/$AG2016,"")</f>
        <v/>
      </c>
      <c r="BK2016" s="81">
        <f>$X2016</f>
        <v/>
      </c>
      <c r="BL2016" s="82">
        <f>($J2016-$J2017)*100</f>
        <v/>
      </c>
      <c r="BM2016" s="82">
        <f>($F2016-$F2017)*100</f>
        <v/>
      </c>
      <c r="BN2016" s="82">
        <f>$AF2016-$AF2017</f>
        <v/>
      </c>
      <c r="BO2016" s="82">
        <f>$AG2016-$AG2017</f>
        <v/>
      </c>
      <c r="BP2016" s="82">
        <f>$AJ2016-$AJ2017</f>
        <v/>
      </c>
    </row>
    <row r="2017">
      <c r="AR2017" s="81">
        <f>($G2017+($H2017-$G2017)*0.5)+($P2017-($O2017+($Q2017-$O2017)*0.5))</f>
        <v/>
      </c>
      <c r="AS2017" s="81">
        <f>($J2017+($K2017-$J2017)*0.5)+($T2017-($S2017+($U2017-$S2017)*0.5))</f>
        <v/>
      </c>
      <c r="AT2017" s="82">
        <f>($J2017-$C2017)*100</f>
        <v/>
      </c>
      <c r="AU2017" s="82">
        <f>($H2017-$F2017)*100</f>
        <v/>
      </c>
      <c r="AV2017" s="82">
        <f>($J2017-$F2017)*100</f>
        <v/>
      </c>
      <c r="AW2017" s="82">
        <f>($L2017-$F2017)*100</f>
        <v/>
      </c>
      <c r="AX2017" s="82">
        <f>($J2017-$H2017)*100</f>
        <v/>
      </c>
      <c r="AY2017" s="82">
        <f>($L2017-$H2017)*100</f>
        <v/>
      </c>
      <c r="AZ2017" s="82">
        <f>($L2017-$J2017)*100</f>
        <v/>
      </c>
      <c r="BA2017" s="82">
        <f>(2*$H2017-$F2017-$J2017)*100</f>
        <v/>
      </c>
      <c r="BB2017" s="82">
        <f>(2*$J2017-$H2017-$L2017)*100</f>
        <v/>
      </c>
      <c r="BC2017" s="82">
        <f>($N2017-$F2017)*100</f>
        <v/>
      </c>
      <c r="BD2017" s="82">
        <f>($Q2017-$H2017)*100</f>
        <v/>
      </c>
      <c r="BE2017" s="82">
        <f>($S2017-$J2017)*100</f>
        <v/>
      </c>
      <c r="BF2017" s="82">
        <f>($V2017-$L2017)*100</f>
        <v/>
      </c>
      <c r="BG2017" s="82">
        <f>$AG2017-$AF2017</f>
        <v/>
      </c>
      <c r="BH2017" s="81">
        <f>IFERROR($AG2017/$AF2017,"")</f>
        <v/>
      </c>
      <c r="BI2017" s="82">
        <f>$AJ2017-$AF2017</f>
        <v/>
      </c>
      <c r="BJ2017" s="81">
        <f>IFERROR($AJ2017/$AG2017,"")</f>
        <v/>
      </c>
      <c r="BK2017" s="81">
        <f>$X2017</f>
        <v/>
      </c>
      <c r="BL2017" s="82">
        <f>($J2017-$J2018)*100</f>
        <v/>
      </c>
      <c r="BM2017" s="82">
        <f>($F2017-$F2018)*100</f>
        <v/>
      </c>
      <c r="BN2017" s="82">
        <f>$AF2017-$AF2018</f>
        <v/>
      </c>
      <c r="BO2017" s="82">
        <f>$AG2017-$AG2018</f>
        <v/>
      </c>
      <c r="BP2017" s="82">
        <f>$AJ2017-$AJ2018</f>
        <v/>
      </c>
    </row>
    <row r="2018">
      <c r="AR2018" s="81">
        <f>($G2018+($H2018-$G2018)*0.5)+($P2018-($O2018+($Q2018-$O2018)*0.5))</f>
        <v/>
      </c>
      <c r="AS2018" s="81">
        <f>($J2018+($K2018-$J2018)*0.5)+($T2018-($S2018+($U2018-$S2018)*0.5))</f>
        <v/>
      </c>
      <c r="AT2018" s="82">
        <f>($J2018-$C2018)*100</f>
        <v/>
      </c>
      <c r="AU2018" s="82">
        <f>($H2018-$F2018)*100</f>
        <v/>
      </c>
      <c r="AV2018" s="82">
        <f>($J2018-$F2018)*100</f>
        <v/>
      </c>
      <c r="AW2018" s="82">
        <f>($L2018-$F2018)*100</f>
        <v/>
      </c>
      <c r="AX2018" s="82">
        <f>($J2018-$H2018)*100</f>
        <v/>
      </c>
      <c r="AY2018" s="82">
        <f>($L2018-$H2018)*100</f>
        <v/>
      </c>
      <c r="AZ2018" s="82">
        <f>($L2018-$J2018)*100</f>
        <v/>
      </c>
      <c r="BA2018" s="82">
        <f>(2*$H2018-$F2018-$J2018)*100</f>
        <v/>
      </c>
      <c r="BB2018" s="82">
        <f>(2*$J2018-$H2018-$L2018)*100</f>
        <v/>
      </c>
      <c r="BC2018" s="82">
        <f>($N2018-$F2018)*100</f>
        <v/>
      </c>
      <c r="BD2018" s="82">
        <f>($Q2018-$H2018)*100</f>
        <v/>
      </c>
      <c r="BE2018" s="82">
        <f>($S2018-$J2018)*100</f>
        <v/>
      </c>
      <c r="BF2018" s="82">
        <f>($V2018-$L2018)*100</f>
        <v/>
      </c>
      <c r="BG2018" s="82">
        <f>$AG2018-$AF2018</f>
        <v/>
      </c>
      <c r="BH2018" s="81">
        <f>IFERROR($AG2018/$AF2018,"")</f>
        <v/>
      </c>
      <c r="BI2018" s="82">
        <f>$AJ2018-$AF2018</f>
        <v/>
      </c>
      <c r="BJ2018" s="81">
        <f>IFERROR($AJ2018/$AG2018,"")</f>
        <v/>
      </c>
      <c r="BK2018" s="81">
        <f>$X2018</f>
        <v/>
      </c>
      <c r="BL2018" s="82">
        <f>($J2018-$J2019)*100</f>
        <v/>
      </c>
      <c r="BM2018" s="82">
        <f>($F2018-$F2019)*100</f>
        <v/>
      </c>
      <c r="BN2018" s="82">
        <f>$AF2018-$AF2019</f>
        <v/>
      </c>
      <c r="BO2018" s="82">
        <f>$AG2018-$AG2019</f>
        <v/>
      </c>
      <c r="BP2018" s="82">
        <f>$AJ2018-$AJ2019</f>
        <v/>
      </c>
    </row>
    <row r="2019">
      <c r="AR2019" s="81">
        <f>($G2019+($H2019-$G2019)*0.5)+($P2019-($O2019+($Q2019-$O2019)*0.5))</f>
        <v/>
      </c>
      <c r="AS2019" s="81">
        <f>($J2019+($K2019-$J2019)*0.5)+($T2019-($S2019+($U2019-$S2019)*0.5))</f>
        <v/>
      </c>
      <c r="AT2019" s="82">
        <f>($J2019-$C2019)*100</f>
        <v/>
      </c>
      <c r="AU2019" s="82">
        <f>($H2019-$F2019)*100</f>
        <v/>
      </c>
      <c r="AV2019" s="82">
        <f>($J2019-$F2019)*100</f>
        <v/>
      </c>
      <c r="AW2019" s="82">
        <f>($L2019-$F2019)*100</f>
        <v/>
      </c>
      <c r="AX2019" s="82">
        <f>($J2019-$H2019)*100</f>
        <v/>
      </c>
      <c r="AY2019" s="82">
        <f>($L2019-$H2019)*100</f>
        <v/>
      </c>
      <c r="AZ2019" s="82">
        <f>($L2019-$J2019)*100</f>
        <v/>
      </c>
      <c r="BA2019" s="82">
        <f>(2*$H2019-$F2019-$J2019)*100</f>
        <v/>
      </c>
      <c r="BB2019" s="82">
        <f>(2*$J2019-$H2019-$L2019)*100</f>
        <v/>
      </c>
      <c r="BC2019" s="82">
        <f>($N2019-$F2019)*100</f>
        <v/>
      </c>
      <c r="BD2019" s="82">
        <f>($Q2019-$H2019)*100</f>
        <v/>
      </c>
      <c r="BE2019" s="82">
        <f>($S2019-$J2019)*100</f>
        <v/>
      </c>
      <c r="BF2019" s="82">
        <f>($V2019-$L2019)*100</f>
        <v/>
      </c>
      <c r="BG2019" s="82">
        <f>$AG2019-$AF2019</f>
        <v/>
      </c>
      <c r="BH2019" s="81">
        <f>IFERROR($AG2019/$AF2019,"")</f>
        <v/>
      </c>
      <c r="BI2019" s="82">
        <f>$AJ2019-$AF2019</f>
        <v/>
      </c>
      <c r="BJ2019" s="81">
        <f>IFERROR($AJ2019/$AG2019,"")</f>
        <v/>
      </c>
      <c r="BK2019" s="81">
        <f>$X2019</f>
        <v/>
      </c>
      <c r="BL2019" s="82">
        <f>($J2019-$J2020)*100</f>
        <v/>
      </c>
      <c r="BM2019" s="82">
        <f>($F2019-$F2020)*100</f>
        <v/>
      </c>
      <c r="BN2019" s="82">
        <f>$AF2019-$AF2020</f>
        <v/>
      </c>
      <c r="BO2019" s="82">
        <f>$AG2019-$AG2020</f>
        <v/>
      </c>
      <c r="BP2019" s="82">
        <f>$AJ2019-$AJ2020</f>
        <v/>
      </c>
    </row>
    <row r="2020">
      <c r="AR2020" s="81">
        <f>($G2020+($H2020-$G2020)*0.5)+($P2020-($O2020+($Q2020-$O2020)*0.5))</f>
        <v/>
      </c>
      <c r="AS2020" s="81">
        <f>($J2020+($K2020-$J2020)*0.5)+($T2020-($S2020+($U2020-$S2020)*0.5))</f>
        <v/>
      </c>
      <c r="AT2020" s="82">
        <f>($J2020-$C2020)*100</f>
        <v/>
      </c>
      <c r="AU2020" s="82">
        <f>($H2020-$F2020)*100</f>
        <v/>
      </c>
      <c r="AV2020" s="82">
        <f>($J2020-$F2020)*100</f>
        <v/>
      </c>
      <c r="AW2020" s="82">
        <f>($L2020-$F2020)*100</f>
        <v/>
      </c>
      <c r="AX2020" s="82">
        <f>($J2020-$H2020)*100</f>
        <v/>
      </c>
      <c r="AY2020" s="82">
        <f>($L2020-$H2020)*100</f>
        <v/>
      </c>
      <c r="AZ2020" s="82">
        <f>($L2020-$J2020)*100</f>
        <v/>
      </c>
      <c r="BA2020" s="82">
        <f>(2*$H2020-$F2020-$J2020)*100</f>
        <v/>
      </c>
      <c r="BB2020" s="82">
        <f>(2*$J2020-$H2020-$L2020)*100</f>
        <v/>
      </c>
      <c r="BC2020" s="82">
        <f>($N2020-$F2020)*100</f>
        <v/>
      </c>
      <c r="BD2020" s="82">
        <f>($Q2020-$H2020)*100</f>
        <v/>
      </c>
      <c r="BE2020" s="82">
        <f>($S2020-$J2020)*100</f>
        <v/>
      </c>
      <c r="BF2020" s="82">
        <f>($V2020-$L2020)*100</f>
        <v/>
      </c>
      <c r="BG2020" s="82">
        <f>$AG2020-$AF2020</f>
        <v/>
      </c>
      <c r="BH2020" s="81">
        <f>IFERROR($AG2020/$AF2020,"")</f>
        <v/>
      </c>
      <c r="BI2020" s="82">
        <f>$AJ2020-$AF2020</f>
        <v/>
      </c>
      <c r="BJ2020" s="81">
        <f>IFERROR($AJ2020/$AG2020,"")</f>
        <v/>
      </c>
      <c r="BK2020" s="81">
        <f>$X2020</f>
        <v/>
      </c>
      <c r="BL2020" s="82">
        <f>($J2020-$J2021)*100</f>
        <v/>
      </c>
      <c r="BM2020" s="82">
        <f>($F2020-$F2021)*100</f>
        <v/>
      </c>
      <c r="BN2020" s="82">
        <f>$AF2020-$AF2021</f>
        <v/>
      </c>
      <c r="BO2020" s="82">
        <f>$AG2020-$AG2021</f>
        <v/>
      </c>
      <c r="BP2020" s="82">
        <f>$AJ2020-$AJ2021</f>
        <v/>
      </c>
    </row>
    <row r="2021">
      <c r="AR2021" s="81">
        <f>($G2021+($H2021-$G2021)*0.5)+($P2021-($O2021+($Q2021-$O2021)*0.5))</f>
        <v/>
      </c>
      <c r="AS2021" s="81">
        <f>($J2021+($K2021-$J2021)*0.5)+($T2021-($S2021+($U2021-$S2021)*0.5))</f>
        <v/>
      </c>
      <c r="AT2021" s="82">
        <f>($J2021-$C2021)*100</f>
        <v/>
      </c>
      <c r="AU2021" s="82">
        <f>($H2021-$F2021)*100</f>
        <v/>
      </c>
      <c r="AV2021" s="82">
        <f>($J2021-$F2021)*100</f>
        <v/>
      </c>
      <c r="AW2021" s="82">
        <f>($L2021-$F2021)*100</f>
        <v/>
      </c>
      <c r="AX2021" s="82">
        <f>($J2021-$H2021)*100</f>
        <v/>
      </c>
      <c r="AY2021" s="82">
        <f>($L2021-$H2021)*100</f>
        <v/>
      </c>
      <c r="AZ2021" s="82">
        <f>($L2021-$J2021)*100</f>
        <v/>
      </c>
      <c r="BA2021" s="82">
        <f>(2*$H2021-$F2021-$J2021)*100</f>
        <v/>
      </c>
      <c r="BB2021" s="82">
        <f>(2*$J2021-$H2021-$L2021)*100</f>
        <v/>
      </c>
      <c r="BC2021" s="82">
        <f>($N2021-$F2021)*100</f>
        <v/>
      </c>
      <c r="BD2021" s="82">
        <f>($Q2021-$H2021)*100</f>
        <v/>
      </c>
      <c r="BE2021" s="82">
        <f>($S2021-$J2021)*100</f>
        <v/>
      </c>
      <c r="BF2021" s="82">
        <f>($V2021-$L2021)*100</f>
        <v/>
      </c>
      <c r="BG2021" s="82">
        <f>$AG2021-$AF2021</f>
        <v/>
      </c>
      <c r="BH2021" s="81">
        <f>IFERROR($AG2021/$AF2021,"")</f>
        <v/>
      </c>
      <c r="BI2021" s="82">
        <f>$AJ2021-$AF2021</f>
        <v/>
      </c>
      <c r="BJ2021" s="81">
        <f>IFERROR($AJ2021/$AG2021,"")</f>
        <v/>
      </c>
      <c r="BK2021" s="81">
        <f>$X2021</f>
        <v/>
      </c>
      <c r="BL2021" s="82">
        <f>($J2021-$J2022)*100</f>
        <v/>
      </c>
      <c r="BM2021" s="82">
        <f>($F2021-$F2022)*100</f>
        <v/>
      </c>
      <c r="BN2021" s="82">
        <f>$AF2021-$AF2022</f>
        <v/>
      </c>
      <c r="BO2021" s="82">
        <f>$AG2021-$AG2022</f>
        <v/>
      </c>
      <c r="BP2021" s="82">
        <f>$AJ2021-$AJ2022</f>
        <v/>
      </c>
    </row>
    <row r="2022">
      <c r="AR2022" s="81">
        <f>($G2022+($H2022-$G2022)*0.5)+($P2022-($O2022+($Q2022-$O2022)*0.5))</f>
        <v/>
      </c>
      <c r="AS2022" s="81">
        <f>($J2022+($K2022-$J2022)*0.5)+($T2022-($S2022+($U2022-$S2022)*0.5))</f>
        <v/>
      </c>
      <c r="AT2022" s="82">
        <f>($J2022-$C2022)*100</f>
        <v/>
      </c>
      <c r="AU2022" s="82">
        <f>($H2022-$F2022)*100</f>
        <v/>
      </c>
      <c r="AV2022" s="82">
        <f>($J2022-$F2022)*100</f>
        <v/>
      </c>
      <c r="AW2022" s="82">
        <f>($L2022-$F2022)*100</f>
        <v/>
      </c>
      <c r="AX2022" s="82">
        <f>($J2022-$H2022)*100</f>
        <v/>
      </c>
      <c r="AY2022" s="82">
        <f>($L2022-$H2022)*100</f>
        <v/>
      </c>
      <c r="AZ2022" s="82">
        <f>($L2022-$J2022)*100</f>
        <v/>
      </c>
      <c r="BA2022" s="82">
        <f>(2*$H2022-$F2022-$J2022)*100</f>
        <v/>
      </c>
      <c r="BB2022" s="82">
        <f>(2*$J2022-$H2022-$L2022)*100</f>
        <v/>
      </c>
      <c r="BC2022" s="82">
        <f>($N2022-$F2022)*100</f>
        <v/>
      </c>
      <c r="BD2022" s="82">
        <f>($Q2022-$H2022)*100</f>
        <v/>
      </c>
      <c r="BE2022" s="82">
        <f>($S2022-$J2022)*100</f>
        <v/>
      </c>
      <c r="BF2022" s="82">
        <f>($V2022-$L2022)*100</f>
        <v/>
      </c>
      <c r="BG2022" s="82">
        <f>$AG2022-$AF2022</f>
        <v/>
      </c>
      <c r="BH2022" s="81">
        <f>IFERROR($AG2022/$AF2022,"")</f>
        <v/>
      </c>
      <c r="BI2022" s="82">
        <f>$AJ2022-$AF2022</f>
        <v/>
      </c>
      <c r="BJ2022" s="81">
        <f>IFERROR($AJ2022/$AG2022,"")</f>
        <v/>
      </c>
      <c r="BK2022" s="81">
        <f>$X2022</f>
        <v/>
      </c>
      <c r="BL2022" s="82">
        <f>($J2022-$J2023)*100</f>
        <v/>
      </c>
      <c r="BM2022" s="82">
        <f>($F2022-$F2023)*100</f>
        <v/>
      </c>
      <c r="BN2022" s="82">
        <f>$AF2022-$AF2023</f>
        <v/>
      </c>
      <c r="BO2022" s="82">
        <f>$AG2022-$AG2023</f>
        <v/>
      </c>
      <c r="BP2022" s="82">
        <f>$AJ2022-$AJ2023</f>
        <v/>
      </c>
    </row>
    <row r="2023">
      <c r="AR2023" s="81">
        <f>($G2023+($H2023-$G2023)*0.5)+($P2023-($O2023+($Q2023-$O2023)*0.5))</f>
        <v/>
      </c>
      <c r="AS2023" s="81">
        <f>($J2023+($K2023-$J2023)*0.5)+($T2023-($S2023+($U2023-$S2023)*0.5))</f>
        <v/>
      </c>
      <c r="AT2023" s="82">
        <f>($J2023-$C2023)*100</f>
        <v/>
      </c>
      <c r="AU2023" s="82">
        <f>($H2023-$F2023)*100</f>
        <v/>
      </c>
      <c r="AV2023" s="82">
        <f>($J2023-$F2023)*100</f>
        <v/>
      </c>
      <c r="AW2023" s="82">
        <f>($L2023-$F2023)*100</f>
        <v/>
      </c>
      <c r="AX2023" s="82">
        <f>($J2023-$H2023)*100</f>
        <v/>
      </c>
      <c r="AY2023" s="82">
        <f>($L2023-$H2023)*100</f>
        <v/>
      </c>
      <c r="AZ2023" s="82">
        <f>($L2023-$J2023)*100</f>
        <v/>
      </c>
      <c r="BA2023" s="82">
        <f>(2*$H2023-$F2023-$J2023)*100</f>
        <v/>
      </c>
      <c r="BB2023" s="82">
        <f>(2*$J2023-$H2023-$L2023)*100</f>
        <v/>
      </c>
      <c r="BC2023" s="82">
        <f>($N2023-$F2023)*100</f>
        <v/>
      </c>
      <c r="BD2023" s="82">
        <f>($Q2023-$H2023)*100</f>
        <v/>
      </c>
      <c r="BE2023" s="82">
        <f>($S2023-$J2023)*100</f>
        <v/>
      </c>
      <c r="BF2023" s="82">
        <f>($V2023-$L2023)*100</f>
        <v/>
      </c>
      <c r="BG2023" s="82">
        <f>$AG2023-$AF2023</f>
        <v/>
      </c>
      <c r="BH2023" s="81">
        <f>IFERROR($AG2023/$AF2023,"")</f>
        <v/>
      </c>
      <c r="BI2023" s="82">
        <f>$AJ2023-$AF2023</f>
        <v/>
      </c>
      <c r="BJ2023" s="81">
        <f>IFERROR($AJ2023/$AG2023,"")</f>
        <v/>
      </c>
      <c r="BK2023" s="81">
        <f>$X2023</f>
        <v/>
      </c>
      <c r="BL2023" s="82">
        <f>($J2023-$J2024)*100</f>
        <v/>
      </c>
      <c r="BM2023" s="82">
        <f>($F2023-$F2024)*100</f>
        <v/>
      </c>
      <c r="BN2023" s="82">
        <f>$AF2023-$AF2024</f>
        <v/>
      </c>
      <c r="BO2023" s="82">
        <f>$AG2023-$AG2024</f>
        <v/>
      </c>
      <c r="BP2023" s="82">
        <f>$AJ2023-$AJ2024</f>
        <v/>
      </c>
    </row>
    <row r="2024">
      <c r="AR2024" s="81">
        <f>($G2024+($H2024-$G2024)*0.5)+($P2024-($O2024+($Q2024-$O2024)*0.5))</f>
        <v/>
      </c>
      <c r="AS2024" s="81">
        <f>($J2024+($K2024-$J2024)*0.5)+($T2024-($S2024+($U2024-$S2024)*0.5))</f>
        <v/>
      </c>
      <c r="AT2024" s="82">
        <f>($J2024-$C2024)*100</f>
        <v/>
      </c>
      <c r="AU2024" s="82">
        <f>($H2024-$F2024)*100</f>
        <v/>
      </c>
      <c r="AV2024" s="82">
        <f>($J2024-$F2024)*100</f>
        <v/>
      </c>
      <c r="AW2024" s="82">
        <f>($L2024-$F2024)*100</f>
        <v/>
      </c>
      <c r="AX2024" s="82">
        <f>($J2024-$H2024)*100</f>
        <v/>
      </c>
      <c r="AY2024" s="82">
        <f>($L2024-$H2024)*100</f>
        <v/>
      </c>
      <c r="AZ2024" s="82">
        <f>($L2024-$J2024)*100</f>
        <v/>
      </c>
      <c r="BA2024" s="82">
        <f>(2*$H2024-$F2024-$J2024)*100</f>
        <v/>
      </c>
      <c r="BB2024" s="82">
        <f>(2*$J2024-$H2024-$L2024)*100</f>
        <v/>
      </c>
      <c r="BC2024" s="82">
        <f>($N2024-$F2024)*100</f>
        <v/>
      </c>
      <c r="BD2024" s="82">
        <f>($Q2024-$H2024)*100</f>
        <v/>
      </c>
      <c r="BE2024" s="82">
        <f>($S2024-$J2024)*100</f>
        <v/>
      </c>
      <c r="BF2024" s="82">
        <f>($V2024-$L2024)*100</f>
        <v/>
      </c>
      <c r="BG2024" s="82">
        <f>$AG2024-$AF2024</f>
        <v/>
      </c>
      <c r="BH2024" s="81">
        <f>IFERROR($AG2024/$AF2024,"")</f>
        <v/>
      </c>
      <c r="BI2024" s="82">
        <f>$AJ2024-$AF2024</f>
        <v/>
      </c>
      <c r="BJ2024" s="81">
        <f>IFERROR($AJ2024/$AG2024,"")</f>
        <v/>
      </c>
      <c r="BK2024" s="81">
        <f>$X2024</f>
        <v/>
      </c>
      <c r="BL2024" s="82">
        <f>($J2024-$J2025)*100</f>
        <v/>
      </c>
      <c r="BM2024" s="82">
        <f>($F2024-$F2025)*100</f>
        <v/>
      </c>
      <c r="BN2024" s="82">
        <f>$AF2024-$AF2025</f>
        <v/>
      </c>
      <c r="BO2024" s="82">
        <f>$AG2024-$AG2025</f>
        <v/>
      </c>
      <c r="BP2024" s="82">
        <f>$AJ2024-$AJ2025</f>
        <v/>
      </c>
    </row>
    <row r="2025">
      <c r="AR2025" s="81">
        <f>($G2025+($H2025-$G2025)*0.5)+($P2025-($O2025+($Q2025-$O2025)*0.5))</f>
        <v/>
      </c>
      <c r="AS2025" s="81">
        <f>($J2025+($K2025-$J2025)*0.5)+($T2025-($S2025+($U2025-$S2025)*0.5))</f>
        <v/>
      </c>
      <c r="AT2025" s="82">
        <f>($J2025-$C2025)*100</f>
        <v/>
      </c>
      <c r="AU2025" s="82">
        <f>($H2025-$F2025)*100</f>
        <v/>
      </c>
      <c r="AV2025" s="82">
        <f>($J2025-$F2025)*100</f>
        <v/>
      </c>
      <c r="AW2025" s="82">
        <f>($L2025-$F2025)*100</f>
        <v/>
      </c>
      <c r="AX2025" s="82">
        <f>($J2025-$H2025)*100</f>
        <v/>
      </c>
      <c r="AY2025" s="82">
        <f>($L2025-$H2025)*100</f>
        <v/>
      </c>
      <c r="AZ2025" s="82">
        <f>($L2025-$J2025)*100</f>
        <v/>
      </c>
      <c r="BA2025" s="82">
        <f>(2*$H2025-$F2025-$J2025)*100</f>
        <v/>
      </c>
      <c r="BB2025" s="82">
        <f>(2*$J2025-$H2025-$L2025)*100</f>
        <v/>
      </c>
      <c r="BC2025" s="82">
        <f>($N2025-$F2025)*100</f>
        <v/>
      </c>
      <c r="BD2025" s="82">
        <f>($Q2025-$H2025)*100</f>
        <v/>
      </c>
      <c r="BE2025" s="82">
        <f>($S2025-$J2025)*100</f>
        <v/>
      </c>
      <c r="BF2025" s="82">
        <f>($V2025-$L2025)*100</f>
        <v/>
      </c>
      <c r="BG2025" s="82">
        <f>$AG2025-$AF2025</f>
        <v/>
      </c>
      <c r="BH2025" s="81">
        <f>IFERROR($AG2025/$AF2025,"")</f>
        <v/>
      </c>
      <c r="BI2025" s="82">
        <f>$AJ2025-$AF2025</f>
        <v/>
      </c>
      <c r="BJ2025" s="81">
        <f>IFERROR($AJ2025/$AG2025,"")</f>
        <v/>
      </c>
      <c r="BK2025" s="81">
        <f>$X2025</f>
        <v/>
      </c>
      <c r="BL2025" s="82">
        <f>($J2025-$J2026)*100</f>
        <v/>
      </c>
      <c r="BM2025" s="82">
        <f>($F2025-$F2026)*100</f>
        <v/>
      </c>
      <c r="BN2025" s="82">
        <f>$AF2025-$AF2026</f>
        <v/>
      </c>
      <c r="BO2025" s="82">
        <f>$AG2025-$AG2026</f>
        <v/>
      </c>
      <c r="BP2025" s="82">
        <f>$AJ2025-$AJ2026</f>
        <v/>
      </c>
    </row>
    <row r="2026">
      <c r="AR2026" s="81">
        <f>($G2026+($H2026-$G2026)*0.5)+($P2026-($O2026+($Q2026-$O2026)*0.5))</f>
        <v/>
      </c>
      <c r="AS2026" s="81">
        <f>($J2026+($K2026-$J2026)*0.5)+($T2026-($S2026+($U2026-$S2026)*0.5))</f>
        <v/>
      </c>
      <c r="AT2026" s="82">
        <f>($J2026-$C2026)*100</f>
        <v/>
      </c>
      <c r="AU2026" s="82">
        <f>($H2026-$F2026)*100</f>
        <v/>
      </c>
      <c r="AV2026" s="82">
        <f>($J2026-$F2026)*100</f>
        <v/>
      </c>
      <c r="AW2026" s="82">
        <f>($L2026-$F2026)*100</f>
        <v/>
      </c>
      <c r="AX2026" s="82">
        <f>($J2026-$H2026)*100</f>
        <v/>
      </c>
      <c r="AY2026" s="82">
        <f>($L2026-$H2026)*100</f>
        <v/>
      </c>
      <c r="AZ2026" s="82">
        <f>($L2026-$J2026)*100</f>
        <v/>
      </c>
      <c r="BA2026" s="82">
        <f>(2*$H2026-$F2026-$J2026)*100</f>
        <v/>
      </c>
      <c r="BB2026" s="82">
        <f>(2*$J2026-$H2026-$L2026)*100</f>
        <v/>
      </c>
      <c r="BC2026" s="82">
        <f>($N2026-$F2026)*100</f>
        <v/>
      </c>
      <c r="BD2026" s="82">
        <f>($Q2026-$H2026)*100</f>
        <v/>
      </c>
      <c r="BE2026" s="82">
        <f>($S2026-$J2026)*100</f>
        <v/>
      </c>
      <c r="BF2026" s="82">
        <f>($V2026-$L2026)*100</f>
        <v/>
      </c>
      <c r="BG2026" s="82">
        <f>$AG2026-$AF2026</f>
        <v/>
      </c>
      <c r="BH2026" s="81">
        <f>IFERROR($AG2026/$AF2026,"")</f>
        <v/>
      </c>
      <c r="BI2026" s="82">
        <f>$AJ2026-$AF2026</f>
        <v/>
      </c>
      <c r="BJ2026" s="81">
        <f>IFERROR($AJ2026/$AG2026,"")</f>
        <v/>
      </c>
      <c r="BK2026" s="81">
        <f>$X2026</f>
        <v/>
      </c>
      <c r="BL2026" s="82">
        <f>($J2026-$J2027)*100</f>
        <v/>
      </c>
      <c r="BM2026" s="82">
        <f>($F2026-$F2027)*100</f>
        <v/>
      </c>
      <c r="BN2026" s="82">
        <f>$AF2026-$AF2027</f>
        <v/>
      </c>
      <c r="BO2026" s="82">
        <f>$AG2026-$AG2027</f>
        <v/>
      </c>
      <c r="BP2026" s="82">
        <f>$AJ2026-$AJ2027</f>
        <v/>
      </c>
    </row>
    <row r="2027">
      <c r="AR2027" s="81">
        <f>($G2027+($H2027-$G2027)*0.5)+($P2027-($O2027+($Q2027-$O2027)*0.5))</f>
        <v/>
      </c>
      <c r="AS2027" s="81">
        <f>($J2027+($K2027-$J2027)*0.5)+($T2027-($S2027+($U2027-$S2027)*0.5))</f>
        <v/>
      </c>
      <c r="AT2027" s="82">
        <f>($J2027-$C2027)*100</f>
        <v/>
      </c>
      <c r="AU2027" s="82">
        <f>($H2027-$F2027)*100</f>
        <v/>
      </c>
      <c r="AV2027" s="82">
        <f>($J2027-$F2027)*100</f>
        <v/>
      </c>
      <c r="AW2027" s="82">
        <f>($L2027-$F2027)*100</f>
        <v/>
      </c>
      <c r="AX2027" s="82">
        <f>($J2027-$H2027)*100</f>
        <v/>
      </c>
      <c r="AY2027" s="82">
        <f>($L2027-$H2027)*100</f>
        <v/>
      </c>
      <c r="AZ2027" s="82">
        <f>($L2027-$J2027)*100</f>
        <v/>
      </c>
      <c r="BA2027" s="82">
        <f>(2*$H2027-$F2027-$J2027)*100</f>
        <v/>
      </c>
      <c r="BB2027" s="82">
        <f>(2*$J2027-$H2027-$L2027)*100</f>
        <v/>
      </c>
      <c r="BC2027" s="82">
        <f>($N2027-$F2027)*100</f>
        <v/>
      </c>
      <c r="BD2027" s="82">
        <f>($Q2027-$H2027)*100</f>
        <v/>
      </c>
      <c r="BE2027" s="82">
        <f>($S2027-$J2027)*100</f>
        <v/>
      </c>
      <c r="BF2027" s="82">
        <f>($V2027-$L2027)*100</f>
        <v/>
      </c>
      <c r="BG2027" s="82">
        <f>$AG2027-$AF2027</f>
        <v/>
      </c>
      <c r="BH2027" s="81">
        <f>IFERROR($AG2027/$AF2027,"")</f>
        <v/>
      </c>
      <c r="BI2027" s="82">
        <f>$AJ2027-$AF2027</f>
        <v/>
      </c>
      <c r="BJ2027" s="81">
        <f>IFERROR($AJ2027/$AG2027,"")</f>
        <v/>
      </c>
      <c r="BK2027" s="81">
        <f>$X2027</f>
        <v/>
      </c>
      <c r="BL2027" s="82">
        <f>($J2027-$J2028)*100</f>
        <v/>
      </c>
      <c r="BM2027" s="82">
        <f>($F2027-$F2028)*100</f>
        <v/>
      </c>
      <c r="BN2027" s="82">
        <f>$AF2027-$AF2028</f>
        <v/>
      </c>
      <c r="BO2027" s="82">
        <f>$AG2027-$AG2028</f>
        <v/>
      </c>
      <c r="BP2027" s="82">
        <f>$AJ2027-$AJ2028</f>
        <v/>
      </c>
    </row>
    <row r="2028">
      <c r="AR2028" s="81">
        <f>($G2028+($H2028-$G2028)*0.5)+($P2028-($O2028+($Q2028-$O2028)*0.5))</f>
        <v/>
      </c>
      <c r="AS2028" s="81">
        <f>($J2028+($K2028-$J2028)*0.5)+($T2028-($S2028+($U2028-$S2028)*0.5))</f>
        <v/>
      </c>
      <c r="AT2028" s="82">
        <f>($J2028-$C2028)*100</f>
        <v/>
      </c>
      <c r="AU2028" s="82">
        <f>($H2028-$F2028)*100</f>
        <v/>
      </c>
      <c r="AV2028" s="82">
        <f>($J2028-$F2028)*100</f>
        <v/>
      </c>
      <c r="AW2028" s="82">
        <f>($L2028-$F2028)*100</f>
        <v/>
      </c>
      <c r="AX2028" s="82">
        <f>($J2028-$H2028)*100</f>
        <v/>
      </c>
      <c r="AY2028" s="82">
        <f>($L2028-$H2028)*100</f>
        <v/>
      </c>
      <c r="AZ2028" s="82">
        <f>($L2028-$J2028)*100</f>
        <v/>
      </c>
      <c r="BA2028" s="82">
        <f>(2*$H2028-$F2028-$J2028)*100</f>
        <v/>
      </c>
      <c r="BB2028" s="82">
        <f>(2*$J2028-$H2028-$L2028)*100</f>
        <v/>
      </c>
      <c r="BC2028" s="82">
        <f>($N2028-$F2028)*100</f>
        <v/>
      </c>
      <c r="BD2028" s="82">
        <f>($Q2028-$H2028)*100</f>
        <v/>
      </c>
      <c r="BE2028" s="82">
        <f>($S2028-$J2028)*100</f>
        <v/>
      </c>
      <c r="BF2028" s="82">
        <f>($V2028-$L2028)*100</f>
        <v/>
      </c>
      <c r="BG2028" s="82">
        <f>$AG2028-$AF2028</f>
        <v/>
      </c>
      <c r="BH2028" s="81">
        <f>IFERROR($AG2028/$AF2028,"")</f>
        <v/>
      </c>
      <c r="BI2028" s="82">
        <f>$AJ2028-$AF2028</f>
        <v/>
      </c>
      <c r="BJ2028" s="81">
        <f>IFERROR($AJ2028/$AG2028,"")</f>
        <v/>
      </c>
      <c r="BK2028" s="81">
        <f>$X2028</f>
        <v/>
      </c>
      <c r="BL2028" s="82">
        <f>($J2028-$J2029)*100</f>
        <v/>
      </c>
      <c r="BM2028" s="82">
        <f>($F2028-$F2029)*100</f>
        <v/>
      </c>
      <c r="BN2028" s="82">
        <f>$AF2028-$AF2029</f>
        <v/>
      </c>
      <c r="BO2028" s="82">
        <f>$AG2028-$AG2029</f>
        <v/>
      </c>
      <c r="BP2028" s="82">
        <f>$AJ2028-$AJ2029</f>
        <v/>
      </c>
    </row>
    <row r="2029">
      <c r="AR2029" s="81">
        <f>($G2029+($H2029-$G2029)*0.5)+($P2029-($O2029+($Q2029-$O2029)*0.5))</f>
        <v/>
      </c>
      <c r="AS2029" s="81">
        <f>($J2029+($K2029-$J2029)*0.5)+($T2029-($S2029+($U2029-$S2029)*0.5))</f>
        <v/>
      </c>
      <c r="AT2029" s="82">
        <f>($J2029-$C2029)*100</f>
        <v/>
      </c>
      <c r="AU2029" s="82">
        <f>($H2029-$F2029)*100</f>
        <v/>
      </c>
      <c r="AV2029" s="82">
        <f>($J2029-$F2029)*100</f>
        <v/>
      </c>
      <c r="AW2029" s="82">
        <f>($L2029-$F2029)*100</f>
        <v/>
      </c>
      <c r="AX2029" s="82">
        <f>($J2029-$H2029)*100</f>
        <v/>
      </c>
      <c r="AY2029" s="82">
        <f>($L2029-$H2029)*100</f>
        <v/>
      </c>
      <c r="AZ2029" s="82">
        <f>($L2029-$J2029)*100</f>
        <v/>
      </c>
      <c r="BA2029" s="82">
        <f>(2*$H2029-$F2029-$J2029)*100</f>
        <v/>
      </c>
      <c r="BB2029" s="82">
        <f>(2*$J2029-$H2029-$L2029)*100</f>
        <v/>
      </c>
      <c r="BC2029" s="82">
        <f>($N2029-$F2029)*100</f>
        <v/>
      </c>
      <c r="BD2029" s="82">
        <f>($Q2029-$H2029)*100</f>
        <v/>
      </c>
      <c r="BE2029" s="82">
        <f>($S2029-$J2029)*100</f>
        <v/>
      </c>
      <c r="BF2029" s="82">
        <f>($V2029-$L2029)*100</f>
        <v/>
      </c>
      <c r="BG2029" s="82">
        <f>$AG2029-$AF2029</f>
        <v/>
      </c>
      <c r="BH2029" s="81">
        <f>IFERROR($AG2029/$AF2029,"")</f>
        <v/>
      </c>
      <c r="BI2029" s="82">
        <f>$AJ2029-$AF2029</f>
        <v/>
      </c>
      <c r="BJ2029" s="81">
        <f>IFERROR($AJ2029/$AG2029,"")</f>
        <v/>
      </c>
      <c r="BK2029" s="81">
        <f>$X2029</f>
        <v/>
      </c>
      <c r="BL2029" s="82">
        <f>($J2029-$J2030)*100</f>
        <v/>
      </c>
      <c r="BM2029" s="82">
        <f>($F2029-$F2030)*100</f>
        <v/>
      </c>
      <c r="BN2029" s="82">
        <f>$AF2029-$AF2030</f>
        <v/>
      </c>
      <c r="BO2029" s="82">
        <f>$AG2029-$AG2030</f>
        <v/>
      </c>
      <c r="BP2029" s="82">
        <f>$AJ2029-$AJ2030</f>
        <v/>
      </c>
    </row>
    <row r="2030">
      <c r="AR2030" s="81">
        <f>($G2030+($H2030-$G2030)*0.5)+($P2030-($O2030+($Q2030-$O2030)*0.5))</f>
        <v/>
      </c>
      <c r="AS2030" s="81">
        <f>($J2030+($K2030-$J2030)*0.5)+($T2030-($S2030+($U2030-$S2030)*0.5))</f>
        <v/>
      </c>
      <c r="AT2030" s="82">
        <f>($J2030-$C2030)*100</f>
        <v/>
      </c>
      <c r="AU2030" s="82">
        <f>($H2030-$F2030)*100</f>
        <v/>
      </c>
      <c r="AV2030" s="82">
        <f>($J2030-$F2030)*100</f>
        <v/>
      </c>
      <c r="AW2030" s="82">
        <f>($L2030-$F2030)*100</f>
        <v/>
      </c>
      <c r="AX2030" s="82">
        <f>($J2030-$H2030)*100</f>
        <v/>
      </c>
      <c r="AY2030" s="82">
        <f>($L2030-$H2030)*100</f>
        <v/>
      </c>
      <c r="AZ2030" s="82">
        <f>($L2030-$J2030)*100</f>
        <v/>
      </c>
      <c r="BA2030" s="82">
        <f>(2*$H2030-$F2030-$J2030)*100</f>
        <v/>
      </c>
      <c r="BB2030" s="82">
        <f>(2*$J2030-$H2030-$L2030)*100</f>
        <v/>
      </c>
      <c r="BC2030" s="82">
        <f>($N2030-$F2030)*100</f>
        <v/>
      </c>
      <c r="BD2030" s="82">
        <f>($Q2030-$H2030)*100</f>
        <v/>
      </c>
      <c r="BE2030" s="82">
        <f>($S2030-$J2030)*100</f>
        <v/>
      </c>
      <c r="BF2030" s="82">
        <f>($V2030-$L2030)*100</f>
        <v/>
      </c>
      <c r="BG2030" s="82">
        <f>$AG2030-$AF2030</f>
        <v/>
      </c>
      <c r="BH2030" s="81">
        <f>IFERROR($AG2030/$AF2030,"")</f>
        <v/>
      </c>
      <c r="BI2030" s="82">
        <f>$AJ2030-$AF2030</f>
        <v/>
      </c>
      <c r="BJ2030" s="81">
        <f>IFERROR($AJ2030/$AG2030,"")</f>
        <v/>
      </c>
      <c r="BK2030" s="81">
        <f>$X2030</f>
        <v/>
      </c>
      <c r="BL2030" s="82">
        <f>($J2030-$J2031)*100</f>
        <v/>
      </c>
      <c r="BM2030" s="82">
        <f>($F2030-$F2031)*100</f>
        <v/>
      </c>
      <c r="BN2030" s="82">
        <f>$AF2030-$AF2031</f>
        <v/>
      </c>
      <c r="BO2030" s="82">
        <f>$AG2030-$AG2031</f>
        <v/>
      </c>
      <c r="BP2030" s="82">
        <f>$AJ2030-$AJ2031</f>
        <v/>
      </c>
    </row>
    <row r="2031">
      <c r="AR2031" s="81">
        <f>($G2031+($H2031-$G2031)*0.5)+($P2031-($O2031+($Q2031-$O2031)*0.5))</f>
        <v/>
      </c>
      <c r="AS2031" s="81">
        <f>($J2031+($K2031-$J2031)*0.5)+($T2031-($S2031+($U2031-$S2031)*0.5))</f>
        <v/>
      </c>
      <c r="AT2031" s="82">
        <f>($J2031-$C2031)*100</f>
        <v/>
      </c>
      <c r="AU2031" s="82">
        <f>($H2031-$F2031)*100</f>
        <v/>
      </c>
      <c r="AV2031" s="82">
        <f>($J2031-$F2031)*100</f>
        <v/>
      </c>
      <c r="AW2031" s="82">
        <f>($L2031-$F2031)*100</f>
        <v/>
      </c>
      <c r="AX2031" s="82">
        <f>($J2031-$H2031)*100</f>
        <v/>
      </c>
      <c r="AY2031" s="82">
        <f>($L2031-$H2031)*100</f>
        <v/>
      </c>
      <c r="AZ2031" s="82">
        <f>($L2031-$J2031)*100</f>
        <v/>
      </c>
      <c r="BA2031" s="82">
        <f>(2*$H2031-$F2031-$J2031)*100</f>
        <v/>
      </c>
      <c r="BB2031" s="82">
        <f>(2*$J2031-$H2031-$L2031)*100</f>
        <v/>
      </c>
      <c r="BC2031" s="82">
        <f>($N2031-$F2031)*100</f>
        <v/>
      </c>
      <c r="BD2031" s="82">
        <f>($Q2031-$H2031)*100</f>
        <v/>
      </c>
      <c r="BE2031" s="82">
        <f>($S2031-$J2031)*100</f>
        <v/>
      </c>
      <c r="BF2031" s="82">
        <f>($V2031-$L2031)*100</f>
        <v/>
      </c>
      <c r="BG2031" s="82">
        <f>$AG2031-$AF2031</f>
        <v/>
      </c>
      <c r="BH2031" s="81">
        <f>IFERROR($AG2031/$AF2031,"")</f>
        <v/>
      </c>
      <c r="BI2031" s="82">
        <f>$AJ2031-$AF2031</f>
        <v/>
      </c>
      <c r="BJ2031" s="81">
        <f>IFERROR($AJ2031/$AG2031,"")</f>
        <v/>
      </c>
      <c r="BK2031" s="81">
        <f>$X2031</f>
        <v/>
      </c>
      <c r="BL2031" s="82">
        <f>($J2031-$J2032)*100</f>
        <v/>
      </c>
      <c r="BM2031" s="82">
        <f>($F2031-$F2032)*100</f>
        <v/>
      </c>
      <c r="BN2031" s="82">
        <f>$AF2031-$AF2032</f>
        <v/>
      </c>
      <c r="BO2031" s="82">
        <f>$AG2031-$AG2032</f>
        <v/>
      </c>
      <c r="BP2031" s="82">
        <f>$AJ2031-$AJ2032</f>
        <v/>
      </c>
    </row>
    <row r="2032">
      <c r="AR2032" s="81">
        <f>($G2032+($H2032-$G2032)*0.5)+($P2032-($O2032+($Q2032-$O2032)*0.5))</f>
        <v/>
      </c>
      <c r="AS2032" s="81">
        <f>($J2032+($K2032-$J2032)*0.5)+($T2032-($S2032+($U2032-$S2032)*0.5))</f>
        <v/>
      </c>
      <c r="AT2032" s="82">
        <f>($J2032-$C2032)*100</f>
        <v/>
      </c>
      <c r="AU2032" s="82">
        <f>($H2032-$F2032)*100</f>
        <v/>
      </c>
      <c r="AV2032" s="82">
        <f>($J2032-$F2032)*100</f>
        <v/>
      </c>
      <c r="AW2032" s="82">
        <f>($L2032-$F2032)*100</f>
        <v/>
      </c>
      <c r="AX2032" s="82">
        <f>($J2032-$H2032)*100</f>
        <v/>
      </c>
      <c r="AY2032" s="82">
        <f>($L2032-$H2032)*100</f>
        <v/>
      </c>
      <c r="AZ2032" s="82">
        <f>($L2032-$J2032)*100</f>
        <v/>
      </c>
      <c r="BA2032" s="82">
        <f>(2*$H2032-$F2032-$J2032)*100</f>
        <v/>
      </c>
      <c r="BB2032" s="82">
        <f>(2*$J2032-$H2032-$L2032)*100</f>
        <v/>
      </c>
      <c r="BC2032" s="82">
        <f>($N2032-$F2032)*100</f>
        <v/>
      </c>
      <c r="BD2032" s="82">
        <f>($Q2032-$H2032)*100</f>
        <v/>
      </c>
      <c r="BE2032" s="82">
        <f>($S2032-$J2032)*100</f>
        <v/>
      </c>
      <c r="BF2032" s="82">
        <f>($V2032-$L2032)*100</f>
        <v/>
      </c>
      <c r="BG2032" s="82">
        <f>$AG2032-$AF2032</f>
        <v/>
      </c>
      <c r="BH2032" s="81">
        <f>IFERROR($AG2032/$AF2032,"")</f>
        <v/>
      </c>
      <c r="BI2032" s="82">
        <f>$AJ2032-$AF2032</f>
        <v/>
      </c>
      <c r="BJ2032" s="81">
        <f>IFERROR($AJ2032/$AG2032,"")</f>
        <v/>
      </c>
      <c r="BK2032" s="81">
        <f>$X2032</f>
        <v/>
      </c>
      <c r="BL2032" s="82">
        <f>($J2032-$J2033)*100</f>
        <v/>
      </c>
      <c r="BM2032" s="82">
        <f>($F2032-$F2033)*100</f>
        <v/>
      </c>
      <c r="BN2032" s="82">
        <f>$AF2032-$AF2033</f>
        <v/>
      </c>
      <c r="BO2032" s="82">
        <f>$AG2032-$AG2033</f>
        <v/>
      </c>
      <c r="BP2032" s="82">
        <f>$AJ2032-$AJ2033</f>
        <v/>
      </c>
    </row>
    <row r="2033">
      <c r="AR2033" s="81">
        <f>($G2033+($H2033-$G2033)*0.5)+($P2033-($O2033+($Q2033-$O2033)*0.5))</f>
        <v/>
      </c>
      <c r="AS2033" s="81">
        <f>($J2033+($K2033-$J2033)*0.5)+($T2033-($S2033+($U2033-$S2033)*0.5))</f>
        <v/>
      </c>
      <c r="AT2033" s="82">
        <f>($J2033-$C2033)*100</f>
        <v/>
      </c>
      <c r="AU2033" s="82">
        <f>($H2033-$F2033)*100</f>
        <v/>
      </c>
      <c r="AV2033" s="82">
        <f>($J2033-$F2033)*100</f>
        <v/>
      </c>
      <c r="AW2033" s="82">
        <f>($L2033-$F2033)*100</f>
        <v/>
      </c>
      <c r="AX2033" s="82">
        <f>($J2033-$H2033)*100</f>
        <v/>
      </c>
      <c r="AY2033" s="82">
        <f>($L2033-$H2033)*100</f>
        <v/>
      </c>
      <c r="AZ2033" s="82">
        <f>($L2033-$J2033)*100</f>
        <v/>
      </c>
      <c r="BA2033" s="82">
        <f>(2*$H2033-$F2033-$J2033)*100</f>
        <v/>
      </c>
      <c r="BB2033" s="82">
        <f>(2*$J2033-$H2033-$L2033)*100</f>
        <v/>
      </c>
      <c r="BC2033" s="82">
        <f>($N2033-$F2033)*100</f>
        <v/>
      </c>
      <c r="BD2033" s="82">
        <f>($Q2033-$H2033)*100</f>
        <v/>
      </c>
      <c r="BE2033" s="82">
        <f>($S2033-$J2033)*100</f>
        <v/>
      </c>
      <c r="BF2033" s="82">
        <f>($V2033-$L2033)*100</f>
        <v/>
      </c>
      <c r="BG2033" s="82">
        <f>$AG2033-$AF2033</f>
        <v/>
      </c>
      <c r="BH2033" s="81">
        <f>IFERROR($AG2033/$AF2033,"")</f>
        <v/>
      </c>
      <c r="BI2033" s="82">
        <f>$AJ2033-$AF2033</f>
        <v/>
      </c>
      <c r="BJ2033" s="81">
        <f>IFERROR($AJ2033/$AG2033,"")</f>
        <v/>
      </c>
      <c r="BK2033" s="81">
        <f>$X2033</f>
        <v/>
      </c>
      <c r="BL2033" s="82">
        <f>($J2033-$J2034)*100</f>
        <v/>
      </c>
      <c r="BM2033" s="82">
        <f>($F2033-$F2034)*100</f>
        <v/>
      </c>
      <c r="BN2033" s="82">
        <f>$AF2033-$AF2034</f>
        <v/>
      </c>
      <c r="BO2033" s="82">
        <f>$AG2033-$AG2034</f>
        <v/>
      </c>
      <c r="BP2033" s="82">
        <f>$AJ2033-$AJ2034</f>
        <v/>
      </c>
    </row>
    <row r="2034">
      <c r="AR2034" s="81">
        <f>($G2034+($H2034-$G2034)*0.5)+($P2034-($O2034+($Q2034-$O2034)*0.5))</f>
        <v/>
      </c>
      <c r="AS2034" s="81">
        <f>($J2034+($K2034-$J2034)*0.5)+($T2034-($S2034+($U2034-$S2034)*0.5))</f>
        <v/>
      </c>
      <c r="AT2034" s="82">
        <f>($J2034-$C2034)*100</f>
        <v/>
      </c>
      <c r="AU2034" s="82">
        <f>($H2034-$F2034)*100</f>
        <v/>
      </c>
      <c r="AV2034" s="82">
        <f>($J2034-$F2034)*100</f>
        <v/>
      </c>
      <c r="AW2034" s="82">
        <f>($L2034-$F2034)*100</f>
        <v/>
      </c>
      <c r="AX2034" s="82">
        <f>($J2034-$H2034)*100</f>
        <v/>
      </c>
      <c r="AY2034" s="82">
        <f>($L2034-$H2034)*100</f>
        <v/>
      </c>
      <c r="AZ2034" s="82">
        <f>($L2034-$J2034)*100</f>
        <v/>
      </c>
      <c r="BA2034" s="82">
        <f>(2*$H2034-$F2034-$J2034)*100</f>
        <v/>
      </c>
      <c r="BB2034" s="82">
        <f>(2*$J2034-$H2034-$L2034)*100</f>
        <v/>
      </c>
      <c r="BC2034" s="82">
        <f>($N2034-$F2034)*100</f>
        <v/>
      </c>
      <c r="BD2034" s="82">
        <f>($Q2034-$H2034)*100</f>
        <v/>
      </c>
      <c r="BE2034" s="82">
        <f>($S2034-$J2034)*100</f>
        <v/>
      </c>
      <c r="BF2034" s="82">
        <f>($V2034-$L2034)*100</f>
        <v/>
      </c>
      <c r="BG2034" s="82">
        <f>$AG2034-$AF2034</f>
        <v/>
      </c>
      <c r="BH2034" s="81">
        <f>IFERROR($AG2034/$AF2034,"")</f>
        <v/>
      </c>
      <c r="BI2034" s="82">
        <f>$AJ2034-$AF2034</f>
        <v/>
      </c>
      <c r="BJ2034" s="81">
        <f>IFERROR($AJ2034/$AG2034,"")</f>
        <v/>
      </c>
      <c r="BK2034" s="81">
        <f>$X2034</f>
        <v/>
      </c>
      <c r="BL2034" s="82">
        <f>($J2034-$J2035)*100</f>
        <v/>
      </c>
      <c r="BM2034" s="82">
        <f>($F2034-$F2035)*100</f>
        <v/>
      </c>
      <c r="BN2034" s="82">
        <f>$AF2034-$AF2035</f>
        <v/>
      </c>
      <c r="BO2034" s="82">
        <f>$AG2034-$AG2035</f>
        <v/>
      </c>
      <c r="BP2034" s="82">
        <f>$AJ2034-$AJ2035</f>
        <v/>
      </c>
    </row>
    <row r="2035">
      <c r="AR2035" s="81">
        <f>($G2035+($H2035-$G2035)*0.5)+($P2035-($O2035+($Q2035-$O2035)*0.5))</f>
        <v/>
      </c>
      <c r="AS2035" s="81">
        <f>($J2035+($K2035-$J2035)*0.5)+($T2035-($S2035+($U2035-$S2035)*0.5))</f>
        <v/>
      </c>
      <c r="AT2035" s="82">
        <f>($J2035-$C2035)*100</f>
        <v/>
      </c>
      <c r="AU2035" s="82">
        <f>($H2035-$F2035)*100</f>
        <v/>
      </c>
      <c r="AV2035" s="82">
        <f>($J2035-$F2035)*100</f>
        <v/>
      </c>
      <c r="AW2035" s="82">
        <f>($L2035-$F2035)*100</f>
        <v/>
      </c>
      <c r="AX2035" s="82">
        <f>($J2035-$H2035)*100</f>
        <v/>
      </c>
      <c r="AY2035" s="82">
        <f>($L2035-$H2035)*100</f>
        <v/>
      </c>
      <c r="AZ2035" s="82">
        <f>($L2035-$J2035)*100</f>
        <v/>
      </c>
      <c r="BA2035" s="82">
        <f>(2*$H2035-$F2035-$J2035)*100</f>
        <v/>
      </c>
      <c r="BB2035" s="82">
        <f>(2*$J2035-$H2035-$L2035)*100</f>
        <v/>
      </c>
      <c r="BC2035" s="82">
        <f>($N2035-$F2035)*100</f>
        <v/>
      </c>
      <c r="BD2035" s="82">
        <f>($Q2035-$H2035)*100</f>
        <v/>
      </c>
      <c r="BE2035" s="82">
        <f>($S2035-$J2035)*100</f>
        <v/>
      </c>
      <c r="BF2035" s="82">
        <f>($V2035-$L2035)*100</f>
        <v/>
      </c>
      <c r="BG2035" s="82">
        <f>$AG2035-$AF2035</f>
        <v/>
      </c>
      <c r="BH2035" s="81">
        <f>IFERROR($AG2035/$AF2035,"")</f>
        <v/>
      </c>
      <c r="BI2035" s="82">
        <f>$AJ2035-$AF2035</f>
        <v/>
      </c>
      <c r="BJ2035" s="81">
        <f>IFERROR($AJ2035/$AG2035,"")</f>
        <v/>
      </c>
      <c r="BK2035" s="81">
        <f>$X2035</f>
        <v/>
      </c>
      <c r="BL2035" s="82">
        <f>($J2035-$J2036)*100</f>
        <v/>
      </c>
      <c r="BM2035" s="82">
        <f>($F2035-$F2036)*100</f>
        <v/>
      </c>
      <c r="BN2035" s="82">
        <f>$AF2035-$AF2036</f>
        <v/>
      </c>
      <c r="BO2035" s="82">
        <f>$AG2035-$AG2036</f>
        <v/>
      </c>
      <c r="BP2035" s="82">
        <f>$AJ2035-$AJ2036</f>
        <v/>
      </c>
    </row>
    <row r="2036">
      <c r="AR2036" s="81">
        <f>($G2036+($H2036-$G2036)*0.5)+($P2036-($O2036+($Q2036-$O2036)*0.5))</f>
        <v/>
      </c>
      <c r="AS2036" s="81">
        <f>($J2036+($K2036-$J2036)*0.5)+($T2036-($S2036+($U2036-$S2036)*0.5))</f>
        <v/>
      </c>
      <c r="AT2036" s="82">
        <f>($J2036-$C2036)*100</f>
        <v/>
      </c>
      <c r="AU2036" s="82">
        <f>($H2036-$F2036)*100</f>
        <v/>
      </c>
      <c r="AV2036" s="82">
        <f>($J2036-$F2036)*100</f>
        <v/>
      </c>
      <c r="AW2036" s="82">
        <f>($L2036-$F2036)*100</f>
        <v/>
      </c>
      <c r="AX2036" s="82">
        <f>($J2036-$H2036)*100</f>
        <v/>
      </c>
      <c r="AY2036" s="82">
        <f>($L2036-$H2036)*100</f>
        <v/>
      </c>
      <c r="AZ2036" s="82">
        <f>($L2036-$J2036)*100</f>
        <v/>
      </c>
      <c r="BA2036" s="82">
        <f>(2*$H2036-$F2036-$J2036)*100</f>
        <v/>
      </c>
      <c r="BB2036" s="82">
        <f>(2*$J2036-$H2036-$L2036)*100</f>
        <v/>
      </c>
      <c r="BC2036" s="82">
        <f>($N2036-$F2036)*100</f>
        <v/>
      </c>
      <c r="BD2036" s="82">
        <f>($Q2036-$H2036)*100</f>
        <v/>
      </c>
      <c r="BE2036" s="82">
        <f>($S2036-$J2036)*100</f>
        <v/>
      </c>
      <c r="BF2036" s="82">
        <f>($V2036-$L2036)*100</f>
        <v/>
      </c>
      <c r="BG2036" s="82">
        <f>$AG2036-$AF2036</f>
        <v/>
      </c>
      <c r="BH2036" s="81">
        <f>IFERROR($AG2036/$AF2036,"")</f>
        <v/>
      </c>
      <c r="BI2036" s="82">
        <f>$AJ2036-$AF2036</f>
        <v/>
      </c>
      <c r="BJ2036" s="81">
        <f>IFERROR($AJ2036/$AG2036,"")</f>
        <v/>
      </c>
      <c r="BK2036" s="81">
        <f>$X2036</f>
        <v/>
      </c>
      <c r="BL2036" s="82">
        <f>($J2036-$J2037)*100</f>
        <v/>
      </c>
      <c r="BM2036" s="82">
        <f>($F2036-$F2037)*100</f>
        <v/>
      </c>
      <c r="BN2036" s="82">
        <f>$AF2036-$AF2037</f>
        <v/>
      </c>
      <c r="BO2036" s="82">
        <f>$AG2036-$AG2037</f>
        <v/>
      </c>
      <c r="BP2036" s="82">
        <f>$AJ2036-$AJ2037</f>
        <v/>
      </c>
    </row>
    <row r="2037">
      <c r="AR2037" s="81">
        <f>($G2037+($H2037-$G2037)*0.5)+($P2037-($O2037+($Q2037-$O2037)*0.5))</f>
        <v/>
      </c>
      <c r="AS2037" s="81">
        <f>($J2037+($K2037-$J2037)*0.5)+($T2037-($S2037+($U2037-$S2037)*0.5))</f>
        <v/>
      </c>
      <c r="AT2037" s="82">
        <f>($J2037-$C2037)*100</f>
        <v/>
      </c>
      <c r="AU2037" s="82">
        <f>($H2037-$F2037)*100</f>
        <v/>
      </c>
      <c r="AV2037" s="82">
        <f>($J2037-$F2037)*100</f>
        <v/>
      </c>
      <c r="AW2037" s="82">
        <f>($L2037-$F2037)*100</f>
        <v/>
      </c>
      <c r="AX2037" s="82">
        <f>($J2037-$H2037)*100</f>
        <v/>
      </c>
      <c r="AY2037" s="82">
        <f>($L2037-$H2037)*100</f>
        <v/>
      </c>
      <c r="AZ2037" s="82">
        <f>($L2037-$J2037)*100</f>
        <v/>
      </c>
      <c r="BA2037" s="82">
        <f>(2*$H2037-$F2037-$J2037)*100</f>
        <v/>
      </c>
      <c r="BB2037" s="82">
        <f>(2*$J2037-$H2037-$L2037)*100</f>
        <v/>
      </c>
      <c r="BC2037" s="82">
        <f>($N2037-$F2037)*100</f>
        <v/>
      </c>
      <c r="BD2037" s="82">
        <f>($Q2037-$H2037)*100</f>
        <v/>
      </c>
      <c r="BE2037" s="82">
        <f>($S2037-$J2037)*100</f>
        <v/>
      </c>
      <c r="BF2037" s="82">
        <f>($V2037-$L2037)*100</f>
        <v/>
      </c>
      <c r="BG2037" s="82">
        <f>$AG2037-$AF2037</f>
        <v/>
      </c>
      <c r="BH2037" s="81">
        <f>IFERROR($AG2037/$AF2037,"")</f>
        <v/>
      </c>
      <c r="BI2037" s="82">
        <f>$AJ2037-$AF2037</f>
        <v/>
      </c>
      <c r="BJ2037" s="81">
        <f>IFERROR($AJ2037/$AG2037,"")</f>
        <v/>
      </c>
      <c r="BK2037" s="81">
        <f>$X2037</f>
        <v/>
      </c>
      <c r="BL2037" s="82">
        <f>($J2037-$J2038)*100</f>
        <v/>
      </c>
      <c r="BM2037" s="82">
        <f>($F2037-$F2038)*100</f>
        <v/>
      </c>
      <c r="BN2037" s="82">
        <f>$AF2037-$AF2038</f>
        <v/>
      </c>
      <c r="BO2037" s="82">
        <f>$AG2037-$AG2038</f>
        <v/>
      </c>
      <c r="BP2037" s="82">
        <f>$AJ2037-$AJ2038</f>
        <v/>
      </c>
    </row>
    <row r="2038">
      <c r="AR2038" s="81">
        <f>($G2038+($H2038-$G2038)*0.5)+($P2038-($O2038+($Q2038-$O2038)*0.5))</f>
        <v/>
      </c>
      <c r="AS2038" s="81">
        <f>($J2038+($K2038-$J2038)*0.5)+($T2038-($S2038+($U2038-$S2038)*0.5))</f>
        <v/>
      </c>
      <c r="AT2038" s="82">
        <f>($J2038-$C2038)*100</f>
        <v/>
      </c>
      <c r="AU2038" s="82">
        <f>($H2038-$F2038)*100</f>
        <v/>
      </c>
      <c r="AV2038" s="82">
        <f>($J2038-$F2038)*100</f>
        <v/>
      </c>
      <c r="AW2038" s="82">
        <f>($L2038-$F2038)*100</f>
        <v/>
      </c>
      <c r="AX2038" s="82">
        <f>($J2038-$H2038)*100</f>
        <v/>
      </c>
      <c r="AY2038" s="82">
        <f>($L2038-$H2038)*100</f>
        <v/>
      </c>
      <c r="AZ2038" s="82">
        <f>($L2038-$J2038)*100</f>
        <v/>
      </c>
      <c r="BA2038" s="82">
        <f>(2*$H2038-$F2038-$J2038)*100</f>
        <v/>
      </c>
      <c r="BB2038" s="82">
        <f>(2*$J2038-$H2038-$L2038)*100</f>
        <v/>
      </c>
      <c r="BC2038" s="82">
        <f>($N2038-$F2038)*100</f>
        <v/>
      </c>
      <c r="BD2038" s="82">
        <f>($Q2038-$H2038)*100</f>
        <v/>
      </c>
      <c r="BE2038" s="82">
        <f>($S2038-$J2038)*100</f>
        <v/>
      </c>
      <c r="BF2038" s="82">
        <f>($V2038-$L2038)*100</f>
        <v/>
      </c>
      <c r="BG2038" s="82">
        <f>$AG2038-$AF2038</f>
        <v/>
      </c>
      <c r="BH2038" s="81">
        <f>IFERROR($AG2038/$AF2038,"")</f>
        <v/>
      </c>
      <c r="BI2038" s="82">
        <f>$AJ2038-$AF2038</f>
        <v/>
      </c>
      <c r="BJ2038" s="81">
        <f>IFERROR($AJ2038/$AG2038,"")</f>
        <v/>
      </c>
      <c r="BK2038" s="81">
        <f>$X2038</f>
        <v/>
      </c>
      <c r="BL2038" s="82">
        <f>($J2038-$J2039)*100</f>
        <v/>
      </c>
      <c r="BM2038" s="82">
        <f>($F2038-$F2039)*100</f>
        <v/>
      </c>
      <c r="BN2038" s="82">
        <f>$AF2038-$AF2039</f>
        <v/>
      </c>
      <c r="BO2038" s="82">
        <f>$AG2038-$AG2039</f>
        <v/>
      </c>
      <c r="BP2038" s="82">
        <f>$AJ2038-$AJ2039</f>
        <v/>
      </c>
    </row>
    <row r="2039">
      <c r="AR2039" s="81">
        <f>($G2039+($H2039-$G2039)*0.5)+($P2039-($O2039+($Q2039-$O2039)*0.5))</f>
        <v/>
      </c>
      <c r="AS2039" s="81">
        <f>($J2039+($K2039-$J2039)*0.5)+($T2039-($S2039+($U2039-$S2039)*0.5))</f>
        <v/>
      </c>
      <c r="AT2039" s="82">
        <f>($J2039-$C2039)*100</f>
        <v/>
      </c>
      <c r="AU2039" s="82">
        <f>($H2039-$F2039)*100</f>
        <v/>
      </c>
      <c r="AV2039" s="82">
        <f>($J2039-$F2039)*100</f>
        <v/>
      </c>
      <c r="AW2039" s="82">
        <f>($L2039-$F2039)*100</f>
        <v/>
      </c>
      <c r="AX2039" s="82">
        <f>($J2039-$H2039)*100</f>
        <v/>
      </c>
      <c r="AY2039" s="82">
        <f>($L2039-$H2039)*100</f>
        <v/>
      </c>
      <c r="AZ2039" s="82">
        <f>($L2039-$J2039)*100</f>
        <v/>
      </c>
      <c r="BA2039" s="82">
        <f>(2*$H2039-$F2039-$J2039)*100</f>
        <v/>
      </c>
      <c r="BB2039" s="82">
        <f>(2*$J2039-$H2039-$L2039)*100</f>
        <v/>
      </c>
      <c r="BC2039" s="82">
        <f>($N2039-$F2039)*100</f>
        <v/>
      </c>
      <c r="BD2039" s="82">
        <f>($Q2039-$H2039)*100</f>
        <v/>
      </c>
      <c r="BE2039" s="82">
        <f>($S2039-$J2039)*100</f>
        <v/>
      </c>
      <c r="BF2039" s="82">
        <f>($V2039-$L2039)*100</f>
        <v/>
      </c>
      <c r="BG2039" s="82">
        <f>$AG2039-$AF2039</f>
        <v/>
      </c>
      <c r="BH2039" s="81">
        <f>IFERROR($AG2039/$AF2039,"")</f>
        <v/>
      </c>
      <c r="BI2039" s="82">
        <f>$AJ2039-$AF2039</f>
        <v/>
      </c>
      <c r="BJ2039" s="81">
        <f>IFERROR($AJ2039/$AG2039,"")</f>
        <v/>
      </c>
      <c r="BK2039" s="81">
        <f>$X2039</f>
        <v/>
      </c>
      <c r="BL2039" s="82">
        <f>($J2039-$J2040)*100</f>
        <v/>
      </c>
      <c r="BM2039" s="82">
        <f>($F2039-$F2040)*100</f>
        <v/>
      </c>
      <c r="BN2039" s="82">
        <f>$AF2039-$AF2040</f>
        <v/>
      </c>
      <c r="BO2039" s="82">
        <f>$AG2039-$AG2040</f>
        <v/>
      </c>
      <c r="BP2039" s="82">
        <f>$AJ2039-$AJ2040</f>
        <v/>
      </c>
    </row>
    <row r="2040">
      <c r="AR2040" s="81">
        <f>($G2040+($H2040-$G2040)*0.5)+($P2040-($O2040+($Q2040-$O2040)*0.5))</f>
        <v/>
      </c>
      <c r="AS2040" s="81">
        <f>($J2040+($K2040-$J2040)*0.5)+($T2040-($S2040+($U2040-$S2040)*0.5))</f>
        <v/>
      </c>
      <c r="AT2040" s="82">
        <f>($J2040-$C2040)*100</f>
        <v/>
      </c>
      <c r="AU2040" s="82">
        <f>($H2040-$F2040)*100</f>
        <v/>
      </c>
      <c r="AV2040" s="82">
        <f>($J2040-$F2040)*100</f>
        <v/>
      </c>
      <c r="AW2040" s="82">
        <f>($L2040-$F2040)*100</f>
        <v/>
      </c>
      <c r="AX2040" s="82">
        <f>($J2040-$H2040)*100</f>
        <v/>
      </c>
      <c r="AY2040" s="82">
        <f>($L2040-$H2040)*100</f>
        <v/>
      </c>
      <c r="AZ2040" s="82">
        <f>($L2040-$J2040)*100</f>
        <v/>
      </c>
      <c r="BA2040" s="82">
        <f>(2*$H2040-$F2040-$J2040)*100</f>
        <v/>
      </c>
      <c r="BB2040" s="82">
        <f>(2*$J2040-$H2040-$L2040)*100</f>
        <v/>
      </c>
      <c r="BC2040" s="82">
        <f>($N2040-$F2040)*100</f>
        <v/>
      </c>
      <c r="BD2040" s="82">
        <f>($Q2040-$H2040)*100</f>
        <v/>
      </c>
      <c r="BE2040" s="82">
        <f>($S2040-$J2040)*100</f>
        <v/>
      </c>
      <c r="BF2040" s="82">
        <f>($V2040-$L2040)*100</f>
        <v/>
      </c>
      <c r="BG2040" s="82">
        <f>$AG2040-$AF2040</f>
        <v/>
      </c>
      <c r="BH2040" s="81">
        <f>IFERROR($AG2040/$AF2040,"")</f>
        <v/>
      </c>
      <c r="BI2040" s="82">
        <f>$AJ2040-$AF2040</f>
        <v/>
      </c>
      <c r="BJ2040" s="81">
        <f>IFERROR($AJ2040/$AG2040,"")</f>
        <v/>
      </c>
      <c r="BK2040" s="81">
        <f>$X2040</f>
        <v/>
      </c>
      <c r="BL2040" s="82">
        <f>($J2040-$J2041)*100</f>
        <v/>
      </c>
      <c r="BM2040" s="82">
        <f>($F2040-$F2041)*100</f>
        <v/>
      </c>
      <c r="BN2040" s="82">
        <f>$AF2040-$AF2041</f>
        <v/>
      </c>
      <c r="BO2040" s="82">
        <f>$AG2040-$AG2041</f>
        <v/>
      </c>
      <c r="BP2040" s="82">
        <f>$AJ2040-$AJ2041</f>
        <v/>
      </c>
    </row>
    <row r="2041">
      <c r="AR2041" s="81">
        <f>($G2041+($H2041-$G2041)*0.5)+($P2041-($O2041+($Q2041-$O2041)*0.5))</f>
        <v/>
      </c>
      <c r="AS2041" s="81">
        <f>($J2041+($K2041-$J2041)*0.5)+($T2041-($S2041+($U2041-$S2041)*0.5))</f>
        <v/>
      </c>
      <c r="AT2041" s="82">
        <f>($J2041-$C2041)*100</f>
        <v/>
      </c>
      <c r="AU2041" s="82">
        <f>($H2041-$F2041)*100</f>
        <v/>
      </c>
      <c r="AV2041" s="82">
        <f>($J2041-$F2041)*100</f>
        <v/>
      </c>
      <c r="AW2041" s="82">
        <f>($L2041-$F2041)*100</f>
        <v/>
      </c>
      <c r="AX2041" s="82">
        <f>($J2041-$H2041)*100</f>
        <v/>
      </c>
      <c r="AY2041" s="82">
        <f>($L2041-$H2041)*100</f>
        <v/>
      </c>
      <c r="AZ2041" s="82">
        <f>($L2041-$J2041)*100</f>
        <v/>
      </c>
      <c r="BA2041" s="82">
        <f>(2*$H2041-$F2041-$J2041)*100</f>
        <v/>
      </c>
      <c r="BB2041" s="82">
        <f>(2*$J2041-$H2041-$L2041)*100</f>
        <v/>
      </c>
      <c r="BC2041" s="82">
        <f>($N2041-$F2041)*100</f>
        <v/>
      </c>
      <c r="BD2041" s="82">
        <f>($Q2041-$H2041)*100</f>
        <v/>
      </c>
      <c r="BE2041" s="82">
        <f>($S2041-$J2041)*100</f>
        <v/>
      </c>
      <c r="BF2041" s="82">
        <f>($V2041-$L2041)*100</f>
        <v/>
      </c>
      <c r="BG2041" s="82">
        <f>$AG2041-$AF2041</f>
        <v/>
      </c>
      <c r="BH2041" s="81">
        <f>IFERROR($AG2041/$AF2041,"")</f>
        <v/>
      </c>
      <c r="BI2041" s="82">
        <f>$AJ2041-$AF2041</f>
        <v/>
      </c>
      <c r="BJ2041" s="81">
        <f>IFERROR($AJ2041/$AG2041,"")</f>
        <v/>
      </c>
      <c r="BK2041" s="81">
        <f>$X2041</f>
        <v/>
      </c>
      <c r="BL2041" s="82">
        <f>($J2041-$J2042)*100</f>
        <v/>
      </c>
      <c r="BM2041" s="82">
        <f>($F2041-$F2042)*100</f>
        <v/>
      </c>
      <c r="BN2041" s="82">
        <f>$AF2041-$AF2042</f>
        <v/>
      </c>
      <c r="BO2041" s="82">
        <f>$AG2041-$AG2042</f>
        <v/>
      </c>
      <c r="BP2041" s="82">
        <f>$AJ2041-$AJ2042</f>
        <v/>
      </c>
    </row>
    <row r="2042">
      <c r="AR2042" s="81">
        <f>($G2042+($H2042-$G2042)*0.5)+($P2042-($O2042+($Q2042-$O2042)*0.5))</f>
        <v/>
      </c>
      <c r="AS2042" s="81">
        <f>($J2042+($K2042-$J2042)*0.5)+($T2042-($S2042+($U2042-$S2042)*0.5))</f>
        <v/>
      </c>
      <c r="AT2042" s="82">
        <f>($J2042-$C2042)*100</f>
        <v/>
      </c>
      <c r="AU2042" s="82">
        <f>($H2042-$F2042)*100</f>
        <v/>
      </c>
      <c r="AV2042" s="82">
        <f>($J2042-$F2042)*100</f>
        <v/>
      </c>
      <c r="AW2042" s="82">
        <f>($L2042-$F2042)*100</f>
        <v/>
      </c>
      <c r="AX2042" s="82">
        <f>($J2042-$H2042)*100</f>
        <v/>
      </c>
      <c r="AY2042" s="82">
        <f>($L2042-$H2042)*100</f>
        <v/>
      </c>
      <c r="AZ2042" s="82">
        <f>($L2042-$J2042)*100</f>
        <v/>
      </c>
      <c r="BA2042" s="82">
        <f>(2*$H2042-$F2042-$J2042)*100</f>
        <v/>
      </c>
      <c r="BB2042" s="82">
        <f>(2*$J2042-$H2042-$L2042)*100</f>
        <v/>
      </c>
      <c r="BC2042" s="82">
        <f>($N2042-$F2042)*100</f>
        <v/>
      </c>
      <c r="BD2042" s="82">
        <f>($Q2042-$H2042)*100</f>
        <v/>
      </c>
      <c r="BE2042" s="82">
        <f>($S2042-$J2042)*100</f>
        <v/>
      </c>
      <c r="BF2042" s="82">
        <f>($V2042-$L2042)*100</f>
        <v/>
      </c>
      <c r="BG2042" s="82">
        <f>$AG2042-$AF2042</f>
        <v/>
      </c>
      <c r="BH2042" s="81">
        <f>IFERROR($AG2042/$AF2042,"")</f>
        <v/>
      </c>
      <c r="BI2042" s="82">
        <f>$AJ2042-$AF2042</f>
        <v/>
      </c>
      <c r="BJ2042" s="81">
        <f>IFERROR($AJ2042/$AG2042,"")</f>
        <v/>
      </c>
      <c r="BK2042" s="81">
        <f>$X2042</f>
        <v/>
      </c>
      <c r="BL2042" s="82">
        <f>($J2042-$J2043)*100</f>
        <v/>
      </c>
      <c r="BM2042" s="82">
        <f>($F2042-$F2043)*100</f>
        <v/>
      </c>
      <c r="BN2042" s="82">
        <f>$AF2042-$AF2043</f>
        <v/>
      </c>
      <c r="BO2042" s="82">
        <f>$AG2042-$AG2043</f>
        <v/>
      </c>
      <c r="BP2042" s="82">
        <f>$AJ2042-$AJ2043</f>
        <v/>
      </c>
    </row>
    <row r="2043">
      <c r="AR2043" s="81">
        <f>($G2043+($H2043-$G2043)*0.5)+($P2043-($O2043+($Q2043-$O2043)*0.5))</f>
        <v/>
      </c>
      <c r="AS2043" s="81">
        <f>($J2043+($K2043-$J2043)*0.5)+($T2043-($S2043+($U2043-$S2043)*0.5))</f>
        <v/>
      </c>
      <c r="AT2043" s="82">
        <f>($J2043-$C2043)*100</f>
        <v/>
      </c>
      <c r="AU2043" s="82">
        <f>($H2043-$F2043)*100</f>
        <v/>
      </c>
      <c r="AV2043" s="82">
        <f>($J2043-$F2043)*100</f>
        <v/>
      </c>
      <c r="AW2043" s="82">
        <f>($L2043-$F2043)*100</f>
        <v/>
      </c>
      <c r="AX2043" s="82">
        <f>($J2043-$H2043)*100</f>
        <v/>
      </c>
      <c r="AY2043" s="82">
        <f>($L2043-$H2043)*100</f>
        <v/>
      </c>
      <c r="AZ2043" s="82">
        <f>($L2043-$J2043)*100</f>
        <v/>
      </c>
      <c r="BA2043" s="82">
        <f>(2*$H2043-$F2043-$J2043)*100</f>
        <v/>
      </c>
      <c r="BB2043" s="82">
        <f>(2*$J2043-$H2043-$L2043)*100</f>
        <v/>
      </c>
      <c r="BC2043" s="82">
        <f>($N2043-$F2043)*100</f>
        <v/>
      </c>
      <c r="BD2043" s="82">
        <f>($Q2043-$H2043)*100</f>
        <v/>
      </c>
      <c r="BE2043" s="82">
        <f>($S2043-$J2043)*100</f>
        <v/>
      </c>
      <c r="BF2043" s="82">
        <f>($V2043-$L2043)*100</f>
        <v/>
      </c>
      <c r="BG2043" s="82">
        <f>$AG2043-$AF2043</f>
        <v/>
      </c>
      <c r="BH2043" s="81">
        <f>IFERROR($AG2043/$AF2043,"")</f>
        <v/>
      </c>
      <c r="BI2043" s="82">
        <f>$AJ2043-$AF2043</f>
        <v/>
      </c>
      <c r="BJ2043" s="81">
        <f>IFERROR($AJ2043/$AG2043,"")</f>
        <v/>
      </c>
      <c r="BK2043" s="81">
        <f>$X2043</f>
        <v/>
      </c>
      <c r="BL2043" s="82">
        <f>($J2043-$J2044)*100</f>
        <v/>
      </c>
      <c r="BM2043" s="82">
        <f>($F2043-$F2044)*100</f>
        <v/>
      </c>
      <c r="BN2043" s="82">
        <f>$AF2043-$AF2044</f>
        <v/>
      </c>
      <c r="BO2043" s="82">
        <f>$AG2043-$AG2044</f>
        <v/>
      </c>
      <c r="BP2043" s="82">
        <f>$AJ2043-$AJ2044</f>
        <v/>
      </c>
    </row>
    <row r="2044">
      <c r="AR2044" s="81">
        <f>($G2044+($H2044-$G2044)*0.5)+($P2044-($O2044+($Q2044-$O2044)*0.5))</f>
        <v/>
      </c>
      <c r="AS2044" s="81">
        <f>($J2044+($K2044-$J2044)*0.5)+($T2044-($S2044+($U2044-$S2044)*0.5))</f>
        <v/>
      </c>
      <c r="AT2044" s="82">
        <f>($J2044-$C2044)*100</f>
        <v/>
      </c>
      <c r="AU2044" s="82">
        <f>($H2044-$F2044)*100</f>
        <v/>
      </c>
      <c r="AV2044" s="82">
        <f>($J2044-$F2044)*100</f>
        <v/>
      </c>
      <c r="AW2044" s="82">
        <f>($L2044-$F2044)*100</f>
        <v/>
      </c>
      <c r="AX2044" s="82">
        <f>($J2044-$H2044)*100</f>
        <v/>
      </c>
      <c r="AY2044" s="82">
        <f>($L2044-$H2044)*100</f>
        <v/>
      </c>
      <c r="AZ2044" s="82">
        <f>($L2044-$J2044)*100</f>
        <v/>
      </c>
      <c r="BA2044" s="82">
        <f>(2*$H2044-$F2044-$J2044)*100</f>
        <v/>
      </c>
      <c r="BB2044" s="82">
        <f>(2*$J2044-$H2044-$L2044)*100</f>
        <v/>
      </c>
      <c r="BC2044" s="82">
        <f>($N2044-$F2044)*100</f>
        <v/>
      </c>
      <c r="BD2044" s="82">
        <f>($Q2044-$H2044)*100</f>
        <v/>
      </c>
      <c r="BE2044" s="82">
        <f>($S2044-$J2044)*100</f>
        <v/>
      </c>
      <c r="BF2044" s="82">
        <f>($V2044-$L2044)*100</f>
        <v/>
      </c>
      <c r="BG2044" s="82">
        <f>$AG2044-$AF2044</f>
        <v/>
      </c>
      <c r="BH2044" s="81">
        <f>IFERROR($AG2044/$AF2044,"")</f>
        <v/>
      </c>
      <c r="BI2044" s="82">
        <f>$AJ2044-$AF2044</f>
        <v/>
      </c>
      <c r="BJ2044" s="81">
        <f>IFERROR($AJ2044/$AG2044,"")</f>
        <v/>
      </c>
      <c r="BK2044" s="81">
        <f>$X2044</f>
        <v/>
      </c>
      <c r="BL2044" s="82">
        <f>($J2044-$J2045)*100</f>
        <v/>
      </c>
      <c r="BM2044" s="82">
        <f>($F2044-$F2045)*100</f>
        <v/>
      </c>
      <c r="BN2044" s="82">
        <f>$AF2044-$AF2045</f>
        <v/>
      </c>
      <c r="BO2044" s="82">
        <f>$AG2044-$AG2045</f>
        <v/>
      </c>
      <c r="BP2044" s="82">
        <f>$AJ2044-$AJ2045</f>
        <v/>
      </c>
    </row>
    <row r="2045">
      <c r="AR2045" s="81">
        <f>($G2045+($H2045-$G2045)*0.5)+($P2045-($O2045+($Q2045-$O2045)*0.5))</f>
        <v/>
      </c>
      <c r="AS2045" s="81">
        <f>($J2045+($K2045-$J2045)*0.5)+($T2045-($S2045+($U2045-$S2045)*0.5))</f>
        <v/>
      </c>
      <c r="AT2045" s="82">
        <f>($J2045-$C2045)*100</f>
        <v/>
      </c>
      <c r="AU2045" s="82">
        <f>($H2045-$F2045)*100</f>
        <v/>
      </c>
      <c r="AV2045" s="82">
        <f>($J2045-$F2045)*100</f>
        <v/>
      </c>
      <c r="AW2045" s="82">
        <f>($L2045-$F2045)*100</f>
        <v/>
      </c>
      <c r="AX2045" s="82">
        <f>($J2045-$H2045)*100</f>
        <v/>
      </c>
      <c r="AY2045" s="82">
        <f>($L2045-$H2045)*100</f>
        <v/>
      </c>
      <c r="AZ2045" s="82">
        <f>($L2045-$J2045)*100</f>
        <v/>
      </c>
      <c r="BA2045" s="82">
        <f>(2*$H2045-$F2045-$J2045)*100</f>
        <v/>
      </c>
      <c r="BB2045" s="82">
        <f>(2*$J2045-$H2045-$L2045)*100</f>
        <v/>
      </c>
      <c r="BC2045" s="82">
        <f>($N2045-$F2045)*100</f>
        <v/>
      </c>
      <c r="BD2045" s="82">
        <f>($Q2045-$H2045)*100</f>
        <v/>
      </c>
      <c r="BE2045" s="82">
        <f>($S2045-$J2045)*100</f>
        <v/>
      </c>
      <c r="BF2045" s="82">
        <f>($V2045-$L2045)*100</f>
        <v/>
      </c>
      <c r="BG2045" s="82">
        <f>$AG2045-$AF2045</f>
        <v/>
      </c>
      <c r="BH2045" s="81">
        <f>IFERROR($AG2045/$AF2045,"")</f>
        <v/>
      </c>
      <c r="BI2045" s="82">
        <f>$AJ2045-$AF2045</f>
        <v/>
      </c>
      <c r="BJ2045" s="81">
        <f>IFERROR($AJ2045/$AG2045,"")</f>
        <v/>
      </c>
      <c r="BK2045" s="81">
        <f>$X2045</f>
        <v/>
      </c>
      <c r="BL2045" s="82">
        <f>($J2045-$J2046)*100</f>
        <v/>
      </c>
      <c r="BM2045" s="82">
        <f>($F2045-$F2046)*100</f>
        <v/>
      </c>
      <c r="BN2045" s="82">
        <f>$AF2045-$AF2046</f>
        <v/>
      </c>
      <c r="BO2045" s="82">
        <f>$AG2045-$AG2046</f>
        <v/>
      </c>
      <c r="BP2045" s="82">
        <f>$AJ2045-$AJ2046</f>
        <v/>
      </c>
    </row>
    <row r="2046">
      <c r="AR2046" s="81">
        <f>($G2046+($H2046-$G2046)*0.5)+($P2046-($O2046+($Q2046-$O2046)*0.5))</f>
        <v/>
      </c>
      <c r="AS2046" s="81">
        <f>($J2046+($K2046-$J2046)*0.5)+($T2046-($S2046+($U2046-$S2046)*0.5))</f>
        <v/>
      </c>
      <c r="AT2046" s="82">
        <f>($J2046-$C2046)*100</f>
        <v/>
      </c>
      <c r="AU2046" s="82">
        <f>($H2046-$F2046)*100</f>
        <v/>
      </c>
      <c r="AV2046" s="82">
        <f>($J2046-$F2046)*100</f>
        <v/>
      </c>
      <c r="AW2046" s="82">
        <f>($L2046-$F2046)*100</f>
        <v/>
      </c>
      <c r="AX2046" s="82">
        <f>($J2046-$H2046)*100</f>
        <v/>
      </c>
      <c r="AY2046" s="82">
        <f>($L2046-$H2046)*100</f>
        <v/>
      </c>
      <c r="AZ2046" s="82">
        <f>($L2046-$J2046)*100</f>
        <v/>
      </c>
      <c r="BA2046" s="82">
        <f>(2*$H2046-$F2046-$J2046)*100</f>
        <v/>
      </c>
      <c r="BB2046" s="82">
        <f>(2*$J2046-$H2046-$L2046)*100</f>
        <v/>
      </c>
      <c r="BC2046" s="82">
        <f>($N2046-$F2046)*100</f>
        <v/>
      </c>
      <c r="BD2046" s="82">
        <f>($Q2046-$H2046)*100</f>
        <v/>
      </c>
      <c r="BE2046" s="82">
        <f>($S2046-$J2046)*100</f>
        <v/>
      </c>
      <c r="BF2046" s="82">
        <f>($V2046-$L2046)*100</f>
        <v/>
      </c>
      <c r="BG2046" s="82">
        <f>$AG2046-$AF2046</f>
        <v/>
      </c>
      <c r="BH2046" s="81">
        <f>IFERROR($AG2046/$AF2046,"")</f>
        <v/>
      </c>
      <c r="BI2046" s="82">
        <f>$AJ2046-$AF2046</f>
        <v/>
      </c>
      <c r="BJ2046" s="81">
        <f>IFERROR($AJ2046/$AG2046,"")</f>
        <v/>
      </c>
      <c r="BK2046" s="81">
        <f>$X2046</f>
        <v/>
      </c>
      <c r="BL2046" s="82">
        <f>($J2046-$J2047)*100</f>
        <v/>
      </c>
      <c r="BM2046" s="82">
        <f>($F2046-$F2047)*100</f>
        <v/>
      </c>
      <c r="BN2046" s="82">
        <f>$AF2046-$AF2047</f>
        <v/>
      </c>
      <c r="BO2046" s="82">
        <f>$AG2046-$AG2047</f>
        <v/>
      </c>
      <c r="BP2046" s="82">
        <f>$AJ2046-$AJ2047</f>
        <v/>
      </c>
    </row>
    <row r="2047">
      <c r="AR2047" s="81">
        <f>($G2047+($H2047-$G2047)*0.5)+($P2047-($O2047+($Q2047-$O2047)*0.5))</f>
        <v/>
      </c>
      <c r="AS2047" s="81">
        <f>($J2047+($K2047-$J2047)*0.5)+($T2047-($S2047+($U2047-$S2047)*0.5))</f>
        <v/>
      </c>
      <c r="AT2047" s="82">
        <f>($J2047-$C2047)*100</f>
        <v/>
      </c>
      <c r="AU2047" s="82">
        <f>($H2047-$F2047)*100</f>
        <v/>
      </c>
      <c r="AV2047" s="82">
        <f>($J2047-$F2047)*100</f>
        <v/>
      </c>
      <c r="AW2047" s="82">
        <f>($L2047-$F2047)*100</f>
        <v/>
      </c>
      <c r="AX2047" s="82">
        <f>($J2047-$H2047)*100</f>
        <v/>
      </c>
      <c r="AY2047" s="82">
        <f>($L2047-$H2047)*100</f>
        <v/>
      </c>
      <c r="AZ2047" s="82">
        <f>($L2047-$J2047)*100</f>
        <v/>
      </c>
      <c r="BA2047" s="82">
        <f>(2*$H2047-$F2047-$J2047)*100</f>
        <v/>
      </c>
      <c r="BB2047" s="82">
        <f>(2*$J2047-$H2047-$L2047)*100</f>
        <v/>
      </c>
      <c r="BC2047" s="82">
        <f>($N2047-$F2047)*100</f>
        <v/>
      </c>
      <c r="BD2047" s="82">
        <f>($Q2047-$H2047)*100</f>
        <v/>
      </c>
      <c r="BE2047" s="82">
        <f>($S2047-$J2047)*100</f>
        <v/>
      </c>
      <c r="BF2047" s="82">
        <f>($V2047-$L2047)*100</f>
        <v/>
      </c>
      <c r="BG2047" s="82">
        <f>$AG2047-$AF2047</f>
        <v/>
      </c>
      <c r="BH2047" s="81">
        <f>IFERROR($AG2047/$AF2047,"")</f>
        <v/>
      </c>
      <c r="BI2047" s="82">
        <f>$AJ2047-$AF2047</f>
        <v/>
      </c>
      <c r="BJ2047" s="81">
        <f>IFERROR($AJ2047/$AG2047,"")</f>
        <v/>
      </c>
      <c r="BK2047" s="81">
        <f>$X2047</f>
        <v/>
      </c>
      <c r="BL2047" s="82">
        <f>($J2047-$J2048)*100</f>
        <v/>
      </c>
      <c r="BM2047" s="82">
        <f>($F2047-$F2048)*100</f>
        <v/>
      </c>
      <c r="BN2047" s="82">
        <f>$AF2047-$AF2048</f>
        <v/>
      </c>
      <c r="BO2047" s="82">
        <f>$AG2047-$AG2048</f>
        <v/>
      </c>
      <c r="BP2047" s="82">
        <f>$AJ2047-$AJ2048</f>
        <v/>
      </c>
    </row>
    <row r="2048">
      <c r="AR2048" s="81">
        <f>($G2048+($H2048-$G2048)*0.5)+($P2048-($O2048+($Q2048-$O2048)*0.5))</f>
        <v/>
      </c>
      <c r="AS2048" s="81">
        <f>($J2048+($K2048-$J2048)*0.5)+($T2048-($S2048+($U2048-$S2048)*0.5))</f>
        <v/>
      </c>
      <c r="AT2048" s="82">
        <f>($J2048-$C2048)*100</f>
        <v/>
      </c>
      <c r="AU2048" s="82">
        <f>($H2048-$F2048)*100</f>
        <v/>
      </c>
      <c r="AV2048" s="82">
        <f>($J2048-$F2048)*100</f>
        <v/>
      </c>
      <c r="AW2048" s="82">
        <f>($L2048-$F2048)*100</f>
        <v/>
      </c>
      <c r="AX2048" s="82">
        <f>($J2048-$H2048)*100</f>
        <v/>
      </c>
      <c r="AY2048" s="82">
        <f>($L2048-$H2048)*100</f>
        <v/>
      </c>
      <c r="AZ2048" s="82">
        <f>($L2048-$J2048)*100</f>
        <v/>
      </c>
      <c r="BA2048" s="82">
        <f>(2*$H2048-$F2048-$J2048)*100</f>
        <v/>
      </c>
      <c r="BB2048" s="82">
        <f>(2*$J2048-$H2048-$L2048)*100</f>
        <v/>
      </c>
      <c r="BC2048" s="82">
        <f>($N2048-$F2048)*100</f>
        <v/>
      </c>
      <c r="BD2048" s="82">
        <f>($Q2048-$H2048)*100</f>
        <v/>
      </c>
      <c r="BE2048" s="82">
        <f>($S2048-$J2048)*100</f>
        <v/>
      </c>
      <c r="BF2048" s="82">
        <f>($V2048-$L2048)*100</f>
        <v/>
      </c>
      <c r="BG2048" s="82">
        <f>$AG2048-$AF2048</f>
        <v/>
      </c>
      <c r="BH2048" s="81">
        <f>IFERROR($AG2048/$AF2048,"")</f>
        <v/>
      </c>
      <c r="BI2048" s="82">
        <f>$AJ2048-$AF2048</f>
        <v/>
      </c>
      <c r="BJ2048" s="81">
        <f>IFERROR($AJ2048/$AG2048,"")</f>
        <v/>
      </c>
      <c r="BK2048" s="81">
        <f>$X2048</f>
        <v/>
      </c>
      <c r="BL2048" s="82">
        <f>($J2048-$J2049)*100</f>
        <v/>
      </c>
      <c r="BM2048" s="82">
        <f>($F2048-$F2049)*100</f>
        <v/>
      </c>
      <c r="BN2048" s="82">
        <f>$AF2048-$AF2049</f>
        <v/>
      </c>
      <c r="BO2048" s="82">
        <f>$AG2048-$AG2049</f>
        <v/>
      </c>
      <c r="BP2048" s="82">
        <f>$AJ2048-$AJ2049</f>
        <v/>
      </c>
    </row>
    <row r="2049">
      <c r="AR2049" s="81">
        <f>($G2049+($H2049-$G2049)*0.5)+($P2049-($O2049+($Q2049-$O2049)*0.5))</f>
        <v/>
      </c>
      <c r="AS2049" s="81">
        <f>($J2049+($K2049-$J2049)*0.5)+($T2049-($S2049+($U2049-$S2049)*0.5))</f>
        <v/>
      </c>
      <c r="AT2049" s="82">
        <f>($J2049-$C2049)*100</f>
        <v/>
      </c>
      <c r="AU2049" s="82">
        <f>($H2049-$F2049)*100</f>
        <v/>
      </c>
      <c r="AV2049" s="82">
        <f>($J2049-$F2049)*100</f>
        <v/>
      </c>
      <c r="AW2049" s="82">
        <f>($L2049-$F2049)*100</f>
        <v/>
      </c>
      <c r="AX2049" s="82">
        <f>($J2049-$H2049)*100</f>
        <v/>
      </c>
      <c r="AY2049" s="82">
        <f>($L2049-$H2049)*100</f>
        <v/>
      </c>
      <c r="AZ2049" s="82">
        <f>($L2049-$J2049)*100</f>
        <v/>
      </c>
      <c r="BA2049" s="82">
        <f>(2*$H2049-$F2049-$J2049)*100</f>
        <v/>
      </c>
      <c r="BB2049" s="82">
        <f>(2*$J2049-$H2049-$L2049)*100</f>
        <v/>
      </c>
      <c r="BC2049" s="82">
        <f>($N2049-$F2049)*100</f>
        <v/>
      </c>
      <c r="BD2049" s="82">
        <f>($Q2049-$H2049)*100</f>
        <v/>
      </c>
      <c r="BE2049" s="82">
        <f>($S2049-$J2049)*100</f>
        <v/>
      </c>
      <c r="BF2049" s="82">
        <f>($V2049-$L2049)*100</f>
        <v/>
      </c>
      <c r="BG2049" s="82">
        <f>$AG2049-$AF2049</f>
        <v/>
      </c>
      <c r="BH2049" s="81">
        <f>IFERROR($AG2049/$AF2049,"")</f>
        <v/>
      </c>
      <c r="BI2049" s="82">
        <f>$AJ2049-$AF2049</f>
        <v/>
      </c>
      <c r="BJ2049" s="81">
        <f>IFERROR($AJ2049/$AG2049,"")</f>
        <v/>
      </c>
      <c r="BK2049" s="81">
        <f>$X2049</f>
        <v/>
      </c>
      <c r="BL2049" s="82">
        <f>($J2049-$J2050)*100</f>
        <v/>
      </c>
      <c r="BM2049" s="82">
        <f>($F2049-$F2050)*100</f>
        <v/>
      </c>
      <c r="BN2049" s="82">
        <f>$AF2049-$AF2050</f>
        <v/>
      </c>
      <c r="BO2049" s="82">
        <f>$AG2049-$AG2050</f>
        <v/>
      </c>
      <c r="BP2049" s="82">
        <f>$AJ2049-$AJ2050</f>
        <v/>
      </c>
    </row>
    <row r="2050">
      <c r="AR2050" s="81">
        <f>($G2050+($H2050-$G2050)*0.5)+($P2050-($O2050+($Q2050-$O2050)*0.5))</f>
        <v/>
      </c>
      <c r="AS2050" s="81">
        <f>($J2050+($K2050-$J2050)*0.5)+($T2050-($S2050+($U2050-$S2050)*0.5))</f>
        <v/>
      </c>
      <c r="AT2050" s="82">
        <f>($J2050-$C2050)*100</f>
        <v/>
      </c>
      <c r="AU2050" s="82">
        <f>($H2050-$F2050)*100</f>
        <v/>
      </c>
      <c r="AV2050" s="82">
        <f>($J2050-$F2050)*100</f>
        <v/>
      </c>
      <c r="AW2050" s="82">
        <f>($L2050-$F2050)*100</f>
        <v/>
      </c>
      <c r="AX2050" s="82">
        <f>($J2050-$H2050)*100</f>
        <v/>
      </c>
      <c r="AY2050" s="82">
        <f>($L2050-$H2050)*100</f>
        <v/>
      </c>
      <c r="AZ2050" s="82">
        <f>($L2050-$J2050)*100</f>
        <v/>
      </c>
      <c r="BA2050" s="82">
        <f>(2*$H2050-$F2050-$J2050)*100</f>
        <v/>
      </c>
      <c r="BB2050" s="82">
        <f>(2*$J2050-$H2050-$L2050)*100</f>
        <v/>
      </c>
      <c r="BC2050" s="82">
        <f>($N2050-$F2050)*100</f>
        <v/>
      </c>
      <c r="BD2050" s="82">
        <f>($Q2050-$H2050)*100</f>
        <v/>
      </c>
      <c r="BE2050" s="82">
        <f>($S2050-$J2050)*100</f>
        <v/>
      </c>
      <c r="BF2050" s="82">
        <f>($V2050-$L2050)*100</f>
        <v/>
      </c>
      <c r="BG2050" s="82">
        <f>$AG2050-$AF2050</f>
        <v/>
      </c>
      <c r="BH2050" s="81">
        <f>IFERROR($AG2050/$AF2050,"")</f>
        <v/>
      </c>
      <c r="BI2050" s="82">
        <f>$AJ2050-$AF2050</f>
        <v/>
      </c>
      <c r="BJ2050" s="81">
        <f>IFERROR($AJ2050/$AG2050,"")</f>
        <v/>
      </c>
      <c r="BK2050" s="81">
        <f>$X2050</f>
        <v/>
      </c>
      <c r="BL2050" s="82">
        <f>($J2050-$J2051)*100</f>
        <v/>
      </c>
      <c r="BM2050" s="82">
        <f>($F2050-$F2051)*100</f>
        <v/>
      </c>
      <c r="BN2050" s="82">
        <f>$AF2050-$AF2051</f>
        <v/>
      </c>
      <c r="BO2050" s="82">
        <f>$AG2050-$AG2051</f>
        <v/>
      </c>
      <c r="BP2050" s="82">
        <f>$AJ2050-$AJ2051</f>
        <v/>
      </c>
    </row>
    <row r="2051">
      <c r="AR2051" s="81">
        <f>($G2051+($H2051-$G2051)*0.5)+($P2051-($O2051+($Q2051-$O2051)*0.5))</f>
        <v/>
      </c>
      <c r="AS2051" s="81">
        <f>($J2051+($K2051-$J2051)*0.5)+($T2051-($S2051+($U2051-$S2051)*0.5))</f>
        <v/>
      </c>
      <c r="AT2051" s="82">
        <f>($J2051-$C2051)*100</f>
        <v/>
      </c>
      <c r="AU2051" s="82">
        <f>($H2051-$F2051)*100</f>
        <v/>
      </c>
      <c r="AV2051" s="82">
        <f>($J2051-$F2051)*100</f>
        <v/>
      </c>
      <c r="AW2051" s="82">
        <f>($L2051-$F2051)*100</f>
        <v/>
      </c>
      <c r="AX2051" s="82">
        <f>($J2051-$H2051)*100</f>
        <v/>
      </c>
      <c r="AY2051" s="82">
        <f>($L2051-$H2051)*100</f>
        <v/>
      </c>
      <c r="AZ2051" s="82">
        <f>($L2051-$J2051)*100</f>
        <v/>
      </c>
      <c r="BA2051" s="82">
        <f>(2*$H2051-$F2051-$J2051)*100</f>
        <v/>
      </c>
      <c r="BB2051" s="82">
        <f>(2*$J2051-$H2051-$L2051)*100</f>
        <v/>
      </c>
      <c r="BC2051" s="82">
        <f>($N2051-$F2051)*100</f>
        <v/>
      </c>
      <c r="BD2051" s="82">
        <f>($Q2051-$H2051)*100</f>
        <v/>
      </c>
      <c r="BE2051" s="82">
        <f>($S2051-$J2051)*100</f>
        <v/>
      </c>
      <c r="BF2051" s="82">
        <f>($V2051-$L2051)*100</f>
        <v/>
      </c>
      <c r="BG2051" s="82">
        <f>$AG2051-$AF2051</f>
        <v/>
      </c>
      <c r="BH2051" s="81">
        <f>IFERROR($AG2051/$AF2051,"")</f>
        <v/>
      </c>
      <c r="BI2051" s="82">
        <f>$AJ2051-$AF2051</f>
        <v/>
      </c>
      <c r="BJ2051" s="81">
        <f>IFERROR($AJ2051/$AG2051,"")</f>
        <v/>
      </c>
      <c r="BK2051" s="81">
        <f>$X2051</f>
        <v/>
      </c>
      <c r="BL2051" s="82">
        <f>($J2051-$J2052)*100</f>
        <v/>
      </c>
      <c r="BM2051" s="82">
        <f>($F2051-$F2052)*100</f>
        <v/>
      </c>
      <c r="BN2051" s="82">
        <f>$AF2051-$AF2052</f>
        <v/>
      </c>
      <c r="BO2051" s="82">
        <f>$AG2051-$AG2052</f>
        <v/>
      </c>
      <c r="BP2051" s="82">
        <f>$AJ2051-$AJ2052</f>
        <v/>
      </c>
    </row>
    <row r="2052">
      <c r="AR2052" s="81">
        <f>($G2052+($H2052-$G2052)*0.5)+($P2052-($O2052+($Q2052-$O2052)*0.5))</f>
        <v/>
      </c>
      <c r="AS2052" s="81">
        <f>($J2052+($K2052-$J2052)*0.5)+($T2052-($S2052+($U2052-$S2052)*0.5))</f>
        <v/>
      </c>
      <c r="AT2052" s="82">
        <f>($J2052-$C2052)*100</f>
        <v/>
      </c>
      <c r="AU2052" s="82">
        <f>($H2052-$F2052)*100</f>
        <v/>
      </c>
      <c r="AV2052" s="82">
        <f>($J2052-$F2052)*100</f>
        <v/>
      </c>
      <c r="AW2052" s="82">
        <f>($L2052-$F2052)*100</f>
        <v/>
      </c>
      <c r="AX2052" s="82">
        <f>($J2052-$H2052)*100</f>
        <v/>
      </c>
      <c r="AY2052" s="82">
        <f>($L2052-$H2052)*100</f>
        <v/>
      </c>
      <c r="AZ2052" s="82">
        <f>($L2052-$J2052)*100</f>
        <v/>
      </c>
      <c r="BA2052" s="82">
        <f>(2*$H2052-$F2052-$J2052)*100</f>
        <v/>
      </c>
      <c r="BB2052" s="82">
        <f>(2*$J2052-$H2052-$L2052)*100</f>
        <v/>
      </c>
      <c r="BC2052" s="82">
        <f>($N2052-$F2052)*100</f>
        <v/>
      </c>
      <c r="BD2052" s="82">
        <f>($Q2052-$H2052)*100</f>
        <v/>
      </c>
      <c r="BE2052" s="82">
        <f>($S2052-$J2052)*100</f>
        <v/>
      </c>
      <c r="BF2052" s="82">
        <f>($V2052-$L2052)*100</f>
        <v/>
      </c>
      <c r="BG2052" s="82">
        <f>$AG2052-$AF2052</f>
        <v/>
      </c>
      <c r="BH2052" s="81">
        <f>IFERROR($AG2052/$AF2052,"")</f>
        <v/>
      </c>
      <c r="BI2052" s="82">
        <f>$AJ2052-$AF2052</f>
        <v/>
      </c>
      <c r="BJ2052" s="81">
        <f>IFERROR($AJ2052/$AG2052,"")</f>
        <v/>
      </c>
      <c r="BK2052" s="81">
        <f>$X2052</f>
        <v/>
      </c>
      <c r="BL2052" s="82">
        <f>($J2052-$J2053)*100</f>
        <v/>
      </c>
      <c r="BM2052" s="82">
        <f>($F2052-$F2053)*100</f>
        <v/>
      </c>
      <c r="BN2052" s="82">
        <f>$AF2052-$AF2053</f>
        <v/>
      </c>
      <c r="BO2052" s="82">
        <f>$AG2052-$AG2053</f>
        <v/>
      </c>
      <c r="BP2052" s="82">
        <f>$AJ2052-$AJ2053</f>
        <v/>
      </c>
    </row>
    <row r="2053">
      <c r="AR2053" s="81">
        <f>($G2053+($H2053-$G2053)*0.5)+($P2053-($O2053+($Q2053-$O2053)*0.5))</f>
        <v/>
      </c>
      <c r="AS2053" s="81">
        <f>($J2053+($K2053-$J2053)*0.5)+($T2053-($S2053+($U2053-$S2053)*0.5))</f>
        <v/>
      </c>
      <c r="AT2053" s="82">
        <f>($J2053-$C2053)*100</f>
        <v/>
      </c>
      <c r="AU2053" s="82">
        <f>($H2053-$F2053)*100</f>
        <v/>
      </c>
      <c r="AV2053" s="82">
        <f>($J2053-$F2053)*100</f>
        <v/>
      </c>
      <c r="AW2053" s="82">
        <f>($L2053-$F2053)*100</f>
        <v/>
      </c>
      <c r="AX2053" s="82">
        <f>($J2053-$H2053)*100</f>
        <v/>
      </c>
      <c r="AY2053" s="82">
        <f>($L2053-$H2053)*100</f>
        <v/>
      </c>
      <c r="AZ2053" s="82">
        <f>($L2053-$J2053)*100</f>
        <v/>
      </c>
      <c r="BA2053" s="82">
        <f>(2*$H2053-$F2053-$J2053)*100</f>
        <v/>
      </c>
      <c r="BB2053" s="82">
        <f>(2*$J2053-$H2053-$L2053)*100</f>
        <v/>
      </c>
      <c r="BC2053" s="82">
        <f>($N2053-$F2053)*100</f>
        <v/>
      </c>
      <c r="BD2053" s="82">
        <f>($Q2053-$H2053)*100</f>
        <v/>
      </c>
      <c r="BE2053" s="82">
        <f>($S2053-$J2053)*100</f>
        <v/>
      </c>
      <c r="BF2053" s="82">
        <f>($V2053-$L2053)*100</f>
        <v/>
      </c>
      <c r="BG2053" s="82">
        <f>$AG2053-$AF2053</f>
        <v/>
      </c>
      <c r="BH2053" s="81">
        <f>IFERROR($AG2053/$AF2053,"")</f>
        <v/>
      </c>
      <c r="BI2053" s="82">
        <f>$AJ2053-$AF2053</f>
        <v/>
      </c>
      <c r="BJ2053" s="81">
        <f>IFERROR($AJ2053/$AG2053,"")</f>
        <v/>
      </c>
      <c r="BK2053" s="81">
        <f>$X2053</f>
        <v/>
      </c>
      <c r="BL2053" s="82">
        <f>($J2053-$J2054)*100</f>
        <v/>
      </c>
      <c r="BM2053" s="82">
        <f>($F2053-$F2054)*100</f>
        <v/>
      </c>
      <c r="BN2053" s="82">
        <f>$AF2053-$AF2054</f>
        <v/>
      </c>
      <c r="BO2053" s="82">
        <f>$AG2053-$AG2054</f>
        <v/>
      </c>
      <c r="BP2053" s="82">
        <f>$AJ2053-$AJ2054</f>
        <v/>
      </c>
    </row>
    <row r="2054">
      <c r="AR2054" s="81">
        <f>($G2054+($H2054-$G2054)*0.5)+($P2054-($O2054+($Q2054-$O2054)*0.5))</f>
        <v/>
      </c>
      <c r="AS2054" s="81">
        <f>($J2054+($K2054-$J2054)*0.5)+($T2054-($S2054+($U2054-$S2054)*0.5))</f>
        <v/>
      </c>
      <c r="AT2054" s="82">
        <f>($J2054-$C2054)*100</f>
        <v/>
      </c>
      <c r="AU2054" s="82">
        <f>($H2054-$F2054)*100</f>
        <v/>
      </c>
      <c r="AV2054" s="82">
        <f>($J2054-$F2054)*100</f>
        <v/>
      </c>
      <c r="AW2054" s="82">
        <f>($L2054-$F2054)*100</f>
        <v/>
      </c>
      <c r="AX2054" s="82">
        <f>($J2054-$H2054)*100</f>
        <v/>
      </c>
      <c r="AY2054" s="82">
        <f>($L2054-$H2054)*100</f>
        <v/>
      </c>
      <c r="AZ2054" s="82">
        <f>($L2054-$J2054)*100</f>
        <v/>
      </c>
      <c r="BA2054" s="82">
        <f>(2*$H2054-$F2054-$J2054)*100</f>
        <v/>
      </c>
      <c r="BB2054" s="82">
        <f>(2*$J2054-$H2054-$L2054)*100</f>
        <v/>
      </c>
      <c r="BC2054" s="82">
        <f>($N2054-$F2054)*100</f>
        <v/>
      </c>
      <c r="BD2054" s="82">
        <f>($Q2054-$H2054)*100</f>
        <v/>
      </c>
      <c r="BE2054" s="82">
        <f>($S2054-$J2054)*100</f>
        <v/>
      </c>
      <c r="BF2054" s="82">
        <f>($V2054-$L2054)*100</f>
        <v/>
      </c>
      <c r="BG2054" s="82">
        <f>$AG2054-$AF2054</f>
        <v/>
      </c>
      <c r="BH2054" s="81">
        <f>IFERROR($AG2054/$AF2054,"")</f>
        <v/>
      </c>
      <c r="BI2054" s="82">
        <f>$AJ2054-$AF2054</f>
        <v/>
      </c>
      <c r="BJ2054" s="81">
        <f>IFERROR($AJ2054/$AG2054,"")</f>
        <v/>
      </c>
      <c r="BK2054" s="81">
        <f>$X2054</f>
        <v/>
      </c>
      <c r="BL2054" s="82">
        <f>($J2054-$J2055)*100</f>
        <v/>
      </c>
      <c r="BM2054" s="82">
        <f>($F2054-$F2055)*100</f>
        <v/>
      </c>
      <c r="BN2054" s="82">
        <f>$AF2054-$AF2055</f>
        <v/>
      </c>
      <c r="BO2054" s="82">
        <f>$AG2054-$AG2055</f>
        <v/>
      </c>
      <c r="BP2054" s="82">
        <f>$AJ2054-$AJ2055</f>
        <v/>
      </c>
    </row>
    <row r="2055">
      <c r="AR2055" s="81">
        <f>($G2055+($H2055-$G2055)*0.5)+($P2055-($O2055+($Q2055-$O2055)*0.5))</f>
        <v/>
      </c>
      <c r="AS2055" s="81">
        <f>($J2055+($K2055-$J2055)*0.5)+($T2055-($S2055+($U2055-$S2055)*0.5))</f>
        <v/>
      </c>
      <c r="AT2055" s="82">
        <f>($J2055-$C2055)*100</f>
        <v/>
      </c>
      <c r="AU2055" s="82">
        <f>($H2055-$F2055)*100</f>
        <v/>
      </c>
      <c r="AV2055" s="82">
        <f>($J2055-$F2055)*100</f>
        <v/>
      </c>
      <c r="AW2055" s="82">
        <f>($L2055-$F2055)*100</f>
        <v/>
      </c>
      <c r="AX2055" s="82">
        <f>($J2055-$H2055)*100</f>
        <v/>
      </c>
      <c r="AY2055" s="82">
        <f>($L2055-$H2055)*100</f>
        <v/>
      </c>
      <c r="AZ2055" s="82">
        <f>($L2055-$J2055)*100</f>
        <v/>
      </c>
      <c r="BA2055" s="82">
        <f>(2*$H2055-$F2055-$J2055)*100</f>
        <v/>
      </c>
      <c r="BB2055" s="82">
        <f>(2*$J2055-$H2055-$L2055)*100</f>
        <v/>
      </c>
      <c r="BC2055" s="82">
        <f>($N2055-$F2055)*100</f>
        <v/>
      </c>
      <c r="BD2055" s="82">
        <f>($Q2055-$H2055)*100</f>
        <v/>
      </c>
      <c r="BE2055" s="82">
        <f>($S2055-$J2055)*100</f>
        <v/>
      </c>
      <c r="BF2055" s="82">
        <f>($V2055-$L2055)*100</f>
        <v/>
      </c>
      <c r="BG2055" s="82">
        <f>$AG2055-$AF2055</f>
        <v/>
      </c>
      <c r="BH2055" s="81">
        <f>IFERROR($AG2055/$AF2055,"")</f>
        <v/>
      </c>
      <c r="BI2055" s="82">
        <f>$AJ2055-$AF2055</f>
        <v/>
      </c>
      <c r="BJ2055" s="81">
        <f>IFERROR($AJ2055/$AG2055,"")</f>
        <v/>
      </c>
      <c r="BK2055" s="81">
        <f>$X2055</f>
        <v/>
      </c>
      <c r="BL2055" s="82">
        <f>($J2055-$J2056)*100</f>
        <v/>
      </c>
      <c r="BM2055" s="82">
        <f>($F2055-$F2056)*100</f>
        <v/>
      </c>
      <c r="BN2055" s="82">
        <f>$AF2055-$AF2056</f>
        <v/>
      </c>
      <c r="BO2055" s="82">
        <f>$AG2055-$AG2056</f>
        <v/>
      </c>
      <c r="BP2055" s="82">
        <f>$AJ2055-$AJ2056</f>
        <v/>
      </c>
    </row>
    <row r="2056">
      <c r="AR2056" s="81">
        <f>($G2056+($H2056-$G2056)*0.5)+($P2056-($O2056+($Q2056-$O2056)*0.5))</f>
        <v/>
      </c>
      <c r="AS2056" s="81">
        <f>($J2056+($K2056-$J2056)*0.5)+($T2056-($S2056+($U2056-$S2056)*0.5))</f>
        <v/>
      </c>
      <c r="AT2056" s="82">
        <f>($J2056-$C2056)*100</f>
        <v/>
      </c>
      <c r="AU2056" s="82">
        <f>($H2056-$F2056)*100</f>
        <v/>
      </c>
      <c r="AV2056" s="82">
        <f>($J2056-$F2056)*100</f>
        <v/>
      </c>
      <c r="AW2056" s="82">
        <f>($L2056-$F2056)*100</f>
        <v/>
      </c>
      <c r="AX2056" s="82">
        <f>($J2056-$H2056)*100</f>
        <v/>
      </c>
      <c r="AY2056" s="82">
        <f>($L2056-$H2056)*100</f>
        <v/>
      </c>
      <c r="AZ2056" s="82">
        <f>($L2056-$J2056)*100</f>
        <v/>
      </c>
      <c r="BA2056" s="82">
        <f>(2*$H2056-$F2056-$J2056)*100</f>
        <v/>
      </c>
      <c r="BB2056" s="82">
        <f>(2*$J2056-$H2056-$L2056)*100</f>
        <v/>
      </c>
      <c r="BC2056" s="82">
        <f>($N2056-$F2056)*100</f>
        <v/>
      </c>
      <c r="BD2056" s="82">
        <f>($Q2056-$H2056)*100</f>
        <v/>
      </c>
      <c r="BE2056" s="82">
        <f>($S2056-$J2056)*100</f>
        <v/>
      </c>
      <c r="BF2056" s="82">
        <f>($V2056-$L2056)*100</f>
        <v/>
      </c>
      <c r="BG2056" s="82">
        <f>$AG2056-$AF2056</f>
        <v/>
      </c>
      <c r="BH2056" s="81">
        <f>IFERROR($AG2056/$AF2056,"")</f>
        <v/>
      </c>
      <c r="BI2056" s="82">
        <f>$AJ2056-$AF2056</f>
        <v/>
      </c>
      <c r="BJ2056" s="81">
        <f>IFERROR($AJ2056/$AG2056,"")</f>
        <v/>
      </c>
      <c r="BK2056" s="81">
        <f>$X2056</f>
        <v/>
      </c>
      <c r="BL2056" s="82">
        <f>($J2056-$J2057)*100</f>
        <v/>
      </c>
      <c r="BM2056" s="82">
        <f>($F2056-$F2057)*100</f>
        <v/>
      </c>
      <c r="BN2056" s="82">
        <f>$AF2056-$AF2057</f>
        <v/>
      </c>
      <c r="BO2056" s="82">
        <f>$AG2056-$AG2057</f>
        <v/>
      </c>
      <c r="BP2056" s="82">
        <f>$AJ2056-$AJ2057</f>
        <v/>
      </c>
    </row>
    <row r="2057">
      <c r="AR2057" s="81">
        <f>($G2057+($H2057-$G2057)*0.5)+($P2057-($O2057+($Q2057-$O2057)*0.5))</f>
        <v/>
      </c>
      <c r="AS2057" s="81">
        <f>($J2057+($K2057-$J2057)*0.5)+($T2057-($S2057+($U2057-$S2057)*0.5))</f>
        <v/>
      </c>
      <c r="AT2057" s="82">
        <f>($J2057-$C2057)*100</f>
        <v/>
      </c>
      <c r="AU2057" s="82">
        <f>($H2057-$F2057)*100</f>
        <v/>
      </c>
      <c r="AV2057" s="82">
        <f>($J2057-$F2057)*100</f>
        <v/>
      </c>
      <c r="AW2057" s="82">
        <f>($L2057-$F2057)*100</f>
        <v/>
      </c>
      <c r="AX2057" s="82">
        <f>($J2057-$H2057)*100</f>
        <v/>
      </c>
      <c r="AY2057" s="82">
        <f>($L2057-$H2057)*100</f>
        <v/>
      </c>
      <c r="AZ2057" s="82">
        <f>($L2057-$J2057)*100</f>
        <v/>
      </c>
      <c r="BA2057" s="82">
        <f>(2*$H2057-$F2057-$J2057)*100</f>
        <v/>
      </c>
      <c r="BB2057" s="82">
        <f>(2*$J2057-$H2057-$L2057)*100</f>
        <v/>
      </c>
      <c r="BC2057" s="82">
        <f>($N2057-$F2057)*100</f>
        <v/>
      </c>
      <c r="BD2057" s="82">
        <f>($Q2057-$H2057)*100</f>
        <v/>
      </c>
      <c r="BE2057" s="82">
        <f>($S2057-$J2057)*100</f>
        <v/>
      </c>
      <c r="BF2057" s="82">
        <f>($V2057-$L2057)*100</f>
        <v/>
      </c>
      <c r="BG2057" s="82">
        <f>$AG2057-$AF2057</f>
        <v/>
      </c>
      <c r="BH2057" s="81">
        <f>IFERROR($AG2057/$AF2057,"")</f>
        <v/>
      </c>
      <c r="BI2057" s="82">
        <f>$AJ2057-$AF2057</f>
        <v/>
      </c>
      <c r="BJ2057" s="81">
        <f>IFERROR($AJ2057/$AG2057,"")</f>
        <v/>
      </c>
      <c r="BK2057" s="81">
        <f>$X2057</f>
        <v/>
      </c>
      <c r="BL2057" s="82">
        <f>($J2057-$J2058)*100</f>
        <v/>
      </c>
      <c r="BM2057" s="82">
        <f>($F2057-$F2058)*100</f>
        <v/>
      </c>
      <c r="BN2057" s="82">
        <f>$AF2057-$AF2058</f>
        <v/>
      </c>
      <c r="BO2057" s="82">
        <f>$AG2057-$AG2058</f>
        <v/>
      </c>
      <c r="BP2057" s="82">
        <f>$AJ2057-$AJ2058</f>
        <v/>
      </c>
    </row>
    <row r="2058">
      <c r="AR2058" s="81">
        <f>($G2058+($H2058-$G2058)*0.5)+($P2058-($O2058+($Q2058-$O2058)*0.5))</f>
        <v/>
      </c>
      <c r="AS2058" s="81">
        <f>($J2058+($K2058-$J2058)*0.5)+($T2058-($S2058+($U2058-$S2058)*0.5))</f>
        <v/>
      </c>
      <c r="AT2058" s="82">
        <f>($J2058-$C2058)*100</f>
        <v/>
      </c>
      <c r="AU2058" s="82">
        <f>($H2058-$F2058)*100</f>
        <v/>
      </c>
      <c r="AV2058" s="82">
        <f>($J2058-$F2058)*100</f>
        <v/>
      </c>
      <c r="AW2058" s="82">
        <f>($L2058-$F2058)*100</f>
        <v/>
      </c>
      <c r="AX2058" s="82">
        <f>($J2058-$H2058)*100</f>
        <v/>
      </c>
      <c r="AY2058" s="82">
        <f>($L2058-$H2058)*100</f>
        <v/>
      </c>
      <c r="AZ2058" s="82">
        <f>($L2058-$J2058)*100</f>
        <v/>
      </c>
      <c r="BA2058" s="82">
        <f>(2*$H2058-$F2058-$J2058)*100</f>
        <v/>
      </c>
      <c r="BB2058" s="82">
        <f>(2*$J2058-$H2058-$L2058)*100</f>
        <v/>
      </c>
      <c r="BC2058" s="82">
        <f>($N2058-$F2058)*100</f>
        <v/>
      </c>
      <c r="BD2058" s="82">
        <f>($Q2058-$H2058)*100</f>
        <v/>
      </c>
      <c r="BE2058" s="82">
        <f>($S2058-$J2058)*100</f>
        <v/>
      </c>
      <c r="BF2058" s="82">
        <f>($V2058-$L2058)*100</f>
        <v/>
      </c>
      <c r="BG2058" s="82">
        <f>$AG2058-$AF2058</f>
        <v/>
      </c>
      <c r="BH2058" s="81">
        <f>IFERROR($AG2058/$AF2058,"")</f>
        <v/>
      </c>
      <c r="BI2058" s="82">
        <f>$AJ2058-$AF2058</f>
        <v/>
      </c>
      <c r="BJ2058" s="81">
        <f>IFERROR($AJ2058/$AG2058,"")</f>
        <v/>
      </c>
      <c r="BK2058" s="81">
        <f>$X2058</f>
        <v/>
      </c>
      <c r="BL2058" s="82">
        <f>($J2058-$J2059)*100</f>
        <v/>
      </c>
      <c r="BM2058" s="82">
        <f>($F2058-$F2059)*100</f>
        <v/>
      </c>
      <c r="BN2058" s="82">
        <f>$AF2058-$AF2059</f>
        <v/>
      </c>
      <c r="BO2058" s="82">
        <f>$AG2058-$AG2059</f>
        <v/>
      </c>
      <c r="BP2058" s="82">
        <f>$AJ2058-$AJ2059</f>
        <v/>
      </c>
    </row>
    <row r="2059">
      <c r="AR2059" s="81">
        <f>($G2059+($H2059-$G2059)*0.5)+($P2059-($O2059+($Q2059-$O2059)*0.5))</f>
        <v/>
      </c>
      <c r="AS2059" s="81">
        <f>($J2059+($K2059-$J2059)*0.5)+($T2059-($S2059+($U2059-$S2059)*0.5))</f>
        <v/>
      </c>
      <c r="AT2059" s="82">
        <f>($J2059-$C2059)*100</f>
        <v/>
      </c>
      <c r="AU2059" s="82">
        <f>($H2059-$F2059)*100</f>
        <v/>
      </c>
      <c r="AV2059" s="82">
        <f>($J2059-$F2059)*100</f>
        <v/>
      </c>
      <c r="AW2059" s="82">
        <f>($L2059-$F2059)*100</f>
        <v/>
      </c>
      <c r="AX2059" s="82">
        <f>($J2059-$H2059)*100</f>
        <v/>
      </c>
      <c r="AY2059" s="82">
        <f>($L2059-$H2059)*100</f>
        <v/>
      </c>
      <c r="AZ2059" s="82">
        <f>($L2059-$J2059)*100</f>
        <v/>
      </c>
      <c r="BA2059" s="82">
        <f>(2*$H2059-$F2059-$J2059)*100</f>
        <v/>
      </c>
      <c r="BB2059" s="82">
        <f>(2*$J2059-$H2059-$L2059)*100</f>
        <v/>
      </c>
      <c r="BC2059" s="82">
        <f>($N2059-$F2059)*100</f>
        <v/>
      </c>
      <c r="BD2059" s="82">
        <f>($Q2059-$H2059)*100</f>
        <v/>
      </c>
      <c r="BE2059" s="82">
        <f>($S2059-$J2059)*100</f>
        <v/>
      </c>
      <c r="BF2059" s="82">
        <f>($V2059-$L2059)*100</f>
        <v/>
      </c>
      <c r="BG2059" s="82">
        <f>$AG2059-$AF2059</f>
        <v/>
      </c>
      <c r="BH2059" s="81">
        <f>IFERROR($AG2059/$AF2059,"")</f>
        <v/>
      </c>
      <c r="BI2059" s="82">
        <f>$AJ2059-$AF2059</f>
        <v/>
      </c>
      <c r="BJ2059" s="81">
        <f>IFERROR($AJ2059/$AG2059,"")</f>
        <v/>
      </c>
      <c r="BK2059" s="81">
        <f>$X2059</f>
        <v/>
      </c>
      <c r="BL2059" s="82">
        <f>($J2059-$J2060)*100</f>
        <v/>
      </c>
      <c r="BM2059" s="82">
        <f>($F2059-$F2060)*100</f>
        <v/>
      </c>
      <c r="BN2059" s="82">
        <f>$AF2059-$AF2060</f>
        <v/>
      </c>
      <c r="BO2059" s="82">
        <f>$AG2059-$AG2060</f>
        <v/>
      </c>
      <c r="BP2059" s="82">
        <f>$AJ2059-$AJ2060</f>
        <v/>
      </c>
    </row>
    <row r="2060">
      <c r="AR2060" s="81">
        <f>($G2060+($H2060-$G2060)*0.5)+($P2060-($O2060+($Q2060-$O2060)*0.5))</f>
        <v/>
      </c>
      <c r="AS2060" s="81">
        <f>($J2060+($K2060-$J2060)*0.5)+($T2060-($S2060+($U2060-$S2060)*0.5))</f>
        <v/>
      </c>
      <c r="AT2060" s="82">
        <f>($J2060-$C2060)*100</f>
        <v/>
      </c>
      <c r="AU2060" s="82">
        <f>($H2060-$F2060)*100</f>
        <v/>
      </c>
      <c r="AV2060" s="82">
        <f>($J2060-$F2060)*100</f>
        <v/>
      </c>
      <c r="AW2060" s="82">
        <f>($L2060-$F2060)*100</f>
        <v/>
      </c>
      <c r="AX2060" s="82">
        <f>($J2060-$H2060)*100</f>
        <v/>
      </c>
      <c r="AY2060" s="82">
        <f>($L2060-$H2060)*100</f>
        <v/>
      </c>
      <c r="AZ2060" s="82">
        <f>($L2060-$J2060)*100</f>
        <v/>
      </c>
      <c r="BA2060" s="82">
        <f>(2*$H2060-$F2060-$J2060)*100</f>
        <v/>
      </c>
      <c r="BB2060" s="82">
        <f>(2*$J2060-$H2060-$L2060)*100</f>
        <v/>
      </c>
      <c r="BC2060" s="82">
        <f>($N2060-$F2060)*100</f>
        <v/>
      </c>
      <c r="BD2060" s="82">
        <f>($Q2060-$H2060)*100</f>
        <v/>
      </c>
      <c r="BE2060" s="82">
        <f>($S2060-$J2060)*100</f>
        <v/>
      </c>
      <c r="BF2060" s="82">
        <f>($V2060-$L2060)*100</f>
        <v/>
      </c>
      <c r="BG2060" s="82">
        <f>$AG2060-$AF2060</f>
        <v/>
      </c>
      <c r="BH2060" s="81">
        <f>IFERROR($AG2060/$AF2060,"")</f>
        <v/>
      </c>
      <c r="BI2060" s="82">
        <f>$AJ2060-$AF2060</f>
        <v/>
      </c>
      <c r="BJ2060" s="81">
        <f>IFERROR($AJ2060/$AG2060,"")</f>
        <v/>
      </c>
      <c r="BK2060" s="81">
        <f>$X2060</f>
        <v/>
      </c>
      <c r="BL2060" s="82">
        <f>($J2060-$J2061)*100</f>
        <v/>
      </c>
      <c r="BM2060" s="82">
        <f>($F2060-$F2061)*100</f>
        <v/>
      </c>
      <c r="BN2060" s="82">
        <f>$AF2060-$AF2061</f>
        <v/>
      </c>
      <c r="BO2060" s="82">
        <f>$AG2060-$AG2061</f>
        <v/>
      </c>
      <c r="BP2060" s="82">
        <f>$AJ2060-$AJ2061</f>
        <v/>
      </c>
    </row>
    <row r="2061">
      <c r="AR2061" s="81">
        <f>($G2061+($H2061-$G2061)*0.5)+($P2061-($O2061+($Q2061-$O2061)*0.5))</f>
        <v/>
      </c>
      <c r="AS2061" s="81">
        <f>($J2061+($K2061-$J2061)*0.5)+($T2061-($S2061+($U2061-$S2061)*0.5))</f>
        <v/>
      </c>
      <c r="AT2061" s="82">
        <f>($J2061-$C2061)*100</f>
        <v/>
      </c>
      <c r="AU2061" s="82">
        <f>($H2061-$F2061)*100</f>
        <v/>
      </c>
      <c r="AV2061" s="82">
        <f>($J2061-$F2061)*100</f>
        <v/>
      </c>
      <c r="AW2061" s="82">
        <f>($L2061-$F2061)*100</f>
        <v/>
      </c>
      <c r="AX2061" s="82">
        <f>($J2061-$H2061)*100</f>
        <v/>
      </c>
      <c r="AY2061" s="82">
        <f>($L2061-$H2061)*100</f>
        <v/>
      </c>
      <c r="AZ2061" s="82">
        <f>($L2061-$J2061)*100</f>
        <v/>
      </c>
      <c r="BA2061" s="82">
        <f>(2*$H2061-$F2061-$J2061)*100</f>
        <v/>
      </c>
      <c r="BB2061" s="82">
        <f>(2*$J2061-$H2061-$L2061)*100</f>
        <v/>
      </c>
      <c r="BC2061" s="82">
        <f>($N2061-$F2061)*100</f>
        <v/>
      </c>
      <c r="BD2061" s="82">
        <f>($Q2061-$H2061)*100</f>
        <v/>
      </c>
      <c r="BE2061" s="82">
        <f>($S2061-$J2061)*100</f>
        <v/>
      </c>
      <c r="BF2061" s="82">
        <f>($V2061-$L2061)*100</f>
        <v/>
      </c>
      <c r="BG2061" s="82">
        <f>$AG2061-$AF2061</f>
        <v/>
      </c>
      <c r="BH2061" s="81">
        <f>IFERROR($AG2061/$AF2061,"")</f>
        <v/>
      </c>
      <c r="BI2061" s="82">
        <f>$AJ2061-$AF2061</f>
        <v/>
      </c>
      <c r="BJ2061" s="81">
        <f>IFERROR($AJ2061/$AG2061,"")</f>
        <v/>
      </c>
      <c r="BK2061" s="81">
        <f>$X2061</f>
        <v/>
      </c>
      <c r="BL2061" s="82">
        <f>($J2061-$J2062)*100</f>
        <v/>
      </c>
      <c r="BM2061" s="82">
        <f>($F2061-$F2062)*100</f>
        <v/>
      </c>
      <c r="BN2061" s="82">
        <f>$AF2061-$AF2062</f>
        <v/>
      </c>
      <c r="BO2061" s="82">
        <f>$AG2061-$AG2062</f>
        <v/>
      </c>
      <c r="BP2061" s="82">
        <f>$AJ2061-$AJ2062</f>
        <v/>
      </c>
    </row>
    <row r="2062">
      <c r="AR2062" s="81">
        <f>($G2062+($H2062-$G2062)*0.5)+($P2062-($O2062+($Q2062-$O2062)*0.5))</f>
        <v/>
      </c>
      <c r="AS2062" s="81">
        <f>($J2062+($K2062-$J2062)*0.5)+($T2062-($S2062+($U2062-$S2062)*0.5))</f>
        <v/>
      </c>
      <c r="AT2062" s="82">
        <f>($J2062-$C2062)*100</f>
        <v/>
      </c>
      <c r="AU2062" s="82">
        <f>($H2062-$F2062)*100</f>
        <v/>
      </c>
      <c r="AV2062" s="82">
        <f>($J2062-$F2062)*100</f>
        <v/>
      </c>
      <c r="AW2062" s="82">
        <f>($L2062-$F2062)*100</f>
        <v/>
      </c>
      <c r="AX2062" s="82">
        <f>($J2062-$H2062)*100</f>
        <v/>
      </c>
      <c r="AY2062" s="82">
        <f>($L2062-$H2062)*100</f>
        <v/>
      </c>
      <c r="AZ2062" s="82">
        <f>($L2062-$J2062)*100</f>
        <v/>
      </c>
      <c r="BA2062" s="82">
        <f>(2*$H2062-$F2062-$J2062)*100</f>
        <v/>
      </c>
      <c r="BB2062" s="82">
        <f>(2*$J2062-$H2062-$L2062)*100</f>
        <v/>
      </c>
      <c r="BC2062" s="82">
        <f>($N2062-$F2062)*100</f>
        <v/>
      </c>
      <c r="BD2062" s="82">
        <f>($Q2062-$H2062)*100</f>
        <v/>
      </c>
      <c r="BE2062" s="82">
        <f>($S2062-$J2062)*100</f>
        <v/>
      </c>
      <c r="BF2062" s="82">
        <f>($V2062-$L2062)*100</f>
        <v/>
      </c>
      <c r="BG2062" s="82">
        <f>$AG2062-$AF2062</f>
        <v/>
      </c>
      <c r="BH2062" s="81">
        <f>IFERROR($AG2062/$AF2062,"")</f>
        <v/>
      </c>
      <c r="BI2062" s="82">
        <f>$AJ2062-$AF2062</f>
        <v/>
      </c>
      <c r="BJ2062" s="81">
        <f>IFERROR($AJ2062/$AG2062,"")</f>
        <v/>
      </c>
      <c r="BK2062" s="81">
        <f>$X2062</f>
        <v/>
      </c>
      <c r="BL2062" s="82">
        <f>($J2062-$J2063)*100</f>
        <v/>
      </c>
      <c r="BM2062" s="82">
        <f>($F2062-$F2063)*100</f>
        <v/>
      </c>
      <c r="BN2062" s="82">
        <f>$AF2062-$AF2063</f>
        <v/>
      </c>
      <c r="BO2062" s="82">
        <f>$AG2062-$AG2063</f>
        <v/>
      </c>
      <c r="BP2062" s="82">
        <f>$AJ2062-$AJ2063</f>
        <v/>
      </c>
    </row>
    <row r="2063">
      <c r="AR2063" s="81">
        <f>($G2063+($H2063-$G2063)*0.5)+($P2063-($O2063+($Q2063-$O2063)*0.5))</f>
        <v/>
      </c>
      <c r="AS2063" s="81">
        <f>($J2063+($K2063-$J2063)*0.5)+($T2063-($S2063+($U2063-$S2063)*0.5))</f>
        <v/>
      </c>
      <c r="AT2063" s="82">
        <f>($J2063-$C2063)*100</f>
        <v/>
      </c>
      <c r="AU2063" s="82">
        <f>($H2063-$F2063)*100</f>
        <v/>
      </c>
      <c r="AV2063" s="82">
        <f>($J2063-$F2063)*100</f>
        <v/>
      </c>
      <c r="AW2063" s="82">
        <f>($L2063-$F2063)*100</f>
        <v/>
      </c>
      <c r="AX2063" s="82">
        <f>($J2063-$H2063)*100</f>
        <v/>
      </c>
      <c r="AY2063" s="82">
        <f>($L2063-$H2063)*100</f>
        <v/>
      </c>
      <c r="AZ2063" s="82">
        <f>($L2063-$J2063)*100</f>
        <v/>
      </c>
      <c r="BA2063" s="82">
        <f>(2*$H2063-$F2063-$J2063)*100</f>
        <v/>
      </c>
      <c r="BB2063" s="82">
        <f>(2*$J2063-$H2063-$L2063)*100</f>
        <v/>
      </c>
      <c r="BC2063" s="82">
        <f>($N2063-$F2063)*100</f>
        <v/>
      </c>
      <c r="BD2063" s="82">
        <f>($Q2063-$H2063)*100</f>
        <v/>
      </c>
      <c r="BE2063" s="82">
        <f>($S2063-$J2063)*100</f>
        <v/>
      </c>
      <c r="BF2063" s="82">
        <f>($V2063-$L2063)*100</f>
        <v/>
      </c>
      <c r="BG2063" s="82">
        <f>$AG2063-$AF2063</f>
        <v/>
      </c>
      <c r="BH2063" s="81">
        <f>IFERROR($AG2063/$AF2063,"")</f>
        <v/>
      </c>
      <c r="BI2063" s="82">
        <f>$AJ2063-$AF2063</f>
        <v/>
      </c>
      <c r="BJ2063" s="81">
        <f>IFERROR($AJ2063/$AG2063,"")</f>
        <v/>
      </c>
      <c r="BK2063" s="81">
        <f>$X2063</f>
        <v/>
      </c>
      <c r="BL2063" s="82">
        <f>($J2063-$J2064)*100</f>
        <v/>
      </c>
      <c r="BM2063" s="82">
        <f>($F2063-$F2064)*100</f>
        <v/>
      </c>
      <c r="BN2063" s="82">
        <f>$AF2063-$AF2064</f>
        <v/>
      </c>
      <c r="BO2063" s="82">
        <f>$AG2063-$AG2064</f>
        <v/>
      </c>
      <c r="BP2063" s="82">
        <f>$AJ2063-$AJ2064</f>
        <v/>
      </c>
    </row>
    <row r="2064">
      <c r="AR2064" s="81">
        <f>($G2064+($H2064-$G2064)*0.5)+($P2064-($O2064+($Q2064-$O2064)*0.5))</f>
        <v/>
      </c>
      <c r="AS2064" s="81">
        <f>($J2064+($K2064-$J2064)*0.5)+($T2064-($S2064+($U2064-$S2064)*0.5))</f>
        <v/>
      </c>
      <c r="AT2064" s="82">
        <f>($J2064-$C2064)*100</f>
        <v/>
      </c>
      <c r="AU2064" s="82">
        <f>($H2064-$F2064)*100</f>
        <v/>
      </c>
      <c r="AV2064" s="82">
        <f>($J2064-$F2064)*100</f>
        <v/>
      </c>
      <c r="AW2064" s="82">
        <f>($L2064-$F2064)*100</f>
        <v/>
      </c>
      <c r="AX2064" s="82">
        <f>($J2064-$H2064)*100</f>
        <v/>
      </c>
      <c r="AY2064" s="82">
        <f>($L2064-$H2064)*100</f>
        <v/>
      </c>
      <c r="AZ2064" s="82">
        <f>($L2064-$J2064)*100</f>
        <v/>
      </c>
      <c r="BA2064" s="82">
        <f>(2*$H2064-$F2064-$J2064)*100</f>
        <v/>
      </c>
      <c r="BB2064" s="82">
        <f>(2*$J2064-$H2064-$L2064)*100</f>
        <v/>
      </c>
      <c r="BC2064" s="82">
        <f>($N2064-$F2064)*100</f>
        <v/>
      </c>
      <c r="BD2064" s="82">
        <f>($Q2064-$H2064)*100</f>
        <v/>
      </c>
      <c r="BE2064" s="82">
        <f>($S2064-$J2064)*100</f>
        <v/>
      </c>
      <c r="BF2064" s="82">
        <f>($V2064-$L2064)*100</f>
        <v/>
      </c>
      <c r="BG2064" s="82">
        <f>$AG2064-$AF2064</f>
        <v/>
      </c>
      <c r="BH2064" s="81">
        <f>IFERROR($AG2064/$AF2064,"")</f>
        <v/>
      </c>
      <c r="BI2064" s="82">
        <f>$AJ2064-$AF2064</f>
        <v/>
      </c>
      <c r="BJ2064" s="81">
        <f>IFERROR($AJ2064/$AG2064,"")</f>
        <v/>
      </c>
      <c r="BK2064" s="81">
        <f>$X2064</f>
        <v/>
      </c>
      <c r="BL2064" s="82">
        <f>($J2064-$J2065)*100</f>
        <v/>
      </c>
      <c r="BM2064" s="82">
        <f>($F2064-$F2065)*100</f>
        <v/>
      </c>
      <c r="BN2064" s="82">
        <f>$AF2064-$AF2065</f>
        <v/>
      </c>
      <c r="BO2064" s="82">
        <f>$AG2064-$AG2065</f>
        <v/>
      </c>
      <c r="BP2064" s="82">
        <f>$AJ2064-$AJ2065</f>
        <v/>
      </c>
    </row>
    <row r="2065">
      <c r="AR2065" s="81">
        <f>($G2065+($H2065-$G2065)*0.5)+($P2065-($O2065+($Q2065-$O2065)*0.5))</f>
        <v/>
      </c>
      <c r="AS2065" s="81">
        <f>($J2065+($K2065-$J2065)*0.5)+($T2065-($S2065+($U2065-$S2065)*0.5))</f>
        <v/>
      </c>
      <c r="AT2065" s="82">
        <f>($J2065-$C2065)*100</f>
        <v/>
      </c>
      <c r="AU2065" s="82">
        <f>($H2065-$F2065)*100</f>
        <v/>
      </c>
      <c r="AV2065" s="82">
        <f>($J2065-$F2065)*100</f>
        <v/>
      </c>
      <c r="AW2065" s="82">
        <f>($L2065-$F2065)*100</f>
        <v/>
      </c>
      <c r="AX2065" s="82">
        <f>($J2065-$H2065)*100</f>
        <v/>
      </c>
      <c r="AY2065" s="82">
        <f>($L2065-$H2065)*100</f>
        <v/>
      </c>
      <c r="AZ2065" s="82">
        <f>($L2065-$J2065)*100</f>
        <v/>
      </c>
      <c r="BA2065" s="82">
        <f>(2*$H2065-$F2065-$J2065)*100</f>
        <v/>
      </c>
      <c r="BB2065" s="82">
        <f>(2*$J2065-$H2065-$L2065)*100</f>
        <v/>
      </c>
      <c r="BC2065" s="82">
        <f>($N2065-$F2065)*100</f>
        <v/>
      </c>
      <c r="BD2065" s="82">
        <f>($Q2065-$H2065)*100</f>
        <v/>
      </c>
      <c r="BE2065" s="82">
        <f>($S2065-$J2065)*100</f>
        <v/>
      </c>
      <c r="BF2065" s="82">
        <f>($V2065-$L2065)*100</f>
        <v/>
      </c>
      <c r="BG2065" s="82">
        <f>$AG2065-$AF2065</f>
        <v/>
      </c>
      <c r="BH2065" s="81">
        <f>IFERROR($AG2065/$AF2065,"")</f>
        <v/>
      </c>
      <c r="BI2065" s="82">
        <f>$AJ2065-$AF2065</f>
        <v/>
      </c>
      <c r="BJ2065" s="81">
        <f>IFERROR($AJ2065/$AG2065,"")</f>
        <v/>
      </c>
      <c r="BK2065" s="81">
        <f>$X2065</f>
        <v/>
      </c>
      <c r="BL2065" s="82">
        <f>($J2065-$J2066)*100</f>
        <v/>
      </c>
      <c r="BM2065" s="82">
        <f>($F2065-$F2066)*100</f>
        <v/>
      </c>
      <c r="BN2065" s="82">
        <f>$AF2065-$AF2066</f>
        <v/>
      </c>
      <c r="BO2065" s="82">
        <f>$AG2065-$AG2066</f>
        <v/>
      </c>
      <c r="BP2065" s="82">
        <f>$AJ2065-$AJ2066</f>
        <v/>
      </c>
    </row>
    <row r="2066">
      <c r="AR2066" s="81">
        <f>($G2066+($H2066-$G2066)*0.5)+($P2066-($O2066+($Q2066-$O2066)*0.5))</f>
        <v/>
      </c>
      <c r="AS2066" s="81">
        <f>($J2066+($K2066-$J2066)*0.5)+($T2066-($S2066+($U2066-$S2066)*0.5))</f>
        <v/>
      </c>
      <c r="AT2066" s="82">
        <f>($J2066-$C2066)*100</f>
        <v/>
      </c>
      <c r="AU2066" s="82">
        <f>($H2066-$F2066)*100</f>
        <v/>
      </c>
      <c r="AV2066" s="82">
        <f>($J2066-$F2066)*100</f>
        <v/>
      </c>
      <c r="AW2066" s="82">
        <f>($L2066-$F2066)*100</f>
        <v/>
      </c>
      <c r="AX2066" s="82">
        <f>($J2066-$H2066)*100</f>
        <v/>
      </c>
      <c r="AY2066" s="82">
        <f>($L2066-$H2066)*100</f>
        <v/>
      </c>
      <c r="AZ2066" s="82">
        <f>($L2066-$J2066)*100</f>
        <v/>
      </c>
      <c r="BA2066" s="82">
        <f>(2*$H2066-$F2066-$J2066)*100</f>
        <v/>
      </c>
      <c r="BB2066" s="82">
        <f>(2*$J2066-$H2066-$L2066)*100</f>
        <v/>
      </c>
      <c r="BC2066" s="82">
        <f>($N2066-$F2066)*100</f>
        <v/>
      </c>
      <c r="BD2066" s="82">
        <f>($Q2066-$H2066)*100</f>
        <v/>
      </c>
      <c r="BE2066" s="82">
        <f>($S2066-$J2066)*100</f>
        <v/>
      </c>
      <c r="BF2066" s="82">
        <f>($V2066-$L2066)*100</f>
        <v/>
      </c>
      <c r="BG2066" s="82">
        <f>$AG2066-$AF2066</f>
        <v/>
      </c>
      <c r="BH2066" s="81">
        <f>IFERROR($AG2066/$AF2066,"")</f>
        <v/>
      </c>
      <c r="BI2066" s="82">
        <f>$AJ2066-$AF2066</f>
        <v/>
      </c>
      <c r="BJ2066" s="81">
        <f>IFERROR($AJ2066/$AG2066,"")</f>
        <v/>
      </c>
      <c r="BK2066" s="81">
        <f>$X2066</f>
        <v/>
      </c>
      <c r="BL2066" s="82">
        <f>($J2066-$J2067)*100</f>
        <v/>
      </c>
      <c r="BM2066" s="82">
        <f>($F2066-$F2067)*100</f>
        <v/>
      </c>
      <c r="BN2066" s="82">
        <f>$AF2066-$AF2067</f>
        <v/>
      </c>
      <c r="BO2066" s="82">
        <f>$AG2066-$AG2067</f>
        <v/>
      </c>
      <c r="BP2066" s="82">
        <f>$AJ2066-$AJ2067</f>
        <v/>
      </c>
    </row>
    <row r="2067">
      <c r="AR2067" s="81">
        <f>($G2067+($H2067-$G2067)*0.5)+($P2067-($O2067+($Q2067-$O2067)*0.5))</f>
        <v/>
      </c>
      <c r="AS2067" s="81">
        <f>($J2067+($K2067-$J2067)*0.5)+($T2067-($S2067+($U2067-$S2067)*0.5))</f>
        <v/>
      </c>
      <c r="AT2067" s="82">
        <f>($J2067-$C2067)*100</f>
        <v/>
      </c>
      <c r="AU2067" s="82">
        <f>($H2067-$F2067)*100</f>
        <v/>
      </c>
      <c r="AV2067" s="82">
        <f>($J2067-$F2067)*100</f>
        <v/>
      </c>
      <c r="AW2067" s="82">
        <f>($L2067-$F2067)*100</f>
        <v/>
      </c>
      <c r="AX2067" s="82">
        <f>($J2067-$H2067)*100</f>
        <v/>
      </c>
      <c r="AY2067" s="82">
        <f>($L2067-$H2067)*100</f>
        <v/>
      </c>
      <c r="AZ2067" s="82">
        <f>($L2067-$J2067)*100</f>
        <v/>
      </c>
      <c r="BA2067" s="82">
        <f>(2*$H2067-$F2067-$J2067)*100</f>
        <v/>
      </c>
      <c r="BB2067" s="82">
        <f>(2*$J2067-$H2067-$L2067)*100</f>
        <v/>
      </c>
      <c r="BC2067" s="82">
        <f>($N2067-$F2067)*100</f>
        <v/>
      </c>
      <c r="BD2067" s="82">
        <f>($Q2067-$H2067)*100</f>
        <v/>
      </c>
      <c r="BE2067" s="82">
        <f>($S2067-$J2067)*100</f>
        <v/>
      </c>
      <c r="BF2067" s="82">
        <f>($V2067-$L2067)*100</f>
        <v/>
      </c>
      <c r="BG2067" s="82">
        <f>$AG2067-$AF2067</f>
        <v/>
      </c>
      <c r="BH2067" s="81">
        <f>IFERROR($AG2067/$AF2067,"")</f>
        <v/>
      </c>
      <c r="BI2067" s="82">
        <f>$AJ2067-$AF2067</f>
        <v/>
      </c>
      <c r="BJ2067" s="81">
        <f>IFERROR($AJ2067/$AG2067,"")</f>
        <v/>
      </c>
      <c r="BK2067" s="81">
        <f>$X2067</f>
        <v/>
      </c>
      <c r="BL2067" s="82">
        <f>($J2067-$J2068)*100</f>
        <v/>
      </c>
      <c r="BM2067" s="82">
        <f>($F2067-$F2068)*100</f>
        <v/>
      </c>
      <c r="BN2067" s="82">
        <f>$AF2067-$AF2068</f>
        <v/>
      </c>
      <c r="BO2067" s="82">
        <f>$AG2067-$AG2068</f>
        <v/>
      </c>
      <c r="BP2067" s="82">
        <f>$AJ2067-$AJ2068</f>
        <v/>
      </c>
    </row>
    <row r="2068">
      <c r="AR2068" s="81">
        <f>($G2068+($H2068-$G2068)*0.5)+($P2068-($O2068+($Q2068-$O2068)*0.5))</f>
        <v/>
      </c>
      <c r="AS2068" s="81">
        <f>($J2068+($K2068-$J2068)*0.5)+($T2068-($S2068+($U2068-$S2068)*0.5))</f>
        <v/>
      </c>
      <c r="AT2068" s="82">
        <f>($J2068-$C2068)*100</f>
        <v/>
      </c>
      <c r="AU2068" s="82">
        <f>($H2068-$F2068)*100</f>
        <v/>
      </c>
      <c r="AV2068" s="82">
        <f>($J2068-$F2068)*100</f>
        <v/>
      </c>
      <c r="AW2068" s="82">
        <f>($L2068-$F2068)*100</f>
        <v/>
      </c>
      <c r="AX2068" s="82">
        <f>($J2068-$H2068)*100</f>
        <v/>
      </c>
      <c r="AY2068" s="82">
        <f>($L2068-$H2068)*100</f>
        <v/>
      </c>
      <c r="AZ2068" s="82">
        <f>($L2068-$J2068)*100</f>
        <v/>
      </c>
      <c r="BA2068" s="82">
        <f>(2*$H2068-$F2068-$J2068)*100</f>
        <v/>
      </c>
      <c r="BB2068" s="82">
        <f>(2*$J2068-$H2068-$L2068)*100</f>
        <v/>
      </c>
      <c r="BC2068" s="82">
        <f>($N2068-$F2068)*100</f>
        <v/>
      </c>
      <c r="BD2068" s="82">
        <f>($Q2068-$H2068)*100</f>
        <v/>
      </c>
      <c r="BE2068" s="82">
        <f>($S2068-$J2068)*100</f>
        <v/>
      </c>
      <c r="BF2068" s="82">
        <f>($V2068-$L2068)*100</f>
        <v/>
      </c>
      <c r="BG2068" s="82">
        <f>$AG2068-$AF2068</f>
        <v/>
      </c>
      <c r="BH2068" s="81">
        <f>IFERROR($AG2068/$AF2068,"")</f>
        <v/>
      </c>
      <c r="BI2068" s="82">
        <f>$AJ2068-$AF2068</f>
        <v/>
      </c>
      <c r="BJ2068" s="81">
        <f>IFERROR($AJ2068/$AG2068,"")</f>
        <v/>
      </c>
      <c r="BK2068" s="81">
        <f>$X2068</f>
        <v/>
      </c>
      <c r="BL2068" s="82">
        <f>($J2068-$J2069)*100</f>
        <v/>
      </c>
      <c r="BM2068" s="82">
        <f>($F2068-$F2069)*100</f>
        <v/>
      </c>
      <c r="BN2068" s="82">
        <f>$AF2068-$AF2069</f>
        <v/>
      </c>
      <c r="BO2068" s="82">
        <f>$AG2068-$AG2069</f>
        <v/>
      </c>
      <c r="BP2068" s="82">
        <f>$AJ2068-$AJ2069</f>
        <v/>
      </c>
    </row>
    <row r="2069">
      <c r="AR2069" s="81">
        <f>($G2069+($H2069-$G2069)*0.5)+($P2069-($O2069+($Q2069-$O2069)*0.5))</f>
        <v/>
      </c>
      <c r="AS2069" s="81">
        <f>($J2069+($K2069-$J2069)*0.5)+($T2069-($S2069+($U2069-$S2069)*0.5))</f>
        <v/>
      </c>
      <c r="AT2069" s="82">
        <f>($J2069-$C2069)*100</f>
        <v/>
      </c>
      <c r="AU2069" s="82">
        <f>($H2069-$F2069)*100</f>
        <v/>
      </c>
      <c r="AV2069" s="82">
        <f>($J2069-$F2069)*100</f>
        <v/>
      </c>
      <c r="AW2069" s="82">
        <f>($L2069-$F2069)*100</f>
        <v/>
      </c>
      <c r="AX2069" s="82">
        <f>($J2069-$H2069)*100</f>
        <v/>
      </c>
      <c r="AY2069" s="82">
        <f>($L2069-$H2069)*100</f>
        <v/>
      </c>
      <c r="AZ2069" s="82">
        <f>($L2069-$J2069)*100</f>
        <v/>
      </c>
      <c r="BA2069" s="82">
        <f>(2*$H2069-$F2069-$J2069)*100</f>
        <v/>
      </c>
      <c r="BB2069" s="82">
        <f>(2*$J2069-$H2069-$L2069)*100</f>
        <v/>
      </c>
      <c r="BC2069" s="82">
        <f>($N2069-$F2069)*100</f>
        <v/>
      </c>
      <c r="BD2069" s="82">
        <f>($Q2069-$H2069)*100</f>
        <v/>
      </c>
      <c r="BE2069" s="82">
        <f>($S2069-$J2069)*100</f>
        <v/>
      </c>
      <c r="BF2069" s="82">
        <f>($V2069-$L2069)*100</f>
        <v/>
      </c>
      <c r="BG2069" s="82">
        <f>$AG2069-$AF2069</f>
        <v/>
      </c>
      <c r="BH2069" s="81">
        <f>IFERROR($AG2069/$AF2069,"")</f>
        <v/>
      </c>
      <c r="BI2069" s="82">
        <f>$AJ2069-$AF2069</f>
        <v/>
      </c>
      <c r="BJ2069" s="81">
        <f>IFERROR($AJ2069/$AG2069,"")</f>
        <v/>
      </c>
      <c r="BK2069" s="81">
        <f>$X2069</f>
        <v/>
      </c>
      <c r="BL2069" s="82">
        <f>($J2069-$J2070)*100</f>
        <v/>
      </c>
      <c r="BM2069" s="82">
        <f>($F2069-$F2070)*100</f>
        <v/>
      </c>
      <c r="BN2069" s="82">
        <f>$AF2069-$AF2070</f>
        <v/>
      </c>
      <c r="BO2069" s="82">
        <f>$AG2069-$AG2070</f>
        <v/>
      </c>
      <c r="BP2069" s="82">
        <f>$AJ2069-$AJ2070</f>
        <v/>
      </c>
    </row>
    <row r="2070">
      <c r="AR2070" s="81">
        <f>($G2070+($H2070-$G2070)*0.5)+($P2070-($O2070+($Q2070-$O2070)*0.5))</f>
        <v/>
      </c>
      <c r="AS2070" s="81">
        <f>($J2070+($K2070-$J2070)*0.5)+($T2070-($S2070+($U2070-$S2070)*0.5))</f>
        <v/>
      </c>
      <c r="AT2070" s="82">
        <f>($J2070-$C2070)*100</f>
        <v/>
      </c>
      <c r="AU2070" s="82">
        <f>($H2070-$F2070)*100</f>
        <v/>
      </c>
      <c r="AV2070" s="82">
        <f>($J2070-$F2070)*100</f>
        <v/>
      </c>
      <c r="AW2070" s="82">
        <f>($L2070-$F2070)*100</f>
        <v/>
      </c>
      <c r="AX2070" s="82">
        <f>($J2070-$H2070)*100</f>
        <v/>
      </c>
      <c r="AY2070" s="82">
        <f>($L2070-$H2070)*100</f>
        <v/>
      </c>
      <c r="AZ2070" s="82">
        <f>($L2070-$J2070)*100</f>
        <v/>
      </c>
      <c r="BA2070" s="82">
        <f>(2*$H2070-$F2070-$J2070)*100</f>
        <v/>
      </c>
      <c r="BB2070" s="82">
        <f>(2*$J2070-$H2070-$L2070)*100</f>
        <v/>
      </c>
      <c r="BC2070" s="82">
        <f>($N2070-$F2070)*100</f>
        <v/>
      </c>
      <c r="BD2070" s="82">
        <f>($Q2070-$H2070)*100</f>
        <v/>
      </c>
      <c r="BE2070" s="82">
        <f>($S2070-$J2070)*100</f>
        <v/>
      </c>
      <c r="BF2070" s="82">
        <f>($V2070-$L2070)*100</f>
        <v/>
      </c>
      <c r="BG2070" s="82">
        <f>$AG2070-$AF2070</f>
        <v/>
      </c>
      <c r="BH2070" s="81">
        <f>IFERROR($AG2070/$AF2070,"")</f>
        <v/>
      </c>
      <c r="BI2070" s="82">
        <f>$AJ2070-$AF2070</f>
        <v/>
      </c>
      <c r="BJ2070" s="81">
        <f>IFERROR($AJ2070/$AG2070,"")</f>
        <v/>
      </c>
      <c r="BK2070" s="81">
        <f>$X2070</f>
        <v/>
      </c>
      <c r="BL2070" s="82">
        <f>($J2070-$J2071)*100</f>
        <v/>
      </c>
      <c r="BM2070" s="82">
        <f>($F2070-$F2071)*100</f>
        <v/>
      </c>
      <c r="BN2070" s="82">
        <f>$AF2070-$AF2071</f>
        <v/>
      </c>
      <c r="BO2070" s="82">
        <f>$AG2070-$AG2071</f>
        <v/>
      </c>
      <c r="BP2070" s="82">
        <f>$AJ2070-$AJ2071</f>
        <v/>
      </c>
    </row>
    <row r="2071">
      <c r="AR2071" s="81">
        <f>($G2071+($H2071-$G2071)*0.5)+($P2071-($O2071+($Q2071-$O2071)*0.5))</f>
        <v/>
      </c>
      <c r="AS2071" s="81">
        <f>($J2071+($K2071-$J2071)*0.5)+($T2071-($S2071+($U2071-$S2071)*0.5))</f>
        <v/>
      </c>
      <c r="AT2071" s="82">
        <f>($J2071-$C2071)*100</f>
        <v/>
      </c>
      <c r="AU2071" s="82">
        <f>($H2071-$F2071)*100</f>
        <v/>
      </c>
      <c r="AV2071" s="82">
        <f>($J2071-$F2071)*100</f>
        <v/>
      </c>
      <c r="AW2071" s="82">
        <f>($L2071-$F2071)*100</f>
        <v/>
      </c>
      <c r="AX2071" s="82">
        <f>($J2071-$H2071)*100</f>
        <v/>
      </c>
      <c r="AY2071" s="82">
        <f>($L2071-$H2071)*100</f>
        <v/>
      </c>
      <c r="AZ2071" s="82">
        <f>($L2071-$J2071)*100</f>
        <v/>
      </c>
      <c r="BA2071" s="82">
        <f>(2*$H2071-$F2071-$J2071)*100</f>
        <v/>
      </c>
      <c r="BB2071" s="82">
        <f>(2*$J2071-$H2071-$L2071)*100</f>
        <v/>
      </c>
      <c r="BC2071" s="82">
        <f>($N2071-$F2071)*100</f>
        <v/>
      </c>
      <c r="BD2071" s="82">
        <f>($Q2071-$H2071)*100</f>
        <v/>
      </c>
      <c r="BE2071" s="82">
        <f>($S2071-$J2071)*100</f>
        <v/>
      </c>
      <c r="BF2071" s="82">
        <f>($V2071-$L2071)*100</f>
        <v/>
      </c>
      <c r="BG2071" s="82">
        <f>$AG2071-$AF2071</f>
        <v/>
      </c>
      <c r="BH2071" s="81">
        <f>IFERROR($AG2071/$AF2071,"")</f>
        <v/>
      </c>
      <c r="BI2071" s="82">
        <f>$AJ2071-$AF2071</f>
        <v/>
      </c>
      <c r="BJ2071" s="81">
        <f>IFERROR($AJ2071/$AG2071,"")</f>
        <v/>
      </c>
      <c r="BK2071" s="81">
        <f>$X2071</f>
        <v/>
      </c>
      <c r="BL2071" s="82">
        <f>($J2071-$J2072)*100</f>
        <v/>
      </c>
      <c r="BM2071" s="82">
        <f>($F2071-$F2072)*100</f>
        <v/>
      </c>
      <c r="BN2071" s="82">
        <f>$AF2071-$AF2072</f>
        <v/>
      </c>
      <c r="BO2071" s="82">
        <f>$AG2071-$AG2072</f>
        <v/>
      </c>
      <c r="BP2071" s="82">
        <f>$AJ2071-$AJ2072</f>
        <v/>
      </c>
    </row>
    <row r="2072">
      <c r="AR2072" s="81">
        <f>($G2072+($H2072-$G2072)*0.5)+($P2072-($O2072+($Q2072-$O2072)*0.5))</f>
        <v/>
      </c>
      <c r="AS2072" s="81">
        <f>($J2072+($K2072-$J2072)*0.5)+($T2072-($S2072+($U2072-$S2072)*0.5))</f>
        <v/>
      </c>
      <c r="AT2072" s="82">
        <f>($J2072-$C2072)*100</f>
        <v/>
      </c>
      <c r="AU2072" s="82">
        <f>($H2072-$F2072)*100</f>
        <v/>
      </c>
      <c r="AV2072" s="82">
        <f>($J2072-$F2072)*100</f>
        <v/>
      </c>
      <c r="AW2072" s="82">
        <f>($L2072-$F2072)*100</f>
        <v/>
      </c>
      <c r="AX2072" s="82">
        <f>($J2072-$H2072)*100</f>
        <v/>
      </c>
      <c r="AY2072" s="82">
        <f>($L2072-$H2072)*100</f>
        <v/>
      </c>
      <c r="AZ2072" s="82">
        <f>($L2072-$J2072)*100</f>
        <v/>
      </c>
      <c r="BA2072" s="82">
        <f>(2*$H2072-$F2072-$J2072)*100</f>
        <v/>
      </c>
      <c r="BB2072" s="82">
        <f>(2*$J2072-$H2072-$L2072)*100</f>
        <v/>
      </c>
      <c r="BC2072" s="82">
        <f>($N2072-$F2072)*100</f>
        <v/>
      </c>
      <c r="BD2072" s="82">
        <f>($Q2072-$H2072)*100</f>
        <v/>
      </c>
      <c r="BE2072" s="82">
        <f>($S2072-$J2072)*100</f>
        <v/>
      </c>
      <c r="BF2072" s="82">
        <f>($V2072-$L2072)*100</f>
        <v/>
      </c>
      <c r="BG2072" s="82">
        <f>$AG2072-$AF2072</f>
        <v/>
      </c>
      <c r="BH2072" s="81">
        <f>IFERROR($AG2072/$AF2072,"")</f>
        <v/>
      </c>
      <c r="BI2072" s="82">
        <f>$AJ2072-$AF2072</f>
        <v/>
      </c>
      <c r="BJ2072" s="81">
        <f>IFERROR($AJ2072/$AG2072,"")</f>
        <v/>
      </c>
      <c r="BK2072" s="81">
        <f>$X2072</f>
        <v/>
      </c>
      <c r="BL2072" s="82">
        <f>($J2072-$J2073)*100</f>
        <v/>
      </c>
      <c r="BM2072" s="82">
        <f>($F2072-$F2073)*100</f>
        <v/>
      </c>
      <c r="BN2072" s="82">
        <f>$AF2072-$AF2073</f>
        <v/>
      </c>
      <c r="BO2072" s="82">
        <f>$AG2072-$AG2073</f>
        <v/>
      </c>
      <c r="BP2072" s="82">
        <f>$AJ2072-$AJ2073</f>
        <v/>
      </c>
    </row>
    <row r="2073">
      <c r="AR2073" s="81">
        <f>($G2073+($H2073-$G2073)*0.5)+($P2073-($O2073+($Q2073-$O2073)*0.5))</f>
        <v/>
      </c>
      <c r="AS2073" s="81">
        <f>($J2073+($K2073-$J2073)*0.5)+($T2073-($S2073+($U2073-$S2073)*0.5))</f>
        <v/>
      </c>
      <c r="AT2073" s="82">
        <f>($J2073-$C2073)*100</f>
        <v/>
      </c>
      <c r="AU2073" s="82">
        <f>($H2073-$F2073)*100</f>
        <v/>
      </c>
      <c r="AV2073" s="82">
        <f>($J2073-$F2073)*100</f>
        <v/>
      </c>
      <c r="AW2073" s="82">
        <f>($L2073-$F2073)*100</f>
        <v/>
      </c>
      <c r="AX2073" s="82">
        <f>($J2073-$H2073)*100</f>
        <v/>
      </c>
      <c r="AY2073" s="82">
        <f>($L2073-$H2073)*100</f>
        <v/>
      </c>
      <c r="AZ2073" s="82">
        <f>($L2073-$J2073)*100</f>
        <v/>
      </c>
      <c r="BA2073" s="82">
        <f>(2*$H2073-$F2073-$J2073)*100</f>
        <v/>
      </c>
      <c r="BB2073" s="82">
        <f>(2*$J2073-$H2073-$L2073)*100</f>
        <v/>
      </c>
      <c r="BC2073" s="82">
        <f>($N2073-$F2073)*100</f>
        <v/>
      </c>
      <c r="BD2073" s="82">
        <f>($Q2073-$H2073)*100</f>
        <v/>
      </c>
      <c r="BE2073" s="82">
        <f>($S2073-$J2073)*100</f>
        <v/>
      </c>
      <c r="BF2073" s="82">
        <f>($V2073-$L2073)*100</f>
        <v/>
      </c>
      <c r="BG2073" s="82">
        <f>$AG2073-$AF2073</f>
        <v/>
      </c>
      <c r="BH2073" s="81">
        <f>IFERROR($AG2073/$AF2073,"")</f>
        <v/>
      </c>
      <c r="BI2073" s="82">
        <f>$AJ2073-$AF2073</f>
        <v/>
      </c>
      <c r="BJ2073" s="81">
        <f>IFERROR($AJ2073/$AG2073,"")</f>
        <v/>
      </c>
      <c r="BK2073" s="81">
        <f>$X2073</f>
        <v/>
      </c>
      <c r="BL2073" s="82">
        <f>($J2073-$J2074)*100</f>
        <v/>
      </c>
      <c r="BM2073" s="82">
        <f>($F2073-$F2074)*100</f>
        <v/>
      </c>
      <c r="BN2073" s="82">
        <f>$AF2073-$AF2074</f>
        <v/>
      </c>
      <c r="BO2073" s="82">
        <f>$AG2073-$AG2074</f>
        <v/>
      </c>
      <c r="BP2073" s="82">
        <f>$AJ2073-$AJ2074</f>
        <v/>
      </c>
    </row>
    <row r="2074">
      <c r="AR2074" s="81">
        <f>($G2074+($H2074-$G2074)*0.5)+($P2074-($O2074+($Q2074-$O2074)*0.5))</f>
        <v/>
      </c>
      <c r="AS2074" s="81">
        <f>($J2074+($K2074-$J2074)*0.5)+($T2074-($S2074+($U2074-$S2074)*0.5))</f>
        <v/>
      </c>
      <c r="AT2074" s="82">
        <f>($J2074-$C2074)*100</f>
        <v/>
      </c>
      <c r="AU2074" s="82">
        <f>($H2074-$F2074)*100</f>
        <v/>
      </c>
      <c r="AV2074" s="82">
        <f>($J2074-$F2074)*100</f>
        <v/>
      </c>
      <c r="AW2074" s="82">
        <f>($L2074-$F2074)*100</f>
        <v/>
      </c>
      <c r="AX2074" s="82">
        <f>($J2074-$H2074)*100</f>
        <v/>
      </c>
      <c r="AY2074" s="82">
        <f>($L2074-$H2074)*100</f>
        <v/>
      </c>
      <c r="AZ2074" s="82">
        <f>($L2074-$J2074)*100</f>
        <v/>
      </c>
      <c r="BA2074" s="82">
        <f>(2*$H2074-$F2074-$J2074)*100</f>
        <v/>
      </c>
      <c r="BB2074" s="82">
        <f>(2*$J2074-$H2074-$L2074)*100</f>
        <v/>
      </c>
      <c r="BC2074" s="82">
        <f>($N2074-$F2074)*100</f>
        <v/>
      </c>
      <c r="BD2074" s="82">
        <f>($Q2074-$H2074)*100</f>
        <v/>
      </c>
      <c r="BE2074" s="82">
        <f>($S2074-$J2074)*100</f>
        <v/>
      </c>
      <c r="BF2074" s="82">
        <f>($V2074-$L2074)*100</f>
        <v/>
      </c>
      <c r="BG2074" s="82">
        <f>$AG2074-$AF2074</f>
        <v/>
      </c>
      <c r="BH2074" s="81">
        <f>IFERROR($AG2074/$AF2074,"")</f>
        <v/>
      </c>
      <c r="BI2074" s="82">
        <f>$AJ2074-$AF2074</f>
        <v/>
      </c>
      <c r="BJ2074" s="81">
        <f>IFERROR($AJ2074/$AG2074,"")</f>
        <v/>
      </c>
      <c r="BK2074" s="81">
        <f>$X2074</f>
        <v/>
      </c>
      <c r="BL2074" s="82">
        <f>($J2074-$J2075)*100</f>
        <v/>
      </c>
      <c r="BM2074" s="82">
        <f>($F2074-$F2075)*100</f>
        <v/>
      </c>
      <c r="BN2074" s="82">
        <f>$AF2074-$AF2075</f>
        <v/>
      </c>
      <c r="BO2074" s="82">
        <f>$AG2074-$AG2075</f>
        <v/>
      </c>
      <c r="BP2074" s="82">
        <f>$AJ2074-$AJ2075</f>
        <v/>
      </c>
    </row>
    <row r="2075">
      <c r="AR2075" s="81">
        <f>($G2075+($H2075-$G2075)*0.5)+($P2075-($O2075+($Q2075-$O2075)*0.5))</f>
        <v/>
      </c>
      <c r="AS2075" s="81">
        <f>($J2075+($K2075-$J2075)*0.5)+($T2075-($S2075+($U2075-$S2075)*0.5))</f>
        <v/>
      </c>
      <c r="AT2075" s="82">
        <f>($J2075-$C2075)*100</f>
        <v/>
      </c>
      <c r="AU2075" s="82">
        <f>($H2075-$F2075)*100</f>
        <v/>
      </c>
      <c r="AV2075" s="82">
        <f>($J2075-$F2075)*100</f>
        <v/>
      </c>
      <c r="AW2075" s="82">
        <f>($L2075-$F2075)*100</f>
        <v/>
      </c>
      <c r="AX2075" s="82">
        <f>($J2075-$H2075)*100</f>
        <v/>
      </c>
      <c r="AY2075" s="82">
        <f>($L2075-$H2075)*100</f>
        <v/>
      </c>
      <c r="AZ2075" s="82">
        <f>($L2075-$J2075)*100</f>
        <v/>
      </c>
      <c r="BA2075" s="82">
        <f>(2*$H2075-$F2075-$J2075)*100</f>
        <v/>
      </c>
      <c r="BB2075" s="82">
        <f>(2*$J2075-$H2075-$L2075)*100</f>
        <v/>
      </c>
      <c r="BC2075" s="82">
        <f>($N2075-$F2075)*100</f>
        <v/>
      </c>
      <c r="BD2075" s="82">
        <f>($Q2075-$H2075)*100</f>
        <v/>
      </c>
      <c r="BE2075" s="82">
        <f>($S2075-$J2075)*100</f>
        <v/>
      </c>
      <c r="BF2075" s="82">
        <f>($V2075-$L2075)*100</f>
        <v/>
      </c>
      <c r="BG2075" s="82">
        <f>$AG2075-$AF2075</f>
        <v/>
      </c>
      <c r="BH2075" s="81">
        <f>IFERROR($AG2075/$AF2075,"")</f>
        <v/>
      </c>
      <c r="BI2075" s="82">
        <f>$AJ2075-$AF2075</f>
        <v/>
      </c>
      <c r="BJ2075" s="81">
        <f>IFERROR($AJ2075/$AG2075,"")</f>
        <v/>
      </c>
      <c r="BK2075" s="81">
        <f>$X2075</f>
        <v/>
      </c>
      <c r="BL2075" s="82">
        <f>($J2075-$J2076)*100</f>
        <v/>
      </c>
      <c r="BM2075" s="82">
        <f>($F2075-$F2076)*100</f>
        <v/>
      </c>
      <c r="BN2075" s="82">
        <f>$AF2075-$AF2076</f>
        <v/>
      </c>
      <c r="BO2075" s="82">
        <f>$AG2075-$AG2076</f>
        <v/>
      </c>
      <c r="BP2075" s="82">
        <f>$AJ2075-$AJ2076</f>
        <v/>
      </c>
    </row>
    <row r="2076">
      <c r="AR2076" s="81">
        <f>($G2076+($H2076-$G2076)*0.5)+($P2076-($O2076+($Q2076-$O2076)*0.5))</f>
        <v/>
      </c>
      <c r="AS2076" s="81">
        <f>($J2076+($K2076-$J2076)*0.5)+($T2076-($S2076+($U2076-$S2076)*0.5))</f>
        <v/>
      </c>
      <c r="AT2076" s="82">
        <f>($J2076-$C2076)*100</f>
        <v/>
      </c>
      <c r="AU2076" s="82">
        <f>($H2076-$F2076)*100</f>
        <v/>
      </c>
      <c r="AV2076" s="82">
        <f>($J2076-$F2076)*100</f>
        <v/>
      </c>
      <c r="AW2076" s="82">
        <f>($L2076-$F2076)*100</f>
        <v/>
      </c>
      <c r="AX2076" s="82">
        <f>($J2076-$H2076)*100</f>
        <v/>
      </c>
      <c r="AY2076" s="82">
        <f>($L2076-$H2076)*100</f>
        <v/>
      </c>
      <c r="AZ2076" s="82">
        <f>($L2076-$J2076)*100</f>
        <v/>
      </c>
      <c r="BA2076" s="82">
        <f>(2*$H2076-$F2076-$J2076)*100</f>
        <v/>
      </c>
      <c r="BB2076" s="82">
        <f>(2*$J2076-$H2076-$L2076)*100</f>
        <v/>
      </c>
      <c r="BC2076" s="82">
        <f>($N2076-$F2076)*100</f>
        <v/>
      </c>
      <c r="BD2076" s="82">
        <f>($Q2076-$H2076)*100</f>
        <v/>
      </c>
      <c r="BE2076" s="82">
        <f>($S2076-$J2076)*100</f>
        <v/>
      </c>
      <c r="BF2076" s="82">
        <f>($V2076-$L2076)*100</f>
        <v/>
      </c>
      <c r="BG2076" s="82">
        <f>$AG2076-$AF2076</f>
        <v/>
      </c>
      <c r="BH2076" s="81">
        <f>IFERROR($AG2076/$AF2076,"")</f>
        <v/>
      </c>
      <c r="BI2076" s="82">
        <f>$AJ2076-$AF2076</f>
        <v/>
      </c>
      <c r="BJ2076" s="81">
        <f>IFERROR($AJ2076/$AG2076,"")</f>
        <v/>
      </c>
      <c r="BK2076" s="81">
        <f>$X2076</f>
        <v/>
      </c>
      <c r="BL2076" s="82">
        <f>($J2076-$J2077)*100</f>
        <v/>
      </c>
      <c r="BM2076" s="82">
        <f>($F2076-$F2077)*100</f>
        <v/>
      </c>
      <c r="BN2076" s="82">
        <f>$AF2076-$AF2077</f>
        <v/>
      </c>
      <c r="BO2076" s="82">
        <f>$AG2076-$AG2077</f>
        <v/>
      </c>
      <c r="BP2076" s="82">
        <f>$AJ2076-$AJ2077</f>
        <v/>
      </c>
    </row>
    <row r="2077">
      <c r="AR2077" s="81">
        <f>($G2077+($H2077-$G2077)*0.5)+($P2077-($O2077+($Q2077-$O2077)*0.5))</f>
        <v/>
      </c>
      <c r="AS2077" s="81">
        <f>($J2077+($K2077-$J2077)*0.5)+($T2077-($S2077+($U2077-$S2077)*0.5))</f>
        <v/>
      </c>
      <c r="AT2077" s="82">
        <f>($J2077-$C2077)*100</f>
        <v/>
      </c>
      <c r="AU2077" s="82">
        <f>($H2077-$F2077)*100</f>
        <v/>
      </c>
      <c r="AV2077" s="82">
        <f>($J2077-$F2077)*100</f>
        <v/>
      </c>
      <c r="AW2077" s="82">
        <f>($L2077-$F2077)*100</f>
        <v/>
      </c>
      <c r="AX2077" s="82">
        <f>($J2077-$H2077)*100</f>
        <v/>
      </c>
      <c r="AY2077" s="82">
        <f>($L2077-$H2077)*100</f>
        <v/>
      </c>
      <c r="AZ2077" s="82">
        <f>($L2077-$J2077)*100</f>
        <v/>
      </c>
      <c r="BA2077" s="82">
        <f>(2*$H2077-$F2077-$J2077)*100</f>
        <v/>
      </c>
      <c r="BB2077" s="82">
        <f>(2*$J2077-$H2077-$L2077)*100</f>
        <v/>
      </c>
      <c r="BC2077" s="82">
        <f>($N2077-$F2077)*100</f>
        <v/>
      </c>
      <c r="BD2077" s="82">
        <f>($Q2077-$H2077)*100</f>
        <v/>
      </c>
      <c r="BE2077" s="82">
        <f>($S2077-$J2077)*100</f>
        <v/>
      </c>
      <c r="BF2077" s="82">
        <f>($V2077-$L2077)*100</f>
        <v/>
      </c>
      <c r="BG2077" s="82">
        <f>$AG2077-$AF2077</f>
        <v/>
      </c>
      <c r="BH2077" s="81">
        <f>IFERROR($AG2077/$AF2077,"")</f>
        <v/>
      </c>
      <c r="BI2077" s="82">
        <f>$AJ2077-$AF2077</f>
        <v/>
      </c>
      <c r="BJ2077" s="81">
        <f>IFERROR($AJ2077/$AG2077,"")</f>
        <v/>
      </c>
      <c r="BK2077" s="81">
        <f>$X2077</f>
        <v/>
      </c>
      <c r="BL2077" s="82">
        <f>($J2077-$J2078)*100</f>
        <v/>
      </c>
      <c r="BM2077" s="82">
        <f>($F2077-$F2078)*100</f>
        <v/>
      </c>
      <c r="BN2077" s="82">
        <f>$AF2077-$AF2078</f>
        <v/>
      </c>
      <c r="BO2077" s="82">
        <f>$AG2077-$AG2078</f>
        <v/>
      </c>
      <c r="BP2077" s="82">
        <f>$AJ2077-$AJ2078</f>
        <v/>
      </c>
    </row>
    <row r="2078">
      <c r="AR2078" s="81">
        <f>($G2078+($H2078-$G2078)*0.5)+($P2078-($O2078+($Q2078-$O2078)*0.5))</f>
        <v/>
      </c>
      <c r="AS2078" s="81">
        <f>($J2078+($K2078-$J2078)*0.5)+($T2078-($S2078+($U2078-$S2078)*0.5))</f>
        <v/>
      </c>
      <c r="AT2078" s="82">
        <f>($J2078-$C2078)*100</f>
        <v/>
      </c>
      <c r="AU2078" s="82">
        <f>($H2078-$F2078)*100</f>
        <v/>
      </c>
      <c r="AV2078" s="82">
        <f>($J2078-$F2078)*100</f>
        <v/>
      </c>
      <c r="AW2078" s="82">
        <f>($L2078-$F2078)*100</f>
        <v/>
      </c>
      <c r="AX2078" s="82">
        <f>($J2078-$H2078)*100</f>
        <v/>
      </c>
      <c r="AY2078" s="82">
        <f>($L2078-$H2078)*100</f>
        <v/>
      </c>
      <c r="AZ2078" s="82">
        <f>($L2078-$J2078)*100</f>
        <v/>
      </c>
      <c r="BA2078" s="82">
        <f>(2*$H2078-$F2078-$J2078)*100</f>
        <v/>
      </c>
      <c r="BB2078" s="82">
        <f>(2*$J2078-$H2078-$L2078)*100</f>
        <v/>
      </c>
      <c r="BC2078" s="82">
        <f>($N2078-$F2078)*100</f>
        <v/>
      </c>
      <c r="BD2078" s="82">
        <f>($Q2078-$H2078)*100</f>
        <v/>
      </c>
      <c r="BE2078" s="82">
        <f>($S2078-$J2078)*100</f>
        <v/>
      </c>
      <c r="BF2078" s="82">
        <f>($V2078-$L2078)*100</f>
        <v/>
      </c>
      <c r="BG2078" s="82">
        <f>$AG2078-$AF2078</f>
        <v/>
      </c>
      <c r="BH2078" s="81">
        <f>IFERROR($AG2078/$AF2078,"")</f>
        <v/>
      </c>
      <c r="BI2078" s="82">
        <f>$AJ2078-$AF2078</f>
        <v/>
      </c>
      <c r="BJ2078" s="81">
        <f>IFERROR($AJ2078/$AG2078,"")</f>
        <v/>
      </c>
      <c r="BK2078" s="81">
        <f>$X2078</f>
        <v/>
      </c>
      <c r="BL2078" s="82">
        <f>($J2078-$J2079)*100</f>
        <v/>
      </c>
      <c r="BM2078" s="82">
        <f>($F2078-$F2079)*100</f>
        <v/>
      </c>
      <c r="BN2078" s="82">
        <f>$AF2078-$AF2079</f>
        <v/>
      </c>
      <c r="BO2078" s="82">
        <f>$AG2078-$AG2079</f>
        <v/>
      </c>
      <c r="BP2078" s="82">
        <f>$AJ2078-$AJ2079</f>
        <v/>
      </c>
    </row>
    <row r="2079">
      <c r="AR2079" s="81">
        <f>($G2079+($H2079-$G2079)*0.5)+($P2079-($O2079+($Q2079-$O2079)*0.5))</f>
        <v/>
      </c>
      <c r="AS2079" s="81">
        <f>($J2079+($K2079-$J2079)*0.5)+($T2079-($S2079+($U2079-$S2079)*0.5))</f>
        <v/>
      </c>
      <c r="AT2079" s="82">
        <f>($J2079-$C2079)*100</f>
        <v/>
      </c>
      <c r="AU2079" s="82">
        <f>($H2079-$F2079)*100</f>
        <v/>
      </c>
      <c r="AV2079" s="82">
        <f>($J2079-$F2079)*100</f>
        <v/>
      </c>
      <c r="AW2079" s="82">
        <f>($L2079-$F2079)*100</f>
        <v/>
      </c>
      <c r="AX2079" s="82">
        <f>($J2079-$H2079)*100</f>
        <v/>
      </c>
      <c r="AY2079" s="82">
        <f>($L2079-$H2079)*100</f>
        <v/>
      </c>
      <c r="AZ2079" s="82">
        <f>($L2079-$J2079)*100</f>
        <v/>
      </c>
      <c r="BA2079" s="82">
        <f>(2*$H2079-$F2079-$J2079)*100</f>
        <v/>
      </c>
      <c r="BB2079" s="82">
        <f>(2*$J2079-$H2079-$L2079)*100</f>
        <v/>
      </c>
      <c r="BC2079" s="82">
        <f>($N2079-$F2079)*100</f>
        <v/>
      </c>
      <c r="BD2079" s="82">
        <f>($Q2079-$H2079)*100</f>
        <v/>
      </c>
      <c r="BE2079" s="82">
        <f>($S2079-$J2079)*100</f>
        <v/>
      </c>
      <c r="BF2079" s="82">
        <f>($V2079-$L2079)*100</f>
        <v/>
      </c>
      <c r="BG2079" s="82">
        <f>$AG2079-$AF2079</f>
        <v/>
      </c>
      <c r="BH2079" s="81">
        <f>IFERROR($AG2079/$AF2079,"")</f>
        <v/>
      </c>
      <c r="BI2079" s="82">
        <f>$AJ2079-$AF2079</f>
        <v/>
      </c>
      <c r="BJ2079" s="81">
        <f>IFERROR($AJ2079/$AG2079,"")</f>
        <v/>
      </c>
      <c r="BK2079" s="81">
        <f>$X2079</f>
        <v/>
      </c>
      <c r="BL2079" s="82">
        <f>($J2079-$J2080)*100</f>
        <v/>
      </c>
      <c r="BM2079" s="82">
        <f>($F2079-$F2080)*100</f>
        <v/>
      </c>
      <c r="BN2079" s="82">
        <f>$AF2079-$AF2080</f>
        <v/>
      </c>
      <c r="BO2079" s="82">
        <f>$AG2079-$AG2080</f>
        <v/>
      </c>
      <c r="BP2079" s="82">
        <f>$AJ2079-$AJ2080</f>
        <v/>
      </c>
    </row>
    <row r="2080">
      <c r="AR2080" s="81">
        <f>($G2080+($H2080-$G2080)*0.5)+($P2080-($O2080+($Q2080-$O2080)*0.5))</f>
        <v/>
      </c>
      <c r="AS2080" s="81">
        <f>($J2080+($K2080-$J2080)*0.5)+($T2080-($S2080+($U2080-$S2080)*0.5))</f>
        <v/>
      </c>
      <c r="AT2080" s="82">
        <f>($J2080-$C2080)*100</f>
        <v/>
      </c>
      <c r="AU2080" s="82">
        <f>($H2080-$F2080)*100</f>
        <v/>
      </c>
      <c r="AV2080" s="82">
        <f>($J2080-$F2080)*100</f>
        <v/>
      </c>
      <c r="AW2080" s="82">
        <f>($L2080-$F2080)*100</f>
        <v/>
      </c>
      <c r="AX2080" s="82">
        <f>($J2080-$H2080)*100</f>
        <v/>
      </c>
      <c r="AY2080" s="82">
        <f>($L2080-$H2080)*100</f>
        <v/>
      </c>
      <c r="AZ2080" s="82">
        <f>($L2080-$J2080)*100</f>
        <v/>
      </c>
      <c r="BA2080" s="82">
        <f>(2*$H2080-$F2080-$J2080)*100</f>
        <v/>
      </c>
      <c r="BB2080" s="82">
        <f>(2*$J2080-$H2080-$L2080)*100</f>
        <v/>
      </c>
      <c r="BC2080" s="82">
        <f>($N2080-$F2080)*100</f>
        <v/>
      </c>
      <c r="BD2080" s="82">
        <f>($Q2080-$H2080)*100</f>
        <v/>
      </c>
      <c r="BE2080" s="82">
        <f>($S2080-$J2080)*100</f>
        <v/>
      </c>
      <c r="BF2080" s="82">
        <f>($V2080-$L2080)*100</f>
        <v/>
      </c>
      <c r="BG2080" s="82">
        <f>$AG2080-$AF2080</f>
        <v/>
      </c>
      <c r="BH2080" s="81">
        <f>IFERROR($AG2080/$AF2080,"")</f>
        <v/>
      </c>
      <c r="BI2080" s="82">
        <f>$AJ2080-$AF2080</f>
        <v/>
      </c>
      <c r="BJ2080" s="81">
        <f>IFERROR($AJ2080/$AG2080,"")</f>
        <v/>
      </c>
      <c r="BK2080" s="81">
        <f>$X2080</f>
        <v/>
      </c>
      <c r="BL2080" s="82">
        <f>($J2080-$J2081)*100</f>
        <v/>
      </c>
      <c r="BM2080" s="82">
        <f>($F2080-$F2081)*100</f>
        <v/>
      </c>
      <c r="BN2080" s="82">
        <f>$AF2080-$AF2081</f>
        <v/>
      </c>
      <c r="BO2080" s="82">
        <f>$AG2080-$AG2081</f>
        <v/>
      </c>
      <c r="BP2080" s="82">
        <f>$AJ2080-$AJ2081</f>
        <v/>
      </c>
    </row>
    <row r="2081">
      <c r="AR2081" s="81">
        <f>($G2081+($H2081-$G2081)*0.5)+($P2081-($O2081+($Q2081-$O2081)*0.5))</f>
        <v/>
      </c>
      <c r="AS2081" s="81">
        <f>($J2081+($K2081-$J2081)*0.5)+($T2081-($S2081+($U2081-$S2081)*0.5))</f>
        <v/>
      </c>
      <c r="AT2081" s="82">
        <f>($J2081-$C2081)*100</f>
        <v/>
      </c>
      <c r="AU2081" s="82">
        <f>($H2081-$F2081)*100</f>
        <v/>
      </c>
      <c r="AV2081" s="82">
        <f>($J2081-$F2081)*100</f>
        <v/>
      </c>
      <c r="AW2081" s="82">
        <f>($L2081-$F2081)*100</f>
        <v/>
      </c>
      <c r="AX2081" s="82">
        <f>($J2081-$H2081)*100</f>
        <v/>
      </c>
      <c r="AY2081" s="82">
        <f>($L2081-$H2081)*100</f>
        <v/>
      </c>
      <c r="AZ2081" s="82">
        <f>($L2081-$J2081)*100</f>
        <v/>
      </c>
      <c r="BA2081" s="82">
        <f>(2*$H2081-$F2081-$J2081)*100</f>
        <v/>
      </c>
      <c r="BB2081" s="82">
        <f>(2*$J2081-$H2081-$L2081)*100</f>
        <v/>
      </c>
      <c r="BC2081" s="82">
        <f>($N2081-$F2081)*100</f>
        <v/>
      </c>
      <c r="BD2081" s="82">
        <f>($Q2081-$H2081)*100</f>
        <v/>
      </c>
      <c r="BE2081" s="82">
        <f>($S2081-$J2081)*100</f>
        <v/>
      </c>
      <c r="BF2081" s="82">
        <f>($V2081-$L2081)*100</f>
        <v/>
      </c>
      <c r="BG2081" s="82">
        <f>$AG2081-$AF2081</f>
        <v/>
      </c>
      <c r="BH2081" s="81">
        <f>IFERROR($AG2081/$AF2081,"")</f>
        <v/>
      </c>
      <c r="BI2081" s="82">
        <f>$AJ2081-$AF2081</f>
        <v/>
      </c>
      <c r="BJ2081" s="81">
        <f>IFERROR($AJ2081/$AG2081,"")</f>
        <v/>
      </c>
      <c r="BK2081" s="81">
        <f>$X2081</f>
        <v/>
      </c>
      <c r="BL2081" s="82">
        <f>($J2081-$J2082)*100</f>
        <v/>
      </c>
      <c r="BM2081" s="82">
        <f>($F2081-$F2082)*100</f>
        <v/>
      </c>
      <c r="BN2081" s="82">
        <f>$AF2081-$AF2082</f>
        <v/>
      </c>
      <c r="BO2081" s="82">
        <f>$AG2081-$AG2082</f>
        <v/>
      </c>
      <c r="BP2081" s="82">
        <f>$AJ2081-$AJ2082</f>
        <v/>
      </c>
    </row>
    <row r="2082">
      <c r="AR2082" s="81">
        <f>($G2082+($H2082-$G2082)*0.5)+($P2082-($O2082+($Q2082-$O2082)*0.5))</f>
        <v/>
      </c>
      <c r="AS2082" s="81">
        <f>($J2082+($K2082-$J2082)*0.5)+($T2082-($S2082+($U2082-$S2082)*0.5))</f>
        <v/>
      </c>
      <c r="AT2082" s="82">
        <f>($J2082-$C2082)*100</f>
        <v/>
      </c>
      <c r="AU2082" s="82">
        <f>($H2082-$F2082)*100</f>
        <v/>
      </c>
      <c r="AV2082" s="82">
        <f>($J2082-$F2082)*100</f>
        <v/>
      </c>
      <c r="AW2082" s="82">
        <f>($L2082-$F2082)*100</f>
        <v/>
      </c>
      <c r="AX2082" s="82">
        <f>($J2082-$H2082)*100</f>
        <v/>
      </c>
      <c r="AY2082" s="82">
        <f>($L2082-$H2082)*100</f>
        <v/>
      </c>
      <c r="AZ2082" s="82">
        <f>($L2082-$J2082)*100</f>
        <v/>
      </c>
      <c r="BA2082" s="82">
        <f>(2*$H2082-$F2082-$J2082)*100</f>
        <v/>
      </c>
      <c r="BB2082" s="82">
        <f>(2*$J2082-$H2082-$L2082)*100</f>
        <v/>
      </c>
      <c r="BC2082" s="82">
        <f>($N2082-$F2082)*100</f>
        <v/>
      </c>
      <c r="BD2082" s="82">
        <f>($Q2082-$H2082)*100</f>
        <v/>
      </c>
      <c r="BE2082" s="82">
        <f>($S2082-$J2082)*100</f>
        <v/>
      </c>
      <c r="BF2082" s="82">
        <f>($V2082-$L2082)*100</f>
        <v/>
      </c>
      <c r="BG2082" s="82">
        <f>$AG2082-$AF2082</f>
        <v/>
      </c>
      <c r="BH2082" s="81">
        <f>IFERROR($AG2082/$AF2082,"")</f>
        <v/>
      </c>
      <c r="BI2082" s="82">
        <f>$AJ2082-$AF2082</f>
        <v/>
      </c>
      <c r="BJ2082" s="81">
        <f>IFERROR($AJ2082/$AG2082,"")</f>
        <v/>
      </c>
      <c r="BK2082" s="81">
        <f>$X2082</f>
        <v/>
      </c>
      <c r="BL2082" s="82">
        <f>($J2082-$J2083)*100</f>
        <v/>
      </c>
      <c r="BM2082" s="82">
        <f>($F2082-$F2083)*100</f>
        <v/>
      </c>
      <c r="BN2082" s="82">
        <f>$AF2082-$AF2083</f>
        <v/>
      </c>
      <c r="BO2082" s="82">
        <f>$AG2082-$AG2083</f>
        <v/>
      </c>
      <c r="BP2082" s="82">
        <f>$AJ2082-$AJ2083</f>
        <v/>
      </c>
    </row>
    <row r="2083">
      <c r="AR2083" s="81">
        <f>($G2083+($H2083-$G2083)*0.5)+($P2083-($O2083+($Q2083-$O2083)*0.5))</f>
        <v/>
      </c>
      <c r="AS2083" s="81">
        <f>($J2083+($K2083-$J2083)*0.5)+($T2083-($S2083+($U2083-$S2083)*0.5))</f>
        <v/>
      </c>
      <c r="AT2083" s="82">
        <f>($J2083-$C2083)*100</f>
        <v/>
      </c>
      <c r="AU2083" s="82">
        <f>($H2083-$F2083)*100</f>
        <v/>
      </c>
      <c r="AV2083" s="82">
        <f>($J2083-$F2083)*100</f>
        <v/>
      </c>
      <c r="AW2083" s="82">
        <f>($L2083-$F2083)*100</f>
        <v/>
      </c>
      <c r="AX2083" s="82">
        <f>($J2083-$H2083)*100</f>
        <v/>
      </c>
      <c r="AY2083" s="82">
        <f>($L2083-$H2083)*100</f>
        <v/>
      </c>
      <c r="AZ2083" s="82">
        <f>($L2083-$J2083)*100</f>
        <v/>
      </c>
      <c r="BA2083" s="82">
        <f>(2*$H2083-$F2083-$J2083)*100</f>
        <v/>
      </c>
      <c r="BB2083" s="82">
        <f>(2*$J2083-$H2083-$L2083)*100</f>
        <v/>
      </c>
      <c r="BC2083" s="82">
        <f>($N2083-$F2083)*100</f>
        <v/>
      </c>
      <c r="BD2083" s="82">
        <f>($Q2083-$H2083)*100</f>
        <v/>
      </c>
      <c r="BE2083" s="82">
        <f>($S2083-$J2083)*100</f>
        <v/>
      </c>
      <c r="BF2083" s="82">
        <f>($V2083-$L2083)*100</f>
        <v/>
      </c>
      <c r="BG2083" s="82">
        <f>$AG2083-$AF2083</f>
        <v/>
      </c>
      <c r="BH2083" s="81">
        <f>IFERROR($AG2083/$AF2083,"")</f>
        <v/>
      </c>
      <c r="BI2083" s="82">
        <f>$AJ2083-$AF2083</f>
        <v/>
      </c>
      <c r="BJ2083" s="81">
        <f>IFERROR($AJ2083/$AG2083,"")</f>
        <v/>
      </c>
      <c r="BK2083" s="81">
        <f>$X2083</f>
        <v/>
      </c>
      <c r="BL2083" s="82">
        <f>($J2083-$J2084)*100</f>
        <v/>
      </c>
      <c r="BM2083" s="82">
        <f>($F2083-$F2084)*100</f>
        <v/>
      </c>
      <c r="BN2083" s="82">
        <f>$AF2083-$AF2084</f>
        <v/>
      </c>
      <c r="BO2083" s="82">
        <f>$AG2083-$AG2084</f>
        <v/>
      </c>
      <c r="BP2083" s="82">
        <f>$AJ2083-$AJ2084</f>
        <v/>
      </c>
    </row>
    <row r="2084">
      <c r="AR2084" s="81">
        <f>($G2084+($H2084-$G2084)*0.5)+($P2084-($O2084+($Q2084-$O2084)*0.5))</f>
        <v/>
      </c>
      <c r="AS2084" s="81">
        <f>($J2084+($K2084-$J2084)*0.5)+($T2084-($S2084+($U2084-$S2084)*0.5))</f>
        <v/>
      </c>
      <c r="AT2084" s="82">
        <f>($J2084-$C2084)*100</f>
        <v/>
      </c>
      <c r="AU2084" s="82">
        <f>($H2084-$F2084)*100</f>
        <v/>
      </c>
      <c r="AV2084" s="82">
        <f>($J2084-$F2084)*100</f>
        <v/>
      </c>
      <c r="AW2084" s="82">
        <f>($L2084-$F2084)*100</f>
        <v/>
      </c>
      <c r="AX2084" s="82">
        <f>($J2084-$H2084)*100</f>
        <v/>
      </c>
      <c r="AY2084" s="82">
        <f>($L2084-$H2084)*100</f>
        <v/>
      </c>
      <c r="AZ2084" s="82">
        <f>($L2084-$J2084)*100</f>
        <v/>
      </c>
      <c r="BA2084" s="82">
        <f>(2*$H2084-$F2084-$J2084)*100</f>
        <v/>
      </c>
      <c r="BB2084" s="82">
        <f>(2*$J2084-$H2084-$L2084)*100</f>
        <v/>
      </c>
      <c r="BC2084" s="82">
        <f>($N2084-$F2084)*100</f>
        <v/>
      </c>
      <c r="BD2084" s="82">
        <f>($Q2084-$H2084)*100</f>
        <v/>
      </c>
      <c r="BE2084" s="82">
        <f>($S2084-$J2084)*100</f>
        <v/>
      </c>
      <c r="BF2084" s="82">
        <f>($V2084-$L2084)*100</f>
        <v/>
      </c>
      <c r="BG2084" s="82">
        <f>$AG2084-$AF2084</f>
        <v/>
      </c>
      <c r="BH2084" s="81">
        <f>IFERROR($AG2084/$AF2084,"")</f>
        <v/>
      </c>
      <c r="BI2084" s="82">
        <f>$AJ2084-$AF2084</f>
        <v/>
      </c>
      <c r="BJ2084" s="81">
        <f>IFERROR($AJ2084/$AG2084,"")</f>
        <v/>
      </c>
      <c r="BK2084" s="81">
        <f>$X2084</f>
        <v/>
      </c>
      <c r="BL2084" s="82">
        <f>($J2084-$J2085)*100</f>
        <v/>
      </c>
      <c r="BM2084" s="82">
        <f>($F2084-$F2085)*100</f>
        <v/>
      </c>
      <c r="BN2084" s="82">
        <f>$AF2084-$AF2085</f>
        <v/>
      </c>
      <c r="BO2084" s="82">
        <f>$AG2084-$AG2085</f>
        <v/>
      </c>
      <c r="BP2084" s="82">
        <f>$AJ2084-$AJ2085</f>
        <v/>
      </c>
    </row>
    <row r="2085">
      <c r="AR2085" s="81">
        <f>($G2085+($H2085-$G2085)*0.5)+($P2085-($O2085+($Q2085-$O2085)*0.5))</f>
        <v/>
      </c>
      <c r="AS2085" s="81">
        <f>($J2085+($K2085-$J2085)*0.5)+($T2085-($S2085+($U2085-$S2085)*0.5))</f>
        <v/>
      </c>
      <c r="AT2085" s="82">
        <f>($J2085-$C2085)*100</f>
        <v/>
      </c>
      <c r="AU2085" s="82">
        <f>($H2085-$F2085)*100</f>
        <v/>
      </c>
      <c r="AV2085" s="82">
        <f>($J2085-$F2085)*100</f>
        <v/>
      </c>
      <c r="AW2085" s="82">
        <f>($L2085-$F2085)*100</f>
        <v/>
      </c>
      <c r="AX2085" s="82">
        <f>($J2085-$H2085)*100</f>
        <v/>
      </c>
      <c r="AY2085" s="82">
        <f>($L2085-$H2085)*100</f>
        <v/>
      </c>
      <c r="AZ2085" s="82">
        <f>($L2085-$J2085)*100</f>
        <v/>
      </c>
      <c r="BA2085" s="82">
        <f>(2*$H2085-$F2085-$J2085)*100</f>
        <v/>
      </c>
      <c r="BB2085" s="82">
        <f>(2*$J2085-$H2085-$L2085)*100</f>
        <v/>
      </c>
      <c r="BC2085" s="82">
        <f>($N2085-$F2085)*100</f>
        <v/>
      </c>
      <c r="BD2085" s="82">
        <f>($Q2085-$H2085)*100</f>
        <v/>
      </c>
      <c r="BE2085" s="82">
        <f>($S2085-$J2085)*100</f>
        <v/>
      </c>
      <c r="BF2085" s="82">
        <f>($V2085-$L2085)*100</f>
        <v/>
      </c>
      <c r="BG2085" s="82">
        <f>$AG2085-$AF2085</f>
        <v/>
      </c>
      <c r="BH2085" s="81">
        <f>IFERROR($AG2085/$AF2085,"")</f>
        <v/>
      </c>
      <c r="BI2085" s="82">
        <f>$AJ2085-$AF2085</f>
        <v/>
      </c>
      <c r="BJ2085" s="81">
        <f>IFERROR($AJ2085/$AG2085,"")</f>
        <v/>
      </c>
      <c r="BK2085" s="81">
        <f>$X2085</f>
        <v/>
      </c>
      <c r="BL2085" s="82">
        <f>($J2085-$J2086)*100</f>
        <v/>
      </c>
      <c r="BM2085" s="82">
        <f>($F2085-$F2086)*100</f>
        <v/>
      </c>
      <c r="BN2085" s="82">
        <f>$AF2085-$AF2086</f>
        <v/>
      </c>
      <c r="BO2085" s="82">
        <f>$AG2085-$AG2086</f>
        <v/>
      </c>
      <c r="BP2085" s="82">
        <f>$AJ2085-$AJ2086</f>
        <v/>
      </c>
    </row>
    <row r="2086">
      <c r="AR2086" s="81">
        <f>($G2086+($H2086-$G2086)*0.5)+($P2086-($O2086+($Q2086-$O2086)*0.5))</f>
        <v/>
      </c>
      <c r="AS2086" s="81">
        <f>($J2086+($K2086-$J2086)*0.5)+($T2086-($S2086+($U2086-$S2086)*0.5))</f>
        <v/>
      </c>
      <c r="AT2086" s="82">
        <f>($J2086-$C2086)*100</f>
        <v/>
      </c>
      <c r="AU2086" s="82">
        <f>($H2086-$F2086)*100</f>
        <v/>
      </c>
      <c r="AV2086" s="82">
        <f>($J2086-$F2086)*100</f>
        <v/>
      </c>
      <c r="AW2086" s="82">
        <f>($L2086-$F2086)*100</f>
        <v/>
      </c>
      <c r="AX2086" s="82">
        <f>($J2086-$H2086)*100</f>
        <v/>
      </c>
      <c r="AY2086" s="82">
        <f>($L2086-$H2086)*100</f>
        <v/>
      </c>
      <c r="AZ2086" s="82">
        <f>($L2086-$J2086)*100</f>
        <v/>
      </c>
      <c r="BA2086" s="82">
        <f>(2*$H2086-$F2086-$J2086)*100</f>
        <v/>
      </c>
      <c r="BB2086" s="82">
        <f>(2*$J2086-$H2086-$L2086)*100</f>
        <v/>
      </c>
      <c r="BC2086" s="82">
        <f>($N2086-$F2086)*100</f>
        <v/>
      </c>
      <c r="BD2086" s="82">
        <f>($Q2086-$H2086)*100</f>
        <v/>
      </c>
      <c r="BE2086" s="82">
        <f>($S2086-$J2086)*100</f>
        <v/>
      </c>
      <c r="BF2086" s="82">
        <f>($V2086-$L2086)*100</f>
        <v/>
      </c>
      <c r="BG2086" s="82">
        <f>$AG2086-$AF2086</f>
        <v/>
      </c>
      <c r="BH2086" s="81">
        <f>IFERROR($AG2086/$AF2086,"")</f>
        <v/>
      </c>
      <c r="BI2086" s="82">
        <f>$AJ2086-$AF2086</f>
        <v/>
      </c>
      <c r="BJ2086" s="81">
        <f>IFERROR($AJ2086/$AG2086,"")</f>
        <v/>
      </c>
      <c r="BK2086" s="81">
        <f>$X2086</f>
        <v/>
      </c>
      <c r="BL2086" s="82">
        <f>($J2086-$J2087)*100</f>
        <v/>
      </c>
      <c r="BM2086" s="82">
        <f>($F2086-$F2087)*100</f>
        <v/>
      </c>
      <c r="BN2086" s="82">
        <f>$AF2086-$AF2087</f>
        <v/>
      </c>
      <c r="BO2086" s="82">
        <f>$AG2086-$AG2087</f>
        <v/>
      </c>
      <c r="BP2086" s="82">
        <f>$AJ2086-$AJ2087</f>
        <v/>
      </c>
    </row>
    <row r="2087">
      <c r="AR2087" s="81">
        <f>($G2087+($H2087-$G2087)*0.5)+($P2087-($O2087+($Q2087-$O2087)*0.5))</f>
        <v/>
      </c>
      <c r="AS2087" s="81">
        <f>($J2087+($K2087-$J2087)*0.5)+($T2087-($S2087+($U2087-$S2087)*0.5))</f>
        <v/>
      </c>
      <c r="AT2087" s="82">
        <f>($J2087-$C2087)*100</f>
        <v/>
      </c>
      <c r="AU2087" s="82">
        <f>($H2087-$F2087)*100</f>
        <v/>
      </c>
      <c r="AV2087" s="82">
        <f>($J2087-$F2087)*100</f>
        <v/>
      </c>
      <c r="AW2087" s="82">
        <f>($L2087-$F2087)*100</f>
        <v/>
      </c>
      <c r="AX2087" s="82">
        <f>($J2087-$H2087)*100</f>
        <v/>
      </c>
      <c r="AY2087" s="82">
        <f>($L2087-$H2087)*100</f>
        <v/>
      </c>
      <c r="AZ2087" s="82">
        <f>($L2087-$J2087)*100</f>
        <v/>
      </c>
      <c r="BA2087" s="82">
        <f>(2*$H2087-$F2087-$J2087)*100</f>
        <v/>
      </c>
      <c r="BB2087" s="82">
        <f>(2*$J2087-$H2087-$L2087)*100</f>
        <v/>
      </c>
      <c r="BC2087" s="82">
        <f>($N2087-$F2087)*100</f>
        <v/>
      </c>
      <c r="BD2087" s="82">
        <f>($Q2087-$H2087)*100</f>
        <v/>
      </c>
      <c r="BE2087" s="82">
        <f>($S2087-$J2087)*100</f>
        <v/>
      </c>
      <c r="BF2087" s="82">
        <f>($V2087-$L2087)*100</f>
        <v/>
      </c>
      <c r="BG2087" s="82">
        <f>$AG2087-$AF2087</f>
        <v/>
      </c>
      <c r="BH2087" s="81">
        <f>IFERROR($AG2087/$AF2087,"")</f>
        <v/>
      </c>
      <c r="BI2087" s="82">
        <f>$AJ2087-$AF2087</f>
        <v/>
      </c>
      <c r="BJ2087" s="81">
        <f>IFERROR($AJ2087/$AG2087,"")</f>
        <v/>
      </c>
      <c r="BK2087" s="81">
        <f>$X2087</f>
        <v/>
      </c>
      <c r="BL2087" s="82">
        <f>($J2087-$J2088)*100</f>
        <v/>
      </c>
      <c r="BM2087" s="82">
        <f>($F2087-$F2088)*100</f>
        <v/>
      </c>
      <c r="BN2087" s="82">
        <f>$AF2087-$AF2088</f>
        <v/>
      </c>
      <c r="BO2087" s="82">
        <f>$AG2087-$AG2088</f>
        <v/>
      </c>
      <c r="BP2087" s="82">
        <f>$AJ2087-$AJ2088</f>
        <v/>
      </c>
    </row>
    <row r="2088">
      <c r="AR2088" s="81">
        <f>($G2088+($H2088-$G2088)*0.5)+($P2088-($O2088+($Q2088-$O2088)*0.5))</f>
        <v/>
      </c>
      <c r="AS2088" s="81">
        <f>($J2088+($K2088-$J2088)*0.5)+($T2088-($S2088+($U2088-$S2088)*0.5))</f>
        <v/>
      </c>
      <c r="AT2088" s="82">
        <f>($J2088-$C2088)*100</f>
        <v/>
      </c>
      <c r="AU2088" s="82">
        <f>($H2088-$F2088)*100</f>
        <v/>
      </c>
      <c r="AV2088" s="82">
        <f>($J2088-$F2088)*100</f>
        <v/>
      </c>
      <c r="AW2088" s="82">
        <f>($L2088-$F2088)*100</f>
        <v/>
      </c>
      <c r="AX2088" s="82">
        <f>($J2088-$H2088)*100</f>
        <v/>
      </c>
      <c r="AY2088" s="82">
        <f>($L2088-$H2088)*100</f>
        <v/>
      </c>
      <c r="AZ2088" s="82">
        <f>($L2088-$J2088)*100</f>
        <v/>
      </c>
      <c r="BA2088" s="82">
        <f>(2*$H2088-$F2088-$J2088)*100</f>
        <v/>
      </c>
      <c r="BB2088" s="82">
        <f>(2*$J2088-$H2088-$L2088)*100</f>
        <v/>
      </c>
      <c r="BC2088" s="82">
        <f>($N2088-$F2088)*100</f>
        <v/>
      </c>
      <c r="BD2088" s="82">
        <f>($Q2088-$H2088)*100</f>
        <v/>
      </c>
      <c r="BE2088" s="82">
        <f>($S2088-$J2088)*100</f>
        <v/>
      </c>
      <c r="BF2088" s="82">
        <f>($V2088-$L2088)*100</f>
        <v/>
      </c>
      <c r="BG2088" s="82">
        <f>$AG2088-$AF2088</f>
        <v/>
      </c>
      <c r="BH2088" s="81">
        <f>IFERROR($AG2088/$AF2088,"")</f>
        <v/>
      </c>
      <c r="BI2088" s="82">
        <f>$AJ2088-$AF2088</f>
        <v/>
      </c>
      <c r="BJ2088" s="81">
        <f>IFERROR($AJ2088/$AG2088,"")</f>
        <v/>
      </c>
      <c r="BK2088" s="81">
        <f>$X2088</f>
        <v/>
      </c>
      <c r="BL2088" s="82">
        <f>($J2088-$J2089)*100</f>
        <v/>
      </c>
      <c r="BM2088" s="82">
        <f>($F2088-$F2089)*100</f>
        <v/>
      </c>
      <c r="BN2088" s="82">
        <f>$AF2088-$AF2089</f>
        <v/>
      </c>
      <c r="BO2088" s="82">
        <f>$AG2088-$AG2089</f>
        <v/>
      </c>
      <c r="BP2088" s="82">
        <f>$AJ2088-$AJ2089</f>
        <v/>
      </c>
    </row>
    <row r="2089">
      <c r="AR2089" s="81">
        <f>($G2089+($H2089-$G2089)*0.5)+($P2089-($O2089+($Q2089-$O2089)*0.5))</f>
        <v/>
      </c>
      <c r="AS2089" s="81">
        <f>($J2089+($K2089-$J2089)*0.5)+($T2089-($S2089+($U2089-$S2089)*0.5))</f>
        <v/>
      </c>
      <c r="AT2089" s="82">
        <f>($J2089-$C2089)*100</f>
        <v/>
      </c>
      <c r="AU2089" s="82">
        <f>($H2089-$F2089)*100</f>
        <v/>
      </c>
      <c r="AV2089" s="82">
        <f>($J2089-$F2089)*100</f>
        <v/>
      </c>
      <c r="AW2089" s="82">
        <f>($L2089-$F2089)*100</f>
        <v/>
      </c>
      <c r="AX2089" s="82">
        <f>($J2089-$H2089)*100</f>
        <v/>
      </c>
      <c r="AY2089" s="82">
        <f>($L2089-$H2089)*100</f>
        <v/>
      </c>
      <c r="AZ2089" s="82">
        <f>($L2089-$J2089)*100</f>
        <v/>
      </c>
      <c r="BA2089" s="82">
        <f>(2*$H2089-$F2089-$J2089)*100</f>
        <v/>
      </c>
      <c r="BB2089" s="82">
        <f>(2*$J2089-$H2089-$L2089)*100</f>
        <v/>
      </c>
      <c r="BC2089" s="82">
        <f>($N2089-$F2089)*100</f>
        <v/>
      </c>
      <c r="BD2089" s="82">
        <f>($Q2089-$H2089)*100</f>
        <v/>
      </c>
      <c r="BE2089" s="82">
        <f>($S2089-$J2089)*100</f>
        <v/>
      </c>
      <c r="BF2089" s="82">
        <f>($V2089-$L2089)*100</f>
        <v/>
      </c>
      <c r="BG2089" s="82">
        <f>$AG2089-$AF2089</f>
        <v/>
      </c>
      <c r="BH2089" s="81">
        <f>IFERROR($AG2089/$AF2089,"")</f>
        <v/>
      </c>
      <c r="BI2089" s="82">
        <f>$AJ2089-$AF2089</f>
        <v/>
      </c>
      <c r="BJ2089" s="81">
        <f>IFERROR($AJ2089/$AG2089,"")</f>
        <v/>
      </c>
      <c r="BK2089" s="81">
        <f>$X2089</f>
        <v/>
      </c>
      <c r="BL2089" s="82">
        <f>($J2089-$J2090)*100</f>
        <v/>
      </c>
      <c r="BM2089" s="82">
        <f>($F2089-$F2090)*100</f>
        <v/>
      </c>
      <c r="BN2089" s="82">
        <f>$AF2089-$AF2090</f>
        <v/>
      </c>
      <c r="BO2089" s="82">
        <f>$AG2089-$AG2090</f>
        <v/>
      </c>
      <c r="BP2089" s="82">
        <f>$AJ2089-$AJ2090</f>
        <v/>
      </c>
    </row>
    <row r="2090">
      <c r="AR2090" s="81">
        <f>($G2090+($H2090-$G2090)*0.5)+($P2090-($O2090+($Q2090-$O2090)*0.5))</f>
        <v/>
      </c>
      <c r="AS2090" s="81">
        <f>($J2090+($K2090-$J2090)*0.5)+($T2090-($S2090+($U2090-$S2090)*0.5))</f>
        <v/>
      </c>
      <c r="AT2090" s="82">
        <f>($J2090-$C2090)*100</f>
        <v/>
      </c>
      <c r="AU2090" s="82">
        <f>($H2090-$F2090)*100</f>
        <v/>
      </c>
      <c r="AV2090" s="82">
        <f>($J2090-$F2090)*100</f>
        <v/>
      </c>
      <c r="AW2090" s="82">
        <f>($L2090-$F2090)*100</f>
        <v/>
      </c>
      <c r="AX2090" s="82">
        <f>($J2090-$H2090)*100</f>
        <v/>
      </c>
      <c r="AY2090" s="82">
        <f>($L2090-$H2090)*100</f>
        <v/>
      </c>
      <c r="AZ2090" s="82">
        <f>($L2090-$J2090)*100</f>
        <v/>
      </c>
      <c r="BA2090" s="82">
        <f>(2*$H2090-$F2090-$J2090)*100</f>
        <v/>
      </c>
      <c r="BB2090" s="82">
        <f>(2*$J2090-$H2090-$L2090)*100</f>
        <v/>
      </c>
      <c r="BC2090" s="82">
        <f>($N2090-$F2090)*100</f>
        <v/>
      </c>
      <c r="BD2090" s="82">
        <f>($Q2090-$H2090)*100</f>
        <v/>
      </c>
      <c r="BE2090" s="82">
        <f>($S2090-$J2090)*100</f>
        <v/>
      </c>
      <c r="BF2090" s="82">
        <f>($V2090-$L2090)*100</f>
        <v/>
      </c>
      <c r="BG2090" s="82">
        <f>$AG2090-$AF2090</f>
        <v/>
      </c>
      <c r="BH2090" s="81">
        <f>IFERROR($AG2090/$AF2090,"")</f>
        <v/>
      </c>
      <c r="BI2090" s="82">
        <f>$AJ2090-$AF2090</f>
        <v/>
      </c>
      <c r="BJ2090" s="81">
        <f>IFERROR($AJ2090/$AG2090,"")</f>
        <v/>
      </c>
      <c r="BK2090" s="81">
        <f>$X2090</f>
        <v/>
      </c>
      <c r="BL2090" s="82">
        <f>($J2090-$J2091)*100</f>
        <v/>
      </c>
      <c r="BM2090" s="82">
        <f>($F2090-$F2091)*100</f>
        <v/>
      </c>
      <c r="BN2090" s="82">
        <f>$AF2090-$AF2091</f>
        <v/>
      </c>
      <c r="BO2090" s="82">
        <f>$AG2090-$AG2091</f>
        <v/>
      </c>
      <c r="BP2090" s="82">
        <f>$AJ2090-$AJ2091</f>
        <v/>
      </c>
    </row>
    <row r="2091">
      <c r="AR2091" s="81">
        <f>($G2091+($H2091-$G2091)*0.5)+($P2091-($O2091+($Q2091-$O2091)*0.5))</f>
        <v/>
      </c>
      <c r="AS2091" s="81">
        <f>($J2091+($K2091-$J2091)*0.5)+($T2091-($S2091+($U2091-$S2091)*0.5))</f>
        <v/>
      </c>
      <c r="AT2091" s="82">
        <f>($J2091-$C2091)*100</f>
        <v/>
      </c>
      <c r="AU2091" s="82">
        <f>($H2091-$F2091)*100</f>
        <v/>
      </c>
      <c r="AV2091" s="82">
        <f>($J2091-$F2091)*100</f>
        <v/>
      </c>
      <c r="AW2091" s="82">
        <f>($L2091-$F2091)*100</f>
        <v/>
      </c>
      <c r="AX2091" s="82">
        <f>($J2091-$H2091)*100</f>
        <v/>
      </c>
      <c r="AY2091" s="82">
        <f>($L2091-$H2091)*100</f>
        <v/>
      </c>
      <c r="AZ2091" s="82">
        <f>($L2091-$J2091)*100</f>
        <v/>
      </c>
      <c r="BA2091" s="82">
        <f>(2*$H2091-$F2091-$J2091)*100</f>
        <v/>
      </c>
      <c r="BB2091" s="82">
        <f>(2*$J2091-$H2091-$L2091)*100</f>
        <v/>
      </c>
      <c r="BC2091" s="82">
        <f>($N2091-$F2091)*100</f>
        <v/>
      </c>
      <c r="BD2091" s="82">
        <f>($Q2091-$H2091)*100</f>
        <v/>
      </c>
      <c r="BE2091" s="82">
        <f>($S2091-$J2091)*100</f>
        <v/>
      </c>
      <c r="BF2091" s="82">
        <f>($V2091-$L2091)*100</f>
        <v/>
      </c>
      <c r="BG2091" s="82">
        <f>$AG2091-$AF2091</f>
        <v/>
      </c>
      <c r="BH2091" s="81">
        <f>IFERROR($AG2091/$AF2091,"")</f>
        <v/>
      </c>
      <c r="BI2091" s="82">
        <f>$AJ2091-$AF2091</f>
        <v/>
      </c>
      <c r="BJ2091" s="81">
        <f>IFERROR($AJ2091/$AG2091,"")</f>
        <v/>
      </c>
      <c r="BK2091" s="81">
        <f>$X2091</f>
        <v/>
      </c>
      <c r="BL2091" s="82">
        <f>($J2091-$J2092)*100</f>
        <v/>
      </c>
      <c r="BM2091" s="82">
        <f>($F2091-$F2092)*100</f>
        <v/>
      </c>
      <c r="BN2091" s="82">
        <f>$AF2091-$AF2092</f>
        <v/>
      </c>
      <c r="BO2091" s="82">
        <f>$AG2091-$AG2092</f>
        <v/>
      </c>
      <c r="BP2091" s="82">
        <f>$AJ2091-$AJ2092</f>
        <v/>
      </c>
    </row>
    <row r="2092">
      <c r="AR2092" s="81">
        <f>($G2092+($H2092-$G2092)*0.5)+($P2092-($O2092+($Q2092-$O2092)*0.5))</f>
        <v/>
      </c>
      <c r="AS2092" s="81">
        <f>($J2092+($K2092-$J2092)*0.5)+($T2092-($S2092+($U2092-$S2092)*0.5))</f>
        <v/>
      </c>
      <c r="AT2092" s="82">
        <f>($J2092-$C2092)*100</f>
        <v/>
      </c>
      <c r="AU2092" s="82">
        <f>($H2092-$F2092)*100</f>
        <v/>
      </c>
      <c r="AV2092" s="82">
        <f>($J2092-$F2092)*100</f>
        <v/>
      </c>
      <c r="AW2092" s="82">
        <f>($L2092-$F2092)*100</f>
        <v/>
      </c>
      <c r="AX2092" s="82">
        <f>($J2092-$H2092)*100</f>
        <v/>
      </c>
      <c r="AY2092" s="82">
        <f>($L2092-$H2092)*100</f>
        <v/>
      </c>
      <c r="AZ2092" s="82">
        <f>($L2092-$J2092)*100</f>
        <v/>
      </c>
      <c r="BA2092" s="82">
        <f>(2*$H2092-$F2092-$J2092)*100</f>
        <v/>
      </c>
      <c r="BB2092" s="82">
        <f>(2*$J2092-$H2092-$L2092)*100</f>
        <v/>
      </c>
      <c r="BC2092" s="82">
        <f>($N2092-$F2092)*100</f>
        <v/>
      </c>
      <c r="BD2092" s="82">
        <f>($Q2092-$H2092)*100</f>
        <v/>
      </c>
      <c r="BE2092" s="82">
        <f>($S2092-$J2092)*100</f>
        <v/>
      </c>
      <c r="BF2092" s="82">
        <f>($V2092-$L2092)*100</f>
        <v/>
      </c>
      <c r="BG2092" s="82">
        <f>$AG2092-$AF2092</f>
        <v/>
      </c>
      <c r="BH2092" s="81">
        <f>IFERROR($AG2092/$AF2092,"")</f>
        <v/>
      </c>
      <c r="BI2092" s="82">
        <f>$AJ2092-$AF2092</f>
        <v/>
      </c>
      <c r="BJ2092" s="81">
        <f>IFERROR($AJ2092/$AG2092,"")</f>
        <v/>
      </c>
      <c r="BK2092" s="81">
        <f>$X2092</f>
        <v/>
      </c>
      <c r="BL2092" s="82">
        <f>($J2092-$J2093)*100</f>
        <v/>
      </c>
      <c r="BM2092" s="82">
        <f>($F2092-$F2093)*100</f>
        <v/>
      </c>
      <c r="BN2092" s="82">
        <f>$AF2092-$AF2093</f>
        <v/>
      </c>
      <c r="BO2092" s="82">
        <f>$AG2092-$AG2093</f>
        <v/>
      </c>
      <c r="BP2092" s="82">
        <f>$AJ2092-$AJ2093</f>
        <v/>
      </c>
    </row>
    <row r="2093">
      <c r="AR2093" s="81">
        <f>($G2093+($H2093-$G2093)*0.5)+($P2093-($O2093+($Q2093-$O2093)*0.5))</f>
        <v/>
      </c>
      <c r="AS2093" s="81">
        <f>($J2093+($K2093-$J2093)*0.5)+($T2093-($S2093+($U2093-$S2093)*0.5))</f>
        <v/>
      </c>
      <c r="AT2093" s="82">
        <f>($J2093-$C2093)*100</f>
        <v/>
      </c>
      <c r="AU2093" s="82">
        <f>($H2093-$F2093)*100</f>
        <v/>
      </c>
      <c r="AV2093" s="82">
        <f>($J2093-$F2093)*100</f>
        <v/>
      </c>
      <c r="AW2093" s="82">
        <f>($L2093-$F2093)*100</f>
        <v/>
      </c>
      <c r="AX2093" s="82">
        <f>($J2093-$H2093)*100</f>
        <v/>
      </c>
      <c r="AY2093" s="82">
        <f>($L2093-$H2093)*100</f>
        <v/>
      </c>
      <c r="AZ2093" s="82">
        <f>($L2093-$J2093)*100</f>
        <v/>
      </c>
      <c r="BA2093" s="82">
        <f>(2*$H2093-$F2093-$J2093)*100</f>
        <v/>
      </c>
      <c r="BB2093" s="82">
        <f>(2*$J2093-$H2093-$L2093)*100</f>
        <v/>
      </c>
      <c r="BC2093" s="82">
        <f>($N2093-$F2093)*100</f>
        <v/>
      </c>
      <c r="BD2093" s="82">
        <f>($Q2093-$H2093)*100</f>
        <v/>
      </c>
      <c r="BE2093" s="82">
        <f>($S2093-$J2093)*100</f>
        <v/>
      </c>
      <c r="BF2093" s="82">
        <f>($V2093-$L2093)*100</f>
        <v/>
      </c>
      <c r="BG2093" s="82">
        <f>$AG2093-$AF2093</f>
        <v/>
      </c>
      <c r="BH2093" s="81">
        <f>IFERROR($AG2093/$AF2093,"")</f>
        <v/>
      </c>
      <c r="BI2093" s="82">
        <f>$AJ2093-$AF2093</f>
        <v/>
      </c>
      <c r="BJ2093" s="81">
        <f>IFERROR($AJ2093/$AG2093,"")</f>
        <v/>
      </c>
      <c r="BK2093" s="81">
        <f>$X2093</f>
        <v/>
      </c>
      <c r="BL2093" s="82">
        <f>($J2093-$J2094)*100</f>
        <v/>
      </c>
      <c r="BM2093" s="82">
        <f>($F2093-$F2094)*100</f>
        <v/>
      </c>
      <c r="BN2093" s="82">
        <f>$AF2093-$AF2094</f>
        <v/>
      </c>
      <c r="BO2093" s="82">
        <f>$AG2093-$AG2094</f>
        <v/>
      </c>
      <c r="BP2093" s="82">
        <f>$AJ2093-$AJ2094</f>
        <v/>
      </c>
    </row>
    <row r="2094">
      <c r="AR2094" s="81">
        <f>($G2094+($H2094-$G2094)*0.5)+($P2094-($O2094+($Q2094-$O2094)*0.5))</f>
        <v/>
      </c>
      <c r="AS2094" s="81">
        <f>($J2094+($K2094-$J2094)*0.5)+($T2094-($S2094+($U2094-$S2094)*0.5))</f>
        <v/>
      </c>
      <c r="AT2094" s="82">
        <f>($J2094-$C2094)*100</f>
        <v/>
      </c>
      <c r="AU2094" s="82">
        <f>($H2094-$F2094)*100</f>
        <v/>
      </c>
      <c r="AV2094" s="82">
        <f>($J2094-$F2094)*100</f>
        <v/>
      </c>
      <c r="AW2094" s="82">
        <f>($L2094-$F2094)*100</f>
        <v/>
      </c>
      <c r="AX2094" s="82">
        <f>($J2094-$H2094)*100</f>
        <v/>
      </c>
      <c r="AY2094" s="82">
        <f>($L2094-$H2094)*100</f>
        <v/>
      </c>
      <c r="AZ2094" s="82">
        <f>($L2094-$J2094)*100</f>
        <v/>
      </c>
      <c r="BA2094" s="82">
        <f>(2*$H2094-$F2094-$J2094)*100</f>
        <v/>
      </c>
      <c r="BB2094" s="82">
        <f>(2*$J2094-$H2094-$L2094)*100</f>
        <v/>
      </c>
      <c r="BC2094" s="82">
        <f>($N2094-$F2094)*100</f>
        <v/>
      </c>
      <c r="BD2094" s="82">
        <f>($Q2094-$H2094)*100</f>
        <v/>
      </c>
      <c r="BE2094" s="82">
        <f>($S2094-$J2094)*100</f>
        <v/>
      </c>
      <c r="BF2094" s="82">
        <f>($V2094-$L2094)*100</f>
        <v/>
      </c>
      <c r="BG2094" s="82">
        <f>$AG2094-$AF2094</f>
        <v/>
      </c>
      <c r="BH2094" s="81">
        <f>IFERROR($AG2094/$AF2094,"")</f>
        <v/>
      </c>
      <c r="BI2094" s="82">
        <f>$AJ2094-$AF2094</f>
        <v/>
      </c>
      <c r="BJ2094" s="81">
        <f>IFERROR($AJ2094/$AG2094,"")</f>
        <v/>
      </c>
      <c r="BK2094" s="81">
        <f>$X2094</f>
        <v/>
      </c>
      <c r="BL2094" s="82">
        <f>($J2094-$J2095)*100</f>
        <v/>
      </c>
      <c r="BM2094" s="82">
        <f>($F2094-$F2095)*100</f>
        <v/>
      </c>
      <c r="BN2094" s="82">
        <f>$AF2094-$AF2095</f>
        <v/>
      </c>
      <c r="BO2094" s="82">
        <f>$AG2094-$AG2095</f>
        <v/>
      </c>
      <c r="BP2094" s="82">
        <f>$AJ2094-$AJ2095</f>
        <v/>
      </c>
    </row>
    <row r="2095">
      <c r="AR2095" s="81">
        <f>($G2095+($H2095-$G2095)*0.5)+($P2095-($O2095+($Q2095-$O2095)*0.5))</f>
        <v/>
      </c>
      <c r="AS2095" s="81">
        <f>($J2095+($K2095-$J2095)*0.5)+($T2095-($S2095+($U2095-$S2095)*0.5))</f>
        <v/>
      </c>
      <c r="AT2095" s="82">
        <f>($J2095-$C2095)*100</f>
        <v/>
      </c>
      <c r="AU2095" s="82">
        <f>($H2095-$F2095)*100</f>
        <v/>
      </c>
      <c r="AV2095" s="82">
        <f>($J2095-$F2095)*100</f>
        <v/>
      </c>
      <c r="AW2095" s="82">
        <f>($L2095-$F2095)*100</f>
        <v/>
      </c>
      <c r="AX2095" s="82">
        <f>($J2095-$H2095)*100</f>
        <v/>
      </c>
      <c r="AY2095" s="82">
        <f>($L2095-$H2095)*100</f>
        <v/>
      </c>
      <c r="AZ2095" s="82">
        <f>($L2095-$J2095)*100</f>
        <v/>
      </c>
      <c r="BA2095" s="82">
        <f>(2*$H2095-$F2095-$J2095)*100</f>
        <v/>
      </c>
      <c r="BB2095" s="82">
        <f>(2*$J2095-$H2095-$L2095)*100</f>
        <v/>
      </c>
      <c r="BC2095" s="82">
        <f>($N2095-$F2095)*100</f>
        <v/>
      </c>
      <c r="BD2095" s="82">
        <f>($Q2095-$H2095)*100</f>
        <v/>
      </c>
      <c r="BE2095" s="82">
        <f>($S2095-$J2095)*100</f>
        <v/>
      </c>
      <c r="BF2095" s="82">
        <f>($V2095-$L2095)*100</f>
        <v/>
      </c>
      <c r="BG2095" s="82">
        <f>$AG2095-$AF2095</f>
        <v/>
      </c>
      <c r="BH2095" s="81">
        <f>IFERROR($AG2095/$AF2095,"")</f>
        <v/>
      </c>
      <c r="BI2095" s="82">
        <f>$AJ2095-$AF2095</f>
        <v/>
      </c>
      <c r="BJ2095" s="81">
        <f>IFERROR($AJ2095/$AG2095,"")</f>
        <v/>
      </c>
      <c r="BK2095" s="81">
        <f>$X2095</f>
        <v/>
      </c>
      <c r="BL2095" s="82">
        <f>($J2095-$J2096)*100</f>
        <v/>
      </c>
      <c r="BM2095" s="82">
        <f>($F2095-$F2096)*100</f>
        <v/>
      </c>
      <c r="BN2095" s="82">
        <f>$AF2095-$AF2096</f>
        <v/>
      </c>
      <c r="BO2095" s="82">
        <f>$AG2095-$AG2096</f>
        <v/>
      </c>
      <c r="BP2095" s="82">
        <f>$AJ2095-$AJ2096</f>
        <v/>
      </c>
    </row>
    <row r="2096">
      <c r="AR2096" s="81">
        <f>($G2096+($H2096-$G2096)*0.5)+($P2096-($O2096+($Q2096-$O2096)*0.5))</f>
        <v/>
      </c>
      <c r="AS2096" s="81">
        <f>($J2096+($K2096-$J2096)*0.5)+($T2096-($S2096+($U2096-$S2096)*0.5))</f>
        <v/>
      </c>
      <c r="AT2096" s="82">
        <f>($J2096-$C2096)*100</f>
        <v/>
      </c>
      <c r="AU2096" s="82">
        <f>($H2096-$F2096)*100</f>
        <v/>
      </c>
      <c r="AV2096" s="82">
        <f>($J2096-$F2096)*100</f>
        <v/>
      </c>
      <c r="AW2096" s="82">
        <f>($L2096-$F2096)*100</f>
        <v/>
      </c>
      <c r="AX2096" s="82">
        <f>($J2096-$H2096)*100</f>
        <v/>
      </c>
      <c r="AY2096" s="82">
        <f>($L2096-$H2096)*100</f>
        <v/>
      </c>
      <c r="AZ2096" s="82">
        <f>($L2096-$J2096)*100</f>
        <v/>
      </c>
      <c r="BA2096" s="82">
        <f>(2*$H2096-$F2096-$J2096)*100</f>
        <v/>
      </c>
      <c r="BB2096" s="82">
        <f>(2*$J2096-$H2096-$L2096)*100</f>
        <v/>
      </c>
      <c r="BC2096" s="82">
        <f>($N2096-$F2096)*100</f>
        <v/>
      </c>
      <c r="BD2096" s="82">
        <f>($Q2096-$H2096)*100</f>
        <v/>
      </c>
      <c r="BE2096" s="82">
        <f>($S2096-$J2096)*100</f>
        <v/>
      </c>
      <c r="BF2096" s="82">
        <f>($V2096-$L2096)*100</f>
        <v/>
      </c>
      <c r="BG2096" s="82">
        <f>$AG2096-$AF2096</f>
        <v/>
      </c>
      <c r="BH2096" s="81">
        <f>IFERROR($AG2096/$AF2096,"")</f>
        <v/>
      </c>
      <c r="BI2096" s="82">
        <f>$AJ2096-$AF2096</f>
        <v/>
      </c>
      <c r="BJ2096" s="81">
        <f>IFERROR($AJ2096/$AG2096,"")</f>
        <v/>
      </c>
      <c r="BK2096" s="81">
        <f>$X2096</f>
        <v/>
      </c>
      <c r="BL2096" s="82">
        <f>($J2096-$J2097)*100</f>
        <v/>
      </c>
      <c r="BM2096" s="82">
        <f>($F2096-$F2097)*100</f>
        <v/>
      </c>
      <c r="BN2096" s="82">
        <f>$AF2096-$AF2097</f>
        <v/>
      </c>
      <c r="BO2096" s="82">
        <f>$AG2096-$AG2097</f>
        <v/>
      </c>
      <c r="BP2096" s="82">
        <f>$AJ2096-$AJ2097</f>
        <v/>
      </c>
    </row>
    <row r="2097">
      <c r="AR2097" s="81">
        <f>($G2097+($H2097-$G2097)*0.5)+($P2097-($O2097+($Q2097-$O2097)*0.5))</f>
        <v/>
      </c>
      <c r="AS2097" s="81">
        <f>($J2097+($K2097-$J2097)*0.5)+($T2097-($S2097+($U2097-$S2097)*0.5))</f>
        <v/>
      </c>
      <c r="AT2097" s="82">
        <f>($J2097-$C2097)*100</f>
        <v/>
      </c>
      <c r="AU2097" s="82">
        <f>($H2097-$F2097)*100</f>
        <v/>
      </c>
      <c r="AV2097" s="82">
        <f>($J2097-$F2097)*100</f>
        <v/>
      </c>
      <c r="AW2097" s="82">
        <f>($L2097-$F2097)*100</f>
        <v/>
      </c>
      <c r="AX2097" s="82">
        <f>($J2097-$H2097)*100</f>
        <v/>
      </c>
      <c r="AY2097" s="82">
        <f>($L2097-$H2097)*100</f>
        <v/>
      </c>
      <c r="AZ2097" s="82">
        <f>($L2097-$J2097)*100</f>
        <v/>
      </c>
      <c r="BA2097" s="82">
        <f>(2*$H2097-$F2097-$J2097)*100</f>
        <v/>
      </c>
      <c r="BB2097" s="82">
        <f>(2*$J2097-$H2097-$L2097)*100</f>
        <v/>
      </c>
      <c r="BC2097" s="82">
        <f>($N2097-$F2097)*100</f>
        <v/>
      </c>
      <c r="BD2097" s="82">
        <f>($Q2097-$H2097)*100</f>
        <v/>
      </c>
      <c r="BE2097" s="82">
        <f>($S2097-$J2097)*100</f>
        <v/>
      </c>
      <c r="BF2097" s="82">
        <f>($V2097-$L2097)*100</f>
        <v/>
      </c>
      <c r="BG2097" s="82">
        <f>$AG2097-$AF2097</f>
        <v/>
      </c>
      <c r="BH2097" s="81">
        <f>IFERROR($AG2097/$AF2097,"")</f>
        <v/>
      </c>
      <c r="BI2097" s="82">
        <f>$AJ2097-$AF2097</f>
        <v/>
      </c>
      <c r="BJ2097" s="81">
        <f>IFERROR($AJ2097/$AG2097,"")</f>
        <v/>
      </c>
      <c r="BK2097" s="81">
        <f>$X2097</f>
        <v/>
      </c>
      <c r="BL2097" s="82">
        <f>($J2097-$J2098)*100</f>
        <v/>
      </c>
      <c r="BM2097" s="82">
        <f>($F2097-$F2098)*100</f>
        <v/>
      </c>
      <c r="BN2097" s="82">
        <f>$AF2097-$AF2098</f>
        <v/>
      </c>
      <c r="BO2097" s="82">
        <f>$AG2097-$AG2098</f>
        <v/>
      </c>
      <c r="BP2097" s="82">
        <f>$AJ2097-$AJ2098</f>
        <v/>
      </c>
    </row>
    <row r="2098">
      <c r="AR2098" s="81">
        <f>($G2098+($H2098-$G2098)*0.5)+($P2098-($O2098+($Q2098-$O2098)*0.5))</f>
        <v/>
      </c>
      <c r="AS2098" s="81">
        <f>($J2098+($K2098-$J2098)*0.5)+($T2098-($S2098+($U2098-$S2098)*0.5))</f>
        <v/>
      </c>
      <c r="AT2098" s="82">
        <f>($J2098-$C2098)*100</f>
        <v/>
      </c>
      <c r="AU2098" s="82">
        <f>($H2098-$F2098)*100</f>
        <v/>
      </c>
      <c r="AV2098" s="82">
        <f>($J2098-$F2098)*100</f>
        <v/>
      </c>
      <c r="AW2098" s="82">
        <f>($L2098-$F2098)*100</f>
        <v/>
      </c>
      <c r="AX2098" s="82">
        <f>($J2098-$H2098)*100</f>
        <v/>
      </c>
      <c r="AY2098" s="82">
        <f>($L2098-$H2098)*100</f>
        <v/>
      </c>
      <c r="AZ2098" s="82">
        <f>($L2098-$J2098)*100</f>
        <v/>
      </c>
      <c r="BA2098" s="82">
        <f>(2*$H2098-$F2098-$J2098)*100</f>
        <v/>
      </c>
      <c r="BB2098" s="82">
        <f>(2*$J2098-$H2098-$L2098)*100</f>
        <v/>
      </c>
      <c r="BC2098" s="82">
        <f>($N2098-$F2098)*100</f>
        <v/>
      </c>
      <c r="BD2098" s="82">
        <f>($Q2098-$H2098)*100</f>
        <v/>
      </c>
      <c r="BE2098" s="82">
        <f>($S2098-$J2098)*100</f>
        <v/>
      </c>
      <c r="BF2098" s="82">
        <f>($V2098-$L2098)*100</f>
        <v/>
      </c>
      <c r="BG2098" s="82">
        <f>$AG2098-$AF2098</f>
        <v/>
      </c>
      <c r="BH2098" s="81">
        <f>IFERROR($AG2098/$AF2098,"")</f>
        <v/>
      </c>
      <c r="BI2098" s="82">
        <f>$AJ2098-$AF2098</f>
        <v/>
      </c>
      <c r="BJ2098" s="81">
        <f>IFERROR($AJ2098/$AG2098,"")</f>
        <v/>
      </c>
      <c r="BK2098" s="81">
        <f>$X2098</f>
        <v/>
      </c>
      <c r="BL2098" s="82">
        <f>($J2098-$J2099)*100</f>
        <v/>
      </c>
      <c r="BM2098" s="82">
        <f>($F2098-$F2099)*100</f>
        <v/>
      </c>
      <c r="BN2098" s="82">
        <f>$AF2098-$AF2099</f>
        <v/>
      </c>
      <c r="BO2098" s="82">
        <f>$AG2098-$AG2099</f>
        <v/>
      </c>
      <c r="BP2098" s="82">
        <f>$AJ2098-$AJ2099</f>
        <v/>
      </c>
    </row>
    <row r="2099">
      <c r="AR2099" s="81">
        <f>($G2099+($H2099-$G2099)*0.5)+($P2099-($O2099+($Q2099-$O2099)*0.5))</f>
        <v/>
      </c>
      <c r="AS2099" s="81">
        <f>($J2099+($K2099-$J2099)*0.5)+($T2099-($S2099+($U2099-$S2099)*0.5))</f>
        <v/>
      </c>
      <c r="AT2099" s="82">
        <f>($J2099-$C2099)*100</f>
        <v/>
      </c>
      <c r="AU2099" s="82">
        <f>($H2099-$F2099)*100</f>
        <v/>
      </c>
      <c r="AV2099" s="82">
        <f>($J2099-$F2099)*100</f>
        <v/>
      </c>
      <c r="AW2099" s="82">
        <f>($L2099-$F2099)*100</f>
        <v/>
      </c>
      <c r="AX2099" s="82">
        <f>($J2099-$H2099)*100</f>
        <v/>
      </c>
      <c r="AY2099" s="82">
        <f>($L2099-$H2099)*100</f>
        <v/>
      </c>
      <c r="AZ2099" s="82">
        <f>($L2099-$J2099)*100</f>
        <v/>
      </c>
      <c r="BA2099" s="82">
        <f>(2*$H2099-$F2099-$J2099)*100</f>
        <v/>
      </c>
      <c r="BB2099" s="82">
        <f>(2*$J2099-$H2099-$L2099)*100</f>
        <v/>
      </c>
      <c r="BC2099" s="82">
        <f>($N2099-$F2099)*100</f>
        <v/>
      </c>
      <c r="BD2099" s="82">
        <f>($Q2099-$H2099)*100</f>
        <v/>
      </c>
      <c r="BE2099" s="82">
        <f>($S2099-$J2099)*100</f>
        <v/>
      </c>
      <c r="BF2099" s="82">
        <f>($V2099-$L2099)*100</f>
        <v/>
      </c>
      <c r="BG2099" s="82">
        <f>$AG2099-$AF2099</f>
        <v/>
      </c>
      <c r="BH2099" s="81">
        <f>IFERROR($AG2099/$AF2099,"")</f>
        <v/>
      </c>
      <c r="BI2099" s="82">
        <f>$AJ2099-$AF2099</f>
        <v/>
      </c>
      <c r="BJ2099" s="81">
        <f>IFERROR($AJ2099/$AG2099,"")</f>
        <v/>
      </c>
      <c r="BK2099" s="81">
        <f>$X2099</f>
        <v/>
      </c>
      <c r="BL2099" s="82">
        <f>($J2099-$J2100)*100</f>
        <v/>
      </c>
      <c r="BM2099" s="82">
        <f>($F2099-$F2100)*100</f>
        <v/>
      </c>
      <c r="BN2099" s="82">
        <f>$AF2099-$AF2100</f>
        <v/>
      </c>
      <c r="BO2099" s="82">
        <f>$AG2099-$AG2100</f>
        <v/>
      </c>
      <c r="BP2099" s="82">
        <f>$AJ2099-$AJ2100</f>
        <v/>
      </c>
    </row>
    <row r="2100">
      <c r="AR2100" s="81">
        <f>($G2100+($H2100-$G2100)*0.5)+($P2100-($O2100+($Q2100-$O2100)*0.5))</f>
        <v/>
      </c>
      <c r="AS2100" s="81">
        <f>($J2100+($K2100-$J2100)*0.5)+($T2100-($S2100+($U2100-$S2100)*0.5))</f>
        <v/>
      </c>
      <c r="AT2100" s="82">
        <f>($J2100-$C2100)*100</f>
        <v/>
      </c>
      <c r="AU2100" s="82">
        <f>($H2100-$F2100)*100</f>
        <v/>
      </c>
      <c r="AV2100" s="82">
        <f>($J2100-$F2100)*100</f>
        <v/>
      </c>
      <c r="AW2100" s="82">
        <f>($L2100-$F2100)*100</f>
        <v/>
      </c>
      <c r="AX2100" s="82">
        <f>($J2100-$H2100)*100</f>
        <v/>
      </c>
      <c r="AY2100" s="82">
        <f>($L2100-$H2100)*100</f>
        <v/>
      </c>
      <c r="AZ2100" s="82">
        <f>($L2100-$J2100)*100</f>
        <v/>
      </c>
      <c r="BA2100" s="82">
        <f>(2*$H2100-$F2100-$J2100)*100</f>
        <v/>
      </c>
      <c r="BB2100" s="82">
        <f>(2*$J2100-$H2100-$L2100)*100</f>
        <v/>
      </c>
      <c r="BC2100" s="82">
        <f>($N2100-$F2100)*100</f>
        <v/>
      </c>
      <c r="BD2100" s="82">
        <f>($Q2100-$H2100)*100</f>
        <v/>
      </c>
      <c r="BE2100" s="82">
        <f>($S2100-$J2100)*100</f>
        <v/>
      </c>
      <c r="BF2100" s="82">
        <f>($V2100-$L2100)*100</f>
        <v/>
      </c>
      <c r="BG2100" s="82">
        <f>$AG2100-$AF2100</f>
        <v/>
      </c>
      <c r="BH2100" s="81">
        <f>IFERROR($AG2100/$AF2100,"")</f>
        <v/>
      </c>
      <c r="BI2100" s="82">
        <f>$AJ2100-$AF2100</f>
        <v/>
      </c>
      <c r="BJ2100" s="81">
        <f>IFERROR($AJ2100/$AG2100,"")</f>
        <v/>
      </c>
      <c r="BK2100" s="81">
        <f>$X2100</f>
        <v/>
      </c>
      <c r="BL2100" s="82">
        <f>($J2100-$J2101)*100</f>
        <v/>
      </c>
      <c r="BM2100" s="82">
        <f>($F2100-$F2101)*100</f>
        <v/>
      </c>
      <c r="BN2100" s="82">
        <f>$AF2100-$AF2101</f>
        <v/>
      </c>
      <c r="BO2100" s="82">
        <f>$AG2100-$AG2101</f>
        <v/>
      </c>
      <c r="BP2100" s="82">
        <f>$AJ2100-$AJ2101</f>
        <v/>
      </c>
    </row>
    <row r="2101">
      <c r="AR2101" s="81">
        <f>($G2101+($H2101-$G2101)*0.5)+($P2101-($O2101+($Q2101-$O2101)*0.5))</f>
        <v/>
      </c>
      <c r="AS2101" s="81">
        <f>($J2101+($K2101-$J2101)*0.5)+($T2101-($S2101+($U2101-$S2101)*0.5))</f>
        <v/>
      </c>
      <c r="AT2101" s="82">
        <f>($J2101-$C2101)*100</f>
        <v/>
      </c>
      <c r="AU2101" s="82">
        <f>($H2101-$F2101)*100</f>
        <v/>
      </c>
      <c r="AV2101" s="82">
        <f>($J2101-$F2101)*100</f>
        <v/>
      </c>
      <c r="AW2101" s="82">
        <f>($L2101-$F2101)*100</f>
        <v/>
      </c>
      <c r="AX2101" s="82">
        <f>($J2101-$H2101)*100</f>
        <v/>
      </c>
      <c r="AY2101" s="82">
        <f>($L2101-$H2101)*100</f>
        <v/>
      </c>
      <c r="AZ2101" s="82">
        <f>($L2101-$J2101)*100</f>
        <v/>
      </c>
      <c r="BA2101" s="82">
        <f>(2*$H2101-$F2101-$J2101)*100</f>
        <v/>
      </c>
      <c r="BB2101" s="82">
        <f>(2*$J2101-$H2101-$L2101)*100</f>
        <v/>
      </c>
      <c r="BC2101" s="82">
        <f>($N2101-$F2101)*100</f>
        <v/>
      </c>
      <c r="BD2101" s="82">
        <f>($Q2101-$H2101)*100</f>
        <v/>
      </c>
      <c r="BE2101" s="82">
        <f>($S2101-$J2101)*100</f>
        <v/>
      </c>
      <c r="BF2101" s="82">
        <f>($V2101-$L2101)*100</f>
        <v/>
      </c>
      <c r="BG2101" s="82">
        <f>$AG2101-$AF2101</f>
        <v/>
      </c>
      <c r="BH2101" s="81">
        <f>IFERROR($AG2101/$AF2101,"")</f>
        <v/>
      </c>
      <c r="BI2101" s="82">
        <f>$AJ2101-$AF2101</f>
        <v/>
      </c>
      <c r="BJ2101" s="81">
        <f>IFERROR($AJ2101/$AG2101,"")</f>
        <v/>
      </c>
      <c r="BK2101" s="81">
        <f>$X2101</f>
        <v/>
      </c>
      <c r="BL2101" s="82">
        <f>($J2101-$J2102)*100</f>
        <v/>
      </c>
      <c r="BM2101" s="82">
        <f>($F2101-$F2102)*100</f>
        <v/>
      </c>
      <c r="BN2101" s="82">
        <f>$AF2101-$AF2102</f>
        <v/>
      </c>
      <c r="BO2101" s="82">
        <f>$AG2101-$AG2102</f>
        <v/>
      </c>
      <c r="BP2101" s="82">
        <f>$AJ2101-$AJ2102</f>
        <v/>
      </c>
    </row>
    <row r="2102">
      <c r="AR2102" s="81">
        <f>($G2102+($H2102-$G2102)*0.5)+($P2102-($O2102+($Q2102-$O2102)*0.5))</f>
        <v/>
      </c>
      <c r="AS2102" s="81">
        <f>($J2102+($K2102-$J2102)*0.5)+($T2102-($S2102+($U2102-$S2102)*0.5))</f>
        <v/>
      </c>
      <c r="AT2102" s="82">
        <f>($J2102-$C2102)*100</f>
        <v/>
      </c>
      <c r="AU2102" s="82">
        <f>($H2102-$F2102)*100</f>
        <v/>
      </c>
      <c r="AV2102" s="82">
        <f>($J2102-$F2102)*100</f>
        <v/>
      </c>
      <c r="AW2102" s="82">
        <f>($L2102-$F2102)*100</f>
        <v/>
      </c>
      <c r="AX2102" s="82">
        <f>($J2102-$H2102)*100</f>
        <v/>
      </c>
      <c r="AY2102" s="82">
        <f>($L2102-$H2102)*100</f>
        <v/>
      </c>
      <c r="AZ2102" s="82">
        <f>($L2102-$J2102)*100</f>
        <v/>
      </c>
      <c r="BA2102" s="82">
        <f>(2*$H2102-$F2102-$J2102)*100</f>
        <v/>
      </c>
      <c r="BB2102" s="82">
        <f>(2*$J2102-$H2102-$L2102)*100</f>
        <v/>
      </c>
      <c r="BC2102" s="82">
        <f>($N2102-$F2102)*100</f>
        <v/>
      </c>
      <c r="BD2102" s="82">
        <f>($Q2102-$H2102)*100</f>
        <v/>
      </c>
      <c r="BE2102" s="82">
        <f>($S2102-$J2102)*100</f>
        <v/>
      </c>
      <c r="BF2102" s="82">
        <f>($V2102-$L2102)*100</f>
        <v/>
      </c>
      <c r="BG2102" s="82">
        <f>$AG2102-$AF2102</f>
        <v/>
      </c>
      <c r="BH2102" s="81">
        <f>IFERROR($AG2102/$AF2102,"")</f>
        <v/>
      </c>
      <c r="BI2102" s="82">
        <f>$AJ2102-$AF2102</f>
        <v/>
      </c>
      <c r="BJ2102" s="81">
        <f>IFERROR($AJ2102/$AG2102,"")</f>
        <v/>
      </c>
      <c r="BK2102" s="81">
        <f>$X2102</f>
        <v/>
      </c>
      <c r="BL2102" s="82">
        <f>($J2102-$J2103)*100</f>
        <v/>
      </c>
      <c r="BM2102" s="82">
        <f>($F2102-$F2103)*100</f>
        <v/>
      </c>
      <c r="BN2102" s="82">
        <f>$AF2102-$AF2103</f>
        <v/>
      </c>
      <c r="BO2102" s="82">
        <f>$AG2102-$AG2103</f>
        <v/>
      </c>
      <c r="BP2102" s="82">
        <f>$AJ2102-$AJ2103</f>
        <v/>
      </c>
    </row>
    <row r="2103">
      <c r="AR2103" s="81">
        <f>($G2103+($H2103-$G2103)*0.5)+($P2103-($O2103+($Q2103-$O2103)*0.5))</f>
        <v/>
      </c>
      <c r="AS2103" s="81">
        <f>($J2103+($K2103-$J2103)*0.5)+($T2103-($S2103+($U2103-$S2103)*0.5))</f>
        <v/>
      </c>
      <c r="AT2103" s="82">
        <f>($J2103-$C2103)*100</f>
        <v/>
      </c>
      <c r="AU2103" s="82">
        <f>($H2103-$F2103)*100</f>
        <v/>
      </c>
      <c r="AV2103" s="82">
        <f>($J2103-$F2103)*100</f>
        <v/>
      </c>
      <c r="AW2103" s="82">
        <f>($L2103-$F2103)*100</f>
        <v/>
      </c>
      <c r="AX2103" s="82">
        <f>($J2103-$H2103)*100</f>
        <v/>
      </c>
      <c r="AY2103" s="82">
        <f>($L2103-$H2103)*100</f>
        <v/>
      </c>
      <c r="AZ2103" s="82">
        <f>($L2103-$J2103)*100</f>
        <v/>
      </c>
      <c r="BA2103" s="82">
        <f>(2*$H2103-$F2103-$J2103)*100</f>
        <v/>
      </c>
      <c r="BB2103" s="82">
        <f>(2*$J2103-$H2103-$L2103)*100</f>
        <v/>
      </c>
      <c r="BC2103" s="82">
        <f>($N2103-$F2103)*100</f>
        <v/>
      </c>
      <c r="BD2103" s="82">
        <f>($Q2103-$H2103)*100</f>
        <v/>
      </c>
      <c r="BE2103" s="82">
        <f>($S2103-$J2103)*100</f>
        <v/>
      </c>
      <c r="BF2103" s="82">
        <f>($V2103-$L2103)*100</f>
        <v/>
      </c>
      <c r="BG2103" s="82">
        <f>$AG2103-$AF2103</f>
        <v/>
      </c>
      <c r="BH2103" s="81">
        <f>IFERROR($AG2103/$AF2103,"")</f>
        <v/>
      </c>
      <c r="BI2103" s="82">
        <f>$AJ2103-$AF2103</f>
        <v/>
      </c>
      <c r="BJ2103" s="81">
        <f>IFERROR($AJ2103/$AG2103,"")</f>
        <v/>
      </c>
      <c r="BK2103" s="81">
        <f>$X2103</f>
        <v/>
      </c>
      <c r="BL2103" s="82">
        <f>($J2103-$J2104)*100</f>
        <v/>
      </c>
      <c r="BM2103" s="82">
        <f>($F2103-$F2104)*100</f>
        <v/>
      </c>
      <c r="BN2103" s="82">
        <f>$AF2103-$AF2104</f>
        <v/>
      </c>
      <c r="BO2103" s="82">
        <f>$AG2103-$AG2104</f>
        <v/>
      </c>
      <c r="BP2103" s="82">
        <f>$AJ2103-$AJ2104</f>
        <v/>
      </c>
    </row>
    <row r="2104">
      <c r="AR2104" s="81">
        <f>($G2104+($H2104-$G2104)*0.5)+($P2104-($O2104+($Q2104-$O2104)*0.5))</f>
        <v/>
      </c>
      <c r="AS2104" s="81">
        <f>($J2104+($K2104-$J2104)*0.5)+($T2104-($S2104+($U2104-$S2104)*0.5))</f>
        <v/>
      </c>
      <c r="AT2104" s="82">
        <f>($J2104-$C2104)*100</f>
        <v/>
      </c>
      <c r="AU2104" s="82">
        <f>($H2104-$F2104)*100</f>
        <v/>
      </c>
      <c r="AV2104" s="82">
        <f>($J2104-$F2104)*100</f>
        <v/>
      </c>
      <c r="AW2104" s="82">
        <f>($L2104-$F2104)*100</f>
        <v/>
      </c>
      <c r="AX2104" s="82">
        <f>($J2104-$H2104)*100</f>
        <v/>
      </c>
      <c r="AY2104" s="82">
        <f>($L2104-$H2104)*100</f>
        <v/>
      </c>
      <c r="AZ2104" s="82">
        <f>($L2104-$J2104)*100</f>
        <v/>
      </c>
      <c r="BA2104" s="82">
        <f>(2*$H2104-$F2104-$J2104)*100</f>
        <v/>
      </c>
      <c r="BB2104" s="82">
        <f>(2*$J2104-$H2104-$L2104)*100</f>
        <v/>
      </c>
      <c r="BC2104" s="82">
        <f>($N2104-$F2104)*100</f>
        <v/>
      </c>
      <c r="BD2104" s="82">
        <f>($Q2104-$H2104)*100</f>
        <v/>
      </c>
      <c r="BE2104" s="82">
        <f>($S2104-$J2104)*100</f>
        <v/>
      </c>
      <c r="BF2104" s="82">
        <f>($V2104-$L2104)*100</f>
        <v/>
      </c>
      <c r="BG2104" s="82">
        <f>$AG2104-$AF2104</f>
        <v/>
      </c>
      <c r="BH2104" s="81">
        <f>IFERROR($AG2104/$AF2104,"")</f>
        <v/>
      </c>
      <c r="BI2104" s="82">
        <f>$AJ2104-$AF2104</f>
        <v/>
      </c>
      <c r="BJ2104" s="81">
        <f>IFERROR($AJ2104/$AG2104,"")</f>
        <v/>
      </c>
      <c r="BK2104" s="81">
        <f>$X2104</f>
        <v/>
      </c>
      <c r="BL2104" s="82">
        <f>($J2104-$J2105)*100</f>
        <v/>
      </c>
      <c r="BM2104" s="82">
        <f>($F2104-$F2105)*100</f>
        <v/>
      </c>
      <c r="BN2104" s="82">
        <f>$AF2104-$AF2105</f>
        <v/>
      </c>
      <c r="BO2104" s="82">
        <f>$AG2104-$AG2105</f>
        <v/>
      </c>
      <c r="BP2104" s="82">
        <f>$AJ2104-$AJ2105</f>
        <v/>
      </c>
    </row>
    <row r="2105">
      <c r="AR2105" s="81">
        <f>($G2105+($H2105-$G2105)*0.5)+($P2105-($O2105+($Q2105-$O2105)*0.5))</f>
        <v/>
      </c>
      <c r="AS2105" s="81">
        <f>($J2105+($K2105-$J2105)*0.5)+($T2105-($S2105+($U2105-$S2105)*0.5))</f>
        <v/>
      </c>
      <c r="AT2105" s="82">
        <f>($J2105-$C2105)*100</f>
        <v/>
      </c>
      <c r="AU2105" s="82">
        <f>($H2105-$F2105)*100</f>
        <v/>
      </c>
      <c r="AV2105" s="82">
        <f>($J2105-$F2105)*100</f>
        <v/>
      </c>
      <c r="AW2105" s="82">
        <f>($L2105-$F2105)*100</f>
        <v/>
      </c>
      <c r="AX2105" s="82">
        <f>($J2105-$H2105)*100</f>
        <v/>
      </c>
      <c r="AY2105" s="82">
        <f>($L2105-$H2105)*100</f>
        <v/>
      </c>
      <c r="AZ2105" s="82">
        <f>($L2105-$J2105)*100</f>
        <v/>
      </c>
      <c r="BA2105" s="82">
        <f>(2*$H2105-$F2105-$J2105)*100</f>
        <v/>
      </c>
      <c r="BB2105" s="82">
        <f>(2*$J2105-$H2105-$L2105)*100</f>
        <v/>
      </c>
      <c r="BC2105" s="82">
        <f>($N2105-$F2105)*100</f>
        <v/>
      </c>
      <c r="BD2105" s="82">
        <f>($Q2105-$H2105)*100</f>
        <v/>
      </c>
      <c r="BE2105" s="82">
        <f>($S2105-$J2105)*100</f>
        <v/>
      </c>
      <c r="BF2105" s="82">
        <f>($V2105-$L2105)*100</f>
        <v/>
      </c>
      <c r="BG2105" s="82">
        <f>$AG2105-$AF2105</f>
        <v/>
      </c>
      <c r="BH2105" s="81">
        <f>IFERROR($AG2105/$AF2105,"")</f>
        <v/>
      </c>
      <c r="BI2105" s="82">
        <f>$AJ2105-$AF2105</f>
        <v/>
      </c>
      <c r="BJ2105" s="81">
        <f>IFERROR($AJ2105/$AG2105,"")</f>
        <v/>
      </c>
      <c r="BK2105" s="81">
        <f>$X2105</f>
        <v/>
      </c>
      <c r="BL2105" s="82">
        <f>($J2105-$J2106)*100</f>
        <v/>
      </c>
      <c r="BM2105" s="82">
        <f>($F2105-$F2106)*100</f>
        <v/>
      </c>
      <c r="BN2105" s="82">
        <f>$AF2105-$AF2106</f>
        <v/>
      </c>
      <c r="BO2105" s="82">
        <f>$AG2105-$AG2106</f>
        <v/>
      </c>
      <c r="BP2105" s="82">
        <f>$AJ2105-$AJ2106</f>
        <v/>
      </c>
    </row>
    <row r="2106">
      <c r="AR2106" s="81">
        <f>($G2106+($H2106-$G2106)*0.5)+($P2106-($O2106+($Q2106-$O2106)*0.5))</f>
        <v/>
      </c>
      <c r="AS2106" s="81">
        <f>($J2106+($K2106-$J2106)*0.5)+($T2106-($S2106+($U2106-$S2106)*0.5))</f>
        <v/>
      </c>
      <c r="AT2106" s="82">
        <f>($J2106-$C2106)*100</f>
        <v/>
      </c>
      <c r="AU2106" s="82">
        <f>($H2106-$F2106)*100</f>
        <v/>
      </c>
      <c r="AV2106" s="82">
        <f>($J2106-$F2106)*100</f>
        <v/>
      </c>
      <c r="AW2106" s="82">
        <f>($L2106-$F2106)*100</f>
        <v/>
      </c>
      <c r="AX2106" s="82">
        <f>($J2106-$H2106)*100</f>
        <v/>
      </c>
      <c r="AY2106" s="82">
        <f>($L2106-$H2106)*100</f>
        <v/>
      </c>
      <c r="AZ2106" s="82">
        <f>($L2106-$J2106)*100</f>
        <v/>
      </c>
      <c r="BA2106" s="82">
        <f>(2*$H2106-$F2106-$J2106)*100</f>
        <v/>
      </c>
      <c r="BB2106" s="82">
        <f>(2*$J2106-$H2106-$L2106)*100</f>
        <v/>
      </c>
      <c r="BC2106" s="82">
        <f>($N2106-$F2106)*100</f>
        <v/>
      </c>
      <c r="BD2106" s="82">
        <f>($Q2106-$H2106)*100</f>
        <v/>
      </c>
      <c r="BE2106" s="82">
        <f>($S2106-$J2106)*100</f>
        <v/>
      </c>
      <c r="BF2106" s="82">
        <f>($V2106-$L2106)*100</f>
        <v/>
      </c>
      <c r="BG2106" s="82">
        <f>$AG2106-$AF2106</f>
        <v/>
      </c>
      <c r="BH2106" s="81">
        <f>IFERROR($AG2106/$AF2106,"")</f>
        <v/>
      </c>
      <c r="BI2106" s="82">
        <f>$AJ2106-$AF2106</f>
        <v/>
      </c>
      <c r="BJ2106" s="81">
        <f>IFERROR($AJ2106/$AG2106,"")</f>
        <v/>
      </c>
      <c r="BK2106" s="81">
        <f>$X2106</f>
        <v/>
      </c>
      <c r="BL2106" s="82">
        <f>($J2106-$J2107)*100</f>
        <v/>
      </c>
      <c r="BM2106" s="82">
        <f>($F2106-$F2107)*100</f>
        <v/>
      </c>
      <c r="BN2106" s="82">
        <f>$AF2106-$AF2107</f>
        <v/>
      </c>
      <c r="BO2106" s="82">
        <f>$AG2106-$AG2107</f>
        <v/>
      </c>
      <c r="BP2106" s="82">
        <f>$AJ2106-$AJ2107</f>
        <v/>
      </c>
    </row>
    <row r="2107">
      <c r="AR2107" s="81">
        <f>($G2107+($H2107-$G2107)*0.5)+($P2107-($O2107+($Q2107-$O2107)*0.5))</f>
        <v/>
      </c>
      <c r="AS2107" s="81">
        <f>($J2107+($K2107-$J2107)*0.5)+($T2107-($S2107+($U2107-$S2107)*0.5))</f>
        <v/>
      </c>
      <c r="AT2107" s="82">
        <f>($J2107-$C2107)*100</f>
        <v/>
      </c>
      <c r="AU2107" s="82">
        <f>($H2107-$F2107)*100</f>
        <v/>
      </c>
      <c r="AV2107" s="82">
        <f>($J2107-$F2107)*100</f>
        <v/>
      </c>
      <c r="AW2107" s="82">
        <f>($L2107-$F2107)*100</f>
        <v/>
      </c>
      <c r="AX2107" s="82">
        <f>($J2107-$H2107)*100</f>
        <v/>
      </c>
      <c r="AY2107" s="82">
        <f>($L2107-$H2107)*100</f>
        <v/>
      </c>
      <c r="AZ2107" s="82">
        <f>($L2107-$J2107)*100</f>
        <v/>
      </c>
      <c r="BA2107" s="82">
        <f>(2*$H2107-$F2107-$J2107)*100</f>
        <v/>
      </c>
      <c r="BB2107" s="82">
        <f>(2*$J2107-$H2107-$L2107)*100</f>
        <v/>
      </c>
      <c r="BC2107" s="82">
        <f>($N2107-$F2107)*100</f>
        <v/>
      </c>
      <c r="BD2107" s="82">
        <f>($Q2107-$H2107)*100</f>
        <v/>
      </c>
      <c r="BE2107" s="82">
        <f>($S2107-$J2107)*100</f>
        <v/>
      </c>
      <c r="BF2107" s="82">
        <f>($V2107-$L2107)*100</f>
        <v/>
      </c>
      <c r="BG2107" s="82">
        <f>$AG2107-$AF2107</f>
        <v/>
      </c>
      <c r="BH2107" s="81">
        <f>IFERROR($AG2107/$AF2107,"")</f>
        <v/>
      </c>
      <c r="BI2107" s="82">
        <f>$AJ2107-$AF2107</f>
        <v/>
      </c>
      <c r="BJ2107" s="81">
        <f>IFERROR($AJ2107/$AG2107,"")</f>
        <v/>
      </c>
      <c r="BK2107" s="81">
        <f>$X2107</f>
        <v/>
      </c>
      <c r="BL2107" s="82">
        <f>($J2107-$J2108)*100</f>
        <v/>
      </c>
      <c r="BM2107" s="82">
        <f>($F2107-$F2108)*100</f>
        <v/>
      </c>
      <c r="BN2107" s="82">
        <f>$AF2107-$AF2108</f>
        <v/>
      </c>
      <c r="BO2107" s="82">
        <f>$AG2107-$AG2108</f>
        <v/>
      </c>
      <c r="BP2107" s="82">
        <f>$AJ2107-$AJ2108</f>
        <v/>
      </c>
    </row>
    <row r="2108">
      <c r="AR2108" s="81">
        <f>($G2108+($H2108-$G2108)*0.5)+($P2108-($O2108+($Q2108-$O2108)*0.5))</f>
        <v/>
      </c>
      <c r="AS2108" s="81">
        <f>($J2108+($K2108-$J2108)*0.5)+($T2108-($S2108+($U2108-$S2108)*0.5))</f>
        <v/>
      </c>
      <c r="AT2108" s="82">
        <f>($J2108-$C2108)*100</f>
        <v/>
      </c>
      <c r="AU2108" s="82">
        <f>($H2108-$F2108)*100</f>
        <v/>
      </c>
      <c r="AV2108" s="82">
        <f>($J2108-$F2108)*100</f>
        <v/>
      </c>
      <c r="AW2108" s="82">
        <f>($L2108-$F2108)*100</f>
        <v/>
      </c>
      <c r="AX2108" s="82">
        <f>($J2108-$H2108)*100</f>
        <v/>
      </c>
      <c r="AY2108" s="82">
        <f>($L2108-$H2108)*100</f>
        <v/>
      </c>
      <c r="AZ2108" s="82">
        <f>($L2108-$J2108)*100</f>
        <v/>
      </c>
      <c r="BA2108" s="82">
        <f>(2*$H2108-$F2108-$J2108)*100</f>
        <v/>
      </c>
      <c r="BB2108" s="82">
        <f>(2*$J2108-$H2108-$L2108)*100</f>
        <v/>
      </c>
      <c r="BC2108" s="82">
        <f>($N2108-$F2108)*100</f>
        <v/>
      </c>
      <c r="BD2108" s="82">
        <f>($Q2108-$H2108)*100</f>
        <v/>
      </c>
      <c r="BE2108" s="82">
        <f>($S2108-$J2108)*100</f>
        <v/>
      </c>
      <c r="BF2108" s="82">
        <f>($V2108-$L2108)*100</f>
        <v/>
      </c>
      <c r="BG2108" s="82">
        <f>$AG2108-$AF2108</f>
        <v/>
      </c>
      <c r="BH2108" s="81">
        <f>IFERROR($AG2108/$AF2108,"")</f>
        <v/>
      </c>
      <c r="BI2108" s="82">
        <f>$AJ2108-$AF2108</f>
        <v/>
      </c>
      <c r="BJ2108" s="81">
        <f>IFERROR($AJ2108/$AG2108,"")</f>
        <v/>
      </c>
      <c r="BK2108" s="81">
        <f>$X2108</f>
        <v/>
      </c>
      <c r="BL2108" s="82">
        <f>($J2108-$J2109)*100</f>
        <v/>
      </c>
      <c r="BM2108" s="82">
        <f>($F2108-$F2109)*100</f>
        <v/>
      </c>
      <c r="BN2108" s="82">
        <f>$AF2108-$AF2109</f>
        <v/>
      </c>
      <c r="BO2108" s="82">
        <f>$AG2108-$AG2109</f>
        <v/>
      </c>
      <c r="BP2108" s="82">
        <f>$AJ2108-$AJ2109</f>
        <v/>
      </c>
    </row>
    <row r="2109">
      <c r="AR2109" s="81">
        <f>($G2109+($H2109-$G2109)*0.5)+($P2109-($O2109+($Q2109-$O2109)*0.5))</f>
        <v/>
      </c>
      <c r="AS2109" s="81">
        <f>($J2109+($K2109-$J2109)*0.5)+($T2109-($S2109+($U2109-$S2109)*0.5))</f>
        <v/>
      </c>
      <c r="AT2109" s="82">
        <f>($J2109-$C2109)*100</f>
        <v/>
      </c>
      <c r="AU2109" s="82">
        <f>($H2109-$F2109)*100</f>
        <v/>
      </c>
      <c r="AV2109" s="82">
        <f>($J2109-$F2109)*100</f>
        <v/>
      </c>
      <c r="AW2109" s="82">
        <f>($L2109-$F2109)*100</f>
        <v/>
      </c>
      <c r="AX2109" s="82">
        <f>($J2109-$H2109)*100</f>
        <v/>
      </c>
      <c r="AY2109" s="82">
        <f>($L2109-$H2109)*100</f>
        <v/>
      </c>
      <c r="AZ2109" s="82">
        <f>($L2109-$J2109)*100</f>
        <v/>
      </c>
      <c r="BA2109" s="82">
        <f>(2*$H2109-$F2109-$J2109)*100</f>
        <v/>
      </c>
      <c r="BB2109" s="82">
        <f>(2*$J2109-$H2109-$L2109)*100</f>
        <v/>
      </c>
      <c r="BC2109" s="82">
        <f>($N2109-$F2109)*100</f>
        <v/>
      </c>
      <c r="BD2109" s="82">
        <f>($Q2109-$H2109)*100</f>
        <v/>
      </c>
      <c r="BE2109" s="82">
        <f>($S2109-$J2109)*100</f>
        <v/>
      </c>
      <c r="BF2109" s="82">
        <f>($V2109-$L2109)*100</f>
        <v/>
      </c>
      <c r="BG2109" s="82">
        <f>$AG2109-$AF2109</f>
        <v/>
      </c>
      <c r="BH2109" s="81">
        <f>IFERROR($AG2109/$AF2109,"")</f>
        <v/>
      </c>
      <c r="BI2109" s="82">
        <f>$AJ2109-$AF2109</f>
        <v/>
      </c>
      <c r="BJ2109" s="81">
        <f>IFERROR($AJ2109/$AG2109,"")</f>
        <v/>
      </c>
      <c r="BK2109" s="81">
        <f>$X2109</f>
        <v/>
      </c>
      <c r="BL2109" s="82">
        <f>($J2109-$J2110)*100</f>
        <v/>
      </c>
      <c r="BM2109" s="82">
        <f>($F2109-$F2110)*100</f>
        <v/>
      </c>
      <c r="BN2109" s="82">
        <f>$AF2109-$AF2110</f>
        <v/>
      </c>
      <c r="BO2109" s="82">
        <f>$AG2109-$AG2110</f>
        <v/>
      </c>
      <c r="BP2109" s="82">
        <f>$AJ2109-$AJ2110</f>
        <v/>
      </c>
    </row>
    <row r="2110">
      <c r="AR2110" s="81">
        <f>($G2110+($H2110-$G2110)*0.5)+($P2110-($O2110+($Q2110-$O2110)*0.5))</f>
        <v/>
      </c>
      <c r="AS2110" s="81">
        <f>($J2110+($K2110-$J2110)*0.5)+($T2110-($S2110+($U2110-$S2110)*0.5))</f>
        <v/>
      </c>
      <c r="AT2110" s="82">
        <f>($J2110-$C2110)*100</f>
        <v/>
      </c>
      <c r="AU2110" s="82">
        <f>($H2110-$F2110)*100</f>
        <v/>
      </c>
      <c r="AV2110" s="82">
        <f>($J2110-$F2110)*100</f>
        <v/>
      </c>
      <c r="AW2110" s="82">
        <f>($L2110-$F2110)*100</f>
        <v/>
      </c>
      <c r="AX2110" s="82">
        <f>($J2110-$H2110)*100</f>
        <v/>
      </c>
      <c r="AY2110" s="82">
        <f>($L2110-$H2110)*100</f>
        <v/>
      </c>
      <c r="AZ2110" s="82">
        <f>($L2110-$J2110)*100</f>
        <v/>
      </c>
      <c r="BA2110" s="82">
        <f>(2*$H2110-$F2110-$J2110)*100</f>
        <v/>
      </c>
      <c r="BB2110" s="82">
        <f>(2*$J2110-$H2110-$L2110)*100</f>
        <v/>
      </c>
      <c r="BC2110" s="82">
        <f>($N2110-$F2110)*100</f>
        <v/>
      </c>
      <c r="BD2110" s="82">
        <f>($Q2110-$H2110)*100</f>
        <v/>
      </c>
      <c r="BE2110" s="82">
        <f>($S2110-$J2110)*100</f>
        <v/>
      </c>
      <c r="BF2110" s="82">
        <f>($V2110-$L2110)*100</f>
        <v/>
      </c>
      <c r="BG2110" s="82">
        <f>$AG2110-$AF2110</f>
        <v/>
      </c>
      <c r="BH2110" s="81">
        <f>IFERROR($AG2110/$AF2110,"")</f>
        <v/>
      </c>
      <c r="BI2110" s="82">
        <f>$AJ2110-$AF2110</f>
        <v/>
      </c>
      <c r="BJ2110" s="81">
        <f>IFERROR($AJ2110/$AG2110,"")</f>
        <v/>
      </c>
      <c r="BK2110" s="81">
        <f>$X2110</f>
        <v/>
      </c>
      <c r="BL2110" s="82">
        <f>($J2110-$J2111)*100</f>
        <v/>
      </c>
      <c r="BM2110" s="82">
        <f>($F2110-$F2111)*100</f>
        <v/>
      </c>
      <c r="BN2110" s="82">
        <f>$AF2110-$AF2111</f>
        <v/>
      </c>
      <c r="BO2110" s="82">
        <f>$AG2110-$AG2111</f>
        <v/>
      </c>
      <c r="BP2110" s="82">
        <f>$AJ2110-$AJ2111</f>
        <v/>
      </c>
    </row>
    <row r="2111">
      <c r="AR2111" s="81">
        <f>($G2111+($H2111-$G2111)*0.5)+($P2111-($O2111+($Q2111-$O2111)*0.5))</f>
        <v/>
      </c>
      <c r="AS2111" s="81">
        <f>($J2111+($K2111-$J2111)*0.5)+($T2111-($S2111+($U2111-$S2111)*0.5))</f>
        <v/>
      </c>
      <c r="AT2111" s="82">
        <f>($J2111-$C2111)*100</f>
        <v/>
      </c>
      <c r="AU2111" s="82">
        <f>($H2111-$F2111)*100</f>
        <v/>
      </c>
      <c r="AV2111" s="82">
        <f>($J2111-$F2111)*100</f>
        <v/>
      </c>
      <c r="AW2111" s="82">
        <f>($L2111-$F2111)*100</f>
        <v/>
      </c>
      <c r="AX2111" s="82">
        <f>($J2111-$H2111)*100</f>
        <v/>
      </c>
      <c r="AY2111" s="82">
        <f>($L2111-$H2111)*100</f>
        <v/>
      </c>
      <c r="AZ2111" s="82">
        <f>($L2111-$J2111)*100</f>
        <v/>
      </c>
      <c r="BA2111" s="82">
        <f>(2*$H2111-$F2111-$J2111)*100</f>
        <v/>
      </c>
      <c r="BB2111" s="82">
        <f>(2*$J2111-$H2111-$L2111)*100</f>
        <v/>
      </c>
      <c r="BC2111" s="82">
        <f>($N2111-$F2111)*100</f>
        <v/>
      </c>
      <c r="BD2111" s="82">
        <f>($Q2111-$H2111)*100</f>
        <v/>
      </c>
      <c r="BE2111" s="82">
        <f>($S2111-$J2111)*100</f>
        <v/>
      </c>
      <c r="BF2111" s="82">
        <f>($V2111-$L2111)*100</f>
        <v/>
      </c>
      <c r="BG2111" s="82">
        <f>$AG2111-$AF2111</f>
        <v/>
      </c>
      <c r="BH2111" s="81">
        <f>IFERROR($AG2111/$AF2111,"")</f>
        <v/>
      </c>
      <c r="BI2111" s="82">
        <f>$AJ2111-$AF2111</f>
        <v/>
      </c>
      <c r="BJ2111" s="81">
        <f>IFERROR($AJ2111/$AG2111,"")</f>
        <v/>
      </c>
      <c r="BK2111" s="81">
        <f>$X2111</f>
        <v/>
      </c>
      <c r="BL2111" s="82">
        <f>($J2111-$J2112)*100</f>
        <v/>
      </c>
      <c r="BM2111" s="82">
        <f>($F2111-$F2112)*100</f>
        <v/>
      </c>
      <c r="BN2111" s="82">
        <f>$AF2111-$AF2112</f>
        <v/>
      </c>
      <c r="BO2111" s="82">
        <f>$AG2111-$AG2112</f>
        <v/>
      </c>
      <c r="BP2111" s="82">
        <f>$AJ2111-$AJ2112</f>
        <v/>
      </c>
    </row>
    <row r="2112">
      <c r="AR2112" s="81">
        <f>($G2112+($H2112-$G2112)*0.5)+($P2112-($O2112+($Q2112-$O2112)*0.5))</f>
        <v/>
      </c>
      <c r="AS2112" s="81">
        <f>($J2112+($K2112-$J2112)*0.5)+($T2112-($S2112+($U2112-$S2112)*0.5))</f>
        <v/>
      </c>
      <c r="AT2112" s="82">
        <f>($J2112-$C2112)*100</f>
        <v/>
      </c>
      <c r="AU2112" s="82">
        <f>($H2112-$F2112)*100</f>
        <v/>
      </c>
      <c r="AV2112" s="82">
        <f>($J2112-$F2112)*100</f>
        <v/>
      </c>
      <c r="AW2112" s="82">
        <f>($L2112-$F2112)*100</f>
        <v/>
      </c>
      <c r="AX2112" s="82">
        <f>($J2112-$H2112)*100</f>
        <v/>
      </c>
      <c r="AY2112" s="82">
        <f>($L2112-$H2112)*100</f>
        <v/>
      </c>
      <c r="AZ2112" s="82">
        <f>($L2112-$J2112)*100</f>
        <v/>
      </c>
      <c r="BA2112" s="82">
        <f>(2*$H2112-$F2112-$J2112)*100</f>
        <v/>
      </c>
      <c r="BB2112" s="82">
        <f>(2*$J2112-$H2112-$L2112)*100</f>
        <v/>
      </c>
      <c r="BC2112" s="82">
        <f>($N2112-$F2112)*100</f>
        <v/>
      </c>
      <c r="BD2112" s="82">
        <f>($Q2112-$H2112)*100</f>
        <v/>
      </c>
      <c r="BE2112" s="82">
        <f>($S2112-$J2112)*100</f>
        <v/>
      </c>
      <c r="BF2112" s="82">
        <f>($V2112-$L2112)*100</f>
        <v/>
      </c>
      <c r="BG2112" s="82">
        <f>$AG2112-$AF2112</f>
        <v/>
      </c>
      <c r="BH2112" s="81">
        <f>IFERROR($AG2112/$AF2112,"")</f>
        <v/>
      </c>
      <c r="BI2112" s="82">
        <f>$AJ2112-$AF2112</f>
        <v/>
      </c>
      <c r="BJ2112" s="81">
        <f>IFERROR($AJ2112/$AG2112,"")</f>
        <v/>
      </c>
      <c r="BK2112" s="81">
        <f>$X2112</f>
        <v/>
      </c>
      <c r="BL2112" s="82">
        <f>($J2112-$J2113)*100</f>
        <v/>
      </c>
      <c r="BM2112" s="82">
        <f>($F2112-$F2113)*100</f>
        <v/>
      </c>
      <c r="BN2112" s="82">
        <f>$AF2112-$AF2113</f>
        <v/>
      </c>
      <c r="BO2112" s="82">
        <f>$AG2112-$AG2113</f>
        <v/>
      </c>
      <c r="BP2112" s="82">
        <f>$AJ2112-$AJ2113</f>
        <v/>
      </c>
    </row>
    <row r="2113">
      <c r="AR2113" s="81">
        <f>($G2113+($H2113-$G2113)*0.5)+($P2113-($O2113+($Q2113-$O2113)*0.5))</f>
        <v/>
      </c>
      <c r="AS2113" s="81">
        <f>($J2113+($K2113-$J2113)*0.5)+($T2113-($S2113+($U2113-$S2113)*0.5))</f>
        <v/>
      </c>
      <c r="AT2113" s="82">
        <f>($J2113-$C2113)*100</f>
        <v/>
      </c>
      <c r="AU2113" s="82">
        <f>($H2113-$F2113)*100</f>
        <v/>
      </c>
      <c r="AV2113" s="82">
        <f>($J2113-$F2113)*100</f>
        <v/>
      </c>
      <c r="AW2113" s="82">
        <f>($L2113-$F2113)*100</f>
        <v/>
      </c>
      <c r="AX2113" s="82">
        <f>($J2113-$H2113)*100</f>
        <v/>
      </c>
      <c r="AY2113" s="82">
        <f>($L2113-$H2113)*100</f>
        <v/>
      </c>
      <c r="AZ2113" s="82">
        <f>($L2113-$J2113)*100</f>
        <v/>
      </c>
      <c r="BA2113" s="82">
        <f>(2*$H2113-$F2113-$J2113)*100</f>
        <v/>
      </c>
      <c r="BB2113" s="82">
        <f>(2*$J2113-$H2113-$L2113)*100</f>
        <v/>
      </c>
      <c r="BC2113" s="82">
        <f>($N2113-$F2113)*100</f>
        <v/>
      </c>
      <c r="BD2113" s="82">
        <f>($Q2113-$H2113)*100</f>
        <v/>
      </c>
      <c r="BE2113" s="82">
        <f>($S2113-$J2113)*100</f>
        <v/>
      </c>
      <c r="BF2113" s="82">
        <f>($V2113-$L2113)*100</f>
        <v/>
      </c>
      <c r="BG2113" s="82">
        <f>$AG2113-$AF2113</f>
        <v/>
      </c>
      <c r="BH2113" s="81">
        <f>IFERROR($AG2113/$AF2113,"")</f>
        <v/>
      </c>
      <c r="BI2113" s="82">
        <f>$AJ2113-$AF2113</f>
        <v/>
      </c>
      <c r="BJ2113" s="81">
        <f>IFERROR($AJ2113/$AG2113,"")</f>
        <v/>
      </c>
      <c r="BK2113" s="81">
        <f>$X2113</f>
        <v/>
      </c>
      <c r="BL2113" s="82">
        <f>($J2113-$J2114)*100</f>
        <v/>
      </c>
      <c r="BM2113" s="82">
        <f>($F2113-$F2114)*100</f>
        <v/>
      </c>
      <c r="BN2113" s="82">
        <f>$AF2113-$AF2114</f>
        <v/>
      </c>
      <c r="BO2113" s="82">
        <f>$AG2113-$AG2114</f>
        <v/>
      </c>
      <c r="BP2113" s="82">
        <f>$AJ2113-$AJ2114</f>
        <v/>
      </c>
    </row>
    <row r="2114">
      <c r="AR2114" s="81">
        <f>($G2114+($H2114-$G2114)*0.5)+($P2114-($O2114+($Q2114-$O2114)*0.5))</f>
        <v/>
      </c>
      <c r="AS2114" s="81">
        <f>($J2114+($K2114-$J2114)*0.5)+($T2114-($S2114+($U2114-$S2114)*0.5))</f>
        <v/>
      </c>
      <c r="AT2114" s="82">
        <f>($J2114-$C2114)*100</f>
        <v/>
      </c>
      <c r="AU2114" s="82">
        <f>($H2114-$F2114)*100</f>
        <v/>
      </c>
      <c r="AV2114" s="82">
        <f>($J2114-$F2114)*100</f>
        <v/>
      </c>
      <c r="AW2114" s="82">
        <f>($L2114-$F2114)*100</f>
        <v/>
      </c>
      <c r="AX2114" s="82">
        <f>($J2114-$H2114)*100</f>
        <v/>
      </c>
      <c r="AY2114" s="82">
        <f>($L2114-$H2114)*100</f>
        <v/>
      </c>
      <c r="AZ2114" s="82">
        <f>($L2114-$J2114)*100</f>
        <v/>
      </c>
      <c r="BA2114" s="82">
        <f>(2*$H2114-$F2114-$J2114)*100</f>
        <v/>
      </c>
      <c r="BB2114" s="82">
        <f>(2*$J2114-$H2114-$L2114)*100</f>
        <v/>
      </c>
      <c r="BC2114" s="82">
        <f>($N2114-$F2114)*100</f>
        <v/>
      </c>
      <c r="BD2114" s="82">
        <f>($Q2114-$H2114)*100</f>
        <v/>
      </c>
      <c r="BE2114" s="82">
        <f>($S2114-$J2114)*100</f>
        <v/>
      </c>
      <c r="BF2114" s="82">
        <f>($V2114-$L2114)*100</f>
        <v/>
      </c>
      <c r="BG2114" s="82">
        <f>$AG2114-$AF2114</f>
        <v/>
      </c>
      <c r="BH2114" s="81">
        <f>IFERROR($AG2114/$AF2114,"")</f>
        <v/>
      </c>
      <c r="BI2114" s="82">
        <f>$AJ2114-$AF2114</f>
        <v/>
      </c>
      <c r="BJ2114" s="81">
        <f>IFERROR($AJ2114/$AG2114,"")</f>
        <v/>
      </c>
      <c r="BK2114" s="81">
        <f>$X2114</f>
        <v/>
      </c>
      <c r="BL2114" s="82">
        <f>($J2114-$J2115)*100</f>
        <v/>
      </c>
      <c r="BM2114" s="82">
        <f>($F2114-$F2115)*100</f>
        <v/>
      </c>
      <c r="BN2114" s="82">
        <f>$AF2114-$AF2115</f>
        <v/>
      </c>
      <c r="BO2114" s="82">
        <f>$AG2114-$AG2115</f>
        <v/>
      </c>
      <c r="BP2114" s="82">
        <f>$AJ2114-$AJ2115</f>
        <v/>
      </c>
    </row>
    <row r="2115">
      <c r="AR2115" s="81">
        <f>($G2115+($H2115-$G2115)*0.5)+($P2115-($O2115+($Q2115-$O2115)*0.5))</f>
        <v/>
      </c>
      <c r="AS2115" s="81">
        <f>($J2115+($K2115-$J2115)*0.5)+($T2115-($S2115+($U2115-$S2115)*0.5))</f>
        <v/>
      </c>
      <c r="AT2115" s="82">
        <f>($J2115-$C2115)*100</f>
        <v/>
      </c>
      <c r="AU2115" s="82">
        <f>($H2115-$F2115)*100</f>
        <v/>
      </c>
      <c r="AV2115" s="82">
        <f>($J2115-$F2115)*100</f>
        <v/>
      </c>
      <c r="AW2115" s="82">
        <f>($L2115-$F2115)*100</f>
        <v/>
      </c>
      <c r="AX2115" s="82">
        <f>($J2115-$H2115)*100</f>
        <v/>
      </c>
      <c r="AY2115" s="82">
        <f>($L2115-$H2115)*100</f>
        <v/>
      </c>
      <c r="AZ2115" s="82">
        <f>($L2115-$J2115)*100</f>
        <v/>
      </c>
      <c r="BA2115" s="82">
        <f>(2*$H2115-$F2115-$J2115)*100</f>
        <v/>
      </c>
      <c r="BB2115" s="82">
        <f>(2*$J2115-$H2115-$L2115)*100</f>
        <v/>
      </c>
      <c r="BC2115" s="82">
        <f>($N2115-$F2115)*100</f>
        <v/>
      </c>
      <c r="BD2115" s="82">
        <f>($Q2115-$H2115)*100</f>
        <v/>
      </c>
      <c r="BE2115" s="82">
        <f>($S2115-$J2115)*100</f>
        <v/>
      </c>
      <c r="BF2115" s="82">
        <f>($V2115-$L2115)*100</f>
        <v/>
      </c>
      <c r="BG2115" s="82">
        <f>$AG2115-$AF2115</f>
        <v/>
      </c>
      <c r="BH2115" s="81">
        <f>IFERROR($AG2115/$AF2115,"")</f>
        <v/>
      </c>
      <c r="BI2115" s="82">
        <f>$AJ2115-$AF2115</f>
        <v/>
      </c>
      <c r="BJ2115" s="81">
        <f>IFERROR($AJ2115/$AG2115,"")</f>
        <v/>
      </c>
      <c r="BK2115" s="81">
        <f>$X2115</f>
        <v/>
      </c>
      <c r="BL2115" s="82">
        <f>($J2115-$J2116)*100</f>
        <v/>
      </c>
      <c r="BM2115" s="82">
        <f>($F2115-$F2116)*100</f>
        <v/>
      </c>
      <c r="BN2115" s="82">
        <f>$AF2115-$AF2116</f>
        <v/>
      </c>
      <c r="BO2115" s="82">
        <f>$AG2115-$AG2116</f>
        <v/>
      </c>
      <c r="BP2115" s="82">
        <f>$AJ2115-$AJ2116</f>
        <v/>
      </c>
    </row>
    <row r="2116">
      <c r="AR2116" s="81">
        <f>($G2116+($H2116-$G2116)*0.5)+($P2116-($O2116+($Q2116-$O2116)*0.5))</f>
        <v/>
      </c>
      <c r="AS2116" s="81">
        <f>($J2116+($K2116-$J2116)*0.5)+($T2116-($S2116+($U2116-$S2116)*0.5))</f>
        <v/>
      </c>
      <c r="AT2116" s="82">
        <f>($J2116-$C2116)*100</f>
        <v/>
      </c>
      <c r="AU2116" s="82">
        <f>($H2116-$F2116)*100</f>
        <v/>
      </c>
      <c r="AV2116" s="82">
        <f>($J2116-$F2116)*100</f>
        <v/>
      </c>
      <c r="AW2116" s="82">
        <f>($L2116-$F2116)*100</f>
        <v/>
      </c>
      <c r="AX2116" s="82">
        <f>($J2116-$H2116)*100</f>
        <v/>
      </c>
      <c r="AY2116" s="82">
        <f>($L2116-$H2116)*100</f>
        <v/>
      </c>
      <c r="AZ2116" s="82">
        <f>($L2116-$J2116)*100</f>
        <v/>
      </c>
      <c r="BA2116" s="82">
        <f>(2*$H2116-$F2116-$J2116)*100</f>
        <v/>
      </c>
      <c r="BB2116" s="82">
        <f>(2*$J2116-$H2116-$L2116)*100</f>
        <v/>
      </c>
      <c r="BC2116" s="82">
        <f>($N2116-$F2116)*100</f>
        <v/>
      </c>
      <c r="BD2116" s="82">
        <f>($Q2116-$H2116)*100</f>
        <v/>
      </c>
      <c r="BE2116" s="82">
        <f>($S2116-$J2116)*100</f>
        <v/>
      </c>
      <c r="BF2116" s="82">
        <f>($V2116-$L2116)*100</f>
        <v/>
      </c>
      <c r="BG2116" s="82">
        <f>$AG2116-$AF2116</f>
        <v/>
      </c>
      <c r="BH2116" s="81">
        <f>IFERROR($AG2116/$AF2116,"")</f>
        <v/>
      </c>
      <c r="BI2116" s="82">
        <f>$AJ2116-$AF2116</f>
        <v/>
      </c>
      <c r="BJ2116" s="81">
        <f>IFERROR($AJ2116/$AG2116,"")</f>
        <v/>
      </c>
      <c r="BK2116" s="81">
        <f>$X2116</f>
        <v/>
      </c>
      <c r="BL2116" s="82">
        <f>($J2116-$J2117)*100</f>
        <v/>
      </c>
      <c r="BM2116" s="82">
        <f>($F2116-$F2117)*100</f>
        <v/>
      </c>
      <c r="BN2116" s="82">
        <f>$AF2116-$AF2117</f>
        <v/>
      </c>
      <c r="BO2116" s="82">
        <f>$AG2116-$AG2117</f>
        <v/>
      </c>
      <c r="BP2116" s="82">
        <f>$AJ2116-$AJ2117</f>
        <v/>
      </c>
    </row>
    <row r="2117">
      <c r="AR2117" s="81">
        <f>($G2117+($H2117-$G2117)*0.5)+($P2117-($O2117+($Q2117-$O2117)*0.5))</f>
        <v/>
      </c>
      <c r="AS2117" s="81">
        <f>($J2117+($K2117-$J2117)*0.5)+($T2117-($S2117+($U2117-$S2117)*0.5))</f>
        <v/>
      </c>
      <c r="AT2117" s="82">
        <f>($J2117-$C2117)*100</f>
        <v/>
      </c>
      <c r="AU2117" s="82">
        <f>($H2117-$F2117)*100</f>
        <v/>
      </c>
      <c r="AV2117" s="82">
        <f>($J2117-$F2117)*100</f>
        <v/>
      </c>
      <c r="AW2117" s="82">
        <f>($L2117-$F2117)*100</f>
        <v/>
      </c>
      <c r="AX2117" s="82">
        <f>($J2117-$H2117)*100</f>
        <v/>
      </c>
      <c r="AY2117" s="82">
        <f>($L2117-$H2117)*100</f>
        <v/>
      </c>
      <c r="AZ2117" s="82">
        <f>($L2117-$J2117)*100</f>
        <v/>
      </c>
      <c r="BA2117" s="82">
        <f>(2*$H2117-$F2117-$J2117)*100</f>
        <v/>
      </c>
      <c r="BB2117" s="82">
        <f>(2*$J2117-$H2117-$L2117)*100</f>
        <v/>
      </c>
      <c r="BC2117" s="82">
        <f>($N2117-$F2117)*100</f>
        <v/>
      </c>
      <c r="BD2117" s="82">
        <f>($Q2117-$H2117)*100</f>
        <v/>
      </c>
      <c r="BE2117" s="82">
        <f>($S2117-$J2117)*100</f>
        <v/>
      </c>
      <c r="BF2117" s="82">
        <f>($V2117-$L2117)*100</f>
        <v/>
      </c>
      <c r="BG2117" s="82">
        <f>$AG2117-$AF2117</f>
        <v/>
      </c>
      <c r="BH2117" s="81">
        <f>IFERROR($AG2117/$AF2117,"")</f>
        <v/>
      </c>
      <c r="BI2117" s="82">
        <f>$AJ2117-$AF2117</f>
        <v/>
      </c>
      <c r="BJ2117" s="81">
        <f>IFERROR($AJ2117/$AG2117,"")</f>
        <v/>
      </c>
      <c r="BK2117" s="81">
        <f>$X2117</f>
        <v/>
      </c>
      <c r="BL2117" s="82">
        <f>($J2117-$J2118)*100</f>
        <v/>
      </c>
      <c r="BM2117" s="82">
        <f>($F2117-$F2118)*100</f>
        <v/>
      </c>
      <c r="BN2117" s="82">
        <f>$AF2117-$AF2118</f>
        <v/>
      </c>
      <c r="BO2117" s="82">
        <f>$AG2117-$AG2118</f>
        <v/>
      </c>
      <c r="BP2117" s="82">
        <f>$AJ2117-$AJ2118</f>
        <v/>
      </c>
    </row>
    <row r="2118">
      <c r="AR2118" s="81">
        <f>($G2118+($H2118-$G2118)*0.5)+($P2118-($O2118+($Q2118-$O2118)*0.5))</f>
        <v/>
      </c>
      <c r="AS2118" s="81">
        <f>($J2118+($K2118-$J2118)*0.5)+($T2118-($S2118+($U2118-$S2118)*0.5))</f>
        <v/>
      </c>
      <c r="AT2118" s="82">
        <f>($J2118-$C2118)*100</f>
        <v/>
      </c>
      <c r="AU2118" s="82">
        <f>($H2118-$F2118)*100</f>
        <v/>
      </c>
      <c r="AV2118" s="82">
        <f>($J2118-$F2118)*100</f>
        <v/>
      </c>
      <c r="AW2118" s="82">
        <f>($L2118-$F2118)*100</f>
        <v/>
      </c>
      <c r="AX2118" s="82">
        <f>($J2118-$H2118)*100</f>
        <v/>
      </c>
      <c r="AY2118" s="82">
        <f>($L2118-$H2118)*100</f>
        <v/>
      </c>
      <c r="AZ2118" s="82">
        <f>($L2118-$J2118)*100</f>
        <v/>
      </c>
      <c r="BA2118" s="82">
        <f>(2*$H2118-$F2118-$J2118)*100</f>
        <v/>
      </c>
      <c r="BB2118" s="82">
        <f>(2*$J2118-$H2118-$L2118)*100</f>
        <v/>
      </c>
      <c r="BC2118" s="82">
        <f>($N2118-$F2118)*100</f>
        <v/>
      </c>
      <c r="BD2118" s="82">
        <f>($Q2118-$H2118)*100</f>
        <v/>
      </c>
      <c r="BE2118" s="82">
        <f>($S2118-$J2118)*100</f>
        <v/>
      </c>
      <c r="BF2118" s="82">
        <f>($V2118-$L2118)*100</f>
        <v/>
      </c>
      <c r="BG2118" s="82">
        <f>$AG2118-$AF2118</f>
        <v/>
      </c>
      <c r="BH2118" s="81">
        <f>IFERROR($AG2118/$AF2118,"")</f>
        <v/>
      </c>
      <c r="BI2118" s="82">
        <f>$AJ2118-$AF2118</f>
        <v/>
      </c>
      <c r="BJ2118" s="81">
        <f>IFERROR($AJ2118/$AG2118,"")</f>
        <v/>
      </c>
      <c r="BK2118" s="81">
        <f>$X2118</f>
        <v/>
      </c>
      <c r="BL2118" s="82">
        <f>($J2118-$J2119)*100</f>
        <v/>
      </c>
      <c r="BM2118" s="82">
        <f>($F2118-$F2119)*100</f>
        <v/>
      </c>
      <c r="BN2118" s="82">
        <f>$AF2118-$AF2119</f>
        <v/>
      </c>
      <c r="BO2118" s="82">
        <f>$AG2118-$AG2119</f>
        <v/>
      </c>
      <c r="BP2118" s="82">
        <f>$AJ2118-$AJ2119</f>
        <v/>
      </c>
    </row>
    <row r="2119">
      <c r="AR2119" s="81">
        <f>($G2119+($H2119-$G2119)*0.5)+($P2119-($O2119+($Q2119-$O2119)*0.5))</f>
        <v/>
      </c>
      <c r="AS2119" s="81">
        <f>($J2119+($K2119-$J2119)*0.5)+($T2119-($S2119+($U2119-$S2119)*0.5))</f>
        <v/>
      </c>
      <c r="AT2119" s="82">
        <f>($J2119-$C2119)*100</f>
        <v/>
      </c>
      <c r="AU2119" s="82">
        <f>($H2119-$F2119)*100</f>
        <v/>
      </c>
      <c r="AV2119" s="82">
        <f>($J2119-$F2119)*100</f>
        <v/>
      </c>
      <c r="AW2119" s="82">
        <f>($L2119-$F2119)*100</f>
        <v/>
      </c>
      <c r="AX2119" s="82">
        <f>($J2119-$H2119)*100</f>
        <v/>
      </c>
      <c r="AY2119" s="82">
        <f>($L2119-$H2119)*100</f>
        <v/>
      </c>
      <c r="AZ2119" s="82">
        <f>($L2119-$J2119)*100</f>
        <v/>
      </c>
      <c r="BA2119" s="82">
        <f>(2*$H2119-$F2119-$J2119)*100</f>
        <v/>
      </c>
      <c r="BB2119" s="82">
        <f>(2*$J2119-$H2119-$L2119)*100</f>
        <v/>
      </c>
      <c r="BC2119" s="82">
        <f>($N2119-$F2119)*100</f>
        <v/>
      </c>
      <c r="BD2119" s="82">
        <f>($Q2119-$H2119)*100</f>
        <v/>
      </c>
      <c r="BE2119" s="82">
        <f>($S2119-$J2119)*100</f>
        <v/>
      </c>
      <c r="BF2119" s="82">
        <f>($V2119-$L2119)*100</f>
        <v/>
      </c>
      <c r="BG2119" s="82">
        <f>$AG2119-$AF2119</f>
        <v/>
      </c>
      <c r="BH2119" s="81">
        <f>IFERROR($AG2119/$AF2119,"")</f>
        <v/>
      </c>
      <c r="BI2119" s="82">
        <f>$AJ2119-$AF2119</f>
        <v/>
      </c>
      <c r="BJ2119" s="81">
        <f>IFERROR($AJ2119/$AG2119,"")</f>
        <v/>
      </c>
      <c r="BK2119" s="81">
        <f>$X2119</f>
        <v/>
      </c>
      <c r="BL2119" s="82">
        <f>($J2119-$J2120)*100</f>
        <v/>
      </c>
      <c r="BM2119" s="82">
        <f>($F2119-$F2120)*100</f>
        <v/>
      </c>
      <c r="BN2119" s="82">
        <f>$AF2119-$AF2120</f>
        <v/>
      </c>
      <c r="BO2119" s="82">
        <f>$AG2119-$AG2120</f>
        <v/>
      </c>
      <c r="BP2119" s="82">
        <f>$AJ2119-$AJ2120</f>
        <v/>
      </c>
    </row>
    <row r="2120">
      <c r="AR2120" s="81">
        <f>($G2120+($H2120-$G2120)*0.5)+($P2120-($O2120+($Q2120-$O2120)*0.5))</f>
        <v/>
      </c>
      <c r="AS2120" s="81">
        <f>($J2120+($K2120-$J2120)*0.5)+($T2120-($S2120+($U2120-$S2120)*0.5))</f>
        <v/>
      </c>
      <c r="AT2120" s="82">
        <f>($J2120-$C2120)*100</f>
        <v/>
      </c>
      <c r="AU2120" s="82">
        <f>($H2120-$F2120)*100</f>
        <v/>
      </c>
      <c r="AV2120" s="82">
        <f>($J2120-$F2120)*100</f>
        <v/>
      </c>
      <c r="AW2120" s="82">
        <f>($L2120-$F2120)*100</f>
        <v/>
      </c>
      <c r="AX2120" s="82">
        <f>($J2120-$H2120)*100</f>
        <v/>
      </c>
      <c r="AY2120" s="82">
        <f>($L2120-$H2120)*100</f>
        <v/>
      </c>
      <c r="AZ2120" s="82">
        <f>($L2120-$J2120)*100</f>
        <v/>
      </c>
      <c r="BA2120" s="82">
        <f>(2*$H2120-$F2120-$J2120)*100</f>
        <v/>
      </c>
      <c r="BB2120" s="82">
        <f>(2*$J2120-$H2120-$L2120)*100</f>
        <v/>
      </c>
      <c r="BC2120" s="82">
        <f>($N2120-$F2120)*100</f>
        <v/>
      </c>
      <c r="BD2120" s="82">
        <f>($Q2120-$H2120)*100</f>
        <v/>
      </c>
      <c r="BE2120" s="82">
        <f>($S2120-$J2120)*100</f>
        <v/>
      </c>
      <c r="BF2120" s="82">
        <f>($V2120-$L2120)*100</f>
        <v/>
      </c>
      <c r="BG2120" s="82">
        <f>$AG2120-$AF2120</f>
        <v/>
      </c>
      <c r="BH2120" s="81">
        <f>IFERROR($AG2120/$AF2120,"")</f>
        <v/>
      </c>
      <c r="BI2120" s="82">
        <f>$AJ2120-$AF2120</f>
        <v/>
      </c>
      <c r="BJ2120" s="81">
        <f>IFERROR($AJ2120/$AG2120,"")</f>
        <v/>
      </c>
      <c r="BK2120" s="81">
        <f>$X2120</f>
        <v/>
      </c>
      <c r="BL2120" s="82">
        <f>($J2120-$J2121)*100</f>
        <v/>
      </c>
      <c r="BM2120" s="82">
        <f>($F2120-$F2121)*100</f>
        <v/>
      </c>
      <c r="BN2120" s="82">
        <f>$AF2120-$AF2121</f>
        <v/>
      </c>
      <c r="BO2120" s="82">
        <f>$AG2120-$AG2121</f>
        <v/>
      </c>
      <c r="BP2120" s="82">
        <f>$AJ2120-$AJ2121</f>
        <v/>
      </c>
    </row>
    <row r="2121">
      <c r="AR2121" s="81">
        <f>($G2121+($H2121-$G2121)*0.5)+($P2121-($O2121+($Q2121-$O2121)*0.5))</f>
        <v/>
      </c>
      <c r="AS2121" s="81">
        <f>($J2121+($K2121-$J2121)*0.5)+($T2121-($S2121+($U2121-$S2121)*0.5))</f>
        <v/>
      </c>
      <c r="AT2121" s="82">
        <f>($J2121-$C2121)*100</f>
        <v/>
      </c>
      <c r="AU2121" s="82">
        <f>($H2121-$F2121)*100</f>
        <v/>
      </c>
      <c r="AV2121" s="82">
        <f>($J2121-$F2121)*100</f>
        <v/>
      </c>
      <c r="AW2121" s="82">
        <f>($L2121-$F2121)*100</f>
        <v/>
      </c>
      <c r="AX2121" s="82">
        <f>($J2121-$H2121)*100</f>
        <v/>
      </c>
      <c r="AY2121" s="82">
        <f>($L2121-$H2121)*100</f>
        <v/>
      </c>
      <c r="AZ2121" s="82">
        <f>($L2121-$J2121)*100</f>
        <v/>
      </c>
      <c r="BA2121" s="82">
        <f>(2*$H2121-$F2121-$J2121)*100</f>
        <v/>
      </c>
      <c r="BB2121" s="82">
        <f>(2*$J2121-$H2121-$L2121)*100</f>
        <v/>
      </c>
      <c r="BC2121" s="82">
        <f>($N2121-$F2121)*100</f>
        <v/>
      </c>
      <c r="BD2121" s="82">
        <f>($Q2121-$H2121)*100</f>
        <v/>
      </c>
      <c r="BE2121" s="82">
        <f>($S2121-$J2121)*100</f>
        <v/>
      </c>
      <c r="BF2121" s="82">
        <f>($V2121-$L2121)*100</f>
        <v/>
      </c>
      <c r="BG2121" s="82">
        <f>$AG2121-$AF2121</f>
        <v/>
      </c>
      <c r="BH2121" s="81">
        <f>IFERROR($AG2121/$AF2121,"")</f>
        <v/>
      </c>
      <c r="BI2121" s="82">
        <f>$AJ2121-$AF2121</f>
        <v/>
      </c>
      <c r="BJ2121" s="81">
        <f>IFERROR($AJ2121/$AG2121,"")</f>
        <v/>
      </c>
      <c r="BK2121" s="81">
        <f>$X2121</f>
        <v/>
      </c>
      <c r="BL2121" s="82">
        <f>($J2121-$J2122)*100</f>
        <v/>
      </c>
      <c r="BM2121" s="82">
        <f>($F2121-$F2122)*100</f>
        <v/>
      </c>
      <c r="BN2121" s="82">
        <f>$AF2121-$AF2122</f>
        <v/>
      </c>
      <c r="BO2121" s="82">
        <f>$AG2121-$AG2122</f>
        <v/>
      </c>
      <c r="BP2121" s="82">
        <f>$AJ2121-$AJ2122</f>
        <v/>
      </c>
    </row>
    <row r="2122">
      <c r="AR2122" s="81">
        <f>($G2122+($H2122-$G2122)*0.5)+($P2122-($O2122+($Q2122-$O2122)*0.5))</f>
        <v/>
      </c>
      <c r="AS2122" s="81">
        <f>($J2122+($K2122-$J2122)*0.5)+($T2122-($S2122+($U2122-$S2122)*0.5))</f>
        <v/>
      </c>
      <c r="AT2122" s="82">
        <f>($J2122-$C2122)*100</f>
        <v/>
      </c>
      <c r="AU2122" s="82">
        <f>($H2122-$F2122)*100</f>
        <v/>
      </c>
      <c r="AV2122" s="82">
        <f>($J2122-$F2122)*100</f>
        <v/>
      </c>
      <c r="AW2122" s="82">
        <f>($L2122-$F2122)*100</f>
        <v/>
      </c>
      <c r="AX2122" s="82">
        <f>($J2122-$H2122)*100</f>
        <v/>
      </c>
      <c r="AY2122" s="82">
        <f>($L2122-$H2122)*100</f>
        <v/>
      </c>
      <c r="AZ2122" s="82">
        <f>($L2122-$J2122)*100</f>
        <v/>
      </c>
      <c r="BA2122" s="82">
        <f>(2*$H2122-$F2122-$J2122)*100</f>
        <v/>
      </c>
      <c r="BB2122" s="82">
        <f>(2*$J2122-$H2122-$L2122)*100</f>
        <v/>
      </c>
      <c r="BC2122" s="82">
        <f>($N2122-$F2122)*100</f>
        <v/>
      </c>
      <c r="BD2122" s="82">
        <f>($Q2122-$H2122)*100</f>
        <v/>
      </c>
      <c r="BE2122" s="82">
        <f>($S2122-$J2122)*100</f>
        <v/>
      </c>
      <c r="BF2122" s="82">
        <f>($V2122-$L2122)*100</f>
        <v/>
      </c>
      <c r="BG2122" s="82">
        <f>$AG2122-$AF2122</f>
        <v/>
      </c>
      <c r="BH2122" s="81">
        <f>IFERROR($AG2122/$AF2122,"")</f>
        <v/>
      </c>
      <c r="BI2122" s="82">
        <f>$AJ2122-$AF2122</f>
        <v/>
      </c>
      <c r="BJ2122" s="81">
        <f>IFERROR($AJ2122/$AG2122,"")</f>
        <v/>
      </c>
      <c r="BK2122" s="81">
        <f>$X2122</f>
        <v/>
      </c>
      <c r="BL2122" s="82">
        <f>($J2122-$J2123)*100</f>
        <v/>
      </c>
      <c r="BM2122" s="82">
        <f>($F2122-$F2123)*100</f>
        <v/>
      </c>
      <c r="BN2122" s="82">
        <f>$AF2122-$AF2123</f>
        <v/>
      </c>
      <c r="BO2122" s="82">
        <f>$AG2122-$AG2123</f>
        <v/>
      </c>
      <c r="BP2122" s="82">
        <f>$AJ2122-$AJ2123</f>
        <v/>
      </c>
    </row>
    <row r="2123">
      <c r="AR2123" s="81">
        <f>($G2123+($H2123-$G2123)*0.5)+($P2123-($O2123+($Q2123-$O2123)*0.5))</f>
        <v/>
      </c>
      <c r="AS2123" s="81">
        <f>($J2123+($K2123-$J2123)*0.5)+($T2123-($S2123+($U2123-$S2123)*0.5))</f>
        <v/>
      </c>
      <c r="AT2123" s="82">
        <f>($J2123-$C2123)*100</f>
        <v/>
      </c>
      <c r="AU2123" s="82">
        <f>($H2123-$F2123)*100</f>
        <v/>
      </c>
      <c r="AV2123" s="82">
        <f>($J2123-$F2123)*100</f>
        <v/>
      </c>
      <c r="AW2123" s="82">
        <f>($L2123-$F2123)*100</f>
        <v/>
      </c>
      <c r="AX2123" s="82">
        <f>($J2123-$H2123)*100</f>
        <v/>
      </c>
      <c r="AY2123" s="82">
        <f>($L2123-$H2123)*100</f>
        <v/>
      </c>
      <c r="AZ2123" s="82">
        <f>($L2123-$J2123)*100</f>
        <v/>
      </c>
      <c r="BA2123" s="82">
        <f>(2*$H2123-$F2123-$J2123)*100</f>
        <v/>
      </c>
      <c r="BB2123" s="82">
        <f>(2*$J2123-$H2123-$L2123)*100</f>
        <v/>
      </c>
      <c r="BC2123" s="82">
        <f>($N2123-$F2123)*100</f>
        <v/>
      </c>
      <c r="BD2123" s="82">
        <f>($Q2123-$H2123)*100</f>
        <v/>
      </c>
      <c r="BE2123" s="82">
        <f>($S2123-$J2123)*100</f>
        <v/>
      </c>
      <c r="BF2123" s="82">
        <f>($V2123-$L2123)*100</f>
        <v/>
      </c>
      <c r="BG2123" s="82">
        <f>$AG2123-$AF2123</f>
        <v/>
      </c>
      <c r="BH2123" s="81">
        <f>IFERROR($AG2123/$AF2123,"")</f>
        <v/>
      </c>
      <c r="BI2123" s="82">
        <f>$AJ2123-$AF2123</f>
        <v/>
      </c>
      <c r="BJ2123" s="81">
        <f>IFERROR($AJ2123/$AG2123,"")</f>
        <v/>
      </c>
      <c r="BK2123" s="81">
        <f>$X2123</f>
        <v/>
      </c>
      <c r="BL2123" s="82">
        <f>($J2123-$J2124)*100</f>
        <v/>
      </c>
      <c r="BM2123" s="82">
        <f>($F2123-$F2124)*100</f>
        <v/>
      </c>
      <c r="BN2123" s="82">
        <f>$AF2123-$AF2124</f>
        <v/>
      </c>
      <c r="BO2123" s="82">
        <f>$AG2123-$AG2124</f>
        <v/>
      </c>
      <c r="BP2123" s="82">
        <f>$AJ2123-$AJ2124</f>
        <v/>
      </c>
    </row>
    <row r="2124">
      <c r="AR2124" s="81">
        <f>($G2124+($H2124-$G2124)*0.5)+($P2124-($O2124+($Q2124-$O2124)*0.5))</f>
        <v/>
      </c>
      <c r="AS2124" s="81">
        <f>($J2124+($K2124-$J2124)*0.5)+($T2124-($S2124+($U2124-$S2124)*0.5))</f>
        <v/>
      </c>
      <c r="AT2124" s="82">
        <f>($J2124-$C2124)*100</f>
        <v/>
      </c>
      <c r="AU2124" s="82">
        <f>($H2124-$F2124)*100</f>
        <v/>
      </c>
      <c r="AV2124" s="82">
        <f>($J2124-$F2124)*100</f>
        <v/>
      </c>
      <c r="AW2124" s="82">
        <f>($L2124-$F2124)*100</f>
        <v/>
      </c>
      <c r="AX2124" s="82">
        <f>($J2124-$H2124)*100</f>
        <v/>
      </c>
      <c r="AY2124" s="82">
        <f>($L2124-$H2124)*100</f>
        <v/>
      </c>
      <c r="AZ2124" s="82">
        <f>($L2124-$J2124)*100</f>
        <v/>
      </c>
      <c r="BA2124" s="82">
        <f>(2*$H2124-$F2124-$J2124)*100</f>
        <v/>
      </c>
      <c r="BB2124" s="82">
        <f>(2*$J2124-$H2124-$L2124)*100</f>
        <v/>
      </c>
      <c r="BC2124" s="82">
        <f>($N2124-$F2124)*100</f>
        <v/>
      </c>
      <c r="BD2124" s="82">
        <f>($Q2124-$H2124)*100</f>
        <v/>
      </c>
      <c r="BE2124" s="82">
        <f>($S2124-$J2124)*100</f>
        <v/>
      </c>
      <c r="BF2124" s="82">
        <f>($V2124-$L2124)*100</f>
        <v/>
      </c>
      <c r="BG2124" s="82">
        <f>$AG2124-$AF2124</f>
        <v/>
      </c>
      <c r="BH2124" s="81">
        <f>IFERROR($AG2124/$AF2124,"")</f>
        <v/>
      </c>
      <c r="BI2124" s="82">
        <f>$AJ2124-$AF2124</f>
        <v/>
      </c>
      <c r="BJ2124" s="81">
        <f>IFERROR($AJ2124/$AG2124,"")</f>
        <v/>
      </c>
      <c r="BK2124" s="81">
        <f>$X2124</f>
        <v/>
      </c>
      <c r="BL2124" s="82">
        <f>($J2124-$J2125)*100</f>
        <v/>
      </c>
      <c r="BM2124" s="82">
        <f>($F2124-$F2125)*100</f>
        <v/>
      </c>
      <c r="BN2124" s="82">
        <f>$AF2124-$AF2125</f>
        <v/>
      </c>
      <c r="BO2124" s="82">
        <f>$AG2124-$AG2125</f>
        <v/>
      </c>
      <c r="BP2124" s="82">
        <f>$AJ2124-$AJ2125</f>
        <v/>
      </c>
    </row>
    <row r="2125">
      <c r="AR2125" s="81">
        <f>($G2125+($H2125-$G2125)*0.5)+($P2125-($O2125+($Q2125-$O2125)*0.5))</f>
        <v/>
      </c>
      <c r="AS2125" s="81">
        <f>($J2125+($K2125-$J2125)*0.5)+($T2125-($S2125+($U2125-$S2125)*0.5))</f>
        <v/>
      </c>
      <c r="AT2125" s="82">
        <f>($J2125-$C2125)*100</f>
        <v/>
      </c>
      <c r="AU2125" s="82">
        <f>($H2125-$F2125)*100</f>
        <v/>
      </c>
      <c r="AV2125" s="82">
        <f>($J2125-$F2125)*100</f>
        <v/>
      </c>
      <c r="AW2125" s="82">
        <f>($L2125-$F2125)*100</f>
        <v/>
      </c>
      <c r="AX2125" s="82">
        <f>($J2125-$H2125)*100</f>
        <v/>
      </c>
      <c r="AY2125" s="82">
        <f>($L2125-$H2125)*100</f>
        <v/>
      </c>
      <c r="AZ2125" s="82">
        <f>($L2125-$J2125)*100</f>
        <v/>
      </c>
      <c r="BA2125" s="82">
        <f>(2*$H2125-$F2125-$J2125)*100</f>
        <v/>
      </c>
      <c r="BB2125" s="82">
        <f>(2*$J2125-$H2125-$L2125)*100</f>
        <v/>
      </c>
      <c r="BC2125" s="82">
        <f>($N2125-$F2125)*100</f>
        <v/>
      </c>
      <c r="BD2125" s="82">
        <f>($Q2125-$H2125)*100</f>
        <v/>
      </c>
      <c r="BE2125" s="82">
        <f>($S2125-$J2125)*100</f>
        <v/>
      </c>
      <c r="BF2125" s="82">
        <f>($V2125-$L2125)*100</f>
        <v/>
      </c>
      <c r="BG2125" s="82">
        <f>$AG2125-$AF2125</f>
        <v/>
      </c>
      <c r="BH2125" s="81">
        <f>IFERROR($AG2125/$AF2125,"")</f>
        <v/>
      </c>
      <c r="BI2125" s="82">
        <f>$AJ2125-$AF2125</f>
        <v/>
      </c>
      <c r="BJ2125" s="81">
        <f>IFERROR($AJ2125/$AG2125,"")</f>
        <v/>
      </c>
      <c r="BK2125" s="81">
        <f>$X2125</f>
        <v/>
      </c>
      <c r="BL2125" s="82">
        <f>($J2125-$J2126)*100</f>
        <v/>
      </c>
      <c r="BM2125" s="82">
        <f>($F2125-$F2126)*100</f>
        <v/>
      </c>
      <c r="BN2125" s="82">
        <f>$AF2125-$AF2126</f>
        <v/>
      </c>
      <c r="BO2125" s="82">
        <f>$AG2125-$AG2126</f>
        <v/>
      </c>
      <c r="BP2125" s="82">
        <f>$AJ2125-$AJ2126</f>
        <v/>
      </c>
    </row>
    <row r="2126">
      <c r="AR2126" s="81">
        <f>($G2126+($H2126-$G2126)*0.5)+($P2126-($O2126+($Q2126-$O2126)*0.5))</f>
        <v/>
      </c>
      <c r="AS2126" s="81">
        <f>($J2126+($K2126-$J2126)*0.5)+($T2126-($S2126+($U2126-$S2126)*0.5))</f>
        <v/>
      </c>
      <c r="AT2126" s="82">
        <f>($J2126-$C2126)*100</f>
        <v/>
      </c>
      <c r="AU2126" s="82">
        <f>($H2126-$F2126)*100</f>
        <v/>
      </c>
      <c r="AV2126" s="82">
        <f>($J2126-$F2126)*100</f>
        <v/>
      </c>
      <c r="AW2126" s="82">
        <f>($L2126-$F2126)*100</f>
        <v/>
      </c>
      <c r="AX2126" s="82">
        <f>($J2126-$H2126)*100</f>
        <v/>
      </c>
      <c r="AY2126" s="82">
        <f>($L2126-$H2126)*100</f>
        <v/>
      </c>
      <c r="AZ2126" s="82">
        <f>($L2126-$J2126)*100</f>
        <v/>
      </c>
      <c r="BA2126" s="82">
        <f>(2*$H2126-$F2126-$J2126)*100</f>
        <v/>
      </c>
      <c r="BB2126" s="82">
        <f>(2*$J2126-$H2126-$L2126)*100</f>
        <v/>
      </c>
      <c r="BC2126" s="82">
        <f>($N2126-$F2126)*100</f>
        <v/>
      </c>
      <c r="BD2126" s="82">
        <f>($Q2126-$H2126)*100</f>
        <v/>
      </c>
      <c r="BE2126" s="82">
        <f>($S2126-$J2126)*100</f>
        <v/>
      </c>
      <c r="BF2126" s="82">
        <f>($V2126-$L2126)*100</f>
        <v/>
      </c>
      <c r="BG2126" s="82">
        <f>$AG2126-$AF2126</f>
        <v/>
      </c>
      <c r="BH2126" s="81">
        <f>IFERROR($AG2126/$AF2126,"")</f>
        <v/>
      </c>
      <c r="BI2126" s="82">
        <f>$AJ2126-$AF2126</f>
        <v/>
      </c>
      <c r="BJ2126" s="81">
        <f>IFERROR($AJ2126/$AG2126,"")</f>
        <v/>
      </c>
      <c r="BK2126" s="81">
        <f>$X2126</f>
        <v/>
      </c>
      <c r="BL2126" s="82">
        <f>($J2126-$J2127)*100</f>
        <v/>
      </c>
      <c r="BM2126" s="82">
        <f>($F2126-$F2127)*100</f>
        <v/>
      </c>
      <c r="BN2126" s="82">
        <f>$AF2126-$AF2127</f>
        <v/>
      </c>
      <c r="BO2126" s="82">
        <f>$AG2126-$AG2127</f>
        <v/>
      </c>
      <c r="BP2126" s="82">
        <f>$AJ2126-$AJ2127</f>
        <v/>
      </c>
    </row>
    <row r="2127">
      <c r="AR2127" s="81">
        <f>($G2127+($H2127-$G2127)*0.5)+($P2127-($O2127+($Q2127-$O2127)*0.5))</f>
        <v/>
      </c>
      <c r="AS2127" s="81">
        <f>($J2127+($K2127-$J2127)*0.5)+($T2127-($S2127+($U2127-$S2127)*0.5))</f>
        <v/>
      </c>
      <c r="AT2127" s="82">
        <f>($J2127-$C2127)*100</f>
        <v/>
      </c>
      <c r="AU2127" s="82">
        <f>($H2127-$F2127)*100</f>
        <v/>
      </c>
      <c r="AV2127" s="82">
        <f>($J2127-$F2127)*100</f>
        <v/>
      </c>
      <c r="AW2127" s="82">
        <f>($L2127-$F2127)*100</f>
        <v/>
      </c>
      <c r="AX2127" s="82">
        <f>($J2127-$H2127)*100</f>
        <v/>
      </c>
      <c r="AY2127" s="82">
        <f>($L2127-$H2127)*100</f>
        <v/>
      </c>
      <c r="AZ2127" s="82">
        <f>($L2127-$J2127)*100</f>
        <v/>
      </c>
      <c r="BA2127" s="82">
        <f>(2*$H2127-$F2127-$J2127)*100</f>
        <v/>
      </c>
      <c r="BB2127" s="82">
        <f>(2*$J2127-$H2127-$L2127)*100</f>
        <v/>
      </c>
      <c r="BC2127" s="82">
        <f>($N2127-$F2127)*100</f>
        <v/>
      </c>
      <c r="BD2127" s="82">
        <f>($Q2127-$H2127)*100</f>
        <v/>
      </c>
      <c r="BE2127" s="82">
        <f>($S2127-$J2127)*100</f>
        <v/>
      </c>
      <c r="BF2127" s="82">
        <f>($V2127-$L2127)*100</f>
        <v/>
      </c>
      <c r="BG2127" s="82">
        <f>$AG2127-$AF2127</f>
        <v/>
      </c>
      <c r="BH2127" s="81">
        <f>IFERROR($AG2127/$AF2127,"")</f>
        <v/>
      </c>
      <c r="BI2127" s="82">
        <f>$AJ2127-$AF2127</f>
        <v/>
      </c>
      <c r="BJ2127" s="81">
        <f>IFERROR($AJ2127/$AG2127,"")</f>
        <v/>
      </c>
      <c r="BK2127" s="81">
        <f>$X2127</f>
        <v/>
      </c>
      <c r="BL2127" s="82">
        <f>($J2127-$J2128)*100</f>
        <v/>
      </c>
      <c r="BM2127" s="82">
        <f>($F2127-$F2128)*100</f>
        <v/>
      </c>
      <c r="BN2127" s="82">
        <f>$AF2127-$AF2128</f>
        <v/>
      </c>
      <c r="BO2127" s="82">
        <f>$AG2127-$AG2128</f>
        <v/>
      </c>
      <c r="BP2127" s="82">
        <f>$AJ2127-$AJ2128</f>
        <v/>
      </c>
    </row>
    <row r="2128">
      <c r="AR2128" s="81">
        <f>($G2128+($H2128-$G2128)*0.5)+($P2128-($O2128+($Q2128-$O2128)*0.5))</f>
        <v/>
      </c>
      <c r="AS2128" s="81">
        <f>($J2128+($K2128-$J2128)*0.5)+($T2128-($S2128+($U2128-$S2128)*0.5))</f>
        <v/>
      </c>
      <c r="AT2128" s="82">
        <f>($J2128-$C2128)*100</f>
        <v/>
      </c>
      <c r="AU2128" s="82">
        <f>($H2128-$F2128)*100</f>
        <v/>
      </c>
      <c r="AV2128" s="82">
        <f>($J2128-$F2128)*100</f>
        <v/>
      </c>
      <c r="AW2128" s="82">
        <f>($L2128-$F2128)*100</f>
        <v/>
      </c>
      <c r="AX2128" s="82">
        <f>($J2128-$H2128)*100</f>
        <v/>
      </c>
      <c r="AY2128" s="82">
        <f>($L2128-$H2128)*100</f>
        <v/>
      </c>
      <c r="AZ2128" s="82">
        <f>($L2128-$J2128)*100</f>
        <v/>
      </c>
      <c r="BA2128" s="82">
        <f>(2*$H2128-$F2128-$J2128)*100</f>
        <v/>
      </c>
      <c r="BB2128" s="82">
        <f>(2*$J2128-$H2128-$L2128)*100</f>
        <v/>
      </c>
      <c r="BC2128" s="82">
        <f>($N2128-$F2128)*100</f>
        <v/>
      </c>
      <c r="BD2128" s="82">
        <f>($Q2128-$H2128)*100</f>
        <v/>
      </c>
      <c r="BE2128" s="82">
        <f>($S2128-$J2128)*100</f>
        <v/>
      </c>
      <c r="BF2128" s="82">
        <f>($V2128-$L2128)*100</f>
        <v/>
      </c>
      <c r="BG2128" s="82">
        <f>$AG2128-$AF2128</f>
        <v/>
      </c>
      <c r="BH2128" s="81">
        <f>IFERROR($AG2128/$AF2128,"")</f>
        <v/>
      </c>
      <c r="BI2128" s="82">
        <f>$AJ2128-$AF2128</f>
        <v/>
      </c>
      <c r="BJ2128" s="81">
        <f>IFERROR($AJ2128/$AG2128,"")</f>
        <v/>
      </c>
      <c r="BK2128" s="81">
        <f>$X2128</f>
        <v/>
      </c>
      <c r="BL2128" s="82">
        <f>($J2128-$J2129)*100</f>
        <v/>
      </c>
      <c r="BM2128" s="82">
        <f>($F2128-$F2129)*100</f>
        <v/>
      </c>
      <c r="BN2128" s="82">
        <f>$AF2128-$AF2129</f>
        <v/>
      </c>
      <c r="BO2128" s="82">
        <f>$AG2128-$AG2129</f>
        <v/>
      </c>
      <c r="BP2128" s="82">
        <f>$AJ2128-$AJ2129</f>
        <v/>
      </c>
    </row>
    <row r="2129">
      <c r="AR2129" s="81">
        <f>($G2129+($H2129-$G2129)*0.5)+($P2129-($O2129+($Q2129-$O2129)*0.5))</f>
        <v/>
      </c>
      <c r="AS2129" s="81">
        <f>($J2129+($K2129-$J2129)*0.5)+($T2129-($S2129+($U2129-$S2129)*0.5))</f>
        <v/>
      </c>
      <c r="AT2129" s="82">
        <f>($J2129-$C2129)*100</f>
        <v/>
      </c>
      <c r="AU2129" s="82">
        <f>($H2129-$F2129)*100</f>
        <v/>
      </c>
      <c r="AV2129" s="82">
        <f>($J2129-$F2129)*100</f>
        <v/>
      </c>
      <c r="AW2129" s="82">
        <f>($L2129-$F2129)*100</f>
        <v/>
      </c>
      <c r="AX2129" s="82">
        <f>($J2129-$H2129)*100</f>
        <v/>
      </c>
      <c r="AY2129" s="82">
        <f>($L2129-$H2129)*100</f>
        <v/>
      </c>
      <c r="AZ2129" s="82">
        <f>($L2129-$J2129)*100</f>
        <v/>
      </c>
      <c r="BA2129" s="82">
        <f>(2*$H2129-$F2129-$J2129)*100</f>
        <v/>
      </c>
      <c r="BB2129" s="82">
        <f>(2*$J2129-$H2129-$L2129)*100</f>
        <v/>
      </c>
      <c r="BC2129" s="82">
        <f>($N2129-$F2129)*100</f>
        <v/>
      </c>
      <c r="BD2129" s="82">
        <f>($Q2129-$H2129)*100</f>
        <v/>
      </c>
      <c r="BE2129" s="82">
        <f>($S2129-$J2129)*100</f>
        <v/>
      </c>
      <c r="BF2129" s="82">
        <f>($V2129-$L2129)*100</f>
        <v/>
      </c>
      <c r="BG2129" s="82">
        <f>$AG2129-$AF2129</f>
        <v/>
      </c>
      <c r="BH2129" s="81">
        <f>IFERROR($AG2129/$AF2129,"")</f>
        <v/>
      </c>
      <c r="BI2129" s="82">
        <f>$AJ2129-$AF2129</f>
        <v/>
      </c>
      <c r="BJ2129" s="81">
        <f>IFERROR($AJ2129/$AG2129,"")</f>
        <v/>
      </c>
      <c r="BK2129" s="81">
        <f>$X2129</f>
        <v/>
      </c>
      <c r="BL2129" s="82">
        <f>($J2129-$J2130)*100</f>
        <v/>
      </c>
      <c r="BM2129" s="82">
        <f>($F2129-$F2130)*100</f>
        <v/>
      </c>
      <c r="BN2129" s="82">
        <f>$AF2129-$AF2130</f>
        <v/>
      </c>
      <c r="BO2129" s="82">
        <f>$AG2129-$AG2130</f>
        <v/>
      </c>
      <c r="BP2129" s="82">
        <f>$AJ2129-$AJ2130</f>
        <v/>
      </c>
    </row>
    <row r="2130">
      <c r="AR2130" s="81">
        <f>($G2130+($H2130-$G2130)*0.5)+($P2130-($O2130+($Q2130-$O2130)*0.5))</f>
        <v/>
      </c>
      <c r="AS2130" s="81">
        <f>($J2130+($K2130-$J2130)*0.5)+($T2130-($S2130+($U2130-$S2130)*0.5))</f>
        <v/>
      </c>
      <c r="AT2130" s="82">
        <f>($J2130-$C2130)*100</f>
        <v/>
      </c>
      <c r="AU2130" s="82">
        <f>($H2130-$F2130)*100</f>
        <v/>
      </c>
      <c r="AV2130" s="82">
        <f>($J2130-$F2130)*100</f>
        <v/>
      </c>
      <c r="AW2130" s="82">
        <f>($L2130-$F2130)*100</f>
        <v/>
      </c>
      <c r="AX2130" s="82">
        <f>($J2130-$H2130)*100</f>
        <v/>
      </c>
      <c r="AY2130" s="82">
        <f>($L2130-$H2130)*100</f>
        <v/>
      </c>
      <c r="AZ2130" s="82">
        <f>($L2130-$J2130)*100</f>
        <v/>
      </c>
      <c r="BA2130" s="82">
        <f>(2*$H2130-$F2130-$J2130)*100</f>
        <v/>
      </c>
      <c r="BB2130" s="82">
        <f>(2*$J2130-$H2130-$L2130)*100</f>
        <v/>
      </c>
      <c r="BC2130" s="82">
        <f>($N2130-$F2130)*100</f>
        <v/>
      </c>
      <c r="BD2130" s="82">
        <f>($Q2130-$H2130)*100</f>
        <v/>
      </c>
      <c r="BE2130" s="82">
        <f>($S2130-$J2130)*100</f>
        <v/>
      </c>
      <c r="BF2130" s="82">
        <f>($V2130-$L2130)*100</f>
        <v/>
      </c>
      <c r="BG2130" s="82">
        <f>$AG2130-$AF2130</f>
        <v/>
      </c>
      <c r="BH2130" s="81">
        <f>IFERROR($AG2130/$AF2130,"")</f>
        <v/>
      </c>
      <c r="BI2130" s="82">
        <f>$AJ2130-$AF2130</f>
        <v/>
      </c>
      <c r="BJ2130" s="81">
        <f>IFERROR($AJ2130/$AG2130,"")</f>
        <v/>
      </c>
      <c r="BK2130" s="81">
        <f>$X2130</f>
        <v/>
      </c>
      <c r="BL2130" s="82">
        <f>($J2130-$J2131)*100</f>
        <v/>
      </c>
      <c r="BM2130" s="82">
        <f>($F2130-$F2131)*100</f>
        <v/>
      </c>
      <c r="BN2130" s="82">
        <f>$AF2130-$AF2131</f>
        <v/>
      </c>
      <c r="BO2130" s="82">
        <f>$AG2130-$AG2131</f>
        <v/>
      </c>
      <c r="BP2130" s="82">
        <f>$AJ2130-$AJ2131</f>
        <v/>
      </c>
    </row>
    <row r="2131">
      <c r="AR2131" s="81">
        <f>($G2131+($H2131-$G2131)*0.5)+($P2131-($O2131+($Q2131-$O2131)*0.5))</f>
        <v/>
      </c>
      <c r="AS2131" s="81">
        <f>($J2131+($K2131-$J2131)*0.5)+($T2131-($S2131+($U2131-$S2131)*0.5))</f>
        <v/>
      </c>
      <c r="AT2131" s="82">
        <f>($J2131-$C2131)*100</f>
        <v/>
      </c>
      <c r="AU2131" s="82">
        <f>($H2131-$F2131)*100</f>
        <v/>
      </c>
      <c r="AV2131" s="82">
        <f>($J2131-$F2131)*100</f>
        <v/>
      </c>
      <c r="AW2131" s="82">
        <f>($L2131-$F2131)*100</f>
        <v/>
      </c>
      <c r="AX2131" s="82">
        <f>($J2131-$H2131)*100</f>
        <v/>
      </c>
      <c r="AY2131" s="82">
        <f>($L2131-$H2131)*100</f>
        <v/>
      </c>
      <c r="AZ2131" s="82">
        <f>($L2131-$J2131)*100</f>
        <v/>
      </c>
      <c r="BA2131" s="82">
        <f>(2*$H2131-$F2131-$J2131)*100</f>
        <v/>
      </c>
      <c r="BB2131" s="82">
        <f>(2*$J2131-$H2131-$L2131)*100</f>
        <v/>
      </c>
      <c r="BC2131" s="82">
        <f>($N2131-$F2131)*100</f>
        <v/>
      </c>
      <c r="BD2131" s="82">
        <f>($Q2131-$H2131)*100</f>
        <v/>
      </c>
      <c r="BE2131" s="82">
        <f>($S2131-$J2131)*100</f>
        <v/>
      </c>
      <c r="BF2131" s="82">
        <f>($V2131-$L2131)*100</f>
        <v/>
      </c>
      <c r="BG2131" s="82">
        <f>$AG2131-$AF2131</f>
        <v/>
      </c>
      <c r="BH2131" s="81">
        <f>IFERROR($AG2131/$AF2131,"")</f>
        <v/>
      </c>
      <c r="BI2131" s="82">
        <f>$AJ2131-$AF2131</f>
        <v/>
      </c>
      <c r="BJ2131" s="81">
        <f>IFERROR($AJ2131/$AG2131,"")</f>
        <v/>
      </c>
      <c r="BK2131" s="81">
        <f>$X2131</f>
        <v/>
      </c>
      <c r="BL2131" s="82">
        <f>($J2131-$J2132)*100</f>
        <v/>
      </c>
      <c r="BM2131" s="82">
        <f>($F2131-$F2132)*100</f>
        <v/>
      </c>
      <c r="BN2131" s="82">
        <f>$AF2131-$AF2132</f>
        <v/>
      </c>
      <c r="BO2131" s="82">
        <f>$AG2131-$AG2132</f>
        <v/>
      </c>
      <c r="BP2131" s="82">
        <f>$AJ2131-$AJ2132</f>
        <v/>
      </c>
    </row>
    <row r="2132">
      <c r="AR2132" s="81">
        <f>($G2132+($H2132-$G2132)*0.5)+($P2132-($O2132+($Q2132-$O2132)*0.5))</f>
        <v/>
      </c>
      <c r="AS2132" s="81">
        <f>($J2132+($K2132-$J2132)*0.5)+($T2132-($S2132+($U2132-$S2132)*0.5))</f>
        <v/>
      </c>
      <c r="AT2132" s="82">
        <f>($J2132-$C2132)*100</f>
        <v/>
      </c>
      <c r="AU2132" s="82">
        <f>($H2132-$F2132)*100</f>
        <v/>
      </c>
      <c r="AV2132" s="82">
        <f>($J2132-$F2132)*100</f>
        <v/>
      </c>
      <c r="AW2132" s="82">
        <f>($L2132-$F2132)*100</f>
        <v/>
      </c>
      <c r="AX2132" s="82">
        <f>($J2132-$H2132)*100</f>
        <v/>
      </c>
      <c r="AY2132" s="82">
        <f>($L2132-$H2132)*100</f>
        <v/>
      </c>
      <c r="AZ2132" s="82">
        <f>($L2132-$J2132)*100</f>
        <v/>
      </c>
      <c r="BA2132" s="82">
        <f>(2*$H2132-$F2132-$J2132)*100</f>
        <v/>
      </c>
      <c r="BB2132" s="82">
        <f>(2*$J2132-$H2132-$L2132)*100</f>
        <v/>
      </c>
      <c r="BC2132" s="82">
        <f>($N2132-$F2132)*100</f>
        <v/>
      </c>
      <c r="BD2132" s="82">
        <f>($Q2132-$H2132)*100</f>
        <v/>
      </c>
      <c r="BE2132" s="82">
        <f>($S2132-$J2132)*100</f>
        <v/>
      </c>
      <c r="BF2132" s="82">
        <f>($V2132-$L2132)*100</f>
        <v/>
      </c>
      <c r="BG2132" s="82">
        <f>$AG2132-$AF2132</f>
        <v/>
      </c>
      <c r="BH2132" s="81">
        <f>IFERROR($AG2132/$AF2132,"")</f>
        <v/>
      </c>
      <c r="BI2132" s="82">
        <f>$AJ2132-$AF2132</f>
        <v/>
      </c>
      <c r="BJ2132" s="81">
        <f>IFERROR($AJ2132/$AG2132,"")</f>
        <v/>
      </c>
      <c r="BK2132" s="81">
        <f>$X2132</f>
        <v/>
      </c>
      <c r="BL2132" s="82">
        <f>($J2132-$J2133)*100</f>
        <v/>
      </c>
      <c r="BM2132" s="82">
        <f>($F2132-$F2133)*100</f>
        <v/>
      </c>
      <c r="BN2132" s="82">
        <f>$AF2132-$AF2133</f>
        <v/>
      </c>
      <c r="BO2132" s="82">
        <f>$AG2132-$AG2133</f>
        <v/>
      </c>
      <c r="BP2132" s="82">
        <f>$AJ2132-$AJ2133</f>
        <v/>
      </c>
    </row>
    <row r="2133">
      <c r="AR2133" s="81">
        <f>($G2133+($H2133-$G2133)*0.5)+($P2133-($O2133+($Q2133-$O2133)*0.5))</f>
        <v/>
      </c>
      <c r="AS2133" s="81">
        <f>($J2133+($K2133-$J2133)*0.5)+($T2133-($S2133+($U2133-$S2133)*0.5))</f>
        <v/>
      </c>
      <c r="AT2133" s="82">
        <f>($J2133-$C2133)*100</f>
        <v/>
      </c>
      <c r="AU2133" s="82">
        <f>($H2133-$F2133)*100</f>
        <v/>
      </c>
      <c r="AV2133" s="82">
        <f>($J2133-$F2133)*100</f>
        <v/>
      </c>
      <c r="AW2133" s="82">
        <f>($L2133-$F2133)*100</f>
        <v/>
      </c>
      <c r="AX2133" s="82">
        <f>($J2133-$H2133)*100</f>
        <v/>
      </c>
      <c r="AY2133" s="82">
        <f>($L2133-$H2133)*100</f>
        <v/>
      </c>
      <c r="AZ2133" s="82">
        <f>($L2133-$J2133)*100</f>
        <v/>
      </c>
      <c r="BA2133" s="82">
        <f>(2*$H2133-$F2133-$J2133)*100</f>
        <v/>
      </c>
      <c r="BB2133" s="82">
        <f>(2*$J2133-$H2133-$L2133)*100</f>
        <v/>
      </c>
      <c r="BC2133" s="82">
        <f>($N2133-$F2133)*100</f>
        <v/>
      </c>
      <c r="BD2133" s="82">
        <f>($Q2133-$H2133)*100</f>
        <v/>
      </c>
      <c r="BE2133" s="82">
        <f>($S2133-$J2133)*100</f>
        <v/>
      </c>
      <c r="BF2133" s="82">
        <f>($V2133-$L2133)*100</f>
        <v/>
      </c>
      <c r="BG2133" s="82">
        <f>$AG2133-$AF2133</f>
        <v/>
      </c>
      <c r="BH2133" s="81">
        <f>IFERROR($AG2133/$AF2133,"")</f>
        <v/>
      </c>
      <c r="BI2133" s="82">
        <f>$AJ2133-$AF2133</f>
        <v/>
      </c>
      <c r="BJ2133" s="81">
        <f>IFERROR($AJ2133/$AG2133,"")</f>
        <v/>
      </c>
      <c r="BK2133" s="81">
        <f>$X2133</f>
        <v/>
      </c>
      <c r="BL2133" s="82">
        <f>($J2133-$J2134)*100</f>
        <v/>
      </c>
      <c r="BM2133" s="82">
        <f>($F2133-$F2134)*100</f>
        <v/>
      </c>
      <c r="BN2133" s="82">
        <f>$AF2133-$AF2134</f>
        <v/>
      </c>
      <c r="BO2133" s="82">
        <f>$AG2133-$AG2134</f>
        <v/>
      </c>
      <c r="BP2133" s="82">
        <f>$AJ2133-$AJ2134</f>
        <v/>
      </c>
    </row>
    <row r="2134">
      <c r="AR2134" s="81">
        <f>($G2134+($H2134-$G2134)*0.5)+($P2134-($O2134+($Q2134-$O2134)*0.5))</f>
        <v/>
      </c>
      <c r="AS2134" s="81">
        <f>($J2134+($K2134-$J2134)*0.5)+($T2134-($S2134+($U2134-$S2134)*0.5))</f>
        <v/>
      </c>
      <c r="AT2134" s="82">
        <f>($J2134-$C2134)*100</f>
        <v/>
      </c>
      <c r="AU2134" s="82">
        <f>($H2134-$F2134)*100</f>
        <v/>
      </c>
      <c r="AV2134" s="82">
        <f>($J2134-$F2134)*100</f>
        <v/>
      </c>
      <c r="AW2134" s="82">
        <f>($L2134-$F2134)*100</f>
        <v/>
      </c>
      <c r="AX2134" s="82">
        <f>($J2134-$H2134)*100</f>
        <v/>
      </c>
      <c r="AY2134" s="82">
        <f>($L2134-$H2134)*100</f>
        <v/>
      </c>
      <c r="AZ2134" s="82">
        <f>($L2134-$J2134)*100</f>
        <v/>
      </c>
      <c r="BA2134" s="82">
        <f>(2*$H2134-$F2134-$J2134)*100</f>
        <v/>
      </c>
      <c r="BB2134" s="82">
        <f>(2*$J2134-$H2134-$L2134)*100</f>
        <v/>
      </c>
      <c r="BC2134" s="82">
        <f>($N2134-$F2134)*100</f>
        <v/>
      </c>
      <c r="BD2134" s="82">
        <f>($Q2134-$H2134)*100</f>
        <v/>
      </c>
      <c r="BE2134" s="82">
        <f>($S2134-$J2134)*100</f>
        <v/>
      </c>
      <c r="BF2134" s="82">
        <f>($V2134-$L2134)*100</f>
        <v/>
      </c>
      <c r="BG2134" s="82">
        <f>$AG2134-$AF2134</f>
        <v/>
      </c>
      <c r="BH2134" s="81">
        <f>IFERROR($AG2134/$AF2134,"")</f>
        <v/>
      </c>
      <c r="BI2134" s="82">
        <f>$AJ2134-$AF2134</f>
        <v/>
      </c>
      <c r="BJ2134" s="81">
        <f>IFERROR($AJ2134/$AG2134,"")</f>
        <v/>
      </c>
      <c r="BK2134" s="81">
        <f>$X2134</f>
        <v/>
      </c>
      <c r="BL2134" s="82">
        <f>($J2134-$J2135)*100</f>
        <v/>
      </c>
      <c r="BM2134" s="82">
        <f>($F2134-$F2135)*100</f>
        <v/>
      </c>
      <c r="BN2134" s="82">
        <f>$AF2134-$AF2135</f>
        <v/>
      </c>
      <c r="BO2134" s="82">
        <f>$AG2134-$AG2135</f>
        <v/>
      </c>
      <c r="BP2134" s="82">
        <f>$AJ2134-$AJ2135</f>
        <v/>
      </c>
    </row>
    <row r="2135">
      <c r="AR2135" s="81">
        <f>($G2135+($H2135-$G2135)*0.5)+($P2135-($O2135+($Q2135-$O2135)*0.5))</f>
        <v/>
      </c>
      <c r="AS2135" s="81">
        <f>($J2135+($K2135-$J2135)*0.5)+($T2135-($S2135+($U2135-$S2135)*0.5))</f>
        <v/>
      </c>
      <c r="AT2135" s="82">
        <f>($J2135-$C2135)*100</f>
        <v/>
      </c>
      <c r="AU2135" s="82">
        <f>($H2135-$F2135)*100</f>
        <v/>
      </c>
      <c r="AV2135" s="82">
        <f>($J2135-$F2135)*100</f>
        <v/>
      </c>
      <c r="AW2135" s="82">
        <f>($L2135-$F2135)*100</f>
        <v/>
      </c>
      <c r="AX2135" s="82">
        <f>($J2135-$H2135)*100</f>
        <v/>
      </c>
      <c r="AY2135" s="82">
        <f>($L2135-$H2135)*100</f>
        <v/>
      </c>
      <c r="AZ2135" s="82">
        <f>($L2135-$J2135)*100</f>
        <v/>
      </c>
      <c r="BA2135" s="82">
        <f>(2*$H2135-$F2135-$J2135)*100</f>
        <v/>
      </c>
      <c r="BB2135" s="82">
        <f>(2*$J2135-$H2135-$L2135)*100</f>
        <v/>
      </c>
      <c r="BC2135" s="82">
        <f>($N2135-$F2135)*100</f>
        <v/>
      </c>
      <c r="BD2135" s="82">
        <f>($Q2135-$H2135)*100</f>
        <v/>
      </c>
      <c r="BE2135" s="82">
        <f>($S2135-$J2135)*100</f>
        <v/>
      </c>
      <c r="BF2135" s="82">
        <f>($V2135-$L2135)*100</f>
        <v/>
      </c>
      <c r="BG2135" s="82">
        <f>$AG2135-$AF2135</f>
        <v/>
      </c>
      <c r="BH2135" s="81">
        <f>IFERROR($AG2135/$AF2135,"")</f>
        <v/>
      </c>
      <c r="BI2135" s="82">
        <f>$AJ2135-$AF2135</f>
        <v/>
      </c>
      <c r="BJ2135" s="81">
        <f>IFERROR($AJ2135/$AG2135,"")</f>
        <v/>
      </c>
      <c r="BK2135" s="81">
        <f>$X2135</f>
        <v/>
      </c>
      <c r="BL2135" s="82">
        <f>($J2135-$J2136)*100</f>
        <v/>
      </c>
      <c r="BM2135" s="82">
        <f>($F2135-$F2136)*100</f>
        <v/>
      </c>
      <c r="BN2135" s="82">
        <f>$AF2135-$AF2136</f>
        <v/>
      </c>
      <c r="BO2135" s="82">
        <f>$AG2135-$AG2136</f>
        <v/>
      </c>
      <c r="BP2135" s="82">
        <f>$AJ2135-$AJ2136</f>
        <v/>
      </c>
    </row>
    <row r="2136">
      <c r="AR2136" s="81">
        <f>($G2136+($H2136-$G2136)*0.5)+($P2136-($O2136+($Q2136-$O2136)*0.5))</f>
        <v/>
      </c>
      <c r="AS2136" s="81">
        <f>($J2136+($K2136-$J2136)*0.5)+($T2136-($S2136+($U2136-$S2136)*0.5))</f>
        <v/>
      </c>
      <c r="AT2136" s="82">
        <f>($J2136-$C2136)*100</f>
        <v/>
      </c>
      <c r="AU2136" s="82">
        <f>($H2136-$F2136)*100</f>
        <v/>
      </c>
      <c r="AV2136" s="82">
        <f>($J2136-$F2136)*100</f>
        <v/>
      </c>
      <c r="AW2136" s="82">
        <f>($L2136-$F2136)*100</f>
        <v/>
      </c>
      <c r="AX2136" s="82">
        <f>($J2136-$H2136)*100</f>
        <v/>
      </c>
      <c r="AY2136" s="82">
        <f>($L2136-$H2136)*100</f>
        <v/>
      </c>
      <c r="AZ2136" s="82">
        <f>($L2136-$J2136)*100</f>
        <v/>
      </c>
      <c r="BA2136" s="82">
        <f>(2*$H2136-$F2136-$J2136)*100</f>
        <v/>
      </c>
      <c r="BB2136" s="82">
        <f>(2*$J2136-$H2136-$L2136)*100</f>
        <v/>
      </c>
      <c r="BC2136" s="82">
        <f>($N2136-$F2136)*100</f>
        <v/>
      </c>
      <c r="BD2136" s="82">
        <f>($Q2136-$H2136)*100</f>
        <v/>
      </c>
      <c r="BE2136" s="82">
        <f>($S2136-$J2136)*100</f>
        <v/>
      </c>
      <c r="BF2136" s="82">
        <f>($V2136-$L2136)*100</f>
        <v/>
      </c>
      <c r="BG2136" s="82">
        <f>$AG2136-$AF2136</f>
        <v/>
      </c>
      <c r="BH2136" s="81">
        <f>IFERROR($AG2136/$AF2136,"")</f>
        <v/>
      </c>
      <c r="BI2136" s="82">
        <f>$AJ2136-$AF2136</f>
        <v/>
      </c>
      <c r="BJ2136" s="81">
        <f>IFERROR($AJ2136/$AG2136,"")</f>
        <v/>
      </c>
      <c r="BK2136" s="81">
        <f>$X2136</f>
        <v/>
      </c>
      <c r="BL2136" s="82">
        <f>($J2136-$J2137)*100</f>
        <v/>
      </c>
      <c r="BM2136" s="82">
        <f>($F2136-$F2137)*100</f>
        <v/>
      </c>
      <c r="BN2136" s="82">
        <f>$AF2136-$AF2137</f>
        <v/>
      </c>
      <c r="BO2136" s="82">
        <f>$AG2136-$AG2137</f>
        <v/>
      </c>
      <c r="BP2136" s="82">
        <f>$AJ2136-$AJ2137</f>
        <v/>
      </c>
    </row>
    <row r="2137">
      <c r="AR2137" s="81">
        <f>($G2137+($H2137-$G2137)*0.5)+($P2137-($O2137+($Q2137-$O2137)*0.5))</f>
        <v/>
      </c>
      <c r="AS2137" s="81">
        <f>($J2137+($K2137-$J2137)*0.5)+($T2137-($S2137+($U2137-$S2137)*0.5))</f>
        <v/>
      </c>
      <c r="AT2137" s="82">
        <f>($J2137-$C2137)*100</f>
        <v/>
      </c>
      <c r="AU2137" s="82">
        <f>($H2137-$F2137)*100</f>
        <v/>
      </c>
      <c r="AV2137" s="82">
        <f>($J2137-$F2137)*100</f>
        <v/>
      </c>
      <c r="AW2137" s="82">
        <f>($L2137-$F2137)*100</f>
        <v/>
      </c>
      <c r="AX2137" s="82">
        <f>($J2137-$H2137)*100</f>
        <v/>
      </c>
      <c r="AY2137" s="82">
        <f>($L2137-$H2137)*100</f>
        <v/>
      </c>
      <c r="AZ2137" s="82">
        <f>($L2137-$J2137)*100</f>
        <v/>
      </c>
      <c r="BA2137" s="82">
        <f>(2*$H2137-$F2137-$J2137)*100</f>
        <v/>
      </c>
      <c r="BB2137" s="82">
        <f>(2*$J2137-$H2137-$L2137)*100</f>
        <v/>
      </c>
      <c r="BC2137" s="82">
        <f>($N2137-$F2137)*100</f>
        <v/>
      </c>
      <c r="BD2137" s="82">
        <f>($Q2137-$H2137)*100</f>
        <v/>
      </c>
      <c r="BE2137" s="82">
        <f>($S2137-$J2137)*100</f>
        <v/>
      </c>
      <c r="BF2137" s="82">
        <f>($V2137-$L2137)*100</f>
        <v/>
      </c>
      <c r="BG2137" s="82">
        <f>$AG2137-$AF2137</f>
        <v/>
      </c>
      <c r="BH2137" s="81">
        <f>IFERROR($AG2137/$AF2137,"")</f>
        <v/>
      </c>
      <c r="BI2137" s="82">
        <f>$AJ2137-$AF2137</f>
        <v/>
      </c>
      <c r="BJ2137" s="81">
        <f>IFERROR($AJ2137/$AG2137,"")</f>
        <v/>
      </c>
      <c r="BK2137" s="81">
        <f>$X2137</f>
        <v/>
      </c>
      <c r="BL2137" s="82">
        <f>($J2137-$J2138)*100</f>
        <v/>
      </c>
      <c r="BM2137" s="82">
        <f>($F2137-$F2138)*100</f>
        <v/>
      </c>
      <c r="BN2137" s="82">
        <f>$AF2137-$AF2138</f>
        <v/>
      </c>
      <c r="BO2137" s="82">
        <f>$AG2137-$AG2138</f>
        <v/>
      </c>
      <c r="BP2137" s="82">
        <f>$AJ2137-$AJ2138</f>
        <v/>
      </c>
    </row>
    <row r="2138">
      <c r="AR2138" s="81">
        <f>($G2138+($H2138-$G2138)*0.5)+($P2138-($O2138+($Q2138-$O2138)*0.5))</f>
        <v/>
      </c>
      <c r="AS2138" s="81">
        <f>($J2138+($K2138-$J2138)*0.5)+($T2138-($S2138+($U2138-$S2138)*0.5))</f>
        <v/>
      </c>
      <c r="AT2138" s="82">
        <f>($J2138-$C2138)*100</f>
        <v/>
      </c>
      <c r="AU2138" s="82">
        <f>($H2138-$F2138)*100</f>
        <v/>
      </c>
      <c r="AV2138" s="82">
        <f>($J2138-$F2138)*100</f>
        <v/>
      </c>
      <c r="AW2138" s="82">
        <f>($L2138-$F2138)*100</f>
        <v/>
      </c>
      <c r="AX2138" s="82">
        <f>($J2138-$H2138)*100</f>
        <v/>
      </c>
      <c r="AY2138" s="82">
        <f>($L2138-$H2138)*100</f>
        <v/>
      </c>
      <c r="AZ2138" s="82">
        <f>($L2138-$J2138)*100</f>
        <v/>
      </c>
      <c r="BA2138" s="82">
        <f>(2*$H2138-$F2138-$J2138)*100</f>
        <v/>
      </c>
      <c r="BB2138" s="82">
        <f>(2*$J2138-$H2138-$L2138)*100</f>
        <v/>
      </c>
      <c r="BC2138" s="82">
        <f>($N2138-$F2138)*100</f>
        <v/>
      </c>
      <c r="BD2138" s="82">
        <f>($Q2138-$H2138)*100</f>
        <v/>
      </c>
      <c r="BE2138" s="82">
        <f>($S2138-$J2138)*100</f>
        <v/>
      </c>
      <c r="BF2138" s="82">
        <f>($V2138-$L2138)*100</f>
        <v/>
      </c>
      <c r="BG2138" s="82">
        <f>$AG2138-$AF2138</f>
        <v/>
      </c>
      <c r="BH2138" s="81">
        <f>IFERROR($AG2138/$AF2138,"")</f>
        <v/>
      </c>
      <c r="BI2138" s="82">
        <f>$AJ2138-$AF2138</f>
        <v/>
      </c>
      <c r="BJ2138" s="81">
        <f>IFERROR($AJ2138/$AG2138,"")</f>
        <v/>
      </c>
      <c r="BK2138" s="81">
        <f>$X2138</f>
        <v/>
      </c>
      <c r="BL2138" s="82">
        <f>($J2138-$J2139)*100</f>
        <v/>
      </c>
      <c r="BM2138" s="82">
        <f>($F2138-$F2139)*100</f>
        <v/>
      </c>
      <c r="BN2138" s="82">
        <f>$AF2138-$AF2139</f>
        <v/>
      </c>
      <c r="BO2138" s="82">
        <f>$AG2138-$AG2139</f>
        <v/>
      </c>
      <c r="BP2138" s="82">
        <f>$AJ2138-$AJ2139</f>
        <v/>
      </c>
    </row>
    <row r="2139">
      <c r="AR2139" s="81">
        <f>($G2139+($H2139-$G2139)*0.5)+($P2139-($O2139+($Q2139-$O2139)*0.5))</f>
        <v/>
      </c>
      <c r="AS2139" s="81">
        <f>($J2139+($K2139-$J2139)*0.5)+($T2139-($S2139+($U2139-$S2139)*0.5))</f>
        <v/>
      </c>
      <c r="AT2139" s="82">
        <f>($J2139-$C2139)*100</f>
        <v/>
      </c>
      <c r="AU2139" s="82">
        <f>($H2139-$F2139)*100</f>
        <v/>
      </c>
      <c r="AV2139" s="82">
        <f>($J2139-$F2139)*100</f>
        <v/>
      </c>
      <c r="AW2139" s="82">
        <f>($L2139-$F2139)*100</f>
        <v/>
      </c>
      <c r="AX2139" s="82">
        <f>($J2139-$H2139)*100</f>
        <v/>
      </c>
      <c r="AY2139" s="82">
        <f>($L2139-$H2139)*100</f>
        <v/>
      </c>
      <c r="AZ2139" s="82">
        <f>($L2139-$J2139)*100</f>
        <v/>
      </c>
      <c r="BA2139" s="82">
        <f>(2*$H2139-$F2139-$J2139)*100</f>
        <v/>
      </c>
      <c r="BB2139" s="82">
        <f>(2*$J2139-$H2139-$L2139)*100</f>
        <v/>
      </c>
      <c r="BC2139" s="82">
        <f>($N2139-$F2139)*100</f>
        <v/>
      </c>
      <c r="BD2139" s="82">
        <f>($Q2139-$H2139)*100</f>
        <v/>
      </c>
      <c r="BE2139" s="82">
        <f>($S2139-$J2139)*100</f>
        <v/>
      </c>
      <c r="BF2139" s="82">
        <f>($V2139-$L2139)*100</f>
        <v/>
      </c>
      <c r="BG2139" s="82">
        <f>$AG2139-$AF2139</f>
        <v/>
      </c>
      <c r="BH2139" s="81">
        <f>IFERROR($AG2139/$AF2139,"")</f>
        <v/>
      </c>
      <c r="BI2139" s="82">
        <f>$AJ2139-$AF2139</f>
        <v/>
      </c>
      <c r="BJ2139" s="81">
        <f>IFERROR($AJ2139/$AG2139,"")</f>
        <v/>
      </c>
      <c r="BK2139" s="81">
        <f>$X2139</f>
        <v/>
      </c>
      <c r="BL2139" s="82">
        <f>($J2139-$J2140)*100</f>
        <v/>
      </c>
      <c r="BM2139" s="82">
        <f>($F2139-$F2140)*100</f>
        <v/>
      </c>
      <c r="BN2139" s="82">
        <f>$AF2139-$AF2140</f>
        <v/>
      </c>
      <c r="BO2139" s="82">
        <f>$AG2139-$AG2140</f>
        <v/>
      </c>
      <c r="BP2139" s="82">
        <f>$AJ2139-$AJ2140</f>
        <v/>
      </c>
    </row>
    <row r="2140">
      <c r="AR2140" s="81">
        <f>($G2140+($H2140-$G2140)*0.5)+($P2140-($O2140+($Q2140-$O2140)*0.5))</f>
        <v/>
      </c>
      <c r="AS2140" s="81">
        <f>($J2140+($K2140-$J2140)*0.5)+($T2140-($S2140+($U2140-$S2140)*0.5))</f>
        <v/>
      </c>
      <c r="AT2140" s="82">
        <f>($J2140-$C2140)*100</f>
        <v/>
      </c>
      <c r="AU2140" s="82">
        <f>($H2140-$F2140)*100</f>
        <v/>
      </c>
      <c r="AV2140" s="82">
        <f>($J2140-$F2140)*100</f>
        <v/>
      </c>
      <c r="AW2140" s="82">
        <f>($L2140-$F2140)*100</f>
        <v/>
      </c>
      <c r="AX2140" s="82">
        <f>($J2140-$H2140)*100</f>
        <v/>
      </c>
      <c r="AY2140" s="82">
        <f>($L2140-$H2140)*100</f>
        <v/>
      </c>
      <c r="AZ2140" s="82">
        <f>($L2140-$J2140)*100</f>
        <v/>
      </c>
      <c r="BA2140" s="82">
        <f>(2*$H2140-$F2140-$J2140)*100</f>
        <v/>
      </c>
      <c r="BB2140" s="82">
        <f>(2*$J2140-$H2140-$L2140)*100</f>
        <v/>
      </c>
      <c r="BC2140" s="82">
        <f>($N2140-$F2140)*100</f>
        <v/>
      </c>
      <c r="BD2140" s="82">
        <f>($Q2140-$H2140)*100</f>
        <v/>
      </c>
      <c r="BE2140" s="82">
        <f>($S2140-$J2140)*100</f>
        <v/>
      </c>
      <c r="BF2140" s="82">
        <f>($V2140-$L2140)*100</f>
        <v/>
      </c>
      <c r="BG2140" s="82">
        <f>$AG2140-$AF2140</f>
        <v/>
      </c>
      <c r="BH2140" s="81">
        <f>IFERROR($AG2140/$AF2140,"")</f>
        <v/>
      </c>
      <c r="BI2140" s="82">
        <f>$AJ2140-$AF2140</f>
        <v/>
      </c>
      <c r="BJ2140" s="81">
        <f>IFERROR($AJ2140/$AG2140,"")</f>
        <v/>
      </c>
      <c r="BK2140" s="81">
        <f>$X2140</f>
        <v/>
      </c>
      <c r="BL2140" s="82">
        <f>($J2140-$J2141)*100</f>
        <v/>
      </c>
      <c r="BM2140" s="82">
        <f>($F2140-$F2141)*100</f>
        <v/>
      </c>
      <c r="BN2140" s="82">
        <f>$AF2140-$AF2141</f>
        <v/>
      </c>
      <c r="BO2140" s="82">
        <f>$AG2140-$AG2141</f>
        <v/>
      </c>
      <c r="BP2140" s="82">
        <f>$AJ2140-$AJ2141</f>
        <v/>
      </c>
    </row>
    <row r="2141">
      <c r="AR2141" s="81">
        <f>($G2141+($H2141-$G2141)*0.5)+($P2141-($O2141+($Q2141-$O2141)*0.5))</f>
        <v/>
      </c>
      <c r="AS2141" s="81">
        <f>($J2141+($K2141-$J2141)*0.5)+($T2141-($S2141+($U2141-$S2141)*0.5))</f>
        <v/>
      </c>
      <c r="AT2141" s="82">
        <f>($J2141-$C2141)*100</f>
        <v/>
      </c>
      <c r="AU2141" s="82">
        <f>($H2141-$F2141)*100</f>
        <v/>
      </c>
      <c r="AV2141" s="82">
        <f>($J2141-$F2141)*100</f>
        <v/>
      </c>
      <c r="AW2141" s="82">
        <f>($L2141-$F2141)*100</f>
        <v/>
      </c>
      <c r="AX2141" s="82">
        <f>($J2141-$H2141)*100</f>
        <v/>
      </c>
      <c r="AY2141" s="82">
        <f>($L2141-$H2141)*100</f>
        <v/>
      </c>
      <c r="AZ2141" s="82">
        <f>($L2141-$J2141)*100</f>
        <v/>
      </c>
      <c r="BA2141" s="82">
        <f>(2*$H2141-$F2141-$J2141)*100</f>
        <v/>
      </c>
      <c r="BB2141" s="82">
        <f>(2*$J2141-$H2141-$L2141)*100</f>
        <v/>
      </c>
      <c r="BC2141" s="82">
        <f>($N2141-$F2141)*100</f>
        <v/>
      </c>
      <c r="BD2141" s="82">
        <f>($Q2141-$H2141)*100</f>
        <v/>
      </c>
      <c r="BE2141" s="82">
        <f>($S2141-$J2141)*100</f>
        <v/>
      </c>
      <c r="BF2141" s="82">
        <f>($V2141-$L2141)*100</f>
        <v/>
      </c>
      <c r="BG2141" s="82">
        <f>$AG2141-$AF2141</f>
        <v/>
      </c>
      <c r="BH2141" s="81">
        <f>IFERROR($AG2141/$AF2141,"")</f>
        <v/>
      </c>
      <c r="BI2141" s="82">
        <f>$AJ2141-$AF2141</f>
        <v/>
      </c>
      <c r="BJ2141" s="81">
        <f>IFERROR($AJ2141/$AG2141,"")</f>
        <v/>
      </c>
      <c r="BK2141" s="81">
        <f>$X2141</f>
        <v/>
      </c>
      <c r="BL2141" s="82">
        <f>($J2141-$J2142)*100</f>
        <v/>
      </c>
      <c r="BM2141" s="82">
        <f>($F2141-$F2142)*100</f>
        <v/>
      </c>
      <c r="BN2141" s="82">
        <f>$AF2141-$AF2142</f>
        <v/>
      </c>
      <c r="BO2141" s="82">
        <f>$AG2141-$AG2142</f>
        <v/>
      </c>
      <c r="BP2141" s="82">
        <f>$AJ2141-$AJ2142</f>
        <v/>
      </c>
    </row>
    <row r="2142">
      <c r="AR2142" s="81">
        <f>($G2142+($H2142-$G2142)*0.5)+($P2142-($O2142+($Q2142-$O2142)*0.5))</f>
        <v/>
      </c>
      <c r="AS2142" s="81">
        <f>($J2142+($K2142-$J2142)*0.5)+($T2142-($S2142+($U2142-$S2142)*0.5))</f>
        <v/>
      </c>
      <c r="AT2142" s="82">
        <f>($J2142-$C2142)*100</f>
        <v/>
      </c>
      <c r="AU2142" s="82">
        <f>($H2142-$F2142)*100</f>
        <v/>
      </c>
      <c r="AV2142" s="82">
        <f>($J2142-$F2142)*100</f>
        <v/>
      </c>
      <c r="AW2142" s="82">
        <f>($L2142-$F2142)*100</f>
        <v/>
      </c>
      <c r="AX2142" s="82">
        <f>($J2142-$H2142)*100</f>
        <v/>
      </c>
      <c r="AY2142" s="82">
        <f>($L2142-$H2142)*100</f>
        <v/>
      </c>
      <c r="AZ2142" s="82">
        <f>($L2142-$J2142)*100</f>
        <v/>
      </c>
      <c r="BA2142" s="82">
        <f>(2*$H2142-$F2142-$J2142)*100</f>
        <v/>
      </c>
      <c r="BB2142" s="82">
        <f>(2*$J2142-$H2142-$L2142)*100</f>
        <v/>
      </c>
      <c r="BC2142" s="82">
        <f>($N2142-$F2142)*100</f>
        <v/>
      </c>
      <c r="BD2142" s="82">
        <f>($Q2142-$H2142)*100</f>
        <v/>
      </c>
      <c r="BE2142" s="82">
        <f>($S2142-$J2142)*100</f>
        <v/>
      </c>
      <c r="BF2142" s="82">
        <f>($V2142-$L2142)*100</f>
        <v/>
      </c>
      <c r="BG2142" s="82">
        <f>$AG2142-$AF2142</f>
        <v/>
      </c>
      <c r="BH2142" s="81">
        <f>IFERROR($AG2142/$AF2142,"")</f>
        <v/>
      </c>
      <c r="BI2142" s="82">
        <f>$AJ2142-$AF2142</f>
        <v/>
      </c>
      <c r="BJ2142" s="81">
        <f>IFERROR($AJ2142/$AG2142,"")</f>
        <v/>
      </c>
      <c r="BK2142" s="81">
        <f>$X2142</f>
        <v/>
      </c>
      <c r="BL2142" s="82">
        <f>($J2142-$J2143)*100</f>
        <v/>
      </c>
      <c r="BM2142" s="82">
        <f>($F2142-$F2143)*100</f>
        <v/>
      </c>
      <c r="BN2142" s="82">
        <f>$AF2142-$AF2143</f>
        <v/>
      </c>
      <c r="BO2142" s="82">
        <f>$AG2142-$AG2143</f>
        <v/>
      </c>
      <c r="BP2142" s="82">
        <f>$AJ2142-$AJ2143</f>
        <v/>
      </c>
    </row>
    <row r="2143">
      <c r="AR2143" s="81">
        <f>($G2143+($H2143-$G2143)*0.5)+($P2143-($O2143+($Q2143-$O2143)*0.5))</f>
        <v/>
      </c>
      <c r="AS2143" s="81">
        <f>($J2143+($K2143-$J2143)*0.5)+($T2143-($S2143+($U2143-$S2143)*0.5))</f>
        <v/>
      </c>
      <c r="AT2143" s="82">
        <f>($J2143-$C2143)*100</f>
        <v/>
      </c>
      <c r="AU2143" s="82">
        <f>($H2143-$F2143)*100</f>
        <v/>
      </c>
      <c r="AV2143" s="82">
        <f>($J2143-$F2143)*100</f>
        <v/>
      </c>
      <c r="AW2143" s="82">
        <f>($L2143-$F2143)*100</f>
        <v/>
      </c>
      <c r="AX2143" s="82">
        <f>($J2143-$H2143)*100</f>
        <v/>
      </c>
      <c r="AY2143" s="82">
        <f>($L2143-$H2143)*100</f>
        <v/>
      </c>
      <c r="AZ2143" s="82">
        <f>($L2143-$J2143)*100</f>
        <v/>
      </c>
      <c r="BA2143" s="82">
        <f>(2*$H2143-$F2143-$J2143)*100</f>
        <v/>
      </c>
      <c r="BB2143" s="82">
        <f>(2*$J2143-$H2143-$L2143)*100</f>
        <v/>
      </c>
      <c r="BC2143" s="82">
        <f>($N2143-$F2143)*100</f>
        <v/>
      </c>
      <c r="BD2143" s="82">
        <f>($Q2143-$H2143)*100</f>
        <v/>
      </c>
      <c r="BE2143" s="82">
        <f>($S2143-$J2143)*100</f>
        <v/>
      </c>
      <c r="BF2143" s="82">
        <f>($V2143-$L2143)*100</f>
        <v/>
      </c>
      <c r="BG2143" s="82">
        <f>$AG2143-$AF2143</f>
        <v/>
      </c>
      <c r="BH2143" s="81">
        <f>IFERROR($AG2143/$AF2143,"")</f>
        <v/>
      </c>
      <c r="BI2143" s="82">
        <f>$AJ2143-$AF2143</f>
        <v/>
      </c>
      <c r="BJ2143" s="81">
        <f>IFERROR($AJ2143/$AG2143,"")</f>
        <v/>
      </c>
      <c r="BK2143" s="81">
        <f>$X2143</f>
        <v/>
      </c>
      <c r="BL2143" s="82">
        <f>($J2143-$J2144)*100</f>
        <v/>
      </c>
      <c r="BM2143" s="82">
        <f>($F2143-$F2144)*100</f>
        <v/>
      </c>
      <c r="BN2143" s="82">
        <f>$AF2143-$AF2144</f>
        <v/>
      </c>
      <c r="BO2143" s="82">
        <f>$AG2143-$AG2144</f>
        <v/>
      </c>
      <c r="BP2143" s="82">
        <f>$AJ2143-$AJ2144</f>
        <v/>
      </c>
    </row>
    <row r="2144">
      <c r="AR2144" s="81">
        <f>($G2144+($H2144-$G2144)*0.5)+($P2144-($O2144+($Q2144-$O2144)*0.5))</f>
        <v/>
      </c>
      <c r="AS2144" s="81">
        <f>($J2144+($K2144-$J2144)*0.5)+($T2144-($S2144+($U2144-$S2144)*0.5))</f>
        <v/>
      </c>
      <c r="AT2144" s="82">
        <f>($J2144-$C2144)*100</f>
        <v/>
      </c>
      <c r="AU2144" s="82">
        <f>($H2144-$F2144)*100</f>
        <v/>
      </c>
      <c r="AV2144" s="82">
        <f>($J2144-$F2144)*100</f>
        <v/>
      </c>
      <c r="AW2144" s="82">
        <f>($L2144-$F2144)*100</f>
        <v/>
      </c>
      <c r="AX2144" s="82">
        <f>($J2144-$H2144)*100</f>
        <v/>
      </c>
      <c r="AY2144" s="82">
        <f>($L2144-$H2144)*100</f>
        <v/>
      </c>
      <c r="AZ2144" s="82">
        <f>($L2144-$J2144)*100</f>
        <v/>
      </c>
      <c r="BA2144" s="82">
        <f>(2*$H2144-$F2144-$J2144)*100</f>
        <v/>
      </c>
      <c r="BB2144" s="82">
        <f>(2*$J2144-$H2144-$L2144)*100</f>
        <v/>
      </c>
      <c r="BC2144" s="82">
        <f>($N2144-$F2144)*100</f>
        <v/>
      </c>
      <c r="BD2144" s="82">
        <f>($Q2144-$H2144)*100</f>
        <v/>
      </c>
      <c r="BE2144" s="82">
        <f>($S2144-$J2144)*100</f>
        <v/>
      </c>
      <c r="BF2144" s="82">
        <f>($V2144-$L2144)*100</f>
        <v/>
      </c>
      <c r="BG2144" s="82">
        <f>$AG2144-$AF2144</f>
        <v/>
      </c>
      <c r="BH2144" s="81">
        <f>IFERROR($AG2144/$AF2144,"")</f>
        <v/>
      </c>
      <c r="BI2144" s="82">
        <f>$AJ2144-$AF2144</f>
        <v/>
      </c>
      <c r="BJ2144" s="81">
        <f>IFERROR($AJ2144/$AG2144,"")</f>
        <v/>
      </c>
      <c r="BK2144" s="81">
        <f>$X2144</f>
        <v/>
      </c>
      <c r="BL2144" s="82">
        <f>($J2144-$J2145)*100</f>
        <v/>
      </c>
      <c r="BM2144" s="82">
        <f>($F2144-$F2145)*100</f>
        <v/>
      </c>
      <c r="BN2144" s="82">
        <f>$AF2144-$AF2145</f>
        <v/>
      </c>
      <c r="BO2144" s="82">
        <f>$AG2144-$AG2145</f>
        <v/>
      </c>
      <c r="BP2144" s="82">
        <f>$AJ2144-$AJ2145</f>
        <v/>
      </c>
    </row>
    <row r="2145">
      <c r="AR2145" s="81">
        <f>($G2145+($H2145-$G2145)*0.5)+($P2145-($O2145+($Q2145-$O2145)*0.5))</f>
        <v/>
      </c>
      <c r="AS2145" s="81">
        <f>($J2145+($K2145-$J2145)*0.5)+($T2145-($S2145+($U2145-$S2145)*0.5))</f>
        <v/>
      </c>
      <c r="AT2145" s="82">
        <f>($J2145-$C2145)*100</f>
        <v/>
      </c>
      <c r="AU2145" s="82">
        <f>($H2145-$F2145)*100</f>
        <v/>
      </c>
      <c r="AV2145" s="82">
        <f>($J2145-$F2145)*100</f>
        <v/>
      </c>
      <c r="AW2145" s="82">
        <f>($L2145-$F2145)*100</f>
        <v/>
      </c>
      <c r="AX2145" s="82">
        <f>($J2145-$H2145)*100</f>
        <v/>
      </c>
      <c r="AY2145" s="82">
        <f>($L2145-$H2145)*100</f>
        <v/>
      </c>
      <c r="AZ2145" s="82">
        <f>($L2145-$J2145)*100</f>
        <v/>
      </c>
      <c r="BA2145" s="82">
        <f>(2*$H2145-$F2145-$J2145)*100</f>
        <v/>
      </c>
      <c r="BB2145" s="82">
        <f>(2*$J2145-$H2145-$L2145)*100</f>
        <v/>
      </c>
      <c r="BC2145" s="82">
        <f>($N2145-$F2145)*100</f>
        <v/>
      </c>
      <c r="BD2145" s="82">
        <f>($Q2145-$H2145)*100</f>
        <v/>
      </c>
      <c r="BE2145" s="82">
        <f>($S2145-$J2145)*100</f>
        <v/>
      </c>
      <c r="BF2145" s="82">
        <f>($V2145-$L2145)*100</f>
        <v/>
      </c>
      <c r="BG2145" s="82">
        <f>$AG2145-$AF2145</f>
        <v/>
      </c>
      <c r="BH2145" s="81">
        <f>IFERROR($AG2145/$AF2145,"")</f>
        <v/>
      </c>
      <c r="BI2145" s="82">
        <f>$AJ2145-$AF2145</f>
        <v/>
      </c>
      <c r="BJ2145" s="81">
        <f>IFERROR($AJ2145/$AG2145,"")</f>
        <v/>
      </c>
      <c r="BK2145" s="81">
        <f>$X2145</f>
        <v/>
      </c>
      <c r="BL2145" s="82">
        <f>($J2145-$J2146)*100</f>
        <v/>
      </c>
      <c r="BM2145" s="82">
        <f>($F2145-$F2146)*100</f>
        <v/>
      </c>
      <c r="BN2145" s="82">
        <f>$AF2145-$AF2146</f>
        <v/>
      </c>
      <c r="BO2145" s="82">
        <f>$AG2145-$AG2146</f>
        <v/>
      </c>
      <c r="BP2145" s="82">
        <f>$AJ2145-$AJ2146</f>
        <v/>
      </c>
    </row>
    <row r="2146">
      <c r="AR2146" s="81">
        <f>($G2146+($H2146-$G2146)*0.5)+($P2146-($O2146+($Q2146-$O2146)*0.5))</f>
        <v/>
      </c>
      <c r="AS2146" s="81">
        <f>($J2146+($K2146-$J2146)*0.5)+($T2146-($S2146+($U2146-$S2146)*0.5))</f>
        <v/>
      </c>
      <c r="AT2146" s="82">
        <f>($J2146-$C2146)*100</f>
        <v/>
      </c>
      <c r="AU2146" s="82">
        <f>($H2146-$F2146)*100</f>
        <v/>
      </c>
      <c r="AV2146" s="82">
        <f>($J2146-$F2146)*100</f>
        <v/>
      </c>
      <c r="AW2146" s="82">
        <f>($L2146-$F2146)*100</f>
        <v/>
      </c>
      <c r="AX2146" s="82">
        <f>($J2146-$H2146)*100</f>
        <v/>
      </c>
      <c r="AY2146" s="82">
        <f>($L2146-$H2146)*100</f>
        <v/>
      </c>
      <c r="AZ2146" s="82">
        <f>($L2146-$J2146)*100</f>
        <v/>
      </c>
      <c r="BA2146" s="82">
        <f>(2*$H2146-$F2146-$J2146)*100</f>
        <v/>
      </c>
      <c r="BB2146" s="82">
        <f>(2*$J2146-$H2146-$L2146)*100</f>
        <v/>
      </c>
      <c r="BC2146" s="82">
        <f>($N2146-$F2146)*100</f>
        <v/>
      </c>
      <c r="BD2146" s="82">
        <f>($Q2146-$H2146)*100</f>
        <v/>
      </c>
      <c r="BE2146" s="82">
        <f>($S2146-$J2146)*100</f>
        <v/>
      </c>
      <c r="BF2146" s="82">
        <f>($V2146-$L2146)*100</f>
        <v/>
      </c>
      <c r="BG2146" s="82">
        <f>$AG2146-$AF2146</f>
        <v/>
      </c>
      <c r="BH2146" s="81">
        <f>IFERROR($AG2146/$AF2146,"")</f>
        <v/>
      </c>
      <c r="BI2146" s="82">
        <f>$AJ2146-$AF2146</f>
        <v/>
      </c>
      <c r="BJ2146" s="81">
        <f>IFERROR($AJ2146/$AG2146,"")</f>
        <v/>
      </c>
      <c r="BK2146" s="81">
        <f>$X2146</f>
        <v/>
      </c>
      <c r="BL2146" s="82">
        <f>($J2146-$J2147)*100</f>
        <v/>
      </c>
      <c r="BM2146" s="82">
        <f>($F2146-$F2147)*100</f>
        <v/>
      </c>
      <c r="BN2146" s="82">
        <f>$AF2146-$AF2147</f>
        <v/>
      </c>
      <c r="BO2146" s="82">
        <f>$AG2146-$AG2147</f>
        <v/>
      </c>
      <c r="BP2146" s="82">
        <f>$AJ2146-$AJ2147</f>
        <v/>
      </c>
    </row>
    <row r="2147">
      <c r="AR2147" s="81">
        <f>($G2147+($H2147-$G2147)*0.5)+($P2147-($O2147+($Q2147-$O2147)*0.5))</f>
        <v/>
      </c>
      <c r="AS2147" s="81">
        <f>($J2147+($K2147-$J2147)*0.5)+($T2147-($S2147+($U2147-$S2147)*0.5))</f>
        <v/>
      </c>
      <c r="AT2147" s="82">
        <f>($J2147-$C2147)*100</f>
        <v/>
      </c>
      <c r="AU2147" s="82">
        <f>($H2147-$F2147)*100</f>
        <v/>
      </c>
      <c r="AV2147" s="82">
        <f>($J2147-$F2147)*100</f>
        <v/>
      </c>
      <c r="AW2147" s="82">
        <f>($L2147-$F2147)*100</f>
        <v/>
      </c>
      <c r="AX2147" s="82">
        <f>($J2147-$H2147)*100</f>
        <v/>
      </c>
      <c r="AY2147" s="82">
        <f>($L2147-$H2147)*100</f>
        <v/>
      </c>
      <c r="AZ2147" s="82">
        <f>($L2147-$J2147)*100</f>
        <v/>
      </c>
      <c r="BA2147" s="82">
        <f>(2*$H2147-$F2147-$J2147)*100</f>
        <v/>
      </c>
      <c r="BB2147" s="82">
        <f>(2*$J2147-$H2147-$L2147)*100</f>
        <v/>
      </c>
      <c r="BC2147" s="82">
        <f>($N2147-$F2147)*100</f>
        <v/>
      </c>
      <c r="BD2147" s="82">
        <f>($Q2147-$H2147)*100</f>
        <v/>
      </c>
      <c r="BE2147" s="82">
        <f>($S2147-$J2147)*100</f>
        <v/>
      </c>
      <c r="BF2147" s="82">
        <f>($V2147-$L2147)*100</f>
        <v/>
      </c>
      <c r="BG2147" s="82">
        <f>$AG2147-$AF2147</f>
        <v/>
      </c>
      <c r="BH2147" s="81">
        <f>IFERROR($AG2147/$AF2147,"")</f>
        <v/>
      </c>
      <c r="BI2147" s="82">
        <f>$AJ2147-$AF2147</f>
        <v/>
      </c>
      <c r="BJ2147" s="81">
        <f>IFERROR($AJ2147/$AG2147,"")</f>
        <v/>
      </c>
      <c r="BK2147" s="81">
        <f>$X2147</f>
        <v/>
      </c>
      <c r="BL2147" s="82">
        <f>($J2147-$J2148)*100</f>
        <v/>
      </c>
      <c r="BM2147" s="82">
        <f>($F2147-$F2148)*100</f>
        <v/>
      </c>
      <c r="BN2147" s="82">
        <f>$AF2147-$AF2148</f>
        <v/>
      </c>
      <c r="BO2147" s="82">
        <f>$AG2147-$AG2148</f>
        <v/>
      </c>
      <c r="BP2147" s="82">
        <f>$AJ2147-$AJ2148</f>
        <v/>
      </c>
    </row>
    <row r="2148">
      <c r="AR2148" s="81">
        <f>($G2148+($H2148-$G2148)*0.5)+($P2148-($O2148+($Q2148-$O2148)*0.5))</f>
        <v/>
      </c>
      <c r="AS2148" s="81">
        <f>($J2148+($K2148-$J2148)*0.5)+($T2148-($S2148+($U2148-$S2148)*0.5))</f>
        <v/>
      </c>
      <c r="AT2148" s="82">
        <f>($J2148-$C2148)*100</f>
        <v/>
      </c>
      <c r="AU2148" s="82">
        <f>($H2148-$F2148)*100</f>
        <v/>
      </c>
      <c r="AV2148" s="82">
        <f>($J2148-$F2148)*100</f>
        <v/>
      </c>
      <c r="AW2148" s="82">
        <f>($L2148-$F2148)*100</f>
        <v/>
      </c>
      <c r="AX2148" s="82">
        <f>($J2148-$H2148)*100</f>
        <v/>
      </c>
      <c r="AY2148" s="82">
        <f>($L2148-$H2148)*100</f>
        <v/>
      </c>
      <c r="AZ2148" s="82">
        <f>($L2148-$J2148)*100</f>
        <v/>
      </c>
      <c r="BA2148" s="82">
        <f>(2*$H2148-$F2148-$J2148)*100</f>
        <v/>
      </c>
      <c r="BB2148" s="82">
        <f>(2*$J2148-$H2148-$L2148)*100</f>
        <v/>
      </c>
      <c r="BC2148" s="82">
        <f>($N2148-$F2148)*100</f>
        <v/>
      </c>
      <c r="BD2148" s="82">
        <f>($Q2148-$H2148)*100</f>
        <v/>
      </c>
      <c r="BE2148" s="82">
        <f>($S2148-$J2148)*100</f>
        <v/>
      </c>
      <c r="BF2148" s="82">
        <f>($V2148-$L2148)*100</f>
        <v/>
      </c>
      <c r="BG2148" s="82">
        <f>$AG2148-$AF2148</f>
        <v/>
      </c>
      <c r="BH2148" s="81">
        <f>IFERROR($AG2148/$AF2148,"")</f>
        <v/>
      </c>
      <c r="BI2148" s="82">
        <f>$AJ2148-$AF2148</f>
        <v/>
      </c>
      <c r="BJ2148" s="81">
        <f>IFERROR($AJ2148/$AG2148,"")</f>
        <v/>
      </c>
      <c r="BK2148" s="81">
        <f>$X2148</f>
        <v/>
      </c>
      <c r="BL2148" s="82">
        <f>($J2148-$J2149)*100</f>
        <v/>
      </c>
      <c r="BM2148" s="82">
        <f>($F2148-$F2149)*100</f>
        <v/>
      </c>
      <c r="BN2148" s="82">
        <f>$AF2148-$AF2149</f>
        <v/>
      </c>
      <c r="BO2148" s="82">
        <f>$AG2148-$AG2149</f>
        <v/>
      </c>
      <c r="BP2148" s="82">
        <f>$AJ2148-$AJ2149</f>
        <v/>
      </c>
    </row>
    <row r="2149">
      <c r="AR2149" s="81">
        <f>($G2149+($H2149-$G2149)*0.5)+($P2149-($O2149+($Q2149-$O2149)*0.5))</f>
        <v/>
      </c>
      <c r="AS2149" s="81">
        <f>($J2149+($K2149-$J2149)*0.5)+($T2149-($S2149+($U2149-$S2149)*0.5))</f>
        <v/>
      </c>
      <c r="AT2149" s="82">
        <f>($J2149-$C2149)*100</f>
        <v/>
      </c>
      <c r="AU2149" s="82">
        <f>($H2149-$F2149)*100</f>
        <v/>
      </c>
      <c r="AV2149" s="82">
        <f>($J2149-$F2149)*100</f>
        <v/>
      </c>
      <c r="AW2149" s="82">
        <f>($L2149-$F2149)*100</f>
        <v/>
      </c>
      <c r="AX2149" s="82">
        <f>($J2149-$H2149)*100</f>
        <v/>
      </c>
      <c r="AY2149" s="82">
        <f>($L2149-$H2149)*100</f>
        <v/>
      </c>
      <c r="AZ2149" s="82">
        <f>($L2149-$J2149)*100</f>
        <v/>
      </c>
      <c r="BA2149" s="82">
        <f>(2*$H2149-$F2149-$J2149)*100</f>
        <v/>
      </c>
      <c r="BB2149" s="82">
        <f>(2*$J2149-$H2149-$L2149)*100</f>
        <v/>
      </c>
      <c r="BC2149" s="82">
        <f>($N2149-$F2149)*100</f>
        <v/>
      </c>
      <c r="BD2149" s="82">
        <f>($Q2149-$H2149)*100</f>
        <v/>
      </c>
      <c r="BE2149" s="82">
        <f>($S2149-$J2149)*100</f>
        <v/>
      </c>
      <c r="BF2149" s="82">
        <f>($V2149-$L2149)*100</f>
        <v/>
      </c>
      <c r="BG2149" s="82">
        <f>$AG2149-$AF2149</f>
        <v/>
      </c>
      <c r="BH2149" s="81">
        <f>IFERROR($AG2149/$AF2149,"")</f>
        <v/>
      </c>
      <c r="BI2149" s="82">
        <f>$AJ2149-$AF2149</f>
        <v/>
      </c>
      <c r="BJ2149" s="81">
        <f>IFERROR($AJ2149/$AG2149,"")</f>
        <v/>
      </c>
      <c r="BK2149" s="81">
        <f>$X2149</f>
        <v/>
      </c>
      <c r="BL2149" s="82">
        <f>($J2149-$J2150)*100</f>
        <v/>
      </c>
      <c r="BM2149" s="82">
        <f>($F2149-$F2150)*100</f>
        <v/>
      </c>
      <c r="BN2149" s="82">
        <f>$AF2149-$AF2150</f>
        <v/>
      </c>
      <c r="BO2149" s="82">
        <f>$AG2149-$AG2150</f>
        <v/>
      </c>
      <c r="BP2149" s="82">
        <f>$AJ2149-$AJ2150</f>
        <v/>
      </c>
    </row>
    <row r="2150">
      <c r="AR2150" s="81">
        <f>($G2150+($H2150-$G2150)*0.5)+($P2150-($O2150+($Q2150-$O2150)*0.5))</f>
        <v/>
      </c>
      <c r="AS2150" s="81">
        <f>($J2150+($K2150-$J2150)*0.5)+($T2150-($S2150+($U2150-$S2150)*0.5))</f>
        <v/>
      </c>
      <c r="AT2150" s="82">
        <f>($J2150-$C2150)*100</f>
        <v/>
      </c>
      <c r="AU2150" s="82">
        <f>($H2150-$F2150)*100</f>
        <v/>
      </c>
      <c r="AV2150" s="82">
        <f>($J2150-$F2150)*100</f>
        <v/>
      </c>
      <c r="AW2150" s="82">
        <f>($L2150-$F2150)*100</f>
        <v/>
      </c>
      <c r="AX2150" s="82">
        <f>($J2150-$H2150)*100</f>
        <v/>
      </c>
      <c r="AY2150" s="82">
        <f>($L2150-$H2150)*100</f>
        <v/>
      </c>
      <c r="AZ2150" s="82">
        <f>($L2150-$J2150)*100</f>
        <v/>
      </c>
      <c r="BA2150" s="82">
        <f>(2*$H2150-$F2150-$J2150)*100</f>
        <v/>
      </c>
      <c r="BB2150" s="82">
        <f>(2*$J2150-$H2150-$L2150)*100</f>
        <v/>
      </c>
      <c r="BC2150" s="82">
        <f>($N2150-$F2150)*100</f>
        <v/>
      </c>
      <c r="BD2150" s="82">
        <f>($Q2150-$H2150)*100</f>
        <v/>
      </c>
      <c r="BE2150" s="82">
        <f>($S2150-$J2150)*100</f>
        <v/>
      </c>
      <c r="BF2150" s="82">
        <f>($V2150-$L2150)*100</f>
        <v/>
      </c>
      <c r="BG2150" s="82">
        <f>$AG2150-$AF2150</f>
        <v/>
      </c>
      <c r="BH2150" s="81">
        <f>IFERROR($AG2150/$AF2150,"")</f>
        <v/>
      </c>
      <c r="BI2150" s="82">
        <f>$AJ2150-$AF2150</f>
        <v/>
      </c>
      <c r="BJ2150" s="81">
        <f>IFERROR($AJ2150/$AG2150,"")</f>
        <v/>
      </c>
      <c r="BK2150" s="81">
        <f>$X2150</f>
        <v/>
      </c>
      <c r="BL2150" s="82">
        <f>($J2150-$J2151)*100</f>
        <v/>
      </c>
      <c r="BM2150" s="82">
        <f>($F2150-$F2151)*100</f>
        <v/>
      </c>
      <c r="BN2150" s="82">
        <f>$AF2150-$AF2151</f>
        <v/>
      </c>
      <c r="BO2150" s="82">
        <f>$AG2150-$AG2151</f>
        <v/>
      </c>
      <c r="BP2150" s="82">
        <f>$AJ2150-$AJ2151</f>
        <v/>
      </c>
    </row>
    <row r="2151">
      <c r="AR2151" s="81">
        <f>($G2151+($H2151-$G2151)*0.5)+($P2151-($O2151+($Q2151-$O2151)*0.5))</f>
        <v/>
      </c>
      <c r="AS2151" s="81">
        <f>($J2151+($K2151-$J2151)*0.5)+($T2151-($S2151+($U2151-$S2151)*0.5))</f>
        <v/>
      </c>
      <c r="AT2151" s="82">
        <f>($J2151-$C2151)*100</f>
        <v/>
      </c>
      <c r="AU2151" s="82">
        <f>($H2151-$F2151)*100</f>
        <v/>
      </c>
      <c r="AV2151" s="82">
        <f>($J2151-$F2151)*100</f>
        <v/>
      </c>
      <c r="AW2151" s="82">
        <f>($L2151-$F2151)*100</f>
        <v/>
      </c>
      <c r="AX2151" s="82">
        <f>($J2151-$H2151)*100</f>
        <v/>
      </c>
      <c r="AY2151" s="82">
        <f>($L2151-$H2151)*100</f>
        <v/>
      </c>
      <c r="AZ2151" s="82">
        <f>($L2151-$J2151)*100</f>
        <v/>
      </c>
      <c r="BA2151" s="82">
        <f>(2*$H2151-$F2151-$J2151)*100</f>
        <v/>
      </c>
      <c r="BB2151" s="82">
        <f>(2*$J2151-$H2151-$L2151)*100</f>
        <v/>
      </c>
      <c r="BC2151" s="82">
        <f>($N2151-$F2151)*100</f>
        <v/>
      </c>
      <c r="BD2151" s="82">
        <f>($Q2151-$H2151)*100</f>
        <v/>
      </c>
      <c r="BE2151" s="82">
        <f>($S2151-$J2151)*100</f>
        <v/>
      </c>
      <c r="BF2151" s="82">
        <f>($V2151-$L2151)*100</f>
        <v/>
      </c>
      <c r="BG2151" s="82">
        <f>$AG2151-$AF2151</f>
        <v/>
      </c>
      <c r="BH2151" s="81">
        <f>IFERROR($AG2151/$AF2151,"")</f>
        <v/>
      </c>
      <c r="BI2151" s="82">
        <f>$AJ2151-$AF2151</f>
        <v/>
      </c>
      <c r="BJ2151" s="81">
        <f>IFERROR($AJ2151/$AG2151,"")</f>
        <v/>
      </c>
      <c r="BK2151" s="81">
        <f>$X2151</f>
        <v/>
      </c>
      <c r="BL2151" s="82">
        <f>($J2151-$J2152)*100</f>
        <v/>
      </c>
      <c r="BM2151" s="82">
        <f>($F2151-$F2152)*100</f>
        <v/>
      </c>
      <c r="BN2151" s="82">
        <f>$AF2151-$AF2152</f>
        <v/>
      </c>
      <c r="BO2151" s="82">
        <f>$AG2151-$AG2152</f>
        <v/>
      </c>
      <c r="BP2151" s="82">
        <f>$AJ2151-$AJ2152</f>
        <v/>
      </c>
    </row>
    <row r="2152">
      <c r="AR2152" s="81">
        <f>($G2152+($H2152-$G2152)*0.5)+($P2152-($O2152+($Q2152-$O2152)*0.5))</f>
        <v/>
      </c>
      <c r="AS2152" s="81">
        <f>($J2152+($K2152-$J2152)*0.5)+($T2152-($S2152+($U2152-$S2152)*0.5))</f>
        <v/>
      </c>
      <c r="AT2152" s="82">
        <f>($J2152-$C2152)*100</f>
        <v/>
      </c>
      <c r="AU2152" s="82">
        <f>($H2152-$F2152)*100</f>
        <v/>
      </c>
      <c r="AV2152" s="82">
        <f>($J2152-$F2152)*100</f>
        <v/>
      </c>
      <c r="AW2152" s="82">
        <f>($L2152-$F2152)*100</f>
        <v/>
      </c>
      <c r="AX2152" s="82">
        <f>($J2152-$H2152)*100</f>
        <v/>
      </c>
      <c r="AY2152" s="82">
        <f>($L2152-$H2152)*100</f>
        <v/>
      </c>
      <c r="AZ2152" s="82">
        <f>($L2152-$J2152)*100</f>
        <v/>
      </c>
      <c r="BA2152" s="82">
        <f>(2*$H2152-$F2152-$J2152)*100</f>
        <v/>
      </c>
      <c r="BB2152" s="82">
        <f>(2*$J2152-$H2152-$L2152)*100</f>
        <v/>
      </c>
      <c r="BC2152" s="82">
        <f>($N2152-$F2152)*100</f>
        <v/>
      </c>
      <c r="BD2152" s="82">
        <f>($Q2152-$H2152)*100</f>
        <v/>
      </c>
      <c r="BE2152" s="82">
        <f>($S2152-$J2152)*100</f>
        <v/>
      </c>
      <c r="BF2152" s="82">
        <f>($V2152-$L2152)*100</f>
        <v/>
      </c>
      <c r="BG2152" s="82">
        <f>$AG2152-$AF2152</f>
        <v/>
      </c>
      <c r="BH2152" s="81">
        <f>IFERROR($AG2152/$AF2152,"")</f>
        <v/>
      </c>
      <c r="BI2152" s="82">
        <f>$AJ2152-$AF2152</f>
        <v/>
      </c>
      <c r="BJ2152" s="81">
        <f>IFERROR($AJ2152/$AG2152,"")</f>
        <v/>
      </c>
      <c r="BK2152" s="81">
        <f>$X2152</f>
        <v/>
      </c>
      <c r="BL2152" s="82">
        <f>($J2152-$J2153)*100</f>
        <v/>
      </c>
      <c r="BM2152" s="82">
        <f>($F2152-$F2153)*100</f>
        <v/>
      </c>
      <c r="BN2152" s="82">
        <f>$AF2152-$AF2153</f>
        <v/>
      </c>
      <c r="BO2152" s="82">
        <f>$AG2152-$AG2153</f>
        <v/>
      </c>
      <c r="BP2152" s="82">
        <f>$AJ2152-$AJ2153</f>
        <v/>
      </c>
    </row>
    <row r="2153">
      <c r="AR2153" s="81">
        <f>($G2153+($H2153-$G2153)*0.5)+($P2153-($O2153+($Q2153-$O2153)*0.5))</f>
        <v/>
      </c>
      <c r="AS2153" s="81">
        <f>($J2153+($K2153-$J2153)*0.5)+($T2153-($S2153+($U2153-$S2153)*0.5))</f>
        <v/>
      </c>
      <c r="AT2153" s="82">
        <f>($J2153-$C2153)*100</f>
        <v/>
      </c>
      <c r="AU2153" s="82">
        <f>($H2153-$F2153)*100</f>
        <v/>
      </c>
      <c r="AV2153" s="82">
        <f>($J2153-$F2153)*100</f>
        <v/>
      </c>
      <c r="AW2153" s="82">
        <f>($L2153-$F2153)*100</f>
        <v/>
      </c>
      <c r="AX2153" s="82">
        <f>($J2153-$H2153)*100</f>
        <v/>
      </c>
      <c r="AY2153" s="82">
        <f>($L2153-$H2153)*100</f>
        <v/>
      </c>
      <c r="AZ2153" s="82">
        <f>($L2153-$J2153)*100</f>
        <v/>
      </c>
      <c r="BA2153" s="82">
        <f>(2*$H2153-$F2153-$J2153)*100</f>
        <v/>
      </c>
      <c r="BB2153" s="82">
        <f>(2*$J2153-$H2153-$L2153)*100</f>
        <v/>
      </c>
      <c r="BC2153" s="82">
        <f>($N2153-$F2153)*100</f>
        <v/>
      </c>
      <c r="BD2153" s="82">
        <f>($Q2153-$H2153)*100</f>
        <v/>
      </c>
      <c r="BE2153" s="82">
        <f>($S2153-$J2153)*100</f>
        <v/>
      </c>
      <c r="BF2153" s="82">
        <f>($V2153-$L2153)*100</f>
        <v/>
      </c>
      <c r="BG2153" s="82">
        <f>$AG2153-$AF2153</f>
        <v/>
      </c>
      <c r="BH2153" s="81">
        <f>IFERROR($AG2153/$AF2153,"")</f>
        <v/>
      </c>
      <c r="BI2153" s="82">
        <f>$AJ2153-$AF2153</f>
        <v/>
      </c>
      <c r="BJ2153" s="81">
        <f>IFERROR($AJ2153/$AG2153,"")</f>
        <v/>
      </c>
      <c r="BK2153" s="81">
        <f>$X2153</f>
        <v/>
      </c>
      <c r="BL2153" s="82">
        <f>($J2153-$J2154)*100</f>
        <v/>
      </c>
      <c r="BM2153" s="82">
        <f>($F2153-$F2154)*100</f>
        <v/>
      </c>
      <c r="BN2153" s="82">
        <f>$AF2153-$AF2154</f>
        <v/>
      </c>
      <c r="BO2153" s="82">
        <f>$AG2153-$AG2154</f>
        <v/>
      </c>
      <c r="BP2153" s="82">
        <f>$AJ2153-$AJ2154</f>
        <v/>
      </c>
    </row>
    <row r="2154">
      <c r="AR2154" s="81">
        <f>($G2154+($H2154-$G2154)*0.5)+($P2154-($O2154+($Q2154-$O2154)*0.5))</f>
        <v/>
      </c>
      <c r="AS2154" s="81">
        <f>($J2154+($K2154-$J2154)*0.5)+($T2154-($S2154+($U2154-$S2154)*0.5))</f>
        <v/>
      </c>
      <c r="AT2154" s="82">
        <f>($J2154-$C2154)*100</f>
        <v/>
      </c>
      <c r="AU2154" s="82">
        <f>($H2154-$F2154)*100</f>
        <v/>
      </c>
      <c r="AV2154" s="82">
        <f>($J2154-$F2154)*100</f>
        <v/>
      </c>
      <c r="AW2154" s="82">
        <f>($L2154-$F2154)*100</f>
        <v/>
      </c>
      <c r="AX2154" s="82">
        <f>($J2154-$H2154)*100</f>
        <v/>
      </c>
      <c r="AY2154" s="82">
        <f>($L2154-$H2154)*100</f>
        <v/>
      </c>
      <c r="AZ2154" s="82">
        <f>($L2154-$J2154)*100</f>
        <v/>
      </c>
      <c r="BA2154" s="82">
        <f>(2*$H2154-$F2154-$J2154)*100</f>
        <v/>
      </c>
      <c r="BB2154" s="82">
        <f>(2*$J2154-$H2154-$L2154)*100</f>
        <v/>
      </c>
      <c r="BC2154" s="82">
        <f>($N2154-$F2154)*100</f>
        <v/>
      </c>
      <c r="BD2154" s="82">
        <f>($Q2154-$H2154)*100</f>
        <v/>
      </c>
      <c r="BE2154" s="82">
        <f>($S2154-$J2154)*100</f>
        <v/>
      </c>
      <c r="BF2154" s="82">
        <f>($V2154-$L2154)*100</f>
        <v/>
      </c>
      <c r="BG2154" s="82">
        <f>$AG2154-$AF2154</f>
        <v/>
      </c>
      <c r="BH2154" s="81">
        <f>IFERROR($AG2154/$AF2154,"")</f>
        <v/>
      </c>
      <c r="BI2154" s="82">
        <f>$AJ2154-$AF2154</f>
        <v/>
      </c>
      <c r="BJ2154" s="81">
        <f>IFERROR($AJ2154/$AG2154,"")</f>
        <v/>
      </c>
      <c r="BK2154" s="81">
        <f>$X2154</f>
        <v/>
      </c>
      <c r="BL2154" s="82">
        <f>($J2154-$J2155)*100</f>
        <v/>
      </c>
      <c r="BM2154" s="82">
        <f>($F2154-$F2155)*100</f>
        <v/>
      </c>
      <c r="BN2154" s="82">
        <f>$AF2154-$AF2155</f>
        <v/>
      </c>
      <c r="BO2154" s="82">
        <f>$AG2154-$AG2155</f>
        <v/>
      </c>
      <c r="BP2154" s="82">
        <f>$AJ2154-$AJ2155</f>
        <v/>
      </c>
    </row>
    <row r="2155">
      <c r="AR2155" s="81">
        <f>($G2155+($H2155-$G2155)*0.5)+($P2155-($O2155+($Q2155-$O2155)*0.5))</f>
        <v/>
      </c>
      <c r="AS2155" s="81">
        <f>($J2155+($K2155-$J2155)*0.5)+($T2155-($S2155+($U2155-$S2155)*0.5))</f>
        <v/>
      </c>
      <c r="AT2155" s="82">
        <f>($J2155-$C2155)*100</f>
        <v/>
      </c>
      <c r="AU2155" s="82">
        <f>($H2155-$F2155)*100</f>
        <v/>
      </c>
      <c r="AV2155" s="82">
        <f>($J2155-$F2155)*100</f>
        <v/>
      </c>
      <c r="AW2155" s="82">
        <f>($L2155-$F2155)*100</f>
        <v/>
      </c>
      <c r="AX2155" s="82">
        <f>($J2155-$H2155)*100</f>
        <v/>
      </c>
      <c r="AY2155" s="82">
        <f>($L2155-$H2155)*100</f>
        <v/>
      </c>
      <c r="AZ2155" s="82">
        <f>($L2155-$J2155)*100</f>
        <v/>
      </c>
      <c r="BA2155" s="82">
        <f>(2*$H2155-$F2155-$J2155)*100</f>
        <v/>
      </c>
      <c r="BB2155" s="82">
        <f>(2*$J2155-$H2155-$L2155)*100</f>
        <v/>
      </c>
      <c r="BC2155" s="82">
        <f>($N2155-$F2155)*100</f>
        <v/>
      </c>
      <c r="BD2155" s="82">
        <f>($Q2155-$H2155)*100</f>
        <v/>
      </c>
      <c r="BE2155" s="82">
        <f>($S2155-$J2155)*100</f>
        <v/>
      </c>
      <c r="BF2155" s="82">
        <f>($V2155-$L2155)*100</f>
        <v/>
      </c>
      <c r="BG2155" s="82">
        <f>$AG2155-$AF2155</f>
        <v/>
      </c>
      <c r="BH2155" s="81">
        <f>IFERROR($AG2155/$AF2155,"")</f>
        <v/>
      </c>
      <c r="BI2155" s="82">
        <f>$AJ2155-$AF2155</f>
        <v/>
      </c>
      <c r="BJ2155" s="81">
        <f>IFERROR($AJ2155/$AG2155,"")</f>
        <v/>
      </c>
      <c r="BK2155" s="81">
        <f>$X2155</f>
        <v/>
      </c>
      <c r="BL2155" s="82">
        <f>($J2155-$J2156)*100</f>
        <v/>
      </c>
      <c r="BM2155" s="82">
        <f>($F2155-$F2156)*100</f>
        <v/>
      </c>
      <c r="BN2155" s="82">
        <f>$AF2155-$AF2156</f>
        <v/>
      </c>
      <c r="BO2155" s="82">
        <f>$AG2155-$AG2156</f>
        <v/>
      </c>
      <c r="BP2155" s="82">
        <f>$AJ2155-$AJ2156</f>
        <v/>
      </c>
    </row>
    <row r="2156">
      <c r="AR2156" s="81">
        <f>($G2156+($H2156-$G2156)*0.5)+($P2156-($O2156+($Q2156-$O2156)*0.5))</f>
        <v/>
      </c>
      <c r="AS2156" s="81">
        <f>($J2156+($K2156-$J2156)*0.5)+($T2156-($S2156+($U2156-$S2156)*0.5))</f>
        <v/>
      </c>
      <c r="AT2156" s="82">
        <f>($J2156-$C2156)*100</f>
        <v/>
      </c>
      <c r="AU2156" s="82">
        <f>($H2156-$F2156)*100</f>
        <v/>
      </c>
      <c r="AV2156" s="82">
        <f>($J2156-$F2156)*100</f>
        <v/>
      </c>
      <c r="AW2156" s="82">
        <f>($L2156-$F2156)*100</f>
        <v/>
      </c>
      <c r="AX2156" s="82">
        <f>($J2156-$H2156)*100</f>
        <v/>
      </c>
      <c r="AY2156" s="82">
        <f>($L2156-$H2156)*100</f>
        <v/>
      </c>
      <c r="AZ2156" s="82">
        <f>($L2156-$J2156)*100</f>
        <v/>
      </c>
      <c r="BA2156" s="82">
        <f>(2*$H2156-$F2156-$J2156)*100</f>
        <v/>
      </c>
      <c r="BB2156" s="82">
        <f>(2*$J2156-$H2156-$L2156)*100</f>
        <v/>
      </c>
      <c r="BC2156" s="82">
        <f>($N2156-$F2156)*100</f>
        <v/>
      </c>
      <c r="BD2156" s="82">
        <f>($Q2156-$H2156)*100</f>
        <v/>
      </c>
      <c r="BE2156" s="82">
        <f>($S2156-$J2156)*100</f>
        <v/>
      </c>
      <c r="BF2156" s="82">
        <f>($V2156-$L2156)*100</f>
        <v/>
      </c>
      <c r="BG2156" s="82">
        <f>$AG2156-$AF2156</f>
        <v/>
      </c>
      <c r="BH2156" s="81">
        <f>IFERROR($AG2156/$AF2156,"")</f>
        <v/>
      </c>
      <c r="BI2156" s="82">
        <f>$AJ2156-$AF2156</f>
        <v/>
      </c>
      <c r="BJ2156" s="81">
        <f>IFERROR($AJ2156/$AG2156,"")</f>
        <v/>
      </c>
      <c r="BK2156" s="81">
        <f>$X2156</f>
        <v/>
      </c>
      <c r="BL2156" s="82">
        <f>($J2156-$J2157)*100</f>
        <v/>
      </c>
      <c r="BM2156" s="82">
        <f>($F2156-$F2157)*100</f>
        <v/>
      </c>
      <c r="BN2156" s="82">
        <f>$AF2156-$AF2157</f>
        <v/>
      </c>
      <c r="BO2156" s="82">
        <f>$AG2156-$AG2157</f>
        <v/>
      </c>
      <c r="BP2156" s="82">
        <f>$AJ2156-$AJ2157</f>
        <v/>
      </c>
    </row>
    <row r="2157">
      <c r="AR2157" s="81">
        <f>($G2157+($H2157-$G2157)*0.5)+($P2157-($O2157+($Q2157-$O2157)*0.5))</f>
        <v/>
      </c>
      <c r="AS2157" s="81">
        <f>($J2157+($K2157-$J2157)*0.5)+($T2157-($S2157+($U2157-$S2157)*0.5))</f>
        <v/>
      </c>
      <c r="AT2157" s="82">
        <f>($J2157-$C2157)*100</f>
        <v/>
      </c>
      <c r="AU2157" s="82">
        <f>($H2157-$F2157)*100</f>
        <v/>
      </c>
      <c r="AV2157" s="82">
        <f>($J2157-$F2157)*100</f>
        <v/>
      </c>
      <c r="AW2157" s="82">
        <f>($L2157-$F2157)*100</f>
        <v/>
      </c>
      <c r="AX2157" s="82">
        <f>($J2157-$H2157)*100</f>
        <v/>
      </c>
      <c r="AY2157" s="82">
        <f>($L2157-$H2157)*100</f>
        <v/>
      </c>
      <c r="AZ2157" s="82">
        <f>($L2157-$J2157)*100</f>
        <v/>
      </c>
      <c r="BA2157" s="82">
        <f>(2*$H2157-$F2157-$J2157)*100</f>
        <v/>
      </c>
      <c r="BB2157" s="82">
        <f>(2*$J2157-$H2157-$L2157)*100</f>
        <v/>
      </c>
      <c r="BC2157" s="82">
        <f>($N2157-$F2157)*100</f>
        <v/>
      </c>
      <c r="BD2157" s="82">
        <f>($Q2157-$H2157)*100</f>
        <v/>
      </c>
      <c r="BE2157" s="82">
        <f>($S2157-$J2157)*100</f>
        <v/>
      </c>
      <c r="BF2157" s="82">
        <f>($V2157-$L2157)*100</f>
        <v/>
      </c>
      <c r="BG2157" s="82">
        <f>$AG2157-$AF2157</f>
        <v/>
      </c>
      <c r="BH2157" s="81">
        <f>IFERROR($AG2157/$AF2157,"")</f>
        <v/>
      </c>
      <c r="BI2157" s="82">
        <f>$AJ2157-$AF2157</f>
        <v/>
      </c>
      <c r="BJ2157" s="81">
        <f>IFERROR($AJ2157/$AG2157,"")</f>
        <v/>
      </c>
      <c r="BK2157" s="81">
        <f>$X2157</f>
        <v/>
      </c>
      <c r="BL2157" s="82">
        <f>($J2157-$J2158)*100</f>
        <v/>
      </c>
      <c r="BM2157" s="82">
        <f>($F2157-$F2158)*100</f>
        <v/>
      </c>
      <c r="BN2157" s="82">
        <f>$AF2157-$AF2158</f>
        <v/>
      </c>
      <c r="BO2157" s="82">
        <f>$AG2157-$AG2158</f>
        <v/>
      </c>
      <c r="BP2157" s="82">
        <f>$AJ2157-$AJ2158</f>
        <v/>
      </c>
    </row>
    <row r="2158">
      <c r="AR2158" s="81">
        <f>($G2158+($H2158-$G2158)*0.5)+($P2158-($O2158+($Q2158-$O2158)*0.5))</f>
        <v/>
      </c>
      <c r="AS2158" s="81">
        <f>($J2158+($K2158-$J2158)*0.5)+($T2158-($S2158+($U2158-$S2158)*0.5))</f>
        <v/>
      </c>
      <c r="AT2158" s="82">
        <f>($J2158-$C2158)*100</f>
        <v/>
      </c>
      <c r="AU2158" s="82">
        <f>($H2158-$F2158)*100</f>
        <v/>
      </c>
      <c r="AV2158" s="82">
        <f>($J2158-$F2158)*100</f>
        <v/>
      </c>
      <c r="AW2158" s="82">
        <f>($L2158-$F2158)*100</f>
        <v/>
      </c>
      <c r="AX2158" s="82">
        <f>($J2158-$H2158)*100</f>
        <v/>
      </c>
      <c r="AY2158" s="82">
        <f>($L2158-$H2158)*100</f>
        <v/>
      </c>
      <c r="AZ2158" s="82">
        <f>($L2158-$J2158)*100</f>
        <v/>
      </c>
      <c r="BA2158" s="82">
        <f>(2*$H2158-$F2158-$J2158)*100</f>
        <v/>
      </c>
      <c r="BB2158" s="82">
        <f>(2*$J2158-$H2158-$L2158)*100</f>
        <v/>
      </c>
      <c r="BC2158" s="82">
        <f>($N2158-$F2158)*100</f>
        <v/>
      </c>
      <c r="BD2158" s="82">
        <f>($Q2158-$H2158)*100</f>
        <v/>
      </c>
      <c r="BE2158" s="82">
        <f>($S2158-$J2158)*100</f>
        <v/>
      </c>
      <c r="BF2158" s="82">
        <f>($V2158-$L2158)*100</f>
        <v/>
      </c>
      <c r="BG2158" s="82">
        <f>$AG2158-$AF2158</f>
        <v/>
      </c>
      <c r="BH2158" s="81">
        <f>IFERROR($AG2158/$AF2158,"")</f>
        <v/>
      </c>
      <c r="BI2158" s="82">
        <f>$AJ2158-$AF2158</f>
        <v/>
      </c>
      <c r="BJ2158" s="81">
        <f>IFERROR($AJ2158/$AG2158,"")</f>
        <v/>
      </c>
      <c r="BK2158" s="81">
        <f>$X2158</f>
        <v/>
      </c>
      <c r="BL2158" s="82">
        <f>($J2158-$J2159)*100</f>
        <v/>
      </c>
      <c r="BM2158" s="82">
        <f>($F2158-$F2159)*100</f>
        <v/>
      </c>
      <c r="BN2158" s="82">
        <f>$AF2158-$AF2159</f>
        <v/>
      </c>
      <c r="BO2158" s="82">
        <f>$AG2158-$AG2159</f>
        <v/>
      </c>
      <c r="BP2158" s="82">
        <f>$AJ2158-$AJ2159</f>
        <v/>
      </c>
    </row>
    <row r="2159">
      <c r="AR2159" s="81">
        <f>($G2159+($H2159-$G2159)*0.5)+($P2159-($O2159+($Q2159-$O2159)*0.5))</f>
        <v/>
      </c>
      <c r="AS2159" s="81">
        <f>($J2159+($K2159-$J2159)*0.5)+($T2159-($S2159+($U2159-$S2159)*0.5))</f>
        <v/>
      </c>
      <c r="AT2159" s="82">
        <f>($J2159-$C2159)*100</f>
        <v/>
      </c>
      <c r="AU2159" s="82">
        <f>($H2159-$F2159)*100</f>
        <v/>
      </c>
      <c r="AV2159" s="82">
        <f>($J2159-$F2159)*100</f>
        <v/>
      </c>
      <c r="AW2159" s="82">
        <f>($L2159-$F2159)*100</f>
        <v/>
      </c>
      <c r="AX2159" s="82">
        <f>($J2159-$H2159)*100</f>
        <v/>
      </c>
      <c r="AY2159" s="82">
        <f>($L2159-$H2159)*100</f>
        <v/>
      </c>
      <c r="AZ2159" s="82">
        <f>($L2159-$J2159)*100</f>
        <v/>
      </c>
      <c r="BA2159" s="82">
        <f>(2*$H2159-$F2159-$J2159)*100</f>
        <v/>
      </c>
      <c r="BB2159" s="82">
        <f>(2*$J2159-$H2159-$L2159)*100</f>
        <v/>
      </c>
      <c r="BC2159" s="82">
        <f>($N2159-$F2159)*100</f>
        <v/>
      </c>
      <c r="BD2159" s="82">
        <f>($Q2159-$H2159)*100</f>
        <v/>
      </c>
      <c r="BE2159" s="82">
        <f>($S2159-$J2159)*100</f>
        <v/>
      </c>
      <c r="BF2159" s="82">
        <f>($V2159-$L2159)*100</f>
        <v/>
      </c>
      <c r="BG2159" s="82">
        <f>$AG2159-$AF2159</f>
        <v/>
      </c>
      <c r="BH2159" s="81">
        <f>IFERROR($AG2159/$AF2159,"")</f>
        <v/>
      </c>
      <c r="BI2159" s="82">
        <f>$AJ2159-$AF2159</f>
        <v/>
      </c>
      <c r="BJ2159" s="81">
        <f>IFERROR($AJ2159/$AG2159,"")</f>
        <v/>
      </c>
      <c r="BK2159" s="81">
        <f>$X2159</f>
        <v/>
      </c>
      <c r="BL2159" s="82">
        <f>($J2159-$J2160)*100</f>
        <v/>
      </c>
      <c r="BM2159" s="82">
        <f>($F2159-$F2160)*100</f>
        <v/>
      </c>
      <c r="BN2159" s="82">
        <f>$AF2159-$AF2160</f>
        <v/>
      </c>
      <c r="BO2159" s="82">
        <f>$AG2159-$AG2160</f>
        <v/>
      </c>
      <c r="BP2159" s="82">
        <f>$AJ2159-$AJ2160</f>
        <v/>
      </c>
    </row>
    <row r="2160">
      <c r="AR2160" s="81">
        <f>($G2160+($H2160-$G2160)*0.5)+($P2160-($O2160+($Q2160-$O2160)*0.5))</f>
        <v/>
      </c>
      <c r="AS2160" s="81">
        <f>($J2160+($K2160-$J2160)*0.5)+($T2160-($S2160+($U2160-$S2160)*0.5))</f>
        <v/>
      </c>
      <c r="AT2160" s="82">
        <f>($J2160-$C2160)*100</f>
        <v/>
      </c>
      <c r="AU2160" s="82">
        <f>($H2160-$F2160)*100</f>
        <v/>
      </c>
      <c r="AV2160" s="82">
        <f>($J2160-$F2160)*100</f>
        <v/>
      </c>
      <c r="AW2160" s="82">
        <f>($L2160-$F2160)*100</f>
        <v/>
      </c>
      <c r="AX2160" s="82">
        <f>($J2160-$H2160)*100</f>
        <v/>
      </c>
      <c r="AY2160" s="82">
        <f>($L2160-$H2160)*100</f>
        <v/>
      </c>
      <c r="AZ2160" s="82">
        <f>($L2160-$J2160)*100</f>
        <v/>
      </c>
      <c r="BA2160" s="82">
        <f>(2*$H2160-$F2160-$J2160)*100</f>
        <v/>
      </c>
      <c r="BB2160" s="82">
        <f>(2*$J2160-$H2160-$L2160)*100</f>
        <v/>
      </c>
      <c r="BC2160" s="82">
        <f>($N2160-$F2160)*100</f>
        <v/>
      </c>
      <c r="BD2160" s="82">
        <f>($Q2160-$H2160)*100</f>
        <v/>
      </c>
      <c r="BE2160" s="82">
        <f>($S2160-$J2160)*100</f>
        <v/>
      </c>
      <c r="BF2160" s="82">
        <f>($V2160-$L2160)*100</f>
        <v/>
      </c>
      <c r="BG2160" s="82">
        <f>$AG2160-$AF2160</f>
        <v/>
      </c>
      <c r="BH2160" s="81">
        <f>IFERROR($AG2160/$AF2160,"")</f>
        <v/>
      </c>
      <c r="BI2160" s="82">
        <f>$AJ2160-$AF2160</f>
        <v/>
      </c>
      <c r="BJ2160" s="81">
        <f>IFERROR($AJ2160/$AG2160,"")</f>
        <v/>
      </c>
      <c r="BK2160" s="81">
        <f>$X2160</f>
        <v/>
      </c>
      <c r="BL2160" s="82">
        <f>($J2160-$J2161)*100</f>
        <v/>
      </c>
      <c r="BM2160" s="82">
        <f>($F2160-$F2161)*100</f>
        <v/>
      </c>
      <c r="BN2160" s="82">
        <f>$AF2160-$AF2161</f>
        <v/>
      </c>
      <c r="BO2160" s="82">
        <f>$AG2160-$AG2161</f>
        <v/>
      </c>
      <c r="BP2160" s="82">
        <f>$AJ2160-$AJ2161</f>
        <v/>
      </c>
    </row>
    <row r="2161">
      <c r="AR2161" s="81">
        <f>($G2161+($H2161-$G2161)*0.5)+($P2161-($O2161+($Q2161-$O2161)*0.5))</f>
        <v/>
      </c>
      <c r="AS2161" s="81">
        <f>($J2161+($K2161-$J2161)*0.5)+($T2161-($S2161+($U2161-$S2161)*0.5))</f>
        <v/>
      </c>
      <c r="AT2161" s="82">
        <f>($J2161-$C2161)*100</f>
        <v/>
      </c>
      <c r="AU2161" s="82">
        <f>($H2161-$F2161)*100</f>
        <v/>
      </c>
      <c r="AV2161" s="82">
        <f>($J2161-$F2161)*100</f>
        <v/>
      </c>
      <c r="AW2161" s="82">
        <f>($L2161-$F2161)*100</f>
        <v/>
      </c>
      <c r="AX2161" s="82">
        <f>($J2161-$H2161)*100</f>
        <v/>
      </c>
      <c r="AY2161" s="82">
        <f>($L2161-$H2161)*100</f>
        <v/>
      </c>
      <c r="AZ2161" s="82">
        <f>($L2161-$J2161)*100</f>
        <v/>
      </c>
      <c r="BA2161" s="82">
        <f>(2*$H2161-$F2161-$J2161)*100</f>
        <v/>
      </c>
      <c r="BB2161" s="82">
        <f>(2*$J2161-$H2161-$L2161)*100</f>
        <v/>
      </c>
      <c r="BC2161" s="82">
        <f>($N2161-$F2161)*100</f>
        <v/>
      </c>
      <c r="BD2161" s="82">
        <f>($Q2161-$H2161)*100</f>
        <v/>
      </c>
      <c r="BE2161" s="82">
        <f>($S2161-$J2161)*100</f>
        <v/>
      </c>
      <c r="BF2161" s="82">
        <f>($V2161-$L2161)*100</f>
        <v/>
      </c>
      <c r="BG2161" s="82">
        <f>$AG2161-$AF2161</f>
        <v/>
      </c>
      <c r="BH2161" s="81">
        <f>IFERROR($AG2161/$AF2161,"")</f>
        <v/>
      </c>
      <c r="BI2161" s="82">
        <f>$AJ2161-$AF2161</f>
        <v/>
      </c>
      <c r="BJ2161" s="81">
        <f>IFERROR($AJ2161/$AG2161,"")</f>
        <v/>
      </c>
      <c r="BK2161" s="81">
        <f>$X2161</f>
        <v/>
      </c>
      <c r="BL2161" s="82">
        <f>($J2161-$J2162)*100</f>
        <v/>
      </c>
      <c r="BM2161" s="82">
        <f>($F2161-$F2162)*100</f>
        <v/>
      </c>
      <c r="BN2161" s="82">
        <f>$AF2161-$AF2162</f>
        <v/>
      </c>
      <c r="BO2161" s="82">
        <f>$AG2161-$AG2162</f>
        <v/>
      </c>
      <c r="BP2161" s="82">
        <f>$AJ2161-$AJ2162</f>
        <v/>
      </c>
    </row>
    <row r="2162">
      <c r="AR2162" s="81">
        <f>($G2162+($H2162-$G2162)*0.5)+($P2162-($O2162+($Q2162-$O2162)*0.5))</f>
        <v/>
      </c>
      <c r="AS2162" s="81">
        <f>($J2162+($K2162-$J2162)*0.5)+($T2162-($S2162+($U2162-$S2162)*0.5))</f>
        <v/>
      </c>
      <c r="AT2162" s="82">
        <f>($J2162-$C2162)*100</f>
        <v/>
      </c>
      <c r="AU2162" s="82">
        <f>($H2162-$F2162)*100</f>
        <v/>
      </c>
      <c r="AV2162" s="82">
        <f>($J2162-$F2162)*100</f>
        <v/>
      </c>
      <c r="AW2162" s="82">
        <f>($L2162-$F2162)*100</f>
        <v/>
      </c>
      <c r="AX2162" s="82">
        <f>($J2162-$H2162)*100</f>
        <v/>
      </c>
      <c r="AY2162" s="82">
        <f>($L2162-$H2162)*100</f>
        <v/>
      </c>
      <c r="AZ2162" s="82">
        <f>($L2162-$J2162)*100</f>
        <v/>
      </c>
      <c r="BA2162" s="82">
        <f>(2*$H2162-$F2162-$J2162)*100</f>
        <v/>
      </c>
      <c r="BB2162" s="82">
        <f>(2*$J2162-$H2162-$L2162)*100</f>
        <v/>
      </c>
      <c r="BC2162" s="82">
        <f>($N2162-$F2162)*100</f>
        <v/>
      </c>
      <c r="BD2162" s="82">
        <f>($Q2162-$H2162)*100</f>
        <v/>
      </c>
      <c r="BE2162" s="82">
        <f>($S2162-$J2162)*100</f>
        <v/>
      </c>
      <c r="BF2162" s="82">
        <f>($V2162-$L2162)*100</f>
        <v/>
      </c>
      <c r="BG2162" s="82">
        <f>$AG2162-$AF2162</f>
        <v/>
      </c>
      <c r="BH2162" s="81">
        <f>IFERROR($AG2162/$AF2162,"")</f>
        <v/>
      </c>
      <c r="BI2162" s="82">
        <f>$AJ2162-$AF2162</f>
        <v/>
      </c>
      <c r="BJ2162" s="81">
        <f>IFERROR($AJ2162/$AG2162,"")</f>
        <v/>
      </c>
      <c r="BK2162" s="81">
        <f>$X2162</f>
        <v/>
      </c>
      <c r="BL2162" s="82">
        <f>($J2162-$J2163)*100</f>
        <v/>
      </c>
      <c r="BM2162" s="82">
        <f>($F2162-$F2163)*100</f>
        <v/>
      </c>
      <c r="BN2162" s="82">
        <f>$AF2162-$AF2163</f>
        <v/>
      </c>
      <c r="BO2162" s="82">
        <f>$AG2162-$AG2163</f>
        <v/>
      </c>
      <c r="BP2162" s="82">
        <f>$AJ2162-$AJ2163</f>
        <v/>
      </c>
    </row>
    <row r="2163">
      <c r="AR2163" s="81">
        <f>($G2163+($H2163-$G2163)*0.5)+($P2163-($O2163+($Q2163-$O2163)*0.5))</f>
        <v/>
      </c>
      <c r="AS2163" s="81">
        <f>($J2163+($K2163-$J2163)*0.5)+($T2163-($S2163+($U2163-$S2163)*0.5))</f>
        <v/>
      </c>
      <c r="AT2163" s="82">
        <f>($J2163-$C2163)*100</f>
        <v/>
      </c>
      <c r="AU2163" s="82">
        <f>($H2163-$F2163)*100</f>
        <v/>
      </c>
      <c r="AV2163" s="82">
        <f>($J2163-$F2163)*100</f>
        <v/>
      </c>
      <c r="AW2163" s="82">
        <f>($L2163-$F2163)*100</f>
        <v/>
      </c>
      <c r="AX2163" s="82">
        <f>($J2163-$H2163)*100</f>
        <v/>
      </c>
      <c r="AY2163" s="82">
        <f>($L2163-$H2163)*100</f>
        <v/>
      </c>
      <c r="AZ2163" s="82">
        <f>($L2163-$J2163)*100</f>
        <v/>
      </c>
      <c r="BA2163" s="82">
        <f>(2*$H2163-$F2163-$J2163)*100</f>
        <v/>
      </c>
      <c r="BB2163" s="82">
        <f>(2*$J2163-$H2163-$L2163)*100</f>
        <v/>
      </c>
      <c r="BC2163" s="82">
        <f>($N2163-$F2163)*100</f>
        <v/>
      </c>
      <c r="BD2163" s="82">
        <f>($Q2163-$H2163)*100</f>
        <v/>
      </c>
      <c r="BE2163" s="82">
        <f>($S2163-$J2163)*100</f>
        <v/>
      </c>
      <c r="BF2163" s="82">
        <f>($V2163-$L2163)*100</f>
        <v/>
      </c>
      <c r="BG2163" s="82">
        <f>$AG2163-$AF2163</f>
        <v/>
      </c>
      <c r="BH2163" s="81">
        <f>IFERROR($AG2163/$AF2163,"")</f>
        <v/>
      </c>
      <c r="BI2163" s="82">
        <f>$AJ2163-$AF2163</f>
        <v/>
      </c>
      <c r="BJ2163" s="81">
        <f>IFERROR($AJ2163/$AG2163,"")</f>
        <v/>
      </c>
      <c r="BK2163" s="81">
        <f>$X2163</f>
        <v/>
      </c>
      <c r="BL2163" s="82">
        <f>($J2163-$J2164)*100</f>
        <v/>
      </c>
      <c r="BM2163" s="82">
        <f>($F2163-$F2164)*100</f>
        <v/>
      </c>
      <c r="BN2163" s="82">
        <f>$AF2163-$AF2164</f>
        <v/>
      </c>
      <c r="BO2163" s="82">
        <f>$AG2163-$AG2164</f>
        <v/>
      </c>
      <c r="BP2163" s="82">
        <f>$AJ2163-$AJ2164</f>
        <v/>
      </c>
    </row>
    <row r="2164">
      <c r="AR2164" s="81">
        <f>($G2164+($H2164-$G2164)*0.5)+($P2164-($O2164+($Q2164-$O2164)*0.5))</f>
        <v/>
      </c>
      <c r="AS2164" s="81">
        <f>($J2164+($K2164-$J2164)*0.5)+($T2164-($S2164+($U2164-$S2164)*0.5))</f>
        <v/>
      </c>
      <c r="AT2164" s="82">
        <f>($J2164-$C2164)*100</f>
        <v/>
      </c>
      <c r="AU2164" s="82">
        <f>($H2164-$F2164)*100</f>
        <v/>
      </c>
      <c r="AV2164" s="82">
        <f>($J2164-$F2164)*100</f>
        <v/>
      </c>
      <c r="AW2164" s="82">
        <f>($L2164-$F2164)*100</f>
        <v/>
      </c>
      <c r="AX2164" s="82">
        <f>($J2164-$H2164)*100</f>
        <v/>
      </c>
      <c r="AY2164" s="82">
        <f>($L2164-$H2164)*100</f>
        <v/>
      </c>
      <c r="AZ2164" s="82">
        <f>($L2164-$J2164)*100</f>
        <v/>
      </c>
      <c r="BA2164" s="82">
        <f>(2*$H2164-$F2164-$J2164)*100</f>
        <v/>
      </c>
      <c r="BB2164" s="82">
        <f>(2*$J2164-$H2164-$L2164)*100</f>
        <v/>
      </c>
      <c r="BC2164" s="82">
        <f>($N2164-$F2164)*100</f>
        <v/>
      </c>
      <c r="BD2164" s="82">
        <f>($Q2164-$H2164)*100</f>
        <v/>
      </c>
      <c r="BE2164" s="82">
        <f>($S2164-$J2164)*100</f>
        <v/>
      </c>
      <c r="BF2164" s="82">
        <f>($V2164-$L2164)*100</f>
        <v/>
      </c>
      <c r="BG2164" s="82">
        <f>$AG2164-$AF2164</f>
        <v/>
      </c>
      <c r="BH2164" s="81">
        <f>IFERROR($AG2164/$AF2164,"")</f>
        <v/>
      </c>
      <c r="BI2164" s="82">
        <f>$AJ2164-$AF2164</f>
        <v/>
      </c>
      <c r="BJ2164" s="81">
        <f>IFERROR($AJ2164/$AG2164,"")</f>
        <v/>
      </c>
      <c r="BK2164" s="81">
        <f>$X2164</f>
        <v/>
      </c>
      <c r="BL2164" s="82">
        <f>($J2164-$J2165)*100</f>
        <v/>
      </c>
      <c r="BM2164" s="82">
        <f>($F2164-$F2165)*100</f>
        <v/>
      </c>
      <c r="BN2164" s="82">
        <f>$AF2164-$AF2165</f>
        <v/>
      </c>
      <c r="BO2164" s="82">
        <f>$AG2164-$AG2165</f>
        <v/>
      </c>
      <c r="BP2164" s="82">
        <f>$AJ2164-$AJ2165</f>
        <v/>
      </c>
    </row>
    <row r="2165">
      <c r="AR2165" s="81">
        <f>($G2165+($H2165-$G2165)*0.5)+($P2165-($O2165+($Q2165-$O2165)*0.5))</f>
        <v/>
      </c>
      <c r="AS2165" s="81">
        <f>($J2165+($K2165-$J2165)*0.5)+($T2165-($S2165+($U2165-$S2165)*0.5))</f>
        <v/>
      </c>
      <c r="AT2165" s="82">
        <f>($J2165-$C2165)*100</f>
        <v/>
      </c>
      <c r="AU2165" s="82">
        <f>($H2165-$F2165)*100</f>
        <v/>
      </c>
      <c r="AV2165" s="82">
        <f>($J2165-$F2165)*100</f>
        <v/>
      </c>
      <c r="AW2165" s="82">
        <f>($L2165-$F2165)*100</f>
        <v/>
      </c>
      <c r="AX2165" s="82">
        <f>($J2165-$H2165)*100</f>
        <v/>
      </c>
      <c r="AY2165" s="82">
        <f>($L2165-$H2165)*100</f>
        <v/>
      </c>
      <c r="AZ2165" s="82">
        <f>($L2165-$J2165)*100</f>
        <v/>
      </c>
      <c r="BA2165" s="82">
        <f>(2*$H2165-$F2165-$J2165)*100</f>
        <v/>
      </c>
      <c r="BB2165" s="82">
        <f>(2*$J2165-$H2165-$L2165)*100</f>
        <v/>
      </c>
      <c r="BC2165" s="82">
        <f>($N2165-$F2165)*100</f>
        <v/>
      </c>
      <c r="BD2165" s="82">
        <f>($Q2165-$H2165)*100</f>
        <v/>
      </c>
      <c r="BE2165" s="82">
        <f>($S2165-$J2165)*100</f>
        <v/>
      </c>
      <c r="BF2165" s="82">
        <f>($V2165-$L2165)*100</f>
        <v/>
      </c>
      <c r="BG2165" s="82">
        <f>$AG2165-$AF2165</f>
        <v/>
      </c>
      <c r="BH2165" s="81">
        <f>IFERROR($AG2165/$AF2165,"")</f>
        <v/>
      </c>
      <c r="BI2165" s="82">
        <f>$AJ2165-$AF2165</f>
        <v/>
      </c>
      <c r="BJ2165" s="81">
        <f>IFERROR($AJ2165/$AG2165,"")</f>
        <v/>
      </c>
      <c r="BK2165" s="81">
        <f>$X2165</f>
        <v/>
      </c>
      <c r="BL2165" s="82">
        <f>($J2165-$J2166)*100</f>
        <v/>
      </c>
      <c r="BM2165" s="82">
        <f>($F2165-$F2166)*100</f>
        <v/>
      </c>
      <c r="BN2165" s="82">
        <f>$AF2165-$AF2166</f>
        <v/>
      </c>
      <c r="BO2165" s="82">
        <f>$AG2165-$AG2166</f>
        <v/>
      </c>
      <c r="BP2165" s="82">
        <f>$AJ2165-$AJ2166</f>
        <v/>
      </c>
    </row>
    <row r="2166">
      <c r="AR2166" s="81">
        <f>($G2166+($H2166-$G2166)*0.5)+($P2166-($O2166+($Q2166-$O2166)*0.5))</f>
        <v/>
      </c>
      <c r="AS2166" s="81">
        <f>($J2166+($K2166-$J2166)*0.5)+($T2166-($S2166+($U2166-$S2166)*0.5))</f>
        <v/>
      </c>
      <c r="AT2166" s="82">
        <f>($J2166-$C2166)*100</f>
        <v/>
      </c>
      <c r="AU2166" s="82">
        <f>($H2166-$F2166)*100</f>
        <v/>
      </c>
      <c r="AV2166" s="82">
        <f>($J2166-$F2166)*100</f>
        <v/>
      </c>
      <c r="AW2166" s="82">
        <f>($L2166-$F2166)*100</f>
        <v/>
      </c>
      <c r="AX2166" s="82">
        <f>($J2166-$H2166)*100</f>
        <v/>
      </c>
      <c r="AY2166" s="82">
        <f>($L2166-$H2166)*100</f>
        <v/>
      </c>
      <c r="AZ2166" s="82">
        <f>($L2166-$J2166)*100</f>
        <v/>
      </c>
      <c r="BA2166" s="82">
        <f>(2*$H2166-$F2166-$J2166)*100</f>
        <v/>
      </c>
      <c r="BB2166" s="82">
        <f>(2*$J2166-$H2166-$L2166)*100</f>
        <v/>
      </c>
      <c r="BC2166" s="82">
        <f>($N2166-$F2166)*100</f>
        <v/>
      </c>
      <c r="BD2166" s="82">
        <f>($Q2166-$H2166)*100</f>
        <v/>
      </c>
      <c r="BE2166" s="82">
        <f>($S2166-$J2166)*100</f>
        <v/>
      </c>
      <c r="BF2166" s="82">
        <f>($V2166-$L2166)*100</f>
        <v/>
      </c>
      <c r="BG2166" s="82">
        <f>$AG2166-$AF2166</f>
        <v/>
      </c>
      <c r="BH2166" s="81">
        <f>IFERROR($AG2166/$AF2166,"")</f>
        <v/>
      </c>
      <c r="BI2166" s="82">
        <f>$AJ2166-$AF2166</f>
        <v/>
      </c>
      <c r="BJ2166" s="81">
        <f>IFERROR($AJ2166/$AG2166,"")</f>
        <v/>
      </c>
      <c r="BK2166" s="81">
        <f>$X2166</f>
        <v/>
      </c>
      <c r="BL2166" s="82">
        <f>($J2166-$J2167)*100</f>
        <v/>
      </c>
      <c r="BM2166" s="82">
        <f>($F2166-$F2167)*100</f>
        <v/>
      </c>
      <c r="BN2166" s="82">
        <f>$AF2166-$AF2167</f>
        <v/>
      </c>
      <c r="BO2166" s="82">
        <f>$AG2166-$AG2167</f>
        <v/>
      </c>
      <c r="BP2166" s="82">
        <f>$AJ2166-$AJ2167</f>
        <v/>
      </c>
    </row>
    <row r="2167">
      <c r="AR2167" s="81">
        <f>($G2167+($H2167-$G2167)*0.5)+($P2167-($O2167+($Q2167-$O2167)*0.5))</f>
        <v/>
      </c>
      <c r="AS2167" s="81">
        <f>($J2167+($K2167-$J2167)*0.5)+($T2167-($S2167+($U2167-$S2167)*0.5))</f>
        <v/>
      </c>
      <c r="AT2167" s="82">
        <f>($J2167-$C2167)*100</f>
        <v/>
      </c>
      <c r="AU2167" s="82">
        <f>($H2167-$F2167)*100</f>
        <v/>
      </c>
      <c r="AV2167" s="82">
        <f>($J2167-$F2167)*100</f>
        <v/>
      </c>
      <c r="AW2167" s="82">
        <f>($L2167-$F2167)*100</f>
        <v/>
      </c>
      <c r="AX2167" s="82">
        <f>($J2167-$H2167)*100</f>
        <v/>
      </c>
      <c r="AY2167" s="82">
        <f>($L2167-$H2167)*100</f>
        <v/>
      </c>
      <c r="AZ2167" s="82">
        <f>($L2167-$J2167)*100</f>
        <v/>
      </c>
      <c r="BA2167" s="82">
        <f>(2*$H2167-$F2167-$J2167)*100</f>
        <v/>
      </c>
      <c r="BB2167" s="82">
        <f>(2*$J2167-$H2167-$L2167)*100</f>
        <v/>
      </c>
      <c r="BC2167" s="82">
        <f>($N2167-$F2167)*100</f>
        <v/>
      </c>
      <c r="BD2167" s="82">
        <f>($Q2167-$H2167)*100</f>
        <v/>
      </c>
      <c r="BE2167" s="82">
        <f>($S2167-$J2167)*100</f>
        <v/>
      </c>
      <c r="BF2167" s="82">
        <f>($V2167-$L2167)*100</f>
        <v/>
      </c>
      <c r="BG2167" s="82">
        <f>$AG2167-$AF2167</f>
        <v/>
      </c>
      <c r="BH2167" s="81">
        <f>IFERROR($AG2167/$AF2167,"")</f>
        <v/>
      </c>
      <c r="BI2167" s="82">
        <f>$AJ2167-$AF2167</f>
        <v/>
      </c>
      <c r="BJ2167" s="81">
        <f>IFERROR($AJ2167/$AG2167,"")</f>
        <v/>
      </c>
      <c r="BK2167" s="81">
        <f>$X2167</f>
        <v/>
      </c>
      <c r="BL2167" s="82">
        <f>($J2167-$J2168)*100</f>
        <v/>
      </c>
      <c r="BM2167" s="82">
        <f>($F2167-$F2168)*100</f>
        <v/>
      </c>
      <c r="BN2167" s="82">
        <f>$AF2167-$AF2168</f>
        <v/>
      </c>
      <c r="BO2167" s="82">
        <f>$AG2167-$AG2168</f>
        <v/>
      </c>
      <c r="BP2167" s="82">
        <f>$AJ2167-$AJ2168</f>
        <v/>
      </c>
    </row>
    <row r="2168">
      <c r="AR2168" s="81">
        <f>($G2168+($H2168-$G2168)*0.5)+($P2168-($O2168+($Q2168-$O2168)*0.5))</f>
        <v/>
      </c>
      <c r="AS2168" s="81">
        <f>($J2168+($K2168-$J2168)*0.5)+($T2168-($S2168+($U2168-$S2168)*0.5))</f>
        <v/>
      </c>
      <c r="AT2168" s="82">
        <f>($J2168-$C2168)*100</f>
        <v/>
      </c>
      <c r="AU2168" s="82">
        <f>($H2168-$F2168)*100</f>
        <v/>
      </c>
      <c r="AV2168" s="82">
        <f>($J2168-$F2168)*100</f>
        <v/>
      </c>
      <c r="AW2168" s="82">
        <f>($L2168-$F2168)*100</f>
        <v/>
      </c>
      <c r="AX2168" s="82">
        <f>($J2168-$H2168)*100</f>
        <v/>
      </c>
      <c r="AY2168" s="82">
        <f>($L2168-$H2168)*100</f>
        <v/>
      </c>
      <c r="AZ2168" s="82">
        <f>($L2168-$J2168)*100</f>
        <v/>
      </c>
      <c r="BA2168" s="82">
        <f>(2*$H2168-$F2168-$J2168)*100</f>
        <v/>
      </c>
      <c r="BB2168" s="82">
        <f>(2*$J2168-$H2168-$L2168)*100</f>
        <v/>
      </c>
      <c r="BC2168" s="82">
        <f>($N2168-$F2168)*100</f>
        <v/>
      </c>
      <c r="BD2168" s="82">
        <f>($Q2168-$H2168)*100</f>
        <v/>
      </c>
      <c r="BE2168" s="82">
        <f>($S2168-$J2168)*100</f>
        <v/>
      </c>
      <c r="BF2168" s="82">
        <f>($V2168-$L2168)*100</f>
        <v/>
      </c>
      <c r="BG2168" s="82">
        <f>$AG2168-$AF2168</f>
        <v/>
      </c>
      <c r="BH2168" s="81">
        <f>IFERROR($AG2168/$AF2168,"")</f>
        <v/>
      </c>
      <c r="BI2168" s="82">
        <f>$AJ2168-$AF2168</f>
        <v/>
      </c>
      <c r="BJ2168" s="81">
        <f>IFERROR($AJ2168/$AG2168,"")</f>
        <v/>
      </c>
      <c r="BK2168" s="81">
        <f>$X2168</f>
        <v/>
      </c>
      <c r="BL2168" s="82">
        <f>($J2168-$J2169)*100</f>
        <v/>
      </c>
      <c r="BM2168" s="82">
        <f>($F2168-$F2169)*100</f>
        <v/>
      </c>
      <c r="BN2168" s="82">
        <f>$AF2168-$AF2169</f>
        <v/>
      </c>
      <c r="BO2168" s="82">
        <f>$AG2168-$AG2169</f>
        <v/>
      </c>
      <c r="BP2168" s="82">
        <f>$AJ2168-$AJ2169</f>
        <v/>
      </c>
    </row>
    <row r="2169">
      <c r="AR2169" s="81">
        <f>($G2169+($H2169-$G2169)*0.5)+($P2169-($O2169+($Q2169-$O2169)*0.5))</f>
        <v/>
      </c>
      <c r="AS2169" s="81">
        <f>($J2169+($K2169-$J2169)*0.5)+($T2169-($S2169+($U2169-$S2169)*0.5))</f>
        <v/>
      </c>
      <c r="AT2169" s="82">
        <f>($J2169-$C2169)*100</f>
        <v/>
      </c>
      <c r="AU2169" s="82">
        <f>($H2169-$F2169)*100</f>
        <v/>
      </c>
      <c r="AV2169" s="82">
        <f>($J2169-$F2169)*100</f>
        <v/>
      </c>
      <c r="AW2169" s="82">
        <f>($L2169-$F2169)*100</f>
        <v/>
      </c>
      <c r="AX2169" s="82">
        <f>($J2169-$H2169)*100</f>
        <v/>
      </c>
      <c r="AY2169" s="82">
        <f>($L2169-$H2169)*100</f>
        <v/>
      </c>
      <c r="AZ2169" s="82">
        <f>($L2169-$J2169)*100</f>
        <v/>
      </c>
      <c r="BA2169" s="82">
        <f>(2*$H2169-$F2169-$J2169)*100</f>
        <v/>
      </c>
      <c r="BB2169" s="82">
        <f>(2*$J2169-$H2169-$L2169)*100</f>
        <v/>
      </c>
      <c r="BC2169" s="82">
        <f>($N2169-$F2169)*100</f>
        <v/>
      </c>
      <c r="BD2169" s="82">
        <f>($Q2169-$H2169)*100</f>
        <v/>
      </c>
      <c r="BE2169" s="82">
        <f>($S2169-$J2169)*100</f>
        <v/>
      </c>
      <c r="BF2169" s="82">
        <f>($V2169-$L2169)*100</f>
        <v/>
      </c>
      <c r="BG2169" s="82">
        <f>$AG2169-$AF2169</f>
        <v/>
      </c>
      <c r="BH2169" s="81">
        <f>IFERROR($AG2169/$AF2169,"")</f>
        <v/>
      </c>
      <c r="BI2169" s="82">
        <f>$AJ2169-$AF2169</f>
        <v/>
      </c>
      <c r="BJ2169" s="81">
        <f>IFERROR($AJ2169/$AG2169,"")</f>
        <v/>
      </c>
      <c r="BK2169" s="81">
        <f>$X2169</f>
        <v/>
      </c>
      <c r="BL2169" s="82">
        <f>($J2169-$J2170)*100</f>
        <v/>
      </c>
      <c r="BM2169" s="82">
        <f>($F2169-$F2170)*100</f>
        <v/>
      </c>
      <c r="BN2169" s="82">
        <f>$AF2169-$AF2170</f>
        <v/>
      </c>
      <c r="BO2169" s="82">
        <f>$AG2169-$AG2170</f>
        <v/>
      </c>
      <c r="BP2169" s="82">
        <f>$AJ2169-$AJ2170</f>
        <v/>
      </c>
    </row>
    <row r="2170">
      <c r="AR2170" s="81">
        <f>($G2170+($H2170-$G2170)*0.5)+($P2170-($O2170+($Q2170-$O2170)*0.5))</f>
        <v/>
      </c>
      <c r="AS2170" s="81">
        <f>($J2170+($K2170-$J2170)*0.5)+($T2170-($S2170+($U2170-$S2170)*0.5))</f>
        <v/>
      </c>
      <c r="AT2170" s="82">
        <f>($J2170-$C2170)*100</f>
        <v/>
      </c>
      <c r="AU2170" s="82">
        <f>($H2170-$F2170)*100</f>
        <v/>
      </c>
      <c r="AV2170" s="82">
        <f>($J2170-$F2170)*100</f>
        <v/>
      </c>
      <c r="AW2170" s="82">
        <f>($L2170-$F2170)*100</f>
        <v/>
      </c>
      <c r="AX2170" s="82">
        <f>($J2170-$H2170)*100</f>
        <v/>
      </c>
      <c r="AY2170" s="82">
        <f>($L2170-$H2170)*100</f>
        <v/>
      </c>
      <c r="AZ2170" s="82">
        <f>($L2170-$J2170)*100</f>
        <v/>
      </c>
      <c r="BA2170" s="82">
        <f>(2*$H2170-$F2170-$J2170)*100</f>
        <v/>
      </c>
      <c r="BB2170" s="82">
        <f>(2*$J2170-$H2170-$L2170)*100</f>
        <v/>
      </c>
      <c r="BC2170" s="82">
        <f>($N2170-$F2170)*100</f>
        <v/>
      </c>
      <c r="BD2170" s="82">
        <f>($Q2170-$H2170)*100</f>
        <v/>
      </c>
      <c r="BE2170" s="82">
        <f>($S2170-$J2170)*100</f>
        <v/>
      </c>
      <c r="BF2170" s="82">
        <f>($V2170-$L2170)*100</f>
        <v/>
      </c>
      <c r="BG2170" s="82">
        <f>$AG2170-$AF2170</f>
        <v/>
      </c>
      <c r="BH2170" s="81">
        <f>IFERROR($AG2170/$AF2170,"")</f>
        <v/>
      </c>
      <c r="BI2170" s="82">
        <f>$AJ2170-$AF2170</f>
        <v/>
      </c>
      <c r="BJ2170" s="81">
        <f>IFERROR($AJ2170/$AG2170,"")</f>
        <v/>
      </c>
      <c r="BK2170" s="81">
        <f>$X2170</f>
        <v/>
      </c>
      <c r="BL2170" s="82">
        <f>($J2170-$J2171)*100</f>
        <v/>
      </c>
      <c r="BM2170" s="82">
        <f>($F2170-$F2171)*100</f>
        <v/>
      </c>
      <c r="BN2170" s="82">
        <f>$AF2170-$AF2171</f>
        <v/>
      </c>
      <c r="BO2170" s="82">
        <f>$AG2170-$AG2171</f>
        <v/>
      </c>
      <c r="BP2170" s="82">
        <f>$AJ2170-$AJ2171</f>
        <v/>
      </c>
    </row>
    <row r="2171">
      <c r="AR2171" s="81">
        <f>($G2171+($H2171-$G2171)*0.5)+($P2171-($O2171+($Q2171-$O2171)*0.5))</f>
        <v/>
      </c>
      <c r="AS2171" s="81">
        <f>($J2171+($K2171-$J2171)*0.5)+($T2171-($S2171+($U2171-$S2171)*0.5))</f>
        <v/>
      </c>
      <c r="AT2171" s="82">
        <f>($J2171-$C2171)*100</f>
        <v/>
      </c>
      <c r="AU2171" s="82">
        <f>($H2171-$F2171)*100</f>
        <v/>
      </c>
      <c r="AV2171" s="82">
        <f>($J2171-$F2171)*100</f>
        <v/>
      </c>
      <c r="AW2171" s="82">
        <f>($L2171-$F2171)*100</f>
        <v/>
      </c>
      <c r="AX2171" s="82">
        <f>($J2171-$H2171)*100</f>
        <v/>
      </c>
      <c r="AY2171" s="82">
        <f>($L2171-$H2171)*100</f>
        <v/>
      </c>
      <c r="AZ2171" s="82">
        <f>($L2171-$J2171)*100</f>
        <v/>
      </c>
      <c r="BA2171" s="82">
        <f>(2*$H2171-$F2171-$J2171)*100</f>
        <v/>
      </c>
      <c r="BB2171" s="82">
        <f>(2*$J2171-$H2171-$L2171)*100</f>
        <v/>
      </c>
      <c r="BC2171" s="82">
        <f>($N2171-$F2171)*100</f>
        <v/>
      </c>
      <c r="BD2171" s="82">
        <f>($Q2171-$H2171)*100</f>
        <v/>
      </c>
      <c r="BE2171" s="82">
        <f>($S2171-$J2171)*100</f>
        <v/>
      </c>
      <c r="BF2171" s="82">
        <f>($V2171-$L2171)*100</f>
        <v/>
      </c>
      <c r="BG2171" s="82">
        <f>$AG2171-$AF2171</f>
        <v/>
      </c>
      <c r="BH2171" s="81">
        <f>IFERROR($AG2171/$AF2171,"")</f>
        <v/>
      </c>
      <c r="BI2171" s="82">
        <f>$AJ2171-$AF2171</f>
        <v/>
      </c>
      <c r="BJ2171" s="81">
        <f>IFERROR($AJ2171/$AG2171,"")</f>
        <v/>
      </c>
      <c r="BK2171" s="81">
        <f>$X2171</f>
        <v/>
      </c>
      <c r="BL2171" s="82">
        <f>($J2171-$J2172)*100</f>
        <v/>
      </c>
      <c r="BM2171" s="82">
        <f>($F2171-$F2172)*100</f>
        <v/>
      </c>
      <c r="BN2171" s="82">
        <f>$AF2171-$AF2172</f>
        <v/>
      </c>
      <c r="BO2171" s="82">
        <f>$AG2171-$AG2172</f>
        <v/>
      </c>
      <c r="BP2171" s="82">
        <f>$AJ2171-$AJ2172</f>
        <v/>
      </c>
    </row>
    <row r="2172">
      <c r="AR2172" s="81">
        <f>($G2172+($H2172-$G2172)*0.5)+($P2172-($O2172+($Q2172-$O2172)*0.5))</f>
        <v/>
      </c>
      <c r="AS2172" s="81">
        <f>($J2172+($K2172-$J2172)*0.5)+($T2172-($S2172+($U2172-$S2172)*0.5))</f>
        <v/>
      </c>
      <c r="AT2172" s="82">
        <f>($J2172-$C2172)*100</f>
        <v/>
      </c>
      <c r="AU2172" s="82">
        <f>($H2172-$F2172)*100</f>
        <v/>
      </c>
      <c r="AV2172" s="82">
        <f>($J2172-$F2172)*100</f>
        <v/>
      </c>
      <c r="AW2172" s="82">
        <f>($L2172-$F2172)*100</f>
        <v/>
      </c>
      <c r="AX2172" s="82">
        <f>($J2172-$H2172)*100</f>
        <v/>
      </c>
      <c r="AY2172" s="82">
        <f>($L2172-$H2172)*100</f>
        <v/>
      </c>
      <c r="AZ2172" s="82">
        <f>($L2172-$J2172)*100</f>
        <v/>
      </c>
      <c r="BA2172" s="82">
        <f>(2*$H2172-$F2172-$J2172)*100</f>
        <v/>
      </c>
      <c r="BB2172" s="82">
        <f>(2*$J2172-$H2172-$L2172)*100</f>
        <v/>
      </c>
      <c r="BC2172" s="82">
        <f>($N2172-$F2172)*100</f>
        <v/>
      </c>
      <c r="BD2172" s="82">
        <f>($Q2172-$H2172)*100</f>
        <v/>
      </c>
      <c r="BE2172" s="82">
        <f>($S2172-$J2172)*100</f>
        <v/>
      </c>
      <c r="BF2172" s="82">
        <f>($V2172-$L2172)*100</f>
        <v/>
      </c>
      <c r="BG2172" s="82">
        <f>$AG2172-$AF2172</f>
        <v/>
      </c>
      <c r="BH2172" s="81">
        <f>IFERROR($AG2172/$AF2172,"")</f>
        <v/>
      </c>
      <c r="BI2172" s="82">
        <f>$AJ2172-$AF2172</f>
        <v/>
      </c>
      <c r="BJ2172" s="81">
        <f>IFERROR($AJ2172/$AG2172,"")</f>
        <v/>
      </c>
      <c r="BK2172" s="81">
        <f>$X2172</f>
        <v/>
      </c>
      <c r="BL2172" s="82">
        <f>($J2172-$J2173)*100</f>
        <v/>
      </c>
      <c r="BM2172" s="82">
        <f>($F2172-$F2173)*100</f>
        <v/>
      </c>
      <c r="BN2172" s="82">
        <f>$AF2172-$AF2173</f>
        <v/>
      </c>
      <c r="BO2172" s="82">
        <f>$AG2172-$AG2173</f>
        <v/>
      </c>
      <c r="BP2172" s="82">
        <f>$AJ2172-$AJ2173</f>
        <v/>
      </c>
    </row>
    <row r="2173">
      <c r="AR2173" s="81">
        <f>($G2173+($H2173-$G2173)*0.5)+($P2173-($O2173+($Q2173-$O2173)*0.5))</f>
        <v/>
      </c>
      <c r="AS2173" s="81">
        <f>($J2173+($K2173-$J2173)*0.5)+($T2173-($S2173+($U2173-$S2173)*0.5))</f>
        <v/>
      </c>
      <c r="AT2173" s="82">
        <f>($J2173-$C2173)*100</f>
        <v/>
      </c>
      <c r="AU2173" s="82">
        <f>($H2173-$F2173)*100</f>
        <v/>
      </c>
      <c r="AV2173" s="82">
        <f>($J2173-$F2173)*100</f>
        <v/>
      </c>
      <c r="AW2173" s="82">
        <f>($L2173-$F2173)*100</f>
        <v/>
      </c>
      <c r="AX2173" s="82">
        <f>($J2173-$H2173)*100</f>
        <v/>
      </c>
      <c r="AY2173" s="82">
        <f>($L2173-$H2173)*100</f>
        <v/>
      </c>
      <c r="AZ2173" s="82">
        <f>($L2173-$J2173)*100</f>
        <v/>
      </c>
      <c r="BA2173" s="82">
        <f>(2*$H2173-$F2173-$J2173)*100</f>
        <v/>
      </c>
      <c r="BB2173" s="82">
        <f>(2*$J2173-$H2173-$L2173)*100</f>
        <v/>
      </c>
      <c r="BC2173" s="82">
        <f>($N2173-$F2173)*100</f>
        <v/>
      </c>
      <c r="BD2173" s="82">
        <f>($Q2173-$H2173)*100</f>
        <v/>
      </c>
      <c r="BE2173" s="82">
        <f>($S2173-$J2173)*100</f>
        <v/>
      </c>
      <c r="BF2173" s="82">
        <f>($V2173-$L2173)*100</f>
        <v/>
      </c>
      <c r="BG2173" s="82">
        <f>$AG2173-$AF2173</f>
        <v/>
      </c>
      <c r="BH2173" s="81">
        <f>IFERROR($AG2173/$AF2173,"")</f>
        <v/>
      </c>
      <c r="BI2173" s="82">
        <f>$AJ2173-$AF2173</f>
        <v/>
      </c>
      <c r="BJ2173" s="81">
        <f>IFERROR($AJ2173/$AG2173,"")</f>
        <v/>
      </c>
      <c r="BK2173" s="81">
        <f>$X2173</f>
        <v/>
      </c>
      <c r="BL2173" s="82">
        <f>($J2173-$J2174)*100</f>
        <v/>
      </c>
      <c r="BM2173" s="82">
        <f>($F2173-$F2174)*100</f>
        <v/>
      </c>
      <c r="BN2173" s="82">
        <f>$AF2173-$AF2174</f>
        <v/>
      </c>
      <c r="BO2173" s="82">
        <f>$AG2173-$AG2174</f>
        <v/>
      </c>
      <c r="BP2173" s="82">
        <f>$AJ2173-$AJ2174</f>
        <v/>
      </c>
    </row>
    <row r="2174">
      <c r="AR2174" s="81">
        <f>($G2174+($H2174-$G2174)*0.5)+($P2174-($O2174+($Q2174-$O2174)*0.5))</f>
        <v/>
      </c>
      <c r="AS2174" s="81">
        <f>($J2174+($K2174-$J2174)*0.5)+($T2174-($S2174+($U2174-$S2174)*0.5))</f>
        <v/>
      </c>
      <c r="AT2174" s="82">
        <f>($J2174-$C2174)*100</f>
        <v/>
      </c>
      <c r="AU2174" s="82">
        <f>($H2174-$F2174)*100</f>
        <v/>
      </c>
      <c r="AV2174" s="82">
        <f>($J2174-$F2174)*100</f>
        <v/>
      </c>
      <c r="AW2174" s="82">
        <f>($L2174-$F2174)*100</f>
        <v/>
      </c>
      <c r="AX2174" s="82">
        <f>($J2174-$H2174)*100</f>
        <v/>
      </c>
      <c r="AY2174" s="82">
        <f>($L2174-$H2174)*100</f>
        <v/>
      </c>
      <c r="AZ2174" s="82">
        <f>($L2174-$J2174)*100</f>
        <v/>
      </c>
      <c r="BA2174" s="82">
        <f>(2*$H2174-$F2174-$J2174)*100</f>
        <v/>
      </c>
      <c r="BB2174" s="82">
        <f>(2*$J2174-$H2174-$L2174)*100</f>
        <v/>
      </c>
      <c r="BC2174" s="82">
        <f>($N2174-$F2174)*100</f>
        <v/>
      </c>
      <c r="BD2174" s="82">
        <f>($Q2174-$H2174)*100</f>
        <v/>
      </c>
      <c r="BE2174" s="82">
        <f>($S2174-$J2174)*100</f>
        <v/>
      </c>
      <c r="BF2174" s="82">
        <f>($V2174-$L2174)*100</f>
        <v/>
      </c>
      <c r="BG2174" s="82">
        <f>$AG2174-$AF2174</f>
        <v/>
      </c>
      <c r="BH2174" s="81">
        <f>IFERROR($AG2174/$AF2174,"")</f>
        <v/>
      </c>
      <c r="BI2174" s="82">
        <f>$AJ2174-$AF2174</f>
        <v/>
      </c>
      <c r="BJ2174" s="81">
        <f>IFERROR($AJ2174/$AG2174,"")</f>
        <v/>
      </c>
      <c r="BK2174" s="81">
        <f>$X2174</f>
        <v/>
      </c>
      <c r="BL2174" s="82">
        <f>($J2174-$J2175)*100</f>
        <v/>
      </c>
      <c r="BM2174" s="82">
        <f>($F2174-$F2175)*100</f>
        <v/>
      </c>
      <c r="BN2174" s="82">
        <f>$AF2174-$AF2175</f>
        <v/>
      </c>
      <c r="BO2174" s="82">
        <f>$AG2174-$AG2175</f>
        <v/>
      </c>
      <c r="BP2174" s="82">
        <f>$AJ2174-$AJ2175</f>
        <v/>
      </c>
    </row>
    <row r="2175">
      <c r="AR2175" s="81">
        <f>($G2175+($H2175-$G2175)*0.5)+($P2175-($O2175+($Q2175-$O2175)*0.5))</f>
        <v/>
      </c>
      <c r="AS2175" s="81">
        <f>($J2175+($K2175-$J2175)*0.5)+($T2175-($S2175+($U2175-$S2175)*0.5))</f>
        <v/>
      </c>
      <c r="AT2175" s="82">
        <f>($J2175-$C2175)*100</f>
        <v/>
      </c>
      <c r="AU2175" s="82">
        <f>($H2175-$F2175)*100</f>
        <v/>
      </c>
      <c r="AV2175" s="82">
        <f>($J2175-$F2175)*100</f>
        <v/>
      </c>
      <c r="AW2175" s="82">
        <f>($L2175-$F2175)*100</f>
        <v/>
      </c>
      <c r="AX2175" s="82">
        <f>($J2175-$H2175)*100</f>
        <v/>
      </c>
      <c r="AY2175" s="82">
        <f>($L2175-$H2175)*100</f>
        <v/>
      </c>
      <c r="AZ2175" s="82">
        <f>($L2175-$J2175)*100</f>
        <v/>
      </c>
      <c r="BA2175" s="82">
        <f>(2*$H2175-$F2175-$J2175)*100</f>
        <v/>
      </c>
      <c r="BB2175" s="82">
        <f>(2*$J2175-$H2175-$L2175)*100</f>
        <v/>
      </c>
      <c r="BC2175" s="82">
        <f>($N2175-$F2175)*100</f>
        <v/>
      </c>
      <c r="BD2175" s="82">
        <f>($Q2175-$H2175)*100</f>
        <v/>
      </c>
      <c r="BE2175" s="82">
        <f>($S2175-$J2175)*100</f>
        <v/>
      </c>
      <c r="BF2175" s="82">
        <f>($V2175-$L2175)*100</f>
        <v/>
      </c>
      <c r="BG2175" s="82">
        <f>$AG2175-$AF2175</f>
        <v/>
      </c>
      <c r="BH2175" s="81">
        <f>IFERROR($AG2175/$AF2175,"")</f>
        <v/>
      </c>
      <c r="BI2175" s="82">
        <f>$AJ2175-$AF2175</f>
        <v/>
      </c>
      <c r="BJ2175" s="81">
        <f>IFERROR($AJ2175/$AG2175,"")</f>
        <v/>
      </c>
      <c r="BK2175" s="81">
        <f>$X2175</f>
        <v/>
      </c>
      <c r="BL2175" s="82">
        <f>($J2175-$J2176)*100</f>
        <v/>
      </c>
      <c r="BM2175" s="82">
        <f>($F2175-$F2176)*100</f>
        <v/>
      </c>
      <c r="BN2175" s="82">
        <f>$AF2175-$AF2176</f>
        <v/>
      </c>
      <c r="BO2175" s="82">
        <f>$AG2175-$AG2176</f>
        <v/>
      </c>
      <c r="BP2175" s="82">
        <f>$AJ2175-$AJ2176</f>
        <v/>
      </c>
    </row>
    <row r="2176">
      <c r="AR2176" s="81">
        <f>($G2176+($H2176-$G2176)*0.5)+($P2176-($O2176+($Q2176-$O2176)*0.5))</f>
        <v/>
      </c>
      <c r="AS2176" s="81">
        <f>($J2176+($K2176-$J2176)*0.5)+($T2176-($S2176+($U2176-$S2176)*0.5))</f>
        <v/>
      </c>
      <c r="AT2176" s="82">
        <f>($J2176-$C2176)*100</f>
        <v/>
      </c>
      <c r="AU2176" s="82">
        <f>($H2176-$F2176)*100</f>
        <v/>
      </c>
      <c r="AV2176" s="82">
        <f>($J2176-$F2176)*100</f>
        <v/>
      </c>
      <c r="AW2176" s="82">
        <f>($L2176-$F2176)*100</f>
        <v/>
      </c>
      <c r="AX2176" s="82">
        <f>($J2176-$H2176)*100</f>
        <v/>
      </c>
      <c r="AY2176" s="82">
        <f>($L2176-$H2176)*100</f>
        <v/>
      </c>
      <c r="AZ2176" s="82">
        <f>($L2176-$J2176)*100</f>
        <v/>
      </c>
      <c r="BA2176" s="82">
        <f>(2*$H2176-$F2176-$J2176)*100</f>
        <v/>
      </c>
      <c r="BB2176" s="82">
        <f>(2*$J2176-$H2176-$L2176)*100</f>
        <v/>
      </c>
      <c r="BC2176" s="82">
        <f>($N2176-$F2176)*100</f>
        <v/>
      </c>
      <c r="BD2176" s="82">
        <f>($Q2176-$H2176)*100</f>
        <v/>
      </c>
      <c r="BE2176" s="82">
        <f>($S2176-$J2176)*100</f>
        <v/>
      </c>
      <c r="BF2176" s="82">
        <f>($V2176-$L2176)*100</f>
        <v/>
      </c>
      <c r="BG2176" s="82">
        <f>$AG2176-$AF2176</f>
        <v/>
      </c>
      <c r="BH2176" s="81">
        <f>IFERROR($AG2176/$AF2176,"")</f>
        <v/>
      </c>
      <c r="BI2176" s="82">
        <f>$AJ2176-$AF2176</f>
        <v/>
      </c>
      <c r="BJ2176" s="81">
        <f>IFERROR($AJ2176/$AG2176,"")</f>
        <v/>
      </c>
      <c r="BK2176" s="81">
        <f>$X2176</f>
        <v/>
      </c>
      <c r="BL2176" s="82">
        <f>($J2176-$J2177)*100</f>
        <v/>
      </c>
      <c r="BM2176" s="82">
        <f>($F2176-$F2177)*100</f>
        <v/>
      </c>
      <c r="BN2176" s="82">
        <f>$AF2176-$AF2177</f>
        <v/>
      </c>
      <c r="BO2176" s="82">
        <f>$AG2176-$AG2177</f>
        <v/>
      </c>
      <c r="BP2176" s="82">
        <f>$AJ2176-$AJ2177</f>
        <v/>
      </c>
    </row>
    <row r="2177">
      <c r="AR2177" s="81">
        <f>($G2177+($H2177-$G2177)*0.5)+($P2177-($O2177+($Q2177-$O2177)*0.5))</f>
        <v/>
      </c>
      <c r="AS2177" s="81">
        <f>($J2177+($K2177-$J2177)*0.5)+($T2177-($S2177+($U2177-$S2177)*0.5))</f>
        <v/>
      </c>
      <c r="AT2177" s="82">
        <f>($J2177-$C2177)*100</f>
        <v/>
      </c>
      <c r="AU2177" s="82">
        <f>($H2177-$F2177)*100</f>
        <v/>
      </c>
      <c r="AV2177" s="82">
        <f>($J2177-$F2177)*100</f>
        <v/>
      </c>
      <c r="AW2177" s="82">
        <f>($L2177-$F2177)*100</f>
        <v/>
      </c>
      <c r="AX2177" s="82">
        <f>($J2177-$H2177)*100</f>
        <v/>
      </c>
      <c r="AY2177" s="82">
        <f>($L2177-$H2177)*100</f>
        <v/>
      </c>
      <c r="AZ2177" s="82">
        <f>($L2177-$J2177)*100</f>
        <v/>
      </c>
      <c r="BA2177" s="82">
        <f>(2*$H2177-$F2177-$J2177)*100</f>
        <v/>
      </c>
      <c r="BB2177" s="82">
        <f>(2*$J2177-$H2177-$L2177)*100</f>
        <v/>
      </c>
      <c r="BC2177" s="82">
        <f>($N2177-$F2177)*100</f>
        <v/>
      </c>
      <c r="BD2177" s="82">
        <f>($Q2177-$H2177)*100</f>
        <v/>
      </c>
      <c r="BE2177" s="82">
        <f>($S2177-$J2177)*100</f>
        <v/>
      </c>
      <c r="BF2177" s="82">
        <f>($V2177-$L2177)*100</f>
        <v/>
      </c>
      <c r="BG2177" s="82">
        <f>$AG2177-$AF2177</f>
        <v/>
      </c>
      <c r="BH2177" s="81">
        <f>IFERROR($AG2177/$AF2177,"")</f>
        <v/>
      </c>
      <c r="BI2177" s="82">
        <f>$AJ2177-$AF2177</f>
        <v/>
      </c>
      <c r="BJ2177" s="81">
        <f>IFERROR($AJ2177/$AG2177,"")</f>
        <v/>
      </c>
      <c r="BK2177" s="81">
        <f>$X2177</f>
        <v/>
      </c>
      <c r="BL2177" s="82">
        <f>($J2177-$J2178)*100</f>
        <v/>
      </c>
      <c r="BM2177" s="82">
        <f>($F2177-$F2178)*100</f>
        <v/>
      </c>
      <c r="BN2177" s="82">
        <f>$AF2177-$AF2178</f>
        <v/>
      </c>
      <c r="BO2177" s="82">
        <f>$AG2177-$AG2178</f>
        <v/>
      </c>
      <c r="BP2177" s="82">
        <f>$AJ2177-$AJ2178</f>
        <v/>
      </c>
    </row>
    <row r="2178">
      <c r="AR2178" s="81">
        <f>($G2178+($H2178-$G2178)*0.5)+($P2178-($O2178+($Q2178-$O2178)*0.5))</f>
        <v/>
      </c>
      <c r="AS2178" s="81">
        <f>($J2178+($K2178-$J2178)*0.5)+($T2178-($S2178+($U2178-$S2178)*0.5))</f>
        <v/>
      </c>
      <c r="AT2178" s="82">
        <f>($J2178-$C2178)*100</f>
        <v/>
      </c>
      <c r="AU2178" s="82">
        <f>($H2178-$F2178)*100</f>
        <v/>
      </c>
      <c r="AV2178" s="82">
        <f>($J2178-$F2178)*100</f>
        <v/>
      </c>
      <c r="AW2178" s="82">
        <f>($L2178-$F2178)*100</f>
        <v/>
      </c>
      <c r="AX2178" s="82">
        <f>($J2178-$H2178)*100</f>
        <v/>
      </c>
      <c r="AY2178" s="82">
        <f>($L2178-$H2178)*100</f>
        <v/>
      </c>
      <c r="AZ2178" s="82">
        <f>($L2178-$J2178)*100</f>
        <v/>
      </c>
      <c r="BA2178" s="82">
        <f>(2*$H2178-$F2178-$J2178)*100</f>
        <v/>
      </c>
      <c r="BB2178" s="82">
        <f>(2*$J2178-$H2178-$L2178)*100</f>
        <v/>
      </c>
      <c r="BC2178" s="82">
        <f>($N2178-$F2178)*100</f>
        <v/>
      </c>
      <c r="BD2178" s="82">
        <f>($Q2178-$H2178)*100</f>
        <v/>
      </c>
      <c r="BE2178" s="82">
        <f>($S2178-$J2178)*100</f>
        <v/>
      </c>
      <c r="BF2178" s="82">
        <f>($V2178-$L2178)*100</f>
        <v/>
      </c>
      <c r="BG2178" s="82">
        <f>$AG2178-$AF2178</f>
        <v/>
      </c>
      <c r="BH2178" s="81">
        <f>IFERROR($AG2178/$AF2178,"")</f>
        <v/>
      </c>
      <c r="BI2178" s="82">
        <f>$AJ2178-$AF2178</f>
        <v/>
      </c>
      <c r="BJ2178" s="81">
        <f>IFERROR($AJ2178/$AG2178,"")</f>
        <v/>
      </c>
      <c r="BK2178" s="81">
        <f>$X2178</f>
        <v/>
      </c>
      <c r="BL2178" s="82">
        <f>($J2178-$J2179)*100</f>
        <v/>
      </c>
      <c r="BM2178" s="82">
        <f>($F2178-$F2179)*100</f>
        <v/>
      </c>
      <c r="BN2178" s="82">
        <f>$AF2178-$AF2179</f>
        <v/>
      </c>
      <c r="BO2178" s="82">
        <f>$AG2178-$AG2179</f>
        <v/>
      </c>
      <c r="BP2178" s="82">
        <f>$AJ2178-$AJ2179</f>
        <v/>
      </c>
    </row>
    <row r="2179">
      <c r="AR2179" s="81">
        <f>($G2179+($H2179-$G2179)*0.5)+($P2179-($O2179+($Q2179-$O2179)*0.5))</f>
        <v/>
      </c>
      <c r="AS2179" s="81">
        <f>($J2179+($K2179-$J2179)*0.5)+($T2179-($S2179+($U2179-$S2179)*0.5))</f>
        <v/>
      </c>
      <c r="AT2179" s="82">
        <f>($J2179-$C2179)*100</f>
        <v/>
      </c>
      <c r="AU2179" s="82">
        <f>($H2179-$F2179)*100</f>
        <v/>
      </c>
      <c r="AV2179" s="82">
        <f>($J2179-$F2179)*100</f>
        <v/>
      </c>
      <c r="AW2179" s="82">
        <f>($L2179-$F2179)*100</f>
        <v/>
      </c>
      <c r="AX2179" s="82">
        <f>($J2179-$H2179)*100</f>
        <v/>
      </c>
      <c r="AY2179" s="82">
        <f>($L2179-$H2179)*100</f>
        <v/>
      </c>
      <c r="AZ2179" s="82">
        <f>($L2179-$J2179)*100</f>
        <v/>
      </c>
      <c r="BA2179" s="82">
        <f>(2*$H2179-$F2179-$J2179)*100</f>
        <v/>
      </c>
      <c r="BB2179" s="82">
        <f>(2*$J2179-$H2179-$L2179)*100</f>
        <v/>
      </c>
      <c r="BC2179" s="82">
        <f>($N2179-$F2179)*100</f>
        <v/>
      </c>
      <c r="BD2179" s="82">
        <f>($Q2179-$H2179)*100</f>
        <v/>
      </c>
      <c r="BE2179" s="82">
        <f>($S2179-$J2179)*100</f>
        <v/>
      </c>
      <c r="BF2179" s="82">
        <f>($V2179-$L2179)*100</f>
        <v/>
      </c>
      <c r="BG2179" s="82">
        <f>$AG2179-$AF2179</f>
        <v/>
      </c>
      <c r="BH2179" s="81">
        <f>IFERROR($AG2179/$AF2179,"")</f>
        <v/>
      </c>
      <c r="BI2179" s="82">
        <f>$AJ2179-$AF2179</f>
        <v/>
      </c>
      <c r="BJ2179" s="81">
        <f>IFERROR($AJ2179/$AG2179,"")</f>
        <v/>
      </c>
      <c r="BK2179" s="81">
        <f>$X2179</f>
        <v/>
      </c>
      <c r="BL2179" s="82">
        <f>($J2179-$J2180)*100</f>
        <v/>
      </c>
      <c r="BM2179" s="82">
        <f>($F2179-$F2180)*100</f>
        <v/>
      </c>
      <c r="BN2179" s="82">
        <f>$AF2179-$AF2180</f>
        <v/>
      </c>
      <c r="BO2179" s="82">
        <f>$AG2179-$AG2180</f>
        <v/>
      </c>
      <c r="BP2179" s="82">
        <f>$AJ2179-$AJ2180</f>
        <v/>
      </c>
    </row>
    <row r="2180">
      <c r="AR2180" s="81">
        <f>($G2180+($H2180-$G2180)*0.5)+($P2180-($O2180+($Q2180-$O2180)*0.5))</f>
        <v/>
      </c>
      <c r="AS2180" s="81">
        <f>($J2180+($K2180-$J2180)*0.5)+($T2180-($S2180+($U2180-$S2180)*0.5))</f>
        <v/>
      </c>
      <c r="AT2180" s="82">
        <f>($J2180-$C2180)*100</f>
        <v/>
      </c>
      <c r="AU2180" s="82">
        <f>($H2180-$F2180)*100</f>
        <v/>
      </c>
      <c r="AV2180" s="82">
        <f>($J2180-$F2180)*100</f>
        <v/>
      </c>
      <c r="AW2180" s="82">
        <f>($L2180-$F2180)*100</f>
        <v/>
      </c>
      <c r="AX2180" s="82">
        <f>($J2180-$H2180)*100</f>
        <v/>
      </c>
      <c r="AY2180" s="82">
        <f>($L2180-$H2180)*100</f>
        <v/>
      </c>
      <c r="AZ2180" s="82">
        <f>($L2180-$J2180)*100</f>
        <v/>
      </c>
      <c r="BA2180" s="82">
        <f>(2*$H2180-$F2180-$J2180)*100</f>
        <v/>
      </c>
      <c r="BB2180" s="82">
        <f>(2*$J2180-$H2180-$L2180)*100</f>
        <v/>
      </c>
      <c r="BC2180" s="82">
        <f>($N2180-$F2180)*100</f>
        <v/>
      </c>
      <c r="BD2180" s="82">
        <f>($Q2180-$H2180)*100</f>
        <v/>
      </c>
      <c r="BE2180" s="82">
        <f>($S2180-$J2180)*100</f>
        <v/>
      </c>
      <c r="BF2180" s="82">
        <f>($V2180-$L2180)*100</f>
        <v/>
      </c>
      <c r="BG2180" s="82">
        <f>$AG2180-$AF2180</f>
        <v/>
      </c>
      <c r="BH2180" s="81">
        <f>IFERROR($AG2180/$AF2180,"")</f>
        <v/>
      </c>
      <c r="BI2180" s="82">
        <f>$AJ2180-$AF2180</f>
        <v/>
      </c>
      <c r="BJ2180" s="81">
        <f>IFERROR($AJ2180/$AG2180,"")</f>
        <v/>
      </c>
      <c r="BK2180" s="81">
        <f>$X2180</f>
        <v/>
      </c>
      <c r="BL2180" s="82">
        <f>($J2180-$J2181)*100</f>
        <v/>
      </c>
      <c r="BM2180" s="82">
        <f>($F2180-$F2181)*100</f>
        <v/>
      </c>
      <c r="BN2180" s="82">
        <f>$AF2180-$AF2181</f>
        <v/>
      </c>
      <c r="BO2180" s="82">
        <f>$AG2180-$AG2181</f>
        <v/>
      </c>
      <c r="BP2180" s="82">
        <f>$AJ2180-$AJ2181</f>
        <v/>
      </c>
    </row>
    <row r="2181">
      <c r="AR2181" s="81">
        <f>($G2181+($H2181-$G2181)*0.5)+($P2181-($O2181+($Q2181-$O2181)*0.5))</f>
        <v/>
      </c>
      <c r="AS2181" s="81">
        <f>($J2181+($K2181-$J2181)*0.5)+($T2181-($S2181+($U2181-$S2181)*0.5))</f>
        <v/>
      </c>
      <c r="AT2181" s="82">
        <f>($J2181-$C2181)*100</f>
        <v/>
      </c>
      <c r="AU2181" s="82">
        <f>($H2181-$F2181)*100</f>
        <v/>
      </c>
      <c r="AV2181" s="82">
        <f>($J2181-$F2181)*100</f>
        <v/>
      </c>
      <c r="AW2181" s="82">
        <f>($L2181-$F2181)*100</f>
        <v/>
      </c>
      <c r="AX2181" s="82">
        <f>($J2181-$H2181)*100</f>
        <v/>
      </c>
      <c r="AY2181" s="82">
        <f>($L2181-$H2181)*100</f>
        <v/>
      </c>
      <c r="AZ2181" s="82">
        <f>($L2181-$J2181)*100</f>
        <v/>
      </c>
      <c r="BA2181" s="82">
        <f>(2*$H2181-$F2181-$J2181)*100</f>
        <v/>
      </c>
      <c r="BB2181" s="82">
        <f>(2*$J2181-$H2181-$L2181)*100</f>
        <v/>
      </c>
      <c r="BC2181" s="82">
        <f>($N2181-$F2181)*100</f>
        <v/>
      </c>
      <c r="BD2181" s="82">
        <f>($Q2181-$H2181)*100</f>
        <v/>
      </c>
      <c r="BE2181" s="82">
        <f>($S2181-$J2181)*100</f>
        <v/>
      </c>
      <c r="BF2181" s="82">
        <f>($V2181-$L2181)*100</f>
        <v/>
      </c>
      <c r="BG2181" s="82">
        <f>$AG2181-$AF2181</f>
        <v/>
      </c>
      <c r="BH2181" s="81">
        <f>IFERROR($AG2181/$AF2181,"")</f>
        <v/>
      </c>
      <c r="BI2181" s="82">
        <f>$AJ2181-$AF2181</f>
        <v/>
      </c>
      <c r="BJ2181" s="81">
        <f>IFERROR($AJ2181/$AG2181,"")</f>
        <v/>
      </c>
      <c r="BK2181" s="81">
        <f>$X2181</f>
        <v/>
      </c>
      <c r="BL2181" s="82">
        <f>($J2181-$J2182)*100</f>
        <v/>
      </c>
      <c r="BM2181" s="82">
        <f>($F2181-$F2182)*100</f>
        <v/>
      </c>
      <c r="BN2181" s="82">
        <f>$AF2181-$AF2182</f>
        <v/>
      </c>
      <c r="BO2181" s="82">
        <f>$AG2181-$AG2182</f>
        <v/>
      </c>
      <c r="BP2181" s="82">
        <f>$AJ2181-$AJ2182</f>
        <v/>
      </c>
    </row>
    <row r="2182">
      <c r="AR2182" s="81">
        <f>($G2182+($H2182-$G2182)*0.5)+($P2182-($O2182+($Q2182-$O2182)*0.5))</f>
        <v/>
      </c>
      <c r="AS2182" s="81">
        <f>($J2182+($K2182-$J2182)*0.5)+($T2182-($S2182+($U2182-$S2182)*0.5))</f>
        <v/>
      </c>
      <c r="AT2182" s="82">
        <f>($J2182-$C2182)*100</f>
        <v/>
      </c>
      <c r="AU2182" s="82">
        <f>($H2182-$F2182)*100</f>
        <v/>
      </c>
      <c r="AV2182" s="82">
        <f>($J2182-$F2182)*100</f>
        <v/>
      </c>
      <c r="AW2182" s="82">
        <f>($L2182-$F2182)*100</f>
        <v/>
      </c>
      <c r="AX2182" s="82">
        <f>($J2182-$H2182)*100</f>
        <v/>
      </c>
      <c r="AY2182" s="82">
        <f>($L2182-$H2182)*100</f>
        <v/>
      </c>
      <c r="AZ2182" s="82">
        <f>($L2182-$J2182)*100</f>
        <v/>
      </c>
      <c r="BA2182" s="82">
        <f>(2*$H2182-$F2182-$J2182)*100</f>
        <v/>
      </c>
      <c r="BB2182" s="82">
        <f>(2*$J2182-$H2182-$L2182)*100</f>
        <v/>
      </c>
      <c r="BC2182" s="82">
        <f>($N2182-$F2182)*100</f>
        <v/>
      </c>
      <c r="BD2182" s="82">
        <f>($Q2182-$H2182)*100</f>
        <v/>
      </c>
      <c r="BE2182" s="82">
        <f>($S2182-$J2182)*100</f>
        <v/>
      </c>
      <c r="BF2182" s="82">
        <f>($V2182-$L2182)*100</f>
        <v/>
      </c>
      <c r="BG2182" s="82">
        <f>$AG2182-$AF2182</f>
        <v/>
      </c>
      <c r="BH2182" s="81">
        <f>IFERROR($AG2182/$AF2182,"")</f>
        <v/>
      </c>
      <c r="BI2182" s="82">
        <f>$AJ2182-$AF2182</f>
        <v/>
      </c>
      <c r="BJ2182" s="81">
        <f>IFERROR($AJ2182/$AG2182,"")</f>
        <v/>
      </c>
      <c r="BK2182" s="81">
        <f>$X2182</f>
        <v/>
      </c>
      <c r="BL2182" s="82">
        <f>($J2182-$J2183)*100</f>
        <v/>
      </c>
      <c r="BM2182" s="82">
        <f>($F2182-$F2183)*100</f>
        <v/>
      </c>
      <c r="BN2182" s="82">
        <f>$AF2182-$AF2183</f>
        <v/>
      </c>
      <c r="BO2182" s="82">
        <f>$AG2182-$AG2183</f>
        <v/>
      </c>
      <c r="BP2182" s="82">
        <f>$AJ2182-$AJ2183</f>
        <v/>
      </c>
    </row>
    <row r="2183">
      <c r="AR2183" s="81">
        <f>($G2183+($H2183-$G2183)*0.5)+($P2183-($O2183+($Q2183-$O2183)*0.5))</f>
        <v/>
      </c>
      <c r="AS2183" s="81">
        <f>($J2183+($K2183-$J2183)*0.5)+($T2183-($S2183+($U2183-$S2183)*0.5))</f>
        <v/>
      </c>
      <c r="AT2183" s="82">
        <f>($J2183-$C2183)*100</f>
        <v/>
      </c>
      <c r="AU2183" s="82">
        <f>($H2183-$F2183)*100</f>
        <v/>
      </c>
      <c r="AV2183" s="82">
        <f>($J2183-$F2183)*100</f>
        <v/>
      </c>
      <c r="AW2183" s="82">
        <f>($L2183-$F2183)*100</f>
        <v/>
      </c>
      <c r="AX2183" s="82">
        <f>($J2183-$H2183)*100</f>
        <v/>
      </c>
      <c r="AY2183" s="82">
        <f>($L2183-$H2183)*100</f>
        <v/>
      </c>
      <c r="AZ2183" s="82">
        <f>($L2183-$J2183)*100</f>
        <v/>
      </c>
      <c r="BA2183" s="82">
        <f>(2*$H2183-$F2183-$J2183)*100</f>
        <v/>
      </c>
      <c r="BB2183" s="82">
        <f>(2*$J2183-$H2183-$L2183)*100</f>
        <v/>
      </c>
      <c r="BC2183" s="82">
        <f>($N2183-$F2183)*100</f>
        <v/>
      </c>
      <c r="BD2183" s="82">
        <f>($Q2183-$H2183)*100</f>
        <v/>
      </c>
      <c r="BE2183" s="82">
        <f>($S2183-$J2183)*100</f>
        <v/>
      </c>
      <c r="BF2183" s="82">
        <f>($V2183-$L2183)*100</f>
        <v/>
      </c>
      <c r="BG2183" s="82">
        <f>$AG2183-$AF2183</f>
        <v/>
      </c>
      <c r="BH2183" s="81">
        <f>IFERROR($AG2183/$AF2183,"")</f>
        <v/>
      </c>
      <c r="BI2183" s="82">
        <f>$AJ2183-$AF2183</f>
        <v/>
      </c>
      <c r="BJ2183" s="81">
        <f>IFERROR($AJ2183/$AG2183,"")</f>
        <v/>
      </c>
      <c r="BK2183" s="81">
        <f>$X2183</f>
        <v/>
      </c>
      <c r="BL2183" s="82">
        <f>($J2183-$J2184)*100</f>
        <v/>
      </c>
      <c r="BM2183" s="82">
        <f>($F2183-$F2184)*100</f>
        <v/>
      </c>
      <c r="BN2183" s="82">
        <f>$AF2183-$AF2184</f>
        <v/>
      </c>
      <c r="BO2183" s="82">
        <f>$AG2183-$AG2184</f>
        <v/>
      </c>
      <c r="BP2183" s="82">
        <f>$AJ2183-$AJ2184</f>
        <v/>
      </c>
    </row>
    <row r="2184">
      <c r="AR2184" s="81">
        <f>($G2184+($H2184-$G2184)*0.5)+($P2184-($O2184+($Q2184-$O2184)*0.5))</f>
        <v/>
      </c>
      <c r="AS2184" s="81">
        <f>($J2184+($K2184-$J2184)*0.5)+($T2184-($S2184+($U2184-$S2184)*0.5))</f>
        <v/>
      </c>
      <c r="AT2184" s="82">
        <f>($J2184-$C2184)*100</f>
        <v/>
      </c>
      <c r="AU2184" s="82">
        <f>($H2184-$F2184)*100</f>
        <v/>
      </c>
      <c r="AV2184" s="82">
        <f>($J2184-$F2184)*100</f>
        <v/>
      </c>
      <c r="AW2184" s="82">
        <f>($L2184-$F2184)*100</f>
        <v/>
      </c>
      <c r="AX2184" s="82">
        <f>($J2184-$H2184)*100</f>
        <v/>
      </c>
      <c r="AY2184" s="82">
        <f>($L2184-$H2184)*100</f>
        <v/>
      </c>
      <c r="AZ2184" s="82">
        <f>($L2184-$J2184)*100</f>
        <v/>
      </c>
      <c r="BA2184" s="82">
        <f>(2*$H2184-$F2184-$J2184)*100</f>
        <v/>
      </c>
      <c r="BB2184" s="82">
        <f>(2*$J2184-$H2184-$L2184)*100</f>
        <v/>
      </c>
      <c r="BC2184" s="82">
        <f>($N2184-$F2184)*100</f>
        <v/>
      </c>
      <c r="BD2184" s="82">
        <f>($Q2184-$H2184)*100</f>
        <v/>
      </c>
      <c r="BE2184" s="82">
        <f>($S2184-$J2184)*100</f>
        <v/>
      </c>
      <c r="BF2184" s="82">
        <f>($V2184-$L2184)*100</f>
        <v/>
      </c>
      <c r="BG2184" s="82">
        <f>$AG2184-$AF2184</f>
        <v/>
      </c>
      <c r="BH2184" s="81">
        <f>IFERROR($AG2184/$AF2184,"")</f>
        <v/>
      </c>
      <c r="BI2184" s="82">
        <f>$AJ2184-$AF2184</f>
        <v/>
      </c>
      <c r="BJ2184" s="81">
        <f>IFERROR($AJ2184/$AG2184,"")</f>
        <v/>
      </c>
      <c r="BK2184" s="81">
        <f>$X2184</f>
        <v/>
      </c>
      <c r="BL2184" s="82">
        <f>($J2184-$J2185)*100</f>
        <v/>
      </c>
      <c r="BM2184" s="82">
        <f>($F2184-$F2185)*100</f>
        <v/>
      </c>
      <c r="BN2184" s="82">
        <f>$AF2184-$AF2185</f>
        <v/>
      </c>
      <c r="BO2184" s="82">
        <f>$AG2184-$AG2185</f>
        <v/>
      </c>
      <c r="BP2184" s="82">
        <f>$AJ2184-$AJ2185</f>
        <v/>
      </c>
    </row>
    <row r="2185">
      <c r="AR2185" s="81">
        <f>($G2185+($H2185-$G2185)*0.5)+($P2185-($O2185+($Q2185-$O2185)*0.5))</f>
        <v/>
      </c>
      <c r="AS2185" s="81">
        <f>($J2185+($K2185-$J2185)*0.5)+($T2185-($S2185+($U2185-$S2185)*0.5))</f>
        <v/>
      </c>
      <c r="AT2185" s="82">
        <f>($J2185-$C2185)*100</f>
        <v/>
      </c>
      <c r="AU2185" s="82">
        <f>($H2185-$F2185)*100</f>
        <v/>
      </c>
      <c r="AV2185" s="82">
        <f>($J2185-$F2185)*100</f>
        <v/>
      </c>
      <c r="AW2185" s="82">
        <f>($L2185-$F2185)*100</f>
        <v/>
      </c>
      <c r="AX2185" s="82">
        <f>($J2185-$H2185)*100</f>
        <v/>
      </c>
      <c r="AY2185" s="82">
        <f>($L2185-$H2185)*100</f>
        <v/>
      </c>
      <c r="AZ2185" s="82">
        <f>($L2185-$J2185)*100</f>
        <v/>
      </c>
      <c r="BA2185" s="82">
        <f>(2*$H2185-$F2185-$J2185)*100</f>
        <v/>
      </c>
      <c r="BB2185" s="82">
        <f>(2*$J2185-$H2185-$L2185)*100</f>
        <v/>
      </c>
      <c r="BC2185" s="82">
        <f>($N2185-$F2185)*100</f>
        <v/>
      </c>
      <c r="BD2185" s="82">
        <f>($Q2185-$H2185)*100</f>
        <v/>
      </c>
      <c r="BE2185" s="82">
        <f>($S2185-$J2185)*100</f>
        <v/>
      </c>
      <c r="BF2185" s="82">
        <f>($V2185-$L2185)*100</f>
        <v/>
      </c>
      <c r="BG2185" s="82">
        <f>$AG2185-$AF2185</f>
        <v/>
      </c>
      <c r="BH2185" s="81">
        <f>IFERROR($AG2185/$AF2185,"")</f>
        <v/>
      </c>
      <c r="BI2185" s="82">
        <f>$AJ2185-$AF2185</f>
        <v/>
      </c>
      <c r="BJ2185" s="81">
        <f>IFERROR($AJ2185/$AG2185,"")</f>
        <v/>
      </c>
      <c r="BK2185" s="81">
        <f>$X2185</f>
        <v/>
      </c>
      <c r="BL2185" s="82">
        <f>($J2185-$J2186)*100</f>
        <v/>
      </c>
      <c r="BM2185" s="82">
        <f>($F2185-$F2186)*100</f>
        <v/>
      </c>
      <c r="BN2185" s="82">
        <f>$AF2185-$AF2186</f>
        <v/>
      </c>
      <c r="BO2185" s="82">
        <f>$AG2185-$AG2186</f>
        <v/>
      </c>
      <c r="BP2185" s="82">
        <f>$AJ2185-$AJ2186</f>
        <v/>
      </c>
    </row>
    <row r="2186">
      <c r="AR2186" s="81">
        <f>($G2186+($H2186-$G2186)*0.5)+($P2186-($O2186+($Q2186-$O2186)*0.5))</f>
        <v/>
      </c>
      <c r="AS2186" s="81">
        <f>($J2186+($K2186-$J2186)*0.5)+($T2186-($S2186+($U2186-$S2186)*0.5))</f>
        <v/>
      </c>
      <c r="AT2186" s="82">
        <f>($J2186-$C2186)*100</f>
        <v/>
      </c>
      <c r="AU2186" s="82">
        <f>($H2186-$F2186)*100</f>
        <v/>
      </c>
      <c r="AV2186" s="82">
        <f>($J2186-$F2186)*100</f>
        <v/>
      </c>
      <c r="AW2186" s="82">
        <f>($L2186-$F2186)*100</f>
        <v/>
      </c>
      <c r="AX2186" s="82">
        <f>($J2186-$H2186)*100</f>
        <v/>
      </c>
      <c r="AY2186" s="82">
        <f>($L2186-$H2186)*100</f>
        <v/>
      </c>
      <c r="AZ2186" s="82">
        <f>($L2186-$J2186)*100</f>
        <v/>
      </c>
      <c r="BA2186" s="82">
        <f>(2*$H2186-$F2186-$J2186)*100</f>
        <v/>
      </c>
      <c r="BB2186" s="82">
        <f>(2*$J2186-$H2186-$L2186)*100</f>
        <v/>
      </c>
      <c r="BC2186" s="82">
        <f>($N2186-$F2186)*100</f>
        <v/>
      </c>
      <c r="BD2186" s="82">
        <f>($Q2186-$H2186)*100</f>
        <v/>
      </c>
      <c r="BE2186" s="82">
        <f>($S2186-$J2186)*100</f>
        <v/>
      </c>
      <c r="BF2186" s="82">
        <f>($V2186-$L2186)*100</f>
        <v/>
      </c>
      <c r="BG2186" s="82">
        <f>$AG2186-$AF2186</f>
        <v/>
      </c>
      <c r="BH2186" s="81">
        <f>IFERROR($AG2186/$AF2186,"")</f>
        <v/>
      </c>
      <c r="BI2186" s="82">
        <f>$AJ2186-$AF2186</f>
        <v/>
      </c>
      <c r="BJ2186" s="81">
        <f>IFERROR($AJ2186/$AG2186,"")</f>
        <v/>
      </c>
      <c r="BK2186" s="81">
        <f>$X2186</f>
        <v/>
      </c>
      <c r="BL2186" s="82">
        <f>($J2186-$J2187)*100</f>
        <v/>
      </c>
      <c r="BM2186" s="82">
        <f>($F2186-$F2187)*100</f>
        <v/>
      </c>
      <c r="BN2186" s="82">
        <f>$AF2186-$AF2187</f>
        <v/>
      </c>
      <c r="BO2186" s="82">
        <f>$AG2186-$AG2187</f>
        <v/>
      </c>
      <c r="BP2186" s="82">
        <f>$AJ2186-$AJ2187</f>
        <v/>
      </c>
    </row>
    <row r="2187">
      <c r="AR2187" s="81">
        <f>($G2187+($H2187-$G2187)*0.5)+($P2187-($O2187+($Q2187-$O2187)*0.5))</f>
        <v/>
      </c>
      <c r="AS2187" s="81">
        <f>($J2187+($K2187-$J2187)*0.5)+($T2187-($S2187+($U2187-$S2187)*0.5))</f>
        <v/>
      </c>
      <c r="AT2187" s="82">
        <f>($J2187-$C2187)*100</f>
        <v/>
      </c>
      <c r="AU2187" s="82">
        <f>($H2187-$F2187)*100</f>
        <v/>
      </c>
      <c r="AV2187" s="82">
        <f>($J2187-$F2187)*100</f>
        <v/>
      </c>
      <c r="AW2187" s="82">
        <f>($L2187-$F2187)*100</f>
        <v/>
      </c>
      <c r="AX2187" s="82">
        <f>($J2187-$H2187)*100</f>
        <v/>
      </c>
      <c r="AY2187" s="82">
        <f>($L2187-$H2187)*100</f>
        <v/>
      </c>
      <c r="AZ2187" s="82">
        <f>($L2187-$J2187)*100</f>
        <v/>
      </c>
      <c r="BA2187" s="82">
        <f>(2*$H2187-$F2187-$J2187)*100</f>
        <v/>
      </c>
      <c r="BB2187" s="82">
        <f>(2*$J2187-$H2187-$L2187)*100</f>
        <v/>
      </c>
      <c r="BC2187" s="82">
        <f>($N2187-$F2187)*100</f>
        <v/>
      </c>
      <c r="BD2187" s="82">
        <f>($Q2187-$H2187)*100</f>
        <v/>
      </c>
      <c r="BE2187" s="82">
        <f>($S2187-$J2187)*100</f>
        <v/>
      </c>
      <c r="BF2187" s="82">
        <f>($V2187-$L2187)*100</f>
        <v/>
      </c>
      <c r="BG2187" s="82">
        <f>$AG2187-$AF2187</f>
        <v/>
      </c>
      <c r="BH2187" s="81">
        <f>IFERROR($AG2187/$AF2187,"")</f>
        <v/>
      </c>
      <c r="BI2187" s="82">
        <f>$AJ2187-$AF2187</f>
        <v/>
      </c>
      <c r="BJ2187" s="81">
        <f>IFERROR($AJ2187/$AG2187,"")</f>
        <v/>
      </c>
      <c r="BK2187" s="81">
        <f>$X2187</f>
        <v/>
      </c>
      <c r="BL2187" s="82">
        <f>($J2187-$J2188)*100</f>
        <v/>
      </c>
      <c r="BM2187" s="82">
        <f>($F2187-$F2188)*100</f>
        <v/>
      </c>
      <c r="BN2187" s="82">
        <f>$AF2187-$AF2188</f>
        <v/>
      </c>
      <c r="BO2187" s="82">
        <f>$AG2187-$AG2188</f>
        <v/>
      </c>
      <c r="BP2187" s="82">
        <f>$AJ2187-$AJ2188</f>
        <v/>
      </c>
    </row>
    <row r="2188">
      <c r="AR2188" s="81">
        <f>($G2188+($H2188-$G2188)*0.5)+($P2188-($O2188+($Q2188-$O2188)*0.5))</f>
        <v/>
      </c>
      <c r="AS2188" s="81">
        <f>($J2188+($K2188-$J2188)*0.5)+($T2188-($S2188+($U2188-$S2188)*0.5))</f>
        <v/>
      </c>
      <c r="AT2188" s="82">
        <f>($J2188-$C2188)*100</f>
        <v/>
      </c>
      <c r="AU2188" s="82">
        <f>($H2188-$F2188)*100</f>
        <v/>
      </c>
      <c r="AV2188" s="82">
        <f>($J2188-$F2188)*100</f>
        <v/>
      </c>
      <c r="AW2188" s="82">
        <f>($L2188-$F2188)*100</f>
        <v/>
      </c>
      <c r="AX2188" s="82">
        <f>($J2188-$H2188)*100</f>
        <v/>
      </c>
      <c r="AY2188" s="82">
        <f>($L2188-$H2188)*100</f>
        <v/>
      </c>
      <c r="AZ2188" s="82">
        <f>($L2188-$J2188)*100</f>
        <v/>
      </c>
      <c r="BA2188" s="82">
        <f>(2*$H2188-$F2188-$J2188)*100</f>
        <v/>
      </c>
      <c r="BB2188" s="82">
        <f>(2*$J2188-$H2188-$L2188)*100</f>
        <v/>
      </c>
      <c r="BC2188" s="82">
        <f>($N2188-$F2188)*100</f>
        <v/>
      </c>
      <c r="BD2188" s="82">
        <f>($Q2188-$H2188)*100</f>
        <v/>
      </c>
      <c r="BE2188" s="82">
        <f>($S2188-$J2188)*100</f>
        <v/>
      </c>
      <c r="BF2188" s="82">
        <f>($V2188-$L2188)*100</f>
        <v/>
      </c>
      <c r="BG2188" s="82">
        <f>$AG2188-$AF2188</f>
        <v/>
      </c>
      <c r="BH2188" s="81">
        <f>IFERROR($AG2188/$AF2188,"")</f>
        <v/>
      </c>
      <c r="BI2188" s="82">
        <f>$AJ2188-$AF2188</f>
        <v/>
      </c>
      <c r="BJ2188" s="81">
        <f>IFERROR($AJ2188/$AG2188,"")</f>
        <v/>
      </c>
      <c r="BK2188" s="81">
        <f>$X2188</f>
        <v/>
      </c>
      <c r="BL2188" s="82">
        <f>($J2188-$J2189)*100</f>
        <v/>
      </c>
      <c r="BM2188" s="82">
        <f>($F2188-$F2189)*100</f>
        <v/>
      </c>
      <c r="BN2188" s="82">
        <f>$AF2188-$AF2189</f>
        <v/>
      </c>
      <c r="BO2188" s="82">
        <f>$AG2188-$AG2189</f>
        <v/>
      </c>
      <c r="BP2188" s="82">
        <f>$AJ2188-$AJ2189</f>
        <v/>
      </c>
    </row>
    <row r="2189">
      <c r="AR2189" s="81">
        <f>($G2189+($H2189-$G2189)*0.5)+($P2189-($O2189+($Q2189-$O2189)*0.5))</f>
        <v/>
      </c>
      <c r="AS2189" s="81">
        <f>($J2189+($K2189-$J2189)*0.5)+($T2189-($S2189+($U2189-$S2189)*0.5))</f>
        <v/>
      </c>
      <c r="AT2189" s="82">
        <f>($J2189-$C2189)*100</f>
        <v/>
      </c>
      <c r="AU2189" s="82">
        <f>($H2189-$F2189)*100</f>
        <v/>
      </c>
      <c r="AV2189" s="82">
        <f>($J2189-$F2189)*100</f>
        <v/>
      </c>
      <c r="AW2189" s="82">
        <f>($L2189-$F2189)*100</f>
        <v/>
      </c>
      <c r="AX2189" s="82">
        <f>($J2189-$H2189)*100</f>
        <v/>
      </c>
      <c r="AY2189" s="82">
        <f>($L2189-$H2189)*100</f>
        <v/>
      </c>
      <c r="AZ2189" s="82">
        <f>($L2189-$J2189)*100</f>
        <v/>
      </c>
      <c r="BA2189" s="82">
        <f>(2*$H2189-$F2189-$J2189)*100</f>
        <v/>
      </c>
      <c r="BB2189" s="82">
        <f>(2*$J2189-$H2189-$L2189)*100</f>
        <v/>
      </c>
      <c r="BC2189" s="82">
        <f>($N2189-$F2189)*100</f>
        <v/>
      </c>
      <c r="BD2189" s="82">
        <f>($Q2189-$H2189)*100</f>
        <v/>
      </c>
      <c r="BE2189" s="82">
        <f>($S2189-$J2189)*100</f>
        <v/>
      </c>
      <c r="BF2189" s="82">
        <f>($V2189-$L2189)*100</f>
        <v/>
      </c>
      <c r="BG2189" s="82">
        <f>$AG2189-$AF2189</f>
        <v/>
      </c>
      <c r="BH2189" s="81">
        <f>IFERROR($AG2189/$AF2189,"")</f>
        <v/>
      </c>
      <c r="BI2189" s="82">
        <f>$AJ2189-$AF2189</f>
        <v/>
      </c>
      <c r="BJ2189" s="81">
        <f>IFERROR($AJ2189/$AG2189,"")</f>
        <v/>
      </c>
      <c r="BK2189" s="81">
        <f>$X2189</f>
        <v/>
      </c>
      <c r="BL2189" s="82">
        <f>($J2189-$J2190)*100</f>
        <v/>
      </c>
      <c r="BM2189" s="82">
        <f>($F2189-$F2190)*100</f>
        <v/>
      </c>
      <c r="BN2189" s="82">
        <f>$AF2189-$AF2190</f>
        <v/>
      </c>
      <c r="BO2189" s="82">
        <f>$AG2189-$AG2190</f>
        <v/>
      </c>
      <c r="BP2189" s="82">
        <f>$AJ2189-$AJ2190</f>
        <v/>
      </c>
    </row>
    <row r="2190">
      <c r="AR2190" s="81">
        <f>($G2190+($H2190-$G2190)*0.5)+($P2190-($O2190+($Q2190-$O2190)*0.5))</f>
        <v/>
      </c>
      <c r="AS2190" s="81">
        <f>($J2190+($K2190-$J2190)*0.5)+($T2190-($S2190+($U2190-$S2190)*0.5))</f>
        <v/>
      </c>
      <c r="AT2190" s="82">
        <f>($J2190-$C2190)*100</f>
        <v/>
      </c>
      <c r="AU2190" s="82">
        <f>($H2190-$F2190)*100</f>
        <v/>
      </c>
      <c r="AV2190" s="82">
        <f>($J2190-$F2190)*100</f>
        <v/>
      </c>
      <c r="AW2190" s="82">
        <f>($L2190-$F2190)*100</f>
        <v/>
      </c>
      <c r="AX2190" s="82">
        <f>($J2190-$H2190)*100</f>
        <v/>
      </c>
      <c r="AY2190" s="82">
        <f>($L2190-$H2190)*100</f>
        <v/>
      </c>
      <c r="AZ2190" s="82">
        <f>($L2190-$J2190)*100</f>
        <v/>
      </c>
      <c r="BA2190" s="82">
        <f>(2*$H2190-$F2190-$J2190)*100</f>
        <v/>
      </c>
      <c r="BB2190" s="82">
        <f>(2*$J2190-$H2190-$L2190)*100</f>
        <v/>
      </c>
      <c r="BC2190" s="82">
        <f>($N2190-$F2190)*100</f>
        <v/>
      </c>
      <c r="BD2190" s="82">
        <f>($Q2190-$H2190)*100</f>
        <v/>
      </c>
      <c r="BE2190" s="82">
        <f>($S2190-$J2190)*100</f>
        <v/>
      </c>
      <c r="BF2190" s="82">
        <f>($V2190-$L2190)*100</f>
        <v/>
      </c>
      <c r="BG2190" s="82">
        <f>$AG2190-$AF2190</f>
        <v/>
      </c>
      <c r="BH2190" s="81">
        <f>IFERROR($AG2190/$AF2190,"")</f>
        <v/>
      </c>
      <c r="BI2190" s="82">
        <f>$AJ2190-$AF2190</f>
        <v/>
      </c>
      <c r="BJ2190" s="81">
        <f>IFERROR($AJ2190/$AG2190,"")</f>
        <v/>
      </c>
      <c r="BK2190" s="81">
        <f>$X2190</f>
        <v/>
      </c>
      <c r="BL2190" s="82">
        <f>($J2190-$J2191)*100</f>
        <v/>
      </c>
      <c r="BM2190" s="82">
        <f>($F2190-$F2191)*100</f>
        <v/>
      </c>
      <c r="BN2190" s="82">
        <f>$AF2190-$AF2191</f>
        <v/>
      </c>
      <c r="BO2190" s="82">
        <f>$AG2190-$AG2191</f>
        <v/>
      </c>
      <c r="BP2190" s="82">
        <f>$AJ2190-$AJ2191</f>
        <v/>
      </c>
    </row>
    <row r="2191">
      <c r="AR2191" s="81">
        <f>($G2191+($H2191-$G2191)*0.5)+($P2191-($O2191+($Q2191-$O2191)*0.5))</f>
        <v/>
      </c>
      <c r="AS2191" s="81">
        <f>($J2191+($K2191-$J2191)*0.5)+($T2191-($S2191+($U2191-$S2191)*0.5))</f>
        <v/>
      </c>
      <c r="AT2191" s="82">
        <f>($J2191-$C2191)*100</f>
        <v/>
      </c>
      <c r="AU2191" s="82">
        <f>($H2191-$F2191)*100</f>
        <v/>
      </c>
      <c r="AV2191" s="82">
        <f>($J2191-$F2191)*100</f>
        <v/>
      </c>
      <c r="AW2191" s="82">
        <f>($L2191-$F2191)*100</f>
        <v/>
      </c>
      <c r="AX2191" s="82">
        <f>($J2191-$H2191)*100</f>
        <v/>
      </c>
      <c r="AY2191" s="82">
        <f>($L2191-$H2191)*100</f>
        <v/>
      </c>
      <c r="AZ2191" s="82">
        <f>($L2191-$J2191)*100</f>
        <v/>
      </c>
      <c r="BA2191" s="82">
        <f>(2*$H2191-$F2191-$J2191)*100</f>
        <v/>
      </c>
      <c r="BB2191" s="82">
        <f>(2*$J2191-$H2191-$L2191)*100</f>
        <v/>
      </c>
      <c r="BC2191" s="82">
        <f>($N2191-$F2191)*100</f>
        <v/>
      </c>
      <c r="BD2191" s="82">
        <f>($Q2191-$H2191)*100</f>
        <v/>
      </c>
      <c r="BE2191" s="82">
        <f>($S2191-$J2191)*100</f>
        <v/>
      </c>
      <c r="BF2191" s="82">
        <f>($V2191-$L2191)*100</f>
        <v/>
      </c>
      <c r="BG2191" s="82">
        <f>$AG2191-$AF2191</f>
        <v/>
      </c>
      <c r="BH2191" s="81">
        <f>IFERROR($AG2191/$AF2191,"")</f>
        <v/>
      </c>
      <c r="BI2191" s="82">
        <f>$AJ2191-$AF2191</f>
        <v/>
      </c>
      <c r="BJ2191" s="81">
        <f>IFERROR($AJ2191/$AG2191,"")</f>
        <v/>
      </c>
      <c r="BK2191" s="81">
        <f>$X2191</f>
        <v/>
      </c>
      <c r="BL2191" s="82">
        <f>($J2191-$J2192)*100</f>
        <v/>
      </c>
      <c r="BM2191" s="82">
        <f>($F2191-$F2192)*100</f>
        <v/>
      </c>
      <c r="BN2191" s="82">
        <f>$AF2191-$AF2192</f>
        <v/>
      </c>
      <c r="BO2191" s="82">
        <f>$AG2191-$AG2192</f>
        <v/>
      </c>
      <c r="BP2191" s="82">
        <f>$AJ2191-$AJ2192</f>
        <v/>
      </c>
    </row>
    <row r="2192">
      <c r="AR2192" s="81">
        <f>($G2192+($H2192-$G2192)*0.5)+($P2192-($O2192+($Q2192-$O2192)*0.5))</f>
        <v/>
      </c>
      <c r="AS2192" s="81">
        <f>($J2192+($K2192-$J2192)*0.5)+($T2192-($S2192+($U2192-$S2192)*0.5))</f>
        <v/>
      </c>
      <c r="AT2192" s="82">
        <f>($J2192-$C2192)*100</f>
        <v/>
      </c>
      <c r="AU2192" s="82">
        <f>($H2192-$F2192)*100</f>
        <v/>
      </c>
      <c r="AV2192" s="82">
        <f>($J2192-$F2192)*100</f>
        <v/>
      </c>
      <c r="AW2192" s="82">
        <f>($L2192-$F2192)*100</f>
        <v/>
      </c>
      <c r="AX2192" s="82">
        <f>($J2192-$H2192)*100</f>
        <v/>
      </c>
      <c r="AY2192" s="82">
        <f>($L2192-$H2192)*100</f>
        <v/>
      </c>
      <c r="AZ2192" s="82">
        <f>($L2192-$J2192)*100</f>
        <v/>
      </c>
      <c r="BA2192" s="82">
        <f>(2*$H2192-$F2192-$J2192)*100</f>
        <v/>
      </c>
      <c r="BB2192" s="82">
        <f>(2*$J2192-$H2192-$L2192)*100</f>
        <v/>
      </c>
      <c r="BC2192" s="82">
        <f>($N2192-$F2192)*100</f>
        <v/>
      </c>
      <c r="BD2192" s="82">
        <f>($Q2192-$H2192)*100</f>
        <v/>
      </c>
      <c r="BE2192" s="82">
        <f>($S2192-$J2192)*100</f>
        <v/>
      </c>
      <c r="BF2192" s="82">
        <f>($V2192-$L2192)*100</f>
        <v/>
      </c>
      <c r="BG2192" s="82">
        <f>$AG2192-$AF2192</f>
        <v/>
      </c>
      <c r="BH2192" s="81">
        <f>IFERROR($AG2192/$AF2192,"")</f>
        <v/>
      </c>
      <c r="BI2192" s="82">
        <f>$AJ2192-$AF2192</f>
        <v/>
      </c>
      <c r="BJ2192" s="81">
        <f>IFERROR($AJ2192/$AG2192,"")</f>
        <v/>
      </c>
      <c r="BK2192" s="81">
        <f>$X2192</f>
        <v/>
      </c>
      <c r="BL2192" s="82">
        <f>($J2192-$J2193)*100</f>
        <v/>
      </c>
      <c r="BM2192" s="82">
        <f>($F2192-$F2193)*100</f>
        <v/>
      </c>
      <c r="BN2192" s="82">
        <f>$AF2192-$AF2193</f>
        <v/>
      </c>
      <c r="BO2192" s="82">
        <f>$AG2192-$AG2193</f>
        <v/>
      </c>
      <c r="BP2192" s="82">
        <f>$AJ2192-$AJ2193</f>
        <v/>
      </c>
    </row>
    <row r="2193">
      <c r="AR2193" s="81">
        <f>($G2193+($H2193-$G2193)*0.5)+($P2193-($O2193+($Q2193-$O2193)*0.5))</f>
        <v/>
      </c>
      <c r="AS2193" s="81">
        <f>($J2193+($K2193-$J2193)*0.5)+($T2193-($S2193+($U2193-$S2193)*0.5))</f>
        <v/>
      </c>
      <c r="AT2193" s="82">
        <f>($J2193-$C2193)*100</f>
        <v/>
      </c>
      <c r="AU2193" s="82">
        <f>($H2193-$F2193)*100</f>
        <v/>
      </c>
      <c r="AV2193" s="82">
        <f>($J2193-$F2193)*100</f>
        <v/>
      </c>
      <c r="AW2193" s="82">
        <f>($L2193-$F2193)*100</f>
        <v/>
      </c>
      <c r="AX2193" s="82">
        <f>($J2193-$H2193)*100</f>
        <v/>
      </c>
      <c r="AY2193" s="82">
        <f>($L2193-$H2193)*100</f>
        <v/>
      </c>
      <c r="AZ2193" s="82">
        <f>($L2193-$J2193)*100</f>
        <v/>
      </c>
      <c r="BA2193" s="82">
        <f>(2*$H2193-$F2193-$J2193)*100</f>
        <v/>
      </c>
      <c r="BB2193" s="82">
        <f>(2*$J2193-$H2193-$L2193)*100</f>
        <v/>
      </c>
      <c r="BC2193" s="82">
        <f>($N2193-$F2193)*100</f>
        <v/>
      </c>
      <c r="BD2193" s="82">
        <f>($Q2193-$H2193)*100</f>
        <v/>
      </c>
      <c r="BE2193" s="82">
        <f>($S2193-$J2193)*100</f>
        <v/>
      </c>
      <c r="BF2193" s="82">
        <f>($V2193-$L2193)*100</f>
        <v/>
      </c>
      <c r="BG2193" s="82">
        <f>$AG2193-$AF2193</f>
        <v/>
      </c>
      <c r="BH2193" s="81">
        <f>IFERROR($AG2193/$AF2193,"")</f>
        <v/>
      </c>
      <c r="BI2193" s="82">
        <f>$AJ2193-$AF2193</f>
        <v/>
      </c>
      <c r="BJ2193" s="81">
        <f>IFERROR($AJ2193/$AG2193,"")</f>
        <v/>
      </c>
      <c r="BK2193" s="81">
        <f>$X2193</f>
        <v/>
      </c>
      <c r="BL2193" s="82">
        <f>($J2193-$J2194)*100</f>
        <v/>
      </c>
      <c r="BM2193" s="82">
        <f>($F2193-$F2194)*100</f>
        <v/>
      </c>
      <c r="BN2193" s="82">
        <f>$AF2193-$AF2194</f>
        <v/>
      </c>
      <c r="BO2193" s="82">
        <f>$AG2193-$AG2194</f>
        <v/>
      </c>
      <c r="BP2193" s="82">
        <f>$AJ2193-$AJ2194</f>
        <v/>
      </c>
    </row>
    <row r="2194">
      <c r="AR2194" s="81">
        <f>($G2194+($H2194-$G2194)*0.5)+($P2194-($O2194+($Q2194-$O2194)*0.5))</f>
        <v/>
      </c>
      <c r="AS2194" s="81">
        <f>($J2194+($K2194-$J2194)*0.5)+($T2194-($S2194+($U2194-$S2194)*0.5))</f>
        <v/>
      </c>
      <c r="AT2194" s="82">
        <f>($J2194-$C2194)*100</f>
        <v/>
      </c>
      <c r="AU2194" s="82">
        <f>($H2194-$F2194)*100</f>
        <v/>
      </c>
      <c r="AV2194" s="82">
        <f>($J2194-$F2194)*100</f>
        <v/>
      </c>
      <c r="AW2194" s="82">
        <f>($L2194-$F2194)*100</f>
        <v/>
      </c>
      <c r="AX2194" s="82">
        <f>($J2194-$H2194)*100</f>
        <v/>
      </c>
      <c r="AY2194" s="82">
        <f>($L2194-$H2194)*100</f>
        <v/>
      </c>
      <c r="AZ2194" s="82">
        <f>($L2194-$J2194)*100</f>
        <v/>
      </c>
      <c r="BA2194" s="82">
        <f>(2*$H2194-$F2194-$J2194)*100</f>
        <v/>
      </c>
      <c r="BB2194" s="82">
        <f>(2*$J2194-$H2194-$L2194)*100</f>
        <v/>
      </c>
      <c r="BC2194" s="82">
        <f>($N2194-$F2194)*100</f>
        <v/>
      </c>
      <c r="BD2194" s="82">
        <f>($Q2194-$H2194)*100</f>
        <v/>
      </c>
      <c r="BE2194" s="82">
        <f>($S2194-$J2194)*100</f>
        <v/>
      </c>
      <c r="BF2194" s="82">
        <f>($V2194-$L2194)*100</f>
        <v/>
      </c>
      <c r="BG2194" s="82">
        <f>$AG2194-$AF2194</f>
        <v/>
      </c>
      <c r="BH2194" s="81">
        <f>IFERROR($AG2194/$AF2194,"")</f>
        <v/>
      </c>
      <c r="BI2194" s="82">
        <f>$AJ2194-$AF2194</f>
        <v/>
      </c>
      <c r="BJ2194" s="81">
        <f>IFERROR($AJ2194/$AG2194,"")</f>
        <v/>
      </c>
      <c r="BK2194" s="81">
        <f>$X2194</f>
        <v/>
      </c>
      <c r="BL2194" s="82">
        <f>($J2194-$J2195)*100</f>
        <v/>
      </c>
      <c r="BM2194" s="82">
        <f>($F2194-$F2195)*100</f>
        <v/>
      </c>
      <c r="BN2194" s="82">
        <f>$AF2194-$AF2195</f>
        <v/>
      </c>
      <c r="BO2194" s="82">
        <f>$AG2194-$AG2195</f>
        <v/>
      </c>
      <c r="BP2194" s="82">
        <f>$AJ2194-$AJ2195</f>
        <v/>
      </c>
    </row>
    <row r="2195">
      <c r="AR2195" s="81">
        <f>($G2195+($H2195-$G2195)*0.5)+($P2195-($O2195+($Q2195-$O2195)*0.5))</f>
        <v/>
      </c>
      <c r="AS2195" s="81">
        <f>($J2195+($K2195-$J2195)*0.5)+($T2195-($S2195+($U2195-$S2195)*0.5))</f>
        <v/>
      </c>
      <c r="AT2195" s="82">
        <f>($J2195-$C2195)*100</f>
        <v/>
      </c>
      <c r="AU2195" s="82">
        <f>($H2195-$F2195)*100</f>
        <v/>
      </c>
      <c r="AV2195" s="82">
        <f>($J2195-$F2195)*100</f>
        <v/>
      </c>
      <c r="AW2195" s="82">
        <f>($L2195-$F2195)*100</f>
        <v/>
      </c>
      <c r="AX2195" s="82">
        <f>($J2195-$H2195)*100</f>
        <v/>
      </c>
      <c r="AY2195" s="82">
        <f>($L2195-$H2195)*100</f>
        <v/>
      </c>
      <c r="AZ2195" s="82">
        <f>($L2195-$J2195)*100</f>
        <v/>
      </c>
      <c r="BA2195" s="82">
        <f>(2*$H2195-$F2195-$J2195)*100</f>
        <v/>
      </c>
      <c r="BB2195" s="82">
        <f>(2*$J2195-$H2195-$L2195)*100</f>
        <v/>
      </c>
      <c r="BC2195" s="82">
        <f>($N2195-$F2195)*100</f>
        <v/>
      </c>
      <c r="BD2195" s="82">
        <f>($Q2195-$H2195)*100</f>
        <v/>
      </c>
      <c r="BE2195" s="82">
        <f>($S2195-$J2195)*100</f>
        <v/>
      </c>
      <c r="BF2195" s="82">
        <f>($V2195-$L2195)*100</f>
        <v/>
      </c>
      <c r="BG2195" s="82">
        <f>$AG2195-$AF2195</f>
        <v/>
      </c>
      <c r="BH2195" s="81">
        <f>IFERROR($AG2195/$AF2195,"")</f>
        <v/>
      </c>
      <c r="BI2195" s="82">
        <f>$AJ2195-$AF2195</f>
        <v/>
      </c>
      <c r="BJ2195" s="81">
        <f>IFERROR($AJ2195/$AG2195,"")</f>
        <v/>
      </c>
      <c r="BK2195" s="81">
        <f>$X2195</f>
        <v/>
      </c>
      <c r="BL2195" s="82">
        <f>($J2195-$J2196)*100</f>
        <v/>
      </c>
      <c r="BM2195" s="82">
        <f>($F2195-$F2196)*100</f>
        <v/>
      </c>
      <c r="BN2195" s="82">
        <f>$AF2195-$AF2196</f>
        <v/>
      </c>
      <c r="BO2195" s="82">
        <f>$AG2195-$AG2196</f>
        <v/>
      </c>
      <c r="BP2195" s="82">
        <f>$AJ2195-$AJ2196</f>
        <v/>
      </c>
    </row>
    <row r="2196">
      <c r="AR2196" s="81">
        <f>($G2196+($H2196-$G2196)*0.5)+($P2196-($O2196+($Q2196-$O2196)*0.5))</f>
        <v/>
      </c>
      <c r="AS2196" s="81">
        <f>($J2196+($K2196-$J2196)*0.5)+($T2196-($S2196+($U2196-$S2196)*0.5))</f>
        <v/>
      </c>
      <c r="AT2196" s="82">
        <f>($J2196-$C2196)*100</f>
        <v/>
      </c>
      <c r="AU2196" s="82">
        <f>($H2196-$F2196)*100</f>
        <v/>
      </c>
      <c r="AV2196" s="82">
        <f>($J2196-$F2196)*100</f>
        <v/>
      </c>
      <c r="AW2196" s="82">
        <f>($L2196-$F2196)*100</f>
        <v/>
      </c>
      <c r="AX2196" s="82">
        <f>($J2196-$H2196)*100</f>
        <v/>
      </c>
      <c r="AY2196" s="82">
        <f>($L2196-$H2196)*100</f>
        <v/>
      </c>
      <c r="AZ2196" s="82">
        <f>($L2196-$J2196)*100</f>
        <v/>
      </c>
      <c r="BA2196" s="82">
        <f>(2*$H2196-$F2196-$J2196)*100</f>
        <v/>
      </c>
      <c r="BB2196" s="82">
        <f>(2*$J2196-$H2196-$L2196)*100</f>
        <v/>
      </c>
      <c r="BC2196" s="82">
        <f>($N2196-$F2196)*100</f>
        <v/>
      </c>
      <c r="BD2196" s="82">
        <f>($Q2196-$H2196)*100</f>
        <v/>
      </c>
      <c r="BE2196" s="82">
        <f>($S2196-$J2196)*100</f>
        <v/>
      </c>
      <c r="BF2196" s="82">
        <f>($V2196-$L2196)*100</f>
        <v/>
      </c>
      <c r="BG2196" s="82">
        <f>$AG2196-$AF2196</f>
        <v/>
      </c>
      <c r="BH2196" s="81">
        <f>IFERROR($AG2196/$AF2196,"")</f>
        <v/>
      </c>
      <c r="BI2196" s="82">
        <f>$AJ2196-$AF2196</f>
        <v/>
      </c>
      <c r="BJ2196" s="81">
        <f>IFERROR($AJ2196/$AG2196,"")</f>
        <v/>
      </c>
      <c r="BK2196" s="81">
        <f>$X2196</f>
        <v/>
      </c>
      <c r="BL2196" s="82">
        <f>($J2196-$J2197)*100</f>
        <v/>
      </c>
      <c r="BM2196" s="82">
        <f>($F2196-$F2197)*100</f>
        <v/>
      </c>
      <c r="BN2196" s="82">
        <f>$AF2196-$AF2197</f>
        <v/>
      </c>
      <c r="BO2196" s="82">
        <f>$AG2196-$AG2197</f>
        <v/>
      </c>
      <c r="BP2196" s="82">
        <f>$AJ2196-$AJ2197</f>
        <v/>
      </c>
    </row>
    <row r="2197">
      <c r="AR2197" s="81">
        <f>($G2197+($H2197-$G2197)*0.5)+($P2197-($O2197+($Q2197-$O2197)*0.5))</f>
        <v/>
      </c>
      <c r="AS2197" s="81">
        <f>($J2197+($K2197-$J2197)*0.5)+($T2197-($S2197+($U2197-$S2197)*0.5))</f>
        <v/>
      </c>
      <c r="AT2197" s="82">
        <f>($J2197-$C2197)*100</f>
        <v/>
      </c>
      <c r="AU2197" s="82">
        <f>($H2197-$F2197)*100</f>
        <v/>
      </c>
      <c r="AV2197" s="82">
        <f>($J2197-$F2197)*100</f>
        <v/>
      </c>
      <c r="AW2197" s="82">
        <f>($L2197-$F2197)*100</f>
        <v/>
      </c>
      <c r="AX2197" s="82">
        <f>($J2197-$H2197)*100</f>
        <v/>
      </c>
      <c r="AY2197" s="82">
        <f>($L2197-$H2197)*100</f>
        <v/>
      </c>
      <c r="AZ2197" s="82">
        <f>($L2197-$J2197)*100</f>
        <v/>
      </c>
      <c r="BA2197" s="82">
        <f>(2*$H2197-$F2197-$J2197)*100</f>
        <v/>
      </c>
      <c r="BB2197" s="82">
        <f>(2*$J2197-$H2197-$L2197)*100</f>
        <v/>
      </c>
      <c r="BC2197" s="82">
        <f>($N2197-$F2197)*100</f>
        <v/>
      </c>
      <c r="BD2197" s="82">
        <f>($Q2197-$H2197)*100</f>
        <v/>
      </c>
      <c r="BE2197" s="82">
        <f>($S2197-$J2197)*100</f>
        <v/>
      </c>
      <c r="BF2197" s="82">
        <f>($V2197-$L2197)*100</f>
        <v/>
      </c>
      <c r="BG2197" s="82">
        <f>$AG2197-$AF2197</f>
        <v/>
      </c>
      <c r="BH2197" s="81">
        <f>IFERROR($AG2197/$AF2197,"")</f>
        <v/>
      </c>
      <c r="BI2197" s="82">
        <f>$AJ2197-$AF2197</f>
        <v/>
      </c>
      <c r="BJ2197" s="81">
        <f>IFERROR($AJ2197/$AG2197,"")</f>
        <v/>
      </c>
      <c r="BK2197" s="81">
        <f>$X2197</f>
        <v/>
      </c>
      <c r="BL2197" s="82">
        <f>($J2197-$J2198)*100</f>
        <v/>
      </c>
      <c r="BM2197" s="82">
        <f>($F2197-$F2198)*100</f>
        <v/>
      </c>
      <c r="BN2197" s="82">
        <f>$AF2197-$AF2198</f>
        <v/>
      </c>
      <c r="BO2197" s="82">
        <f>$AG2197-$AG2198</f>
        <v/>
      </c>
      <c r="BP2197" s="82">
        <f>$AJ2197-$AJ2198</f>
        <v/>
      </c>
    </row>
    <row r="2198">
      <c r="AR2198" s="81">
        <f>($G2198+($H2198-$G2198)*0.5)+($P2198-($O2198+($Q2198-$O2198)*0.5))</f>
        <v/>
      </c>
      <c r="AS2198" s="81">
        <f>($J2198+($K2198-$J2198)*0.5)+($T2198-($S2198+($U2198-$S2198)*0.5))</f>
        <v/>
      </c>
      <c r="AT2198" s="82">
        <f>($J2198-$C2198)*100</f>
        <v/>
      </c>
      <c r="AU2198" s="82">
        <f>($H2198-$F2198)*100</f>
        <v/>
      </c>
      <c r="AV2198" s="82">
        <f>($J2198-$F2198)*100</f>
        <v/>
      </c>
      <c r="AW2198" s="82">
        <f>($L2198-$F2198)*100</f>
        <v/>
      </c>
      <c r="AX2198" s="82">
        <f>($J2198-$H2198)*100</f>
        <v/>
      </c>
      <c r="AY2198" s="82">
        <f>($L2198-$H2198)*100</f>
        <v/>
      </c>
      <c r="AZ2198" s="82">
        <f>($L2198-$J2198)*100</f>
        <v/>
      </c>
      <c r="BA2198" s="82">
        <f>(2*$H2198-$F2198-$J2198)*100</f>
        <v/>
      </c>
      <c r="BB2198" s="82">
        <f>(2*$J2198-$H2198-$L2198)*100</f>
        <v/>
      </c>
      <c r="BC2198" s="82">
        <f>($N2198-$F2198)*100</f>
        <v/>
      </c>
      <c r="BD2198" s="82">
        <f>($Q2198-$H2198)*100</f>
        <v/>
      </c>
      <c r="BE2198" s="82">
        <f>($S2198-$J2198)*100</f>
        <v/>
      </c>
      <c r="BF2198" s="82">
        <f>($V2198-$L2198)*100</f>
        <v/>
      </c>
      <c r="BG2198" s="82">
        <f>$AG2198-$AF2198</f>
        <v/>
      </c>
      <c r="BH2198" s="81">
        <f>IFERROR($AG2198/$AF2198,"")</f>
        <v/>
      </c>
      <c r="BI2198" s="82">
        <f>$AJ2198-$AF2198</f>
        <v/>
      </c>
      <c r="BJ2198" s="81">
        <f>IFERROR($AJ2198/$AG2198,"")</f>
        <v/>
      </c>
      <c r="BK2198" s="81">
        <f>$X2198</f>
        <v/>
      </c>
      <c r="BL2198" s="82">
        <f>($J2198-$J2199)*100</f>
        <v/>
      </c>
      <c r="BM2198" s="82">
        <f>($F2198-$F2199)*100</f>
        <v/>
      </c>
      <c r="BN2198" s="82">
        <f>$AF2198-$AF2199</f>
        <v/>
      </c>
      <c r="BO2198" s="82">
        <f>$AG2198-$AG2199</f>
        <v/>
      </c>
      <c r="BP2198" s="82">
        <f>$AJ2198-$AJ2199</f>
        <v/>
      </c>
    </row>
    <row r="2199">
      <c r="AR2199" s="81">
        <f>($G2199+($H2199-$G2199)*0.5)+($P2199-($O2199+($Q2199-$O2199)*0.5))</f>
        <v/>
      </c>
      <c r="AS2199" s="81">
        <f>($J2199+($K2199-$J2199)*0.5)+($T2199-($S2199+($U2199-$S2199)*0.5))</f>
        <v/>
      </c>
      <c r="AT2199" s="82">
        <f>($J2199-$C2199)*100</f>
        <v/>
      </c>
      <c r="AU2199" s="82">
        <f>($H2199-$F2199)*100</f>
        <v/>
      </c>
      <c r="AV2199" s="82">
        <f>($J2199-$F2199)*100</f>
        <v/>
      </c>
      <c r="AW2199" s="82">
        <f>($L2199-$F2199)*100</f>
        <v/>
      </c>
      <c r="AX2199" s="82">
        <f>($J2199-$H2199)*100</f>
        <v/>
      </c>
      <c r="AY2199" s="82">
        <f>($L2199-$H2199)*100</f>
        <v/>
      </c>
      <c r="AZ2199" s="82">
        <f>($L2199-$J2199)*100</f>
        <v/>
      </c>
      <c r="BA2199" s="82">
        <f>(2*$H2199-$F2199-$J2199)*100</f>
        <v/>
      </c>
      <c r="BB2199" s="82">
        <f>(2*$J2199-$H2199-$L2199)*100</f>
        <v/>
      </c>
      <c r="BC2199" s="82">
        <f>($N2199-$F2199)*100</f>
        <v/>
      </c>
      <c r="BD2199" s="82">
        <f>($Q2199-$H2199)*100</f>
        <v/>
      </c>
      <c r="BE2199" s="82">
        <f>($S2199-$J2199)*100</f>
        <v/>
      </c>
      <c r="BF2199" s="82">
        <f>($V2199-$L2199)*100</f>
        <v/>
      </c>
      <c r="BG2199" s="82">
        <f>$AG2199-$AF2199</f>
        <v/>
      </c>
      <c r="BH2199" s="81">
        <f>IFERROR($AG2199/$AF2199,"")</f>
        <v/>
      </c>
      <c r="BI2199" s="82">
        <f>$AJ2199-$AF2199</f>
        <v/>
      </c>
      <c r="BJ2199" s="81">
        <f>IFERROR($AJ2199/$AG2199,"")</f>
        <v/>
      </c>
      <c r="BK2199" s="81">
        <f>$X2199</f>
        <v/>
      </c>
      <c r="BL2199" s="82">
        <f>($J2199-$J2200)*100</f>
        <v/>
      </c>
      <c r="BM2199" s="82">
        <f>($F2199-$F2200)*100</f>
        <v/>
      </c>
      <c r="BN2199" s="82">
        <f>$AF2199-$AF2200</f>
        <v/>
      </c>
      <c r="BO2199" s="82">
        <f>$AG2199-$AG2200</f>
        <v/>
      </c>
      <c r="BP2199" s="82">
        <f>$AJ2199-$AJ2200</f>
        <v/>
      </c>
    </row>
    <row r="2200">
      <c r="AR2200" s="81">
        <f>($G2200+($H2200-$G2200)*0.5)+($P2200-($O2200+($Q2200-$O2200)*0.5))</f>
        <v/>
      </c>
      <c r="AS2200" s="81">
        <f>($J2200+($K2200-$J2200)*0.5)+($T2200-($S2200+($U2200-$S2200)*0.5))</f>
        <v/>
      </c>
      <c r="AT2200" s="82">
        <f>($J2200-$C2200)*100</f>
        <v/>
      </c>
      <c r="AU2200" s="82">
        <f>($H2200-$F2200)*100</f>
        <v/>
      </c>
      <c r="AV2200" s="82">
        <f>($J2200-$F2200)*100</f>
        <v/>
      </c>
      <c r="AW2200" s="82">
        <f>($L2200-$F2200)*100</f>
        <v/>
      </c>
      <c r="AX2200" s="82">
        <f>($J2200-$H2200)*100</f>
        <v/>
      </c>
      <c r="AY2200" s="82">
        <f>($L2200-$H2200)*100</f>
        <v/>
      </c>
      <c r="AZ2200" s="82">
        <f>($L2200-$J2200)*100</f>
        <v/>
      </c>
      <c r="BA2200" s="82">
        <f>(2*$H2200-$F2200-$J2200)*100</f>
        <v/>
      </c>
      <c r="BB2200" s="82">
        <f>(2*$J2200-$H2200-$L2200)*100</f>
        <v/>
      </c>
      <c r="BC2200" s="82">
        <f>($N2200-$F2200)*100</f>
        <v/>
      </c>
      <c r="BD2200" s="82">
        <f>($Q2200-$H2200)*100</f>
        <v/>
      </c>
      <c r="BE2200" s="82">
        <f>($S2200-$J2200)*100</f>
        <v/>
      </c>
      <c r="BF2200" s="82">
        <f>($V2200-$L2200)*100</f>
        <v/>
      </c>
      <c r="BG2200" s="82">
        <f>$AG2200-$AF2200</f>
        <v/>
      </c>
      <c r="BH2200" s="81">
        <f>IFERROR($AG2200/$AF2200,"")</f>
        <v/>
      </c>
      <c r="BI2200" s="82">
        <f>$AJ2200-$AF2200</f>
        <v/>
      </c>
      <c r="BJ2200" s="81">
        <f>IFERROR($AJ2200/$AG2200,"")</f>
        <v/>
      </c>
      <c r="BK2200" s="81">
        <f>$X2200</f>
        <v/>
      </c>
      <c r="BL2200" s="82">
        <f>($J2200-$J2201)*100</f>
        <v/>
      </c>
      <c r="BM2200" s="82">
        <f>($F2200-$F2201)*100</f>
        <v/>
      </c>
      <c r="BN2200" s="82">
        <f>$AF2200-$AF2201</f>
        <v/>
      </c>
      <c r="BO2200" s="82">
        <f>$AG2200-$AG2201</f>
        <v/>
      </c>
      <c r="BP2200" s="82">
        <f>$AJ2200-$AJ2201</f>
        <v/>
      </c>
    </row>
    <row r="2201">
      <c r="AR2201" s="81">
        <f>($G2201+($H2201-$G2201)*0.5)+($P2201-($O2201+($Q2201-$O2201)*0.5))</f>
        <v/>
      </c>
      <c r="AS2201" s="81">
        <f>($J2201+($K2201-$J2201)*0.5)+($T2201-($S2201+($U2201-$S2201)*0.5))</f>
        <v/>
      </c>
      <c r="AT2201" s="82">
        <f>($J2201-$C2201)*100</f>
        <v/>
      </c>
      <c r="AU2201" s="82">
        <f>($H2201-$F2201)*100</f>
        <v/>
      </c>
      <c r="AV2201" s="82">
        <f>($J2201-$F2201)*100</f>
        <v/>
      </c>
      <c r="AW2201" s="82">
        <f>($L2201-$F2201)*100</f>
        <v/>
      </c>
      <c r="AX2201" s="82">
        <f>($J2201-$H2201)*100</f>
        <v/>
      </c>
      <c r="AY2201" s="82">
        <f>($L2201-$H2201)*100</f>
        <v/>
      </c>
      <c r="AZ2201" s="82">
        <f>($L2201-$J2201)*100</f>
        <v/>
      </c>
      <c r="BA2201" s="82">
        <f>(2*$H2201-$F2201-$J2201)*100</f>
        <v/>
      </c>
      <c r="BB2201" s="82">
        <f>(2*$J2201-$H2201-$L2201)*100</f>
        <v/>
      </c>
      <c r="BC2201" s="82">
        <f>($N2201-$F2201)*100</f>
        <v/>
      </c>
      <c r="BD2201" s="82">
        <f>($Q2201-$H2201)*100</f>
        <v/>
      </c>
      <c r="BE2201" s="82">
        <f>($S2201-$J2201)*100</f>
        <v/>
      </c>
      <c r="BF2201" s="82">
        <f>($V2201-$L2201)*100</f>
        <v/>
      </c>
      <c r="BG2201" s="82">
        <f>$AG2201-$AF2201</f>
        <v/>
      </c>
      <c r="BH2201" s="81">
        <f>IFERROR($AG2201/$AF2201,"")</f>
        <v/>
      </c>
      <c r="BI2201" s="82">
        <f>$AJ2201-$AF2201</f>
        <v/>
      </c>
      <c r="BJ2201" s="81">
        <f>IFERROR($AJ2201/$AG2201,"")</f>
        <v/>
      </c>
      <c r="BK2201" s="81">
        <f>$X2201</f>
        <v/>
      </c>
      <c r="BL2201" s="82">
        <f>($J2201-$J2202)*100</f>
        <v/>
      </c>
      <c r="BM2201" s="82">
        <f>($F2201-$F2202)*100</f>
        <v/>
      </c>
      <c r="BN2201" s="82">
        <f>$AF2201-$AF2202</f>
        <v/>
      </c>
      <c r="BO2201" s="82">
        <f>$AG2201-$AG2202</f>
        <v/>
      </c>
      <c r="BP2201" s="82">
        <f>$AJ2201-$AJ2202</f>
        <v/>
      </c>
    </row>
    <row r="2202">
      <c r="AR2202" s="81">
        <f>($G2202+($H2202-$G2202)*0.5)+($P2202-($O2202+($Q2202-$O2202)*0.5))</f>
        <v/>
      </c>
      <c r="AS2202" s="81">
        <f>($J2202+($K2202-$J2202)*0.5)+($T2202-($S2202+($U2202-$S2202)*0.5))</f>
        <v/>
      </c>
      <c r="AT2202" s="82">
        <f>($J2202-$C2202)*100</f>
        <v/>
      </c>
      <c r="AU2202" s="82">
        <f>($H2202-$F2202)*100</f>
        <v/>
      </c>
      <c r="AV2202" s="82">
        <f>($J2202-$F2202)*100</f>
        <v/>
      </c>
      <c r="AW2202" s="82">
        <f>($L2202-$F2202)*100</f>
        <v/>
      </c>
      <c r="AX2202" s="82">
        <f>($J2202-$H2202)*100</f>
        <v/>
      </c>
      <c r="AY2202" s="82">
        <f>($L2202-$H2202)*100</f>
        <v/>
      </c>
      <c r="AZ2202" s="82">
        <f>($L2202-$J2202)*100</f>
        <v/>
      </c>
      <c r="BA2202" s="82">
        <f>(2*$H2202-$F2202-$J2202)*100</f>
        <v/>
      </c>
      <c r="BB2202" s="82">
        <f>(2*$J2202-$H2202-$L2202)*100</f>
        <v/>
      </c>
      <c r="BC2202" s="82">
        <f>($N2202-$F2202)*100</f>
        <v/>
      </c>
      <c r="BD2202" s="82">
        <f>($Q2202-$H2202)*100</f>
        <v/>
      </c>
      <c r="BE2202" s="82">
        <f>($S2202-$J2202)*100</f>
        <v/>
      </c>
      <c r="BF2202" s="82">
        <f>($V2202-$L2202)*100</f>
        <v/>
      </c>
      <c r="BG2202" s="82">
        <f>$AG2202-$AF2202</f>
        <v/>
      </c>
      <c r="BH2202" s="81">
        <f>IFERROR($AG2202/$AF2202,"")</f>
        <v/>
      </c>
      <c r="BI2202" s="82">
        <f>$AJ2202-$AF2202</f>
        <v/>
      </c>
      <c r="BJ2202" s="81">
        <f>IFERROR($AJ2202/$AG2202,"")</f>
        <v/>
      </c>
      <c r="BK2202" s="81">
        <f>$X2202</f>
        <v/>
      </c>
      <c r="BL2202" s="82">
        <f>($J2202-$J2203)*100</f>
        <v/>
      </c>
      <c r="BM2202" s="82">
        <f>($F2202-$F2203)*100</f>
        <v/>
      </c>
      <c r="BN2202" s="82">
        <f>$AF2202-$AF2203</f>
        <v/>
      </c>
      <c r="BO2202" s="82">
        <f>$AG2202-$AG2203</f>
        <v/>
      </c>
      <c r="BP2202" s="82">
        <f>$AJ2202-$AJ2203</f>
        <v/>
      </c>
    </row>
    <row r="2203">
      <c r="AR2203" s="81">
        <f>($G2203+($H2203-$G2203)*0.5)+($P2203-($O2203+($Q2203-$O2203)*0.5))</f>
        <v/>
      </c>
      <c r="AS2203" s="81">
        <f>($J2203+($K2203-$J2203)*0.5)+($T2203-($S2203+($U2203-$S2203)*0.5))</f>
        <v/>
      </c>
      <c r="AT2203" s="82">
        <f>($J2203-$C2203)*100</f>
        <v/>
      </c>
      <c r="AU2203" s="82">
        <f>($H2203-$F2203)*100</f>
        <v/>
      </c>
      <c r="AV2203" s="82">
        <f>($J2203-$F2203)*100</f>
        <v/>
      </c>
      <c r="AW2203" s="82">
        <f>($L2203-$F2203)*100</f>
        <v/>
      </c>
      <c r="AX2203" s="82">
        <f>($J2203-$H2203)*100</f>
        <v/>
      </c>
      <c r="AY2203" s="82">
        <f>($L2203-$H2203)*100</f>
        <v/>
      </c>
      <c r="AZ2203" s="82">
        <f>($L2203-$J2203)*100</f>
        <v/>
      </c>
      <c r="BA2203" s="82">
        <f>(2*$H2203-$F2203-$J2203)*100</f>
        <v/>
      </c>
      <c r="BB2203" s="82">
        <f>(2*$J2203-$H2203-$L2203)*100</f>
        <v/>
      </c>
      <c r="BC2203" s="82">
        <f>($N2203-$F2203)*100</f>
        <v/>
      </c>
      <c r="BD2203" s="82">
        <f>($Q2203-$H2203)*100</f>
        <v/>
      </c>
      <c r="BE2203" s="82">
        <f>($S2203-$J2203)*100</f>
        <v/>
      </c>
      <c r="BF2203" s="82">
        <f>($V2203-$L2203)*100</f>
        <v/>
      </c>
      <c r="BG2203" s="82">
        <f>$AG2203-$AF2203</f>
        <v/>
      </c>
      <c r="BH2203" s="81">
        <f>IFERROR($AG2203/$AF2203,"")</f>
        <v/>
      </c>
      <c r="BI2203" s="82">
        <f>$AJ2203-$AF2203</f>
        <v/>
      </c>
      <c r="BJ2203" s="81">
        <f>IFERROR($AJ2203/$AG2203,"")</f>
        <v/>
      </c>
      <c r="BK2203" s="81">
        <f>$X2203</f>
        <v/>
      </c>
      <c r="BL2203" s="82">
        <f>($J2203-$J2204)*100</f>
        <v/>
      </c>
      <c r="BM2203" s="82">
        <f>($F2203-$F2204)*100</f>
        <v/>
      </c>
      <c r="BN2203" s="82">
        <f>$AF2203-$AF2204</f>
        <v/>
      </c>
      <c r="BO2203" s="82">
        <f>$AG2203-$AG2204</f>
        <v/>
      </c>
      <c r="BP2203" s="82">
        <f>$AJ2203-$AJ2204</f>
        <v/>
      </c>
    </row>
    <row r="2204">
      <c r="AR2204" s="81">
        <f>($G2204+($H2204-$G2204)*0.5)+($P2204-($O2204+($Q2204-$O2204)*0.5))</f>
        <v/>
      </c>
      <c r="AS2204" s="81">
        <f>($J2204+($K2204-$J2204)*0.5)+($T2204-($S2204+($U2204-$S2204)*0.5))</f>
        <v/>
      </c>
      <c r="AT2204" s="82">
        <f>($J2204-$C2204)*100</f>
        <v/>
      </c>
      <c r="AU2204" s="82">
        <f>($H2204-$F2204)*100</f>
        <v/>
      </c>
      <c r="AV2204" s="82">
        <f>($J2204-$F2204)*100</f>
        <v/>
      </c>
      <c r="AW2204" s="82">
        <f>($L2204-$F2204)*100</f>
        <v/>
      </c>
      <c r="AX2204" s="82">
        <f>($J2204-$H2204)*100</f>
        <v/>
      </c>
      <c r="AY2204" s="82">
        <f>($L2204-$H2204)*100</f>
        <v/>
      </c>
      <c r="AZ2204" s="82">
        <f>($L2204-$J2204)*100</f>
        <v/>
      </c>
      <c r="BA2204" s="82">
        <f>(2*$H2204-$F2204-$J2204)*100</f>
        <v/>
      </c>
      <c r="BB2204" s="82">
        <f>(2*$J2204-$H2204-$L2204)*100</f>
        <v/>
      </c>
      <c r="BC2204" s="82">
        <f>($N2204-$F2204)*100</f>
        <v/>
      </c>
      <c r="BD2204" s="82">
        <f>($Q2204-$H2204)*100</f>
        <v/>
      </c>
      <c r="BE2204" s="82">
        <f>($S2204-$J2204)*100</f>
        <v/>
      </c>
      <c r="BF2204" s="82">
        <f>($V2204-$L2204)*100</f>
        <v/>
      </c>
      <c r="BG2204" s="82">
        <f>$AG2204-$AF2204</f>
        <v/>
      </c>
      <c r="BH2204" s="81">
        <f>IFERROR($AG2204/$AF2204,"")</f>
        <v/>
      </c>
      <c r="BI2204" s="82">
        <f>$AJ2204-$AF2204</f>
        <v/>
      </c>
      <c r="BJ2204" s="81">
        <f>IFERROR($AJ2204/$AG2204,"")</f>
        <v/>
      </c>
      <c r="BK2204" s="81">
        <f>$X2204</f>
        <v/>
      </c>
      <c r="BL2204" s="82">
        <f>($J2204-$J2205)*100</f>
        <v/>
      </c>
      <c r="BM2204" s="82">
        <f>($F2204-$F2205)*100</f>
        <v/>
      </c>
      <c r="BN2204" s="82">
        <f>$AF2204-$AF2205</f>
        <v/>
      </c>
      <c r="BO2204" s="82">
        <f>$AG2204-$AG2205</f>
        <v/>
      </c>
      <c r="BP2204" s="82">
        <f>$AJ2204-$AJ2205</f>
        <v/>
      </c>
    </row>
    <row r="2205">
      <c r="AR2205" s="81">
        <f>($G2205+($H2205-$G2205)*0.5)+($P2205-($O2205+($Q2205-$O2205)*0.5))</f>
        <v/>
      </c>
      <c r="AS2205" s="81">
        <f>($J2205+($K2205-$J2205)*0.5)+($T2205-($S2205+($U2205-$S2205)*0.5))</f>
        <v/>
      </c>
      <c r="AT2205" s="82">
        <f>($J2205-$C2205)*100</f>
        <v/>
      </c>
      <c r="AU2205" s="82">
        <f>($H2205-$F2205)*100</f>
        <v/>
      </c>
      <c r="AV2205" s="82">
        <f>($J2205-$F2205)*100</f>
        <v/>
      </c>
      <c r="AW2205" s="82">
        <f>($L2205-$F2205)*100</f>
        <v/>
      </c>
      <c r="AX2205" s="82">
        <f>($J2205-$H2205)*100</f>
        <v/>
      </c>
      <c r="AY2205" s="82">
        <f>($L2205-$H2205)*100</f>
        <v/>
      </c>
      <c r="AZ2205" s="82">
        <f>($L2205-$J2205)*100</f>
        <v/>
      </c>
      <c r="BA2205" s="82">
        <f>(2*$H2205-$F2205-$J2205)*100</f>
        <v/>
      </c>
      <c r="BB2205" s="82">
        <f>(2*$J2205-$H2205-$L2205)*100</f>
        <v/>
      </c>
      <c r="BC2205" s="82">
        <f>($N2205-$F2205)*100</f>
        <v/>
      </c>
      <c r="BD2205" s="82">
        <f>($Q2205-$H2205)*100</f>
        <v/>
      </c>
      <c r="BE2205" s="82">
        <f>($S2205-$J2205)*100</f>
        <v/>
      </c>
      <c r="BF2205" s="82">
        <f>($V2205-$L2205)*100</f>
        <v/>
      </c>
      <c r="BG2205" s="82">
        <f>$AG2205-$AF2205</f>
        <v/>
      </c>
      <c r="BH2205" s="81">
        <f>IFERROR($AG2205/$AF2205,"")</f>
        <v/>
      </c>
      <c r="BI2205" s="82">
        <f>$AJ2205-$AF2205</f>
        <v/>
      </c>
      <c r="BJ2205" s="81">
        <f>IFERROR($AJ2205/$AG2205,"")</f>
        <v/>
      </c>
      <c r="BK2205" s="81">
        <f>$X2205</f>
        <v/>
      </c>
      <c r="BL2205" s="82">
        <f>($J2205-$J2206)*100</f>
        <v/>
      </c>
      <c r="BM2205" s="82">
        <f>($F2205-$F2206)*100</f>
        <v/>
      </c>
      <c r="BN2205" s="82">
        <f>$AF2205-$AF2206</f>
        <v/>
      </c>
      <c r="BO2205" s="82">
        <f>$AG2205-$AG2206</f>
        <v/>
      </c>
      <c r="BP2205" s="82">
        <f>$AJ2205-$AJ2206</f>
        <v/>
      </c>
    </row>
    <row r="2206">
      <c r="AR2206" s="81">
        <f>($G2206+($H2206-$G2206)*0.5)+($P2206-($O2206+($Q2206-$O2206)*0.5))</f>
        <v/>
      </c>
      <c r="AS2206" s="81">
        <f>($J2206+($K2206-$J2206)*0.5)+($T2206-($S2206+($U2206-$S2206)*0.5))</f>
        <v/>
      </c>
      <c r="AT2206" s="82">
        <f>($J2206-$C2206)*100</f>
        <v/>
      </c>
      <c r="AU2206" s="82">
        <f>($H2206-$F2206)*100</f>
        <v/>
      </c>
      <c r="AV2206" s="82">
        <f>($J2206-$F2206)*100</f>
        <v/>
      </c>
      <c r="AW2206" s="82">
        <f>($L2206-$F2206)*100</f>
        <v/>
      </c>
      <c r="AX2206" s="82">
        <f>($J2206-$H2206)*100</f>
        <v/>
      </c>
      <c r="AY2206" s="82">
        <f>($L2206-$H2206)*100</f>
        <v/>
      </c>
      <c r="AZ2206" s="82">
        <f>($L2206-$J2206)*100</f>
        <v/>
      </c>
      <c r="BA2206" s="82">
        <f>(2*$H2206-$F2206-$J2206)*100</f>
        <v/>
      </c>
      <c r="BB2206" s="82">
        <f>(2*$J2206-$H2206-$L2206)*100</f>
        <v/>
      </c>
      <c r="BC2206" s="82">
        <f>($N2206-$F2206)*100</f>
        <v/>
      </c>
      <c r="BD2206" s="82">
        <f>($Q2206-$H2206)*100</f>
        <v/>
      </c>
      <c r="BE2206" s="82">
        <f>($S2206-$J2206)*100</f>
        <v/>
      </c>
      <c r="BF2206" s="82">
        <f>($V2206-$L2206)*100</f>
        <v/>
      </c>
      <c r="BG2206" s="82">
        <f>$AG2206-$AF2206</f>
        <v/>
      </c>
      <c r="BH2206" s="81">
        <f>IFERROR($AG2206/$AF2206,"")</f>
        <v/>
      </c>
      <c r="BI2206" s="82">
        <f>$AJ2206-$AF2206</f>
        <v/>
      </c>
      <c r="BJ2206" s="81">
        <f>IFERROR($AJ2206/$AG2206,"")</f>
        <v/>
      </c>
      <c r="BK2206" s="81">
        <f>$X2206</f>
        <v/>
      </c>
      <c r="BL2206" s="82">
        <f>($J2206-$J2207)*100</f>
        <v/>
      </c>
      <c r="BM2206" s="82">
        <f>($F2206-$F2207)*100</f>
        <v/>
      </c>
      <c r="BN2206" s="82">
        <f>$AF2206-$AF2207</f>
        <v/>
      </c>
      <c r="BO2206" s="82">
        <f>$AG2206-$AG2207</f>
        <v/>
      </c>
      <c r="BP2206" s="82">
        <f>$AJ2206-$AJ2207</f>
        <v/>
      </c>
    </row>
    <row r="2207">
      <c r="AR2207" s="81">
        <f>($G2207+($H2207-$G2207)*0.5)+($P2207-($O2207+($Q2207-$O2207)*0.5))</f>
        <v/>
      </c>
      <c r="AS2207" s="81">
        <f>($J2207+($K2207-$J2207)*0.5)+($T2207-($S2207+($U2207-$S2207)*0.5))</f>
        <v/>
      </c>
      <c r="AT2207" s="82">
        <f>($J2207-$C2207)*100</f>
        <v/>
      </c>
      <c r="AU2207" s="82">
        <f>($H2207-$F2207)*100</f>
        <v/>
      </c>
      <c r="AV2207" s="82">
        <f>($J2207-$F2207)*100</f>
        <v/>
      </c>
      <c r="AW2207" s="82">
        <f>($L2207-$F2207)*100</f>
        <v/>
      </c>
      <c r="AX2207" s="82">
        <f>($J2207-$H2207)*100</f>
        <v/>
      </c>
      <c r="AY2207" s="82">
        <f>($L2207-$H2207)*100</f>
        <v/>
      </c>
      <c r="AZ2207" s="82">
        <f>($L2207-$J2207)*100</f>
        <v/>
      </c>
      <c r="BA2207" s="82">
        <f>(2*$H2207-$F2207-$J2207)*100</f>
        <v/>
      </c>
      <c r="BB2207" s="82">
        <f>(2*$J2207-$H2207-$L2207)*100</f>
        <v/>
      </c>
      <c r="BC2207" s="82">
        <f>($N2207-$F2207)*100</f>
        <v/>
      </c>
      <c r="BD2207" s="82">
        <f>($Q2207-$H2207)*100</f>
        <v/>
      </c>
      <c r="BE2207" s="82">
        <f>($S2207-$J2207)*100</f>
        <v/>
      </c>
      <c r="BF2207" s="82">
        <f>($V2207-$L2207)*100</f>
        <v/>
      </c>
      <c r="BG2207" s="82">
        <f>$AG2207-$AF2207</f>
        <v/>
      </c>
      <c r="BH2207" s="81">
        <f>IFERROR($AG2207/$AF2207,"")</f>
        <v/>
      </c>
      <c r="BI2207" s="82">
        <f>$AJ2207-$AF2207</f>
        <v/>
      </c>
      <c r="BJ2207" s="81">
        <f>IFERROR($AJ2207/$AG2207,"")</f>
        <v/>
      </c>
      <c r="BK2207" s="81">
        <f>$X2207</f>
        <v/>
      </c>
      <c r="BL2207" s="82">
        <f>($J2207-$J2208)*100</f>
        <v/>
      </c>
      <c r="BM2207" s="82">
        <f>($F2207-$F2208)*100</f>
        <v/>
      </c>
      <c r="BN2207" s="82">
        <f>$AF2207-$AF2208</f>
        <v/>
      </c>
      <c r="BO2207" s="82">
        <f>$AG2207-$AG2208</f>
        <v/>
      </c>
      <c r="BP2207" s="82">
        <f>$AJ2207-$AJ2208</f>
        <v/>
      </c>
    </row>
    <row r="2208">
      <c r="AR2208" s="81">
        <f>($G2208+($H2208-$G2208)*0.5)+($P2208-($O2208+($Q2208-$O2208)*0.5))</f>
        <v/>
      </c>
      <c r="AS2208" s="81">
        <f>($J2208+($K2208-$J2208)*0.5)+($T2208-($S2208+($U2208-$S2208)*0.5))</f>
        <v/>
      </c>
      <c r="AT2208" s="82">
        <f>($J2208-$C2208)*100</f>
        <v/>
      </c>
      <c r="AU2208" s="82">
        <f>($H2208-$F2208)*100</f>
        <v/>
      </c>
      <c r="AV2208" s="82">
        <f>($J2208-$F2208)*100</f>
        <v/>
      </c>
      <c r="AW2208" s="82">
        <f>($L2208-$F2208)*100</f>
        <v/>
      </c>
      <c r="AX2208" s="82">
        <f>($J2208-$H2208)*100</f>
        <v/>
      </c>
      <c r="AY2208" s="82">
        <f>($L2208-$H2208)*100</f>
        <v/>
      </c>
      <c r="AZ2208" s="82">
        <f>($L2208-$J2208)*100</f>
        <v/>
      </c>
      <c r="BA2208" s="82">
        <f>(2*$H2208-$F2208-$J2208)*100</f>
        <v/>
      </c>
      <c r="BB2208" s="82">
        <f>(2*$J2208-$H2208-$L2208)*100</f>
        <v/>
      </c>
      <c r="BC2208" s="82">
        <f>($N2208-$F2208)*100</f>
        <v/>
      </c>
      <c r="BD2208" s="82">
        <f>($Q2208-$H2208)*100</f>
        <v/>
      </c>
      <c r="BE2208" s="82">
        <f>($S2208-$J2208)*100</f>
        <v/>
      </c>
      <c r="BF2208" s="82">
        <f>($V2208-$L2208)*100</f>
        <v/>
      </c>
      <c r="BG2208" s="82">
        <f>$AG2208-$AF2208</f>
        <v/>
      </c>
      <c r="BH2208" s="81">
        <f>IFERROR($AG2208/$AF2208,"")</f>
        <v/>
      </c>
      <c r="BI2208" s="82">
        <f>$AJ2208-$AF2208</f>
        <v/>
      </c>
      <c r="BJ2208" s="81">
        <f>IFERROR($AJ2208/$AG2208,"")</f>
        <v/>
      </c>
      <c r="BK2208" s="81">
        <f>$X2208</f>
        <v/>
      </c>
      <c r="BL2208" s="82">
        <f>($J2208-$J2209)*100</f>
        <v/>
      </c>
      <c r="BM2208" s="82">
        <f>($F2208-$F2209)*100</f>
        <v/>
      </c>
      <c r="BN2208" s="82">
        <f>$AF2208-$AF2209</f>
        <v/>
      </c>
      <c r="BO2208" s="82">
        <f>$AG2208-$AG2209</f>
        <v/>
      </c>
      <c r="BP2208" s="82">
        <f>$AJ2208-$AJ2209</f>
        <v/>
      </c>
    </row>
    <row r="2209">
      <c r="AR2209" s="81">
        <f>($G2209+($H2209-$G2209)*0.5)+($P2209-($O2209+($Q2209-$O2209)*0.5))</f>
        <v/>
      </c>
      <c r="AS2209" s="81">
        <f>($J2209+($K2209-$J2209)*0.5)+($T2209-($S2209+($U2209-$S2209)*0.5))</f>
        <v/>
      </c>
      <c r="AT2209" s="82">
        <f>($J2209-$C2209)*100</f>
        <v/>
      </c>
      <c r="AU2209" s="82">
        <f>($H2209-$F2209)*100</f>
        <v/>
      </c>
      <c r="AV2209" s="82">
        <f>($J2209-$F2209)*100</f>
        <v/>
      </c>
      <c r="AW2209" s="82">
        <f>($L2209-$F2209)*100</f>
        <v/>
      </c>
      <c r="AX2209" s="82">
        <f>($J2209-$H2209)*100</f>
        <v/>
      </c>
      <c r="AY2209" s="82">
        <f>($L2209-$H2209)*100</f>
        <v/>
      </c>
      <c r="AZ2209" s="82">
        <f>($L2209-$J2209)*100</f>
        <v/>
      </c>
      <c r="BA2209" s="82">
        <f>(2*$H2209-$F2209-$J2209)*100</f>
        <v/>
      </c>
      <c r="BB2209" s="82">
        <f>(2*$J2209-$H2209-$L2209)*100</f>
        <v/>
      </c>
      <c r="BC2209" s="82">
        <f>($N2209-$F2209)*100</f>
        <v/>
      </c>
      <c r="BD2209" s="82">
        <f>($Q2209-$H2209)*100</f>
        <v/>
      </c>
      <c r="BE2209" s="82">
        <f>($S2209-$J2209)*100</f>
        <v/>
      </c>
      <c r="BF2209" s="82">
        <f>($V2209-$L2209)*100</f>
        <v/>
      </c>
      <c r="BG2209" s="82">
        <f>$AG2209-$AF2209</f>
        <v/>
      </c>
      <c r="BH2209" s="81">
        <f>IFERROR($AG2209/$AF2209,"")</f>
        <v/>
      </c>
      <c r="BI2209" s="82">
        <f>$AJ2209-$AF2209</f>
        <v/>
      </c>
      <c r="BJ2209" s="81">
        <f>IFERROR($AJ2209/$AG2209,"")</f>
        <v/>
      </c>
      <c r="BK2209" s="81">
        <f>$X2209</f>
        <v/>
      </c>
      <c r="BL2209" s="82">
        <f>($J2209-$J2210)*100</f>
        <v/>
      </c>
      <c r="BM2209" s="82">
        <f>($F2209-$F2210)*100</f>
        <v/>
      </c>
      <c r="BN2209" s="82">
        <f>$AF2209-$AF2210</f>
        <v/>
      </c>
      <c r="BO2209" s="82">
        <f>$AG2209-$AG2210</f>
        <v/>
      </c>
      <c r="BP2209" s="82">
        <f>$AJ2209-$AJ2210</f>
        <v/>
      </c>
    </row>
    <row r="2210">
      <c r="AR2210" s="81">
        <f>($G2210+($H2210-$G2210)*0.5)+($P2210-($O2210+($Q2210-$O2210)*0.5))</f>
        <v/>
      </c>
      <c r="AS2210" s="81">
        <f>($J2210+($K2210-$J2210)*0.5)+($T2210-($S2210+($U2210-$S2210)*0.5))</f>
        <v/>
      </c>
      <c r="AT2210" s="82">
        <f>($J2210-$C2210)*100</f>
        <v/>
      </c>
      <c r="AU2210" s="82">
        <f>($H2210-$F2210)*100</f>
        <v/>
      </c>
      <c r="AV2210" s="82">
        <f>($J2210-$F2210)*100</f>
        <v/>
      </c>
      <c r="AW2210" s="82">
        <f>($L2210-$F2210)*100</f>
        <v/>
      </c>
      <c r="AX2210" s="82">
        <f>($J2210-$H2210)*100</f>
        <v/>
      </c>
      <c r="AY2210" s="82">
        <f>($L2210-$H2210)*100</f>
        <v/>
      </c>
      <c r="AZ2210" s="82">
        <f>($L2210-$J2210)*100</f>
        <v/>
      </c>
      <c r="BA2210" s="82">
        <f>(2*$H2210-$F2210-$J2210)*100</f>
        <v/>
      </c>
      <c r="BB2210" s="82">
        <f>(2*$J2210-$H2210-$L2210)*100</f>
        <v/>
      </c>
      <c r="BC2210" s="82">
        <f>($N2210-$F2210)*100</f>
        <v/>
      </c>
      <c r="BD2210" s="82">
        <f>($Q2210-$H2210)*100</f>
        <v/>
      </c>
      <c r="BE2210" s="82">
        <f>($S2210-$J2210)*100</f>
        <v/>
      </c>
      <c r="BF2210" s="82">
        <f>($V2210-$L2210)*100</f>
        <v/>
      </c>
      <c r="BG2210" s="82">
        <f>$AG2210-$AF2210</f>
        <v/>
      </c>
      <c r="BH2210" s="81">
        <f>IFERROR($AG2210/$AF2210,"")</f>
        <v/>
      </c>
      <c r="BI2210" s="82">
        <f>$AJ2210-$AF2210</f>
        <v/>
      </c>
      <c r="BJ2210" s="81">
        <f>IFERROR($AJ2210/$AG2210,"")</f>
        <v/>
      </c>
      <c r="BK2210" s="81">
        <f>$X2210</f>
        <v/>
      </c>
      <c r="BL2210" s="82">
        <f>($J2210-$J2211)*100</f>
        <v/>
      </c>
      <c r="BM2210" s="82">
        <f>($F2210-$F2211)*100</f>
        <v/>
      </c>
      <c r="BN2210" s="82">
        <f>$AF2210-$AF2211</f>
        <v/>
      </c>
      <c r="BO2210" s="82">
        <f>$AG2210-$AG2211</f>
        <v/>
      </c>
      <c r="BP2210" s="82">
        <f>$AJ2210-$AJ2211</f>
        <v/>
      </c>
    </row>
    <row r="2211">
      <c r="AR2211" s="81">
        <f>($G2211+($H2211-$G2211)*0.5)+($P2211-($O2211+($Q2211-$O2211)*0.5))</f>
        <v/>
      </c>
      <c r="AS2211" s="81">
        <f>($J2211+($K2211-$J2211)*0.5)+($T2211-($S2211+($U2211-$S2211)*0.5))</f>
        <v/>
      </c>
      <c r="AT2211" s="82">
        <f>($J2211-$C2211)*100</f>
        <v/>
      </c>
      <c r="AU2211" s="82">
        <f>($H2211-$F2211)*100</f>
        <v/>
      </c>
      <c r="AV2211" s="82">
        <f>($J2211-$F2211)*100</f>
        <v/>
      </c>
      <c r="AW2211" s="82">
        <f>($L2211-$F2211)*100</f>
        <v/>
      </c>
      <c r="AX2211" s="82">
        <f>($J2211-$H2211)*100</f>
        <v/>
      </c>
      <c r="AY2211" s="82">
        <f>($L2211-$H2211)*100</f>
        <v/>
      </c>
      <c r="AZ2211" s="82">
        <f>($L2211-$J2211)*100</f>
        <v/>
      </c>
      <c r="BA2211" s="82">
        <f>(2*$H2211-$F2211-$J2211)*100</f>
        <v/>
      </c>
      <c r="BB2211" s="82">
        <f>(2*$J2211-$H2211-$L2211)*100</f>
        <v/>
      </c>
      <c r="BC2211" s="82">
        <f>($N2211-$F2211)*100</f>
        <v/>
      </c>
      <c r="BD2211" s="82">
        <f>($Q2211-$H2211)*100</f>
        <v/>
      </c>
      <c r="BE2211" s="82">
        <f>($S2211-$J2211)*100</f>
        <v/>
      </c>
      <c r="BF2211" s="82">
        <f>($V2211-$L2211)*100</f>
        <v/>
      </c>
      <c r="BG2211" s="82">
        <f>$AG2211-$AF2211</f>
        <v/>
      </c>
      <c r="BH2211" s="81">
        <f>IFERROR($AG2211/$AF2211,"")</f>
        <v/>
      </c>
      <c r="BI2211" s="82">
        <f>$AJ2211-$AF2211</f>
        <v/>
      </c>
      <c r="BJ2211" s="81">
        <f>IFERROR($AJ2211/$AG2211,"")</f>
        <v/>
      </c>
      <c r="BK2211" s="81">
        <f>$X2211</f>
        <v/>
      </c>
      <c r="BL2211" s="82">
        <f>($J2211-$J2212)*100</f>
        <v/>
      </c>
      <c r="BM2211" s="82">
        <f>($F2211-$F2212)*100</f>
        <v/>
      </c>
      <c r="BN2211" s="82">
        <f>$AF2211-$AF2212</f>
        <v/>
      </c>
      <c r="BO2211" s="82">
        <f>$AG2211-$AG2212</f>
        <v/>
      </c>
      <c r="BP2211" s="82">
        <f>$AJ2211-$AJ2212</f>
        <v/>
      </c>
    </row>
    <row r="2212">
      <c r="AR2212" s="81">
        <f>($G2212+($H2212-$G2212)*0.5)+($P2212-($O2212+($Q2212-$O2212)*0.5))</f>
        <v/>
      </c>
      <c r="AS2212" s="81">
        <f>($J2212+($K2212-$J2212)*0.5)+($T2212-($S2212+($U2212-$S2212)*0.5))</f>
        <v/>
      </c>
      <c r="AT2212" s="82">
        <f>($J2212-$C2212)*100</f>
        <v/>
      </c>
      <c r="AU2212" s="82">
        <f>($H2212-$F2212)*100</f>
        <v/>
      </c>
      <c r="AV2212" s="82">
        <f>($J2212-$F2212)*100</f>
        <v/>
      </c>
      <c r="AW2212" s="82">
        <f>($L2212-$F2212)*100</f>
        <v/>
      </c>
      <c r="AX2212" s="82">
        <f>($J2212-$H2212)*100</f>
        <v/>
      </c>
      <c r="AY2212" s="82">
        <f>($L2212-$H2212)*100</f>
        <v/>
      </c>
      <c r="AZ2212" s="82">
        <f>($L2212-$J2212)*100</f>
        <v/>
      </c>
      <c r="BA2212" s="82">
        <f>(2*$H2212-$F2212-$J2212)*100</f>
        <v/>
      </c>
      <c r="BB2212" s="82">
        <f>(2*$J2212-$H2212-$L2212)*100</f>
        <v/>
      </c>
      <c r="BC2212" s="82">
        <f>($N2212-$F2212)*100</f>
        <v/>
      </c>
      <c r="BD2212" s="82">
        <f>($Q2212-$H2212)*100</f>
        <v/>
      </c>
      <c r="BE2212" s="82">
        <f>($S2212-$J2212)*100</f>
        <v/>
      </c>
      <c r="BF2212" s="82">
        <f>($V2212-$L2212)*100</f>
        <v/>
      </c>
      <c r="BG2212" s="82">
        <f>$AG2212-$AF2212</f>
        <v/>
      </c>
      <c r="BH2212" s="81">
        <f>IFERROR($AG2212/$AF2212,"")</f>
        <v/>
      </c>
      <c r="BI2212" s="82">
        <f>$AJ2212-$AF2212</f>
        <v/>
      </c>
      <c r="BJ2212" s="81">
        <f>IFERROR($AJ2212/$AG2212,"")</f>
        <v/>
      </c>
      <c r="BK2212" s="81">
        <f>$X2212</f>
        <v/>
      </c>
      <c r="BL2212" s="82">
        <f>($J2212-$J2213)*100</f>
        <v/>
      </c>
      <c r="BM2212" s="82">
        <f>($F2212-$F2213)*100</f>
        <v/>
      </c>
      <c r="BN2212" s="82">
        <f>$AF2212-$AF2213</f>
        <v/>
      </c>
      <c r="BO2212" s="82">
        <f>$AG2212-$AG2213</f>
        <v/>
      </c>
      <c r="BP2212" s="82">
        <f>$AJ2212-$AJ2213</f>
        <v/>
      </c>
    </row>
    <row r="2213">
      <c r="AR2213" s="81">
        <f>($G2213+($H2213-$G2213)*0.5)+($P2213-($O2213+($Q2213-$O2213)*0.5))</f>
        <v/>
      </c>
      <c r="AS2213" s="81">
        <f>($J2213+($K2213-$J2213)*0.5)+($T2213-($S2213+($U2213-$S2213)*0.5))</f>
        <v/>
      </c>
      <c r="AT2213" s="82">
        <f>($J2213-$C2213)*100</f>
        <v/>
      </c>
      <c r="AU2213" s="82">
        <f>($H2213-$F2213)*100</f>
        <v/>
      </c>
      <c r="AV2213" s="82">
        <f>($J2213-$F2213)*100</f>
        <v/>
      </c>
      <c r="AW2213" s="82">
        <f>($L2213-$F2213)*100</f>
        <v/>
      </c>
      <c r="AX2213" s="82">
        <f>($J2213-$H2213)*100</f>
        <v/>
      </c>
      <c r="AY2213" s="82">
        <f>($L2213-$H2213)*100</f>
        <v/>
      </c>
      <c r="AZ2213" s="82">
        <f>($L2213-$J2213)*100</f>
        <v/>
      </c>
      <c r="BA2213" s="82">
        <f>(2*$H2213-$F2213-$J2213)*100</f>
        <v/>
      </c>
      <c r="BB2213" s="82">
        <f>(2*$J2213-$H2213-$L2213)*100</f>
        <v/>
      </c>
      <c r="BC2213" s="82">
        <f>($N2213-$F2213)*100</f>
        <v/>
      </c>
      <c r="BD2213" s="82">
        <f>($Q2213-$H2213)*100</f>
        <v/>
      </c>
      <c r="BE2213" s="82">
        <f>($S2213-$J2213)*100</f>
        <v/>
      </c>
      <c r="BF2213" s="82">
        <f>($V2213-$L2213)*100</f>
        <v/>
      </c>
      <c r="BG2213" s="82">
        <f>$AG2213-$AF2213</f>
        <v/>
      </c>
      <c r="BH2213" s="81">
        <f>IFERROR($AG2213/$AF2213,"")</f>
        <v/>
      </c>
      <c r="BI2213" s="82">
        <f>$AJ2213-$AF2213</f>
        <v/>
      </c>
      <c r="BJ2213" s="81">
        <f>IFERROR($AJ2213/$AG2213,"")</f>
        <v/>
      </c>
      <c r="BK2213" s="81">
        <f>$X2213</f>
        <v/>
      </c>
      <c r="BL2213" s="82">
        <f>($J2213-$J2214)*100</f>
        <v/>
      </c>
      <c r="BM2213" s="82">
        <f>($F2213-$F2214)*100</f>
        <v/>
      </c>
      <c r="BN2213" s="82">
        <f>$AF2213-$AF2214</f>
        <v/>
      </c>
      <c r="BO2213" s="82">
        <f>$AG2213-$AG2214</f>
        <v/>
      </c>
      <c r="BP2213" s="82">
        <f>$AJ2213-$AJ2214</f>
        <v/>
      </c>
    </row>
    <row r="2214">
      <c r="AR2214" s="81">
        <f>($G2214+($H2214-$G2214)*0.5)+($P2214-($O2214+($Q2214-$O2214)*0.5))</f>
        <v/>
      </c>
      <c r="AS2214" s="81">
        <f>($J2214+($K2214-$J2214)*0.5)+($T2214-($S2214+($U2214-$S2214)*0.5))</f>
        <v/>
      </c>
      <c r="AT2214" s="82">
        <f>($J2214-$C2214)*100</f>
        <v/>
      </c>
      <c r="AU2214" s="82">
        <f>($H2214-$F2214)*100</f>
        <v/>
      </c>
      <c r="AV2214" s="82">
        <f>($J2214-$F2214)*100</f>
        <v/>
      </c>
      <c r="AW2214" s="82">
        <f>($L2214-$F2214)*100</f>
        <v/>
      </c>
      <c r="AX2214" s="82">
        <f>($J2214-$H2214)*100</f>
        <v/>
      </c>
      <c r="AY2214" s="82">
        <f>($L2214-$H2214)*100</f>
        <v/>
      </c>
      <c r="AZ2214" s="82">
        <f>($L2214-$J2214)*100</f>
        <v/>
      </c>
      <c r="BA2214" s="82">
        <f>(2*$H2214-$F2214-$J2214)*100</f>
        <v/>
      </c>
      <c r="BB2214" s="82">
        <f>(2*$J2214-$H2214-$L2214)*100</f>
        <v/>
      </c>
      <c r="BC2214" s="82">
        <f>($N2214-$F2214)*100</f>
        <v/>
      </c>
      <c r="BD2214" s="82">
        <f>($Q2214-$H2214)*100</f>
        <v/>
      </c>
      <c r="BE2214" s="82">
        <f>($S2214-$J2214)*100</f>
        <v/>
      </c>
      <c r="BF2214" s="82">
        <f>($V2214-$L2214)*100</f>
        <v/>
      </c>
      <c r="BG2214" s="82">
        <f>$AG2214-$AF2214</f>
        <v/>
      </c>
      <c r="BH2214" s="81">
        <f>IFERROR($AG2214/$AF2214,"")</f>
        <v/>
      </c>
      <c r="BI2214" s="82">
        <f>$AJ2214-$AF2214</f>
        <v/>
      </c>
      <c r="BJ2214" s="81">
        <f>IFERROR($AJ2214/$AG2214,"")</f>
        <v/>
      </c>
      <c r="BK2214" s="81">
        <f>$X2214</f>
        <v/>
      </c>
      <c r="BL2214" s="82">
        <f>($J2214-$J2215)*100</f>
        <v/>
      </c>
      <c r="BM2214" s="82">
        <f>($F2214-$F2215)*100</f>
        <v/>
      </c>
      <c r="BN2214" s="82">
        <f>$AF2214-$AF2215</f>
        <v/>
      </c>
      <c r="BO2214" s="82">
        <f>$AG2214-$AG2215</f>
        <v/>
      </c>
      <c r="BP2214" s="82">
        <f>$AJ2214-$AJ2215</f>
        <v/>
      </c>
    </row>
    <row r="2215">
      <c r="AR2215" s="81">
        <f>($G2215+($H2215-$G2215)*0.5)+($P2215-($O2215+($Q2215-$O2215)*0.5))</f>
        <v/>
      </c>
      <c r="AS2215" s="81">
        <f>($J2215+($K2215-$J2215)*0.5)+($T2215-($S2215+($U2215-$S2215)*0.5))</f>
        <v/>
      </c>
      <c r="AT2215" s="82">
        <f>($J2215-$C2215)*100</f>
        <v/>
      </c>
      <c r="AU2215" s="82">
        <f>($H2215-$F2215)*100</f>
        <v/>
      </c>
      <c r="AV2215" s="82">
        <f>($J2215-$F2215)*100</f>
        <v/>
      </c>
      <c r="AW2215" s="82">
        <f>($L2215-$F2215)*100</f>
        <v/>
      </c>
      <c r="AX2215" s="82">
        <f>($J2215-$H2215)*100</f>
        <v/>
      </c>
      <c r="AY2215" s="82">
        <f>($L2215-$H2215)*100</f>
        <v/>
      </c>
      <c r="AZ2215" s="82">
        <f>($L2215-$J2215)*100</f>
        <v/>
      </c>
      <c r="BA2215" s="82">
        <f>(2*$H2215-$F2215-$J2215)*100</f>
        <v/>
      </c>
      <c r="BB2215" s="82">
        <f>(2*$J2215-$H2215-$L2215)*100</f>
        <v/>
      </c>
      <c r="BC2215" s="82">
        <f>($N2215-$F2215)*100</f>
        <v/>
      </c>
      <c r="BD2215" s="82">
        <f>($Q2215-$H2215)*100</f>
        <v/>
      </c>
      <c r="BE2215" s="82">
        <f>($S2215-$J2215)*100</f>
        <v/>
      </c>
      <c r="BF2215" s="82">
        <f>($V2215-$L2215)*100</f>
        <v/>
      </c>
      <c r="BG2215" s="82">
        <f>$AG2215-$AF2215</f>
        <v/>
      </c>
      <c r="BH2215" s="81">
        <f>IFERROR($AG2215/$AF2215,"")</f>
        <v/>
      </c>
      <c r="BI2215" s="82">
        <f>$AJ2215-$AF2215</f>
        <v/>
      </c>
      <c r="BJ2215" s="81">
        <f>IFERROR($AJ2215/$AG2215,"")</f>
        <v/>
      </c>
      <c r="BK2215" s="81">
        <f>$X2215</f>
        <v/>
      </c>
      <c r="BL2215" s="82">
        <f>($J2215-$J2216)*100</f>
        <v/>
      </c>
      <c r="BM2215" s="82">
        <f>($F2215-$F2216)*100</f>
        <v/>
      </c>
      <c r="BN2215" s="82">
        <f>$AF2215-$AF2216</f>
        <v/>
      </c>
      <c r="BO2215" s="82">
        <f>$AG2215-$AG2216</f>
        <v/>
      </c>
      <c r="BP2215" s="82">
        <f>$AJ2215-$AJ2216</f>
        <v/>
      </c>
    </row>
    <row r="2216">
      <c r="AR2216" s="81">
        <f>($G2216+($H2216-$G2216)*0.5)+($P2216-($O2216+($Q2216-$O2216)*0.5))</f>
        <v/>
      </c>
      <c r="AS2216" s="81">
        <f>($J2216+($K2216-$J2216)*0.5)+($T2216-($S2216+($U2216-$S2216)*0.5))</f>
        <v/>
      </c>
      <c r="AT2216" s="82">
        <f>($J2216-$C2216)*100</f>
        <v/>
      </c>
      <c r="AU2216" s="82">
        <f>($H2216-$F2216)*100</f>
        <v/>
      </c>
      <c r="AV2216" s="82">
        <f>($J2216-$F2216)*100</f>
        <v/>
      </c>
      <c r="AW2216" s="82">
        <f>($L2216-$F2216)*100</f>
        <v/>
      </c>
      <c r="AX2216" s="82">
        <f>($J2216-$H2216)*100</f>
        <v/>
      </c>
      <c r="AY2216" s="82">
        <f>($L2216-$H2216)*100</f>
        <v/>
      </c>
      <c r="AZ2216" s="82">
        <f>($L2216-$J2216)*100</f>
        <v/>
      </c>
      <c r="BA2216" s="82">
        <f>(2*$H2216-$F2216-$J2216)*100</f>
        <v/>
      </c>
      <c r="BB2216" s="82">
        <f>(2*$J2216-$H2216-$L2216)*100</f>
        <v/>
      </c>
      <c r="BC2216" s="82">
        <f>($N2216-$F2216)*100</f>
        <v/>
      </c>
      <c r="BD2216" s="82">
        <f>($Q2216-$H2216)*100</f>
        <v/>
      </c>
      <c r="BE2216" s="82">
        <f>($S2216-$J2216)*100</f>
        <v/>
      </c>
      <c r="BF2216" s="82">
        <f>($V2216-$L2216)*100</f>
        <v/>
      </c>
      <c r="BG2216" s="82">
        <f>$AG2216-$AF2216</f>
        <v/>
      </c>
      <c r="BH2216" s="81">
        <f>IFERROR($AG2216/$AF2216,"")</f>
        <v/>
      </c>
      <c r="BI2216" s="82">
        <f>$AJ2216-$AF2216</f>
        <v/>
      </c>
      <c r="BJ2216" s="81">
        <f>IFERROR($AJ2216/$AG2216,"")</f>
        <v/>
      </c>
      <c r="BK2216" s="81">
        <f>$X2216</f>
        <v/>
      </c>
      <c r="BL2216" s="82">
        <f>($J2216-$J2217)*100</f>
        <v/>
      </c>
      <c r="BM2216" s="82">
        <f>($F2216-$F2217)*100</f>
        <v/>
      </c>
      <c r="BN2216" s="82">
        <f>$AF2216-$AF2217</f>
        <v/>
      </c>
      <c r="BO2216" s="82">
        <f>$AG2216-$AG2217</f>
        <v/>
      </c>
      <c r="BP2216" s="82">
        <f>$AJ2216-$AJ2217</f>
        <v/>
      </c>
    </row>
    <row r="2217">
      <c r="AR2217" s="81">
        <f>($G2217+($H2217-$G2217)*0.5)+($P2217-($O2217+($Q2217-$O2217)*0.5))</f>
        <v/>
      </c>
      <c r="AS2217" s="81">
        <f>($J2217+($K2217-$J2217)*0.5)+($T2217-($S2217+($U2217-$S2217)*0.5))</f>
        <v/>
      </c>
      <c r="AT2217" s="82">
        <f>($J2217-$C2217)*100</f>
        <v/>
      </c>
      <c r="AU2217" s="82">
        <f>($H2217-$F2217)*100</f>
        <v/>
      </c>
      <c r="AV2217" s="82">
        <f>($J2217-$F2217)*100</f>
        <v/>
      </c>
      <c r="AW2217" s="82">
        <f>($L2217-$F2217)*100</f>
        <v/>
      </c>
      <c r="AX2217" s="82">
        <f>($J2217-$H2217)*100</f>
        <v/>
      </c>
      <c r="AY2217" s="82">
        <f>($L2217-$H2217)*100</f>
        <v/>
      </c>
      <c r="AZ2217" s="82">
        <f>($L2217-$J2217)*100</f>
        <v/>
      </c>
      <c r="BA2217" s="82">
        <f>(2*$H2217-$F2217-$J2217)*100</f>
        <v/>
      </c>
      <c r="BB2217" s="82">
        <f>(2*$J2217-$H2217-$L2217)*100</f>
        <v/>
      </c>
      <c r="BC2217" s="82">
        <f>($N2217-$F2217)*100</f>
        <v/>
      </c>
      <c r="BD2217" s="82">
        <f>($Q2217-$H2217)*100</f>
        <v/>
      </c>
      <c r="BE2217" s="82">
        <f>($S2217-$J2217)*100</f>
        <v/>
      </c>
      <c r="BF2217" s="82">
        <f>($V2217-$L2217)*100</f>
        <v/>
      </c>
      <c r="BG2217" s="82">
        <f>$AG2217-$AF2217</f>
        <v/>
      </c>
      <c r="BH2217" s="81">
        <f>IFERROR($AG2217/$AF2217,"")</f>
        <v/>
      </c>
      <c r="BI2217" s="82">
        <f>$AJ2217-$AF2217</f>
        <v/>
      </c>
      <c r="BJ2217" s="81">
        <f>IFERROR($AJ2217/$AG2217,"")</f>
        <v/>
      </c>
      <c r="BK2217" s="81">
        <f>$X2217</f>
        <v/>
      </c>
      <c r="BL2217" s="82">
        <f>($J2217-$J2218)*100</f>
        <v/>
      </c>
      <c r="BM2217" s="82">
        <f>($F2217-$F2218)*100</f>
        <v/>
      </c>
      <c r="BN2217" s="82">
        <f>$AF2217-$AF2218</f>
        <v/>
      </c>
      <c r="BO2217" s="82">
        <f>$AG2217-$AG2218</f>
        <v/>
      </c>
      <c r="BP2217" s="82">
        <f>$AJ2217-$AJ2218</f>
        <v/>
      </c>
    </row>
    <row r="2218">
      <c r="AR2218" s="81">
        <f>($G2218+($H2218-$G2218)*0.5)+($P2218-($O2218+($Q2218-$O2218)*0.5))</f>
        <v/>
      </c>
      <c r="AS2218" s="81">
        <f>($J2218+($K2218-$J2218)*0.5)+($T2218-($S2218+($U2218-$S2218)*0.5))</f>
        <v/>
      </c>
      <c r="AT2218" s="82">
        <f>($J2218-$C2218)*100</f>
        <v/>
      </c>
      <c r="AU2218" s="82">
        <f>($H2218-$F2218)*100</f>
        <v/>
      </c>
      <c r="AV2218" s="82">
        <f>($J2218-$F2218)*100</f>
        <v/>
      </c>
      <c r="AW2218" s="82">
        <f>($L2218-$F2218)*100</f>
        <v/>
      </c>
      <c r="AX2218" s="82">
        <f>($J2218-$H2218)*100</f>
        <v/>
      </c>
      <c r="AY2218" s="82">
        <f>($L2218-$H2218)*100</f>
        <v/>
      </c>
      <c r="AZ2218" s="82">
        <f>($L2218-$J2218)*100</f>
        <v/>
      </c>
      <c r="BA2218" s="82">
        <f>(2*$H2218-$F2218-$J2218)*100</f>
        <v/>
      </c>
      <c r="BB2218" s="82">
        <f>(2*$J2218-$H2218-$L2218)*100</f>
        <v/>
      </c>
      <c r="BC2218" s="82">
        <f>($N2218-$F2218)*100</f>
        <v/>
      </c>
      <c r="BD2218" s="82">
        <f>($Q2218-$H2218)*100</f>
        <v/>
      </c>
      <c r="BE2218" s="82">
        <f>($S2218-$J2218)*100</f>
        <v/>
      </c>
      <c r="BF2218" s="82">
        <f>($V2218-$L2218)*100</f>
        <v/>
      </c>
      <c r="BG2218" s="82">
        <f>$AG2218-$AF2218</f>
        <v/>
      </c>
      <c r="BH2218" s="81">
        <f>IFERROR($AG2218/$AF2218,"")</f>
        <v/>
      </c>
      <c r="BI2218" s="82">
        <f>$AJ2218-$AF2218</f>
        <v/>
      </c>
      <c r="BJ2218" s="81">
        <f>IFERROR($AJ2218/$AG2218,"")</f>
        <v/>
      </c>
      <c r="BK2218" s="81">
        <f>$X2218</f>
        <v/>
      </c>
      <c r="BL2218" s="82">
        <f>($J2218-$J2219)*100</f>
        <v/>
      </c>
      <c r="BM2218" s="82">
        <f>($F2218-$F2219)*100</f>
        <v/>
      </c>
      <c r="BN2218" s="82">
        <f>$AF2218-$AF2219</f>
        <v/>
      </c>
      <c r="BO2218" s="82">
        <f>$AG2218-$AG2219</f>
        <v/>
      </c>
      <c r="BP2218" s="82">
        <f>$AJ2218-$AJ2219</f>
        <v/>
      </c>
    </row>
    <row r="2219">
      <c r="AR2219" s="81">
        <f>($G2219+($H2219-$G2219)*0.5)+($P2219-($O2219+($Q2219-$O2219)*0.5))</f>
        <v/>
      </c>
      <c r="AS2219" s="81">
        <f>($J2219+($K2219-$J2219)*0.5)+($T2219-($S2219+($U2219-$S2219)*0.5))</f>
        <v/>
      </c>
      <c r="AT2219" s="82">
        <f>($J2219-$C2219)*100</f>
        <v/>
      </c>
      <c r="AU2219" s="82">
        <f>($H2219-$F2219)*100</f>
        <v/>
      </c>
      <c r="AV2219" s="82">
        <f>($J2219-$F2219)*100</f>
        <v/>
      </c>
      <c r="AW2219" s="82">
        <f>($L2219-$F2219)*100</f>
        <v/>
      </c>
      <c r="AX2219" s="82">
        <f>($J2219-$H2219)*100</f>
        <v/>
      </c>
      <c r="AY2219" s="82">
        <f>($L2219-$H2219)*100</f>
        <v/>
      </c>
      <c r="AZ2219" s="82">
        <f>($L2219-$J2219)*100</f>
        <v/>
      </c>
      <c r="BA2219" s="82">
        <f>(2*$H2219-$F2219-$J2219)*100</f>
        <v/>
      </c>
      <c r="BB2219" s="82">
        <f>(2*$J2219-$H2219-$L2219)*100</f>
        <v/>
      </c>
      <c r="BC2219" s="82">
        <f>($N2219-$F2219)*100</f>
        <v/>
      </c>
      <c r="BD2219" s="82">
        <f>($Q2219-$H2219)*100</f>
        <v/>
      </c>
      <c r="BE2219" s="82">
        <f>($S2219-$J2219)*100</f>
        <v/>
      </c>
      <c r="BF2219" s="82">
        <f>($V2219-$L2219)*100</f>
        <v/>
      </c>
      <c r="BG2219" s="82">
        <f>$AG2219-$AF2219</f>
        <v/>
      </c>
      <c r="BH2219" s="81">
        <f>IFERROR($AG2219/$AF2219,"")</f>
        <v/>
      </c>
      <c r="BI2219" s="82">
        <f>$AJ2219-$AF2219</f>
        <v/>
      </c>
      <c r="BJ2219" s="81">
        <f>IFERROR($AJ2219/$AG2219,"")</f>
        <v/>
      </c>
      <c r="BK2219" s="81">
        <f>$X2219</f>
        <v/>
      </c>
      <c r="BL2219" s="82">
        <f>($J2219-$J2220)*100</f>
        <v/>
      </c>
      <c r="BM2219" s="82">
        <f>($F2219-$F2220)*100</f>
        <v/>
      </c>
      <c r="BN2219" s="82">
        <f>$AF2219-$AF2220</f>
        <v/>
      </c>
      <c r="BO2219" s="82">
        <f>$AG2219-$AG2220</f>
        <v/>
      </c>
      <c r="BP2219" s="82">
        <f>$AJ2219-$AJ2220</f>
        <v/>
      </c>
    </row>
    <row r="2220">
      <c r="AR2220" s="81">
        <f>($G2220+($H2220-$G2220)*0.5)+($P2220-($O2220+($Q2220-$O2220)*0.5))</f>
        <v/>
      </c>
      <c r="AS2220" s="81">
        <f>($J2220+($K2220-$J2220)*0.5)+($T2220-($S2220+($U2220-$S2220)*0.5))</f>
        <v/>
      </c>
      <c r="AT2220" s="82">
        <f>($J2220-$C2220)*100</f>
        <v/>
      </c>
      <c r="AU2220" s="82">
        <f>($H2220-$F2220)*100</f>
        <v/>
      </c>
      <c r="AV2220" s="82">
        <f>($J2220-$F2220)*100</f>
        <v/>
      </c>
      <c r="AW2220" s="82">
        <f>($L2220-$F2220)*100</f>
        <v/>
      </c>
      <c r="AX2220" s="82">
        <f>($J2220-$H2220)*100</f>
        <v/>
      </c>
      <c r="AY2220" s="82">
        <f>($L2220-$H2220)*100</f>
        <v/>
      </c>
      <c r="AZ2220" s="82">
        <f>($L2220-$J2220)*100</f>
        <v/>
      </c>
      <c r="BA2220" s="82">
        <f>(2*$H2220-$F2220-$J2220)*100</f>
        <v/>
      </c>
      <c r="BB2220" s="82">
        <f>(2*$J2220-$H2220-$L2220)*100</f>
        <v/>
      </c>
      <c r="BC2220" s="82">
        <f>($N2220-$F2220)*100</f>
        <v/>
      </c>
      <c r="BD2220" s="82">
        <f>($Q2220-$H2220)*100</f>
        <v/>
      </c>
      <c r="BE2220" s="82">
        <f>($S2220-$J2220)*100</f>
        <v/>
      </c>
      <c r="BF2220" s="82">
        <f>($V2220-$L2220)*100</f>
        <v/>
      </c>
      <c r="BG2220" s="82">
        <f>$AG2220-$AF2220</f>
        <v/>
      </c>
      <c r="BH2220" s="81">
        <f>IFERROR($AG2220/$AF2220,"")</f>
        <v/>
      </c>
      <c r="BI2220" s="82">
        <f>$AJ2220-$AF2220</f>
        <v/>
      </c>
      <c r="BJ2220" s="81">
        <f>IFERROR($AJ2220/$AG2220,"")</f>
        <v/>
      </c>
      <c r="BK2220" s="81">
        <f>$X2220</f>
        <v/>
      </c>
      <c r="BL2220" s="82">
        <f>($J2220-$J2221)*100</f>
        <v/>
      </c>
      <c r="BM2220" s="82">
        <f>($F2220-$F2221)*100</f>
        <v/>
      </c>
      <c r="BN2220" s="82">
        <f>$AF2220-$AF2221</f>
        <v/>
      </c>
      <c r="BO2220" s="82">
        <f>$AG2220-$AG2221</f>
        <v/>
      </c>
      <c r="BP2220" s="82">
        <f>$AJ2220-$AJ2221</f>
        <v/>
      </c>
    </row>
    <row r="2221">
      <c r="AR2221" s="81">
        <f>($G2221+($H2221-$G2221)*0.5)+($P2221-($O2221+($Q2221-$O2221)*0.5))</f>
        <v/>
      </c>
      <c r="AS2221" s="81">
        <f>($J2221+($K2221-$J2221)*0.5)+($T2221-($S2221+($U2221-$S2221)*0.5))</f>
        <v/>
      </c>
      <c r="AT2221" s="82">
        <f>($J2221-$C2221)*100</f>
        <v/>
      </c>
      <c r="AU2221" s="82">
        <f>($H2221-$F2221)*100</f>
        <v/>
      </c>
      <c r="AV2221" s="82">
        <f>($J2221-$F2221)*100</f>
        <v/>
      </c>
      <c r="AW2221" s="82">
        <f>($L2221-$F2221)*100</f>
        <v/>
      </c>
      <c r="AX2221" s="82">
        <f>($J2221-$H2221)*100</f>
        <v/>
      </c>
      <c r="AY2221" s="82">
        <f>($L2221-$H2221)*100</f>
        <v/>
      </c>
      <c r="AZ2221" s="82">
        <f>($L2221-$J2221)*100</f>
        <v/>
      </c>
      <c r="BA2221" s="82">
        <f>(2*$H2221-$F2221-$J2221)*100</f>
        <v/>
      </c>
      <c r="BB2221" s="82">
        <f>(2*$J2221-$H2221-$L2221)*100</f>
        <v/>
      </c>
      <c r="BC2221" s="82">
        <f>($N2221-$F2221)*100</f>
        <v/>
      </c>
      <c r="BD2221" s="82">
        <f>($Q2221-$H2221)*100</f>
        <v/>
      </c>
      <c r="BE2221" s="82">
        <f>($S2221-$J2221)*100</f>
        <v/>
      </c>
      <c r="BF2221" s="82">
        <f>($V2221-$L2221)*100</f>
        <v/>
      </c>
      <c r="BG2221" s="82">
        <f>$AG2221-$AF2221</f>
        <v/>
      </c>
      <c r="BH2221" s="81">
        <f>IFERROR($AG2221/$AF2221,"")</f>
        <v/>
      </c>
      <c r="BI2221" s="82">
        <f>$AJ2221-$AF2221</f>
        <v/>
      </c>
      <c r="BJ2221" s="81">
        <f>IFERROR($AJ2221/$AG2221,"")</f>
        <v/>
      </c>
      <c r="BK2221" s="81">
        <f>$X2221</f>
        <v/>
      </c>
      <c r="BL2221" s="82">
        <f>($J2221-$J2222)*100</f>
        <v/>
      </c>
      <c r="BM2221" s="82">
        <f>($F2221-$F2222)*100</f>
        <v/>
      </c>
      <c r="BN2221" s="82">
        <f>$AF2221-$AF2222</f>
        <v/>
      </c>
      <c r="BO2221" s="82">
        <f>$AG2221-$AG2222</f>
        <v/>
      </c>
      <c r="BP2221" s="82">
        <f>$AJ2221-$AJ2222</f>
        <v/>
      </c>
    </row>
    <row r="2222">
      <c r="AR2222" s="81">
        <f>($G2222+($H2222-$G2222)*0.5)+($P2222-($O2222+($Q2222-$O2222)*0.5))</f>
        <v/>
      </c>
      <c r="AS2222" s="81">
        <f>($J2222+($K2222-$J2222)*0.5)+($T2222-($S2222+($U2222-$S2222)*0.5))</f>
        <v/>
      </c>
      <c r="AT2222" s="82">
        <f>($J2222-$C2222)*100</f>
        <v/>
      </c>
      <c r="AU2222" s="82">
        <f>($H2222-$F2222)*100</f>
        <v/>
      </c>
      <c r="AV2222" s="82">
        <f>($J2222-$F2222)*100</f>
        <v/>
      </c>
      <c r="AW2222" s="82">
        <f>($L2222-$F2222)*100</f>
        <v/>
      </c>
      <c r="AX2222" s="82">
        <f>($J2222-$H2222)*100</f>
        <v/>
      </c>
      <c r="AY2222" s="82">
        <f>($L2222-$H2222)*100</f>
        <v/>
      </c>
      <c r="AZ2222" s="82">
        <f>($L2222-$J2222)*100</f>
        <v/>
      </c>
      <c r="BA2222" s="82">
        <f>(2*$H2222-$F2222-$J2222)*100</f>
        <v/>
      </c>
      <c r="BB2222" s="82">
        <f>(2*$J2222-$H2222-$L2222)*100</f>
        <v/>
      </c>
      <c r="BC2222" s="82">
        <f>($N2222-$F2222)*100</f>
        <v/>
      </c>
      <c r="BD2222" s="82">
        <f>($Q2222-$H2222)*100</f>
        <v/>
      </c>
      <c r="BE2222" s="82">
        <f>($S2222-$J2222)*100</f>
        <v/>
      </c>
      <c r="BF2222" s="82">
        <f>($V2222-$L2222)*100</f>
        <v/>
      </c>
      <c r="BG2222" s="82">
        <f>$AG2222-$AF2222</f>
        <v/>
      </c>
      <c r="BH2222" s="81">
        <f>IFERROR($AG2222/$AF2222,"")</f>
        <v/>
      </c>
      <c r="BI2222" s="82">
        <f>$AJ2222-$AF2222</f>
        <v/>
      </c>
      <c r="BJ2222" s="81">
        <f>IFERROR($AJ2222/$AG2222,"")</f>
        <v/>
      </c>
      <c r="BK2222" s="81">
        <f>$X2222</f>
        <v/>
      </c>
      <c r="BL2222" s="82">
        <f>($J2222-$J2223)*100</f>
        <v/>
      </c>
      <c r="BM2222" s="82">
        <f>($F2222-$F2223)*100</f>
        <v/>
      </c>
      <c r="BN2222" s="82">
        <f>$AF2222-$AF2223</f>
        <v/>
      </c>
      <c r="BO2222" s="82">
        <f>$AG2222-$AG2223</f>
        <v/>
      </c>
      <c r="BP2222" s="82">
        <f>$AJ2222-$AJ2223</f>
        <v/>
      </c>
    </row>
    <row r="2223">
      <c r="AR2223" s="81">
        <f>($G2223+($H2223-$G2223)*0.5)+($P2223-($O2223+($Q2223-$O2223)*0.5))</f>
        <v/>
      </c>
      <c r="AS2223" s="81">
        <f>($J2223+($K2223-$J2223)*0.5)+($T2223-($S2223+($U2223-$S2223)*0.5))</f>
        <v/>
      </c>
      <c r="AT2223" s="82">
        <f>($J2223-$C2223)*100</f>
        <v/>
      </c>
      <c r="AU2223" s="82">
        <f>($H2223-$F2223)*100</f>
        <v/>
      </c>
      <c r="AV2223" s="82">
        <f>($J2223-$F2223)*100</f>
        <v/>
      </c>
      <c r="AW2223" s="82">
        <f>($L2223-$F2223)*100</f>
        <v/>
      </c>
      <c r="AX2223" s="82">
        <f>($J2223-$H2223)*100</f>
        <v/>
      </c>
      <c r="AY2223" s="82">
        <f>($L2223-$H2223)*100</f>
        <v/>
      </c>
      <c r="AZ2223" s="82">
        <f>($L2223-$J2223)*100</f>
        <v/>
      </c>
      <c r="BA2223" s="82">
        <f>(2*$H2223-$F2223-$J2223)*100</f>
        <v/>
      </c>
      <c r="BB2223" s="82">
        <f>(2*$J2223-$H2223-$L2223)*100</f>
        <v/>
      </c>
      <c r="BC2223" s="82">
        <f>($N2223-$F2223)*100</f>
        <v/>
      </c>
      <c r="BD2223" s="82">
        <f>($Q2223-$H2223)*100</f>
        <v/>
      </c>
      <c r="BE2223" s="82">
        <f>($S2223-$J2223)*100</f>
        <v/>
      </c>
      <c r="BF2223" s="82">
        <f>($V2223-$L2223)*100</f>
        <v/>
      </c>
      <c r="BG2223" s="82">
        <f>$AG2223-$AF2223</f>
        <v/>
      </c>
      <c r="BH2223" s="81">
        <f>IFERROR($AG2223/$AF2223,"")</f>
        <v/>
      </c>
      <c r="BI2223" s="82">
        <f>$AJ2223-$AF2223</f>
        <v/>
      </c>
      <c r="BJ2223" s="81">
        <f>IFERROR($AJ2223/$AG2223,"")</f>
        <v/>
      </c>
      <c r="BK2223" s="81">
        <f>$X2223</f>
        <v/>
      </c>
      <c r="BL2223" s="82">
        <f>($J2223-$J2224)*100</f>
        <v/>
      </c>
      <c r="BM2223" s="82">
        <f>($F2223-$F2224)*100</f>
        <v/>
      </c>
      <c r="BN2223" s="82">
        <f>$AF2223-$AF2224</f>
        <v/>
      </c>
      <c r="BO2223" s="82">
        <f>$AG2223-$AG2224</f>
        <v/>
      </c>
      <c r="BP2223" s="82">
        <f>$AJ2223-$AJ2224</f>
        <v/>
      </c>
    </row>
    <row r="2224">
      <c r="AR2224" s="81">
        <f>($G2224+($H2224-$G2224)*0.5)+($P2224-($O2224+($Q2224-$O2224)*0.5))</f>
        <v/>
      </c>
      <c r="AS2224" s="81">
        <f>($J2224+($K2224-$J2224)*0.5)+($T2224-($S2224+($U2224-$S2224)*0.5))</f>
        <v/>
      </c>
      <c r="AT2224" s="82">
        <f>($J2224-$C2224)*100</f>
        <v/>
      </c>
      <c r="AU2224" s="82">
        <f>($H2224-$F2224)*100</f>
        <v/>
      </c>
      <c r="AV2224" s="82">
        <f>($J2224-$F2224)*100</f>
        <v/>
      </c>
      <c r="AW2224" s="82">
        <f>($L2224-$F2224)*100</f>
        <v/>
      </c>
      <c r="AX2224" s="82">
        <f>($J2224-$H2224)*100</f>
        <v/>
      </c>
      <c r="AY2224" s="82">
        <f>($L2224-$H2224)*100</f>
        <v/>
      </c>
      <c r="AZ2224" s="82">
        <f>($L2224-$J2224)*100</f>
        <v/>
      </c>
      <c r="BA2224" s="82">
        <f>(2*$H2224-$F2224-$J2224)*100</f>
        <v/>
      </c>
      <c r="BB2224" s="82">
        <f>(2*$J2224-$H2224-$L2224)*100</f>
        <v/>
      </c>
      <c r="BC2224" s="82">
        <f>($N2224-$F2224)*100</f>
        <v/>
      </c>
      <c r="BD2224" s="82">
        <f>($Q2224-$H2224)*100</f>
        <v/>
      </c>
      <c r="BE2224" s="82">
        <f>($S2224-$J2224)*100</f>
        <v/>
      </c>
      <c r="BF2224" s="82">
        <f>($V2224-$L2224)*100</f>
        <v/>
      </c>
      <c r="BG2224" s="82">
        <f>$AG2224-$AF2224</f>
        <v/>
      </c>
      <c r="BH2224" s="81">
        <f>IFERROR($AG2224/$AF2224,"")</f>
        <v/>
      </c>
      <c r="BI2224" s="82">
        <f>$AJ2224-$AF2224</f>
        <v/>
      </c>
      <c r="BJ2224" s="81">
        <f>IFERROR($AJ2224/$AG2224,"")</f>
        <v/>
      </c>
      <c r="BK2224" s="81">
        <f>$X2224</f>
        <v/>
      </c>
      <c r="BL2224" s="82">
        <f>($J2224-$J2225)*100</f>
        <v/>
      </c>
      <c r="BM2224" s="82">
        <f>($F2224-$F2225)*100</f>
        <v/>
      </c>
      <c r="BN2224" s="82">
        <f>$AF2224-$AF2225</f>
        <v/>
      </c>
      <c r="BO2224" s="82">
        <f>$AG2224-$AG2225</f>
        <v/>
      </c>
      <c r="BP2224" s="82">
        <f>$AJ2224-$AJ2225</f>
        <v/>
      </c>
    </row>
    <row r="2225">
      <c r="AR2225" s="81">
        <f>($G2225+($H2225-$G2225)*0.5)+($P2225-($O2225+($Q2225-$O2225)*0.5))</f>
        <v/>
      </c>
      <c r="AS2225" s="81">
        <f>($J2225+($K2225-$J2225)*0.5)+($T2225-($S2225+($U2225-$S2225)*0.5))</f>
        <v/>
      </c>
      <c r="AT2225" s="82">
        <f>($J2225-$C2225)*100</f>
        <v/>
      </c>
      <c r="AU2225" s="82">
        <f>($H2225-$F2225)*100</f>
        <v/>
      </c>
      <c r="AV2225" s="82">
        <f>($J2225-$F2225)*100</f>
        <v/>
      </c>
      <c r="AW2225" s="82">
        <f>($L2225-$F2225)*100</f>
        <v/>
      </c>
      <c r="AX2225" s="82">
        <f>($J2225-$H2225)*100</f>
        <v/>
      </c>
      <c r="AY2225" s="82">
        <f>($L2225-$H2225)*100</f>
        <v/>
      </c>
      <c r="AZ2225" s="82">
        <f>($L2225-$J2225)*100</f>
        <v/>
      </c>
      <c r="BA2225" s="82">
        <f>(2*$H2225-$F2225-$J2225)*100</f>
        <v/>
      </c>
      <c r="BB2225" s="82">
        <f>(2*$J2225-$H2225-$L2225)*100</f>
        <v/>
      </c>
      <c r="BC2225" s="82">
        <f>($N2225-$F2225)*100</f>
        <v/>
      </c>
      <c r="BD2225" s="82">
        <f>($Q2225-$H2225)*100</f>
        <v/>
      </c>
      <c r="BE2225" s="82">
        <f>($S2225-$J2225)*100</f>
        <v/>
      </c>
      <c r="BF2225" s="82">
        <f>($V2225-$L2225)*100</f>
        <v/>
      </c>
      <c r="BG2225" s="82">
        <f>$AG2225-$AF2225</f>
        <v/>
      </c>
      <c r="BH2225" s="81">
        <f>IFERROR($AG2225/$AF2225,"")</f>
        <v/>
      </c>
      <c r="BI2225" s="82">
        <f>$AJ2225-$AF2225</f>
        <v/>
      </c>
      <c r="BJ2225" s="81">
        <f>IFERROR($AJ2225/$AG2225,"")</f>
        <v/>
      </c>
      <c r="BK2225" s="81">
        <f>$X2225</f>
        <v/>
      </c>
      <c r="BL2225" s="82">
        <f>($J2225-$J2226)*100</f>
        <v/>
      </c>
      <c r="BM2225" s="82">
        <f>($F2225-$F2226)*100</f>
        <v/>
      </c>
      <c r="BN2225" s="82">
        <f>$AF2225-$AF2226</f>
        <v/>
      </c>
      <c r="BO2225" s="82">
        <f>$AG2225-$AG2226</f>
        <v/>
      </c>
      <c r="BP2225" s="82">
        <f>$AJ2225-$AJ2226</f>
        <v/>
      </c>
    </row>
    <row r="2226">
      <c r="AR2226" s="81">
        <f>($G2226+($H2226-$G2226)*0.5)+($P2226-($O2226+($Q2226-$O2226)*0.5))</f>
        <v/>
      </c>
      <c r="AS2226" s="81">
        <f>($J2226+($K2226-$J2226)*0.5)+($T2226-($S2226+($U2226-$S2226)*0.5))</f>
        <v/>
      </c>
      <c r="AT2226" s="82">
        <f>($J2226-$C2226)*100</f>
        <v/>
      </c>
      <c r="AU2226" s="82">
        <f>($H2226-$F2226)*100</f>
        <v/>
      </c>
      <c r="AV2226" s="82">
        <f>($J2226-$F2226)*100</f>
        <v/>
      </c>
      <c r="AW2226" s="82">
        <f>($L2226-$F2226)*100</f>
        <v/>
      </c>
      <c r="AX2226" s="82">
        <f>($J2226-$H2226)*100</f>
        <v/>
      </c>
      <c r="AY2226" s="82">
        <f>($L2226-$H2226)*100</f>
        <v/>
      </c>
      <c r="AZ2226" s="82">
        <f>($L2226-$J2226)*100</f>
        <v/>
      </c>
      <c r="BA2226" s="82">
        <f>(2*$H2226-$F2226-$J2226)*100</f>
        <v/>
      </c>
      <c r="BB2226" s="82">
        <f>(2*$J2226-$H2226-$L2226)*100</f>
        <v/>
      </c>
      <c r="BC2226" s="82">
        <f>($N2226-$F2226)*100</f>
        <v/>
      </c>
      <c r="BD2226" s="82">
        <f>($Q2226-$H2226)*100</f>
        <v/>
      </c>
      <c r="BE2226" s="82">
        <f>($S2226-$J2226)*100</f>
        <v/>
      </c>
      <c r="BF2226" s="82">
        <f>($V2226-$L2226)*100</f>
        <v/>
      </c>
      <c r="BG2226" s="82">
        <f>$AG2226-$AF2226</f>
        <v/>
      </c>
      <c r="BH2226" s="81">
        <f>IFERROR($AG2226/$AF2226,"")</f>
        <v/>
      </c>
      <c r="BI2226" s="82">
        <f>$AJ2226-$AF2226</f>
        <v/>
      </c>
      <c r="BJ2226" s="81">
        <f>IFERROR($AJ2226/$AG2226,"")</f>
        <v/>
      </c>
      <c r="BK2226" s="81">
        <f>$X2226</f>
        <v/>
      </c>
      <c r="BL2226" s="82">
        <f>($J2226-$J2227)*100</f>
        <v/>
      </c>
      <c r="BM2226" s="82">
        <f>($F2226-$F2227)*100</f>
        <v/>
      </c>
      <c r="BN2226" s="82">
        <f>$AF2226-$AF2227</f>
        <v/>
      </c>
      <c r="BO2226" s="82">
        <f>$AG2226-$AG2227</f>
        <v/>
      </c>
      <c r="BP2226" s="82">
        <f>$AJ2226-$AJ2227</f>
        <v/>
      </c>
    </row>
    <row r="2227">
      <c r="AR2227" s="81">
        <f>($G2227+($H2227-$G2227)*0.5)+($P2227-($O2227+($Q2227-$O2227)*0.5))</f>
        <v/>
      </c>
      <c r="AS2227" s="81">
        <f>($J2227+($K2227-$J2227)*0.5)+($T2227-($S2227+($U2227-$S2227)*0.5))</f>
        <v/>
      </c>
      <c r="AT2227" s="82">
        <f>($J2227-$C2227)*100</f>
        <v/>
      </c>
      <c r="AU2227" s="82">
        <f>($H2227-$F2227)*100</f>
        <v/>
      </c>
      <c r="AV2227" s="82">
        <f>($J2227-$F2227)*100</f>
        <v/>
      </c>
      <c r="AW2227" s="82">
        <f>($L2227-$F2227)*100</f>
        <v/>
      </c>
      <c r="AX2227" s="82">
        <f>($J2227-$H2227)*100</f>
        <v/>
      </c>
      <c r="AY2227" s="82">
        <f>($L2227-$H2227)*100</f>
        <v/>
      </c>
      <c r="AZ2227" s="82">
        <f>($L2227-$J2227)*100</f>
        <v/>
      </c>
      <c r="BA2227" s="82">
        <f>(2*$H2227-$F2227-$J2227)*100</f>
        <v/>
      </c>
      <c r="BB2227" s="82">
        <f>(2*$J2227-$H2227-$L2227)*100</f>
        <v/>
      </c>
      <c r="BC2227" s="82">
        <f>($N2227-$F2227)*100</f>
        <v/>
      </c>
      <c r="BD2227" s="82">
        <f>($Q2227-$H2227)*100</f>
        <v/>
      </c>
      <c r="BE2227" s="82">
        <f>($S2227-$J2227)*100</f>
        <v/>
      </c>
      <c r="BF2227" s="82">
        <f>($V2227-$L2227)*100</f>
        <v/>
      </c>
      <c r="BG2227" s="82">
        <f>$AG2227-$AF2227</f>
        <v/>
      </c>
      <c r="BH2227" s="81">
        <f>IFERROR($AG2227/$AF2227,"")</f>
        <v/>
      </c>
      <c r="BI2227" s="82">
        <f>$AJ2227-$AF2227</f>
        <v/>
      </c>
      <c r="BJ2227" s="81">
        <f>IFERROR($AJ2227/$AG2227,"")</f>
        <v/>
      </c>
      <c r="BK2227" s="81">
        <f>$X2227</f>
        <v/>
      </c>
      <c r="BL2227" s="82">
        <f>($J2227-$J2228)*100</f>
        <v/>
      </c>
      <c r="BM2227" s="82">
        <f>($F2227-$F2228)*100</f>
        <v/>
      </c>
      <c r="BN2227" s="82">
        <f>$AF2227-$AF2228</f>
        <v/>
      </c>
      <c r="BO2227" s="82">
        <f>$AG2227-$AG2228</f>
        <v/>
      </c>
      <c r="BP2227" s="82">
        <f>$AJ2227-$AJ2228</f>
        <v/>
      </c>
    </row>
    <row r="2228">
      <c r="AR2228" s="81">
        <f>($G2228+($H2228-$G2228)*0.5)+($P2228-($O2228+($Q2228-$O2228)*0.5))</f>
        <v/>
      </c>
      <c r="AS2228" s="81">
        <f>($J2228+($K2228-$J2228)*0.5)+($T2228-($S2228+($U2228-$S2228)*0.5))</f>
        <v/>
      </c>
      <c r="AT2228" s="82">
        <f>($J2228-$C2228)*100</f>
        <v/>
      </c>
      <c r="AU2228" s="82">
        <f>($H2228-$F2228)*100</f>
        <v/>
      </c>
      <c r="AV2228" s="82">
        <f>($J2228-$F2228)*100</f>
        <v/>
      </c>
      <c r="AW2228" s="82">
        <f>($L2228-$F2228)*100</f>
        <v/>
      </c>
      <c r="AX2228" s="82">
        <f>($J2228-$H2228)*100</f>
        <v/>
      </c>
      <c r="AY2228" s="82">
        <f>($L2228-$H2228)*100</f>
        <v/>
      </c>
      <c r="AZ2228" s="82">
        <f>($L2228-$J2228)*100</f>
        <v/>
      </c>
      <c r="BA2228" s="82">
        <f>(2*$H2228-$F2228-$J2228)*100</f>
        <v/>
      </c>
      <c r="BB2228" s="82">
        <f>(2*$J2228-$H2228-$L2228)*100</f>
        <v/>
      </c>
      <c r="BC2228" s="82">
        <f>($N2228-$F2228)*100</f>
        <v/>
      </c>
      <c r="BD2228" s="82">
        <f>($Q2228-$H2228)*100</f>
        <v/>
      </c>
      <c r="BE2228" s="82">
        <f>($S2228-$J2228)*100</f>
        <v/>
      </c>
      <c r="BF2228" s="82">
        <f>($V2228-$L2228)*100</f>
        <v/>
      </c>
      <c r="BG2228" s="82">
        <f>$AG2228-$AF2228</f>
        <v/>
      </c>
      <c r="BH2228" s="81">
        <f>IFERROR($AG2228/$AF2228,"")</f>
        <v/>
      </c>
      <c r="BI2228" s="82">
        <f>$AJ2228-$AF2228</f>
        <v/>
      </c>
      <c r="BJ2228" s="81">
        <f>IFERROR($AJ2228/$AG2228,"")</f>
        <v/>
      </c>
      <c r="BK2228" s="81">
        <f>$X2228</f>
        <v/>
      </c>
      <c r="BL2228" s="82">
        <f>($J2228-$J2229)*100</f>
        <v/>
      </c>
      <c r="BM2228" s="82">
        <f>($F2228-$F2229)*100</f>
        <v/>
      </c>
      <c r="BN2228" s="82">
        <f>$AF2228-$AF2229</f>
        <v/>
      </c>
      <c r="BO2228" s="82">
        <f>$AG2228-$AG2229</f>
        <v/>
      </c>
      <c r="BP2228" s="82">
        <f>$AJ2228-$AJ2229</f>
        <v/>
      </c>
    </row>
    <row r="2229">
      <c r="AR2229" s="81">
        <f>($G2229+($H2229-$G2229)*0.5)+($P2229-($O2229+($Q2229-$O2229)*0.5))</f>
        <v/>
      </c>
      <c r="AS2229" s="81">
        <f>($J2229+($K2229-$J2229)*0.5)+($T2229-($S2229+($U2229-$S2229)*0.5))</f>
        <v/>
      </c>
      <c r="AT2229" s="82">
        <f>($J2229-$C2229)*100</f>
        <v/>
      </c>
      <c r="AU2229" s="82">
        <f>($H2229-$F2229)*100</f>
        <v/>
      </c>
      <c r="AV2229" s="82">
        <f>($J2229-$F2229)*100</f>
        <v/>
      </c>
      <c r="AW2229" s="82">
        <f>($L2229-$F2229)*100</f>
        <v/>
      </c>
      <c r="AX2229" s="82">
        <f>($J2229-$H2229)*100</f>
        <v/>
      </c>
      <c r="AY2229" s="82">
        <f>($L2229-$H2229)*100</f>
        <v/>
      </c>
      <c r="AZ2229" s="82">
        <f>($L2229-$J2229)*100</f>
        <v/>
      </c>
      <c r="BA2229" s="82">
        <f>(2*$H2229-$F2229-$J2229)*100</f>
        <v/>
      </c>
      <c r="BB2229" s="82">
        <f>(2*$J2229-$H2229-$L2229)*100</f>
        <v/>
      </c>
      <c r="BC2229" s="82">
        <f>($N2229-$F2229)*100</f>
        <v/>
      </c>
      <c r="BD2229" s="82">
        <f>($Q2229-$H2229)*100</f>
        <v/>
      </c>
      <c r="BE2229" s="82">
        <f>($S2229-$J2229)*100</f>
        <v/>
      </c>
      <c r="BF2229" s="82">
        <f>($V2229-$L2229)*100</f>
        <v/>
      </c>
      <c r="BG2229" s="82">
        <f>$AG2229-$AF2229</f>
        <v/>
      </c>
      <c r="BH2229" s="81">
        <f>IFERROR($AG2229/$AF2229,"")</f>
        <v/>
      </c>
      <c r="BI2229" s="82">
        <f>$AJ2229-$AF2229</f>
        <v/>
      </c>
      <c r="BJ2229" s="81">
        <f>IFERROR($AJ2229/$AG2229,"")</f>
        <v/>
      </c>
      <c r="BK2229" s="81">
        <f>$X2229</f>
        <v/>
      </c>
      <c r="BL2229" s="82">
        <f>($J2229-$J2230)*100</f>
        <v/>
      </c>
      <c r="BM2229" s="82">
        <f>($F2229-$F2230)*100</f>
        <v/>
      </c>
      <c r="BN2229" s="82">
        <f>$AF2229-$AF2230</f>
        <v/>
      </c>
      <c r="BO2229" s="82">
        <f>$AG2229-$AG2230</f>
        <v/>
      </c>
      <c r="BP2229" s="82">
        <f>$AJ2229-$AJ2230</f>
        <v/>
      </c>
    </row>
    <row r="2230">
      <c r="AR2230" s="81">
        <f>($G2230+($H2230-$G2230)*0.5)+($P2230-($O2230+($Q2230-$O2230)*0.5))</f>
        <v/>
      </c>
      <c r="AS2230" s="81">
        <f>($J2230+($K2230-$J2230)*0.5)+($T2230-($S2230+($U2230-$S2230)*0.5))</f>
        <v/>
      </c>
      <c r="AT2230" s="82">
        <f>($J2230-$C2230)*100</f>
        <v/>
      </c>
      <c r="AU2230" s="82">
        <f>($H2230-$F2230)*100</f>
        <v/>
      </c>
      <c r="AV2230" s="82">
        <f>($J2230-$F2230)*100</f>
        <v/>
      </c>
      <c r="AW2230" s="82">
        <f>($L2230-$F2230)*100</f>
        <v/>
      </c>
      <c r="AX2230" s="82">
        <f>($J2230-$H2230)*100</f>
        <v/>
      </c>
      <c r="AY2230" s="82">
        <f>($L2230-$H2230)*100</f>
        <v/>
      </c>
      <c r="AZ2230" s="82">
        <f>($L2230-$J2230)*100</f>
        <v/>
      </c>
      <c r="BA2230" s="82">
        <f>(2*$H2230-$F2230-$J2230)*100</f>
        <v/>
      </c>
      <c r="BB2230" s="82">
        <f>(2*$J2230-$H2230-$L2230)*100</f>
        <v/>
      </c>
      <c r="BC2230" s="82">
        <f>($N2230-$F2230)*100</f>
        <v/>
      </c>
      <c r="BD2230" s="82">
        <f>($Q2230-$H2230)*100</f>
        <v/>
      </c>
      <c r="BE2230" s="82">
        <f>($S2230-$J2230)*100</f>
        <v/>
      </c>
      <c r="BF2230" s="82">
        <f>($V2230-$L2230)*100</f>
        <v/>
      </c>
      <c r="BG2230" s="82">
        <f>$AG2230-$AF2230</f>
        <v/>
      </c>
      <c r="BH2230" s="81">
        <f>IFERROR($AG2230/$AF2230,"")</f>
        <v/>
      </c>
      <c r="BI2230" s="82">
        <f>$AJ2230-$AF2230</f>
        <v/>
      </c>
      <c r="BJ2230" s="81">
        <f>IFERROR($AJ2230/$AG2230,"")</f>
        <v/>
      </c>
      <c r="BK2230" s="81">
        <f>$X2230</f>
        <v/>
      </c>
      <c r="BL2230" s="82">
        <f>($J2230-$J2231)*100</f>
        <v/>
      </c>
      <c r="BM2230" s="82">
        <f>($F2230-$F2231)*100</f>
        <v/>
      </c>
      <c r="BN2230" s="82">
        <f>$AF2230-$AF2231</f>
        <v/>
      </c>
      <c r="BO2230" s="82">
        <f>$AG2230-$AG2231</f>
        <v/>
      </c>
      <c r="BP2230" s="82">
        <f>$AJ2230-$AJ2231</f>
        <v/>
      </c>
    </row>
    <row r="2231">
      <c r="AR2231" s="81">
        <f>($G2231+($H2231-$G2231)*0.5)+($P2231-($O2231+($Q2231-$O2231)*0.5))</f>
        <v/>
      </c>
      <c r="AS2231" s="81">
        <f>($J2231+($K2231-$J2231)*0.5)+($T2231-($S2231+($U2231-$S2231)*0.5))</f>
        <v/>
      </c>
      <c r="AT2231" s="82">
        <f>($J2231-$C2231)*100</f>
        <v/>
      </c>
      <c r="AU2231" s="82">
        <f>($H2231-$F2231)*100</f>
        <v/>
      </c>
      <c r="AV2231" s="82">
        <f>($J2231-$F2231)*100</f>
        <v/>
      </c>
      <c r="AW2231" s="82">
        <f>($L2231-$F2231)*100</f>
        <v/>
      </c>
      <c r="AX2231" s="82">
        <f>($J2231-$H2231)*100</f>
        <v/>
      </c>
      <c r="AY2231" s="82">
        <f>($L2231-$H2231)*100</f>
        <v/>
      </c>
      <c r="AZ2231" s="82">
        <f>($L2231-$J2231)*100</f>
        <v/>
      </c>
      <c r="BA2231" s="82">
        <f>(2*$H2231-$F2231-$J2231)*100</f>
        <v/>
      </c>
      <c r="BB2231" s="82">
        <f>(2*$J2231-$H2231-$L2231)*100</f>
        <v/>
      </c>
      <c r="BC2231" s="82">
        <f>($N2231-$F2231)*100</f>
        <v/>
      </c>
      <c r="BD2231" s="82">
        <f>($Q2231-$H2231)*100</f>
        <v/>
      </c>
      <c r="BE2231" s="82">
        <f>($S2231-$J2231)*100</f>
        <v/>
      </c>
      <c r="BF2231" s="82">
        <f>($V2231-$L2231)*100</f>
        <v/>
      </c>
      <c r="BG2231" s="82">
        <f>$AG2231-$AF2231</f>
        <v/>
      </c>
      <c r="BH2231" s="81">
        <f>IFERROR($AG2231/$AF2231,"")</f>
        <v/>
      </c>
      <c r="BI2231" s="82">
        <f>$AJ2231-$AF2231</f>
        <v/>
      </c>
      <c r="BJ2231" s="81">
        <f>IFERROR($AJ2231/$AG2231,"")</f>
        <v/>
      </c>
      <c r="BK2231" s="81">
        <f>$X2231</f>
        <v/>
      </c>
      <c r="BL2231" s="82">
        <f>($J2231-$J2232)*100</f>
        <v/>
      </c>
      <c r="BM2231" s="82">
        <f>($F2231-$F2232)*100</f>
        <v/>
      </c>
      <c r="BN2231" s="82">
        <f>$AF2231-$AF2232</f>
        <v/>
      </c>
      <c r="BO2231" s="82">
        <f>$AG2231-$AG2232</f>
        <v/>
      </c>
      <c r="BP2231" s="82">
        <f>$AJ2231-$AJ2232</f>
        <v/>
      </c>
    </row>
    <row r="2232">
      <c r="AR2232" s="81">
        <f>($G2232+($H2232-$G2232)*0.5)+($P2232-($O2232+($Q2232-$O2232)*0.5))</f>
        <v/>
      </c>
      <c r="AS2232" s="81">
        <f>($J2232+($K2232-$J2232)*0.5)+($T2232-($S2232+($U2232-$S2232)*0.5))</f>
        <v/>
      </c>
      <c r="AT2232" s="82">
        <f>($J2232-$C2232)*100</f>
        <v/>
      </c>
      <c r="AU2232" s="82">
        <f>($H2232-$F2232)*100</f>
        <v/>
      </c>
      <c r="AV2232" s="82">
        <f>($J2232-$F2232)*100</f>
        <v/>
      </c>
      <c r="AW2232" s="82">
        <f>($L2232-$F2232)*100</f>
        <v/>
      </c>
      <c r="AX2232" s="82">
        <f>($J2232-$H2232)*100</f>
        <v/>
      </c>
      <c r="AY2232" s="82">
        <f>($L2232-$H2232)*100</f>
        <v/>
      </c>
      <c r="AZ2232" s="82">
        <f>($L2232-$J2232)*100</f>
        <v/>
      </c>
      <c r="BA2232" s="82">
        <f>(2*$H2232-$F2232-$J2232)*100</f>
        <v/>
      </c>
      <c r="BB2232" s="82">
        <f>(2*$J2232-$H2232-$L2232)*100</f>
        <v/>
      </c>
      <c r="BC2232" s="82">
        <f>($N2232-$F2232)*100</f>
        <v/>
      </c>
      <c r="BD2232" s="82">
        <f>($Q2232-$H2232)*100</f>
        <v/>
      </c>
      <c r="BE2232" s="82">
        <f>($S2232-$J2232)*100</f>
        <v/>
      </c>
      <c r="BF2232" s="82">
        <f>($V2232-$L2232)*100</f>
        <v/>
      </c>
      <c r="BG2232" s="82">
        <f>$AG2232-$AF2232</f>
        <v/>
      </c>
      <c r="BH2232" s="81">
        <f>IFERROR($AG2232/$AF2232,"")</f>
        <v/>
      </c>
      <c r="BI2232" s="82">
        <f>$AJ2232-$AF2232</f>
        <v/>
      </c>
      <c r="BJ2232" s="81">
        <f>IFERROR($AJ2232/$AG2232,"")</f>
        <v/>
      </c>
      <c r="BK2232" s="81">
        <f>$X2232</f>
        <v/>
      </c>
      <c r="BL2232" s="82">
        <f>($J2232-$J2233)*100</f>
        <v/>
      </c>
      <c r="BM2232" s="82">
        <f>($F2232-$F2233)*100</f>
        <v/>
      </c>
      <c r="BN2232" s="82">
        <f>$AF2232-$AF2233</f>
        <v/>
      </c>
      <c r="BO2232" s="82">
        <f>$AG2232-$AG2233</f>
        <v/>
      </c>
      <c r="BP2232" s="82">
        <f>$AJ2232-$AJ2233</f>
        <v/>
      </c>
    </row>
    <row r="2233">
      <c r="AR2233" s="81">
        <f>($G2233+($H2233-$G2233)*0.5)+($P2233-($O2233+($Q2233-$O2233)*0.5))</f>
        <v/>
      </c>
      <c r="AS2233" s="81">
        <f>($J2233+($K2233-$J2233)*0.5)+($T2233-($S2233+($U2233-$S2233)*0.5))</f>
        <v/>
      </c>
      <c r="AT2233" s="82">
        <f>($J2233-$C2233)*100</f>
        <v/>
      </c>
      <c r="AU2233" s="82">
        <f>($H2233-$F2233)*100</f>
        <v/>
      </c>
      <c r="AV2233" s="82">
        <f>($J2233-$F2233)*100</f>
        <v/>
      </c>
      <c r="AW2233" s="82">
        <f>($L2233-$F2233)*100</f>
        <v/>
      </c>
      <c r="AX2233" s="82">
        <f>($J2233-$H2233)*100</f>
        <v/>
      </c>
      <c r="AY2233" s="82">
        <f>($L2233-$H2233)*100</f>
        <v/>
      </c>
      <c r="AZ2233" s="82">
        <f>($L2233-$J2233)*100</f>
        <v/>
      </c>
      <c r="BA2233" s="82">
        <f>(2*$H2233-$F2233-$J2233)*100</f>
        <v/>
      </c>
      <c r="BB2233" s="82">
        <f>(2*$J2233-$H2233-$L2233)*100</f>
        <v/>
      </c>
      <c r="BC2233" s="82">
        <f>($N2233-$F2233)*100</f>
        <v/>
      </c>
      <c r="BD2233" s="82">
        <f>($Q2233-$H2233)*100</f>
        <v/>
      </c>
      <c r="BE2233" s="82">
        <f>($S2233-$J2233)*100</f>
        <v/>
      </c>
      <c r="BF2233" s="82">
        <f>($V2233-$L2233)*100</f>
        <v/>
      </c>
      <c r="BG2233" s="82">
        <f>$AG2233-$AF2233</f>
        <v/>
      </c>
      <c r="BH2233" s="81">
        <f>IFERROR($AG2233/$AF2233,"")</f>
        <v/>
      </c>
      <c r="BI2233" s="82">
        <f>$AJ2233-$AF2233</f>
        <v/>
      </c>
      <c r="BJ2233" s="81">
        <f>IFERROR($AJ2233/$AG2233,"")</f>
        <v/>
      </c>
      <c r="BK2233" s="81">
        <f>$X2233</f>
        <v/>
      </c>
      <c r="BL2233" s="82">
        <f>($J2233-$J2234)*100</f>
        <v/>
      </c>
      <c r="BM2233" s="82">
        <f>($F2233-$F2234)*100</f>
        <v/>
      </c>
      <c r="BN2233" s="82">
        <f>$AF2233-$AF2234</f>
        <v/>
      </c>
      <c r="BO2233" s="82">
        <f>$AG2233-$AG2234</f>
        <v/>
      </c>
      <c r="BP2233" s="82">
        <f>$AJ2233-$AJ2234</f>
        <v/>
      </c>
    </row>
    <row r="2234">
      <c r="AR2234" s="81">
        <f>($G2234+($H2234-$G2234)*0.5)+($P2234-($O2234+($Q2234-$O2234)*0.5))</f>
        <v/>
      </c>
      <c r="AS2234" s="81">
        <f>($J2234+($K2234-$J2234)*0.5)+($T2234-($S2234+($U2234-$S2234)*0.5))</f>
        <v/>
      </c>
      <c r="AT2234" s="82">
        <f>($J2234-$C2234)*100</f>
        <v/>
      </c>
      <c r="AU2234" s="82">
        <f>($H2234-$F2234)*100</f>
        <v/>
      </c>
      <c r="AV2234" s="82">
        <f>($J2234-$F2234)*100</f>
        <v/>
      </c>
      <c r="AW2234" s="82">
        <f>($L2234-$F2234)*100</f>
        <v/>
      </c>
      <c r="AX2234" s="82">
        <f>($J2234-$H2234)*100</f>
        <v/>
      </c>
      <c r="AY2234" s="82">
        <f>($L2234-$H2234)*100</f>
        <v/>
      </c>
      <c r="AZ2234" s="82">
        <f>($L2234-$J2234)*100</f>
        <v/>
      </c>
      <c r="BA2234" s="82">
        <f>(2*$H2234-$F2234-$J2234)*100</f>
        <v/>
      </c>
      <c r="BB2234" s="82">
        <f>(2*$J2234-$H2234-$L2234)*100</f>
        <v/>
      </c>
      <c r="BC2234" s="82">
        <f>($N2234-$F2234)*100</f>
        <v/>
      </c>
      <c r="BD2234" s="82">
        <f>($Q2234-$H2234)*100</f>
        <v/>
      </c>
      <c r="BE2234" s="82">
        <f>($S2234-$J2234)*100</f>
        <v/>
      </c>
      <c r="BF2234" s="82">
        <f>($V2234-$L2234)*100</f>
        <v/>
      </c>
      <c r="BG2234" s="82">
        <f>$AG2234-$AF2234</f>
        <v/>
      </c>
      <c r="BH2234" s="81">
        <f>IFERROR($AG2234/$AF2234,"")</f>
        <v/>
      </c>
      <c r="BI2234" s="82">
        <f>$AJ2234-$AF2234</f>
        <v/>
      </c>
      <c r="BJ2234" s="81">
        <f>IFERROR($AJ2234/$AG2234,"")</f>
        <v/>
      </c>
      <c r="BK2234" s="81">
        <f>$X2234</f>
        <v/>
      </c>
      <c r="BL2234" s="82">
        <f>($J2234-$J2235)*100</f>
        <v/>
      </c>
      <c r="BM2234" s="82">
        <f>($F2234-$F2235)*100</f>
        <v/>
      </c>
      <c r="BN2234" s="82">
        <f>$AF2234-$AF2235</f>
        <v/>
      </c>
      <c r="BO2234" s="82">
        <f>$AG2234-$AG2235</f>
        <v/>
      </c>
      <c r="BP2234" s="82">
        <f>$AJ2234-$AJ2235</f>
        <v/>
      </c>
    </row>
    <row r="2235">
      <c r="AR2235" s="81">
        <f>($G2235+($H2235-$G2235)*0.5)+($P2235-($O2235+($Q2235-$O2235)*0.5))</f>
        <v/>
      </c>
      <c r="AS2235" s="81">
        <f>($J2235+($K2235-$J2235)*0.5)+($T2235-($S2235+($U2235-$S2235)*0.5))</f>
        <v/>
      </c>
      <c r="AT2235" s="82">
        <f>($J2235-$C2235)*100</f>
        <v/>
      </c>
      <c r="AU2235" s="82">
        <f>($H2235-$F2235)*100</f>
        <v/>
      </c>
      <c r="AV2235" s="82">
        <f>($J2235-$F2235)*100</f>
        <v/>
      </c>
      <c r="AW2235" s="82">
        <f>($L2235-$F2235)*100</f>
        <v/>
      </c>
      <c r="AX2235" s="82">
        <f>($J2235-$H2235)*100</f>
        <v/>
      </c>
      <c r="AY2235" s="82">
        <f>($L2235-$H2235)*100</f>
        <v/>
      </c>
      <c r="AZ2235" s="82">
        <f>($L2235-$J2235)*100</f>
        <v/>
      </c>
      <c r="BA2235" s="82">
        <f>(2*$H2235-$F2235-$J2235)*100</f>
        <v/>
      </c>
      <c r="BB2235" s="82">
        <f>(2*$J2235-$H2235-$L2235)*100</f>
        <v/>
      </c>
      <c r="BC2235" s="82">
        <f>($N2235-$F2235)*100</f>
        <v/>
      </c>
      <c r="BD2235" s="82">
        <f>($Q2235-$H2235)*100</f>
        <v/>
      </c>
      <c r="BE2235" s="82">
        <f>($S2235-$J2235)*100</f>
        <v/>
      </c>
      <c r="BF2235" s="82">
        <f>($V2235-$L2235)*100</f>
        <v/>
      </c>
      <c r="BG2235" s="82">
        <f>$AG2235-$AF2235</f>
        <v/>
      </c>
      <c r="BH2235" s="81">
        <f>IFERROR($AG2235/$AF2235,"")</f>
        <v/>
      </c>
      <c r="BI2235" s="82">
        <f>$AJ2235-$AF2235</f>
        <v/>
      </c>
      <c r="BJ2235" s="81">
        <f>IFERROR($AJ2235/$AG2235,"")</f>
        <v/>
      </c>
      <c r="BK2235" s="81">
        <f>$X2235</f>
        <v/>
      </c>
      <c r="BL2235" s="82">
        <f>($J2235-$J2236)*100</f>
        <v/>
      </c>
      <c r="BM2235" s="82">
        <f>($F2235-$F2236)*100</f>
        <v/>
      </c>
      <c r="BN2235" s="82">
        <f>$AF2235-$AF2236</f>
        <v/>
      </c>
      <c r="BO2235" s="82">
        <f>$AG2235-$AG2236</f>
        <v/>
      </c>
      <c r="BP2235" s="82">
        <f>$AJ2235-$AJ2236</f>
        <v/>
      </c>
    </row>
    <row r="2236">
      <c r="AR2236" s="81">
        <f>($G2236+($H2236-$G2236)*0.5)+($P2236-($O2236+($Q2236-$O2236)*0.5))</f>
        <v/>
      </c>
      <c r="AS2236" s="81">
        <f>($J2236+($K2236-$J2236)*0.5)+($T2236-($S2236+($U2236-$S2236)*0.5))</f>
        <v/>
      </c>
      <c r="AT2236" s="82">
        <f>($J2236-$C2236)*100</f>
        <v/>
      </c>
      <c r="AU2236" s="82">
        <f>($H2236-$F2236)*100</f>
        <v/>
      </c>
      <c r="AV2236" s="82">
        <f>($J2236-$F2236)*100</f>
        <v/>
      </c>
      <c r="AW2236" s="82">
        <f>($L2236-$F2236)*100</f>
        <v/>
      </c>
      <c r="AX2236" s="82">
        <f>($J2236-$H2236)*100</f>
        <v/>
      </c>
      <c r="AY2236" s="82">
        <f>($L2236-$H2236)*100</f>
        <v/>
      </c>
      <c r="AZ2236" s="82">
        <f>($L2236-$J2236)*100</f>
        <v/>
      </c>
      <c r="BA2236" s="82">
        <f>(2*$H2236-$F2236-$J2236)*100</f>
        <v/>
      </c>
      <c r="BB2236" s="82">
        <f>(2*$J2236-$H2236-$L2236)*100</f>
        <v/>
      </c>
      <c r="BC2236" s="82">
        <f>($N2236-$F2236)*100</f>
        <v/>
      </c>
      <c r="BD2236" s="82">
        <f>($Q2236-$H2236)*100</f>
        <v/>
      </c>
      <c r="BE2236" s="82">
        <f>($S2236-$J2236)*100</f>
        <v/>
      </c>
      <c r="BF2236" s="82">
        <f>($V2236-$L2236)*100</f>
        <v/>
      </c>
      <c r="BG2236" s="82">
        <f>$AG2236-$AF2236</f>
        <v/>
      </c>
      <c r="BH2236" s="81">
        <f>IFERROR($AG2236/$AF2236,"")</f>
        <v/>
      </c>
      <c r="BI2236" s="82">
        <f>$AJ2236-$AF2236</f>
        <v/>
      </c>
      <c r="BJ2236" s="81">
        <f>IFERROR($AJ2236/$AG2236,"")</f>
        <v/>
      </c>
      <c r="BK2236" s="81">
        <f>$X2236</f>
        <v/>
      </c>
      <c r="BL2236" s="82">
        <f>($J2236-$J2237)*100</f>
        <v/>
      </c>
      <c r="BM2236" s="82">
        <f>($F2236-$F2237)*100</f>
        <v/>
      </c>
      <c r="BN2236" s="82">
        <f>$AF2236-$AF2237</f>
        <v/>
      </c>
      <c r="BO2236" s="82">
        <f>$AG2236-$AG2237</f>
        <v/>
      </c>
      <c r="BP2236" s="82">
        <f>$AJ2236-$AJ2237</f>
        <v/>
      </c>
    </row>
    <row r="2237">
      <c r="AR2237" s="81">
        <f>($G2237+($H2237-$G2237)*0.5)+($P2237-($O2237+($Q2237-$O2237)*0.5))</f>
        <v/>
      </c>
      <c r="AS2237" s="81">
        <f>($J2237+($K2237-$J2237)*0.5)+($T2237-($S2237+($U2237-$S2237)*0.5))</f>
        <v/>
      </c>
      <c r="AT2237" s="82">
        <f>($J2237-$C2237)*100</f>
        <v/>
      </c>
      <c r="AU2237" s="82">
        <f>($H2237-$F2237)*100</f>
        <v/>
      </c>
      <c r="AV2237" s="82">
        <f>($J2237-$F2237)*100</f>
        <v/>
      </c>
      <c r="AW2237" s="82">
        <f>($L2237-$F2237)*100</f>
        <v/>
      </c>
      <c r="AX2237" s="82">
        <f>($J2237-$H2237)*100</f>
        <v/>
      </c>
      <c r="AY2237" s="82">
        <f>($L2237-$H2237)*100</f>
        <v/>
      </c>
      <c r="AZ2237" s="82">
        <f>($L2237-$J2237)*100</f>
        <v/>
      </c>
      <c r="BA2237" s="82">
        <f>(2*$H2237-$F2237-$J2237)*100</f>
        <v/>
      </c>
      <c r="BB2237" s="82">
        <f>(2*$J2237-$H2237-$L2237)*100</f>
        <v/>
      </c>
      <c r="BC2237" s="82">
        <f>($N2237-$F2237)*100</f>
        <v/>
      </c>
      <c r="BD2237" s="82">
        <f>($Q2237-$H2237)*100</f>
        <v/>
      </c>
      <c r="BE2237" s="82">
        <f>($S2237-$J2237)*100</f>
        <v/>
      </c>
      <c r="BF2237" s="82">
        <f>($V2237-$L2237)*100</f>
        <v/>
      </c>
      <c r="BG2237" s="82">
        <f>$AG2237-$AF2237</f>
        <v/>
      </c>
      <c r="BH2237" s="81">
        <f>IFERROR($AG2237/$AF2237,"")</f>
        <v/>
      </c>
      <c r="BI2237" s="82">
        <f>$AJ2237-$AF2237</f>
        <v/>
      </c>
      <c r="BJ2237" s="81">
        <f>IFERROR($AJ2237/$AG2237,"")</f>
        <v/>
      </c>
      <c r="BK2237" s="81">
        <f>$X2237</f>
        <v/>
      </c>
      <c r="BL2237" s="82">
        <f>($J2237-$J2238)*100</f>
        <v/>
      </c>
      <c r="BM2237" s="82">
        <f>($F2237-$F2238)*100</f>
        <v/>
      </c>
      <c r="BN2237" s="82">
        <f>$AF2237-$AF2238</f>
        <v/>
      </c>
      <c r="BO2237" s="82">
        <f>$AG2237-$AG2238</f>
        <v/>
      </c>
      <c r="BP2237" s="82">
        <f>$AJ2237-$AJ2238</f>
        <v/>
      </c>
    </row>
    <row r="2238">
      <c r="AR2238" s="81">
        <f>($G2238+($H2238-$G2238)*0.5)+($P2238-($O2238+($Q2238-$O2238)*0.5))</f>
        <v/>
      </c>
      <c r="AS2238" s="81">
        <f>($J2238+($K2238-$J2238)*0.5)+($T2238-($S2238+($U2238-$S2238)*0.5))</f>
        <v/>
      </c>
      <c r="AT2238" s="82">
        <f>($J2238-$C2238)*100</f>
        <v/>
      </c>
      <c r="AU2238" s="82">
        <f>($H2238-$F2238)*100</f>
        <v/>
      </c>
      <c r="AV2238" s="82">
        <f>($J2238-$F2238)*100</f>
        <v/>
      </c>
      <c r="AW2238" s="82">
        <f>($L2238-$F2238)*100</f>
        <v/>
      </c>
      <c r="AX2238" s="82">
        <f>($J2238-$H2238)*100</f>
        <v/>
      </c>
      <c r="AY2238" s="82">
        <f>($L2238-$H2238)*100</f>
        <v/>
      </c>
      <c r="AZ2238" s="82">
        <f>($L2238-$J2238)*100</f>
        <v/>
      </c>
      <c r="BA2238" s="82">
        <f>(2*$H2238-$F2238-$J2238)*100</f>
        <v/>
      </c>
      <c r="BB2238" s="82">
        <f>(2*$J2238-$H2238-$L2238)*100</f>
        <v/>
      </c>
      <c r="BC2238" s="82">
        <f>($N2238-$F2238)*100</f>
        <v/>
      </c>
      <c r="BD2238" s="82">
        <f>($Q2238-$H2238)*100</f>
        <v/>
      </c>
      <c r="BE2238" s="82">
        <f>($S2238-$J2238)*100</f>
        <v/>
      </c>
      <c r="BF2238" s="82">
        <f>($V2238-$L2238)*100</f>
        <v/>
      </c>
      <c r="BG2238" s="82">
        <f>$AG2238-$AF2238</f>
        <v/>
      </c>
      <c r="BH2238" s="81">
        <f>IFERROR($AG2238/$AF2238,"")</f>
        <v/>
      </c>
      <c r="BI2238" s="82">
        <f>$AJ2238-$AF2238</f>
        <v/>
      </c>
      <c r="BJ2238" s="81">
        <f>IFERROR($AJ2238/$AG2238,"")</f>
        <v/>
      </c>
      <c r="BK2238" s="81">
        <f>$X2238</f>
        <v/>
      </c>
      <c r="BL2238" s="82">
        <f>($J2238-$J2239)*100</f>
        <v/>
      </c>
      <c r="BM2238" s="82">
        <f>($F2238-$F2239)*100</f>
        <v/>
      </c>
      <c r="BN2238" s="82">
        <f>$AF2238-$AF2239</f>
        <v/>
      </c>
      <c r="BO2238" s="82">
        <f>$AG2238-$AG2239</f>
        <v/>
      </c>
      <c r="BP2238" s="82">
        <f>$AJ2238-$AJ2239</f>
        <v/>
      </c>
    </row>
    <row r="2239">
      <c r="AR2239" s="81">
        <f>($G2239+($H2239-$G2239)*0.5)+($P2239-($O2239+($Q2239-$O2239)*0.5))</f>
        <v/>
      </c>
      <c r="AS2239" s="81">
        <f>($J2239+($K2239-$J2239)*0.5)+($T2239-($S2239+($U2239-$S2239)*0.5))</f>
        <v/>
      </c>
      <c r="AT2239" s="82">
        <f>($J2239-$C2239)*100</f>
        <v/>
      </c>
      <c r="AU2239" s="82">
        <f>($H2239-$F2239)*100</f>
        <v/>
      </c>
      <c r="AV2239" s="82">
        <f>($J2239-$F2239)*100</f>
        <v/>
      </c>
      <c r="AW2239" s="82">
        <f>($L2239-$F2239)*100</f>
        <v/>
      </c>
      <c r="AX2239" s="82">
        <f>($J2239-$H2239)*100</f>
        <v/>
      </c>
      <c r="AY2239" s="82">
        <f>($L2239-$H2239)*100</f>
        <v/>
      </c>
      <c r="AZ2239" s="82">
        <f>($L2239-$J2239)*100</f>
        <v/>
      </c>
      <c r="BA2239" s="82">
        <f>(2*$H2239-$F2239-$J2239)*100</f>
        <v/>
      </c>
      <c r="BB2239" s="82">
        <f>(2*$J2239-$H2239-$L2239)*100</f>
        <v/>
      </c>
      <c r="BC2239" s="82">
        <f>($N2239-$F2239)*100</f>
        <v/>
      </c>
      <c r="BD2239" s="82">
        <f>($Q2239-$H2239)*100</f>
        <v/>
      </c>
      <c r="BE2239" s="82">
        <f>($S2239-$J2239)*100</f>
        <v/>
      </c>
      <c r="BF2239" s="82">
        <f>($V2239-$L2239)*100</f>
        <v/>
      </c>
      <c r="BG2239" s="82">
        <f>$AG2239-$AF2239</f>
        <v/>
      </c>
      <c r="BH2239" s="81">
        <f>IFERROR($AG2239/$AF2239,"")</f>
        <v/>
      </c>
      <c r="BI2239" s="82">
        <f>$AJ2239-$AF2239</f>
        <v/>
      </c>
      <c r="BJ2239" s="81">
        <f>IFERROR($AJ2239/$AG2239,"")</f>
        <v/>
      </c>
      <c r="BK2239" s="81">
        <f>$X2239</f>
        <v/>
      </c>
      <c r="BL2239" s="82">
        <f>($J2239-$J2240)*100</f>
        <v/>
      </c>
      <c r="BM2239" s="82">
        <f>($F2239-$F2240)*100</f>
        <v/>
      </c>
      <c r="BN2239" s="82">
        <f>$AF2239-$AF2240</f>
        <v/>
      </c>
      <c r="BO2239" s="82">
        <f>$AG2239-$AG2240</f>
        <v/>
      </c>
      <c r="BP2239" s="82">
        <f>$AJ2239-$AJ2240</f>
        <v/>
      </c>
    </row>
    <row r="2240">
      <c r="AR2240" s="81">
        <f>($G2240+($H2240-$G2240)*0.5)+($P2240-($O2240+($Q2240-$O2240)*0.5))</f>
        <v/>
      </c>
      <c r="AS2240" s="81">
        <f>($J2240+($K2240-$J2240)*0.5)+($T2240-($S2240+($U2240-$S2240)*0.5))</f>
        <v/>
      </c>
      <c r="AT2240" s="82">
        <f>($J2240-$C2240)*100</f>
        <v/>
      </c>
      <c r="AU2240" s="82">
        <f>($H2240-$F2240)*100</f>
        <v/>
      </c>
      <c r="AV2240" s="82">
        <f>($J2240-$F2240)*100</f>
        <v/>
      </c>
      <c r="AW2240" s="82">
        <f>($L2240-$F2240)*100</f>
        <v/>
      </c>
      <c r="AX2240" s="82">
        <f>($J2240-$H2240)*100</f>
        <v/>
      </c>
      <c r="AY2240" s="82">
        <f>($L2240-$H2240)*100</f>
        <v/>
      </c>
      <c r="AZ2240" s="82">
        <f>($L2240-$J2240)*100</f>
        <v/>
      </c>
      <c r="BA2240" s="82">
        <f>(2*$H2240-$F2240-$J2240)*100</f>
        <v/>
      </c>
      <c r="BB2240" s="82">
        <f>(2*$J2240-$H2240-$L2240)*100</f>
        <v/>
      </c>
      <c r="BC2240" s="82">
        <f>($N2240-$F2240)*100</f>
        <v/>
      </c>
      <c r="BD2240" s="82">
        <f>($Q2240-$H2240)*100</f>
        <v/>
      </c>
      <c r="BE2240" s="82">
        <f>($S2240-$J2240)*100</f>
        <v/>
      </c>
      <c r="BF2240" s="82">
        <f>($V2240-$L2240)*100</f>
        <v/>
      </c>
      <c r="BG2240" s="82">
        <f>$AG2240-$AF2240</f>
        <v/>
      </c>
      <c r="BH2240" s="81">
        <f>IFERROR($AG2240/$AF2240,"")</f>
        <v/>
      </c>
      <c r="BI2240" s="82">
        <f>$AJ2240-$AF2240</f>
        <v/>
      </c>
      <c r="BJ2240" s="81">
        <f>IFERROR($AJ2240/$AG2240,"")</f>
        <v/>
      </c>
      <c r="BK2240" s="81">
        <f>$X2240</f>
        <v/>
      </c>
      <c r="BL2240" s="82">
        <f>($J2240-$J2241)*100</f>
        <v/>
      </c>
      <c r="BM2240" s="82">
        <f>($F2240-$F2241)*100</f>
        <v/>
      </c>
      <c r="BN2240" s="82">
        <f>$AF2240-$AF2241</f>
        <v/>
      </c>
      <c r="BO2240" s="82">
        <f>$AG2240-$AG2241</f>
        <v/>
      </c>
      <c r="BP2240" s="82">
        <f>$AJ2240-$AJ2241</f>
        <v/>
      </c>
    </row>
    <row r="2241">
      <c r="AR2241" s="81">
        <f>($G2241+($H2241-$G2241)*0.5)+($P2241-($O2241+($Q2241-$O2241)*0.5))</f>
        <v/>
      </c>
      <c r="AS2241" s="81">
        <f>($J2241+($K2241-$J2241)*0.5)+($T2241-($S2241+($U2241-$S2241)*0.5))</f>
        <v/>
      </c>
      <c r="AT2241" s="82">
        <f>($J2241-$C2241)*100</f>
        <v/>
      </c>
      <c r="AU2241" s="82">
        <f>($H2241-$F2241)*100</f>
        <v/>
      </c>
      <c r="AV2241" s="82">
        <f>($J2241-$F2241)*100</f>
        <v/>
      </c>
      <c r="AW2241" s="82">
        <f>($L2241-$F2241)*100</f>
        <v/>
      </c>
      <c r="AX2241" s="82">
        <f>($J2241-$H2241)*100</f>
        <v/>
      </c>
      <c r="AY2241" s="82">
        <f>($L2241-$H2241)*100</f>
        <v/>
      </c>
      <c r="AZ2241" s="82">
        <f>($L2241-$J2241)*100</f>
        <v/>
      </c>
      <c r="BA2241" s="82">
        <f>(2*$H2241-$F2241-$J2241)*100</f>
        <v/>
      </c>
      <c r="BB2241" s="82">
        <f>(2*$J2241-$H2241-$L2241)*100</f>
        <v/>
      </c>
      <c r="BC2241" s="82">
        <f>($N2241-$F2241)*100</f>
        <v/>
      </c>
      <c r="BD2241" s="82">
        <f>($Q2241-$H2241)*100</f>
        <v/>
      </c>
      <c r="BE2241" s="82">
        <f>($S2241-$J2241)*100</f>
        <v/>
      </c>
      <c r="BF2241" s="82">
        <f>($V2241-$L2241)*100</f>
        <v/>
      </c>
      <c r="BG2241" s="82">
        <f>$AG2241-$AF2241</f>
        <v/>
      </c>
      <c r="BH2241" s="81">
        <f>IFERROR($AG2241/$AF2241,"")</f>
        <v/>
      </c>
      <c r="BI2241" s="82">
        <f>$AJ2241-$AF2241</f>
        <v/>
      </c>
      <c r="BJ2241" s="81">
        <f>IFERROR($AJ2241/$AG2241,"")</f>
        <v/>
      </c>
      <c r="BK2241" s="81">
        <f>$X2241</f>
        <v/>
      </c>
      <c r="BL2241" s="82">
        <f>($J2241-$J2242)*100</f>
        <v/>
      </c>
      <c r="BM2241" s="82">
        <f>($F2241-$F2242)*100</f>
        <v/>
      </c>
      <c r="BN2241" s="82">
        <f>$AF2241-$AF2242</f>
        <v/>
      </c>
      <c r="BO2241" s="82">
        <f>$AG2241-$AG2242</f>
        <v/>
      </c>
      <c r="BP2241" s="82">
        <f>$AJ2241-$AJ2242</f>
        <v/>
      </c>
    </row>
    <row r="2242">
      <c r="AR2242" s="81">
        <f>($G2242+($H2242-$G2242)*0.5)+($P2242-($O2242+($Q2242-$O2242)*0.5))</f>
        <v/>
      </c>
      <c r="AS2242" s="81">
        <f>($J2242+($K2242-$J2242)*0.5)+($T2242-($S2242+($U2242-$S2242)*0.5))</f>
        <v/>
      </c>
      <c r="AT2242" s="82">
        <f>($J2242-$C2242)*100</f>
        <v/>
      </c>
      <c r="AU2242" s="82">
        <f>($H2242-$F2242)*100</f>
        <v/>
      </c>
      <c r="AV2242" s="82">
        <f>($J2242-$F2242)*100</f>
        <v/>
      </c>
      <c r="AW2242" s="82">
        <f>($L2242-$F2242)*100</f>
        <v/>
      </c>
      <c r="AX2242" s="82">
        <f>($J2242-$H2242)*100</f>
        <v/>
      </c>
      <c r="AY2242" s="82">
        <f>($L2242-$H2242)*100</f>
        <v/>
      </c>
      <c r="AZ2242" s="82">
        <f>($L2242-$J2242)*100</f>
        <v/>
      </c>
      <c r="BA2242" s="82">
        <f>(2*$H2242-$F2242-$J2242)*100</f>
        <v/>
      </c>
      <c r="BB2242" s="82">
        <f>(2*$J2242-$H2242-$L2242)*100</f>
        <v/>
      </c>
      <c r="BC2242" s="82">
        <f>($N2242-$F2242)*100</f>
        <v/>
      </c>
      <c r="BD2242" s="82">
        <f>($Q2242-$H2242)*100</f>
        <v/>
      </c>
      <c r="BE2242" s="82">
        <f>($S2242-$J2242)*100</f>
        <v/>
      </c>
      <c r="BF2242" s="82">
        <f>($V2242-$L2242)*100</f>
        <v/>
      </c>
      <c r="BG2242" s="82">
        <f>$AG2242-$AF2242</f>
        <v/>
      </c>
      <c r="BH2242" s="81">
        <f>IFERROR($AG2242/$AF2242,"")</f>
        <v/>
      </c>
      <c r="BI2242" s="82">
        <f>$AJ2242-$AF2242</f>
        <v/>
      </c>
      <c r="BJ2242" s="81">
        <f>IFERROR($AJ2242/$AG2242,"")</f>
        <v/>
      </c>
      <c r="BK2242" s="81">
        <f>$X2242</f>
        <v/>
      </c>
      <c r="BL2242" s="82">
        <f>($J2242-$J2243)*100</f>
        <v/>
      </c>
      <c r="BM2242" s="82">
        <f>($F2242-$F2243)*100</f>
        <v/>
      </c>
      <c r="BN2242" s="82">
        <f>$AF2242-$AF2243</f>
        <v/>
      </c>
      <c r="BO2242" s="82">
        <f>$AG2242-$AG2243</f>
        <v/>
      </c>
      <c r="BP2242" s="82">
        <f>$AJ2242-$AJ2243</f>
        <v/>
      </c>
    </row>
    <row r="2243">
      <c r="AR2243" s="81">
        <f>($G2243+($H2243-$G2243)*0.5)+($P2243-($O2243+($Q2243-$O2243)*0.5))</f>
        <v/>
      </c>
      <c r="AS2243" s="81">
        <f>($J2243+($K2243-$J2243)*0.5)+($T2243-($S2243+($U2243-$S2243)*0.5))</f>
        <v/>
      </c>
      <c r="AT2243" s="82">
        <f>($J2243-$C2243)*100</f>
        <v/>
      </c>
      <c r="AU2243" s="82">
        <f>($H2243-$F2243)*100</f>
        <v/>
      </c>
      <c r="AV2243" s="82">
        <f>($J2243-$F2243)*100</f>
        <v/>
      </c>
      <c r="AW2243" s="82">
        <f>($L2243-$F2243)*100</f>
        <v/>
      </c>
      <c r="AX2243" s="82">
        <f>($J2243-$H2243)*100</f>
        <v/>
      </c>
      <c r="AY2243" s="82">
        <f>($L2243-$H2243)*100</f>
        <v/>
      </c>
      <c r="AZ2243" s="82">
        <f>($L2243-$J2243)*100</f>
        <v/>
      </c>
      <c r="BA2243" s="82">
        <f>(2*$H2243-$F2243-$J2243)*100</f>
        <v/>
      </c>
      <c r="BB2243" s="82">
        <f>(2*$J2243-$H2243-$L2243)*100</f>
        <v/>
      </c>
      <c r="BC2243" s="82">
        <f>($N2243-$F2243)*100</f>
        <v/>
      </c>
      <c r="BD2243" s="82">
        <f>($Q2243-$H2243)*100</f>
        <v/>
      </c>
      <c r="BE2243" s="82">
        <f>($S2243-$J2243)*100</f>
        <v/>
      </c>
      <c r="BF2243" s="82">
        <f>($V2243-$L2243)*100</f>
        <v/>
      </c>
      <c r="BG2243" s="82">
        <f>$AG2243-$AF2243</f>
        <v/>
      </c>
      <c r="BH2243" s="81">
        <f>IFERROR($AG2243/$AF2243,"")</f>
        <v/>
      </c>
      <c r="BI2243" s="82">
        <f>$AJ2243-$AF2243</f>
        <v/>
      </c>
      <c r="BJ2243" s="81">
        <f>IFERROR($AJ2243/$AG2243,"")</f>
        <v/>
      </c>
      <c r="BK2243" s="81">
        <f>$X2243</f>
        <v/>
      </c>
      <c r="BL2243" s="82">
        <f>($J2243-$J2244)*100</f>
        <v/>
      </c>
      <c r="BM2243" s="82">
        <f>($F2243-$F2244)*100</f>
        <v/>
      </c>
      <c r="BN2243" s="82">
        <f>$AF2243-$AF2244</f>
        <v/>
      </c>
      <c r="BO2243" s="82">
        <f>$AG2243-$AG2244</f>
        <v/>
      </c>
      <c r="BP2243" s="82">
        <f>$AJ2243-$AJ2244</f>
        <v/>
      </c>
    </row>
    <row r="2244">
      <c r="AR2244" s="81">
        <f>($G2244+($H2244-$G2244)*0.5)+($P2244-($O2244+($Q2244-$O2244)*0.5))</f>
        <v/>
      </c>
      <c r="AS2244" s="81">
        <f>($J2244+($K2244-$J2244)*0.5)+($T2244-($S2244+($U2244-$S2244)*0.5))</f>
        <v/>
      </c>
      <c r="AT2244" s="82">
        <f>($J2244-$C2244)*100</f>
        <v/>
      </c>
      <c r="AU2244" s="82">
        <f>($H2244-$F2244)*100</f>
        <v/>
      </c>
      <c r="AV2244" s="82">
        <f>($J2244-$F2244)*100</f>
        <v/>
      </c>
      <c r="AW2244" s="82">
        <f>($L2244-$F2244)*100</f>
        <v/>
      </c>
      <c r="AX2244" s="82">
        <f>($J2244-$H2244)*100</f>
        <v/>
      </c>
      <c r="AY2244" s="82">
        <f>($L2244-$H2244)*100</f>
        <v/>
      </c>
      <c r="AZ2244" s="82">
        <f>($L2244-$J2244)*100</f>
        <v/>
      </c>
      <c r="BA2244" s="82">
        <f>(2*$H2244-$F2244-$J2244)*100</f>
        <v/>
      </c>
      <c r="BB2244" s="82">
        <f>(2*$J2244-$H2244-$L2244)*100</f>
        <v/>
      </c>
      <c r="BC2244" s="82">
        <f>($N2244-$F2244)*100</f>
        <v/>
      </c>
      <c r="BD2244" s="82">
        <f>($Q2244-$H2244)*100</f>
        <v/>
      </c>
      <c r="BE2244" s="82">
        <f>($S2244-$J2244)*100</f>
        <v/>
      </c>
      <c r="BF2244" s="82">
        <f>($V2244-$L2244)*100</f>
        <v/>
      </c>
      <c r="BG2244" s="82">
        <f>$AG2244-$AF2244</f>
        <v/>
      </c>
      <c r="BH2244" s="81">
        <f>IFERROR($AG2244/$AF2244,"")</f>
        <v/>
      </c>
      <c r="BI2244" s="82">
        <f>$AJ2244-$AF2244</f>
        <v/>
      </c>
      <c r="BJ2244" s="81">
        <f>IFERROR($AJ2244/$AG2244,"")</f>
        <v/>
      </c>
      <c r="BK2244" s="81">
        <f>$X2244</f>
        <v/>
      </c>
      <c r="BL2244" s="82">
        <f>($J2244-$J2245)*100</f>
        <v/>
      </c>
      <c r="BM2244" s="82">
        <f>($F2244-$F2245)*100</f>
        <v/>
      </c>
      <c r="BN2244" s="82">
        <f>$AF2244-$AF2245</f>
        <v/>
      </c>
      <c r="BO2244" s="82">
        <f>$AG2244-$AG2245</f>
        <v/>
      </c>
      <c r="BP2244" s="82">
        <f>$AJ2244-$AJ2245</f>
        <v/>
      </c>
    </row>
    <row r="2245">
      <c r="AR2245" s="81">
        <f>($G2245+($H2245-$G2245)*0.5)+($P2245-($O2245+($Q2245-$O2245)*0.5))</f>
        <v/>
      </c>
      <c r="AS2245" s="81">
        <f>($J2245+($K2245-$J2245)*0.5)+($T2245-($S2245+($U2245-$S2245)*0.5))</f>
        <v/>
      </c>
      <c r="AT2245" s="82">
        <f>($J2245-$C2245)*100</f>
        <v/>
      </c>
      <c r="AU2245" s="82">
        <f>($H2245-$F2245)*100</f>
        <v/>
      </c>
      <c r="AV2245" s="82">
        <f>($J2245-$F2245)*100</f>
        <v/>
      </c>
      <c r="AW2245" s="82">
        <f>($L2245-$F2245)*100</f>
        <v/>
      </c>
      <c r="AX2245" s="82">
        <f>($J2245-$H2245)*100</f>
        <v/>
      </c>
      <c r="AY2245" s="82">
        <f>($L2245-$H2245)*100</f>
        <v/>
      </c>
      <c r="AZ2245" s="82">
        <f>($L2245-$J2245)*100</f>
        <v/>
      </c>
      <c r="BA2245" s="82">
        <f>(2*$H2245-$F2245-$J2245)*100</f>
        <v/>
      </c>
      <c r="BB2245" s="82">
        <f>(2*$J2245-$H2245-$L2245)*100</f>
        <v/>
      </c>
      <c r="BC2245" s="82">
        <f>($N2245-$F2245)*100</f>
        <v/>
      </c>
      <c r="BD2245" s="82">
        <f>($Q2245-$H2245)*100</f>
        <v/>
      </c>
      <c r="BE2245" s="82">
        <f>($S2245-$J2245)*100</f>
        <v/>
      </c>
      <c r="BF2245" s="82">
        <f>($V2245-$L2245)*100</f>
        <v/>
      </c>
      <c r="BG2245" s="82">
        <f>$AG2245-$AF2245</f>
        <v/>
      </c>
      <c r="BH2245" s="81">
        <f>IFERROR($AG2245/$AF2245,"")</f>
        <v/>
      </c>
      <c r="BI2245" s="82">
        <f>$AJ2245-$AF2245</f>
        <v/>
      </c>
      <c r="BJ2245" s="81">
        <f>IFERROR($AJ2245/$AG2245,"")</f>
        <v/>
      </c>
      <c r="BK2245" s="81">
        <f>$X2245</f>
        <v/>
      </c>
      <c r="BL2245" s="82">
        <f>($J2245-$J2246)*100</f>
        <v/>
      </c>
      <c r="BM2245" s="82">
        <f>($F2245-$F2246)*100</f>
        <v/>
      </c>
      <c r="BN2245" s="82">
        <f>$AF2245-$AF2246</f>
        <v/>
      </c>
      <c r="BO2245" s="82">
        <f>$AG2245-$AG2246</f>
        <v/>
      </c>
      <c r="BP2245" s="82">
        <f>$AJ2245-$AJ2246</f>
        <v/>
      </c>
    </row>
    <row r="2246">
      <c r="AR2246" s="81">
        <f>($G2246+($H2246-$G2246)*0.5)+($P2246-($O2246+($Q2246-$O2246)*0.5))</f>
        <v/>
      </c>
      <c r="AS2246" s="81">
        <f>($J2246+($K2246-$J2246)*0.5)+($T2246-($S2246+($U2246-$S2246)*0.5))</f>
        <v/>
      </c>
      <c r="AT2246" s="82">
        <f>($J2246-$C2246)*100</f>
        <v/>
      </c>
      <c r="AU2246" s="82">
        <f>($H2246-$F2246)*100</f>
        <v/>
      </c>
      <c r="AV2246" s="82">
        <f>($J2246-$F2246)*100</f>
        <v/>
      </c>
      <c r="AW2246" s="82">
        <f>($L2246-$F2246)*100</f>
        <v/>
      </c>
      <c r="AX2246" s="82">
        <f>($J2246-$H2246)*100</f>
        <v/>
      </c>
      <c r="AY2246" s="82">
        <f>($L2246-$H2246)*100</f>
        <v/>
      </c>
      <c r="AZ2246" s="82">
        <f>($L2246-$J2246)*100</f>
        <v/>
      </c>
      <c r="BA2246" s="82">
        <f>(2*$H2246-$F2246-$J2246)*100</f>
        <v/>
      </c>
      <c r="BB2246" s="82">
        <f>(2*$J2246-$H2246-$L2246)*100</f>
        <v/>
      </c>
      <c r="BC2246" s="82">
        <f>($N2246-$F2246)*100</f>
        <v/>
      </c>
      <c r="BD2246" s="82">
        <f>($Q2246-$H2246)*100</f>
        <v/>
      </c>
      <c r="BE2246" s="82">
        <f>($S2246-$J2246)*100</f>
        <v/>
      </c>
      <c r="BF2246" s="82">
        <f>($V2246-$L2246)*100</f>
        <v/>
      </c>
      <c r="BG2246" s="82">
        <f>$AG2246-$AF2246</f>
        <v/>
      </c>
      <c r="BH2246" s="81">
        <f>IFERROR($AG2246/$AF2246,"")</f>
        <v/>
      </c>
      <c r="BI2246" s="82">
        <f>$AJ2246-$AF2246</f>
        <v/>
      </c>
      <c r="BJ2246" s="81">
        <f>IFERROR($AJ2246/$AG2246,"")</f>
        <v/>
      </c>
      <c r="BK2246" s="81">
        <f>$X2246</f>
        <v/>
      </c>
      <c r="BL2246" s="82">
        <f>($J2246-$J2247)*100</f>
        <v/>
      </c>
      <c r="BM2246" s="82">
        <f>($F2246-$F2247)*100</f>
        <v/>
      </c>
      <c r="BN2246" s="82">
        <f>$AF2246-$AF2247</f>
        <v/>
      </c>
      <c r="BO2246" s="82">
        <f>$AG2246-$AG2247</f>
        <v/>
      </c>
      <c r="BP2246" s="82">
        <f>$AJ2246-$AJ2247</f>
        <v/>
      </c>
    </row>
    <row r="2247">
      <c r="AR2247" s="81">
        <f>($G2247+($H2247-$G2247)*0.5)+($P2247-($O2247+($Q2247-$O2247)*0.5))</f>
        <v/>
      </c>
      <c r="AS2247" s="81">
        <f>($J2247+($K2247-$J2247)*0.5)+($T2247-($S2247+($U2247-$S2247)*0.5))</f>
        <v/>
      </c>
      <c r="AT2247" s="82">
        <f>($J2247-$C2247)*100</f>
        <v/>
      </c>
      <c r="AU2247" s="82">
        <f>($H2247-$F2247)*100</f>
        <v/>
      </c>
      <c r="AV2247" s="82">
        <f>($J2247-$F2247)*100</f>
        <v/>
      </c>
      <c r="AW2247" s="82">
        <f>($L2247-$F2247)*100</f>
        <v/>
      </c>
      <c r="AX2247" s="82">
        <f>($J2247-$H2247)*100</f>
        <v/>
      </c>
      <c r="AY2247" s="82">
        <f>($L2247-$H2247)*100</f>
        <v/>
      </c>
      <c r="AZ2247" s="82">
        <f>($L2247-$J2247)*100</f>
        <v/>
      </c>
      <c r="BA2247" s="82">
        <f>(2*$H2247-$F2247-$J2247)*100</f>
        <v/>
      </c>
      <c r="BB2247" s="82">
        <f>(2*$J2247-$H2247-$L2247)*100</f>
        <v/>
      </c>
      <c r="BC2247" s="82">
        <f>($N2247-$F2247)*100</f>
        <v/>
      </c>
      <c r="BD2247" s="82">
        <f>($Q2247-$H2247)*100</f>
        <v/>
      </c>
      <c r="BE2247" s="82">
        <f>($S2247-$J2247)*100</f>
        <v/>
      </c>
      <c r="BF2247" s="82">
        <f>($V2247-$L2247)*100</f>
        <v/>
      </c>
      <c r="BG2247" s="82">
        <f>$AG2247-$AF2247</f>
        <v/>
      </c>
      <c r="BH2247" s="81">
        <f>IFERROR($AG2247/$AF2247,"")</f>
        <v/>
      </c>
      <c r="BI2247" s="82">
        <f>$AJ2247-$AF2247</f>
        <v/>
      </c>
      <c r="BJ2247" s="81">
        <f>IFERROR($AJ2247/$AG2247,"")</f>
        <v/>
      </c>
      <c r="BK2247" s="81">
        <f>$X2247</f>
        <v/>
      </c>
      <c r="BL2247" s="82">
        <f>($J2247-$J2248)*100</f>
        <v/>
      </c>
      <c r="BM2247" s="82">
        <f>($F2247-$F2248)*100</f>
        <v/>
      </c>
      <c r="BN2247" s="82">
        <f>$AF2247-$AF2248</f>
        <v/>
      </c>
      <c r="BO2247" s="82">
        <f>$AG2247-$AG2248</f>
        <v/>
      </c>
      <c r="BP2247" s="82">
        <f>$AJ2247-$AJ2248</f>
        <v/>
      </c>
    </row>
    <row r="2248">
      <c r="AR2248" s="81">
        <f>($G2248+($H2248-$G2248)*0.5)+($P2248-($O2248+($Q2248-$O2248)*0.5))</f>
        <v/>
      </c>
      <c r="AS2248" s="81">
        <f>($J2248+($K2248-$J2248)*0.5)+($T2248-($S2248+($U2248-$S2248)*0.5))</f>
        <v/>
      </c>
      <c r="AT2248" s="82">
        <f>($J2248-$C2248)*100</f>
        <v/>
      </c>
      <c r="AU2248" s="82">
        <f>($H2248-$F2248)*100</f>
        <v/>
      </c>
      <c r="AV2248" s="82">
        <f>($J2248-$F2248)*100</f>
        <v/>
      </c>
      <c r="AW2248" s="82">
        <f>($L2248-$F2248)*100</f>
        <v/>
      </c>
      <c r="AX2248" s="82">
        <f>($J2248-$H2248)*100</f>
        <v/>
      </c>
      <c r="AY2248" s="82">
        <f>($L2248-$H2248)*100</f>
        <v/>
      </c>
      <c r="AZ2248" s="82">
        <f>($L2248-$J2248)*100</f>
        <v/>
      </c>
      <c r="BA2248" s="82">
        <f>(2*$H2248-$F2248-$J2248)*100</f>
        <v/>
      </c>
      <c r="BB2248" s="82">
        <f>(2*$J2248-$H2248-$L2248)*100</f>
        <v/>
      </c>
      <c r="BC2248" s="82">
        <f>($N2248-$F2248)*100</f>
        <v/>
      </c>
      <c r="BD2248" s="82">
        <f>($Q2248-$H2248)*100</f>
        <v/>
      </c>
      <c r="BE2248" s="82">
        <f>($S2248-$J2248)*100</f>
        <v/>
      </c>
      <c r="BF2248" s="82">
        <f>($V2248-$L2248)*100</f>
        <v/>
      </c>
      <c r="BG2248" s="82">
        <f>$AG2248-$AF2248</f>
        <v/>
      </c>
      <c r="BH2248" s="81">
        <f>IFERROR($AG2248/$AF2248,"")</f>
        <v/>
      </c>
      <c r="BI2248" s="82">
        <f>$AJ2248-$AF2248</f>
        <v/>
      </c>
      <c r="BJ2248" s="81">
        <f>IFERROR($AJ2248/$AG2248,"")</f>
        <v/>
      </c>
      <c r="BK2248" s="81">
        <f>$X2248</f>
        <v/>
      </c>
      <c r="BL2248" s="82">
        <f>($J2248-$J2249)*100</f>
        <v/>
      </c>
      <c r="BM2248" s="82">
        <f>($F2248-$F2249)*100</f>
        <v/>
      </c>
      <c r="BN2248" s="82">
        <f>$AF2248-$AF2249</f>
        <v/>
      </c>
      <c r="BO2248" s="82">
        <f>$AG2248-$AG2249</f>
        <v/>
      </c>
      <c r="BP2248" s="82">
        <f>$AJ2248-$AJ2249</f>
        <v/>
      </c>
    </row>
    <row r="2249">
      <c r="AR2249" s="81">
        <f>($G2249+($H2249-$G2249)*0.5)+($P2249-($O2249+($Q2249-$O2249)*0.5))</f>
        <v/>
      </c>
      <c r="AS2249" s="81">
        <f>($J2249+($K2249-$J2249)*0.5)+($T2249-($S2249+($U2249-$S2249)*0.5))</f>
        <v/>
      </c>
      <c r="AT2249" s="82">
        <f>($J2249-$C2249)*100</f>
        <v/>
      </c>
      <c r="AU2249" s="82">
        <f>($H2249-$F2249)*100</f>
        <v/>
      </c>
      <c r="AV2249" s="82">
        <f>($J2249-$F2249)*100</f>
        <v/>
      </c>
      <c r="AW2249" s="82">
        <f>($L2249-$F2249)*100</f>
        <v/>
      </c>
      <c r="AX2249" s="82">
        <f>($J2249-$H2249)*100</f>
        <v/>
      </c>
      <c r="AY2249" s="82">
        <f>($L2249-$H2249)*100</f>
        <v/>
      </c>
      <c r="AZ2249" s="82">
        <f>($L2249-$J2249)*100</f>
        <v/>
      </c>
      <c r="BA2249" s="82">
        <f>(2*$H2249-$F2249-$J2249)*100</f>
        <v/>
      </c>
      <c r="BB2249" s="82">
        <f>(2*$J2249-$H2249-$L2249)*100</f>
        <v/>
      </c>
      <c r="BC2249" s="82">
        <f>($N2249-$F2249)*100</f>
        <v/>
      </c>
      <c r="BD2249" s="82">
        <f>($Q2249-$H2249)*100</f>
        <v/>
      </c>
      <c r="BE2249" s="82">
        <f>($S2249-$J2249)*100</f>
        <v/>
      </c>
      <c r="BF2249" s="82">
        <f>($V2249-$L2249)*100</f>
        <v/>
      </c>
      <c r="BG2249" s="82">
        <f>$AG2249-$AF2249</f>
        <v/>
      </c>
      <c r="BH2249" s="81">
        <f>IFERROR($AG2249/$AF2249,"")</f>
        <v/>
      </c>
      <c r="BI2249" s="82">
        <f>$AJ2249-$AF2249</f>
        <v/>
      </c>
      <c r="BJ2249" s="81">
        <f>IFERROR($AJ2249/$AG2249,"")</f>
        <v/>
      </c>
      <c r="BK2249" s="81">
        <f>$X2249</f>
        <v/>
      </c>
      <c r="BL2249" s="82">
        <f>($J2249-$J2250)*100</f>
        <v/>
      </c>
      <c r="BM2249" s="82">
        <f>($F2249-$F2250)*100</f>
        <v/>
      </c>
      <c r="BN2249" s="82">
        <f>$AF2249-$AF2250</f>
        <v/>
      </c>
      <c r="BO2249" s="82">
        <f>$AG2249-$AG2250</f>
        <v/>
      </c>
      <c r="BP2249" s="82">
        <f>$AJ2249-$AJ2250</f>
        <v/>
      </c>
    </row>
    <row r="2250">
      <c r="AR2250" s="81">
        <f>($G2250+($H2250-$G2250)*0.5)+($P2250-($O2250+($Q2250-$O2250)*0.5))</f>
        <v/>
      </c>
      <c r="AS2250" s="81">
        <f>($J2250+($K2250-$J2250)*0.5)+($T2250-($S2250+($U2250-$S2250)*0.5))</f>
        <v/>
      </c>
      <c r="AT2250" s="82">
        <f>($J2250-$C2250)*100</f>
        <v/>
      </c>
      <c r="AU2250" s="82">
        <f>($H2250-$F2250)*100</f>
        <v/>
      </c>
      <c r="AV2250" s="82">
        <f>($J2250-$F2250)*100</f>
        <v/>
      </c>
      <c r="AW2250" s="82">
        <f>($L2250-$F2250)*100</f>
        <v/>
      </c>
      <c r="AX2250" s="82">
        <f>($J2250-$H2250)*100</f>
        <v/>
      </c>
      <c r="AY2250" s="82">
        <f>($L2250-$H2250)*100</f>
        <v/>
      </c>
      <c r="AZ2250" s="82">
        <f>($L2250-$J2250)*100</f>
        <v/>
      </c>
      <c r="BA2250" s="82">
        <f>(2*$H2250-$F2250-$J2250)*100</f>
        <v/>
      </c>
      <c r="BB2250" s="82">
        <f>(2*$J2250-$H2250-$L2250)*100</f>
        <v/>
      </c>
      <c r="BC2250" s="82">
        <f>($N2250-$F2250)*100</f>
        <v/>
      </c>
      <c r="BD2250" s="82">
        <f>($Q2250-$H2250)*100</f>
        <v/>
      </c>
      <c r="BE2250" s="82">
        <f>($S2250-$J2250)*100</f>
        <v/>
      </c>
      <c r="BF2250" s="82">
        <f>($V2250-$L2250)*100</f>
        <v/>
      </c>
      <c r="BG2250" s="82">
        <f>$AG2250-$AF2250</f>
        <v/>
      </c>
      <c r="BH2250" s="81">
        <f>IFERROR($AG2250/$AF2250,"")</f>
        <v/>
      </c>
      <c r="BI2250" s="82">
        <f>$AJ2250-$AF2250</f>
        <v/>
      </c>
      <c r="BJ2250" s="81">
        <f>IFERROR($AJ2250/$AG2250,"")</f>
        <v/>
      </c>
      <c r="BK2250" s="81">
        <f>$X2250</f>
        <v/>
      </c>
      <c r="BL2250" s="82">
        <f>($J2250-$J2251)*100</f>
        <v/>
      </c>
      <c r="BM2250" s="82">
        <f>($F2250-$F2251)*100</f>
        <v/>
      </c>
      <c r="BN2250" s="82">
        <f>$AF2250-$AF2251</f>
        <v/>
      </c>
      <c r="BO2250" s="82">
        <f>$AG2250-$AG2251</f>
        <v/>
      </c>
      <c r="BP2250" s="82">
        <f>$AJ2250-$AJ2251</f>
        <v/>
      </c>
    </row>
    <row r="2251">
      <c r="AR2251" s="81">
        <f>($G2251+($H2251-$G2251)*0.5)+($P2251-($O2251+($Q2251-$O2251)*0.5))</f>
        <v/>
      </c>
      <c r="AS2251" s="81">
        <f>($J2251+($K2251-$J2251)*0.5)+($T2251-($S2251+($U2251-$S2251)*0.5))</f>
        <v/>
      </c>
      <c r="AT2251" s="82">
        <f>($J2251-$C2251)*100</f>
        <v/>
      </c>
      <c r="AU2251" s="82">
        <f>($H2251-$F2251)*100</f>
        <v/>
      </c>
      <c r="AV2251" s="82">
        <f>($J2251-$F2251)*100</f>
        <v/>
      </c>
      <c r="AW2251" s="82">
        <f>($L2251-$F2251)*100</f>
        <v/>
      </c>
      <c r="AX2251" s="82">
        <f>($J2251-$H2251)*100</f>
        <v/>
      </c>
      <c r="AY2251" s="82">
        <f>($L2251-$H2251)*100</f>
        <v/>
      </c>
      <c r="AZ2251" s="82">
        <f>($L2251-$J2251)*100</f>
        <v/>
      </c>
      <c r="BA2251" s="82">
        <f>(2*$H2251-$F2251-$J2251)*100</f>
        <v/>
      </c>
      <c r="BB2251" s="82">
        <f>(2*$J2251-$H2251-$L2251)*100</f>
        <v/>
      </c>
      <c r="BC2251" s="82">
        <f>($N2251-$F2251)*100</f>
        <v/>
      </c>
      <c r="BD2251" s="82">
        <f>($Q2251-$H2251)*100</f>
        <v/>
      </c>
      <c r="BE2251" s="82">
        <f>($S2251-$J2251)*100</f>
        <v/>
      </c>
      <c r="BF2251" s="82">
        <f>($V2251-$L2251)*100</f>
        <v/>
      </c>
      <c r="BG2251" s="82">
        <f>$AG2251-$AF2251</f>
        <v/>
      </c>
      <c r="BH2251" s="81">
        <f>IFERROR($AG2251/$AF2251,"")</f>
        <v/>
      </c>
      <c r="BI2251" s="82">
        <f>$AJ2251-$AF2251</f>
        <v/>
      </c>
      <c r="BJ2251" s="81">
        <f>IFERROR($AJ2251/$AG2251,"")</f>
        <v/>
      </c>
      <c r="BK2251" s="81">
        <f>$X2251</f>
        <v/>
      </c>
      <c r="BL2251" s="82">
        <f>($J2251-$J2252)*100</f>
        <v/>
      </c>
      <c r="BM2251" s="82">
        <f>($F2251-$F2252)*100</f>
        <v/>
      </c>
      <c r="BN2251" s="82">
        <f>$AF2251-$AF2252</f>
        <v/>
      </c>
      <c r="BO2251" s="82">
        <f>$AG2251-$AG2252</f>
        <v/>
      </c>
      <c r="BP2251" s="82">
        <f>$AJ2251-$AJ2252</f>
        <v/>
      </c>
    </row>
    <row r="2252">
      <c r="AR2252" s="81">
        <f>($G2252+($H2252-$G2252)*0.5)+($P2252-($O2252+($Q2252-$O2252)*0.5))</f>
        <v/>
      </c>
      <c r="AS2252" s="81">
        <f>($J2252+($K2252-$J2252)*0.5)+($T2252-($S2252+($U2252-$S2252)*0.5))</f>
        <v/>
      </c>
      <c r="AT2252" s="82">
        <f>($J2252-$C2252)*100</f>
        <v/>
      </c>
      <c r="AU2252" s="82">
        <f>($H2252-$F2252)*100</f>
        <v/>
      </c>
      <c r="AV2252" s="82">
        <f>($J2252-$F2252)*100</f>
        <v/>
      </c>
      <c r="AW2252" s="82">
        <f>($L2252-$F2252)*100</f>
        <v/>
      </c>
      <c r="AX2252" s="82">
        <f>($J2252-$H2252)*100</f>
        <v/>
      </c>
      <c r="AY2252" s="82">
        <f>($L2252-$H2252)*100</f>
        <v/>
      </c>
      <c r="AZ2252" s="82">
        <f>($L2252-$J2252)*100</f>
        <v/>
      </c>
      <c r="BA2252" s="82">
        <f>(2*$H2252-$F2252-$J2252)*100</f>
        <v/>
      </c>
      <c r="BB2252" s="82">
        <f>(2*$J2252-$H2252-$L2252)*100</f>
        <v/>
      </c>
      <c r="BC2252" s="82">
        <f>($N2252-$F2252)*100</f>
        <v/>
      </c>
      <c r="BD2252" s="82">
        <f>($Q2252-$H2252)*100</f>
        <v/>
      </c>
      <c r="BE2252" s="82">
        <f>($S2252-$J2252)*100</f>
        <v/>
      </c>
      <c r="BF2252" s="82">
        <f>($V2252-$L2252)*100</f>
        <v/>
      </c>
      <c r="BG2252" s="82">
        <f>$AG2252-$AF2252</f>
        <v/>
      </c>
      <c r="BH2252" s="81">
        <f>IFERROR($AG2252/$AF2252,"")</f>
        <v/>
      </c>
      <c r="BI2252" s="82">
        <f>$AJ2252-$AF2252</f>
        <v/>
      </c>
      <c r="BJ2252" s="81">
        <f>IFERROR($AJ2252/$AG2252,"")</f>
        <v/>
      </c>
      <c r="BK2252" s="81">
        <f>$X2252</f>
        <v/>
      </c>
      <c r="BL2252" s="82">
        <f>($J2252-$J2253)*100</f>
        <v/>
      </c>
      <c r="BM2252" s="82">
        <f>($F2252-$F2253)*100</f>
        <v/>
      </c>
      <c r="BN2252" s="82">
        <f>$AF2252-$AF2253</f>
        <v/>
      </c>
      <c r="BO2252" s="82">
        <f>$AG2252-$AG2253</f>
        <v/>
      </c>
      <c r="BP2252" s="82">
        <f>$AJ2252-$AJ2253</f>
        <v/>
      </c>
    </row>
    <row r="2253">
      <c r="AR2253" s="81">
        <f>($G2253+($H2253-$G2253)*0.5)+($P2253-($O2253+($Q2253-$O2253)*0.5))</f>
        <v/>
      </c>
      <c r="AS2253" s="81">
        <f>($J2253+($K2253-$J2253)*0.5)+($T2253-($S2253+($U2253-$S2253)*0.5))</f>
        <v/>
      </c>
      <c r="AT2253" s="82">
        <f>($J2253-$C2253)*100</f>
        <v/>
      </c>
      <c r="AU2253" s="82">
        <f>($H2253-$F2253)*100</f>
        <v/>
      </c>
      <c r="AV2253" s="82">
        <f>($J2253-$F2253)*100</f>
        <v/>
      </c>
      <c r="AW2253" s="82">
        <f>($L2253-$F2253)*100</f>
        <v/>
      </c>
      <c r="AX2253" s="82">
        <f>($J2253-$H2253)*100</f>
        <v/>
      </c>
      <c r="AY2253" s="82">
        <f>($L2253-$H2253)*100</f>
        <v/>
      </c>
      <c r="AZ2253" s="82">
        <f>($L2253-$J2253)*100</f>
        <v/>
      </c>
      <c r="BA2253" s="82">
        <f>(2*$H2253-$F2253-$J2253)*100</f>
        <v/>
      </c>
      <c r="BB2253" s="82">
        <f>(2*$J2253-$H2253-$L2253)*100</f>
        <v/>
      </c>
      <c r="BC2253" s="82">
        <f>($N2253-$F2253)*100</f>
        <v/>
      </c>
      <c r="BD2253" s="82">
        <f>($Q2253-$H2253)*100</f>
        <v/>
      </c>
      <c r="BE2253" s="82">
        <f>($S2253-$J2253)*100</f>
        <v/>
      </c>
      <c r="BF2253" s="82">
        <f>($V2253-$L2253)*100</f>
        <v/>
      </c>
      <c r="BG2253" s="82">
        <f>$AG2253-$AF2253</f>
        <v/>
      </c>
      <c r="BH2253" s="81">
        <f>IFERROR($AG2253/$AF2253,"")</f>
        <v/>
      </c>
      <c r="BI2253" s="82">
        <f>$AJ2253-$AF2253</f>
        <v/>
      </c>
      <c r="BJ2253" s="81">
        <f>IFERROR($AJ2253/$AG2253,"")</f>
        <v/>
      </c>
      <c r="BK2253" s="81">
        <f>$X2253</f>
        <v/>
      </c>
      <c r="BL2253" s="82">
        <f>($J2253-$J2254)*100</f>
        <v/>
      </c>
      <c r="BM2253" s="82">
        <f>($F2253-$F2254)*100</f>
        <v/>
      </c>
      <c r="BN2253" s="82">
        <f>$AF2253-$AF2254</f>
        <v/>
      </c>
      <c r="BO2253" s="82">
        <f>$AG2253-$AG2254</f>
        <v/>
      </c>
      <c r="BP2253" s="82">
        <f>$AJ2253-$AJ2254</f>
        <v/>
      </c>
    </row>
    <row r="2254">
      <c r="AR2254" s="81">
        <f>($G2254+($H2254-$G2254)*0.5)+($P2254-($O2254+($Q2254-$O2254)*0.5))</f>
        <v/>
      </c>
      <c r="AS2254" s="81">
        <f>($J2254+($K2254-$J2254)*0.5)+($T2254-($S2254+($U2254-$S2254)*0.5))</f>
        <v/>
      </c>
      <c r="AT2254" s="82">
        <f>($J2254-$C2254)*100</f>
        <v/>
      </c>
      <c r="AU2254" s="82">
        <f>($H2254-$F2254)*100</f>
        <v/>
      </c>
      <c r="AV2254" s="82">
        <f>($J2254-$F2254)*100</f>
        <v/>
      </c>
      <c r="AW2254" s="82">
        <f>($L2254-$F2254)*100</f>
        <v/>
      </c>
      <c r="AX2254" s="82">
        <f>($J2254-$H2254)*100</f>
        <v/>
      </c>
      <c r="AY2254" s="82">
        <f>($L2254-$H2254)*100</f>
        <v/>
      </c>
      <c r="AZ2254" s="82">
        <f>($L2254-$J2254)*100</f>
        <v/>
      </c>
      <c r="BA2254" s="82">
        <f>(2*$H2254-$F2254-$J2254)*100</f>
        <v/>
      </c>
      <c r="BB2254" s="82">
        <f>(2*$J2254-$H2254-$L2254)*100</f>
        <v/>
      </c>
      <c r="BC2254" s="82">
        <f>($N2254-$F2254)*100</f>
        <v/>
      </c>
      <c r="BD2254" s="82">
        <f>($Q2254-$H2254)*100</f>
        <v/>
      </c>
      <c r="BE2254" s="82">
        <f>($S2254-$J2254)*100</f>
        <v/>
      </c>
      <c r="BF2254" s="82">
        <f>($V2254-$L2254)*100</f>
        <v/>
      </c>
      <c r="BG2254" s="82">
        <f>$AG2254-$AF2254</f>
        <v/>
      </c>
      <c r="BH2254" s="81">
        <f>IFERROR($AG2254/$AF2254,"")</f>
        <v/>
      </c>
      <c r="BI2254" s="82">
        <f>$AJ2254-$AF2254</f>
        <v/>
      </c>
      <c r="BJ2254" s="81">
        <f>IFERROR($AJ2254/$AG2254,"")</f>
        <v/>
      </c>
      <c r="BK2254" s="81">
        <f>$X2254</f>
        <v/>
      </c>
      <c r="BL2254" s="82">
        <f>($J2254-$J2255)*100</f>
        <v/>
      </c>
      <c r="BM2254" s="82">
        <f>($F2254-$F2255)*100</f>
        <v/>
      </c>
      <c r="BN2254" s="82">
        <f>$AF2254-$AF2255</f>
        <v/>
      </c>
      <c r="BO2254" s="82">
        <f>$AG2254-$AG2255</f>
        <v/>
      </c>
      <c r="BP2254" s="82">
        <f>$AJ2254-$AJ2255</f>
        <v/>
      </c>
    </row>
    <row r="2255">
      <c r="AR2255" s="81">
        <f>($G2255+($H2255-$G2255)*0.5)+($P2255-($O2255+($Q2255-$O2255)*0.5))</f>
        <v/>
      </c>
      <c r="AS2255" s="81">
        <f>($J2255+($K2255-$J2255)*0.5)+($T2255-($S2255+($U2255-$S2255)*0.5))</f>
        <v/>
      </c>
      <c r="AT2255" s="82">
        <f>($J2255-$C2255)*100</f>
        <v/>
      </c>
      <c r="AU2255" s="82">
        <f>($H2255-$F2255)*100</f>
        <v/>
      </c>
      <c r="AV2255" s="82">
        <f>($J2255-$F2255)*100</f>
        <v/>
      </c>
      <c r="AW2255" s="82">
        <f>($L2255-$F2255)*100</f>
        <v/>
      </c>
      <c r="AX2255" s="82">
        <f>($J2255-$H2255)*100</f>
        <v/>
      </c>
      <c r="AY2255" s="82">
        <f>($L2255-$H2255)*100</f>
        <v/>
      </c>
      <c r="AZ2255" s="82">
        <f>($L2255-$J2255)*100</f>
        <v/>
      </c>
      <c r="BA2255" s="82">
        <f>(2*$H2255-$F2255-$J2255)*100</f>
        <v/>
      </c>
      <c r="BB2255" s="82">
        <f>(2*$J2255-$H2255-$L2255)*100</f>
        <v/>
      </c>
      <c r="BC2255" s="82">
        <f>($N2255-$F2255)*100</f>
        <v/>
      </c>
      <c r="BD2255" s="82">
        <f>($Q2255-$H2255)*100</f>
        <v/>
      </c>
      <c r="BE2255" s="82">
        <f>($S2255-$J2255)*100</f>
        <v/>
      </c>
      <c r="BF2255" s="82">
        <f>($V2255-$L2255)*100</f>
        <v/>
      </c>
      <c r="BG2255" s="82">
        <f>$AG2255-$AF2255</f>
        <v/>
      </c>
      <c r="BH2255" s="81">
        <f>IFERROR($AG2255/$AF2255,"")</f>
        <v/>
      </c>
      <c r="BI2255" s="82">
        <f>$AJ2255-$AF2255</f>
        <v/>
      </c>
      <c r="BJ2255" s="81">
        <f>IFERROR($AJ2255/$AG2255,"")</f>
        <v/>
      </c>
      <c r="BK2255" s="81">
        <f>$X2255</f>
        <v/>
      </c>
      <c r="BL2255" s="82">
        <f>($J2255-$J2256)*100</f>
        <v/>
      </c>
      <c r="BM2255" s="82">
        <f>($F2255-$F2256)*100</f>
        <v/>
      </c>
      <c r="BN2255" s="82">
        <f>$AF2255-$AF2256</f>
        <v/>
      </c>
      <c r="BO2255" s="82">
        <f>$AG2255-$AG2256</f>
        <v/>
      </c>
      <c r="BP2255" s="82">
        <f>$AJ2255-$AJ2256</f>
        <v/>
      </c>
    </row>
    <row r="2256">
      <c r="AR2256" s="81">
        <f>($G2256+($H2256-$G2256)*0.5)+($P2256-($O2256+($Q2256-$O2256)*0.5))</f>
        <v/>
      </c>
      <c r="AS2256" s="81">
        <f>($J2256+($K2256-$J2256)*0.5)+($T2256-($S2256+($U2256-$S2256)*0.5))</f>
        <v/>
      </c>
      <c r="AT2256" s="82">
        <f>($J2256-$C2256)*100</f>
        <v/>
      </c>
      <c r="AU2256" s="82">
        <f>($H2256-$F2256)*100</f>
        <v/>
      </c>
      <c r="AV2256" s="82">
        <f>($J2256-$F2256)*100</f>
        <v/>
      </c>
      <c r="AW2256" s="82">
        <f>($L2256-$F2256)*100</f>
        <v/>
      </c>
      <c r="AX2256" s="82">
        <f>($J2256-$H2256)*100</f>
        <v/>
      </c>
      <c r="AY2256" s="82">
        <f>($L2256-$H2256)*100</f>
        <v/>
      </c>
      <c r="AZ2256" s="82">
        <f>($L2256-$J2256)*100</f>
        <v/>
      </c>
      <c r="BA2256" s="82">
        <f>(2*$H2256-$F2256-$J2256)*100</f>
        <v/>
      </c>
      <c r="BB2256" s="82">
        <f>(2*$J2256-$H2256-$L2256)*100</f>
        <v/>
      </c>
      <c r="BC2256" s="82">
        <f>($N2256-$F2256)*100</f>
        <v/>
      </c>
      <c r="BD2256" s="82">
        <f>($Q2256-$H2256)*100</f>
        <v/>
      </c>
      <c r="BE2256" s="82">
        <f>($S2256-$J2256)*100</f>
        <v/>
      </c>
      <c r="BF2256" s="82">
        <f>($V2256-$L2256)*100</f>
        <v/>
      </c>
      <c r="BG2256" s="82">
        <f>$AG2256-$AF2256</f>
        <v/>
      </c>
      <c r="BH2256" s="81">
        <f>IFERROR($AG2256/$AF2256,"")</f>
        <v/>
      </c>
      <c r="BI2256" s="82">
        <f>$AJ2256-$AF2256</f>
        <v/>
      </c>
      <c r="BJ2256" s="81">
        <f>IFERROR($AJ2256/$AG2256,"")</f>
        <v/>
      </c>
      <c r="BK2256" s="81">
        <f>$X2256</f>
        <v/>
      </c>
      <c r="BL2256" s="82">
        <f>($J2256-$J2257)*100</f>
        <v/>
      </c>
      <c r="BM2256" s="82">
        <f>($F2256-$F2257)*100</f>
        <v/>
      </c>
      <c r="BN2256" s="82">
        <f>$AF2256-$AF2257</f>
        <v/>
      </c>
      <c r="BO2256" s="82">
        <f>$AG2256-$AG2257</f>
        <v/>
      </c>
      <c r="BP2256" s="82">
        <f>$AJ2256-$AJ2257</f>
        <v/>
      </c>
    </row>
    <row r="2257">
      <c r="AR2257" s="81">
        <f>($G2257+($H2257-$G2257)*0.5)+($P2257-($O2257+($Q2257-$O2257)*0.5))</f>
        <v/>
      </c>
      <c r="AS2257" s="81">
        <f>($J2257+($K2257-$J2257)*0.5)+($T2257-($S2257+($U2257-$S2257)*0.5))</f>
        <v/>
      </c>
      <c r="AT2257" s="82">
        <f>($J2257-$C2257)*100</f>
        <v/>
      </c>
      <c r="AU2257" s="82">
        <f>($H2257-$F2257)*100</f>
        <v/>
      </c>
      <c r="AV2257" s="82">
        <f>($J2257-$F2257)*100</f>
        <v/>
      </c>
      <c r="AW2257" s="82">
        <f>($L2257-$F2257)*100</f>
        <v/>
      </c>
      <c r="AX2257" s="82">
        <f>($J2257-$H2257)*100</f>
        <v/>
      </c>
      <c r="AY2257" s="82">
        <f>($L2257-$H2257)*100</f>
        <v/>
      </c>
      <c r="AZ2257" s="82">
        <f>($L2257-$J2257)*100</f>
        <v/>
      </c>
      <c r="BA2257" s="82">
        <f>(2*$H2257-$F2257-$J2257)*100</f>
        <v/>
      </c>
      <c r="BB2257" s="82">
        <f>(2*$J2257-$H2257-$L2257)*100</f>
        <v/>
      </c>
      <c r="BC2257" s="82">
        <f>($N2257-$F2257)*100</f>
        <v/>
      </c>
      <c r="BD2257" s="82">
        <f>($Q2257-$H2257)*100</f>
        <v/>
      </c>
      <c r="BE2257" s="82">
        <f>($S2257-$J2257)*100</f>
        <v/>
      </c>
      <c r="BF2257" s="82">
        <f>($V2257-$L2257)*100</f>
        <v/>
      </c>
      <c r="BG2257" s="82">
        <f>$AG2257-$AF2257</f>
        <v/>
      </c>
      <c r="BH2257" s="81">
        <f>IFERROR($AG2257/$AF2257,"")</f>
        <v/>
      </c>
      <c r="BI2257" s="82">
        <f>$AJ2257-$AF2257</f>
        <v/>
      </c>
      <c r="BJ2257" s="81">
        <f>IFERROR($AJ2257/$AG2257,"")</f>
        <v/>
      </c>
      <c r="BK2257" s="81">
        <f>$X2257</f>
        <v/>
      </c>
      <c r="BL2257" s="82">
        <f>($J2257-$J2258)*100</f>
        <v/>
      </c>
      <c r="BM2257" s="82">
        <f>($F2257-$F2258)*100</f>
        <v/>
      </c>
      <c r="BN2257" s="82">
        <f>$AF2257-$AF2258</f>
        <v/>
      </c>
      <c r="BO2257" s="82">
        <f>$AG2257-$AG2258</f>
        <v/>
      </c>
      <c r="BP2257" s="82">
        <f>$AJ2257-$AJ2258</f>
        <v/>
      </c>
    </row>
    <row r="2258">
      <c r="AR2258" s="81">
        <f>($G2258+($H2258-$G2258)*0.5)+($P2258-($O2258+($Q2258-$O2258)*0.5))</f>
        <v/>
      </c>
      <c r="AS2258" s="81">
        <f>($J2258+($K2258-$J2258)*0.5)+($T2258-($S2258+($U2258-$S2258)*0.5))</f>
        <v/>
      </c>
      <c r="AT2258" s="82">
        <f>($J2258-$C2258)*100</f>
        <v/>
      </c>
      <c r="AU2258" s="82">
        <f>($H2258-$F2258)*100</f>
        <v/>
      </c>
      <c r="AV2258" s="82">
        <f>($J2258-$F2258)*100</f>
        <v/>
      </c>
      <c r="AW2258" s="82">
        <f>($L2258-$F2258)*100</f>
        <v/>
      </c>
      <c r="AX2258" s="82">
        <f>($J2258-$H2258)*100</f>
        <v/>
      </c>
      <c r="AY2258" s="82">
        <f>($L2258-$H2258)*100</f>
        <v/>
      </c>
      <c r="AZ2258" s="82">
        <f>($L2258-$J2258)*100</f>
        <v/>
      </c>
      <c r="BA2258" s="82">
        <f>(2*$H2258-$F2258-$J2258)*100</f>
        <v/>
      </c>
      <c r="BB2258" s="82">
        <f>(2*$J2258-$H2258-$L2258)*100</f>
        <v/>
      </c>
      <c r="BC2258" s="82">
        <f>($N2258-$F2258)*100</f>
        <v/>
      </c>
      <c r="BD2258" s="82">
        <f>($Q2258-$H2258)*100</f>
        <v/>
      </c>
      <c r="BE2258" s="82">
        <f>($S2258-$J2258)*100</f>
        <v/>
      </c>
      <c r="BF2258" s="82">
        <f>($V2258-$L2258)*100</f>
        <v/>
      </c>
      <c r="BG2258" s="82">
        <f>$AG2258-$AF2258</f>
        <v/>
      </c>
      <c r="BH2258" s="81">
        <f>IFERROR($AG2258/$AF2258,"")</f>
        <v/>
      </c>
      <c r="BI2258" s="82">
        <f>$AJ2258-$AF2258</f>
        <v/>
      </c>
      <c r="BJ2258" s="81">
        <f>IFERROR($AJ2258/$AG2258,"")</f>
        <v/>
      </c>
      <c r="BK2258" s="81">
        <f>$X2258</f>
        <v/>
      </c>
      <c r="BL2258" s="82">
        <f>($J2258-$J2259)*100</f>
        <v/>
      </c>
      <c r="BM2258" s="82">
        <f>($F2258-$F2259)*100</f>
        <v/>
      </c>
      <c r="BN2258" s="82">
        <f>$AF2258-$AF2259</f>
        <v/>
      </c>
      <c r="BO2258" s="82">
        <f>$AG2258-$AG2259</f>
        <v/>
      </c>
      <c r="BP2258" s="82">
        <f>$AJ2258-$AJ2259</f>
        <v/>
      </c>
    </row>
    <row r="2259">
      <c r="AR2259" s="81">
        <f>($G2259+($H2259-$G2259)*0.5)+($P2259-($O2259+($Q2259-$O2259)*0.5))</f>
        <v/>
      </c>
      <c r="AS2259" s="81">
        <f>($J2259+($K2259-$J2259)*0.5)+($T2259-($S2259+($U2259-$S2259)*0.5))</f>
        <v/>
      </c>
      <c r="AT2259" s="82">
        <f>($J2259-$C2259)*100</f>
        <v/>
      </c>
      <c r="AU2259" s="82">
        <f>($H2259-$F2259)*100</f>
        <v/>
      </c>
      <c r="AV2259" s="82">
        <f>($J2259-$F2259)*100</f>
        <v/>
      </c>
      <c r="AW2259" s="82">
        <f>($L2259-$F2259)*100</f>
        <v/>
      </c>
      <c r="AX2259" s="82">
        <f>($J2259-$H2259)*100</f>
        <v/>
      </c>
      <c r="AY2259" s="82">
        <f>($L2259-$H2259)*100</f>
        <v/>
      </c>
      <c r="AZ2259" s="82">
        <f>($L2259-$J2259)*100</f>
        <v/>
      </c>
      <c r="BA2259" s="82">
        <f>(2*$H2259-$F2259-$J2259)*100</f>
        <v/>
      </c>
      <c r="BB2259" s="82">
        <f>(2*$J2259-$H2259-$L2259)*100</f>
        <v/>
      </c>
      <c r="BC2259" s="82">
        <f>($N2259-$F2259)*100</f>
        <v/>
      </c>
      <c r="BD2259" s="82">
        <f>($Q2259-$H2259)*100</f>
        <v/>
      </c>
      <c r="BE2259" s="82">
        <f>($S2259-$J2259)*100</f>
        <v/>
      </c>
      <c r="BF2259" s="82">
        <f>($V2259-$L2259)*100</f>
        <v/>
      </c>
      <c r="BG2259" s="82">
        <f>$AG2259-$AF2259</f>
        <v/>
      </c>
      <c r="BH2259" s="81">
        <f>IFERROR($AG2259/$AF2259,"")</f>
        <v/>
      </c>
      <c r="BI2259" s="82">
        <f>$AJ2259-$AF2259</f>
        <v/>
      </c>
      <c r="BJ2259" s="81">
        <f>IFERROR($AJ2259/$AG2259,"")</f>
        <v/>
      </c>
      <c r="BK2259" s="81">
        <f>$X2259</f>
        <v/>
      </c>
      <c r="BL2259" s="82">
        <f>($J2259-$J2260)*100</f>
        <v/>
      </c>
      <c r="BM2259" s="82">
        <f>($F2259-$F2260)*100</f>
        <v/>
      </c>
      <c r="BN2259" s="82">
        <f>$AF2259-$AF2260</f>
        <v/>
      </c>
      <c r="BO2259" s="82">
        <f>$AG2259-$AG2260</f>
        <v/>
      </c>
      <c r="BP2259" s="82">
        <f>$AJ2259-$AJ2260</f>
        <v/>
      </c>
    </row>
    <row r="2260">
      <c r="AR2260" s="81">
        <f>($G2260+($H2260-$G2260)*0.5)+($P2260-($O2260+($Q2260-$O2260)*0.5))</f>
        <v/>
      </c>
      <c r="AS2260" s="81">
        <f>($J2260+($K2260-$J2260)*0.5)+($T2260-($S2260+($U2260-$S2260)*0.5))</f>
        <v/>
      </c>
      <c r="AT2260" s="82">
        <f>($J2260-$C2260)*100</f>
        <v/>
      </c>
      <c r="AU2260" s="82">
        <f>($H2260-$F2260)*100</f>
        <v/>
      </c>
      <c r="AV2260" s="82">
        <f>($J2260-$F2260)*100</f>
        <v/>
      </c>
      <c r="AW2260" s="82">
        <f>($L2260-$F2260)*100</f>
        <v/>
      </c>
      <c r="AX2260" s="82">
        <f>($J2260-$H2260)*100</f>
        <v/>
      </c>
      <c r="AY2260" s="82">
        <f>($L2260-$H2260)*100</f>
        <v/>
      </c>
      <c r="AZ2260" s="82">
        <f>($L2260-$J2260)*100</f>
        <v/>
      </c>
      <c r="BA2260" s="82">
        <f>(2*$H2260-$F2260-$J2260)*100</f>
        <v/>
      </c>
      <c r="BB2260" s="82">
        <f>(2*$J2260-$H2260-$L2260)*100</f>
        <v/>
      </c>
      <c r="BC2260" s="82">
        <f>($N2260-$F2260)*100</f>
        <v/>
      </c>
      <c r="BD2260" s="82">
        <f>($Q2260-$H2260)*100</f>
        <v/>
      </c>
      <c r="BE2260" s="82">
        <f>($S2260-$J2260)*100</f>
        <v/>
      </c>
      <c r="BF2260" s="82">
        <f>($V2260-$L2260)*100</f>
        <v/>
      </c>
      <c r="BG2260" s="82">
        <f>$AG2260-$AF2260</f>
        <v/>
      </c>
      <c r="BH2260" s="81">
        <f>IFERROR($AG2260/$AF2260,"")</f>
        <v/>
      </c>
      <c r="BI2260" s="82">
        <f>$AJ2260-$AF2260</f>
        <v/>
      </c>
      <c r="BJ2260" s="81">
        <f>IFERROR($AJ2260/$AG2260,"")</f>
        <v/>
      </c>
      <c r="BK2260" s="81">
        <f>$X2260</f>
        <v/>
      </c>
      <c r="BL2260" s="82">
        <f>($J2260-$J2261)*100</f>
        <v/>
      </c>
      <c r="BM2260" s="82">
        <f>($F2260-$F2261)*100</f>
        <v/>
      </c>
      <c r="BN2260" s="82">
        <f>$AF2260-$AF2261</f>
        <v/>
      </c>
      <c r="BO2260" s="82">
        <f>$AG2260-$AG2261</f>
        <v/>
      </c>
      <c r="BP2260" s="82">
        <f>$AJ2260-$AJ2261</f>
        <v/>
      </c>
    </row>
    <row r="2261">
      <c r="AR2261" s="81">
        <f>($G2261+($H2261-$G2261)*0.5)+($P2261-($O2261+($Q2261-$O2261)*0.5))</f>
        <v/>
      </c>
      <c r="AS2261" s="81">
        <f>($J2261+($K2261-$J2261)*0.5)+($T2261-($S2261+($U2261-$S2261)*0.5))</f>
        <v/>
      </c>
      <c r="AT2261" s="82">
        <f>($J2261-$C2261)*100</f>
        <v/>
      </c>
      <c r="AU2261" s="82">
        <f>($H2261-$F2261)*100</f>
        <v/>
      </c>
      <c r="AV2261" s="82">
        <f>($J2261-$F2261)*100</f>
        <v/>
      </c>
      <c r="AW2261" s="82">
        <f>($L2261-$F2261)*100</f>
        <v/>
      </c>
      <c r="AX2261" s="82">
        <f>($J2261-$H2261)*100</f>
        <v/>
      </c>
      <c r="AY2261" s="82">
        <f>($L2261-$H2261)*100</f>
        <v/>
      </c>
      <c r="AZ2261" s="82">
        <f>($L2261-$J2261)*100</f>
        <v/>
      </c>
      <c r="BA2261" s="82">
        <f>(2*$H2261-$F2261-$J2261)*100</f>
        <v/>
      </c>
      <c r="BB2261" s="82">
        <f>(2*$J2261-$H2261-$L2261)*100</f>
        <v/>
      </c>
      <c r="BC2261" s="82">
        <f>($N2261-$F2261)*100</f>
        <v/>
      </c>
      <c r="BD2261" s="82">
        <f>($Q2261-$H2261)*100</f>
        <v/>
      </c>
      <c r="BE2261" s="82">
        <f>($S2261-$J2261)*100</f>
        <v/>
      </c>
      <c r="BF2261" s="82">
        <f>($V2261-$L2261)*100</f>
        <v/>
      </c>
      <c r="BG2261" s="82">
        <f>$AG2261-$AF2261</f>
        <v/>
      </c>
      <c r="BH2261" s="81">
        <f>IFERROR($AG2261/$AF2261,"")</f>
        <v/>
      </c>
      <c r="BI2261" s="82">
        <f>$AJ2261-$AF2261</f>
        <v/>
      </c>
      <c r="BJ2261" s="81">
        <f>IFERROR($AJ2261/$AG2261,"")</f>
        <v/>
      </c>
      <c r="BK2261" s="81">
        <f>$X2261</f>
        <v/>
      </c>
      <c r="BL2261" s="82">
        <f>($J2261-$J2262)*100</f>
        <v/>
      </c>
      <c r="BM2261" s="82">
        <f>($F2261-$F2262)*100</f>
        <v/>
      </c>
      <c r="BN2261" s="82">
        <f>$AF2261-$AF2262</f>
        <v/>
      </c>
      <c r="BO2261" s="82">
        <f>$AG2261-$AG2262</f>
        <v/>
      </c>
      <c r="BP2261" s="82">
        <f>$AJ2261-$AJ2262</f>
        <v/>
      </c>
    </row>
    <row r="2262">
      <c r="AR2262" s="81">
        <f>($G2262+($H2262-$G2262)*0.5)+($P2262-($O2262+($Q2262-$O2262)*0.5))</f>
        <v/>
      </c>
      <c r="AS2262" s="81">
        <f>($J2262+($K2262-$J2262)*0.5)+($T2262-($S2262+($U2262-$S2262)*0.5))</f>
        <v/>
      </c>
      <c r="AT2262" s="82">
        <f>($J2262-$C2262)*100</f>
        <v/>
      </c>
      <c r="AU2262" s="82">
        <f>($H2262-$F2262)*100</f>
        <v/>
      </c>
      <c r="AV2262" s="82">
        <f>($J2262-$F2262)*100</f>
        <v/>
      </c>
      <c r="AW2262" s="82">
        <f>($L2262-$F2262)*100</f>
        <v/>
      </c>
      <c r="AX2262" s="82">
        <f>($J2262-$H2262)*100</f>
        <v/>
      </c>
      <c r="AY2262" s="82">
        <f>($L2262-$H2262)*100</f>
        <v/>
      </c>
      <c r="AZ2262" s="82">
        <f>($L2262-$J2262)*100</f>
        <v/>
      </c>
      <c r="BA2262" s="82">
        <f>(2*$H2262-$F2262-$J2262)*100</f>
        <v/>
      </c>
      <c r="BB2262" s="82">
        <f>(2*$J2262-$H2262-$L2262)*100</f>
        <v/>
      </c>
      <c r="BC2262" s="82">
        <f>($N2262-$F2262)*100</f>
        <v/>
      </c>
      <c r="BD2262" s="82">
        <f>($Q2262-$H2262)*100</f>
        <v/>
      </c>
      <c r="BE2262" s="82">
        <f>($S2262-$J2262)*100</f>
        <v/>
      </c>
      <c r="BF2262" s="82">
        <f>($V2262-$L2262)*100</f>
        <v/>
      </c>
      <c r="BG2262" s="82">
        <f>$AG2262-$AF2262</f>
        <v/>
      </c>
      <c r="BH2262" s="81">
        <f>IFERROR($AG2262/$AF2262,"")</f>
        <v/>
      </c>
      <c r="BI2262" s="82">
        <f>$AJ2262-$AF2262</f>
        <v/>
      </c>
      <c r="BJ2262" s="81">
        <f>IFERROR($AJ2262/$AG2262,"")</f>
        <v/>
      </c>
      <c r="BK2262" s="81">
        <f>$X2262</f>
        <v/>
      </c>
      <c r="BL2262" s="82">
        <f>($J2262-$J2263)*100</f>
        <v/>
      </c>
      <c r="BM2262" s="82">
        <f>($F2262-$F2263)*100</f>
        <v/>
      </c>
      <c r="BN2262" s="82">
        <f>$AF2262-$AF2263</f>
        <v/>
      </c>
      <c r="BO2262" s="82">
        <f>$AG2262-$AG2263</f>
        <v/>
      </c>
      <c r="BP2262" s="82">
        <f>$AJ2262-$AJ2263</f>
        <v/>
      </c>
    </row>
    <row r="2263">
      <c r="AR2263" s="81">
        <f>($G2263+($H2263-$G2263)*0.5)+($P2263-($O2263+($Q2263-$O2263)*0.5))</f>
        <v/>
      </c>
      <c r="AS2263" s="81">
        <f>($J2263+($K2263-$J2263)*0.5)+($T2263-($S2263+($U2263-$S2263)*0.5))</f>
        <v/>
      </c>
      <c r="AT2263" s="82">
        <f>($J2263-$C2263)*100</f>
        <v/>
      </c>
      <c r="AU2263" s="82">
        <f>($H2263-$F2263)*100</f>
        <v/>
      </c>
      <c r="AV2263" s="82">
        <f>($J2263-$F2263)*100</f>
        <v/>
      </c>
      <c r="AW2263" s="82">
        <f>($L2263-$F2263)*100</f>
        <v/>
      </c>
      <c r="AX2263" s="82">
        <f>($J2263-$H2263)*100</f>
        <v/>
      </c>
      <c r="AY2263" s="82">
        <f>($L2263-$H2263)*100</f>
        <v/>
      </c>
      <c r="AZ2263" s="82">
        <f>($L2263-$J2263)*100</f>
        <v/>
      </c>
      <c r="BA2263" s="82">
        <f>(2*$H2263-$F2263-$J2263)*100</f>
        <v/>
      </c>
      <c r="BB2263" s="82">
        <f>(2*$J2263-$H2263-$L2263)*100</f>
        <v/>
      </c>
      <c r="BC2263" s="82">
        <f>($N2263-$F2263)*100</f>
        <v/>
      </c>
      <c r="BD2263" s="82">
        <f>($Q2263-$H2263)*100</f>
        <v/>
      </c>
      <c r="BE2263" s="82">
        <f>($S2263-$J2263)*100</f>
        <v/>
      </c>
      <c r="BF2263" s="82">
        <f>($V2263-$L2263)*100</f>
        <v/>
      </c>
      <c r="BG2263" s="82">
        <f>$AG2263-$AF2263</f>
        <v/>
      </c>
      <c r="BH2263" s="81">
        <f>IFERROR($AG2263/$AF2263,"")</f>
        <v/>
      </c>
      <c r="BI2263" s="82">
        <f>$AJ2263-$AF2263</f>
        <v/>
      </c>
      <c r="BJ2263" s="81">
        <f>IFERROR($AJ2263/$AG2263,"")</f>
        <v/>
      </c>
      <c r="BK2263" s="81">
        <f>$X2263</f>
        <v/>
      </c>
      <c r="BL2263" s="82">
        <f>($J2263-$J2264)*100</f>
        <v/>
      </c>
      <c r="BM2263" s="82">
        <f>($F2263-$F2264)*100</f>
        <v/>
      </c>
      <c r="BN2263" s="82">
        <f>$AF2263-$AF2264</f>
        <v/>
      </c>
      <c r="BO2263" s="82">
        <f>$AG2263-$AG2264</f>
        <v/>
      </c>
      <c r="BP2263" s="82">
        <f>$AJ2263-$AJ2264</f>
        <v/>
      </c>
    </row>
    <row r="2264">
      <c r="AR2264" s="81">
        <f>($G2264+($H2264-$G2264)*0.5)+($P2264-($O2264+($Q2264-$O2264)*0.5))</f>
        <v/>
      </c>
      <c r="AS2264" s="81">
        <f>($J2264+($K2264-$J2264)*0.5)+($T2264-($S2264+($U2264-$S2264)*0.5))</f>
        <v/>
      </c>
      <c r="AT2264" s="82">
        <f>($J2264-$C2264)*100</f>
        <v/>
      </c>
      <c r="AU2264" s="82">
        <f>($H2264-$F2264)*100</f>
        <v/>
      </c>
      <c r="AV2264" s="82">
        <f>($J2264-$F2264)*100</f>
        <v/>
      </c>
      <c r="AW2264" s="82">
        <f>($L2264-$F2264)*100</f>
        <v/>
      </c>
      <c r="AX2264" s="82">
        <f>($J2264-$H2264)*100</f>
        <v/>
      </c>
      <c r="AY2264" s="82">
        <f>($L2264-$H2264)*100</f>
        <v/>
      </c>
      <c r="AZ2264" s="82">
        <f>($L2264-$J2264)*100</f>
        <v/>
      </c>
      <c r="BA2264" s="82">
        <f>(2*$H2264-$F2264-$J2264)*100</f>
        <v/>
      </c>
      <c r="BB2264" s="82">
        <f>(2*$J2264-$H2264-$L2264)*100</f>
        <v/>
      </c>
      <c r="BC2264" s="82">
        <f>($N2264-$F2264)*100</f>
        <v/>
      </c>
      <c r="BD2264" s="82">
        <f>($Q2264-$H2264)*100</f>
        <v/>
      </c>
      <c r="BE2264" s="82">
        <f>($S2264-$J2264)*100</f>
        <v/>
      </c>
      <c r="BF2264" s="82">
        <f>($V2264-$L2264)*100</f>
        <v/>
      </c>
      <c r="BG2264" s="82">
        <f>$AG2264-$AF2264</f>
        <v/>
      </c>
      <c r="BH2264" s="81">
        <f>IFERROR($AG2264/$AF2264,"")</f>
        <v/>
      </c>
      <c r="BI2264" s="82">
        <f>$AJ2264-$AF2264</f>
        <v/>
      </c>
      <c r="BJ2264" s="81">
        <f>IFERROR($AJ2264/$AG2264,"")</f>
        <v/>
      </c>
      <c r="BK2264" s="81">
        <f>$X2264</f>
        <v/>
      </c>
      <c r="BL2264" s="82">
        <f>($J2264-$J2265)*100</f>
        <v/>
      </c>
      <c r="BM2264" s="82">
        <f>($F2264-$F2265)*100</f>
        <v/>
      </c>
      <c r="BN2264" s="82">
        <f>$AF2264-$AF2265</f>
        <v/>
      </c>
      <c r="BO2264" s="82">
        <f>$AG2264-$AG2265</f>
        <v/>
      </c>
      <c r="BP2264" s="82">
        <f>$AJ2264-$AJ2265</f>
        <v/>
      </c>
    </row>
    <row r="2265">
      <c r="AR2265" s="81">
        <f>($G2265+($H2265-$G2265)*0.5)+($P2265-($O2265+($Q2265-$O2265)*0.5))</f>
        <v/>
      </c>
      <c r="AS2265" s="81">
        <f>($J2265+($K2265-$J2265)*0.5)+($T2265-($S2265+($U2265-$S2265)*0.5))</f>
        <v/>
      </c>
      <c r="AT2265" s="82">
        <f>($J2265-$C2265)*100</f>
        <v/>
      </c>
      <c r="AU2265" s="82">
        <f>($H2265-$F2265)*100</f>
        <v/>
      </c>
      <c r="AV2265" s="82">
        <f>($J2265-$F2265)*100</f>
        <v/>
      </c>
      <c r="AW2265" s="82">
        <f>($L2265-$F2265)*100</f>
        <v/>
      </c>
      <c r="AX2265" s="82">
        <f>($J2265-$H2265)*100</f>
        <v/>
      </c>
      <c r="AY2265" s="82">
        <f>($L2265-$H2265)*100</f>
        <v/>
      </c>
      <c r="AZ2265" s="82">
        <f>($L2265-$J2265)*100</f>
        <v/>
      </c>
      <c r="BA2265" s="82">
        <f>(2*$H2265-$F2265-$J2265)*100</f>
        <v/>
      </c>
      <c r="BB2265" s="82">
        <f>(2*$J2265-$H2265-$L2265)*100</f>
        <v/>
      </c>
      <c r="BC2265" s="82">
        <f>($N2265-$F2265)*100</f>
        <v/>
      </c>
      <c r="BD2265" s="82">
        <f>($Q2265-$H2265)*100</f>
        <v/>
      </c>
      <c r="BE2265" s="82">
        <f>($S2265-$J2265)*100</f>
        <v/>
      </c>
      <c r="BF2265" s="82">
        <f>($V2265-$L2265)*100</f>
        <v/>
      </c>
      <c r="BG2265" s="82">
        <f>$AG2265-$AF2265</f>
        <v/>
      </c>
      <c r="BH2265" s="81">
        <f>IFERROR($AG2265/$AF2265,"")</f>
        <v/>
      </c>
      <c r="BI2265" s="82">
        <f>$AJ2265-$AF2265</f>
        <v/>
      </c>
      <c r="BJ2265" s="81">
        <f>IFERROR($AJ2265/$AG2265,"")</f>
        <v/>
      </c>
      <c r="BK2265" s="81">
        <f>$X2265</f>
        <v/>
      </c>
      <c r="BL2265" s="82">
        <f>($J2265-$J2266)*100</f>
        <v/>
      </c>
      <c r="BM2265" s="82">
        <f>($F2265-$F2266)*100</f>
        <v/>
      </c>
      <c r="BN2265" s="82">
        <f>$AF2265-$AF2266</f>
        <v/>
      </c>
      <c r="BO2265" s="82">
        <f>$AG2265-$AG2266</f>
        <v/>
      </c>
      <c r="BP2265" s="82">
        <f>$AJ2265-$AJ2266</f>
        <v/>
      </c>
    </row>
    <row r="2266">
      <c r="AR2266" s="81">
        <f>($G2266+($H2266-$G2266)*0.5)+($P2266-($O2266+($Q2266-$O2266)*0.5))</f>
        <v/>
      </c>
      <c r="AS2266" s="81">
        <f>($J2266+($K2266-$J2266)*0.5)+($T2266-($S2266+($U2266-$S2266)*0.5))</f>
        <v/>
      </c>
      <c r="AT2266" s="82">
        <f>($J2266-$C2266)*100</f>
        <v/>
      </c>
      <c r="AU2266" s="82">
        <f>($H2266-$F2266)*100</f>
        <v/>
      </c>
      <c r="AV2266" s="82">
        <f>($J2266-$F2266)*100</f>
        <v/>
      </c>
      <c r="AW2266" s="82">
        <f>($L2266-$F2266)*100</f>
        <v/>
      </c>
      <c r="AX2266" s="82">
        <f>($J2266-$H2266)*100</f>
        <v/>
      </c>
      <c r="AY2266" s="82">
        <f>($L2266-$H2266)*100</f>
        <v/>
      </c>
      <c r="AZ2266" s="82">
        <f>($L2266-$J2266)*100</f>
        <v/>
      </c>
      <c r="BA2266" s="82">
        <f>(2*$H2266-$F2266-$J2266)*100</f>
        <v/>
      </c>
      <c r="BB2266" s="82">
        <f>(2*$J2266-$H2266-$L2266)*100</f>
        <v/>
      </c>
      <c r="BC2266" s="82">
        <f>($N2266-$F2266)*100</f>
        <v/>
      </c>
      <c r="BD2266" s="82">
        <f>($Q2266-$H2266)*100</f>
        <v/>
      </c>
      <c r="BE2266" s="82">
        <f>($S2266-$J2266)*100</f>
        <v/>
      </c>
      <c r="BF2266" s="82">
        <f>($V2266-$L2266)*100</f>
        <v/>
      </c>
      <c r="BG2266" s="82">
        <f>$AG2266-$AF2266</f>
        <v/>
      </c>
      <c r="BH2266" s="81">
        <f>IFERROR($AG2266/$AF2266,"")</f>
        <v/>
      </c>
      <c r="BI2266" s="82">
        <f>$AJ2266-$AF2266</f>
        <v/>
      </c>
      <c r="BJ2266" s="81">
        <f>IFERROR($AJ2266/$AG2266,"")</f>
        <v/>
      </c>
      <c r="BK2266" s="81">
        <f>$X2266</f>
        <v/>
      </c>
      <c r="BL2266" s="82">
        <f>($J2266-$J2267)*100</f>
        <v/>
      </c>
      <c r="BM2266" s="82">
        <f>($F2266-$F2267)*100</f>
        <v/>
      </c>
      <c r="BN2266" s="82">
        <f>$AF2266-$AF2267</f>
        <v/>
      </c>
      <c r="BO2266" s="82">
        <f>$AG2266-$AG2267</f>
        <v/>
      </c>
      <c r="BP2266" s="82">
        <f>$AJ2266-$AJ2267</f>
        <v/>
      </c>
    </row>
    <row r="2267">
      <c r="AR2267" s="81">
        <f>($G2267+($H2267-$G2267)*0.5)+($P2267-($O2267+($Q2267-$O2267)*0.5))</f>
        <v/>
      </c>
      <c r="AS2267" s="81">
        <f>($J2267+($K2267-$J2267)*0.5)+($T2267-($S2267+($U2267-$S2267)*0.5))</f>
        <v/>
      </c>
      <c r="AT2267" s="82">
        <f>($J2267-$C2267)*100</f>
        <v/>
      </c>
      <c r="AU2267" s="82">
        <f>($H2267-$F2267)*100</f>
        <v/>
      </c>
      <c r="AV2267" s="82">
        <f>($J2267-$F2267)*100</f>
        <v/>
      </c>
      <c r="AW2267" s="82">
        <f>($L2267-$F2267)*100</f>
        <v/>
      </c>
      <c r="AX2267" s="82">
        <f>($J2267-$H2267)*100</f>
        <v/>
      </c>
      <c r="AY2267" s="82">
        <f>($L2267-$H2267)*100</f>
        <v/>
      </c>
      <c r="AZ2267" s="82">
        <f>($L2267-$J2267)*100</f>
        <v/>
      </c>
      <c r="BA2267" s="82">
        <f>(2*$H2267-$F2267-$J2267)*100</f>
        <v/>
      </c>
      <c r="BB2267" s="82">
        <f>(2*$J2267-$H2267-$L2267)*100</f>
        <v/>
      </c>
      <c r="BC2267" s="82">
        <f>($N2267-$F2267)*100</f>
        <v/>
      </c>
      <c r="BD2267" s="82">
        <f>($Q2267-$H2267)*100</f>
        <v/>
      </c>
      <c r="BE2267" s="82">
        <f>($S2267-$J2267)*100</f>
        <v/>
      </c>
      <c r="BF2267" s="82">
        <f>($V2267-$L2267)*100</f>
        <v/>
      </c>
      <c r="BG2267" s="82">
        <f>$AG2267-$AF2267</f>
        <v/>
      </c>
      <c r="BH2267" s="81">
        <f>IFERROR($AG2267/$AF2267,"")</f>
        <v/>
      </c>
      <c r="BI2267" s="82">
        <f>$AJ2267-$AF2267</f>
        <v/>
      </c>
      <c r="BJ2267" s="81">
        <f>IFERROR($AJ2267/$AG2267,"")</f>
        <v/>
      </c>
      <c r="BK2267" s="81">
        <f>$X2267</f>
        <v/>
      </c>
      <c r="BL2267" s="82">
        <f>($J2267-$J2268)*100</f>
        <v/>
      </c>
      <c r="BM2267" s="82">
        <f>($F2267-$F2268)*100</f>
        <v/>
      </c>
      <c r="BN2267" s="82">
        <f>$AF2267-$AF2268</f>
        <v/>
      </c>
      <c r="BO2267" s="82">
        <f>$AG2267-$AG2268</f>
        <v/>
      </c>
      <c r="BP2267" s="82">
        <f>$AJ2267-$AJ2268</f>
        <v/>
      </c>
    </row>
    <row r="2268">
      <c r="AR2268" s="81">
        <f>($G2268+($H2268-$G2268)*0.5)+($P2268-($O2268+($Q2268-$O2268)*0.5))</f>
        <v/>
      </c>
      <c r="AS2268" s="81">
        <f>($J2268+($K2268-$J2268)*0.5)+($T2268-($S2268+($U2268-$S2268)*0.5))</f>
        <v/>
      </c>
      <c r="AT2268" s="82">
        <f>($J2268-$C2268)*100</f>
        <v/>
      </c>
      <c r="AU2268" s="82">
        <f>($H2268-$F2268)*100</f>
        <v/>
      </c>
      <c r="AV2268" s="82">
        <f>($J2268-$F2268)*100</f>
        <v/>
      </c>
      <c r="AW2268" s="82">
        <f>($L2268-$F2268)*100</f>
        <v/>
      </c>
      <c r="AX2268" s="82">
        <f>($J2268-$H2268)*100</f>
        <v/>
      </c>
      <c r="AY2268" s="82">
        <f>($L2268-$H2268)*100</f>
        <v/>
      </c>
      <c r="AZ2268" s="82">
        <f>($L2268-$J2268)*100</f>
        <v/>
      </c>
      <c r="BA2268" s="82">
        <f>(2*$H2268-$F2268-$J2268)*100</f>
        <v/>
      </c>
      <c r="BB2268" s="82">
        <f>(2*$J2268-$H2268-$L2268)*100</f>
        <v/>
      </c>
      <c r="BC2268" s="82">
        <f>($N2268-$F2268)*100</f>
        <v/>
      </c>
      <c r="BD2268" s="82">
        <f>($Q2268-$H2268)*100</f>
        <v/>
      </c>
      <c r="BE2268" s="82">
        <f>($S2268-$J2268)*100</f>
        <v/>
      </c>
      <c r="BF2268" s="82">
        <f>($V2268-$L2268)*100</f>
        <v/>
      </c>
      <c r="BG2268" s="82">
        <f>$AG2268-$AF2268</f>
        <v/>
      </c>
      <c r="BH2268" s="81">
        <f>IFERROR($AG2268/$AF2268,"")</f>
        <v/>
      </c>
      <c r="BI2268" s="82">
        <f>$AJ2268-$AF2268</f>
        <v/>
      </c>
      <c r="BJ2268" s="81">
        <f>IFERROR($AJ2268/$AG2268,"")</f>
        <v/>
      </c>
      <c r="BK2268" s="81">
        <f>$X2268</f>
        <v/>
      </c>
      <c r="BL2268" s="82">
        <f>($J2268-$J2269)*100</f>
        <v/>
      </c>
      <c r="BM2268" s="82">
        <f>($F2268-$F2269)*100</f>
        <v/>
      </c>
      <c r="BN2268" s="82">
        <f>$AF2268-$AF2269</f>
        <v/>
      </c>
      <c r="BO2268" s="82">
        <f>$AG2268-$AG2269</f>
        <v/>
      </c>
      <c r="BP2268" s="82">
        <f>$AJ2268-$AJ2269</f>
        <v/>
      </c>
    </row>
    <row r="2269">
      <c r="AR2269" s="81">
        <f>($G2269+($H2269-$G2269)*0.5)+($P2269-($O2269+($Q2269-$O2269)*0.5))</f>
        <v/>
      </c>
      <c r="AS2269" s="81">
        <f>($J2269+($K2269-$J2269)*0.5)+($T2269-($S2269+($U2269-$S2269)*0.5))</f>
        <v/>
      </c>
      <c r="AT2269" s="82">
        <f>($J2269-$C2269)*100</f>
        <v/>
      </c>
      <c r="AU2269" s="82">
        <f>($H2269-$F2269)*100</f>
        <v/>
      </c>
      <c r="AV2269" s="82">
        <f>($J2269-$F2269)*100</f>
        <v/>
      </c>
      <c r="AW2269" s="82">
        <f>($L2269-$F2269)*100</f>
        <v/>
      </c>
      <c r="AX2269" s="82">
        <f>($J2269-$H2269)*100</f>
        <v/>
      </c>
      <c r="AY2269" s="82">
        <f>($L2269-$H2269)*100</f>
        <v/>
      </c>
      <c r="AZ2269" s="82">
        <f>($L2269-$J2269)*100</f>
        <v/>
      </c>
      <c r="BA2269" s="82">
        <f>(2*$H2269-$F2269-$J2269)*100</f>
        <v/>
      </c>
      <c r="BB2269" s="82">
        <f>(2*$J2269-$H2269-$L2269)*100</f>
        <v/>
      </c>
      <c r="BC2269" s="82">
        <f>($N2269-$F2269)*100</f>
        <v/>
      </c>
      <c r="BD2269" s="82">
        <f>($Q2269-$H2269)*100</f>
        <v/>
      </c>
      <c r="BE2269" s="82">
        <f>($S2269-$J2269)*100</f>
        <v/>
      </c>
      <c r="BF2269" s="82">
        <f>($V2269-$L2269)*100</f>
        <v/>
      </c>
      <c r="BG2269" s="82">
        <f>$AG2269-$AF2269</f>
        <v/>
      </c>
      <c r="BH2269" s="81">
        <f>IFERROR($AG2269/$AF2269,"")</f>
        <v/>
      </c>
      <c r="BI2269" s="82">
        <f>$AJ2269-$AF2269</f>
        <v/>
      </c>
      <c r="BJ2269" s="81">
        <f>IFERROR($AJ2269/$AG2269,"")</f>
        <v/>
      </c>
      <c r="BK2269" s="81">
        <f>$X2269</f>
        <v/>
      </c>
      <c r="BL2269" s="82">
        <f>($J2269-$J2270)*100</f>
        <v/>
      </c>
      <c r="BM2269" s="82">
        <f>($F2269-$F2270)*100</f>
        <v/>
      </c>
      <c r="BN2269" s="82">
        <f>$AF2269-$AF2270</f>
        <v/>
      </c>
      <c r="BO2269" s="82">
        <f>$AG2269-$AG2270</f>
        <v/>
      </c>
      <c r="BP2269" s="82">
        <f>$AJ2269-$AJ2270</f>
        <v/>
      </c>
    </row>
    <row r="2270">
      <c r="AR2270" s="81">
        <f>($G2270+($H2270-$G2270)*0.5)+($P2270-($O2270+($Q2270-$O2270)*0.5))</f>
        <v/>
      </c>
      <c r="AS2270" s="81">
        <f>($J2270+($K2270-$J2270)*0.5)+($T2270-($S2270+($U2270-$S2270)*0.5))</f>
        <v/>
      </c>
      <c r="AT2270" s="82">
        <f>($J2270-$C2270)*100</f>
        <v/>
      </c>
      <c r="AU2270" s="82">
        <f>($H2270-$F2270)*100</f>
        <v/>
      </c>
      <c r="AV2270" s="82">
        <f>($J2270-$F2270)*100</f>
        <v/>
      </c>
      <c r="AW2270" s="82">
        <f>($L2270-$F2270)*100</f>
        <v/>
      </c>
      <c r="AX2270" s="82">
        <f>($J2270-$H2270)*100</f>
        <v/>
      </c>
      <c r="AY2270" s="82">
        <f>($L2270-$H2270)*100</f>
        <v/>
      </c>
      <c r="AZ2270" s="82">
        <f>($L2270-$J2270)*100</f>
        <v/>
      </c>
      <c r="BA2270" s="82">
        <f>(2*$H2270-$F2270-$J2270)*100</f>
        <v/>
      </c>
      <c r="BB2270" s="82">
        <f>(2*$J2270-$H2270-$L2270)*100</f>
        <v/>
      </c>
      <c r="BC2270" s="82">
        <f>($N2270-$F2270)*100</f>
        <v/>
      </c>
      <c r="BD2270" s="82">
        <f>($Q2270-$H2270)*100</f>
        <v/>
      </c>
      <c r="BE2270" s="82">
        <f>($S2270-$J2270)*100</f>
        <v/>
      </c>
      <c r="BF2270" s="82">
        <f>($V2270-$L2270)*100</f>
        <v/>
      </c>
      <c r="BG2270" s="82">
        <f>$AG2270-$AF2270</f>
        <v/>
      </c>
      <c r="BH2270" s="81">
        <f>IFERROR($AG2270/$AF2270,"")</f>
        <v/>
      </c>
      <c r="BI2270" s="82">
        <f>$AJ2270-$AF2270</f>
        <v/>
      </c>
      <c r="BJ2270" s="81">
        <f>IFERROR($AJ2270/$AG2270,"")</f>
        <v/>
      </c>
      <c r="BK2270" s="81">
        <f>$X2270</f>
        <v/>
      </c>
      <c r="BL2270" s="82">
        <f>($J2270-$J2271)*100</f>
        <v/>
      </c>
      <c r="BM2270" s="82">
        <f>($F2270-$F2271)*100</f>
        <v/>
      </c>
      <c r="BN2270" s="82">
        <f>$AF2270-$AF2271</f>
        <v/>
      </c>
      <c r="BO2270" s="82">
        <f>$AG2270-$AG2271</f>
        <v/>
      </c>
      <c r="BP2270" s="82">
        <f>$AJ2270-$AJ2271</f>
        <v/>
      </c>
    </row>
    <row r="2271">
      <c r="AR2271" s="81">
        <f>($G2271+($H2271-$G2271)*0.5)+($P2271-($O2271+($Q2271-$O2271)*0.5))</f>
        <v/>
      </c>
      <c r="AS2271" s="81">
        <f>($J2271+($K2271-$J2271)*0.5)+($T2271-($S2271+($U2271-$S2271)*0.5))</f>
        <v/>
      </c>
      <c r="AT2271" s="82">
        <f>($J2271-$C2271)*100</f>
        <v/>
      </c>
      <c r="AU2271" s="82">
        <f>($H2271-$F2271)*100</f>
        <v/>
      </c>
      <c r="AV2271" s="82">
        <f>($J2271-$F2271)*100</f>
        <v/>
      </c>
      <c r="AW2271" s="82">
        <f>($L2271-$F2271)*100</f>
        <v/>
      </c>
      <c r="AX2271" s="82">
        <f>($J2271-$H2271)*100</f>
        <v/>
      </c>
      <c r="AY2271" s="82">
        <f>($L2271-$H2271)*100</f>
        <v/>
      </c>
      <c r="AZ2271" s="82">
        <f>($L2271-$J2271)*100</f>
        <v/>
      </c>
      <c r="BA2271" s="82">
        <f>(2*$H2271-$F2271-$J2271)*100</f>
        <v/>
      </c>
      <c r="BB2271" s="82">
        <f>(2*$J2271-$H2271-$L2271)*100</f>
        <v/>
      </c>
      <c r="BC2271" s="82">
        <f>($N2271-$F2271)*100</f>
        <v/>
      </c>
      <c r="BD2271" s="82">
        <f>($Q2271-$H2271)*100</f>
        <v/>
      </c>
      <c r="BE2271" s="82">
        <f>($S2271-$J2271)*100</f>
        <v/>
      </c>
      <c r="BF2271" s="82">
        <f>($V2271-$L2271)*100</f>
        <v/>
      </c>
      <c r="BG2271" s="82">
        <f>$AG2271-$AF2271</f>
        <v/>
      </c>
      <c r="BH2271" s="81">
        <f>IFERROR($AG2271/$AF2271,"")</f>
        <v/>
      </c>
      <c r="BI2271" s="82">
        <f>$AJ2271-$AF2271</f>
        <v/>
      </c>
      <c r="BJ2271" s="81">
        <f>IFERROR($AJ2271/$AG2271,"")</f>
        <v/>
      </c>
      <c r="BK2271" s="81">
        <f>$X2271</f>
        <v/>
      </c>
      <c r="BL2271" s="82">
        <f>($J2271-$J2272)*100</f>
        <v/>
      </c>
      <c r="BM2271" s="82">
        <f>($F2271-$F2272)*100</f>
        <v/>
      </c>
      <c r="BN2271" s="82">
        <f>$AF2271-$AF2272</f>
        <v/>
      </c>
      <c r="BO2271" s="82">
        <f>$AG2271-$AG2272</f>
        <v/>
      </c>
      <c r="BP2271" s="82">
        <f>$AJ2271-$AJ2272</f>
        <v/>
      </c>
    </row>
    <row r="2272">
      <c r="AR2272" s="81">
        <f>($G2272+($H2272-$G2272)*0.5)+($P2272-($O2272+($Q2272-$O2272)*0.5))</f>
        <v/>
      </c>
      <c r="AS2272" s="81">
        <f>($J2272+($K2272-$J2272)*0.5)+($T2272-($S2272+($U2272-$S2272)*0.5))</f>
        <v/>
      </c>
      <c r="AT2272" s="82">
        <f>($J2272-$C2272)*100</f>
        <v/>
      </c>
      <c r="AU2272" s="82">
        <f>($H2272-$F2272)*100</f>
        <v/>
      </c>
      <c r="AV2272" s="82">
        <f>($J2272-$F2272)*100</f>
        <v/>
      </c>
      <c r="AW2272" s="82">
        <f>($L2272-$F2272)*100</f>
        <v/>
      </c>
      <c r="AX2272" s="82">
        <f>($J2272-$H2272)*100</f>
        <v/>
      </c>
      <c r="AY2272" s="82">
        <f>($L2272-$H2272)*100</f>
        <v/>
      </c>
      <c r="AZ2272" s="82">
        <f>($L2272-$J2272)*100</f>
        <v/>
      </c>
      <c r="BA2272" s="82">
        <f>(2*$H2272-$F2272-$J2272)*100</f>
        <v/>
      </c>
      <c r="BB2272" s="82">
        <f>(2*$J2272-$H2272-$L2272)*100</f>
        <v/>
      </c>
      <c r="BC2272" s="82">
        <f>($N2272-$F2272)*100</f>
        <v/>
      </c>
      <c r="BD2272" s="82">
        <f>($Q2272-$H2272)*100</f>
        <v/>
      </c>
      <c r="BE2272" s="82">
        <f>($S2272-$J2272)*100</f>
        <v/>
      </c>
      <c r="BF2272" s="82">
        <f>($V2272-$L2272)*100</f>
        <v/>
      </c>
      <c r="BG2272" s="82">
        <f>$AG2272-$AF2272</f>
        <v/>
      </c>
      <c r="BH2272" s="81">
        <f>IFERROR($AG2272/$AF2272,"")</f>
        <v/>
      </c>
      <c r="BI2272" s="82">
        <f>$AJ2272-$AF2272</f>
        <v/>
      </c>
      <c r="BJ2272" s="81">
        <f>IFERROR($AJ2272/$AG2272,"")</f>
        <v/>
      </c>
      <c r="BK2272" s="81">
        <f>$X2272</f>
        <v/>
      </c>
      <c r="BL2272" s="82">
        <f>($J2272-$J2273)*100</f>
        <v/>
      </c>
      <c r="BM2272" s="82">
        <f>($F2272-$F2273)*100</f>
        <v/>
      </c>
      <c r="BN2272" s="82">
        <f>$AF2272-$AF2273</f>
        <v/>
      </c>
      <c r="BO2272" s="82">
        <f>$AG2272-$AG2273</f>
        <v/>
      </c>
      <c r="BP2272" s="82">
        <f>$AJ2272-$AJ2273</f>
        <v/>
      </c>
    </row>
    <row r="2273">
      <c r="AR2273" s="81">
        <f>($G2273+($H2273-$G2273)*0.5)+($P2273-($O2273+($Q2273-$O2273)*0.5))</f>
        <v/>
      </c>
      <c r="AS2273" s="81">
        <f>($J2273+($K2273-$J2273)*0.5)+($T2273-($S2273+($U2273-$S2273)*0.5))</f>
        <v/>
      </c>
      <c r="AT2273" s="82">
        <f>($J2273-$C2273)*100</f>
        <v/>
      </c>
      <c r="AU2273" s="82">
        <f>($H2273-$F2273)*100</f>
        <v/>
      </c>
      <c r="AV2273" s="82">
        <f>($J2273-$F2273)*100</f>
        <v/>
      </c>
      <c r="AW2273" s="82">
        <f>($L2273-$F2273)*100</f>
        <v/>
      </c>
      <c r="AX2273" s="82">
        <f>($J2273-$H2273)*100</f>
        <v/>
      </c>
      <c r="AY2273" s="82">
        <f>($L2273-$H2273)*100</f>
        <v/>
      </c>
      <c r="AZ2273" s="82">
        <f>($L2273-$J2273)*100</f>
        <v/>
      </c>
      <c r="BA2273" s="82">
        <f>(2*$H2273-$F2273-$J2273)*100</f>
        <v/>
      </c>
      <c r="BB2273" s="82">
        <f>(2*$J2273-$H2273-$L2273)*100</f>
        <v/>
      </c>
      <c r="BC2273" s="82">
        <f>($N2273-$F2273)*100</f>
        <v/>
      </c>
      <c r="BD2273" s="82">
        <f>($Q2273-$H2273)*100</f>
        <v/>
      </c>
      <c r="BE2273" s="82">
        <f>($S2273-$J2273)*100</f>
        <v/>
      </c>
      <c r="BF2273" s="82">
        <f>($V2273-$L2273)*100</f>
        <v/>
      </c>
      <c r="BG2273" s="82">
        <f>$AG2273-$AF2273</f>
        <v/>
      </c>
      <c r="BH2273" s="81">
        <f>IFERROR($AG2273/$AF2273,"")</f>
        <v/>
      </c>
      <c r="BI2273" s="82">
        <f>$AJ2273-$AF2273</f>
        <v/>
      </c>
      <c r="BJ2273" s="81">
        <f>IFERROR($AJ2273/$AG2273,"")</f>
        <v/>
      </c>
      <c r="BK2273" s="81">
        <f>$X2273</f>
        <v/>
      </c>
      <c r="BL2273" s="82">
        <f>($J2273-$J2274)*100</f>
        <v/>
      </c>
      <c r="BM2273" s="82">
        <f>($F2273-$F2274)*100</f>
        <v/>
      </c>
      <c r="BN2273" s="82">
        <f>$AF2273-$AF2274</f>
        <v/>
      </c>
      <c r="BO2273" s="82">
        <f>$AG2273-$AG2274</f>
        <v/>
      </c>
      <c r="BP2273" s="82">
        <f>$AJ2273-$AJ2274</f>
        <v/>
      </c>
    </row>
    <row r="2274">
      <c r="AR2274" s="81">
        <f>($G2274+($H2274-$G2274)*0.5)+($P2274-($O2274+($Q2274-$O2274)*0.5))</f>
        <v/>
      </c>
      <c r="AS2274" s="81">
        <f>($J2274+($K2274-$J2274)*0.5)+($T2274-($S2274+($U2274-$S2274)*0.5))</f>
        <v/>
      </c>
      <c r="AT2274" s="82">
        <f>($J2274-$C2274)*100</f>
        <v/>
      </c>
      <c r="AU2274" s="82">
        <f>($H2274-$F2274)*100</f>
        <v/>
      </c>
      <c r="AV2274" s="82">
        <f>($J2274-$F2274)*100</f>
        <v/>
      </c>
      <c r="AW2274" s="82">
        <f>($L2274-$F2274)*100</f>
        <v/>
      </c>
      <c r="AX2274" s="82">
        <f>($J2274-$H2274)*100</f>
        <v/>
      </c>
      <c r="AY2274" s="82">
        <f>($L2274-$H2274)*100</f>
        <v/>
      </c>
      <c r="AZ2274" s="82">
        <f>($L2274-$J2274)*100</f>
        <v/>
      </c>
      <c r="BA2274" s="82">
        <f>(2*$H2274-$F2274-$J2274)*100</f>
        <v/>
      </c>
      <c r="BB2274" s="82">
        <f>(2*$J2274-$H2274-$L2274)*100</f>
        <v/>
      </c>
      <c r="BC2274" s="82">
        <f>($N2274-$F2274)*100</f>
        <v/>
      </c>
      <c r="BD2274" s="82">
        <f>($Q2274-$H2274)*100</f>
        <v/>
      </c>
      <c r="BE2274" s="82">
        <f>($S2274-$J2274)*100</f>
        <v/>
      </c>
      <c r="BF2274" s="82">
        <f>($V2274-$L2274)*100</f>
        <v/>
      </c>
      <c r="BG2274" s="82">
        <f>$AG2274-$AF2274</f>
        <v/>
      </c>
      <c r="BH2274" s="81">
        <f>IFERROR($AG2274/$AF2274,"")</f>
        <v/>
      </c>
      <c r="BI2274" s="82">
        <f>$AJ2274-$AF2274</f>
        <v/>
      </c>
      <c r="BJ2274" s="81">
        <f>IFERROR($AJ2274/$AG2274,"")</f>
        <v/>
      </c>
      <c r="BK2274" s="81">
        <f>$X2274</f>
        <v/>
      </c>
      <c r="BL2274" s="82">
        <f>($J2274-$J2275)*100</f>
        <v/>
      </c>
      <c r="BM2274" s="82">
        <f>($F2274-$F2275)*100</f>
        <v/>
      </c>
      <c r="BN2274" s="82">
        <f>$AF2274-$AF2275</f>
        <v/>
      </c>
      <c r="BO2274" s="82">
        <f>$AG2274-$AG2275</f>
        <v/>
      </c>
      <c r="BP2274" s="82">
        <f>$AJ2274-$AJ2275</f>
        <v/>
      </c>
    </row>
    <row r="2275">
      <c r="AR2275" s="81">
        <f>($G2275+($H2275-$G2275)*0.5)+($P2275-($O2275+($Q2275-$O2275)*0.5))</f>
        <v/>
      </c>
      <c r="AS2275" s="81">
        <f>($J2275+($K2275-$J2275)*0.5)+($T2275-($S2275+($U2275-$S2275)*0.5))</f>
        <v/>
      </c>
      <c r="AT2275" s="82">
        <f>($J2275-$C2275)*100</f>
        <v/>
      </c>
      <c r="AU2275" s="82">
        <f>($H2275-$F2275)*100</f>
        <v/>
      </c>
      <c r="AV2275" s="82">
        <f>($J2275-$F2275)*100</f>
        <v/>
      </c>
      <c r="AW2275" s="82">
        <f>($L2275-$F2275)*100</f>
        <v/>
      </c>
      <c r="AX2275" s="82">
        <f>($J2275-$H2275)*100</f>
        <v/>
      </c>
      <c r="AY2275" s="82">
        <f>($L2275-$H2275)*100</f>
        <v/>
      </c>
      <c r="AZ2275" s="82">
        <f>($L2275-$J2275)*100</f>
        <v/>
      </c>
      <c r="BA2275" s="82">
        <f>(2*$H2275-$F2275-$J2275)*100</f>
        <v/>
      </c>
      <c r="BB2275" s="82">
        <f>(2*$J2275-$H2275-$L2275)*100</f>
        <v/>
      </c>
      <c r="BC2275" s="82">
        <f>($N2275-$F2275)*100</f>
        <v/>
      </c>
      <c r="BD2275" s="82">
        <f>($Q2275-$H2275)*100</f>
        <v/>
      </c>
      <c r="BE2275" s="82">
        <f>($S2275-$J2275)*100</f>
        <v/>
      </c>
      <c r="BF2275" s="82">
        <f>($V2275-$L2275)*100</f>
        <v/>
      </c>
      <c r="BG2275" s="82">
        <f>$AG2275-$AF2275</f>
        <v/>
      </c>
      <c r="BH2275" s="81">
        <f>IFERROR($AG2275/$AF2275,"")</f>
        <v/>
      </c>
      <c r="BI2275" s="82">
        <f>$AJ2275-$AF2275</f>
        <v/>
      </c>
      <c r="BJ2275" s="81">
        <f>IFERROR($AJ2275/$AG2275,"")</f>
        <v/>
      </c>
      <c r="BK2275" s="81">
        <f>$X2275</f>
        <v/>
      </c>
      <c r="BL2275" s="82">
        <f>($J2275-$J2276)*100</f>
        <v/>
      </c>
      <c r="BM2275" s="82">
        <f>($F2275-$F2276)*100</f>
        <v/>
      </c>
      <c r="BN2275" s="82">
        <f>$AF2275-$AF2276</f>
        <v/>
      </c>
      <c r="BO2275" s="82">
        <f>$AG2275-$AG2276</f>
        <v/>
      </c>
      <c r="BP2275" s="82">
        <f>$AJ2275-$AJ2276</f>
        <v/>
      </c>
    </row>
    <row r="2276">
      <c r="AR2276" s="81">
        <f>($G2276+($H2276-$G2276)*0.5)+($P2276-($O2276+($Q2276-$O2276)*0.5))</f>
        <v/>
      </c>
      <c r="AS2276" s="81">
        <f>($J2276+($K2276-$J2276)*0.5)+($T2276-($S2276+($U2276-$S2276)*0.5))</f>
        <v/>
      </c>
      <c r="AT2276" s="82">
        <f>($J2276-$C2276)*100</f>
        <v/>
      </c>
      <c r="AU2276" s="82">
        <f>($H2276-$F2276)*100</f>
        <v/>
      </c>
      <c r="AV2276" s="82">
        <f>($J2276-$F2276)*100</f>
        <v/>
      </c>
      <c r="AW2276" s="82">
        <f>($L2276-$F2276)*100</f>
        <v/>
      </c>
      <c r="AX2276" s="82">
        <f>($J2276-$H2276)*100</f>
        <v/>
      </c>
      <c r="AY2276" s="82">
        <f>($L2276-$H2276)*100</f>
        <v/>
      </c>
      <c r="AZ2276" s="82">
        <f>($L2276-$J2276)*100</f>
        <v/>
      </c>
      <c r="BA2276" s="82">
        <f>(2*$H2276-$F2276-$J2276)*100</f>
        <v/>
      </c>
      <c r="BB2276" s="82">
        <f>(2*$J2276-$H2276-$L2276)*100</f>
        <v/>
      </c>
      <c r="BC2276" s="82">
        <f>($N2276-$F2276)*100</f>
        <v/>
      </c>
      <c r="BD2276" s="82">
        <f>($Q2276-$H2276)*100</f>
        <v/>
      </c>
      <c r="BE2276" s="82">
        <f>($S2276-$J2276)*100</f>
        <v/>
      </c>
      <c r="BF2276" s="82">
        <f>($V2276-$L2276)*100</f>
        <v/>
      </c>
      <c r="BG2276" s="82">
        <f>$AG2276-$AF2276</f>
        <v/>
      </c>
      <c r="BH2276" s="81">
        <f>IFERROR($AG2276/$AF2276,"")</f>
        <v/>
      </c>
      <c r="BI2276" s="82">
        <f>$AJ2276-$AF2276</f>
        <v/>
      </c>
      <c r="BJ2276" s="81">
        <f>IFERROR($AJ2276/$AG2276,"")</f>
        <v/>
      </c>
      <c r="BK2276" s="81">
        <f>$X2276</f>
        <v/>
      </c>
      <c r="BL2276" s="82">
        <f>($J2276-$J2277)*100</f>
        <v/>
      </c>
      <c r="BM2276" s="82">
        <f>($F2276-$F2277)*100</f>
        <v/>
      </c>
      <c r="BN2276" s="82">
        <f>$AF2276-$AF2277</f>
        <v/>
      </c>
      <c r="BO2276" s="82">
        <f>$AG2276-$AG2277</f>
        <v/>
      </c>
      <c r="BP2276" s="82">
        <f>$AJ2276-$AJ2277</f>
        <v/>
      </c>
    </row>
    <row r="2277">
      <c r="AR2277" s="81">
        <f>($G2277+($H2277-$G2277)*0.5)+($P2277-($O2277+($Q2277-$O2277)*0.5))</f>
        <v/>
      </c>
      <c r="AS2277" s="81">
        <f>($J2277+($K2277-$J2277)*0.5)+($T2277-($S2277+($U2277-$S2277)*0.5))</f>
        <v/>
      </c>
      <c r="AT2277" s="82">
        <f>($J2277-$C2277)*100</f>
        <v/>
      </c>
      <c r="AU2277" s="82">
        <f>($H2277-$F2277)*100</f>
        <v/>
      </c>
      <c r="AV2277" s="82">
        <f>($J2277-$F2277)*100</f>
        <v/>
      </c>
      <c r="AW2277" s="82">
        <f>($L2277-$F2277)*100</f>
        <v/>
      </c>
      <c r="AX2277" s="82">
        <f>($J2277-$H2277)*100</f>
        <v/>
      </c>
      <c r="AY2277" s="82">
        <f>($L2277-$H2277)*100</f>
        <v/>
      </c>
      <c r="AZ2277" s="82">
        <f>($L2277-$J2277)*100</f>
        <v/>
      </c>
      <c r="BA2277" s="82">
        <f>(2*$H2277-$F2277-$J2277)*100</f>
        <v/>
      </c>
      <c r="BB2277" s="82">
        <f>(2*$J2277-$H2277-$L2277)*100</f>
        <v/>
      </c>
      <c r="BC2277" s="82">
        <f>($N2277-$F2277)*100</f>
        <v/>
      </c>
      <c r="BD2277" s="82">
        <f>($Q2277-$H2277)*100</f>
        <v/>
      </c>
      <c r="BE2277" s="82">
        <f>($S2277-$J2277)*100</f>
        <v/>
      </c>
      <c r="BF2277" s="82">
        <f>($V2277-$L2277)*100</f>
        <v/>
      </c>
      <c r="BG2277" s="82">
        <f>$AG2277-$AF2277</f>
        <v/>
      </c>
      <c r="BH2277" s="81">
        <f>IFERROR($AG2277/$AF2277,"")</f>
        <v/>
      </c>
      <c r="BI2277" s="82">
        <f>$AJ2277-$AF2277</f>
        <v/>
      </c>
      <c r="BJ2277" s="81">
        <f>IFERROR($AJ2277/$AG2277,"")</f>
        <v/>
      </c>
      <c r="BK2277" s="81">
        <f>$X2277</f>
        <v/>
      </c>
      <c r="BL2277" s="82">
        <f>($J2277-$J2278)*100</f>
        <v/>
      </c>
      <c r="BM2277" s="82">
        <f>($F2277-$F2278)*100</f>
        <v/>
      </c>
      <c r="BN2277" s="82">
        <f>$AF2277-$AF2278</f>
        <v/>
      </c>
      <c r="BO2277" s="82">
        <f>$AG2277-$AG2278</f>
        <v/>
      </c>
      <c r="BP2277" s="82">
        <f>$AJ2277-$AJ2278</f>
        <v/>
      </c>
    </row>
    <row r="2278">
      <c r="AR2278" s="81">
        <f>($G2278+($H2278-$G2278)*0.5)+($P2278-($O2278+($Q2278-$O2278)*0.5))</f>
        <v/>
      </c>
      <c r="AS2278" s="81">
        <f>($J2278+($K2278-$J2278)*0.5)+($T2278-($S2278+($U2278-$S2278)*0.5))</f>
        <v/>
      </c>
      <c r="AT2278" s="82">
        <f>($J2278-$C2278)*100</f>
        <v/>
      </c>
      <c r="AU2278" s="82">
        <f>($H2278-$F2278)*100</f>
        <v/>
      </c>
      <c r="AV2278" s="82">
        <f>($J2278-$F2278)*100</f>
        <v/>
      </c>
      <c r="AW2278" s="82">
        <f>($L2278-$F2278)*100</f>
        <v/>
      </c>
      <c r="AX2278" s="82">
        <f>($J2278-$H2278)*100</f>
        <v/>
      </c>
      <c r="AY2278" s="82">
        <f>($L2278-$H2278)*100</f>
        <v/>
      </c>
      <c r="AZ2278" s="82">
        <f>($L2278-$J2278)*100</f>
        <v/>
      </c>
      <c r="BA2278" s="82">
        <f>(2*$H2278-$F2278-$J2278)*100</f>
        <v/>
      </c>
      <c r="BB2278" s="82">
        <f>(2*$J2278-$H2278-$L2278)*100</f>
        <v/>
      </c>
      <c r="BC2278" s="82">
        <f>($N2278-$F2278)*100</f>
        <v/>
      </c>
      <c r="BD2278" s="82">
        <f>($Q2278-$H2278)*100</f>
        <v/>
      </c>
      <c r="BE2278" s="82">
        <f>($S2278-$J2278)*100</f>
        <v/>
      </c>
      <c r="BF2278" s="82">
        <f>($V2278-$L2278)*100</f>
        <v/>
      </c>
      <c r="BG2278" s="82">
        <f>$AG2278-$AF2278</f>
        <v/>
      </c>
      <c r="BH2278" s="81">
        <f>IFERROR($AG2278/$AF2278,"")</f>
        <v/>
      </c>
      <c r="BI2278" s="82">
        <f>$AJ2278-$AF2278</f>
        <v/>
      </c>
      <c r="BJ2278" s="81">
        <f>IFERROR($AJ2278/$AG2278,"")</f>
        <v/>
      </c>
      <c r="BK2278" s="81">
        <f>$X2278</f>
        <v/>
      </c>
      <c r="BL2278" s="82">
        <f>($J2278-$J2279)*100</f>
        <v/>
      </c>
      <c r="BM2278" s="82">
        <f>($F2278-$F2279)*100</f>
        <v/>
      </c>
      <c r="BN2278" s="82">
        <f>$AF2278-$AF2279</f>
        <v/>
      </c>
      <c r="BO2278" s="82">
        <f>$AG2278-$AG2279</f>
        <v/>
      </c>
      <c r="BP2278" s="82">
        <f>$AJ2278-$AJ2279</f>
        <v/>
      </c>
    </row>
    <row r="2279">
      <c r="AR2279" s="81">
        <f>($G2279+($H2279-$G2279)*0.5)+($P2279-($O2279+($Q2279-$O2279)*0.5))</f>
        <v/>
      </c>
      <c r="AS2279" s="81">
        <f>($J2279+($K2279-$J2279)*0.5)+($T2279-($S2279+($U2279-$S2279)*0.5))</f>
        <v/>
      </c>
      <c r="AT2279" s="82">
        <f>($J2279-$C2279)*100</f>
        <v/>
      </c>
      <c r="AU2279" s="82">
        <f>($H2279-$F2279)*100</f>
        <v/>
      </c>
      <c r="AV2279" s="82">
        <f>($J2279-$F2279)*100</f>
        <v/>
      </c>
      <c r="AW2279" s="82">
        <f>($L2279-$F2279)*100</f>
        <v/>
      </c>
      <c r="AX2279" s="82">
        <f>($J2279-$H2279)*100</f>
        <v/>
      </c>
      <c r="AY2279" s="82">
        <f>($L2279-$H2279)*100</f>
        <v/>
      </c>
      <c r="AZ2279" s="82">
        <f>($L2279-$J2279)*100</f>
        <v/>
      </c>
      <c r="BA2279" s="82">
        <f>(2*$H2279-$F2279-$J2279)*100</f>
        <v/>
      </c>
      <c r="BB2279" s="82">
        <f>(2*$J2279-$H2279-$L2279)*100</f>
        <v/>
      </c>
      <c r="BC2279" s="82">
        <f>($N2279-$F2279)*100</f>
        <v/>
      </c>
      <c r="BD2279" s="82">
        <f>($Q2279-$H2279)*100</f>
        <v/>
      </c>
      <c r="BE2279" s="82">
        <f>($S2279-$J2279)*100</f>
        <v/>
      </c>
      <c r="BF2279" s="82">
        <f>($V2279-$L2279)*100</f>
        <v/>
      </c>
      <c r="BG2279" s="82">
        <f>$AG2279-$AF2279</f>
        <v/>
      </c>
      <c r="BH2279" s="81">
        <f>IFERROR($AG2279/$AF2279,"")</f>
        <v/>
      </c>
      <c r="BI2279" s="82">
        <f>$AJ2279-$AF2279</f>
        <v/>
      </c>
      <c r="BJ2279" s="81">
        <f>IFERROR($AJ2279/$AG2279,"")</f>
        <v/>
      </c>
      <c r="BK2279" s="81">
        <f>$X2279</f>
        <v/>
      </c>
      <c r="BL2279" s="82">
        <f>($J2279-$J2280)*100</f>
        <v/>
      </c>
      <c r="BM2279" s="82">
        <f>($F2279-$F2280)*100</f>
        <v/>
      </c>
      <c r="BN2279" s="82">
        <f>$AF2279-$AF2280</f>
        <v/>
      </c>
      <c r="BO2279" s="82">
        <f>$AG2279-$AG2280</f>
        <v/>
      </c>
      <c r="BP2279" s="82">
        <f>$AJ2279-$AJ2280</f>
        <v/>
      </c>
    </row>
    <row r="2280">
      <c r="AR2280" s="81">
        <f>($G2280+($H2280-$G2280)*0.5)+($P2280-($O2280+($Q2280-$O2280)*0.5))</f>
        <v/>
      </c>
      <c r="AS2280" s="81">
        <f>($J2280+($K2280-$J2280)*0.5)+($T2280-($S2280+($U2280-$S2280)*0.5))</f>
        <v/>
      </c>
      <c r="AT2280" s="82">
        <f>($J2280-$C2280)*100</f>
        <v/>
      </c>
      <c r="AU2280" s="82">
        <f>($H2280-$F2280)*100</f>
        <v/>
      </c>
      <c r="AV2280" s="82">
        <f>($J2280-$F2280)*100</f>
        <v/>
      </c>
      <c r="AW2280" s="82">
        <f>($L2280-$F2280)*100</f>
        <v/>
      </c>
      <c r="AX2280" s="82">
        <f>($J2280-$H2280)*100</f>
        <v/>
      </c>
      <c r="AY2280" s="82">
        <f>($L2280-$H2280)*100</f>
        <v/>
      </c>
      <c r="AZ2280" s="82">
        <f>($L2280-$J2280)*100</f>
        <v/>
      </c>
      <c r="BA2280" s="82">
        <f>(2*$H2280-$F2280-$J2280)*100</f>
        <v/>
      </c>
      <c r="BB2280" s="82">
        <f>(2*$J2280-$H2280-$L2280)*100</f>
        <v/>
      </c>
      <c r="BC2280" s="82">
        <f>($N2280-$F2280)*100</f>
        <v/>
      </c>
      <c r="BD2280" s="82">
        <f>($Q2280-$H2280)*100</f>
        <v/>
      </c>
      <c r="BE2280" s="82">
        <f>($S2280-$J2280)*100</f>
        <v/>
      </c>
      <c r="BF2280" s="82">
        <f>($V2280-$L2280)*100</f>
        <v/>
      </c>
      <c r="BG2280" s="82">
        <f>$AG2280-$AF2280</f>
        <v/>
      </c>
      <c r="BH2280" s="81">
        <f>IFERROR($AG2280/$AF2280,"")</f>
        <v/>
      </c>
      <c r="BI2280" s="82">
        <f>$AJ2280-$AF2280</f>
        <v/>
      </c>
      <c r="BJ2280" s="81">
        <f>IFERROR($AJ2280/$AG2280,"")</f>
        <v/>
      </c>
      <c r="BK2280" s="81">
        <f>$X2280</f>
        <v/>
      </c>
      <c r="BL2280" s="82">
        <f>($J2280-$J2281)*100</f>
        <v/>
      </c>
      <c r="BM2280" s="82">
        <f>($F2280-$F2281)*100</f>
        <v/>
      </c>
      <c r="BN2280" s="82">
        <f>$AF2280-$AF2281</f>
        <v/>
      </c>
      <c r="BO2280" s="82">
        <f>$AG2280-$AG2281</f>
        <v/>
      </c>
      <c r="BP2280" s="82">
        <f>$AJ2280-$AJ2281</f>
        <v/>
      </c>
    </row>
    <row r="2281">
      <c r="AR2281" s="81">
        <f>($G2281+($H2281-$G2281)*0.5)+($P2281-($O2281+($Q2281-$O2281)*0.5))</f>
        <v/>
      </c>
      <c r="AS2281" s="81">
        <f>($J2281+($K2281-$J2281)*0.5)+($T2281-($S2281+($U2281-$S2281)*0.5))</f>
        <v/>
      </c>
      <c r="AT2281" s="82">
        <f>($J2281-$C2281)*100</f>
        <v/>
      </c>
      <c r="AU2281" s="82">
        <f>($H2281-$F2281)*100</f>
        <v/>
      </c>
      <c r="AV2281" s="82">
        <f>($J2281-$F2281)*100</f>
        <v/>
      </c>
      <c r="AW2281" s="82">
        <f>($L2281-$F2281)*100</f>
        <v/>
      </c>
      <c r="AX2281" s="82">
        <f>($J2281-$H2281)*100</f>
        <v/>
      </c>
      <c r="AY2281" s="82">
        <f>($L2281-$H2281)*100</f>
        <v/>
      </c>
      <c r="AZ2281" s="82">
        <f>($L2281-$J2281)*100</f>
        <v/>
      </c>
      <c r="BA2281" s="82">
        <f>(2*$H2281-$F2281-$J2281)*100</f>
        <v/>
      </c>
      <c r="BB2281" s="82">
        <f>(2*$J2281-$H2281-$L2281)*100</f>
        <v/>
      </c>
      <c r="BC2281" s="82">
        <f>($N2281-$F2281)*100</f>
        <v/>
      </c>
      <c r="BD2281" s="82">
        <f>($Q2281-$H2281)*100</f>
        <v/>
      </c>
      <c r="BE2281" s="82">
        <f>($S2281-$J2281)*100</f>
        <v/>
      </c>
      <c r="BF2281" s="82">
        <f>($V2281-$L2281)*100</f>
        <v/>
      </c>
      <c r="BG2281" s="82">
        <f>$AG2281-$AF2281</f>
        <v/>
      </c>
      <c r="BH2281" s="81">
        <f>IFERROR($AG2281/$AF2281,"")</f>
        <v/>
      </c>
      <c r="BI2281" s="82">
        <f>$AJ2281-$AF2281</f>
        <v/>
      </c>
      <c r="BJ2281" s="81">
        <f>IFERROR($AJ2281/$AG2281,"")</f>
        <v/>
      </c>
      <c r="BK2281" s="81">
        <f>$X2281</f>
        <v/>
      </c>
      <c r="BL2281" s="82">
        <f>($J2281-$J2282)*100</f>
        <v/>
      </c>
      <c r="BM2281" s="82">
        <f>($F2281-$F2282)*100</f>
        <v/>
      </c>
      <c r="BN2281" s="82">
        <f>$AF2281-$AF2282</f>
        <v/>
      </c>
      <c r="BO2281" s="82">
        <f>$AG2281-$AG2282</f>
        <v/>
      </c>
      <c r="BP2281" s="82">
        <f>$AJ2281-$AJ2282</f>
        <v/>
      </c>
    </row>
    <row r="2282">
      <c r="AR2282" s="81">
        <f>($G2282+($H2282-$G2282)*0.5)+($P2282-($O2282+($Q2282-$O2282)*0.5))</f>
        <v/>
      </c>
      <c r="AS2282" s="81">
        <f>($J2282+($K2282-$J2282)*0.5)+($T2282-($S2282+($U2282-$S2282)*0.5))</f>
        <v/>
      </c>
      <c r="AT2282" s="82">
        <f>($J2282-$C2282)*100</f>
        <v/>
      </c>
      <c r="AU2282" s="82">
        <f>($H2282-$F2282)*100</f>
        <v/>
      </c>
      <c r="AV2282" s="82">
        <f>($J2282-$F2282)*100</f>
        <v/>
      </c>
      <c r="AW2282" s="82">
        <f>($L2282-$F2282)*100</f>
        <v/>
      </c>
      <c r="AX2282" s="82">
        <f>($J2282-$H2282)*100</f>
        <v/>
      </c>
      <c r="AY2282" s="82">
        <f>($L2282-$H2282)*100</f>
        <v/>
      </c>
      <c r="AZ2282" s="82">
        <f>($L2282-$J2282)*100</f>
        <v/>
      </c>
      <c r="BA2282" s="82">
        <f>(2*$H2282-$F2282-$J2282)*100</f>
        <v/>
      </c>
      <c r="BB2282" s="82">
        <f>(2*$J2282-$H2282-$L2282)*100</f>
        <v/>
      </c>
      <c r="BC2282" s="82">
        <f>($N2282-$F2282)*100</f>
        <v/>
      </c>
      <c r="BD2282" s="82">
        <f>($Q2282-$H2282)*100</f>
        <v/>
      </c>
      <c r="BE2282" s="82">
        <f>($S2282-$J2282)*100</f>
        <v/>
      </c>
      <c r="BF2282" s="82">
        <f>($V2282-$L2282)*100</f>
        <v/>
      </c>
      <c r="BG2282" s="82">
        <f>$AG2282-$AF2282</f>
        <v/>
      </c>
      <c r="BH2282" s="81">
        <f>IFERROR($AG2282/$AF2282,"")</f>
        <v/>
      </c>
      <c r="BI2282" s="82">
        <f>$AJ2282-$AF2282</f>
        <v/>
      </c>
      <c r="BJ2282" s="81">
        <f>IFERROR($AJ2282/$AG2282,"")</f>
        <v/>
      </c>
      <c r="BK2282" s="81">
        <f>$X2282</f>
        <v/>
      </c>
      <c r="BL2282" s="82">
        <f>($J2282-$J2283)*100</f>
        <v/>
      </c>
      <c r="BM2282" s="82">
        <f>($F2282-$F2283)*100</f>
        <v/>
      </c>
      <c r="BN2282" s="82">
        <f>$AF2282-$AF2283</f>
        <v/>
      </c>
      <c r="BO2282" s="82">
        <f>$AG2282-$AG2283</f>
        <v/>
      </c>
      <c r="BP2282" s="82">
        <f>$AJ2282-$AJ2283</f>
        <v/>
      </c>
    </row>
    <row r="2283">
      <c r="AR2283" s="81">
        <f>($G2283+($H2283-$G2283)*0.5)+($P2283-($O2283+($Q2283-$O2283)*0.5))</f>
        <v/>
      </c>
      <c r="AS2283" s="81">
        <f>($J2283+($K2283-$J2283)*0.5)+($T2283-($S2283+($U2283-$S2283)*0.5))</f>
        <v/>
      </c>
      <c r="AT2283" s="82">
        <f>($J2283-$C2283)*100</f>
        <v/>
      </c>
      <c r="AU2283" s="82">
        <f>($H2283-$F2283)*100</f>
        <v/>
      </c>
      <c r="AV2283" s="82">
        <f>($J2283-$F2283)*100</f>
        <v/>
      </c>
      <c r="AW2283" s="82">
        <f>($L2283-$F2283)*100</f>
        <v/>
      </c>
      <c r="AX2283" s="82">
        <f>($J2283-$H2283)*100</f>
        <v/>
      </c>
      <c r="AY2283" s="82">
        <f>($L2283-$H2283)*100</f>
        <v/>
      </c>
      <c r="AZ2283" s="82">
        <f>($L2283-$J2283)*100</f>
        <v/>
      </c>
      <c r="BA2283" s="82">
        <f>(2*$H2283-$F2283-$J2283)*100</f>
        <v/>
      </c>
      <c r="BB2283" s="82">
        <f>(2*$J2283-$H2283-$L2283)*100</f>
        <v/>
      </c>
      <c r="BC2283" s="82">
        <f>($N2283-$F2283)*100</f>
        <v/>
      </c>
      <c r="BD2283" s="82">
        <f>($Q2283-$H2283)*100</f>
        <v/>
      </c>
      <c r="BE2283" s="82">
        <f>($S2283-$J2283)*100</f>
        <v/>
      </c>
      <c r="BF2283" s="82">
        <f>($V2283-$L2283)*100</f>
        <v/>
      </c>
      <c r="BG2283" s="82">
        <f>$AG2283-$AF2283</f>
        <v/>
      </c>
      <c r="BH2283" s="81">
        <f>IFERROR($AG2283/$AF2283,"")</f>
        <v/>
      </c>
      <c r="BI2283" s="82">
        <f>$AJ2283-$AF2283</f>
        <v/>
      </c>
      <c r="BJ2283" s="81">
        <f>IFERROR($AJ2283/$AG2283,"")</f>
        <v/>
      </c>
      <c r="BK2283" s="81">
        <f>$X2283</f>
        <v/>
      </c>
      <c r="BL2283" s="82">
        <f>($J2283-$J2284)*100</f>
        <v/>
      </c>
      <c r="BM2283" s="82">
        <f>($F2283-$F2284)*100</f>
        <v/>
      </c>
      <c r="BN2283" s="82">
        <f>$AF2283-$AF2284</f>
        <v/>
      </c>
      <c r="BO2283" s="82">
        <f>$AG2283-$AG2284</f>
        <v/>
      </c>
      <c r="BP2283" s="82">
        <f>$AJ2283-$AJ2284</f>
        <v/>
      </c>
    </row>
    <row r="2284">
      <c r="AR2284" s="81">
        <f>($G2284+($H2284-$G2284)*0.5)+($P2284-($O2284+($Q2284-$O2284)*0.5))</f>
        <v/>
      </c>
      <c r="AS2284" s="81">
        <f>($J2284+($K2284-$J2284)*0.5)+($T2284-($S2284+($U2284-$S2284)*0.5))</f>
        <v/>
      </c>
      <c r="AT2284" s="82">
        <f>($J2284-$C2284)*100</f>
        <v/>
      </c>
      <c r="AU2284" s="82">
        <f>($H2284-$F2284)*100</f>
        <v/>
      </c>
      <c r="AV2284" s="82">
        <f>($J2284-$F2284)*100</f>
        <v/>
      </c>
      <c r="AW2284" s="82">
        <f>($L2284-$F2284)*100</f>
        <v/>
      </c>
      <c r="AX2284" s="82">
        <f>($J2284-$H2284)*100</f>
        <v/>
      </c>
      <c r="AY2284" s="82">
        <f>($L2284-$H2284)*100</f>
        <v/>
      </c>
      <c r="AZ2284" s="82">
        <f>($L2284-$J2284)*100</f>
        <v/>
      </c>
      <c r="BA2284" s="82">
        <f>(2*$H2284-$F2284-$J2284)*100</f>
        <v/>
      </c>
      <c r="BB2284" s="82">
        <f>(2*$J2284-$H2284-$L2284)*100</f>
        <v/>
      </c>
      <c r="BC2284" s="82">
        <f>($N2284-$F2284)*100</f>
        <v/>
      </c>
      <c r="BD2284" s="82">
        <f>($Q2284-$H2284)*100</f>
        <v/>
      </c>
      <c r="BE2284" s="82">
        <f>($S2284-$J2284)*100</f>
        <v/>
      </c>
      <c r="BF2284" s="82">
        <f>($V2284-$L2284)*100</f>
        <v/>
      </c>
      <c r="BG2284" s="82">
        <f>$AG2284-$AF2284</f>
        <v/>
      </c>
      <c r="BH2284" s="81">
        <f>IFERROR($AG2284/$AF2284,"")</f>
        <v/>
      </c>
      <c r="BI2284" s="82">
        <f>$AJ2284-$AF2284</f>
        <v/>
      </c>
      <c r="BJ2284" s="81">
        <f>IFERROR($AJ2284/$AG2284,"")</f>
        <v/>
      </c>
      <c r="BK2284" s="81">
        <f>$X2284</f>
        <v/>
      </c>
      <c r="BL2284" s="82">
        <f>($J2284-$J2285)*100</f>
        <v/>
      </c>
      <c r="BM2284" s="82">
        <f>($F2284-$F2285)*100</f>
        <v/>
      </c>
      <c r="BN2284" s="82">
        <f>$AF2284-$AF2285</f>
        <v/>
      </c>
      <c r="BO2284" s="82">
        <f>$AG2284-$AG2285</f>
        <v/>
      </c>
      <c r="BP2284" s="82">
        <f>$AJ2284-$AJ2285</f>
        <v/>
      </c>
    </row>
    <row r="2285">
      <c r="AR2285" s="81">
        <f>($G2285+($H2285-$G2285)*0.5)+($P2285-($O2285+($Q2285-$O2285)*0.5))</f>
        <v/>
      </c>
      <c r="AS2285" s="81">
        <f>($J2285+($K2285-$J2285)*0.5)+($T2285-($S2285+($U2285-$S2285)*0.5))</f>
        <v/>
      </c>
      <c r="AT2285" s="82">
        <f>($J2285-$C2285)*100</f>
        <v/>
      </c>
      <c r="AU2285" s="82">
        <f>($H2285-$F2285)*100</f>
        <v/>
      </c>
      <c r="AV2285" s="82">
        <f>($J2285-$F2285)*100</f>
        <v/>
      </c>
      <c r="AW2285" s="82">
        <f>($L2285-$F2285)*100</f>
        <v/>
      </c>
      <c r="AX2285" s="82">
        <f>($J2285-$H2285)*100</f>
        <v/>
      </c>
      <c r="AY2285" s="82">
        <f>($L2285-$H2285)*100</f>
        <v/>
      </c>
      <c r="AZ2285" s="82">
        <f>($L2285-$J2285)*100</f>
        <v/>
      </c>
      <c r="BA2285" s="82">
        <f>(2*$H2285-$F2285-$J2285)*100</f>
        <v/>
      </c>
      <c r="BB2285" s="82">
        <f>(2*$J2285-$H2285-$L2285)*100</f>
        <v/>
      </c>
      <c r="BC2285" s="82">
        <f>($N2285-$F2285)*100</f>
        <v/>
      </c>
      <c r="BD2285" s="82">
        <f>($Q2285-$H2285)*100</f>
        <v/>
      </c>
      <c r="BE2285" s="82">
        <f>($S2285-$J2285)*100</f>
        <v/>
      </c>
      <c r="BF2285" s="82">
        <f>($V2285-$L2285)*100</f>
        <v/>
      </c>
      <c r="BG2285" s="82">
        <f>$AG2285-$AF2285</f>
        <v/>
      </c>
      <c r="BH2285" s="81">
        <f>IFERROR($AG2285/$AF2285,"")</f>
        <v/>
      </c>
      <c r="BI2285" s="82">
        <f>$AJ2285-$AF2285</f>
        <v/>
      </c>
      <c r="BJ2285" s="81">
        <f>IFERROR($AJ2285/$AG2285,"")</f>
        <v/>
      </c>
      <c r="BK2285" s="81">
        <f>$X2285</f>
        <v/>
      </c>
      <c r="BL2285" s="82">
        <f>($J2285-$J2286)*100</f>
        <v/>
      </c>
      <c r="BM2285" s="82">
        <f>($F2285-$F2286)*100</f>
        <v/>
      </c>
      <c r="BN2285" s="82">
        <f>$AF2285-$AF2286</f>
        <v/>
      </c>
      <c r="BO2285" s="82">
        <f>$AG2285-$AG2286</f>
        <v/>
      </c>
      <c r="BP2285" s="82">
        <f>$AJ2285-$AJ2286</f>
        <v/>
      </c>
    </row>
    <row r="2286">
      <c r="AR2286" s="81">
        <f>($G2286+($H2286-$G2286)*0.5)+($P2286-($O2286+($Q2286-$O2286)*0.5))</f>
        <v/>
      </c>
      <c r="AS2286" s="81">
        <f>($J2286+($K2286-$J2286)*0.5)+($T2286-($S2286+($U2286-$S2286)*0.5))</f>
        <v/>
      </c>
      <c r="AT2286" s="82">
        <f>($J2286-$C2286)*100</f>
        <v/>
      </c>
      <c r="AU2286" s="82">
        <f>($H2286-$F2286)*100</f>
        <v/>
      </c>
      <c r="AV2286" s="82">
        <f>($J2286-$F2286)*100</f>
        <v/>
      </c>
      <c r="AW2286" s="82">
        <f>($L2286-$F2286)*100</f>
        <v/>
      </c>
      <c r="AX2286" s="82">
        <f>($J2286-$H2286)*100</f>
        <v/>
      </c>
      <c r="AY2286" s="82">
        <f>($L2286-$H2286)*100</f>
        <v/>
      </c>
      <c r="AZ2286" s="82">
        <f>($L2286-$J2286)*100</f>
        <v/>
      </c>
      <c r="BA2286" s="82">
        <f>(2*$H2286-$F2286-$J2286)*100</f>
        <v/>
      </c>
      <c r="BB2286" s="82">
        <f>(2*$J2286-$H2286-$L2286)*100</f>
        <v/>
      </c>
      <c r="BC2286" s="82">
        <f>($N2286-$F2286)*100</f>
        <v/>
      </c>
      <c r="BD2286" s="82">
        <f>($Q2286-$H2286)*100</f>
        <v/>
      </c>
      <c r="BE2286" s="82">
        <f>($S2286-$J2286)*100</f>
        <v/>
      </c>
      <c r="BF2286" s="82">
        <f>($V2286-$L2286)*100</f>
        <v/>
      </c>
      <c r="BG2286" s="82">
        <f>$AG2286-$AF2286</f>
        <v/>
      </c>
      <c r="BH2286" s="81">
        <f>IFERROR($AG2286/$AF2286,"")</f>
        <v/>
      </c>
      <c r="BI2286" s="82">
        <f>$AJ2286-$AF2286</f>
        <v/>
      </c>
      <c r="BJ2286" s="81">
        <f>IFERROR($AJ2286/$AG2286,"")</f>
        <v/>
      </c>
      <c r="BK2286" s="81">
        <f>$X2286</f>
        <v/>
      </c>
      <c r="BL2286" s="82">
        <f>($J2286-$J2287)*100</f>
        <v/>
      </c>
      <c r="BM2286" s="82">
        <f>($F2286-$F2287)*100</f>
        <v/>
      </c>
      <c r="BN2286" s="82">
        <f>$AF2286-$AF2287</f>
        <v/>
      </c>
      <c r="BO2286" s="82">
        <f>$AG2286-$AG2287</f>
        <v/>
      </c>
      <c r="BP2286" s="82">
        <f>$AJ2286-$AJ2287</f>
        <v/>
      </c>
    </row>
    <row r="2287">
      <c r="AR2287" s="81">
        <f>($G2287+($H2287-$G2287)*0.5)+($P2287-($O2287+($Q2287-$O2287)*0.5))</f>
        <v/>
      </c>
      <c r="AS2287" s="81">
        <f>($J2287+($K2287-$J2287)*0.5)+($T2287-($S2287+($U2287-$S2287)*0.5))</f>
        <v/>
      </c>
      <c r="AT2287" s="82">
        <f>($J2287-$C2287)*100</f>
        <v/>
      </c>
      <c r="AU2287" s="82">
        <f>($H2287-$F2287)*100</f>
        <v/>
      </c>
      <c r="AV2287" s="82">
        <f>($J2287-$F2287)*100</f>
        <v/>
      </c>
      <c r="AW2287" s="82">
        <f>($L2287-$F2287)*100</f>
        <v/>
      </c>
      <c r="AX2287" s="82">
        <f>($J2287-$H2287)*100</f>
        <v/>
      </c>
      <c r="AY2287" s="82">
        <f>($L2287-$H2287)*100</f>
        <v/>
      </c>
      <c r="AZ2287" s="82">
        <f>($L2287-$J2287)*100</f>
        <v/>
      </c>
      <c r="BA2287" s="82">
        <f>(2*$H2287-$F2287-$J2287)*100</f>
        <v/>
      </c>
      <c r="BB2287" s="82">
        <f>(2*$J2287-$H2287-$L2287)*100</f>
        <v/>
      </c>
      <c r="BC2287" s="82">
        <f>($N2287-$F2287)*100</f>
        <v/>
      </c>
      <c r="BD2287" s="82">
        <f>($Q2287-$H2287)*100</f>
        <v/>
      </c>
      <c r="BE2287" s="82">
        <f>($S2287-$J2287)*100</f>
        <v/>
      </c>
      <c r="BF2287" s="82">
        <f>($V2287-$L2287)*100</f>
        <v/>
      </c>
      <c r="BG2287" s="82">
        <f>$AG2287-$AF2287</f>
        <v/>
      </c>
      <c r="BH2287" s="81">
        <f>IFERROR($AG2287/$AF2287,"")</f>
        <v/>
      </c>
      <c r="BI2287" s="82">
        <f>$AJ2287-$AF2287</f>
        <v/>
      </c>
      <c r="BJ2287" s="81">
        <f>IFERROR($AJ2287/$AG2287,"")</f>
        <v/>
      </c>
      <c r="BK2287" s="81">
        <f>$X2287</f>
        <v/>
      </c>
      <c r="BL2287" s="82">
        <f>($J2287-$J2288)*100</f>
        <v/>
      </c>
      <c r="BM2287" s="82">
        <f>($F2287-$F2288)*100</f>
        <v/>
      </c>
      <c r="BN2287" s="82">
        <f>$AF2287-$AF2288</f>
        <v/>
      </c>
      <c r="BO2287" s="82">
        <f>$AG2287-$AG2288</f>
        <v/>
      </c>
      <c r="BP2287" s="82">
        <f>$AJ2287-$AJ2288</f>
        <v/>
      </c>
    </row>
    <row r="2288">
      <c r="AR2288" s="81">
        <f>($G2288+($H2288-$G2288)*0.5)+($P2288-($O2288+($Q2288-$O2288)*0.5))</f>
        <v/>
      </c>
      <c r="AS2288" s="81">
        <f>($J2288+($K2288-$J2288)*0.5)+($T2288-($S2288+($U2288-$S2288)*0.5))</f>
        <v/>
      </c>
      <c r="AT2288" s="82">
        <f>($J2288-$C2288)*100</f>
        <v/>
      </c>
      <c r="AU2288" s="82">
        <f>($H2288-$F2288)*100</f>
        <v/>
      </c>
      <c r="AV2288" s="82">
        <f>($J2288-$F2288)*100</f>
        <v/>
      </c>
      <c r="AW2288" s="82">
        <f>($L2288-$F2288)*100</f>
        <v/>
      </c>
      <c r="AX2288" s="82">
        <f>($J2288-$H2288)*100</f>
        <v/>
      </c>
      <c r="AY2288" s="82">
        <f>($L2288-$H2288)*100</f>
        <v/>
      </c>
      <c r="AZ2288" s="82">
        <f>($L2288-$J2288)*100</f>
        <v/>
      </c>
      <c r="BA2288" s="82">
        <f>(2*$H2288-$F2288-$J2288)*100</f>
        <v/>
      </c>
      <c r="BB2288" s="82">
        <f>(2*$J2288-$H2288-$L2288)*100</f>
        <v/>
      </c>
      <c r="BC2288" s="82">
        <f>($N2288-$F2288)*100</f>
        <v/>
      </c>
      <c r="BD2288" s="82">
        <f>($Q2288-$H2288)*100</f>
        <v/>
      </c>
      <c r="BE2288" s="82">
        <f>($S2288-$J2288)*100</f>
        <v/>
      </c>
      <c r="BF2288" s="82">
        <f>($V2288-$L2288)*100</f>
        <v/>
      </c>
      <c r="BG2288" s="82">
        <f>$AG2288-$AF2288</f>
        <v/>
      </c>
      <c r="BH2288" s="81">
        <f>IFERROR($AG2288/$AF2288,"")</f>
        <v/>
      </c>
      <c r="BI2288" s="82">
        <f>$AJ2288-$AF2288</f>
        <v/>
      </c>
      <c r="BJ2288" s="81">
        <f>IFERROR($AJ2288/$AG2288,"")</f>
        <v/>
      </c>
      <c r="BK2288" s="81">
        <f>$X2288</f>
        <v/>
      </c>
      <c r="BL2288" s="82">
        <f>($J2288-$J2289)*100</f>
        <v/>
      </c>
      <c r="BM2288" s="82">
        <f>($F2288-$F2289)*100</f>
        <v/>
      </c>
      <c r="BN2288" s="82">
        <f>$AF2288-$AF2289</f>
        <v/>
      </c>
      <c r="BO2288" s="82">
        <f>$AG2288-$AG2289</f>
        <v/>
      </c>
      <c r="BP2288" s="82">
        <f>$AJ2288-$AJ2289</f>
        <v/>
      </c>
    </row>
    <row r="2289">
      <c r="AR2289" s="81">
        <f>($G2289+($H2289-$G2289)*0.5)+($P2289-($O2289+($Q2289-$O2289)*0.5))</f>
        <v/>
      </c>
      <c r="AS2289" s="81">
        <f>($J2289+($K2289-$J2289)*0.5)+($T2289-($S2289+($U2289-$S2289)*0.5))</f>
        <v/>
      </c>
      <c r="AT2289" s="82">
        <f>($J2289-$C2289)*100</f>
        <v/>
      </c>
      <c r="AU2289" s="82">
        <f>($H2289-$F2289)*100</f>
        <v/>
      </c>
      <c r="AV2289" s="82">
        <f>($J2289-$F2289)*100</f>
        <v/>
      </c>
      <c r="AW2289" s="82">
        <f>($L2289-$F2289)*100</f>
        <v/>
      </c>
      <c r="AX2289" s="82">
        <f>($J2289-$H2289)*100</f>
        <v/>
      </c>
      <c r="AY2289" s="82">
        <f>($L2289-$H2289)*100</f>
        <v/>
      </c>
      <c r="AZ2289" s="82">
        <f>($L2289-$J2289)*100</f>
        <v/>
      </c>
      <c r="BA2289" s="82">
        <f>(2*$H2289-$F2289-$J2289)*100</f>
        <v/>
      </c>
      <c r="BB2289" s="82">
        <f>(2*$J2289-$H2289-$L2289)*100</f>
        <v/>
      </c>
      <c r="BC2289" s="82">
        <f>($N2289-$F2289)*100</f>
        <v/>
      </c>
      <c r="BD2289" s="82">
        <f>($Q2289-$H2289)*100</f>
        <v/>
      </c>
      <c r="BE2289" s="82">
        <f>($S2289-$J2289)*100</f>
        <v/>
      </c>
      <c r="BF2289" s="82">
        <f>($V2289-$L2289)*100</f>
        <v/>
      </c>
      <c r="BG2289" s="82">
        <f>$AG2289-$AF2289</f>
        <v/>
      </c>
      <c r="BH2289" s="81">
        <f>IFERROR($AG2289/$AF2289,"")</f>
        <v/>
      </c>
      <c r="BI2289" s="82">
        <f>$AJ2289-$AF2289</f>
        <v/>
      </c>
      <c r="BJ2289" s="81">
        <f>IFERROR($AJ2289/$AG2289,"")</f>
        <v/>
      </c>
      <c r="BK2289" s="81">
        <f>$X2289</f>
        <v/>
      </c>
      <c r="BL2289" s="82">
        <f>($J2289-$J2290)*100</f>
        <v/>
      </c>
      <c r="BM2289" s="82">
        <f>($F2289-$F2290)*100</f>
        <v/>
      </c>
      <c r="BN2289" s="82">
        <f>$AF2289-$AF2290</f>
        <v/>
      </c>
      <c r="BO2289" s="82">
        <f>$AG2289-$AG2290</f>
        <v/>
      </c>
      <c r="BP2289" s="82">
        <f>$AJ2289-$AJ2290</f>
        <v/>
      </c>
    </row>
    <row r="2290">
      <c r="AR2290" s="81">
        <f>($G2290+($H2290-$G2290)*0.5)+($P2290-($O2290+($Q2290-$O2290)*0.5))</f>
        <v/>
      </c>
      <c r="AS2290" s="81">
        <f>($J2290+($K2290-$J2290)*0.5)+($T2290-($S2290+($U2290-$S2290)*0.5))</f>
        <v/>
      </c>
      <c r="AT2290" s="82">
        <f>($J2290-$C2290)*100</f>
        <v/>
      </c>
      <c r="AU2290" s="82">
        <f>($H2290-$F2290)*100</f>
        <v/>
      </c>
      <c r="AV2290" s="82">
        <f>($J2290-$F2290)*100</f>
        <v/>
      </c>
      <c r="AW2290" s="82">
        <f>($L2290-$F2290)*100</f>
        <v/>
      </c>
      <c r="AX2290" s="82">
        <f>($J2290-$H2290)*100</f>
        <v/>
      </c>
      <c r="AY2290" s="82">
        <f>($L2290-$H2290)*100</f>
        <v/>
      </c>
      <c r="AZ2290" s="82">
        <f>($L2290-$J2290)*100</f>
        <v/>
      </c>
      <c r="BA2290" s="82">
        <f>(2*$H2290-$F2290-$J2290)*100</f>
        <v/>
      </c>
      <c r="BB2290" s="82">
        <f>(2*$J2290-$H2290-$L2290)*100</f>
        <v/>
      </c>
      <c r="BC2290" s="82">
        <f>($N2290-$F2290)*100</f>
        <v/>
      </c>
      <c r="BD2290" s="82">
        <f>($Q2290-$H2290)*100</f>
        <v/>
      </c>
      <c r="BE2290" s="82">
        <f>($S2290-$J2290)*100</f>
        <v/>
      </c>
      <c r="BF2290" s="82">
        <f>($V2290-$L2290)*100</f>
        <v/>
      </c>
      <c r="BG2290" s="82">
        <f>$AG2290-$AF2290</f>
        <v/>
      </c>
      <c r="BH2290" s="81">
        <f>IFERROR($AG2290/$AF2290,"")</f>
        <v/>
      </c>
      <c r="BI2290" s="82">
        <f>$AJ2290-$AF2290</f>
        <v/>
      </c>
      <c r="BJ2290" s="81">
        <f>IFERROR($AJ2290/$AG2290,"")</f>
        <v/>
      </c>
      <c r="BK2290" s="81">
        <f>$X2290</f>
        <v/>
      </c>
      <c r="BL2290" s="82">
        <f>($J2290-$J2291)*100</f>
        <v/>
      </c>
      <c r="BM2290" s="82">
        <f>($F2290-$F2291)*100</f>
        <v/>
      </c>
      <c r="BN2290" s="82">
        <f>$AF2290-$AF2291</f>
        <v/>
      </c>
      <c r="BO2290" s="82">
        <f>$AG2290-$AG2291</f>
        <v/>
      </c>
      <c r="BP2290" s="82">
        <f>$AJ2290-$AJ2291</f>
        <v/>
      </c>
    </row>
    <row r="2291">
      <c r="AR2291" s="81">
        <f>($G2291+($H2291-$G2291)*0.5)+($P2291-($O2291+($Q2291-$O2291)*0.5))</f>
        <v/>
      </c>
      <c r="AS2291" s="81">
        <f>($J2291+($K2291-$J2291)*0.5)+($T2291-($S2291+($U2291-$S2291)*0.5))</f>
        <v/>
      </c>
      <c r="AT2291" s="82">
        <f>($J2291-$C2291)*100</f>
        <v/>
      </c>
      <c r="AU2291" s="82">
        <f>($H2291-$F2291)*100</f>
        <v/>
      </c>
      <c r="AV2291" s="82">
        <f>($J2291-$F2291)*100</f>
        <v/>
      </c>
      <c r="AW2291" s="82">
        <f>($L2291-$F2291)*100</f>
        <v/>
      </c>
      <c r="AX2291" s="82">
        <f>($J2291-$H2291)*100</f>
        <v/>
      </c>
      <c r="AY2291" s="82">
        <f>($L2291-$H2291)*100</f>
        <v/>
      </c>
      <c r="AZ2291" s="82">
        <f>($L2291-$J2291)*100</f>
        <v/>
      </c>
      <c r="BA2291" s="82">
        <f>(2*$H2291-$F2291-$J2291)*100</f>
        <v/>
      </c>
      <c r="BB2291" s="82">
        <f>(2*$J2291-$H2291-$L2291)*100</f>
        <v/>
      </c>
      <c r="BC2291" s="82">
        <f>($N2291-$F2291)*100</f>
        <v/>
      </c>
      <c r="BD2291" s="82">
        <f>($Q2291-$H2291)*100</f>
        <v/>
      </c>
      <c r="BE2291" s="82">
        <f>($S2291-$J2291)*100</f>
        <v/>
      </c>
      <c r="BF2291" s="82">
        <f>($V2291-$L2291)*100</f>
        <v/>
      </c>
      <c r="BG2291" s="82">
        <f>$AG2291-$AF2291</f>
        <v/>
      </c>
      <c r="BH2291" s="81">
        <f>IFERROR($AG2291/$AF2291,"")</f>
        <v/>
      </c>
      <c r="BI2291" s="82">
        <f>$AJ2291-$AF2291</f>
        <v/>
      </c>
      <c r="BJ2291" s="81">
        <f>IFERROR($AJ2291/$AG2291,"")</f>
        <v/>
      </c>
      <c r="BK2291" s="81">
        <f>$X2291</f>
        <v/>
      </c>
      <c r="BL2291" s="82">
        <f>($J2291-$J2292)*100</f>
        <v/>
      </c>
      <c r="BM2291" s="82">
        <f>($F2291-$F2292)*100</f>
        <v/>
      </c>
      <c r="BN2291" s="82">
        <f>$AF2291-$AF2292</f>
        <v/>
      </c>
      <c r="BO2291" s="82">
        <f>$AG2291-$AG2292</f>
        <v/>
      </c>
      <c r="BP2291" s="82">
        <f>$AJ2291-$AJ2292</f>
        <v/>
      </c>
    </row>
    <row r="2292">
      <c r="AR2292" s="81">
        <f>($G2292+($H2292-$G2292)*0.5)+($P2292-($O2292+($Q2292-$O2292)*0.5))</f>
        <v/>
      </c>
      <c r="AS2292" s="81">
        <f>($J2292+($K2292-$J2292)*0.5)+($T2292-($S2292+($U2292-$S2292)*0.5))</f>
        <v/>
      </c>
      <c r="AT2292" s="82">
        <f>($J2292-$C2292)*100</f>
        <v/>
      </c>
      <c r="AU2292" s="82">
        <f>($H2292-$F2292)*100</f>
        <v/>
      </c>
      <c r="AV2292" s="82">
        <f>($J2292-$F2292)*100</f>
        <v/>
      </c>
      <c r="AW2292" s="82">
        <f>($L2292-$F2292)*100</f>
        <v/>
      </c>
      <c r="AX2292" s="82">
        <f>($J2292-$H2292)*100</f>
        <v/>
      </c>
      <c r="AY2292" s="82">
        <f>($L2292-$H2292)*100</f>
        <v/>
      </c>
      <c r="AZ2292" s="82">
        <f>($L2292-$J2292)*100</f>
        <v/>
      </c>
      <c r="BA2292" s="82">
        <f>(2*$H2292-$F2292-$J2292)*100</f>
        <v/>
      </c>
      <c r="BB2292" s="82">
        <f>(2*$J2292-$H2292-$L2292)*100</f>
        <v/>
      </c>
      <c r="BC2292" s="82">
        <f>($N2292-$F2292)*100</f>
        <v/>
      </c>
      <c r="BD2292" s="82">
        <f>($Q2292-$H2292)*100</f>
        <v/>
      </c>
      <c r="BE2292" s="82">
        <f>($S2292-$J2292)*100</f>
        <v/>
      </c>
      <c r="BF2292" s="82">
        <f>($V2292-$L2292)*100</f>
        <v/>
      </c>
      <c r="BG2292" s="82">
        <f>$AG2292-$AF2292</f>
        <v/>
      </c>
      <c r="BH2292" s="81">
        <f>IFERROR($AG2292/$AF2292,"")</f>
        <v/>
      </c>
      <c r="BI2292" s="82">
        <f>$AJ2292-$AF2292</f>
        <v/>
      </c>
      <c r="BJ2292" s="81">
        <f>IFERROR($AJ2292/$AG2292,"")</f>
        <v/>
      </c>
      <c r="BK2292" s="81">
        <f>$X2292</f>
        <v/>
      </c>
      <c r="BL2292" s="82">
        <f>($J2292-$J2293)*100</f>
        <v/>
      </c>
      <c r="BM2292" s="82">
        <f>($F2292-$F2293)*100</f>
        <v/>
      </c>
      <c r="BN2292" s="82">
        <f>$AF2292-$AF2293</f>
        <v/>
      </c>
      <c r="BO2292" s="82">
        <f>$AG2292-$AG2293</f>
        <v/>
      </c>
      <c r="BP2292" s="82">
        <f>$AJ2292-$AJ2293</f>
        <v/>
      </c>
    </row>
    <row r="2293">
      <c r="AR2293" s="81">
        <f>($G2293+($H2293-$G2293)*0.5)+($P2293-($O2293+($Q2293-$O2293)*0.5))</f>
        <v/>
      </c>
      <c r="AS2293" s="81">
        <f>($J2293+($K2293-$J2293)*0.5)+($T2293-($S2293+($U2293-$S2293)*0.5))</f>
        <v/>
      </c>
      <c r="AT2293" s="82">
        <f>($J2293-$C2293)*100</f>
        <v/>
      </c>
      <c r="AU2293" s="82">
        <f>($H2293-$F2293)*100</f>
        <v/>
      </c>
      <c r="AV2293" s="82">
        <f>($J2293-$F2293)*100</f>
        <v/>
      </c>
      <c r="AW2293" s="82">
        <f>($L2293-$F2293)*100</f>
        <v/>
      </c>
      <c r="AX2293" s="82">
        <f>($J2293-$H2293)*100</f>
        <v/>
      </c>
      <c r="AY2293" s="82">
        <f>($L2293-$H2293)*100</f>
        <v/>
      </c>
      <c r="AZ2293" s="82">
        <f>($L2293-$J2293)*100</f>
        <v/>
      </c>
      <c r="BA2293" s="82">
        <f>(2*$H2293-$F2293-$J2293)*100</f>
        <v/>
      </c>
      <c r="BB2293" s="82">
        <f>(2*$J2293-$H2293-$L2293)*100</f>
        <v/>
      </c>
      <c r="BC2293" s="82">
        <f>($N2293-$F2293)*100</f>
        <v/>
      </c>
      <c r="BD2293" s="82">
        <f>($Q2293-$H2293)*100</f>
        <v/>
      </c>
      <c r="BE2293" s="82">
        <f>($S2293-$J2293)*100</f>
        <v/>
      </c>
      <c r="BF2293" s="82">
        <f>($V2293-$L2293)*100</f>
        <v/>
      </c>
      <c r="BG2293" s="82">
        <f>$AG2293-$AF2293</f>
        <v/>
      </c>
      <c r="BH2293" s="81">
        <f>IFERROR($AG2293/$AF2293,"")</f>
        <v/>
      </c>
      <c r="BI2293" s="82">
        <f>$AJ2293-$AF2293</f>
        <v/>
      </c>
      <c r="BJ2293" s="81">
        <f>IFERROR($AJ2293/$AG2293,"")</f>
        <v/>
      </c>
      <c r="BK2293" s="81">
        <f>$X2293</f>
        <v/>
      </c>
      <c r="BL2293" s="82">
        <f>($J2293-$J2294)*100</f>
        <v/>
      </c>
      <c r="BM2293" s="82">
        <f>($F2293-$F2294)*100</f>
        <v/>
      </c>
      <c r="BN2293" s="82">
        <f>$AF2293-$AF2294</f>
        <v/>
      </c>
      <c r="BO2293" s="82">
        <f>$AG2293-$AG2294</f>
        <v/>
      </c>
      <c r="BP2293" s="82">
        <f>$AJ2293-$AJ2294</f>
        <v/>
      </c>
    </row>
    <row r="2294">
      <c r="AR2294" s="81">
        <f>($G2294+($H2294-$G2294)*0.5)+($P2294-($O2294+($Q2294-$O2294)*0.5))</f>
        <v/>
      </c>
      <c r="AS2294" s="81">
        <f>($J2294+($K2294-$J2294)*0.5)+($T2294-($S2294+($U2294-$S2294)*0.5))</f>
        <v/>
      </c>
      <c r="AT2294" s="82">
        <f>($J2294-$C2294)*100</f>
        <v/>
      </c>
      <c r="AU2294" s="82">
        <f>($H2294-$F2294)*100</f>
        <v/>
      </c>
      <c r="AV2294" s="82">
        <f>($J2294-$F2294)*100</f>
        <v/>
      </c>
      <c r="AW2294" s="82">
        <f>($L2294-$F2294)*100</f>
        <v/>
      </c>
      <c r="AX2294" s="82">
        <f>($J2294-$H2294)*100</f>
        <v/>
      </c>
      <c r="AY2294" s="82">
        <f>($L2294-$H2294)*100</f>
        <v/>
      </c>
      <c r="AZ2294" s="82">
        <f>($L2294-$J2294)*100</f>
        <v/>
      </c>
      <c r="BA2294" s="82">
        <f>(2*$H2294-$F2294-$J2294)*100</f>
        <v/>
      </c>
      <c r="BB2294" s="82">
        <f>(2*$J2294-$H2294-$L2294)*100</f>
        <v/>
      </c>
      <c r="BC2294" s="82">
        <f>($N2294-$F2294)*100</f>
        <v/>
      </c>
      <c r="BD2294" s="82">
        <f>($Q2294-$H2294)*100</f>
        <v/>
      </c>
      <c r="BE2294" s="82">
        <f>($S2294-$J2294)*100</f>
        <v/>
      </c>
      <c r="BF2294" s="82">
        <f>($V2294-$L2294)*100</f>
        <v/>
      </c>
      <c r="BG2294" s="82">
        <f>$AG2294-$AF2294</f>
        <v/>
      </c>
      <c r="BH2294" s="81">
        <f>IFERROR($AG2294/$AF2294,"")</f>
        <v/>
      </c>
      <c r="BI2294" s="82">
        <f>$AJ2294-$AF2294</f>
        <v/>
      </c>
      <c r="BJ2294" s="81">
        <f>IFERROR($AJ2294/$AG2294,"")</f>
        <v/>
      </c>
      <c r="BK2294" s="81">
        <f>$X2294</f>
        <v/>
      </c>
      <c r="BL2294" s="82">
        <f>($J2294-$J2295)*100</f>
        <v/>
      </c>
      <c r="BM2294" s="82">
        <f>($F2294-$F2295)*100</f>
        <v/>
      </c>
      <c r="BN2294" s="82">
        <f>$AF2294-$AF2295</f>
        <v/>
      </c>
      <c r="BO2294" s="82">
        <f>$AG2294-$AG2295</f>
        <v/>
      </c>
      <c r="BP2294" s="82">
        <f>$AJ2294-$AJ2295</f>
        <v/>
      </c>
    </row>
    <row r="2295">
      <c r="AR2295" s="81">
        <f>($G2295+($H2295-$G2295)*0.5)+($P2295-($O2295+($Q2295-$O2295)*0.5))</f>
        <v/>
      </c>
      <c r="AS2295" s="81">
        <f>($J2295+($K2295-$J2295)*0.5)+($T2295-($S2295+($U2295-$S2295)*0.5))</f>
        <v/>
      </c>
      <c r="AT2295" s="82">
        <f>($J2295-$C2295)*100</f>
        <v/>
      </c>
      <c r="AU2295" s="82">
        <f>($H2295-$F2295)*100</f>
        <v/>
      </c>
      <c r="AV2295" s="82">
        <f>($J2295-$F2295)*100</f>
        <v/>
      </c>
      <c r="AW2295" s="82">
        <f>($L2295-$F2295)*100</f>
        <v/>
      </c>
      <c r="AX2295" s="82">
        <f>($J2295-$H2295)*100</f>
        <v/>
      </c>
      <c r="AY2295" s="82">
        <f>($L2295-$H2295)*100</f>
        <v/>
      </c>
      <c r="AZ2295" s="82">
        <f>($L2295-$J2295)*100</f>
        <v/>
      </c>
      <c r="BA2295" s="82">
        <f>(2*$H2295-$F2295-$J2295)*100</f>
        <v/>
      </c>
      <c r="BB2295" s="82">
        <f>(2*$J2295-$H2295-$L2295)*100</f>
        <v/>
      </c>
      <c r="BC2295" s="82">
        <f>($N2295-$F2295)*100</f>
        <v/>
      </c>
      <c r="BD2295" s="82">
        <f>($Q2295-$H2295)*100</f>
        <v/>
      </c>
      <c r="BE2295" s="82">
        <f>($S2295-$J2295)*100</f>
        <v/>
      </c>
      <c r="BF2295" s="82">
        <f>($V2295-$L2295)*100</f>
        <v/>
      </c>
      <c r="BG2295" s="82">
        <f>$AG2295-$AF2295</f>
        <v/>
      </c>
      <c r="BH2295" s="81">
        <f>IFERROR($AG2295/$AF2295,"")</f>
        <v/>
      </c>
      <c r="BI2295" s="82">
        <f>$AJ2295-$AF2295</f>
        <v/>
      </c>
      <c r="BJ2295" s="81">
        <f>IFERROR($AJ2295/$AG2295,"")</f>
        <v/>
      </c>
      <c r="BK2295" s="81">
        <f>$X2295</f>
        <v/>
      </c>
      <c r="BL2295" s="82">
        <f>($J2295-$J2296)*100</f>
        <v/>
      </c>
      <c r="BM2295" s="82">
        <f>($F2295-$F2296)*100</f>
        <v/>
      </c>
      <c r="BN2295" s="82">
        <f>$AF2295-$AF2296</f>
        <v/>
      </c>
      <c r="BO2295" s="82">
        <f>$AG2295-$AG2296</f>
        <v/>
      </c>
      <c r="BP2295" s="82">
        <f>$AJ2295-$AJ2296</f>
        <v/>
      </c>
    </row>
    <row r="2296">
      <c r="AR2296" s="81">
        <f>($G2296+($H2296-$G2296)*0.5)+($P2296-($O2296+($Q2296-$O2296)*0.5))</f>
        <v/>
      </c>
      <c r="AS2296" s="81">
        <f>($J2296+($K2296-$J2296)*0.5)+($T2296-($S2296+($U2296-$S2296)*0.5))</f>
        <v/>
      </c>
      <c r="AT2296" s="82">
        <f>($J2296-$C2296)*100</f>
        <v/>
      </c>
      <c r="AU2296" s="82">
        <f>($H2296-$F2296)*100</f>
        <v/>
      </c>
      <c r="AV2296" s="82">
        <f>($J2296-$F2296)*100</f>
        <v/>
      </c>
      <c r="AW2296" s="82">
        <f>($L2296-$F2296)*100</f>
        <v/>
      </c>
      <c r="AX2296" s="82">
        <f>($J2296-$H2296)*100</f>
        <v/>
      </c>
      <c r="AY2296" s="82">
        <f>($L2296-$H2296)*100</f>
        <v/>
      </c>
      <c r="AZ2296" s="82">
        <f>($L2296-$J2296)*100</f>
        <v/>
      </c>
      <c r="BA2296" s="82">
        <f>(2*$H2296-$F2296-$J2296)*100</f>
        <v/>
      </c>
      <c r="BB2296" s="82">
        <f>(2*$J2296-$H2296-$L2296)*100</f>
        <v/>
      </c>
      <c r="BC2296" s="82">
        <f>($N2296-$F2296)*100</f>
        <v/>
      </c>
      <c r="BD2296" s="82">
        <f>($Q2296-$H2296)*100</f>
        <v/>
      </c>
      <c r="BE2296" s="82">
        <f>($S2296-$J2296)*100</f>
        <v/>
      </c>
      <c r="BF2296" s="82">
        <f>($V2296-$L2296)*100</f>
        <v/>
      </c>
      <c r="BG2296" s="82">
        <f>$AG2296-$AF2296</f>
        <v/>
      </c>
      <c r="BH2296" s="81">
        <f>IFERROR($AG2296/$AF2296,"")</f>
        <v/>
      </c>
      <c r="BI2296" s="82">
        <f>$AJ2296-$AF2296</f>
        <v/>
      </c>
      <c r="BJ2296" s="81">
        <f>IFERROR($AJ2296/$AG2296,"")</f>
        <v/>
      </c>
      <c r="BK2296" s="81">
        <f>$X2296</f>
        <v/>
      </c>
      <c r="BL2296" s="82">
        <f>($J2296-$J2297)*100</f>
        <v/>
      </c>
      <c r="BM2296" s="82">
        <f>($F2296-$F2297)*100</f>
        <v/>
      </c>
      <c r="BN2296" s="82">
        <f>$AF2296-$AF2297</f>
        <v/>
      </c>
      <c r="BO2296" s="82">
        <f>$AG2296-$AG2297</f>
        <v/>
      </c>
      <c r="BP2296" s="82">
        <f>$AJ2296-$AJ2297</f>
        <v/>
      </c>
    </row>
    <row r="2297">
      <c r="AR2297" s="81">
        <f>($G2297+($H2297-$G2297)*0.5)+($P2297-($O2297+($Q2297-$O2297)*0.5))</f>
        <v/>
      </c>
      <c r="AS2297" s="81">
        <f>($J2297+($K2297-$J2297)*0.5)+($T2297-($S2297+($U2297-$S2297)*0.5))</f>
        <v/>
      </c>
      <c r="AT2297" s="82">
        <f>($J2297-$C2297)*100</f>
        <v/>
      </c>
      <c r="AU2297" s="82">
        <f>($H2297-$F2297)*100</f>
        <v/>
      </c>
      <c r="AV2297" s="82">
        <f>($J2297-$F2297)*100</f>
        <v/>
      </c>
      <c r="AW2297" s="82">
        <f>($L2297-$F2297)*100</f>
        <v/>
      </c>
      <c r="AX2297" s="82">
        <f>($J2297-$H2297)*100</f>
        <v/>
      </c>
      <c r="AY2297" s="82">
        <f>($L2297-$H2297)*100</f>
        <v/>
      </c>
      <c r="AZ2297" s="82">
        <f>($L2297-$J2297)*100</f>
        <v/>
      </c>
      <c r="BA2297" s="82">
        <f>(2*$H2297-$F2297-$J2297)*100</f>
        <v/>
      </c>
      <c r="BB2297" s="82">
        <f>(2*$J2297-$H2297-$L2297)*100</f>
        <v/>
      </c>
      <c r="BC2297" s="82">
        <f>($N2297-$F2297)*100</f>
        <v/>
      </c>
      <c r="BD2297" s="82">
        <f>($Q2297-$H2297)*100</f>
        <v/>
      </c>
      <c r="BE2297" s="82">
        <f>($S2297-$J2297)*100</f>
        <v/>
      </c>
      <c r="BF2297" s="82">
        <f>($V2297-$L2297)*100</f>
        <v/>
      </c>
      <c r="BG2297" s="82">
        <f>$AG2297-$AF2297</f>
        <v/>
      </c>
      <c r="BH2297" s="81">
        <f>IFERROR($AG2297/$AF2297,"")</f>
        <v/>
      </c>
      <c r="BI2297" s="82">
        <f>$AJ2297-$AF2297</f>
        <v/>
      </c>
      <c r="BJ2297" s="81">
        <f>IFERROR($AJ2297/$AG2297,"")</f>
        <v/>
      </c>
      <c r="BK2297" s="81">
        <f>$X2297</f>
        <v/>
      </c>
      <c r="BL2297" s="82">
        <f>($J2297-$J2298)*100</f>
        <v/>
      </c>
      <c r="BM2297" s="82">
        <f>($F2297-$F2298)*100</f>
        <v/>
      </c>
      <c r="BN2297" s="82">
        <f>$AF2297-$AF2298</f>
        <v/>
      </c>
      <c r="BO2297" s="82">
        <f>$AG2297-$AG2298</f>
        <v/>
      </c>
      <c r="BP2297" s="82">
        <f>$AJ2297-$AJ2298</f>
        <v/>
      </c>
    </row>
    <row r="2298">
      <c r="AR2298" s="81">
        <f>($G2298+($H2298-$G2298)*0.5)+($P2298-($O2298+($Q2298-$O2298)*0.5))</f>
        <v/>
      </c>
      <c r="AS2298" s="81">
        <f>($J2298+($K2298-$J2298)*0.5)+($T2298-($S2298+($U2298-$S2298)*0.5))</f>
        <v/>
      </c>
      <c r="AT2298" s="82">
        <f>($J2298-$C2298)*100</f>
        <v/>
      </c>
      <c r="AU2298" s="82">
        <f>($H2298-$F2298)*100</f>
        <v/>
      </c>
      <c r="AV2298" s="82">
        <f>($J2298-$F2298)*100</f>
        <v/>
      </c>
      <c r="AW2298" s="82">
        <f>($L2298-$F2298)*100</f>
        <v/>
      </c>
      <c r="AX2298" s="82">
        <f>($J2298-$H2298)*100</f>
        <v/>
      </c>
      <c r="AY2298" s="82">
        <f>($L2298-$H2298)*100</f>
        <v/>
      </c>
      <c r="AZ2298" s="82">
        <f>($L2298-$J2298)*100</f>
        <v/>
      </c>
      <c r="BA2298" s="82">
        <f>(2*$H2298-$F2298-$J2298)*100</f>
        <v/>
      </c>
      <c r="BB2298" s="82">
        <f>(2*$J2298-$H2298-$L2298)*100</f>
        <v/>
      </c>
      <c r="BC2298" s="82">
        <f>($N2298-$F2298)*100</f>
        <v/>
      </c>
      <c r="BD2298" s="82">
        <f>($Q2298-$H2298)*100</f>
        <v/>
      </c>
      <c r="BE2298" s="82">
        <f>($S2298-$J2298)*100</f>
        <v/>
      </c>
      <c r="BF2298" s="82">
        <f>($V2298-$L2298)*100</f>
        <v/>
      </c>
      <c r="BG2298" s="82">
        <f>$AG2298-$AF2298</f>
        <v/>
      </c>
      <c r="BH2298" s="81">
        <f>IFERROR($AG2298/$AF2298,"")</f>
        <v/>
      </c>
      <c r="BI2298" s="82">
        <f>$AJ2298-$AF2298</f>
        <v/>
      </c>
      <c r="BJ2298" s="81">
        <f>IFERROR($AJ2298/$AG2298,"")</f>
        <v/>
      </c>
      <c r="BK2298" s="81">
        <f>$X2298</f>
        <v/>
      </c>
      <c r="BL2298" s="82">
        <f>($J2298-$J2299)*100</f>
        <v/>
      </c>
      <c r="BM2298" s="82">
        <f>($F2298-$F2299)*100</f>
        <v/>
      </c>
      <c r="BN2298" s="82">
        <f>$AF2298-$AF2299</f>
        <v/>
      </c>
      <c r="BO2298" s="82">
        <f>$AG2298-$AG2299</f>
        <v/>
      </c>
      <c r="BP2298" s="82">
        <f>$AJ2298-$AJ2299</f>
        <v/>
      </c>
    </row>
    <row r="2299">
      <c r="AR2299" s="81">
        <f>($G2299+($H2299-$G2299)*0.5)+($P2299-($O2299+($Q2299-$O2299)*0.5))</f>
        <v/>
      </c>
      <c r="AS2299" s="81">
        <f>($J2299+($K2299-$J2299)*0.5)+($T2299-($S2299+($U2299-$S2299)*0.5))</f>
        <v/>
      </c>
      <c r="AT2299" s="82">
        <f>($J2299-$C2299)*100</f>
        <v/>
      </c>
      <c r="AU2299" s="82">
        <f>($H2299-$F2299)*100</f>
        <v/>
      </c>
      <c r="AV2299" s="82">
        <f>($J2299-$F2299)*100</f>
        <v/>
      </c>
      <c r="AW2299" s="82">
        <f>($L2299-$F2299)*100</f>
        <v/>
      </c>
      <c r="AX2299" s="82">
        <f>($J2299-$H2299)*100</f>
        <v/>
      </c>
      <c r="AY2299" s="82">
        <f>($L2299-$H2299)*100</f>
        <v/>
      </c>
      <c r="AZ2299" s="82">
        <f>($L2299-$J2299)*100</f>
        <v/>
      </c>
      <c r="BA2299" s="82">
        <f>(2*$H2299-$F2299-$J2299)*100</f>
        <v/>
      </c>
      <c r="BB2299" s="82">
        <f>(2*$J2299-$H2299-$L2299)*100</f>
        <v/>
      </c>
      <c r="BC2299" s="82">
        <f>($N2299-$F2299)*100</f>
        <v/>
      </c>
      <c r="BD2299" s="82">
        <f>($Q2299-$H2299)*100</f>
        <v/>
      </c>
      <c r="BE2299" s="82">
        <f>($S2299-$J2299)*100</f>
        <v/>
      </c>
      <c r="BF2299" s="82">
        <f>($V2299-$L2299)*100</f>
        <v/>
      </c>
      <c r="BG2299" s="82">
        <f>$AG2299-$AF2299</f>
        <v/>
      </c>
      <c r="BH2299" s="81">
        <f>IFERROR($AG2299/$AF2299,"")</f>
        <v/>
      </c>
      <c r="BI2299" s="82">
        <f>$AJ2299-$AF2299</f>
        <v/>
      </c>
      <c r="BJ2299" s="81">
        <f>IFERROR($AJ2299/$AG2299,"")</f>
        <v/>
      </c>
      <c r="BK2299" s="81">
        <f>$X2299</f>
        <v/>
      </c>
      <c r="BL2299" s="82">
        <f>($J2299-$J2300)*100</f>
        <v/>
      </c>
      <c r="BM2299" s="82">
        <f>($F2299-$F2300)*100</f>
        <v/>
      </c>
      <c r="BN2299" s="82">
        <f>$AF2299-$AF2300</f>
        <v/>
      </c>
      <c r="BO2299" s="82">
        <f>$AG2299-$AG2300</f>
        <v/>
      </c>
      <c r="BP2299" s="82">
        <f>$AJ2299-$AJ2300</f>
        <v/>
      </c>
    </row>
    <row r="2300">
      <c r="AR2300" s="81">
        <f>($G2300+($H2300-$G2300)*0.5)+($P2300-($O2300+($Q2300-$O2300)*0.5))</f>
        <v/>
      </c>
      <c r="AS2300" s="81">
        <f>($J2300+($K2300-$J2300)*0.5)+($T2300-($S2300+($U2300-$S2300)*0.5))</f>
        <v/>
      </c>
      <c r="AT2300" s="82">
        <f>($J2300-$C2300)*100</f>
        <v/>
      </c>
      <c r="AU2300" s="82">
        <f>($H2300-$F2300)*100</f>
        <v/>
      </c>
      <c r="AV2300" s="82">
        <f>($J2300-$F2300)*100</f>
        <v/>
      </c>
      <c r="AW2300" s="82">
        <f>($L2300-$F2300)*100</f>
        <v/>
      </c>
      <c r="AX2300" s="82">
        <f>($J2300-$H2300)*100</f>
        <v/>
      </c>
      <c r="AY2300" s="82">
        <f>($L2300-$H2300)*100</f>
        <v/>
      </c>
      <c r="AZ2300" s="82">
        <f>($L2300-$J2300)*100</f>
        <v/>
      </c>
      <c r="BA2300" s="82">
        <f>(2*$H2300-$F2300-$J2300)*100</f>
        <v/>
      </c>
      <c r="BB2300" s="82">
        <f>(2*$J2300-$H2300-$L2300)*100</f>
        <v/>
      </c>
      <c r="BC2300" s="82">
        <f>($N2300-$F2300)*100</f>
        <v/>
      </c>
      <c r="BD2300" s="82">
        <f>($Q2300-$H2300)*100</f>
        <v/>
      </c>
      <c r="BE2300" s="82">
        <f>($S2300-$J2300)*100</f>
        <v/>
      </c>
      <c r="BF2300" s="82">
        <f>($V2300-$L2300)*100</f>
        <v/>
      </c>
      <c r="BG2300" s="82">
        <f>$AG2300-$AF2300</f>
        <v/>
      </c>
      <c r="BH2300" s="81">
        <f>IFERROR($AG2300/$AF2300,"")</f>
        <v/>
      </c>
      <c r="BI2300" s="82">
        <f>$AJ2300-$AF2300</f>
        <v/>
      </c>
      <c r="BJ2300" s="81">
        <f>IFERROR($AJ2300/$AG2300,"")</f>
        <v/>
      </c>
      <c r="BK2300" s="81">
        <f>$X2300</f>
        <v/>
      </c>
      <c r="BL2300" s="82">
        <f>($J2300-$J2301)*100</f>
        <v/>
      </c>
      <c r="BM2300" s="82">
        <f>($F2300-$F2301)*100</f>
        <v/>
      </c>
      <c r="BN2300" s="82">
        <f>$AF2300-$AF2301</f>
        <v/>
      </c>
      <c r="BO2300" s="82">
        <f>$AG2300-$AG2301</f>
        <v/>
      </c>
      <c r="BP2300" s="82">
        <f>$AJ2300-$AJ2301</f>
        <v/>
      </c>
    </row>
    <row r="2301">
      <c r="AR2301" s="81">
        <f>($G2301+($H2301-$G2301)*0.5)+($P2301-($O2301+($Q2301-$O2301)*0.5))</f>
        <v/>
      </c>
      <c r="AS2301" s="81">
        <f>($J2301+($K2301-$J2301)*0.5)+($T2301-($S2301+($U2301-$S2301)*0.5))</f>
        <v/>
      </c>
      <c r="AT2301" s="82">
        <f>($J2301-$C2301)*100</f>
        <v/>
      </c>
      <c r="AU2301" s="82">
        <f>($H2301-$F2301)*100</f>
        <v/>
      </c>
      <c r="AV2301" s="82">
        <f>($J2301-$F2301)*100</f>
        <v/>
      </c>
      <c r="AW2301" s="82">
        <f>($L2301-$F2301)*100</f>
        <v/>
      </c>
      <c r="AX2301" s="82">
        <f>($J2301-$H2301)*100</f>
        <v/>
      </c>
      <c r="AY2301" s="82">
        <f>($L2301-$H2301)*100</f>
        <v/>
      </c>
      <c r="AZ2301" s="82">
        <f>($L2301-$J2301)*100</f>
        <v/>
      </c>
      <c r="BA2301" s="82">
        <f>(2*$H2301-$F2301-$J2301)*100</f>
        <v/>
      </c>
      <c r="BB2301" s="82">
        <f>(2*$J2301-$H2301-$L2301)*100</f>
        <v/>
      </c>
      <c r="BC2301" s="82">
        <f>($N2301-$F2301)*100</f>
        <v/>
      </c>
      <c r="BD2301" s="82">
        <f>($Q2301-$H2301)*100</f>
        <v/>
      </c>
      <c r="BE2301" s="82">
        <f>($S2301-$J2301)*100</f>
        <v/>
      </c>
      <c r="BF2301" s="82">
        <f>($V2301-$L2301)*100</f>
        <v/>
      </c>
      <c r="BG2301" s="82">
        <f>$AG2301-$AF2301</f>
        <v/>
      </c>
      <c r="BH2301" s="81">
        <f>IFERROR($AG2301/$AF2301,"")</f>
        <v/>
      </c>
      <c r="BI2301" s="82">
        <f>$AJ2301-$AF2301</f>
        <v/>
      </c>
      <c r="BJ2301" s="81">
        <f>IFERROR($AJ2301/$AG2301,"")</f>
        <v/>
      </c>
      <c r="BK2301" s="81">
        <f>$X2301</f>
        <v/>
      </c>
      <c r="BL2301" s="82">
        <f>($J2301-$J2302)*100</f>
        <v/>
      </c>
      <c r="BM2301" s="82">
        <f>($F2301-$F2302)*100</f>
        <v/>
      </c>
      <c r="BN2301" s="82">
        <f>$AF2301-$AF2302</f>
        <v/>
      </c>
      <c r="BO2301" s="82">
        <f>$AG2301-$AG2302</f>
        <v/>
      </c>
      <c r="BP2301" s="82">
        <f>$AJ2301-$AJ2302</f>
        <v/>
      </c>
    </row>
    <row r="2302">
      <c r="AR2302" s="81">
        <f>($G2302+($H2302-$G2302)*0.5)+($P2302-($O2302+($Q2302-$O2302)*0.5))</f>
        <v/>
      </c>
      <c r="AS2302" s="81">
        <f>($J2302+($K2302-$J2302)*0.5)+($T2302-($S2302+($U2302-$S2302)*0.5))</f>
        <v/>
      </c>
      <c r="AT2302" s="82">
        <f>($J2302-$C2302)*100</f>
        <v/>
      </c>
      <c r="AU2302" s="82">
        <f>($H2302-$F2302)*100</f>
        <v/>
      </c>
      <c r="AV2302" s="82">
        <f>($J2302-$F2302)*100</f>
        <v/>
      </c>
      <c r="AW2302" s="82">
        <f>($L2302-$F2302)*100</f>
        <v/>
      </c>
      <c r="AX2302" s="82">
        <f>($J2302-$H2302)*100</f>
        <v/>
      </c>
      <c r="AY2302" s="82">
        <f>($L2302-$H2302)*100</f>
        <v/>
      </c>
      <c r="AZ2302" s="82">
        <f>($L2302-$J2302)*100</f>
        <v/>
      </c>
      <c r="BA2302" s="82">
        <f>(2*$H2302-$F2302-$J2302)*100</f>
        <v/>
      </c>
      <c r="BB2302" s="82">
        <f>(2*$J2302-$H2302-$L2302)*100</f>
        <v/>
      </c>
      <c r="BC2302" s="82">
        <f>($N2302-$F2302)*100</f>
        <v/>
      </c>
      <c r="BD2302" s="82">
        <f>($Q2302-$H2302)*100</f>
        <v/>
      </c>
      <c r="BE2302" s="82">
        <f>($S2302-$J2302)*100</f>
        <v/>
      </c>
      <c r="BF2302" s="82">
        <f>($V2302-$L2302)*100</f>
        <v/>
      </c>
      <c r="BG2302" s="82">
        <f>$AG2302-$AF2302</f>
        <v/>
      </c>
      <c r="BH2302" s="81">
        <f>IFERROR($AG2302/$AF2302,"")</f>
        <v/>
      </c>
      <c r="BI2302" s="82">
        <f>$AJ2302-$AF2302</f>
        <v/>
      </c>
      <c r="BJ2302" s="81">
        <f>IFERROR($AJ2302/$AG2302,"")</f>
        <v/>
      </c>
      <c r="BK2302" s="81">
        <f>$X2302</f>
        <v/>
      </c>
      <c r="BL2302" s="82">
        <f>($J2302-$J2303)*100</f>
        <v/>
      </c>
      <c r="BM2302" s="82">
        <f>($F2302-$F2303)*100</f>
        <v/>
      </c>
      <c r="BN2302" s="82">
        <f>$AF2302-$AF2303</f>
        <v/>
      </c>
      <c r="BO2302" s="82">
        <f>$AG2302-$AG2303</f>
        <v/>
      </c>
      <c r="BP2302" s="82">
        <f>$AJ2302-$AJ2303</f>
        <v/>
      </c>
    </row>
    <row r="2303">
      <c r="AR2303" s="81">
        <f>($G2303+($H2303-$G2303)*0.5)+($P2303-($O2303+($Q2303-$O2303)*0.5))</f>
        <v/>
      </c>
      <c r="AS2303" s="81">
        <f>($J2303+($K2303-$J2303)*0.5)+($T2303-($S2303+($U2303-$S2303)*0.5))</f>
        <v/>
      </c>
      <c r="AT2303" s="82">
        <f>($J2303-$C2303)*100</f>
        <v/>
      </c>
      <c r="AU2303" s="82">
        <f>($H2303-$F2303)*100</f>
        <v/>
      </c>
      <c r="AV2303" s="82">
        <f>($J2303-$F2303)*100</f>
        <v/>
      </c>
      <c r="AW2303" s="82">
        <f>($L2303-$F2303)*100</f>
        <v/>
      </c>
      <c r="AX2303" s="82">
        <f>($J2303-$H2303)*100</f>
        <v/>
      </c>
      <c r="AY2303" s="82">
        <f>($L2303-$H2303)*100</f>
        <v/>
      </c>
      <c r="AZ2303" s="82">
        <f>($L2303-$J2303)*100</f>
        <v/>
      </c>
      <c r="BA2303" s="82">
        <f>(2*$H2303-$F2303-$J2303)*100</f>
        <v/>
      </c>
      <c r="BB2303" s="82">
        <f>(2*$J2303-$H2303-$L2303)*100</f>
        <v/>
      </c>
      <c r="BC2303" s="82">
        <f>($N2303-$F2303)*100</f>
        <v/>
      </c>
      <c r="BD2303" s="82">
        <f>($Q2303-$H2303)*100</f>
        <v/>
      </c>
      <c r="BE2303" s="82">
        <f>($S2303-$J2303)*100</f>
        <v/>
      </c>
      <c r="BF2303" s="82">
        <f>($V2303-$L2303)*100</f>
        <v/>
      </c>
      <c r="BG2303" s="82">
        <f>$AG2303-$AF2303</f>
        <v/>
      </c>
      <c r="BH2303" s="81">
        <f>IFERROR($AG2303/$AF2303,"")</f>
        <v/>
      </c>
      <c r="BI2303" s="82">
        <f>$AJ2303-$AF2303</f>
        <v/>
      </c>
      <c r="BJ2303" s="81">
        <f>IFERROR($AJ2303/$AG2303,"")</f>
        <v/>
      </c>
      <c r="BK2303" s="81">
        <f>$X2303</f>
        <v/>
      </c>
      <c r="BL2303" s="82">
        <f>($J2303-$J2304)*100</f>
        <v/>
      </c>
      <c r="BM2303" s="82">
        <f>($F2303-$F2304)*100</f>
        <v/>
      </c>
      <c r="BN2303" s="82">
        <f>$AF2303-$AF2304</f>
        <v/>
      </c>
      <c r="BO2303" s="82">
        <f>$AG2303-$AG2304</f>
        <v/>
      </c>
      <c r="BP2303" s="82">
        <f>$AJ2303-$AJ2304</f>
        <v/>
      </c>
    </row>
    <row r="2304">
      <c r="AR2304" s="81">
        <f>($G2304+($H2304-$G2304)*0.5)+($P2304-($O2304+($Q2304-$O2304)*0.5))</f>
        <v/>
      </c>
      <c r="AS2304" s="81">
        <f>($J2304+($K2304-$J2304)*0.5)+($T2304-($S2304+($U2304-$S2304)*0.5))</f>
        <v/>
      </c>
      <c r="AT2304" s="82">
        <f>($J2304-$C2304)*100</f>
        <v/>
      </c>
      <c r="AU2304" s="82">
        <f>($H2304-$F2304)*100</f>
        <v/>
      </c>
      <c r="AV2304" s="82">
        <f>($J2304-$F2304)*100</f>
        <v/>
      </c>
      <c r="AW2304" s="82">
        <f>($L2304-$F2304)*100</f>
        <v/>
      </c>
      <c r="AX2304" s="82">
        <f>($J2304-$H2304)*100</f>
        <v/>
      </c>
      <c r="AY2304" s="82">
        <f>($L2304-$H2304)*100</f>
        <v/>
      </c>
      <c r="AZ2304" s="82">
        <f>($L2304-$J2304)*100</f>
        <v/>
      </c>
      <c r="BA2304" s="82">
        <f>(2*$H2304-$F2304-$J2304)*100</f>
        <v/>
      </c>
      <c r="BB2304" s="82">
        <f>(2*$J2304-$H2304-$L2304)*100</f>
        <v/>
      </c>
      <c r="BC2304" s="82">
        <f>($N2304-$F2304)*100</f>
        <v/>
      </c>
      <c r="BD2304" s="82">
        <f>($Q2304-$H2304)*100</f>
        <v/>
      </c>
      <c r="BE2304" s="82">
        <f>($S2304-$J2304)*100</f>
        <v/>
      </c>
      <c r="BF2304" s="82">
        <f>($V2304-$L2304)*100</f>
        <v/>
      </c>
      <c r="BG2304" s="82">
        <f>$AG2304-$AF2304</f>
        <v/>
      </c>
      <c r="BH2304" s="81">
        <f>IFERROR($AG2304/$AF2304,"")</f>
        <v/>
      </c>
      <c r="BI2304" s="82">
        <f>$AJ2304-$AF2304</f>
        <v/>
      </c>
      <c r="BJ2304" s="81">
        <f>IFERROR($AJ2304/$AG2304,"")</f>
        <v/>
      </c>
      <c r="BK2304" s="81">
        <f>$X2304</f>
        <v/>
      </c>
      <c r="BL2304" s="82">
        <f>($J2304-$J2305)*100</f>
        <v/>
      </c>
      <c r="BM2304" s="82">
        <f>($F2304-$F2305)*100</f>
        <v/>
      </c>
      <c r="BN2304" s="82">
        <f>$AF2304-$AF2305</f>
        <v/>
      </c>
      <c r="BO2304" s="82">
        <f>$AG2304-$AG2305</f>
        <v/>
      </c>
      <c r="BP2304" s="82">
        <f>$AJ2304-$AJ2305</f>
        <v/>
      </c>
    </row>
    <row r="2305">
      <c r="AR2305" s="81">
        <f>($G2305+($H2305-$G2305)*0.5)+($P2305-($O2305+($Q2305-$O2305)*0.5))</f>
        <v/>
      </c>
      <c r="AS2305" s="81">
        <f>($J2305+($K2305-$J2305)*0.5)+($T2305-($S2305+($U2305-$S2305)*0.5))</f>
        <v/>
      </c>
      <c r="AT2305" s="82">
        <f>($J2305-$C2305)*100</f>
        <v/>
      </c>
      <c r="AU2305" s="82">
        <f>($H2305-$F2305)*100</f>
        <v/>
      </c>
      <c r="AV2305" s="82">
        <f>($J2305-$F2305)*100</f>
        <v/>
      </c>
      <c r="AW2305" s="82">
        <f>($L2305-$F2305)*100</f>
        <v/>
      </c>
      <c r="AX2305" s="82">
        <f>($J2305-$H2305)*100</f>
        <v/>
      </c>
      <c r="AY2305" s="82">
        <f>($L2305-$H2305)*100</f>
        <v/>
      </c>
      <c r="AZ2305" s="82">
        <f>($L2305-$J2305)*100</f>
        <v/>
      </c>
      <c r="BA2305" s="82">
        <f>(2*$H2305-$F2305-$J2305)*100</f>
        <v/>
      </c>
      <c r="BB2305" s="82">
        <f>(2*$J2305-$H2305-$L2305)*100</f>
        <v/>
      </c>
      <c r="BC2305" s="82">
        <f>($N2305-$F2305)*100</f>
        <v/>
      </c>
      <c r="BD2305" s="82">
        <f>($Q2305-$H2305)*100</f>
        <v/>
      </c>
      <c r="BE2305" s="82">
        <f>($S2305-$J2305)*100</f>
        <v/>
      </c>
      <c r="BF2305" s="82">
        <f>($V2305-$L2305)*100</f>
        <v/>
      </c>
      <c r="BG2305" s="82">
        <f>$AG2305-$AF2305</f>
        <v/>
      </c>
      <c r="BH2305" s="81">
        <f>IFERROR($AG2305/$AF2305,"")</f>
        <v/>
      </c>
      <c r="BI2305" s="82">
        <f>$AJ2305-$AF2305</f>
        <v/>
      </c>
      <c r="BJ2305" s="81">
        <f>IFERROR($AJ2305/$AG2305,"")</f>
        <v/>
      </c>
      <c r="BK2305" s="81">
        <f>$X2305</f>
        <v/>
      </c>
      <c r="BL2305" s="82">
        <f>($J2305-$J2306)*100</f>
        <v/>
      </c>
      <c r="BM2305" s="82">
        <f>($F2305-$F2306)*100</f>
        <v/>
      </c>
      <c r="BN2305" s="82">
        <f>$AF2305-$AF2306</f>
        <v/>
      </c>
      <c r="BO2305" s="82">
        <f>$AG2305-$AG2306</f>
        <v/>
      </c>
      <c r="BP2305" s="82">
        <f>$AJ2305-$AJ2306</f>
        <v/>
      </c>
    </row>
    <row r="2306">
      <c r="AR2306" s="81">
        <f>($G2306+($H2306-$G2306)*0.5)+($P2306-($O2306+($Q2306-$O2306)*0.5))</f>
        <v/>
      </c>
      <c r="AS2306" s="81">
        <f>($J2306+($K2306-$J2306)*0.5)+($T2306-($S2306+($U2306-$S2306)*0.5))</f>
        <v/>
      </c>
      <c r="AT2306" s="82">
        <f>($J2306-$C2306)*100</f>
        <v/>
      </c>
      <c r="AU2306" s="82">
        <f>($H2306-$F2306)*100</f>
        <v/>
      </c>
      <c r="AV2306" s="82">
        <f>($J2306-$F2306)*100</f>
        <v/>
      </c>
      <c r="AW2306" s="82">
        <f>($L2306-$F2306)*100</f>
        <v/>
      </c>
      <c r="AX2306" s="82">
        <f>($J2306-$H2306)*100</f>
        <v/>
      </c>
      <c r="AY2306" s="82">
        <f>($L2306-$H2306)*100</f>
        <v/>
      </c>
      <c r="AZ2306" s="82">
        <f>($L2306-$J2306)*100</f>
        <v/>
      </c>
      <c r="BA2306" s="82">
        <f>(2*$H2306-$F2306-$J2306)*100</f>
        <v/>
      </c>
      <c r="BB2306" s="82">
        <f>(2*$J2306-$H2306-$L2306)*100</f>
        <v/>
      </c>
      <c r="BC2306" s="82">
        <f>($N2306-$F2306)*100</f>
        <v/>
      </c>
      <c r="BD2306" s="82">
        <f>($Q2306-$H2306)*100</f>
        <v/>
      </c>
      <c r="BE2306" s="82">
        <f>($S2306-$J2306)*100</f>
        <v/>
      </c>
      <c r="BF2306" s="82">
        <f>($V2306-$L2306)*100</f>
        <v/>
      </c>
      <c r="BG2306" s="82">
        <f>$AG2306-$AF2306</f>
        <v/>
      </c>
      <c r="BH2306" s="81">
        <f>IFERROR($AG2306/$AF2306,"")</f>
        <v/>
      </c>
      <c r="BI2306" s="82">
        <f>$AJ2306-$AF2306</f>
        <v/>
      </c>
      <c r="BJ2306" s="81">
        <f>IFERROR($AJ2306/$AG2306,"")</f>
        <v/>
      </c>
      <c r="BK2306" s="81">
        <f>$X2306</f>
        <v/>
      </c>
      <c r="BL2306" s="82">
        <f>($J2306-$J2307)*100</f>
        <v/>
      </c>
      <c r="BM2306" s="82">
        <f>($F2306-$F2307)*100</f>
        <v/>
      </c>
      <c r="BN2306" s="82">
        <f>$AF2306-$AF2307</f>
        <v/>
      </c>
      <c r="BO2306" s="82">
        <f>$AG2306-$AG2307</f>
        <v/>
      </c>
      <c r="BP2306" s="82">
        <f>$AJ2306-$AJ2307</f>
        <v/>
      </c>
    </row>
    <row r="2307">
      <c r="AR2307" s="81">
        <f>($G2307+($H2307-$G2307)*0.5)+($P2307-($O2307+($Q2307-$O2307)*0.5))</f>
        <v/>
      </c>
      <c r="AS2307" s="81">
        <f>($J2307+($K2307-$J2307)*0.5)+($T2307-($S2307+($U2307-$S2307)*0.5))</f>
        <v/>
      </c>
      <c r="AT2307" s="82">
        <f>($J2307-$C2307)*100</f>
        <v/>
      </c>
      <c r="AU2307" s="82">
        <f>($H2307-$F2307)*100</f>
        <v/>
      </c>
      <c r="AV2307" s="82">
        <f>($J2307-$F2307)*100</f>
        <v/>
      </c>
      <c r="AW2307" s="82">
        <f>($L2307-$F2307)*100</f>
        <v/>
      </c>
      <c r="AX2307" s="82">
        <f>($J2307-$H2307)*100</f>
        <v/>
      </c>
      <c r="AY2307" s="82">
        <f>($L2307-$H2307)*100</f>
        <v/>
      </c>
      <c r="AZ2307" s="82">
        <f>($L2307-$J2307)*100</f>
        <v/>
      </c>
      <c r="BA2307" s="82">
        <f>(2*$H2307-$F2307-$J2307)*100</f>
        <v/>
      </c>
      <c r="BB2307" s="82">
        <f>(2*$J2307-$H2307-$L2307)*100</f>
        <v/>
      </c>
      <c r="BC2307" s="82">
        <f>($N2307-$F2307)*100</f>
        <v/>
      </c>
      <c r="BD2307" s="82">
        <f>($Q2307-$H2307)*100</f>
        <v/>
      </c>
      <c r="BE2307" s="82">
        <f>($S2307-$J2307)*100</f>
        <v/>
      </c>
      <c r="BF2307" s="82">
        <f>($V2307-$L2307)*100</f>
        <v/>
      </c>
      <c r="BG2307" s="82">
        <f>$AG2307-$AF2307</f>
        <v/>
      </c>
      <c r="BH2307" s="81">
        <f>IFERROR($AG2307/$AF2307,"")</f>
        <v/>
      </c>
      <c r="BI2307" s="82">
        <f>$AJ2307-$AF2307</f>
        <v/>
      </c>
      <c r="BJ2307" s="81">
        <f>IFERROR($AJ2307/$AG2307,"")</f>
        <v/>
      </c>
      <c r="BK2307" s="81">
        <f>$X2307</f>
        <v/>
      </c>
      <c r="BL2307" s="82">
        <f>($J2307-$J2308)*100</f>
        <v/>
      </c>
      <c r="BM2307" s="82">
        <f>($F2307-$F2308)*100</f>
        <v/>
      </c>
      <c r="BN2307" s="82">
        <f>$AF2307-$AF2308</f>
        <v/>
      </c>
      <c r="BO2307" s="82">
        <f>$AG2307-$AG2308</f>
        <v/>
      </c>
      <c r="BP2307" s="82">
        <f>$AJ2307-$AJ2308</f>
        <v/>
      </c>
    </row>
    <row r="2308">
      <c r="AR2308" s="81">
        <f>($G2308+($H2308-$G2308)*0.5)+($P2308-($O2308+($Q2308-$O2308)*0.5))</f>
        <v/>
      </c>
      <c r="AS2308" s="81">
        <f>($J2308+($K2308-$J2308)*0.5)+($T2308-($S2308+($U2308-$S2308)*0.5))</f>
        <v/>
      </c>
      <c r="AT2308" s="82">
        <f>($J2308-$C2308)*100</f>
        <v/>
      </c>
      <c r="AU2308" s="82">
        <f>($H2308-$F2308)*100</f>
        <v/>
      </c>
      <c r="AV2308" s="82">
        <f>($J2308-$F2308)*100</f>
        <v/>
      </c>
      <c r="AW2308" s="82">
        <f>($L2308-$F2308)*100</f>
        <v/>
      </c>
      <c r="AX2308" s="82">
        <f>($J2308-$H2308)*100</f>
        <v/>
      </c>
      <c r="AY2308" s="82">
        <f>($L2308-$H2308)*100</f>
        <v/>
      </c>
      <c r="AZ2308" s="82">
        <f>($L2308-$J2308)*100</f>
        <v/>
      </c>
      <c r="BA2308" s="82">
        <f>(2*$H2308-$F2308-$J2308)*100</f>
        <v/>
      </c>
      <c r="BB2308" s="82">
        <f>(2*$J2308-$H2308-$L2308)*100</f>
        <v/>
      </c>
      <c r="BC2308" s="82">
        <f>($N2308-$F2308)*100</f>
        <v/>
      </c>
      <c r="BD2308" s="82">
        <f>($Q2308-$H2308)*100</f>
        <v/>
      </c>
      <c r="BE2308" s="82">
        <f>($S2308-$J2308)*100</f>
        <v/>
      </c>
      <c r="BF2308" s="82">
        <f>($V2308-$L2308)*100</f>
        <v/>
      </c>
      <c r="BG2308" s="82">
        <f>$AG2308-$AF2308</f>
        <v/>
      </c>
      <c r="BH2308" s="81">
        <f>IFERROR($AG2308/$AF2308,"")</f>
        <v/>
      </c>
      <c r="BI2308" s="82">
        <f>$AJ2308-$AF2308</f>
        <v/>
      </c>
      <c r="BJ2308" s="81">
        <f>IFERROR($AJ2308/$AG2308,"")</f>
        <v/>
      </c>
      <c r="BK2308" s="81">
        <f>$X2308</f>
        <v/>
      </c>
      <c r="BL2308" s="82">
        <f>($J2308-$J2309)*100</f>
        <v/>
      </c>
      <c r="BM2308" s="82">
        <f>($F2308-$F2309)*100</f>
        <v/>
      </c>
      <c r="BN2308" s="82">
        <f>$AF2308-$AF2309</f>
        <v/>
      </c>
      <c r="BO2308" s="82">
        <f>$AG2308-$AG2309</f>
        <v/>
      </c>
      <c r="BP2308" s="82">
        <f>$AJ2308-$AJ2309</f>
        <v/>
      </c>
    </row>
    <row r="2309">
      <c r="AR2309" s="81">
        <f>($G2309+($H2309-$G2309)*0.5)+($P2309-($O2309+($Q2309-$O2309)*0.5))</f>
        <v/>
      </c>
      <c r="AS2309" s="81">
        <f>($J2309+($K2309-$J2309)*0.5)+($T2309-($S2309+($U2309-$S2309)*0.5))</f>
        <v/>
      </c>
      <c r="AT2309" s="82">
        <f>($J2309-$C2309)*100</f>
        <v/>
      </c>
      <c r="AU2309" s="82">
        <f>($H2309-$F2309)*100</f>
        <v/>
      </c>
      <c r="AV2309" s="82">
        <f>($J2309-$F2309)*100</f>
        <v/>
      </c>
      <c r="AW2309" s="82">
        <f>($L2309-$F2309)*100</f>
        <v/>
      </c>
      <c r="AX2309" s="82">
        <f>($J2309-$H2309)*100</f>
        <v/>
      </c>
      <c r="AY2309" s="82">
        <f>($L2309-$H2309)*100</f>
        <v/>
      </c>
      <c r="AZ2309" s="82">
        <f>($L2309-$J2309)*100</f>
        <v/>
      </c>
      <c r="BA2309" s="82">
        <f>(2*$H2309-$F2309-$J2309)*100</f>
        <v/>
      </c>
      <c r="BB2309" s="82">
        <f>(2*$J2309-$H2309-$L2309)*100</f>
        <v/>
      </c>
      <c r="BC2309" s="82">
        <f>($N2309-$F2309)*100</f>
        <v/>
      </c>
      <c r="BD2309" s="82">
        <f>($Q2309-$H2309)*100</f>
        <v/>
      </c>
      <c r="BE2309" s="82">
        <f>($S2309-$J2309)*100</f>
        <v/>
      </c>
      <c r="BF2309" s="82">
        <f>($V2309-$L2309)*100</f>
        <v/>
      </c>
      <c r="BG2309" s="82">
        <f>$AG2309-$AF2309</f>
        <v/>
      </c>
      <c r="BH2309" s="81">
        <f>IFERROR($AG2309/$AF2309,"")</f>
        <v/>
      </c>
      <c r="BI2309" s="82">
        <f>$AJ2309-$AF2309</f>
        <v/>
      </c>
      <c r="BJ2309" s="81">
        <f>IFERROR($AJ2309/$AG2309,"")</f>
        <v/>
      </c>
      <c r="BK2309" s="81">
        <f>$X2309</f>
        <v/>
      </c>
      <c r="BL2309" s="82">
        <f>($J2309-$J2310)*100</f>
        <v/>
      </c>
      <c r="BM2309" s="82">
        <f>($F2309-$F2310)*100</f>
        <v/>
      </c>
      <c r="BN2309" s="82">
        <f>$AF2309-$AF2310</f>
        <v/>
      </c>
      <c r="BO2309" s="82">
        <f>$AG2309-$AG2310</f>
        <v/>
      </c>
      <c r="BP2309" s="82">
        <f>$AJ2309-$AJ2310</f>
        <v/>
      </c>
    </row>
    <row r="2310">
      <c r="AR2310" s="81">
        <f>($G2310+($H2310-$G2310)*0.5)+($P2310-($O2310+($Q2310-$O2310)*0.5))</f>
        <v/>
      </c>
      <c r="AS2310" s="81">
        <f>($J2310+($K2310-$J2310)*0.5)+($T2310-($S2310+($U2310-$S2310)*0.5))</f>
        <v/>
      </c>
      <c r="AT2310" s="82">
        <f>($J2310-$C2310)*100</f>
        <v/>
      </c>
      <c r="AU2310" s="82">
        <f>($H2310-$F2310)*100</f>
        <v/>
      </c>
      <c r="AV2310" s="82">
        <f>($J2310-$F2310)*100</f>
        <v/>
      </c>
      <c r="AW2310" s="82">
        <f>($L2310-$F2310)*100</f>
        <v/>
      </c>
      <c r="AX2310" s="82">
        <f>($J2310-$H2310)*100</f>
        <v/>
      </c>
      <c r="AY2310" s="82">
        <f>($L2310-$H2310)*100</f>
        <v/>
      </c>
      <c r="AZ2310" s="82">
        <f>($L2310-$J2310)*100</f>
        <v/>
      </c>
      <c r="BA2310" s="82">
        <f>(2*$H2310-$F2310-$J2310)*100</f>
        <v/>
      </c>
      <c r="BB2310" s="82">
        <f>(2*$J2310-$H2310-$L2310)*100</f>
        <v/>
      </c>
      <c r="BC2310" s="82">
        <f>($N2310-$F2310)*100</f>
        <v/>
      </c>
      <c r="BD2310" s="82">
        <f>($Q2310-$H2310)*100</f>
        <v/>
      </c>
      <c r="BE2310" s="82">
        <f>($S2310-$J2310)*100</f>
        <v/>
      </c>
      <c r="BF2310" s="82">
        <f>($V2310-$L2310)*100</f>
        <v/>
      </c>
      <c r="BG2310" s="82">
        <f>$AG2310-$AF2310</f>
        <v/>
      </c>
      <c r="BH2310" s="81">
        <f>IFERROR($AG2310/$AF2310,"")</f>
        <v/>
      </c>
      <c r="BI2310" s="82">
        <f>$AJ2310-$AF2310</f>
        <v/>
      </c>
      <c r="BJ2310" s="81">
        <f>IFERROR($AJ2310/$AG2310,"")</f>
        <v/>
      </c>
      <c r="BK2310" s="81">
        <f>$X2310</f>
        <v/>
      </c>
      <c r="BL2310" s="82">
        <f>($J2310-$J2311)*100</f>
        <v/>
      </c>
      <c r="BM2310" s="82">
        <f>($F2310-$F2311)*100</f>
        <v/>
      </c>
      <c r="BN2310" s="82">
        <f>$AF2310-$AF2311</f>
        <v/>
      </c>
      <c r="BO2310" s="82">
        <f>$AG2310-$AG2311</f>
        <v/>
      </c>
      <c r="BP2310" s="82">
        <f>$AJ2310-$AJ2311</f>
        <v/>
      </c>
    </row>
    <row r="2311">
      <c r="AR2311" s="81">
        <f>($G2311+($H2311-$G2311)*0.5)+($P2311-($O2311+($Q2311-$O2311)*0.5))</f>
        <v/>
      </c>
      <c r="AS2311" s="81">
        <f>($J2311+($K2311-$J2311)*0.5)+($T2311-($S2311+($U2311-$S2311)*0.5))</f>
        <v/>
      </c>
      <c r="AT2311" s="82">
        <f>($J2311-$C2311)*100</f>
        <v/>
      </c>
      <c r="AU2311" s="82">
        <f>($H2311-$F2311)*100</f>
        <v/>
      </c>
      <c r="AV2311" s="82">
        <f>($J2311-$F2311)*100</f>
        <v/>
      </c>
      <c r="AW2311" s="82">
        <f>($L2311-$F2311)*100</f>
        <v/>
      </c>
      <c r="AX2311" s="82">
        <f>($J2311-$H2311)*100</f>
        <v/>
      </c>
      <c r="AY2311" s="82">
        <f>($L2311-$H2311)*100</f>
        <v/>
      </c>
      <c r="AZ2311" s="82">
        <f>($L2311-$J2311)*100</f>
        <v/>
      </c>
      <c r="BA2311" s="82">
        <f>(2*$H2311-$F2311-$J2311)*100</f>
        <v/>
      </c>
      <c r="BB2311" s="82">
        <f>(2*$J2311-$H2311-$L2311)*100</f>
        <v/>
      </c>
      <c r="BC2311" s="82">
        <f>($N2311-$F2311)*100</f>
        <v/>
      </c>
      <c r="BD2311" s="82">
        <f>($Q2311-$H2311)*100</f>
        <v/>
      </c>
      <c r="BE2311" s="82">
        <f>($S2311-$J2311)*100</f>
        <v/>
      </c>
      <c r="BF2311" s="82">
        <f>($V2311-$L2311)*100</f>
        <v/>
      </c>
      <c r="BG2311" s="82">
        <f>$AG2311-$AF2311</f>
        <v/>
      </c>
      <c r="BH2311" s="81">
        <f>IFERROR($AG2311/$AF2311,"")</f>
        <v/>
      </c>
      <c r="BI2311" s="82">
        <f>$AJ2311-$AF2311</f>
        <v/>
      </c>
      <c r="BJ2311" s="81">
        <f>IFERROR($AJ2311/$AG2311,"")</f>
        <v/>
      </c>
      <c r="BK2311" s="81">
        <f>$X2311</f>
        <v/>
      </c>
      <c r="BL2311" s="82">
        <f>($J2311-$J2312)*100</f>
        <v/>
      </c>
      <c r="BM2311" s="82">
        <f>($F2311-$F2312)*100</f>
        <v/>
      </c>
      <c r="BN2311" s="82">
        <f>$AF2311-$AF2312</f>
        <v/>
      </c>
      <c r="BO2311" s="82">
        <f>$AG2311-$AG2312</f>
        <v/>
      </c>
      <c r="BP2311" s="82">
        <f>$AJ2311-$AJ2312</f>
        <v/>
      </c>
    </row>
    <row r="2312">
      <c r="AR2312" s="81">
        <f>($G2312+($H2312-$G2312)*0.5)+($P2312-($O2312+($Q2312-$O2312)*0.5))</f>
        <v/>
      </c>
      <c r="AS2312" s="81">
        <f>($J2312+($K2312-$J2312)*0.5)+($T2312-($S2312+($U2312-$S2312)*0.5))</f>
        <v/>
      </c>
      <c r="AT2312" s="82">
        <f>($J2312-$C2312)*100</f>
        <v/>
      </c>
      <c r="AU2312" s="82">
        <f>($H2312-$F2312)*100</f>
        <v/>
      </c>
      <c r="AV2312" s="82">
        <f>($J2312-$F2312)*100</f>
        <v/>
      </c>
      <c r="AW2312" s="82">
        <f>($L2312-$F2312)*100</f>
        <v/>
      </c>
      <c r="AX2312" s="82">
        <f>($J2312-$H2312)*100</f>
        <v/>
      </c>
      <c r="AY2312" s="82">
        <f>($L2312-$H2312)*100</f>
        <v/>
      </c>
      <c r="AZ2312" s="82">
        <f>($L2312-$J2312)*100</f>
        <v/>
      </c>
      <c r="BA2312" s="82">
        <f>(2*$H2312-$F2312-$J2312)*100</f>
        <v/>
      </c>
      <c r="BB2312" s="82">
        <f>(2*$J2312-$H2312-$L2312)*100</f>
        <v/>
      </c>
      <c r="BC2312" s="82">
        <f>($N2312-$F2312)*100</f>
        <v/>
      </c>
      <c r="BD2312" s="82">
        <f>($Q2312-$H2312)*100</f>
        <v/>
      </c>
      <c r="BE2312" s="82">
        <f>($S2312-$J2312)*100</f>
        <v/>
      </c>
      <c r="BF2312" s="82">
        <f>($V2312-$L2312)*100</f>
        <v/>
      </c>
      <c r="BG2312" s="82">
        <f>$AG2312-$AF2312</f>
        <v/>
      </c>
      <c r="BH2312" s="81">
        <f>IFERROR($AG2312/$AF2312,"")</f>
        <v/>
      </c>
      <c r="BI2312" s="82">
        <f>$AJ2312-$AF2312</f>
        <v/>
      </c>
      <c r="BJ2312" s="81">
        <f>IFERROR($AJ2312/$AG2312,"")</f>
        <v/>
      </c>
      <c r="BK2312" s="81">
        <f>$X2312</f>
        <v/>
      </c>
      <c r="BL2312" s="82">
        <f>($J2312-$J2313)*100</f>
        <v/>
      </c>
      <c r="BM2312" s="82">
        <f>($F2312-$F2313)*100</f>
        <v/>
      </c>
      <c r="BN2312" s="82">
        <f>$AF2312-$AF2313</f>
        <v/>
      </c>
      <c r="BO2312" s="82">
        <f>$AG2312-$AG2313</f>
        <v/>
      </c>
      <c r="BP2312" s="82">
        <f>$AJ2312-$AJ2313</f>
        <v/>
      </c>
    </row>
    <row r="2313">
      <c r="AR2313" s="81">
        <f>($G2313+($H2313-$G2313)*0.5)+($P2313-($O2313+($Q2313-$O2313)*0.5))</f>
        <v/>
      </c>
      <c r="AS2313" s="81">
        <f>($J2313+($K2313-$J2313)*0.5)+($T2313-($S2313+($U2313-$S2313)*0.5))</f>
        <v/>
      </c>
      <c r="AT2313" s="82">
        <f>($J2313-$C2313)*100</f>
        <v/>
      </c>
      <c r="AU2313" s="82">
        <f>($H2313-$F2313)*100</f>
        <v/>
      </c>
      <c r="AV2313" s="82">
        <f>($J2313-$F2313)*100</f>
        <v/>
      </c>
      <c r="AW2313" s="82">
        <f>($L2313-$F2313)*100</f>
        <v/>
      </c>
      <c r="AX2313" s="82">
        <f>($J2313-$H2313)*100</f>
        <v/>
      </c>
      <c r="AY2313" s="82">
        <f>($L2313-$H2313)*100</f>
        <v/>
      </c>
      <c r="AZ2313" s="82">
        <f>($L2313-$J2313)*100</f>
        <v/>
      </c>
      <c r="BA2313" s="82">
        <f>(2*$H2313-$F2313-$J2313)*100</f>
        <v/>
      </c>
      <c r="BB2313" s="82">
        <f>(2*$J2313-$H2313-$L2313)*100</f>
        <v/>
      </c>
      <c r="BC2313" s="82">
        <f>($N2313-$F2313)*100</f>
        <v/>
      </c>
      <c r="BD2313" s="82">
        <f>($Q2313-$H2313)*100</f>
        <v/>
      </c>
      <c r="BE2313" s="82">
        <f>($S2313-$J2313)*100</f>
        <v/>
      </c>
      <c r="BF2313" s="82">
        <f>($V2313-$L2313)*100</f>
        <v/>
      </c>
      <c r="BG2313" s="82">
        <f>$AG2313-$AF2313</f>
        <v/>
      </c>
      <c r="BH2313" s="81">
        <f>IFERROR($AG2313/$AF2313,"")</f>
        <v/>
      </c>
      <c r="BI2313" s="82">
        <f>$AJ2313-$AF2313</f>
        <v/>
      </c>
      <c r="BJ2313" s="81">
        <f>IFERROR($AJ2313/$AG2313,"")</f>
        <v/>
      </c>
      <c r="BK2313" s="81">
        <f>$X2313</f>
        <v/>
      </c>
      <c r="BL2313" s="82">
        <f>($J2313-$J2314)*100</f>
        <v/>
      </c>
      <c r="BM2313" s="82">
        <f>($F2313-$F2314)*100</f>
        <v/>
      </c>
      <c r="BN2313" s="82">
        <f>$AF2313-$AF2314</f>
        <v/>
      </c>
      <c r="BO2313" s="82">
        <f>$AG2313-$AG2314</f>
        <v/>
      </c>
      <c r="BP2313" s="82">
        <f>$AJ2313-$AJ2314</f>
        <v/>
      </c>
    </row>
    <row r="2314">
      <c r="AR2314" s="81">
        <f>($G2314+($H2314-$G2314)*0.5)+($P2314-($O2314+($Q2314-$O2314)*0.5))</f>
        <v/>
      </c>
      <c r="AS2314" s="81">
        <f>($J2314+($K2314-$J2314)*0.5)+($T2314-($S2314+($U2314-$S2314)*0.5))</f>
        <v/>
      </c>
      <c r="AT2314" s="82">
        <f>($J2314-$C2314)*100</f>
        <v/>
      </c>
      <c r="AU2314" s="82">
        <f>($H2314-$F2314)*100</f>
        <v/>
      </c>
      <c r="AV2314" s="82">
        <f>($J2314-$F2314)*100</f>
        <v/>
      </c>
      <c r="AW2314" s="82">
        <f>($L2314-$F2314)*100</f>
        <v/>
      </c>
      <c r="AX2314" s="82">
        <f>($J2314-$H2314)*100</f>
        <v/>
      </c>
      <c r="AY2314" s="82">
        <f>($L2314-$H2314)*100</f>
        <v/>
      </c>
      <c r="AZ2314" s="82">
        <f>($L2314-$J2314)*100</f>
        <v/>
      </c>
      <c r="BA2314" s="82">
        <f>(2*$H2314-$F2314-$J2314)*100</f>
        <v/>
      </c>
      <c r="BB2314" s="82">
        <f>(2*$J2314-$H2314-$L2314)*100</f>
        <v/>
      </c>
      <c r="BC2314" s="82">
        <f>($N2314-$F2314)*100</f>
        <v/>
      </c>
      <c r="BD2314" s="82">
        <f>($Q2314-$H2314)*100</f>
        <v/>
      </c>
      <c r="BE2314" s="82">
        <f>($S2314-$J2314)*100</f>
        <v/>
      </c>
      <c r="BF2314" s="82">
        <f>($V2314-$L2314)*100</f>
        <v/>
      </c>
      <c r="BG2314" s="82">
        <f>$AG2314-$AF2314</f>
        <v/>
      </c>
      <c r="BH2314" s="81">
        <f>IFERROR($AG2314/$AF2314,"")</f>
        <v/>
      </c>
      <c r="BI2314" s="82">
        <f>$AJ2314-$AF2314</f>
        <v/>
      </c>
      <c r="BJ2314" s="81">
        <f>IFERROR($AJ2314/$AG2314,"")</f>
        <v/>
      </c>
      <c r="BK2314" s="81">
        <f>$X2314</f>
        <v/>
      </c>
      <c r="BL2314" s="82">
        <f>($J2314-$J2315)*100</f>
        <v/>
      </c>
      <c r="BM2314" s="82">
        <f>($F2314-$F2315)*100</f>
        <v/>
      </c>
      <c r="BN2314" s="82">
        <f>$AF2314-$AF2315</f>
        <v/>
      </c>
      <c r="BO2314" s="82">
        <f>$AG2314-$AG2315</f>
        <v/>
      </c>
      <c r="BP2314" s="82">
        <f>$AJ2314-$AJ2315</f>
        <v/>
      </c>
    </row>
    <row r="2315">
      <c r="AR2315" s="81">
        <f>($G2315+($H2315-$G2315)*0.5)+($P2315-($O2315+($Q2315-$O2315)*0.5))</f>
        <v/>
      </c>
      <c r="AS2315" s="81">
        <f>($J2315+($K2315-$J2315)*0.5)+($T2315-($S2315+($U2315-$S2315)*0.5))</f>
        <v/>
      </c>
      <c r="AT2315" s="82">
        <f>($J2315-$C2315)*100</f>
        <v/>
      </c>
      <c r="AU2315" s="82">
        <f>($H2315-$F2315)*100</f>
        <v/>
      </c>
      <c r="AV2315" s="82">
        <f>($J2315-$F2315)*100</f>
        <v/>
      </c>
      <c r="AW2315" s="82">
        <f>($L2315-$F2315)*100</f>
        <v/>
      </c>
      <c r="AX2315" s="82">
        <f>($J2315-$H2315)*100</f>
        <v/>
      </c>
      <c r="AY2315" s="82">
        <f>($L2315-$H2315)*100</f>
        <v/>
      </c>
      <c r="AZ2315" s="82">
        <f>($L2315-$J2315)*100</f>
        <v/>
      </c>
      <c r="BA2315" s="82">
        <f>(2*$H2315-$F2315-$J2315)*100</f>
        <v/>
      </c>
      <c r="BB2315" s="82">
        <f>(2*$J2315-$H2315-$L2315)*100</f>
        <v/>
      </c>
      <c r="BC2315" s="82">
        <f>($N2315-$F2315)*100</f>
        <v/>
      </c>
      <c r="BD2315" s="82">
        <f>($Q2315-$H2315)*100</f>
        <v/>
      </c>
      <c r="BE2315" s="82">
        <f>($S2315-$J2315)*100</f>
        <v/>
      </c>
      <c r="BF2315" s="82">
        <f>($V2315-$L2315)*100</f>
        <v/>
      </c>
      <c r="BG2315" s="82">
        <f>$AG2315-$AF2315</f>
        <v/>
      </c>
      <c r="BH2315" s="81">
        <f>IFERROR($AG2315/$AF2315,"")</f>
        <v/>
      </c>
      <c r="BI2315" s="82">
        <f>$AJ2315-$AF2315</f>
        <v/>
      </c>
      <c r="BJ2315" s="81">
        <f>IFERROR($AJ2315/$AG2315,"")</f>
        <v/>
      </c>
      <c r="BK2315" s="81">
        <f>$X2315</f>
        <v/>
      </c>
      <c r="BL2315" s="82">
        <f>($J2315-$J2316)*100</f>
        <v/>
      </c>
      <c r="BM2315" s="82">
        <f>($F2315-$F2316)*100</f>
        <v/>
      </c>
      <c r="BN2315" s="82">
        <f>$AF2315-$AF2316</f>
        <v/>
      </c>
      <c r="BO2315" s="82">
        <f>$AG2315-$AG2316</f>
        <v/>
      </c>
      <c r="BP2315" s="82">
        <f>$AJ2315-$AJ2316</f>
        <v/>
      </c>
    </row>
    <row r="2316">
      <c r="AR2316" s="81">
        <f>($G2316+($H2316-$G2316)*0.5)+($P2316-($O2316+($Q2316-$O2316)*0.5))</f>
        <v/>
      </c>
      <c r="AS2316" s="81">
        <f>($J2316+($K2316-$J2316)*0.5)+($T2316-($S2316+($U2316-$S2316)*0.5))</f>
        <v/>
      </c>
      <c r="AT2316" s="82">
        <f>($J2316-$C2316)*100</f>
        <v/>
      </c>
      <c r="AU2316" s="82">
        <f>($H2316-$F2316)*100</f>
        <v/>
      </c>
      <c r="AV2316" s="82">
        <f>($J2316-$F2316)*100</f>
        <v/>
      </c>
      <c r="AW2316" s="82">
        <f>($L2316-$F2316)*100</f>
        <v/>
      </c>
      <c r="AX2316" s="82">
        <f>($J2316-$H2316)*100</f>
        <v/>
      </c>
      <c r="AY2316" s="82">
        <f>($L2316-$H2316)*100</f>
        <v/>
      </c>
      <c r="AZ2316" s="82">
        <f>($L2316-$J2316)*100</f>
        <v/>
      </c>
      <c r="BA2316" s="82">
        <f>(2*$H2316-$F2316-$J2316)*100</f>
        <v/>
      </c>
      <c r="BB2316" s="82">
        <f>(2*$J2316-$H2316-$L2316)*100</f>
        <v/>
      </c>
      <c r="BC2316" s="82">
        <f>($N2316-$F2316)*100</f>
        <v/>
      </c>
      <c r="BD2316" s="82">
        <f>($Q2316-$H2316)*100</f>
        <v/>
      </c>
      <c r="BE2316" s="82">
        <f>($S2316-$J2316)*100</f>
        <v/>
      </c>
      <c r="BF2316" s="82">
        <f>($V2316-$L2316)*100</f>
        <v/>
      </c>
      <c r="BG2316" s="82">
        <f>$AG2316-$AF2316</f>
        <v/>
      </c>
      <c r="BH2316" s="81">
        <f>IFERROR($AG2316/$AF2316,"")</f>
        <v/>
      </c>
      <c r="BI2316" s="82">
        <f>$AJ2316-$AF2316</f>
        <v/>
      </c>
      <c r="BJ2316" s="81">
        <f>IFERROR($AJ2316/$AG2316,"")</f>
        <v/>
      </c>
      <c r="BK2316" s="81">
        <f>$X2316</f>
        <v/>
      </c>
      <c r="BL2316" s="82">
        <f>($J2316-$J2317)*100</f>
        <v/>
      </c>
      <c r="BM2316" s="82">
        <f>($F2316-$F2317)*100</f>
        <v/>
      </c>
      <c r="BN2316" s="82">
        <f>$AF2316-$AF2317</f>
        <v/>
      </c>
      <c r="BO2316" s="82">
        <f>$AG2316-$AG2317</f>
        <v/>
      </c>
      <c r="BP2316" s="82">
        <f>$AJ2316-$AJ2317</f>
        <v/>
      </c>
    </row>
    <row r="2317">
      <c r="AR2317" s="81">
        <f>($G2317+($H2317-$G2317)*0.5)+($P2317-($O2317+($Q2317-$O2317)*0.5))</f>
        <v/>
      </c>
      <c r="AS2317" s="81">
        <f>($J2317+($K2317-$J2317)*0.5)+($T2317-($S2317+($U2317-$S2317)*0.5))</f>
        <v/>
      </c>
      <c r="AT2317" s="82">
        <f>($J2317-$C2317)*100</f>
        <v/>
      </c>
      <c r="AU2317" s="82">
        <f>($H2317-$F2317)*100</f>
        <v/>
      </c>
      <c r="AV2317" s="82">
        <f>($J2317-$F2317)*100</f>
        <v/>
      </c>
      <c r="AW2317" s="82">
        <f>($L2317-$F2317)*100</f>
        <v/>
      </c>
      <c r="AX2317" s="82">
        <f>($J2317-$H2317)*100</f>
        <v/>
      </c>
      <c r="AY2317" s="82">
        <f>($L2317-$H2317)*100</f>
        <v/>
      </c>
      <c r="AZ2317" s="82">
        <f>($L2317-$J2317)*100</f>
        <v/>
      </c>
      <c r="BA2317" s="82">
        <f>(2*$H2317-$F2317-$J2317)*100</f>
        <v/>
      </c>
      <c r="BB2317" s="82">
        <f>(2*$J2317-$H2317-$L2317)*100</f>
        <v/>
      </c>
      <c r="BC2317" s="82">
        <f>($N2317-$F2317)*100</f>
        <v/>
      </c>
      <c r="BD2317" s="82">
        <f>($Q2317-$H2317)*100</f>
        <v/>
      </c>
      <c r="BE2317" s="82">
        <f>($S2317-$J2317)*100</f>
        <v/>
      </c>
      <c r="BF2317" s="82">
        <f>($V2317-$L2317)*100</f>
        <v/>
      </c>
      <c r="BG2317" s="82">
        <f>$AG2317-$AF2317</f>
        <v/>
      </c>
      <c r="BH2317" s="81">
        <f>IFERROR($AG2317/$AF2317,"")</f>
        <v/>
      </c>
      <c r="BI2317" s="82">
        <f>$AJ2317-$AF2317</f>
        <v/>
      </c>
      <c r="BJ2317" s="81">
        <f>IFERROR($AJ2317/$AG2317,"")</f>
        <v/>
      </c>
      <c r="BK2317" s="81">
        <f>$X2317</f>
        <v/>
      </c>
      <c r="BL2317" s="82">
        <f>($J2317-$J2318)*100</f>
        <v/>
      </c>
      <c r="BM2317" s="82">
        <f>($F2317-$F2318)*100</f>
        <v/>
      </c>
      <c r="BN2317" s="82">
        <f>$AF2317-$AF2318</f>
        <v/>
      </c>
      <c r="BO2317" s="82">
        <f>$AG2317-$AG2318</f>
        <v/>
      </c>
      <c r="BP2317" s="82">
        <f>$AJ2317-$AJ2318</f>
        <v/>
      </c>
    </row>
    <row r="2318">
      <c r="AR2318" s="81">
        <f>($G2318+($H2318-$G2318)*0.5)+($P2318-($O2318+($Q2318-$O2318)*0.5))</f>
        <v/>
      </c>
      <c r="AS2318" s="81">
        <f>($J2318+($K2318-$J2318)*0.5)+($T2318-($S2318+($U2318-$S2318)*0.5))</f>
        <v/>
      </c>
      <c r="AT2318" s="82">
        <f>($J2318-$C2318)*100</f>
        <v/>
      </c>
      <c r="AU2318" s="82">
        <f>($H2318-$F2318)*100</f>
        <v/>
      </c>
      <c r="AV2318" s="82">
        <f>($J2318-$F2318)*100</f>
        <v/>
      </c>
      <c r="AW2318" s="82">
        <f>($L2318-$F2318)*100</f>
        <v/>
      </c>
      <c r="AX2318" s="82">
        <f>($J2318-$H2318)*100</f>
        <v/>
      </c>
      <c r="AY2318" s="82">
        <f>($L2318-$H2318)*100</f>
        <v/>
      </c>
      <c r="AZ2318" s="82">
        <f>($L2318-$J2318)*100</f>
        <v/>
      </c>
      <c r="BA2318" s="82">
        <f>(2*$H2318-$F2318-$J2318)*100</f>
        <v/>
      </c>
      <c r="BB2318" s="82">
        <f>(2*$J2318-$H2318-$L2318)*100</f>
        <v/>
      </c>
      <c r="BC2318" s="82">
        <f>($N2318-$F2318)*100</f>
        <v/>
      </c>
      <c r="BD2318" s="82">
        <f>($Q2318-$H2318)*100</f>
        <v/>
      </c>
      <c r="BE2318" s="82">
        <f>($S2318-$J2318)*100</f>
        <v/>
      </c>
      <c r="BF2318" s="82">
        <f>($V2318-$L2318)*100</f>
        <v/>
      </c>
      <c r="BG2318" s="82">
        <f>$AG2318-$AF2318</f>
        <v/>
      </c>
      <c r="BH2318" s="81">
        <f>IFERROR($AG2318/$AF2318,"")</f>
        <v/>
      </c>
      <c r="BI2318" s="82">
        <f>$AJ2318-$AF2318</f>
        <v/>
      </c>
      <c r="BJ2318" s="81">
        <f>IFERROR($AJ2318/$AG2318,"")</f>
        <v/>
      </c>
      <c r="BK2318" s="81">
        <f>$X2318</f>
        <v/>
      </c>
      <c r="BL2318" s="82">
        <f>($J2318-$J2319)*100</f>
        <v/>
      </c>
      <c r="BM2318" s="82">
        <f>($F2318-$F2319)*100</f>
        <v/>
      </c>
      <c r="BN2318" s="82">
        <f>$AF2318-$AF2319</f>
        <v/>
      </c>
      <c r="BO2318" s="82">
        <f>$AG2318-$AG2319</f>
        <v/>
      </c>
      <c r="BP2318" s="82">
        <f>$AJ2318-$AJ2319</f>
        <v/>
      </c>
    </row>
    <row r="2319">
      <c r="AR2319" s="81">
        <f>($G2319+($H2319-$G2319)*0.5)+($P2319-($O2319+($Q2319-$O2319)*0.5))</f>
        <v/>
      </c>
      <c r="AS2319" s="81">
        <f>($J2319+($K2319-$J2319)*0.5)+($T2319-($S2319+($U2319-$S2319)*0.5))</f>
        <v/>
      </c>
      <c r="AT2319" s="82">
        <f>($J2319-$C2319)*100</f>
        <v/>
      </c>
      <c r="AU2319" s="82">
        <f>($H2319-$F2319)*100</f>
        <v/>
      </c>
      <c r="AV2319" s="82">
        <f>($J2319-$F2319)*100</f>
        <v/>
      </c>
      <c r="AW2319" s="82">
        <f>($L2319-$F2319)*100</f>
        <v/>
      </c>
      <c r="AX2319" s="82">
        <f>($J2319-$H2319)*100</f>
        <v/>
      </c>
      <c r="AY2319" s="82">
        <f>($L2319-$H2319)*100</f>
        <v/>
      </c>
      <c r="AZ2319" s="82">
        <f>($L2319-$J2319)*100</f>
        <v/>
      </c>
      <c r="BA2319" s="82">
        <f>(2*$H2319-$F2319-$J2319)*100</f>
        <v/>
      </c>
      <c r="BB2319" s="82">
        <f>(2*$J2319-$H2319-$L2319)*100</f>
        <v/>
      </c>
      <c r="BC2319" s="82">
        <f>($N2319-$F2319)*100</f>
        <v/>
      </c>
      <c r="BD2319" s="82">
        <f>($Q2319-$H2319)*100</f>
        <v/>
      </c>
      <c r="BE2319" s="82">
        <f>($S2319-$J2319)*100</f>
        <v/>
      </c>
      <c r="BF2319" s="82">
        <f>($V2319-$L2319)*100</f>
        <v/>
      </c>
      <c r="BG2319" s="82">
        <f>$AG2319-$AF2319</f>
        <v/>
      </c>
      <c r="BH2319" s="81">
        <f>IFERROR($AG2319/$AF2319,"")</f>
        <v/>
      </c>
      <c r="BI2319" s="82">
        <f>$AJ2319-$AF2319</f>
        <v/>
      </c>
      <c r="BJ2319" s="81">
        <f>IFERROR($AJ2319/$AG2319,"")</f>
        <v/>
      </c>
      <c r="BK2319" s="81">
        <f>$X2319</f>
        <v/>
      </c>
      <c r="BL2319" s="82">
        <f>($J2319-$J2320)*100</f>
        <v/>
      </c>
      <c r="BM2319" s="82">
        <f>($F2319-$F2320)*100</f>
        <v/>
      </c>
      <c r="BN2319" s="82">
        <f>$AF2319-$AF2320</f>
        <v/>
      </c>
      <c r="BO2319" s="82">
        <f>$AG2319-$AG2320</f>
        <v/>
      </c>
      <c r="BP2319" s="82">
        <f>$AJ2319-$AJ2320</f>
        <v/>
      </c>
    </row>
    <row r="2320">
      <c r="AR2320" s="81">
        <f>($G2320+($H2320-$G2320)*0.5)+($P2320-($O2320+($Q2320-$O2320)*0.5))</f>
        <v/>
      </c>
      <c r="AS2320" s="81">
        <f>($J2320+($K2320-$J2320)*0.5)+($T2320-($S2320+($U2320-$S2320)*0.5))</f>
        <v/>
      </c>
      <c r="AT2320" s="82">
        <f>($J2320-$C2320)*100</f>
        <v/>
      </c>
      <c r="AU2320" s="82">
        <f>($H2320-$F2320)*100</f>
        <v/>
      </c>
      <c r="AV2320" s="82">
        <f>($J2320-$F2320)*100</f>
        <v/>
      </c>
      <c r="AW2320" s="82">
        <f>($L2320-$F2320)*100</f>
        <v/>
      </c>
      <c r="AX2320" s="82">
        <f>($J2320-$H2320)*100</f>
        <v/>
      </c>
      <c r="AY2320" s="82">
        <f>($L2320-$H2320)*100</f>
        <v/>
      </c>
      <c r="AZ2320" s="82">
        <f>($L2320-$J2320)*100</f>
        <v/>
      </c>
      <c r="BA2320" s="82">
        <f>(2*$H2320-$F2320-$J2320)*100</f>
        <v/>
      </c>
      <c r="BB2320" s="82">
        <f>(2*$J2320-$H2320-$L2320)*100</f>
        <v/>
      </c>
      <c r="BC2320" s="82">
        <f>($N2320-$F2320)*100</f>
        <v/>
      </c>
      <c r="BD2320" s="82">
        <f>($Q2320-$H2320)*100</f>
        <v/>
      </c>
      <c r="BE2320" s="82">
        <f>($S2320-$J2320)*100</f>
        <v/>
      </c>
      <c r="BF2320" s="82">
        <f>($V2320-$L2320)*100</f>
        <v/>
      </c>
      <c r="BG2320" s="82">
        <f>$AG2320-$AF2320</f>
        <v/>
      </c>
      <c r="BH2320" s="81">
        <f>IFERROR($AG2320/$AF2320,"")</f>
        <v/>
      </c>
      <c r="BI2320" s="82">
        <f>$AJ2320-$AF2320</f>
        <v/>
      </c>
      <c r="BJ2320" s="81">
        <f>IFERROR($AJ2320/$AG2320,"")</f>
        <v/>
      </c>
      <c r="BK2320" s="81">
        <f>$X2320</f>
        <v/>
      </c>
      <c r="BL2320" s="82">
        <f>($J2320-$J2321)*100</f>
        <v/>
      </c>
      <c r="BM2320" s="82">
        <f>($F2320-$F2321)*100</f>
        <v/>
      </c>
      <c r="BN2320" s="82">
        <f>$AF2320-$AF2321</f>
        <v/>
      </c>
      <c r="BO2320" s="82">
        <f>$AG2320-$AG2321</f>
        <v/>
      </c>
      <c r="BP2320" s="82">
        <f>$AJ2320-$AJ2321</f>
        <v/>
      </c>
    </row>
    <row r="2321">
      <c r="AR2321" s="81">
        <f>($G2321+($H2321-$G2321)*0.5)+($P2321-($O2321+($Q2321-$O2321)*0.5))</f>
        <v/>
      </c>
      <c r="AS2321" s="81">
        <f>($J2321+($K2321-$J2321)*0.5)+($T2321-($S2321+($U2321-$S2321)*0.5))</f>
        <v/>
      </c>
      <c r="AT2321" s="82">
        <f>($J2321-$C2321)*100</f>
        <v/>
      </c>
      <c r="AU2321" s="82">
        <f>($H2321-$F2321)*100</f>
        <v/>
      </c>
      <c r="AV2321" s="82">
        <f>($J2321-$F2321)*100</f>
        <v/>
      </c>
      <c r="AW2321" s="82">
        <f>($L2321-$F2321)*100</f>
        <v/>
      </c>
      <c r="AX2321" s="82">
        <f>($J2321-$H2321)*100</f>
        <v/>
      </c>
      <c r="AY2321" s="82">
        <f>($L2321-$H2321)*100</f>
        <v/>
      </c>
      <c r="AZ2321" s="82">
        <f>($L2321-$J2321)*100</f>
        <v/>
      </c>
      <c r="BA2321" s="82">
        <f>(2*$H2321-$F2321-$J2321)*100</f>
        <v/>
      </c>
      <c r="BB2321" s="82">
        <f>(2*$J2321-$H2321-$L2321)*100</f>
        <v/>
      </c>
      <c r="BC2321" s="82">
        <f>($N2321-$F2321)*100</f>
        <v/>
      </c>
      <c r="BD2321" s="82">
        <f>($Q2321-$H2321)*100</f>
        <v/>
      </c>
      <c r="BE2321" s="82">
        <f>($S2321-$J2321)*100</f>
        <v/>
      </c>
      <c r="BF2321" s="82">
        <f>($V2321-$L2321)*100</f>
        <v/>
      </c>
      <c r="BG2321" s="82">
        <f>$AG2321-$AF2321</f>
        <v/>
      </c>
      <c r="BH2321" s="81">
        <f>IFERROR($AG2321/$AF2321,"")</f>
        <v/>
      </c>
      <c r="BI2321" s="82">
        <f>$AJ2321-$AF2321</f>
        <v/>
      </c>
      <c r="BJ2321" s="81">
        <f>IFERROR($AJ2321/$AG2321,"")</f>
        <v/>
      </c>
      <c r="BK2321" s="81">
        <f>$X2321</f>
        <v/>
      </c>
      <c r="BL2321" s="82">
        <f>($J2321-$J2322)*100</f>
        <v/>
      </c>
      <c r="BM2321" s="82">
        <f>($F2321-$F2322)*100</f>
        <v/>
      </c>
      <c r="BN2321" s="82">
        <f>$AF2321-$AF2322</f>
        <v/>
      </c>
      <c r="BO2321" s="82">
        <f>$AG2321-$AG2322</f>
        <v/>
      </c>
      <c r="BP2321" s="82">
        <f>$AJ2321-$AJ2322</f>
        <v/>
      </c>
    </row>
    <row r="2322">
      <c r="AR2322" s="81">
        <f>($G2322+($H2322-$G2322)*0.5)+($P2322-($O2322+($Q2322-$O2322)*0.5))</f>
        <v/>
      </c>
      <c r="AS2322" s="81">
        <f>($J2322+($K2322-$J2322)*0.5)+($T2322-($S2322+($U2322-$S2322)*0.5))</f>
        <v/>
      </c>
      <c r="AT2322" s="82">
        <f>($J2322-$C2322)*100</f>
        <v/>
      </c>
      <c r="AU2322" s="82">
        <f>($H2322-$F2322)*100</f>
        <v/>
      </c>
      <c r="AV2322" s="82">
        <f>($J2322-$F2322)*100</f>
        <v/>
      </c>
      <c r="AW2322" s="82">
        <f>($L2322-$F2322)*100</f>
        <v/>
      </c>
      <c r="AX2322" s="82">
        <f>($J2322-$H2322)*100</f>
        <v/>
      </c>
      <c r="AY2322" s="82">
        <f>($L2322-$H2322)*100</f>
        <v/>
      </c>
      <c r="AZ2322" s="82">
        <f>($L2322-$J2322)*100</f>
        <v/>
      </c>
      <c r="BA2322" s="82">
        <f>(2*$H2322-$F2322-$J2322)*100</f>
        <v/>
      </c>
      <c r="BB2322" s="82">
        <f>(2*$J2322-$H2322-$L2322)*100</f>
        <v/>
      </c>
      <c r="BC2322" s="82">
        <f>($N2322-$F2322)*100</f>
        <v/>
      </c>
      <c r="BD2322" s="82">
        <f>($Q2322-$H2322)*100</f>
        <v/>
      </c>
      <c r="BE2322" s="82">
        <f>($S2322-$J2322)*100</f>
        <v/>
      </c>
      <c r="BF2322" s="82">
        <f>($V2322-$L2322)*100</f>
        <v/>
      </c>
      <c r="BG2322" s="82">
        <f>$AG2322-$AF2322</f>
        <v/>
      </c>
      <c r="BH2322" s="81">
        <f>IFERROR($AG2322/$AF2322,"")</f>
        <v/>
      </c>
      <c r="BI2322" s="82">
        <f>$AJ2322-$AF2322</f>
        <v/>
      </c>
      <c r="BJ2322" s="81">
        <f>IFERROR($AJ2322/$AG2322,"")</f>
        <v/>
      </c>
      <c r="BK2322" s="81">
        <f>$X2322</f>
        <v/>
      </c>
      <c r="BL2322" s="82">
        <f>($J2322-$J2323)*100</f>
        <v/>
      </c>
      <c r="BM2322" s="82">
        <f>($F2322-$F2323)*100</f>
        <v/>
      </c>
      <c r="BN2322" s="82">
        <f>$AF2322-$AF2323</f>
        <v/>
      </c>
      <c r="BO2322" s="82">
        <f>$AG2322-$AG2323</f>
        <v/>
      </c>
      <c r="BP2322" s="82">
        <f>$AJ2322-$AJ2323</f>
        <v/>
      </c>
    </row>
    <row r="2323">
      <c r="AR2323" s="81">
        <f>($G2323+($H2323-$G2323)*0.5)+($P2323-($O2323+($Q2323-$O2323)*0.5))</f>
        <v/>
      </c>
      <c r="AS2323" s="81">
        <f>($J2323+($K2323-$J2323)*0.5)+($T2323-($S2323+($U2323-$S2323)*0.5))</f>
        <v/>
      </c>
      <c r="AT2323" s="82">
        <f>($J2323-$C2323)*100</f>
        <v/>
      </c>
      <c r="AU2323" s="82">
        <f>($H2323-$F2323)*100</f>
        <v/>
      </c>
      <c r="AV2323" s="82">
        <f>($J2323-$F2323)*100</f>
        <v/>
      </c>
      <c r="AW2323" s="82">
        <f>($L2323-$F2323)*100</f>
        <v/>
      </c>
      <c r="AX2323" s="82">
        <f>($J2323-$H2323)*100</f>
        <v/>
      </c>
      <c r="AY2323" s="82">
        <f>($L2323-$H2323)*100</f>
        <v/>
      </c>
      <c r="AZ2323" s="82">
        <f>($L2323-$J2323)*100</f>
        <v/>
      </c>
      <c r="BA2323" s="82">
        <f>(2*$H2323-$F2323-$J2323)*100</f>
        <v/>
      </c>
      <c r="BB2323" s="82">
        <f>(2*$J2323-$H2323-$L2323)*100</f>
        <v/>
      </c>
      <c r="BC2323" s="82">
        <f>($N2323-$F2323)*100</f>
        <v/>
      </c>
      <c r="BD2323" s="82">
        <f>($Q2323-$H2323)*100</f>
        <v/>
      </c>
      <c r="BE2323" s="82">
        <f>($S2323-$J2323)*100</f>
        <v/>
      </c>
      <c r="BF2323" s="82">
        <f>($V2323-$L2323)*100</f>
        <v/>
      </c>
      <c r="BG2323" s="82">
        <f>$AG2323-$AF2323</f>
        <v/>
      </c>
      <c r="BH2323" s="81">
        <f>IFERROR($AG2323/$AF2323,"")</f>
        <v/>
      </c>
      <c r="BI2323" s="82">
        <f>$AJ2323-$AF2323</f>
        <v/>
      </c>
      <c r="BJ2323" s="81">
        <f>IFERROR($AJ2323/$AG2323,"")</f>
        <v/>
      </c>
      <c r="BK2323" s="81">
        <f>$X2323</f>
        <v/>
      </c>
      <c r="BL2323" s="82">
        <f>($J2323-$J2324)*100</f>
        <v/>
      </c>
      <c r="BM2323" s="82">
        <f>($F2323-$F2324)*100</f>
        <v/>
      </c>
      <c r="BN2323" s="82">
        <f>$AF2323-$AF2324</f>
        <v/>
      </c>
      <c r="BO2323" s="82">
        <f>$AG2323-$AG2324</f>
        <v/>
      </c>
      <c r="BP2323" s="82">
        <f>$AJ2323-$AJ2324</f>
        <v/>
      </c>
    </row>
    <row r="2324">
      <c r="AR2324" s="81">
        <f>($G2324+($H2324-$G2324)*0.5)+($P2324-($O2324+($Q2324-$O2324)*0.5))</f>
        <v/>
      </c>
      <c r="AS2324" s="81">
        <f>($J2324+($K2324-$J2324)*0.5)+($T2324-($S2324+($U2324-$S2324)*0.5))</f>
        <v/>
      </c>
      <c r="AT2324" s="82">
        <f>($J2324-$C2324)*100</f>
        <v/>
      </c>
      <c r="AU2324" s="82">
        <f>($H2324-$F2324)*100</f>
        <v/>
      </c>
      <c r="AV2324" s="82">
        <f>($J2324-$F2324)*100</f>
        <v/>
      </c>
      <c r="AW2324" s="82">
        <f>($L2324-$F2324)*100</f>
        <v/>
      </c>
      <c r="AX2324" s="82">
        <f>($J2324-$H2324)*100</f>
        <v/>
      </c>
      <c r="AY2324" s="82">
        <f>($L2324-$H2324)*100</f>
        <v/>
      </c>
      <c r="AZ2324" s="82">
        <f>($L2324-$J2324)*100</f>
        <v/>
      </c>
      <c r="BA2324" s="82">
        <f>(2*$H2324-$F2324-$J2324)*100</f>
        <v/>
      </c>
      <c r="BB2324" s="82">
        <f>(2*$J2324-$H2324-$L2324)*100</f>
        <v/>
      </c>
      <c r="BC2324" s="82">
        <f>($N2324-$F2324)*100</f>
        <v/>
      </c>
      <c r="BD2324" s="82">
        <f>($Q2324-$H2324)*100</f>
        <v/>
      </c>
      <c r="BE2324" s="82">
        <f>($S2324-$J2324)*100</f>
        <v/>
      </c>
      <c r="BF2324" s="82">
        <f>($V2324-$L2324)*100</f>
        <v/>
      </c>
      <c r="BG2324" s="82">
        <f>$AG2324-$AF2324</f>
        <v/>
      </c>
      <c r="BH2324" s="81">
        <f>IFERROR($AG2324/$AF2324,"")</f>
        <v/>
      </c>
      <c r="BI2324" s="82">
        <f>$AJ2324-$AF2324</f>
        <v/>
      </c>
      <c r="BJ2324" s="81">
        <f>IFERROR($AJ2324/$AG2324,"")</f>
        <v/>
      </c>
      <c r="BK2324" s="81">
        <f>$X2324</f>
        <v/>
      </c>
      <c r="BL2324" s="82">
        <f>($J2324-$J2325)*100</f>
        <v/>
      </c>
      <c r="BM2324" s="82">
        <f>($F2324-$F2325)*100</f>
        <v/>
      </c>
      <c r="BN2324" s="82">
        <f>$AF2324-$AF2325</f>
        <v/>
      </c>
      <c r="BO2324" s="82">
        <f>$AG2324-$AG2325</f>
        <v/>
      </c>
      <c r="BP2324" s="82">
        <f>$AJ2324-$AJ2325</f>
        <v/>
      </c>
    </row>
    <row r="2325">
      <c r="AR2325" s="81">
        <f>($G2325+($H2325-$G2325)*0.5)+($P2325-($O2325+($Q2325-$O2325)*0.5))</f>
        <v/>
      </c>
      <c r="AS2325" s="81">
        <f>($J2325+($K2325-$J2325)*0.5)+($T2325-($S2325+($U2325-$S2325)*0.5))</f>
        <v/>
      </c>
      <c r="AT2325" s="82">
        <f>($J2325-$C2325)*100</f>
        <v/>
      </c>
      <c r="AU2325" s="82">
        <f>($H2325-$F2325)*100</f>
        <v/>
      </c>
      <c r="AV2325" s="82">
        <f>($J2325-$F2325)*100</f>
        <v/>
      </c>
      <c r="AW2325" s="82">
        <f>($L2325-$F2325)*100</f>
        <v/>
      </c>
      <c r="AX2325" s="82">
        <f>($J2325-$H2325)*100</f>
        <v/>
      </c>
      <c r="AY2325" s="82">
        <f>($L2325-$H2325)*100</f>
        <v/>
      </c>
      <c r="AZ2325" s="82">
        <f>($L2325-$J2325)*100</f>
        <v/>
      </c>
      <c r="BA2325" s="82">
        <f>(2*$H2325-$F2325-$J2325)*100</f>
        <v/>
      </c>
      <c r="BB2325" s="82">
        <f>(2*$J2325-$H2325-$L2325)*100</f>
        <v/>
      </c>
      <c r="BC2325" s="82">
        <f>($N2325-$F2325)*100</f>
        <v/>
      </c>
      <c r="BD2325" s="82">
        <f>($Q2325-$H2325)*100</f>
        <v/>
      </c>
      <c r="BE2325" s="82">
        <f>($S2325-$J2325)*100</f>
        <v/>
      </c>
      <c r="BF2325" s="82">
        <f>($V2325-$L2325)*100</f>
        <v/>
      </c>
      <c r="BG2325" s="82">
        <f>$AG2325-$AF2325</f>
        <v/>
      </c>
      <c r="BH2325" s="81">
        <f>IFERROR($AG2325/$AF2325,"")</f>
        <v/>
      </c>
      <c r="BI2325" s="82">
        <f>$AJ2325-$AF2325</f>
        <v/>
      </c>
      <c r="BJ2325" s="81">
        <f>IFERROR($AJ2325/$AG2325,"")</f>
        <v/>
      </c>
      <c r="BK2325" s="81">
        <f>$X2325</f>
        <v/>
      </c>
      <c r="BL2325" s="82">
        <f>($J2325-$J2326)*100</f>
        <v/>
      </c>
      <c r="BM2325" s="82">
        <f>($F2325-$F2326)*100</f>
        <v/>
      </c>
      <c r="BN2325" s="82">
        <f>$AF2325-$AF2326</f>
        <v/>
      </c>
      <c r="BO2325" s="82">
        <f>$AG2325-$AG2326</f>
        <v/>
      </c>
      <c r="BP2325" s="82">
        <f>$AJ2325-$AJ2326</f>
        <v/>
      </c>
    </row>
    <row r="2326">
      <c r="AR2326" s="81">
        <f>($G2326+($H2326-$G2326)*0.5)+($P2326-($O2326+($Q2326-$O2326)*0.5))</f>
        <v/>
      </c>
      <c r="AS2326" s="81">
        <f>($J2326+($K2326-$J2326)*0.5)+($T2326-($S2326+($U2326-$S2326)*0.5))</f>
        <v/>
      </c>
      <c r="AT2326" s="82">
        <f>($J2326-$C2326)*100</f>
        <v/>
      </c>
      <c r="AU2326" s="82">
        <f>($H2326-$F2326)*100</f>
        <v/>
      </c>
      <c r="AV2326" s="82">
        <f>($J2326-$F2326)*100</f>
        <v/>
      </c>
      <c r="AW2326" s="82">
        <f>($L2326-$F2326)*100</f>
        <v/>
      </c>
      <c r="AX2326" s="82">
        <f>($J2326-$H2326)*100</f>
        <v/>
      </c>
      <c r="AY2326" s="82">
        <f>($L2326-$H2326)*100</f>
        <v/>
      </c>
      <c r="AZ2326" s="82">
        <f>($L2326-$J2326)*100</f>
        <v/>
      </c>
      <c r="BA2326" s="82">
        <f>(2*$H2326-$F2326-$J2326)*100</f>
        <v/>
      </c>
      <c r="BB2326" s="82">
        <f>(2*$J2326-$H2326-$L2326)*100</f>
        <v/>
      </c>
      <c r="BC2326" s="82">
        <f>($N2326-$F2326)*100</f>
        <v/>
      </c>
      <c r="BD2326" s="82">
        <f>($Q2326-$H2326)*100</f>
        <v/>
      </c>
      <c r="BE2326" s="82">
        <f>($S2326-$J2326)*100</f>
        <v/>
      </c>
      <c r="BF2326" s="82">
        <f>($V2326-$L2326)*100</f>
        <v/>
      </c>
      <c r="BG2326" s="82">
        <f>$AG2326-$AF2326</f>
        <v/>
      </c>
      <c r="BH2326" s="81">
        <f>IFERROR($AG2326/$AF2326,"")</f>
        <v/>
      </c>
      <c r="BI2326" s="82">
        <f>$AJ2326-$AF2326</f>
        <v/>
      </c>
      <c r="BJ2326" s="81">
        <f>IFERROR($AJ2326/$AG2326,"")</f>
        <v/>
      </c>
      <c r="BK2326" s="81">
        <f>$X2326</f>
        <v/>
      </c>
      <c r="BL2326" s="82">
        <f>($J2326-$J2327)*100</f>
        <v/>
      </c>
      <c r="BM2326" s="82">
        <f>($F2326-$F2327)*100</f>
        <v/>
      </c>
      <c r="BN2326" s="82">
        <f>$AF2326-$AF2327</f>
        <v/>
      </c>
      <c r="BO2326" s="82">
        <f>$AG2326-$AG2327</f>
        <v/>
      </c>
      <c r="BP2326" s="82">
        <f>$AJ2326-$AJ2327</f>
        <v/>
      </c>
    </row>
    <row r="2327">
      <c r="AR2327" s="81">
        <f>($G2327+($H2327-$G2327)*0.5)+($P2327-($O2327+($Q2327-$O2327)*0.5))</f>
        <v/>
      </c>
      <c r="AS2327" s="81">
        <f>($J2327+($K2327-$J2327)*0.5)+($T2327-($S2327+($U2327-$S2327)*0.5))</f>
        <v/>
      </c>
      <c r="AT2327" s="82">
        <f>($J2327-$C2327)*100</f>
        <v/>
      </c>
      <c r="AU2327" s="82">
        <f>($H2327-$F2327)*100</f>
        <v/>
      </c>
      <c r="AV2327" s="82">
        <f>($J2327-$F2327)*100</f>
        <v/>
      </c>
      <c r="AW2327" s="82">
        <f>($L2327-$F2327)*100</f>
        <v/>
      </c>
      <c r="AX2327" s="82">
        <f>($J2327-$H2327)*100</f>
        <v/>
      </c>
      <c r="AY2327" s="82">
        <f>($L2327-$H2327)*100</f>
        <v/>
      </c>
      <c r="AZ2327" s="82">
        <f>($L2327-$J2327)*100</f>
        <v/>
      </c>
      <c r="BA2327" s="82">
        <f>(2*$H2327-$F2327-$J2327)*100</f>
        <v/>
      </c>
      <c r="BB2327" s="82">
        <f>(2*$J2327-$H2327-$L2327)*100</f>
        <v/>
      </c>
      <c r="BC2327" s="82">
        <f>($N2327-$F2327)*100</f>
        <v/>
      </c>
      <c r="BD2327" s="82">
        <f>($Q2327-$H2327)*100</f>
        <v/>
      </c>
      <c r="BE2327" s="82">
        <f>($S2327-$J2327)*100</f>
        <v/>
      </c>
      <c r="BF2327" s="82">
        <f>($V2327-$L2327)*100</f>
        <v/>
      </c>
      <c r="BG2327" s="82">
        <f>$AG2327-$AF2327</f>
        <v/>
      </c>
      <c r="BH2327" s="81">
        <f>IFERROR($AG2327/$AF2327,"")</f>
        <v/>
      </c>
      <c r="BI2327" s="82">
        <f>$AJ2327-$AF2327</f>
        <v/>
      </c>
      <c r="BJ2327" s="81">
        <f>IFERROR($AJ2327/$AG2327,"")</f>
        <v/>
      </c>
      <c r="BK2327" s="81">
        <f>$X2327</f>
        <v/>
      </c>
      <c r="BL2327" s="82">
        <f>($J2327-$J2328)*100</f>
        <v/>
      </c>
      <c r="BM2327" s="82">
        <f>($F2327-$F2328)*100</f>
        <v/>
      </c>
      <c r="BN2327" s="82">
        <f>$AF2327-$AF2328</f>
        <v/>
      </c>
      <c r="BO2327" s="82">
        <f>$AG2327-$AG2328</f>
        <v/>
      </c>
      <c r="BP2327" s="82">
        <f>$AJ2327-$AJ2328</f>
        <v/>
      </c>
    </row>
    <row r="2328">
      <c r="AR2328" s="81">
        <f>($G2328+($H2328-$G2328)*0.5)+($P2328-($O2328+($Q2328-$O2328)*0.5))</f>
        <v/>
      </c>
      <c r="AS2328" s="81">
        <f>($J2328+($K2328-$J2328)*0.5)+($T2328-($S2328+($U2328-$S2328)*0.5))</f>
        <v/>
      </c>
      <c r="AT2328" s="82">
        <f>($J2328-$C2328)*100</f>
        <v/>
      </c>
      <c r="AU2328" s="82">
        <f>($H2328-$F2328)*100</f>
        <v/>
      </c>
      <c r="AV2328" s="82">
        <f>($J2328-$F2328)*100</f>
        <v/>
      </c>
      <c r="AW2328" s="82">
        <f>($L2328-$F2328)*100</f>
        <v/>
      </c>
      <c r="AX2328" s="82">
        <f>($J2328-$H2328)*100</f>
        <v/>
      </c>
      <c r="AY2328" s="82">
        <f>($L2328-$H2328)*100</f>
        <v/>
      </c>
      <c r="AZ2328" s="82">
        <f>($L2328-$J2328)*100</f>
        <v/>
      </c>
      <c r="BA2328" s="82">
        <f>(2*$H2328-$F2328-$J2328)*100</f>
        <v/>
      </c>
      <c r="BB2328" s="82">
        <f>(2*$J2328-$H2328-$L2328)*100</f>
        <v/>
      </c>
      <c r="BC2328" s="82">
        <f>($N2328-$F2328)*100</f>
        <v/>
      </c>
      <c r="BD2328" s="82">
        <f>($Q2328-$H2328)*100</f>
        <v/>
      </c>
      <c r="BE2328" s="82">
        <f>($S2328-$J2328)*100</f>
        <v/>
      </c>
      <c r="BF2328" s="82">
        <f>($V2328-$L2328)*100</f>
        <v/>
      </c>
      <c r="BG2328" s="82">
        <f>$AG2328-$AF2328</f>
        <v/>
      </c>
      <c r="BH2328" s="81">
        <f>IFERROR($AG2328/$AF2328,"")</f>
        <v/>
      </c>
      <c r="BI2328" s="82">
        <f>$AJ2328-$AF2328</f>
        <v/>
      </c>
      <c r="BJ2328" s="81">
        <f>IFERROR($AJ2328/$AG2328,"")</f>
        <v/>
      </c>
      <c r="BK2328" s="81">
        <f>$X2328</f>
        <v/>
      </c>
      <c r="BL2328" s="82">
        <f>($J2328-$J2329)*100</f>
        <v/>
      </c>
      <c r="BM2328" s="82">
        <f>($F2328-$F2329)*100</f>
        <v/>
      </c>
      <c r="BN2328" s="82">
        <f>$AF2328-$AF2329</f>
        <v/>
      </c>
      <c r="BO2328" s="82">
        <f>$AG2328-$AG2329</f>
        <v/>
      </c>
      <c r="BP2328" s="82">
        <f>$AJ2328-$AJ2329</f>
        <v/>
      </c>
    </row>
    <row r="2329">
      <c r="AR2329" s="81">
        <f>($G2329+($H2329-$G2329)*0.5)+($P2329-($O2329+($Q2329-$O2329)*0.5))</f>
        <v/>
      </c>
      <c r="AS2329" s="81">
        <f>($J2329+($K2329-$J2329)*0.5)+($T2329-($S2329+($U2329-$S2329)*0.5))</f>
        <v/>
      </c>
      <c r="AT2329" s="82">
        <f>($J2329-$C2329)*100</f>
        <v/>
      </c>
      <c r="AU2329" s="82">
        <f>($H2329-$F2329)*100</f>
        <v/>
      </c>
      <c r="AV2329" s="82">
        <f>($J2329-$F2329)*100</f>
        <v/>
      </c>
      <c r="AW2329" s="82">
        <f>($L2329-$F2329)*100</f>
        <v/>
      </c>
      <c r="AX2329" s="82">
        <f>($J2329-$H2329)*100</f>
        <v/>
      </c>
      <c r="AY2329" s="82">
        <f>($L2329-$H2329)*100</f>
        <v/>
      </c>
      <c r="AZ2329" s="82">
        <f>($L2329-$J2329)*100</f>
        <v/>
      </c>
      <c r="BA2329" s="82">
        <f>(2*$H2329-$F2329-$J2329)*100</f>
        <v/>
      </c>
      <c r="BB2329" s="82">
        <f>(2*$J2329-$H2329-$L2329)*100</f>
        <v/>
      </c>
      <c r="BC2329" s="82">
        <f>($N2329-$F2329)*100</f>
        <v/>
      </c>
      <c r="BD2329" s="82">
        <f>($Q2329-$H2329)*100</f>
        <v/>
      </c>
      <c r="BE2329" s="82">
        <f>($S2329-$J2329)*100</f>
        <v/>
      </c>
      <c r="BF2329" s="82">
        <f>($V2329-$L2329)*100</f>
        <v/>
      </c>
      <c r="BG2329" s="82">
        <f>$AG2329-$AF2329</f>
        <v/>
      </c>
      <c r="BH2329" s="81">
        <f>IFERROR($AG2329/$AF2329,"")</f>
        <v/>
      </c>
      <c r="BI2329" s="82">
        <f>$AJ2329-$AF2329</f>
        <v/>
      </c>
      <c r="BJ2329" s="81">
        <f>IFERROR($AJ2329/$AG2329,"")</f>
        <v/>
      </c>
      <c r="BK2329" s="81">
        <f>$X2329</f>
        <v/>
      </c>
      <c r="BL2329" s="82">
        <f>($J2329-$J2330)*100</f>
        <v/>
      </c>
      <c r="BM2329" s="82">
        <f>($F2329-$F2330)*100</f>
        <v/>
      </c>
      <c r="BN2329" s="82">
        <f>$AF2329-$AF2330</f>
        <v/>
      </c>
      <c r="BO2329" s="82">
        <f>$AG2329-$AG2330</f>
        <v/>
      </c>
      <c r="BP2329" s="82">
        <f>$AJ2329-$AJ2330</f>
        <v/>
      </c>
    </row>
    <row r="2330">
      <c r="AR2330" s="81">
        <f>($G2330+($H2330-$G2330)*0.5)+($P2330-($O2330+($Q2330-$O2330)*0.5))</f>
        <v/>
      </c>
      <c r="AS2330" s="81">
        <f>($J2330+($K2330-$J2330)*0.5)+($T2330-($S2330+($U2330-$S2330)*0.5))</f>
        <v/>
      </c>
      <c r="AT2330" s="82">
        <f>($J2330-$C2330)*100</f>
        <v/>
      </c>
      <c r="AU2330" s="82">
        <f>($H2330-$F2330)*100</f>
        <v/>
      </c>
      <c r="AV2330" s="82">
        <f>($J2330-$F2330)*100</f>
        <v/>
      </c>
      <c r="AW2330" s="82">
        <f>($L2330-$F2330)*100</f>
        <v/>
      </c>
      <c r="AX2330" s="82">
        <f>($J2330-$H2330)*100</f>
        <v/>
      </c>
      <c r="AY2330" s="82">
        <f>($L2330-$H2330)*100</f>
        <v/>
      </c>
      <c r="AZ2330" s="82">
        <f>($L2330-$J2330)*100</f>
        <v/>
      </c>
      <c r="BA2330" s="82">
        <f>(2*$H2330-$F2330-$J2330)*100</f>
        <v/>
      </c>
      <c r="BB2330" s="82">
        <f>(2*$J2330-$H2330-$L2330)*100</f>
        <v/>
      </c>
      <c r="BC2330" s="82">
        <f>($N2330-$F2330)*100</f>
        <v/>
      </c>
      <c r="BD2330" s="82">
        <f>($Q2330-$H2330)*100</f>
        <v/>
      </c>
      <c r="BE2330" s="82">
        <f>($S2330-$J2330)*100</f>
        <v/>
      </c>
      <c r="BF2330" s="82">
        <f>($V2330-$L2330)*100</f>
        <v/>
      </c>
      <c r="BG2330" s="82">
        <f>$AG2330-$AF2330</f>
        <v/>
      </c>
      <c r="BH2330" s="81">
        <f>IFERROR($AG2330/$AF2330,"")</f>
        <v/>
      </c>
      <c r="BI2330" s="82">
        <f>$AJ2330-$AF2330</f>
        <v/>
      </c>
      <c r="BJ2330" s="81">
        <f>IFERROR($AJ2330/$AG2330,"")</f>
        <v/>
      </c>
      <c r="BK2330" s="81">
        <f>$X2330</f>
        <v/>
      </c>
      <c r="BL2330" s="82">
        <f>($J2330-$J2331)*100</f>
        <v/>
      </c>
      <c r="BM2330" s="82">
        <f>($F2330-$F2331)*100</f>
        <v/>
      </c>
      <c r="BN2330" s="82">
        <f>$AF2330-$AF2331</f>
        <v/>
      </c>
      <c r="BO2330" s="82">
        <f>$AG2330-$AG2331</f>
        <v/>
      </c>
      <c r="BP2330" s="82">
        <f>$AJ2330-$AJ2331</f>
        <v/>
      </c>
    </row>
    <row r="2331">
      <c r="AR2331" s="81">
        <f>($G2331+($H2331-$G2331)*0.5)+($P2331-($O2331+($Q2331-$O2331)*0.5))</f>
        <v/>
      </c>
      <c r="AS2331" s="81">
        <f>($J2331+($K2331-$J2331)*0.5)+($T2331-($S2331+($U2331-$S2331)*0.5))</f>
        <v/>
      </c>
      <c r="AT2331" s="82">
        <f>($J2331-$C2331)*100</f>
        <v/>
      </c>
      <c r="AU2331" s="82">
        <f>($H2331-$F2331)*100</f>
        <v/>
      </c>
      <c r="AV2331" s="82">
        <f>($J2331-$F2331)*100</f>
        <v/>
      </c>
      <c r="AW2331" s="82">
        <f>($L2331-$F2331)*100</f>
        <v/>
      </c>
      <c r="AX2331" s="82">
        <f>($J2331-$H2331)*100</f>
        <v/>
      </c>
      <c r="AY2331" s="82">
        <f>($L2331-$H2331)*100</f>
        <v/>
      </c>
      <c r="AZ2331" s="82">
        <f>($L2331-$J2331)*100</f>
        <v/>
      </c>
      <c r="BA2331" s="82">
        <f>(2*$H2331-$F2331-$J2331)*100</f>
        <v/>
      </c>
      <c r="BB2331" s="82">
        <f>(2*$J2331-$H2331-$L2331)*100</f>
        <v/>
      </c>
      <c r="BC2331" s="82">
        <f>($N2331-$F2331)*100</f>
        <v/>
      </c>
      <c r="BD2331" s="82">
        <f>($Q2331-$H2331)*100</f>
        <v/>
      </c>
      <c r="BE2331" s="82">
        <f>($S2331-$J2331)*100</f>
        <v/>
      </c>
      <c r="BF2331" s="82">
        <f>($V2331-$L2331)*100</f>
        <v/>
      </c>
      <c r="BG2331" s="82">
        <f>$AG2331-$AF2331</f>
        <v/>
      </c>
      <c r="BH2331" s="81">
        <f>IFERROR($AG2331/$AF2331,"")</f>
        <v/>
      </c>
      <c r="BI2331" s="82">
        <f>$AJ2331-$AF2331</f>
        <v/>
      </c>
      <c r="BJ2331" s="81">
        <f>IFERROR($AJ2331/$AG2331,"")</f>
        <v/>
      </c>
      <c r="BK2331" s="81">
        <f>$X2331</f>
        <v/>
      </c>
      <c r="BL2331" s="82">
        <f>($J2331-$J2332)*100</f>
        <v/>
      </c>
      <c r="BM2331" s="82">
        <f>($F2331-$F2332)*100</f>
        <v/>
      </c>
      <c r="BN2331" s="82">
        <f>$AF2331-$AF2332</f>
        <v/>
      </c>
      <c r="BO2331" s="82">
        <f>$AG2331-$AG2332</f>
        <v/>
      </c>
      <c r="BP2331" s="82">
        <f>$AJ2331-$AJ2332</f>
        <v/>
      </c>
    </row>
    <row r="2332">
      <c r="AR2332" s="81">
        <f>($G2332+($H2332-$G2332)*0.5)+($P2332-($O2332+($Q2332-$O2332)*0.5))</f>
        <v/>
      </c>
      <c r="AS2332" s="81">
        <f>($J2332+($K2332-$J2332)*0.5)+($T2332-($S2332+($U2332-$S2332)*0.5))</f>
        <v/>
      </c>
      <c r="AT2332" s="82">
        <f>($J2332-$C2332)*100</f>
        <v/>
      </c>
      <c r="AU2332" s="82">
        <f>($H2332-$F2332)*100</f>
        <v/>
      </c>
      <c r="AV2332" s="82">
        <f>($J2332-$F2332)*100</f>
        <v/>
      </c>
      <c r="AW2332" s="82">
        <f>($L2332-$F2332)*100</f>
        <v/>
      </c>
      <c r="AX2332" s="82">
        <f>($J2332-$H2332)*100</f>
        <v/>
      </c>
      <c r="AY2332" s="82">
        <f>($L2332-$H2332)*100</f>
        <v/>
      </c>
      <c r="AZ2332" s="82">
        <f>($L2332-$J2332)*100</f>
        <v/>
      </c>
      <c r="BA2332" s="82">
        <f>(2*$H2332-$F2332-$J2332)*100</f>
        <v/>
      </c>
      <c r="BB2332" s="82">
        <f>(2*$J2332-$H2332-$L2332)*100</f>
        <v/>
      </c>
      <c r="BC2332" s="82">
        <f>($N2332-$F2332)*100</f>
        <v/>
      </c>
      <c r="BD2332" s="82">
        <f>($Q2332-$H2332)*100</f>
        <v/>
      </c>
      <c r="BE2332" s="82">
        <f>($S2332-$J2332)*100</f>
        <v/>
      </c>
      <c r="BF2332" s="82">
        <f>($V2332-$L2332)*100</f>
        <v/>
      </c>
      <c r="BG2332" s="82">
        <f>$AG2332-$AF2332</f>
        <v/>
      </c>
      <c r="BH2332" s="81">
        <f>IFERROR($AG2332/$AF2332,"")</f>
        <v/>
      </c>
      <c r="BI2332" s="82">
        <f>$AJ2332-$AF2332</f>
        <v/>
      </c>
      <c r="BJ2332" s="81">
        <f>IFERROR($AJ2332/$AG2332,"")</f>
        <v/>
      </c>
      <c r="BK2332" s="81">
        <f>$X2332</f>
        <v/>
      </c>
      <c r="BL2332" s="82">
        <f>($J2332-$J2333)*100</f>
        <v/>
      </c>
      <c r="BM2332" s="82">
        <f>($F2332-$F2333)*100</f>
        <v/>
      </c>
      <c r="BN2332" s="82">
        <f>$AF2332-$AF2333</f>
        <v/>
      </c>
      <c r="BO2332" s="82">
        <f>$AG2332-$AG2333</f>
        <v/>
      </c>
      <c r="BP2332" s="82">
        <f>$AJ2332-$AJ2333</f>
        <v/>
      </c>
    </row>
    <row r="2333">
      <c r="AR2333" s="81">
        <f>($G2333+($H2333-$G2333)*0.5)+($P2333-($O2333+($Q2333-$O2333)*0.5))</f>
        <v/>
      </c>
      <c r="AS2333" s="81">
        <f>($J2333+($K2333-$J2333)*0.5)+($T2333-($S2333+($U2333-$S2333)*0.5))</f>
        <v/>
      </c>
      <c r="AT2333" s="82">
        <f>($J2333-$C2333)*100</f>
        <v/>
      </c>
      <c r="AU2333" s="82">
        <f>($H2333-$F2333)*100</f>
        <v/>
      </c>
      <c r="AV2333" s="82">
        <f>($J2333-$F2333)*100</f>
        <v/>
      </c>
      <c r="AW2333" s="82">
        <f>($L2333-$F2333)*100</f>
        <v/>
      </c>
      <c r="AX2333" s="82">
        <f>($J2333-$H2333)*100</f>
        <v/>
      </c>
      <c r="AY2333" s="82">
        <f>($L2333-$H2333)*100</f>
        <v/>
      </c>
      <c r="AZ2333" s="82">
        <f>($L2333-$J2333)*100</f>
        <v/>
      </c>
      <c r="BA2333" s="82">
        <f>(2*$H2333-$F2333-$J2333)*100</f>
        <v/>
      </c>
      <c r="BB2333" s="82">
        <f>(2*$J2333-$H2333-$L2333)*100</f>
        <v/>
      </c>
      <c r="BC2333" s="82">
        <f>($N2333-$F2333)*100</f>
        <v/>
      </c>
      <c r="BD2333" s="82">
        <f>($Q2333-$H2333)*100</f>
        <v/>
      </c>
      <c r="BE2333" s="82">
        <f>($S2333-$J2333)*100</f>
        <v/>
      </c>
      <c r="BF2333" s="82">
        <f>($V2333-$L2333)*100</f>
        <v/>
      </c>
      <c r="BG2333" s="82">
        <f>$AG2333-$AF2333</f>
        <v/>
      </c>
      <c r="BH2333" s="81">
        <f>IFERROR($AG2333/$AF2333,"")</f>
        <v/>
      </c>
      <c r="BI2333" s="82">
        <f>$AJ2333-$AF2333</f>
        <v/>
      </c>
      <c r="BJ2333" s="81">
        <f>IFERROR($AJ2333/$AG2333,"")</f>
        <v/>
      </c>
      <c r="BK2333" s="81">
        <f>$X2333</f>
        <v/>
      </c>
      <c r="BL2333" s="82">
        <f>($J2333-$J2334)*100</f>
        <v/>
      </c>
      <c r="BM2333" s="82">
        <f>($F2333-$F2334)*100</f>
        <v/>
      </c>
      <c r="BN2333" s="82">
        <f>$AF2333-$AF2334</f>
        <v/>
      </c>
      <c r="BO2333" s="82">
        <f>$AG2333-$AG2334</f>
        <v/>
      </c>
      <c r="BP2333" s="82">
        <f>$AJ2333-$AJ2334</f>
        <v/>
      </c>
    </row>
    <row r="2334">
      <c r="AR2334" s="81">
        <f>($G2334+($H2334-$G2334)*0.5)+($P2334-($O2334+($Q2334-$O2334)*0.5))</f>
        <v/>
      </c>
      <c r="AS2334" s="81">
        <f>($J2334+($K2334-$J2334)*0.5)+($T2334-($S2334+($U2334-$S2334)*0.5))</f>
        <v/>
      </c>
      <c r="AT2334" s="82">
        <f>($J2334-$C2334)*100</f>
        <v/>
      </c>
      <c r="AU2334" s="82">
        <f>($H2334-$F2334)*100</f>
        <v/>
      </c>
      <c r="AV2334" s="82">
        <f>($J2334-$F2334)*100</f>
        <v/>
      </c>
      <c r="AW2334" s="82">
        <f>($L2334-$F2334)*100</f>
        <v/>
      </c>
      <c r="AX2334" s="82">
        <f>($J2334-$H2334)*100</f>
        <v/>
      </c>
      <c r="AY2334" s="82">
        <f>($L2334-$H2334)*100</f>
        <v/>
      </c>
      <c r="AZ2334" s="82">
        <f>($L2334-$J2334)*100</f>
        <v/>
      </c>
      <c r="BA2334" s="82">
        <f>(2*$H2334-$F2334-$J2334)*100</f>
        <v/>
      </c>
      <c r="BB2334" s="82">
        <f>(2*$J2334-$H2334-$L2334)*100</f>
        <v/>
      </c>
      <c r="BC2334" s="82">
        <f>($N2334-$F2334)*100</f>
        <v/>
      </c>
      <c r="BD2334" s="82">
        <f>($Q2334-$H2334)*100</f>
        <v/>
      </c>
      <c r="BE2334" s="82">
        <f>($S2334-$J2334)*100</f>
        <v/>
      </c>
      <c r="BF2334" s="82">
        <f>($V2334-$L2334)*100</f>
        <v/>
      </c>
      <c r="BG2334" s="82">
        <f>$AG2334-$AF2334</f>
        <v/>
      </c>
      <c r="BH2334" s="81">
        <f>IFERROR($AG2334/$AF2334,"")</f>
        <v/>
      </c>
      <c r="BI2334" s="82">
        <f>$AJ2334-$AF2334</f>
        <v/>
      </c>
      <c r="BJ2334" s="81">
        <f>IFERROR($AJ2334/$AG2334,"")</f>
        <v/>
      </c>
      <c r="BK2334" s="81">
        <f>$X2334</f>
        <v/>
      </c>
      <c r="BL2334" s="82">
        <f>($J2334-$J2335)*100</f>
        <v/>
      </c>
      <c r="BM2334" s="82">
        <f>($F2334-$F2335)*100</f>
        <v/>
      </c>
      <c r="BN2334" s="82">
        <f>$AF2334-$AF2335</f>
        <v/>
      </c>
      <c r="BO2334" s="82">
        <f>$AG2334-$AG2335</f>
        <v/>
      </c>
      <c r="BP2334" s="82">
        <f>$AJ2334-$AJ2335</f>
        <v/>
      </c>
    </row>
    <row r="2335">
      <c r="AR2335" s="81">
        <f>($G2335+($H2335-$G2335)*0.5)+($P2335-($O2335+($Q2335-$O2335)*0.5))</f>
        <v/>
      </c>
      <c r="AS2335" s="81">
        <f>($J2335+($K2335-$J2335)*0.5)+($T2335-($S2335+($U2335-$S2335)*0.5))</f>
        <v/>
      </c>
      <c r="AT2335" s="82">
        <f>($J2335-$C2335)*100</f>
        <v/>
      </c>
      <c r="AU2335" s="82">
        <f>($H2335-$F2335)*100</f>
        <v/>
      </c>
      <c r="AV2335" s="82">
        <f>($J2335-$F2335)*100</f>
        <v/>
      </c>
      <c r="AW2335" s="82">
        <f>($L2335-$F2335)*100</f>
        <v/>
      </c>
      <c r="AX2335" s="82">
        <f>($J2335-$H2335)*100</f>
        <v/>
      </c>
      <c r="AY2335" s="82">
        <f>($L2335-$H2335)*100</f>
        <v/>
      </c>
      <c r="AZ2335" s="82">
        <f>($L2335-$J2335)*100</f>
        <v/>
      </c>
      <c r="BA2335" s="82">
        <f>(2*$H2335-$F2335-$J2335)*100</f>
        <v/>
      </c>
      <c r="BB2335" s="82">
        <f>(2*$J2335-$H2335-$L2335)*100</f>
        <v/>
      </c>
      <c r="BC2335" s="82">
        <f>($N2335-$F2335)*100</f>
        <v/>
      </c>
      <c r="BD2335" s="82">
        <f>($Q2335-$H2335)*100</f>
        <v/>
      </c>
      <c r="BE2335" s="82">
        <f>($S2335-$J2335)*100</f>
        <v/>
      </c>
      <c r="BF2335" s="82">
        <f>($V2335-$L2335)*100</f>
        <v/>
      </c>
      <c r="BG2335" s="82">
        <f>$AG2335-$AF2335</f>
        <v/>
      </c>
      <c r="BH2335" s="81">
        <f>IFERROR($AG2335/$AF2335,"")</f>
        <v/>
      </c>
      <c r="BI2335" s="82">
        <f>$AJ2335-$AF2335</f>
        <v/>
      </c>
      <c r="BJ2335" s="81">
        <f>IFERROR($AJ2335/$AG2335,"")</f>
        <v/>
      </c>
      <c r="BK2335" s="81">
        <f>$X2335</f>
        <v/>
      </c>
      <c r="BL2335" s="82">
        <f>($J2335-$J2336)*100</f>
        <v/>
      </c>
      <c r="BM2335" s="82">
        <f>($F2335-$F2336)*100</f>
        <v/>
      </c>
      <c r="BN2335" s="82">
        <f>$AF2335-$AF2336</f>
        <v/>
      </c>
      <c r="BO2335" s="82">
        <f>$AG2335-$AG2336</f>
        <v/>
      </c>
      <c r="BP2335" s="82">
        <f>$AJ2335-$AJ2336</f>
        <v/>
      </c>
    </row>
    <row r="2336">
      <c r="AR2336" s="81">
        <f>($G2336+($H2336-$G2336)*0.5)+($P2336-($O2336+($Q2336-$O2336)*0.5))</f>
        <v/>
      </c>
      <c r="AS2336" s="81">
        <f>($J2336+($K2336-$J2336)*0.5)+($T2336-($S2336+($U2336-$S2336)*0.5))</f>
        <v/>
      </c>
      <c r="AT2336" s="82">
        <f>($J2336-$C2336)*100</f>
        <v/>
      </c>
      <c r="AU2336" s="82">
        <f>($H2336-$F2336)*100</f>
        <v/>
      </c>
      <c r="AV2336" s="82">
        <f>($J2336-$F2336)*100</f>
        <v/>
      </c>
      <c r="AW2336" s="82">
        <f>($L2336-$F2336)*100</f>
        <v/>
      </c>
      <c r="AX2336" s="82">
        <f>($J2336-$H2336)*100</f>
        <v/>
      </c>
      <c r="AY2336" s="82">
        <f>($L2336-$H2336)*100</f>
        <v/>
      </c>
      <c r="AZ2336" s="82">
        <f>($L2336-$J2336)*100</f>
        <v/>
      </c>
      <c r="BA2336" s="82">
        <f>(2*$H2336-$F2336-$J2336)*100</f>
        <v/>
      </c>
      <c r="BB2336" s="82">
        <f>(2*$J2336-$H2336-$L2336)*100</f>
        <v/>
      </c>
      <c r="BC2336" s="82">
        <f>($N2336-$F2336)*100</f>
        <v/>
      </c>
      <c r="BD2336" s="82">
        <f>($Q2336-$H2336)*100</f>
        <v/>
      </c>
      <c r="BE2336" s="82">
        <f>($S2336-$J2336)*100</f>
        <v/>
      </c>
      <c r="BF2336" s="82">
        <f>($V2336-$L2336)*100</f>
        <v/>
      </c>
      <c r="BG2336" s="82">
        <f>$AG2336-$AF2336</f>
        <v/>
      </c>
      <c r="BH2336" s="81">
        <f>IFERROR($AG2336/$AF2336,"")</f>
        <v/>
      </c>
      <c r="BI2336" s="82">
        <f>$AJ2336-$AF2336</f>
        <v/>
      </c>
      <c r="BJ2336" s="81">
        <f>IFERROR($AJ2336/$AG2336,"")</f>
        <v/>
      </c>
      <c r="BK2336" s="81">
        <f>$X2336</f>
        <v/>
      </c>
      <c r="BL2336" s="82">
        <f>($J2336-$J2337)*100</f>
        <v/>
      </c>
      <c r="BM2336" s="82">
        <f>($F2336-$F2337)*100</f>
        <v/>
      </c>
      <c r="BN2336" s="82">
        <f>$AF2336-$AF2337</f>
        <v/>
      </c>
      <c r="BO2336" s="82">
        <f>$AG2336-$AG2337</f>
        <v/>
      </c>
      <c r="BP2336" s="82">
        <f>$AJ2336-$AJ2337</f>
        <v/>
      </c>
    </row>
    <row r="2337">
      <c r="AR2337" s="81">
        <f>($G2337+($H2337-$G2337)*0.5)+($P2337-($O2337+($Q2337-$O2337)*0.5))</f>
        <v/>
      </c>
      <c r="AS2337" s="81">
        <f>($J2337+($K2337-$J2337)*0.5)+($T2337-($S2337+($U2337-$S2337)*0.5))</f>
        <v/>
      </c>
      <c r="AT2337" s="82">
        <f>($J2337-$C2337)*100</f>
        <v/>
      </c>
      <c r="AU2337" s="82">
        <f>($H2337-$F2337)*100</f>
        <v/>
      </c>
      <c r="AV2337" s="82">
        <f>($J2337-$F2337)*100</f>
        <v/>
      </c>
      <c r="AW2337" s="82">
        <f>($L2337-$F2337)*100</f>
        <v/>
      </c>
      <c r="AX2337" s="82">
        <f>($J2337-$H2337)*100</f>
        <v/>
      </c>
      <c r="AY2337" s="82">
        <f>($L2337-$H2337)*100</f>
        <v/>
      </c>
      <c r="AZ2337" s="82">
        <f>($L2337-$J2337)*100</f>
        <v/>
      </c>
      <c r="BA2337" s="82">
        <f>(2*$H2337-$F2337-$J2337)*100</f>
        <v/>
      </c>
      <c r="BB2337" s="82">
        <f>(2*$J2337-$H2337-$L2337)*100</f>
        <v/>
      </c>
      <c r="BC2337" s="82">
        <f>($N2337-$F2337)*100</f>
        <v/>
      </c>
      <c r="BD2337" s="82">
        <f>($Q2337-$H2337)*100</f>
        <v/>
      </c>
      <c r="BE2337" s="82">
        <f>($S2337-$J2337)*100</f>
        <v/>
      </c>
      <c r="BF2337" s="82">
        <f>($V2337-$L2337)*100</f>
        <v/>
      </c>
      <c r="BG2337" s="82">
        <f>$AG2337-$AF2337</f>
        <v/>
      </c>
      <c r="BH2337" s="81">
        <f>IFERROR($AG2337/$AF2337,"")</f>
        <v/>
      </c>
      <c r="BI2337" s="82">
        <f>$AJ2337-$AF2337</f>
        <v/>
      </c>
      <c r="BJ2337" s="81">
        <f>IFERROR($AJ2337/$AG2337,"")</f>
        <v/>
      </c>
      <c r="BK2337" s="81">
        <f>$X2337</f>
        <v/>
      </c>
      <c r="BL2337" s="82">
        <f>($J2337-$J2338)*100</f>
        <v/>
      </c>
      <c r="BM2337" s="82">
        <f>($F2337-$F2338)*100</f>
        <v/>
      </c>
      <c r="BN2337" s="82">
        <f>$AF2337-$AF2338</f>
        <v/>
      </c>
      <c r="BO2337" s="82">
        <f>$AG2337-$AG2338</f>
        <v/>
      </c>
      <c r="BP2337" s="82">
        <f>$AJ2337-$AJ2338</f>
        <v/>
      </c>
    </row>
    <row r="2338">
      <c r="AR2338" s="81">
        <f>($G2338+($H2338-$G2338)*0.5)+($P2338-($O2338+($Q2338-$O2338)*0.5))</f>
        <v/>
      </c>
      <c r="AS2338" s="81">
        <f>($J2338+($K2338-$J2338)*0.5)+($T2338-($S2338+($U2338-$S2338)*0.5))</f>
        <v/>
      </c>
      <c r="AT2338" s="82">
        <f>($J2338-$C2338)*100</f>
        <v/>
      </c>
      <c r="AU2338" s="82">
        <f>($H2338-$F2338)*100</f>
        <v/>
      </c>
      <c r="AV2338" s="82">
        <f>($J2338-$F2338)*100</f>
        <v/>
      </c>
      <c r="AW2338" s="82">
        <f>($L2338-$F2338)*100</f>
        <v/>
      </c>
      <c r="AX2338" s="82">
        <f>($J2338-$H2338)*100</f>
        <v/>
      </c>
      <c r="AY2338" s="82">
        <f>($L2338-$H2338)*100</f>
        <v/>
      </c>
      <c r="AZ2338" s="82">
        <f>($L2338-$J2338)*100</f>
        <v/>
      </c>
      <c r="BA2338" s="82">
        <f>(2*$H2338-$F2338-$J2338)*100</f>
        <v/>
      </c>
      <c r="BB2338" s="82">
        <f>(2*$J2338-$H2338-$L2338)*100</f>
        <v/>
      </c>
      <c r="BC2338" s="82">
        <f>($N2338-$F2338)*100</f>
        <v/>
      </c>
      <c r="BD2338" s="82">
        <f>($Q2338-$H2338)*100</f>
        <v/>
      </c>
      <c r="BE2338" s="82">
        <f>($S2338-$J2338)*100</f>
        <v/>
      </c>
      <c r="BF2338" s="82">
        <f>($V2338-$L2338)*100</f>
        <v/>
      </c>
      <c r="BG2338" s="82">
        <f>$AG2338-$AF2338</f>
        <v/>
      </c>
      <c r="BH2338" s="81">
        <f>IFERROR($AG2338/$AF2338,"")</f>
        <v/>
      </c>
      <c r="BI2338" s="82">
        <f>$AJ2338-$AF2338</f>
        <v/>
      </c>
      <c r="BJ2338" s="81">
        <f>IFERROR($AJ2338/$AG2338,"")</f>
        <v/>
      </c>
      <c r="BK2338" s="81">
        <f>$X2338</f>
        <v/>
      </c>
      <c r="BL2338" s="82">
        <f>($J2338-$J2339)*100</f>
        <v/>
      </c>
      <c r="BM2338" s="82">
        <f>($F2338-$F2339)*100</f>
        <v/>
      </c>
      <c r="BN2338" s="82">
        <f>$AF2338-$AF2339</f>
        <v/>
      </c>
      <c r="BO2338" s="82">
        <f>$AG2338-$AG2339</f>
        <v/>
      </c>
      <c r="BP2338" s="82">
        <f>$AJ2338-$AJ2339</f>
        <v/>
      </c>
    </row>
    <row r="2339">
      <c r="AR2339" s="81">
        <f>($G2339+($H2339-$G2339)*0.5)+($P2339-($O2339+($Q2339-$O2339)*0.5))</f>
        <v/>
      </c>
      <c r="AS2339" s="81">
        <f>($J2339+($K2339-$J2339)*0.5)+($T2339-($S2339+($U2339-$S2339)*0.5))</f>
        <v/>
      </c>
      <c r="AT2339" s="82">
        <f>($J2339-$C2339)*100</f>
        <v/>
      </c>
      <c r="AU2339" s="82">
        <f>($H2339-$F2339)*100</f>
        <v/>
      </c>
      <c r="AV2339" s="82">
        <f>($J2339-$F2339)*100</f>
        <v/>
      </c>
      <c r="AW2339" s="82">
        <f>($L2339-$F2339)*100</f>
        <v/>
      </c>
      <c r="AX2339" s="82">
        <f>($J2339-$H2339)*100</f>
        <v/>
      </c>
      <c r="AY2339" s="82">
        <f>($L2339-$H2339)*100</f>
        <v/>
      </c>
      <c r="AZ2339" s="82">
        <f>($L2339-$J2339)*100</f>
        <v/>
      </c>
      <c r="BA2339" s="82">
        <f>(2*$H2339-$F2339-$J2339)*100</f>
        <v/>
      </c>
      <c r="BB2339" s="82">
        <f>(2*$J2339-$H2339-$L2339)*100</f>
        <v/>
      </c>
      <c r="BC2339" s="82">
        <f>($N2339-$F2339)*100</f>
        <v/>
      </c>
      <c r="BD2339" s="82">
        <f>($Q2339-$H2339)*100</f>
        <v/>
      </c>
      <c r="BE2339" s="82">
        <f>($S2339-$J2339)*100</f>
        <v/>
      </c>
      <c r="BF2339" s="82">
        <f>($V2339-$L2339)*100</f>
        <v/>
      </c>
      <c r="BG2339" s="82">
        <f>$AG2339-$AF2339</f>
        <v/>
      </c>
      <c r="BH2339" s="81">
        <f>IFERROR($AG2339/$AF2339,"")</f>
        <v/>
      </c>
      <c r="BI2339" s="82">
        <f>$AJ2339-$AF2339</f>
        <v/>
      </c>
      <c r="BJ2339" s="81">
        <f>IFERROR($AJ2339/$AG2339,"")</f>
        <v/>
      </c>
      <c r="BK2339" s="81">
        <f>$X2339</f>
        <v/>
      </c>
      <c r="BL2339" s="82">
        <f>($J2339-$J2340)*100</f>
        <v/>
      </c>
      <c r="BM2339" s="82">
        <f>($F2339-$F2340)*100</f>
        <v/>
      </c>
      <c r="BN2339" s="82">
        <f>$AF2339-$AF2340</f>
        <v/>
      </c>
      <c r="BO2339" s="82">
        <f>$AG2339-$AG2340</f>
        <v/>
      </c>
      <c r="BP2339" s="82">
        <f>$AJ2339-$AJ2340</f>
        <v/>
      </c>
    </row>
    <row r="2340">
      <c r="AR2340" s="81">
        <f>($G2340+($H2340-$G2340)*0.5)+($P2340-($O2340+($Q2340-$O2340)*0.5))</f>
        <v/>
      </c>
      <c r="AS2340" s="81">
        <f>($J2340+($K2340-$J2340)*0.5)+($T2340-($S2340+($U2340-$S2340)*0.5))</f>
        <v/>
      </c>
      <c r="AT2340" s="82">
        <f>($J2340-$C2340)*100</f>
        <v/>
      </c>
      <c r="AU2340" s="82">
        <f>($H2340-$F2340)*100</f>
        <v/>
      </c>
      <c r="AV2340" s="82">
        <f>($J2340-$F2340)*100</f>
        <v/>
      </c>
      <c r="AW2340" s="82">
        <f>($L2340-$F2340)*100</f>
        <v/>
      </c>
      <c r="AX2340" s="82">
        <f>($J2340-$H2340)*100</f>
        <v/>
      </c>
      <c r="AY2340" s="82">
        <f>($L2340-$H2340)*100</f>
        <v/>
      </c>
      <c r="AZ2340" s="82">
        <f>($L2340-$J2340)*100</f>
        <v/>
      </c>
      <c r="BA2340" s="82">
        <f>(2*$H2340-$F2340-$J2340)*100</f>
        <v/>
      </c>
      <c r="BB2340" s="82">
        <f>(2*$J2340-$H2340-$L2340)*100</f>
        <v/>
      </c>
      <c r="BC2340" s="82">
        <f>($N2340-$F2340)*100</f>
        <v/>
      </c>
      <c r="BD2340" s="82">
        <f>($Q2340-$H2340)*100</f>
        <v/>
      </c>
      <c r="BE2340" s="82">
        <f>($S2340-$J2340)*100</f>
        <v/>
      </c>
      <c r="BF2340" s="82">
        <f>($V2340-$L2340)*100</f>
        <v/>
      </c>
      <c r="BG2340" s="82">
        <f>$AG2340-$AF2340</f>
        <v/>
      </c>
      <c r="BH2340" s="81">
        <f>IFERROR($AG2340/$AF2340,"")</f>
        <v/>
      </c>
      <c r="BI2340" s="82">
        <f>$AJ2340-$AF2340</f>
        <v/>
      </c>
      <c r="BJ2340" s="81">
        <f>IFERROR($AJ2340/$AG2340,"")</f>
        <v/>
      </c>
      <c r="BK2340" s="81">
        <f>$X2340</f>
        <v/>
      </c>
      <c r="BL2340" s="82">
        <f>($J2340-$J2341)*100</f>
        <v/>
      </c>
      <c r="BM2340" s="82">
        <f>($F2340-$F2341)*100</f>
        <v/>
      </c>
      <c r="BN2340" s="82">
        <f>$AF2340-$AF2341</f>
        <v/>
      </c>
      <c r="BO2340" s="82">
        <f>$AG2340-$AG2341</f>
        <v/>
      </c>
      <c r="BP2340" s="82">
        <f>$AJ2340-$AJ2341</f>
        <v/>
      </c>
    </row>
    <row r="2341">
      <c r="AR2341" s="81">
        <f>($G2341+($H2341-$G2341)*0.5)+($P2341-($O2341+($Q2341-$O2341)*0.5))</f>
        <v/>
      </c>
      <c r="AS2341" s="81">
        <f>($J2341+($K2341-$J2341)*0.5)+($T2341-($S2341+($U2341-$S2341)*0.5))</f>
        <v/>
      </c>
      <c r="AT2341" s="82">
        <f>($J2341-$C2341)*100</f>
        <v/>
      </c>
      <c r="AU2341" s="82">
        <f>($H2341-$F2341)*100</f>
        <v/>
      </c>
      <c r="AV2341" s="82">
        <f>($J2341-$F2341)*100</f>
        <v/>
      </c>
      <c r="AW2341" s="82">
        <f>($L2341-$F2341)*100</f>
        <v/>
      </c>
      <c r="AX2341" s="82">
        <f>($J2341-$H2341)*100</f>
        <v/>
      </c>
      <c r="AY2341" s="82">
        <f>($L2341-$H2341)*100</f>
        <v/>
      </c>
      <c r="AZ2341" s="82">
        <f>($L2341-$J2341)*100</f>
        <v/>
      </c>
      <c r="BA2341" s="82">
        <f>(2*$H2341-$F2341-$J2341)*100</f>
        <v/>
      </c>
      <c r="BB2341" s="82">
        <f>(2*$J2341-$H2341-$L2341)*100</f>
        <v/>
      </c>
      <c r="BC2341" s="82">
        <f>($N2341-$F2341)*100</f>
        <v/>
      </c>
      <c r="BD2341" s="82">
        <f>($Q2341-$H2341)*100</f>
        <v/>
      </c>
      <c r="BE2341" s="82">
        <f>($S2341-$J2341)*100</f>
        <v/>
      </c>
      <c r="BF2341" s="82">
        <f>($V2341-$L2341)*100</f>
        <v/>
      </c>
      <c r="BG2341" s="82">
        <f>$AG2341-$AF2341</f>
        <v/>
      </c>
      <c r="BH2341" s="81">
        <f>IFERROR($AG2341/$AF2341,"")</f>
        <v/>
      </c>
      <c r="BI2341" s="82">
        <f>$AJ2341-$AF2341</f>
        <v/>
      </c>
      <c r="BJ2341" s="81">
        <f>IFERROR($AJ2341/$AG2341,"")</f>
        <v/>
      </c>
      <c r="BK2341" s="81">
        <f>$X2341</f>
        <v/>
      </c>
      <c r="BL2341" s="82">
        <f>($J2341-$J2342)*100</f>
        <v/>
      </c>
      <c r="BM2341" s="82">
        <f>($F2341-$F2342)*100</f>
        <v/>
      </c>
      <c r="BN2341" s="82">
        <f>$AF2341-$AF2342</f>
        <v/>
      </c>
      <c r="BO2341" s="82">
        <f>$AG2341-$AG2342</f>
        <v/>
      </c>
      <c r="BP2341" s="82">
        <f>$AJ2341-$AJ2342</f>
        <v/>
      </c>
    </row>
    <row r="2342">
      <c r="AR2342" s="81">
        <f>($G2342+($H2342-$G2342)*0.5)+($P2342-($O2342+($Q2342-$O2342)*0.5))</f>
        <v/>
      </c>
      <c r="AS2342" s="81">
        <f>($J2342+($K2342-$J2342)*0.5)+($T2342-($S2342+($U2342-$S2342)*0.5))</f>
        <v/>
      </c>
      <c r="AT2342" s="82">
        <f>($J2342-$C2342)*100</f>
        <v/>
      </c>
      <c r="AU2342" s="82">
        <f>($H2342-$F2342)*100</f>
        <v/>
      </c>
      <c r="AV2342" s="82">
        <f>($J2342-$F2342)*100</f>
        <v/>
      </c>
      <c r="AW2342" s="82">
        <f>($L2342-$F2342)*100</f>
        <v/>
      </c>
      <c r="AX2342" s="82">
        <f>($J2342-$H2342)*100</f>
        <v/>
      </c>
      <c r="AY2342" s="82">
        <f>($L2342-$H2342)*100</f>
        <v/>
      </c>
      <c r="AZ2342" s="82">
        <f>($L2342-$J2342)*100</f>
        <v/>
      </c>
      <c r="BA2342" s="82">
        <f>(2*$H2342-$F2342-$J2342)*100</f>
        <v/>
      </c>
      <c r="BB2342" s="82">
        <f>(2*$J2342-$H2342-$L2342)*100</f>
        <v/>
      </c>
      <c r="BC2342" s="82">
        <f>($N2342-$F2342)*100</f>
        <v/>
      </c>
      <c r="BD2342" s="82">
        <f>($Q2342-$H2342)*100</f>
        <v/>
      </c>
      <c r="BE2342" s="82">
        <f>($S2342-$J2342)*100</f>
        <v/>
      </c>
      <c r="BF2342" s="82">
        <f>($V2342-$L2342)*100</f>
        <v/>
      </c>
      <c r="BG2342" s="82">
        <f>$AG2342-$AF2342</f>
        <v/>
      </c>
      <c r="BH2342" s="81">
        <f>IFERROR($AG2342/$AF2342,"")</f>
        <v/>
      </c>
      <c r="BI2342" s="82">
        <f>$AJ2342-$AF2342</f>
        <v/>
      </c>
      <c r="BJ2342" s="81">
        <f>IFERROR($AJ2342/$AG2342,"")</f>
        <v/>
      </c>
      <c r="BK2342" s="81">
        <f>$X2342</f>
        <v/>
      </c>
      <c r="BL2342" s="82">
        <f>($J2342-$J2343)*100</f>
        <v/>
      </c>
      <c r="BM2342" s="82">
        <f>($F2342-$F2343)*100</f>
        <v/>
      </c>
      <c r="BN2342" s="82">
        <f>$AF2342-$AF2343</f>
        <v/>
      </c>
      <c r="BO2342" s="82">
        <f>$AG2342-$AG2343</f>
        <v/>
      </c>
      <c r="BP2342" s="82">
        <f>$AJ2342-$AJ2343</f>
        <v/>
      </c>
    </row>
    <row r="2343">
      <c r="AR2343" s="81">
        <f>($G2343+($H2343-$G2343)*0.5)+($P2343-($O2343+($Q2343-$O2343)*0.5))</f>
        <v/>
      </c>
      <c r="AS2343" s="81">
        <f>($J2343+($K2343-$J2343)*0.5)+($T2343-($S2343+($U2343-$S2343)*0.5))</f>
        <v/>
      </c>
      <c r="AT2343" s="82">
        <f>($J2343-$C2343)*100</f>
        <v/>
      </c>
      <c r="AU2343" s="82">
        <f>($H2343-$F2343)*100</f>
        <v/>
      </c>
      <c r="AV2343" s="82">
        <f>($J2343-$F2343)*100</f>
        <v/>
      </c>
      <c r="AW2343" s="82">
        <f>($L2343-$F2343)*100</f>
        <v/>
      </c>
      <c r="AX2343" s="82">
        <f>($J2343-$H2343)*100</f>
        <v/>
      </c>
      <c r="AY2343" s="82">
        <f>($L2343-$H2343)*100</f>
        <v/>
      </c>
      <c r="AZ2343" s="82">
        <f>($L2343-$J2343)*100</f>
        <v/>
      </c>
      <c r="BA2343" s="82">
        <f>(2*$H2343-$F2343-$J2343)*100</f>
        <v/>
      </c>
      <c r="BB2343" s="82">
        <f>(2*$J2343-$H2343-$L2343)*100</f>
        <v/>
      </c>
      <c r="BC2343" s="82">
        <f>($N2343-$F2343)*100</f>
        <v/>
      </c>
      <c r="BD2343" s="82">
        <f>($Q2343-$H2343)*100</f>
        <v/>
      </c>
      <c r="BE2343" s="82">
        <f>($S2343-$J2343)*100</f>
        <v/>
      </c>
      <c r="BF2343" s="82">
        <f>($V2343-$L2343)*100</f>
        <v/>
      </c>
      <c r="BG2343" s="82">
        <f>$AG2343-$AF2343</f>
        <v/>
      </c>
      <c r="BH2343" s="81">
        <f>IFERROR($AG2343/$AF2343,"")</f>
        <v/>
      </c>
      <c r="BI2343" s="82">
        <f>$AJ2343-$AF2343</f>
        <v/>
      </c>
      <c r="BJ2343" s="81">
        <f>IFERROR($AJ2343/$AG2343,"")</f>
        <v/>
      </c>
      <c r="BK2343" s="81">
        <f>$X2343</f>
        <v/>
      </c>
      <c r="BL2343" s="82">
        <f>($J2343-$J2344)*100</f>
        <v/>
      </c>
      <c r="BM2343" s="82">
        <f>($F2343-$F2344)*100</f>
        <v/>
      </c>
      <c r="BN2343" s="82">
        <f>$AF2343-$AF2344</f>
        <v/>
      </c>
      <c r="BO2343" s="82">
        <f>$AG2343-$AG2344</f>
        <v/>
      </c>
      <c r="BP2343" s="82">
        <f>$AJ2343-$AJ2344</f>
        <v/>
      </c>
    </row>
    <row r="2344">
      <c r="AR2344" s="81">
        <f>($G2344+($H2344-$G2344)*0.5)+($P2344-($O2344+($Q2344-$O2344)*0.5))</f>
        <v/>
      </c>
      <c r="AS2344" s="81">
        <f>($J2344+($K2344-$J2344)*0.5)+($T2344-($S2344+($U2344-$S2344)*0.5))</f>
        <v/>
      </c>
      <c r="AT2344" s="82">
        <f>($J2344-$C2344)*100</f>
        <v/>
      </c>
      <c r="AU2344" s="82">
        <f>($H2344-$F2344)*100</f>
        <v/>
      </c>
      <c r="AV2344" s="82">
        <f>($J2344-$F2344)*100</f>
        <v/>
      </c>
      <c r="AW2344" s="82">
        <f>($L2344-$F2344)*100</f>
        <v/>
      </c>
      <c r="AX2344" s="82">
        <f>($J2344-$H2344)*100</f>
        <v/>
      </c>
      <c r="AY2344" s="82">
        <f>($L2344-$H2344)*100</f>
        <v/>
      </c>
      <c r="AZ2344" s="82">
        <f>($L2344-$J2344)*100</f>
        <v/>
      </c>
      <c r="BA2344" s="82">
        <f>(2*$H2344-$F2344-$J2344)*100</f>
        <v/>
      </c>
      <c r="BB2344" s="82">
        <f>(2*$J2344-$H2344-$L2344)*100</f>
        <v/>
      </c>
      <c r="BC2344" s="82">
        <f>($N2344-$F2344)*100</f>
        <v/>
      </c>
      <c r="BD2344" s="82">
        <f>($Q2344-$H2344)*100</f>
        <v/>
      </c>
      <c r="BE2344" s="82">
        <f>($S2344-$J2344)*100</f>
        <v/>
      </c>
      <c r="BF2344" s="82">
        <f>($V2344-$L2344)*100</f>
        <v/>
      </c>
      <c r="BG2344" s="82">
        <f>$AG2344-$AF2344</f>
        <v/>
      </c>
      <c r="BH2344" s="81">
        <f>IFERROR($AG2344/$AF2344,"")</f>
        <v/>
      </c>
      <c r="BI2344" s="82">
        <f>$AJ2344-$AF2344</f>
        <v/>
      </c>
      <c r="BJ2344" s="81">
        <f>IFERROR($AJ2344/$AG2344,"")</f>
        <v/>
      </c>
      <c r="BK2344" s="81">
        <f>$X2344</f>
        <v/>
      </c>
      <c r="BL2344" s="82">
        <f>($J2344-$J2345)*100</f>
        <v/>
      </c>
      <c r="BM2344" s="82">
        <f>($F2344-$F2345)*100</f>
        <v/>
      </c>
      <c r="BN2344" s="82">
        <f>$AF2344-$AF2345</f>
        <v/>
      </c>
      <c r="BO2344" s="82">
        <f>$AG2344-$AG2345</f>
        <v/>
      </c>
      <c r="BP2344" s="82">
        <f>$AJ2344-$AJ2345</f>
        <v/>
      </c>
    </row>
    <row r="2345">
      <c r="AR2345" s="81">
        <f>($G2345+($H2345-$G2345)*0.5)+($P2345-($O2345+($Q2345-$O2345)*0.5))</f>
        <v/>
      </c>
      <c r="AS2345" s="81">
        <f>($J2345+($K2345-$J2345)*0.5)+($T2345-($S2345+($U2345-$S2345)*0.5))</f>
        <v/>
      </c>
      <c r="AT2345" s="82">
        <f>($J2345-$C2345)*100</f>
        <v/>
      </c>
      <c r="AU2345" s="82">
        <f>($H2345-$F2345)*100</f>
        <v/>
      </c>
      <c r="AV2345" s="82">
        <f>($J2345-$F2345)*100</f>
        <v/>
      </c>
      <c r="AW2345" s="82">
        <f>($L2345-$F2345)*100</f>
        <v/>
      </c>
      <c r="AX2345" s="82">
        <f>($J2345-$H2345)*100</f>
        <v/>
      </c>
      <c r="AY2345" s="82">
        <f>($L2345-$H2345)*100</f>
        <v/>
      </c>
      <c r="AZ2345" s="82">
        <f>($L2345-$J2345)*100</f>
        <v/>
      </c>
      <c r="BA2345" s="82">
        <f>(2*$H2345-$F2345-$J2345)*100</f>
        <v/>
      </c>
      <c r="BB2345" s="82">
        <f>(2*$J2345-$H2345-$L2345)*100</f>
        <v/>
      </c>
      <c r="BC2345" s="82">
        <f>($N2345-$F2345)*100</f>
        <v/>
      </c>
      <c r="BD2345" s="82">
        <f>($Q2345-$H2345)*100</f>
        <v/>
      </c>
      <c r="BE2345" s="82">
        <f>($S2345-$J2345)*100</f>
        <v/>
      </c>
      <c r="BF2345" s="82">
        <f>($V2345-$L2345)*100</f>
        <v/>
      </c>
      <c r="BG2345" s="82">
        <f>$AG2345-$AF2345</f>
        <v/>
      </c>
      <c r="BH2345" s="81">
        <f>IFERROR($AG2345/$AF2345,"")</f>
        <v/>
      </c>
      <c r="BI2345" s="82">
        <f>$AJ2345-$AF2345</f>
        <v/>
      </c>
      <c r="BJ2345" s="81">
        <f>IFERROR($AJ2345/$AG2345,"")</f>
        <v/>
      </c>
      <c r="BK2345" s="81">
        <f>$X2345</f>
        <v/>
      </c>
      <c r="BL2345" s="82">
        <f>($J2345-$J2346)*100</f>
        <v/>
      </c>
      <c r="BM2345" s="82">
        <f>($F2345-$F2346)*100</f>
        <v/>
      </c>
      <c r="BN2345" s="82">
        <f>$AF2345-$AF2346</f>
        <v/>
      </c>
      <c r="BO2345" s="82">
        <f>$AG2345-$AG2346</f>
        <v/>
      </c>
      <c r="BP2345" s="82">
        <f>$AJ2345-$AJ2346</f>
        <v/>
      </c>
    </row>
    <row r="2346">
      <c r="AR2346" s="81">
        <f>($G2346+($H2346-$G2346)*0.5)+($P2346-($O2346+($Q2346-$O2346)*0.5))</f>
        <v/>
      </c>
      <c r="AS2346" s="81">
        <f>($J2346+($K2346-$J2346)*0.5)+($T2346-($S2346+($U2346-$S2346)*0.5))</f>
        <v/>
      </c>
      <c r="AT2346" s="82">
        <f>($J2346-$C2346)*100</f>
        <v/>
      </c>
      <c r="AU2346" s="82">
        <f>($H2346-$F2346)*100</f>
        <v/>
      </c>
      <c r="AV2346" s="82">
        <f>($J2346-$F2346)*100</f>
        <v/>
      </c>
      <c r="AW2346" s="82">
        <f>($L2346-$F2346)*100</f>
        <v/>
      </c>
      <c r="AX2346" s="82">
        <f>($J2346-$H2346)*100</f>
        <v/>
      </c>
      <c r="AY2346" s="82">
        <f>($L2346-$H2346)*100</f>
        <v/>
      </c>
      <c r="AZ2346" s="82">
        <f>($L2346-$J2346)*100</f>
        <v/>
      </c>
      <c r="BA2346" s="82">
        <f>(2*$H2346-$F2346-$J2346)*100</f>
        <v/>
      </c>
      <c r="BB2346" s="82">
        <f>(2*$J2346-$H2346-$L2346)*100</f>
        <v/>
      </c>
      <c r="BC2346" s="82">
        <f>($N2346-$F2346)*100</f>
        <v/>
      </c>
      <c r="BD2346" s="82">
        <f>($Q2346-$H2346)*100</f>
        <v/>
      </c>
      <c r="BE2346" s="82">
        <f>($S2346-$J2346)*100</f>
        <v/>
      </c>
      <c r="BF2346" s="82">
        <f>($V2346-$L2346)*100</f>
        <v/>
      </c>
      <c r="BG2346" s="82">
        <f>$AG2346-$AF2346</f>
        <v/>
      </c>
      <c r="BH2346" s="81">
        <f>IFERROR($AG2346/$AF2346,"")</f>
        <v/>
      </c>
      <c r="BI2346" s="82">
        <f>$AJ2346-$AF2346</f>
        <v/>
      </c>
      <c r="BJ2346" s="81">
        <f>IFERROR($AJ2346/$AG2346,"")</f>
        <v/>
      </c>
      <c r="BK2346" s="81">
        <f>$X2346</f>
        <v/>
      </c>
      <c r="BL2346" s="82">
        <f>($J2346-$J2347)*100</f>
        <v/>
      </c>
      <c r="BM2346" s="82">
        <f>($F2346-$F2347)*100</f>
        <v/>
      </c>
      <c r="BN2346" s="82">
        <f>$AF2346-$AF2347</f>
        <v/>
      </c>
      <c r="BO2346" s="82">
        <f>$AG2346-$AG2347</f>
        <v/>
      </c>
      <c r="BP2346" s="82">
        <f>$AJ2346-$AJ2347</f>
        <v/>
      </c>
    </row>
    <row r="2347">
      <c r="AR2347" s="81">
        <f>($G2347+($H2347-$G2347)*0.5)+($P2347-($O2347+($Q2347-$O2347)*0.5))</f>
        <v/>
      </c>
      <c r="AS2347" s="81">
        <f>($J2347+($K2347-$J2347)*0.5)+($T2347-($S2347+($U2347-$S2347)*0.5))</f>
        <v/>
      </c>
      <c r="AT2347" s="82">
        <f>($J2347-$C2347)*100</f>
        <v/>
      </c>
      <c r="AU2347" s="82">
        <f>($H2347-$F2347)*100</f>
        <v/>
      </c>
      <c r="AV2347" s="82">
        <f>($J2347-$F2347)*100</f>
        <v/>
      </c>
      <c r="AW2347" s="82">
        <f>($L2347-$F2347)*100</f>
        <v/>
      </c>
      <c r="AX2347" s="82">
        <f>($J2347-$H2347)*100</f>
        <v/>
      </c>
      <c r="AY2347" s="82">
        <f>($L2347-$H2347)*100</f>
        <v/>
      </c>
      <c r="AZ2347" s="82">
        <f>($L2347-$J2347)*100</f>
        <v/>
      </c>
      <c r="BA2347" s="82">
        <f>(2*$H2347-$F2347-$J2347)*100</f>
        <v/>
      </c>
      <c r="BB2347" s="82">
        <f>(2*$J2347-$H2347-$L2347)*100</f>
        <v/>
      </c>
      <c r="BC2347" s="82">
        <f>($N2347-$F2347)*100</f>
        <v/>
      </c>
      <c r="BD2347" s="82">
        <f>($Q2347-$H2347)*100</f>
        <v/>
      </c>
      <c r="BE2347" s="82">
        <f>($S2347-$J2347)*100</f>
        <v/>
      </c>
      <c r="BF2347" s="82">
        <f>($V2347-$L2347)*100</f>
        <v/>
      </c>
      <c r="BG2347" s="82">
        <f>$AG2347-$AF2347</f>
        <v/>
      </c>
      <c r="BH2347" s="81">
        <f>IFERROR($AG2347/$AF2347,"")</f>
        <v/>
      </c>
      <c r="BI2347" s="82">
        <f>$AJ2347-$AF2347</f>
        <v/>
      </c>
      <c r="BJ2347" s="81">
        <f>IFERROR($AJ2347/$AG2347,"")</f>
        <v/>
      </c>
      <c r="BK2347" s="81">
        <f>$X2347</f>
        <v/>
      </c>
      <c r="BL2347" s="82">
        <f>($J2347-$J2348)*100</f>
        <v/>
      </c>
      <c r="BM2347" s="82">
        <f>($F2347-$F2348)*100</f>
        <v/>
      </c>
      <c r="BN2347" s="82">
        <f>$AF2347-$AF2348</f>
        <v/>
      </c>
      <c r="BO2347" s="82">
        <f>$AG2347-$AG2348</f>
        <v/>
      </c>
      <c r="BP2347" s="82">
        <f>$AJ2347-$AJ2348</f>
        <v/>
      </c>
    </row>
    <row r="2348">
      <c r="AR2348" s="81">
        <f>($G2348+($H2348-$G2348)*0.5)+($P2348-($O2348+($Q2348-$O2348)*0.5))</f>
        <v/>
      </c>
      <c r="AS2348" s="81">
        <f>($J2348+($K2348-$J2348)*0.5)+($T2348-($S2348+($U2348-$S2348)*0.5))</f>
        <v/>
      </c>
      <c r="AT2348" s="82">
        <f>($J2348-$C2348)*100</f>
        <v/>
      </c>
      <c r="AU2348" s="82">
        <f>($H2348-$F2348)*100</f>
        <v/>
      </c>
      <c r="AV2348" s="82">
        <f>($J2348-$F2348)*100</f>
        <v/>
      </c>
      <c r="AW2348" s="82">
        <f>($L2348-$F2348)*100</f>
        <v/>
      </c>
      <c r="AX2348" s="82">
        <f>($J2348-$H2348)*100</f>
        <v/>
      </c>
      <c r="AY2348" s="82">
        <f>($L2348-$H2348)*100</f>
        <v/>
      </c>
      <c r="AZ2348" s="82">
        <f>($L2348-$J2348)*100</f>
        <v/>
      </c>
      <c r="BA2348" s="82">
        <f>(2*$H2348-$F2348-$J2348)*100</f>
        <v/>
      </c>
      <c r="BB2348" s="82">
        <f>(2*$J2348-$H2348-$L2348)*100</f>
        <v/>
      </c>
      <c r="BC2348" s="82">
        <f>($N2348-$F2348)*100</f>
        <v/>
      </c>
      <c r="BD2348" s="82">
        <f>($Q2348-$H2348)*100</f>
        <v/>
      </c>
      <c r="BE2348" s="82">
        <f>($S2348-$J2348)*100</f>
        <v/>
      </c>
      <c r="BF2348" s="82">
        <f>($V2348-$L2348)*100</f>
        <v/>
      </c>
      <c r="BG2348" s="82">
        <f>$AG2348-$AF2348</f>
        <v/>
      </c>
      <c r="BH2348" s="81">
        <f>IFERROR($AG2348/$AF2348,"")</f>
        <v/>
      </c>
      <c r="BI2348" s="82">
        <f>$AJ2348-$AF2348</f>
        <v/>
      </c>
      <c r="BJ2348" s="81">
        <f>IFERROR($AJ2348/$AG2348,"")</f>
        <v/>
      </c>
      <c r="BK2348" s="81">
        <f>$X2348</f>
        <v/>
      </c>
      <c r="BL2348" s="82">
        <f>($J2348-$J2349)*100</f>
        <v/>
      </c>
      <c r="BM2348" s="82">
        <f>($F2348-$F2349)*100</f>
        <v/>
      </c>
      <c r="BN2348" s="82">
        <f>$AF2348-$AF2349</f>
        <v/>
      </c>
      <c r="BO2348" s="82">
        <f>$AG2348-$AG2349</f>
        <v/>
      </c>
      <c r="BP2348" s="82">
        <f>$AJ2348-$AJ2349</f>
        <v/>
      </c>
    </row>
    <row r="2349">
      <c r="AR2349" s="81">
        <f>($G2349+($H2349-$G2349)*0.5)+($P2349-($O2349+($Q2349-$O2349)*0.5))</f>
        <v/>
      </c>
      <c r="AS2349" s="81">
        <f>($J2349+($K2349-$J2349)*0.5)+($T2349-($S2349+($U2349-$S2349)*0.5))</f>
        <v/>
      </c>
      <c r="AT2349" s="82">
        <f>($J2349-$C2349)*100</f>
        <v/>
      </c>
      <c r="AU2349" s="82">
        <f>($H2349-$F2349)*100</f>
        <v/>
      </c>
      <c r="AV2349" s="82">
        <f>($J2349-$F2349)*100</f>
        <v/>
      </c>
      <c r="AW2349" s="82">
        <f>($L2349-$F2349)*100</f>
        <v/>
      </c>
      <c r="AX2349" s="82">
        <f>($J2349-$H2349)*100</f>
        <v/>
      </c>
      <c r="AY2349" s="82">
        <f>($L2349-$H2349)*100</f>
        <v/>
      </c>
      <c r="AZ2349" s="82">
        <f>($L2349-$J2349)*100</f>
        <v/>
      </c>
      <c r="BA2349" s="82">
        <f>(2*$H2349-$F2349-$J2349)*100</f>
        <v/>
      </c>
      <c r="BB2349" s="82">
        <f>(2*$J2349-$H2349-$L2349)*100</f>
        <v/>
      </c>
      <c r="BC2349" s="82">
        <f>($N2349-$F2349)*100</f>
        <v/>
      </c>
      <c r="BD2349" s="82">
        <f>($Q2349-$H2349)*100</f>
        <v/>
      </c>
      <c r="BE2349" s="82">
        <f>($S2349-$J2349)*100</f>
        <v/>
      </c>
      <c r="BF2349" s="82">
        <f>($V2349-$L2349)*100</f>
        <v/>
      </c>
      <c r="BG2349" s="82">
        <f>$AG2349-$AF2349</f>
        <v/>
      </c>
      <c r="BH2349" s="81">
        <f>IFERROR($AG2349/$AF2349,"")</f>
        <v/>
      </c>
      <c r="BI2349" s="82">
        <f>$AJ2349-$AF2349</f>
        <v/>
      </c>
      <c r="BJ2349" s="81">
        <f>IFERROR($AJ2349/$AG2349,"")</f>
        <v/>
      </c>
      <c r="BK2349" s="81">
        <f>$X2349</f>
        <v/>
      </c>
      <c r="BL2349" s="82">
        <f>($J2349-$J2350)*100</f>
        <v/>
      </c>
      <c r="BM2349" s="82">
        <f>($F2349-$F2350)*100</f>
        <v/>
      </c>
      <c r="BN2349" s="82">
        <f>$AF2349-$AF2350</f>
        <v/>
      </c>
      <c r="BO2349" s="82">
        <f>$AG2349-$AG2350</f>
        <v/>
      </c>
      <c r="BP2349" s="82">
        <f>$AJ2349-$AJ2350</f>
        <v/>
      </c>
    </row>
    <row r="2350">
      <c r="AR2350" s="81">
        <f>($G2350+($H2350-$G2350)*0.5)+($P2350-($O2350+($Q2350-$O2350)*0.5))</f>
        <v/>
      </c>
      <c r="AS2350" s="81">
        <f>($J2350+($K2350-$J2350)*0.5)+($T2350-($S2350+($U2350-$S2350)*0.5))</f>
        <v/>
      </c>
      <c r="AT2350" s="82">
        <f>($J2350-$C2350)*100</f>
        <v/>
      </c>
      <c r="AU2350" s="82">
        <f>($H2350-$F2350)*100</f>
        <v/>
      </c>
      <c r="AV2350" s="82">
        <f>($J2350-$F2350)*100</f>
        <v/>
      </c>
      <c r="AW2350" s="82">
        <f>($L2350-$F2350)*100</f>
        <v/>
      </c>
      <c r="AX2350" s="82">
        <f>($J2350-$H2350)*100</f>
        <v/>
      </c>
      <c r="AY2350" s="82">
        <f>($L2350-$H2350)*100</f>
        <v/>
      </c>
      <c r="AZ2350" s="82">
        <f>($L2350-$J2350)*100</f>
        <v/>
      </c>
      <c r="BA2350" s="82">
        <f>(2*$H2350-$F2350-$J2350)*100</f>
        <v/>
      </c>
      <c r="BB2350" s="82">
        <f>(2*$J2350-$H2350-$L2350)*100</f>
        <v/>
      </c>
      <c r="BC2350" s="82">
        <f>($N2350-$F2350)*100</f>
        <v/>
      </c>
      <c r="BD2350" s="82">
        <f>($Q2350-$H2350)*100</f>
        <v/>
      </c>
      <c r="BE2350" s="82">
        <f>($S2350-$J2350)*100</f>
        <v/>
      </c>
      <c r="BF2350" s="82">
        <f>($V2350-$L2350)*100</f>
        <v/>
      </c>
      <c r="BG2350" s="82">
        <f>$AG2350-$AF2350</f>
        <v/>
      </c>
      <c r="BH2350" s="81">
        <f>IFERROR($AG2350/$AF2350,"")</f>
        <v/>
      </c>
      <c r="BI2350" s="82">
        <f>$AJ2350-$AF2350</f>
        <v/>
      </c>
      <c r="BJ2350" s="81">
        <f>IFERROR($AJ2350/$AG2350,"")</f>
        <v/>
      </c>
      <c r="BK2350" s="81">
        <f>$X2350</f>
        <v/>
      </c>
      <c r="BL2350" s="82">
        <f>($J2350-$J2351)*100</f>
        <v/>
      </c>
      <c r="BM2350" s="82">
        <f>($F2350-$F2351)*100</f>
        <v/>
      </c>
      <c r="BN2350" s="82">
        <f>$AF2350-$AF2351</f>
        <v/>
      </c>
      <c r="BO2350" s="82">
        <f>$AG2350-$AG2351</f>
        <v/>
      </c>
      <c r="BP2350" s="82">
        <f>$AJ2350-$AJ2351</f>
        <v/>
      </c>
    </row>
    <row r="2351">
      <c r="AR2351" s="81">
        <f>($G2351+($H2351-$G2351)*0.5)+($P2351-($O2351+($Q2351-$O2351)*0.5))</f>
        <v/>
      </c>
      <c r="AS2351" s="81">
        <f>($J2351+($K2351-$J2351)*0.5)+($T2351-($S2351+($U2351-$S2351)*0.5))</f>
        <v/>
      </c>
      <c r="AT2351" s="82">
        <f>($J2351-$C2351)*100</f>
        <v/>
      </c>
      <c r="AU2351" s="82">
        <f>($H2351-$F2351)*100</f>
        <v/>
      </c>
      <c r="AV2351" s="82">
        <f>($J2351-$F2351)*100</f>
        <v/>
      </c>
      <c r="AW2351" s="82">
        <f>($L2351-$F2351)*100</f>
        <v/>
      </c>
      <c r="AX2351" s="82">
        <f>($J2351-$H2351)*100</f>
        <v/>
      </c>
      <c r="AY2351" s="82">
        <f>($L2351-$H2351)*100</f>
        <v/>
      </c>
      <c r="AZ2351" s="82">
        <f>($L2351-$J2351)*100</f>
        <v/>
      </c>
      <c r="BA2351" s="82">
        <f>(2*$H2351-$F2351-$J2351)*100</f>
        <v/>
      </c>
      <c r="BB2351" s="82">
        <f>(2*$J2351-$H2351-$L2351)*100</f>
        <v/>
      </c>
      <c r="BC2351" s="82">
        <f>($N2351-$F2351)*100</f>
        <v/>
      </c>
      <c r="BD2351" s="82">
        <f>($Q2351-$H2351)*100</f>
        <v/>
      </c>
      <c r="BE2351" s="82">
        <f>($S2351-$J2351)*100</f>
        <v/>
      </c>
      <c r="BF2351" s="82">
        <f>($V2351-$L2351)*100</f>
        <v/>
      </c>
      <c r="BG2351" s="82">
        <f>$AG2351-$AF2351</f>
        <v/>
      </c>
      <c r="BH2351" s="81">
        <f>IFERROR($AG2351/$AF2351,"")</f>
        <v/>
      </c>
      <c r="BI2351" s="82">
        <f>$AJ2351-$AF2351</f>
        <v/>
      </c>
      <c r="BJ2351" s="81">
        <f>IFERROR($AJ2351/$AG2351,"")</f>
        <v/>
      </c>
      <c r="BK2351" s="81">
        <f>$X2351</f>
        <v/>
      </c>
      <c r="BL2351" s="82">
        <f>($J2351-$J2352)*100</f>
        <v/>
      </c>
      <c r="BM2351" s="82">
        <f>($F2351-$F2352)*100</f>
        <v/>
      </c>
      <c r="BN2351" s="82">
        <f>$AF2351-$AF2352</f>
        <v/>
      </c>
      <c r="BO2351" s="82">
        <f>$AG2351-$AG2352</f>
        <v/>
      </c>
      <c r="BP2351" s="82">
        <f>$AJ2351-$AJ2352</f>
        <v/>
      </c>
    </row>
    <row r="2352">
      <c r="AR2352" s="81">
        <f>($G2352+($H2352-$G2352)*0.5)+($P2352-($O2352+($Q2352-$O2352)*0.5))</f>
        <v/>
      </c>
      <c r="AS2352" s="81">
        <f>($J2352+($K2352-$J2352)*0.5)+($T2352-($S2352+($U2352-$S2352)*0.5))</f>
        <v/>
      </c>
      <c r="AT2352" s="82">
        <f>($J2352-$C2352)*100</f>
        <v/>
      </c>
      <c r="AU2352" s="82">
        <f>($H2352-$F2352)*100</f>
        <v/>
      </c>
      <c r="AV2352" s="82">
        <f>($J2352-$F2352)*100</f>
        <v/>
      </c>
      <c r="AW2352" s="82">
        <f>($L2352-$F2352)*100</f>
        <v/>
      </c>
      <c r="AX2352" s="82">
        <f>($J2352-$H2352)*100</f>
        <v/>
      </c>
      <c r="AY2352" s="82">
        <f>($L2352-$H2352)*100</f>
        <v/>
      </c>
      <c r="AZ2352" s="82">
        <f>($L2352-$J2352)*100</f>
        <v/>
      </c>
      <c r="BA2352" s="82">
        <f>(2*$H2352-$F2352-$J2352)*100</f>
        <v/>
      </c>
      <c r="BB2352" s="82">
        <f>(2*$J2352-$H2352-$L2352)*100</f>
        <v/>
      </c>
      <c r="BC2352" s="82">
        <f>($N2352-$F2352)*100</f>
        <v/>
      </c>
      <c r="BD2352" s="82">
        <f>($Q2352-$H2352)*100</f>
        <v/>
      </c>
      <c r="BE2352" s="82">
        <f>($S2352-$J2352)*100</f>
        <v/>
      </c>
      <c r="BF2352" s="82">
        <f>($V2352-$L2352)*100</f>
        <v/>
      </c>
      <c r="BG2352" s="82">
        <f>$AG2352-$AF2352</f>
        <v/>
      </c>
      <c r="BH2352" s="81">
        <f>IFERROR($AG2352/$AF2352,"")</f>
        <v/>
      </c>
      <c r="BI2352" s="82">
        <f>$AJ2352-$AF2352</f>
        <v/>
      </c>
      <c r="BJ2352" s="81">
        <f>IFERROR($AJ2352/$AG2352,"")</f>
        <v/>
      </c>
      <c r="BK2352" s="81">
        <f>$X2352</f>
        <v/>
      </c>
      <c r="BL2352" s="82">
        <f>($J2352-$J2353)*100</f>
        <v/>
      </c>
      <c r="BM2352" s="82">
        <f>($F2352-$F2353)*100</f>
        <v/>
      </c>
      <c r="BN2352" s="82">
        <f>$AF2352-$AF2353</f>
        <v/>
      </c>
      <c r="BO2352" s="82">
        <f>$AG2352-$AG2353</f>
        <v/>
      </c>
      <c r="BP2352" s="82">
        <f>$AJ2352-$AJ2353</f>
        <v/>
      </c>
    </row>
    <row r="2353">
      <c r="AR2353" s="81">
        <f>($G2353+($H2353-$G2353)*0.5)+($P2353-($O2353+($Q2353-$O2353)*0.5))</f>
        <v/>
      </c>
      <c r="AS2353" s="81">
        <f>($J2353+($K2353-$J2353)*0.5)+($T2353-($S2353+($U2353-$S2353)*0.5))</f>
        <v/>
      </c>
      <c r="AT2353" s="82">
        <f>($J2353-$C2353)*100</f>
        <v/>
      </c>
      <c r="AU2353" s="82">
        <f>($H2353-$F2353)*100</f>
        <v/>
      </c>
      <c r="AV2353" s="82">
        <f>($J2353-$F2353)*100</f>
        <v/>
      </c>
      <c r="AW2353" s="82">
        <f>($L2353-$F2353)*100</f>
        <v/>
      </c>
      <c r="AX2353" s="82">
        <f>($J2353-$H2353)*100</f>
        <v/>
      </c>
      <c r="AY2353" s="82">
        <f>($L2353-$H2353)*100</f>
        <v/>
      </c>
      <c r="AZ2353" s="82">
        <f>($L2353-$J2353)*100</f>
        <v/>
      </c>
      <c r="BA2353" s="82">
        <f>(2*$H2353-$F2353-$J2353)*100</f>
        <v/>
      </c>
      <c r="BB2353" s="82">
        <f>(2*$J2353-$H2353-$L2353)*100</f>
        <v/>
      </c>
      <c r="BC2353" s="82">
        <f>($N2353-$F2353)*100</f>
        <v/>
      </c>
      <c r="BD2353" s="82">
        <f>($Q2353-$H2353)*100</f>
        <v/>
      </c>
      <c r="BE2353" s="82">
        <f>($S2353-$J2353)*100</f>
        <v/>
      </c>
      <c r="BF2353" s="82">
        <f>($V2353-$L2353)*100</f>
        <v/>
      </c>
      <c r="BG2353" s="82">
        <f>$AG2353-$AF2353</f>
        <v/>
      </c>
      <c r="BH2353" s="81">
        <f>IFERROR($AG2353/$AF2353,"")</f>
        <v/>
      </c>
      <c r="BI2353" s="82">
        <f>$AJ2353-$AF2353</f>
        <v/>
      </c>
      <c r="BJ2353" s="81">
        <f>IFERROR($AJ2353/$AG2353,"")</f>
        <v/>
      </c>
      <c r="BK2353" s="81">
        <f>$X2353</f>
        <v/>
      </c>
      <c r="BL2353" s="82">
        <f>($J2353-$J2354)*100</f>
        <v/>
      </c>
      <c r="BM2353" s="82">
        <f>($F2353-$F2354)*100</f>
        <v/>
      </c>
      <c r="BN2353" s="82">
        <f>$AF2353-$AF2354</f>
        <v/>
      </c>
      <c r="BO2353" s="82">
        <f>$AG2353-$AG2354</f>
        <v/>
      </c>
      <c r="BP2353" s="82">
        <f>$AJ2353-$AJ2354</f>
        <v/>
      </c>
    </row>
    <row r="2354">
      <c r="AR2354" s="81">
        <f>($G2354+($H2354-$G2354)*0.5)+($P2354-($O2354+($Q2354-$O2354)*0.5))</f>
        <v/>
      </c>
      <c r="AS2354" s="81">
        <f>($J2354+($K2354-$J2354)*0.5)+($T2354-($S2354+($U2354-$S2354)*0.5))</f>
        <v/>
      </c>
      <c r="AT2354" s="82">
        <f>($J2354-$C2354)*100</f>
        <v/>
      </c>
      <c r="AU2354" s="82">
        <f>($H2354-$F2354)*100</f>
        <v/>
      </c>
      <c r="AV2354" s="82">
        <f>($J2354-$F2354)*100</f>
        <v/>
      </c>
      <c r="AW2354" s="82">
        <f>($L2354-$F2354)*100</f>
        <v/>
      </c>
      <c r="AX2354" s="82">
        <f>($J2354-$H2354)*100</f>
        <v/>
      </c>
      <c r="AY2354" s="82">
        <f>($L2354-$H2354)*100</f>
        <v/>
      </c>
      <c r="AZ2354" s="82">
        <f>($L2354-$J2354)*100</f>
        <v/>
      </c>
      <c r="BA2354" s="82">
        <f>(2*$H2354-$F2354-$J2354)*100</f>
        <v/>
      </c>
      <c r="BB2354" s="82">
        <f>(2*$J2354-$H2354-$L2354)*100</f>
        <v/>
      </c>
      <c r="BC2354" s="82">
        <f>($N2354-$F2354)*100</f>
        <v/>
      </c>
      <c r="BD2354" s="82">
        <f>($Q2354-$H2354)*100</f>
        <v/>
      </c>
      <c r="BE2354" s="82">
        <f>($S2354-$J2354)*100</f>
        <v/>
      </c>
      <c r="BF2354" s="82">
        <f>($V2354-$L2354)*100</f>
        <v/>
      </c>
      <c r="BG2354" s="82">
        <f>$AG2354-$AF2354</f>
        <v/>
      </c>
      <c r="BH2354" s="81">
        <f>IFERROR($AG2354/$AF2354,"")</f>
        <v/>
      </c>
      <c r="BI2354" s="82">
        <f>$AJ2354-$AF2354</f>
        <v/>
      </c>
      <c r="BJ2354" s="81">
        <f>IFERROR($AJ2354/$AG2354,"")</f>
        <v/>
      </c>
      <c r="BK2354" s="81">
        <f>$X2354</f>
        <v/>
      </c>
      <c r="BL2354" s="82">
        <f>($J2354-$J2355)*100</f>
        <v/>
      </c>
      <c r="BM2354" s="82">
        <f>($F2354-$F2355)*100</f>
        <v/>
      </c>
      <c r="BN2354" s="82">
        <f>$AF2354-$AF2355</f>
        <v/>
      </c>
      <c r="BO2354" s="82">
        <f>$AG2354-$AG2355</f>
        <v/>
      </c>
      <c r="BP2354" s="82">
        <f>$AJ2354-$AJ2355</f>
        <v/>
      </c>
    </row>
    <row r="2355">
      <c r="AR2355" s="81">
        <f>($G2355+($H2355-$G2355)*0.5)+($P2355-($O2355+($Q2355-$O2355)*0.5))</f>
        <v/>
      </c>
      <c r="AS2355" s="81">
        <f>($J2355+($K2355-$J2355)*0.5)+($T2355-($S2355+($U2355-$S2355)*0.5))</f>
        <v/>
      </c>
      <c r="AT2355" s="82">
        <f>($J2355-$C2355)*100</f>
        <v/>
      </c>
      <c r="AU2355" s="82">
        <f>($H2355-$F2355)*100</f>
        <v/>
      </c>
      <c r="AV2355" s="82">
        <f>($J2355-$F2355)*100</f>
        <v/>
      </c>
      <c r="AW2355" s="82">
        <f>($L2355-$F2355)*100</f>
        <v/>
      </c>
      <c r="AX2355" s="82">
        <f>($J2355-$H2355)*100</f>
        <v/>
      </c>
      <c r="AY2355" s="82">
        <f>($L2355-$H2355)*100</f>
        <v/>
      </c>
      <c r="AZ2355" s="82">
        <f>($L2355-$J2355)*100</f>
        <v/>
      </c>
      <c r="BA2355" s="82">
        <f>(2*$H2355-$F2355-$J2355)*100</f>
        <v/>
      </c>
      <c r="BB2355" s="82">
        <f>(2*$J2355-$H2355-$L2355)*100</f>
        <v/>
      </c>
      <c r="BC2355" s="82">
        <f>($N2355-$F2355)*100</f>
        <v/>
      </c>
      <c r="BD2355" s="82">
        <f>($Q2355-$H2355)*100</f>
        <v/>
      </c>
      <c r="BE2355" s="82">
        <f>($S2355-$J2355)*100</f>
        <v/>
      </c>
      <c r="BF2355" s="82">
        <f>($V2355-$L2355)*100</f>
        <v/>
      </c>
      <c r="BG2355" s="82">
        <f>$AG2355-$AF2355</f>
        <v/>
      </c>
      <c r="BH2355" s="81">
        <f>IFERROR($AG2355/$AF2355,"")</f>
        <v/>
      </c>
      <c r="BI2355" s="82">
        <f>$AJ2355-$AF2355</f>
        <v/>
      </c>
      <c r="BJ2355" s="81">
        <f>IFERROR($AJ2355/$AG2355,"")</f>
        <v/>
      </c>
      <c r="BK2355" s="81">
        <f>$X2355</f>
        <v/>
      </c>
      <c r="BL2355" s="82">
        <f>($J2355-$J2356)*100</f>
        <v/>
      </c>
      <c r="BM2355" s="82">
        <f>($F2355-$F2356)*100</f>
        <v/>
      </c>
      <c r="BN2355" s="82">
        <f>$AF2355-$AF2356</f>
        <v/>
      </c>
      <c r="BO2355" s="82">
        <f>$AG2355-$AG2356</f>
        <v/>
      </c>
      <c r="BP2355" s="82">
        <f>$AJ2355-$AJ2356</f>
        <v/>
      </c>
    </row>
    <row r="2356">
      <c r="AR2356" s="81">
        <f>($G2356+($H2356-$G2356)*0.5)+($P2356-($O2356+($Q2356-$O2356)*0.5))</f>
        <v/>
      </c>
      <c r="AS2356" s="81">
        <f>($J2356+($K2356-$J2356)*0.5)+($T2356-($S2356+($U2356-$S2356)*0.5))</f>
        <v/>
      </c>
      <c r="AT2356" s="82">
        <f>($J2356-$C2356)*100</f>
        <v/>
      </c>
      <c r="AU2356" s="82">
        <f>($H2356-$F2356)*100</f>
        <v/>
      </c>
      <c r="AV2356" s="82">
        <f>($J2356-$F2356)*100</f>
        <v/>
      </c>
      <c r="AW2356" s="82">
        <f>($L2356-$F2356)*100</f>
        <v/>
      </c>
      <c r="AX2356" s="82">
        <f>($J2356-$H2356)*100</f>
        <v/>
      </c>
      <c r="AY2356" s="82">
        <f>($L2356-$H2356)*100</f>
        <v/>
      </c>
      <c r="AZ2356" s="82">
        <f>($L2356-$J2356)*100</f>
        <v/>
      </c>
      <c r="BA2356" s="82">
        <f>(2*$H2356-$F2356-$J2356)*100</f>
        <v/>
      </c>
      <c r="BB2356" s="82">
        <f>(2*$J2356-$H2356-$L2356)*100</f>
        <v/>
      </c>
      <c r="BC2356" s="82">
        <f>($N2356-$F2356)*100</f>
        <v/>
      </c>
      <c r="BD2356" s="82">
        <f>($Q2356-$H2356)*100</f>
        <v/>
      </c>
      <c r="BE2356" s="82">
        <f>($S2356-$J2356)*100</f>
        <v/>
      </c>
      <c r="BF2356" s="82">
        <f>($V2356-$L2356)*100</f>
        <v/>
      </c>
      <c r="BG2356" s="82">
        <f>$AG2356-$AF2356</f>
        <v/>
      </c>
      <c r="BH2356" s="81">
        <f>IFERROR($AG2356/$AF2356,"")</f>
        <v/>
      </c>
      <c r="BI2356" s="82">
        <f>$AJ2356-$AF2356</f>
        <v/>
      </c>
      <c r="BJ2356" s="81">
        <f>IFERROR($AJ2356/$AG2356,"")</f>
        <v/>
      </c>
      <c r="BK2356" s="81">
        <f>$X2356</f>
        <v/>
      </c>
      <c r="BL2356" s="82">
        <f>($J2356-$J2357)*100</f>
        <v/>
      </c>
      <c r="BM2356" s="82">
        <f>($F2356-$F2357)*100</f>
        <v/>
      </c>
      <c r="BN2356" s="82">
        <f>$AF2356-$AF2357</f>
        <v/>
      </c>
      <c r="BO2356" s="82">
        <f>$AG2356-$AG2357</f>
        <v/>
      </c>
      <c r="BP2356" s="82">
        <f>$AJ2356-$AJ2357</f>
        <v/>
      </c>
    </row>
    <row r="2357">
      <c r="AR2357" s="81">
        <f>($G2357+($H2357-$G2357)*0.5)+($P2357-($O2357+($Q2357-$O2357)*0.5))</f>
        <v/>
      </c>
      <c r="AS2357" s="81">
        <f>($J2357+($K2357-$J2357)*0.5)+($T2357-($S2357+($U2357-$S2357)*0.5))</f>
        <v/>
      </c>
      <c r="AT2357" s="82">
        <f>($J2357-$C2357)*100</f>
        <v/>
      </c>
      <c r="AU2357" s="82">
        <f>($H2357-$F2357)*100</f>
        <v/>
      </c>
      <c r="AV2357" s="82">
        <f>($J2357-$F2357)*100</f>
        <v/>
      </c>
      <c r="AW2357" s="82">
        <f>($L2357-$F2357)*100</f>
        <v/>
      </c>
      <c r="AX2357" s="82">
        <f>($J2357-$H2357)*100</f>
        <v/>
      </c>
      <c r="AY2357" s="82">
        <f>($L2357-$H2357)*100</f>
        <v/>
      </c>
      <c r="AZ2357" s="82">
        <f>($L2357-$J2357)*100</f>
        <v/>
      </c>
      <c r="BA2357" s="82">
        <f>(2*$H2357-$F2357-$J2357)*100</f>
        <v/>
      </c>
      <c r="BB2357" s="82">
        <f>(2*$J2357-$H2357-$L2357)*100</f>
        <v/>
      </c>
      <c r="BC2357" s="82">
        <f>($N2357-$F2357)*100</f>
        <v/>
      </c>
      <c r="BD2357" s="82">
        <f>($Q2357-$H2357)*100</f>
        <v/>
      </c>
      <c r="BE2357" s="82">
        <f>($S2357-$J2357)*100</f>
        <v/>
      </c>
      <c r="BF2357" s="82">
        <f>($V2357-$L2357)*100</f>
        <v/>
      </c>
      <c r="BG2357" s="82">
        <f>$AG2357-$AF2357</f>
        <v/>
      </c>
      <c r="BH2357" s="81">
        <f>IFERROR($AG2357/$AF2357,"")</f>
        <v/>
      </c>
      <c r="BI2357" s="82">
        <f>$AJ2357-$AF2357</f>
        <v/>
      </c>
      <c r="BJ2357" s="81">
        <f>IFERROR($AJ2357/$AG2357,"")</f>
        <v/>
      </c>
      <c r="BK2357" s="81">
        <f>$X2357</f>
        <v/>
      </c>
      <c r="BL2357" s="82">
        <f>($J2357-$J2358)*100</f>
        <v/>
      </c>
      <c r="BM2357" s="82">
        <f>($F2357-$F2358)*100</f>
        <v/>
      </c>
      <c r="BN2357" s="82">
        <f>$AF2357-$AF2358</f>
        <v/>
      </c>
      <c r="BO2357" s="82">
        <f>$AG2357-$AG2358</f>
        <v/>
      </c>
      <c r="BP2357" s="82">
        <f>$AJ2357-$AJ2358</f>
        <v/>
      </c>
    </row>
    <row r="2358">
      <c r="AR2358" s="81">
        <f>($G2358+($H2358-$G2358)*0.5)+($P2358-($O2358+($Q2358-$O2358)*0.5))</f>
        <v/>
      </c>
      <c r="AS2358" s="81">
        <f>($J2358+($K2358-$J2358)*0.5)+($T2358-($S2358+($U2358-$S2358)*0.5))</f>
        <v/>
      </c>
      <c r="AT2358" s="82">
        <f>($J2358-$C2358)*100</f>
        <v/>
      </c>
      <c r="AU2358" s="82">
        <f>($H2358-$F2358)*100</f>
        <v/>
      </c>
      <c r="AV2358" s="82">
        <f>($J2358-$F2358)*100</f>
        <v/>
      </c>
      <c r="AW2358" s="82">
        <f>($L2358-$F2358)*100</f>
        <v/>
      </c>
      <c r="AX2358" s="82">
        <f>($J2358-$H2358)*100</f>
        <v/>
      </c>
      <c r="AY2358" s="82">
        <f>($L2358-$H2358)*100</f>
        <v/>
      </c>
      <c r="AZ2358" s="82">
        <f>($L2358-$J2358)*100</f>
        <v/>
      </c>
      <c r="BA2358" s="82">
        <f>(2*$H2358-$F2358-$J2358)*100</f>
        <v/>
      </c>
      <c r="BB2358" s="82">
        <f>(2*$J2358-$H2358-$L2358)*100</f>
        <v/>
      </c>
      <c r="BC2358" s="82">
        <f>($N2358-$F2358)*100</f>
        <v/>
      </c>
      <c r="BD2358" s="82">
        <f>($Q2358-$H2358)*100</f>
        <v/>
      </c>
      <c r="BE2358" s="82">
        <f>($S2358-$J2358)*100</f>
        <v/>
      </c>
      <c r="BF2358" s="82">
        <f>($V2358-$L2358)*100</f>
        <v/>
      </c>
      <c r="BG2358" s="82">
        <f>$AG2358-$AF2358</f>
        <v/>
      </c>
      <c r="BH2358" s="81">
        <f>IFERROR($AG2358/$AF2358,"")</f>
        <v/>
      </c>
      <c r="BI2358" s="82">
        <f>$AJ2358-$AF2358</f>
        <v/>
      </c>
      <c r="BJ2358" s="81">
        <f>IFERROR($AJ2358/$AG2358,"")</f>
        <v/>
      </c>
      <c r="BK2358" s="81">
        <f>$X2358</f>
        <v/>
      </c>
      <c r="BL2358" s="82">
        <f>($J2358-$J2359)*100</f>
        <v/>
      </c>
      <c r="BM2358" s="82">
        <f>($F2358-$F2359)*100</f>
        <v/>
      </c>
      <c r="BN2358" s="82">
        <f>$AF2358-$AF2359</f>
        <v/>
      </c>
      <c r="BO2358" s="82">
        <f>$AG2358-$AG2359</f>
        <v/>
      </c>
      <c r="BP2358" s="82">
        <f>$AJ2358-$AJ2359</f>
        <v/>
      </c>
    </row>
    <row r="2359">
      <c r="AR2359" s="81">
        <f>($G2359+($H2359-$G2359)*0.5)+($P2359-($O2359+($Q2359-$O2359)*0.5))</f>
        <v/>
      </c>
      <c r="AS2359" s="81">
        <f>($J2359+($K2359-$J2359)*0.5)+($T2359-($S2359+($U2359-$S2359)*0.5))</f>
        <v/>
      </c>
      <c r="AT2359" s="82">
        <f>($J2359-$C2359)*100</f>
        <v/>
      </c>
      <c r="AU2359" s="82">
        <f>($H2359-$F2359)*100</f>
        <v/>
      </c>
      <c r="AV2359" s="82">
        <f>($J2359-$F2359)*100</f>
        <v/>
      </c>
      <c r="AW2359" s="82">
        <f>($L2359-$F2359)*100</f>
        <v/>
      </c>
      <c r="AX2359" s="82">
        <f>($J2359-$H2359)*100</f>
        <v/>
      </c>
      <c r="AY2359" s="82">
        <f>($L2359-$H2359)*100</f>
        <v/>
      </c>
      <c r="AZ2359" s="82">
        <f>($L2359-$J2359)*100</f>
        <v/>
      </c>
      <c r="BA2359" s="82">
        <f>(2*$H2359-$F2359-$J2359)*100</f>
        <v/>
      </c>
      <c r="BB2359" s="82">
        <f>(2*$J2359-$H2359-$L2359)*100</f>
        <v/>
      </c>
      <c r="BC2359" s="82">
        <f>($N2359-$F2359)*100</f>
        <v/>
      </c>
      <c r="BD2359" s="82">
        <f>($Q2359-$H2359)*100</f>
        <v/>
      </c>
      <c r="BE2359" s="82">
        <f>($S2359-$J2359)*100</f>
        <v/>
      </c>
      <c r="BF2359" s="82">
        <f>($V2359-$L2359)*100</f>
        <v/>
      </c>
      <c r="BG2359" s="82">
        <f>$AG2359-$AF2359</f>
        <v/>
      </c>
      <c r="BH2359" s="81">
        <f>IFERROR($AG2359/$AF2359,"")</f>
        <v/>
      </c>
      <c r="BI2359" s="82">
        <f>$AJ2359-$AF2359</f>
        <v/>
      </c>
      <c r="BJ2359" s="81">
        <f>IFERROR($AJ2359/$AG2359,"")</f>
        <v/>
      </c>
      <c r="BK2359" s="81">
        <f>$X2359</f>
        <v/>
      </c>
      <c r="BL2359" s="82">
        <f>($J2359-$J2360)*100</f>
        <v/>
      </c>
      <c r="BM2359" s="82">
        <f>($F2359-$F2360)*100</f>
        <v/>
      </c>
      <c r="BN2359" s="82">
        <f>$AF2359-$AF2360</f>
        <v/>
      </c>
      <c r="BO2359" s="82">
        <f>$AG2359-$AG2360</f>
        <v/>
      </c>
      <c r="BP2359" s="82">
        <f>$AJ2359-$AJ2360</f>
        <v/>
      </c>
    </row>
    <row r="2360">
      <c r="AR2360" s="81">
        <f>($G2360+($H2360-$G2360)*0.5)+($P2360-($O2360+($Q2360-$O2360)*0.5))</f>
        <v/>
      </c>
      <c r="AS2360" s="81">
        <f>($J2360+($K2360-$J2360)*0.5)+($T2360-($S2360+($U2360-$S2360)*0.5))</f>
        <v/>
      </c>
      <c r="AT2360" s="82">
        <f>($J2360-$C2360)*100</f>
        <v/>
      </c>
      <c r="AU2360" s="82">
        <f>($H2360-$F2360)*100</f>
        <v/>
      </c>
      <c r="AV2360" s="82">
        <f>($J2360-$F2360)*100</f>
        <v/>
      </c>
      <c r="AW2360" s="82">
        <f>($L2360-$F2360)*100</f>
        <v/>
      </c>
      <c r="AX2360" s="82">
        <f>($J2360-$H2360)*100</f>
        <v/>
      </c>
      <c r="AY2360" s="82">
        <f>($L2360-$H2360)*100</f>
        <v/>
      </c>
      <c r="AZ2360" s="82">
        <f>($L2360-$J2360)*100</f>
        <v/>
      </c>
      <c r="BA2360" s="82">
        <f>(2*$H2360-$F2360-$J2360)*100</f>
        <v/>
      </c>
      <c r="BB2360" s="82">
        <f>(2*$J2360-$H2360-$L2360)*100</f>
        <v/>
      </c>
      <c r="BC2360" s="82">
        <f>($N2360-$F2360)*100</f>
        <v/>
      </c>
      <c r="BD2360" s="82">
        <f>($Q2360-$H2360)*100</f>
        <v/>
      </c>
      <c r="BE2360" s="82">
        <f>($S2360-$J2360)*100</f>
        <v/>
      </c>
      <c r="BF2360" s="82">
        <f>($V2360-$L2360)*100</f>
        <v/>
      </c>
      <c r="BG2360" s="82">
        <f>$AG2360-$AF2360</f>
        <v/>
      </c>
      <c r="BH2360" s="81">
        <f>IFERROR($AG2360/$AF2360,"")</f>
        <v/>
      </c>
      <c r="BI2360" s="82">
        <f>$AJ2360-$AF2360</f>
        <v/>
      </c>
      <c r="BJ2360" s="81">
        <f>IFERROR($AJ2360/$AG2360,"")</f>
        <v/>
      </c>
      <c r="BK2360" s="81">
        <f>$X2360</f>
        <v/>
      </c>
      <c r="BL2360" s="82">
        <f>($J2360-$J2361)*100</f>
        <v/>
      </c>
      <c r="BM2360" s="82">
        <f>($F2360-$F2361)*100</f>
        <v/>
      </c>
      <c r="BN2360" s="82">
        <f>$AF2360-$AF2361</f>
        <v/>
      </c>
      <c r="BO2360" s="82">
        <f>$AG2360-$AG2361</f>
        <v/>
      </c>
      <c r="BP2360" s="82">
        <f>$AJ2360-$AJ2361</f>
        <v/>
      </c>
    </row>
    <row r="2361">
      <c r="AR2361" s="81">
        <f>($G2361+($H2361-$G2361)*0.5)+($P2361-($O2361+($Q2361-$O2361)*0.5))</f>
        <v/>
      </c>
      <c r="AS2361" s="81">
        <f>($J2361+($K2361-$J2361)*0.5)+($T2361-($S2361+($U2361-$S2361)*0.5))</f>
        <v/>
      </c>
      <c r="AT2361" s="82">
        <f>($J2361-$C2361)*100</f>
        <v/>
      </c>
      <c r="AU2361" s="82">
        <f>($H2361-$F2361)*100</f>
        <v/>
      </c>
      <c r="AV2361" s="82">
        <f>($J2361-$F2361)*100</f>
        <v/>
      </c>
      <c r="AW2361" s="82">
        <f>($L2361-$F2361)*100</f>
        <v/>
      </c>
      <c r="AX2361" s="82">
        <f>($J2361-$H2361)*100</f>
        <v/>
      </c>
      <c r="AY2361" s="82">
        <f>($L2361-$H2361)*100</f>
        <v/>
      </c>
      <c r="AZ2361" s="82">
        <f>($L2361-$J2361)*100</f>
        <v/>
      </c>
      <c r="BA2361" s="82">
        <f>(2*$H2361-$F2361-$J2361)*100</f>
        <v/>
      </c>
      <c r="BB2361" s="82">
        <f>(2*$J2361-$H2361-$L2361)*100</f>
        <v/>
      </c>
      <c r="BC2361" s="82">
        <f>($N2361-$F2361)*100</f>
        <v/>
      </c>
      <c r="BD2361" s="82">
        <f>($Q2361-$H2361)*100</f>
        <v/>
      </c>
      <c r="BE2361" s="82">
        <f>($S2361-$J2361)*100</f>
        <v/>
      </c>
      <c r="BF2361" s="82">
        <f>($V2361-$L2361)*100</f>
        <v/>
      </c>
      <c r="BG2361" s="82">
        <f>$AG2361-$AF2361</f>
        <v/>
      </c>
      <c r="BH2361" s="81">
        <f>IFERROR($AG2361/$AF2361,"")</f>
        <v/>
      </c>
      <c r="BI2361" s="82">
        <f>$AJ2361-$AF2361</f>
        <v/>
      </c>
      <c r="BJ2361" s="81">
        <f>IFERROR($AJ2361/$AG2361,"")</f>
        <v/>
      </c>
      <c r="BK2361" s="81">
        <f>$X2361</f>
        <v/>
      </c>
      <c r="BL2361" s="82">
        <f>($J2361-$J2362)*100</f>
        <v/>
      </c>
      <c r="BM2361" s="82">
        <f>($F2361-$F2362)*100</f>
        <v/>
      </c>
      <c r="BN2361" s="82">
        <f>$AF2361-$AF2362</f>
        <v/>
      </c>
      <c r="BO2361" s="82">
        <f>$AG2361-$AG2362</f>
        <v/>
      </c>
      <c r="BP2361" s="82">
        <f>$AJ2361-$AJ2362</f>
        <v/>
      </c>
    </row>
    <row r="2362">
      <c r="AR2362" s="81">
        <f>($G2362+($H2362-$G2362)*0.5)+($P2362-($O2362+($Q2362-$O2362)*0.5))</f>
        <v/>
      </c>
      <c r="AS2362" s="81">
        <f>($J2362+($K2362-$J2362)*0.5)+($T2362-($S2362+($U2362-$S2362)*0.5))</f>
        <v/>
      </c>
      <c r="AT2362" s="82">
        <f>($J2362-$C2362)*100</f>
        <v/>
      </c>
      <c r="AU2362" s="82">
        <f>($H2362-$F2362)*100</f>
        <v/>
      </c>
      <c r="AV2362" s="82">
        <f>($J2362-$F2362)*100</f>
        <v/>
      </c>
      <c r="AW2362" s="82">
        <f>($L2362-$F2362)*100</f>
        <v/>
      </c>
      <c r="AX2362" s="82">
        <f>($J2362-$H2362)*100</f>
        <v/>
      </c>
      <c r="AY2362" s="82">
        <f>($L2362-$H2362)*100</f>
        <v/>
      </c>
      <c r="AZ2362" s="82">
        <f>($L2362-$J2362)*100</f>
        <v/>
      </c>
      <c r="BA2362" s="82">
        <f>(2*$H2362-$F2362-$J2362)*100</f>
        <v/>
      </c>
      <c r="BB2362" s="82">
        <f>(2*$J2362-$H2362-$L2362)*100</f>
        <v/>
      </c>
      <c r="BC2362" s="82">
        <f>($N2362-$F2362)*100</f>
        <v/>
      </c>
      <c r="BD2362" s="82">
        <f>($Q2362-$H2362)*100</f>
        <v/>
      </c>
      <c r="BE2362" s="82">
        <f>($S2362-$J2362)*100</f>
        <v/>
      </c>
      <c r="BF2362" s="82">
        <f>($V2362-$L2362)*100</f>
        <v/>
      </c>
      <c r="BG2362" s="82">
        <f>$AG2362-$AF2362</f>
        <v/>
      </c>
      <c r="BH2362" s="81">
        <f>IFERROR($AG2362/$AF2362,"")</f>
        <v/>
      </c>
      <c r="BI2362" s="82">
        <f>$AJ2362-$AF2362</f>
        <v/>
      </c>
      <c r="BJ2362" s="81">
        <f>IFERROR($AJ2362/$AG2362,"")</f>
        <v/>
      </c>
      <c r="BK2362" s="81">
        <f>$X2362</f>
        <v/>
      </c>
      <c r="BL2362" s="82">
        <f>($J2362-$J2363)*100</f>
        <v/>
      </c>
      <c r="BM2362" s="82">
        <f>($F2362-$F2363)*100</f>
        <v/>
      </c>
      <c r="BN2362" s="82">
        <f>$AF2362-$AF2363</f>
        <v/>
      </c>
      <c r="BO2362" s="82">
        <f>$AG2362-$AG2363</f>
        <v/>
      </c>
      <c r="BP2362" s="82">
        <f>$AJ2362-$AJ2363</f>
        <v/>
      </c>
    </row>
    <row r="2363">
      <c r="AR2363" s="81">
        <f>($G2363+($H2363-$G2363)*0.5)+($P2363-($O2363+($Q2363-$O2363)*0.5))</f>
        <v/>
      </c>
      <c r="AS2363" s="81">
        <f>($J2363+($K2363-$J2363)*0.5)+($T2363-($S2363+($U2363-$S2363)*0.5))</f>
        <v/>
      </c>
      <c r="AT2363" s="82">
        <f>($J2363-$C2363)*100</f>
        <v/>
      </c>
      <c r="AU2363" s="82">
        <f>($H2363-$F2363)*100</f>
        <v/>
      </c>
      <c r="AV2363" s="82">
        <f>($J2363-$F2363)*100</f>
        <v/>
      </c>
      <c r="AW2363" s="82">
        <f>($L2363-$F2363)*100</f>
        <v/>
      </c>
      <c r="AX2363" s="82">
        <f>($J2363-$H2363)*100</f>
        <v/>
      </c>
      <c r="AY2363" s="82">
        <f>($L2363-$H2363)*100</f>
        <v/>
      </c>
      <c r="AZ2363" s="82">
        <f>($L2363-$J2363)*100</f>
        <v/>
      </c>
      <c r="BA2363" s="82">
        <f>(2*$H2363-$F2363-$J2363)*100</f>
        <v/>
      </c>
      <c r="BB2363" s="82">
        <f>(2*$J2363-$H2363-$L2363)*100</f>
        <v/>
      </c>
      <c r="BC2363" s="82">
        <f>($N2363-$F2363)*100</f>
        <v/>
      </c>
      <c r="BD2363" s="82">
        <f>($Q2363-$H2363)*100</f>
        <v/>
      </c>
      <c r="BE2363" s="82">
        <f>($S2363-$J2363)*100</f>
        <v/>
      </c>
      <c r="BF2363" s="82">
        <f>($V2363-$L2363)*100</f>
        <v/>
      </c>
      <c r="BG2363" s="82">
        <f>$AG2363-$AF2363</f>
        <v/>
      </c>
      <c r="BH2363" s="81">
        <f>IFERROR($AG2363/$AF2363,"")</f>
        <v/>
      </c>
      <c r="BI2363" s="82">
        <f>$AJ2363-$AF2363</f>
        <v/>
      </c>
      <c r="BJ2363" s="81">
        <f>IFERROR($AJ2363/$AG2363,"")</f>
        <v/>
      </c>
      <c r="BK2363" s="81">
        <f>$X2363</f>
        <v/>
      </c>
      <c r="BL2363" s="82">
        <f>($J2363-$J2364)*100</f>
        <v/>
      </c>
      <c r="BM2363" s="82">
        <f>($F2363-$F2364)*100</f>
        <v/>
      </c>
      <c r="BN2363" s="82">
        <f>$AF2363-$AF2364</f>
        <v/>
      </c>
      <c r="BO2363" s="82">
        <f>$AG2363-$AG2364</f>
        <v/>
      </c>
      <c r="BP2363" s="82">
        <f>$AJ2363-$AJ2364</f>
        <v/>
      </c>
    </row>
    <row r="2364">
      <c r="AR2364" s="81">
        <f>($G2364+($H2364-$G2364)*0.5)+($P2364-($O2364+($Q2364-$O2364)*0.5))</f>
        <v/>
      </c>
      <c r="AS2364" s="81">
        <f>($J2364+($K2364-$J2364)*0.5)+($T2364-($S2364+($U2364-$S2364)*0.5))</f>
        <v/>
      </c>
      <c r="AT2364" s="82">
        <f>($J2364-$C2364)*100</f>
        <v/>
      </c>
      <c r="AU2364" s="82">
        <f>($H2364-$F2364)*100</f>
        <v/>
      </c>
      <c r="AV2364" s="82">
        <f>($J2364-$F2364)*100</f>
        <v/>
      </c>
      <c r="AW2364" s="82">
        <f>($L2364-$F2364)*100</f>
        <v/>
      </c>
      <c r="AX2364" s="82">
        <f>($J2364-$H2364)*100</f>
        <v/>
      </c>
      <c r="AY2364" s="82">
        <f>($L2364-$H2364)*100</f>
        <v/>
      </c>
      <c r="AZ2364" s="82">
        <f>($L2364-$J2364)*100</f>
        <v/>
      </c>
      <c r="BA2364" s="82">
        <f>(2*$H2364-$F2364-$J2364)*100</f>
        <v/>
      </c>
      <c r="BB2364" s="82">
        <f>(2*$J2364-$H2364-$L2364)*100</f>
        <v/>
      </c>
      <c r="BC2364" s="82">
        <f>($N2364-$F2364)*100</f>
        <v/>
      </c>
      <c r="BD2364" s="82">
        <f>($Q2364-$H2364)*100</f>
        <v/>
      </c>
      <c r="BE2364" s="82">
        <f>($S2364-$J2364)*100</f>
        <v/>
      </c>
      <c r="BF2364" s="82">
        <f>($V2364-$L2364)*100</f>
        <v/>
      </c>
      <c r="BG2364" s="82">
        <f>$AG2364-$AF2364</f>
        <v/>
      </c>
      <c r="BH2364" s="81">
        <f>IFERROR($AG2364/$AF2364,"")</f>
        <v/>
      </c>
      <c r="BI2364" s="82">
        <f>$AJ2364-$AF2364</f>
        <v/>
      </c>
      <c r="BJ2364" s="81">
        <f>IFERROR($AJ2364/$AG2364,"")</f>
        <v/>
      </c>
      <c r="BK2364" s="81">
        <f>$X2364</f>
        <v/>
      </c>
      <c r="BL2364" s="82">
        <f>($J2364-$J2365)*100</f>
        <v/>
      </c>
      <c r="BM2364" s="82">
        <f>($F2364-$F2365)*100</f>
        <v/>
      </c>
      <c r="BN2364" s="82">
        <f>$AF2364-$AF2365</f>
        <v/>
      </c>
      <c r="BO2364" s="82">
        <f>$AG2364-$AG2365</f>
        <v/>
      </c>
      <c r="BP2364" s="82">
        <f>$AJ2364-$AJ2365</f>
        <v/>
      </c>
    </row>
    <row r="2365">
      <c r="AR2365" s="81">
        <f>($G2365+($H2365-$G2365)*0.5)+($P2365-($O2365+($Q2365-$O2365)*0.5))</f>
        <v/>
      </c>
      <c r="AS2365" s="81">
        <f>($J2365+($K2365-$J2365)*0.5)+($T2365-($S2365+($U2365-$S2365)*0.5))</f>
        <v/>
      </c>
      <c r="AT2365" s="82">
        <f>($J2365-$C2365)*100</f>
        <v/>
      </c>
      <c r="AU2365" s="82">
        <f>($H2365-$F2365)*100</f>
        <v/>
      </c>
      <c r="AV2365" s="82">
        <f>($J2365-$F2365)*100</f>
        <v/>
      </c>
      <c r="AW2365" s="82">
        <f>($L2365-$F2365)*100</f>
        <v/>
      </c>
      <c r="AX2365" s="82">
        <f>($J2365-$H2365)*100</f>
        <v/>
      </c>
      <c r="AY2365" s="82">
        <f>($L2365-$H2365)*100</f>
        <v/>
      </c>
      <c r="AZ2365" s="82">
        <f>($L2365-$J2365)*100</f>
        <v/>
      </c>
      <c r="BA2365" s="82">
        <f>(2*$H2365-$F2365-$J2365)*100</f>
        <v/>
      </c>
      <c r="BB2365" s="82">
        <f>(2*$J2365-$H2365-$L2365)*100</f>
        <v/>
      </c>
      <c r="BC2365" s="82">
        <f>($N2365-$F2365)*100</f>
        <v/>
      </c>
      <c r="BD2365" s="82">
        <f>($Q2365-$H2365)*100</f>
        <v/>
      </c>
      <c r="BE2365" s="82">
        <f>($S2365-$J2365)*100</f>
        <v/>
      </c>
      <c r="BF2365" s="82">
        <f>($V2365-$L2365)*100</f>
        <v/>
      </c>
      <c r="BG2365" s="82">
        <f>$AG2365-$AF2365</f>
        <v/>
      </c>
      <c r="BH2365" s="81">
        <f>IFERROR($AG2365/$AF2365,"")</f>
        <v/>
      </c>
      <c r="BI2365" s="82">
        <f>$AJ2365-$AF2365</f>
        <v/>
      </c>
      <c r="BJ2365" s="81">
        <f>IFERROR($AJ2365/$AG2365,"")</f>
        <v/>
      </c>
      <c r="BK2365" s="81">
        <f>$X2365</f>
        <v/>
      </c>
      <c r="BL2365" s="82">
        <f>($J2365-$J2366)*100</f>
        <v/>
      </c>
      <c r="BM2365" s="82">
        <f>($F2365-$F2366)*100</f>
        <v/>
      </c>
      <c r="BN2365" s="82">
        <f>$AF2365-$AF2366</f>
        <v/>
      </c>
      <c r="BO2365" s="82">
        <f>$AG2365-$AG2366</f>
        <v/>
      </c>
      <c r="BP2365" s="82">
        <f>$AJ2365-$AJ2366</f>
        <v/>
      </c>
    </row>
    <row r="2366">
      <c r="AR2366" s="81">
        <f>($G2366+($H2366-$G2366)*0.5)+($P2366-($O2366+($Q2366-$O2366)*0.5))</f>
        <v/>
      </c>
      <c r="AS2366" s="81">
        <f>($J2366+($K2366-$J2366)*0.5)+($T2366-($S2366+($U2366-$S2366)*0.5))</f>
        <v/>
      </c>
      <c r="AT2366" s="82">
        <f>($J2366-$C2366)*100</f>
        <v/>
      </c>
      <c r="AU2366" s="82">
        <f>($H2366-$F2366)*100</f>
        <v/>
      </c>
      <c r="AV2366" s="82">
        <f>($J2366-$F2366)*100</f>
        <v/>
      </c>
      <c r="AW2366" s="82">
        <f>($L2366-$F2366)*100</f>
        <v/>
      </c>
      <c r="AX2366" s="82">
        <f>($J2366-$H2366)*100</f>
        <v/>
      </c>
      <c r="AY2366" s="82">
        <f>($L2366-$H2366)*100</f>
        <v/>
      </c>
      <c r="AZ2366" s="82">
        <f>($L2366-$J2366)*100</f>
        <v/>
      </c>
      <c r="BA2366" s="82">
        <f>(2*$H2366-$F2366-$J2366)*100</f>
        <v/>
      </c>
      <c r="BB2366" s="82">
        <f>(2*$J2366-$H2366-$L2366)*100</f>
        <v/>
      </c>
      <c r="BC2366" s="82">
        <f>($N2366-$F2366)*100</f>
        <v/>
      </c>
      <c r="BD2366" s="82">
        <f>($Q2366-$H2366)*100</f>
        <v/>
      </c>
      <c r="BE2366" s="82">
        <f>($S2366-$J2366)*100</f>
        <v/>
      </c>
      <c r="BF2366" s="82">
        <f>($V2366-$L2366)*100</f>
        <v/>
      </c>
      <c r="BG2366" s="82">
        <f>$AG2366-$AF2366</f>
        <v/>
      </c>
      <c r="BH2366" s="81">
        <f>IFERROR($AG2366/$AF2366,"")</f>
        <v/>
      </c>
      <c r="BI2366" s="82">
        <f>$AJ2366-$AF2366</f>
        <v/>
      </c>
      <c r="BJ2366" s="81">
        <f>IFERROR($AJ2366/$AG2366,"")</f>
        <v/>
      </c>
      <c r="BK2366" s="81">
        <f>$X2366</f>
        <v/>
      </c>
      <c r="BL2366" s="82">
        <f>($J2366-$J2367)*100</f>
        <v/>
      </c>
      <c r="BM2366" s="82">
        <f>($F2366-$F2367)*100</f>
        <v/>
      </c>
      <c r="BN2366" s="82">
        <f>$AF2366-$AF2367</f>
        <v/>
      </c>
      <c r="BO2366" s="82">
        <f>$AG2366-$AG2367</f>
        <v/>
      </c>
      <c r="BP2366" s="82">
        <f>$AJ2366-$AJ2367</f>
        <v/>
      </c>
    </row>
    <row r="2367">
      <c r="AR2367" s="81">
        <f>($G2367+($H2367-$G2367)*0.5)+($P2367-($O2367+($Q2367-$O2367)*0.5))</f>
        <v/>
      </c>
      <c r="AS2367" s="81">
        <f>($J2367+($K2367-$J2367)*0.5)+($T2367-($S2367+($U2367-$S2367)*0.5))</f>
        <v/>
      </c>
      <c r="AT2367" s="82">
        <f>($J2367-$C2367)*100</f>
        <v/>
      </c>
      <c r="AU2367" s="82">
        <f>($H2367-$F2367)*100</f>
        <v/>
      </c>
      <c r="AV2367" s="82">
        <f>($J2367-$F2367)*100</f>
        <v/>
      </c>
      <c r="AW2367" s="82">
        <f>($L2367-$F2367)*100</f>
        <v/>
      </c>
      <c r="AX2367" s="82">
        <f>($J2367-$H2367)*100</f>
        <v/>
      </c>
      <c r="AY2367" s="82">
        <f>($L2367-$H2367)*100</f>
        <v/>
      </c>
      <c r="AZ2367" s="82">
        <f>($L2367-$J2367)*100</f>
        <v/>
      </c>
      <c r="BA2367" s="82">
        <f>(2*$H2367-$F2367-$J2367)*100</f>
        <v/>
      </c>
      <c r="BB2367" s="82">
        <f>(2*$J2367-$H2367-$L2367)*100</f>
        <v/>
      </c>
      <c r="BC2367" s="82">
        <f>($N2367-$F2367)*100</f>
        <v/>
      </c>
      <c r="BD2367" s="82">
        <f>($Q2367-$H2367)*100</f>
        <v/>
      </c>
      <c r="BE2367" s="82">
        <f>($S2367-$J2367)*100</f>
        <v/>
      </c>
      <c r="BF2367" s="82">
        <f>($V2367-$L2367)*100</f>
        <v/>
      </c>
      <c r="BG2367" s="82">
        <f>$AG2367-$AF2367</f>
        <v/>
      </c>
      <c r="BH2367" s="81">
        <f>IFERROR($AG2367/$AF2367,"")</f>
        <v/>
      </c>
      <c r="BI2367" s="82">
        <f>$AJ2367-$AF2367</f>
        <v/>
      </c>
      <c r="BJ2367" s="81">
        <f>IFERROR($AJ2367/$AG2367,"")</f>
        <v/>
      </c>
      <c r="BK2367" s="81">
        <f>$X2367</f>
        <v/>
      </c>
      <c r="BL2367" s="82">
        <f>($J2367-$J2368)*100</f>
        <v/>
      </c>
      <c r="BM2367" s="82">
        <f>($F2367-$F2368)*100</f>
        <v/>
      </c>
      <c r="BN2367" s="82">
        <f>$AF2367-$AF2368</f>
        <v/>
      </c>
      <c r="BO2367" s="82">
        <f>$AG2367-$AG2368</f>
        <v/>
      </c>
      <c r="BP2367" s="82">
        <f>$AJ2367-$AJ2368</f>
        <v/>
      </c>
    </row>
    <row r="2368">
      <c r="AR2368" s="81">
        <f>($G2368+($H2368-$G2368)*0.5)+($P2368-($O2368+($Q2368-$O2368)*0.5))</f>
        <v/>
      </c>
      <c r="AS2368" s="81">
        <f>($J2368+($K2368-$J2368)*0.5)+($T2368-($S2368+($U2368-$S2368)*0.5))</f>
        <v/>
      </c>
      <c r="AT2368" s="82">
        <f>($J2368-$C2368)*100</f>
        <v/>
      </c>
      <c r="AU2368" s="82">
        <f>($H2368-$F2368)*100</f>
        <v/>
      </c>
      <c r="AV2368" s="82">
        <f>($J2368-$F2368)*100</f>
        <v/>
      </c>
      <c r="AW2368" s="82">
        <f>($L2368-$F2368)*100</f>
        <v/>
      </c>
      <c r="AX2368" s="82">
        <f>($J2368-$H2368)*100</f>
        <v/>
      </c>
      <c r="AY2368" s="82">
        <f>($L2368-$H2368)*100</f>
        <v/>
      </c>
      <c r="AZ2368" s="82">
        <f>($L2368-$J2368)*100</f>
        <v/>
      </c>
      <c r="BA2368" s="82">
        <f>(2*$H2368-$F2368-$J2368)*100</f>
        <v/>
      </c>
      <c r="BB2368" s="82">
        <f>(2*$J2368-$H2368-$L2368)*100</f>
        <v/>
      </c>
      <c r="BC2368" s="82">
        <f>($N2368-$F2368)*100</f>
        <v/>
      </c>
      <c r="BD2368" s="82">
        <f>($Q2368-$H2368)*100</f>
        <v/>
      </c>
      <c r="BE2368" s="82">
        <f>($S2368-$J2368)*100</f>
        <v/>
      </c>
      <c r="BF2368" s="82">
        <f>($V2368-$L2368)*100</f>
        <v/>
      </c>
      <c r="BG2368" s="82">
        <f>$AG2368-$AF2368</f>
        <v/>
      </c>
      <c r="BH2368" s="81">
        <f>IFERROR($AG2368/$AF2368,"")</f>
        <v/>
      </c>
      <c r="BI2368" s="82">
        <f>$AJ2368-$AF2368</f>
        <v/>
      </c>
      <c r="BJ2368" s="81">
        <f>IFERROR($AJ2368/$AG2368,"")</f>
        <v/>
      </c>
      <c r="BK2368" s="81">
        <f>$X2368</f>
        <v/>
      </c>
      <c r="BL2368" s="82">
        <f>($J2368-$J2369)*100</f>
        <v/>
      </c>
      <c r="BM2368" s="82">
        <f>($F2368-$F2369)*100</f>
        <v/>
      </c>
      <c r="BN2368" s="82">
        <f>$AF2368-$AF2369</f>
        <v/>
      </c>
      <c r="BO2368" s="82">
        <f>$AG2368-$AG2369</f>
        <v/>
      </c>
      <c r="BP2368" s="82">
        <f>$AJ2368-$AJ2369</f>
        <v/>
      </c>
    </row>
    <row r="2369">
      <c r="AR2369" s="81">
        <f>($G2369+($H2369-$G2369)*0.5)+($P2369-($O2369+($Q2369-$O2369)*0.5))</f>
        <v/>
      </c>
      <c r="AS2369" s="81">
        <f>($J2369+($K2369-$J2369)*0.5)+($T2369-($S2369+($U2369-$S2369)*0.5))</f>
        <v/>
      </c>
      <c r="AT2369" s="82">
        <f>($J2369-$C2369)*100</f>
        <v/>
      </c>
      <c r="AU2369" s="82">
        <f>($H2369-$F2369)*100</f>
        <v/>
      </c>
      <c r="AV2369" s="82">
        <f>($J2369-$F2369)*100</f>
        <v/>
      </c>
      <c r="AW2369" s="82">
        <f>($L2369-$F2369)*100</f>
        <v/>
      </c>
      <c r="AX2369" s="82">
        <f>($J2369-$H2369)*100</f>
        <v/>
      </c>
      <c r="AY2369" s="82">
        <f>($L2369-$H2369)*100</f>
        <v/>
      </c>
      <c r="AZ2369" s="82">
        <f>($L2369-$J2369)*100</f>
        <v/>
      </c>
      <c r="BA2369" s="82">
        <f>(2*$H2369-$F2369-$J2369)*100</f>
        <v/>
      </c>
      <c r="BB2369" s="82">
        <f>(2*$J2369-$H2369-$L2369)*100</f>
        <v/>
      </c>
      <c r="BC2369" s="82">
        <f>($N2369-$F2369)*100</f>
        <v/>
      </c>
      <c r="BD2369" s="82">
        <f>($Q2369-$H2369)*100</f>
        <v/>
      </c>
      <c r="BE2369" s="82">
        <f>($S2369-$J2369)*100</f>
        <v/>
      </c>
      <c r="BF2369" s="82">
        <f>($V2369-$L2369)*100</f>
        <v/>
      </c>
      <c r="BG2369" s="82">
        <f>$AG2369-$AF2369</f>
        <v/>
      </c>
      <c r="BH2369" s="81">
        <f>IFERROR($AG2369/$AF2369,"")</f>
        <v/>
      </c>
      <c r="BI2369" s="82">
        <f>$AJ2369-$AF2369</f>
        <v/>
      </c>
      <c r="BJ2369" s="81">
        <f>IFERROR($AJ2369/$AG2369,"")</f>
        <v/>
      </c>
      <c r="BK2369" s="81">
        <f>$X2369</f>
        <v/>
      </c>
      <c r="BL2369" s="82">
        <f>($J2369-$J2370)*100</f>
        <v/>
      </c>
      <c r="BM2369" s="82">
        <f>($F2369-$F2370)*100</f>
        <v/>
      </c>
      <c r="BN2369" s="82">
        <f>$AF2369-$AF2370</f>
        <v/>
      </c>
      <c r="BO2369" s="82">
        <f>$AG2369-$AG2370</f>
        <v/>
      </c>
      <c r="BP2369" s="82">
        <f>$AJ2369-$AJ2370</f>
        <v/>
      </c>
    </row>
    <row r="2370">
      <c r="AR2370" s="81">
        <f>($G2370+($H2370-$G2370)*0.5)+($P2370-($O2370+($Q2370-$O2370)*0.5))</f>
        <v/>
      </c>
      <c r="AS2370" s="81">
        <f>($J2370+($K2370-$J2370)*0.5)+($T2370-($S2370+($U2370-$S2370)*0.5))</f>
        <v/>
      </c>
      <c r="AT2370" s="82">
        <f>($J2370-$C2370)*100</f>
        <v/>
      </c>
      <c r="AU2370" s="82">
        <f>($H2370-$F2370)*100</f>
        <v/>
      </c>
      <c r="AV2370" s="82">
        <f>($J2370-$F2370)*100</f>
        <v/>
      </c>
      <c r="AW2370" s="82">
        <f>($L2370-$F2370)*100</f>
        <v/>
      </c>
      <c r="AX2370" s="82">
        <f>($J2370-$H2370)*100</f>
        <v/>
      </c>
      <c r="AY2370" s="82">
        <f>($L2370-$H2370)*100</f>
        <v/>
      </c>
      <c r="AZ2370" s="82">
        <f>($L2370-$J2370)*100</f>
        <v/>
      </c>
      <c r="BA2370" s="82">
        <f>(2*$H2370-$F2370-$J2370)*100</f>
        <v/>
      </c>
      <c r="BB2370" s="82">
        <f>(2*$J2370-$H2370-$L2370)*100</f>
        <v/>
      </c>
      <c r="BC2370" s="82">
        <f>($N2370-$F2370)*100</f>
        <v/>
      </c>
      <c r="BD2370" s="82">
        <f>($Q2370-$H2370)*100</f>
        <v/>
      </c>
      <c r="BE2370" s="82">
        <f>($S2370-$J2370)*100</f>
        <v/>
      </c>
      <c r="BF2370" s="82">
        <f>($V2370-$L2370)*100</f>
        <v/>
      </c>
      <c r="BG2370" s="82">
        <f>$AG2370-$AF2370</f>
        <v/>
      </c>
      <c r="BH2370" s="81">
        <f>IFERROR($AG2370/$AF2370,"")</f>
        <v/>
      </c>
      <c r="BI2370" s="82">
        <f>$AJ2370-$AF2370</f>
        <v/>
      </c>
      <c r="BJ2370" s="81">
        <f>IFERROR($AJ2370/$AG2370,"")</f>
        <v/>
      </c>
      <c r="BK2370" s="81">
        <f>$X2370</f>
        <v/>
      </c>
      <c r="BL2370" s="82">
        <f>($J2370-$J2371)*100</f>
        <v/>
      </c>
      <c r="BM2370" s="82">
        <f>($F2370-$F2371)*100</f>
        <v/>
      </c>
      <c r="BN2370" s="82">
        <f>$AF2370-$AF2371</f>
        <v/>
      </c>
      <c r="BO2370" s="82">
        <f>$AG2370-$AG2371</f>
        <v/>
      </c>
      <c r="BP2370" s="82">
        <f>$AJ2370-$AJ2371</f>
        <v/>
      </c>
    </row>
    <row r="2371">
      <c r="AR2371" s="81">
        <f>($G2371+($H2371-$G2371)*0.5)+($P2371-($O2371+($Q2371-$O2371)*0.5))</f>
        <v/>
      </c>
      <c r="AS2371" s="81">
        <f>($J2371+($K2371-$J2371)*0.5)+($T2371-($S2371+($U2371-$S2371)*0.5))</f>
        <v/>
      </c>
      <c r="AT2371" s="82">
        <f>($J2371-$C2371)*100</f>
        <v/>
      </c>
      <c r="AU2371" s="82">
        <f>($H2371-$F2371)*100</f>
        <v/>
      </c>
      <c r="AV2371" s="82">
        <f>($J2371-$F2371)*100</f>
        <v/>
      </c>
      <c r="AW2371" s="82">
        <f>($L2371-$F2371)*100</f>
        <v/>
      </c>
      <c r="AX2371" s="82">
        <f>($J2371-$H2371)*100</f>
        <v/>
      </c>
      <c r="AY2371" s="82">
        <f>($L2371-$H2371)*100</f>
        <v/>
      </c>
      <c r="AZ2371" s="82">
        <f>($L2371-$J2371)*100</f>
        <v/>
      </c>
      <c r="BA2371" s="82">
        <f>(2*$H2371-$F2371-$J2371)*100</f>
        <v/>
      </c>
      <c r="BB2371" s="82">
        <f>(2*$J2371-$H2371-$L2371)*100</f>
        <v/>
      </c>
      <c r="BC2371" s="82">
        <f>($N2371-$F2371)*100</f>
        <v/>
      </c>
      <c r="BD2371" s="82">
        <f>($Q2371-$H2371)*100</f>
        <v/>
      </c>
      <c r="BE2371" s="82">
        <f>($S2371-$J2371)*100</f>
        <v/>
      </c>
      <c r="BF2371" s="82">
        <f>($V2371-$L2371)*100</f>
        <v/>
      </c>
      <c r="BG2371" s="82">
        <f>$AG2371-$AF2371</f>
        <v/>
      </c>
      <c r="BH2371" s="81">
        <f>IFERROR($AG2371/$AF2371,"")</f>
        <v/>
      </c>
      <c r="BI2371" s="82">
        <f>$AJ2371-$AF2371</f>
        <v/>
      </c>
      <c r="BJ2371" s="81">
        <f>IFERROR($AJ2371/$AG2371,"")</f>
        <v/>
      </c>
      <c r="BK2371" s="81">
        <f>$X2371</f>
        <v/>
      </c>
      <c r="BL2371" s="82">
        <f>($J2371-$J2372)*100</f>
        <v/>
      </c>
      <c r="BM2371" s="82">
        <f>($F2371-$F2372)*100</f>
        <v/>
      </c>
      <c r="BN2371" s="82">
        <f>$AF2371-$AF2372</f>
        <v/>
      </c>
      <c r="BO2371" s="82">
        <f>$AG2371-$AG2372</f>
        <v/>
      </c>
      <c r="BP2371" s="82">
        <f>$AJ2371-$AJ2372</f>
        <v/>
      </c>
    </row>
    <row r="2372">
      <c r="AR2372" s="81">
        <f>($G2372+($H2372-$G2372)*0.5)+($P2372-($O2372+($Q2372-$O2372)*0.5))</f>
        <v/>
      </c>
      <c r="AS2372" s="81">
        <f>($J2372+($K2372-$J2372)*0.5)+($T2372-($S2372+($U2372-$S2372)*0.5))</f>
        <v/>
      </c>
      <c r="AT2372" s="82">
        <f>($J2372-$C2372)*100</f>
        <v/>
      </c>
      <c r="AU2372" s="82">
        <f>($H2372-$F2372)*100</f>
        <v/>
      </c>
      <c r="AV2372" s="82">
        <f>($J2372-$F2372)*100</f>
        <v/>
      </c>
      <c r="AW2372" s="82">
        <f>($L2372-$F2372)*100</f>
        <v/>
      </c>
      <c r="AX2372" s="82">
        <f>($J2372-$H2372)*100</f>
        <v/>
      </c>
      <c r="AY2372" s="82">
        <f>($L2372-$H2372)*100</f>
        <v/>
      </c>
      <c r="AZ2372" s="82">
        <f>($L2372-$J2372)*100</f>
        <v/>
      </c>
      <c r="BA2372" s="82">
        <f>(2*$H2372-$F2372-$J2372)*100</f>
        <v/>
      </c>
      <c r="BB2372" s="82">
        <f>(2*$J2372-$H2372-$L2372)*100</f>
        <v/>
      </c>
      <c r="BC2372" s="82">
        <f>($N2372-$F2372)*100</f>
        <v/>
      </c>
      <c r="BD2372" s="82">
        <f>($Q2372-$H2372)*100</f>
        <v/>
      </c>
      <c r="BE2372" s="82">
        <f>($S2372-$J2372)*100</f>
        <v/>
      </c>
      <c r="BF2372" s="82">
        <f>($V2372-$L2372)*100</f>
        <v/>
      </c>
      <c r="BG2372" s="82">
        <f>$AG2372-$AF2372</f>
        <v/>
      </c>
      <c r="BH2372" s="81">
        <f>IFERROR($AG2372/$AF2372,"")</f>
        <v/>
      </c>
      <c r="BI2372" s="82">
        <f>$AJ2372-$AF2372</f>
        <v/>
      </c>
      <c r="BJ2372" s="81">
        <f>IFERROR($AJ2372/$AG2372,"")</f>
        <v/>
      </c>
      <c r="BK2372" s="81">
        <f>$X2372</f>
        <v/>
      </c>
      <c r="BL2372" s="82">
        <f>($J2372-$J2373)*100</f>
        <v/>
      </c>
      <c r="BM2372" s="82">
        <f>($F2372-$F2373)*100</f>
        <v/>
      </c>
      <c r="BN2372" s="82">
        <f>$AF2372-$AF2373</f>
        <v/>
      </c>
      <c r="BO2372" s="82">
        <f>$AG2372-$AG2373</f>
        <v/>
      </c>
      <c r="BP2372" s="82">
        <f>$AJ2372-$AJ2373</f>
        <v/>
      </c>
    </row>
    <row r="2373">
      <c r="AR2373" s="81">
        <f>($G2373+($H2373-$G2373)*0.5)+($P2373-($O2373+($Q2373-$O2373)*0.5))</f>
        <v/>
      </c>
      <c r="AS2373" s="81">
        <f>($J2373+($K2373-$J2373)*0.5)+($T2373-($S2373+($U2373-$S2373)*0.5))</f>
        <v/>
      </c>
      <c r="AT2373" s="82">
        <f>($J2373-$C2373)*100</f>
        <v/>
      </c>
      <c r="AU2373" s="82">
        <f>($H2373-$F2373)*100</f>
        <v/>
      </c>
      <c r="AV2373" s="82">
        <f>($J2373-$F2373)*100</f>
        <v/>
      </c>
      <c r="AW2373" s="82">
        <f>($L2373-$F2373)*100</f>
        <v/>
      </c>
      <c r="AX2373" s="82">
        <f>($J2373-$H2373)*100</f>
        <v/>
      </c>
      <c r="AY2373" s="82">
        <f>($L2373-$H2373)*100</f>
        <v/>
      </c>
      <c r="AZ2373" s="82">
        <f>($L2373-$J2373)*100</f>
        <v/>
      </c>
      <c r="BA2373" s="82">
        <f>(2*$H2373-$F2373-$J2373)*100</f>
        <v/>
      </c>
      <c r="BB2373" s="82">
        <f>(2*$J2373-$H2373-$L2373)*100</f>
        <v/>
      </c>
      <c r="BC2373" s="82">
        <f>($N2373-$F2373)*100</f>
        <v/>
      </c>
      <c r="BD2373" s="82">
        <f>($Q2373-$H2373)*100</f>
        <v/>
      </c>
      <c r="BE2373" s="82">
        <f>($S2373-$J2373)*100</f>
        <v/>
      </c>
      <c r="BF2373" s="82">
        <f>($V2373-$L2373)*100</f>
        <v/>
      </c>
      <c r="BG2373" s="82">
        <f>$AG2373-$AF2373</f>
        <v/>
      </c>
      <c r="BH2373" s="81">
        <f>IFERROR($AG2373/$AF2373,"")</f>
        <v/>
      </c>
      <c r="BI2373" s="82">
        <f>$AJ2373-$AF2373</f>
        <v/>
      </c>
      <c r="BJ2373" s="81">
        <f>IFERROR($AJ2373/$AG2373,"")</f>
        <v/>
      </c>
      <c r="BK2373" s="81">
        <f>$X2373</f>
        <v/>
      </c>
      <c r="BL2373" s="82">
        <f>($J2373-$J2374)*100</f>
        <v/>
      </c>
      <c r="BM2373" s="82">
        <f>($F2373-$F2374)*100</f>
        <v/>
      </c>
      <c r="BN2373" s="82">
        <f>$AF2373-$AF2374</f>
        <v/>
      </c>
      <c r="BO2373" s="82">
        <f>$AG2373-$AG2374</f>
        <v/>
      </c>
      <c r="BP2373" s="82">
        <f>$AJ2373-$AJ2374</f>
        <v/>
      </c>
    </row>
    <row r="2374">
      <c r="AR2374" s="81">
        <f>($G2374+($H2374-$G2374)*0.5)+($P2374-($O2374+($Q2374-$O2374)*0.5))</f>
        <v/>
      </c>
      <c r="AS2374" s="81">
        <f>($J2374+($K2374-$J2374)*0.5)+($T2374-($S2374+($U2374-$S2374)*0.5))</f>
        <v/>
      </c>
      <c r="AT2374" s="82">
        <f>($J2374-$C2374)*100</f>
        <v/>
      </c>
      <c r="AU2374" s="82">
        <f>($H2374-$F2374)*100</f>
        <v/>
      </c>
      <c r="AV2374" s="82">
        <f>($J2374-$F2374)*100</f>
        <v/>
      </c>
      <c r="AW2374" s="82">
        <f>($L2374-$F2374)*100</f>
        <v/>
      </c>
      <c r="AX2374" s="82">
        <f>($J2374-$H2374)*100</f>
        <v/>
      </c>
      <c r="AY2374" s="82">
        <f>($L2374-$H2374)*100</f>
        <v/>
      </c>
      <c r="AZ2374" s="82">
        <f>($L2374-$J2374)*100</f>
        <v/>
      </c>
      <c r="BA2374" s="82">
        <f>(2*$H2374-$F2374-$J2374)*100</f>
        <v/>
      </c>
      <c r="BB2374" s="82">
        <f>(2*$J2374-$H2374-$L2374)*100</f>
        <v/>
      </c>
      <c r="BC2374" s="82">
        <f>($N2374-$F2374)*100</f>
        <v/>
      </c>
      <c r="BD2374" s="82">
        <f>($Q2374-$H2374)*100</f>
        <v/>
      </c>
      <c r="BE2374" s="82">
        <f>($S2374-$J2374)*100</f>
        <v/>
      </c>
      <c r="BF2374" s="82">
        <f>($V2374-$L2374)*100</f>
        <v/>
      </c>
      <c r="BG2374" s="82">
        <f>$AG2374-$AF2374</f>
        <v/>
      </c>
      <c r="BH2374" s="81">
        <f>IFERROR($AG2374/$AF2374,"")</f>
        <v/>
      </c>
      <c r="BI2374" s="82">
        <f>$AJ2374-$AF2374</f>
        <v/>
      </c>
      <c r="BJ2374" s="81">
        <f>IFERROR($AJ2374/$AG2374,"")</f>
        <v/>
      </c>
      <c r="BK2374" s="81">
        <f>$X2374</f>
        <v/>
      </c>
      <c r="BL2374" s="82">
        <f>($J2374-$J2375)*100</f>
        <v/>
      </c>
      <c r="BM2374" s="82">
        <f>($F2374-$F2375)*100</f>
        <v/>
      </c>
      <c r="BN2374" s="82">
        <f>$AF2374-$AF2375</f>
        <v/>
      </c>
      <c r="BO2374" s="82">
        <f>$AG2374-$AG2375</f>
        <v/>
      </c>
      <c r="BP2374" s="82">
        <f>$AJ2374-$AJ2375</f>
        <v/>
      </c>
    </row>
    <row r="2375">
      <c r="AR2375" s="81">
        <f>($G2375+($H2375-$G2375)*0.5)+($P2375-($O2375+($Q2375-$O2375)*0.5))</f>
        <v/>
      </c>
      <c r="AS2375" s="81">
        <f>($J2375+($K2375-$J2375)*0.5)+($T2375-($S2375+($U2375-$S2375)*0.5))</f>
        <v/>
      </c>
      <c r="AT2375" s="82">
        <f>($J2375-$C2375)*100</f>
        <v/>
      </c>
      <c r="AU2375" s="82">
        <f>($H2375-$F2375)*100</f>
        <v/>
      </c>
      <c r="AV2375" s="82">
        <f>($J2375-$F2375)*100</f>
        <v/>
      </c>
      <c r="AW2375" s="82">
        <f>($L2375-$F2375)*100</f>
        <v/>
      </c>
      <c r="AX2375" s="82">
        <f>($J2375-$H2375)*100</f>
        <v/>
      </c>
      <c r="AY2375" s="82">
        <f>($L2375-$H2375)*100</f>
        <v/>
      </c>
      <c r="AZ2375" s="82">
        <f>($L2375-$J2375)*100</f>
        <v/>
      </c>
      <c r="BA2375" s="82">
        <f>(2*$H2375-$F2375-$J2375)*100</f>
        <v/>
      </c>
      <c r="BB2375" s="82">
        <f>(2*$J2375-$H2375-$L2375)*100</f>
        <v/>
      </c>
      <c r="BC2375" s="82">
        <f>($N2375-$F2375)*100</f>
        <v/>
      </c>
      <c r="BD2375" s="82">
        <f>($Q2375-$H2375)*100</f>
        <v/>
      </c>
      <c r="BE2375" s="82">
        <f>($S2375-$J2375)*100</f>
        <v/>
      </c>
      <c r="BF2375" s="82">
        <f>($V2375-$L2375)*100</f>
        <v/>
      </c>
      <c r="BG2375" s="82">
        <f>$AG2375-$AF2375</f>
        <v/>
      </c>
      <c r="BH2375" s="81">
        <f>IFERROR($AG2375/$AF2375,"")</f>
        <v/>
      </c>
      <c r="BI2375" s="82">
        <f>$AJ2375-$AF2375</f>
        <v/>
      </c>
      <c r="BJ2375" s="81">
        <f>IFERROR($AJ2375/$AG2375,"")</f>
        <v/>
      </c>
      <c r="BK2375" s="81">
        <f>$X2375</f>
        <v/>
      </c>
      <c r="BL2375" s="82">
        <f>($J2375-$J2376)*100</f>
        <v/>
      </c>
      <c r="BM2375" s="82">
        <f>($F2375-$F2376)*100</f>
        <v/>
      </c>
      <c r="BN2375" s="82">
        <f>$AF2375-$AF2376</f>
        <v/>
      </c>
      <c r="BO2375" s="82">
        <f>$AG2375-$AG2376</f>
        <v/>
      </c>
      <c r="BP2375" s="82">
        <f>$AJ2375-$AJ2376</f>
        <v/>
      </c>
    </row>
    <row r="2376">
      <c r="AR2376" s="81">
        <f>($G2376+($H2376-$G2376)*0.5)+($P2376-($O2376+($Q2376-$O2376)*0.5))</f>
        <v/>
      </c>
      <c r="AS2376" s="81">
        <f>($J2376+($K2376-$J2376)*0.5)+($T2376-($S2376+($U2376-$S2376)*0.5))</f>
        <v/>
      </c>
      <c r="AT2376" s="82">
        <f>($J2376-$C2376)*100</f>
        <v/>
      </c>
      <c r="AU2376" s="82">
        <f>($H2376-$F2376)*100</f>
        <v/>
      </c>
      <c r="AV2376" s="82">
        <f>($J2376-$F2376)*100</f>
        <v/>
      </c>
      <c r="AW2376" s="82">
        <f>($L2376-$F2376)*100</f>
        <v/>
      </c>
      <c r="AX2376" s="82">
        <f>($J2376-$H2376)*100</f>
        <v/>
      </c>
      <c r="AY2376" s="82">
        <f>($L2376-$H2376)*100</f>
        <v/>
      </c>
      <c r="AZ2376" s="82">
        <f>($L2376-$J2376)*100</f>
        <v/>
      </c>
      <c r="BA2376" s="82">
        <f>(2*$H2376-$F2376-$J2376)*100</f>
        <v/>
      </c>
      <c r="BB2376" s="82">
        <f>(2*$J2376-$H2376-$L2376)*100</f>
        <v/>
      </c>
      <c r="BC2376" s="82">
        <f>($N2376-$F2376)*100</f>
        <v/>
      </c>
      <c r="BD2376" s="82">
        <f>($Q2376-$H2376)*100</f>
        <v/>
      </c>
      <c r="BE2376" s="82">
        <f>($S2376-$J2376)*100</f>
        <v/>
      </c>
      <c r="BF2376" s="82">
        <f>($V2376-$L2376)*100</f>
        <v/>
      </c>
      <c r="BG2376" s="82">
        <f>$AG2376-$AF2376</f>
        <v/>
      </c>
      <c r="BH2376" s="81">
        <f>IFERROR($AG2376/$AF2376,"")</f>
        <v/>
      </c>
      <c r="BI2376" s="82">
        <f>$AJ2376-$AF2376</f>
        <v/>
      </c>
      <c r="BJ2376" s="81">
        <f>IFERROR($AJ2376/$AG2376,"")</f>
        <v/>
      </c>
      <c r="BK2376" s="81">
        <f>$X2376</f>
        <v/>
      </c>
      <c r="BL2376" s="82">
        <f>($J2376-$J2377)*100</f>
        <v/>
      </c>
      <c r="BM2376" s="82">
        <f>($F2376-$F2377)*100</f>
        <v/>
      </c>
      <c r="BN2376" s="82">
        <f>$AF2376-$AF2377</f>
        <v/>
      </c>
      <c r="BO2376" s="82">
        <f>$AG2376-$AG2377</f>
        <v/>
      </c>
      <c r="BP2376" s="82">
        <f>$AJ2376-$AJ2377</f>
        <v/>
      </c>
    </row>
    <row r="2377">
      <c r="AR2377" s="81">
        <f>($G2377+($H2377-$G2377)*0.5)+($P2377-($O2377+($Q2377-$O2377)*0.5))</f>
        <v/>
      </c>
      <c r="AS2377" s="81">
        <f>($J2377+($K2377-$J2377)*0.5)+($T2377-($S2377+($U2377-$S2377)*0.5))</f>
        <v/>
      </c>
      <c r="AT2377" s="82">
        <f>($J2377-$C2377)*100</f>
        <v/>
      </c>
      <c r="AU2377" s="82">
        <f>($H2377-$F2377)*100</f>
        <v/>
      </c>
      <c r="AV2377" s="82">
        <f>($J2377-$F2377)*100</f>
        <v/>
      </c>
      <c r="AW2377" s="82">
        <f>($L2377-$F2377)*100</f>
        <v/>
      </c>
      <c r="AX2377" s="82">
        <f>($J2377-$H2377)*100</f>
        <v/>
      </c>
      <c r="AY2377" s="82">
        <f>($L2377-$H2377)*100</f>
        <v/>
      </c>
      <c r="AZ2377" s="82">
        <f>($L2377-$J2377)*100</f>
        <v/>
      </c>
      <c r="BA2377" s="82">
        <f>(2*$H2377-$F2377-$J2377)*100</f>
        <v/>
      </c>
      <c r="BB2377" s="82">
        <f>(2*$J2377-$H2377-$L2377)*100</f>
        <v/>
      </c>
      <c r="BC2377" s="82">
        <f>($N2377-$F2377)*100</f>
        <v/>
      </c>
      <c r="BD2377" s="82">
        <f>($Q2377-$H2377)*100</f>
        <v/>
      </c>
      <c r="BE2377" s="82">
        <f>($S2377-$J2377)*100</f>
        <v/>
      </c>
      <c r="BF2377" s="82">
        <f>($V2377-$L2377)*100</f>
        <v/>
      </c>
      <c r="BG2377" s="82">
        <f>$AG2377-$AF2377</f>
        <v/>
      </c>
      <c r="BH2377" s="81">
        <f>IFERROR($AG2377/$AF2377,"")</f>
        <v/>
      </c>
      <c r="BI2377" s="82">
        <f>$AJ2377-$AF2377</f>
        <v/>
      </c>
      <c r="BJ2377" s="81">
        <f>IFERROR($AJ2377/$AG2377,"")</f>
        <v/>
      </c>
      <c r="BK2377" s="81">
        <f>$X2377</f>
        <v/>
      </c>
      <c r="BL2377" s="82">
        <f>($J2377-$J2378)*100</f>
        <v/>
      </c>
      <c r="BM2377" s="82">
        <f>($F2377-$F2378)*100</f>
        <v/>
      </c>
      <c r="BN2377" s="82">
        <f>$AF2377-$AF2378</f>
        <v/>
      </c>
      <c r="BO2377" s="82">
        <f>$AG2377-$AG2378</f>
        <v/>
      </c>
      <c r="BP2377" s="82">
        <f>$AJ2377-$AJ2378</f>
        <v/>
      </c>
    </row>
    <row r="2378">
      <c r="AR2378" s="81">
        <f>($G2378+($H2378-$G2378)*0.5)+($P2378-($O2378+($Q2378-$O2378)*0.5))</f>
        <v/>
      </c>
      <c r="AS2378" s="81">
        <f>($J2378+($K2378-$J2378)*0.5)+($T2378-($S2378+($U2378-$S2378)*0.5))</f>
        <v/>
      </c>
      <c r="AT2378" s="82">
        <f>($J2378-$C2378)*100</f>
        <v/>
      </c>
      <c r="AU2378" s="82">
        <f>($H2378-$F2378)*100</f>
        <v/>
      </c>
      <c r="AV2378" s="82">
        <f>($J2378-$F2378)*100</f>
        <v/>
      </c>
      <c r="AW2378" s="82">
        <f>($L2378-$F2378)*100</f>
        <v/>
      </c>
      <c r="AX2378" s="82">
        <f>($J2378-$H2378)*100</f>
        <v/>
      </c>
      <c r="AY2378" s="82">
        <f>($L2378-$H2378)*100</f>
        <v/>
      </c>
      <c r="AZ2378" s="82">
        <f>($L2378-$J2378)*100</f>
        <v/>
      </c>
      <c r="BA2378" s="82">
        <f>(2*$H2378-$F2378-$J2378)*100</f>
        <v/>
      </c>
      <c r="BB2378" s="82">
        <f>(2*$J2378-$H2378-$L2378)*100</f>
        <v/>
      </c>
      <c r="BC2378" s="82">
        <f>($N2378-$F2378)*100</f>
        <v/>
      </c>
      <c r="BD2378" s="82">
        <f>($Q2378-$H2378)*100</f>
        <v/>
      </c>
      <c r="BE2378" s="82">
        <f>($S2378-$J2378)*100</f>
        <v/>
      </c>
      <c r="BF2378" s="82">
        <f>($V2378-$L2378)*100</f>
        <v/>
      </c>
      <c r="BG2378" s="82">
        <f>$AG2378-$AF2378</f>
        <v/>
      </c>
      <c r="BH2378" s="81">
        <f>IFERROR($AG2378/$AF2378,"")</f>
        <v/>
      </c>
      <c r="BI2378" s="82">
        <f>$AJ2378-$AF2378</f>
        <v/>
      </c>
      <c r="BJ2378" s="81">
        <f>IFERROR($AJ2378/$AG2378,"")</f>
        <v/>
      </c>
      <c r="BK2378" s="81">
        <f>$X2378</f>
        <v/>
      </c>
      <c r="BL2378" s="82">
        <f>($J2378-$J2379)*100</f>
        <v/>
      </c>
      <c r="BM2378" s="82">
        <f>($F2378-$F2379)*100</f>
        <v/>
      </c>
      <c r="BN2378" s="82">
        <f>$AF2378-$AF2379</f>
        <v/>
      </c>
      <c r="BO2378" s="82">
        <f>$AG2378-$AG2379</f>
        <v/>
      </c>
      <c r="BP2378" s="82">
        <f>$AJ2378-$AJ2379</f>
        <v/>
      </c>
    </row>
    <row r="2379">
      <c r="AR2379" s="81">
        <f>($G2379+($H2379-$G2379)*0.5)+($P2379-($O2379+($Q2379-$O2379)*0.5))</f>
        <v/>
      </c>
      <c r="AS2379" s="81">
        <f>($J2379+($K2379-$J2379)*0.5)+($T2379-($S2379+($U2379-$S2379)*0.5))</f>
        <v/>
      </c>
      <c r="AT2379" s="82">
        <f>($J2379-$C2379)*100</f>
        <v/>
      </c>
      <c r="AU2379" s="82">
        <f>($H2379-$F2379)*100</f>
        <v/>
      </c>
      <c r="AV2379" s="82">
        <f>($J2379-$F2379)*100</f>
        <v/>
      </c>
      <c r="AW2379" s="82">
        <f>($L2379-$F2379)*100</f>
        <v/>
      </c>
      <c r="AX2379" s="82">
        <f>($J2379-$H2379)*100</f>
        <v/>
      </c>
      <c r="AY2379" s="82">
        <f>($L2379-$H2379)*100</f>
        <v/>
      </c>
      <c r="AZ2379" s="82">
        <f>($L2379-$J2379)*100</f>
        <v/>
      </c>
      <c r="BA2379" s="82">
        <f>(2*$H2379-$F2379-$J2379)*100</f>
        <v/>
      </c>
      <c r="BB2379" s="82">
        <f>(2*$J2379-$H2379-$L2379)*100</f>
        <v/>
      </c>
      <c r="BC2379" s="82">
        <f>($N2379-$F2379)*100</f>
        <v/>
      </c>
      <c r="BD2379" s="82">
        <f>($Q2379-$H2379)*100</f>
        <v/>
      </c>
      <c r="BE2379" s="82">
        <f>($S2379-$J2379)*100</f>
        <v/>
      </c>
      <c r="BF2379" s="82">
        <f>($V2379-$L2379)*100</f>
        <v/>
      </c>
      <c r="BG2379" s="82">
        <f>$AG2379-$AF2379</f>
        <v/>
      </c>
      <c r="BH2379" s="81">
        <f>IFERROR($AG2379/$AF2379,"")</f>
        <v/>
      </c>
      <c r="BI2379" s="82">
        <f>$AJ2379-$AF2379</f>
        <v/>
      </c>
      <c r="BJ2379" s="81">
        <f>IFERROR($AJ2379/$AG2379,"")</f>
        <v/>
      </c>
      <c r="BK2379" s="81">
        <f>$X2379</f>
        <v/>
      </c>
      <c r="BL2379" s="82">
        <f>($J2379-$J2380)*100</f>
        <v/>
      </c>
      <c r="BM2379" s="82">
        <f>($F2379-$F2380)*100</f>
        <v/>
      </c>
      <c r="BN2379" s="82">
        <f>$AF2379-$AF2380</f>
        <v/>
      </c>
      <c r="BO2379" s="82">
        <f>$AG2379-$AG2380</f>
        <v/>
      </c>
      <c r="BP2379" s="82">
        <f>$AJ2379-$AJ2380</f>
        <v/>
      </c>
    </row>
    <row r="2380">
      <c r="AR2380" s="81">
        <f>($G2380+($H2380-$G2380)*0.5)+($P2380-($O2380+($Q2380-$O2380)*0.5))</f>
        <v/>
      </c>
      <c r="AS2380" s="81">
        <f>($J2380+($K2380-$J2380)*0.5)+($T2380-($S2380+($U2380-$S2380)*0.5))</f>
        <v/>
      </c>
      <c r="AT2380" s="82">
        <f>($J2380-$C2380)*100</f>
        <v/>
      </c>
      <c r="AU2380" s="82">
        <f>($H2380-$F2380)*100</f>
        <v/>
      </c>
      <c r="AV2380" s="82">
        <f>($J2380-$F2380)*100</f>
        <v/>
      </c>
      <c r="AW2380" s="82">
        <f>($L2380-$F2380)*100</f>
        <v/>
      </c>
      <c r="AX2380" s="82">
        <f>($J2380-$H2380)*100</f>
        <v/>
      </c>
      <c r="AY2380" s="82">
        <f>($L2380-$H2380)*100</f>
        <v/>
      </c>
      <c r="AZ2380" s="82">
        <f>($L2380-$J2380)*100</f>
        <v/>
      </c>
      <c r="BA2380" s="82">
        <f>(2*$H2380-$F2380-$J2380)*100</f>
        <v/>
      </c>
      <c r="BB2380" s="82">
        <f>(2*$J2380-$H2380-$L2380)*100</f>
        <v/>
      </c>
      <c r="BC2380" s="82">
        <f>($N2380-$F2380)*100</f>
        <v/>
      </c>
      <c r="BD2380" s="82">
        <f>($Q2380-$H2380)*100</f>
        <v/>
      </c>
      <c r="BE2380" s="82">
        <f>($S2380-$J2380)*100</f>
        <v/>
      </c>
      <c r="BF2380" s="82">
        <f>($V2380-$L2380)*100</f>
        <v/>
      </c>
      <c r="BG2380" s="82">
        <f>$AG2380-$AF2380</f>
        <v/>
      </c>
      <c r="BH2380" s="81">
        <f>IFERROR($AG2380/$AF2380,"")</f>
        <v/>
      </c>
      <c r="BI2380" s="82">
        <f>$AJ2380-$AF2380</f>
        <v/>
      </c>
      <c r="BJ2380" s="81">
        <f>IFERROR($AJ2380/$AG2380,"")</f>
        <v/>
      </c>
      <c r="BK2380" s="81">
        <f>$X2380</f>
        <v/>
      </c>
      <c r="BL2380" s="82">
        <f>($J2380-$J2381)*100</f>
        <v/>
      </c>
      <c r="BM2380" s="82">
        <f>($F2380-$F2381)*100</f>
        <v/>
      </c>
      <c r="BN2380" s="82">
        <f>$AF2380-$AF2381</f>
        <v/>
      </c>
      <c r="BO2380" s="82">
        <f>$AG2380-$AG2381</f>
        <v/>
      </c>
      <c r="BP2380" s="82">
        <f>$AJ2380-$AJ2381</f>
        <v/>
      </c>
    </row>
    <row r="2381">
      <c r="AR2381" s="81">
        <f>($G2381+($H2381-$G2381)*0.5)+($P2381-($O2381+($Q2381-$O2381)*0.5))</f>
        <v/>
      </c>
      <c r="AS2381" s="81">
        <f>($J2381+($K2381-$J2381)*0.5)+($T2381-($S2381+($U2381-$S2381)*0.5))</f>
        <v/>
      </c>
      <c r="AT2381" s="82">
        <f>($J2381-$C2381)*100</f>
        <v/>
      </c>
      <c r="AU2381" s="82">
        <f>($H2381-$F2381)*100</f>
        <v/>
      </c>
      <c r="AV2381" s="82">
        <f>($J2381-$F2381)*100</f>
        <v/>
      </c>
      <c r="AW2381" s="82">
        <f>($L2381-$F2381)*100</f>
        <v/>
      </c>
      <c r="AX2381" s="82">
        <f>($J2381-$H2381)*100</f>
        <v/>
      </c>
      <c r="AY2381" s="82">
        <f>($L2381-$H2381)*100</f>
        <v/>
      </c>
      <c r="AZ2381" s="82">
        <f>($L2381-$J2381)*100</f>
        <v/>
      </c>
      <c r="BA2381" s="82">
        <f>(2*$H2381-$F2381-$J2381)*100</f>
        <v/>
      </c>
      <c r="BB2381" s="82">
        <f>(2*$J2381-$H2381-$L2381)*100</f>
        <v/>
      </c>
      <c r="BC2381" s="82">
        <f>($N2381-$F2381)*100</f>
        <v/>
      </c>
      <c r="BD2381" s="82">
        <f>($Q2381-$H2381)*100</f>
        <v/>
      </c>
      <c r="BE2381" s="82">
        <f>($S2381-$J2381)*100</f>
        <v/>
      </c>
      <c r="BF2381" s="82">
        <f>($V2381-$L2381)*100</f>
        <v/>
      </c>
      <c r="BG2381" s="82">
        <f>$AG2381-$AF2381</f>
        <v/>
      </c>
      <c r="BH2381" s="81">
        <f>IFERROR($AG2381/$AF2381,"")</f>
        <v/>
      </c>
      <c r="BI2381" s="82">
        <f>$AJ2381-$AF2381</f>
        <v/>
      </c>
      <c r="BJ2381" s="81">
        <f>IFERROR($AJ2381/$AG2381,"")</f>
        <v/>
      </c>
      <c r="BK2381" s="81">
        <f>$X2381</f>
        <v/>
      </c>
      <c r="BL2381" s="82">
        <f>($J2381-$J2382)*100</f>
        <v/>
      </c>
      <c r="BM2381" s="82">
        <f>($F2381-$F2382)*100</f>
        <v/>
      </c>
      <c r="BN2381" s="82">
        <f>$AF2381-$AF2382</f>
        <v/>
      </c>
      <c r="BO2381" s="82">
        <f>$AG2381-$AG2382</f>
        <v/>
      </c>
      <c r="BP2381" s="82">
        <f>$AJ2381-$AJ2382</f>
        <v/>
      </c>
    </row>
    <row r="2382">
      <c r="AR2382" s="81">
        <f>($G2382+($H2382-$G2382)*0.5)+($P2382-($O2382+($Q2382-$O2382)*0.5))</f>
        <v/>
      </c>
      <c r="AS2382" s="81">
        <f>($J2382+($K2382-$J2382)*0.5)+($T2382-($S2382+($U2382-$S2382)*0.5))</f>
        <v/>
      </c>
      <c r="AT2382" s="82">
        <f>($J2382-$C2382)*100</f>
        <v/>
      </c>
      <c r="AU2382" s="82">
        <f>($H2382-$F2382)*100</f>
        <v/>
      </c>
      <c r="AV2382" s="82">
        <f>($J2382-$F2382)*100</f>
        <v/>
      </c>
      <c r="AW2382" s="82">
        <f>($L2382-$F2382)*100</f>
        <v/>
      </c>
      <c r="AX2382" s="82">
        <f>($J2382-$H2382)*100</f>
        <v/>
      </c>
      <c r="AY2382" s="82">
        <f>($L2382-$H2382)*100</f>
        <v/>
      </c>
      <c r="AZ2382" s="82">
        <f>($L2382-$J2382)*100</f>
        <v/>
      </c>
      <c r="BA2382" s="82">
        <f>(2*$H2382-$F2382-$J2382)*100</f>
        <v/>
      </c>
      <c r="BB2382" s="82">
        <f>(2*$J2382-$H2382-$L2382)*100</f>
        <v/>
      </c>
      <c r="BC2382" s="82">
        <f>($N2382-$F2382)*100</f>
        <v/>
      </c>
      <c r="BD2382" s="82">
        <f>($Q2382-$H2382)*100</f>
        <v/>
      </c>
      <c r="BE2382" s="82">
        <f>($S2382-$J2382)*100</f>
        <v/>
      </c>
      <c r="BF2382" s="82">
        <f>($V2382-$L2382)*100</f>
        <v/>
      </c>
      <c r="BG2382" s="82">
        <f>$AG2382-$AF2382</f>
        <v/>
      </c>
      <c r="BH2382" s="81">
        <f>IFERROR($AG2382/$AF2382,"")</f>
        <v/>
      </c>
      <c r="BI2382" s="82">
        <f>$AJ2382-$AF2382</f>
        <v/>
      </c>
      <c r="BJ2382" s="81">
        <f>IFERROR($AJ2382/$AG2382,"")</f>
        <v/>
      </c>
      <c r="BK2382" s="81">
        <f>$X2382</f>
        <v/>
      </c>
      <c r="BL2382" s="82">
        <f>($J2382-$J2383)*100</f>
        <v/>
      </c>
      <c r="BM2382" s="82">
        <f>($F2382-$F2383)*100</f>
        <v/>
      </c>
      <c r="BN2382" s="82">
        <f>$AF2382-$AF2383</f>
        <v/>
      </c>
      <c r="BO2382" s="82">
        <f>$AG2382-$AG2383</f>
        <v/>
      </c>
      <c r="BP2382" s="82">
        <f>$AJ2382-$AJ2383</f>
        <v/>
      </c>
    </row>
    <row r="2383">
      <c r="AR2383" s="81">
        <f>($G2383+($H2383-$G2383)*0.5)+($P2383-($O2383+($Q2383-$O2383)*0.5))</f>
        <v/>
      </c>
      <c r="AS2383" s="81">
        <f>($J2383+($K2383-$J2383)*0.5)+($T2383-($S2383+($U2383-$S2383)*0.5))</f>
        <v/>
      </c>
      <c r="AT2383" s="82">
        <f>($J2383-$C2383)*100</f>
        <v/>
      </c>
      <c r="AU2383" s="82">
        <f>($H2383-$F2383)*100</f>
        <v/>
      </c>
      <c r="AV2383" s="82">
        <f>($J2383-$F2383)*100</f>
        <v/>
      </c>
      <c r="AW2383" s="82">
        <f>($L2383-$F2383)*100</f>
        <v/>
      </c>
      <c r="AX2383" s="82">
        <f>($J2383-$H2383)*100</f>
        <v/>
      </c>
      <c r="AY2383" s="82">
        <f>($L2383-$H2383)*100</f>
        <v/>
      </c>
      <c r="AZ2383" s="82">
        <f>($L2383-$J2383)*100</f>
        <v/>
      </c>
      <c r="BA2383" s="82">
        <f>(2*$H2383-$F2383-$J2383)*100</f>
        <v/>
      </c>
      <c r="BB2383" s="82">
        <f>(2*$J2383-$H2383-$L2383)*100</f>
        <v/>
      </c>
      <c r="BC2383" s="82">
        <f>($N2383-$F2383)*100</f>
        <v/>
      </c>
      <c r="BD2383" s="82">
        <f>($Q2383-$H2383)*100</f>
        <v/>
      </c>
      <c r="BE2383" s="82">
        <f>($S2383-$J2383)*100</f>
        <v/>
      </c>
      <c r="BF2383" s="82">
        <f>($V2383-$L2383)*100</f>
        <v/>
      </c>
      <c r="BG2383" s="82">
        <f>$AG2383-$AF2383</f>
        <v/>
      </c>
      <c r="BH2383" s="81">
        <f>IFERROR($AG2383/$AF2383,"")</f>
        <v/>
      </c>
      <c r="BI2383" s="82">
        <f>$AJ2383-$AF2383</f>
        <v/>
      </c>
      <c r="BJ2383" s="81">
        <f>IFERROR($AJ2383/$AG2383,"")</f>
        <v/>
      </c>
      <c r="BK2383" s="81">
        <f>$X2383</f>
        <v/>
      </c>
      <c r="BL2383" s="82">
        <f>($J2383-$J2384)*100</f>
        <v/>
      </c>
      <c r="BM2383" s="82">
        <f>($F2383-$F2384)*100</f>
        <v/>
      </c>
      <c r="BN2383" s="82">
        <f>$AF2383-$AF2384</f>
        <v/>
      </c>
      <c r="BO2383" s="82">
        <f>$AG2383-$AG2384</f>
        <v/>
      </c>
      <c r="BP2383" s="82">
        <f>$AJ2383-$AJ2384</f>
        <v/>
      </c>
    </row>
    <row r="2384">
      <c r="AR2384" s="81">
        <f>($G2384+($H2384-$G2384)*0.5)+($P2384-($O2384+($Q2384-$O2384)*0.5))</f>
        <v/>
      </c>
      <c r="AS2384" s="81">
        <f>($J2384+($K2384-$J2384)*0.5)+($T2384-($S2384+($U2384-$S2384)*0.5))</f>
        <v/>
      </c>
      <c r="AT2384" s="82">
        <f>($J2384-$C2384)*100</f>
        <v/>
      </c>
      <c r="AU2384" s="82">
        <f>($H2384-$F2384)*100</f>
        <v/>
      </c>
      <c r="AV2384" s="82">
        <f>($J2384-$F2384)*100</f>
        <v/>
      </c>
      <c r="AW2384" s="82">
        <f>($L2384-$F2384)*100</f>
        <v/>
      </c>
      <c r="AX2384" s="82">
        <f>($J2384-$H2384)*100</f>
        <v/>
      </c>
      <c r="AY2384" s="82">
        <f>($L2384-$H2384)*100</f>
        <v/>
      </c>
      <c r="AZ2384" s="82">
        <f>($L2384-$J2384)*100</f>
        <v/>
      </c>
      <c r="BA2384" s="82">
        <f>(2*$H2384-$F2384-$J2384)*100</f>
        <v/>
      </c>
      <c r="BB2384" s="82">
        <f>(2*$J2384-$H2384-$L2384)*100</f>
        <v/>
      </c>
      <c r="BC2384" s="82">
        <f>($N2384-$F2384)*100</f>
        <v/>
      </c>
      <c r="BD2384" s="82">
        <f>($Q2384-$H2384)*100</f>
        <v/>
      </c>
      <c r="BE2384" s="82">
        <f>($S2384-$J2384)*100</f>
        <v/>
      </c>
      <c r="BF2384" s="82">
        <f>($V2384-$L2384)*100</f>
        <v/>
      </c>
      <c r="BG2384" s="82">
        <f>$AG2384-$AF2384</f>
        <v/>
      </c>
      <c r="BH2384" s="81">
        <f>IFERROR($AG2384/$AF2384,"")</f>
        <v/>
      </c>
      <c r="BI2384" s="82">
        <f>$AJ2384-$AF2384</f>
        <v/>
      </c>
      <c r="BJ2384" s="81">
        <f>IFERROR($AJ2384/$AG2384,"")</f>
        <v/>
      </c>
      <c r="BK2384" s="81">
        <f>$X2384</f>
        <v/>
      </c>
      <c r="BL2384" s="82">
        <f>($J2384-$J2385)*100</f>
        <v/>
      </c>
      <c r="BM2384" s="82">
        <f>($F2384-$F2385)*100</f>
        <v/>
      </c>
      <c r="BN2384" s="82">
        <f>$AF2384-$AF2385</f>
        <v/>
      </c>
      <c r="BO2384" s="82">
        <f>$AG2384-$AG2385</f>
        <v/>
      </c>
      <c r="BP2384" s="82">
        <f>$AJ2384-$AJ2385</f>
        <v/>
      </c>
    </row>
    <row r="2385">
      <c r="AR2385" s="81">
        <f>($G2385+($H2385-$G2385)*0.5)+($P2385-($O2385+($Q2385-$O2385)*0.5))</f>
        <v/>
      </c>
      <c r="AS2385" s="81">
        <f>($J2385+($K2385-$J2385)*0.5)+($T2385-($S2385+($U2385-$S2385)*0.5))</f>
        <v/>
      </c>
      <c r="AT2385" s="82">
        <f>($J2385-$C2385)*100</f>
        <v/>
      </c>
      <c r="AU2385" s="82">
        <f>($H2385-$F2385)*100</f>
        <v/>
      </c>
      <c r="AV2385" s="82">
        <f>($J2385-$F2385)*100</f>
        <v/>
      </c>
      <c r="AW2385" s="82">
        <f>($L2385-$F2385)*100</f>
        <v/>
      </c>
      <c r="AX2385" s="82">
        <f>($J2385-$H2385)*100</f>
        <v/>
      </c>
      <c r="AY2385" s="82">
        <f>($L2385-$H2385)*100</f>
        <v/>
      </c>
      <c r="AZ2385" s="82">
        <f>($L2385-$J2385)*100</f>
        <v/>
      </c>
      <c r="BA2385" s="82">
        <f>(2*$H2385-$F2385-$J2385)*100</f>
        <v/>
      </c>
      <c r="BB2385" s="82">
        <f>(2*$J2385-$H2385-$L2385)*100</f>
        <v/>
      </c>
      <c r="BC2385" s="82">
        <f>($N2385-$F2385)*100</f>
        <v/>
      </c>
      <c r="BD2385" s="82">
        <f>($Q2385-$H2385)*100</f>
        <v/>
      </c>
      <c r="BE2385" s="82">
        <f>($S2385-$J2385)*100</f>
        <v/>
      </c>
      <c r="BF2385" s="82">
        <f>($V2385-$L2385)*100</f>
        <v/>
      </c>
      <c r="BG2385" s="82">
        <f>$AG2385-$AF2385</f>
        <v/>
      </c>
      <c r="BH2385" s="81">
        <f>IFERROR($AG2385/$AF2385,"")</f>
        <v/>
      </c>
      <c r="BI2385" s="82">
        <f>$AJ2385-$AF2385</f>
        <v/>
      </c>
      <c r="BJ2385" s="81">
        <f>IFERROR($AJ2385/$AG2385,"")</f>
        <v/>
      </c>
      <c r="BK2385" s="81">
        <f>$X2385</f>
        <v/>
      </c>
      <c r="BL2385" s="82">
        <f>($J2385-$J2386)*100</f>
        <v/>
      </c>
      <c r="BM2385" s="82">
        <f>($F2385-$F2386)*100</f>
        <v/>
      </c>
      <c r="BN2385" s="82">
        <f>$AF2385-$AF2386</f>
        <v/>
      </c>
      <c r="BO2385" s="82">
        <f>$AG2385-$AG2386</f>
        <v/>
      </c>
      <c r="BP2385" s="82">
        <f>$AJ2385-$AJ2386</f>
        <v/>
      </c>
    </row>
    <row r="2386">
      <c r="AR2386" s="81">
        <f>($G2386+($H2386-$G2386)*0.5)+($P2386-($O2386+($Q2386-$O2386)*0.5))</f>
        <v/>
      </c>
      <c r="AS2386" s="81">
        <f>($J2386+($K2386-$J2386)*0.5)+($T2386-($S2386+($U2386-$S2386)*0.5))</f>
        <v/>
      </c>
      <c r="AT2386" s="82">
        <f>($J2386-$C2386)*100</f>
        <v/>
      </c>
      <c r="AU2386" s="82">
        <f>($H2386-$F2386)*100</f>
        <v/>
      </c>
      <c r="AV2386" s="82">
        <f>($J2386-$F2386)*100</f>
        <v/>
      </c>
      <c r="AW2386" s="82">
        <f>($L2386-$F2386)*100</f>
        <v/>
      </c>
      <c r="AX2386" s="82">
        <f>($J2386-$H2386)*100</f>
        <v/>
      </c>
      <c r="AY2386" s="82">
        <f>($L2386-$H2386)*100</f>
        <v/>
      </c>
      <c r="AZ2386" s="82">
        <f>($L2386-$J2386)*100</f>
        <v/>
      </c>
      <c r="BA2386" s="82">
        <f>(2*$H2386-$F2386-$J2386)*100</f>
        <v/>
      </c>
      <c r="BB2386" s="82">
        <f>(2*$J2386-$H2386-$L2386)*100</f>
        <v/>
      </c>
      <c r="BC2386" s="82">
        <f>($N2386-$F2386)*100</f>
        <v/>
      </c>
      <c r="BD2386" s="82">
        <f>($Q2386-$H2386)*100</f>
        <v/>
      </c>
      <c r="BE2386" s="82">
        <f>($S2386-$J2386)*100</f>
        <v/>
      </c>
      <c r="BF2386" s="82">
        <f>($V2386-$L2386)*100</f>
        <v/>
      </c>
      <c r="BG2386" s="82">
        <f>$AG2386-$AF2386</f>
        <v/>
      </c>
      <c r="BH2386" s="81">
        <f>IFERROR($AG2386/$AF2386,"")</f>
        <v/>
      </c>
      <c r="BI2386" s="82">
        <f>$AJ2386-$AF2386</f>
        <v/>
      </c>
      <c r="BJ2386" s="81">
        <f>IFERROR($AJ2386/$AG2386,"")</f>
        <v/>
      </c>
      <c r="BK2386" s="81">
        <f>$X2386</f>
        <v/>
      </c>
      <c r="BL2386" s="82">
        <f>($J2386-$J2387)*100</f>
        <v/>
      </c>
      <c r="BM2386" s="82">
        <f>($F2386-$F2387)*100</f>
        <v/>
      </c>
      <c r="BN2386" s="82">
        <f>$AF2386-$AF2387</f>
        <v/>
      </c>
      <c r="BO2386" s="82">
        <f>$AG2386-$AG2387</f>
        <v/>
      </c>
      <c r="BP2386" s="82">
        <f>$AJ2386-$AJ2387</f>
        <v/>
      </c>
    </row>
    <row r="2387">
      <c r="AR2387" s="81">
        <f>($G2387+($H2387-$G2387)*0.5)+($P2387-($O2387+($Q2387-$O2387)*0.5))</f>
        <v/>
      </c>
      <c r="AS2387" s="81">
        <f>($J2387+($K2387-$J2387)*0.5)+($T2387-($S2387+($U2387-$S2387)*0.5))</f>
        <v/>
      </c>
      <c r="AT2387" s="82">
        <f>($J2387-$C2387)*100</f>
        <v/>
      </c>
      <c r="AU2387" s="82">
        <f>($H2387-$F2387)*100</f>
        <v/>
      </c>
      <c r="AV2387" s="82">
        <f>($J2387-$F2387)*100</f>
        <v/>
      </c>
      <c r="AW2387" s="82">
        <f>($L2387-$F2387)*100</f>
        <v/>
      </c>
      <c r="AX2387" s="82">
        <f>($J2387-$H2387)*100</f>
        <v/>
      </c>
      <c r="AY2387" s="82">
        <f>($L2387-$H2387)*100</f>
        <v/>
      </c>
      <c r="AZ2387" s="82">
        <f>($L2387-$J2387)*100</f>
        <v/>
      </c>
      <c r="BA2387" s="82">
        <f>(2*$H2387-$F2387-$J2387)*100</f>
        <v/>
      </c>
      <c r="BB2387" s="82">
        <f>(2*$J2387-$H2387-$L2387)*100</f>
        <v/>
      </c>
      <c r="BC2387" s="82">
        <f>($N2387-$F2387)*100</f>
        <v/>
      </c>
      <c r="BD2387" s="82">
        <f>($Q2387-$H2387)*100</f>
        <v/>
      </c>
      <c r="BE2387" s="82">
        <f>($S2387-$J2387)*100</f>
        <v/>
      </c>
      <c r="BF2387" s="82">
        <f>($V2387-$L2387)*100</f>
        <v/>
      </c>
      <c r="BG2387" s="82">
        <f>$AG2387-$AF2387</f>
        <v/>
      </c>
      <c r="BH2387" s="81">
        <f>IFERROR($AG2387/$AF2387,"")</f>
        <v/>
      </c>
      <c r="BI2387" s="82">
        <f>$AJ2387-$AF2387</f>
        <v/>
      </c>
      <c r="BJ2387" s="81">
        <f>IFERROR($AJ2387/$AG2387,"")</f>
        <v/>
      </c>
      <c r="BK2387" s="81">
        <f>$X2387</f>
        <v/>
      </c>
      <c r="BL2387" s="82">
        <f>($J2387-$J2388)*100</f>
        <v/>
      </c>
      <c r="BM2387" s="82">
        <f>($F2387-$F2388)*100</f>
        <v/>
      </c>
      <c r="BN2387" s="82">
        <f>$AF2387-$AF2388</f>
        <v/>
      </c>
      <c r="BO2387" s="82">
        <f>$AG2387-$AG2388</f>
        <v/>
      </c>
      <c r="BP2387" s="82">
        <f>$AJ2387-$AJ2388</f>
        <v/>
      </c>
    </row>
    <row r="2388">
      <c r="AR2388" s="81">
        <f>($G2388+($H2388-$G2388)*0.5)+($P2388-($O2388+($Q2388-$O2388)*0.5))</f>
        <v/>
      </c>
      <c r="AS2388" s="81">
        <f>($J2388+($K2388-$J2388)*0.5)+($T2388-($S2388+($U2388-$S2388)*0.5))</f>
        <v/>
      </c>
      <c r="AT2388" s="82">
        <f>($J2388-$C2388)*100</f>
        <v/>
      </c>
      <c r="AU2388" s="82">
        <f>($H2388-$F2388)*100</f>
        <v/>
      </c>
      <c r="AV2388" s="82">
        <f>($J2388-$F2388)*100</f>
        <v/>
      </c>
      <c r="AW2388" s="82">
        <f>($L2388-$F2388)*100</f>
        <v/>
      </c>
      <c r="AX2388" s="82">
        <f>($J2388-$H2388)*100</f>
        <v/>
      </c>
      <c r="AY2388" s="82">
        <f>($L2388-$H2388)*100</f>
        <v/>
      </c>
      <c r="AZ2388" s="82">
        <f>($L2388-$J2388)*100</f>
        <v/>
      </c>
      <c r="BA2388" s="82">
        <f>(2*$H2388-$F2388-$J2388)*100</f>
        <v/>
      </c>
      <c r="BB2388" s="82">
        <f>(2*$J2388-$H2388-$L2388)*100</f>
        <v/>
      </c>
      <c r="BC2388" s="82">
        <f>($N2388-$F2388)*100</f>
        <v/>
      </c>
      <c r="BD2388" s="82">
        <f>($Q2388-$H2388)*100</f>
        <v/>
      </c>
      <c r="BE2388" s="82">
        <f>($S2388-$J2388)*100</f>
        <v/>
      </c>
      <c r="BF2388" s="82">
        <f>($V2388-$L2388)*100</f>
        <v/>
      </c>
      <c r="BG2388" s="82">
        <f>$AG2388-$AF2388</f>
        <v/>
      </c>
      <c r="BH2388" s="81">
        <f>IFERROR($AG2388/$AF2388,"")</f>
        <v/>
      </c>
      <c r="BI2388" s="82">
        <f>$AJ2388-$AF2388</f>
        <v/>
      </c>
      <c r="BJ2388" s="81">
        <f>IFERROR($AJ2388/$AG2388,"")</f>
        <v/>
      </c>
      <c r="BK2388" s="81">
        <f>$X2388</f>
        <v/>
      </c>
      <c r="BL2388" s="82">
        <f>($J2388-$J2389)*100</f>
        <v/>
      </c>
      <c r="BM2388" s="82">
        <f>($F2388-$F2389)*100</f>
        <v/>
      </c>
      <c r="BN2388" s="82">
        <f>$AF2388-$AF2389</f>
        <v/>
      </c>
      <c r="BO2388" s="82">
        <f>$AG2388-$AG2389</f>
        <v/>
      </c>
      <c r="BP2388" s="82">
        <f>$AJ2388-$AJ2389</f>
        <v/>
      </c>
    </row>
    <row r="2389">
      <c r="AR2389" s="81">
        <f>($G2389+($H2389-$G2389)*0.5)+($P2389-($O2389+($Q2389-$O2389)*0.5))</f>
        <v/>
      </c>
      <c r="AS2389" s="81">
        <f>($J2389+($K2389-$J2389)*0.5)+($T2389-($S2389+($U2389-$S2389)*0.5))</f>
        <v/>
      </c>
      <c r="AT2389" s="82">
        <f>($J2389-$C2389)*100</f>
        <v/>
      </c>
      <c r="AU2389" s="82">
        <f>($H2389-$F2389)*100</f>
        <v/>
      </c>
      <c r="AV2389" s="82">
        <f>($J2389-$F2389)*100</f>
        <v/>
      </c>
      <c r="AW2389" s="82">
        <f>($L2389-$F2389)*100</f>
        <v/>
      </c>
      <c r="AX2389" s="82">
        <f>($J2389-$H2389)*100</f>
        <v/>
      </c>
      <c r="AY2389" s="82">
        <f>($L2389-$H2389)*100</f>
        <v/>
      </c>
      <c r="AZ2389" s="82">
        <f>($L2389-$J2389)*100</f>
        <v/>
      </c>
      <c r="BA2389" s="82">
        <f>(2*$H2389-$F2389-$J2389)*100</f>
        <v/>
      </c>
      <c r="BB2389" s="82">
        <f>(2*$J2389-$H2389-$L2389)*100</f>
        <v/>
      </c>
      <c r="BC2389" s="82">
        <f>($N2389-$F2389)*100</f>
        <v/>
      </c>
      <c r="BD2389" s="82">
        <f>($Q2389-$H2389)*100</f>
        <v/>
      </c>
      <c r="BE2389" s="82">
        <f>($S2389-$J2389)*100</f>
        <v/>
      </c>
      <c r="BF2389" s="82">
        <f>($V2389-$L2389)*100</f>
        <v/>
      </c>
      <c r="BG2389" s="82">
        <f>$AG2389-$AF2389</f>
        <v/>
      </c>
      <c r="BH2389" s="81">
        <f>IFERROR($AG2389/$AF2389,"")</f>
        <v/>
      </c>
      <c r="BI2389" s="82">
        <f>$AJ2389-$AF2389</f>
        <v/>
      </c>
      <c r="BJ2389" s="81">
        <f>IFERROR($AJ2389/$AG2389,"")</f>
        <v/>
      </c>
      <c r="BK2389" s="81">
        <f>$X2389</f>
        <v/>
      </c>
      <c r="BL2389" s="82">
        <f>($J2389-$J2390)*100</f>
        <v/>
      </c>
      <c r="BM2389" s="82">
        <f>($F2389-$F2390)*100</f>
        <v/>
      </c>
      <c r="BN2389" s="82">
        <f>$AF2389-$AF2390</f>
        <v/>
      </c>
      <c r="BO2389" s="82">
        <f>$AG2389-$AG2390</f>
        <v/>
      </c>
      <c r="BP2389" s="82">
        <f>$AJ2389-$AJ2390</f>
        <v/>
      </c>
    </row>
    <row r="2390">
      <c r="AR2390" s="81">
        <f>($G2390+($H2390-$G2390)*0.5)+($P2390-($O2390+($Q2390-$O2390)*0.5))</f>
        <v/>
      </c>
      <c r="AS2390" s="81">
        <f>($J2390+($K2390-$J2390)*0.5)+($T2390-($S2390+($U2390-$S2390)*0.5))</f>
        <v/>
      </c>
      <c r="AT2390" s="82">
        <f>($J2390-$C2390)*100</f>
        <v/>
      </c>
      <c r="AU2390" s="82">
        <f>($H2390-$F2390)*100</f>
        <v/>
      </c>
      <c r="AV2390" s="82">
        <f>($J2390-$F2390)*100</f>
        <v/>
      </c>
      <c r="AW2390" s="82">
        <f>($L2390-$F2390)*100</f>
        <v/>
      </c>
      <c r="AX2390" s="82">
        <f>($J2390-$H2390)*100</f>
        <v/>
      </c>
      <c r="AY2390" s="82">
        <f>($L2390-$H2390)*100</f>
        <v/>
      </c>
      <c r="AZ2390" s="82">
        <f>($L2390-$J2390)*100</f>
        <v/>
      </c>
      <c r="BA2390" s="82">
        <f>(2*$H2390-$F2390-$J2390)*100</f>
        <v/>
      </c>
      <c r="BB2390" s="82">
        <f>(2*$J2390-$H2390-$L2390)*100</f>
        <v/>
      </c>
      <c r="BC2390" s="82">
        <f>($N2390-$F2390)*100</f>
        <v/>
      </c>
      <c r="BD2390" s="82">
        <f>($Q2390-$H2390)*100</f>
        <v/>
      </c>
      <c r="BE2390" s="82">
        <f>($S2390-$J2390)*100</f>
        <v/>
      </c>
      <c r="BF2390" s="82">
        <f>($V2390-$L2390)*100</f>
        <v/>
      </c>
      <c r="BG2390" s="82">
        <f>$AG2390-$AF2390</f>
        <v/>
      </c>
      <c r="BH2390" s="81">
        <f>IFERROR($AG2390/$AF2390,"")</f>
        <v/>
      </c>
      <c r="BI2390" s="82">
        <f>$AJ2390-$AF2390</f>
        <v/>
      </c>
      <c r="BJ2390" s="81">
        <f>IFERROR($AJ2390/$AG2390,"")</f>
        <v/>
      </c>
      <c r="BK2390" s="81">
        <f>$X2390</f>
        <v/>
      </c>
      <c r="BL2390" s="82">
        <f>($J2390-$J2391)*100</f>
        <v/>
      </c>
      <c r="BM2390" s="82">
        <f>($F2390-$F2391)*100</f>
        <v/>
      </c>
      <c r="BN2390" s="82">
        <f>$AF2390-$AF2391</f>
        <v/>
      </c>
      <c r="BO2390" s="82">
        <f>$AG2390-$AG2391</f>
        <v/>
      </c>
      <c r="BP2390" s="82">
        <f>$AJ2390-$AJ2391</f>
        <v/>
      </c>
    </row>
    <row r="2391">
      <c r="AR2391" s="81">
        <f>($G2391+($H2391-$G2391)*0.5)+($P2391-($O2391+($Q2391-$O2391)*0.5))</f>
        <v/>
      </c>
      <c r="AS2391" s="81">
        <f>($J2391+($K2391-$J2391)*0.5)+($T2391-($S2391+($U2391-$S2391)*0.5))</f>
        <v/>
      </c>
      <c r="AT2391" s="82">
        <f>($J2391-$C2391)*100</f>
        <v/>
      </c>
      <c r="AU2391" s="82">
        <f>($H2391-$F2391)*100</f>
        <v/>
      </c>
      <c r="AV2391" s="82">
        <f>($J2391-$F2391)*100</f>
        <v/>
      </c>
      <c r="AW2391" s="82">
        <f>($L2391-$F2391)*100</f>
        <v/>
      </c>
      <c r="AX2391" s="82">
        <f>($J2391-$H2391)*100</f>
        <v/>
      </c>
      <c r="AY2391" s="82">
        <f>($L2391-$H2391)*100</f>
        <v/>
      </c>
      <c r="AZ2391" s="82">
        <f>($L2391-$J2391)*100</f>
        <v/>
      </c>
      <c r="BA2391" s="82">
        <f>(2*$H2391-$F2391-$J2391)*100</f>
        <v/>
      </c>
      <c r="BB2391" s="82">
        <f>(2*$J2391-$H2391-$L2391)*100</f>
        <v/>
      </c>
      <c r="BC2391" s="82">
        <f>($N2391-$F2391)*100</f>
        <v/>
      </c>
      <c r="BD2391" s="82">
        <f>($Q2391-$H2391)*100</f>
        <v/>
      </c>
      <c r="BE2391" s="82">
        <f>($S2391-$J2391)*100</f>
        <v/>
      </c>
      <c r="BF2391" s="82">
        <f>($V2391-$L2391)*100</f>
        <v/>
      </c>
      <c r="BG2391" s="82">
        <f>$AG2391-$AF2391</f>
        <v/>
      </c>
      <c r="BH2391" s="81">
        <f>IFERROR($AG2391/$AF2391,"")</f>
        <v/>
      </c>
      <c r="BI2391" s="82">
        <f>$AJ2391-$AF2391</f>
        <v/>
      </c>
      <c r="BJ2391" s="81">
        <f>IFERROR($AJ2391/$AG2391,"")</f>
        <v/>
      </c>
      <c r="BK2391" s="81">
        <f>$X2391</f>
        <v/>
      </c>
      <c r="BL2391" s="82">
        <f>($J2391-$J2392)*100</f>
        <v/>
      </c>
      <c r="BM2391" s="82">
        <f>($F2391-$F2392)*100</f>
        <v/>
      </c>
      <c r="BN2391" s="82">
        <f>$AF2391-$AF2392</f>
        <v/>
      </c>
      <c r="BO2391" s="82">
        <f>$AG2391-$AG2392</f>
        <v/>
      </c>
      <c r="BP2391" s="82">
        <f>$AJ2391-$AJ2392</f>
        <v/>
      </c>
    </row>
    <row r="2392">
      <c r="AR2392" s="81">
        <f>($G2392+($H2392-$G2392)*0.5)+($P2392-($O2392+($Q2392-$O2392)*0.5))</f>
        <v/>
      </c>
      <c r="AS2392" s="81">
        <f>($J2392+($K2392-$J2392)*0.5)+($T2392-($S2392+($U2392-$S2392)*0.5))</f>
        <v/>
      </c>
      <c r="AT2392" s="82">
        <f>($J2392-$C2392)*100</f>
        <v/>
      </c>
      <c r="AU2392" s="82">
        <f>($H2392-$F2392)*100</f>
        <v/>
      </c>
      <c r="AV2392" s="82">
        <f>($J2392-$F2392)*100</f>
        <v/>
      </c>
      <c r="AW2392" s="82">
        <f>($L2392-$F2392)*100</f>
        <v/>
      </c>
      <c r="AX2392" s="82">
        <f>($J2392-$H2392)*100</f>
        <v/>
      </c>
      <c r="AY2392" s="82">
        <f>($L2392-$H2392)*100</f>
        <v/>
      </c>
      <c r="AZ2392" s="82">
        <f>($L2392-$J2392)*100</f>
        <v/>
      </c>
      <c r="BA2392" s="82">
        <f>(2*$H2392-$F2392-$J2392)*100</f>
        <v/>
      </c>
      <c r="BB2392" s="82">
        <f>(2*$J2392-$H2392-$L2392)*100</f>
        <v/>
      </c>
      <c r="BC2392" s="82">
        <f>($N2392-$F2392)*100</f>
        <v/>
      </c>
      <c r="BD2392" s="82">
        <f>($Q2392-$H2392)*100</f>
        <v/>
      </c>
      <c r="BE2392" s="82">
        <f>($S2392-$J2392)*100</f>
        <v/>
      </c>
      <c r="BF2392" s="82">
        <f>($V2392-$L2392)*100</f>
        <v/>
      </c>
      <c r="BG2392" s="82">
        <f>$AG2392-$AF2392</f>
        <v/>
      </c>
      <c r="BH2392" s="81">
        <f>IFERROR($AG2392/$AF2392,"")</f>
        <v/>
      </c>
      <c r="BI2392" s="82">
        <f>$AJ2392-$AF2392</f>
        <v/>
      </c>
      <c r="BJ2392" s="81">
        <f>IFERROR($AJ2392/$AG2392,"")</f>
        <v/>
      </c>
      <c r="BK2392" s="81">
        <f>$X2392</f>
        <v/>
      </c>
      <c r="BL2392" s="82">
        <f>($J2392-$J2393)*100</f>
        <v/>
      </c>
      <c r="BM2392" s="82">
        <f>($F2392-$F2393)*100</f>
        <v/>
      </c>
      <c r="BN2392" s="82">
        <f>$AF2392-$AF2393</f>
        <v/>
      </c>
      <c r="BO2392" s="82">
        <f>$AG2392-$AG2393</f>
        <v/>
      </c>
      <c r="BP2392" s="82">
        <f>$AJ2392-$AJ2393</f>
        <v/>
      </c>
    </row>
    <row r="2393">
      <c r="AR2393" s="81">
        <f>($G2393+($H2393-$G2393)*0.5)+($P2393-($O2393+($Q2393-$O2393)*0.5))</f>
        <v/>
      </c>
      <c r="AS2393" s="81">
        <f>($J2393+($K2393-$J2393)*0.5)+($T2393-($S2393+($U2393-$S2393)*0.5))</f>
        <v/>
      </c>
      <c r="AT2393" s="82">
        <f>($J2393-$C2393)*100</f>
        <v/>
      </c>
      <c r="AU2393" s="82">
        <f>($H2393-$F2393)*100</f>
        <v/>
      </c>
      <c r="AV2393" s="82">
        <f>($J2393-$F2393)*100</f>
        <v/>
      </c>
      <c r="AW2393" s="82">
        <f>($L2393-$F2393)*100</f>
        <v/>
      </c>
      <c r="AX2393" s="82">
        <f>($J2393-$H2393)*100</f>
        <v/>
      </c>
      <c r="AY2393" s="82">
        <f>($L2393-$H2393)*100</f>
        <v/>
      </c>
      <c r="AZ2393" s="82">
        <f>($L2393-$J2393)*100</f>
        <v/>
      </c>
      <c r="BA2393" s="82">
        <f>(2*$H2393-$F2393-$J2393)*100</f>
        <v/>
      </c>
      <c r="BB2393" s="82">
        <f>(2*$J2393-$H2393-$L2393)*100</f>
        <v/>
      </c>
      <c r="BC2393" s="82">
        <f>($N2393-$F2393)*100</f>
        <v/>
      </c>
      <c r="BD2393" s="82">
        <f>($Q2393-$H2393)*100</f>
        <v/>
      </c>
      <c r="BE2393" s="82">
        <f>($S2393-$J2393)*100</f>
        <v/>
      </c>
      <c r="BF2393" s="82">
        <f>($V2393-$L2393)*100</f>
        <v/>
      </c>
      <c r="BG2393" s="82">
        <f>$AG2393-$AF2393</f>
        <v/>
      </c>
      <c r="BH2393" s="81">
        <f>IFERROR($AG2393/$AF2393,"")</f>
        <v/>
      </c>
      <c r="BI2393" s="82">
        <f>$AJ2393-$AF2393</f>
        <v/>
      </c>
      <c r="BJ2393" s="81">
        <f>IFERROR($AJ2393/$AG2393,"")</f>
        <v/>
      </c>
      <c r="BK2393" s="81">
        <f>$X2393</f>
        <v/>
      </c>
      <c r="BL2393" s="82">
        <f>($J2393-$J2394)*100</f>
        <v/>
      </c>
      <c r="BM2393" s="82">
        <f>($F2393-$F2394)*100</f>
        <v/>
      </c>
      <c r="BN2393" s="82">
        <f>$AF2393-$AF2394</f>
        <v/>
      </c>
      <c r="BO2393" s="82">
        <f>$AG2393-$AG2394</f>
        <v/>
      </c>
      <c r="BP2393" s="82">
        <f>$AJ2393-$AJ2394</f>
        <v/>
      </c>
    </row>
    <row r="2394">
      <c r="AR2394" s="81">
        <f>($G2394+($H2394-$G2394)*0.5)+($P2394-($O2394+($Q2394-$O2394)*0.5))</f>
        <v/>
      </c>
      <c r="AS2394" s="81">
        <f>($J2394+($K2394-$J2394)*0.5)+($T2394-($S2394+($U2394-$S2394)*0.5))</f>
        <v/>
      </c>
      <c r="AT2394" s="82">
        <f>($J2394-$C2394)*100</f>
        <v/>
      </c>
      <c r="AU2394" s="82">
        <f>($H2394-$F2394)*100</f>
        <v/>
      </c>
      <c r="AV2394" s="82">
        <f>($J2394-$F2394)*100</f>
        <v/>
      </c>
      <c r="AW2394" s="82">
        <f>($L2394-$F2394)*100</f>
        <v/>
      </c>
      <c r="AX2394" s="82">
        <f>($J2394-$H2394)*100</f>
        <v/>
      </c>
      <c r="AY2394" s="82">
        <f>($L2394-$H2394)*100</f>
        <v/>
      </c>
      <c r="AZ2394" s="82">
        <f>($L2394-$J2394)*100</f>
        <v/>
      </c>
      <c r="BA2394" s="82">
        <f>(2*$H2394-$F2394-$J2394)*100</f>
        <v/>
      </c>
      <c r="BB2394" s="82">
        <f>(2*$J2394-$H2394-$L2394)*100</f>
        <v/>
      </c>
      <c r="BC2394" s="82">
        <f>($N2394-$F2394)*100</f>
        <v/>
      </c>
      <c r="BD2394" s="82">
        <f>($Q2394-$H2394)*100</f>
        <v/>
      </c>
      <c r="BE2394" s="82">
        <f>($S2394-$J2394)*100</f>
        <v/>
      </c>
      <c r="BF2394" s="82">
        <f>($V2394-$L2394)*100</f>
        <v/>
      </c>
      <c r="BG2394" s="82">
        <f>$AG2394-$AF2394</f>
        <v/>
      </c>
      <c r="BH2394" s="81">
        <f>IFERROR($AG2394/$AF2394,"")</f>
        <v/>
      </c>
      <c r="BI2394" s="82">
        <f>$AJ2394-$AF2394</f>
        <v/>
      </c>
      <c r="BJ2394" s="81">
        <f>IFERROR($AJ2394/$AG2394,"")</f>
        <v/>
      </c>
      <c r="BK2394" s="81">
        <f>$X2394</f>
        <v/>
      </c>
      <c r="BL2394" s="82">
        <f>($J2394-$J2395)*100</f>
        <v/>
      </c>
      <c r="BM2394" s="82">
        <f>($F2394-$F2395)*100</f>
        <v/>
      </c>
      <c r="BN2394" s="82">
        <f>$AF2394-$AF2395</f>
        <v/>
      </c>
      <c r="BO2394" s="82">
        <f>$AG2394-$AG2395</f>
        <v/>
      </c>
      <c r="BP2394" s="82">
        <f>$AJ2394-$AJ2395</f>
        <v/>
      </c>
    </row>
    <row r="2395">
      <c r="AR2395" s="81">
        <f>($G2395+($H2395-$G2395)*0.5)+($P2395-($O2395+($Q2395-$O2395)*0.5))</f>
        <v/>
      </c>
      <c r="AS2395" s="81">
        <f>($J2395+($K2395-$J2395)*0.5)+($T2395-($S2395+($U2395-$S2395)*0.5))</f>
        <v/>
      </c>
      <c r="AT2395" s="82">
        <f>($J2395-$C2395)*100</f>
        <v/>
      </c>
      <c r="AU2395" s="82">
        <f>($H2395-$F2395)*100</f>
        <v/>
      </c>
      <c r="AV2395" s="82">
        <f>($J2395-$F2395)*100</f>
        <v/>
      </c>
      <c r="AW2395" s="82">
        <f>($L2395-$F2395)*100</f>
        <v/>
      </c>
      <c r="AX2395" s="82">
        <f>($J2395-$H2395)*100</f>
        <v/>
      </c>
      <c r="AY2395" s="82">
        <f>($L2395-$H2395)*100</f>
        <v/>
      </c>
      <c r="AZ2395" s="82">
        <f>($L2395-$J2395)*100</f>
        <v/>
      </c>
      <c r="BA2395" s="82">
        <f>(2*$H2395-$F2395-$J2395)*100</f>
        <v/>
      </c>
      <c r="BB2395" s="82">
        <f>(2*$J2395-$H2395-$L2395)*100</f>
        <v/>
      </c>
      <c r="BC2395" s="82">
        <f>($N2395-$F2395)*100</f>
        <v/>
      </c>
      <c r="BD2395" s="82">
        <f>($Q2395-$H2395)*100</f>
        <v/>
      </c>
      <c r="BE2395" s="82">
        <f>($S2395-$J2395)*100</f>
        <v/>
      </c>
      <c r="BF2395" s="82">
        <f>($V2395-$L2395)*100</f>
        <v/>
      </c>
      <c r="BG2395" s="82">
        <f>$AG2395-$AF2395</f>
        <v/>
      </c>
      <c r="BH2395" s="81">
        <f>IFERROR($AG2395/$AF2395,"")</f>
        <v/>
      </c>
      <c r="BI2395" s="82">
        <f>$AJ2395-$AF2395</f>
        <v/>
      </c>
      <c r="BJ2395" s="81">
        <f>IFERROR($AJ2395/$AG2395,"")</f>
        <v/>
      </c>
      <c r="BK2395" s="81">
        <f>$X2395</f>
        <v/>
      </c>
      <c r="BL2395" s="82">
        <f>($J2395-$J2396)*100</f>
        <v/>
      </c>
      <c r="BM2395" s="82">
        <f>($F2395-$F2396)*100</f>
        <v/>
      </c>
      <c r="BN2395" s="82">
        <f>$AF2395-$AF2396</f>
        <v/>
      </c>
      <c r="BO2395" s="82">
        <f>$AG2395-$AG2396</f>
        <v/>
      </c>
      <c r="BP2395" s="82">
        <f>$AJ2395-$AJ2396</f>
        <v/>
      </c>
    </row>
    <row r="2396">
      <c r="AR2396" s="81">
        <f>($G2396+($H2396-$G2396)*0.5)+($P2396-($O2396+($Q2396-$O2396)*0.5))</f>
        <v/>
      </c>
      <c r="AS2396" s="81">
        <f>($J2396+($K2396-$J2396)*0.5)+($T2396-($S2396+($U2396-$S2396)*0.5))</f>
        <v/>
      </c>
      <c r="AT2396" s="82">
        <f>($J2396-$C2396)*100</f>
        <v/>
      </c>
      <c r="AU2396" s="82">
        <f>($H2396-$F2396)*100</f>
        <v/>
      </c>
      <c r="AV2396" s="82">
        <f>($J2396-$F2396)*100</f>
        <v/>
      </c>
      <c r="AW2396" s="82">
        <f>($L2396-$F2396)*100</f>
        <v/>
      </c>
      <c r="AX2396" s="82">
        <f>($J2396-$H2396)*100</f>
        <v/>
      </c>
      <c r="AY2396" s="82">
        <f>($L2396-$H2396)*100</f>
        <v/>
      </c>
      <c r="AZ2396" s="82">
        <f>($L2396-$J2396)*100</f>
        <v/>
      </c>
      <c r="BA2396" s="82">
        <f>(2*$H2396-$F2396-$J2396)*100</f>
        <v/>
      </c>
      <c r="BB2396" s="82">
        <f>(2*$J2396-$H2396-$L2396)*100</f>
        <v/>
      </c>
      <c r="BC2396" s="82">
        <f>($N2396-$F2396)*100</f>
        <v/>
      </c>
      <c r="BD2396" s="82">
        <f>($Q2396-$H2396)*100</f>
        <v/>
      </c>
      <c r="BE2396" s="82">
        <f>($S2396-$J2396)*100</f>
        <v/>
      </c>
      <c r="BF2396" s="82">
        <f>($V2396-$L2396)*100</f>
        <v/>
      </c>
      <c r="BG2396" s="82">
        <f>$AG2396-$AF2396</f>
        <v/>
      </c>
      <c r="BH2396" s="81">
        <f>IFERROR($AG2396/$AF2396,"")</f>
        <v/>
      </c>
      <c r="BI2396" s="82">
        <f>$AJ2396-$AF2396</f>
        <v/>
      </c>
      <c r="BJ2396" s="81">
        <f>IFERROR($AJ2396/$AG2396,"")</f>
        <v/>
      </c>
      <c r="BK2396" s="81">
        <f>$X2396</f>
        <v/>
      </c>
      <c r="BL2396" s="82">
        <f>($J2396-$J2397)*100</f>
        <v/>
      </c>
      <c r="BM2396" s="82">
        <f>($F2396-$F2397)*100</f>
        <v/>
      </c>
      <c r="BN2396" s="82">
        <f>$AF2396-$AF2397</f>
        <v/>
      </c>
      <c r="BO2396" s="82">
        <f>$AG2396-$AG2397</f>
        <v/>
      </c>
      <c r="BP2396" s="82">
        <f>$AJ2396-$AJ2397</f>
        <v/>
      </c>
    </row>
    <row r="2397">
      <c r="AR2397" s="81">
        <f>($G2397+($H2397-$G2397)*0.5)+($P2397-($O2397+($Q2397-$O2397)*0.5))</f>
        <v/>
      </c>
      <c r="AS2397" s="81">
        <f>($J2397+($K2397-$J2397)*0.5)+($T2397-($S2397+($U2397-$S2397)*0.5))</f>
        <v/>
      </c>
      <c r="AT2397" s="82">
        <f>($J2397-$C2397)*100</f>
        <v/>
      </c>
      <c r="AU2397" s="82">
        <f>($H2397-$F2397)*100</f>
        <v/>
      </c>
      <c r="AV2397" s="82">
        <f>($J2397-$F2397)*100</f>
        <v/>
      </c>
      <c r="AW2397" s="82">
        <f>($L2397-$F2397)*100</f>
        <v/>
      </c>
      <c r="AX2397" s="82">
        <f>($J2397-$H2397)*100</f>
        <v/>
      </c>
      <c r="AY2397" s="82">
        <f>($L2397-$H2397)*100</f>
        <v/>
      </c>
      <c r="AZ2397" s="82">
        <f>($L2397-$J2397)*100</f>
        <v/>
      </c>
      <c r="BA2397" s="82">
        <f>(2*$H2397-$F2397-$J2397)*100</f>
        <v/>
      </c>
      <c r="BB2397" s="82">
        <f>(2*$J2397-$H2397-$L2397)*100</f>
        <v/>
      </c>
      <c r="BC2397" s="82">
        <f>($N2397-$F2397)*100</f>
        <v/>
      </c>
      <c r="BD2397" s="82">
        <f>($Q2397-$H2397)*100</f>
        <v/>
      </c>
      <c r="BE2397" s="82">
        <f>($S2397-$J2397)*100</f>
        <v/>
      </c>
      <c r="BF2397" s="82">
        <f>($V2397-$L2397)*100</f>
        <v/>
      </c>
      <c r="BG2397" s="82">
        <f>$AG2397-$AF2397</f>
        <v/>
      </c>
      <c r="BH2397" s="81">
        <f>IFERROR($AG2397/$AF2397,"")</f>
        <v/>
      </c>
      <c r="BI2397" s="82">
        <f>$AJ2397-$AF2397</f>
        <v/>
      </c>
      <c r="BJ2397" s="81">
        <f>IFERROR($AJ2397/$AG2397,"")</f>
        <v/>
      </c>
      <c r="BK2397" s="81">
        <f>$X2397</f>
        <v/>
      </c>
      <c r="BL2397" s="82">
        <f>($J2397-$J2398)*100</f>
        <v/>
      </c>
      <c r="BM2397" s="82">
        <f>($F2397-$F2398)*100</f>
        <v/>
      </c>
      <c r="BN2397" s="82">
        <f>$AF2397-$AF2398</f>
        <v/>
      </c>
      <c r="BO2397" s="82">
        <f>$AG2397-$AG2398</f>
        <v/>
      </c>
      <c r="BP2397" s="82">
        <f>$AJ2397-$AJ2398</f>
        <v/>
      </c>
    </row>
    <row r="2398">
      <c r="AR2398" s="81">
        <f>($G2398+($H2398-$G2398)*0.5)+($P2398-($O2398+($Q2398-$O2398)*0.5))</f>
        <v/>
      </c>
      <c r="AS2398" s="81">
        <f>($J2398+($K2398-$J2398)*0.5)+($T2398-($S2398+($U2398-$S2398)*0.5))</f>
        <v/>
      </c>
      <c r="AT2398" s="82">
        <f>($J2398-$C2398)*100</f>
        <v/>
      </c>
      <c r="AU2398" s="82">
        <f>($H2398-$F2398)*100</f>
        <v/>
      </c>
      <c r="AV2398" s="82">
        <f>($J2398-$F2398)*100</f>
        <v/>
      </c>
      <c r="AW2398" s="82">
        <f>($L2398-$F2398)*100</f>
        <v/>
      </c>
      <c r="AX2398" s="82">
        <f>($J2398-$H2398)*100</f>
        <v/>
      </c>
      <c r="AY2398" s="82">
        <f>($L2398-$H2398)*100</f>
        <v/>
      </c>
      <c r="AZ2398" s="82">
        <f>($L2398-$J2398)*100</f>
        <v/>
      </c>
      <c r="BA2398" s="82">
        <f>(2*$H2398-$F2398-$J2398)*100</f>
        <v/>
      </c>
      <c r="BB2398" s="82">
        <f>(2*$J2398-$H2398-$L2398)*100</f>
        <v/>
      </c>
      <c r="BC2398" s="82">
        <f>($N2398-$F2398)*100</f>
        <v/>
      </c>
      <c r="BD2398" s="82">
        <f>($Q2398-$H2398)*100</f>
        <v/>
      </c>
      <c r="BE2398" s="82">
        <f>($S2398-$J2398)*100</f>
        <v/>
      </c>
      <c r="BF2398" s="82">
        <f>($V2398-$L2398)*100</f>
        <v/>
      </c>
      <c r="BG2398" s="82">
        <f>$AG2398-$AF2398</f>
        <v/>
      </c>
      <c r="BH2398" s="81">
        <f>IFERROR($AG2398/$AF2398,"")</f>
        <v/>
      </c>
      <c r="BI2398" s="82">
        <f>$AJ2398-$AF2398</f>
        <v/>
      </c>
      <c r="BJ2398" s="81">
        <f>IFERROR($AJ2398/$AG2398,"")</f>
        <v/>
      </c>
      <c r="BK2398" s="81">
        <f>$X2398</f>
        <v/>
      </c>
      <c r="BL2398" s="82">
        <f>($J2398-$J2399)*100</f>
        <v/>
      </c>
      <c r="BM2398" s="82">
        <f>($F2398-$F2399)*100</f>
        <v/>
      </c>
      <c r="BN2398" s="82">
        <f>$AF2398-$AF2399</f>
        <v/>
      </c>
      <c r="BO2398" s="82">
        <f>$AG2398-$AG2399</f>
        <v/>
      </c>
      <c r="BP2398" s="82">
        <f>$AJ2398-$AJ2399</f>
        <v/>
      </c>
    </row>
    <row r="2399">
      <c r="AR2399" s="81">
        <f>($G2399+($H2399-$G2399)*0.5)+($P2399-($O2399+($Q2399-$O2399)*0.5))</f>
        <v/>
      </c>
      <c r="AS2399" s="81">
        <f>($J2399+($K2399-$J2399)*0.5)+($T2399-($S2399+($U2399-$S2399)*0.5))</f>
        <v/>
      </c>
      <c r="AT2399" s="82">
        <f>($J2399-$C2399)*100</f>
        <v/>
      </c>
      <c r="AU2399" s="82">
        <f>($H2399-$F2399)*100</f>
        <v/>
      </c>
      <c r="AV2399" s="82">
        <f>($J2399-$F2399)*100</f>
        <v/>
      </c>
      <c r="AW2399" s="82">
        <f>($L2399-$F2399)*100</f>
        <v/>
      </c>
      <c r="AX2399" s="82">
        <f>($J2399-$H2399)*100</f>
        <v/>
      </c>
      <c r="AY2399" s="82">
        <f>($L2399-$H2399)*100</f>
        <v/>
      </c>
      <c r="AZ2399" s="82">
        <f>($L2399-$J2399)*100</f>
        <v/>
      </c>
      <c r="BA2399" s="82">
        <f>(2*$H2399-$F2399-$J2399)*100</f>
        <v/>
      </c>
      <c r="BB2399" s="82">
        <f>(2*$J2399-$H2399-$L2399)*100</f>
        <v/>
      </c>
      <c r="BC2399" s="82">
        <f>($N2399-$F2399)*100</f>
        <v/>
      </c>
      <c r="BD2399" s="82">
        <f>($Q2399-$H2399)*100</f>
        <v/>
      </c>
      <c r="BE2399" s="82">
        <f>($S2399-$J2399)*100</f>
        <v/>
      </c>
      <c r="BF2399" s="82">
        <f>($V2399-$L2399)*100</f>
        <v/>
      </c>
      <c r="BG2399" s="82">
        <f>$AG2399-$AF2399</f>
        <v/>
      </c>
      <c r="BH2399" s="81">
        <f>IFERROR($AG2399/$AF2399,"")</f>
        <v/>
      </c>
      <c r="BI2399" s="82">
        <f>$AJ2399-$AF2399</f>
        <v/>
      </c>
      <c r="BJ2399" s="81">
        <f>IFERROR($AJ2399/$AG2399,"")</f>
        <v/>
      </c>
      <c r="BK2399" s="81">
        <f>$X2399</f>
        <v/>
      </c>
      <c r="BL2399" s="82">
        <f>($J2399-$J2400)*100</f>
        <v/>
      </c>
      <c r="BM2399" s="82">
        <f>($F2399-$F2400)*100</f>
        <v/>
      </c>
      <c r="BN2399" s="82">
        <f>$AF2399-$AF2400</f>
        <v/>
      </c>
      <c r="BO2399" s="82">
        <f>$AG2399-$AG2400</f>
        <v/>
      </c>
      <c r="BP2399" s="82">
        <f>$AJ2399-$AJ2400</f>
        <v/>
      </c>
    </row>
    <row r="2400">
      <c r="AR2400" s="81">
        <f>($G2400+($H2400-$G2400)*0.5)+($P2400-($O2400+($Q2400-$O2400)*0.5))</f>
        <v/>
      </c>
      <c r="AS2400" s="81">
        <f>($J2400+($K2400-$J2400)*0.5)+($T2400-($S2400+($U2400-$S2400)*0.5))</f>
        <v/>
      </c>
      <c r="AT2400" s="82">
        <f>($J2400-$C2400)*100</f>
        <v/>
      </c>
      <c r="AU2400" s="82">
        <f>($H2400-$F2400)*100</f>
        <v/>
      </c>
      <c r="AV2400" s="82">
        <f>($J2400-$F2400)*100</f>
        <v/>
      </c>
      <c r="AW2400" s="82">
        <f>($L2400-$F2400)*100</f>
        <v/>
      </c>
      <c r="AX2400" s="82">
        <f>($J2400-$H2400)*100</f>
        <v/>
      </c>
      <c r="AY2400" s="82">
        <f>($L2400-$H2400)*100</f>
        <v/>
      </c>
      <c r="AZ2400" s="82">
        <f>($L2400-$J2400)*100</f>
        <v/>
      </c>
      <c r="BA2400" s="82">
        <f>(2*$H2400-$F2400-$J2400)*100</f>
        <v/>
      </c>
      <c r="BB2400" s="82">
        <f>(2*$J2400-$H2400-$L2400)*100</f>
        <v/>
      </c>
      <c r="BC2400" s="82">
        <f>($N2400-$F2400)*100</f>
        <v/>
      </c>
      <c r="BD2400" s="82">
        <f>($Q2400-$H2400)*100</f>
        <v/>
      </c>
      <c r="BE2400" s="82">
        <f>($S2400-$J2400)*100</f>
        <v/>
      </c>
      <c r="BF2400" s="82">
        <f>($V2400-$L2400)*100</f>
        <v/>
      </c>
      <c r="BG2400" s="82">
        <f>$AG2400-$AF2400</f>
        <v/>
      </c>
      <c r="BH2400" s="81">
        <f>IFERROR($AG2400/$AF2400,"")</f>
        <v/>
      </c>
      <c r="BI2400" s="82">
        <f>$AJ2400-$AF2400</f>
        <v/>
      </c>
      <c r="BJ2400" s="81">
        <f>IFERROR($AJ2400/$AG2400,"")</f>
        <v/>
      </c>
      <c r="BK2400" s="81">
        <f>$X2400</f>
        <v/>
      </c>
      <c r="BL2400" s="82">
        <f>($J2400-$J2401)*100</f>
        <v/>
      </c>
      <c r="BM2400" s="82">
        <f>($F2400-$F2401)*100</f>
        <v/>
      </c>
      <c r="BN2400" s="82">
        <f>$AF2400-$AF2401</f>
        <v/>
      </c>
      <c r="BO2400" s="82">
        <f>$AG2400-$AG2401</f>
        <v/>
      </c>
      <c r="BP2400" s="82">
        <f>$AJ2400-$AJ2401</f>
        <v/>
      </c>
    </row>
    <row r="2401">
      <c r="AR2401" s="81">
        <f>($G2401+($H2401-$G2401)*0.5)+($P2401-($O2401+($Q2401-$O2401)*0.5))</f>
        <v/>
      </c>
      <c r="AS2401" s="81">
        <f>($J2401+($K2401-$J2401)*0.5)+($T2401-($S2401+($U2401-$S2401)*0.5))</f>
        <v/>
      </c>
      <c r="AT2401" s="82">
        <f>($J2401-$C2401)*100</f>
        <v/>
      </c>
      <c r="AU2401" s="82">
        <f>($H2401-$F2401)*100</f>
        <v/>
      </c>
      <c r="AV2401" s="82">
        <f>($J2401-$F2401)*100</f>
        <v/>
      </c>
      <c r="AW2401" s="82">
        <f>($L2401-$F2401)*100</f>
        <v/>
      </c>
      <c r="AX2401" s="82">
        <f>($J2401-$H2401)*100</f>
        <v/>
      </c>
      <c r="AY2401" s="82">
        <f>($L2401-$H2401)*100</f>
        <v/>
      </c>
      <c r="AZ2401" s="82">
        <f>($L2401-$J2401)*100</f>
        <v/>
      </c>
      <c r="BA2401" s="82">
        <f>(2*$H2401-$F2401-$J2401)*100</f>
        <v/>
      </c>
      <c r="BB2401" s="82">
        <f>(2*$J2401-$H2401-$L2401)*100</f>
        <v/>
      </c>
      <c r="BC2401" s="82">
        <f>($N2401-$F2401)*100</f>
        <v/>
      </c>
      <c r="BD2401" s="82">
        <f>($Q2401-$H2401)*100</f>
        <v/>
      </c>
      <c r="BE2401" s="82">
        <f>($S2401-$J2401)*100</f>
        <v/>
      </c>
      <c r="BF2401" s="82">
        <f>($V2401-$L2401)*100</f>
        <v/>
      </c>
      <c r="BG2401" s="82">
        <f>$AG2401-$AF2401</f>
        <v/>
      </c>
      <c r="BH2401" s="81">
        <f>IFERROR($AG2401/$AF2401,"")</f>
        <v/>
      </c>
      <c r="BI2401" s="82">
        <f>$AJ2401-$AF2401</f>
        <v/>
      </c>
      <c r="BJ2401" s="81">
        <f>IFERROR($AJ2401/$AG2401,"")</f>
        <v/>
      </c>
      <c r="BK2401" s="81">
        <f>$X2401</f>
        <v/>
      </c>
      <c r="BL2401" s="82">
        <f>($J2401-$J2402)*100</f>
        <v/>
      </c>
      <c r="BM2401" s="82">
        <f>($F2401-$F2402)*100</f>
        <v/>
      </c>
      <c r="BN2401" s="82">
        <f>$AF2401-$AF2402</f>
        <v/>
      </c>
      <c r="BO2401" s="82">
        <f>$AG2401-$AG2402</f>
        <v/>
      </c>
      <c r="BP2401" s="82">
        <f>$AJ2401-$AJ2402</f>
        <v/>
      </c>
    </row>
    <row r="2402">
      <c r="AR2402" s="81">
        <f>($G2402+($H2402-$G2402)*0.5)+($P2402-($O2402+($Q2402-$O2402)*0.5))</f>
        <v/>
      </c>
      <c r="AS2402" s="81">
        <f>($J2402+($K2402-$J2402)*0.5)+($T2402-($S2402+($U2402-$S2402)*0.5))</f>
        <v/>
      </c>
      <c r="AT2402" s="82">
        <f>($J2402-$C2402)*100</f>
        <v/>
      </c>
      <c r="AU2402" s="82">
        <f>($H2402-$F2402)*100</f>
        <v/>
      </c>
      <c r="AV2402" s="82">
        <f>($J2402-$F2402)*100</f>
        <v/>
      </c>
      <c r="AW2402" s="82">
        <f>($L2402-$F2402)*100</f>
        <v/>
      </c>
      <c r="AX2402" s="82">
        <f>($J2402-$H2402)*100</f>
        <v/>
      </c>
      <c r="AY2402" s="82">
        <f>($L2402-$H2402)*100</f>
        <v/>
      </c>
      <c r="AZ2402" s="82">
        <f>($L2402-$J2402)*100</f>
        <v/>
      </c>
      <c r="BA2402" s="82">
        <f>(2*$H2402-$F2402-$J2402)*100</f>
        <v/>
      </c>
      <c r="BB2402" s="82">
        <f>(2*$J2402-$H2402-$L2402)*100</f>
        <v/>
      </c>
      <c r="BC2402" s="82">
        <f>($N2402-$F2402)*100</f>
        <v/>
      </c>
      <c r="BD2402" s="82">
        <f>($Q2402-$H2402)*100</f>
        <v/>
      </c>
      <c r="BE2402" s="82">
        <f>($S2402-$J2402)*100</f>
        <v/>
      </c>
      <c r="BF2402" s="82">
        <f>($V2402-$L2402)*100</f>
        <v/>
      </c>
      <c r="BG2402" s="82">
        <f>$AG2402-$AF2402</f>
        <v/>
      </c>
      <c r="BH2402" s="81">
        <f>IFERROR($AG2402/$AF2402,"")</f>
        <v/>
      </c>
      <c r="BI2402" s="82">
        <f>$AJ2402-$AF2402</f>
        <v/>
      </c>
      <c r="BJ2402" s="81">
        <f>IFERROR($AJ2402/$AG2402,"")</f>
        <v/>
      </c>
      <c r="BK2402" s="81">
        <f>$X2402</f>
        <v/>
      </c>
      <c r="BL2402" s="82">
        <f>($J2402-$J2403)*100</f>
        <v/>
      </c>
      <c r="BM2402" s="82">
        <f>($F2402-$F2403)*100</f>
        <v/>
      </c>
      <c r="BN2402" s="82">
        <f>$AF2402-$AF2403</f>
        <v/>
      </c>
      <c r="BO2402" s="82">
        <f>$AG2402-$AG2403</f>
        <v/>
      </c>
      <c r="BP2402" s="82">
        <f>$AJ2402-$AJ2403</f>
        <v/>
      </c>
    </row>
    <row r="2403">
      <c r="AR2403" s="81">
        <f>($G2403+($H2403-$G2403)*0.5)+($P2403-($O2403+($Q2403-$O2403)*0.5))</f>
        <v/>
      </c>
      <c r="AS2403" s="81">
        <f>($J2403+($K2403-$J2403)*0.5)+($T2403-($S2403+($U2403-$S2403)*0.5))</f>
        <v/>
      </c>
      <c r="AT2403" s="82">
        <f>($J2403-$C2403)*100</f>
        <v/>
      </c>
      <c r="AU2403" s="82">
        <f>($H2403-$F2403)*100</f>
        <v/>
      </c>
      <c r="AV2403" s="82">
        <f>($J2403-$F2403)*100</f>
        <v/>
      </c>
      <c r="AW2403" s="82">
        <f>($L2403-$F2403)*100</f>
        <v/>
      </c>
      <c r="AX2403" s="82">
        <f>($J2403-$H2403)*100</f>
        <v/>
      </c>
      <c r="AY2403" s="82">
        <f>($L2403-$H2403)*100</f>
        <v/>
      </c>
      <c r="AZ2403" s="82">
        <f>($L2403-$J2403)*100</f>
        <v/>
      </c>
      <c r="BA2403" s="82">
        <f>(2*$H2403-$F2403-$J2403)*100</f>
        <v/>
      </c>
      <c r="BB2403" s="82">
        <f>(2*$J2403-$H2403-$L2403)*100</f>
        <v/>
      </c>
      <c r="BC2403" s="82">
        <f>($N2403-$F2403)*100</f>
        <v/>
      </c>
      <c r="BD2403" s="82">
        <f>($Q2403-$H2403)*100</f>
        <v/>
      </c>
      <c r="BE2403" s="82">
        <f>($S2403-$J2403)*100</f>
        <v/>
      </c>
      <c r="BF2403" s="82">
        <f>($V2403-$L2403)*100</f>
        <v/>
      </c>
      <c r="BG2403" s="82">
        <f>$AG2403-$AF2403</f>
        <v/>
      </c>
      <c r="BH2403" s="81">
        <f>IFERROR($AG2403/$AF2403,"")</f>
        <v/>
      </c>
      <c r="BI2403" s="82">
        <f>$AJ2403-$AF2403</f>
        <v/>
      </c>
      <c r="BJ2403" s="81">
        <f>IFERROR($AJ2403/$AG2403,"")</f>
        <v/>
      </c>
      <c r="BK2403" s="81">
        <f>$X2403</f>
        <v/>
      </c>
      <c r="BL2403" s="82">
        <f>($J2403-$J2404)*100</f>
        <v/>
      </c>
      <c r="BM2403" s="82">
        <f>($F2403-$F2404)*100</f>
        <v/>
      </c>
      <c r="BN2403" s="82">
        <f>$AF2403-$AF2404</f>
        <v/>
      </c>
      <c r="BO2403" s="82">
        <f>$AG2403-$AG2404</f>
        <v/>
      </c>
      <c r="BP2403" s="82">
        <f>$AJ2403-$AJ2404</f>
        <v/>
      </c>
    </row>
    <row r="2404">
      <c r="AR2404" s="81">
        <f>($G2404+($H2404-$G2404)*0.5)+($P2404-($O2404+($Q2404-$O2404)*0.5))</f>
        <v/>
      </c>
      <c r="AS2404" s="81">
        <f>($J2404+($K2404-$J2404)*0.5)+($T2404-($S2404+($U2404-$S2404)*0.5))</f>
        <v/>
      </c>
      <c r="AT2404" s="82">
        <f>($J2404-$C2404)*100</f>
        <v/>
      </c>
      <c r="AU2404" s="82">
        <f>($H2404-$F2404)*100</f>
        <v/>
      </c>
      <c r="AV2404" s="82">
        <f>($J2404-$F2404)*100</f>
        <v/>
      </c>
      <c r="AW2404" s="82">
        <f>($L2404-$F2404)*100</f>
        <v/>
      </c>
      <c r="AX2404" s="82">
        <f>($J2404-$H2404)*100</f>
        <v/>
      </c>
      <c r="AY2404" s="82">
        <f>($L2404-$H2404)*100</f>
        <v/>
      </c>
      <c r="AZ2404" s="82">
        <f>($L2404-$J2404)*100</f>
        <v/>
      </c>
      <c r="BA2404" s="82">
        <f>(2*$H2404-$F2404-$J2404)*100</f>
        <v/>
      </c>
      <c r="BB2404" s="82">
        <f>(2*$J2404-$H2404-$L2404)*100</f>
        <v/>
      </c>
      <c r="BC2404" s="82">
        <f>($N2404-$F2404)*100</f>
        <v/>
      </c>
      <c r="BD2404" s="82">
        <f>($Q2404-$H2404)*100</f>
        <v/>
      </c>
      <c r="BE2404" s="82">
        <f>($S2404-$J2404)*100</f>
        <v/>
      </c>
      <c r="BF2404" s="82">
        <f>($V2404-$L2404)*100</f>
        <v/>
      </c>
      <c r="BG2404" s="82">
        <f>$AG2404-$AF2404</f>
        <v/>
      </c>
      <c r="BH2404" s="81">
        <f>IFERROR($AG2404/$AF2404,"")</f>
        <v/>
      </c>
      <c r="BI2404" s="82">
        <f>$AJ2404-$AF2404</f>
        <v/>
      </c>
      <c r="BJ2404" s="81">
        <f>IFERROR($AJ2404/$AG2404,"")</f>
        <v/>
      </c>
      <c r="BK2404" s="81">
        <f>$X2404</f>
        <v/>
      </c>
      <c r="BL2404" s="82">
        <f>($J2404-$J2405)*100</f>
        <v/>
      </c>
      <c r="BM2404" s="82">
        <f>($F2404-$F2405)*100</f>
        <v/>
      </c>
      <c r="BN2404" s="82">
        <f>$AF2404-$AF2405</f>
        <v/>
      </c>
      <c r="BO2404" s="82">
        <f>$AG2404-$AG2405</f>
        <v/>
      </c>
      <c r="BP2404" s="82">
        <f>$AJ2404-$AJ2405</f>
        <v/>
      </c>
    </row>
    <row r="2405">
      <c r="AR2405" s="81">
        <f>($G2405+($H2405-$G2405)*0.5)+($P2405-($O2405+($Q2405-$O2405)*0.5))</f>
        <v/>
      </c>
      <c r="AS2405" s="81">
        <f>($J2405+($K2405-$J2405)*0.5)+($T2405-($S2405+($U2405-$S2405)*0.5))</f>
        <v/>
      </c>
      <c r="AT2405" s="82">
        <f>($J2405-$C2405)*100</f>
        <v/>
      </c>
      <c r="AU2405" s="82">
        <f>($H2405-$F2405)*100</f>
        <v/>
      </c>
      <c r="AV2405" s="82">
        <f>($J2405-$F2405)*100</f>
        <v/>
      </c>
      <c r="AW2405" s="82">
        <f>($L2405-$F2405)*100</f>
        <v/>
      </c>
      <c r="AX2405" s="82">
        <f>($J2405-$H2405)*100</f>
        <v/>
      </c>
      <c r="AY2405" s="82">
        <f>($L2405-$H2405)*100</f>
        <v/>
      </c>
      <c r="AZ2405" s="82">
        <f>($L2405-$J2405)*100</f>
        <v/>
      </c>
      <c r="BA2405" s="82">
        <f>(2*$H2405-$F2405-$J2405)*100</f>
        <v/>
      </c>
      <c r="BB2405" s="82">
        <f>(2*$J2405-$H2405-$L2405)*100</f>
        <v/>
      </c>
      <c r="BC2405" s="82">
        <f>($N2405-$F2405)*100</f>
        <v/>
      </c>
      <c r="BD2405" s="82">
        <f>($Q2405-$H2405)*100</f>
        <v/>
      </c>
      <c r="BE2405" s="82">
        <f>($S2405-$J2405)*100</f>
        <v/>
      </c>
      <c r="BF2405" s="82">
        <f>($V2405-$L2405)*100</f>
        <v/>
      </c>
      <c r="BG2405" s="82">
        <f>$AG2405-$AF2405</f>
        <v/>
      </c>
      <c r="BH2405" s="81">
        <f>IFERROR($AG2405/$AF2405,"")</f>
        <v/>
      </c>
      <c r="BI2405" s="82">
        <f>$AJ2405-$AF2405</f>
        <v/>
      </c>
      <c r="BJ2405" s="81">
        <f>IFERROR($AJ2405/$AG2405,"")</f>
        <v/>
      </c>
      <c r="BK2405" s="81">
        <f>$X2405</f>
        <v/>
      </c>
      <c r="BL2405" s="82">
        <f>($J2405-$J2406)*100</f>
        <v/>
      </c>
      <c r="BM2405" s="82">
        <f>($F2405-$F2406)*100</f>
        <v/>
      </c>
      <c r="BN2405" s="82">
        <f>$AF2405-$AF2406</f>
        <v/>
      </c>
      <c r="BO2405" s="82">
        <f>$AG2405-$AG2406</f>
        <v/>
      </c>
      <c r="BP2405" s="82">
        <f>$AJ2405-$AJ2406</f>
        <v/>
      </c>
    </row>
    <row r="2406">
      <c r="AR2406" s="81">
        <f>($G2406+($H2406-$G2406)*0.5)+($P2406-($O2406+($Q2406-$O2406)*0.5))</f>
        <v/>
      </c>
      <c r="AS2406" s="81">
        <f>($J2406+($K2406-$J2406)*0.5)+($T2406-($S2406+($U2406-$S2406)*0.5))</f>
        <v/>
      </c>
      <c r="AT2406" s="82">
        <f>($J2406-$C2406)*100</f>
        <v/>
      </c>
      <c r="AU2406" s="82">
        <f>($H2406-$F2406)*100</f>
        <v/>
      </c>
      <c r="AV2406" s="82">
        <f>($J2406-$F2406)*100</f>
        <v/>
      </c>
      <c r="AW2406" s="82">
        <f>($L2406-$F2406)*100</f>
        <v/>
      </c>
      <c r="AX2406" s="82">
        <f>($J2406-$H2406)*100</f>
        <v/>
      </c>
      <c r="AY2406" s="82">
        <f>($L2406-$H2406)*100</f>
        <v/>
      </c>
      <c r="AZ2406" s="82">
        <f>($L2406-$J2406)*100</f>
        <v/>
      </c>
      <c r="BA2406" s="82">
        <f>(2*$H2406-$F2406-$J2406)*100</f>
        <v/>
      </c>
      <c r="BB2406" s="82">
        <f>(2*$J2406-$H2406-$L2406)*100</f>
        <v/>
      </c>
      <c r="BC2406" s="82">
        <f>($N2406-$F2406)*100</f>
        <v/>
      </c>
      <c r="BD2406" s="82">
        <f>($Q2406-$H2406)*100</f>
        <v/>
      </c>
      <c r="BE2406" s="82">
        <f>($S2406-$J2406)*100</f>
        <v/>
      </c>
      <c r="BF2406" s="82">
        <f>($V2406-$L2406)*100</f>
        <v/>
      </c>
      <c r="BG2406" s="82">
        <f>$AG2406-$AF2406</f>
        <v/>
      </c>
      <c r="BH2406" s="81">
        <f>IFERROR($AG2406/$AF2406,"")</f>
        <v/>
      </c>
      <c r="BI2406" s="82">
        <f>$AJ2406-$AF2406</f>
        <v/>
      </c>
      <c r="BJ2406" s="81">
        <f>IFERROR($AJ2406/$AG2406,"")</f>
        <v/>
      </c>
      <c r="BK2406" s="81">
        <f>$X2406</f>
        <v/>
      </c>
      <c r="BL2406" s="82">
        <f>($J2406-$J2407)*100</f>
        <v/>
      </c>
      <c r="BM2406" s="82">
        <f>($F2406-$F2407)*100</f>
        <v/>
      </c>
      <c r="BN2406" s="82">
        <f>$AF2406-$AF2407</f>
        <v/>
      </c>
      <c r="BO2406" s="82">
        <f>$AG2406-$AG2407</f>
        <v/>
      </c>
      <c r="BP2406" s="82">
        <f>$AJ2406-$AJ2407</f>
        <v/>
      </c>
    </row>
    <row r="2407">
      <c r="AR2407" s="81">
        <f>($G2407+($H2407-$G2407)*0.5)+($P2407-($O2407+($Q2407-$O2407)*0.5))</f>
        <v/>
      </c>
      <c r="AS2407" s="81">
        <f>($J2407+($K2407-$J2407)*0.5)+($T2407-($S2407+($U2407-$S2407)*0.5))</f>
        <v/>
      </c>
      <c r="AT2407" s="82">
        <f>($J2407-$C2407)*100</f>
        <v/>
      </c>
      <c r="AU2407" s="82">
        <f>($H2407-$F2407)*100</f>
        <v/>
      </c>
      <c r="AV2407" s="82">
        <f>($J2407-$F2407)*100</f>
        <v/>
      </c>
      <c r="AW2407" s="82">
        <f>($L2407-$F2407)*100</f>
        <v/>
      </c>
      <c r="AX2407" s="82">
        <f>($J2407-$H2407)*100</f>
        <v/>
      </c>
      <c r="AY2407" s="82">
        <f>($L2407-$H2407)*100</f>
        <v/>
      </c>
      <c r="AZ2407" s="82">
        <f>($L2407-$J2407)*100</f>
        <v/>
      </c>
      <c r="BA2407" s="82">
        <f>(2*$H2407-$F2407-$J2407)*100</f>
        <v/>
      </c>
      <c r="BB2407" s="82">
        <f>(2*$J2407-$H2407-$L2407)*100</f>
        <v/>
      </c>
      <c r="BC2407" s="82">
        <f>($N2407-$F2407)*100</f>
        <v/>
      </c>
      <c r="BD2407" s="82">
        <f>($Q2407-$H2407)*100</f>
        <v/>
      </c>
      <c r="BE2407" s="82">
        <f>($S2407-$J2407)*100</f>
        <v/>
      </c>
      <c r="BF2407" s="82">
        <f>($V2407-$L2407)*100</f>
        <v/>
      </c>
      <c r="BG2407" s="82">
        <f>$AG2407-$AF2407</f>
        <v/>
      </c>
      <c r="BH2407" s="81">
        <f>IFERROR($AG2407/$AF2407,"")</f>
        <v/>
      </c>
      <c r="BI2407" s="82">
        <f>$AJ2407-$AF2407</f>
        <v/>
      </c>
      <c r="BJ2407" s="81">
        <f>IFERROR($AJ2407/$AG2407,"")</f>
        <v/>
      </c>
      <c r="BK2407" s="81">
        <f>$X2407</f>
        <v/>
      </c>
      <c r="BL2407" s="82">
        <f>($J2407-$J2408)*100</f>
        <v/>
      </c>
      <c r="BM2407" s="82">
        <f>($F2407-$F2408)*100</f>
        <v/>
      </c>
      <c r="BN2407" s="82">
        <f>$AF2407-$AF2408</f>
        <v/>
      </c>
      <c r="BO2407" s="82">
        <f>$AG2407-$AG2408</f>
        <v/>
      </c>
      <c r="BP2407" s="82">
        <f>$AJ2407-$AJ2408</f>
        <v/>
      </c>
    </row>
    <row r="2408">
      <c r="AR2408" s="81">
        <f>($G2408+($H2408-$G2408)*0.5)+($P2408-($O2408+($Q2408-$O2408)*0.5))</f>
        <v/>
      </c>
      <c r="AS2408" s="81">
        <f>($J2408+($K2408-$J2408)*0.5)+($T2408-($S2408+($U2408-$S2408)*0.5))</f>
        <v/>
      </c>
      <c r="AT2408" s="82">
        <f>($J2408-$C2408)*100</f>
        <v/>
      </c>
      <c r="AU2408" s="82">
        <f>($H2408-$F2408)*100</f>
        <v/>
      </c>
      <c r="AV2408" s="82">
        <f>($J2408-$F2408)*100</f>
        <v/>
      </c>
      <c r="AW2408" s="82">
        <f>($L2408-$F2408)*100</f>
        <v/>
      </c>
      <c r="AX2408" s="82">
        <f>($J2408-$H2408)*100</f>
        <v/>
      </c>
      <c r="AY2408" s="82">
        <f>($L2408-$H2408)*100</f>
        <v/>
      </c>
      <c r="AZ2408" s="82">
        <f>($L2408-$J2408)*100</f>
        <v/>
      </c>
      <c r="BA2408" s="82">
        <f>(2*$H2408-$F2408-$J2408)*100</f>
        <v/>
      </c>
      <c r="BB2408" s="82">
        <f>(2*$J2408-$H2408-$L2408)*100</f>
        <v/>
      </c>
      <c r="BC2408" s="82">
        <f>($N2408-$F2408)*100</f>
        <v/>
      </c>
      <c r="BD2408" s="82">
        <f>($Q2408-$H2408)*100</f>
        <v/>
      </c>
      <c r="BE2408" s="82">
        <f>($S2408-$J2408)*100</f>
        <v/>
      </c>
      <c r="BF2408" s="82">
        <f>($V2408-$L2408)*100</f>
        <v/>
      </c>
      <c r="BG2408" s="82">
        <f>$AG2408-$AF2408</f>
        <v/>
      </c>
      <c r="BH2408" s="81">
        <f>IFERROR($AG2408/$AF2408,"")</f>
        <v/>
      </c>
      <c r="BI2408" s="82">
        <f>$AJ2408-$AF2408</f>
        <v/>
      </c>
      <c r="BJ2408" s="81">
        <f>IFERROR($AJ2408/$AG2408,"")</f>
        <v/>
      </c>
      <c r="BK2408" s="81">
        <f>$X2408</f>
        <v/>
      </c>
      <c r="BL2408" s="82">
        <f>($J2408-$J2409)*100</f>
        <v/>
      </c>
      <c r="BM2408" s="82">
        <f>($F2408-$F2409)*100</f>
        <v/>
      </c>
      <c r="BN2408" s="82">
        <f>$AF2408-$AF2409</f>
        <v/>
      </c>
      <c r="BO2408" s="82">
        <f>$AG2408-$AG2409</f>
        <v/>
      </c>
      <c r="BP2408" s="82">
        <f>$AJ2408-$AJ2409</f>
        <v/>
      </c>
    </row>
    <row r="2409">
      <c r="AR2409" s="81">
        <f>($G2409+($H2409-$G2409)*0.5)+($P2409-($O2409+($Q2409-$O2409)*0.5))</f>
        <v/>
      </c>
      <c r="AS2409" s="81">
        <f>($J2409+($K2409-$J2409)*0.5)+($T2409-($S2409+($U2409-$S2409)*0.5))</f>
        <v/>
      </c>
      <c r="AT2409" s="82">
        <f>($J2409-$C2409)*100</f>
        <v/>
      </c>
      <c r="AU2409" s="82">
        <f>($H2409-$F2409)*100</f>
        <v/>
      </c>
      <c r="AV2409" s="82">
        <f>($J2409-$F2409)*100</f>
        <v/>
      </c>
      <c r="AW2409" s="82">
        <f>($L2409-$F2409)*100</f>
        <v/>
      </c>
      <c r="AX2409" s="82">
        <f>($J2409-$H2409)*100</f>
        <v/>
      </c>
      <c r="AY2409" s="82">
        <f>($L2409-$H2409)*100</f>
        <v/>
      </c>
      <c r="AZ2409" s="82">
        <f>($L2409-$J2409)*100</f>
        <v/>
      </c>
      <c r="BA2409" s="82">
        <f>(2*$H2409-$F2409-$J2409)*100</f>
        <v/>
      </c>
      <c r="BB2409" s="82">
        <f>(2*$J2409-$H2409-$L2409)*100</f>
        <v/>
      </c>
      <c r="BC2409" s="82">
        <f>($N2409-$F2409)*100</f>
        <v/>
      </c>
      <c r="BD2409" s="82">
        <f>($Q2409-$H2409)*100</f>
        <v/>
      </c>
      <c r="BE2409" s="82">
        <f>($S2409-$J2409)*100</f>
        <v/>
      </c>
      <c r="BF2409" s="82">
        <f>($V2409-$L2409)*100</f>
        <v/>
      </c>
      <c r="BG2409" s="82">
        <f>$AG2409-$AF2409</f>
        <v/>
      </c>
      <c r="BH2409" s="81">
        <f>IFERROR($AG2409/$AF2409,"")</f>
        <v/>
      </c>
      <c r="BI2409" s="82">
        <f>$AJ2409-$AF2409</f>
        <v/>
      </c>
      <c r="BJ2409" s="81">
        <f>IFERROR($AJ2409/$AG2409,"")</f>
        <v/>
      </c>
      <c r="BK2409" s="81">
        <f>$X2409</f>
        <v/>
      </c>
      <c r="BL2409" s="82">
        <f>($J2409-$J2410)*100</f>
        <v/>
      </c>
      <c r="BM2409" s="82">
        <f>($F2409-$F2410)*100</f>
        <v/>
      </c>
      <c r="BN2409" s="82">
        <f>$AF2409-$AF2410</f>
        <v/>
      </c>
      <c r="BO2409" s="82">
        <f>$AG2409-$AG2410</f>
        <v/>
      </c>
      <c r="BP2409" s="82">
        <f>$AJ2409-$AJ2410</f>
        <v/>
      </c>
    </row>
    <row r="2410">
      <c r="AR2410" s="81">
        <f>($G2410+($H2410-$G2410)*0.5)+($P2410-($O2410+($Q2410-$O2410)*0.5))</f>
        <v/>
      </c>
      <c r="AS2410" s="81">
        <f>($J2410+($K2410-$J2410)*0.5)+($T2410-($S2410+($U2410-$S2410)*0.5))</f>
        <v/>
      </c>
      <c r="AT2410" s="82">
        <f>($J2410-$C2410)*100</f>
        <v/>
      </c>
      <c r="AU2410" s="82">
        <f>($H2410-$F2410)*100</f>
        <v/>
      </c>
      <c r="AV2410" s="82">
        <f>($J2410-$F2410)*100</f>
        <v/>
      </c>
      <c r="AW2410" s="82">
        <f>($L2410-$F2410)*100</f>
        <v/>
      </c>
      <c r="AX2410" s="82">
        <f>($J2410-$H2410)*100</f>
        <v/>
      </c>
      <c r="AY2410" s="82">
        <f>($L2410-$H2410)*100</f>
        <v/>
      </c>
      <c r="AZ2410" s="82">
        <f>($L2410-$J2410)*100</f>
        <v/>
      </c>
      <c r="BA2410" s="82">
        <f>(2*$H2410-$F2410-$J2410)*100</f>
        <v/>
      </c>
      <c r="BB2410" s="82">
        <f>(2*$J2410-$H2410-$L2410)*100</f>
        <v/>
      </c>
      <c r="BC2410" s="82">
        <f>($N2410-$F2410)*100</f>
        <v/>
      </c>
      <c r="BD2410" s="82">
        <f>($Q2410-$H2410)*100</f>
        <v/>
      </c>
      <c r="BE2410" s="82">
        <f>($S2410-$J2410)*100</f>
        <v/>
      </c>
      <c r="BF2410" s="82">
        <f>($V2410-$L2410)*100</f>
        <v/>
      </c>
      <c r="BG2410" s="82">
        <f>$AG2410-$AF2410</f>
        <v/>
      </c>
      <c r="BH2410" s="81">
        <f>IFERROR($AG2410/$AF2410,"")</f>
        <v/>
      </c>
      <c r="BI2410" s="82">
        <f>$AJ2410-$AF2410</f>
        <v/>
      </c>
      <c r="BJ2410" s="81">
        <f>IFERROR($AJ2410/$AG2410,"")</f>
        <v/>
      </c>
      <c r="BK2410" s="81">
        <f>$X2410</f>
        <v/>
      </c>
      <c r="BL2410" s="82">
        <f>($J2410-$J2411)*100</f>
        <v/>
      </c>
      <c r="BM2410" s="82">
        <f>($F2410-$F2411)*100</f>
        <v/>
      </c>
      <c r="BN2410" s="82">
        <f>$AF2410-$AF2411</f>
        <v/>
      </c>
      <c r="BO2410" s="82">
        <f>$AG2410-$AG2411</f>
        <v/>
      </c>
      <c r="BP2410" s="82">
        <f>$AJ2410-$AJ2411</f>
        <v/>
      </c>
    </row>
    <row r="2411">
      <c r="AR2411" s="81">
        <f>($G2411+($H2411-$G2411)*0.5)+($P2411-($O2411+($Q2411-$O2411)*0.5))</f>
        <v/>
      </c>
      <c r="AS2411" s="81">
        <f>($J2411+($K2411-$J2411)*0.5)+($T2411-($S2411+($U2411-$S2411)*0.5))</f>
        <v/>
      </c>
      <c r="AT2411" s="82">
        <f>($J2411-$C2411)*100</f>
        <v/>
      </c>
      <c r="AU2411" s="82">
        <f>($H2411-$F2411)*100</f>
        <v/>
      </c>
      <c r="AV2411" s="82">
        <f>($J2411-$F2411)*100</f>
        <v/>
      </c>
      <c r="AW2411" s="82">
        <f>($L2411-$F2411)*100</f>
        <v/>
      </c>
      <c r="AX2411" s="82">
        <f>($J2411-$H2411)*100</f>
        <v/>
      </c>
      <c r="AY2411" s="82">
        <f>($L2411-$H2411)*100</f>
        <v/>
      </c>
      <c r="AZ2411" s="82">
        <f>($L2411-$J2411)*100</f>
        <v/>
      </c>
      <c r="BA2411" s="82">
        <f>(2*$H2411-$F2411-$J2411)*100</f>
        <v/>
      </c>
      <c r="BB2411" s="82">
        <f>(2*$J2411-$H2411-$L2411)*100</f>
        <v/>
      </c>
      <c r="BC2411" s="82">
        <f>($N2411-$F2411)*100</f>
        <v/>
      </c>
      <c r="BD2411" s="82">
        <f>($Q2411-$H2411)*100</f>
        <v/>
      </c>
      <c r="BE2411" s="82">
        <f>($S2411-$J2411)*100</f>
        <v/>
      </c>
      <c r="BF2411" s="82">
        <f>($V2411-$L2411)*100</f>
        <v/>
      </c>
      <c r="BG2411" s="82">
        <f>$AG2411-$AF2411</f>
        <v/>
      </c>
      <c r="BH2411" s="81">
        <f>IFERROR($AG2411/$AF2411,"")</f>
        <v/>
      </c>
      <c r="BI2411" s="82">
        <f>$AJ2411-$AF2411</f>
        <v/>
      </c>
      <c r="BJ2411" s="81">
        <f>IFERROR($AJ2411/$AG2411,"")</f>
        <v/>
      </c>
      <c r="BK2411" s="81">
        <f>$X2411</f>
        <v/>
      </c>
      <c r="BL2411" s="82">
        <f>($J2411-$J2412)*100</f>
        <v/>
      </c>
      <c r="BM2411" s="82">
        <f>($F2411-$F2412)*100</f>
        <v/>
      </c>
      <c r="BN2411" s="82">
        <f>$AF2411-$AF2412</f>
        <v/>
      </c>
      <c r="BO2411" s="82">
        <f>$AG2411-$AG2412</f>
        <v/>
      </c>
      <c r="BP2411" s="82">
        <f>$AJ2411-$AJ2412</f>
        <v/>
      </c>
    </row>
    <row r="2412">
      <c r="AR2412" s="81">
        <f>($G2412+($H2412-$G2412)*0.5)+($P2412-($O2412+($Q2412-$O2412)*0.5))</f>
        <v/>
      </c>
      <c r="AS2412" s="81">
        <f>($J2412+($K2412-$J2412)*0.5)+($T2412-($S2412+($U2412-$S2412)*0.5))</f>
        <v/>
      </c>
      <c r="AT2412" s="82">
        <f>($J2412-$C2412)*100</f>
        <v/>
      </c>
      <c r="AU2412" s="82">
        <f>($H2412-$F2412)*100</f>
        <v/>
      </c>
      <c r="AV2412" s="82">
        <f>($J2412-$F2412)*100</f>
        <v/>
      </c>
      <c r="AW2412" s="82">
        <f>($L2412-$F2412)*100</f>
        <v/>
      </c>
      <c r="AX2412" s="82">
        <f>($J2412-$H2412)*100</f>
        <v/>
      </c>
      <c r="AY2412" s="82">
        <f>($L2412-$H2412)*100</f>
        <v/>
      </c>
      <c r="AZ2412" s="82">
        <f>($L2412-$J2412)*100</f>
        <v/>
      </c>
      <c r="BA2412" s="82">
        <f>(2*$H2412-$F2412-$J2412)*100</f>
        <v/>
      </c>
      <c r="BB2412" s="82">
        <f>(2*$J2412-$H2412-$L2412)*100</f>
        <v/>
      </c>
      <c r="BC2412" s="82">
        <f>($N2412-$F2412)*100</f>
        <v/>
      </c>
      <c r="BD2412" s="82">
        <f>($Q2412-$H2412)*100</f>
        <v/>
      </c>
      <c r="BE2412" s="82">
        <f>($S2412-$J2412)*100</f>
        <v/>
      </c>
      <c r="BF2412" s="82">
        <f>($V2412-$L2412)*100</f>
        <v/>
      </c>
      <c r="BG2412" s="82">
        <f>$AG2412-$AF2412</f>
        <v/>
      </c>
      <c r="BH2412" s="81">
        <f>IFERROR($AG2412/$AF2412,"")</f>
        <v/>
      </c>
      <c r="BI2412" s="82">
        <f>$AJ2412-$AF2412</f>
        <v/>
      </c>
      <c r="BJ2412" s="81">
        <f>IFERROR($AJ2412/$AG2412,"")</f>
        <v/>
      </c>
      <c r="BK2412" s="81">
        <f>$X2412</f>
        <v/>
      </c>
      <c r="BL2412" s="82">
        <f>($J2412-$J2413)*100</f>
        <v/>
      </c>
      <c r="BM2412" s="82">
        <f>($F2412-$F2413)*100</f>
        <v/>
      </c>
      <c r="BN2412" s="82">
        <f>$AF2412-$AF2413</f>
        <v/>
      </c>
      <c r="BO2412" s="82">
        <f>$AG2412-$AG2413</f>
        <v/>
      </c>
      <c r="BP2412" s="82">
        <f>$AJ2412-$AJ2413</f>
        <v/>
      </c>
    </row>
    <row r="2413">
      <c r="AR2413" s="81">
        <f>($G2413+($H2413-$G2413)*0.5)+($P2413-($O2413+($Q2413-$O2413)*0.5))</f>
        <v/>
      </c>
      <c r="AS2413" s="81">
        <f>($J2413+($K2413-$J2413)*0.5)+($T2413-($S2413+($U2413-$S2413)*0.5))</f>
        <v/>
      </c>
      <c r="AT2413" s="82">
        <f>($J2413-$C2413)*100</f>
        <v/>
      </c>
      <c r="AU2413" s="82">
        <f>($H2413-$F2413)*100</f>
        <v/>
      </c>
      <c r="AV2413" s="82">
        <f>($J2413-$F2413)*100</f>
        <v/>
      </c>
      <c r="AW2413" s="82">
        <f>($L2413-$F2413)*100</f>
        <v/>
      </c>
      <c r="AX2413" s="82">
        <f>($J2413-$H2413)*100</f>
        <v/>
      </c>
      <c r="AY2413" s="82">
        <f>($L2413-$H2413)*100</f>
        <v/>
      </c>
      <c r="AZ2413" s="82">
        <f>($L2413-$J2413)*100</f>
        <v/>
      </c>
      <c r="BA2413" s="82">
        <f>(2*$H2413-$F2413-$J2413)*100</f>
        <v/>
      </c>
      <c r="BB2413" s="82">
        <f>(2*$J2413-$H2413-$L2413)*100</f>
        <v/>
      </c>
      <c r="BC2413" s="82">
        <f>($N2413-$F2413)*100</f>
        <v/>
      </c>
      <c r="BD2413" s="82">
        <f>($Q2413-$H2413)*100</f>
        <v/>
      </c>
      <c r="BE2413" s="82">
        <f>($S2413-$J2413)*100</f>
        <v/>
      </c>
      <c r="BF2413" s="82">
        <f>($V2413-$L2413)*100</f>
        <v/>
      </c>
      <c r="BG2413" s="82">
        <f>$AG2413-$AF2413</f>
        <v/>
      </c>
      <c r="BH2413" s="81">
        <f>IFERROR($AG2413/$AF2413,"")</f>
        <v/>
      </c>
      <c r="BI2413" s="82">
        <f>$AJ2413-$AF2413</f>
        <v/>
      </c>
      <c r="BJ2413" s="81">
        <f>IFERROR($AJ2413/$AG2413,"")</f>
        <v/>
      </c>
      <c r="BK2413" s="81">
        <f>$X2413</f>
        <v/>
      </c>
      <c r="BL2413" s="82">
        <f>($J2413-$J2414)*100</f>
        <v/>
      </c>
      <c r="BM2413" s="82">
        <f>($F2413-$F2414)*100</f>
        <v/>
      </c>
      <c r="BN2413" s="82">
        <f>$AF2413-$AF2414</f>
        <v/>
      </c>
      <c r="BO2413" s="82">
        <f>$AG2413-$AG2414</f>
        <v/>
      </c>
      <c r="BP2413" s="82">
        <f>$AJ2413-$AJ2414</f>
        <v/>
      </c>
    </row>
    <row r="2414">
      <c r="AR2414" s="81">
        <f>($G2414+($H2414-$G2414)*0.5)+($P2414-($O2414+($Q2414-$O2414)*0.5))</f>
        <v/>
      </c>
      <c r="AS2414" s="81">
        <f>($J2414+($K2414-$J2414)*0.5)+($T2414-($S2414+($U2414-$S2414)*0.5))</f>
        <v/>
      </c>
      <c r="AT2414" s="82">
        <f>($J2414-$C2414)*100</f>
        <v/>
      </c>
      <c r="AU2414" s="82">
        <f>($H2414-$F2414)*100</f>
        <v/>
      </c>
      <c r="AV2414" s="82">
        <f>($J2414-$F2414)*100</f>
        <v/>
      </c>
      <c r="AW2414" s="82">
        <f>($L2414-$F2414)*100</f>
        <v/>
      </c>
      <c r="AX2414" s="82">
        <f>($J2414-$H2414)*100</f>
        <v/>
      </c>
      <c r="AY2414" s="82">
        <f>($L2414-$H2414)*100</f>
        <v/>
      </c>
      <c r="AZ2414" s="82">
        <f>($L2414-$J2414)*100</f>
        <v/>
      </c>
      <c r="BA2414" s="82">
        <f>(2*$H2414-$F2414-$J2414)*100</f>
        <v/>
      </c>
      <c r="BB2414" s="82">
        <f>(2*$J2414-$H2414-$L2414)*100</f>
        <v/>
      </c>
      <c r="BC2414" s="82">
        <f>($N2414-$F2414)*100</f>
        <v/>
      </c>
      <c r="BD2414" s="82">
        <f>($Q2414-$H2414)*100</f>
        <v/>
      </c>
      <c r="BE2414" s="82">
        <f>($S2414-$J2414)*100</f>
        <v/>
      </c>
      <c r="BF2414" s="82">
        <f>($V2414-$L2414)*100</f>
        <v/>
      </c>
      <c r="BG2414" s="82">
        <f>$AG2414-$AF2414</f>
        <v/>
      </c>
      <c r="BH2414" s="81">
        <f>IFERROR($AG2414/$AF2414,"")</f>
        <v/>
      </c>
      <c r="BI2414" s="82">
        <f>$AJ2414-$AF2414</f>
        <v/>
      </c>
      <c r="BJ2414" s="81">
        <f>IFERROR($AJ2414/$AG2414,"")</f>
        <v/>
      </c>
      <c r="BK2414" s="81">
        <f>$X2414</f>
        <v/>
      </c>
      <c r="BL2414" s="82">
        <f>($J2414-$J2415)*100</f>
        <v/>
      </c>
      <c r="BM2414" s="82">
        <f>($F2414-$F2415)*100</f>
        <v/>
      </c>
      <c r="BN2414" s="82">
        <f>$AF2414-$AF2415</f>
        <v/>
      </c>
      <c r="BO2414" s="82">
        <f>$AG2414-$AG2415</f>
        <v/>
      </c>
      <c r="BP2414" s="82">
        <f>$AJ2414-$AJ2415</f>
        <v/>
      </c>
    </row>
    <row r="2415">
      <c r="AR2415" s="81">
        <f>($G2415+($H2415-$G2415)*0.5)+($P2415-($O2415+($Q2415-$O2415)*0.5))</f>
        <v/>
      </c>
      <c r="AS2415" s="81">
        <f>($J2415+($K2415-$J2415)*0.5)+($T2415-($S2415+($U2415-$S2415)*0.5))</f>
        <v/>
      </c>
      <c r="AT2415" s="82">
        <f>($J2415-$C2415)*100</f>
        <v/>
      </c>
      <c r="AU2415" s="82">
        <f>($H2415-$F2415)*100</f>
        <v/>
      </c>
      <c r="AV2415" s="82">
        <f>($J2415-$F2415)*100</f>
        <v/>
      </c>
      <c r="AW2415" s="82">
        <f>($L2415-$F2415)*100</f>
        <v/>
      </c>
      <c r="AX2415" s="82">
        <f>($J2415-$H2415)*100</f>
        <v/>
      </c>
      <c r="AY2415" s="82">
        <f>($L2415-$H2415)*100</f>
        <v/>
      </c>
      <c r="AZ2415" s="82">
        <f>($L2415-$J2415)*100</f>
        <v/>
      </c>
      <c r="BA2415" s="82">
        <f>(2*$H2415-$F2415-$J2415)*100</f>
        <v/>
      </c>
      <c r="BB2415" s="82">
        <f>(2*$J2415-$H2415-$L2415)*100</f>
        <v/>
      </c>
      <c r="BC2415" s="82">
        <f>($N2415-$F2415)*100</f>
        <v/>
      </c>
      <c r="BD2415" s="82">
        <f>($Q2415-$H2415)*100</f>
        <v/>
      </c>
      <c r="BE2415" s="82">
        <f>($S2415-$J2415)*100</f>
        <v/>
      </c>
      <c r="BF2415" s="82">
        <f>($V2415-$L2415)*100</f>
        <v/>
      </c>
      <c r="BG2415" s="82">
        <f>$AG2415-$AF2415</f>
        <v/>
      </c>
      <c r="BH2415" s="81">
        <f>IFERROR($AG2415/$AF2415,"")</f>
        <v/>
      </c>
      <c r="BI2415" s="82">
        <f>$AJ2415-$AF2415</f>
        <v/>
      </c>
      <c r="BJ2415" s="81">
        <f>IFERROR($AJ2415/$AG2415,"")</f>
        <v/>
      </c>
      <c r="BK2415" s="81">
        <f>$X2415</f>
        <v/>
      </c>
      <c r="BL2415" s="82">
        <f>($J2415-$J2416)*100</f>
        <v/>
      </c>
      <c r="BM2415" s="82">
        <f>($F2415-$F2416)*100</f>
        <v/>
      </c>
      <c r="BN2415" s="82">
        <f>$AF2415-$AF2416</f>
        <v/>
      </c>
      <c r="BO2415" s="82">
        <f>$AG2415-$AG2416</f>
        <v/>
      </c>
      <c r="BP2415" s="82">
        <f>$AJ2415-$AJ2416</f>
        <v/>
      </c>
    </row>
    <row r="2416">
      <c r="AR2416" s="81">
        <f>($G2416+($H2416-$G2416)*0.5)+($P2416-($O2416+($Q2416-$O2416)*0.5))</f>
        <v/>
      </c>
      <c r="AS2416" s="81">
        <f>($J2416+($K2416-$J2416)*0.5)+($T2416-($S2416+($U2416-$S2416)*0.5))</f>
        <v/>
      </c>
      <c r="AT2416" s="82">
        <f>($J2416-$C2416)*100</f>
        <v/>
      </c>
      <c r="AU2416" s="82">
        <f>($H2416-$F2416)*100</f>
        <v/>
      </c>
      <c r="AV2416" s="82">
        <f>($J2416-$F2416)*100</f>
        <v/>
      </c>
      <c r="AW2416" s="82">
        <f>($L2416-$F2416)*100</f>
        <v/>
      </c>
      <c r="AX2416" s="82">
        <f>($J2416-$H2416)*100</f>
        <v/>
      </c>
      <c r="AY2416" s="82">
        <f>($L2416-$H2416)*100</f>
        <v/>
      </c>
      <c r="AZ2416" s="82">
        <f>($L2416-$J2416)*100</f>
        <v/>
      </c>
      <c r="BA2416" s="82">
        <f>(2*$H2416-$F2416-$J2416)*100</f>
        <v/>
      </c>
      <c r="BB2416" s="82">
        <f>(2*$J2416-$H2416-$L2416)*100</f>
        <v/>
      </c>
      <c r="BC2416" s="82">
        <f>($N2416-$F2416)*100</f>
        <v/>
      </c>
      <c r="BD2416" s="82">
        <f>($Q2416-$H2416)*100</f>
        <v/>
      </c>
      <c r="BE2416" s="82">
        <f>($S2416-$J2416)*100</f>
        <v/>
      </c>
      <c r="BF2416" s="82">
        <f>($V2416-$L2416)*100</f>
        <v/>
      </c>
      <c r="BG2416" s="82">
        <f>$AG2416-$AF2416</f>
        <v/>
      </c>
      <c r="BH2416" s="81">
        <f>IFERROR($AG2416/$AF2416,"")</f>
        <v/>
      </c>
      <c r="BI2416" s="82">
        <f>$AJ2416-$AF2416</f>
        <v/>
      </c>
      <c r="BJ2416" s="81">
        <f>IFERROR($AJ2416/$AG2416,"")</f>
        <v/>
      </c>
      <c r="BK2416" s="81">
        <f>$X2416</f>
        <v/>
      </c>
      <c r="BL2416" s="82">
        <f>($J2416-$J2417)*100</f>
        <v/>
      </c>
      <c r="BM2416" s="82">
        <f>($F2416-$F2417)*100</f>
        <v/>
      </c>
      <c r="BN2416" s="82">
        <f>$AF2416-$AF2417</f>
        <v/>
      </c>
      <c r="BO2416" s="82">
        <f>$AG2416-$AG2417</f>
        <v/>
      </c>
      <c r="BP2416" s="82">
        <f>$AJ2416-$AJ2417</f>
        <v/>
      </c>
    </row>
    <row r="2417">
      <c r="AR2417" s="81">
        <f>($G2417+($H2417-$G2417)*0.5)+($P2417-($O2417+($Q2417-$O2417)*0.5))</f>
        <v/>
      </c>
      <c r="AS2417" s="81">
        <f>($J2417+($K2417-$J2417)*0.5)+($T2417-($S2417+($U2417-$S2417)*0.5))</f>
        <v/>
      </c>
      <c r="AT2417" s="82">
        <f>($J2417-$C2417)*100</f>
        <v/>
      </c>
      <c r="AU2417" s="82">
        <f>($H2417-$F2417)*100</f>
        <v/>
      </c>
      <c r="AV2417" s="82">
        <f>($J2417-$F2417)*100</f>
        <v/>
      </c>
      <c r="AW2417" s="82">
        <f>($L2417-$F2417)*100</f>
        <v/>
      </c>
      <c r="AX2417" s="82">
        <f>($J2417-$H2417)*100</f>
        <v/>
      </c>
      <c r="AY2417" s="82">
        <f>($L2417-$H2417)*100</f>
        <v/>
      </c>
      <c r="AZ2417" s="82">
        <f>($L2417-$J2417)*100</f>
        <v/>
      </c>
      <c r="BA2417" s="82">
        <f>(2*$H2417-$F2417-$J2417)*100</f>
        <v/>
      </c>
      <c r="BB2417" s="82">
        <f>(2*$J2417-$H2417-$L2417)*100</f>
        <v/>
      </c>
      <c r="BC2417" s="82">
        <f>($N2417-$F2417)*100</f>
        <v/>
      </c>
      <c r="BD2417" s="82">
        <f>($Q2417-$H2417)*100</f>
        <v/>
      </c>
      <c r="BE2417" s="82">
        <f>($S2417-$J2417)*100</f>
        <v/>
      </c>
      <c r="BF2417" s="82">
        <f>($V2417-$L2417)*100</f>
        <v/>
      </c>
      <c r="BG2417" s="82">
        <f>$AG2417-$AF2417</f>
        <v/>
      </c>
      <c r="BH2417" s="81">
        <f>IFERROR($AG2417/$AF2417,"")</f>
        <v/>
      </c>
      <c r="BI2417" s="82">
        <f>$AJ2417-$AF2417</f>
        <v/>
      </c>
      <c r="BJ2417" s="81">
        <f>IFERROR($AJ2417/$AG2417,"")</f>
        <v/>
      </c>
      <c r="BK2417" s="81">
        <f>$X2417</f>
        <v/>
      </c>
      <c r="BL2417" s="82">
        <f>($J2417-$J2418)*100</f>
        <v/>
      </c>
      <c r="BM2417" s="82">
        <f>($F2417-$F2418)*100</f>
        <v/>
      </c>
      <c r="BN2417" s="82">
        <f>$AF2417-$AF2418</f>
        <v/>
      </c>
      <c r="BO2417" s="82">
        <f>$AG2417-$AG2418</f>
        <v/>
      </c>
      <c r="BP2417" s="82">
        <f>$AJ2417-$AJ2418</f>
        <v/>
      </c>
    </row>
    <row r="2418">
      <c r="AR2418" s="81">
        <f>($G2418+($H2418-$G2418)*0.5)+($P2418-($O2418+($Q2418-$O2418)*0.5))</f>
        <v/>
      </c>
      <c r="AS2418" s="81">
        <f>($J2418+($K2418-$J2418)*0.5)+($T2418-($S2418+($U2418-$S2418)*0.5))</f>
        <v/>
      </c>
      <c r="AT2418" s="82">
        <f>($J2418-$C2418)*100</f>
        <v/>
      </c>
      <c r="AU2418" s="82">
        <f>($H2418-$F2418)*100</f>
        <v/>
      </c>
      <c r="AV2418" s="82">
        <f>($J2418-$F2418)*100</f>
        <v/>
      </c>
      <c r="AW2418" s="82">
        <f>($L2418-$F2418)*100</f>
        <v/>
      </c>
      <c r="AX2418" s="82">
        <f>($J2418-$H2418)*100</f>
        <v/>
      </c>
      <c r="AY2418" s="82">
        <f>($L2418-$H2418)*100</f>
        <v/>
      </c>
      <c r="AZ2418" s="82">
        <f>($L2418-$J2418)*100</f>
        <v/>
      </c>
      <c r="BA2418" s="82">
        <f>(2*$H2418-$F2418-$J2418)*100</f>
        <v/>
      </c>
      <c r="BB2418" s="82">
        <f>(2*$J2418-$H2418-$L2418)*100</f>
        <v/>
      </c>
      <c r="BC2418" s="82">
        <f>($N2418-$F2418)*100</f>
        <v/>
      </c>
      <c r="BD2418" s="82">
        <f>($Q2418-$H2418)*100</f>
        <v/>
      </c>
      <c r="BE2418" s="82">
        <f>($S2418-$J2418)*100</f>
        <v/>
      </c>
      <c r="BF2418" s="82">
        <f>($V2418-$L2418)*100</f>
        <v/>
      </c>
      <c r="BG2418" s="82">
        <f>$AG2418-$AF2418</f>
        <v/>
      </c>
      <c r="BH2418" s="81">
        <f>IFERROR($AG2418/$AF2418,"")</f>
        <v/>
      </c>
      <c r="BI2418" s="82">
        <f>$AJ2418-$AF2418</f>
        <v/>
      </c>
      <c r="BJ2418" s="81">
        <f>IFERROR($AJ2418/$AG2418,"")</f>
        <v/>
      </c>
      <c r="BK2418" s="81">
        <f>$X2418</f>
        <v/>
      </c>
      <c r="BL2418" s="82">
        <f>($J2418-$J2419)*100</f>
        <v/>
      </c>
      <c r="BM2418" s="82">
        <f>($F2418-$F2419)*100</f>
        <v/>
      </c>
      <c r="BN2418" s="82">
        <f>$AF2418-$AF2419</f>
        <v/>
      </c>
      <c r="BO2418" s="82">
        <f>$AG2418-$AG2419</f>
        <v/>
      </c>
      <c r="BP2418" s="82">
        <f>$AJ2418-$AJ2419</f>
        <v/>
      </c>
    </row>
    <row r="2419">
      <c r="AR2419" s="81">
        <f>($G2419+($H2419-$G2419)*0.5)+($P2419-($O2419+($Q2419-$O2419)*0.5))</f>
        <v/>
      </c>
      <c r="AS2419" s="81">
        <f>($J2419+($K2419-$J2419)*0.5)+($T2419-($S2419+($U2419-$S2419)*0.5))</f>
        <v/>
      </c>
      <c r="AT2419" s="82">
        <f>($J2419-$C2419)*100</f>
        <v/>
      </c>
      <c r="AU2419" s="82">
        <f>($H2419-$F2419)*100</f>
        <v/>
      </c>
      <c r="AV2419" s="82">
        <f>($J2419-$F2419)*100</f>
        <v/>
      </c>
      <c r="AW2419" s="82">
        <f>($L2419-$F2419)*100</f>
        <v/>
      </c>
      <c r="AX2419" s="82">
        <f>($J2419-$H2419)*100</f>
        <v/>
      </c>
      <c r="AY2419" s="82">
        <f>($L2419-$H2419)*100</f>
        <v/>
      </c>
      <c r="AZ2419" s="82">
        <f>($L2419-$J2419)*100</f>
        <v/>
      </c>
      <c r="BA2419" s="82">
        <f>(2*$H2419-$F2419-$J2419)*100</f>
        <v/>
      </c>
      <c r="BB2419" s="82">
        <f>(2*$J2419-$H2419-$L2419)*100</f>
        <v/>
      </c>
      <c r="BC2419" s="82">
        <f>($N2419-$F2419)*100</f>
        <v/>
      </c>
      <c r="BD2419" s="82">
        <f>($Q2419-$H2419)*100</f>
        <v/>
      </c>
      <c r="BE2419" s="82">
        <f>($S2419-$J2419)*100</f>
        <v/>
      </c>
      <c r="BF2419" s="82">
        <f>($V2419-$L2419)*100</f>
        <v/>
      </c>
      <c r="BG2419" s="82">
        <f>$AG2419-$AF2419</f>
        <v/>
      </c>
      <c r="BH2419" s="81">
        <f>IFERROR($AG2419/$AF2419,"")</f>
        <v/>
      </c>
      <c r="BI2419" s="82">
        <f>$AJ2419-$AF2419</f>
        <v/>
      </c>
      <c r="BJ2419" s="81">
        <f>IFERROR($AJ2419/$AG2419,"")</f>
        <v/>
      </c>
      <c r="BK2419" s="81">
        <f>$X2419</f>
        <v/>
      </c>
      <c r="BL2419" s="82">
        <f>($J2419-$J2420)*100</f>
        <v/>
      </c>
      <c r="BM2419" s="82">
        <f>($F2419-$F2420)*100</f>
        <v/>
      </c>
      <c r="BN2419" s="82">
        <f>$AF2419-$AF2420</f>
        <v/>
      </c>
      <c r="BO2419" s="82">
        <f>$AG2419-$AG2420</f>
        <v/>
      </c>
      <c r="BP2419" s="82">
        <f>$AJ2419-$AJ2420</f>
        <v/>
      </c>
    </row>
    <row r="2420">
      <c r="AR2420" s="81">
        <f>($G2420+($H2420-$G2420)*0.5)+($P2420-($O2420+($Q2420-$O2420)*0.5))</f>
        <v/>
      </c>
      <c r="AS2420" s="81">
        <f>($J2420+($K2420-$J2420)*0.5)+($T2420-($S2420+($U2420-$S2420)*0.5))</f>
        <v/>
      </c>
      <c r="AT2420" s="82">
        <f>($J2420-$C2420)*100</f>
        <v/>
      </c>
      <c r="AU2420" s="82">
        <f>($H2420-$F2420)*100</f>
        <v/>
      </c>
      <c r="AV2420" s="82">
        <f>($J2420-$F2420)*100</f>
        <v/>
      </c>
      <c r="AW2420" s="82">
        <f>($L2420-$F2420)*100</f>
        <v/>
      </c>
      <c r="AX2420" s="82">
        <f>($J2420-$H2420)*100</f>
        <v/>
      </c>
      <c r="AY2420" s="82">
        <f>($L2420-$H2420)*100</f>
        <v/>
      </c>
      <c r="AZ2420" s="82">
        <f>($L2420-$J2420)*100</f>
        <v/>
      </c>
      <c r="BA2420" s="82">
        <f>(2*$H2420-$F2420-$J2420)*100</f>
        <v/>
      </c>
      <c r="BB2420" s="82">
        <f>(2*$J2420-$H2420-$L2420)*100</f>
        <v/>
      </c>
      <c r="BC2420" s="82">
        <f>($N2420-$F2420)*100</f>
        <v/>
      </c>
      <c r="BD2420" s="82">
        <f>($Q2420-$H2420)*100</f>
        <v/>
      </c>
      <c r="BE2420" s="82">
        <f>($S2420-$J2420)*100</f>
        <v/>
      </c>
      <c r="BF2420" s="82">
        <f>($V2420-$L2420)*100</f>
        <v/>
      </c>
      <c r="BG2420" s="82">
        <f>$AG2420-$AF2420</f>
        <v/>
      </c>
      <c r="BH2420" s="81">
        <f>IFERROR($AG2420/$AF2420,"")</f>
        <v/>
      </c>
      <c r="BI2420" s="82">
        <f>$AJ2420-$AF2420</f>
        <v/>
      </c>
      <c r="BJ2420" s="81">
        <f>IFERROR($AJ2420/$AG2420,"")</f>
        <v/>
      </c>
      <c r="BK2420" s="81">
        <f>$X2420</f>
        <v/>
      </c>
      <c r="BL2420" s="82">
        <f>($J2420-$J2421)*100</f>
        <v/>
      </c>
      <c r="BM2420" s="82">
        <f>($F2420-$F2421)*100</f>
        <v/>
      </c>
      <c r="BN2420" s="82">
        <f>$AF2420-$AF2421</f>
        <v/>
      </c>
      <c r="BO2420" s="82">
        <f>$AG2420-$AG2421</f>
        <v/>
      </c>
      <c r="BP2420" s="82">
        <f>$AJ2420-$AJ2421</f>
        <v/>
      </c>
    </row>
    <row r="2421">
      <c r="AR2421" s="81">
        <f>($G2421+($H2421-$G2421)*0.5)+($P2421-($O2421+($Q2421-$O2421)*0.5))</f>
        <v/>
      </c>
      <c r="AS2421" s="81">
        <f>($J2421+($K2421-$J2421)*0.5)+($T2421-($S2421+($U2421-$S2421)*0.5))</f>
        <v/>
      </c>
      <c r="AT2421" s="82">
        <f>($J2421-$C2421)*100</f>
        <v/>
      </c>
      <c r="AU2421" s="82">
        <f>($H2421-$F2421)*100</f>
        <v/>
      </c>
      <c r="AV2421" s="82">
        <f>($J2421-$F2421)*100</f>
        <v/>
      </c>
      <c r="AW2421" s="82">
        <f>($L2421-$F2421)*100</f>
        <v/>
      </c>
      <c r="AX2421" s="82">
        <f>($J2421-$H2421)*100</f>
        <v/>
      </c>
      <c r="AY2421" s="82">
        <f>($L2421-$H2421)*100</f>
        <v/>
      </c>
      <c r="AZ2421" s="82">
        <f>($L2421-$J2421)*100</f>
        <v/>
      </c>
      <c r="BA2421" s="82">
        <f>(2*$H2421-$F2421-$J2421)*100</f>
        <v/>
      </c>
      <c r="BB2421" s="82">
        <f>(2*$J2421-$H2421-$L2421)*100</f>
        <v/>
      </c>
      <c r="BC2421" s="82">
        <f>($N2421-$F2421)*100</f>
        <v/>
      </c>
      <c r="BD2421" s="82">
        <f>($Q2421-$H2421)*100</f>
        <v/>
      </c>
      <c r="BE2421" s="82">
        <f>($S2421-$J2421)*100</f>
        <v/>
      </c>
      <c r="BF2421" s="82">
        <f>($V2421-$L2421)*100</f>
        <v/>
      </c>
      <c r="BG2421" s="82">
        <f>$AG2421-$AF2421</f>
        <v/>
      </c>
      <c r="BH2421" s="81">
        <f>IFERROR($AG2421/$AF2421,"")</f>
        <v/>
      </c>
      <c r="BI2421" s="82">
        <f>$AJ2421-$AF2421</f>
        <v/>
      </c>
      <c r="BJ2421" s="81">
        <f>IFERROR($AJ2421/$AG2421,"")</f>
        <v/>
      </c>
      <c r="BK2421" s="81">
        <f>$X2421</f>
        <v/>
      </c>
      <c r="BL2421" s="82">
        <f>($J2421-$J2422)*100</f>
        <v/>
      </c>
      <c r="BM2421" s="82">
        <f>($F2421-$F2422)*100</f>
        <v/>
      </c>
      <c r="BN2421" s="82">
        <f>$AF2421-$AF2422</f>
        <v/>
      </c>
      <c r="BO2421" s="82">
        <f>$AG2421-$AG2422</f>
        <v/>
      </c>
      <c r="BP2421" s="82">
        <f>$AJ2421-$AJ2422</f>
        <v/>
      </c>
    </row>
    <row r="2422">
      <c r="AR2422" s="81">
        <f>($G2422+($H2422-$G2422)*0.5)+($P2422-($O2422+($Q2422-$O2422)*0.5))</f>
        <v/>
      </c>
      <c r="AS2422" s="81">
        <f>($J2422+($K2422-$J2422)*0.5)+($T2422-($S2422+($U2422-$S2422)*0.5))</f>
        <v/>
      </c>
      <c r="AT2422" s="82">
        <f>($J2422-$C2422)*100</f>
        <v/>
      </c>
      <c r="AU2422" s="82">
        <f>($H2422-$F2422)*100</f>
        <v/>
      </c>
      <c r="AV2422" s="82">
        <f>($J2422-$F2422)*100</f>
        <v/>
      </c>
      <c r="AW2422" s="82">
        <f>($L2422-$F2422)*100</f>
        <v/>
      </c>
      <c r="AX2422" s="82">
        <f>($J2422-$H2422)*100</f>
        <v/>
      </c>
      <c r="AY2422" s="82">
        <f>($L2422-$H2422)*100</f>
        <v/>
      </c>
      <c r="AZ2422" s="82">
        <f>($L2422-$J2422)*100</f>
        <v/>
      </c>
      <c r="BA2422" s="82">
        <f>(2*$H2422-$F2422-$J2422)*100</f>
        <v/>
      </c>
      <c r="BB2422" s="82">
        <f>(2*$J2422-$H2422-$L2422)*100</f>
        <v/>
      </c>
      <c r="BC2422" s="82">
        <f>($N2422-$F2422)*100</f>
        <v/>
      </c>
      <c r="BD2422" s="82">
        <f>($Q2422-$H2422)*100</f>
        <v/>
      </c>
      <c r="BE2422" s="82">
        <f>($S2422-$J2422)*100</f>
        <v/>
      </c>
      <c r="BF2422" s="82">
        <f>($V2422-$L2422)*100</f>
        <v/>
      </c>
      <c r="BG2422" s="82">
        <f>$AG2422-$AF2422</f>
        <v/>
      </c>
      <c r="BH2422" s="81">
        <f>IFERROR($AG2422/$AF2422,"")</f>
        <v/>
      </c>
      <c r="BI2422" s="82">
        <f>$AJ2422-$AF2422</f>
        <v/>
      </c>
      <c r="BJ2422" s="81">
        <f>IFERROR($AJ2422/$AG2422,"")</f>
        <v/>
      </c>
      <c r="BK2422" s="81">
        <f>$X2422</f>
        <v/>
      </c>
      <c r="BL2422" s="82">
        <f>($J2422-$J2423)*100</f>
        <v/>
      </c>
      <c r="BM2422" s="82">
        <f>($F2422-$F2423)*100</f>
        <v/>
      </c>
      <c r="BN2422" s="82">
        <f>$AF2422-$AF2423</f>
        <v/>
      </c>
      <c r="BO2422" s="82">
        <f>$AG2422-$AG2423</f>
        <v/>
      </c>
      <c r="BP2422" s="82">
        <f>$AJ2422-$AJ2423</f>
        <v/>
      </c>
    </row>
    <row r="2423">
      <c r="AR2423" s="81">
        <f>($G2423+($H2423-$G2423)*0.5)+($P2423-($O2423+($Q2423-$O2423)*0.5))</f>
        <v/>
      </c>
      <c r="AS2423" s="81">
        <f>($J2423+($K2423-$J2423)*0.5)+($T2423-($S2423+($U2423-$S2423)*0.5))</f>
        <v/>
      </c>
      <c r="AT2423" s="82">
        <f>($J2423-$C2423)*100</f>
        <v/>
      </c>
      <c r="AU2423" s="82">
        <f>($H2423-$F2423)*100</f>
        <v/>
      </c>
      <c r="AV2423" s="82">
        <f>($J2423-$F2423)*100</f>
        <v/>
      </c>
      <c r="AW2423" s="82">
        <f>($L2423-$F2423)*100</f>
        <v/>
      </c>
      <c r="AX2423" s="82">
        <f>($J2423-$H2423)*100</f>
        <v/>
      </c>
      <c r="AY2423" s="82">
        <f>($L2423-$H2423)*100</f>
        <v/>
      </c>
      <c r="AZ2423" s="82">
        <f>($L2423-$J2423)*100</f>
        <v/>
      </c>
      <c r="BA2423" s="82">
        <f>(2*$H2423-$F2423-$J2423)*100</f>
        <v/>
      </c>
      <c r="BB2423" s="82">
        <f>(2*$J2423-$H2423-$L2423)*100</f>
        <v/>
      </c>
      <c r="BC2423" s="82">
        <f>($N2423-$F2423)*100</f>
        <v/>
      </c>
      <c r="BD2423" s="82">
        <f>($Q2423-$H2423)*100</f>
        <v/>
      </c>
      <c r="BE2423" s="82">
        <f>($S2423-$J2423)*100</f>
        <v/>
      </c>
      <c r="BF2423" s="82">
        <f>($V2423-$L2423)*100</f>
        <v/>
      </c>
      <c r="BG2423" s="82">
        <f>$AG2423-$AF2423</f>
        <v/>
      </c>
      <c r="BH2423" s="81">
        <f>IFERROR($AG2423/$AF2423,"")</f>
        <v/>
      </c>
      <c r="BI2423" s="82">
        <f>$AJ2423-$AF2423</f>
        <v/>
      </c>
      <c r="BJ2423" s="81">
        <f>IFERROR($AJ2423/$AG2423,"")</f>
        <v/>
      </c>
      <c r="BK2423" s="81">
        <f>$X2423</f>
        <v/>
      </c>
      <c r="BL2423" s="82">
        <f>($J2423-$J2424)*100</f>
        <v/>
      </c>
      <c r="BM2423" s="82">
        <f>($F2423-$F2424)*100</f>
        <v/>
      </c>
      <c r="BN2423" s="82">
        <f>$AF2423-$AF2424</f>
        <v/>
      </c>
      <c r="BO2423" s="82">
        <f>$AG2423-$AG2424</f>
        <v/>
      </c>
      <c r="BP2423" s="82">
        <f>$AJ2423-$AJ2424</f>
        <v/>
      </c>
    </row>
    <row r="2424">
      <c r="AR2424" s="81">
        <f>($G2424+($H2424-$G2424)*0.5)+($P2424-($O2424+($Q2424-$O2424)*0.5))</f>
        <v/>
      </c>
      <c r="AS2424" s="81">
        <f>($J2424+($K2424-$J2424)*0.5)+($T2424-($S2424+($U2424-$S2424)*0.5))</f>
        <v/>
      </c>
      <c r="AT2424" s="82">
        <f>($J2424-$C2424)*100</f>
        <v/>
      </c>
      <c r="AU2424" s="82">
        <f>($H2424-$F2424)*100</f>
        <v/>
      </c>
      <c r="AV2424" s="82">
        <f>($J2424-$F2424)*100</f>
        <v/>
      </c>
      <c r="AW2424" s="82">
        <f>($L2424-$F2424)*100</f>
        <v/>
      </c>
      <c r="AX2424" s="82">
        <f>($J2424-$H2424)*100</f>
        <v/>
      </c>
      <c r="AY2424" s="82">
        <f>($L2424-$H2424)*100</f>
        <v/>
      </c>
      <c r="AZ2424" s="82">
        <f>($L2424-$J2424)*100</f>
        <v/>
      </c>
      <c r="BA2424" s="82">
        <f>(2*$H2424-$F2424-$J2424)*100</f>
        <v/>
      </c>
      <c r="BB2424" s="82">
        <f>(2*$J2424-$H2424-$L2424)*100</f>
        <v/>
      </c>
      <c r="BC2424" s="82">
        <f>($N2424-$F2424)*100</f>
        <v/>
      </c>
      <c r="BD2424" s="82">
        <f>($Q2424-$H2424)*100</f>
        <v/>
      </c>
      <c r="BE2424" s="82">
        <f>($S2424-$J2424)*100</f>
        <v/>
      </c>
      <c r="BF2424" s="82">
        <f>($V2424-$L2424)*100</f>
        <v/>
      </c>
      <c r="BG2424" s="82">
        <f>$AG2424-$AF2424</f>
        <v/>
      </c>
      <c r="BH2424" s="81">
        <f>IFERROR($AG2424/$AF2424,"")</f>
        <v/>
      </c>
      <c r="BI2424" s="82">
        <f>$AJ2424-$AF2424</f>
        <v/>
      </c>
      <c r="BJ2424" s="81">
        <f>IFERROR($AJ2424/$AG2424,"")</f>
        <v/>
      </c>
      <c r="BK2424" s="81">
        <f>$X2424</f>
        <v/>
      </c>
      <c r="BL2424" s="82">
        <f>($J2424-$J2425)*100</f>
        <v/>
      </c>
      <c r="BM2424" s="82">
        <f>($F2424-$F2425)*100</f>
        <v/>
      </c>
      <c r="BN2424" s="82">
        <f>$AF2424-$AF2425</f>
        <v/>
      </c>
      <c r="BO2424" s="82">
        <f>$AG2424-$AG2425</f>
        <v/>
      </c>
      <c r="BP2424" s="82">
        <f>$AJ2424-$AJ2425</f>
        <v/>
      </c>
    </row>
    <row r="2425">
      <c r="AR2425" s="81">
        <f>($G2425+($H2425-$G2425)*0.5)+($P2425-($O2425+($Q2425-$O2425)*0.5))</f>
        <v/>
      </c>
      <c r="AS2425" s="81">
        <f>($J2425+($K2425-$J2425)*0.5)+($T2425-($S2425+($U2425-$S2425)*0.5))</f>
        <v/>
      </c>
      <c r="AT2425" s="82">
        <f>($J2425-$C2425)*100</f>
        <v/>
      </c>
      <c r="AU2425" s="82">
        <f>($H2425-$F2425)*100</f>
        <v/>
      </c>
      <c r="AV2425" s="82">
        <f>($J2425-$F2425)*100</f>
        <v/>
      </c>
      <c r="AW2425" s="82">
        <f>($L2425-$F2425)*100</f>
        <v/>
      </c>
      <c r="AX2425" s="82">
        <f>($J2425-$H2425)*100</f>
        <v/>
      </c>
      <c r="AY2425" s="82">
        <f>($L2425-$H2425)*100</f>
        <v/>
      </c>
      <c r="AZ2425" s="82">
        <f>($L2425-$J2425)*100</f>
        <v/>
      </c>
      <c r="BA2425" s="82">
        <f>(2*$H2425-$F2425-$J2425)*100</f>
        <v/>
      </c>
      <c r="BB2425" s="82">
        <f>(2*$J2425-$H2425-$L2425)*100</f>
        <v/>
      </c>
      <c r="BC2425" s="82">
        <f>($N2425-$F2425)*100</f>
        <v/>
      </c>
      <c r="BD2425" s="82">
        <f>($Q2425-$H2425)*100</f>
        <v/>
      </c>
      <c r="BE2425" s="82">
        <f>($S2425-$J2425)*100</f>
        <v/>
      </c>
      <c r="BF2425" s="82">
        <f>($V2425-$L2425)*100</f>
        <v/>
      </c>
      <c r="BG2425" s="82">
        <f>$AG2425-$AF2425</f>
        <v/>
      </c>
      <c r="BH2425" s="81">
        <f>IFERROR($AG2425/$AF2425,"")</f>
        <v/>
      </c>
      <c r="BI2425" s="82">
        <f>$AJ2425-$AF2425</f>
        <v/>
      </c>
      <c r="BJ2425" s="81">
        <f>IFERROR($AJ2425/$AG2425,"")</f>
        <v/>
      </c>
      <c r="BK2425" s="81">
        <f>$X2425</f>
        <v/>
      </c>
      <c r="BL2425" s="82">
        <f>($J2425-$J2426)*100</f>
        <v/>
      </c>
      <c r="BM2425" s="82">
        <f>($F2425-$F2426)*100</f>
        <v/>
      </c>
      <c r="BN2425" s="82">
        <f>$AF2425-$AF2426</f>
        <v/>
      </c>
      <c r="BO2425" s="82">
        <f>$AG2425-$AG2426</f>
        <v/>
      </c>
      <c r="BP2425" s="82">
        <f>$AJ2425-$AJ2426</f>
        <v/>
      </c>
    </row>
    <row r="2426">
      <c r="AR2426" s="81">
        <f>($G2426+($H2426-$G2426)*0.5)+($P2426-($O2426+($Q2426-$O2426)*0.5))</f>
        <v/>
      </c>
      <c r="AS2426" s="81">
        <f>($J2426+($K2426-$J2426)*0.5)+($T2426-($S2426+($U2426-$S2426)*0.5))</f>
        <v/>
      </c>
      <c r="AT2426" s="82">
        <f>($J2426-$C2426)*100</f>
        <v/>
      </c>
      <c r="AU2426" s="82">
        <f>($H2426-$F2426)*100</f>
        <v/>
      </c>
      <c r="AV2426" s="82">
        <f>($J2426-$F2426)*100</f>
        <v/>
      </c>
      <c r="AW2426" s="82">
        <f>($L2426-$F2426)*100</f>
        <v/>
      </c>
      <c r="AX2426" s="82">
        <f>($J2426-$H2426)*100</f>
        <v/>
      </c>
      <c r="AY2426" s="82">
        <f>($L2426-$H2426)*100</f>
        <v/>
      </c>
      <c r="AZ2426" s="82">
        <f>($L2426-$J2426)*100</f>
        <v/>
      </c>
      <c r="BA2426" s="82">
        <f>(2*$H2426-$F2426-$J2426)*100</f>
        <v/>
      </c>
      <c r="BB2426" s="82">
        <f>(2*$J2426-$H2426-$L2426)*100</f>
        <v/>
      </c>
      <c r="BC2426" s="82">
        <f>($N2426-$F2426)*100</f>
        <v/>
      </c>
      <c r="BD2426" s="82">
        <f>($Q2426-$H2426)*100</f>
        <v/>
      </c>
      <c r="BE2426" s="82">
        <f>($S2426-$J2426)*100</f>
        <v/>
      </c>
      <c r="BF2426" s="82">
        <f>($V2426-$L2426)*100</f>
        <v/>
      </c>
      <c r="BG2426" s="82">
        <f>$AG2426-$AF2426</f>
        <v/>
      </c>
      <c r="BH2426" s="81">
        <f>IFERROR($AG2426/$AF2426,"")</f>
        <v/>
      </c>
      <c r="BI2426" s="82">
        <f>$AJ2426-$AF2426</f>
        <v/>
      </c>
      <c r="BJ2426" s="81">
        <f>IFERROR($AJ2426/$AG2426,"")</f>
        <v/>
      </c>
      <c r="BK2426" s="81">
        <f>$X2426</f>
        <v/>
      </c>
      <c r="BL2426" s="82">
        <f>($J2426-$J2427)*100</f>
        <v/>
      </c>
      <c r="BM2426" s="82">
        <f>($F2426-$F2427)*100</f>
        <v/>
      </c>
      <c r="BN2426" s="82">
        <f>$AF2426-$AF2427</f>
        <v/>
      </c>
      <c r="BO2426" s="82">
        <f>$AG2426-$AG2427</f>
        <v/>
      </c>
      <c r="BP2426" s="82">
        <f>$AJ2426-$AJ2427</f>
        <v/>
      </c>
    </row>
    <row r="2427">
      <c r="AR2427" s="81">
        <f>($G2427+($H2427-$G2427)*0.5)+($P2427-($O2427+($Q2427-$O2427)*0.5))</f>
        <v/>
      </c>
      <c r="AS2427" s="81">
        <f>($J2427+($K2427-$J2427)*0.5)+($T2427-($S2427+($U2427-$S2427)*0.5))</f>
        <v/>
      </c>
      <c r="AT2427" s="82">
        <f>($J2427-$C2427)*100</f>
        <v/>
      </c>
      <c r="AU2427" s="82">
        <f>($H2427-$F2427)*100</f>
        <v/>
      </c>
      <c r="AV2427" s="82">
        <f>($J2427-$F2427)*100</f>
        <v/>
      </c>
      <c r="AW2427" s="82">
        <f>($L2427-$F2427)*100</f>
        <v/>
      </c>
      <c r="AX2427" s="82">
        <f>($J2427-$H2427)*100</f>
        <v/>
      </c>
      <c r="AY2427" s="82">
        <f>($L2427-$H2427)*100</f>
        <v/>
      </c>
      <c r="AZ2427" s="82">
        <f>($L2427-$J2427)*100</f>
        <v/>
      </c>
      <c r="BA2427" s="82">
        <f>(2*$H2427-$F2427-$J2427)*100</f>
        <v/>
      </c>
      <c r="BB2427" s="82">
        <f>(2*$J2427-$H2427-$L2427)*100</f>
        <v/>
      </c>
      <c r="BC2427" s="82">
        <f>($N2427-$F2427)*100</f>
        <v/>
      </c>
      <c r="BD2427" s="82">
        <f>($Q2427-$H2427)*100</f>
        <v/>
      </c>
      <c r="BE2427" s="82">
        <f>($S2427-$J2427)*100</f>
        <v/>
      </c>
      <c r="BF2427" s="82">
        <f>($V2427-$L2427)*100</f>
        <v/>
      </c>
      <c r="BG2427" s="82">
        <f>$AG2427-$AF2427</f>
        <v/>
      </c>
      <c r="BH2427" s="81">
        <f>IFERROR($AG2427/$AF2427,"")</f>
        <v/>
      </c>
      <c r="BI2427" s="82">
        <f>$AJ2427-$AF2427</f>
        <v/>
      </c>
      <c r="BJ2427" s="81">
        <f>IFERROR($AJ2427/$AG2427,"")</f>
        <v/>
      </c>
      <c r="BK2427" s="81">
        <f>$X2427</f>
        <v/>
      </c>
      <c r="BL2427" s="82">
        <f>($J2427-$J2428)*100</f>
        <v/>
      </c>
      <c r="BM2427" s="82">
        <f>($F2427-$F2428)*100</f>
        <v/>
      </c>
      <c r="BN2427" s="82">
        <f>$AF2427-$AF2428</f>
        <v/>
      </c>
      <c r="BO2427" s="82">
        <f>$AG2427-$AG2428</f>
        <v/>
      </c>
      <c r="BP2427" s="82">
        <f>$AJ2427-$AJ2428</f>
        <v/>
      </c>
    </row>
    <row r="2428">
      <c r="AR2428" s="81">
        <f>($G2428+($H2428-$G2428)*0.5)+($P2428-($O2428+($Q2428-$O2428)*0.5))</f>
        <v/>
      </c>
      <c r="AS2428" s="81">
        <f>($J2428+($K2428-$J2428)*0.5)+($T2428-($S2428+($U2428-$S2428)*0.5))</f>
        <v/>
      </c>
      <c r="AT2428" s="82">
        <f>($J2428-$C2428)*100</f>
        <v/>
      </c>
      <c r="AU2428" s="82">
        <f>($H2428-$F2428)*100</f>
        <v/>
      </c>
      <c r="AV2428" s="82">
        <f>($J2428-$F2428)*100</f>
        <v/>
      </c>
      <c r="AW2428" s="82">
        <f>($L2428-$F2428)*100</f>
        <v/>
      </c>
      <c r="AX2428" s="82">
        <f>($J2428-$H2428)*100</f>
        <v/>
      </c>
      <c r="AY2428" s="82">
        <f>($L2428-$H2428)*100</f>
        <v/>
      </c>
      <c r="AZ2428" s="82">
        <f>($L2428-$J2428)*100</f>
        <v/>
      </c>
      <c r="BA2428" s="82">
        <f>(2*$H2428-$F2428-$J2428)*100</f>
        <v/>
      </c>
      <c r="BB2428" s="82">
        <f>(2*$J2428-$H2428-$L2428)*100</f>
        <v/>
      </c>
      <c r="BC2428" s="82">
        <f>($N2428-$F2428)*100</f>
        <v/>
      </c>
      <c r="BD2428" s="82">
        <f>($Q2428-$H2428)*100</f>
        <v/>
      </c>
      <c r="BE2428" s="82">
        <f>($S2428-$J2428)*100</f>
        <v/>
      </c>
      <c r="BF2428" s="82">
        <f>($V2428-$L2428)*100</f>
        <v/>
      </c>
      <c r="BG2428" s="82">
        <f>$AG2428-$AF2428</f>
        <v/>
      </c>
      <c r="BH2428" s="81">
        <f>IFERROR($AG2428/$AF2428,"")</f>
        <v/>
      </c>
      <c r="BI2428" s="82">
        <f>$AJ2428-$AF2428</f>
        <v/>
      </c>
      <c r="BJ2428" s="81">
        <f>IFERROR($AJ2428/$AG2428,"")</f>
        <v/>
      </c>
      <c r="BK2428" s="81">
        <f>$X2428</f>
        <v/>
      </c>
      <c r="BL2428" s="82">
        <f>($J2428-$J2429)*100</f>
        <v/>
      </c>
      <c r="BM2428" s="82">
        <f>($F2428-$F2429)*100</f>
        <v/>
      </c>
      <c r="BN2428" s="82">
        <f>$AF2428-$AF2429</f>
        <v/>
      </c>
      <c r="BO2428" s="82">
        <f>$AG2428-$AG2429</f>
        <v/>
      </c>
      <c r="BP2428" s="82">
        <f>$AJ2428-$AJ2429</f>
        <v/>
      </c>
    </row>
    <row r="2429">
      <c r="AR2429" s="81">
        <f>($G2429+($H2429-$G2429)*0.5)+($P2429-($O2429+($Q2429-$O2429)*0.5))</f>
        <v/>
      </c>
      <c r="AS2429" s="81">
        <f>($J2429+($K2429-$J2429)*0.5)+($T2429-($S2429+($U2429-$S2429)*0.5))</f>
        <v/>
      </c>
      <c r="AT2429" s="82">
        <f>($J2429-$C2429)*100</f>
        <v/>
      </c>
      <c r="AU2429" s="82">
        <f>($H2429-$F2429)*100</f>
        <v/>
      </c>
      <c r="AV2429" s="82">
        <f>($J2429-$F2429)*100</f>
        <v/>
      </c>
      <c r="AW2429" s="82">
        <f>($L2429-$F2429)*100</f>
        <v/>
      </c>
      <c r="AX2429" s="82">
        <f>($J2429-$H2429)*100</f>
        <v/>
      </c>
      <c r="AY2429" s="82">
        <f>($L2429-$H2429)*100</f>
        <v/>
      </c>
      <c r="AZ2429" s="82">
        <f>($L2429-$J2429)*100</f>
        <v/>
      </c>
      <c r="BA2429" s="82">
        <f>(2*$H2429-$F2429-$J2429)*100</f>
        <v/>
      </c>
      <c r="BB2429" s="82">
        <f>(2*$J2429-$H2429-$L2429)*100</f>
        <v/>
      </c>
      <c r="BC2429" s="82">
        <f>($N2429-$F2429)*100</f>
        <v/>
      </c>
      <c r="BD2429" s="82">
        <f>($Q2429-$H2429)*100</f>
        <v/>
      </c>
      <c r="BE2429" s="82">
        <f>($S2429-$J2429)*100</f>
        <v/>
      </c>
      <c r="BF2429" s="82">
        <f>($V2429-$L2429)*100</f>
        <v/>
      </c>
      <c r="BG2429" s="82">
        <f>$AG2429-$AF2429</f>
        <v/>
      </c>
      <c r="BH2429" s="81">
        <f>IFERROR($AG2429/$AF2429,"")</f>
        <v/>
      </c>
      <c r="BI2429" s="82">
        <f>$AJ2429-$AF2429</f>
        <v/>
      </c>
      <c r="BJ2429" s="81">
        <f>IFERROR($AJ2429/$AG2429,"")</f>
        <v/>
      </c>
      <c r="BK2429" s="81">
        <f>$X2429</f>
        <v/>
      </c>
      <c r="BL2429" s="82">
        <f>($J2429-$J2430)*100</f>
        <v/>
      </c>
      <c r="BM2429" s="82">
        <f>($F2429-$F2430)*100</f>
        <v/>
      </c>
      <c r="BN2429" s="82">
        <f>$AF2429-$AF2430</f>
        <v/>
      </c>
      <c r="BO2429" s="82">
        <f>$AG2429-$AG2430</f>
        <v/>
      </c>
      <c r="BP2429" s="82">
        <f>$AJ2429-$AJ2430</f>
        <v/>
      </c>
    </row>
    <row r="2430">
      <c r="AR2430" s="81">
        <f>($G2430+($H2430-$G2430)*0.5)+($P2430-($O2430+($Q2430-$O2430)*0.5))</f>
        <v/>
      </c>
      <c r="AS2430" s="81">
        <f>($J2430+($K2430-$J2430)*0.5)+($T2430-($S2430+($U2430-$S2430)*0.5))</f>
        <v/>
      </c>
      <c r="AT2430" s="82">
        <f>($J2430-$C2430)*100</f>
        <v/>
      </c>
      <c r="AU2430" s="82">
        <f>($H2430-$F2430)*100</f>
        <v/>
      </c>
      <c r="AV2430" s="82">
        <f>($J2430-$F2430)*100</f>
        <v/>
      </c>
      <c r="AW2430" s="82">
        <f>($L2430-$F2430)*100</f>
        <v/>
      </c>
      <c r="AX2430" s="82">
        <f>($J2430-$H2430)*100</f>
        <v/>
      </c>
      <c r="AY2430" s="82">
        <f>($L2430-$H2430)*100</f>
        <v/>
      </c>
      <c r="AZ2430" s="82">
        <f>($L2430-$J2430)*100</f>
        <v/>
      </c>
      <c r="BA2430" s="82">
        <f>(2*$H2430-$F2430-$J2430)*100</f>
        <v/>
      </c>
      <c r="BB2430" s="82">
        <f>(2*$J2430-$H2430-$L2430)*100</f>
        <v/>
      </c>
      <c r="BC2430" s="82">
        <f>($N2430-$F2430)*100</f>
        <v/>
      </c>
      <c r="BD2430" s="82">
        <f>($Q2430-$H2430)*100</f>
        <v/>
      </c>
      <c r="BE2430" s="82">
        <f>($S2430-$J2430)*100</f>
        <v/>
      </c>
      <c r="BF2430" s="82">
        <f>($V2430-$L2430)*100</f>
        <v/>
      </c>
      <c r="BG2430" s="82">
        <f>$AG2430-$AF2430</f>
        <v/>
      </c>
      <c r="BH2430" s="81">
        <f>IFERROR($AG2430/$AF2430,"")</f>
        <v/>
      </c>
      <c r="BI2430" s="82">
        <f>$AJ2430-$AF2430</f>
        <v/>
      </c>
      <c r="BJ2430" s="81">
        <f>IFERROR($AJ2430/$AG2430,"")</f>
        <v/>
      </c>
      <c r="BK2430" s="81">
        <f>$X2430</f>
        <v/>
      </c>
      <c r="BL2430" s="82">
        <f>($J2430-$J2431)*100</f>
        <v/>
      </c>
      <c r="BM2430" s="82">
        <f>($F2430-$F2431)*100</f>
        <v/>
      </c>
      <c r="BN2430" s="82">
        <f>$AF2430-$AF2431</f>
        <v/>
      </c>
      <c r="BO2430" s="82">
        <f>$AG2430-$AG2431</f>
        <v/>
      </c>
      <c r="BP2430" s="82">
        <f>$AJ2430-$AJ2431</f>
        <v/>
      </c>
    </row>
    <row r="2431">
      <c r="AR2431" s="81">
        <f>($G2431+($H2431-$G2431)*0.5)+($P2431-($O2431+($Q2431-$O2431)*0.5))</f>
        <v/>
      </c>
      <c r="AS2431" s="81">
        <f>($J2431+($K2431-$J2431)*0.5)+($T2431-($S2431+($U2431-$S2431)*0.5))</f>
        <v/>
      </c>
      <c r="AT2431" s="82">
        <f>($J2431-$C2431)*100</f>
        <v/>
      </c>
      <c r="AU2431" s="82">
        <f>($H2431-$F2431)*100</f>
        <v/>
      </c>
      <c r="AV2431" s="82">
        <f>($J2431-$F2431)*100</f>
        <v/>
      </c>
      <c r="AW2431" s="82">
        <f>($L2431-$F2431)*100</f>
        <v/>
      </c>
      <c r="AX2431" s="82">
        <f>($J2431-$H2431)*100</f>
        <v/>
      </c>
      <c r="AY2431" s="82">
        <f>($L2431-$H2431)*100</f>
        <v/>
      </c>
      <c r="AZ2431" s="82">
        <f>($L2431-$J2431)*100</f>
        <v/>
      </c>
      <c r="BA2431" s="82">
        <f>(2*$H2431-$F2431-$J2431)*100</f>
        <v/>
      </c>
      <c r="BB2431" s="82">
        <f>(2*$J2431-$H2431-$L2431)*100</f>
        <v/>
      </c>
      <c r="BC2431" s="82">
        <f>($N2431-$F2431)*100</f>
        <v/>
      </c>
      <c r="BD2431" s="82">
        <f>($Q2431-$H2431)*100</f>
        <v/>
      </c>
      <c r="BE2431" s="82">
        <f>($S2431-$J2431)*100</f>
        <v/>
      </c>
      <c r="BF2431" s="82">
        <f>($V2431-$L2431)*100</f>
        <v/>
      </c>
      <c r="BG2431" s="82">
        <f>$AG2431-$AF2431</f>
        <v/>
      </c>
      <c r="BH2431" s="81">
        <f>IFERROR($AG2431/$AF2431,"")</f>
        <v/>
      </c>
      <c r="BI2431" s="82">
        <f>$AJ2431-$AF2431</f>
        <v/>
      </c>
      <c r="BJ2431" s="81">
        <f>IFERROR($AJ2431/$AG2431,"")</f>
        <v/>
      </c>
      <c r="BK2431" s="81">
        <f>$X2431</f>
        <v/>
      </c>
      <c r="BL2431" s="82">
        <f>($J2431-$J2432)*100</f>
        <v/>
      </c>
      <c r="BM2431" s="82">
        <f>($F2431-$F2432)*100</f>
        <v/>
      </c>
      <c r="BN2431" s="82">
        <f>$AF2431-$AF2432</f>
        <v/>
      </c>
      <c r="BO2431" s="82">
        <f>$AG2431-$AG2432</f>
        <v/>
      </c>
      <c r="BP2431" s="82">
        <f>$AJ2431-$AJ2432</f>
        <v/>
      </c>
    </row>
    <row r="2432">
      <c r="AR2432" s="81">
        <f>($G2432+($H2432-$G2432)*0.5)+($P2432-($O2432+($Q2432-$O2432)*0.5))</f>
        <v/>
      </c>
      <c r="AS2432" s="81">
        <f>($J2432+($K2432-$J2432)*0.5)+($T2432-($S2432+($U2432-$S2432)*0.5))</f>
        <v/>
      </c>
      <c r="AT2432" s="82">
        <f>($J2432-$C2432)*100</f>
        <v/>
      </c>
      <c r="AU2432" s="82">
        <f>($H2432-$F2432)*100</f>
        <v/>
      </c>
      <c r="AV2432" s="82">
        <f>($J2432-$F2432)*100</f>
        <v/>
      </c>
      <c r="AW2432" s="82">
        <f>($L2432-$F2432)*100</f>
        <v/>
      </c>
      <c r="AX2432" s="82">
        <f>($J2432-$H2432)*100</f>
        <v/>
      </c>
      <c r="AY2432" s="82">
        <f>($L2432-$H2432)*100</f>
        <v/>
      </c>
      <c r="AZ2432" s="82">
        <f>($L2432-$J2432)*100</f>
        <v/>
      </c>
      <c r="BA2432" s="82">
        <f>(2*$H2432-$F2432-$J2432)*100</f>
        <v/>
      </c>
      <c r="BB2432" s="82">
        <f>(2*$J2432-$H2432-$L2432)*100</f>
        <v/>
      </c>
      <c r="BC2432" s="82">
        <f>($N2432-$F2432)*100</f>
        <v/>
      </c>
      <c r="BD2432" s="82">
        <f>($Q2432-$H2432)*100</f>
        <v/>
      </c>
      <c r="BE2432" s="82">
        <f>($S2432-$J2432)*100</f>
        <v/>
      </c>
      <c r="BF2432" s="82">
        <f>($V2432-$L2432)*100</f>
        <v/>
      </c>
      <c r="BG2432" s="82">
        <f>$AG2432-$AF2432</f>
        <v/>
      </c>
      <c r="BH2432" s="81">
        <f>IFERROR($AG2432/$AF2432,"")</f>
        <v/>
      </c>
      <c r="BI2432" s="82">
        <f>$AJ2432-$AF2432</f>
        <v/>
      </c>
      <c r="BJ2432" s="81">
        <f>IFERROR($AJ2432/$AG2432,"")</f>
        <v/>
      </c>
      <c r="BK2432" s="81">
        <f>$X2432</f>
        <v/>
      </c>
      <c r="BL2432" s="82">
        <f>($J2432-$J2433)*100</f>
        <v/>
      </c>
      <c r="BM2432" s="82">
        <f>($F2432-$F2433)*100</f>
        <v/>
      </c>
      <c r="BN2432" s="82">
        <f>$AF2432-$AF2433</f>
        <v/>
      </c>
      <c r="BO2432" s="82">
        <f>$AG2432-$AG2433</f>
        <v/>
      </c>
      <c r="BP2432" s="82">
        <f>$AJ2432-$AJ2433</f>
        <v/>
      </c>
    </row>
    <row r="2433">
      <c r="AR2433" s="81">
        <f>($G2433+($H2433-$G2433)*0.5)+($P2433-($O2433+($Q2433-$O2433)*0.5))</f>
        <v/>
      </c>
      <c r="AS2433" s="81">
        <f>($J2433+($K2433-$J2433)*0.5)+($T2433-($S2433+($U2433-$S2433)*0.5))</f>
        <v/>
      </c>
      <c r="AT2433" s="82">
        <f>($J2433-$C2433)*100</f>
        <v/>
      </c>
      <c r="AU2433" s="82">
        <f>($H2433-$F2433)*100</f>
        <v/>
      </c>
      <c r="AV2433" s="82">
        <f>($J2433-$F2433)*100</f>
        <v/>
      </c>
      <c r="AW2433" s="82">
        <f>($L2433-$F2433)*100</f>
        <v/>
      </c>
      <c r="AX2433" s="82">
        <f>($J2433-$H2433)*100</f>
        <v/>
      </c>
      <c r="AY2433" s="82">
        <f>($L2433-$H2433)*100</f>
        <v/>
      </c>
      <c r="AZ2433" s="82">
        <f>($L2433-$J2433)*100</f>
        <v/>
      </c>
      <c r="BA2433" s="82">
        <f>(2*$H2433-$F2433-$J2433)*100</f>
        <v/>
      </c>
      <c r="BB2433" s="82">
        <f>(2*$J2433-$H2433-$L2433)*100</f>
        <v/>
      </c>
      <c r="BC2433" s="82">
        <f>($N2433-$F2433)*100</f>
        <v/>
      </c>
      <c r="BD2433" s="82">
        <f>($Q2433-$H2433)*100</f>
        <v/>
      </c>
      <c r="BE2433" s="82">
        <f>($S2433-$J2433)*100</f>
        <v/>
      </c>
      <c r="BF2433" s="82">
        <f>($V2433-$L2433)*100</f>
        <v/>
      </c>
      <c r="BG2433" s="82">
        <f>$AG2433-$AF2433</f>
        <v/>
      </c>
      <c r="BH2433" s="81">
        <f>IFERROR($AG2433/$AF2433,"")</f>
        <v/>
      </c>
      <c r="BI2433" s="82">
        <f>$AJ2433-$AF2433</f>
        <v/>
      </c>
      <c r="BJ2433" s="81">
        <f>IFERROR($AJ2433/$AG2433,"")</f>
        <v/>
      </c>
      <c r="BK2433" s="81">
        <f>$X2433</f>
        <v/>
      </c>
      <c r="BL2433" s="82">
        <f>($J2433-$J2434)*100</f>
        <v/>
      </c>
      <c r="BM2433" s="82">
        <f>($F2433-$F2434)*100</f>
        <v/>
      </c>
      <c r="BN2433" s="82">
        <f>$AF2433-$AF2434</f>
        <v/>
      </c>
      <c r="BO2433" s="82">
        <f>$AG2433-$AG2434</f>
        <v/>
      </c>
      <c r="BP2433" s="82">
        <f>$AJ2433-$AJ2434</f>
        <v/>
      </c>
    </row>
    <row r="2434">
      <c r="AR2434" s="81">
        <f>($G2434+($H2434-$G2434)*0.5)+($P2434-($O2434+($Q2434-$O2434)*0.5))</f>
        <v/>
      </c>
      <c r="AS2434" s="81">
        <f>($J2434+($K2434-$J2434)*0.5)+($T2434-($S2434+($U2434-$S2434)*0.5))</f>
        <v/>
      </c>
      <c r="AT2434" s="82">
        <f>($J2434-$C2434)*100</f>
        <v/>
      </c>
      <c r="AU2434" s="82">
        <f>($H2434-$F2434)*100</f>
        <v/>
      </c>
      <c r="AV2434" s="82">
        <f>($J2434-$F2434)*100</f>
        <v/>
      </c>
      <c r="AW2434" s="82">
        <f>($L2434-$F2434)*100</f>
        <v/>
      </c>
      <c r="AX2434" s="82">
        <f>($J2434-$H2434)*100</f>
        <v/>
      </c>
      <c r="AY2434" s="82">
        <f>($L2434-$H2434)*100</f>
        <v/>
      </c>
      <c r="AZ2434" s="82">
        <f>($L2434-$J2434)*100</f>
        <v/>
      </c>
      <c r="BA2434" s="82">
        <f>(2*$H2434-$F2434-$J2434)*100</f>
        <v/>
      </c>
      <c r="BB2434" s="82">
        <f>(2*$J2434-$H2434-$L2434)*100</f>
        <v/>
      </c>
      <c r="BC2434" s="82">
        <f>($N2434-$F2434)*100</f>
        <v/>
      </c>
      <c r="BD2434" s="82">
        <f>($Q2434-$H2434)*100</f>
        <v/>
      </c>
      <c r="BE2434" s="82">
        <f>($S2434-$J2434)*100</f>
        <v/>
      </c>
      <c r="BF2434" s="82">
        <f>($V2434-$L2434)*100</f>
        <v/>
      </c>
      <c r="BG2434" s="82">
        <f>$AG2434-$AF2434</f>
        <v/>
      </c>
      <c r="BH2434" s="81">
        <f>IFERROR($AG2434/$AF2434,"")</f>
        <v/>
      </c>
      <c r="BI2434" s="82">
        <f>$AJ2434-$AF2434</f>
        <v/>
      </c>
      <c r="BJ2434" s="81">
        <f>IFERROR($AJ2434/$AG2434,"")</f>
        <v/>
      </c>
      <c r="BK2434" s="81">
        <f>$X2434</f>
        <v/>
      </c>
      <c r="BL2434" s="82">
        <f>($J2434-$J2435)*100</f>
        <v/>
      </c>
      <c r="BM2434" s="82">
        <f>($F2434-$F2435)*100</f>
        <v/>
      </c>
      <c r="BN2434" s="82">
        <f>$AF2434-$AF2435</f>
        <v/>
      </c>
      <c r="BO2434" s="82">
        <f>$AG2434-$AG2435</f>
        <v/>
      </c>
      <c r="BP2434" s="82">
        <f>$AJ2434-$AJ2435</f>
        <v/>
      </c>
    </row>
    <row r="2435">
      <c r="AR2435" s="81">
        <f>($G2435+($H2435-$G2435)*0.5)+($P2435-($O2435+($Q2435-$O2435)*0.5))</f>
        <v/>
      </c>
      <c r="AS2435" s="81">
        <f>($J2435+($K2435-$J2435)*0.5)+($T2435-($S2435+($U2435-$S2435)*0.5))</f>
        <v/>
      </c>
      <c r="AT2435" s="82">
        <f>($J2435-$C2435)*100</f>
        <v/>
      </c>
      <c r="AU2435" s="82">
        <f>($H2435-$F2435)*100</f>
        <v/>
      </c>
      <c r="AV2435" s="82">
        <f>($J2435-$F2435)*100</f>
        <v/>
      </c>
      <c r="AW2435" s="82">
        <f>($L2435-$F2435)*100</f>
        <v/>
      </c>
      <c r="AX2435" s="82">
        <f>($J2435-$H2435)*100</f>
        <v/>
      </c>
      <c r="AY2435" s="82">
        <f>($L2435-$H2435)*100</f>
        <v/>
      </c>
      <c r="AZ2435" s="82">
        <f>($L2435-$J2435)*100</f>
        <v/>
      </c>
      <c r="BA2435" s="82">
        <f>(2*$H2435-$F2435-$J2435)*100</f>
        <v/>
      </c>
      <c r="BB2435" s="82">
        <f>(2*$J2435-$H2435-$L2435)*100</f>
        <v/>
      </c>
      <c r="BC2435" s="82">
        <f>($N2435-$F2435)*100</f>
        <v/>
      </c>
      <c r="BD2435" s="82">
        <f>($Q2435-$H2435)*100</f>
        <v/>
      </c>
      <c r="BE2435" s="82">
        <f>($S2435-$J2435)*100</f>
        <v/>
      </c>
      <c r="BF2435" s="82">
        <f>($V2435-$L2435)*100</f>
        <v/>
      </c>
      <c r="BG2435" s="82">
        <f>$AG2435-$AF2435</f>
        <v/>
      </c>
      <c r="BH2435" s="81">
        <f>IFERROR($AG2435/$AF2435,"")</f>
        <v/>
      </c>
      <c r="BI2435" s="82">
        <f>$AJ2435-$AF2435</f>
        <v/>
      </c>
      <c r="BJ2435" s="81">
        <f>IFERROR($AJ2435/$AG2435,"")</f>
        <v/>
      </c>
      <c r="BK2435" s="81">
        <f>$X2435</f>
        <v/>
      </c>
      <c r="BL2435" s="82">
        <f>($J2435-$J2436)*100</f>
        <v/>
      </c>
      <c r="BM2435" s="82">
        <f>($F2435-$F2436)*100</f>
        <v/>
      </c>
      <c r="BN2435" s="82">
        <f>$AF2435-$AF2436</f>
        <v/>
      </c>
      <c r="BO2435" s="82">
        <f>$AG2435-$AG2436</f>
        <v/>
      </c>
      <c r="BP2435" s="82">
        <f>$AJ2435-$AJ2436</f>
        <v/>
      </c>
    </row>
    <row r="2436">
      <c r="AR2436" s="81">
        <f>($G2436+($H2436-$G2436)*0.5)+($P2436-($O2436+($Q2436-$O2436)*0.5))</f>
        <v/>
      </c>
      <c r="AS2436" s="81">
        <f>($J2436+($K2436-$J2436)*0.5)+($T2436-($S2436+($U2436-$S2436)*0.5))</f>
        <v/>
      </c>
      <c r="AT2436" s="82">
        <f>($J2436-$C2436)*100</f>
        <v/>
      </c>
      <c r="AU2436" s="82">
        <f>($H2436-$F2436)*100</f>
        <v/>
      </c>
      <c r="AV2436" s="82">
        <f>($J2436-$F2436)*100</f>
        <v/>
      </c>
      <c r="AW2436" s="82">
        <f>($L2436-$F2436)*100</f>
        <v/>
      </c>
      <c r="AX2436" s="82">
        <f>($J2436-$H2436)*100</f>
        <v/>
      </c>
      <c r="AY2436" s="82">
        <f>($L2436-$H2436)*100</f>
        <v/>
      </c>
      <c r="AZ2436" s="82">
        <f>($L2436-$J2436)*100</f>
        <v/>
      </c>
      <c r="BA2436" s="82">
        <f>(2*$H2436-$F2436-$J2436)*100</f>
        <v/>
      </c>
      <c r="BB2436" s="82">
        <f>(2*$J2436-$H2436-$L2436)*100</f>
        <v/>
      </c>
      <c r="BC2436" s="82">
        <f>($N2436-$F2436)*100</f>
        <v/>
      </c>
      <c r="BD2436" s="82">
        <f>($Q2436-$H2436)*100</f>
        <v/>
      </c>
      <c r="BE2436" s="82">
        <f>($S2436-$J2436)*100</f>
        <v/>
      </c>
      <c r="BF2436" s="82">
        <f>($V2436-$L2436)*100</f>
        <v/>
      </c>
      <c r="BG2436" s="82">
        <f>$AG2436-$AF2436</f>
        <v/>
      </c>
      <c r="BH2436" s="81">
        <f>IFERROR($AG2436/$AF2436,"")</f>
        <v/>
      </c>
      <c r="BI2436" s="82">
        <f>$AJ2436-$AF2436</f>
        <v/>
      </c>
      <c r="BJ2436" s="81">
        <f>IFERROR($AJ2436/$AG2436,"")</f>
        <v/>
      </c>
      <c r="BK2436" s="81">
        <f>$X2436</f>
        <v/>
      </c>
      <c r="BL2436" s="82">
        <f>($J2436-$J2437)*100</f>
        <v/>
      </c>
      <c r="BM2436" s="82">
        <f>($F2436-$F2437)*100</f>
        <v/>
      </c>
      <c r="BN2436" s="82">
        <f>$AF2436-$AF2437</f>
        <v/>
      </c>
      <c r="BO2436" s="82">
        <f>$AG2436-$AG2437</f>
        <v/>
      </c>
      <c r="BP2436" s="82">
        <f>$AJ2436-$AJ2437</f>
        <v/>
      </c>
    </row>
    <row r="2437">
      <c r="AR2437" s="81">
        <f>($G2437+($H2437-$G2437)*0.5)+($P2437-($O2437+($Q2437-$O2437)*0.5))</f>
        <v/>
      </c>
      <c r="AS2437" s="81">
        <f>($J2437+($K2437-$J2437)*0.5)+($T2437-($S2437+($U2437-$S2437)*0.5))</f>
        <v/>
      </c>
      <c r="AT2437" s="82">
        <f>($J2437-$C2437)*100</f>
        <v/>
      </c>
      <c r="AU2437" s="82">
        <f>($H2437-$F2437)*100</f>
        <v/>
      </c>
      <c r="AV2437" s="82">
        <f>($J2437-$F2437)*100</f>
        <v/>
      </c>
      <c r="AW2437" s="82">
        <f>($L2437-$F2437)*100</f>
        <v/>
      </c>
      <c r="AX2437" s="82">
        <f>($J2437-$H2437)*100</f>
        <v/>
      </c>
      <c r="AY2437" s="82">
        <f>($L2437-$H2437)*100</f>
        <v/>
      </c>
      <c r="AZ2437" s="82">
        <f>($L2437-$J2437)*100</f>
        <v/>
      </c>
      <c r="BA2437" s="82">
        <f>(2*$H2437-$F2437-$J2437)*100</f>
        <v/>
      </c>
      <c r="BB2437" s="82">
        <f>(2*$J2437-$H2437-$L2437)*100</f>
        <v/>
      </c>
      <c r="BC2437" s="82">
        <f>($N2437-$F2437)*100</f>
        <v/>
      </c>
      <c r="BD2437" s="82">
        <f>($Q2437-$H2437)*100</f>
        <v/>
      </c>
      <c r="BE2437" s="82">
        <f>($S2437-$J2437)*100</f>
        <v/>
      </c>
      <c r="BF2437" s="82">
        <f>($V2437-$L2437)*100</f>
        <v/>
      </c>
      <c r="BG2437" s="82">
        <f>$AG2437-$AF2437</f>
        <v/>
      </c>
      <c r="BH2437" s="81">
        <f>IFERROR($AG2437/$AF2437,"")</f>
        <v/>
      </c>
      <c r="BI2437" s="82">
        <f>$AJ2437-$AF2437</f>
        <v/>
      </c>
      <c r="BJ2437" s="81">
        <f>IFERROR($AJ2437/$AG2437,"")</f>
        <v/>
      </c>
      <c r="BK2437" s="81">
        <f>$X2437</f>
        <v/>
      </c>
      <c r="BL2437" s="82">
        <f>($J2437-$J2438)*100</f>
        <v/>
      </c>
      <c r="BM2437" s="82">
        <f>($F2437-$F2438)*100</f>
        <v/>
      </c>
      <c r="BN2437" s="82">
        <f>$AF2437-$AF2438</f>
        <v/>
      </c>
      <c r="BO2437" s="82">
        <f>$AG2437-$AG2438</f>
        <v/>
      </c>
      <c r="BP2437" s="82">
        <f>$AJ2437-$AJ2438</f>
        <v/>
      </c>
    </row>
    <row r="2438">
      <c r="AR2438" s="81">
        <f>($G2438+($H2438-$G2438)*0.5)+($P2438-($O2438+($Q2438-$O2438)*0.5))</f>
        <v/>
      </c>
      <c r="AS2438" s="81">
        <f>($J2438+($K2438-$J2438)*0.5)+($T2438-($S2438+($U2438-$S2438)*0.5))</f>
        <v/>
      </c>
      <c r="AT2438" s="82">
        <f>($J2438-$C2438)*100</f>
        <v/>
      </c>
      <c r="AU2438" s="82">
        <f>($H2438-$F2438)*100</f>
        <v/>
      </c>
      <c r="AV2438" s="82">
        <f>($J2438-$F2438)*100</f>
        <v/>
      </c>
      <c r="AW2438" s="82">
        <f>($L2438-$F2438)*100</f>
        <v/>
      </c>
      <c r="AX2438" s="82">
        <f>($J2438-$H2438)*100</f>
        <v/>
      </c>
      <c r="AY2438" s="82">
        <f>($L2438-$H2438)*100</f>
        <v/>
      </c>
      <c r="AZ2438" s="82">
        <f>($L2438-$J2438)*100</f>
        <v/>
      </c>
      <c r="BA2438" s="82">
        <f>(2*$H2438-$F2438-$J2438)*100</f>
        <v/>
      </c>
      <c r="BB2438" s="82">
        <f>(2*$J2438-$H2438-$L2438)*100</f>
        <v/>
      </c>
      <c r="BC2438" s="82">
        <f>($N2438-$F2438)*100</f>
        <v/>
      </c>
      <c r="BD2438" s="82">
        <f>($Q2438-$H2438)*100</f>
        <v/>
      </c>
      <c r="BE2438" s="82">
        <f>($S2438-$J2438)*100</f>
        <v/>
      </c>
      <c r="BF2438" s="82">
        <f>($V2438-$L2438)*100</f>
        <v/>
      </c>
      <c r="BG2438" s="82">
        <f>$AG2438-$AF2438</f>
        <v/>
      </c>
      <c r="BH2438" s="81">
        <f>IFERROR($AG2438/$AF2438,"")</f>
        <v/>
      </c>
      <c r="BI2438" s="82">
        <f>$AJ2438-$AF2438</f>
        <v/>
      </c>
      <c r="BJ2438" s="81">
        <f>IFERROR($AJ2438/$AG2438,"")</f>
        <v/>
      </c>
      <c r="BK2438" s="81">
        <f>$X2438</f>
        <v/>
      </c>
      <c r="BL2438" s="82">
        <f>($J2438-$J2439)*100</f>
        <v/>
      </c>
      <c r="BM2438" s="82">
        <f>($F2438-$F2439)*100</f>
        <v/>
      </c>
      <c r="BN2438" s="82">
        <f>$AF2438-$AF2439</f>
        <v/>
      </c>
      <c r="BO2438" s="82">
        <f>$AG2438-$AG2439</f>
        <v/>
      </c>
      <c r="BP2438" s="82">
        <f>$AJ2438-$AJ2439</f>
        <v/>
      </c>
    </row>
    <row r="2439">
      <c r="AR2439" s="81">
        <f>($G2439+($H2439-$G2439)*0.5)+($P2439-($O2439+($Q2439-$O2439)*0.5))</f>
        <v/>
      </c>
      <c r="AS2439" s="81">
        <f>($J2439+($K2439-$J2439)*0.5)+($T2439-($S2439+($U2439-$S2439)*0.5))</f>
        <v/>
      </c>
      <c r="AT2439" s="82">
        <f>($J2439-$C2439)*100</f>
        <v/>
      </c>
      <c r="AU2439" s="82">
        <f>($H2439-$F2439)*100</f>
        <v/>
      </c>
      <c r="AV2439" s="82">
        <f>($J2439-$F2439)*100</f>
        <v/>
      </c>
      <c r="AW2439" s="82">
        <f>($L2439-$F2439)*100</f>
        <v/>
      </c>
      <c r="AX2439" s="82">
        <f>($J2439-$H2439)*100</f>
        <v/>
      </c>
      <c r="AY2439" s="82">
        <f>($L2439-$H2439)*100</f>
        <v/>
      </c>
      <c r="AZ2439" s="82">
        <f>($L2439-$J2439)*100</f>
        <v/>
      </c>
      <c r="BA2439" s="82">
        <f>(2*$H2439-$F2439-$J2439)*100</f>
        <v/>
      </c>
      <c r="BB2439" s="82">
        <f>(2*$J2439-$H2439-$L2439)*100</f>
        <v/>
      </c>
      <c r="BC2439" s="82">
        <f>($N2439-$F2439)*100</f>
        <v/>
      </c>
      <c r="BD2439" s="82">
        <f>($Q2439-$H2439)*100</f>
        <v/>
      </c>
      <c r="BE2439" s="82">
        <f>($S2439-$J2439)*100</f>
        <v/>
      </c>
      <c r="BF2439" s="82">
        <f>($V2439-$L2439)*100</f>
        <v/>
      </c>
      <c r="BG2439" s="82">
        <f>$AG2439-$AF2439</f>
        <v/>
      </c>
      <c r="BH2439" s="81">
        <f>IFERROR($AG2439/$AF2439,"")</f>
        <v/>
      </c>
      <c r="BI2439" s="82">
        <f>$AJ2439-$AF2439</f>
        <v/>
      </c>
      <c r="BJ2439" s="81">
        <f>IFERROR($AJ2439/$AG2439,"")</f>
        <v/>
      </c>
      <c r="BK2439" s="81">
        <f>$X2439</f>
        <v/>
      </c>
      <c r="BL2439" s="82">
        <f>($J2439-$J2440)*100</f>
        <v/>
      </c>
      <c r="BM2439" s="82">
        <f>($F2439-$F2440)*100</f>
        <v/>
      </c>
      <c r="BN2439" s="82">
        <f>$AF2439-$AF2440</f>
        <v/>
      </c>
      <c r="BO2439" s="82">
        <f>$AG2439-$AG2440</f>
        <v/>
      </c>
      <c r="BP2439" s="82">
        <f>$AJ2439-$AJ2440</f>
        <v/>
      </c>
    </row>
    <row r="2440">
      <c r="AR2440" s="81">
        <f>($G2440+($H2440-$G2440)*0.5)+($P2440-($O2440+($Q2440-$O2440)*0.5))</f>
        <v/>
      </c>
      <c r="AS2440" s="81">
        <f>($J2440+($K2440-$J2440)*0.5)+($T2440-($S2440+($U2440-$S2440)*0.5))</f>
        <v/>
      </c>
      <c r="AT2440" s="82">
        <f>($J2440-$C2440)*100</f>
        <v/>
      </c>
      <c r="AU2440" s="82">
        <f>($H2440-$F2440)*100</f>
        <v/>
      </c>
      <c r="AV2440" s="82">
        <f>($J2440-$F2440)*100</f>
        <v/>
      </c>
      <c r="AW2440" s="82">
        <f>($L2440-$F2440)*100</f>
        <v/>
      </c>
      <c r="AX2440" s="82">
        <f>($J2440-$H2440)*100</f>
        <v/>
      </c>
      <c r="AY2440" s="82">
        <f>($L2440-$H2440)*100</f>
        <v/>
      </c>
      <c r="AZ2440" s="82">
        <f>($L2440-$J2440)*100</f>
        <v/>
      </c>
      <c r="BA2440" s="82">
        <f>(2*$H2440-$F2440-$J2440)*100</f>
        <v/>
      </c>
      <c r="BB2440" s="82">
        <f>(2*$J2440-$H2440-$L2440)*100</f>
        <v/>
      </c>
      <c r="BC2440" s="82">
        <f>($N2440-$F2440)*100</f>
        <v/>
      </c>
      <c r="BD2440" s="82">
        <f>($Q2440-$H2440)*100</f>
        <v/>
      </c>
      <c r="BE2440" s="82">
        <f>($S2440-$J2440)*100</f>
        <v/>
      </c>
      <c r="BF2440" s="82">
        <f>($V2440-$L2440)*100</f>
        <v/>
      </c>
      <c r="BG2440" s="82">
        <f>$AG2440-$AF2440</f>
        <v/>
      </c>
      <c r="BH2440" s="81">
        <f>IFERROR($AG2440/$AF2440,"")</f>
        <v/>
      </c>
      <c r="BI2440" s="82">
        <f>$AJ2440-$AF2440</f>
        <v/>
      </c>
      <c r="BJ2440" s="81">
        <f>IFERROR($AJ2440/$AG2440,"")</f>
        <v/>
      </c>
      <c r="BK2440" s="81">
        <f>$X2440</f>
        <v/>
      </c>
      <c r="BL2440" s="82">
        <f>($J2440-$J2441)*100</f>
        <v/>
      </c>
      <c r="BM2440" s="82">
        <f>($F2440-$F2441)*100</f>
        <v/>
      </c>
      <c r="BN2440" s="82">
        <f>$AF2440-$AF2441</f>
        <v/>
      </c>
      <c r="BO2440" s="82">
        <f>$AG2440-$AG2441</f>
        <v/>
      </c>
      <c r="BP2440" s="82">
        <f>$AJ2440-$AJ2441</f>
        <v/>
      </c>
    </row>
    <row r="2441">
      <c r="AR2441" s="81">
        <f>($G2441+($H2441-$G2441)*0.5)+($P2441-($O2441+($Q2441-$O2441)*0.5))</f>
        <v/>
      </c>
      <c r="AS2441" s="81">
        <f>($J2441+($K2441-$J2441)*0.5)+($T2441-($S2441+($U2441-$S2441)*0.5))</f>
        <v/>
      </c>
      <c r="AT2441" s="82">
        <f>($J2441-$C2441)*100</f>
        <v/>
      </c>
      <c r="AU2441" s="82">
        <f>($H2441-$F2441)*100</f>
        <v/>
      </c>
      <c r="AV2441" s="82">
        <f>($J2441-$F2441)*100</f>
        <v/>
      </c>
      <c r="AW2441" s="82">
        <f>($L2441-$F2441)*100</f>
        <v/>
      </c>
      <c r="AX2441" s="82">
        <f>($J2441-$H2441)*100</f>
        <v/>
      </c>
      <c r="AY2441" s="82">
        <f>($L2441-$H2441)*100</f>
        <v/>
      </c>
      <c r="AZ2441" s="82">
        <f>($L2441-$J2441)*100</f>
        <v/>
      </c>
      <c r="BA2441" s="82">
        <f>(2*$H2441-$F2441-$J2441)*100</f>
        <v/>
      </c>
      <c r="BB2441" s="82">
        <f>(2*$J2441-$H2441-$L2441)*100</f>
        <v/>
      </c>
      <c r="BC2441" s="82">
        <f>($N2441-$F2441)*100</f>
        <v/>
      </c>
      <c r="BD2441" s="82">
        <f>($Q2441-$H2441)*100</f>
        <v/>
      </c>
      <c r="BE2441" s="82">
        <f>($S2441-$J2441)*100</f>
        <v/>
      </c>
      <c r="BF2441" s="82">
        <f>($V2441-$L2441)*100</f>
        <v/>
      </c>
      <c r="BG2441" s="82">
        <f>$AG2441-$AF2441</f>
        <v/>
      </c>
      <c r="BH2441" s="81">
        <f>IFERROR($AG2441/$AF2441,"")</f>
        <v/>
      </c>
      <c r="BI2441" s="82">
        <f>$AJ2441-$AF2441</f>
        <v/>
      </c>
      <c r="BJ2441" s="81">
        <f>IFERROR($AJ2441/$AG2441,"")</f>
        <v/>
      </c>
      <c r="BK2441" s="81">
        <f>$X2441</f>
        <v/>
      </c>
      <c r="BL2441" s="82">
        <f>($J2441-$J2442)*100</f>
        <v/>
      </c>
      <c r="BM2441" s="82">
        <f>($F2441-$F2442)*100</f>
        <v/>
      </c>
      <c r="BN2441" s="82">
        <f>$AF2441-$AF2442</f>
        <v/>
      </c>
      <c r="BO2441" s="82">
        <f>$AG2441-$AG2442</f>
        <v/>
      </c>
      <c r="BP2441" s="82">
        <f>$AJ2441-$AJ2442</f>
        <v/>
      </c>
    </row>
    <row r="2442">
      <c r="AR2442" s="81">
        <f>($G2442+($H2442-$G2442)*0.5)+($P2442-($O2442+($Q2442-$O2442)*0.5))</f>
        <v/>
      </c>
      <c r="AS2442" s="81">
        <f>($J2442+($K2442-$J2442)*0.5)+($T2442-($S2442+($U2442-$S2442)*0.5))</f>
        <v/>
      </c>
      <c r="AT2442" s="82">
        <f>($J2442-$C2442)*100</f>
        <v/>
      </c>
      <c r="AU2442" s="82">
        <f>($H2442-$F2442)*100</f>
        <v/>
      </c>
      <c r="AV2442" s="82">
        <f>($J2442-$F2442)*100</f>
        <v/>
      </c>
      <c r="AW2442" s="82">
        <f>($L2442-$F2442)*100</f>
        <v/>
      </c>
      <c r="AX2442" s="82">
        <f>($J2442-$H2442)*100</f>
        <v/>
      </c>
      <c r="AY2442" s="82">
        <f>($L2442-$H2442)*100</f>
        <v/>
      </c>
      <c r="AZ2442" s="82">
        <f>($L2442-$J2442)*100</f>
        <v/>
      </c>
      <c r="BA2442" s="82">
        <f>(2*$H2442-$F2442-$J2442)*100</f>
        <v/>
      </c>
      <c r="BB2442" s="82">
        <f>(2*$J2442-$H2442-$L2442)*100</f>
        <v/>
      </c>
      <c r="BC2442" s="82">
        <f>($N2442-$F2442)*100</f>
        <v/>
      </c>
      <c r="BD2442" s="82">
        <f>($Q2442-$H2442)*100</f>
        <v/>
      </c>
      <c r="BE2442" s="82">
        <f>($S2442-$J2442)*100</f>
        <v/>
      </c>
      <c r="BF2442" s="82">
        <f>($V2442-$L2442)*100</f>
        <v/>
      </c>
      <c r="BG2442" s="82">
        <f>$AG2442-$AF2442</f>
        <v/>
      </c>
      <c r="BH2442" s="81">
        <f>IFERROR($AG2442/$AF2442,"")</f>
        <v/>
      </c>
      <c r="BI2442" s="82">
        <f>$AJ2442-$AF2442</f>
        <v/>
      </c>
      <c r="BJ2442" s="81">
        <f>IFERROR($AJ2442/$AG2442,"")</f>
        <v/>
      </c>
      <c r="BK2442" s="81">
        <f>$X2442</f>
        <v/>
      </c>
      <c r="BL2442" s="82">
        <f>($J2442-$J2443)*100</f>
        <v/>
      </c>
      <c r="BM2442" s="82">
        <f>($F2442-$F2443)*100</f>
        <v/>
      </c>
      <c r="BN2442" s="82">
        <f>$AF2442-$AF2443</f>
        <v/>
      </c>
      <c r="BO2442" s="82">
        <f>$AG2442-$AG2443</f>
        <v/>
      </c>
      <c r="BP2442" s="82">
        <f>$AJ2442-$AJ2443</f>
        <v/>
      </c>
    </row>
    <row r="2443">
      <c r="AR2443" s="81">
        <f>($G2443+($H2443-$G2443)*0.5)+($P2443-($O2443+($Q2443-$O2443)*0.5))</f>
        <v/>
      </c>
      <c r="AS2443" s="81">
        <f>($J2443+($K2443-$J2443)*0.5)+($T2443-($S2443+($U2443-$S2443)*0.5))</f>
        <v/>
      </c>
      <c r="AT2443" s="82">
        <f>($J2443-$C2443)*100</f>
        <v/>
      </c>
      <c r="AU2443" s="82">
        <f>($H2443-$F2443)*100</f>
        <v/>
      </c>
      <c r="AV2443" s="82">
        <f>($J2443-$F2443)*100</f>
        <v/>
      </c>
      <c r="AW2443" s="82">
        <f>($L2443-$F2443)*100</f>
        <v/>
      </c>
      <c r="AX2443" s="82">
        <f>($J2443-$H2443)*100</f>
        <v/>
      </c>
      <c r="AY2443" s="82">
        <f>($L2443-$H2443)*100</f>
        <v/>
      </c>
      <c r="AZ2443" s="82">
        <f>($L2443-$J2443)*100</f>
        <v/>
      </c>
      <c r="BA2443" s="82">
        <f>(2*$H2443-$F2443-$J2443)*100</f>
        <v/>
      </c>
      <c r="BB2443" s="82">
        <f>(2*$J2443-$H2443-$L2443)*100</f>
        <v/>
      </c>
      <c r="BC2443" s="82">
        <f>($N2443-$F2443)*100</f>
        <v/>
      </c>
      <c r="BD2443" s="82">
        <f>($Q2443-$H2443)*100</f>
        <v/>
      </c>
      <c r="BE2443" s="82">
        <f>($S2443-$J2443)*100</f>
        <v/>
      </c>
      <c r="BF2443" s="82">
        <f>($V2443-$L2443)*100</f>
        <v/>
      </c>
      <c r="BG2443" s="82">
        <f>$AG2443-$AF2443</f>
        <v/>
      </c>
      <c r="BH2443" s="81">
        <f>IFERROR($AG2443/$AF2443,"")</f>
        <v/>
      </c>
      <c r="BI2443" s="82">
        <f>$AJ2443-$AF2443</f>
        <v/>
      </c>
      <c r="BJ2443" s="81">
        <f>IFERROR($AJ2443/$AG2443,"")</f>
        <v/>
      </c>
      <c r="BK2443" s="81">
        <f>$X2443</f>
        <v/>
      </c>
      <c r="BL2443" s="82">
        <f>($J2443-$J2444)*100</f>
        <v/>
      </c>
      <c r="BM2443" s="82">
        <f>($F2443-$F2444)*100</f>
        <v/>
      </c>
      <c r="BN2443" s="82">
        <f>$AF2443-$AF2444</f>
        <v/>
      </c>
      <c r="BO2443" s="82">
        <f>$AG2443-$AG2444</f>
        <v/>
      </c>
      <c r="BP2443" s="82">
        <f>$AJ2443-$AJ2444</f>
        <v/>
      </c>
    </row>
    <row r="2444">
      <c r="AR2444" s="81">
        <f>($G2444+($H2444-$G2444)*0.5)+($P2444-($O2444+($Q2444-$O2444)*0.5))</f>
        <v/>
      </c>
      <c r="AS2444" s="81">
        <f>($J2444+($K2444-$J2444)*0.5)+($T2444-($S2444+($U2444-$S2444)*0.5))</f>
        <v/>
      </c>
      <c r="AT2444" s="82">
        <f>($J2444-$C2444)*100</f>
        <v/>
      </c>
      <c r="AU2444" s="82">
        <f>($H2444-$F2444)*100</f>
        <v/>
      </c>
      <c r="AV2444" s="82">
        <f>($J2444-$F2444)*100</f>
        <v/>
      </c>
      <c r="AW2444" s="82">
        <f>($L2444-$F2444)*100</f>
        <v/>
      </c>
      <c r="AX2444" s="82">
        <f>($J2444-$H2444)*100</f>
        <v/>
      </c>
      <c r="AY2444" s="82">
        <f>($L2444-$H2444)*100</f>
        <v/>
      </c>
      <c r="AZ2444" s="82">
        <f>($L2444-$J2444)*100</f>
        <v/>
      </c>
      <c r="BA2444" s="82">
        <f>(2*$H2444-$F2444-$J2444)*100</f>
        <v/>
      </c>
      <c r="BB2444" s="82">
        <f>(2*$J2444-$H2444-$L2444)*100</f>
        <v/>
      </c>
      <c r="BC2444" s="82">
        <f>($N2444-$F2444)*100</f>
        <v/>
      </c>
      <c r="BD2444" s="82">
        <f>($Q2444-$H2444)*100</f>
        <v/>
      </c>
      <c r="BE2444" s="82">
        <f>($S2444-$J2444)*100</f>
        <v/>
      </c>
      <c r="BF2444" s="82">
        <f>($V2444-$L2444)*100</f>
        <v/>
      </c>
      <c r="BG2444" s="82">
        <f>$AG2444-$AF2444</f>
        <v/>
      </c>
      <c r="BH2444" s="81">
        <f>IFERROR($AG2444/$AF2444,"")</f>
        <v/>
      </c>
      <c r="BI2444" s="82">
        <f>$AJ2444-$AF2444</f>
        <v/>
      </c>
      <c r="BJ2444" s="81">
        <f>IFERROR($AJ2444/$AG2444,"")</f>
        <v/>
      </c>
      <c r="BK2444" s="81">
        <f>$X2444</f>
        <v/>
      </c>
      <c r="BL2444" s="82">
        <f>($J2444-$J2445)*100</f>
        <v/>
      </c>
      <c r="BM2444" s="82">
        <f>($F2444-$F2445)*100</f>
        <v/>
      </c>
      <c r="BN2444" s="82">
        <f>$AF2444-$AF2445</f>
        <v/>
      </c>
      <c r="BO2444" s="82">
        <f>$AG2444-$AG2445</f>
        <v/>
      </c>
      <c r="BP2444" s="82">
        <f>$AJ2444-$AJ2445</f>
        <v/>
      </c>
    </row>
    <row r="2445">
      <c r="AR2445" s="81">
        <f>($G2445+($H2445-$G2445)*0.5)+($P2445-($O2445+($Q2445-$O2445)*0.5))</f>
        <v/>
      </c>
      <c r="AS2445" s="81">
        <f>($J2445+($K2445-$J2445)*0.5)+($T2445-($S2445+($U2445-$S2445)*0.5))</f>
        <v/>
      </c>
      <c r="AT2445" s="82">
        <f>($J2445-$C2445)*100</f>
        <v/>
      </c>
      <c r="AU2445" s="82">
        <f>($H2445-$F2445)*100</f>
        <v/>
      </c>
      <c r="AV2445" s="82">
        <f>($J2445-$F2445)*100</f>
        <v/>
      </c>
      <c r="AW2445" s="82">
        <f>($L2445-$F2445)*100</f>
        <v/>
      </c>
      <c r="AX2445" s="82">
        <f>($J2445-$H2445)*100</f>
        <v/>
      </c>
      <c r="AY2445" s="82">
        <f>($L2445-$H2445)*100</f>
        <v/>
      </c>
      <c r="AZ2445" s="82">
        <f>($L2445-$J2445)*100</f>
        <v/>
      </c>
      <c r="BA2445" s="82">
        <f>(2*$H2445-$F2445-$J2445)*100</f>
        <v/>
      </c>
      <c r="BB2445" s="82">
        <f>(2*$J2445-$H2445-$L2445)*100</f>
        <v/>
      </c>
      <c r="BC2445" s="82">
        <f>($N2445-$F2445)*100</f>
        <v/>
      </c>
      <c r="BD2445" s="82">
        <f>($Q2445-$H2445)*100</f>
        <v/>
      </c>
      <c r="BE2445" s="82">
        <f>($S2445-$J2445)*100</f>
        <v/>
      </c>
      <c r="BF2445" s="82">
        <f>($V2445-$L2445)*100</f>
        <v/>
      </c>
      <c r="BG2445" s="82">
        <f>$AG2445-$AF2445</f>
        <v/>
      </c>
      <c r="BH2445" s="81">
        <f>IFERROR($AG2445/$AF2445,"")</f>
        <v/>
      </c>
      <c r="BI2445" s="82">
        <f>$AJ2445-$AF2445</f>
        <v/>
      </c>
      <c r="BJ2445" s="81">
        <f>IFERROR($AJ2445/$AG2445,"")</f>
        <v/>
      </c>
      <c r="BK2445" s="81">
        <f>$X2445</f>
        <v/>
      </c>
      <c r="BL2445" s="82">
        <f>($J2445-$J2446)*100</f>
        <v/>
      </c>
      <c r="BM2445" s="82">
        <f>($F2445-$F2446)*100</f>
        <v/>
      </c>
      <c r="BN2445" s="82">
        <f>$AF2445-$AF2446</f>
        <v/>
      </c>
      <c r="BO2445" s="82">
        <f>$AG2445-$AG2446</f>
        <v/>
      </c>
      <c r="BP2445" s="82">
        <f>$AJ2445-$AJ2446</f>
        <v/>
      </c>
    </row>
    <row r="2446">
      <c r="AR2446" s="81">
        <f>($G2446+($H2446-$G2446)*0.5)+($P2446-($O2446+($Q2446-$O2446)*0.5))</f>
        <v/>
      </c>
      <c r="AS2446" s="81">
        <f>($J2446+($K2446-$J2446)*0.5)+($T2446-($S2446+($U2446-$S2446)*0.5))</f>
        <v/>
      </c>
      <c r="AT2446" s="82">
        <f>($J2446-$C2446)*100</f>
        <v/>
      </c>
      <c r="AU2446" s="82">
        <f>($H2446-$F2446)*100</f>
        <v/>
      </c>
      <c r="AV2446" s="82">
        <f>($J2446-$F2446)*100</f>
        <v/>
      </c>
      <c r="AW2446" s="82">
        <f>($L2446-$F2446)*100</f>
        <v/>
      </c>
      <c r="AX2446" s="82">
        <f>($J2446-$H2446)*100</f>
        <v/>
      </c>
      <c r="AY2446" s="82">
        <f>($L2446-$H2446)*100</f>
        <v/>
      </c>
      <c r="AZ2446" s="82">
        <f>($L2446-$J2446)*100</f>
        <v/>
      </c>
      <c r="BA2446" s="82">
        <f>(2*$H2446-$F2446-$J2446)*100</f>
        <v/>
      </c>
      <c r="BB2446" s="82">
        <f>(2*$J2446-$H2446-$L2446)*100</f>
        <v/>
      </c>
      <c r="BC2446" s="82">
        <f>($N2446-$F2446)*100</f>
        <v/>
      </c>
      <c r="BD2446" s="82">
        <f>($Q2446-$H2446)*100</f>
        <v/>
      </c>
      <c r="BE2446" s="82">
        <f>($S2446-$J2446)*100</f>
        <v/>
      </c>
      <c r="BF2446" s="82">
        <f>($V2446-$L2446)*100</f>
        <v/>
      </c>
      <c r="BG2446" s="82">
        <f>$AG2446-$AF2446</f>
        <v/>
      </c>
      <c r="BH2446" s="81">
        <f>IFERROR($AG2446/$AF2446,"")</f>
        <v/>
      </c>
      <c r="BI2446" s="82">
        <f>$AJ2446-$AF2446</f>
        <v/>
      </c>
      <c r="BJ2446" s="81">
        <f>IFERROR($AJ2446/$AG2446,"")</f>
        <v/>
      </c>
      <c r="BK2446" s="81">
        <f>$X2446</f>
        <v/>
      </c>
      <c r="BL2446" s="82">
        <f>($J2446-$J2447)*100</f>
        <v/>
      </c>
      <c r="BM2446" s="82">
        <f>($F2446-$F2447)*100</f>
        <v/>
      </c>
      <c r="BN2446" s="82">
        <f>$AF2446-$AF2447</f>
        <v/>
      </c>
      <c r="BO2446" s="82">
        <f>$AG2446-$AG2447</f>
        <v/>
      </c>
      <c r="BP2446" s="82">
        <f>$AJ2446-$AJ2447</f>
        <v/>
      </c>
    </row>
    <row r="2447">
      <c r="AR2447" s="81">
        <f>($G2447+($H2447-$G2447)*0.5)+($P2447-($O2447+($Q2447-$O2447)*0.5))</f>
        <v/>
      </c>
      <c r="AS2447" s="81">
        <f>($J2447+($K2447-$J2447)*0.5)+($T2447-($S2447+($U2447-$S2447)*0.5))</f>
        <v/>
      </c>
      <c r="AT2447" s="82">
        <f>($J2447-$C2447)*100</f>
        <v/>
      </c>
      <c r="AU2447" s="82">
        <f>($H2447-$F2447)*100</f>
        <v/>
      </c>
      <c r="AV2447" s="82">
        <f>($J2447-$F2447)*100</f>
        <v/>
      </c>
      <c r="AW2447" s="82">
        <f>($L2447-$F2447)*100</f>
        <v/>
      </c>
      <c r="AX2447" s="82">
        <f>($J2447-$H2447)*100</f>
        <v/>
      </c>
      <c r="AY2447" s="82">
        <f>($L2447-$H2447)*100</f>
        <v/>
      </c>
      <c r="AZ2447" s="82">
        <f>($L2447-$J2447)*100</f>
        <v/>
      </c>
      <c r="BA2447" s="82">
        <f>(2*$H2447-$F2447-$J2447)*100</f>
        <v/>
      </c>
      <c r="BB2447" s="82">
        <f>(2*$J2447-$H2447-$L2447)*100</f>
        <v/>
      </c>
      <c r="BC2447" s="82">
        <f>($N2447-$F2447)*100</f>
        <v/>
      </c>
      <c r="BD2447" s="82">
        <f>($Q2447-$H2447)*100</f>
        <v/>
      </c>
      <c r="BE2447" s="82">
        <f>($S2447-$J2447)*100</f>
        <v/>
      </c>
      <c r="BF2447" s="82">
        <f>($V2447-$L2447)*100</f>
        <v/>
      </c>
      <c r="BG2447" s="82">
        <f>$AG2447-$AF2447</f>
        <v/>
      </c>
      <c r="BH2447" s="81">
        <f>IFERROR($AG2447/$AF2447,"")</f>
        <v/>
      </c>
      <c r="BI2447" s="82">
        <f>$AJ2447-$AF2447</f>
        <v/>
      </c>
      <c r="BJ2447" s="81">
        <f>IFERROR($AJ2447/$AG2447,"")</f>
        <v/>
      </c>
      <c r="BK2447" s="81">
        <f>$X2447</f>
        <v/>
      </c>
      <c r="BL2447" s="82">
        <f>($J2447-$J2448)*100</f>
        <v/>
      </c>
      <c r="BM2447" s="82">
        <f>($F2447-$F2448)*100</f>
        <v/>
      </c>
      <c r="BN2447" s="82">
        <f>$AF2447-$AF2448</f>
        <v/>
      </c>
      <c r="BO2447" s="82">
        <f>$AG2447-$AG2448</f>
        <v/>
      </c>
      <c r="BP2447" s="82">
        <f>$AJ2447-$AJ2448</f>
        <v/>
      </c>
    </row>
    <row r="2448">
      <c r="AR2448" s="81">
        <f>($G2448+($H2448-$G2448)*0.5)+($P2448-($O2448+($Q2448-$O2448)*0.5))</f>
        <v/>
      </c>
      <c r="AS2448" s="81">
        <f>($J2448+($K2448-$J2448)*0.5)+($T2448-($S2448+($U2448-$S2448)*0.5))</f>
        <v/>
      </c>
      <c r="AT2448" s="82">
        <f>($J2448-$C2448)*100</f>
        <v/>
      </c>
      <c r="AU2448" s="82">
        <f>($H2448-$F2448)*100</f>
        <v/>
      </c>
      <c r="AV2448" s="82">
        <f>($J2448-$F2448)*100</f>
        <v/>
      </c>
      <c r="AW2448" s="82">
        <f>($L2448-$F2448)*100</f>
        <v/>
      </c>
      <c r="AX2448" s="82">
        <f>($J2448-$H2448)*100</f>
        <v/>
      </c>
      <c r="AY2448" s="82">
        <f>($L2448-$H2448)*100</f>
        <v/>
      </c>
      <c r="AZ2448" s="82">
        <f>($L2448-$J2448)*100</f>
        <v/>
      </c>
      <c r="BA2448" s="82">
        <f>(2*$H2448-$F2448-$J2448)*100</f>
        <v/>
      </c>
      <c r="BB2448" s="82">
        <f>(2*$J2448-$H2448-$L2448)*100</f>
        <v/>
      </c>
      <c r="BC2448" s="82">
        <f>($N2448-$F2448)*100</f>
        <v/>
      </c>
      <c r="BD2448" s="82">
        <f>($Q2448-$H2448)*100</f>
        <v/>
      </c>
      <c r="BE2448" s="82">
        <f>($S2448-$J2448)*100</f>
        <v/>
      </c>
      <c r="BF2448" s="82">
        <f>($V2448-$L2448)*100</f>
        <v/>
      </c>
      <c r="BG2448" s="82">
        <f>$AG2448-$AF2448</f>
        <v/>
      </c>
      <c r="BH2448" s="81">
        <f>IFERROR($AG2448/$AF2448,"")</f>
        <v/>
      </c>
      <c r="BI2448" s="82">
        <f>$AJ2448-$AF2448</f>
        <v/>
      </c>
      <c r="BJ2448" s="81">
        <f>IFERROR($AJ2448/$AG2448,"")</f>
        <v/>
      </c>
      <c r="BK2448" s="81">
        <f>$X2448</f>
        <v/>
      </c>
      <c r="BL2448" s="82">
        <f>($J2448-$J2449)*100</f>
        <v/>
      </c>
      <c r="BM2448" s="82">
        <f>($F2448-$F2449)*100</f>
        <v/>
      </c>
      <c r="BN2448" s="82">
        <f>$AF2448-$AF2449</f>
        <v/>
      </c>
      <c r="BO2448" s="82">
        <f>$AG2448-$AG2449</f>
        <v/>
      </c>
      <c r="BP2448" s="82">
        <f>$AJ2448-$AJ2449</f>
        <v/>
      </c>
    </row>
    <row r="2449">
      <c r="AR2449" s="81">
        <f>($G2449+($H2449-$G2449)*0.5)+($P2449-($O2449+($Q2449-$O2449)*0.5))</f>
        <v/>
      </c>
      <c r="AS2449" s="81">
        <f>($J2449+($K2449-$J2449)*0.5)+($T2449-($S2449+($U2449-$S2449)*0.5))</f>
        <v/>
      </c>
      <c r="AT2449" s="82">
        <f>($J2449-$C2449)*100</f>
        <v/>
      </c>
      <c r="AU2449" s="82">
        <f>($H2449-$F2449)*100</f>
        <v/>
      </c>
      <c r="AV2449" s="82">
        <f>($J2449-$F2449)*100</f>
        <v/>
      </c>
      <c r="AW2449" s="82">
        <f>($L2449-$F2449)*100</f>
        <v/>
      </c>
      <c r="AX2449" s="82">
        <f>($J2449-$H2449)*100</f>
        <v/>
      </c>
      <c r="AY2449" s="82">
        <f>($L2449-$H2449)*100</f>
        <v/>
      </c>
      <c r="AZ2449" s="82">
        <f>($L2449-$J2449)*100</f>
        <v/>
      </c>
      <c r="BA2449" s="82">
        <f>(2*$H2449-$F2449-$J2449)*100</f>
        <v/>
      </c>
      <c r="BB2449" s="82">
        <f>(2*$J2449-$H2449-$L2449)*100</f>
        <v/>
      </c>
      <c r="BC2449" s="82">
        <f>($N2449-$F2449)*100</f>
        <v/>
      </c>
      <c r="BD2449" s="82">
        <f>($Q2449-$H2449)*100</f>
        <v/>
      </c>
      <c r="BE2449" s="82">
        <f>($S2449-$J2449)*100</f>
        <v/>
      </c>
      <c r="BF2449" s="82">
        <f>($V2449-$L2449)*100</f>
        <v/>
      </c>
      <c r="BG2449" s="82">
        <f>$AG2449-$AF2449</f>
        <v/>
      </c>
      <c r="BH2449" s="81">
        <f>IFERROR($AG2449/$AF2449,"")</f>
        <v/>
      </c>
      <c r="BI2449" s="82">
        <f>$AJ2449-$AF2449</f>
        <v/>
      </c>
      <c r="BJ2449" s="81">
        <f>IFERROR($AJ2449/$AG2449,"")</f>
        <v/>
      </c>
      <c r="BK2449" s="81">
        <f>$X2449</f>
        <v/>
      </c>
      <c r="BL2449" s="82">
        <f>($J2449-$J2450)*100</f>
        <v/>
      </c>
      <c r="BM2449" s="82">
        <f>($F2449-$F2450)*100</f>
        <v/>
      </c>
      <c r="BN2449" s="82">
        <f>$AF2449-$AF2450</f>
        <v/>
      </c>
      <c r="BO2449" s="82">
        <f>$AG2449-$AG2450</f>
        <v/>
      </c>
      <c r="BP2449" s="82">
        <f>$AJ2449-$AJ2450</f>
        <v/>
      </c>
    </row>
    <row r="2450">
      <c r="AR2450" s="81">
        <f>($G2450+($H2450-$G2450)*0.5)+($P2450-($O2450+($Q2450-$O2450)*0.5))</f>
        <v/>
      </c>
      <c r="AS2450" s="81">
        <f>($J2450+($K2450-$J2450)*0.5)+($T2450-($S2450+($U2450-$S2450)*0.5))</f>
        <v/>
      </c>
      <c r="AT2450" s="82">
        <f>($J2450-$C2450)*100</f>
        <v/>
      </c>
      <c r="AU2450" s="82">
        <f>($H2450-$F2450)*100</f>
        <v/>
      </c>
      <c r="AV2450" s="82">
        <f>($J2450-$F2450)*100</f>
        <v/>
      </c>
      <c r="AW2450" s="82">
        <f>($L2450-$F2450)*100</f>
        <v/>
      </c>
      <c r="AX2450" s="82">
        <f>($J2450-$H2450)*100</f>
        <v/>
      </c>
      <c r="AY2450" s="82">
        <f>($L2450-$H2450)*100</f>
        <v/>
      </c>
      <c r="AZ2450" s="82">
        <f>($L2450-$J2450)*100</f>
        <v/>
      </c>
      <c r="BA2450" s="82">
        <f>(2*$H2450-$F2450-$J2450)*100</f>
        <v/>
      </c>
      <c r="BB2450" s="82">
        <f>(2*$J2450-$H2450-$L2450)*100</f>
        <v/>
      </c>
      <c r="BC2450" s="82">
        <f>($N2450-$F2450)*100</f>
        <v/>
      </c>
      <c r="BD2450" s="82">
        <f>($Q2450-$H2450)*100</f>
        <v/>
      </c>
      <c r="BE2450" s="82">
        <f>($S2450-$J2450)*100</f>
        <v/>
      </c>
      <c r="BF2450" s="82">
        <f>($V2450-$L2450)*100</f>
        <v/>
      </c>
      <c r="BG2450" s="82">
        <f>$AG2450-$AF2450</f>
        <v/>
      </c>
      <c r="BH2450" s="81">
        <f>IFERROR($AG2450/$AF2450,"")</f>
        <v/>
      </c>
      <c r="BI2450" s="82">
        <f>$AJ2450-$AF2450</f>
        <v/>
      </c>
      <c r="BJ2450" s="81">
        <f>IFERROR($AJ2450/$AG2450,"")</f>
        <v/>
      </c>
      <c r="BK2450" s="81">
        <f>$X2450</f>
        <v/>
      </c>
      <c r="BL2450" s="82">
        <f>($J2450-$J2451)*100</f>
        <v/>
      </c>
      <c r="BM2450" s="82">
        <f>($F2450-$F2451)*100</f>
        <v/>
      </c>
      <c r="BN2450" s="82">
        <f>$AF2450-$AF2451</f>
        <v/>
      </c>
      <c r="BO2450" s="82">
        <f>$AG2450-$AG2451</f>
        <v/>
      </c>
      <c r="BP2450" s="82">
        <f>$AJ2450-$AJ2451</f>
        <v/>
      </c>
    </row>
    <row r="2451">
      <c r="AR2451" s="81">
        <f>($G2451+($H2451-$G2451)*0.5)+($P2451-($O2451+($Q2451-$O2451)*0.5))</f>
        <v/>
      </c>
      <c r="AS2451" s="81">
        <f>($J2451+($K2451-$J2451)*0.5)+($T2451-($S2451+($U2451-$S2451)*0.5))</f>
        <v/>
      </c>
      <c r="AT2451" s="82">
        <f>($J2451-$C2451)*100</f>
        <v/>
      </c>
      <c r="AU2451" s="82">
        <f>($H2451-$F2451)*100</f>
        <v/>
      </c>
      <c r="AV2451" s="82">
        <f>($J2451-$F2451)*100</f>
        <v/>
      </c>
      <c r="AW2451" s="82">
        <f>($L2451-$F2451)*100</f>
        <v/>
      </c>
      <c r="AX2451" s="82">
        <f>($J2451-$H2451)*100</f>
        <v/>
      </c>
      <c r="AY2451" s="82">
        <f>($L2451-$H2451)*100</f>
        <v/>
      </c>
      <c r="AZ2451" s="82">
        <f>($L2451-$J2451)*100</f>
        <v/>
      </c>
      <c r="BA2451" s="82">
        <f>(2*$H2451-$F2451-$J2451)*100</f>
        <v/>
      </c>
      <c r="BB2451" s="82">
        <f>(2*$J2451-$H2451-$L2451)*100</f>
        <v/>
      </c>
      <c r="BC2451" s="82">
        <f>($N2451-$F2451)*100</f>
        <v/>
      </c>
      <c r="BD2451" s="82">
        <f>($Q2451-$H2451)*100</f>
        <v/>
      </c>
      <c r="BE2451" s="82">
        <f>($S2451-$J2451)*100</f>
        <v/>
      </c>
      <c r="BF2451" s="82">
        <f>($V2451-$L2451)*100</f>
        <v/>
      </c>
      <c r="BG2451" s="82">
        <f>$AG2451-$AF2451</f>
        <v/>
      </c>
      <c r="BH2451" s="81">
        <f>IFERROR($AG2451/$AF2451,"")</f>
        <v/>
      </c>
      <c r="BI2451" s="82">
        <f>$AJ2451-$AF2451</f>
        <v/>
      </c>
      <c r="BJ2451" s="81">
        <f>IFERROR($AJ2451/$AG2451,"")</f>
        <v/>
      </c>
      <c r="BK2451" s="81">
        <f>$X2451</f>
        <v/>
      </c>
      <c r="BL2451" s="82">
        <f>($J2451-$J2452)*100</f>
        <v/>
      </c>
      <c r="BM2451" s="82">
        <f>($F2451-$F2452)*100</f>
        <v/>
      </c>
      <c r="BN2451" s="82">
        <f>$AF2451-$AF2452</f>
        <v/>
      </c>
      <c r="BO2451" s="82">
        <f>$AG2451-$AG2452</f>
        <v/>
      </c>
      <c r="BP2451" s="82">
        <f>$AJ2451-$AJ2452</f>
        <v/>
      </c>
    </row>
    <row r="2452">
      <c r="AR2452" s="81">
        <f>($G2452+($H2452-$G2452)*0.5)+($P2452-($O2452+($Q2452-$O2452)*0.5))</f>
        <v/>
      </c>
      <c r="AS2452" s="81">
        <f>($J2452+($K2452-$J2452)*0.5)+($T2452-($S2452+($U2452-$S2452)*0.5))</f>
        <v/>
      </c>
      <c r="AT2452" s="82">
        <f>($J2452-$C2452)*100</f>
        <v/>
      </c>
      <c r="AU2452" s="82">
        <f>($H2452-$F2452)*100</f>
        <v/>
      </c>
      <c r="AV2452" s="82">
        <f>($J2452-$F2452)*100</f>
        <v/>
      </c>
      <c r="AW2452" s="82">
        <f>($L2452-$F2452)*100</f>
        <v/>
      </c>
      <c r="AX2452" s="82">
        <f>($J2452-$H2452)*100</f>
        <v/>
      </c>
      <c r="AY2452" s="82">
        <f>($L2452-$H2452)*100</f>
        <v/>
      </c>
      <c r="AZ2452" s="82">
        <f>($L2452-$J2452)*100</f>
        <v/>
      </c>
      <c r="BA2452" s="82">
        <f>(2*$H2452-$F2452-$J2452)*100</f>
        <v/>
      </c>
      <c r="BB2452" s="82">
        <f>(2*$J2452-$H2452-$L2452)*100</f>
        <v/>
      </c>
      <c r="BC2452" s="82">
        <f>($N2452-$F2452)*100</f>
        <v/>
      </c>
      <c r="BD2452" s="82">
        <f>($Q2452-$H2452)*100</f>
        <v/>
      </c>
      <c r="BE2452" s="82">
        <f>($S2452-$J2452)*100</f>
        <v/>
      </c>
      <c r="BF2452" s="82">
        <f>($V2452-$L2452)*100</f>
        <v/>
      </c>
      <c r="BG2452" s="82">
        <f>$AG2452-$AF2452</f>
        <v/>
      </c>
      <c r="BH2452" s="81">
        <f>IFERROR($AG2452/$AF2452,"")</f>
        <v/>
      </c>
      <c r="BI2452" s="82">
        <f>$AJ2452-$AF2452</f>
        <v/>
      </c>
      <c r="BJ2452" s="81">
        <f>IFERROR($AJ2452/$AG2452,"")</f>
        <v/>
      </c>
      <c r="BK2452" s="81">
        <f>$X2452</f>
        <v/>
      </c>
      <c r="BL2452" s="82">
        <f>($J2452-$J2453)*100</f>
        <v/>
      </c>
      <c r="BM2452" s="82">
        <f>($F2452-$F2453)*100</f>
        <v/>
      </c>
      <c r="BN2452" s="82">
        <f>$AF2452-$AF2453</f>
        <v/>
      </c>
      <c r="BO2452" s="82">
        <f>$AG2452-$AG2453</f>
        <v/>
      </c>
      <c r="BP2452" s="82">
        <f>$AJ2452-$AJ2453</f>
        <v/>
      </c>
    </row>
    <row r="2453">
      <c r="AR2453" s="81">
        <f>($G2453+($H2453-$G2453)*0.5)+($P2453-($O2453+($Q2453-$O2453)*0.5))</f>
        <v/>
      </c>
      <c r="AS2453" s="81">
        <f>($J2453+($K2453-$J2453)*0.5)+($T2453-($S2453+($U2453-$S2453)*0.5))</f>
        <v/>
      </c>
      <c r="AT2453" s="82">
        <f>($J2453-$C2453)*100</f>
        <v/>
      </c>
      <c r="AU2453" s="82">
        <f>($H2453-$F2453)*100</f>
        <v/>
      </c>
      <c r="AV2453" s="82">
        <f>($J2453-$F2453)*100</f>
        <v/>
      </c>
      <c r="AW2453" s="82">
        <f>($L2453-$F2453)*100</f>
        <v/>
      </c>
      <c r="AX2453" s="82">
        <f>($J2453-$H2453)*100</f>
        <v/>
      </c>
      <c r="AY2453" s="82">
        <f>($L2453-$H2453)*100</f>
        <v/>
      </c>
      <c r="AZ2453" s="82">
        <f>($L2453-$J2453)*100</f>
        <v/>
      </c>
      <c r="BA2453" s="82">
        <f>(2*$H2453-$F2453-$J2453)*100</f>
        <v/>
      </c>
      <c r="BB2453" s="82">
        <f>(2*$J2453-$H2453-$L2453)*100</f>
        <v/>
      </c>
      <c r="BC2453" s="82">
        <f>($N2453-$F2453)*100</f>
        <v/>
      </c>
      <c r="BD2453" s="82">
        <f>($Q2453-$H2453)*100</f>
        <v/>
      </c>
      <c r="BE2453" s="82">
        <f>($S2453-$J2453)*100</f>
        <v/>
      </c>
      <c r="BF2453" s="82">
        <f>($V2453-$L2453)*100</f>
        <v/>
      </c>
      <c r="BG2453" s="82">
        <f>$AG2453-$AF2453</f>
        <v/>
      </c>
      <c r="BH2453" s="81">
        <f>IFERROR($AG2453/$AF2453,"")</f>
        <v/>
      </c>
      <c r="BI2453" s="82">
        <f>$AJ2453-$AF2453</f>
        <v/>
      </c>
      <c r="BJ2453" s="81">
        <f>IFERROR($AJ2453/$AG2453,"")</f>
        <v/>
      </c>
      <c r="BK2453" s="81">
        <f>$X2453</f>
        <v/>
      </c>
      <c r="BL2453" s="82">
        <f>($J2453-$J2454)*100</f>
        <v/>
      </c>
      <c r="BM2453" s="82">
        <f>($F2453-$F2454)*100</f>
        <v/>
      </c>
      <c r="BN2453" s="82">
        <f>$AF2453-$AF2454</f>
        <v/>
      </c>
      <c r="BO2453" s="82">
        <f>$AG2453-$AG2454</f>
        <v/>
      </c>
      <c r="BP2453" s="82">
        <f>$AJ2453-$AJ2454</f>
        <v/>
      </c>
    </row>
    <row r="2454">
      <c r="AR2454" s="81">
        <f>($G2454+($H2454-$G2454)*0.5)+($P2454-($O2454+($Q2454-$O2454)*0.5))</f>
        <v/>
      </c>
      <c r="AS2454" s="81">
        <f>($J2454+($K2454-$J2454)*0.5)+($T2454-($S2454+($U2454-$S2454)*0.5))</f>
        <v/>
      </c>
      <c r="AT2454" s="82">
        <f>($J2454-$C2454)*100</f>
        <v/>
      </c>
      <c r="AU2454" s="82">
        <f>($H2454-$F2454)*100</f>
        <v/>
      </c>
      <c r="AV2454" s="82">
        <f>($J2454-$F2454)*100</f>
        <v/>
      </c>
      <c r="AW2454" s="82">
        <f>($L2454-$F2454)*100</f>
        <v/>
      </c>
      <c r="AX2454" s="82">
        <f>($J2454-$H2454)*100</f>
        <v/>
      </c>
      <c r="AY2454" s="82">
        <f>($L2454-$H2454)*100</f>
        <v/>
      </c>
      <c r="AZ2454" s="82">
        <f>($L2454-$J2454)*100</f>
        <v/>
      </c>
      <c r="BA2454" s="82">
        <f>(2*$H2454-$F2454-$J2454)*100</f>
        <v/>
      </c>
      <c r="BB2454" s="82">
        <f>(2*$J2454-$H2454-$L2454)*100</f>
        <v/>
      </c>
      <c r="BC2454" s="82">
        <f>($N2454-$F2454)*100</f>
        <v/>
      </c>
      <c r="BD2454" s="82">
        <f>($Q2454-$H2454)*100</f>
        <v/>
      </c>
      <c r="BE2454" s="82">
        <f>($S2454-$J2454)*100</f>
        <v/>
      </c>
      <c r="BF2454" s="82">
        <f>($V2454-$L2454)*100</f>
        <v/>
      </c>
      <c r="BG2454" s="82">
        <f>$AG2454-$AF2454</f>
        <v/>
      </c>
      <c r="BH2454" s="81">
        <f>IFERROR($AG2454/$AF2454,"")</f>
        <v/>
      </c>
      <c r="BI2454" s="82">
        <f>$AJ2454-$AF2454</f>
        <v/>
      </c>
      <c r="BJ2454" s="81">
        <f>IFERROR($AJ2454/$AG2454,"")</f>
        <v/>
      </c>
      <c r="BK2454" s="81">
        <f>$X2454</f>
        <v/>
      </c>
      <c r="BL2454" s="82">
        <f>($J2454-$J2455)*100</f>
        <v/>
      </c>
      <c r="BM2454" s="82">
        <f>($F2454-$F2455)*100</f>
        <v/>
      </c>
      <c r="BN2454" s="82">
        <f>$AF2454-$AF2455</f>
        <v/>
      </c>
      <c r="BO2454" s="82">
        <f>$AG2454-$AG2455</f>
        <v/>
      </c>
      <c r="BP2454" s="82">
        <f>$AJ2454-$AJ2455</f>
        <v/>
      </c>
    </row>
    <row r="2455">
      <c r="AR2455" s="81">
        <f>($G2455+($H2455-$G2455)*0.5)+($P2455-($O2455+($Q2455-$O2455)*0.5))</f>
        <v/>
      </c>
      <c r="AS2455" s="81">
        <f>($J2455+($K2455-$J2455)*0.5)+($T2455-($S2455+($U2455-$S2455)*0.5))</f>
        <v/>
      </c>
      <c r="AT2455" s="82">
        <f>($J2455-$C2455)*100</f>
        <v/>
      </c>
      <c r="AU2455" s="82">
        <f>($H2455-$F2455)*100</f>
        <v/>
      </c>
      <c r="AV2455" s="82">
        <f>($J2455-$F2455)*100</f>
        <v/>
      </c>
      <c r="AW2455" s="82">
        <f>($L2455-$F2455)*100</f>
        <v/>
      </c>
      <c r="AX2455" s="82">
        <f>($J2455-$H2455)*100</f>
        <v/>
      </c>
      <c r="AY2455" s="82">
        <f>($L2455-$H2455)*100</f>
        <v/>
      </c>
      <c r="AZ2455" s="82">
        <f>($L2455-$J2455)*100</f>
        <v/>
      </c>
      <c r="BA2455" s="82">
        <f>(2*$H2455-$F2455-$J2455)*100</f>
        <v/>
      </c>
      <c r="BB2455" s="82">
        <f>(2*$J2455-$H2455-$L2455)*100</f>
        <v/>
      </c>
      <c r="BC2455" s="82">
        <f>($N2455-$F2455)*100</f>
        <v/>
      </c>
      <c r="BD2455" s="82">
        <f>($Q2455-$H2455)*100</f>
        <v/>
      </c>
      <c r="BE2455" s="82">
        <f>($S2455-$J2455)*100</f>
        <v/>
      </c>
      <c r="BF2455" s="82">
        <f>($V2455-$L2455)*100</f>
        <v/>
      </c>
      <c r="BG2455" s="82">
        <f>$AG2455-$AF2455</f>
        <v/>
      </c>
      <c r="BH2455" s="81">
        <f>IFERROR($AG2455/$AF2455,"")</f>
        <v/>
      </c>
      <c r="BI2455" s="82">
        <f>$AJ2455-$AF2455</f>
        <v/>
      </c>
      <c r="BJ2455" s="81">
        <f>IFERROR($AJ2455/$AG2455,"")</f>
        <v/>
      </c>
      <c r="BK2455" s="81">
        <f>$X2455</f>
        <v/>
      </c>
      <c r="BL2455" s="82">
        <f>($J2455-$J2456)*100</f>
        <v/>
      </c>
      <c r="BM2455" s="82">
        <f>($F2455-$F2456)*100</f>
        <v/>
      </c>
      <c r="BN2455" s="82">
        <f>$AF2455-$AF2456</f>
        <v/>
      </c>
      <c r="BO2455" s="82">
        <f>$AG2455-$AG2456</f>
        <v/>
      </c>
      <c r="BP2455" s="82">
        <f>$AJ2455-$AJ2456</f>
        <v/>
      </c>
    </row>
    <row r="2456">
      <c r="AR2456" s="81">
        <f>($G2456+($H2456-$G2456)*0.5)+($P2456-($O2456+($Q2456-$O2456)*0.5))</f>
        <v/>
      </c>
      <c r="AS2456" s="81">
        <f>($J2456+($K2456-$J2456)*0.5)+($T2456-($S2456+($U2456-$S2456)*0.5))</f>
        <v/>
      </c>
      <c r="AT2456" s="82">
        <f>($J2456-$C2456)*100</f>
        <v/>
      </c>
      <c r="AU2456" s="82">
        <f>($H2456-$F2456)*100</f>
        <v/>
      </c>
      <c r="AV2456" s="82">
        <f>($J2456-$F2456)*100</f>
        <v/>
      </c>
      <c r="AW2456" s="82">
        <f>($L2456-$F2456)*100</f>
        <v/>
      </c>
      <c r="AX2456" s="82">
        <f>($J2456-$H2456)*100</f>
        <v/>
      </c>
      <c r="AY2456" s="82">
        <f>($L2456-$H2456)*100</f>
        <v/>
      </c>
      <c r="AZ2456" s="82">
        <f>($L2456-$J2456)*100</f>
        <v/>
      </c>
      <c r="BA2456" s="82">
        <f>(2*$H2456-$F2456-$J2456)*100</f>
        <v/>
      </c>
      <c r="BB2456" s="82">
        <f>(2*$J2456-$H2456-$L2456)*100</f>
        <v/>
      </c>
      <c r="BC2456" s="82">
        <f>($N2456-$F2456)*100</f>
        <v/>
      </c>
      <c r="BD2456" s="82">
        <f>($Q2456-$H2456)*100</f>
        <v/>
      </c>
      <c r="BE2456" s="82">
        <f>($S2456-$J2456)*100</f>
        <v/>
      </c>
      <c r="BF2456" s="82">
        <f>($V2456-$L2456)*100</f>
        <v/>
      </c>
      <c r="BG2456" s="82">
        <f>$AG2456-$AF2456</f>
        <v/>
      </c>
      <c r="BH2456" s="81">
        <f>IFERROR($AG2456/$AF2456,"")</f>
        <v/>
      </c>
      <c r="BI2456" s="82">
        <f>$AJ2456-$AF2456</f>
        <v/>
      </c>
      <c r="BJ2456" s="81">
        <f>IFERROR($AJ2456/$AG2456,"")</f>
        <v/>
      </c>
      <c r="BK2456" s="81">
        <f>$X2456</f>
        <v/>
      </c>
      <c r="BL2456" s="82">
        <f>($J2456-$J2457)*100</f>
        <v/>
      </c>
      <c r="BM2456" s="82">
        <f>($F2456-$F2457)*100</f>
        <v/>
      </c>
      <c r="BN2456" s="82">
        <f>$AF2456-$AF2457</f>
        <v/>
      </c>
      <c r="BO2456" s="82">
        <f>$AG2456-$AG2457</f>
        <v/>
      </c>
      <c r="BP2456" s="82">
        <f>$AJ2456-$AJ2457</f>
        <v/>
      </c>
    </row>
    <row r="2457">
      <c r="AR2457" s="81">
        <f>($G2457+($H2457-$G2457)*0.5)+($P2457-($O2457+($Q2457-$O2457)*0.5))</f>
        <v/>
      </c>
      <c r="AS2457" s="81">
        <f>($J2457+($K2457-$J2457)*0.5)+($T2457-($S2457+($U2457-$S2457)*0.5))</f>
        <v/>
      </c>
      <c r="AT2457" s="82">
        <f>($J2457-$C2457)*100</f>
        <v/>
      </c>
      <c r="AU2457" s="82">
        <f>($H2457-$F2457)*100</f>
        <v/>
      </c>
      <c r="AV2457" s="82">
        <f>($J2457-$F2457)*100</f>
        <v/>
      </c>
      <c r="AW2457" s="82">
        <f>($L2457-$F2457)*100</f>
        <v/>
      </c>
      <c r="AX2457" s="82">
        <f>($J2457-$H2457)*100</f>
        <v/>
      </c>
      <c r="AY2457" s="82">
        <f>($L2457-$H2457)*100</f>
        <v/>
      </c>
      <c r="AZ2457" s="82">
        <f>($L2457-$J2457)*100</f>
        <v/>
      </c>
      <c r="BA2457" s="82">
        <f>(2*$H2457-$F2457-$J2457)*100</f>
        <v/>
      </c>
      <c r="BB2457" s="82">
        <f>(2*$J2457-$H2457-$L2457)*100</f>
        <v/>
      </c>
      <c r="BC2457" s="82">
        <f>($N2457-$F2457)*100</f>
        <v/>
      </c>
      <c r="BD2457" s="82">
        <f>($Q2457-$H2457)*100</f>
        <v/>
      </c>
      <c r="BE2457" s="82">
        <f>($S2457-$J2457)*100</f>
        <v/>
      </c>
      <c r="BF2457" s="82">
        <f>($V2457-$L2457)*100</f>
        <v/>
      </c>
      <c r="BG2457" s="82">
        <f>$AG2457-$AF2457</f>
        <v/>
      </c>
      <c r="BH2457" s="81">
        <f>IFERROR($AG2457/$AF2457,"")</f>
        <v/>
      </c>
      <c r="BI2457" s="82">
        <f>$AJ2457-$AF2457</f>
        <v/>
      </c>
      <c r="BJ2457" s="81">
        <f>IFERROR($AJ2457/$AG2457,"")</f>
        <v/>
      </c>
      <c r="BK2457" s="81">
        <f>$X2457</f>
        <v/>
      </c>
      <c r="BL2457" s="82">
        <f>($J2457-$J2458)*100</f>
        <v/>
      </c>
      <c r="BM2457" s="82">
        <f>($F2457-$F2458)*100</f>
        <v/>
      </c>
      <c r="BN2457" s="82">
        <f>$AF2457-$AF2458</f>
        <v/>
      </c>
      <c r="BO2457" s="82">
        <f>$AG2457-$AG2458</f>
        <v/>
      </c>
      <c r="BP2457" s="82">
        <f>$AJ2457-$AJ2458</f>
        <v/>
      </c>
    </row>
    <row r="2458">
      <c r="AR2458" s="81">
        <f>($G2458+($H2458-$G2458)*0.5)+($P2458-($O2458+($Q2458-$O2458)*0.5))</f>
        <v/>
      </c>
      <c r="AS2458" s="81">
        <f>($J2458+($K2458-$J2458)*0.5)+($T2458-($S2458+($U2458-$S2458)*0.5))</f>
        <v/>
      </c>
      <c r="AT2458" s="82">
        <f>($J2458-$C2458)*100</f>
        <v/>
      </c>
      <c r="AU2458" s="82">
        <f>($H2458-$F2458)*100</f>
        <v/>
      </c>
      <c r="AV2458" s="82">
        <f>($J2458-$F2458)*100</f>
        <v/>
      </c>
      <c r="AW2458" s="82">
        <f>($L2458-$F2458)*100</f>
        <v/>
      </c>
      <c r="AX2458" s="82">
        <f>($J2458-$H2458)*100</f>
        <v/>
      </c>
      <c r="AY2458" s="82">
        <f>($L2458-$H2458)*100</f>
        <v/>
      </c>
      <c r="AZ2458" s="82">
        <f>($L2458-$J2458)*100</f>
        <v/>
      </c>
      <c r="BA2458" s="82">
        <f>(2*$H2458-$F2458-$J2458)*100</f>
        <v/>
      </c>
      <c r="BB2458" s="82">
        <f>(2*$J2458-$H2458-$L2458)*100</f>
        <v/>
      </c>
      <c r="BC2458" s="82">
        <f>($N2458-$F2458)*100</f>
        <v/>
      </c>
      <c r="BD2458" s="82">
        <f>($Q2458-$H2458)*100</f>
        <v/>
      </c>
      <c r="BE2458" s="82">
        <f>($S2458-$J2458)*100</f>
        <v/>
      </c>
      <c r="BF2458" s="82">
        <f>($V2458-$L2458)*100</f>
        <v/>
      </c>
      <c r="BG2458" s="82">
        <f>$AG2458-$AF2458</f>
        <v/>
      </c>
      <c r="BH2458" s="81">
        <f>IFERROR($AG2458/$AF2458,"")</f>
        <v/>
      </c>
      <c r="BI2458" s="82">
        <f>$AJ2458-$AF2458</f>
        <v/>
      </c>
      <c r="BJ2458" s="81">
        <f>IFERROR($AJ2458/$AG2458,"")</f>
        <v/>
      </c>
      <c r="BK2458" s="81">
        <f>$X2458</f>
        <v/>
      </c>
      <c r="BL2458" s="82">
        <f>($J2458-$J2459)*100</f>
        <v/>
      </c>
      <c r="BM2458" s="82">
        <f>($F2458-$F2459)*100</f>
        <v/>
      </c>
      <c r="BN2458" s="82">
        <f>$AF2458-$AF2459</f>
        <v/>
      </c>
      <c r="BO2458" s="82">
        <f>$AG2458-$AG2459</f>
        <v/>
      </c>
      <c r="BP2458" s="82">
        <f>$AJ2458-$AJ2459</f>
        <v/>
      </c>
    </row>
    <row r="2459">
      <c r="AR2459" s="81">
        <f>($G2459+($H2459-$G2459)*0.5)+($P2459-($O2459+($Q2459-$O2459)*0.5))</f>
        <v/>
      </c>
      <c r="AS2459" s="81">
        <f>($J2459+($K2459-$J2459)*0.5)+($T2459-($S2459+($U2459-$S2459)*0.5))</f>
        <v/>
      </c>
      <c r="AT2459" s="82">
        <f>($J2459-$C2459)*100</f>
        <v/>
      </c>
      <c r="AU2459" s="82">
        <f>($H2459-$F2459)*100</f>
        <v/>
      </c>
      <c r="AV2459" s="82">
        <f>($J2459-$F2459)*100</f>
        <v/>
      </c>
      <c r="AW2459" s="82">
        <f>($L2459-$F2459)*100</f>
        <v/>
      </c>
      <c r="AX2459" s="82">
        <f>($J2459-$H2459)*100</f>
        <v/>
      </c>
      <c r="AY2459" s="82">
        <f>($L2459-$H2459)*100</f>
        <v/>
      </c>
      <c r="AZ2459" s="82">
        <f>($L2459-$J2459)*100</f>
        <v/>
      </c>
      <c r="BA2459" s="82">
        <f>(2*$H2459-$F2459-$J2459)*100</f>
        <v/>
      </c>
      <c r="BB2459" s="82">
        <f>(2*$J2459-$H2459-$L2459)*100</f>
        <v/>
      </c>
      <c r="BC2459" s="82">
        <f>($N2459-$F2459)*100</f>
        <v/>
      </c>
      <c r="BD2459" s="82">
        <f>($Q2459-$H2459)*100</f>
        <v/>
      </c>
      <c r="BE2459" s="82">
        <f>($S2459-$J2459)*100</f>
        <v/>
      </c>
      <c r="BF2459" s="82">
        <f>($V2459-$L2459)*100</f>
        <v/>
      </c>
      <c r="BG2459" s="82">
        <f>$AG2459-$AF2459</f>
        <v/>
      </c>
      <c r="BH2459" s="81">
        <f>IFERROR($AG2459/$AF2459,"")</f>
        <v/>
      </c>
      <c r="BI2459" s="82">
        <f>$AJ2459-$AF2459</f>
        <v/>
      </c>
      <c r="BJ2459" s="81">
        <f>IFERROR($AJ2459/$AG2459,"")</f>
        <v/>
      </c>
      <c r="BK2459" s="81">
        <f>$X2459</f>
        <v/>
      </c>
      <c r="BL2459" s="82">
        <f>($J2459-$J2460)*100</f>
        <v/>
      </c>
      <c r="BM2459" s="82">
        <f>($F2459-$F2460)*100</f>
        <v/>
      </c>
      <c r="BN2459" s="82">
        <f>$AF2459-$AF2460</f>
        <v/>
      </c>
      <c r="BO2459" s="82">
        <f>$AG2459-$AG2460</f>
        <v/>
      </c>
      <c r="BP2459" s="82">
        <f>$AJ2459-$AJ2460</f>
        <v/>
      </c>
    </row>
    <row r="2460">
      <c r="AR2460" s="81">
        <f>($G2460+($H2460-$G2460)*0.5)+($P2460-($O2460+($Q2460-$O2460)*0.5))</f>
        <v/>
      </c>
      <c r="AS2460" s="81">
        <f>($J2460+($K2460-$J2460)*0.5)+($T2460-($S2460+($U2460-$S2460)*0.5))</f>
        <v/>
      </c>
      <c r="AT2460" s="82">
        <f>($J2460-$C2460)*100</f>
        <v/>
      </c>
      <c r="AU2460" s="82">
        <f>($H2460-$F2460)*100</f>
        <v/>
      </c>
      <c r="AV2460" s="82">
        <f>($J2460-$F2460)*100</f>
        <v/>
      </c>
      <c r="AW2460" s="82">
        <f>($L2460-$F2460)*100</f>
        <v/>
      </c>
      <c r="AX2460" s="82">
        <f>($J2460-$H2460)*100</f>
        <v/>
      </c>
      <c r="AY2460" s="82">
        <f>($L2460-$H2460)*100</f>
        <v/>
      </c>
      <c r="AZ2460" s="82">
        <f>($L2460-$J2460)*100</f>
        <v/>
      </c>
      <c r="BA2460" s="82">
        <f>(2*$H2460-$F2460-$J2460)*100</f>
        <v/>
      </c>
      <c r="BB2460" s="82">
        <f>(2*$J2460-$H2460-$L2460)*100</f>
        <v/>
      </c>
      <c r="BC2460" s="82">
        <f>($N2460-$F2460)*100</f>
        <v/>
      </c>
      <c r="BD2460" s="82">
        <f>($Q2460-$H2460)*100</f>
        <v/>
      </c>
      <c r="BE2460" s="82">
        <f>($S2460-$J2460)*100</f>
        <v/>
      </c>
      <c r="BF2460" s="82">
        <f>($V2460-$L2460)*100</f>
        <v/>
      </c>
      <c r="BG2460" s="82">
        <f>$AG2460-$AF2460</f>
        <v/>
      </c>
      <c r="BH2460" s="81">
        <f>IFERROR($AG2460/$AF2460,"")</f>
        <v/>
      </c>
      <c r="BI2460" s="82">
        <f>$AJ2460-$AF2460</f>
        <v/>
      </c>
      <c r="BJ2460" s="81">
        <f>IFERROR($AJ2460/$AG2460,"")</f>
        <v/>
      </c>
      <c r="BK2460" s="81">
        <f>$X2460</f>
        <v/>
      </c>
      <c r="BL2460" s="82">
        <f>($J2460-$J2461)*100</f>
        <v/>
      </c>
      <c r="BM2460" s="82">
        <f>($F2460-$F2461)*100</f>
        <v/>
      </c>
      <c r="BN2460" s="82">
        <f>$AF2460-$AF2461</f>
        <v/>
      </c>
      <c r="BO2460" s="82">
        <f>$AG2460-$AG2461</f>
        <v/>
      </c>
      <c r="BP2460" s="82">
        <f>$AJ2460-$AJ2461</f>
        <v/>
      </c>
    </row>
    <row r="2461">
      <c r="AR2461" s="81">
        <f>($G2461+($H2461-$G2461)*0.5)+($P2461-($O2461+($Q2461-$O2461)*0.5))</f>
        <v/>
      </c>
      <c r="AS2461" s="81">
        <f>($J2461+($K2461-$J2461)*0.5)+($T2461-($S2461+($U2461-$S2461)*0.5))</f>
        <v/>
      </c>
      <c r="AT2461" s="82">
        <f>($J2461-$C2461)*100</f>
        <v/>
      </c>
      <c r="AU2461" s="82">
        <f>($H2461-$F2461)*100</f>
        <v/>
      </c>
      <c r="AV2461" s="82">
        <f>($J2461-$F2461)*100</f>
        <v/>
      </c>
      <c r="AW2461" s="82">
        <f>($L2461-$F2461)*100</f>
        <v/>
      </c>
      <c r="AX2461" s="82">
        <f>($J2461-$H2461)*100</f>
        <v/>
      </c>
      <c r="AY2461" s="82">
        <f>($L2461-$H2461)*100</f>
        <v/>
      </c>
      <c r="AZ2461" s="82">
        <f>($L2461-$J2461)*100</f>
        <v/>
      </c>
      <c r="BA2461" s="82">
        <f>(2*$H2461-$F2461-$J2461)*100</f>
        <v/>
      </c>
      <c r="BB2461" s="82">
        <f>(2*$J2461-$H2461-$L2461)*100</f>
        <v/>
      </c>
      <c r="BC2461" s="82">
        <f>($N2461-$F2461)*100</f>
        <v/>
      </c>
      <c r="BD2461" s="82">
        <f>($Q2461-$H2461)*100</f>
        <v/>
      </c>
      <c r="BE2461" s="82">
        <f>($S2461-$J2461)*100</f>
        <v/>
      </c>
      <c r="BF2461" s="82">
        <f>($V2461-$L2461)*100</f>
        <v/>
      </c>
      <c r="BG2461" s="82">
        <f>$AG2461-$AF2461</f>
        <v/>
      </c>
      <c r="BH2461" s="81">
        <f>IFERROR($AG2461/$AF2461,"")</f>
        <v/>
      </c>
      <c r="BI2461" s="82">
        <f>$AJ2461-$AF2461</f>
        <v/>
      </c>
      <c r="BJ2461" s="81">
        <f>IFERROR($AJ2461/$AG2461,"")</f>
        <v/>
      </c>
      <c r="BK2461" s="81">
        <f>$X2461</f>
        <v/>
      </c>
      <c r="BL2461" s="82">
        <f>($J2461-$J2462)*100</f>
        <v/>
      </c>
      <c r="BM2461" s="82">
        <f>($F2461-$F2462)*100</f>
        <v/>
      </c>
      <c r="BN2461" s="82">
        <f>$AF2461-$AF2462</f>
        <v/>
      </c>
      <c r="BO2461" s="82">
        <f>$AG2461-$AG2462</f>
        <v/>
      </c>
      <c r="BP2461" s="82">
        <f>$AJ2461-$AJ2462</f>
        <v/>
      </c>
    </row>
    <row r="2462">
      <c r="AR2462" s="81">
        <f>($G2462+($H2462-$G2462)*0.5)+($P2462-($O2462+($Q2462-$O2462)*0.5))</f>
        <v/>
      </c>
      <c r="AS2462" s="81">
        <f>($J2462+($K2462-$J2462)*0.5)+($T2462-($S2462+($U2462-$S2462)*0.5))</f>
        <v/>
      </c>
      <c r="AT2462" s="82">
        <f>($J2462-$C2462)*100</f>
        <v/>
      </c>
      <c r="AU2462" s="82">
        <f>($H2462-$F2462)*100</f>
        <v/>
      </c>
      <c r="AV2462" s="82">
        <f>($J2462-$F2462)*100</f>
        <v/>
      </c>
      <c r="AW2462" s="82">
        <f>($L2462-$F2462)*100</f>
        <v/>
      </c>
      <c r="AX2462" s="82">
        <f>($J2462-$H2462)*100</f>
        <v/>
      </c>
      <c r="AY2462" s="82">
        <f>($L2462-$H2462)*100</f>
        <v/>
      </c>
      <c r="AZ2462" s="82">
        <f>($L2462-$J2462)*100</f>
        <v/>
      </c>
      <c r="BA2462" s="82">
        <f>(2*$H2462-$F2462-$J2462)*100</f>
        <v/>
      </c>
      <c r="BB2462" s="82">
        <f>(2*$J2462-$H2462-$L2462)*100</f>
        <v/>
      </c>
      <c r="BC2462" s="82">
        <f>($N2462-$F2462)*100</f>
        <v/>
      </c>
      <c r="BD2462" s="82">
        <f>($Q2462-$H2462)*100</f>
        <v/>
      </c>
      <c r="BE2462" s="82">
        <f>($S2462-$J2462)*100</f>
        <v/>
      </c>
      <c r="BF2462" s="82">
        <f>($V2462-$L2462)*100</f>
        <v/>
      </c>
      <c r="BG2462" s="82">
        <f>$AG2462-$AF2462</f>
        <v/>
      </c>
      <c r="BH2462" s="81">
        <f>IFERROR($AG2462/$AF2462,"")</f>
        <v/>
      </c>
      <c r="BI2462" s="82">
        <f>$AJ2462-$AF2462</f>
        <v/>
      </c>
      <c r="BJ2462" s="81">
        <f>IFERROR($AJ2462/$AG2462,"")</f>
        <v/>
      </c>
      <c r="BK2462" s="81">
        <f>$X2462</f>
        <v/>
      </c>
      <c r="BL2462" s="82">
        <f>($J2462-$J2463)*100</f>
        <v/>
      </c>
      <c r="BM2462" s="82">
        <f>($F2462-$F2463)*100</f>
        <v/>
      </c>
      <c r="BN2462" s="82">
        <f>$AF2462-$AF2463</f>
        <v/>
      </c>
      <c r="BO2462" s="82">
        <f>$AG2462-$AG2463</f>
        <v/>
      </c>
      <c r="BP2462" s="82">
        <f>$AJ2462-$AJ2463</f>
        <v/>
      </c>
    </row>
    <row r="2463">
      <c r="AR2463" s="81">
        <f>($G2463+($H2463-$G2463)*0.5)+($P2463-($O2463+($Q2463-$O2463)*0.5))</f>
        <v/>
      </c>
      <c r="AS2463" s="81">
        <f>($J2463+($K2463-$J2463)*0.5)+($T2463-($S2463+($U2463-$S2463)*0.5))</f>
        <v/>
      </c>
      <c r="AT2463" s="82">
        <f>($J2463-$C2463)*100</f>
        <v/>
      </c>
      <c r="AU2463" s="82">
        <f>($H2463-$F2463)*100</f>
        <v/>
      </c>
      <c r="AV2463" s="82">
        <f>($J2463-$F2463)*100</f>
        <v/>
      </c>
      <c r="AW2463" s="82">
        <f>($L2463-$F2463)*100</f>
        <v/>
      </c>
      <c r="AX2463" s="82">
        <f>($J2463-$H2463)*100</f>
        <v/>
      </c>
      <c r="AY2463" s="82">
        <f>($L2463-$H2463)*100</f>
        <v/>
      </c>
      <c r="AZ2463" s="82">
        <f>($L2463-$J2463)*100</f>
        <v/>
      </c>
      <c r="BA2463" s="82">
        <f>(2*$H2463-$F2463-$J2463)*100</f>
        <v/>
      </c>
      <c r="BB2463" s="82">
        <f>(2*$J2463-$H2463-$L2463)*100</f>
        <v/>
      </c>
      <c r="BC2463" s="82">
        <f>($N2463-$F2463)*100</f>
        <v/>
      </c>
      <c r="BD2463" s="82">
        <f>($Q2463-$H2463)*100</f>
        <v/>
      </c>
      <c r="BE2463" s="82">
        <f>($S2463-$J2463)*100</f>
        <v/>
      </c>
      <c r="BF2463" s="82">
        <f>($V2463-$L2463)*100</f>
        <v/>
      </c>
      <c r="BG2463" s="82">
        <f>$AG2463-$AF2463</f>
        <v/>
      </c>
      <c r="BH2463" s="81">
        <f>IFERROR($AG2463/$AF2463,"")</f>
        <v/>
      </c>
      <c r="BI2463" s="82">
        <f>$AJ2463-$AF2463</f>
        <v/>
      </c>
      <c r="BJ2463" s="81">
        <f>IFERROR($AJ2463/$AG2463,"")</f>
        <v/>
      </c>
      <c r="BK2463" s="81">
        <f>$X2463</f>
        <v/>
      </c>
      <c r="BL2463" s="82">
        <f>($J2463-$J2464)*100</f>
        <v/>
      </c>
      <c r="BM2463" s="82">
        <f>($F2463-$F2464)*100</f>
        <v/>
      </c>
      <c r="BN2463" s="82">
        <f>$AF2463-$AF2464</f>
        <v/>
      </c>
      <c r="BO2463" s="82">
        <f>$AG2463-$AG2464</f>
        <v/>
      </c>
      <c r="BP2463" s="82">
        <f>$AJ2463-$AJ2464</f>
        <v/>
      </c>
    </row>
    <row r="2464">
      <c r="AR2464" s="81">
        <f>($G2464+($H2464-$G2464)*0.5)+($P2464-($O2464+($Q2464-$O2464)*0.5))</f>
        <v/>
      </c>
      <c r="AS2464" s="81">
        <f>($J2464+($K2464-$J2464)*0.5)+($T2464-($S2464+($U2464-$S2464)*0.5))</f>
        <v/>
      </c>
      <c r="AT2464" s="82">
        <f>($J2464-$C2464)*100</f>
        <v/>
      </c>
      <c r="AU2464" s="82">
        <f>($H2464-$F2464)*100</f>
        <v/>
      </c>
      <c r="AV2464" s="82">
        <f>($J2464-$F2464)*100</f>
        <v/>
      </c>
      <c r="AW2464" s="82">
        <f>($L2464-$F2464)*100</f>
        <v/>
      </c>
      <c r="AX2464" s="82">
        <f>($J2464-$H2464)*100</f>
        <v/>
      </c>
      <c r="AY2464" s="82">
        <f>($L2464-$H2464)*100</f>
        <v/>
      </c>
      <c r="AZ2464" s="82">
        <f>($L2464-$J2464)*100</f>
        <v/>
      </c>
      <c r="BA2464" s="82">
        <f>(2*$H2464-$F2464-$J2464)*100</f>
        <v/>
      </c>
      <c r="BB2464" s="82">
        <f>(2*$J2464-$H2464-$L2464)*100</f>
        <v/>
      </c>
      <c r="BC2464" s="82">
        <f>($N2464-$F2464)*100</f>
        <v/>
      </c>
      <c r="BD2464" s="82">
        <f>($Q2464-$H2464)*100</f>
        <v/>
      </c>
      <c r="BE2464" s="82">
        <f>($S2464-$J2464)*100</f>
        <v/>
      </c>
      <c r="BF2464" s="82">
        <f>($V2464-$L2464)*100</f>
        <v/>
      </c>
      <c r="BG2464" s="82">
        <f>$AG2464-$AF2464</f>
        <v/>
      </c>
      <c r="BH2464" s="81">
        <f>IFERROR($AG2464/$AF2464,"")</f>
        <v/>
      </c>
      <c r="BI2464" s="82">
        <f>$AJ2464-$AF2464</f>
        <v/>
      </c>
      <c r="BJ2464" s="81">
        <f>IFERROR($AJ2464/$AG2464,"")</f>
        <v/>
      </c>
      <c r="BK2464" s="81">
        <f>$X2464</f>
        <v/>
      </c>
      <c r="BL2464" s="82">
        <f>($J2464-$J2465)*100</f>
        <v/>
      </c>
      <c r="BM2464" s="82">
        <f>($F2464-$F2465)*100</f>
        <v/>
      </c>
      <c r="BN2464" s="82">
        <f>$AF2464-$AF2465</f>
        <v/>
      </c>
      <c r="BO2464" s="82">
        <f>$AG2464-$AG2465</f>
        <v/>
      </c>
      <c r="BP2464" s="82">
        <f>$AJ2464-$AJ2465</f>
        <v/>
      </c>
    </row>
    <row r="2465">
      <c r="AR2465" s="81">
        <f>($G2465+($H2465-$G2465)*0.5)+($P2465-($O2465+($Q2465-$O2465)*0.5))</f>
        <v/>
      </c>
      <c r="AS2465" s="81">
        <f>($J2465+($K2465-$J2465)*0.5)+($T2465-($S2465+($U2465-$S2465)*0.5))</f>
        <v/>
      </c>
      <c r="AT2465" s="82">
        <f>($J2465-$C2465)*100</f>
        <v/>
      </c>
      <c r="AU2465" s="82">
        <f>($H2465-$F2465)*100</f>
        <v/>
      </c>
      <c r="AV2465" s="82">
        <f>($J2465-$F2465)*100</f>
        <v/>
      </c>
      <c r="AW2465" s="82">
        <f>($L2465-$F2465)*100</f>
        <v/>
      </c>
      <c r="AX2465" s="82">
        <f>($J2465-$H2465)*100</f>
        <v/>
      </c>
      <c r="AY2465" s="82">
        <f>($L2465-$H2465)*100</f>
        <v/>
      </c>
      <c r="AZ2465" s="82">
        <f>($L2465-$J2465)*100</f>
        <v/>
      </c>
      <c r="BA2465" s="82">
        <f>(2*$H2465-$F2465-$J2465)*100</f>
        <v/>
      </c>
      <c r="BB2465" s="82">
        <f>(2*$J2465-$H2465-$L2465)*100</f>
        <v/>
      </c>
      <c r="BC2465" s="82">
        <f>($N2465-$F2465)*100</f>
        <v/>
      </c>
      <c r="BD2465" s="82">
        <f>($Q2465-$H2465)*100</f>
        <v/>
      </c>
      <c r="BE2465" s="82">
        <f>($S2465-$J2465)*100</f>
        <v/>
      </c>
      <c r="BF2465" s="82">
        <f>($V2465-$L2465)*100</f>
        <v/>
      </c>
      <c r="BG2465" s="82">
        <f>$AG2465-$AF2465</f>
        <v/>
      </c>
      <c r="BH2465" s="81">
        <f>IFERROR($AG2465/$AF2465,"")</f>
        <v/>
      </c>
      <c r="BI2465" s="82">
        <f>$AJ2465-$AF2465</f>
        <v/>
      </c>
      <c r="BJ2465" s="81">
        <f>IFERROR($AJ2465/$AG2465,"")</f>
        <v/>
      </c>
      <c r="BK2465" s="81">
        <f>$X2465</f>
        <v/>
      </c>
      <c r="BL2465" s="82">
        <f>($J2465-$J2466)*100</f>
        <v/>
      </c>
      <c r="BM2465" s="82">
        <f>($F2465-$F2466)*100</f>
        <v/>
      </c>
      <c r="BN2465" s="82">
        <f>$AF2465-$AF2466</f>
        <v/>
      </c>
      <c r="BO2465" s="82">
        <f>$AG2465-$AG2466</f>
        <v/>
      </c>
      <c r="BP2465" s="82">
        <f>$AJ2465-$AJ2466</f>
        <v/>
      </c>
    </row>
    <row r="2466">
      <c r="AR2466" s="81">
        <f>($G2466+($H2466-$G2466)*0.5)+($P2466-($O2466+($Q2466-$O2466)*0.5))</f>
        <v/>
      </c>
      <c r="AS2466" s="81">
        <f>($J2466+($K2466-$J2466)*0.5)+($T2466-($S2466+($U2466-$S2466)*0.5))</f>
        <v/>
      </c>
      <c r="AT2466" s="82">
        <f>($J2466-$C2466)*100</f>
        <v/>
      </c>
      <c r="AU2466" s="82">
        <f>($H2466-$F2466)*100</f>
        <v/>
      </c>
      <c r="AV2466" s="82">
        <f>($J2466-$F2466)*100</f>
        <v/>
      </c>
      <c r="AW2466" s="82">
        <f>($L2466-$F2466)*100</f>
        <v/>
      </c>
      <c r="AX2466" s="82">
        <f>($J2466-$H2466)*100</f>
        <v/>
      </c>
      <c r="AY2466" s="82">
        <f>($L2466-$H2466)*100</f>
        <v/>
      </c>
      <c r="AZ2466" s="82">
        <f>($L2466-$J2466)*100</f>
        <v/>
      </c>
      <c r="BA2466" s="82">
        <f>(2*$H2466-$F2466-$J2466)*100</f>
        <v/>
      </c>
      <c r="BB2466" s="82">
        <f>(2*$J2466-$H2466-$L2466)*100</f>
        <v/>
      </c>
      <c r="BC2466" s="82">
        <f>($N2466-$F2466)*100</f>
        <v/>
      </c>
      <c r="BD2466" s="82">
        <f>($Q2466-$H2466)*100</f>
        <v/>
      </c>
      <c r="BE2466" s="82">
        <f>($S2466-$J2466)*100</f>
        <v/>
      </c>
      <c r="BF2466" s="82">
        <f>($V2466-$L2466)*100</f>
        <v/>
      </c>
      <c r="BG2466" s="82">
        <f>$AG2466-$AF2466</f>
        <v/>
      </c>
      <c r="BH2466" s="81">
        <f>IFERROR($AG2466/$AF2466,"")</f>
        <v/>
      </c>
      <c r="BI2466" s="82">
        <f>$AJ2466-$AF2466</f>
        <v/>
      </c>
      <c r="BJ2466" s="81">
        <f>IFERROR($AJ2466/$AG2466,"")</f>
        <v/>
      </c>
      <c r="BK2466" s="81">
        <f>$X2466</f>
        <v/>
      </c>
      <c r="BL2466" s="82">
        <f>($J2466-$J2467)*100</f>
        <v/>
      </c>
      <c r="BM2466" s="82">
        <f>($F2466-$F2467)*100</f>
        <v/>
      </c>
      <c r="BN2466" s="82">
        <f>$AF2466-$AF2467</f>
        <v/>
      </c>
      <c r="BO2466" s="82">
        <f>$AG2466-$AG2467</f>
        <v/>
      </c>
      <c r="BP2466" s="82">
        <f>$AJ2466-$AJ2467</f>
        <v/>
      </c>
    </row>
    <row r="2467">
      <c r="AR2467" s="81">
        <f>($G2467+($H2467-$G2467)*0.5)+($P2467-($O2467+($Q2467-$O2467)*0.5))</f>
        <v/>
      </c>
      <c r="AS2467" s="81">
        <f>($J2467+($K2467-$J2467)*0.5)+($T2467-($S2467+($U2467-$S2467)*0.5))</f>
        <v/>
      </c>
      <c r="AT2467" s="82">
        <f>($J2467-$C2467)*100</f>
        <v/>
      </c>
      <c r="AU2467" s="82">
        <f>($H2467-$F2467)*100</f>
        <v/>
      </c>
      <c r="AV2467" s="82">
        <f>($J2467-$F2467)*100</f>
        <v/>
      </c>
      <c r="AW2467" s="82">
        <f>($L2467-$F2467)*100</f>
        <v/>
      </c>
      <c r="AX2467" s="82">
        <f>($J2467-$H2467)*100</f>
        <v/>
      </c>
      <c r="AY2467" s="82">
        <f>($L2467-$H2467)*100</f>
        <v/>
      </c>
      <c r="AZ2467" s="82">
        <f>($L2467-$J2467)*100</f>
        <v/>
      </c>
      <c r="BA2467" s="82">
        <f>(2*$H2467-$F2467-$J2467)*100</f>
        <v/>
      </c>
      <c r="BB2467" s="82">
        <f>(2*$J2467-$H2467-$L2467)*100</f>
        <v/>
      </c>
      <c r="BC2467" s="82">
        <f>($N2467-$F2467)*100</f>
        <v/>
      </c>
      <c r="BD2467" s="82">
        <f>($Q2467-$H2467)*100</f>
        <v/>
      </c>
      <c r="BE2467" s="82">
        <f>($S2467-$J2467)*100</f>
        <v/>
      </c>
      <c r="BF2467" s="82">
        <f>($V2467-$L2467)*100</f>
        <v/>
      </c>
      <c r="BG2467" s="82">
        <f>$AG2467-$AF2467</f>
        <v/>
      </c>
      <c r="BH2467" s="81">
        <f>IFERROR($AG2467/$AF2467,"")</f>
        <v/>
      </c>
      <c r="BI2467" s="82">
        <f>$AJ2467-$AF2467</f>
        <v/>
      </c>
      <c r="BJ2467" s="81">
        <f>IFERROR($AJ2467/$AG2467,"")</f>
        <v/>
      </c>
      <c r="BK2467" s="81">
        <f>$X2467</f>
        <v/>
      </c>
      <c r="BL2467" s="82">
        <f>($J2467-$J2468)*100</f>
        <v/>
      </c>
      <c r="BM2467" s="82">
        <f>($F2467-$F2468)*100</f>
        <v/>
      </c>
      <c r="BN2467" s="82">
        <f>$AF2467-$AF2468</f>
        <v/>
      </c>
      <c r="BO2467" s="82">
        <f>$AG2467-$AG2468</f>
        <v/>
      </c>
      <c r="BP2467" s="82">
        <f>$AJ2467-$AJ2468</f>
        <v/>
      </c>
    </row>
    <row r="2468">
      <c r="AR2468" s="81">
        <f>($G2468+($H2468-$G2468)*0.5)+($P2468-($O2468+($Q2468-$O2468)*0.5))</f>
        <v/>
      </c>
      <c r="AS2468" s="81">
        <f>($J2468+($K2468-$J2468)*0.5)+($T2468-($S2468+($U2468-$S2468)*0.5))</f>
        <v/>
      </c>
      <c r="AT2468" s="82">
        <f>($J2468-$C2468)*100</f>
        <v/>
      </c>
      <c r="AU2468" s="82">
        <f>($H2468-$F2468)*100</f>
        <v/>
      </c>
      <c r="AV2468" s="82">
        <f>($J2468-$F2468)*100</f>
        <v/>
      </c>
      <c r="AW2468" s="82">
        <f>($L2468-$F2468)*100</f>
        <v/>
      </c>
      <c r="AX2468" s="82">
        <f>($J2468-$H2468)*100</f>
        <v/>
      </c>
      <c r="AY2468" s="82">
        <f>($L2468-$H2468)*100</f>
        <v/>
      </c>
      <c r="AZ2468" s="82">
        <f>($L2468-$J2468)*100</f>
        <v/>
      </c>
      <c r="BA2468" s="82">
        <f>(2*$H2468-$F2468-$J2468)*100</f>
        <v/>
      </c>
      <c r="BB2468" s="82">
        <f>(2*$J2468-$H2468-$L2468)*100</f>
        <v/>
      </c>
      <c r="BC2468" s="82">
        <f>($N2468-$F2468)*100</f>
        <v/>
      </c>
      <c r="BD2468" s="82">
        <f>($Q2468-$H2468)*100</f>
        <v/>
      </c>
      <c r="BE2468" s="82">
        <f>($S2468-$J2468)*100</f>
        <v/>
      </c>
      <c r="BF2468" s="82">
        <f>($V2468-$L2468)*100</f>
        <v/>
      </c>
      <c r="BG2468" s="82">
        <f>$AG2468-$AF2468</f>
        <v/>
      </c>
      <c r="BH2468" s="81">
        <f>IFERROR($AG2468/$AF2468,"")</f>
        <v/>
      </c>
      <c r="BI2468" s="82">
        <f>$AJ2468-$AF2468</f>
        <v/>
      </c>
      <c r="BJ2468" s="81">
        <f>IFERROR($AJ2468/$AG2468,"")</f>
        <v/>
      </c>
      <c r="BK2468" s="81">
        <f>$X2468</f>
        <v/>
      </c>
      <c r="BL2468" s="82">
        <f>($J2468-$J2469)*100</f>
        <v/>
      </c>
      <c r="BM2468" s="82">
        <f>($F2468-$F2469)*100</f>
        <v/>
      </c>
      <c r="BN2468" s="82">
        <f>$AF2468-$AF2469</f>
        <v/>
      </c>
      <c r="BO2468" s="82">
        <f>$AG2468-$AG2469</f>
        <v/>
      </c>
      <c r="BP2468" s="82">
        <f>$AJ2468-$AJ2469</f>
        <v/>
      </c>
    </row>
    <row r="2469">
      <c r="AR2469" s="81">
        <f>($G2469+($H2469-$G2469)*0.5)+($P2469-($O2469+($Q2469-$O2469)*0.5))</f>
        <v/>
      </c>
      <c r="AS2469" s="81">
        <f>($J2469+($K2469-$J2469)*0.5)+($T2469-($S2469+($U2469-$S2469)*0.5))</f>
        <v/>
      </c>
      <c r="AT2469" s="82">
        <f>($J2469-$C2469)*100</f>
        <v/>
      </c>
      <c r="AU2469" s="82">
        <f>($H2469-$F2469)*100</f>
        <v/>
      </c>
      <c r="AV2469" s="82">
        <f>($J2469-$F2469)*100</f>
        <v/>
      </c>
      <c r="AW2469" s="82">
        <f>($L2469-$F2469)*100</f>
        <v/>
      </c>
      <c r="AX2469" s="82">
        <f>($J2469-$H2469)*100</f>
        <v/>
      </c>
      <c r="AY2469" s="82">
        <f>($L2469-$H2469)*100</f>
        <v/>
      </c>
      <c r="AZ2469" s="82">
        <f>($L2469-$J2469)*100</f>
        <v/>
      </c>
      <c r="BA2469" s="82">
        <f>(2*$H2469-$F2469-$J2469)*100</f>
        <v/>
      </c>
      <c r="BB2469" s="82">
        <f>(2*$J2469-$H2469-$L2469)*100</f>
        <v/>
      </c>
      <c r="BC2469" s="82">
        <f>($N2469-$F2469)*100</f>
        <v/>
      </c>
      <c r="BD2469" s="82">
        <f>($Q2469-$H2469)*100</f>
        <v/>
      </c>
      <c r="BE2469" s="82">
        <f>($S2469-$J2469)*100</f>
        <v/>
      </c>
      <c r="BF2469" s="82">
        <f>($V2469-$L2469)*100</f>
        <v/>
      </c>
      <c r="BG2469" s="82">
        <f>$AG2469-$AF2469</f>
        <v/>
      </c>
      <c r="BH2469" s="81">
        <f>IFERROR($AG2469/$AF2469,"")</f>
        <v/>
      </c>
      <c r="BI2469" s="82">
        <f>$AJ2469-$AF2469</f>
        <v/>
      </c>
      <c r="BJ2469" s="81">
        <f>IFERROR($AJ2469/$AG2469,"")</f>
        <v/>
      </c>
      <c r="BK2469" s="81">
        <f>$X2469</f>
        <v/>
      </c>
      <c r="BL2469" s="82">
        <f>($J2469-$J2470)*100</f>
        <v/>
      </c>
      <c r="BM2469" s="82">
        <f>($F2469-$F2470)*100</f>
        <v/>
      </c>
      <c r="BN2469" s="82">
        <f>$AF2469-$AF2470</f>
        <v/>
      </c>
      <c r="BO2469" s="82">
        <f>$AG2469-$AG2470</f>
        <v/>
      </c>
      <c r="BP2469" s="82">
        <f>$AJ2469-$AJ2470</f>
        <v/>
      </c>
    </row>
    <row r="2470">
      <c r="AR2470" s="81">
        <f>($G2470+($H2470-$G2470)*0.5)+($P2470-($O2470+($Q2470-$O2470)*0.5))</f>
        <v/>
      </c>
      <c r="AS2470" s="81">
        <f>($J2470+($K2470-$J2470)*0.5)+($T2470-($S2470+($U2470-$S2470)*0.5))</f>
        <v/>
      </c>
      <c r="AT2470" s="82">
        <f>($J2470-$C2470)*100</f>
        <v/>
      </c>
      <c r="AU2470" s="82">
        <f>($H2470-$F2470)*100</f>
        <v/>
      </c>
      <c r="AV2470" s="82">
        <f>($J2470-$F2470)*100</f>
        <v/>
      </c>
      <c r="AW2470" s="82">
        <f>($L2470-$F2470)*100</f>
        <v/>
      </c>
      <c r="AX2470" s="82">
        <f>($J2470-$H2470)*100</f>
        <v/>
      </c>
      <c r="AY2470" s="82">
        <f>($L2470-$H2470)*100</f>
        <v/>
      </c>
      <c r="AZ2470" s="82">
        <f>($L2470-$J2470)*100</f>
        <v/>
      </c>
      <c r="BA2470" s="82">
        <f>(2*$H2470-$F2470-$J2470)*100</f>
        <v/>
      </c>
      <c r="BB2470" s="82">
        <f>(2*$J2470-$H2470-$L2470)*100</f>
        <v/>
      </c>
      <c r="BC2470" s="82">
        <f>($N2470-$F2470)*100</f>
        <v/>
      </c>
      <c r="BD2470" s="82">
        <f>($Q2470-$H2470)*100</f>
        <v/>
      </c>
      <c r="BE2470" s="82">
        <f>($S2470-$J2470)*100</f>
        <v/>
      </c>
      <c r="BF2470" s="82">
        <f>($V2470-$L2470)*100</f>
        <v/>
      </c>
      <c r="BG2470" s="82">
        <f>$AG2470-$AF2470</f>
        <v/>
      </c>
      <c r="BH2470" s="81">
        <f>IFERROR($AG2470/$AF2470,"")</f>
        <v/>
      </c>
      <c r="BI2470" s="82">
        <f>$AJ2470-$AF2470</f>
        <v/>
      </c>
      <c r="BJ2470" s="81">
        <f>IFERROR($AJ2470/$AG2470,"")</f>
        <v/>
      </c>
      <c r="BK2470" s="81">
        <f>$X2470</f>
        <v/>
      </c>
      <c r="BL2470" s="82">
        <f>($J2470-$J2471)*100</f>
        <v/>
      </c>
      <c r="BM2470" s="82">
        <f>($F2470-$F2471)*100</f>
        <v/>
      </c>
      <c r="BN2470" s="82">
        <f>$AF2470-$AF2471</f>
        <v/>
      </c>
      <c r="BO2470" s="82">
        <f>$AG2470-$AG2471</f>
        <v/>
      </c>
      <c r="BP2470" s="82">
        <f>$AJ2470-$AJ2471</f>
        <v/>
      </c>
    </row>
    <row r="2471">
      <c r="AR2471" s="81">
        <f>($G2471+($H2471-$G2471)*0.5)+($P2471-($O2471+($Q2471-$O2471)*0.5))</f>
        <v/>
      </c>
      <c r="AS2471" s="81">
        <f>($J2471+($K2471-$J2471)*0.5)+($T2471-($S2471+($U2471-$S2471)*0.5))</f>
        <v/>
      </c>
      <c r="AT2471" s="82">
        <f>($J2471-$C2471)*100</f>
        <v/>
      </c>
      <c r="AU2471" s="82">
        <f>($H2471-$F2471)*100</f>
        <v/>
      </c>
      <c r="AV2471" s="82">
        <f>($J2471-$F2471)*100</f>
        <v/>
      </c>
      <c r="AW2471" s="82">
        <f>($L2471-$F2471)*100</f>
        <v/>
      </c>
      <c r="AX2471" s="82">
        <f>($J2471-$H2471)*100</f>
        <v/>
      </c>
      <c r="AY2471" s="82">
        <f>($L2471-$H2471)*100</f>
        <v/>
      </c>
      <c r="AZ2471" s="82">
        <f>($L2471-$J2471)*100</f>
        <v/>
      </c>
      <c r="BA2471" s="82">
        <f>(2*$H2471-$F2471-$J2471)*100</f>
        <v/>
      </c>
      <c r="BB2471" s="82">
        <f>(2*$J2471-$H2471-$L2471)*100</f>
        <v/>
      </c>
      <c r="BC2471" s="82">
        <f>($N2471-$F2471)*100</f>
        <v/>
      </c>
      <c r="BD2471" s="82">
        <f>($Q2471-$H2471)*100</f>
        <v/>
      </c>
      <c r="BE2471" s="82">
        <f>($S2471-$J2471)*100</f>
        <v/>
      </c>
      <c r="BF2471" s="82">
        <f>($V2471-$L2471)*100</f>
        <v/>
      </c>
      <c r="BG2471" s="82">
        <f>$AG2471-$AF2471</f>
        <v/>
      </c>
      <c r="BH2471" s="81">
        <f>IFERROR($AG2471/$AF2471,"")</f>
        <v/>
      </c>
      <c r="BI2471" s="82">
        <f>$AJ2471-$AF2471</f>
        <v/>
      </c>
      <c r="BJ2471" s="81">
        <f>IFERROR($AJ2471/$AG2471,"")</f>
        <v/>
      </c>
      <c r="BK2471" s="81">
        <f>$X2471</f>
        <v/>
      </c>
      <c r="BL2471" s="82">
        <f>($J2471-$J2472)*100</f>
        <v/>
      </c>
      <c r="BM2471" s="82">
        <f>($F2471-$F2472)*100</f>
        <v/>
      </c>
      <c r="BN2471" s="82">
        <f>$AF2471-$AF2472</f>
        <v/>
      </c>
      <c r="BO2471" s="82">
        <f>$AG2471-$AG2472</f>
        <v/>
      </c>
      <c r="BP2471" s="82">
        <f>$AJ2471-$AJ2472</f>
        <v/>
      </c>
    </row>
    <row r="2472">
      <c r="AR2472" s="81">
        <f>($G2472+($H2472-$G2472)*0.5)+($P2472-($O2472+($Q2472-$O2472)*0.5))</f>
        <v/>
      </c>
      <c r="AS2472" s="81">
        <f>($J2472+($K2472-$J2472)*0.5)+($T2472-($S2472+($U2472-$S2472)*0.5))</f>
        <v/>
      </c>
      <c r="AT2472" s="82">
        <f>($J2472-$C2472)*100</f>
        <v/>
      </c>
      <c r="AU2472" s="82">
        <f>($H2472-$F2472)*100</f>
        <v/>
      </c>
      <c r="AV2472" s="82">
        <f>($J2472-$F2472)*100</f>
        <v/>
      </c>
      <c r="AW2472" s="82">
        <f>($L2472-$F2472)*100</f>
        <v/>
      </c>
      <c r="AX2472" s="82">
        <f>($J2472-$H2472)*100</f>
        <v/>
      </c>
      <c r="AY2472" s="82">
        <f>($L2472-$H2472)*100</f>
        <v/>
      </c>
      <c r="AZ2472" s="82">
        <f>($L2472-$J2472)*100</f>
        <v/>
      </c>
      <c r="BA2472" s="82">
        <f>(2*$H2472-$F2472-$J2472)*100</f>
        <v/>
      </c>
      <c r="BB2472" s="82">
        <f>(2*$J2472-$H2472-$L2472)*100</f>
        <v/>
      </c>
      <c r="BC2472" s="82">
        <f>($N2472-$F2472)*100</f>
        <v/>
      </c>
      <c r="BD2472" s="82">
        <f>($Q2472-$H2472)*100</f>
        <v/>
      </c>
      <c r="BE2472" s="82">
        <f>($S2472-$J2472)*100</f>
        <v/>
      </c>
      <c r="BF2472" s="82">
        <f>($V2472-$L2472)*100</f>
        <v/>
      </c>
      <c r="BG2472" s="82">
        <f>$AG2472-$AF2472</f>
        <v/>
      </c>
      <c r="BH2472" s="81">
        <f>IFERROR($AG2472/$AF2472,"")</f>
        <v/>
      </c>
      <c r="BI2472" s="82">
        <f>$AJ2472-$AF2472</f>
        <v/>
      </c>
      <c r="BJ2472" s="81">
        <f>IFERROR($AJ2472/$AG2472,"")</f>
        <v/>
      </c>
      <c r="BK2472" s="81">
        <f>$X2472</f>
        <v/>
      </c>
      <c r="BL2472" s="82">
        <f>($J2472-$J2473)*100</f>
        <v/>
      </c>
      <c r="BM2472" s="82">
        <f>($F2472-$F2473)*100</f>
        <v/>
      </c>
      <c r="BN2472" s="82">
        <f>$AF2472-$AF2473</f>
        <v/>
      </c>
      <c r="BO2472" s="82">
        <f>$AG2472-$AG2473</f>
        <v/>
      </c>
      <c r="BP2472" s="82">
        <f>$AJ2472-$AJ2473</f>
        <v/>
      </c>
    </row>
    <row r="2473">
      <c r="AR2473" s="81">
        <f>($G2473+($H2473-$G2473)*0.5)+($P2473-($O2473+($Q2473-$O2473)*0.5))</f>
        <v/>
      </c>
      <c r="AS2473" s="81">
        <f>($J2473+($K2473-$J2473)*0.5)+($T2473-($S2473+($U2473-$S2473)*0.5))</f>
        <v/>
      </c>
      <c r="AT2473" s="82">
        <f>($J2473-$C2473)*100</f>
        <v/>
      </c>
      <c r="AU2473" s="82">
        <f>($H2473-$F2473)*100</f>
        <v/>
      </c>
      <c r="AV2473" s="82">
        <f>($J2473-$F2473)*100</f>
        <v/>
      </c>
      <c r="AW2473" s="82">
        <f>($L2473-$F2473)*100</f>
        <v/>
      </c>
      <c r="AX2473" s="82">
        <f>($J2473-$H2473)*100</f>
        <v/>
      </c>
      <c r="AY2473" s="82">
        <f>($L2473-$H2473)*100</f>
        <v/>
      </c>
      <c r="AZ2473" s="82">
        <f>($L2473-$J2473)*100</f>
        <v/>
      </c>
      <c r="BA2473" s="82">
        <f>(2*$H2473-$F2473-$J2473)*100</f>
        <v/>
      </c>
      <c r="BB2473" s="82">
        <f>(2*$J2473-$H2473-$L2473)*100</f>
        <v/>
      </c>
      <c r="BC2473" s="82">
        <f>($N2473-$F2473)*100</f>
        <v/>
      </c>
      <c r="BD2473" s="82">
        <f>($Q2473-$H2473)*100</f>
        <v/>
      </c>
      <c r="BE2473" s="82">
        <f>($S2473-$J2473)*100</f>
        <v/>
      </c>
      <c r="BF2473" s="82">
        <f>($V2473-$L2473)*100</f>
        <v/>
      </c>
      <c r="BG2473" s="82">
        <f>$AG2473-$AF2473</f>
        <v/>
      </c>
      <c r="BH2473" s="81">
        <f>IFERROR($AG2473/$AF2473,"")</f>
        <v/>
      </c>
      <c r="BI2473" s="82">
        <f>$AJ2473-$AF2473</f>
        <v/>
      </c>
      <c r="BJ2473" s="81">
        <f>IFERROR($AJ2473/$AG2473,"")</f>
        <v/>
      </c>
      <c r="BK2473" s="81">
        <f>$X2473</f>
        <v/>
      </c>
      <c r="BL2473" s="82">
        <f>($J2473-$J2474)*100</f>
        <v/>
      </c>
      <c r="BM2473" s="82">
        <f>($F2473-$F2474)*100</f>
        <v/>
      </c>
      <c r="BN2473" s="82">
        <f>$AF2473-$AF2474</f>
        <v/>
      </c>
      <c r="BO2473" s="82">
        <f>$AG2473-$AG2474</f>
        <v/>
      </c>
      <c r="BP2473" s="82">
        <f>$AJ2473-$AJ2474</f>
        <v/>
      </c>
    </row>
    <row r="2474">
      <c r="AR2474" s="81">
        <f>($G2474+($H2474-$G2474)*0.5)+($P2474-($O2474+($Q2474-$O2474)*0.5))</f>
        <v/>
      </c>
      <c r="AS2474" s="81">
        <f>($J2474+($K2474-$J2474)*0.5)+($T2474-($S2474+($U2474-$S2474)*0.5))</f>
        <v/>
      </c>
      <c r="AT2474" s="82">
        <f>($J2474-$C2474)*100</f>
        <v/>
      </c>
      <c r="AU2474" s="82">
        <f>($H2474-$F2474)*100</f>
        <v/>
      </c>
      <c r="AV2474" s="82">
        <f>($J2474-$F2474)*100</f>
        <v/>
      </c>
      <c r="AW2474" s="82">
        <f>($L2474-$F2474)*100</f>
        <v/>
      </c>
      <c r="AX2474" s="82">
        <f>($J2474-$H2474)*100</f>
        <v/>
      </c>
      <c r="AY2474" s="82">
        <f>($L2474-$H2474)*100</f>
        <v/>
      </c>
      <c r="AZ2474" s="82">
        <f>($L2474-$J2474)*100</f>
        <v/>
      </c>
      <c r="BA2474" s="82">
        <f>(2*$H2474-$F2474-$J2474)*100</f>
        <v/>
      </c>
      <c r="BB2474" s="82">
        <f>(2*$J2474-$H2474-$L2474)*100</f>
        <v/>
      </c>
      <c r="BC2474" s="82">
        <f>($N2474-$F2474)*100</f>
        <v/>
      </c>
      <c r="BD2474" s="82">
        <f>($Q2474-$H2474)*100</f>
        <v/>
      </c>
      <c r="BE2474" s="82">
        <f>($S2474-$J2474)*100</f>
        <v/>
      </c>
      <c r="BF2474" s="82">
        <f>($V2474-$L2474)*100</f>
        <v/>
      </c>
      <c r="BG2474" s="82">
        <f>$AG2474-$AF2474</f>
        <v/>
      </c>
      <c r="BH2474" s="81">
        <f>IFERROR($AG2474/$AF2474,"")</f>
        <v/>
      </c>
      <c r="BI2474" s="82">
        <f>$AJ2474-$AF2474</f>
        <v/>
      </c>
      <c r="BJ2474" s="81">
        <f>IFERROR($AJ2474/$AG2474,"")</f>
        <v/>
      </c>
      <c r="BK2474" s="81">
        <f>$X2474</f>
        <v/>
      </c>
      <c r="BL2474" s="82">
        <f>($J2474-$J2475)*100</f>
        <v/>
      </c>
      <c r="BM2474" s="82">
        <f>($F2474-$F2475)*100</f>
        <v/>
      </c>
      <c r="BN2474" s="82">
        <f>$AF2474-$AF2475</f>
        <v/>
      </c>
      <c r="BO2474" s="82">
        <f>$AG2474-$AG2475</f>
        <v/>
      </c>
      <c r="BP2474" s="82">
        <f>$AJ2474-$AJ2475</f>
        <v/>
      </c>
    </row>
    <row r="2475">
      <c r="AR2475" s="81">
        <f>($G2475+($H2475-$G2475)*0.5)+($P2475-($O2475+($Q2475-$O2475)*0.5))</f>
        <v/>
      </c>
      <c r="AS2475" s="81">
        <f>($J2475+($K2475-$J2475)*0.5)+($T2475-($S2475+($U2475-$S2475)*0.5))</f>
        <v/>
      </c>
      <c r="AT2475" s="82">
        <f>($J2475-$C2475)*100</f>
        <v/>
      </c>
      <c r="AU2475" s="82">
        <f>($H2475-$F2475)*100</f>
        <v/>
      </c>
      <c r="AV2475" s="82">
        <f>($J2475-$F2475)*100</f>
        <v/>
      </c>
      <c r="AW2475" s="82">
        <f>($L2475-$F2475)*100</f>
        <v/>
      </c>
      <c r="AX2475" s="82">
        <f>($J2475-$H2475)*100</f>
        <v/>
      </c>
      <c r="AY2475" s="82">
        <f>($L2475-$H2475)*100</f>
        <v/>
      </c>
      <c r="AZ2475" s="82">
        <f>($L2475-$J2475)*100</f>
        <v/>
      </c>
      <c r="BA2475" s="82">
        <f>(2*$H2475-$F2475-$J2475)*100</f>
        <v/>
      </c>
      <c r="BB2475" s="82">
        <f>(2*$J2475-$H2475-$L2475)*100</f>
        <v/>
      </c>
      <c r="BC2475" s="82">
        <f>($N2475-$F2475)*100</f>
        <v/>
      </c>
      <c r="BD2475" s="82">
        <f>($Q2475-$H2475)*100</f>
        <v/>
      </c>
      <c r="BE2475" s="82">
        <f>($S2475-$J2475)*100</f>
        <v/>
      </c>
      <c r="BF2475" s="82">
        <f>($V2475-$L2475)*100</f>
        <v/>
      </c>
      <c r="BG2475" s="82">
        <f>$AG2475-$AF2475</f>
        <v/>
      </c>
      <c r="BH2475" s="81">
        <f>IFERROR($AG2475/$AF2475,"")</f>
        <v/>
      </c>
      <c r="BI2475" s="82">
        <f>$AJ2475-$AF2475</f>
        <v/>
      </c>
      <c r="BJ2475" s="81">
        <f>IFERROR($AJ2475/$AG2475,"")</f>
        <v/>
      </c>
      <c r="BK2475" s="81">
        <f>$X2475</f>
        <v/>
      </c>
      <c r="BL2475" s="82">
        <f>($J2475-$J2476)*100</f>
        <v/>
      </c>
      <c r="BM2475" s="82">
        <f>($F2475-$F2476)*100</f>
        <v/>
      </c>
      <c r="BN2475" s="82">
        <f>$AF2475-$AF2476</f>
        <v/>
      </c>
      <c r="BO2475" s="82">
        <f>$AG2475-$AG2476</f>
        <v/>
      </c>
      <c r="BP2475" s="82">
        <f>$AJ2475-$AJ2476</f>
        <v/>
      </c>
    </row>
    <row r="2476">
      <c r="AR2476" s="81">
        <f>($G2476+($H2476-$G2476)*0.5)+($P2476-($O2476+($Q2476-$O2476)*0.5))</f>
        <v/>
      </c>
      <c r="AS2476" s="81">
        <f>($J2476+($K2476-$J2476)*0.5)+($T2476-($S2476+($U2476-$S2476)*0.5))</f>
        <v/>
      </c>
      <c r="AT2476" s="82">
        <f>($J2476-$C2476)*100</f>
        <v/>
      </c>
      <c r="AU2476" s="82">
        <f>($H2476-$F2476)*100</f>
        <v/>
      </c>
      <c r="AV2476" s="82">
        <f>($J2476-$F2476)*100</f>
        <v/>
      </c>
      <c r="AW2476" s="82">
        <f>($L2476-$F2476)*100</f>
        <v/>
      </c>
      <c r="AX2476" s="82">
        <f>($J2476-$H2476)*100</f>
        <v/>
      </c>
      <c r="AY2476" s="82">
        <f>($L2476-$H2476)*100</f>
        <v/>
      </c>
      <c r="AZ2476" s="82">
        <f>($L2476-$J2476)*100</f>
        <v/>
      </c>
      <c r="BA2476" s="82">
        <f>(2*$H2476-$F2476-$J2476)*100</f>
        <v/>
      </c>
      <c r="BB2476" s="82">
        <f>(2*$J2476-$H2476-$L2476)*100</f>
        <v/>
      </c>
      <c r="BC2476" s="82">
        <f>($N2476-$F2476)*100</f>
        <v/>
      </c>
      <c r="BD2476" s="82">
        <f>($Q2476-$H2476)*100</f>
        <v/>
      </c>
      <c r="BE2476" s="82">
        <f>($S2476-$J2476)*100</f>
        <v/>
      </c>
      <c r="BF2476" s="82">
        <f>($V2476-$L2476)*100</f>
        <v/>
      </c>
      <c r="BG2476" s="82">
        <f>$AG2476-$AF2476</f>
        <v/>
      </c>
      <c r="BH2476" s="81">
        <f>IFERROR($AG2476/$AF2476,"")</f>
        <v/>
      </c>
      <c r="BI2476" s="82">
        <f>$AJ2476-$AF2476</f>
        <v/>
      </c>
      <c r="BJ2476" s="81">
        <f>IFERROR($AJ2476/$AG2476,"")</f>
        <v/>
      </c>
      <c r="BK2476" s="81">
        <f>$X2476</f>
        <v/>
      </c>
      <c r="BL2476" s="82">
        <f>($J2476-$J2477)*100</f>
        <v/>
      </c>
      <c r="BM2476" s="82">
        <f>($F2476-$F2477)*100</f>
        <v/>
      </c>
      <c r="BN2476" s="82">
        <f>$AF2476-$AF2477</f>
        <v/>
      </c>
      <c r="BO2476" s="82">
        <f>$AG2476-$AG2477</f>
        <v/>
      </c>
      <c r="BP2476" s="82">
        <f>$AJ2476-$AJ2477</f>
        <v/>
      </c>
    </row>
    <row r="2477">
      <c r="AR2477" s="81">
        <f>($G2477+($H2477-$G2477)*0.5)+($P2477-($O2477+($Q2477-$O2477)*0.5))</f>
        <v/>
      </c>
      <c r="AS2477" s="81">
        <f>($J2477+($K2477-$J2477)*0.5)+($T2477-($S2477+($U2477-$S2477)*0.5))</f>
        <v/>
      </c>
      <c r="AT2477" s="82">
        <f>($J2477-$C2477)*100</f>
        <v/>
      </c>
      <c r="AU2477" s="82">
        <f>($H2477-$F2477)*100</f>
        <v/>
      </c>
      <c r="AV2477" s="82">
        <f>($J2477-$F2477)*100</f>
        <v/>
      </c>
      <c r="AW2477" s="82">
        <f>($L2477-$F2477)*100</f>
        <v/>
      </c>
      <c r="AX2477" s="82">
        <f>($J2477-$H2477)*100</f>
        <v/>
      </c>
      <c r="AY2477" s="82">
        <f>($L2477-$H2477)*100</f>
        <v/>
      </c>
      <c r="AZ2477" s="82">
        <f>($L2477-$J2477)*100</f>
        <v/>
      </c>
      <c r="BA2477" s="82">
        <f>(2*$H2477-$F2477-$J2477)*100</f>
        <v/>
      </c>
      <c r="BB2477" s="82">
        <f>(2*$J2477-$H2477-$L2477)*100</f>
        <v/>
      </c>
      <c r="BC2477" s="82">
        <f>($N2477-$F2477)*100</f>
        <v/>
      </c>
      <c r="BD2477" s="82">
        <f>($Q2477-$H2477)*100</f>
        <v/>
      </c>
      <c r="BE2477" s="82">
        <f>($S2477-$J2477)*100</f>
        <v/>
      </c>
      <c r="BF2477" s="82">
        <f>($V2477-$L2477)*100</f>
        <v/>
      </c>
      <c r="BG2477" s="82">
        <f>$AG2477-$AF2477</f>
        <v/>
      </c>
      <c r="BH2477" s="81">
        <f>IFERROR($AG2477/$AF2477,"")</f>
        <v/>
      </c>
      <c r="BI2477" s="82">
        <f>$AJ2477-$AF2477</f>
        <v/>
      </c>
      <c r="BJ2477" s="81">
        <f>IFERROR($AJ2477/$AG2477,"")</f>
        <v/>
      </c>
      <c r="BK2477" s="81">
        <f>$X2477</f>
        <v/>
      </c>
      <c r="BL2477" s="82">
        <f>($J2477-$J2478)*100</f>
        <v/>
      </c>
      <c r="BM2477" s="82">
        <f>($F2477-$F2478)*100</f>
        <v/>
      </c>
      <c r="BN2477" s="82">
        <f>$AF2477-$AF2478</f>
        <v/>
      </c>
      <c r="BO2477" s="82">
        <f>$AG2477-$AG2478</f>
        <v/>
      </c>
      <c r="BP2477" s="82">
        <f>$AJ2477-$AJ2478</f>
        <v/>
      </c>
    </row>
    <row r="2478">
      <c r="AR2478" s="81">
        <f>($G2478+($H2478-$G2478)*0.5)+($P2478-($O2478+($Q2478-$O2478)*0.5))</f>
        <v/>
      </c>
      <c r="AS2478" s="81">
        <f>($J2478+($K2478-$J2478)*0.5)+($T2478-($S2478+($U2478-$S2478)*0.5))</f>
        <v/>
      </c>
      <c r="AT2478" s="82">
        <f>($J2478-$C2478)*100</f>
        <v/>
      </c>
      <c r="AU2478" s="82">
        <f>($H2478-$F2478)*100</f>
        <v/>
      </c>
      <c r="AV2478" s="82">
        <f>($J2478-$F2478)*100</f>
        <v/>
      </c>
      <c r="AW2478" s="82">
        <f>($L2478-$F2478)*100</f>
        <v/>
      </c>
      <c r="AX2478" s="82">
        <f>($J2478-$H2478)*100</f>
        <v/>
      </c>
      <c r="AY2478" s="82">
        <f>($L2478-$H2478)*100</f>
        <v/>
      </c>
      <c r="AZ2478" s="82">
        <f>($L2478-$J2478)*100</f>
        <v/>
      </c>
      <c r="BA2478" s="82">
        <f>(2*$H2478-$F2478-$J2478)*100</f>
        <v/>
      </c>
      <c r="BB2478" s="82">
        <f>(2*$J2478-$H2478-$L2478)*100</f>
        <v/>
      </c>
      <c r="BC2478" s="82">
        <f>($N2478-$F2478)*100</f>
        <v/>
      </c>
      <c r="BD2478" s="82">
        <f>($Q2478-$H2478)*100</f>
        <v/>
      </c>
      <c r="BE2478" s="82">
        <f>($S2478-$J2478)*100</f>
        <v/>
      </c>
      <c r="BF2478" s="82">
        <f>($V2478-$L2478)*100</f>
        <v/>
      </c>
      <c r="BG2478" s="82">
        <f>$AG2478-$AF2478</f>
        <v/>
      </c>
      <c r="BH2478" s="81">
        <f>IFERROR($AG2478/$AF2478,"")</f>
        <v/>
      </c>
      <c r="BI2478" s="82">
        <f>$AJ2478-$AF2478</f>
        <v/>
      </c>
      <c r="BJ2478" s="81">
        <f>IFERROR($AJ2478/$AG2478,"")</f>
        <v/>
      </c>
      <c r="BK2478" s="81">
        <f>$X2478</f>
        <v/>
      </c>
      <c r="BL2478" s="82">
        <f>($J2478-$J2479)*100</f>
        <v/>
      </c>
      <c r="BM2478" s="82">
        <f>($F2478-$F2479)*100</f>
        <v/>
      </c>
      <c r="BN2478" s="82">
        <f>$AF2478-$AF2479</f>
        <v/>
      </c>
      <c r="BO2478" s="82">
        <f>$AG2478-$AG2479</f>
        <v/>
      </c>
      <c r="BP2478" s="82">
        <f>$AJ2478-$AJ2479</f>
        <v/>
      </c>
    </row>
    <row r="2479">
      <c r="AR2479" s="81">
        <f>($G2479+($H2479-$G2479)*0.5)+($P2479-($O2479+($Q2479-$O2479)*0.5))</f>
        <v/>
      </c>
      <c r="AS2479" s="81">
        <f>($J2479+($K2479-$J2479)*0.5)+($T2479-($S2479+($U2479-$S2479)*0.5))</f>
        <v/>
      </c>
      <c r="AT2479" s="82">
        <f>($J2479-$C2479)*100</f>
        <v/>
      </c>
      <c r="AU2479" s="82">
        <f>($H2479-$F2479)*100</f>
        <v/>
      </c>
      <c r="AV2479" s="82">
        <f>($J2479-$F2479)*100</f>
        <v/>
      </c>
      <c r="AW2479" s="82">
        <f>($L2479-$F2479)*100</f>
        <v/>
      </c>
      <c r="AX2479" s="82">
        <f>($J2479-$H2479)*100</f>
        <v/>
      </c>
      <c r="AY2479" s="82">
        <f>($L2479-$H2479)*100</f>
        <v/>
      </c>
      <c r="AZ2479" s="82">
        <f>($L2479-$J2479)*100</f>
        <v/>
      </c>
      <c r="BA2479" s="82">
        <f>(2*$H2479-$F2479-$J2479)*100</f>
        <v/>
      </c>
      <c r="BB2479" s="82">
        <f>(2*$J2479-$H2479-$L2479)*100</f>
        <v/>
      </c>
      <c r="BC2479" s="82">
        <f>($N2479-$F2479)*100</f>
        <v/>
      </c>
      <c r="BD2479" s="82">
        <f>($Q2479-$H2479)*100</f>
        <v/>
      </c>
      <c r="BE2479" s="82">
        <f>($S2479-$J2479)*100</f>
        <v/>
      </c>
      <c r="BF2479" s="82">
        <f>($V2479-$L2479)*100</f>
        <v/>
      </c>
      <c r="BG2479" s="82">
        <f>$AG2479-$AF2479</f>
        <v/>
      </c>
      <c r="BH2479" s="81">
        <f>IFERROR($AG2479/$AF2479,"")</f>
        <v/>
      </c>
      <c r="BI2479" s="82">
        <f>$AJ2479-$AF2479</f>
        <v/>
      </c>
      <c r="BJ2479" s="81">
        <f>IFERROR($AJ2479/$AG2479,"")</f>
        <v/>
      </c>
      <c r="BK2479" s="81">
        <f>$X2479</f>
        <v/>
      </c>
      <c r="BL2479" s="82">
        <f>($J2479-$J2480)*100</f>
        <v/>
      </c>
      <c r="BM2479" s="82">
        <f>($F2479-$F2480)*100</f>
        <v/>
      </c>
      <c r="BN2479" s="82">
        <f>$AF2479-$AF2480</f>
        <v/>
      </c>
      <c r="BO2479" s="82">
        <f>$AG2479-$AG2480</f>
        <v/>
      </c>
      <c r="BP2479" s="82">
        <f>$AJ2479-$AJ2480</f>
        <v/>
      </c>
    </row>
    <row r="2480">
      <c r="AR2480" s="81">
        <f>($G2480+($H2480-$G2480)*0.5)+($P2480-($O2480+($Q2480-$O2480)*0.5))</f>
        <v/>
      </c>
      <c r="AS2480" s="81">
        <f>($J2480+($K2480-$J2480)*0.5)+($T2480-($S2480+($U2480-$S2480)*0.5))</f>
        <v/>
      </c>
      <c r="AT2480" s="82">
        <f>($J2480-$C2480)*100</f>
        <v/>
      </c>
      <c r="AU2480" s="82">
        <f>($H2480-$F2480)*100</f>
        <v/>
      </c>
      <c r="AV2480" s="82">
        <f>($J2480-$F2480)*100</f>
        <v/>
      </c>
      <c r="AW2480" s="82">
        <f>($L2480-$F2480)*100</f>
        <v/>
      </c>
      <c r="AX2480" s="82">
        <f>($J2480-$H2480)*100</f>
        <v/>
      </c>
      <c r="AY2480" s="82">
        <f>($L2480-$H2480)*100</f>
        <v/>
      </c>
      <c r="AZ2480" s="82">
        <f>($L2480-$J2480)*100</f>
        <v/>
      </c>
      <c r="BA2480" s="82">
        <f>(2*$H2480-$F2480-$J2480)*100</f>
        <v/>
      </c>
      <c r="BB2480" s="82">
        <f>(2*$J2480-$H2480-$L2480)*100</f>
        <v/>
      </c>
      <c r="BC2480" s="82">
        <f>($N2480-$F2480)*100</f>
        <v/>
      </c>
      <c r="BD2480" s="82">
        <f>($Q2480-$H2480)*100</f>
        <v/>
      </c>
      <c r="BE2480" s="82">
        <f>($S2480-$J2480)*100</f>
        <v/>
      </c>
      <c r="BF2480" s="82">
        <f>($V2480-$L2480)*100</f>
        <v/>
      </c>
      <c r="BG2480" s="82">
        <f>$AG2480-$AF2480</f>
        <v/>
      </c>
      <c r="BH2480" s="81">
        <f>IFERROR($AG2480/$AF2480,"")</f>
        <v/>
      </c>
      <c r="BI2480" s="82">
        <f>$AJ2480-$AF2480</f>
        <v/>
      </c>
      <c r="BJ2480" s="81">
        <f>IFERROR($AJ2480/$AG2480,"")</f>
        <v/>
      </c>
      <c r="BK2480" s="81">
        <f>$X2480</f>
        <v/>
      </c>
      <c r="BL2480" s="82">
        <f>($J2480-$J2481)*100</f>
        <v/>
      </c>
      <c r="BM2480" s="82">
        <f>($F2480-$F2481)*100</f>
        <v/>
      </c>
      <c r="BN2480" s="82">
        <f>$AF2480-$AF2481</f>
        <v/>
      </c>
      <c r="BO2480" s="82">
        <f>$AG2480-$AG2481</f>
        <v/>
      </c>
      <c r="BP2480" s="82">
        <f>$AJ2480-$AJ2481</f>
        <v/>
      </c>
    </row>
    <row r="2481">
      <c r="AR2481" s="81">
        <f>($G2481+($H2481-$G2481)*0.5)+($P2481-($O2481+($Q2481-$O2481)*0.5))</f>
        <v/>
      </c>
      <c r="AS2481" s="81">
        <f>($J2481+($K2481-$J2481)*0.5)+($T2481-($S2481+($U2481-$S2481)*0.5))</f>
        <v/>
      </c>
      <c r="AT2481" s="82">
        <f>($J2481-$C2481)*100</f>
        <v/>
      </c>
      <c r="AU2481" s="82">
        <f>($H2481-$F2481)*100</f>
        <v/>
      </c>
      <c r="AV2481" s="82">
        <f>($J2481-$F2481)*100</f>
        <v/>
      </c>
      <c r="AW2481" s="82">
        <f>($L2481-$F2481)*100</f>
        <v/>
      </c>
      <c r="AX2481" s="82">
        <f>($J2481-$H2481)*100</f>
        <v/>
      </c>
      <c r="AY2481" s="82">
        <f>($L2481-$H2481)*100</f>
        <v/>
      </c>
      <c r="AZ2481" s="82">
        <f>($L2481-$J2481)*100</f>
        <v/>
      </c>
      <c r="BA2481" s="82">
        <f>(2*$H2481-$F2481-$J2481)*100</f>
        <v/>
      </c>
      <c r="BB2481" s="82">
        <f>(2*$J2481-$H2481-$L2481)*100</f>
        <v/>
      </c>
      <c r="BC2481" s="82">
        <f>($N2481-$F2481)*100</f>
        <v/>
      </c>
      <c r="BD2481" s="82">
        <f>($Q2481-$H2481)*100</f>
        <v/>
      </c>
      <c r="BE2481" s="82">
        <f>($S2481-$J2481)*100</f>
        <v/>
      </c>
      <c r="BF2481" s="82">
        <f>($V2481-$L2481)*100</f>
        <v/>
      </c>
      <c r="BG2481" s="82">
        <f>$AG2481-$AF2481</f>
        <v/>
      </c>
      <c r="BH2481" s="81">
        <f>IFERROR($AG2481/$AF2481,"")</f>
        <v/>
      </c>
      <c r="BI2481" s="82">
        <f>$AJ2481-$AF2481</f>
        <v/>
      </c>
      <c r="BJ2481" s="81">
        <f>IFERROR($AJ2481/$AG2481,"")</f>
        <v/>
      </c>
      <c r="BK2481" s="81">
        <f>$X2481</f>
        <v/>
      </c>
      <c r="BL2481" s="82">
        <f>($J2481-$J2482)*100</f>
        <v/>
      </c>
      <c r="BM2481" s="82">
        <f>($F2481-$F2482)*100</f>
        <v/>
      </c>
      <c r="BN2481" s="82">
        <f>$AF2481-$AF2482</f>
        <v/>
      </c>
      <c r="BO2481" s="82">
        <f>$AG2481-$AG2482</f>
        <v/>
      </c>
      <c r="BP2481" s="82">
        <f>$AJ2481-$AJ2482</f>
        <v/>
      </c>
    </row>
    <row r="2482">
      <c r="AR2482" s="81">
        <f>($G2482+($H2482-$G2482)*0.5)+($P2482-($O2482+($Q2482-$O2482)*0.5))</f>
        <v/>
      </c>
      <c r="AS2482" s="81">
        <f>($J2482+($K2482-$J2482)*0.5)+($T2482-($S2482+($U2482-$S2482)*0.5))</f>
        <v/>
      </c>
      <c r="AT2482" s="82">
        <f>($J2482-$C2482)*100</f>
        <v/>
      </c>
      <c r="AU2482" s="82">
        <f>($H2482-$F2482)*100</f>
        <v/>
      </c>
      <c r="AV2482" s="82">
        <f>($J2482-$F2482)*100</f>
        <v/>
      </c>
      <c r="AW2482" s="82">
        <f>($L2482-$F2482)*100</f>
        <v/>
      </c>
      <c r="AX2482" s="82">
        <f>($J2482-$H2482)*100</f>
        <v/>
      </c>
      <c r="AY2482" s="82">
        <f>($L2482-$H2482)*100</f>
        <v/>
      </c>
      <c r="AZ2482" s="82">
        <f>($L2482-$J2482)*100</f>
        <v/>
      </c>
      <c r="BA2482" s="82">
        <f>(2*$H2482-$F2482-$J2482)*100</f>
        <v/>
      </c>
      <c r="BB2482" s="82">
        <f>(2*$J2482-$H2482-$L2482)*100</f>
        <v/>
      </c>
      <c r="BC2482" s="82">
        <f>($N2482-$F2482)*100</f>
        <v/>
      </c>
      <c r="BD2482" s="82">
        <f>($Q2482-$H2482)*100</f>
        <v/>
      </c>
      <c r="BE2482" s="82">
        <f>($S2482-$J2482)*100</f>
        <v/>
      </c>
      <c r="BF2482" s="82">
        <f>($V2482-$L2482)*100</f>
        <v/>
      </c>
      <c r="BG2482" s="82">
        <f>$AG2482-$AF2482</f>
        <v/>
      </c>
      <c r="BH2482" s="81">
        <f>IFERROR($AG2482/$AF2482,"")</f>
        <v/>
      </c>
      <c r="BI2482" s="82">
        <f>$AJ2482-$AF2482</f>
        <v/>
      </c>
      <c r="BJ2482" s="81">
        <f>IFERROR($AJ2482/$AG2482,"")</f>
        <v/>
      </c>
      <c r="BK2482" s="81">
        <f>$X2482</f>
        <v/>
      </c>
      <c r="BL2482" s="82">
        <f>($J2482-$J2483)*100</f>
        <v/>
      </c>
      <c r="BM2482" s="82">
        <f>($F2482-$F2483)*100</f>
        <v/>
      </c>
      <c r="BN2482" s="82">
        <f>$AF2482-$AF2483</f>
        <v/>
      </c>
      <c r="BO2482" s="82">
        <f>$AG2482-$AG2483</f>
        <v/>
      </c>
      <c r="BP2482" s="82">
        <f>$AJ2482-$AJ2483</f>
        <v/>
      </c>
    </row>
    <row r="2483">
      <c r="AR2483" s="81">
        <f>($G2483+($H2483-$G2483)*0.5)+($P2483-($O2483+($Q2483-$O2483)*0.5))</f>
        <v/>
      </c>
      <c r="AS2483" s="81">
        <f>($J2483+($K2483-$J2483)*0.5)+($T2483-($S2483+($U2483-$S2483)*0.5))</f>
        <v/>
      </c>
      <c r="AT2483" s="82">
        <f>($J2483-$C2483)*100</f>
        <v/>
      </c>
      <c r="AU2483" s="82">
        <f>($H2483-$F2483)*100</f>
        <v/>
      </c>
      <c r="AV2483" s="82">
        <f>($J2483-$F2483)*100</f>
        <v/>
      </c>
      <c r="AW2483" s="82">
        <f>($L2483-$F2483)*100</f>
        <v/>
      </c>
      <c r="AX2483" s="82">
        <f>($J2483-$H2483)*100</f>
        <v/>
      </c>
      <c r="AY2483" s="82">
        <f>($L2483-$H2483)*100</f>
        <v/>
      </c>
      <c r="AZ2483" s="82">
        <f>($L2483-$J2483)*100</f>
        <v/>
      </c>
      <c r="BA2483" s="82">
        <f>(2*$H2483-$F2483-$J2483)*100</f>
        <v/>
      </c>
      <c r="BB2483" s="82">
        <f>(2*$J2483-$H2483-$L2483)*100</f>
        <v/>
      </c>
      <c r="BC2483" s="82">
        <f>($N2483-$F2483)*100</f>
        <v/>
      </c>
      <c r="BD2483" s="82">
        <f>($Q2483-$H2483)*100</f>
        <v/>
      </c>
      <c r="BE2483" s="82">
        <f>($S2483-$J2483)*100</f>
        <v/>
      </c>
      <c r="BF2483" s="82">
        <f>($V2483-$L2483)*100</f>
        <v/>
      </c>
      <c r="BG2483" s="82">
        <f>$AG2483-$AF2483</f>
        <v/>
      </c>
      <c r="BH2483" s="81">
        <f>IFERROR($AG2483/$AF2483,"")</f>
        <v/>
      </c>
      <c r="BI2483" s="82">
        <f>$AJ2483-$AF2483</f>
        <v/>
      </c>
      <c r="BJ2483" s="81">
        <f>IFERROR($AJ2483/$AG2483,"")</f>
        <v/>
      </c>
      <c r="BK2483" s="81">
        <f>$X2483</f>
        <v/>
      </c>
      <c r="BL2483" s="82">
        <f>($J2483-$J2484)*100</f>
        <v/>
      </c>
      <c r="BM2483" s="82">
        <f>($F2483-$F2484)*100</f>
        <v/>
      </c>
      <c r="BN2483" s="82">
        <f>$AF2483-$AF2484</f>
        <v/>
      </c>
      <c r="BO2483" s="82">
        <f>$AG2483-$AG2484</f>
        <v/>
      </c>
      <c r="BP2483" s="82">
        <f>$AJ2483-$AJ2484</f>
        <v/>
      </c>
    </row>
    <row r="2484">
      <c r="AR2484" s="81">
        <f>($G2484+($H2484-$G2484)*0.5)+($P2484-($O2484+($Q2484-$O2484)*0.5))</f>
        <v/>
      </c>
      <c r="AS2484" s="81">
        <f>($J2484+($K2484-$J2484)*0.5)+($T2484-($S2484+($U2484-$S2484)*0.5))</f>
        <v/>
      </c>
      <c r="AT2484" s="82">
        <f>($J2484-$C2484)*100</f>
        <v/>
      </c>
      <c r="AU2484" s="82">
        <f>($H2484-$F2484)*100</f>
        <v/>
      </c>
      <c r="AV2484" s="82">
        <f>($J2484-$F2484)*100</f>
        <v/>
      </c>
      <c r="AW2484" s="82">
        <f>($L2484-$F2484)*100</f>
        <v/>
      </c>
      <c r="AX2484" s="82">
        <f>($J2484-$H2484)*100</f>
        <v/>
      </c>
      <c r="AY2484" s="82">
        <f>($L2484-$H2484)*100</f>
        <v/>
      </c>
      <c r="AZ2484" s="82">
        <f>($L2484-$J2484)*100</f>
        <v/>
      </c>
      <c r="BA2484" s="82">
        <f>(2*$H2484-$F2484-$J2484)*100</f>
        <v/>
      </c>
      <c r="BB2484" s="82">
        <f>(2*$J2484-$H2484-$L2484)*100</f>
        <v/>
      </c>
      <c r="BC2484" s="82">
        <f>($N2484-$F2484)*100</f>
        <v/>
      </c>
      <c r="BD2484" s="82">
        <f>($Q2484-$H2484)*100</f>
        <v/>
      </c>
      <c r="BE2484" s="82">
        <f>($S2484-$J2484)*100</f>
        <v/>
      </c>
      <c r="BF2484" s="82">
        <f>($V2484-$L2484)*100</f>
        <v/>
      </c>
      <c r="BG2484" s="82">
        <f>$AG2484-$AF2484</f>
        <v/>
      </c>
      <c r="BH2484" s="81">
        <f>IFERROR($AG2484/$AF2484,"")</f>
        <v/>
      </c>
      <c r="BI2484" s="82">
        <f>$AJ2484-$AF2484</f>
        <v/>
      </c>
      <c r="BJ2484" s="81">
        <f>IFERROR($AJ2484/$AG2484,"")</f>
        <v/>
      </c>
      <c r="BK2484" s="81">
        <f>$X2484</f>
        <v/>
      </c>
      <c r="BL2484" s="82">
        <f>($J2484-$J2485)*100</f>
        <v/>
      </c>
      <c r="BM2484" s="82">
        <f>($F2484-$F2485)*100</f>
        <v/>
      </c>
      <c r="BN2484" s="82">
        <f>$AF2484-$AF2485</f>
        <v/>
      </c>
      <c r="BO2484" s="82">
        <f>$AG2484-$AG2485</f>
        <v/>
      </c>
      <c r="BP2484" s="82">
        <f>$AJ2484-$AJ2485</f>
        <v/>
      </c>
    </row>
    <row r="2485">
      <c r="AR2485" s="81">
        <f>($G2485+($H2485-$G2485)*0.5)+($P2485-($O2485+($Q2485-$O2485)*0.5))</f>
        <v/>
      </c>
      <c r="AS2485" s="81">
        <f>($J2485+($K2485-$J2485)*0.5)+($T2485-($S2485+($U2485-$S2485)*0.5))</f>
        <v/>
      </c>
      <c r="AT2485" s="82">
        <f>($J2485-$C2485)*100</f>
        <v/>
      </c>
      <c r="AU2485" s="82">
        <f>($H2485-$F2485)*100</f>
        <v/>
      </c>
      <c r="AV2485" s="82">
        <f>($J2485-$F2485)*100</f>
        <v/>
      </c>
      <c r="AW2485" s="82">
        <f>($L2485-$F2485)*100</f>
        <v/>
      </c>
      <c r="AX2485" s="82">
        <f>($J2485-$H2485)*100</f>
        <v/>
      </c>
      <c r="AY2485" s="82">
        <f>($L2485-$H2485)*100</f>
        <v/>
      </c>
      <c r="AZ2485" s="82">
        <f>($L2485-$J2485)*100</f>
        <v/>
      </c>
      <c r="BA2485" s="82">
        <f>(2*$H2485-$F2485-$J2485)*100</f>
        <v/>
      </c>
      <c r="BB2485" s="82">
        <f>(2*$J2485-$H2485-$L2485)*100</f>
        <v/>
      </c>
      <c r="BC2485" s="82">
        <f>($N2485-$F2485)*100</f>
        <v/>
      </c>
      <c r="BD2485" s="82">
        <f>($Q2485-$H2485)*100</f>
        <v/>
      </c>
      <c r="BE2485" s="82">
        <f>($S2485-$J2485)*100</f>
        <v/>
      </c>
      <c r="BF2485" s="82">
        <f>($V2485-$L2485)*100</f>
        <v/>
      </c>
      <c r="BG2485" s="82">
        <f>$AG2485-$AF2485</f>
        <v/>
      </c>
      <c r="BH2485" s="81">
        <f>IFERROR($AG2485/$AF2485,"")</f>
        <v/>
      </c>
      <c r="BI2485" s="82">
        <f>$AJ2485-$AF2485</f>
        <v/>
      </c>
      <c r="BJ2485" s="81">
        <f>IFERROR($AJ2485/$AG2485,"")</f>
        <v/>
      </c>
      <c r="BK2485" s="81">
        <f>$X2485</f>
        <v/>
      </c>
      <c r="BL2485" s="82">
        <f>($J2485-$J2486)*100</f>
        <v/>
      </c>
      <c r="BM2485" s="82">
        <f>($F2485-$F2486)*100</f>
        <v/>
      </c>
      <c r="BN2485" s="82">
        <f>$AF2485-$AF2486</f>
        <v/>
      </c>
      <c r="BO2485" s="82">
        <f>$AG2485-$AG2486</f>
        <v/>
      </c>
      <c r="BP2485" s="82">
        <f>$AJ2485-$AJ2486</f>
        <v/>
      </c>
    </row>
    <row r="2486">
      <c r="AR2486" s="81">
        <f>($G2486+($H2486-$G2486)*0.5)+($P2486-($O2486+($Q2486-$O2486)*0.5))</f>
        <v/>
      </c>
      <c r="AS2486" s="81">
        <f>($J2486+($K2486-$J2486)*0.5)+($T2486-($S2486+($U2486-$S2486)*0.5))</f>
        <v/>
      </c>
      <c r="AT2486" s="82">
        <f>($J2486-$C2486)*100</f>
        <v/>
      </c>
      <c r="AU2486" s="82">
        <f>($H2486-$F2486)*100</f>
        <v/>
      </c>
      <c r="AV2486" s="82">
        <f>($J2486-$F2486)*100</f>
        <v/>
      </c>
      <c r="AW2486" s="82">
        <f>($L2486-$F2486)*100</f>
        <v/>
      </c>
      <c r="AX2486" s="82">
        <f>($J2486-$H2486)*100</f>
        <v/>
      </c>
      <c r="AY2486" s="82">
        <f>($L2486-$H2486)*100</f>
        <v/>
      </c>
      <c r="AZ2486" s="82">
        <f>($L2486-$J2486)*100</f>
        <v/>
      </c>
      <c r="BA2486" s="82">
        <f>(2*$H2486-$F2486-$J2486)*100</f>
        <v/>
      </c>
      <c r="BB2486" s="82">
        <f>(2*$J2486-$H2486-$L2486)*100</f>
        <v/>
      </c>
      <c r="BC2486" s="82">
        <f>($N2486-$F2486)*100</f>
        <v/>
      </c>
      <c r="BD2486" s="82">
        <f>($Q2486-$H2486)*100</f>
        <v/>
      </c>
      <c r="BE2486" s="82">
        <f>($S2486-$J2486)*100</f>
        <v/>
      </c>
      <c r="BF2486" s="82">
        <f>($V2486-$L2486)*100</f>
        <v/>
      </c>
      <c r="BG2486" s="82">
        <f>$AG2486-$AF2486</f>
        <v/>
      </c>
      <c r="BH2486" s="81">
        <f>IFERROR($AG2486/$AF2486,"")</f>
        <v/>
      </c>
      <c r="BI2486" s="82">
        <f>$AJ2486-$AF2486</f>
        <v/>
      </c>
      <c r="BJ2486" s="81">
        <f>IFERROR($AJ2486/$AG2486,"")</f>
        <v/>
      </c>
      <c r="BK2486" s="81">
        <f>$X2486</f>
        <v/>
      </c>
      <c r="BL2486" s="82">
        <f>($J2486-$J2487)*100</f>
        <v/>
      </c>
      <c r="BM2486" s="82">
        <f>($F2486-$F2487)*100</f>
        <v/>
      </c>
      <c r="BN2486" s="82">
        <f>$AF2486-$AF2487</f>
        <v/>
      </c>
      <c r="BO2486" s="82">
        <f>$AG2486-$AG2487</f>
        <v/>
      </c>
      <c r="BP2486" s="82">
        <f>$AJ2486-$AJ2487</f>
        <v/>
      </c>
    </row>
    <row r="2487">
      <c r="AR2487" s="81">
        <f>($G2487+($H2487-$G2487)*0.5)+($P2487-($O2487+($Q2487-$O2487)*0.5))</f>
        <v/>
      </c>
      <c r="AS2487" s="81">
        <f>($J2487+($K2487-$J2487)*0.5)+($T2487-($S2487+($U2487-$S2487)*0.5))</f>
        <v/>
      </c>
      <c r="AT2487" s="82">
        <f>($J2487-$C2487)*100</f>
        <v/>
      </c>
      <c r="AU2487" s="82">
        <f>($H2487-$F2487)*100</f>
        <v/>
      </c>
      <c r="AV2487" s="82">
        <f>($J2487-$F2487)*100</f>
        <v/>
      </c>
      <c r="AW2487" s="82">
        <f>($L2487-$F2487)*100</f>
        <v/>
      </c>
      <c r="AX2487" s="82">
        <f>($J2487-$H2487)*100</f>
        <v/>
      </c>
      <c r="AY2487" s="82">
        <f>($L2487-$H2487)*100</f>
        <v/>
      </c>
      <c r="AZ2487" s="82">
        <f>($L2487-$J2487)*100</f>
        <v/>
      </c>
      <c r="BA2487" s="82">
        <f>(2*$H2487-$F2487-$J2487)*100</f>
        <v/>
      </c>
      <c r="BB2487" s="82">
        <f>(2*$J2487-$H2487-$L2487)*100</f>
        <v/>
      </c>
      <c r="BC2487" s="82">
        <f>($N2487-$F2487)*100</f>
        <v/>
      </c>
      <c r="BD2487" s="82">
        <f>($Q2487-$H2487)*100</f>
        <v/>
      </c>
      <c r="BE2487" s="82">
        <f>($S2487-$J2487)*100</f>
        <v/>
      </c>
      <c r="BF2487" s="82">
        <f>($V2487-$L2487)*100</f>
        <v/>
      </c>
      <c r="BG2487" s="82">
        <f>$AG2487-$AF2487</f>
        <v/>
      </c>
      <c r="BH2487" s="81">
        <f>IFERROR($AG2487/$AF2487,"")</f>
        <v/>
      </c>
      <c r="BI2487" s="82">
        <f>$AJ2487-$AF2487</f>
        <v/>
      </c>
      <c r="BJ2487" s="81">
        <f>IFERROR($AJ2487/$AG2487,"")</f>
        <v/>
      </c>
      <c r="BK2487" s="81">
        <f>$X2487</f>
        <v/>
      </c>
      <c r="BL2487" s="82">
        <f>($J2487-$J2488)*100</f>
        <v/>
      </c>
      <c r="BM2487" s="82">
        <f>($F2487-$F2488)*100</f>
        <v/>
      </c>
      <c r="BN2487" s="82">
        <f>$AF2487-$AF2488</f>
        <v/>
      </c>
      <c r="BO2487" s="82">
        <f>$AG2487-$AG2488</f>
        <v/>
      </c>
      <c r="BP2487" s="82">
        <f>$AJ2487-$AJ2488</f>
        <v/>
      </c>
    </row>
    <row r="2488">
      <c r="AR2488" s="81">
        <f>($G2488+($H2488-$G2488)*0.5)+($P2488-($O2488+($Q2488-$O2488)*0.5))</f>
        <v/>
      </c>
      <c r="AS2488" s="81">
        <f>($J2488+($K2488-$J2488)*0.5)+($T2488-($S2488+($U2488-$S2488)*0.5))</f>
        <v/>
      </c>
      <c r="AT2488" s="82">
        <f>($J2488-$C2488)*100</f>
        <v/>
      </c>
      <c r="AU2488" s="82">
        <f>($H2488-$F2488)*100</f>
        <v/>
      </c>
      <c r="AV2488" s="82">
        <f>($J2488-$F2488)*100</f>
        <v/>
      </c>
      <c r="AW2488" s="82">
        <f>($L2488-$F2488)*100</f>
        <v/>
      </c>
      <c r="AX2488" s="82">
        <f>($J2488-$H2488)*100</f>
        <v/>
      </c>
      <c r="AY2488" s="82">
        <f>($L2488-$H2488)*100</f>
        <v/>
      </c>
      <c r="AZ2488" s="82">
        <f>($L2488-$J2488)*100</f>
        <v/>
      </c>
      <c r="BA2488" s="82">
        <f>(2*$H2488-$F2488-$J2488)*100</f>
        <v/>
      </c>
      <c r="BB2488" s="82">
        <f>(2*$J2488-$H2488-$L2488)*100</f>
        <v/>
      </c>
      <c r="BC2488" s="82">
        <f>($N2488-$F2488)*100</f>
        <v/>
      </c>
      <c r="BD2488" s="82">
        <f>($Q2488-$H2488)*100</f>
        <v/>
      </c>
      <c r="BE2488" s="82">
        <f>($S2488-$J2488)*100</f>
        <v/>
      </c>
      <c r="BF2488" s="82">
        <f>($V2488-$L2488)*100</f>
        <v/>
      </c>
      <c r="BG2488" s="82">
        <f>$AG2488-$AF2488</f>
        <v/>
      </c>
      <c r="BH2488" s="81">
        <f>IFERROR($AG2488/$AF2488,"")</f>
        <v/>
      </c>
      <c r="BI2488" s="82">
        <f>$AJ2488-$AF2488</f>
        <v/>
      </c>
      <c r="BJ2488" s="81">
        <f>IFERROR($AJ2488/$AG2488,"")</f>
        <v/>
      </c>
      <c r="BK2488" s="81">
        <f>$X2488</f>
        <v/>
      </c>
      <c r="BL2488" s="82">
        <f>($J2488-$J2489)*100</f>
        <v/>
      </c>
      <c r="BM2488" s="82">
        <f>($F2488-$F2489)*100</f>
        <v/>
      </c>
      <c r="BN2488" s="82">
        <f>$AF2488-$AF2489</f>
        <v/>
      </c>
      <c r="BO2488" s="82">
        <f>$AG2488-$AG2489</f>
        <v/>
      </c>
      <c r="BP2488" s="82">
        <f>$AJ2488-$AJ2489</f>
        <v/>
      </c>
    </row>
    <row r="2489">
      <c r="AR2489" s="81">
        <f>($G2489+($H2489-$G2489)*0.5)+($P2489-($O2489+($Q2489-$O2489)*0.5))</f>
        <v/>
      </c>
      <c r="AS2489" s="81">
        <f>($J2489+($K2489-$J2489)*0.5)+($T2489-($S2489+($U2489-$S2489)*0.5))</f>
        <v/>
      </c>
      <c r="AT2489" s="82">
        <f>($J2489-$C2489)*100</f>
        <v/>
      </c>
      <c r="AU2489" s="82">
        <f>($H2489-$F2489)*100</f>
        <v/>
      </c>
      <c r="AV2489" s="82">
        <f>($J2489-$F2489)*100</f>
        <v/>
      </c>
      <c r="AW2489" s="82">
        <f>($L2489-$F2489)*100</f>
        <v/>
      </c>
      <c r="AX2489" s="82">
        <f>($J2489-$H2489)*100</f>
        <v/>
      </c>
      <c r="AY2489" s="82">
        <f>($L2489-$H2489)*100</f>
        <v/>
      </c>
      <c r="AZ2489" s="82">
        <f>($L2489-$J2489)*100</f>
        <v/>
      </c>
      <c r="BA2489" s="82">
        <f>(2*$H2489-$F2489-$J2489)*100</f>
        <v/>
      </c>
      <c r="BB2489" s="82">
        <f>(2*$J2489-$H2489-$L2489)*100</f>
        <v/>
      </c>
      <c r="BC2489" s="82">
        <f>($N2489-$F2489)*100</f>
        <v/>
      </c>
      <c r="BD2489" s="82">
        <f>($Q2489-$H2489)*100</f>
        <v/>
      </c>
      <c r="BE2489" s="82">
        <f>($S2489-$J2489)*100</f>
        <v/>
      </c>
      <c r="BF2489" s="82">
        <f>($V2489-$L2489)*100</f>
        <v/>
      </c>
      <c r="BG2489" s="82">
        <f>$AG2489-$AF2489</f>
        <v/>
      </c>
      <c r="BH2489" s="81">
        <f>IFERROR($AG2489/$AF2489,"")</f>
        <v/>
      </c>
      <c r="BI2489" s="82">
        <f>$AJ2489-$AF2489</f>
        <v/>
      </c>
      <c r="BJ2489" s="81">
        <f>IFERROR($AJ2489/$AG2489,"")</f>
        <v/>
      </c>
      <c r="BK2489" s="81">
        <f>$X2489</f>
        <v/>
      </c>
      <c r="BL2489" s="82">
        <f>($J2489-$J2490)*100</f>
        <v/>
      </c>
      <c r="BM2489" s="82">
        <f>($F2489-$F2490)*100</f>
        <v/>
      </c>
      <c r="BN2489" s="82">
        <f>$AF2489-$AF2490</f>
        <v/>
      </c>
      <c r="BO2489" s="82">
        <f>$AG2489-$AG2490</f>
        <v/>
      </c>
      <c r="BP2489" s="82">
        <f>$AJ2489-$AJ2490</f>
        <v/>
      </c>
    </row>
    <row r="2490">
      <c r="AR2490" s="81">
        <f>($G2490+($H2490-$G2490)*0.5)+($P2490-($O2490+($Q2490-$O2490)*0.5))</f>
        <v/>
      </c>
      <c r="AS2490" s="81">
        <f>($J2490+($K2490-$J2490)*0.5)+($T2490-($S2490+($U2490-$S2490)*0.5))</f>
        <v/>
      </c>
      <c r="AT2490" s="82">
        <f>($J2490-$C2490)*100</f>
        <v/>
      </c>
      <c r="AU2490" s="82">
        <f>($H2490-$F2490)*100</f>
        <v/>
      </c>
      <c r="AV2490" s="82">
        <f>($J2490-$F2490)*100</f>
        <v/>
      </c>
      <c r="AW2490" s="82">
        <f>($L2490-$F2490)*100</f>
        <v/>
      </c>
      <c r="AX2490" s="82">
        <f>($J2490-$H2490)*100</f>
        <v/>
      </c>
      <c r="AY2490" s="82">
        <f>($L2490-$H2490)*100</f>
        <v/>
      </c>
      <c r="AZ2490" s="82">
        <f>($L2490-$J2490)*100</f>
        <v/>
      </c>
      <c r="BA2490" s="82">
        <f>(2*$H2490-$F2490-$J2490)*100</f>
        <v/>
      </c>
      <c r="BB2490" s="82">
        <f>(2*$J2490-$H2490-$L2490)*100</f>
        <v/>
      </c>
      <c r="BC2490" s="82">
        <f>($N2490-$F2490)*100</f>
        <v/>
      </c>
      <c r="BD2490" s="82">
        <f>($Q2490-$H2490)*100</f>
        <v/>
      </c>
      <c r="BE2490" s="82">
        <f>($S2490-$J2490)*100</f>
        <v/>
      </c>
      <c r="BF2490" s="82">
        <f>($V2490-$L2490)*100</f>
        <v/>
      </c>
      <c r="BG2490" s="82">
        <f>$AG2490-$AF2490</f>
        <v/>
      </c>
      <c r="BH2490" s="81">
        <f>IFERROR($AG2490/$AF2490,"")</f>
        <v/>
      </c>
      <c r="BI2490" s="82">
        <f>$AJ2490-$AF2490</f>
        <v/>
      </c>
      <c r="BJ2490" s="81">
        <f>IFERROR($AJ2490/$AG2490,"")</f>
        <v/>
      </c>
      <c r="BK2490" s="81">
        <f>$X2490</f>
        <v/>
      </c>
      <c r="BL2490" s="82">
        <f>($J2490-$J2491)*100</f>
        <v/>
      </c>
      <c r="BM2490" s="82">
        <f>($F2490-$F2491)*100</f>
        <v/>
      </c>
      <c r="BN2490" s="82">
        <f>$AF2490-$AF2491</f>
        <v/>
      </c>
      <c r="BO2490" s="82">
        <f>$AG2490-$AG2491</f>
        <v/>
      </c>
      <c r="BP2490" s="82">
        <f>$AJ2490-$AJ2491</f>
        <v/>
      </c>
    </row>
    <row r="2491">
      <c r="AR2491" s="81">
        <f>($G2491+($H2491-$G2491)*0.5)+($P2491-($O2491+($Q2491-$O2491)*0.5))</f>
        <v/>
      </c>
      <c r="AS2491" s="81">
        <f>($J2491+($K2491-$J2491)*0.5)+($T2491-($S2491+($U2491-$S2491)*0.5))</f>
        <v/>
      </c>
      <c r="AT2491" s="82">
        <f>($J2491-$C2491)*100</f>
        <v/>
      </c>
      <c r="AU2491" s="82">
        <f>($H2491-$F2491)*100</f>
        <v/>
      </c>
      <c r="AV2491" s="82">
        <f>($J2491-$F2491)*100</f>
        <v/>
      </c>
      <c r="AW2491" s="82">
        <f>($L2491-$F2491)*100</f>
        <v/>
      </c>
      <c r="AX2491" s="82">
        <f>($J2491-$H2491)*100</f>
        <v/>
      </c>
      <c r="AY2491" s="82">
        <f>($L2491-$H2491)*100</f>
        <v/>
      </c>
      <c r="AZ2491" s="82">
        <f>($L2491-$J2491)*100</f>
        <v/>
      </c>
      <c r="BA2491" s="82">
        <f>(2*$H2491-$F2491-$J2491)*100</f>
        <v/>
      </c>
      <c r="BB2491" s="82">
        <f>(2*$J2491-$H2491-$L2491)*100</f>
        <v/>
      </c>
      <c r="BC2491" s="82">
        <f>($N2491-$F2491)*100</f>
        <v/>
      </c>
      <c r="BD2491" s="82">
        <f>($Q2491-$H2491)*100</f>
        <v/>
      </c>
      <c r="BE2491" s="82">
        <f>($S2491-$J2491)*100</f>
        <v/>
      </c>
      <c r="BF2491" s="82">
        <f>($V2491-$L2491)*100</f>
        <v/>
      </c>
      <c r="BG2491" s="82">
        <f>$AG2491-$AF2491</f>
        <v/>
      </c>
      <c r="BH2491" s="81">
        <f>IFERROR($AG2491/$AF2491,"")</f>
        <v/>
      </c>
      <c r="BI2491" s="82">
        <f>$AJ2491-$AF2491</f>
        <v/>
      </c>
      <c r="BJ2491" s="81">
        <f>IFERROR($AJ2491/$AG2491,"")</f>
        <v/>
      </c>
      <c r="BK2491" s="81">
        <f>$X2491</f>
        <v/>
      </c>
      <c r="BL2491" s="82">
        <f>($J2491-$J2492)*100</f>
        <v/>
      </c>
      <c r="BM2491" s="82">
        <f>($F2491-$F2492)*100</f>
        <v/>
      </c>
      <c r="BN2491" s="82">
        <f>$AF2491-$AF2492</f>
        <v/>
      </c>
      <c r="BO2491" s="82">
        <f>$AG2491-$AG2492</f>
        <v/>
      </c>
      <c r="BP2491" s="82">
        <f>$AJ2491-$AJ2492</f>
        <v/>
      </c>
    </row>
    <row r="2492">
      <c r="AR2492" s="81">
        <f>($G2492+($H2492-$G2492)*0.5)+($P2492-($O2492+($Q2492-$O2492)*0.5))</f>
        <v/>
      </c>
      <c r="AS2492" s="81">
        <f>($J2492+($K2492-$J2492)*0.5)+($T2492-($S2492+($U2492-$S2492)*0.5))</f>
        <v/>
      </c>
      <c r="AT2492" s="82">
        <f>($J2492-$C2492)*100</f>
        <v/>
      </c>
      <c r="AU2492" s="82">
        <f>($H2492-$F2492)*100</f>
        <v/>
      </c>
      <c r="AV2492" s="82">
        <f>($J2492-$F2492)*100</f>
        <v/>
      </c>
      <c r="AW2492" s="82">
        <f>($L2492-$F2492)*100</f>
        <v/>
      </c>
      <c r="AX2492" s="82">
        <f>($J2492-$H2492)*100</f>
        <v/>
      </c>
      <c r="AY2492" s="82">
        <f>($L2492-$H2492)*100</f>
        <v/>
      </c>
      <c r="AZ2492" s="82">
        <f>($L2492-$J2492)*100</f>
        <v/>
      </c>
      <c r="BA2492" s="82">
        <f>(2*$H2492-$F2492-$J2492)*100</f>
        <v/>
      </c>
      <c r="BB2492" s="82">
        <f>(2*$J2492-$H2492-$L2492)*100</f>
        <v/>
      </c>
      <c r="BC2492" s="82">
        <f>($N2492-$F2492)*100</f>
        <v/>
      </c>
      <c r="BD2492" s="82">
        <f>($Q2492-$H2492)*100</f>
        <v/>
      </c>
      <c r="BE2492" s="82">
        <f>($S2492-$J2492)*100</f>
        <v/>
      </c>
      <c r="BF2492" s="82">
        <f>($V2492-$L2492)*100</f>
        <v/>
      </c>
      <c r="BG2492" s="82">
        <f>$AG2492-$AF2492</f>
        <v/>
      </c>
      <c r="BH2492" s="81">
        <f>IFERROR($AG2492/$AF2492,"")</f>
        <v/>
      </c>
      <c r="BI2492" s="82">
        <f>$AJ2492-$AF2492</f>
        <v/>
      </c>
      <c r="BJ2492" s="81">
        <f>IFERROR($AJ2492/$AG2492,"")</f>
        <v/>
      </c>
      <c r="BK2492" s="81">
        <f>$X2492</f>
        <v/>
      </c>
      <c r="BL2492" s="82">
        <f>($J2492-$J2493)*100</f>
        <v/>
      </c>
      <c r="BM2492" s="82">
        <f>($F2492-$F2493)*100</f>
        <v/>
      </c>
      <c r="BN2492" s="82">
        <f>$AF2492-$AF2493</f>
        <v/>
      </c>
      <c r="BO2492" s="82">
        <f>$AG2492-$AG2493</f>
        <v/>
      </c>
      <c r="BP2492" s="82">
        <f>$AJ2492-$AJ2493</f>
        <v/>
      </c>
    </row>
    <row r="2493">
      <c r="AR2493" s="81">
        <f>($G2493+($H2493-$G2493)*0.5)+($P2493-($O2493+($Q2493-$O2493)*0.5))</f>
        <v/>
      </c>
      <c r="AS2493" s="81">
        <f>($J2493+($K2493-$J2493)*0.5)+($T2493-($S2493+($U2493-$S2493)*0.5))</f>
        <v/>
      </c>
      <c r="AT2493" s="82">
        <f>($J2493-$C2493)*100</f>
        <v/>
      </c>
      <c r="AU2493" s="82">
        <f>($H2493-$F2493)*100</f>
        <v/>
      </c>
      <c r="AV2493" s="82">
        <f>($J2493-$F2493)*100</f>
        <v/>
      </c>
      <c r="AW2493" s="82">
        <f>($L2493-$F2493)*100</f>
        <v/>
      </c>
      <c r="AX2493" s="82">
        <f>($J2493-$H2493)*100</f>
        <v/>
      </c>
      <c r="AY2493" s="82">
        <f>($L2493-$H2493)*100</f>
        <v/>
      </c>
      <c r="AZ2493" s="82">
        <f>($L2493-$J2493)*100</f>
        <v/>
      </c>
      <c r="BA2493" s="82">
        <f>(2*$H2493-$F2493-$J2493)*100</f>
        <v/>
      </c>
      <c r="BB2493" s="82">
        <f>(2*$J2493-$H2493-$L2493)*100</f>
        <v/>
      </c>
      <c r="BC2493" s="82">
        <f>($N2493-$F2493)*100</f>
        <v/>
      </c>
      <c r="BD2493" s="82">
        <f>($Q2493-$H2493)*100</f>
        <v/>
      </c>
      <c r="BE2493" s="82">
        <f>($S2493-$J2493)*100</f>
        <v/>
      </c>
      <c r="BF2493" s="82">
        <f>($V2493-$L2493)*100</f>
        <v/>
      </c>
      <c r="BG2493" s="82">
        <f>$AG2493-$AF2493</f>
        <v/>
      </c>
      <c r="BH2493" s="81">
        <f>IFERROR($AG2493/$AF2493,"")</f>
        <v/>
      </c>
      <c r="BI2493" s="82">
        <f>$AJ2493-$AF2493</f>
        <v/>
      </c>
      <c r="BJ2493" s="81">
        <f>IFERROR($AJ2493/$AG2493,"")</f>
        <v/>
      </c>
      <c r="BK2493" s="81">
        <f>$X2493</f>
        <v/>
      </c>
      <c r="BL2493" s="82">
        <f>($J2493-$J2494)*100</f>
        <v/>
      </c>
      <c r="BM2493" s="82">
        <f>($F2493-$F2494)*100</f>
        <v/>
      </c>
      <c r="BN2493" s="82">
        <f>$AF2493-$AF2494</f>
        <v/>
      </c>
      <c r="BO2493" s="82">
        <f>$AG2493-$AG2494</f>
        <v/>
      </c>
      <c r="BP2493" s="82">
        <f>$AJ2493-$AJ2494</f>
        <v/>
      </c>
    </row>
    <row r="2494">
      <c r="AR2494" s="81">
        <f>($G2494+($H2494-$G2494)*0.5)+($P2494-($O2494+($Q2494-$O2494)*0.5))</f>
        <v/>
      </c>
      <c r="AS2494" s="81">
        <f>($J2494+($K2494-$J2494)*0.5)+($T2494-($S2494+($U2494-$S2494)*0.5))</f>
        <v/>
      </c>
      <c r="AT2494" s="82">
        <f>($J2494-$C2494)*100</f>
        <v/>
      </c>
      <c r="AU2494" s="82">
        <f>($H2494-$F2494)*100</f>
        <v/>
      </c>
      <c r="AV2494" s="82">
        <f>($J2494-$F2494)*100</f>
        <v/>
      </c>
      <c r="AW2494" s="82">
        <f>($L2494-$F2494)*100</f>
        <v/>
      </c>
      <c r="AX2494" s="82">
        <f>($J2494-$H2494)*100</f>
        <v/>
      </c>
      <c r="AY2494" s="82">
        <f>($L2494-$H2494)*100</f>
        <v/>
      </c>
      <c r="AZ2494" s="82">
        <f>($L2494-$J2494)*100</f>
        <v/>
      </c>
      <c r="BA2494" s="82">
        <f>(2*$H2494-$F2494-$J2494)*100</f>
        <v/>
      </c>
      <c r="BB2494" s="82">
        <f>(2*$J2494-$H2494-$L2494)*100</f>
        <v/>
      </c>
      <c r="BC2494" s="82">
        <f>($N2494-$F2494)*100</f>
        <v/>
      </c>
      <c r="BD2494" s="82">
        <f>($Q2494-$H2494)*100</f>
        <v/>
      </c>
      <c r="BE2494" s="82">
        <f>($S2494-$J2494)*100</f>
        <v/>
      </c>
      <c r="BF2494" s="82">
        <f>($V2494-$L2494)*100</f>
        <v/>
      </c>
      <c r="BG2494" s="82">
        <f>$AG2494-$AF2494</f>
        <v/>
      </c>
      <c r="BH2494" s="81">
        <f>IFERROR($AG2494/$AF2494,"")</f>
        <v/>
      </c>
      <c r="BI2494" s="82">
        <f>$AJ2494-$AF2494</f>
        <v/>
      </c>
      <c r="BJ2494" s="81">
        <f>IFERROR($AJ2494/$AG2494,"")</f>
        <v/>
      </c>
      <c r="BK2494" s="81">
        <f>$X2494</f>
        <v/>
      </c>
      <c r="BL2494" s="82">
        <f>($J2494-$J2495)*100</f>
        <v/>
      </c>
      <c r="BM2494" s="82">
        <f>($F2494-$F2495)*100</f>
        <v/>
      </c>
      <c r="BN2494" s="82">
        <f>$AF2494-$AF2495</f>
        <v/>
      </c>
      <c r="BO2494" s="82">
        <f>$AG2494-$AG2495</f>
        <v/>
      </c>
      <c r="BP2494" s="82">
        <f>$AJ2494-$AJ2495</f>
        <v/>
      </c>
    </row>
    <row r="2495">
      <c r="AR2495" s="81">
        <f>($G2495+($H2495-$G2495)*0.5)+($P2495-($O2495+($Q2495-$O2495)*0.5))</f>
        <v/>
      </c>
      <c r="AS2495" s="81">
        <f>($J2495+($K2495-$J2495)*0.5)+($T2495-($S2495+($U2495-$S2495)*0.5))</f>
        <v/>
      </c>
      <c r="AT2495" s="82">
        <f>($J2495-$C2495)*100</f>
        <v/>
      </c>
      <c r="AU2495" s="82">
        <f>($H2495-$F2495)*100</f>
        <v/>
      </c>
      <c r="AV2495" s="82">
        <f>($J2495-$F2495)*100</f>
        <v/>
      </c>
      <c r="AW2495" s="82">
        <f>($L2495-$F2495)*100</f>
        <v/>
      </c>
      <c r="AX2495" s="82">
        <f>($J2495-$H2495)*100</f>
        <v/>
      </c>
      <c r="AY2495" s="82">
        <f>($L2495-$H2495)*100</f>
        <v/>
      </c>
      <c r="AZ2495" s="82">
        <f>($L2495-$J2495)*100</f>
        <v/>
      </c>
      <c r="BA2495" s="82">
        <f>(2*$H2495-$F2495-$J2495)*100</f>
        <v/>
      </c>
      <c r="BB2495" s="82">
        <f>(2*$J2495-$H2495-$L2495)*100</f>
        <v/>
      </c>
      <c r="BC2495" s="82">
        <f>($N2495-$F2495)*100</f>
        <v/>
      </c>
      <c r="BD2495" s="82">
        <f>($Q2495-$H2495)*100</f>
        <v/>
      </c>
      <c r="BE2495" s="82">
        <f>($S2495-$J2495)*100</f>
        <v/>
      </c>
      <c r="BF2495" s="82">
        <f>($V2495-$L2495)*100</f>
        <v/>
      </c>
      <c r="BG2495" s="82">
        <f>$AG2495-$AF2495</f>
        <v/>
      </c>
      <c r="BH2495" s="81">
        <f>IFERROR($AG2495/$AF2495,"")</f>
        <v/>
      </c>
      <c r="BI2495" s="82">
        <f>$AJ2495-$AF2495</f>
        <v/>
      </c>
      <c r="BJ2495" s="81">
        <f>IFERROR($AJ2495/$AG2495,"")</f>
        <v/>
      </c>
      <c r="BK2495" s="81">
        <f>$X2495</f>
        <v/>
      </c>
      <c r="BL2495" s="82">
        <f>($J2495-$J2496)*100</f>
        <v/>
      </c>
      <c r="BM2495" s="82">
        <f>($F2495-$F2496)*100</f>
        <v/>
      </c>
      <c r="BN2495" s="82">
        <f>$AF2495-$AF2496</f>
        <v/>
      </c>
      <c r="BO2495" s="82">
        <f>$AG2495-$AG2496</f>
        <v/>
      </c>
      <c r="BP2495" s="82">
        <f>$AJ2495-$AJ2496</f>
        <v/>
      </c>
    </row>
    <row r="2496">
      <c r="AR2496" s="81">
        <f>($G2496+($H2496-$G2496)*0.5)+($P2496-($O2496+($Q2496-$O2496)*0.5))</f>
        <v/>
      </c>
      <c r="AS2496" s="81">
        <f>($J2496+($K2496-$J2496)*0.5)+($T2496-($S2496+($U2496-$S2496)*0.5))</f>
        <v/>
      </c>
      <c r="AT2496" s="82">
        <f>($J2496-$C2496)*100</f>
        <v/>
      </c>
      <c r="AU2496" s="82">
        <f>($H2496-$F2496)*100</f>
        <v/>
      </c>
      <c r="AV2496" s="82">
        <f>($J2496-$F2496)*100</f>
        <v/>
      </c>
      <c r="AW2496" s="82">
        <f>($L2496-$F2496)*100</f>
        <v/>
      </c>
      <c r="AX2496" s="82">
        <f>($J2496-$H2496)*100</f>
        <v/>
      </c>
      <c r="AY2496" s="82">
        <f>($L2496-$H2496)*100</f>
        <v/>
      </c>
      <c r="AZ2496" s="82">
        <f>($L2496-$J2496)*100</f>
        <v/>
      </c>
      <c r="BA2496" s="82">
        <f>(2*$H2496-$F2496-$J2496)*100</f>
        <v/>
      </c>
      <c r="BB2496" s="82">
        <f>(2*$J2496-$H2496-$L2496)*100</f>
        <v/>
      </c>
      <c r="BC2496" s="82">
        <f>($N2496-$F2496)*100</f>
        <v/>
      </c>
      <c r="BD2496" s="82">
        <f>($Q2496-$H2496)*100</f>
        <v/>
      </c>
      <c r="BE2496" s="82">
        <f>($S2496-$J2496)*100</f>
        <v/>
      </c>
      <c r="BF2496" s="82">
        <f>($V2496-$L2496)*100</f>
        <v/>
      </c>
      <c r="BG2496" s="82">
        <f>$AG2496-$AF2496</f>
        <v/>
      </c>
      <c r="BH2496" s="81">
        <f>IFERROR($AG2496/$AF2496,"")</f>
        <v/>
      </c>
      <c r="BI2496" s="82">
        <f>$AJ2496-$AF2496</f>
        <v/>
      </c>
      <c r="BJ2496" s="81">
        <f>IFERROR($AJ2496/$AG2496,"")</f>
        <v/>
      </c>
      <c r="BK2496" s="81">
        <f>$X2496</f>
        <v/>
      </c>
      <c r="BL2496" s="82">
        <f>($J2496-$J2497)*100</f>
        <v/>
      </c>
      <c r="BM2496" s="82">
        <f>($F2496-$F2497)*100</f>
        <v/>
      </c>
      <c r="BN2496" s="82">
        <f>$AF2496-$AF2497</f>
        <v/>
      </c>
      <c r="BO2496" s="82">
        <f>$AG2496-$AG2497</f>
        <v/>
      </c>
      <c r="BP2496" s="82">
        <f>$AJ2496-$AJ2497</f>
        <v/>
      </c>
    </row>
    <row r="2497">
      <c r="AR2497" s="81">
        <f>($G2497+($H2497-$G2497)*0.5)+($P2497-($O2497+($Q2497-$O2497)*0.5))</f>
        <v/>
      </c>
      <c r="AS2497" s="81">
        <f>($J2497+($K2497-$J2497)*0.5)+($T2497-($S2497+($U2497-$S2497)*0.5))</f>
        <v/>
      </c>
      <c r="AT2497" s="82">
        <f>($J2497-$C2497)*100</f>
        <v/>
      </c>
      <c r="AU2497" s="82">
        <f>($H2497-$F2497)*100</f>
        <v/>
      </c>
      <c r="AV2497" s="82">
        <f>($J2497-$F2497)*100</f>
        <v/>
      </c>
      <c r="AW2497" s="82">
        <f>($L2497-$F2497)*100</f>
        <v/>
      </c>
      <c r="AX2497" s="82">
        <f>($J2497-$H2497)*100</f>
        <v/>
      </c>
      <c r="AY2497" s="82">
        <f>($L2497-$H2497)*100</f>
        <v/>
      </c>
      <c r="AZ2497" s="82">
        <f>($L2497-$J2497)*100</f>
        <v/>
      </c>
      <c r="BA2497" s="82">
        <f>(2*$H2497-$F2497-$J2497)*100</f>
        <v/>
      </c>
      <c r="BB2497" s="82">
        <f>(2*$J2497-$H2497-$L2497)*100</f>
        <v/>
      </c>
      <c r="BC2497" s="82">
        <f>($N2497-$F2497)*100</f>
        <v/>
      </c>
      <c r="BD2497" s="82">
        <f>($Q2497-$H2497)*100</f>
        <v/>
      </c>
      <c r="BE2497" s="82">
        <f>($S2497-$J2497)*100</f>
        <v/>
      </c>
      <c r="BF2497" s="82">
        <f>($V2497-$L2497)*100</f>
        <v/>
      </c>
      <c r="BG2497" s="82">
        <f>$AG2497-$AF2497</f>
        <v/>
      </c>
      <c r="BH2497" s="81">
        <f>IFERROR($AG2497/$AF2497,"")</f>
        <v/>
      </c>
      <c r="BI2497" s="82">
        <f>$AJ2497-$AF2497</f>
        <v/>
      </c>
      <c r="BJ2497" s="81">
        <f>IFERROR($AJ2497/$AG2497,"")</f>
        <v/>
      </c>
      <c r="BK2497" s="81">
        <f>$X2497</f>
        <v/>
      </c>
      <c r="BL2497" s="82">
        <f>($J2497-$J2498)*100</f>
        <v/>
      </c>
      <c r="BM2497" s="82">
        <f>($F2497-$F2498)*100</f>
        <v/>
      </c>
      <c r="BN2497" s="82">
        <f>$AF2497-$AF2498</f>
        <v/>
      </c>
      <c r="BO2497" s="82">
        <f>$AG2497-$AG2498</f>
        <v/>
      </c>
      <c r="BP2497" s="82">
        <f>$AJ2497-$AJ2498</f>
        <v/>
      </c>
    </row>
    <row r="2498">
      <c r="AR2498" s="81">
        <f>($G2498+($H2498-$G2498)*0.5)+($P2498-($O2498+($Q2498-$O2498)*0.5))</f>
        <v/>
      </c>
      <c r="AS2498" s="81">
        <f>($J2498+($K2498-$J2498)*0.5)+($T2498-($S2498+($U2498-$S2498)*0.5))</f>
        <v/>
      </c>
      <c r="AT2498" s="82">
        <f>($J2498-$C2498)*100</f>
        <v/>
      </c>
      <c r="AU2498" s="82">
        <f>($H2498-$F2498)*100</f>
        <v/>
      </c>
      <c r="AV2498" s="82">
        <f>($J2498-$F2498)*100</f>
        <v/>
      </c>
      <c r="AW2498" s="82">
        <f>($L2498-$F2498)*100</f>
        <v/>
      </c>
      <c r="AX2498" s="82">
        <f>($J2498-$H2498)*100</f>
        <v/>
      </c>
      <c r="AY2498" s="82">
        <f>($L2498-$H2498)*100</f>
        <v/>
      </c>
      <c r="AZ2498" s="82">
        <f>($L2498-$J2498)*100</f>
        <v/>
      </c>
      <c r="BA2498" s="82">
        <f>(2*$H2498-$F2498-$J2498)*100</f>
        <v/>
      </c>
      <c r="BB2498" s="82">
        <f>(2*$J2498-$H2498-$L2498)*100</f>
        <v/>
      </c>
      <c r="BC2498" s="82">
        <f>($N2498-$F2498)*100</f>
        <v/>
      </c>
      <c r="BD2498" s="82">
        <f>($Q2498-$H2498)*100</f>
        <v/>
      </c>
      <c r="BE2498" s="82">
        <f>($S2498-$J2498)*100</f>
        <v/>
      </c>
      <c r="BF2498" s="82">
        <f>($V2498-$L2498)*100</f>
        <v/>
      </c>
      <c r="BG2498" s="82">
        <f>$AG2498-$AF2498</f>
        <v/>
      </c>
      <c r="BH2498" s="81">
        <f>IFERROR($AG2498/$AF2498,"")</f>
        <v/>
      </c>
      <c r="BI2498" s="82">
        <f>$AJ2498-$AF2498</f>
        <v/>
      </c>
      <c r="BJ2498" s="81">
        <f>IFERROR($AJ2498/$AG2498,"")</f>
        <v/>
      </c>
      <c r="BK2498" s="81">
        <f>$X2498</f>
        <v/>
      </c>
      <c r="BL2498" s="82">
        <f>($J2498-$J2499)*100</f>
        <v/>
      </c>
      <c r="BM2498" s="82">
        <f>($F2498-$F2499)*100</f>
        <v/>
      </c>
      <c r="BN2498" s="82">
        <f>$AF2498-$AF2499</f>
        <v/>
      </c>
      <c r="BO2498" s="82">
        <f>$AG2498-$AG2499</f>
        <v/>
      </c>
      <c r="BP2498" s="82">
        <f>$AJ2498-$AJ2499</f>
        <v/>
      </c>
    </row>
    <row r="2499">
      <c r="AR2499" s="81">
        <f>($G2499+($H2499-$G2499)*0.5)+($P2499-($O2499+($Q2499-$O2499)*0.5))</f>
        <v/>
      </c>
      <c r="AS2499" s="81">
        <f>($J2499+($K2499-$J2499)*0.5)+($T2499-($S2499+($U2499-$S2499)*0.5))</f>
        <v/>
      </c>
      <c r="AT2499" s="82">
        <f>($J2499-$C2499)*100</f>
        <v/>
      </c>
      <c r="AU2499" s="82">
        <f>($H2499-$F2499)*100</f>
        <v/>
      </c>
      <c r="AV2499" s="82">
        <f>($J2499-$F2499)*100</f>
        <v/>
      </c>
      <c r="AW2499" s="82">
        <f>($L2499-$F2499)*100</f>
        <v/>
      </c>
      <c r="AX2499" s="82">
        <f>($J2499-$H2499)*100</f>
        <v/>
      </c>
      <c r="AY2499" s="82">
        <f>($L2499-$H2499)*100</f>
        <v/>
      </c>
      <c r="AZ2499" s="82">
        <f>($L2499-$J2499)*100</f>
        <v/>
      </c>
      <c r="BA2499" s="82">
        <f>(2*$H2499-$F2499-$J2499)*100</f>
        <v/>
      </c>
      <c r="BB2499" s="82">
        <f>(2*$J2499-$H2499-$L2499)*100</f>
        <v/>
      </c>
      <c r="BC2499" s="82">
        <f>($N2499-$F2499)*100</f>
        <v/>
      </c>
      <c r="BD2499" s="82">
        <f>($Q2499-$H2499)*100</f>
        <v/>
      </c>
      <c r="BE2499" s="82">
        <f>($S2499-$J2499)*100</f>
        <v/>
      </c>
      <c r="BF2499" s="82">
        <f>($V2499-$L2499)*100</f>
        <v/>
      </c>
      <c r="BG2499" s="82">
        <f>$AG2499-$AF2499</f>
        <v/>
      </c>
      <c r="BH2499" s="81">
        <f>IFERROR($AG2499/$AF2499,"")</f>
        <v/>
      </c>
      <c r="BI2499" s="82">
        <f>$AJ2499-$AF2499</f>
        <v/>
      </c>
      <c r="BJ2499" s="81">
        <f>IFERROR($AJ2499/$AG2499,"")</f>
        <v/>
      </c>
      <c r="BK2499" s="81">
        <f>$X2499</f>
        <v/>
      </c>
      <c r="BL2499" s="82">
        <f>($J2499-$J2500)*100</f>
        <v/>
      </c>
      <c r="BM2499" s="82">
        <f>($F2499-$F2500)*100</f>
        <v/>
      </c>
      <c r="BN2499" s="82">
        <f>$AF2499-$AF2500</f>
        <v/>
      </c>
      <c r="BO2499" s="82">
        <f>$AG2499-$AG2500</f>
        <v/>
      </c>
      <c r="BP2499" s="82">
        <f>$AJ2499-$AJ2500</f>
        <v/>
      </c>
    </row>
    <row r="2500">
      <c r="AR2500" s="81">
        <f>($G2500+($H2500-$G2500)*0.5)+($P2500-($O2500+($Q2500-$O2500)*0.5))</f>
        <v/>
      </c>
      <c r="AS2500" s="81">
        <f>($J2500+($K2500-$J2500)*0.5)+($T2500-($S2500+($U2500-$S2500)*0.5))</f>
        <v/>
      </c>
      <c r="AT2500" s="82">
        <f>($J2500-$C2500)*100</f>
        <v/>
      </c>
      <c r="AU2500" s="82">
        <f>($H2500-$F2500)*100</f>
        <v/>
      </c>
      <c r="AV2500" s="82">
        <f>($J2500-$F2500)*100</f>
        <v/>
      </c>
      <c r="AW2500" s="82">
        <f>($L2500-$F2500)*100</f>
        <v/>
      </c>
      <c r="AX2500" s="82">
        <f>($J2500-$H2500)*100</f>
        <v/>
      </c>
      <c r="AY2500" s="82">
        <f>($L2500-$H2500)*100</f>
        <v/>
      </c>
      <c r="AZ2500" s="82">
        <f>($L2500-$J2500)*100</f>
        <v/>
      </c>
      <c r="BA2500" s="82">
        <f>(2*$H2500-$F2500-$J2500)*100</f>
        <v/>
      </c>
      <c r="BB2500" s="82">
        <f>(2*$J2500-$H2500-$L2500)*100</f>
        <v/>
      </c>
      <c r="BC2500" s="82">
        <f>($N2500-$F2500)*100</f>
        <v/>
      </c>
      <c r="BD2500" s="82">
        <f>($Q2500-$H2500)*100</f>
        <v/>
      </c>
      <c r="BE2500" s="82">
        <f>($S2500-$J2500)*100</f>
        <v/>
      </c>
      <c r="BF2500" s="82">
        <f>($V2500-$L2500)*100</f>
        <v/>
      </c>
      <c r="BG2500" s="82">
        <f>$AG2500-$AF2500</f>
        <v/>
      </c>
      <c r="BH2500" s="81">
        <f>IFERROR($AG2500/$AF2500,"")</f>
        <v/>
      </c>
      <c r="BI2500" s="82">
        <f>$AJ2500-$AF2500</f>
        <v/>
      </c>
      <c r="BJ2500" s="81">
        <f>IFERROR($AJ2500/$AG2500,"")</f>
        <v/>
      </c>
      <c r="BK2500" s="81">
        <f>$X2500</f>
        <v/>
      </c>
      <c r="BL2500" s="82">
        <f>($J2500-$J2501)*100</f>
        <v/>
      </c>
      <c r="BM2500" s="82">
        <f>($F2500-$F2501)*100</f>
        <v/>
      </c>
      <c r="BN2500" s="82">
        <f>$AF2500-$AF2501</f>
        <v/>
      </c>
      <c r="BO2500" s="82">
        <f>$AG2500-$AG2501</f>
        <v/>
      </c>
      <c r="BP2500" s="82">
        <f>$AJ2500-$AJ2501</f>
        <v/>
      </c>
    </row>
    <row r="2501">
      <c r="AR2501" s="81">
        <f>($G2501+($H2501-$G2501)*0.5)+($P2501-($O2501+($Q2501-$O2501)*0.5))</f>
        <v/>
      </c>
      <c r="AS2501" s="81">
        <f>($J2501+($K2501-$J2501)*0.5)+($T2501-($S2501+($U2501-$S2501)*0.5))</f>
        <v/>
      </c>
      <c r="AT2501" s="82">
        <f>($J2501-$C2501)*100</f>
        <v/>
      </c>
      <c r="AU2501" s="82">
        <f>($H2501-$F2501)*100</f>
        <v/>
      </c>
      <c r="AV2501" s="82">
        <f>($J2501-$F2501)*100</f>
        <v/>
      </c>
      <c r="AW2501" s="82">
        <f>($L2501-$F2501)*100</f>
        <v/>
      </c>
      <c r="AX2501" s="82">
        <f>($J2501-$H2501)*100</f>
        <v/>
      </c>
      <c r="AY2501" s="82">
        <f>($L2501-$H2501)*100</f>
        <v/>
      </c>
      <c r="AZ2501" s="82">
        <f>($L2501-$J2501)*100</f>
        <v/>
      </c>
      <c r="BA2501" s="82">
        <f>(2*$H2501-$F2501-$J2501)*100</f>
        <v/>
      </c>
      <c r="BB2501" s="82">
        <f>(2*$J2501-$H2501-$L2501)*100</f>
        <v/>
      </c>
      <c r="BC2501" s="82">
        <f>($N2501-$F2501)*100</f>
        <v/>
      </c>
      <c r="BD2501" s="82">
        <f>($Q2501-$H2501)*100</f>
        <v/>
      </c>
      <c r="BE2501" s="82">
        <f>($S2501-$J2501)*100</f>
        <v/>
      </c>
      <c r="BF2501" s="82">
        <f>($V2501-$L2501)*100</f>
        <v/>
      </c>
      <c r="BG2501" s="82">
        <f>$AG2501-$AF2501</f>
        <v/>
      </c>
      <c r="BH2501" s="81">
        <f>IFERROR($AG2501/$AF2501,"")</f>
        <v/>
      </c>
      <c r="BI2501" s="82">
        <f>$AJ2501-$AF2501</f>
        <v/>
      </c>
      <c r="BJ2501" s="81">
        <f>IFERROR($AJ2501/$AG2501,"")</f>
        <v/>
      </c>
      <c r="BK2501" s="81">
        <f>$X2501</f>
        <v/>
      </c>
      <c r="BL2501" s="82">
        <f>($J2501-$J2502)*100</f>
        <v/>
      </c>
      <c r="BM2501" s="82">
        <f>($F2501-$F2502)*100</f>
        <v/>
      </c>
      <c r="BN2501" s="82">
        <f>$AF2501-$AF2502</f>
        <v/>
      </c>
      <c r="BO2501" s="82">
        <f>$AG2501-$AG2502</f>
        <v/>
      </c>
      <c r="BP2501" s="82">
        <f>$AJ2501-$AJ2502</f>
        <v/>
      </c>
    </row>
    <row r="2502">
      <c r="AR2502" s="81">
        <f>($G2502+($H2502-$G2502)*0.5)+($P2502-($O2502+($Q2502-$O2502)*0.5))</f>
        <v/>
      </c>
      <c r="AS2502" s="81">
        <f>($J2502+($K2502-$J2502)*0.5)+($T2502-($S2502+($U2502-$S2502)*0.5))</f>
        <v/>
      </c>
      <c r="AT2502" s="82">
        <f>($J2502-$C2502)*100</f>
        <v/>
      </c>
      <c r="AU2502" s="82">
        <f>($H2502-$F2502)*100</f>
        <v/>
      </c>
      <c r="AV2502" s="82">
        <f>($J2502-$F2502)*100</f>
        <v/>
      </c>
      <c r="AW2502" s="82">
        <f>($L2502-$F2502)*100</f>
        <v/>
      </c>
      <c r="AX2502" s="82">
        <f>($J2502-$H2502)*100</f>
        <v/>
      </c>
      <c r="AY2502" s="82">
        <f>($L2502-$H2502)*100</f>
        <v/>
      </c>
      <c r="AZ2502" s="82">
        <f>($L2502-$J2502)*100</f>
        <v/>
      </c>
      <c r="BA2502" s="82">
        <f>(2*$H2502-$F2502-$J2502)*100</f>
        <v/>
      </c>
      <c r="BB2502" s="82">
        <f>(2*$J2502-$H2502-$L2502)*100</f>
        <v/>
      </c>
      <c r="BC2502" s="82">
        <f>($N2502-$F2502)*100</f>
        <v/>
      </c>
      <c r="BD2502" s="82">
        <f>($Q2502-$H2502)*100</f>
        <v/>
      </c>
      <c r="BE2502" s="82">
        <f>($S2502-$J2502)*100</f>
        <v/>
      </c>
      <c r="BF2502" s="82">
        <f>($V2502-$L2502)*100</f>
        <v/>
      </c>
      <c r="BG2502" s="82">
        <f>$AG2502-$AF2502</f>
        <v/>
      </c>
      <c r="BH2502" s="81">
        <f>IFERROR($AG2502/$AF2502,"")</f>
        <v/>
      </c>
      <c r="BI2502" s="82">
        <f>$AJ2502-$AF2502</f>
        <v/>
      </c>
      <c r="BJ2502" s="81">
        <f>IFERROR($AJ2502/$AG2502,"")</f>
        <v/>
      </c>
      <c r="BK2502" s="81">
        <f>$X2502</f>
        <v/>
      </c>
      <c r="BL2502" s="82">
        <f>($J2502-$J2503)*100</f>
        <v/>
      </c>
      <c r="BM2502" s="82">
        <f>($F2502-$F2503)*100</f>
        <v/>
      </c>
      <c r="BN2502" s="82">
        <f>$AF2502-$AF2503</f>
        <v/>
      </c>
      <c r="BO2502" s="82">
        <f>$AG2502-$AG2503</f>
        <v/>
      </c>
      <c r="BP2502" s="82">
        <f>$AJ2502-$AJ2503</f>
        <v/>
      </c>
    </row>
    <row r="2503">
      <c r="AR2503" s="81">
        <f>($G2503+($H2503-$G2503)*0.5)+($P2503-($O2503+($Q2503-$O2503)*0.5))</f>
        <v/>
      </c>
      <c r="AS2503" s="81">
        <f>($J2503+($K2503-$J2503)*0.5)+($T2503-($S2503+($U2503-$S2503)*0.5))</f>
        <v/>
      </c>
      <c r="AT2503" s="82">
        <f>($J2503-$C2503)*100</f>
        <v/>
      </c>
      <c r="AU2503" s="82">
        <f>($H2503-$F2503)*100</f>
        <v/>
      </c>
      <c r="AV2503" s="82">
        <f>($J2503-$F2503)*100</f>
        <v/>
      </c>
      <c r="AW2503" s="82">
        <f>($L2503-$F2503)*100</f>
        <v/>
      </c>
      <c r="AX2503" s="82">
        <f>($J2503-$H2503)*100</f>
        <v/>
      </c>
      <c r="AY2503" s="82">
        <f>($L2503-$H2503)*100</f>
        <v/>
      </c>
      <c r="AZ2503" s="82">
        <f>($L2503-$J2503)*100</f>
        <v/>
      </c>
      <c r="BA2503" s="82">
        <f>(2*$H2503-$F2503-$J2503)*100</f>
        <v/>
      </c>
      <c r="BB2503" s="82">
        <f>(2*$J2503-$H2503-$L2503)*100</f>
        <v/>
      </c>
      <c r="BC2503" s="82">
        <f>($N2503-$F2503)*100</f>
        <v/>
      </c>
      <c r="BD2503" s="82">
        <f>($Q2503-$H2503)*100</f>
        <v/>
      </c>
      <c r="BE2503" s="82">
        <f>($S2503-$J2503)*100</f>
        <v/>
      </c>
      <c r="BF2503" s="82">
        <f>($V2503-$L2503)*100</f>
        <v/>
      </c>
      <c r="BG2503" s="82">
        <f>$AG2503-$AF2503</f>
        <v/>
      </c>
      <c r="BH2503" s="81">
        <f>IFERROR($AG2503/$AF2503,"")</f>
        <v/>
      </c>
      <c r="BI2503" s="82">
        <f>$AJ2503-$AF2503</f>
        <v/>
      </c>
      <c r="BJ2503" s="81">
        <f>IFERROR($AJ2503/$AG2503,"")</f>
        <v/>
      </c>
      <c r="BK2503" s="81">
        <f>$X2503</f>
        <v/>
      </c>
      <c r="BL2503" s="82">
        <f>($J2503-$J2504)*100</f>
        <v/>
      </c>
      <c r="BM2503" s="82">
        <f>($F2503-$F2504)*100</f>
        <v/>
      </c>
      <c r="BN2503" s="82">
        <f>$AF2503-$AF2504</f>
        <v/>
      </c>
      <c r="BO2503" s="82">
        <f>$AG2503-$AG2504</f>
        <v/>
      </c>
      <c r="BP2503" s="82">
        <f>$AJ2503-$AJ2504</f>
        <v/>
      </c>
    </row>
    <row r="2504">
      <c r="AR2504" s="81">
        <f>($G2504+($H2504-$G2504)*0.5)+($P2504-($O2504+($Q2504-$O2504)*0.5))</f>
        <v/>
      </c>
      <c r="AS2504" s="81">
        <f>($J2504+($K2504-$J2504)*0.5)+($T2504-($S2504+($U2504-$S2504)*0.5))</f>
        <v/>
      </c>
      <c r="AT2504" s="82">
        <f>($J2504-$C2504)*100</f>
        <v/>
      </c>
      <c r="AU2504" s="82">
        <f>($H2504-$F2504)*100</f>
        <v/>
      </c>
      <c r="AV2504" s="82">
        <f>($J2504-$F2504)*100</f>
        <v/>
      </c>
      <c r="AW2504" s="82">
        <f>($L2504-$F2504)*100</f>
        <v/>
      </c>
      <c r="AX2504" s="82">
        <f>($J2504-$H2504)*100</f>
        <v/>
      </c>
      <c r="AY2504" s="82">
        <f>($L2504-$H2504)*100</f>
        <v/>
      </c>
      <c r="AZ2504" s="82">
        <f>($L2504-$J2504)*100</f>
        <v/>
      </c>
      <c r="BA2504" s="82">
        <f>(2*$H2504-$F2504-$J2504)*100</f>
        <v/>
      </c>
      <c r="BB2504" s="82">
        <f>(2*$J2504-$H2504-$L2504)*100</f>
        <v/>
      </c>
      <c r="BC2504" s="82">
        <f>($N2504-$F2504)*100</f>
        <v/>
      </c>
      <c r="BD2504" s="82">
        <f>($Q2504-$H2504)*100</f>
        <v/>
      </c>
      <c r="BE2504" s="82">
        <f>($S2504-$J2504)*100</f>
        <v/>
      </c>
      <c r="BF2504" s="82">
        <f>($V2504-$L2504)*100</f>
        <v/>
      </c>
      <c r="BG2504" s="82">
        <f>$AG2504-$AF2504</f>
        <v/>
      </c>
      <c r="BH2504" s="81">
        <f>IFERROR($AG2504/$AF2504,"")</f>
        <v/>
      </c>
      <c r="BI2504" s="82">
        <f>$AJ2504-$AF2504</f>
        <v/>
      </c>
      <c r="BJ2504" s="81">
        <f>IFERROR($AJ2504/$AG2504,"")</f>
        <v/>
      </c>
      <c r="BK2504" s="81">
        <f>$X2504</f>
        <v/>
      </c>
      <c r="BL2504" s="82">
        <f>($J2504-$J2505)*100</f>
        <v/>
      </c>
      <c r="BM2504" s="82">
        <f>($F2504-$F2505)*100</f>
        <v/>
      </c>
      <c r="BN2504" s="82">
        <f>$AF2504-$AF2505</f>
        <v/>
      </c>
      <c r="BO2504" s="82">
        <f>$AG2504-$AG2505</f>
        <v/>
      </c>
      <c r="BP2504" s="82">
        <f>$AJ2504-$AJ2505</f>
        <v/>
      </c>
    </row>
    <row r="2505">
      <c r="AR2505" s="81">
        <f>($G2505+($H2505-$G2505)*0.5)+($P2505-($O2505+($Q2505-$O2505)*0.5))</f>
        <v/>
      </c>
      <c r="AS2505" s="81">
        <f>($J2505+($K2505-$J2505)*0.5)+($T2505-($S2505+($U2505-$S2505)*0.5))</f>
        <v/>
      </c>
      <c r="AT2505" s="82">
        <f>($J2505-$C2505)*100</f>
        <v/>
      </c>
      <c r="AU2505" s="82">
        <f>($H2505-$F2505)*100</f>
        <v/>
      </c>
      <c r="AV2505" s="82">
        <f>($J2505-$F2505)*100</f>
        <v/>
      </c>
      <c r="AW2505" s="82">
        <f>($L2505-$F2505)*100</f>
        <v/>
      </c>
      <c r="AX2505" s="82">
        <f>($J2505-$H2505)*100</f>
        <v/>
      </c>
      <c r="AY2505" s="82">
        <f>($L2505-$H2505)*100</f>
        <v/>
      </c>
      <c r="AZ2505" s="82">
        <f>($L2505-$J2505)*100</f>
        <v/>
      </c>
      <c r="BA2505" s="82">
        <f>(2*$H2505-$F2505-$J2505)*100</f>
        <v/>
      </c>
      <c r="BB2505" s="82">
        <f>(2*$J2505-$H2505-$L2505)*100</f>
        <v/>
      </c>
      <c r="BC2505" s="82">
        <f>($N2505-$F2505)*100</f>
        <v/>
      </c>
      <c r="BD2505" s="82">
        <f>($Q2505-$H2505)*100</f>
        <v/>
      </c>
      <c r="BE2505" s="82">
        <f>($S2505-$J2505)*100</f>
        <v/>
      </c>
      <c r="BF2505" s="82">
        <f>($V2505-$L2505)*100</f>
        <v/>
      </c>
      <c r="BG2505" s="82">
        <f>$AG2505-$AF2505</f>
        <v/>
      </c>
      <c r="BH2505" s="81">
        <f>IFERROR($AG2505/$AF2505,"")</f>
        <v/>
      </c>
      <c r="BI2505" s="82">
        <f>$AJ2505-$AF2505</f>
        <v/>
      </c>
      <c r="BJ2505" s="81">
        <f>IFERROR($AJ2505/$AG2505,"")</f>
        <v/>
      </c>
      <c r="BK2505" s="81">
        <f>$X2505</f>
        <v/>
      </c>
      <c r="BL2505" s="82">
        <f>($J2505-$J2506)*100</f>
        <v/>
      </c>
      <c r="BM2505" s="82">
        <f>($F2505-$F2506)*100</f>
        <v/>
      </c>
      <c r="BN2505" s="82">
        <f>$AF2505-$AF2506</f>
        <v/>
      </c>
      <c r="BO2505" s="82">
        <f>$AG2505-$AG2506</f>
        <v/>
      </c>
      <c r="BP2505" s="82">
        <f>$AJ2505-$AJ2506</f>
        <v/>
      </c>
    </row>
    <row r="2506">
      <c r="AR2506" s="81">
        <f>($G2506+($H2506-$G2506)*0.5)+($P2506-($O2506+($Q2506-$O2506)*0.5))</f>
        <v/>
      </c>
      <c r="AS2506" s="81">
        <f>($J2506+($K2506-$J2506)*0.5)+($T2506-($S2506+($U2506-$S2506)*0.5))</f>
        <v/>
      </c>
      <c r="AT2506" s="82">
        <f>($J2506-$C2506)*100</f>
        <v/>
      </c>
      <c r="AU2506" s="82">
        <f>($H2506-$F2506)*100</f>
        <v/>
      </c>
      <c r="AV2506" s="82">
        <f>($J2506-$F2506)*100</f>
        <v/>
      </c>
      <c r="AW2506" s="82">
        <f>($L2506-$F2506)*100</f>
        <v/>
      </c>
      <c r="AX2506" s="82">
        <f>($J2506-$H2506)*100</f>
        <v/>
      </c>
      <c r="AY2506" s="82">
        <f>($L2506-$H2506)*100</f>
        <v/>
      </c>
      <c r="AZ2506" s="82">
        <f>($L2506-$J2506)*100</f>
        <v/>
      </c>
      <c r="BA2506" s="82">
        <f>(2*$H2506-$F2506-$J2506)*100</f>
        <v/>
      </c>
      <c r="BB2506" s="82">
        <f>(2*$J2506-$H2506-$L2506)*100</f>
        <v/>
      </c>
      <c r="BC2506" s="82">
        <f>($N2506-$F2506)*100</f>
        <v/>
      </c>
      <c r="BD2506" s="82">
        <f>($Q2506-$H2506)*100</f>
        <v/>
      </c>
      <c r="BE2506" s="82">
        <f>($S2506-$J2506)*100</f>
        <v/>
      </c>
      <c r="BF2506" s="82">
        <f>($V2506-$L2506)*100</f>
        <v/>
      </c>
      <c r="BG2506" s="82">
        <f>$AG2506-$AF2506</f>
        <v/>
      </c>
      <c r="BH2506" s="81">
        <f>IFERROR($AG2506/$AF2506,"")</f>
        <v/>
      </c>
      <c r="BI2506" s="82">
        <f>$AJ2506-$AF2506</f>
        <v/>
      </c>
      <c r="BJ2506" s="81">
        <f>IFERROR($AJ2506/$AG2506,"")</f>
        <v/>
      </c>
      <c r="BK2506" s="81">
        <f>$X2506</f>
        <v/>
      </c>
      <c r="BL2506" s="82">
        <f>($J2506-$J2507)*100</f>
        <v/>
      </c>
      <c r="BM2506" s="82">
        <f>($F2506-$F2507)*100</f>
        <v/>
      </c>
      <c r="BN2506" s="82">
        <f>$AF2506-$AF2507</f>
        <v/>
      </c>
      <c r="BO2506" s="82">
        <f>$AG2506-$AG2507</f>
        <v/>
      </c>
      <c r="BP2506" s="82">
        <f>$AJ2506-$AJ2507</f>
        <v/>
      </c>
    </row>
    <row r="2507">
      <c r="AR2507" s="81">
        <f>($G2507+($H2507-$G2507)*0.5)+($P2507-($O2507+($Q2507-$O2507)*0.5))</f>
        <v/>
      </c>
      <c r="AS2507" s="81">
        <f>($J2507+($K2507-$J2507)*0.5)+($T2507-($S2507+($U2507-$S2507)*0.5))</f>
        <v/>
      </c>
      <c r="AT2507" s="82">
        <f>($J2507-$C2507)*100</f>
        <v/>
      </c>
      <c r="AU2507" s="82">
        <f>($H2507-$F2507)*100</f>
        <v/>
      </c>
      <c r="AV2507" s="82">
        <f>($J2507-$F2507)*100</f>
        <v/>
      </c>
      <c r="AW2507" s="82">
        <f>($L2507-$F2507)*100</f>
        <v/>
      </c>
      <c r="AX2507" s="82">
        <f>($J2507-$H2507)*100</f>
        <v/>
      </c>
      <c r="AY2507" s="82">
        <f>($L2507-$H2507)*100</f>
        <v/>
      </c>
      <c r="AZ2507" s="82">
        <f>($L2507-$J2507)*100</f>
        <v/>
      </c>
      <c r="BA2507" s="82">
        <f>(2*$H2507-$F2507-$J2507)*100</f>
        <v/>
      </c>
      <c r="BB2507" s="82">
        <f>(2*$J2507-$H2507-$L2507)*100</f>
        <v/>
      </c>
      <c r="BC2507" s="82">
        <f>($N2507-$F2507)*100</f>
        <v/>
      </c>
      <c r="BD2507" s="82">
        <f>($Q2507-$H2507)*100</f>
        <v/>
      </c>
      <c r="BE2507" s="82">
        <f>($S2507-$J2507)*100</f>
        <v/>
      </c>
      <c r="BF2507" s="82">
        <f>($V2507-$L2507)*100</f>
        <v/>
      </c>
      <c r="BG2507" s="82">
        <f>$AG2507-$AF2507</f>
        <v/>
      </c>
      <c r="BH2507" s="81">
        <f>IFERROR($AG2507/$AF2507,"")</f>
        <v/>
      </c>
      <c r="BI2507" s="82">
        <f>$AJ2507-$AF2507</f>
        <v/>
      </c>
      <c r="BJ2507" s="81">
        <f>IFERROR($AJ2507/$AG2507,"")</f>
        <v/>
      </c>
      <c r="BK2507" s="81">
        <f>$X2507</f>
        <v/>
      </c>
      <c r="BL2507" s="82">
        <f>($J2507-$J2508)*100</f>
        <v/>
      </c>
      <c r="BM2507" s="82">
        <f>($F2507-$F2508)*100</f>
        <v/>
      </c>
      <c r="BN2507" s="82">
        <f>$AF2507-$AF2508</f>
        <v/>
      </c>
      <c r="BO2507" s="82">
        <f>$AG2507-$AG2508</f>
        <v/>
      </c>
      <c r="BP2507" s="82">
        <f>$AJ2507-$AJ2508</f>
        <v/>
      </c>
    </row>
    <row r="2508">
      <c r="AR2508" s="81">
        <f>($G2508+($H2508-$G2508)*0.5)+($P2508-($O2508+($Q2508-$O2508)*0.5))</f>
        <v/>
      </c>
      <c r="AS2508" s="81">
        <f>($J2508+($K2508-$J2508)*0.5)+($T2508-($S2508+($U2508-$S2508)*0.5))</f>
        <v/>
      </c>
      <c r="AT2508" s="82">
        <f>($J2508-$C2508)*100</f>
        <v/>
      </c>
      <c r="AU2508" s="82">
        <f>($H2508-$F2508)*100</f>
        <v/>
      </c>
      <c r="AV2508" s="82">
        <f>($J2508-$F2508)*100</f>
        <v/>
      </c>
      <c r="AW2508" s="82">
        <f>($L2508-$F2508)*100</f>
        <v/>
      </c>
      <c r="AX2508" s="82">
        <f>($J2508-$H2508)*100</f>
        <v/>
      </c>
      <c r="AY2508" s="82">
        <f>($L2508-$H2508)*100</f>
        <v/>
      </c>
      <c r="AZ2508" s="82">
        <f>($L2508-$J2508)*100</f>
        <v/>
      </c>
      <c r="BA2508" s="82">
        <f>(2*$H2508-$F2508-$J2508)*100</f>
        <v/>
      </c>
      <c r="BB2508" s="82">
        <f>(2*$J2508-$H2508-$L2508)*100</f>
        <v/>
      </c>
      <c r="BC2508" s="82">
        <f>($N2508-$F2508)*100</f>
        <v/>
      </c>
      <c r="BD2508" s="82">
        <f>($Q2508-$H2508)*100</f>
        <v/>
      </c>
      <c r="BE2508" s="82">
        <f>($S2508-$J2508)*100</f>
        <v/>
      </c>
      <c r="BF2508" s="82">
        <f>($V2508-$L2508)*100</f>
        <v/>
      </c>
      <c r="BG2508" s="82">
        <f>$AG2508-$AF2508</f>
        <v/>
      </c>
      <c r="BH2508" s="81">
        <f>IFERROR($AG2508/$AF2508,"")</f>
        <v/>
      </c>
      <c r="BI2508" s="82">
        <f>$AJ2508-$AF2508</f>
        <v/>
      </c>
      <c r="BJ2508" s="81">
        <f>IFERROR($AJ2508/$AG2508,"")</f>
        <v/>
      </c>
      <c r="BK2508" s="81">
        <f>$X2508</f>
        <v/>
      </c>
      <c r="BL2508" s="82">
        <f>($J2508-$J2509)*100</f>
        <v/>
      </c>
      <c r="BM2508" s="82">
        <f>($F2508-$F2509)*100</f>
        <v/>
      </c>
      <c r="BN2508" s="82">
        <f>$AF2508-$AF2509</f>
        <v/>
      </c>
      <c r="BO2508" s="82">
        <f>$AG2508-$AG2509</f>
        <v/>
      </c>
      <c r="BP2508" s="82">
        <f>$AJ2508-$AJ2509</f>
        <v/>
      </c>
    </row>
    <row r="2509">
      <c r="AR2509" s="81">
        <f>($G2509+($H2509-$G2509)*0.5)+($P2509-($O2509+($Q2509-$O2509)*0.5))</f>
        <v/>
      </c>
      <c r="AS2509" s="81">
        <f>($J2509+($K2509-$J2509)*0.5)+($T2509-($S2509+($U2509-$S2509)*0.5))</f>
        <v/>
      </c>
      <c r="AT2509" s="82">
        <f>($J2509-$C2509)*100</f>
        <v/>
      </c>
      <c r="AU2509" s="82">
        <f>($H2509-$F2509)*100</f>
        <v/>
      </c>
      <c r="AV2509" s="82">
        <f>($J2509-$F2509)*100</f>
        <v/>
      </c>
      <c r="AW2509" s="82">
        <f>($L2509-$F2509)*100</f>
        <v/>
      </c>
      <c r="AX2509" s="82">
        <f>($J2509-$H2509)*100</f>
        <v/>
      </c>
      <c r="AY2509" s="82">
        <f>($L2509-$H2509)*100</f>
        <v/>
      </c>
      <c r="AZ2509" s="82">
        <f>($L2509-$J2509)*100</f>
        <v/>
      </c>
      <c r="BA2509" s="82">
        <f>(2*$H2509-$F2509-$J2509)*100</f>
        <v/>
      </c>
      <c r="BB2509" s="82">
        <f>(2*$J2509-$H2509-$L2509)*100</f>
        <v/>
      </c>
      <c r="BC2509" s="82">
        <f>($N2509-$F2509)*100</f>
        <v/>
      </c>
      <c r="BD2509" s="82">
        <f>($Q2509-$H2509)*100</f>
        <v/>
      </c>
      <c r="BE2509" s="82">
        <f>($S2509-$J2509)*100</f>
        <v/>
      </c>
      <c r="BF2509" s="82">
        <f>($V2509-$L2509)*100</f>
        <v/>
      </c>
      <c r="BG2509" s="82">
        <f>$AG2509-$AF2509</f>
        <v/>
      </c>
      <c r="BH2509" s="81">
        <f>IFERROR($AG2509/$AF2509,"")</f>
        <v/>
      </c>
      <c r="BI2509" s="82">
        <f>$AJ2509-$AF2509</f>
        <v/>
      </c>
      <c r="BJ2509" s="81">
        <f>IFERROR($AJ2509/$AG2509,"")</f>
        <v/>
      </c>
      <c r="BK2509" s="81">
        <f>$X2509</f>
        <v/>
      </c>
      <c r="BL2509" s="82">
        <f>($J2509-$J2510)*100</f>
        <v/>
      </c>
      <c r="BM2509" s="82">
        <f>($F2509-$F2510)*100</f>
        <v/>
      </c>
      <c r="BN2509" s="82">
        <f>$AF2509-$AF2510</f>
        <v/>
      </c>
      <c r="BO2509" s="82">
        <f>$AG2509-$AG2510</f>
        <v/>
      </c>
      <c r="BP2509" s="82">
        <f>$AJ2509-$AJ2510</f>
        <v/>
      </c>
    </row>
    <row r="2510">
      <c r="AR2510" s="81">
        <f>($G2510+($H2510-$G2510)*0.5)+($P2510-($O2510+($Q2510-$O2510)*0.5))</f>
        <v/>
      </c>
      <c r="AS2510" s="81">
        <f>($J2510+($K2510-$J2510)*0.5)+($T2510-($S2510+($U2510-$S2510)*0.5))</f>
        <v/>
      </c>
      <c r="AT2510" s="82">
        <f>($J2510-$C2510)*100</f>
        <v/>
      </c>
      <c r="AU2510" s="82">
        <f>($H2510-$F2510)*100</f>
        <v/>
      </c>
      <c r="AV2510" s="82">
        <f>($J2510-$F2510)*100</f>
        <v/>
      </c>
      <c r="AW2510" s="82">
        <f>($L2510-$F2510)*100</f>
        <v/>
      </c>
      <c r="AX2510" s="82">
        <f>($J2510-$H2510)*100</f>
        <v/>
      </c>
      <c r="AY2510" s="82">
        <f>($L2510-$H2510)*100</f>
        <v/>
      </c>
      <c r="AZ2510" s="82">
        <f>($L2510-$J2510)*100</f>
        <v/>
      </c>
      <c r="BA2510" s="82">
        <f>(2*$H2510-$F2510-$J2510)*100</f>
        <v/>
      </c>
      <c r="BB2510" s="82">
        <f>(2*$J2510-$H2510-$L2510)*100</f>
        <v/>
      </c>
      <c r="BC2510" s="82">
        <f>($N2510-$F2510)*100</f>
        <v/>
      </c>
      <c r="BD2510" s="82">
        <f>($Q2510-$H2510)*100</f>
        <v/>
      </c>
      <c r="BE2510" s="82">
        <f>($S2510-$J2510)*100</f>
        <v/>
      </c>
      <c r="BF2510" s="82">
        <f>($V2510-$L2510)*100</f>
        <v/>
      </c>
      <c r="BG2510" s="82">
        <f>$AG2510-$AF2510</f>
        <v/>
      </c>
      <c r="BH2510" s="81">
        <f>IFERROR($AG2510/$AF2510,"")</f>
        <v/>
      </c>
      <c r="BI2510" s="82">
        <f>$AJ2510-$AF2510</f>
        <v/>
      </c>
      <c r="BJ2510" s="81">
        <f>IFERROR($AJ2510/$AG2510,"")</f>
        <v/>
      </c>
      <c r="BK2510" s="81">
        <f>$X2510</f>
        <v/>
      </c>
      <c r="BL2510" s="82">
        <f>($J2510-$J2511)*100</f>
        <v/>
      </c>
      <c r="BM2510" s="82">
        <f>($F2510-$F2511)*100</f>
        <v/>
      </c>
      <c r="BN2510" s="82">
        <f>$AF2510-$AF2511</f>
        <v/>
      </c>
      <c r="BO2510" s="82">
        <f>$AG2510-$AG2511</f>
        <v/>
      </c>
      <c r="BP2510" s="82">
        <f>$AJ2510-$AJ2511</f>
        <v/>
      </c>
    </row>
    <row r="2511">
      <c r="AR2511" s="81">
        <f>($G2511+($H2511-$G2511)*0.5)+($P2511-($O2511+($Q2511-$O2511)*0.5))</f>
        <v/>
      </c>
      <c r="AS2511" s="81">
        <f>($J2511+($K2511-$J2511)*0.5)+($T2511-($S2511+($U2511-$S2511)*0.5))</f>
        <v/>
      </c>
      <c r="AT2511" s="82">
        <f>($J2511-$C2511)*100</f>
        <v/>
      </c>
      <c r="AU2511" s="82">
        <f>($H2511-$F2511)*100</f>
        <v/>
      </c>
      <c r="AV2511" s="82">
        <f>($J2511-$F2511)*100</f>
        <v/>
      </c>
      <c r="AW2511" s="82">
        <f>($L2511-$F2511)*100</f>
        <v/>
      </c>
      <c r="AX2511" s="82">
        <f>($J2511-$H2511)*100</f>
        <v/>
      </c>
      <c r="AY2511" s="82">
        <f>($L2511-$H2511)*100</f>
        <v/>
      </c>
      <c r="AZ2511" s="82">
        <f>($L2511-$J2511)*100</f>
        <v/>
      </c>
      <c r="BA2511" s="82">
        <f>(2*$H2511-$F2511-$J2511)*100</f>
        <v/>
      </c>
      <c r="BB2511" s="82">
        <f>(2*$J2511-$H2511-$L2511)*100</f>
        <v/>
      </c>
      <c r="BC2511" s="82">
        <f>($N2511-$F2511)*100</f>
        <v/>
      </c>
      <c r="BD2511" s="82">
        <f>($Q2511-$H2511)*100</f>
        <v/>
      </c>
      <c r="BE2511" s="82">
        <f>($S2511-$J2511)*100</f>
        <v/>
      </c>
      <c r="BF2511" s="82">
        <f>($V2511-$L2511)*100</f>
        <v/>
      </c>
      <c r="BG2511" s="82">
        <f>$AG2511-$AF2511</f>
        <v/>
      </c>
      <c r="BH2511" s="81">
        <f>IFERROR($AG2511/$AF2511,"")</f>
        <v/>
      </c>
      <c r="BI2511" s="82">
        <f>$AJ2511-$AF2511</f>
        <v/>
      </c>
      <c r="BJ2511" s="81">
        <f>IFERROR($AJ2511/$AG2511,"")</f>
        <v/>
      </c>
      <c r="BK2511" s="81">
        <f>$X2511</f>
        <v/>
      </c>
      <c r="BL2511" s="82">
        <f>($J2511-$J2512)*100</f>
        <v/>
      </c>
      <c r="BM2511" s="82">
        <f>($F2511-$F2512)*100</f>
        <v/>
      </c>
      <c r="BN2511" s="82">
        <f>$AF2511-$AF2512</f>
        <v/>
      </c>
      <c r="BO2511" s="82">
        <f>$AG2511-$AG2512</f>
        <v/>
      </c>
      <c r="BP2511" s="82">
        <f>$AJ2511-$AJ2512</f>
        <v/>
      </c>
    </row>
    <row r="2512">
      <c r="AR2512" s="81">
        <f>($G2512+($H2512-$G2512)*0.5)+($P2512-($O2512+($Q2512-$O2512)*0.5))</f>
        <v/>
      </c>
      <c r="AS2512" s="81">
        <f>($J2512+($K2512-$J2512)*0.5)+($T2512-($S2512+($U2512-$S2512)*0.5))</f>
        <v/>
      </c>
      <c r="AT2512" s="82">
        <f>($J2512-$C2512)*100</f>
        <v/>
      </c>
      <c r="AU2512" s="82">
        <f>($H2512-$F2512)*100</f>
        <v/>
      </c>
      <c r="AV2512" s="82">
        <f>($J2512-$F2512)*100</f>
        <v/>
      </c>
      <c r="AW2512" s="82">
        <f>($L2512-$F2512)*100</f>
        <v/>
      </c>
      <c r="AX2512" s="82">
        <f>($J2512-$H2512)*100</f>
        <v/>
      </c>
      <c r="AY2512" s="82">
        <f>($L2512-$H2512)*100</f>
        <v/>
      </c>
      <c r="AZ2512" s="82">
        <f>($L2512-$J2512)*100</f>
        <v/>
      </c>
      <c r="BA2512" s="82">
        <f>(2*$H2512-$F2512-$J2512)*100</f>
        <v/>
      </c>
      <c r="BB2512" s="82">
        <f>(2*$J2512-$H2512-$L2512)*100</f>
        <v/>
      </c>
      <c r="BC2512" s="82">
        <f>($N2512-$F2512)*100</f>
        <v/>
      </c>
      <c r="BD2512" s="82">
        <f>($Q2512-$H2512)*100</f>
        <v/>
      </c>
      <c r="BE2512" s="82">
        <f>($S2512-$J2512)*100</f>
        <v/>
      </c>
      <c r="BF2512" s="82">
        <f>($V2512-$L2512)*100</f>
        <v/>
      </c>
      <c r="BG2512" s="82">
        <f>$AG2512-$AF2512</f>
        <v/>
      </c>
      <c r="BH2512" s="81">
        <f>IFERROR($AG2512/$AF2512,"")</f>
        <v/>
      </c>
      <c r="BI2512" s="82">
        <f>$AJ2512-$AF2512</f>
        <v/>
      </c>
      <c r="BJ2512" s="81">
        <f>IFERROR($AJ2512/$AG2512,"")</f>
        <v/>
      </c>
      <c r="BK2512" s="81">
        <f>$X2512</f>
        <v/>
      </c>
      <c r="BL2512" s="82">
        <f>($J2512-$J2513)*100</f>
        <v/>
      </c>
      <c r="BM2512" s="82">
        <f>($F2512-$F2513)*100</f>
        <v/>
      </c>
      <c r="BN2512" s="82">
        <f>$AF2512-$AF2513</f>
        <v/>
      </c>
      <c r="BO2512" s="82">
        <f>$AG2512-$AG2513</f>
        <v/>
      </c>
      <c r="BP2512" s="82">
        <f>$AJ2512-$AJ2513</f>
        <v/>
      </c>
    </row>
    <row r="2513">
      <c r="AR2513" s="81">
        <f>($G2513+($H2513-$G2513)*0.5)+($P2513-($O2513+($Q2513-$O2513)*0.5))</f>
        <v/>
      </c>
      <c r="AS2513" s="81">
        <f>($J2513+($K2513-$J2513)*0.5)+($T2513-($S2513+($U2513-$S2513)*0.5))</f>
        <v/>
      </c>
      <c r="AT2513" s="82">
        <f>($J2513-$C2513)*100</f>
        <v/>
      </c>
      <c r="AU2513" s="82">
        <f>($H2513-$F2513)*100</f>
        <v/>
      </c>
      <c r="AV2513" s="82">
        <f>($J2513-$F2513)*100</f>
        <v/>
      </c>
      <c r="AW2513" s="82">
        <f>($L2513-$F2513)*100</f>
        <v/>
      </c>
      <c r="AX2513" s="82">
        <f>($J2513-$H2513)*100</f>
        <v/>
      </c>
      <c r="AY2513" s="82">
        <f>($L2513-$H2513)*100</f>
        <v/>
      </c>
      <c r="AZ2513" s="82">
        <f>($L2513-$J2513)*100</f>
        <v/>
      </c>
      <c r="BA2513" s="82">
        <f>(2*$H2513-$F2513-$J2513)*100</f>
        <v/>
      </c>
      <c r="BB2513" s="82">
        <f>(2*$J2513-$H2513-$L2513)*100</f>
        <v/>
      </c>
      <c r="BC2513" s="82">
        <f>($N2513-$F2513)*100</f>
        <v/>
      </c>
      <c r="BD2513" s="82">
        <f>($Q2513-$H2513)*100</f>
        <v/>
      </c>
      <c r="BE2513" s="82">
        <f>($S2513-$J2513)*100</f>
        <v/>
      </c>
      <c r="BF2513" s="82">
        <f>($V2513-$L2513)*100</f>
        <v/>
      </c>
      <c r="BG2513" s="82">
        <f>$AG2513-$AF2513</f>
        <v/>
      </c>
      <c r="BH2513" s="81">
        <f>IFERROR($AG2513/$AF2513,"")</f>
        <v/>
      </c>
      <c r="BI2513" s="82">
        <f>$AJ2513-$AF2513</f>
        <v/>
      </c>
      <c r="BJ2513" s="81">
        <f>IFERROR($AJ2513/$AG2513,"")</f>
        <v/>
      </c>
      <c r="BK2513" s="81">
        <f>$X2513</f>
        <v/>
      </c>
      <c r="BL2513" s="82">
        <f>($J2513-$J2514)*100</f>
        <v/>
      </c>
      <c r="BM2513" s="82">
        <f>($F2513-$F2514)*100</f>
        <v/>
      </c>
      <c r="BN2513" s="82">
        <f>$AF2513-$AF2514</f>
        <v/>
      </c>
      <c r="BO2513" s="82">
        <f>$AG2513-$AG2514</f>
        <v/>
      </c>
      <c r="BP2513" s="82">
        <f>$AJ2513-$AJ2514</f>
        <v/>
      </c>
    </row>
    <row r="2514">
      <c r="AR2514" s="81">
        <f>($G2514+($H2514-$G2514)*0.5)+($P2514-($O2514+($Q2514-$O2514)*0.5))</f>
        <v/>
      </c>
      <c r="AS2514" s="81">
        <f>($J2514+($K2514-$J2514)*0.5)+($T2514-($S2514+($U2514-$S2514)*0.5))</f>
        <v/>
      </c>
      <c r="AT2514" s="82">
        <f>($J2514-$C2514)*100</f>
        <v/>
      </c>
      <c r="AU2514" s="82">
        <f>($H2514-$F2514)*100</f>
        <v/>
      </c>
      <c r="AV2514" s="82">
        <f>($J2514-$F2514)*100</f>
        <v/>
      </c>
      <c r="AW2514" s="82">
        <f>($L2514-$F2514)*100</f>
        <v/>
      </c>
      <c r="AX2514" s="82">
        <f>($J2514-$H2514)*100</f>
        <v/>
      </c>
      <c r="AY2514" s="82">
        <f>($L2514-$H2514)*100</f>
        <v/>
      </c>
      <c r="AZ2514" s="82">
        <f>($L2514-$J2514)*100</f>
        <v/>
      </c>
      <c r="BA2514" s="82">
        <f>(2*$H2514-$F2514-$J2514)*100</f>
        <v/>
      </c>
      <c r="BB2514" s="82">
        <f>(2*$J2514-$H2514-$L2514)*100</f>
        <v/>
      </c>
      <c r="BC2514" s="82">
        <f>($N2514-$F2514)*100</f>
        <v/>
      </c>
      <c r="BD2514" s="82">
        <f>($Q2514-$H2514)*100</f>
        <v/>
      </c>
      <c r="BE2514" s="82">
        <f>($S2514-$J2514)*100</f>
        <v/>
      </c>
      <c r="BF2514" s="82">
        <f>($V2514-$L2514)*100</f>
        <v/>
      </c>
      <c r="BG2514" s="82">
        <f>$AG2514-$AF2514</f>
        <v/>
      </c>
      <c r="BH2514" s="81">
        <f>IFERROR($AG2514/$AF2514,"")</f>
        <v/>
      </c>
      <c r="BI2514" s="82">
        <f>$AJ2514-$AF2514</f>
        <v/>
      </c>
      <c r="BJ2514" s="81">
        <f>IFERROR($AJ2514/$AG2514,"")</f>
        <v/>
      </c>
      <c r="BK2514" s="81">
        <f>$X2514</f>
        <v/>
      </c>
      <c r="BL2514" s="82">
        <f>($J2514-$J2515)*100</f>
        <v/>
      </c>
      <c r="BM2514" s="82">
        <f>($F2514-$F2515)*100</f>
        <v/>
      </c>
      <c r="BN2514" s="82">
        <f>$AF2514-$AF2515</f>
        <v/>
      </c>
      <c r="BO2514" s="82">
        <f>$AG2514-$AG2515</f>
        <v/>
      </c>
      <c r="BP2514" s="82">
        <f>$AJ2514-$AJ2515</f>
        <v/>
      </c>
    </row>
    <row r="2515">
      <c r="AR2515" s="81">
        <f>($G2515+($H2515-$G2515)*0.5)+($P2515-($O2515+($Q2515-$O2515)*0.5))</f>
        <v/>
      </c>
      <c r="AS2515" s="81">
        <f>($J2515+($K2515-$J2515)*0.5)+($T2515-($S2515+($U2515-$S2515)*0.5))</f>
        <v/>
      </c>
      <c r="AT2515" s="82">
        <f>($J2515-$C2515)*100</f>
        <v/>
      </c>
      <c r="AU2515" s="82">
        <f>($H2515-$F2515)*100</f>
        <v/>
      </c>
      <c r="AV2515" s="82">
        <f>($J2515-$F2515)*100</f>
        <v/>
      </c>
      <c r="AW2515" s="82">
        <f>($L2515-$F2515)*100</f>
        <v/>
      </c>
      <c r="AX2515" s="82">
        <f>($J2515-$H2515)*100</f>
        <v/>
      </c>
      <c r="AY2515" s="82">
        <f>($L2515-$H2515)*100</f>
        <v/>
      </c>
      <c r="AZ2515" s="82">
        <f>($L2515-$J2515)*100</f>
        <v/>
      </c>
      <c r="BA2515" s="82">
        <f>(2*$H2515-$F2515-$J2515)*100</f>
        <v/>
      </c>
      <c r="BB2515" s="82">
        <f>(2*$J2515-$H2515-$L2515)*100</f>
        <v/>
      </c>
      <c r="BC2515" s="82">
        <f>($N2515-$F2515)*100</f>
        <v/>
      </c>
      <c r="BD2515" s="82">
        <f>($Q2515-$H2515)*100</f>
        <v/>
      </c>
      <c r="BE2515" s="82">
        <f>($S2515-$J2515)*100</f>
        <v/>
      </c>
      <c r="BF2515" s="82">
        <f>($V2515-$L2515)*100</f>
        <v/>
      </c>
      <c r="BG2515" s="82">
        <f>$AG2515-$AF2515</f>
        <v/>
      </c>
      <c r="BH2515" s="81">
        <f>IFERROR($AG2515/$AF2515,"")</f>
        <v/>
      </c>
      <c r="BI2515" s="82">
        <f>$AJ2515-$AF2515</f>
        <v/>
      </c>
      <c r="BJ2515" s="81">
        <f>IFERROR($AJ2515/$AG2515,"")</f>
        <v/>
      </c>
      <c r="BK2515" s="81">
        <f>$X2515</f>
        <v/>
      </c>
      <c r="BL2515" s="82">
        <f>($J2515-$J2516)*100</f>
        <v/>
      </c>
      <c r="BM2515" s="82">
        <f>($F2515-$F2516)*100</f>
        <v/>
      </c>
      <c r="BN2515" s="82">
        <f>$AF2515-$AF2516</f>
        <v/>
      </c>
      <c r="BO2515" s="82">
        <f>$AG2515-$AG2516</f>
        <v/>
      </c>
      <c r="BP2515" s="82">
        <f>$AJ2515-$AJ2516</f>
        <v/>
      </c>
    </row>
    <row r="2516">
      <c r="AR2516" s="81">
        <f>($G2516+($H2516-$G2516)*0.5)+($P2516-($O2516+($Q2516-$O2516)*0.5))</f>
        <v/>
      </c>
      <c r="AS2516" s="81">
        <f>($J2516+($K2516-$J2516)*0.5)+($T2516-($S2516+($U2516-$S2516)*0.5))</f>
        <v/>
      </c>
      <c r="AT2516" s="82">
        <f>($J2516-$C2516)*100</f>
        <v/>
      </c>
      <c r="AU2516" s="82">
        <f>($H2516-$F2516)*100</f>
        <v/>
      </c>
      <c r="AV2516" s="82">
        <f>($J2516-$F2516)*100</f>
        <v/>
      </c>
      <c r="AW2516" s="82">
        <f>($L2516-$F2516)*100</f>
        <v/>
      </c>
      <c r="AX2516" s="82">
        <f>($J2516-$H2516)*100</f>
        <v/>
      </c>
      <c r="AY2516" s="82">
        <f>($L2516-$H2516)*100</f>
        <v/>
      </c>
      <c r="AZ2516" s="82">
        <f>($L2516-$J2516)*100</f>
        <v/>
      </c>
      <c r="BA2516" s="82">
        <f>(2*$H2516-$F2516-$J2516)*100</f>
        <v/>
      </c>
      <c r="BB2516" s="82">
        <f>(2*$J2516-$H2516-$L2516)*100</f>
        <v/>
      </c>
      <c r="BC2516" s="82">
        <f>($N2516-$F2516)*100</f>
        <v/>
      </c>
      <c r="BD2516" s="82">
        <f>($Q2516-$H2516)*100</f>
        <v/>
      </c>
      <c r="BE2516" s="82">
        <f>($S2516-$J2516)*100</f>
        <v/>
      </c>
      <c r="BF2516" s="82">
        <f>($V2516-$L2516)*100</f>
        <v/>
      </c>
      <c r="BG2516" s="82">
        <f>$AG2516-$AF2516</f>
        <v/>
      </c>
      <c r="BH2516" s="81">
        <f>IFERROR($AG2516/$AF2516,"")</f>
        <v/>
      </c>
      <c r="BI2516" s="82">
        <f>$AJ2516-$AF2516</f>
        <v/>
      </c>
      <c r="BJ2516" s="81">
        <f>IFERROR($AJ2516/$AG2516,"")</f>
        <v/>
      </c>
      <c r="BK2516" s="81">
        <f>$X2516</f>
        <v/>
      </c>
      <c r="BL2516" s="82">
        <f>($J2516-$J2517)*100</f>
        <v/>
      </c>
      <c r="BM2516" s="82">
        <f>($F2516-$F2517)*100</f>
        <v/>
      </c>
      <c r="BN2516" s="82">
        <f>$AF2516-$AF2517</f>
        <v/>
      </c>
      <c r="BO2516" s="82">
        <f>$AG2516-$AG2517</f>
        <v/>
      </c>
      <c r="BP2516" s="82">
        <f>$AJ2516-$AJ2517</f>
        <v/>
      </c>
    </row>
    <row r="2517">
      <c r="AR2517" s="81">
        <f>($G2517+($H2517-$G2517)*0.5)+($P2517-($O2517+($Q2517-$O2517)*0.5))</f>
        <v/>
      </c>
      <c r="AS2517" s="81">
        <f>($J2517+($K2517-$J2517)*0.5)+($T2517-($S2517+($U2517-$S2517)*0.5))</f>
        <v/>
      </c>
      <c r="AT2517" s="82">
        <f>($J2517-$C2517)*100</f>
        <v/>
      </c>
      <c r="AU2517" s="82">
        <f>($H2517-$F2517)*100</f>
        <v/>
      </c>
      <c r="AV2517" s="82">
        <f>($J2517-$F2517)*100</f>
        <v/>
      </c>
      <c r="AW2517" s="82">
        <f>($L2517-$F2517)*100</f>
        <v/>
      </c>
      <c r="AX2517" s="82">
        <f>($J2517-$H2517)*100</f>
        <v/>
      </c>
      <c r="AY2517" s="82">
        <f>($L2517-$H2517)*100</f>
        <v/>
      </c>
      <c r="AZ2517" s="82">
        <f>($L2517-$J2517)*100</f>
        <v/>
      </c>
      <c r="BA2517" s="82">
        <f>(2*$H2517-$F2517-$J2517)*100</f>
        <v/>
      </c>
      <c r="BB2517" s="82">
        <f>(2*$J2517-$H2517-$L2517)*100</f>
        <v/>
      </c>
      <c r="BC2517" s="82">
        <f>($N2517-$F2517)*100</f>
        <v/>
      </c>
      <c r="BD2517" s="82">
        <f>($Q2517-$H2517)*100</f>
        <v/>
      </c>
      <c r="BE2517" s="82">
        <f>($S2517-$J2517)*100</f>
        <v/>
      </c>
      <c r="BF2517" s="82">
        <f>($V2517-$L2517)*100</f>
        <v/>
      </c>
      <c r="BG2517" s="82">
        <f>$AG2517-$AF2517</f>
        <v/>
      </c>
      <c r="BH2517" s="81">
        <f>IFERROR($AG2517/$AF2517,"")</f>
        <v/>
      </c>
      <c r="BI2517" s="82">
        <f>$AJ2517-$AF2517</f>
        <v/>
      </c>
      <c r="BJ2517" s="81">
        <f>IFERROR($AJ2517/$AG2517,"")</f>
        <v/>
      </c>
      <c r="BK2517" s="81">
        <f>$X2517</f>
        <v/>
      </c>
      <c r="BL2517" s="82">
        <f>($J2517-$J2518)*100</f>
        <v/>
      </c>
      <c r="BM2517" s="82">
        <f>($F2517-$F2518)*100</f>
        <v/>
      </c>
      <c r="BN2517" s="82">
        <f>$AF2517-$AF2518</f>
        <v/>
      </c>
      <c r="BO2517" s="82">
        <f>$AG2517-$AG2518</f>
        <v/>
      </c>
      <c r="BP2517" s="82">
        <f>$AJ2517-$AJ2518</f>
        <v/>
      </c>
    </row>
    <row r="2518">
      <c r="AR2518" s="81">
        <f>($G2518+($H2518-$G2518)*0.5)+($P2518-($O2518+($Q2518-$O2518)*0.5))</f>
        <v/>
      </c>
      <c r="AS2518" s="81">
        <f>($J2518+($K2518-$J2518)*0.5)+($T2518-($S2518+($U2518-$S2518)*0.5))</f>
        <v/>
      </c>
      <c r="AT2518" s="82">
        <f>($J2518-$C2518)*100</f>
        <v/>
      </c>
      <c r="AU2518" s="82">
        <f>($H2518-$F2518)*100</f>
        <v/>
      </c>
      <c r="AV2518" s="82">
        <f>($J2518-$F2518)*100</f>
        <v/>
      </c>
      <c r="AW2518" s="82">
        <f>($L2518-$F2518)*100</f>
        <v/>
      </c>
      <c r="AX2518" s="82">
        <f>($J2518-$H2518)*100</f>
        <v/>
      </c>
      <c r="AY2518" s="82">
        <f>($L2518-$H2518)*100</f>
        <v/>
      </c>
      <c r="AZ2518" s="82">
        <f>($L2518-$J2518)*100</f>
        <v/>
      </c>
      <c r="BA2518" s="82">
        <f>(2*$H2518-$F2518-$J2518)*100</f>
        <v/>
      </c>
      <c r="BB2518" s="82">
        <f>(2*$J2518-$H2518-$L2518)*100</f>
        <v/>
      </c>
      <c r="BC2518" s="82">
        <f>($N2518-$F2518)*100</f>
        <v/>
      </c>
      <c r="BD2518" s="82">
        <f>($Q2518-$H2518)*100</f>
        <v/>
      </c>
      <c r="BE2518" s="82">
        <f>($S2518-$J2518)*100</f>
        <v/>
      </c>
      <c r="BF2518" s="82">
        <f>($V2518-$L2518)*100</f>
        <v/>
      </c>
      <c r="BG2518" s="82">
        <f>$AG2518-$AF2518</f>
        <v/>
      </c>
      <c r="BH2518" s="81">
        <f>IFERROR($AG2518/$AF2518,"")</f>
        <v/>
      </c>
      <c r="BI2518" s="82">
        <f>$AJ2518-$AF2518</f>
        <v/>
      </c>
      <c r="BJ2518" s="81">
        <f>IFERROR($AJ2518/$AG2518,"")</f>
        <v/>
      </c>
      <c r="BK2518" s="81">
        <f>$X2518</f>
        <v/>
      </c>
      <c r="BL2518" s="82">
        <f>($J2518-$J2519)*100</f>
        <v/>
      </c>
      <c r="BM2518" s="82">
        <f>($F2518-$F2519)*100</f>
        <v/>
      </c>
      <c r="BN2518" s="82">
        <f>$AF2518-$AF2519</f>
        <v/>
      </c>
      <c r="BO2518" s="82">
        <f>$AG2518-$AG2519</f>
        <v/>
      </c>
      <c r="BP2518" s="82">
        <f>$AJ2518-$AJ2519</f>
        <v/>
      </c>
    </row>
    <row r="2519">
      <c r="AR2519" s="81">
        <f>($G2519+($H2519-$G2519)*0.5)+($P2519-($O2519+($Q2519-$O2519)*0.5))</f>
        <v/>
      </c>
      <c r="AS2519" s="81">
        <f>($J2519+($K2519-$J2519)*0.5)+($T2519-($S2519+($U2519-$S2519)*0.5))</f>
        <v/>
      </c>
      <c r="AT2519" s="82">
        <f>($J2519-$C2519)*100</f>
        <v/>
      </c>
      <c r="AU2519" s="82">
        <f>($H2519-$F2519)*100</f>
        <v/>
      </c>
      <c r="AV2519" s="82">
        <f>($J2519-$F2519)*100</f>
        <v/>
      </c>
      <c r="AW2519" s="82">
        <f>($L2519-$F2519)*100</f>
        <v/>
      </c>
      <c r="AX2519" s="82">
        <f>($J2519-$H2519)*100</f>
        <v/>
      </c>
      <c r="AY2519" s="82">
        <f>($L2519-$H2519)*100</f>
        <v/>
      </c>
      <c r="AZ2519" s="82">
        <f>($L2519-$J2519)*100</f>
        <v/>
      </c>
      <c r="BA2519" s="82">
        <f>(2*$H2519-$F2519-$J2519)*100</f>
        <v/>
      </c>
      <c r="BB2519" s="82">
        <f>(2*$J2519-$H2519-$L2519)*100</f>
        <v/>
      </c>
      <c r="BC2519" s="82">
        <f>($N2519-$F2519)*100</f>
        <v/>
      </c>
      <c r="BD2519" s="82">
        <f>($Q2519-$H2519)*100</f>
        <v/>
      </c>
      <c r="BE2519" s="82">
        <f>($S2519-$J2519)*100</f>
        <v/>
      </c>
      <c r="BF2519" s="82">
        <f>($V2519-$L2519)*100</f>
        <v/>
      </c>
      <c r="BG2519" s="82">
        <f>$AG2519-$AF2519</f>
        <v/>
      </c>
      <c r="BH2519" s="81">
        <f>IFERROR($AG2519/$AF2519,"")</f>
        <v/>
      </c>
      <c r="BI2519" s="82">
        <f>$AJ2519-$AF2519</f>
        <v/>
      </c>
      <c r="BJ2519" s="81">
        <f>IFERROR($AJ2519/$AG2519,"")</f>
        <v/>
      </c>
      <c r="BK2519" s="81">
        <f>$X2519</f>
        <v/>
      </c>
      <c r="BL2519" s="82">
        <f>($J2519-$J2520)*100</f>
        <v/>
      </c>
      <c r="BM2519" s="82">
        <f>($F2519-$F2520)*100</f>
        <v/>
      </c>
      <c r="BN2519" s="82">
        <f>$AF2519-$AF2520</f>
        <v/>
      </c>
      <c r="BO2519" s="82">
        <f>$AG2519-$AG2520</f>
        <v/>
      </c>
      <c r="BP2519" s="82">
        <f>$AJ2519-$AJ2520</f>
        <v/>
      </c>
    </row>
    <row r="2520">
      <c r="AR2520" s="81">
        <f>($G2520+($H2520-$G2520)*0.5)+($P2520-($O2520+($Q2520-$O2520)*0.5))</f>
        <v/>
      </c>
      <c r="AS2520" s="81">
        <f>($J2520+($K2520-$J2520)*0.5)+($T2520-($S2520+($U2520-$S2520)*0.5))</f>
        <v/>
      </c>
      <c r="AT2520" s="82">
        <f>($J2520-$C2520)*100</f>
        <v/>
      </c>
      <c r="AU2520" s="82">
        <f>($H2520-$F2520)*100</f>
        <v/>
      </c>
      <c r="AV2520" s="82">
        <f>($J2520-$F2520)*100</f>
        <v/>
      </c>
      <c r="AW2520" s="82">
        <f>($L2520-$F2520)*100</f>
        <v/>
      </c>
      <c r="AX2520" s="82">
        <f>($J2520-$H2520)*100</f>
        <v/>
      </c>
      <c r="AY2520" s="82">
        <f>($L2520-$H2520)*100</f>
        <v/>
      </c>
      <c r="AZ2520" s="82">
        <f>($L2520-$J2520)*100</f>
        <v/>
      </c>
      <c r="BA2520" s="82">
        <f>(2*$H2520-$F2520-$J2520)*100</f>
        <v/>
      </c>
      <c r="BB2520" s="82">
        <f>(2*$J2520-$H2520-$L2520)*100</f>
        <v/>
      </c>
      <c r="BC2520" s="82">
        <f>($N2520-$F2520)*100</f>
        <v/>
      </c>
      <c r="BD2520" s="82">
        <f>($Q2520-$H2520)*100</f>
        <v/>
      </c>
      <c r="BE2520" s="82">
        <f>($S2520-$J2520)*100</f>
        <v/>
      </c>
      <c r="BF2520" s="82">
        <f>($V2520-$L2520)*100</f>
        <v/>
      </c>
      <c r="BG2520" s="82">
        <f>$AG2520-$AF2520</f>
        <v/>
      </c>
      <c r="BH2520" s="81">
        <f>IFERROR($AG2520/$AF2520,"")</f>
        <v/>
      </c>
      <c r="BI2520" s="82">
        <f>$AJ2520-$AF2520</f>
        <v/>
      </c>
      <c r="BJ2520" s="81">
        <f>IFERROR($AJ2520/$AG2520,"")</f>
        <v/>
      </c>
      <c r="BK2520" s="81">
        <f>$X2520</f>
        <v/>
      </c>
      <c r="BL2520" s="82">
        <f>($J2520-$J2521)*100</f>
        <v/>
      </c>
      <c r="BM2520" s="82">
        <f>($F2520-$F2521)*100</f>
        <v/>
      </c>
      <c r="BN2520" s="82">
        <f>$AF2520-$AF2521</f>
        <v/>
      </c>
      <c r="BO2520" s="82">
        <f>$AG2520-$AG2521</f>
        <v/>
      </c>
      <c r="BP2520" s="82">
        <f>$AJ2520-$AJ2521</f>
        <v/>
      </c>
    </row>
    <row r="2521">
      <c r="AR2521" s="81">
        <f>($G2521+($H2521-$G2521)*0.5)+($P2521-($O2521+($Q2521-$O2521)*0.5))</f>
        <v/>
      </c>
      <c r="AS2521" s="81">
        <f>($J2521+($K2521-$J2521)*0.5)+($T2521-($S2521+($U2521-$S2521)*0.5))</f>
        <v/>
      </c>
      <c r="AT2521" s="82">
        <f>($J2521-$C2521)*100</f>
        <v/>
      </c>
      <c r="AU2521" s="82">
        <f>($H2521-$F2521)*100</f>
        <v/>
      </c>
      <c r="AV2521" s="82">
        <f>($J2521-$F2521)*100</f>
        <v/>
      </c>
      <c r="AW2521" s="82">
        <f>($L2521-$F2521)*100</f>
        <v/>
      </c>
      <c r="AX2521" s="82">
        <f>($J2521-$H2521)*100</f>
        <v/>
      </c>
      <c r="AY2521" s="82">
        <f>($L2521-$H2521)*100</f>
        <v/>
      </c>
      <c r="AZ2521" s="82">
        <f>($L2521-$J2521)*100</f>
        <v/>
      </c>
      <c r="BA2521" s="82">
        <f>(2*$H2521-$F2521-$J2521)*100</f>
        <v/>
      </c>
      <c r="BB2521" s="82">
        <f>(2*$J2521-$H2521-$L2521)*100</f>
        <v/>
      </c>
      <c r="BC2521" s="82">
        <f>($N2521-$F2521)*100</f>
        <v/>
      </c>
      <c r="BD2521" s="82">
        <f>($Q2521-$H2521)*100</f>
        <v/>
      </c>
      <c r="BE2521" s="82">
        <f>($S2521-$J2521)*100</f>
        <v/>
      </c>
      <c r="BF2521" s="82">
        <f>($V2521-$L2521)*100</f>
        <v/>
      </c>
      <c r="BG2521" s="82">
        <f>$AG2521-$AF2521</f>
        <v/>
      </c>
      <c r="BH2521" s="81">
        <f>IFERROR($AG2521/$AF2521,"")</f>
        <v/>
      </c>
      <c r="BI2521" s="82">
        <f>$AJ2521-$AF2521</f>
        <v/>
      </c>
      <c r="BJ2521" s="81">
        <f>IFERROR($AJ2521/$AG2521,"")</f>
        <v/>
      </c>
      <c r="BK2521" s="81">
        <f>$X2521</f>
        <v/>
      </c>
      <c r="BL2521" s="82">
        <f>($J2521-$J2522)*100</f>
        <v/>
      </c>
      <c r="BM2521" s="82">
        <f>($F2521-$F2522)*100</f>
        <v/>
      </c>
      <c r="BN2521" s="82">
        <f>$AF2521-$AF2522</f>
        <v/>
      </c>
      <c r="BO2521" s="82">
        <f>$AG2521-$AG2522</f>
        <v/>
      </c>
      <c r="BP2521" s="82">
        <f>$AJ2521-$AJ2522</f>
        <v/>
      </c>
    </row>
    <row r="2522">
      <c r="AR2522" s="81">
        <f>($G2522+($H2522-$G2522)*0.5)+($P2522-($O2522+($Q2522-$O2522)*0.5))</f>
        <v/>
      </c>
      <c r="AS2522" s="81">
        <f>($J2522+($K2522-$J2522)*0.5)+($T2522-($S2522+($U2522-$S2522)*0.5))</f>
        <v/>
      </c>
      <c r="AT2522" s="82">
        <f>($J2522-$C2522)*100</f>
        <v/>
      </c>
      <c r="AU2522" s="82">
        <f>($H2522-$F2522)*100</f>
        <v/>
      </c>
      <c r="AV2522" s="82">
        <f>($J2522-$F2522)*100</f>
        <v/>
      </c>
      <c r="AW2522" s="82">
        <f>($L2522-$F2522)*100</f>
        <v/>
      </c>
      <c r="AX2522" s="82">
        <f>($J2522-$H2522)*100</f>
        <v/>
      </c>
      <c r="AY2522" s="82">
        <f>($L2522-$H2522)*100</f>
        <v/>
      </c>
      <c r="AZ2522" s="82">
        <f>($L2522-$J2522)*100</f>
        <v/>
      </c>
      <c r="BA2522" s="82">
        <f>(2*$H2522-$F2522-$J2522)*100</f>
        <v/>
      </c>
      <c r="BB2522" s="82">
        <f>(2*$J2522-$H2522-$L2522)*100</f>
        <v/>
      </c>
      <c r="BC2522" s="82">
        <f>($N2522-$F2522)*100</f>
        <v/>
      </c>
      <c r="BD2522" s="82">
        <f>($Q2522-$H2522)*100</f>
        <v/>
      </c>
      <c r="BE2522" s="82">
        <f>($S2522-$J2522)*100</f>
        <v/>
      </c>
      <c r="BF2522" s="82">
        <f>($V2522-$L2522)*100</f>
        <v/>
      </c>
      <c r="BG2522" s="82">
        <f>$AG2522-$AF2522</f>
        <v/>
      </c>
      <c r="BH2522" s="81">
        <f>IFERROR($AG2522/$AF2522,"")</f>
        <v/>
      </c>
      <c r="BI2522" s="82">
        <f>$AJ2522-$AF2522</f>
        <v/>
      </c>
      <c r="BJ2522" s="81">
        <f>IFERROR($AJ2522/$AG2522,"")</f>
        <v/>
      </c>
      <c r="BK2522" s="81">
        <f>$X2522</f>
        <v/>
      </c>
      <c r="BL2522" s="82">
        <f>($J2522-$J2523)*100</f>
        <v/>
      </c>
      <c r="BM2522" s="82">
        <f>($F2522-$F2523)*100</f>
        <v/>
      </c>
      <c r="BN2522" s="82">
        <f>$AF2522-$AF2523</f>
        <v/>
      </c>
      <c r="BO2522" s="82">
        <f>$AG2522-$AG2523</f>
        <v/>
      </c>
      <c r="BP2522" s="82">
        <f>$AJ2522-$AJ2523</f>
        <v/>
      </c>
    </row>
    <row r="2523">
      <c r="AR2523" s="81">
        <f>($G2523+($H2523-$G2523)*0.5)+($P2523-($O2523+($Q2523-$O2523)*0.5))</f>
        <v/>
      </c>
      <c r="AS2523" s="81">
        <f>($J2523+($K2523-$J2523)*0.5)+($T2523-($S2523+($U2523-$S2523)*0.5))</f>
        <v/>
      </c>
      <c r="AT2523" s="82">
        <f>($J2523-$C2523)*100</f>
        <v/>
      </c>
      <c r="AU2523" s="82">
        <f>($H2523-$F2523)*100</f>
        <v/>
      </c>
      <c r="AV2523" s="82">
        <f>($J2523-$F2523)*100</f>
        <v/>
      </c>
      <c r="AW2523" s="82">
        <f>($L2523-$F2523)*100</f>
        <v/>
      </c>
      <c r="AX2523" s="82">
        <f>($J2523-$H2523)*100</f>
        <v/>
      </c>
      <c r="AY2523" s="82">
        <f>($L2523-$H2523)*100</f>
        <v/>
      </c>
      <c r="AZ2523" s="82">
        <f>($L2523-$J2523)*100</f>
        <v/>
      </c>
      <c r="BA2523" s="82">
        <f>(2*$H2523-$F2523-$J2523)*100</f>
        <v/>
      </c>
      <c r="BB2523" s="82">
        <f>(2*$J2523-$H2523-$L2523)*100</f>
        <v/>
      </c>
      <c r="BC2523" s="82">
        <f>($N2523-$F2523)*100</f>
        <v/>
      </c>
      <c r="BD2523" s="82">
        <f>($Q2523-$H2523)*100</f>
        <v/>
      </c>
      <c r="BE2523" s="82">
        <f>($S2523-$J2523)*100</f>
        <v/>
      </c>
      <c r="BF2523" s="82">
        <f>($V2523-$L2523)*100</f>
        <v/>
      </c>
      <c r="BG2523" s="82">
        <f>$AG2523-$AF2523</f>
        <v/>
      </c>
      <c r="BH2523" s="81">
        <f>IFERROR($AG2523/$AF2523,"")</f>
        <v/>
      </c>
      <c r="BI2523" s="82">
        <f>$AJ2523-$AF2523</f>
        <v/>
      </c>
      <c r="BJ2523" s="81">
        <f>IFERROR($AJ2523/$AG2523,"")</f>
        <v/>
      </c>
      <c r="BK2523" s="81">
        <f>$X2523</f>
        <v/>
      </c>
      <c r="BL2523" s="82">
        <f>($J2523-$J2524)*100</f>
        <v/>
      </c>
      <c r="BM2523" s="82">
        <f>($F2523-$F2524)*100</f>
        <v/>
      </c>
      <c r="BN2523" s="82">
        <f>$AF2523-$AF2524</f>
        <v/>
      </c>
      <c r="BO2523" s="82">
        <f>$AG2523-$AG2524</f>
        <v/>
      </c>
      <c r="BP2523" s="82">
        <f>$AJ2523-$AJ2524</f>
        <v/>
      </c>
    </row>
    <row r="2524">
      <c r="AR2524" s="81">
        <f>($G2524+($H2524-$G2524)*0.5)+($P2524-($O2524+($Q2524-$O2524)*0.5))</f>
        <v/>
      </c>
      <c r="AS2524" s="81">
        <f>($J2524+($K2524-$J2524)*0.5)+($T2524-($S2524+($U2524-$S2524)*0.5))</f>
        <v/>
      </c>
      <c r="AT2524" s="82">
        <f>($J2524-$C2524)*100</f>
        <v/>
      </c>
      <c r="AU2524" s="82">
        <f>($H2524-$F2524)*100</f>
        <v/>
      </c>
      <c r="AV2524" s="82">
        <f>($J2524-$F2524)*100</f>
        <v/>
      </c>
      <c r="AW2524" s="82">
        <f>($L2524-$F2524)*100</f>
        <v/>
      </c>
      <c r="AX2524" s="82">
        <f>($J2524-$H2524)*100</f>
        <v/>
      </c>
      <c r="AY2524" s="82">
        <f>($L2524-$H2524)*100</f>
        <v/>
      </c>
      <c r="AZ2524" s="82">
        <f>($L2524-$J2524)*100</f>
        <v/>
      </c>
      <c r="BA2524" s="82">
        <f>(2*$H2524-$F2524-$J2524)*100</f>
        <v/>
      </c>
      <c r="BB2524" s="82">
        <f>(2*$J2524-$H2524-$L2524)*100</f>
        <v/>
      </c>
      <c r="BC2524" s="82">
        <f>($N2524-$F2524)*100</f>
        <v/>
      </c>
      <c r="BD2524" s="82">
        <f>($Q2524-$H2524)*100</f>
        <v/>
      </c>
      <c r="BE2524" s="82">
        <f>($S2524-$J2524)*100</f>
        <v/>
      </c>
      <c r="BF2524" s="82">
        <f>($V2524-$L2524)*100</f>
        <v/>
      </c>
      <c r="BG2524" s="82">
        <f>$AG2524-$AF2524</f>
        <v/>
      </c>
      <c r="BH2524" s="81">
        <f>IFERROR($AG2524/$AF2524,"")</f>
        <v/>
      </c>
      <c r="BI2524" s="82">
        <f>$AJ2524-$AF2524</f>
        <v/>
      </c>
      <c r="BJ2524" s="81">
        <f>IFERROR($AJ2524/$AG2524,"")</f>
        <v/>
      </c>
      <c r="BK2524" s="81">
        <f>$X2524</f>
        <v/>
      </c>
      <c r="BL2524" s="82">
        <f>($J2524-$J2525)*100</f>
        <v/>
      </c>
      <c r="BM2524" s="82">
        <f>($F2524-$F2525)*100</f>
        <v/>
      </c>
      <c r="BN2524" s="82">
        <f>$AF2524-$AF2525</f>
        <v/>
      </c>
      <c r="BO2524" s="82">
        <f>$AG2524-$AG2525</f>
        <v/>
      </c>
      <c r="BP2524" s="82">
        <f>$AJ2524-$AJ2525</f>
        <v/>
      </c>
    </row>
    <row r="2525">
      <c r="AR2525" s="81">
        <f>($G2525+($H2525-$G2525)*0.5)+($P2525-($O2525+($Q2525-$O2525)*0.5))</f>
        <v/>
      </c>
      <c r="AS2525" s="81">
        <f>($J2525+($K2525-$J2525)*0.5)+($T2525-($S2525+($U2525-$S2525)*0.5))</f>
        <v/>
      </c>
      <c r="AT2525" s="82">
        <f>($J2525-$C2525)*100</f>
        <v/>
      </c>
      <c r="AU2525" s="82">
        <f>($H2525-$F2525)*100</f>
        <v/>
      </c>
      <c r="AV2525" s="82">
        <f>($J2525-$F2525)*100</f>
        <v/>
      </c>
      <c r="AW2525" s="82">
        <f>($L2525-$F2525)*100</f>
        <v/>
      </c>
      <c r="AX2525" s="82">
        <f>($J2525-$H2525)*100</f>
        <v/>
      </c>
      <c r="AY2525" s="82">
        <f>($L2525-$H2525)*100</f>
        <v/>
      </c>
      <c r="AZ2525" s="82">
        <f>($L2525-$J2525)*100</f>
        <v/>
      </c>
      <c r="BA2525" s="82">
        <f>(2*$H2525-$F2525-$J2525)*100</f>
        <v/>
      </c>
      <c r="BB2525" s="82">
        <f>(2*$J2525-$H2525-$L2525)*100</f>
        <v/>
      </c>
      <c r="BC2525" s="82">
        <f>($N2525-$F2525)*100</f>
        <v/>
      </c>
      <c r="BD2525" s="82">
        <f>($Q2525-$H2525)*100</f>
        <v/>
      </c>
      <c r="BE2525" s="82">
        <f>($S2525-$J2525)*100</f>
        <v/>
      </c>
      <c r="BF2525" s="82">
        <f>($V2525-$L2525)*100</f>
        <v/>
      </c>
      <c r="BG2525" s="82">
        <f>$AG2525-$AF2525</f>
        <v/>
      </c>
      <c r="BH2525" s="81">
        <f>IFERROR($AG2525/$AF2525,"")</f>
        <v/>
      </c>
      <c r="BI2525" s="82">
        <f>$AJ2525-$AF2525</f>
        <v/>
      </c>
      <c r="BJ2525" s="81">
        <f>IFERROR($AJ2525/$AG2525,"")</f>
        <v/>
      </c>
      <c r="BK2525" s="81">
        <f>$X2525</f>
        <v/>
      </c>
      <c r="BL2525" s="82">
        <f>($J2525-$J2526)*100</f>
        <v/>
      </c>
      <c r="BM2525" s="82">
        <f>($F2525-$F2526)*100</f>
        <v/>
      </c>
      <c r="BN2525" s="82">
        <f>$AF2525-$AF2526</f>
        <v/>
      </c>
      <c r="BO2525" s="82">
        <f>$AG2525-$AG2526</f>
        <v/>
      </c>
      <c r="BP2525" s="82">
        <f>$AJ2525-$AJ2526</f>
        <v/>
      </c>
    </row>
    <row r="2526">
      <c r="AR2526" s="81">
        <f>($G2526+($H2526-$G2526)*0.5)+($P2526-($O2526+($Q2526-$O2526)*0.5))</f>
        <v/>
      </c>
      <c r="AS2526" s="81">
        <f>($J2526+($K2526-$J2526)*0.5)+($T2526-($S2526+($U2526-$S2526)*0.5))</f>
        <v/>
      </c>
      <c r="AT2526" s="82">
        <f>($J2526-$C2526)*100</f>
        <v/>
      </c>
      <c r="AU2526" s="82">
        <f>($H2526-$F2526)*100</f>
        <v/>
      </c>
      <c r="AV2526" s="82">
        <f>($J2526-$F2526)*100</f>
        <v/>
      </c>
      <c r="AW2526" s="82">
        <f>($L2526-$F2526)*100</f>
        <v/>
      </c>
      <c r="AX2526" s="82">
        <f>($J2526-$H2526)*100</f>
        <v/>
      </c>
      <c r="AY2526" s="82">
        <f>($L2526-$H2526)*100</f>
        <v/>
      </c>
      <c r="AZ2526" s="82">
        <f>($L2526-$J2526)*100</f>
        <v/>
      </c>
      <c r="BA2526" s="82">
        <f>(2*$H2526-$F2526-$J2526)*100</f>
        <v/>
      </c>
      <c r="BB2526" s="82">
        <f>(2*$J2526-$H2526-$L2526)*100</f>
        <v/>
      </c>
      <c r="BC2526" s="82">
        <f>($N2526-$F2526)*100</f>
        <v/>
      </c>
      <c r="BD2526" s="82">
        <f>($Q2526-$H2526)*100</f>
        <v/>
      </c>
      <c r="BE2526" s="82">
        <f>($S2526-$J2526)*100</f>
        <v/>
      </c>
      <c r="BF2526" s="82">
        <f>($V2526-$L2526)*100</f>
        <v/>
      </c>
      <c r="BG2526" s="82">
        <f>$AG2526-$AF2526</f>
        <v/>
      </c>
      <c r="BH2526" s="81">
        <f>IFERROR($AG2526/$AF2526,"")</f>
        <v/>
      </c>
      <c r="BI2526" s="82">
        <f>$AJ2526-$AF2526</f>
        <v/>
      </c>
      <c r="BJ2526" s="81">
        <f>IFERROR($AJ2526/$AG2526,"")</f>
        <v/>
      </c>
      <c r="BK2526" s="81">
        <f>$X2526</f>
        <v/>
      </c>
      <c r="BL2526" s="82">
        <f>($J2526-$J2527)*100</f>
        <v/>
      </c>
      <c r="BM2526" s="82">
        <f>($F2526-$F2527)*100</f>
        <v/>
      </c>
      <c r="BN2526" s="82">
        <f>$AF2526-$AF2527</f>
        <v/>
      </c>
      <c r="BO2526" s="82">
        <f>$AG2526-$AG2527</f>
        <v/>
      </c>
      <c r="BP2526" s="82">
        <f>$AJ2526-$AJ2527</f>
        <v/>
      </c>
    </row>
    <row r="2527">
      <c r="AR2527" s="81">
        <f>($G2527+($H2527-$G2527)*0.5)+($P2527-($O2527+($Q2527-$O2527)*0.5))</f>
        <v/>
      </c>
      <c r="AS2527" s="81">
        <f>($J2527+($K2527-$J2527)*0.5)+($T2527-($S2527+($U2527-$S2527)*0.5))</f>
        <v/>
      </c>
      <c r="AT2527" s="82">
        <f>($J2527-$C2527)*100</f>
        <v/>
      </c>
      <c r="AU2527" s="82">
        <f>($H2527-$F2527)*100</f>
        <v/>
      </c>
      <c r="AV2527" s="82">
        <f>($J2527-$F2527)*100</f>
        <v/>
      </c>
      <c r="AW2527" s="82">
        <f>($L2527-$F2527)*100</f>
        <v/>
      </c>
      <c r="AX2527" s="82">
        <f>($J2527-$H2527)*100</f>
        <v/>
      </c>
      <c r="AY2527" s="82">
        <f>($L2527-$H2527)*100</f>
        <v/>
      </c>
      <c r="AZ2527" s="82">
        <f>($L2527-$J2527)*100</f>
        <v/>
      </c>
      <c r="BA2527" s="82">
        <f>(2*$H2527-$F2527-$J2527)*100</f>
        <v/>
      </c>
      <c r="BB2527" s="82">
        <f>(2*$J2527-$H2527-$L2527)*100</f>
        <v/>
      </c>
      <c r="BC2527" s="82">
        <f>($N2527-$F2527)*100</f>
        <v/>
      </c>
      <c r="BD2527" s="82">
        <f>($Q2527-$H2527)*100</f>
        <v/>
      </c>
      <c r="BE2527" s="82">
        <f>($S2527-$J2527)*100</f>
        <v/>
      </c>
      <c r="BF2527" s="82">
        <f>($V2527-$L2527)*100</f>
        <v/>
      </c>
      <c r="BG2527" s="82">
        <f>$AG2527-$AF2527</f>
        <v/>
      </c>
      <c r="BH2527" s="81">
        <f>IFERROR($AG2527/$AF2527,"")</f>
        <v/>
      </c>
      <c r="BI2527" s="82">
        <f>$AJ2527-$AF2527</f>
        <v/>
      </c>
      <c r="BJ2527" s="81">
        <f>IFERROR($AJ2527/$AG2527,"")</f>
        <v/>
      </c>
      <c r="BK2527" s="81">
        <f>$X2527</f>
        <v/>
      </c>
      <c r="BL2527" s="82">
        <f>($J2527-$J2528)*100</f>
        <v/>
      </c>
      <c r="BM2527" s="82">
        <f>($F2527-$F2528)*100</f>
        <v/>
      </c>
      <c r="BN2527" s="82">
        <f>$AF2527-$AF2528</f>
        <v/>
      </c>
      <c r="BO2527" s="82">
        <f>$AG2527-$AG2528</f>
        <v/>
      </c>
      <c r="BP2527" s="82">
        <f>$AJ2527-$AJ2528</f>
        <v/>
      </c>
    </row>
    <row r="2528">
      <c r="AR2528" s="81">
        <f>($G2528+($H2528-$G2528)*0.5)+($P2528-($O2528+($Q2528-$O2528)*0.5))</f>
        <v/>
      </c>
      <c r="AS2528" s="81">
        <f>($J2528+($K2528-$J2528)*0.5)+($T2528-($S2528+($U2528-$S2528)*0.5))</f>
        <v/>
      </c>
      <c r="AT2528" s="82">
        <f>($J2528-$C2528)*100</f>
        <v/>
      </c>
      <c r="AU2528" s="82">
        <f>($H2528-$F2528)*100</f>
        <v/>
      </c>
      <c r="AV2528" s="82">
        <f>($J2528-$F2528)*100</f>
        <v/>
      </c>
      <c r="AW2528" s="82">
        <f>($L2528-$F2528)*100</f>
        <v/>
      </c>
      <c r="AX2528" s="82">
        <f>($J2528-$H2528)*100</f>
        <v/>
      </c>
      <c r="AY2528" s="82">
        <f>($L2528-$H2528)*100</f>
        <v/>
      </c>
      <c r="AZ2528" s="82">
        <f>($L2528-$J2528)*100</f>
        <v/>
      </c>
      <c r="BA2528" s="82">
        <f>(2*$H2528-$F2528-$J2528)*100</f>
        <v/>
      </c>
      <c r="BB2528" s="82">
        <f>(2*$J2528-$H2528-$L2528)*100</f>
        <v/>
      </c>
      <c r="BC2528" s="82">
        <f>($N2528-$F2528)*100</f>
        <v/>
      </c>
      <c r="BD2528" s="82">
        <f>($Q2528-$H2528)*100</f>
        <v/>
      </c>
      <c r="BE2528" s="82">
        <f>($S2528-$J2528)*100</f>
        <v/>
      </c>
      <c r="BF2528" s="82">
        <f>($V2528-$L2528)*100</f>
        <v/>
      </c>
      <c r="BG2528" s="82">
        <f>$AG2528-$AF2528</f>
        <v/>
      </c>
      <c r="BH2528" s="81">
        <f>IFERROR($AG2528/$AF2528,"")</f>
        <v/>
      </c>
      <c r="BI2528" s="82">
        <f>$AJ2528-$AF2528</f>
        <v/>
      </c>
      <c r="BJ2528" s="81">
        <f>IFERROR($AJ2528/$AG2528,"")</f>
        <v/>
      </c>
      <c r="BK2528" s="81">
        <f>$X2528</f>
        <v/>
      </c>
      <c r="BL2528" s="82">
        <f>($J2528-$J2529)*100</f>
        <v/>
      </c>
      <c r="BM2528" s="82">
        <f>($F2528-$F2529)*100</f>
        <v/>
      </c>
      <c r="BN2528" s="82">
        <f>$AF2528-$AF2529</f>
        <v/>
      </c>
      <c r="BO2528" s="82">
        <f>$AG2528-$AG2529</f>
        <v/>
      </c>
      <c r="BP2528" s="82">
        <f>$AJ2528-$AJ2529</f>
        <v/>
      </c>
    </row>
    <row r="2529">
      <c r="AR2529" s="81">
        <f>($G2529+($H2529-$G2529)*0.5)+($P2529-($O2529+($Q2529-$O2529)*0.5))</f>
        <v/>
      </c>
      <c r="AS2529" s="81">
        <f>($J2529+($K2529-$J2529)*0.5)+($T2529-($S2529+($U2529-$S2529)*0.5))</f>
        <v/>
      </c>
      <c r="AT2529" s="82">
        <f>($J2529-$C2529)*100</f>
        <v/>
      </c>
      <c r="AU2529" s="82">
        <f>($H2529-$F2529)*100</f>
        <v/>
      </c>
      <c r="AV2529" s="82">
        <f>($J2529-$F2529)*100</f>
        <v/>
      </c>
      <c r="AW2529" s="82">
        <f>($L2529-$F2529)*100</f>
        <v/>
      </c>
      <c r="AX2529" s="82">
        <f>($J2529-$H2529)*100</f>
        <v/>
      </c>
      <c r="AY2529" s="82">
        <f>($L2529-$H2529)*100</f>
        <v/>
      </c>
      <c r="AZ2529" s="82">
        <f>($L2529-$J2529)*100</f>
        <v/>
      </c>
      <c r="BA2529" s="82">
        <f>(2*$H2529-$F2529-$J2529)*100</f>
        <v/>
      </c>
      <c r="BB2529" s="82">
        <f>(2*$J2529-$H2529-$L2529)*100</f>
        <v/>
      </c>
      <c r="BC2529" s="82">
        <f>($N2529-$F2529)*100</f>
        <v/>
      </c>
      <c r="BD2529" s="82">
        <f>($Q2529-$H2529)*100</f>
        <v/>
      </c>
      <c r="BE2529" s="82">
        <f>($S2529-$J2529)*100</f>
        <v/>
      </c>
      <c r="BF2529" s="82">
        <f>($V2529-$L2529)*100</f>
        <v/>
      </c>
      <c r="BG2529" s="82">
        <f>$AG2529-$AF2529</f>
        <v/>
      </c>
      <c r="BH2529" s="81">
        <f>IFERROR($AG2529/$AF2529,"")</f>
        <v/>
      </c>
      <c r="BI2529" s="82">
        <f>$AJ2529-$AF2529</f>
        <v/>
      </c>
      <c r="BJ2529" s="81">
        <f>IFERROR($AJ2529/$AG2529,"")</f>
        <v/>
      </c>
      <c r="BK2529" s="81">
        <f>$X2529</f>
        <v/>
      </c>
      <c r="BL2529" s="82">
        <f>($J2529-$J2530)*100</f>
        <v/>
      </c>
      <c r="BM2529" s="82">
        <f>($F2529-$F2530)*100</f>
        <v/>
      </c>
      <c r="BN2529" s="82">
        <f>$AF2529-$AF2530</f>
        <v/>
      </c>
      <c r="BO2529" s="82">
        <f>$AG2529-$AG2530</f>
        <v/>
      </c>
      <c r="BP2529" s="82">
        <f>$AJ2529-$AJ2530</f>
        <v/>
      </c>
    </row>
    <row r="2530">
      <c r="AR2530" s="81">
        <f>($G2530+($H2530-$G2530)*0.5)+($P2530-($O2530+($Q2530-$O2530)*0.5))</f>
        <v/>
      </c>
      <c r="AS2530" s="81">
        <f>($J2530+($K2530-$J2530)*0.5)+($T2530-($S2530+($U2530-$S2530)*0.5))</f>
        <v/>
      </c>
      <c r="AT2530" s="82">
        <f>($J2530-$C2530)*100</f>
        <v/>
      </c>
      <c r="AU2530" s="82">
        <f>($H2530-$F2530)*100</f>
        <v/>
      </c>
      <c r="AV2530" s="82">
        <f>($J2530-$F2530)*100</f>
        <v/>
      </c>
      <c r="AW2530" s="82">
        <f>($L2530-$F2530)*100</f>
        <v/>
      </c>
      <c r="AX2530" s="82">
        <f>($J2530-$H2530)*100</f>
        <v/>
      </c>
      <c r="AY2530" s="82">
        <f>($L2530-$H2530)*100</f>
        <v/>
      </c>
      <c r="AZ2530" s="82">
        <f>($L2530-$J2530)*100</f>
        <v/>
      </c>
      <c r="BA2530" s="82">
        <f>(2*$H2530-$F2530-$J2530)*100</f>
        <v/>
      </c>
      <c r="BB2530" s="82">
        <f>(2*$J2530-$H2530-$L2530)*100</f>
        <v/>
      </c>
      <c r="BC2530" s="82">
        <f>($N2530-$F2530)*100</f>
        <v/>
      </c>
      <c r="BD2530" s="82">
        <f>($Q2530-$H2530)*100</f>
        <v/>
      </c>
      <c r="BE2530" s="82">
        <f>($S2530-$J2530)*100</f>
        <v/>
      </c>
      <c r="BF2530" s="82">
        <f>($V2530-$L2530)*100</f>
        <v/>
      </c>
      <c r="BG2530" s="82">
        <f>$AG2530-$AF2530</f>
        <v/>
      </c>
      <c r="BH2530" s="81">
        <f>IFERROR($AG2530/$AF2530,"")</f>
        <v/>
      </c>
      <c r="BI2530" s="82">
        <f>$AJ2530-$AF2530</f>
        <v/>
      </c>
      <c r="BJ2530" s="81">
        <f>IFERROR($AJ2530/$AG2530,"")</f>
        <v/>
      </c>
      <c r="BK2530" s="81">
        <f>$X2530</f>
        <v/>
      </c>
      <c r="BL2530" s="82">
        <f>($J2530-$J2531)*100</f>
        <v/>
      </c>
      <c r="BM2530" s="82">
        <f>($F2530-$F2531)*100</f>
        <v/>
      </c>
      <c r="BN2530" s="82">
        <f>$AF2530-$AF2531</f>
        <v/>
      </c>
      <c r="BO2530" s="82">
        <f>$AG2530-$AG2531</f>
        <v/>
      </c>
      <c r="BP2530" s="82">
        <f>$AJ2530-$AJ2531</f>
        <v/>
      </c>
    </row>
    <row r="2531">
      <c r="AR2531" s="81">
        <f>($G2531+($H2531-$G2531)*0.5)+($P2531-($O2531+($Q2531-$O2531)*0.5))</f>
        <v/>
      </c>
      <c r="AS2531" s="81">
        <f>($J2531+($K2531-$J2531)*0.5)+($T2531-($S2531+($U2531-$S2531)*0.5))</f>
        <v/>
      </c>
      <c r="AT2531" s="82">
        <f>($J2531-$C2531)*100</f>
        <v/>
      </c>
      <c r="AU2531" s="82">
        <f>($H2531-$F2531)*100</f>
        <v/>
      </c>
      <c r="AV2531" s="82">
        <f>($J2531-$F2531)*100</f>
        <v/>
      </c>
      <c r="AW2531" s="82">
        <f>($L2531-$F2531)*100</f>
        <v/>
      </c>
      <c r="AX2531" s="82">
        <f>($J2531-$H2531)*100</f>
        <v/>
      </c>
      <c r="AY2531" s="82">
        <f>($L2531-$H2531)*100</f>
        <v/>
      </c>
      <c r="AZ2531" s="82">
        <f>($L2531-$J2531)*100</f>
        <v/>
      </c>
      <c r="BA2531" s="82">
        <f>(2*$H2531-$F2531-$J2531)*100</f>
        <v/>
      </c>
      <c r="BB2531" s="82">
        <f>(2*$J2531-$H2531-$L2531)*100</f>
        <v/>
      </c>
      <c r="BC2531" s="82">
        <f>($N2531-$F2531)*100</f>
        <v/>
      </c>
      <c r="BD2531" s="82">
        <f>($Q2531-$H2531)*100</f>
        <v/>
      </c>
      <c r="BE2531" s="82">
        <f>($S2531-$J2531)*100</f>
        <v/>
      </c>
      <c r="BF2531" s="82">
        <f>($V2531-$L2531)*100</f>
        <v/>
      </c>
      <c r="BG2531" s="82">
        <f>$AG2531-$AF2531</f>
        <v/>
      </c>
      <c r="BH2531" s="81">
        <f>IFERROR($AG2531/$AF2531,"")</f>
        <v/>
      </c>
      <c r="BI2531" s="82">
        <f>$AJ2531-$AF2531</f>
        <v/>
      </c>
      <c r="BJ2531" s="81">
        <f>IFERROR($AJ2531/$AG2531,"")</f>
        <v/>
      </c>
      <c r="BK2531" s="81">
        <f>$X2531</f>
        <v/>
      </c>
      <c r="BL2531" s="82">
        <f>($J2531-$J2532)*100</f>
        <v/>
      </c>
      <c r="BM2531" s="82">
        <f>($F2531-$F2532)*100</f>
        <v/>
      </c>
      <c r="BN2531" s="82">
        <f>$AF2531-$AF2532</f>
        <v/>
      </c>
      <c r="BO2531" s="82">
        <f>$AG2531-$AG2532</f>
        <v/>
      </c>
      <c r="BP2531" s="82">
        <f>$AJ2531-$AJ2532</f>
        <v/>
      </c>
    </row>
    <row r="2532">
      <c r="AR2532" s="81">
        <f>($G2532+($H2532-$G2532)*0.5)+($P2532-($O2532+($Q2532-$O2532)*0.5))</f>
        <v/>
      </c>
      <c r="AS2532" s="81">
        <f>($J2532+($K2532-$J2532)*0.5)+($T2532-($S2532+($U2532-$S2532)*0.5))</f>
        <v/>
      </c>
      <c r="AT2532" s="82">
        <f>($J2532-$C2532)*100</f>
        <v/>
      </c>
      <c r="AU2532" s="82">
        <f>($H2532-$F2532)*100</f>
        <v/>
      </c>
      <c r="AV2532" s="82">
        <f>($J2532-$F2532)*100</f>
        <v/>
      </c>
      <c r="AW2532" s="82">
        <f>($L2532-$F2532)*100</f>
        <v/>
      </c>
      <c r="AX2532" s="82">
        <f>($J2532-$H2532)*100</f>
        <v/>
      </c>
      <c r="AY2532" s="82">
        <f>($L2532-$H2532)*100</f>
        <v/>
      </c>
      <c r="AZ2532" s="82">
        <f>($L2532-$J2532)*100</f>
        <v/>
      </c>
      <c r="BA2532" s="82">
        <f>(2*$H2532-$F2532-$J2532)*100</f>
        <v/>
      </c>
      <c r="BB2532" s="82">
        <f>(2*$J2532-$H2532-$L2532)*100</f>
        <v/>
      </c>
      <c r="BC2532" s="82">
        <f>($N2532-$F2532)*100</f>
        <v/>
      </c>
      <c r="BD2532" s="82">
        <f>($Q2532-$H2532)*100</f>
        <v/>
      </c>
      <c r="BE2532" s="82">
        <f>($S2532-$J2532)*100</f>
        <v/>
      </c>
      <c r="BF2532" s="82">
        <f>($V2532-$L2532)*100</f>
        <v/>
      </c>
      <c r="BG2532" s="82">
        <f>$AG2532-$AF2532</f>
        <v/>
      </c>
      <c r="BH2532" s="81">
        <f>IFERROR($AG2532/$AF2532,"")</f>
        <v/>
      </c>
      <c r="BI2532" s="82">
        <f>$AJ2532-$AF2532</f>
        <v/>
      </c>
      <c r="BJ2532" s="81">
        <f>IFERROR($AJ2532/$AG2532,"")</f>
        <v/>
      </c>
      <c r="BK2532" s="81">
        <f>$X2532</f>
        <v/>
      </c>
      <c r="BL2532" s="82">
        <f>($J2532-$J2533)*100</f>
        <v/>
      </c>
      <c r="BM2532" s="82">
        <f>($F2532-$F2533)*100</f>
        <v/>
      </c>
      <c r="BN2532" s="82">
        <f>$AF2532-$AF2533</f>
        <v/>
      </c>
      <c r="BO2532" s="82">
        <f>$AG2532-$AG2533</f>
        <v/>
      </c>
      <c r="BP2532" s="82">
        <f>$AJ2532-$AJ2533</f>
        <v/>
      </c>
    </row>
    <row r="2533">
      <c r="AR2533" s="81">
        <f>($G2533+($H2533-$G2533)*0.5)+($P2533-($O2533+($Q2533-$O2533)*0.5))</f>
        <v/>
      </c>
      <c r="AS2533" s="81">
        <f>($J2533+($K2533-$J2533)*0.5)+($T2533-($S2533+($U2533-$S2533)*0.5))</f>
        <v/>
      </c>
      <c r="AT2533" s="82">
        <f>($J2533-$C2533)*100</f>
        <v/>
      </c>
      <c r="AU2533" s="82">
        <f>($H2533-$F2533)*100</f>
        <v/>
      </c>
      <c r="AV2533" s="82">
        <f>($J2533-$F2533)*100</f>
        <v/>
      </c>
      <c r="AW2533" s="82">
        <f>($L2533-$F2533)*100</f>
        <v/>
      </c>
      <c r="AX2533" s="82">
        <f>($J2533-$H2533)*100</f>
        <v/>
      </c>
      <c r="AY2533" s="82">
        <f>($L2533-$H2533)*100</f>
        <v/>
      </c>
      <c r="AZ2533" s="82">
        <f>($L2533-$J2533)*100</f>
        <v/>
      </c>
      <c r="BA2533" s="82">
        <f>(2*$H2533-$F2533-$J2533)*100</f>
        <v/>
      </c>
      <c r="BB2533" s="82">
        <f>(2*$J2533-$H2533-$L2533)*100</f>
        <v/>
      </c>
      <c r="BC2533" s="82">
        <f>($N2533-$F2533)*100</f>
        <v/>
      </c>
      <c r="BD2533" s="82">
        <f>($Q2533-$H2533)*100</f>
        <v/>
      </c>
      <c r="BE2533" s="82">
        <f>($S2533-$J2533)*100</f>
        <v/>
      </c>
      <c r="BF2533" s="82">
        <f>($V2533-$L2533)*100</f>
        <v/>
      </c>
      <c r="BG2533" s="82">
        <f>$AG2533-$AF2533</f>
        <v/>
      </c>
      <c r="BH2533" s="81">
        <f>IFERROR($AG2533/$AF2533,"")</f>
        <v/>
      </c>
      <c r="BI2533" s="82">
        <f>$AJ2533-$AF2533</f>
        <v/>
      </c>
      <c r="BJ2533" s="81">
        <f>IFERROR($AJ2533/$AG2533,"")</f>
        <v/>
      </c>
      <c r="BK2533" s="81">
        <f>$X2533</f>
        <v/>
      </c>
      <c r="BL2533" s="82">
        <f>($J2533-$J2534)*100</f>
        <v/>
      </c>
      <c r="BM2533" s="82">
        <f>($F2533-$F2534)*100</f>
        <v/>
      </c>
      <c r="BN2533" s="82">
        <f>$AF2533-$AF2534</f>
        <v/>
      </c>
      <c r="BO2533" s="82">
        <f>$AG2533-$AG2534</f>
        <v/>
      </c>
      <c r="BP2533" s="82">
        <f>$AJ2533-$AJ2534</f>
        <v/>
      </c>
    </row>
    <row r="2534">
      <c r="AR2534" s="81">
        <f>($G2534+($H2534-$G2534)*0.5)+($P2534-($O2534+($Q2534-$O2534)*0.5))</f>
        <v/>
      </c>
      <c r="AS2534" s="81">
        <f>($J2534+($K2534-$J2534)*0.5)+($T2534-($S2534+($U2534-$S2534)*0.5))</f>
        <v/>
      </c>
      <c r="AT2534" s="82">
        <f>($J2534-$C2534)*100</f>
        <v/>
      </c>
      <c r="AU2534" s="82">
        <f>($H2534-$F2534)*100</f>
        <v/>
      </c>
      <c r="AV2534" s="82">
        <f>($J2534-$F2534)*100</f>
        <v/>
      </c>
      <c r="AW2534" s="82">
        <f>($L2534-$F2534)*100</f>
        <v/>
      </c>
      <c r="AX2534" s="82">
        <f>($J2534-$H2534)*100</f>
        <v/>
      </c>
      <c r="AY2534" s="82">
        <f>($L2534-$H2534)*100</f>
        <v/>
      </c>
      <c r="AZ2534" s="82">
        <f>($L2534-$J2534)*100</f>
        <v/>
      </c>
      <c r="BA2534" s="82">
        <f>(2*$H2534-$F2534-$J2534)*100</f>
        <v/>
      </c>
      <c r="BB2534" s="82">
        <f>(2*$J2534-$H2534-$L2534)*100</f>
        <v/>
      </c>
      <c r="BC2534" s="82">
        <f>($N2534-$F2534)*100</f>
        <v/>
      </c>
      <c r="BD2534" s="82">
        <f>($Q2534-$H2534)*100</f>
        <v/>
      </c>
      <c r="BE2534" s="82">
        <f>($S2534-$J2534)*100</f>
        <v/>
      </c>
      <c r="BF2534" s="82">
        <f>($V2534-$L2534)*100</f>
        <v/>
      </c>
      <c r="BG2534" s="82">
        <f>$AG2534-$AF2534</f>
        <v/>
      </c>
      <c r="BH2534" s="81">
        <f>IFERROR($AG2534/$AF2534,"")</f>
        <v/>
      </c>
      <c r="BI2534" s="82">
        <f>$AJ2534-$AF2534</f>
        <v/>
      </c>
      <c r="BJ2534" s="81">
        <f>IFERROR($AJ2534/$AG2534,"")</f>
        <v/>
      </c>
      <c r="BK2534" s="81">
        <f>$X2534</f>
        <v/>
      </c>
      <c r="BL2534" s="82">
        <f>($J2534-$J2535)*100</f>
        <v/>
      </c>
      <c r="BM2534" s="82">
        <f>($F2534-$F2535)*100</f>
        <v/>
      </c>
      <c r="BN2534" s="82">
        <f>$AF2534-$AF2535</f>
        <v/>
      </c>
      <c r="BO2534" s="82">
        <f>$AG2534-$AG2535</f>
        <v/>
      </c>
      <c r="BP2534" s="82">
        <f>$AJ2534-$AJ2535</f>
        <v/>
      </c>
    </row>
    <row r="2535">
      <c r="AR2535" s="81">
        <f>($G2535+($H2535-$G2535)*0.5)+($P2535-($O2535+($Q2535-$O2535)*0.5))</f>
        <v/>
      </c>
      <c r="AS2535" s="81">
        <f>($J2535+($K2535-$J2535)*0.5)+($T2535-($S2535+($U2535-$S2535)*0.5))</f>
        <v/>
      </c>
      <c r="AT2535" s="82">
        <f>($J2535-$C2535)*100</f>
        <v/>
      </c>
      <c r="AU2535" s="82">
        <f>($H2535-$F2535)*100</f>
        <v/>
      </c>
      <c r="AV2535" s="82">
        <f>($J2535-$F2535)*100</f>
        <v/>
      </c>
      <c r="AW2535" s="82">
        <f>($L2535-$F2535)*100</f>
        <v/>
      </c>
      <c r="AX2535" s="82">
        <f>($J2535-$H2535)*100</f>
        <v/>
      </c>
      <c r="AY2535" s="82">
        <f>($L2535-$H2535)*100</f>
        <v/>
      </c>
      <c r="AZ2535" s="82">
        <f>($L2535-$J2535)*100</f>
        <v/>
      </c>
      <c r="BA2535" s="82">
        <f>(2*$H2535-$F2535-$J2535)*100</f>
        <v/>
      </c>
      <c r="BB2535" s="82">
        <f>(2*$J2535-$H2535-$L2535)*100</f>
        <v/>
      </c>
      <c r="BC2535" s="82">
        <f>($N2535-$F2535)*100</f>
        <v/>
      </c>
      <c r="BD2535" s="82">
        <f>($Q2535-$H2535)*100</f>
        <v/>
      </c>
      <c r="BE2535" s="82">
        <f>($S2535-$J2535)*100</f>
        <v/>
      </c>
      <c r="BF2535" s="82">
        <f>($V2535-$L2535)*100</f>
        <v/>
      </c>
      <c r="BG2535" s="82">
        <f>$AG2535-$AF2535</f>
        <v/>
      </c>
      <c r="BH2535" s="81">
        <f>IFERROR($AG2535/$AF2535,"")</f>
        <v/>
      </c>
      <c r="BI2535" s="82">
        <f>$AJ2535-$AF2535</f>
        <v/>
      </c>
      <c r="BJ2535" s="81">
        <f>IFERROR($AJ2535/$AG2535,"")</f>
        <v/>
      </c>
      <c r="BK2535" s="81">
        <f>$X2535</f>
        <v/>
      </c>
      <c r="BL2535" s="82">
        <f>($J2535-$J2536)*100</f>
        <v/>
      </c>
      <c r="BM2535" s="82">
        <f>($F2535-$F2536)*100</f>
        <v/>
      </c>
      <c r="BN2535" s="82">
        <f>$AF2535-$AF2536</f>
        <v/>
      </c>
      <c r="BO2535" s="82">
        <f>$AG2535-$AG2536</f>
        <v/>
      </c>
      <c r="BP2535" s="82">
        <f>$AJ2535-$AJ2536</f>
        <v/>
      </c>
    </row>
    <row r="2536">
      <c r="AR2536" s="81">
        <f>($G2536+($H2536-$G2536)*0.5)+($P2536-($O2536+($Q2536-$O2536)*0.5))</f>
        <v/>
      </c>
      <c r="AS2536" s="81">
        <f>($J2536+($K2536-$J2536)*0.5)+($T2536-($S2536+($U2536-$S2536)*0.5))</f>
        <v/>
      </c>
      <c r="AT2536" s="82">
        <f>($J2536-$C2536)*100</f>
        <v/>
      </c>
      <c r="AU2536" s="82">
        <f>($H2536-$F2536)*100</f>
        <v/>
      </c>
      <c r="AV2536" s="82">
        <f>($J2536-$F2536)*100</f>
        <v/>
      </c>
      <c r="AW2536" s="82">
        <f>($L2536-$F2536)*100</f>
        <v/>
      </c>
      <c r="AX2536" s="82">
        <f>($J2536-$H2536)*100</f>
        <v/>
      </c>
      <c r="AY2536" s="82">
        <f>($L2536-$H2536)*100</f>
        <v/>
      </c>
      <c r="AZ2536" s="82">
        <f>($L2536-$J2536)*100</f>
        <v/>
      </c>
      <c r="BA2536" s="82">
        <f>(2*$H2536-$F2536-$J2536)*100</f>
        <v/>
      </c>
      <c r="BB2536" s="82">
        <f>(2*$J2536-$H2536-$L2536)*100</f>
        <v/>
      </c>
      <c r="BC2536" s="82">
        <f>($N2536-$F2536)*100</f>
        <v/>
      </c>
      <c r="BD2536" s="82">
        <f>($Q2536-$H2536)*100</f>
        <v/>
      </c>
      <c r="BE2536" s="82">
        <f>($S2536-$J2536)*100</f>
        <v/>
      </c>
      <c r="BF2536" s="82">
        <f>($V2536-$L2536)*100</f>
        <v/>
      </c>
      <c r="BG2536" s="82">
        <f>$AG2536-$AF2536</f>
        <v/>
      </c>
      <c r="BH2536" s="81">
        <f>IFERROR($AG2536/$AF2536,"")</f>
        <v/>
      </c>
      <c r="BI2536" s="82">
        <f>$AJ2536-$AF2536</f>
        <v/>
      </c>
      <c r="BJ2536" s="81">
        <f>IFERROR($AJ2536/$AG2536,"")</f>
        <v/>
      </c>
      <c r="BK2536" s="81">
        <f>$X2536</f>
        <v/>
      </c>
      <c r="BL2536" s="82">
        <f>($J2536-$J2537)*100</f>
        <v/>
      </c>
      <c r="BM2536" s="82">
        <f>($F2536-$F2537)*100</f>
        <v/>
      </c>
      <c r="BN2536" s="82">
        <f>$AF2536-$AF2537</f>
        <v/>
      </c>
      <c r="BO2536" s="82">
        <f>$AG2536-$AG2537</f>
        <v/>
      </c>
      <c r="BP2536" s="82">
        <f>$AJ2536-$AJ2537</f>
        <v/>
      </c>
    </row>
    <row r="2537">
      <c r="AR2537" s="81">
        <f>($G2537+($H2537-$G2537)*0.5)+($P2537-($O2537+($Q2537-$O2537)*0.5))</f>
        <v/>
      </c>
      <c r="AS2537" s="81">
        <f>($J2537+($K2537-$J2537)*0.5)+($T2537-($S2537+($U2537-$S2537)*0.5))</f>
        <v/>
      </c>
      <c r="AT2537" s="82">
        <f>($J2537-$C2537)*100</f>
        <v/>
      </c>
      <c r="AU2537" s="82">
        <f>($H2537-$F2537)*100</f>
        <v/>
      </c>
      <c r="AV2537" s="82">
        <f>($J2537-$F2537)*100</f>
        <v/>
      </c>
      <c r="AW2537" s="82">
        <f>($L2537-$F2537)*100</f>
        <v/>
      </c>
      <c r="AX2537" s="82">
        <f>($J2537-$H2537)*100</f>
        <v/>
      </c>
      <c r="AY2537" s="82">
        <f>($L2537-$H2537)*100</f>
        <v/>
      </c>
      <c r="AZ2537" s="82">
        <f>($L2537-$J2537)*100</f>
        <v/>
      </c>
      <c r="BA2537" s="82">
        <f>(2*$H2537-$F2537-$J2537)*100</f>
        <v/>
      </c>
      <c r="BB2537" s="82">
        <f>(2*$J2537-$H2537-$L2537)*100</f>
        <v/>
      </c>
      <c r="BC2537" s="82">
        <f>($N2537-$F2537)*100</f>
        <v/>
      </c>
      <c r="BD2537" s="82">
        <f>($Q2537-$H2537)*100</f>
        <v/>
      </c>
      <c r="BE2537" s="82">
        <f>($S2537-$J2537)*100</f>
        <v/>
      </c>
      <c r="BF2537" s="82">
        <f>($V2537-$L2537)*100</f>
        <v/>
      </c>
      <c r="BG2537" s="82">
        <f>$AG2537-$AF2537</f>
        <v/>
      </c>
      <c r="BH2537" s="81">
        <f>IFERROR($AG2537/$AF2537,"")</f>
        <v/>
      </c>
      <c r="BI2537" s="82">
        <f>$AJ2537-$AF2537</f>
        <v/>
      </c>
      <c r="BJ2537" s="81">
        <f>IFERROR($AJ2537/$AG2537,"")</f>
        <v/>
      </c>
      <c r="BK2537" s="81">
        <f>$X2537</f>
        <v/>
      </c>
      <c r="BL2537" s="82">
        <f>($J2537-$J2538)*100</f>
        <v/>
      </c>
      <c r="BM2537" s="82">
        <f>($F2537-$F2538)*100</f>
        <v/>
      </c>
      <c r="BN2537" s="82">
        <f>$AF2537-$AF2538</f>
        <v/>
      </c>
      <c r="BO2537" s="82">
        <f>$AG2537-$AG2538</f>
        <v/>
      </c>
      <c r="BP2537" s="82">
        <f>$AJ2537-$AJ2538</f>
        <v/>
      </c>
    </row>
    <row r="2538">
      <c r="AR2538" s="81">
        <f>($G2538+($H2538-$G2538)*0.5)+($P2538-($O2538+($Q2538-$O2538)*0.5))</f>
        <v/>
      </c>
      <c r="AS2538" s="81">
        <f>($J2538+($K2538-$J2538)*0.5)+($T2538-($S2538+($U2538-$S2538)*0.5))</f>
        <v/>
      </c>
      <c r="AT2538" s="82">
        <f>($J2538-$C2538)*100</f>
        <v/>
      </c>
      <c r="AU2538" s="82">
        <f>($H2538-$F2538)*100</f>
        <v/>
      </c>
      <c r="AV2538" s="82">
        <f>($J2538-$F2538)*100</f>
        <v/>
      </c>
      <c r="AW2538" s="82">
        <f>($L2538-$F2538)*100</f>
        <v/>
      </c>
      <c r="AX2538" s="82">
        <f>($J2538-$H2538)*100</f>
        <v/>
      </c>
      <c r="AY2538" s="82">
        <f>($L2538-$H2538)*100</f>
        <v/>
      </c>
      <c r="AZ2538" s="82">
        <f>($L2538-$J2538)*100</f>
        <v/>
      </c>
      <c r="BA2538" s="82">
        <f>(2*$H2538-$F2538-$J2538)*100</f>
        <v/>
      </c>
      <c r="BB2538" s="82">
        <f>(2*$J2538-$H2538-$L2538)*100</f>
        <v/>
      </c>
      <c r="BC2538" s="82">
        <f>($N2538-$F2538)*100</f>
        <v/>
      </c>
      <c r="BD2538" s="82">
        <f>($Q2538-$H2538)*100</f>
        <v/>
      </c>
      <c r="BE2538" s="82">
        <f>($S2538-$J2538)*100</f>
        <v/>
      </c>
      <c r="BF2538" s="82">
        <f>($V2538-$L2538)*100</f>
        <v/>
      </c>
      <c r="BG2538" s="82">
        <f>$AG2538-$AF2538</f>
        <v/>
      </c>
      <c r="BH2538" s="81">
        <f>IFERROR($AG2538/$AF2538,"")</f>
        <v/>
      </c>
      <c r="BI2538" s="82">
        <f>$AJ2538-$AF2538</f>
        <v/>
      </c>
      <c r="BJ2538" s="81">
        <f>IFERROR($AJ2538/$AG2538,"")</f>
        <v/>
      </c>
      <c r="BK2538" s="81">
        <f>$X2538</f>
        <v/>
      </c>
      <c r="BL2538" s="82">
        <f>($J2538-$J2539)*100</f>
        <v/>
      </c>
      <c r="BM2538" s="82">
        <f>($F2538-$F2539)*100</f>
        <v/>
      </c>
      <c r="BN2538" s="82">
        <f>$AF2538-$AF2539</f>
        <v/>
      </c>
      <c r="BO2538" s="82">
        <f>$AG2538-$AG2539</f>
        <v/>
      </c>
      <c r="BP2538" s="82">
        <f>$AJ2538-$AJ2539</f>
        <v/>
      </c>
    </row>
    <row r="2539">
      <c r="AR2539" s="81">
        <f>($G2539+($H2539-$G2539)*0.5)+($P2539-($O2539+($Q2539-$O2539)*0.5))</f>
        <v/>
      </c>
      <c r="AS2539" s="81">
        <f>($J2539+($K2539-$J2539)*0.5)+($T2539-($S2539+($U2539-$S2539)*0.5))</f>
        <v/>
      </c>
      <c r="AT2539" s="82">
        <f>($J2539-$C2539)*100</f>
        <v/>
      </c>
      <c r="AU2539" s="82">
        <f>($H2539-$F2539)*100</f>
        <v/>
      </c>
      <c r="AV2539" s="82">
        <f>($J2539-$F2539)*100</f>
        <v/>
      </c>
      <c r="AW2539" s="82">
        <f>($L2539-$F2539)*100</f>
        <v/>
      </c>
      <c r="AX2539" s="82">
        <f>($J2539-$H2539)*100</f>
        <v/>
      </c>
      <c r="AY2539" s="82">
        <f>($L2539-$H2539)*100</f>
        <v/>
      </c>
      <c r="AZ2539" s="82">
        <f>($L2539-$J2539)*100</f>
        <v/>
      </c>
      <c r="BA2539" s="82">
        <f>(2*$H2539-$F2539-$J2539)*100</f>
        <v/>
      </c>
      <c r="BB2539" s="82">
        <f>(2*$J2539-$H2539-$L2539)*100</f>
        <v/>
      </c>
      <c r="BC2539" s="82">
        <f>($N2539-$F2539)*100</f>
        <v/>
      </c>
      <c r="BD2539" s="82">
        <f>($Q2539-$H2539)*100</f>
        <v/>
      </c>
      <c r="BE2539" s="82">
        <f>($S2539-$J2539)*100</f>
        <v/>
      </c>
      <c r="BF2539" s="82">
        <f>($V2539-$L2539)*100</f>
        <v/>
      </c>
      <c r="BG2539" s="82">
        <f>$AG2539-$AF2539</f>
        <v/>
      </c>
      <c r="BH2539" s="81">
        <f>IFERROR($AG2539/$AF2539,"")</f>
        <v/>
      </c>
      <c r="BI2539" s="82">
        <f>$AJ2539-$AF2539</f>
        <v/>
      </c>
      <c r="BJ2539" s="81">
        <f>IFERROR($AJ2539/$AG2539,"")</f>
        <v/>
      </c>
      <c r="BK2539" s="81">
        <f>$X2539</f>
        <v/>
      </c>
      <c r="BL2539" s="82">
        <f>($J2539-$J2540)*100</f>
        <v/>
      </c>
      <c r="BM2539" s="82">
        <f>($F2539-$F2540)*100</f>
        <v/>
      </c>
      <c r="BN2539" s="82">
        <f>$AF2539-$AF2540</f>
        <v/>
      </c>
      <c r="BO2539" s="82">
        <f>$AG2539-$AG2540</f>
        <v/>
      </c>
      <c r="BP2539" s="82">
        <f>$AJ2539-$AJ2540</f>
        <v/>
      </c>
    </row>
    <row r="2540">
      <c r="AR2540" s="81">
        <f>($G2540+($H2540-$G2540)*0.5)+($P2540-($O2540+($Q2540-$O2540)*0.5))</f>
        <v/>
      </c>
      <c r="AS2540" s="81">
        <f>($J2540+($K2540-$J2540)*0.5)+($T2540-($S2540+($U2540-$S2540)*0.5))</f>
        <v/>
      </c>
      <c r="AT2540" s="82">
        <f>($J2540-$C2540)*100</f>
        <v/>
      </c>
      <c r="AU2540" s="82">
        <f>($H2540-$F2540)*100</f>
        <v/>
      </c>
      <c r="AV2540" s="82">
        <f>($J2540-$F2540)*100</f>
        <v/>
      </c>
      <c r="AW2540" s="82">
        <f>($L2540-$F2540)*100</f>
        <v/>
      </c>
      <c r="AX2540" s="82">
        <f>($J2540-$H2540)*100</f>
        <v/>
      </c>
      <c r="AY2540" s="82">
        <f>($L2540-$H2540)*100</f>
        <v/>
      </c>
      <c r="AZ2540" s="82">
        <f>($L2540-$J2540)*100</f>
        <v/>
      </c>
      <c r="BA2540" s="82">
        <f>(2*$H2540-$F2540-$J2540)*100</f>
        <v/>
      </c>
      <c r="BB2540" s="82">
        <f>(2*$J2540-$H2540-$L2540)*100</f>
        <v/>
      </c>
      <c r="BC2540" s="82">
        <f>($N2540-$F2540)*100</f>
        <v/>
      </c>
      <c r="BD2540" s="82">
        <f>($Q2540-$H2540)*100</f>
        <v/>
      </c>
      <c r="BE2540" s="82">
        <f>($S2540-$J2540)*100</f>
        <v/>
      </c>
      <c r="BF2540" s="82">
        <f>($V2540-$L2540)*100</f>
        <v/>
      </c>
      <c r="BG2540" s="82">
        <f>$AG2540-$AF2540</f>
        <v/>
      </c>
      <c r="BH2540" s="81">
        <f>IFERROR($AG2540/$AF2540,"")</f>
        <v/>
      </c>
      <c r="BI2540" s="82">
        <f>$AJ2540-$AF2540</f>
        <v/>
      </c>
      <c r="BJ2540" s="81">
        <f>IFERROR($AJ2540/$AG2540,"")</f>
        <v/>
      </c>
      <c r="BK2540" s="81">
        <f>$X2540</f>
        <v/>
      </c>
      <c r="BL2540" s="82">
        <f>($J2540-$J2541)*100</f>
        <v/>
      </c>
      <c r="BM2540" s="82">
        <f>($F2540-$F2541)*100</f>
        <v/>
      </c>
      <c r="BN2540" s="82">
        <f>$AF2540-$AF2541</f>
        <v/>
      </c>
      <c r="BO2540" s="82">
        <f>$AG2540-$AG2541</f>
        <v/>
      </c>
      <c r="BP2540" s="82">
        <f>$AJ2540-$AJ2541</f>
        <v/>
      </c>
    </row>
    <row r="2541">
      <c r="AR2541" s="81">
        <f>($G2541+($H2541-$G2541)*0.5)+($P2541-($O2541+($Q2541-$O2541)*0.5))</f>
        <v/>
      </c>
      <c r="AS2541" s="81">
        <f>($J2541+($K2541-$J2541)*0.5)+($T2541-($S2541+($U2541-$S2541)*0.5))</f>
        <v/>
      </c>
      <c r="AT2541" s="82">
        <f>($J2541-$C2541)*100</f>
        <v/>
      </c>
      <c r="AU2541" s="82">
        <f>($H2541-$F2541)*100</f>
        <v/>
      </c>
      <c r="AV2541" s="82">
        <f>($J2541-$F2541)*100</f>
        <v/>
      </c>
      <c r="AW2541" s="82">
        <f>($L2541-$F2541)*100</f>
        <v/>
      </c>
      <c r="AX2541" s="82">
        <f>($J2541-$H2541)*100</f>
        <v/>
      </c>
      <c r="AY2541" s="82">
        <f>($L2541-$H2541)*100</f>
        <v/>
      </c>
      <c r="AZ2541" s="82">
        <f>($L2541-$J2541)*100</f>
        <v/>
      </c>
      <c r="BA2541" s="82">
        <f>(2*$H2541-$F2541-$J2541)*100</f>
        <v/>
      </c>
      <c r="BB2541" s="82">
        <f>(2*$J2541-$H2541-$L2541)*100</f>
        <v/>
      </c>
      <c r="BC2541" s="82">
        <f>($N2541-$F2541)*100</f>
        <v/>
      </c>
      <c r="BD2541" s="82">
        <f>($Q2541-$H2541)*100</f>
        <v/>
      </c>
      <c r="BE2541" s="82">
        <f>($S2541-$J2541)*100</f>
        <v/>
      </c>
      <c r="BF2541" s="82">
        <f>($V2541-$L2541)*100</f>
        <v/>
      </c>
      <c r="BG2541" s="82">
        <f>$AG2541-$AF2541</f>
        <v/>
      </c>
      <c r="BH2541" s="81">
        <f>IFERROR($AG2541/$AF2541,"")</f>
        <v/>
      </c>
      <c r="BI2541" s="82">
        <f>$AJ2541-$AF2541</f>
        <v/>
      </c>
      <c r="BJ2541" s="81">
        <f>IFERROR($AJ2541/$AG2541,"")</f>
        <v/>
      </c>
      <c r="BK2541" s="81">
        <f>$X2541</f>
        <v/>
      </c>
      <c r="BL2541" s="82">
        <f>($J2541-$J2542)*100</f>
        <v/>
      </c>
      <c r="BM2541" s="82">
        <f>($F2541-$F2542)*100</f>
        <v/>
      </c>
      <c r="BN2541" s="82">
        <f>$AF2541-$AF2542</f>
        <v/>
      </c>
      <c r="BO2541" s="82">
        <f>$AG2541-$AG2542</f>
        <v/>
      </c>
      <c r="BP2541" s="82">
        <f>$AJ2541-$AJ2542</f>
        <v/>
      </c>
    </row>
    <row r="2542">
      <c r="AR2542" s="81">
        <f>($G2542+($H2542-$G2542)*0.5)+($P2542-($O2542+($Q2542-$O2542)*0.5))</f>
        <v/>
      </c>
      <c r="AS2542" s="81">
        <f>($J2542+($K2542-$J2542)*0.5)+($T2542-($S2542+($U2542-$S2542)*0.5))</f>
        <v/>
      </c>
      <c r="AT2542" s="82">
        <f>($J2542-$C2542)*100</f>
        <v/>
      </c>
      <c r="AU2542" s="82">
        <f>($H2542-$F2542)*100</f>
        <v/>
      </c>
      <c r="AV2542" s="82">
        <f>($J2542-$F2542)*100</f>
        <v/>
      </c>
      <c r="AW2542" s="82">
        <f>($L2542-$F2542)*100</f>
        <v/>
      </c>
      <c r="AX2542" s="82">
        <f>($J2542-$H2542)*100</f>
        <v/>
      </c>
      <c r="AY2542" s="82">
        <f>($L2542-$H2542)*100</f>
        <v/>
      </c>
      <c r="AZ2542" s="82">
        <f>($L2542-$J2542)*100</f>
        <v/>
      </c>
      <c r="BA2542" s="82">
        <f>(2*$H2542-$F2542-$J2542)*100</f>
        <v/>
      </c>
      <c r="BB2542" s="82">
        <f>(2*$J2542-$H2542-$L2542)*100</f>
        <v/>
      </c>
      <c r="BC2542" s="82">
        <f>($N2542-$F2542)*100</f>
        <v/>
      </c>
      <c r="BD2542" s="82">
        <f>($Q2542-$H2542)*100</f>
        <v/>
      </c>
      <c r="BE2542" s="82">
        <f>($S2542-$J2542)*100</f>
        <v/>
      </c>
      <c r="BF2542" s="82">
        <f>($V2542-$L2542)*100</f>
        <v/>
      </c>
      <c r="BG2542" s="82">
        <f>$AG2542-$AF2542</f>
        <v/>
      </c>
      <c r="BH2542" s="81">
        <f>IFERROR($AG2542/$AF2542,"")</f>
        <v/>
      </c>
      <c r="BI2542" s="82">
        <f>$AJ2542-$AF2542</f>
        <v/>
      </c>
      <c r="BJ2542" s="81">
        <f>IFERROR($AJ2542/$AG2542,"")</f>
        <v/>
      </c>
      <c r="BK2542" s="81">
        <f>$X2542</f>
        <v/>
      </c>
      <c r="BL2542" s="82">
        <f>($J2542-$J2543)*100</f>
        <v/>
      </c>
      <c r="BM2542" s="82">
        <f>($F2542-$F2543)*100</f>
        <v/>
      </c>
      <c r="BN2542" s="82">
        <f>$AF2542-$AF2543</f>
        <v/>
      </c>
      <c r="BO2542" s="82">
        <f>$AG2542-$AG2543</f>
        <v/>
      </c>
      <c r="BP2542" s="82">
        <f>$AJ2542-$AJ2543</f>
        <v/>
      </c>
    </row>
    <row r="2543">
      <c r="AR2543" s="81">
        <f>($G2543+($H2543-$G2543)*0.5)+($P2543-($O2543+($Q2543-$O2543)*0.5))</f>
        <v/>
      </c>
      <c r="AS2543" s="81">
        <f>($J2543+($K2543-$J2543)*0.5)+($T2543-($S2543+($U2543-$S2543)*0.5))</f>
        <v/>
      </c>
      <c r="AT2543" s="82">
        <f>($J2543-$C2543)*100</f>
        <v/>
      </c>
      <c r="AU2543" s="82">
        <f>($H2543-$F2543)*100</f>
        <v/>
      </c>
      <c r="AV2543" s="82">
        <f>($J2543-$F2543)*100</f>
        <v/>
      </c>
      <c r="AW2543" s="82">
        <f>($L2543-$F2543)*100</f>
        <v/>
      </c>
      <c r="AX2543" s="82">
        <f>($J2543-$H2543)*100</f>
        <v/>
      </c>
      <c r="AY2543" s="82">
        <f>($L2543-$H2543)*100</f>
        <v/>
      </c>
      <c r="AZ2543" s="82">
        <f>($L2543-$J2543)*100</f>
        <v/>
      </c>
      <c r="BA2543" s="82">
        <f>(2*$H2543-$F2543-$J2543)*100</f>
        <v/>
      </c>
      <c r="BB2543" s="82">
        <f>(2*$J2543-$H2543-$L2543)*100</f>
        <v/>
      </c>
      <c r="BC2543" s="82">
        <f>($N2543-$F2543)*100</f>
        <v/>
      </c>
      <c r="BD2543" s="82">
        <f>($Q2543-$H2543)*100</f>
        <v/>
      </c>
      <c r="BE2543" s="82">
        <f>($S2543-$J2543)*100</f>
        <v/>
      </c>
      <c r="BF2543" s="82">
        <f>($V2543-$L2543)*100</f>
        <v/>
      </c>
      <c r="BG2543" s="82">
        <f>$AG2543-$AF2543</f>
        <v/>
      </c>
      <c r="BH2543" s="81">
        <f>IFERROR($AG2543/$AF2543,"")</f>
        <v/>
      </c>
      <c r="BI2543" s="82">
        <f>$AJ2543-$AF2543</f>
        <v/>
      </c>
      <c r="BJ2543" s="81">
        <f>IFERROR($AJ2543/$AG2543,"")</f>
        <v/>
      </c>
      <c r="BK2543" s="81">
        <f>$X2543</f>
        <v/>
      </c>
      <c r="BL2543" s="82">
        <f>($J2543-$J2544)*100</f>
        <v/>
      </c>
      <c r="BM2543" s="82">
        <f>($F2543-$F2544)*100</f>
        <v/>
      </c>
      <c r="BN2543" s="82">
        <f>$AF2543-$AF2544</f>
        <v/>
      </c>
      <c r="BO2543" s="82">
        <f>$AG2543-$AG2544</f>
        <v/>
      </c>
      <c r="BP2543" s="82">
        <f>$AJ2543-$AJ2544</f>
        <v/>
      </c>
    </row>
    <row r="2544">
      <c r="AR2544" s="81">
        <f>($G2544+($H2544-$G2544)*0.5)+($P2544-($O2544+($Q2544-$O2544)*0.5))</f>
        <v/>
      </c>
      <c r="AS2544" s="81">
        <f>($J2544+($K2544-$J2544)*0.5)+($T2544-($S2544+($U2544-$S2544)*0.5))</f>
        <v/>
      </c>
      <c r="AT2544" s="82">
        <f>($J2544-$C2544)*100</f>
        <v/>
      </c>
      <c r="AU2544" s="82">
        <f>($H2544-$F2544)*100</f>
        <v/>
      </c>
      <c r="AV2544" s="82">
        <f>($J2544-$F2544)*100</f>
        <v/>
      </c>
      <c r="AW2544" s="82">
        <f>($L2544-$F2544)*100</f>
        <v/>
      </c>
      <c r="AX2544" s="82">
        <f>($J2544-$H2544)*100</f>
        <v/>
      </c>
      <c r="AY2544" s="82">
        <f>($L2544-$H2544)*100</f>
        <v/>
      </c>
      <c r="AZ2544" s="82">
        <f>($L2544-$J2544)*100</f>
        <v/>
      </c>
      <c r="BA2544" s="82">
        <f>(2*$H2544-$F2544-$J2544)*100</f>
        <v/>
      </c>
      <c r="BB2544" s="82">
        <f>(2*$J2544-$H2544-$L2544)*100</f>
        <v/>
      </c>
      <c r="BC2544" s="82">
        <f>($N2544-$F2544)*100</f>
        <v/>
      </c>
      <c r="BD2544" s="82">
        <f>($Q2544-$H2544)*100</f>
        <v/>
      </c>
      <c r="BE2544" s="82">
        <f>($S2544-$J2544)*100</f>
        <v/>
      </c>
      <c r="BF2544" s="82">
        <f>($V2544-$L2544)*100</f>
        <v/>
      </c>
      <c r="BG2544" s="82">
        <f>$AG2544-$AF2544</f>
        <v/>
      </c>
      <c r="BH2544" s="81">
        <f>IFERROR($AG2544/$AF2544,"")</f>
        <v/>
      </c>
      <c r="BI2544" s="82">
        <f>$AJ2544-$AF2544</f>
        <v/>
      </c>
      <c r="BJ2544" s="81">
        <f>IFERROR($AJ2544/$AG2544,"")</f>
        <v/>
      </c>
      <c r="BK2544" s="81">
        <f>$X2544</f>
        <v/>
      </c>
      <c r="BL2544" s="82">
        <f>($J2544-$J2545)*100</f>
        <v/>
      </c>
      <c r="BM2544" s="82">
        <f>($F2544-$F2545)*100</f>
        <v/>
      </c>
      <c r="BN2544" s="82">
        <f>$AF2544-$AF2545</f>
        <v/>
      </c>
      <c r="BO2544" s="82">
        <f>$AG2544-$AG2545</f>
        <v/>
      </c>
      <c r="BP2544" s="82">
        <f>$AJ2544-$AJ2545</f>
        <v/>
      </c>
    </row>
    <row r="2545">
      <c r="AR2545" s="81">
        <f>($G2545+($H2545-$G2545)*0.5)+($P2545-($O2545+($Q2545-$O2545)*0.5))</f>
        <v/>
      </c>
      <c r="AS2545" s="81">
        <f>($J2545+($K2545-$J2545)*0.5)+($T2545-($S2545+($U2545-$S2545)*0.5))</f>
        <v/>
      </c>
      <c r="AT2545" s="82">
        <f>($J2545-$C2545)*100</f>
        <v/>
      </c>
      <c r="AU2545" s="82">
        <f>($H2545-$F2545)*100</f>
        <v/>
      </c>
      <c r="AV2545" s="82">
        <f>($J2545-$F2545)*100</f>
        <v/>
      </c>
      <c r="AW2545" s="82">
        <f>($L2545-$F2545)*100</f>
        <v/>
      </c>
      <c r="AX2545" s="82">
        <f>($J2545-$H2545)*100</f>
        <v/>
      </c>
      <c r="AY2545" s="82">
        <f>($L2545-$H2545)*100</f>
        <v/>
      </c>
      <c r="AZ2545" s="82">
        <f>($L2545-$J2545)*100</f>
        <v/>
      </c>
      <c r="BA2545" s="82">
        <f>(2*$H2545-$F2545-$J2545)*100</f>
        <v/>
      </c>
      <c r="BB2545" s="82">
        <f>(2*$J2545-$H2545-$L2545)*100</f>
        <v/>
      </c>
      <c r="BC2545" s="82">
        <f>($N2545-$F2545)*100</f>
        <v/>
      </c>
      <c r="BD2545" s="82">
        <f>($Q2545-$H2545)*100</f>
        <v/>
      </c>
      <c r="BE2545" s="82">
        <f>($S2545-$J2545)*100</f>
        <v/>
      </c>
      <c r="BF2545" s="82">
        <f>($V2545-$L2545)*100</f>
        <v/>
      </c>
      <c r="BG2545" s="82">
        <f>$AG2545-$AF2545</f>
        <v/>
      </c>
      <c r="BH2545" s="81">
        <f>IFERROR($AG2545/$AF2545,"")</f>
        <v/>
      </c>
      <c r="BI2545" s="82">
        <f>$AJ2545-$AF2545</f>
        <v/>
      </c>
      <c r="BJ2545" s="81">
        <f>IFERROR($AJ2545/$AG2545,"")</f>
        <v/>
      </c>
      <c r="BK2545" s="81">
        <f>$X2545</f>
        <v/>
      </c>
      <c r="BL2545" s="82">
        <f>($J2545-$J2546)*100</f>
        <v/>
      </c>
      <c r="BM2545" s="82">
        <f>($F2545-$F2546)*100</f>
        <v/>
      </c>
      <c r="BN2545" s="82">
        <f>$AF2545-$AF2546</f>
        <v/>
      </c>
      <c r="BO2545" s="82">
        <f>$AG2545-$AG2546</f>
        <v/>
      </c>
      <c r="BP2545" s="82">
        <f>$AJ2545-$AJ2546</f>
        <v/>
      </c>
    </row>
    <row r="2546">
      <c r="AR2546" s="81">
        <f>($G2546+($H2546-$G2546)*0.5)+($P2546-($O2546+($Q2546-$O2546)*0.5))</f>
        <v/>
      </c>
      <c r="AS2546" s="81">
        <f>($J2546+($K2546-$J2546)*0.5)+($T2546-($S2546+($U2546-$S2546)*0.5))</f>
        <v/>
      </c>
      <c r="AT2546" s="82">
        <f>($J2546-$C2546)*100</f>
        <v/>
      </c>
      <c r="AU2546" s="82">
        <f>($H2546-$F2546)*100</f>
        <v/>
      </c>
      <c r="AV2546" s="82">
        <f>($J2546-$F2546)*100</f>
        <v/>
      </c>
      <c r="AW2546" s="82">
        <f>($L2546-$F2546)*100</f>
        <v/>
      </c>
      <c r="AX2546" s="82">
        <f>($J2546-$H2546)*100</f>
        <v/>
      </c>
      <c r="AY2546" s="82">
        <f>($L2546-$H2546)*100</f>
        <v/>
      </c>
      <c r="AZ2546" s="82">
        <f>($L2546-$J2546)*100</f>
        <v/>
      </c>
      <c r="BA2546" s="82">
        <f>(2*$H2546-$F2546-$J2546)*100</f>
        <v/>
      </c>
      <c r="BB2546" s="82">
        <f>(2*$J2546-$H2546-$L2546)*100</f>
        <v/>
      </c>
      <c r="BC2546" s="82">
        <f>($N2546-$F2546)*100</f>
        <v/>
      </c>
      <c r="BD2546" s="82">
        <f>($Q2546-$H2546)*100</f>
        <v/>
      </c>
      <c r="BE2546" s="82">
        <f>($S2546-$J2546)*100</f>
        <v/>
      </c>
      <c r="BF2546" s="82">
        <f>($V2546-$L2546)*100</f>
        <v/>
      </c>
      <c r="BG2546" s="82">
        <f>$AG2546-$AF2546</f>
        <v/>
      </c>
      <c r="BH2546" s="81">
        <f>IFERROR($AG2546/$AF2546,"")</f>
        <v/>
      </c>
      <c r="BI2546" s="82">
        <f>$AJ2546-$AF2546</f>
        <v/>
      </c>
      <c r="BJ2546" s="81">
        <f>IFERROR($AJ2546/$AG2546,"")</f>
        <v/>
      </c>
      <c r="BK2546" s="81">
        <f>$X2546</f>
        <v/>
      </c>
      <c r="BL2546" s="82">
        <f>($J2546-$J2547)*100</f>
        <v/>
      </c>
      <c r="BM2546" s="82">
        <f>($F2546-$F2547)*100</f>
        <v/>
      </c>
      <c r="BN2546" s="82">
        <f>$AF2546-$AF2547</f>
        <v/>
      </c>
      <c r="BO2546" s="82">
        <f>$AG2546-$AG2547</f>
        <v/>
      </c>
      <c r="BP2546" s="82">
        <f>$AJ2546-$AJ2547</f>
        <v/>
      </c>
    </row>
    <row r="2547">
      <c r="AR2547" s="81">
        <f>($G2547+($H2547-$G2547)*0.5)+($P2547-($O2547+($Q2547-$O2547)*0.5))</f>
        <v/>
      </c>
      <c r="AS2547" s="81">
        <f>($J2547+($K2547-$J2547)*0.5)+($T2547-($S2547+($U2547-$S2547)*0.5))</f>
        <v/>
      </c>
      <c r="AT2547" s="82">
        <f>($J2547-$C2547)*100</f>
        <v/>
      </c>
      <c r="AU2547" s="82">
        <f>($H2547-$F2547)*100</f>
        <v/>
      </c>
      <c r="AV2547" s="82">
        <f>($J2547-$F2547)*100</f>
        <v/>
      </c>
      <c r="AW2547" s="82">
        <f>($L2547-$F2547)*100</f>
        <v/>
      </c>
      <c r="AX2547" s="82">
        <f>($J2547-$H2547)*100</f>
        <v/>
      </c>
      <c r="AY2547" s="82">
        <f>($L2547-$H2547)*100</f>
        <v/>
      </c>
      <c r="AZ2547" s="82">
        <f>($L2547-$J2547)*100</f>
        <v/>
      </c>
      <c r="BA2547" s="82">
        <f>(2*$H2547-$F2547-$J2547)*100</f>
        <v/>
      </c>
      <c r="BB2547" s="82">
        <f>(2*$J2547-$H2547-$L2547)*100</f>
        <v/>
      </c>
      <c r="BC2547" s="82">
        <f>($N2547-$F2547)*100</f>
        <v/>
      </c>
      <c r="BD2547" s="82">
        <f>($Q2547-$H2547)*100</f>
        <v/>
      </c>
      <c r="BE2547" s="82">
        <f>($S2547-$J2547)*100</f>
        <v/>
      </c>
      <c r="BF2547" s="82">
        <f>($V2547-$L2547)*100</f>
        <v/>
      </c>
      <c r="BG2547" s="82">
        <f>$AG2547-$AF2547</f>
        <v/>
      </c>
      <c r="BH2547" s="81">
        <f>IFERROR($AG2547/$AF2547,"")</f>
        <v/>
      </c>
      <c r="BI2547" s="82">
        <f>$AJ2547-$AF2547</f>
        <v/>
      </c>
      <c r="BJ2547" s="81">
        <f>IFERROR($AJ2547/$AG2547,"")</f>
        <v/>
      </c>
      <c r="BK2547" s="81">
        <f>$X2547</f>
        <v/>
      </c>
      <c r="BL2547" s="82">
        <f>($J2547-$J2548)*100</f>
        <v/>
      </c>
      <c r="BM2547" s="82">
        <f>($F2547-$F2548)*100</f>
        <v/>
      </c>
      <c r="BN2547" s="82">
        <f>$AF2547-$AF2548</f>
        <v/>
      </c>
      <c r="BO2547" s="82">
        <f>$AG2547-$AG2548</f>
        <v/>
      </c>
      <c r="BP2547" s="82">
        <f>$AJ2547-$AJ2548</f>
        <v/>
      </c>
    </row>
    <row r="2548">
      <c r="AR2548" s="81">
        <f>($G2548+($H2548-$G2548)*0.5)+($P2548-($O2548+($Q2548-$O2548)*0.5))</f>
        <v/>
      </c>
      <c r="AS2548" s="81">
        <f>($J2548+($K2548-$J2548)*0.5)+($T2548-($S2548+($U2548-$S2548)*0.5))</f>
        <v/>
      </c>
      <c r="AT2548" s="82">
        <f>($J2548-$C2548)*100</f>
        <v/>
      </c>
      <c r="AU2548" s="82">
        <f>($H2548-$F2548)*100</f>
        <v/>
      </c>
      <c r="AV2548" s="82">
        <f>($J2548-$F2548)*100</f>
        <v/>
      </c>
      <c r="AW2548" s="82">
        <f>($L2548-$F2548)*100</f>
        <v/>
      </c>
      <c r="AX2548" s="82">
        <f>($J2548-$H2548)*100</f>
        <v/>
      </c>
      <c r="AY2548" s="82">
        <f>($L2548-$H2548)*100</f>
        <v/>
      </c>
      <c r="AZ2548" s="82">
        <f>($L2548-$J2548)*100</f>
        <v/>
      </c>
      <c r="BA2548" s="82">
        <f>(2*$H2548-$F2548-$J2548)*100</f>
        <v/>
      </c>
      <c r="BB2548" s="82">
        <f>(2*$J2548-$H2548-$L2548)*100</f>
        <v/>
      </c>
      <c r="BC2548" s="82">
        <f>($N2548-$F2548)*100</f>
        <v/>
      </c>
      <c r="BD2548" s="82">
        <f>($Q2548-$H2548)*100</f>
        <v/>
      </c>
      <c r="BE2548" s="82">
        <f>($S2548-$J2548)*100</f>
        <v/>
      </c>
      <c r="BF2548" s="82">
        <f>($V2548-$L2548)*100</f>
        <v/>
      </c>
      <c r="BG2548" s="82">
        <f>$AG2548-$AF2548</f>
        <v/>
      </c>
      <c r="BH2548" s="81">
        <f>IFERROR($AG2548/$AF2548,"")</f>
        <v/>
      </c>
      <c r="BI2548" s="82">
        <f>$AJ2548-$AF2548</f>
        <v/>
      </c>
      <c r="BJ2548" s="81">
        <f>IFERROR($AJ2548/$AG2548,"")</f>
        <v/>
      </c>
      <c r="BK2548" s="81">
        <f>$X2548</f>
        <v/>
      </c>
      <c r="BL2548" s="82">
        <f>($J2548-$J2549)*100</f>
        <v/>
      </c>
      <c r="BM2548" s="82">
        <f>($F2548-$F2549)*100</f>
        <v/>
      </c>
      <c r="BN2548" s="82">
        <f>$AF2548-$AF2549</f>
        <v/>
      </c>
      <c r="BO2548" s="82">
        <f>$AG2548-$AG2549</f>
        <v/>
      </c>
      <c r="BP2548" s="82">
        <f>$AJ2548-$AJ2549</f>
        <v/>
      </c>
    </row>
    <row r="2549">
      <c r="AR2549" s="81">
        <f>($G2549+($H2549-$G2549)*0.5)+($P2549-($O2549+($Q2549-$O2549)*0.5))</f>
        <v/>
      </c>
      <c r="AS2549" s="81">
        <f>($J2549+($K2549-$J2549)*0.5)+($T2549-($S2549+($U2549-$S2549)*0.5))</f>
        <v/>
      </c>
      <c r="AT2549" s="82">
        <f>($J2549-$C2549)*100</f>
        <v/>
      </c>
      <c r="AU2549" s="82">
        <f>($H2549-$F2549)*100</f>
        <v/>
      </c>
      <c r="AV2549" s="82">
        <f>($J2549-$F2549)*100</f>
        <v/>
      </c>
      <c r="AW2549" s="82">
        <f>($L2549-$F2549)*100</f>
        <v/>
      </c>
      <c r="AX2549" s="82">
        <f>($J2549-$H2549)*100</f>
        <v/>
      </c>
      <c r="AY2549" s="82">
        <f>($L2549-$H2549)*100</f>
        <v/>
      </c>
      <c r="AZ2549" s="82">
        <f>($L2549-$J2549)*100</f>
        <v/>
      </c>
      <c r="BA2549" s="82">
        <f>(2*$H2549-$F2549-$J2549)*100</f>
        <v/>
      </c>
      <c r="BB2549" s="82">
        <f>(2*$J2549-$H2549-$L2549)*100</f>
        <v/>
      </c>
      <c r="BC2549" s="82">
        <f>($N2549-$F2549)*100</f>
        <v/>
      </c>
      <c r="BD2549" s="82">
        <f>($Q2549-$H2549)*100</f>
        <v/>
      </c>
      <c r="BE2549" s="82">
        <f>($S2549-$J2549)*100</f>
        <v/>
      </c>
      <c r="BF2549" s="82">
        <f>($V2549-$L2549)*100</f>
        <v/>
      </c>
      <c r="BG2549" s="82">
        <f>$AG2549-$AF2549</f>
        <v/>
      </c>
      <c r="BH2549" s="81">
        <f>IFERROR($AG2549/$AF2549,"")</f>
        <v/>
      </c>
      <c r="BI2549" s="82">
        <f>$AJ2549-$AF2549</f>
        <v/>
      </c>
      <c r="BJ2549" s="81">
        <f>IFERROR($AJ2549/$AG2549,"")</f>
        <v/>
      </c>
      <c r="BK2549" s="81">
        <f>$X2549</f>
        <v/>
      </c>
      <c r="BL2549" s="82">
        <f>($J2549-$J2550)*100</f>
        <v/>
      </c>
      <c r="BM2549" s="82">
        <f>($F2549-$F2550)*100</f>
        <v/>
      </c>
      <c r="BN2549" s="82">
        <f>$AF2549-$AF2550</f>
        <v/>
      </c>
      <c r="BO2549" s="82">
        <f>$AG2549-$AG2550</f>
        <v/>
      </c>
      <c r="BP2549" s="82">
        <f>$AJ2549-$AJ2550</f>
        <v/>
      </c>
    </row>
    <row r="2550">
      <c r="AR2550" s="81">
        <f>($G2550+($H2550-$G2550)*0.5)+($P2550-($O2550+($Q2550-$O2550)*0.5))</f>
        <v/>
      </c>
      <c r="AS2550" s="81">
        <f>($J2550+($K2550-$J2550)*0.5)+($T2550-($S2550+($U2550-$S2550)*0.5))</f>
        <v/>
      </c>
      <c r="AT2550" s="82">
        <f>($J2550-$C2550)*100</f>
        <v/>
      </c>
      <c r="AU2550" s="82">
        <f>($H2550-$F2550)*100</f>
        <v/>
      </c>
      <c r="AV2550" s="82">
        <f>($J2550-$F2550)*100</f>
        <v/>
      </c>
      <c r="AW2550" s="82">
        <f>($L2550-$F2550)*100</f>
        <v/>
      </c>
      <c r="AX2550" s="82">
        <f>($J2550-$H2550)*100</f>
        <v/>
      </c>
      <c r="AY2550" s="82">
        <f>($L2550-$H2550)*100</f>
        <v/>
      </c>
      <c r="AZ2550" s="82">
        <f>($L2550-$J2550)*100</f>
        <v/>
      </c>
      <c r="BA2550" s="82">
        <f>(2*$H2550-$F2550-$J2550)*100</f>
        <v/>
      </c>
      <c r="BB2550" s="82">
        <f>(2*$J2550-$H2550-$L2550)*100</f>
        <v/>
      </c>
      <c r="BC2550" s="82">
        <f>($N2550-$F2550)*100</f>
        <v/>
      </c>
      <c r="BD2550" s="82">
        <f>($Q2550-$H2550)*100</f>
        <v/>
      </c>
      <c r="BE2550" s="82">
        <f>($S2550-$J2550)*100</f>
        <v/>
      </c>
      <c r="BF2550" s="82">
        <f>($V2550-$L2550)*100</f>
        <v/>
      </c>
      <c r="BG2550" s="82">
        <f>$AG2550-$AF2550</f>
        <v/>
      </c>
      <c r="BH2550" s="81">
        <f>IFERROR($AG2550/$AF2550,"")</f>
        <v/>
      </c>
      <c r="BI2550" s="82">
        <f>$AJ2550-$AF2550</f>
        <v/>
      </c>
      <c r="BJ2550" s="81">
        <f>IFERROR($AJ2550/$AG2550,"")</f>
        <v/>
      </c>
      <c r="BK2550" s="81">
        <f>$X2550</f>
        <v/>
      </c>
      <c r="BL2550" s="82">
        <f>($J2550-$J2551)*100</f>
        <v/>
      </c>
      <c r="BM2550" s="82">
        <f>($F2550-$F2551)*100</f>
        <v/>
      </c>
      <c r="BN2550" s="82">
        <f>$AF2550-$AF2551</f>
        <v/>
      </c>
      <c r="BO2550" s="82">
        <f>$AG2550-$AG2551</f>
        <v/>
      </c>
      <c r="BP2550" s="82">
        <f>$AJ2550-$AJ2551</f>
        <v/>
      </c>
    </row>
    <row r="2551">
      <c r="AR2551" s="81">
        <f>($G2551+($H2551-$G2551)*0.5)+($P2551-($O2551+($Q2551-$O2551)*0.5))</f>
        <v/>
      </c>
      <c r="AS2551" s="81">
        <f>($J2551+($K2551-$J2551)*0.5)+($T2551-($S2551+($U2551-$S2551)*0.5))</f>
        <v/>
      </c>
      <c r="AT2551" s="82">
        <f>($J2551-$C2551)*100</f>
        <v/>
      </c>
      <c r="AU2551" s="82">
        <f>($H2551-$F2551)*100</f>
        <v/>
      </c>
      <c r="AV2551" s="82">
        <f>($J2551-$F2551)*100</f>
        <v/>
      </c>
      <c r="AW2551" s="82">
        <f>($L2551-$F2551)*100</f>
        <v/>
      </c>
      <c r="AX2551" s="82">
        <f>($J2551-$H2551)*100</f>
        <v/>
      </c>
      <c r="AY2551" s="82">
        <f>($L2551-$H2551)*100</f>
        <v/>
      </c>
      <c r="AZ2551" s="82">
        <f>($L2551-$J2551)*100</f>
        <v/>
      </c>
      <c r="BA2551" s="82">
        <f>(2*$H2551-$F2551-$J2551)*100</f>
        <v/>
      </c>
      <c r="BB2551" s="82">
        <f>(2*$J2551-$H2551-$L2551)*100</f>
        <v/>
      </c>
      <c r="BC2551" s="82">
        <f>($N2551-$F2551)*100</f>
        <v/>
      </c>
      <c r="BD2551" s="82">
        <f>($Q2551-$H2551)*100</f>
        <v/>
      </c>
      <c r="BE2551" s="82">
        <f>($S2551-$J2551)*100</f>
        <v/>
      </c>
      <c r="BF2551" s="82">
        <f>($V2551-$L2551)*100</f>
        <v/>
      </c>
      <c r="BG2551" s="82">
        <f>$AG2551-$AF2551</f>
        <v/>
      </c>
      <c r="BH2551" s="81">
        <f>IFERROR($AG2551/$AF2551,"")</f>
        <v/>
      </c>
      <c r="BI2551" s="82">
        <f>$AJ2551-$AF2551</f>
        <v/>
      </c>
      <c r="BJ2551" s="81">
        <f>IFERROR($AJ2551/$AG2551,"")</f>
        <v/>
      </c>
      <c r="BK2551" s="81">
        <f>$X2551</f>
        <v/>
      </c>
      <c r="BL2551" s="82">
        <f>($J2551-$J2552)*100</f>
        <v/>
      </c>
      <c r="BM2551" s="82">
        <f>($F2551-$F2552)*100</f>
        <v/>
      </c>
      <c r="BN2551" s="82">
        <f>$AF2551-$AF2552</f>
        <v/>
      </c>
      <c r="BO2551" s="82">
        <f>$AG2551-$AG2552</f>
        <v/>
      </c>
      <c r="BP2551" s="82">
        <f>$AJ2551-$AJ2552</f>
        <v/>
      </c>
    </row>
    <row r="2552">
      <c r="AR2552" s="81">
        <f>($G2552+($H2552-$G2552)*0.5)+($P2552-($O2552+($Q2552-$O2552)*0.5))</f>
        <v/>
      </c>
      <c r="AS2552" s="81">
        <f>($J2552+($K2552-$J2552)*0.5)+($T2552-($S2552+($U2552-$S2552)*0.5))</f>
        <v/>
      </c>
      <c r="AT2552" s="82">
        <f>($J2552-$C2552)*100</f>
        <v/>
      </c>
      <c r="AU2552" s="82">
        <f>($H2552-$F2552)*100</f>
        <v/>
      </c>
      <c r="AV2552" s="82">
        <f>($J2552-$F2552)*100</f>
        <v/>
      </c>
      <c r="AW2552" s="82">
        <f>($L2552-$F2552)*100</f>
        <v/>
      </c>
      <c r="AX2552" s="82">
        <f>($J2552-$H2552)*100</f>
        <v/>
      </c>
      <c r="AY2552" s="82">
        <f>($L2552-$H2552)*100</f>
        <v/>
      </c>
      <c r="AZ2552" s="82">
        <f>($L2552-$J2552)*100</f>
        <v/>
      </c>
      <c r="BA2552" s="82">
        <f>(2*$H2552-$F2552-$J2552)*100</f>
        <v/>
      </c>
      <c r="BB2552" s="82">
        <f>(2*$J2552-$H2552-$L2552)*100</f>
        <v/>
      </c>
      <c r="BC2552" s="82">
        <f>($N2552-$F2552)*100</f>
        <v/>
      </c>
      <c r="BD2552" s="82">
        <f>($Q2552-$H2552)*100</f>
        <v/>
      </c>
      <c r="BE2552" s="82">
        <f>($S2552-$J2552)*100</f>
        <v/>
      </c>
      <c r="BF2552" s="82">
        <f>($V2552-$L2552)*100</f>
        <v/>
      </c>
      <c r="BG2552" s="82">
        <f>$AG2552-$AF2552</f>
        <v/>
      </c>
      <c r="BH2552" s="81">
        <f>IFERROR($AG2552/$AF2552,"")</f>
        <v/>
      </c>
      <c r="BI2552" s="82">
        <f>$AJ2552-$AF2552</f>
        <v/>
      </c>
      <c r="BJ2552" s="81">
        <f>IFERROR($AJ2552/$AG2552,"")</f>
        <v/>
      </c>
      <c r="BK2552" s="81">
        <f>$X2552</f>
        <v/>
      </c>
      <c r="BL2552" s="82">
        <f>($J2552-$J2553)*100</f>
        <v/>
      </c>
      <c r="BM2552" s="82">
        <f>($F2552-$F2553)*100</f>
        <v/>
      </c>
      <c r="BN2552" s="82">
        <f>$AF2552-$AF2553</f>
        <v/>
      </c>
      <c r="BO2552" s="82">
        <f>$AG2552-$AG2553</f>
        <v/>
      </c>
      <c r="BP2552" s="82">
        <f>$AJ2552-$AJ2553</f>
        <v/>
      </c>
    </row>
    <row r="2553">
      <c r="AR2553" s="81">
        <f>($G2553+($H2553-$G2553)*0.5)+($P2553-($O2553+($Q2553-$O2553)*0.5))</f>
        <v/>
      </c>
      <c r="AS2553" s="81">
        <f>($J2553+($K2553-$J2553)*0.5)+($T2553-($S2553+($U2553-$S2553)*0.5))</f>
        <v/>
      </c>
      <c r="AT2553" s="82">
        <f>($J2553-$C2553)*100</f>
        <v/>
      </c>
      <c r="AU2553" s="82">
        <f>($H2553-$F2553)*100</f>
        <v/>
      </c>
      <c r="AV2553" s="82">
        <f>($J2553-$F2553)*100</f>
        <v/>
      </c>
      <c r="AW2553" s="82">
        <f>($L2553-$F2553)*100</f>
        <v/>
      </c>
      <c r="AX2553" s="82">
        <f>($J2553-$H2553)*100</f>
        <v/>
      </c>
      <c r="AY2553" s="82">
        <f>($L2553-$H2553)*100</f>
        <v/>
      </c>
      <c r="AZ2553" s="82">
        <f>($L2553-$J2553)*100</f>
        <v/>
      </c>
      <c r="BA2553" s="82">
        <f>(2*$H2553-$F2553-$J2553)*100</f>
        <v/>
      </c>
      <c r="BB2553" s="82">
        <f>(2*$J2553-$H2553-$L2553)*100</f>
        <v/>
      </c>
      <c r="BC2553" s="82">
        <f>($N2553-$F2553)*100</f>
        <v/>
      </c>
      <c r="BD2553" s="82">
        <f>($Q2553-$H2553)*100</f>
        <v/>
      </c>
      <c r="BE2553" s="82">
        <f>($S2553-$J2553)*100</f>
        <v/>
      </c>
      <c r="BF2553" s="82">
        <f>($V2553-$L2553)*100</f>
        <v/>
      </c>
      <c r="BG2553" s="82">
        <f>$AG2553-$AF2553</f>
        <v/>
      </c>
      <c r="BH2553" s="81">
        <f>IFERROR($AG2553/$AF2553,"")</f>
        <v/>
      </c>
      <c r="BI2553" s="82">
        <f>$AJ2553-$AF2553</f>
        <v/>
      </c>
      <c r="BJ2553" s="81">
        <f>IFERROR($AJ2553/$AG2553,"")</f>
        <v/>
      </c>
      <c r="BK2553" s="81">
        <f>$X2553</f>
        <v/>
      </c>
      <c r="BL2553" s="82">
        <f>($J2553-$J2554)*100</f>
        <v/>
      </c>
      <c r="BM2553" s="82">
        <f>($F2553-$F2554)*100</f>
        <v/>
      </c>
      <c r="BN2553" s="82">
        <f>$AF2553-$AF2554</f>
        <v/>
      </c>
      <c r="BO2553" s="82">
        <f>$AG2553-$AG2554</f>
        <v/>
      </c>
      <c r="BP2553" s="82">
        <f>$AJ2553-$AJ2554</f>
        <v/>
      </c>
    </row>
    <row r="2554">
      <c r="AR2554" s="81">
        <f>($G2554+($H2554-$G2554)*0.5)+($P2554-($O2554+($Q2554-$O2554)*0.5))</f>
        <v/>
      </c>
      <c r="AS2554" s="81">
        <f>($J2554+($K2554-$J2554)*0.5)+($T2554-($S2554+($U2554-$S2554)*0.5))</f>
        <v/>
      </c>
      <c r="AT2554" s="82">
        <f>($J2554-$C2554)*100</f>
        <v/>
      </c>
      <c r="AU2554" s="82">
        <f>($H2554-$F2554)*100</f>
        <v/>
      </c>
      <c r="AV2554" s="82">
        <f>($J2554-$F2554)*100</f>
        <v/>
      </c>
      <c r="AW2554" s="82">
        <f>($L2554-$F2554)*100</f>
        <v/>
      </c>
      <c r="AX2554" s="82">
        <f>($J2554-$H2554)*100</f>
        <v/>
      </c>
      <c r="AY2554" s="82">
        <f>($L2554-$H2554)*100</f>
        <v/>
      </c>
      <c r="AZ2554" s="82">
        <f>($L2554-$J2554)*100</f>
        <v/>
      </c>
      <c r="BA2554" s="82">
        <f>(2*$H2554-$F2554-$J2554)*100</f>
        <v/>
      </c>
      <c r="BB2554" s="82">
        <f>(2*$J2554-$H2554-$L2554)*100</f>
        <v/>
      </c>
      <c r="BC2554" s="82">
        <f>($N2554-$F2554)*100</f>
        <v/>
      </c>
      <c r="BD2554" s="82">
        <f>($Q2554-$H2554)*100</f>
        <v/>
      </c>
      <c r="BE2554" s="82">
        <f>($S2554-$J2554)*100</f>
        <v/>
      </c>
      <c r="BF2554" s="82">
        <f>($V2554-$L2554)*100</f>
        <v/>
      </c>
      <c r="BG2554" s="82">
        <f>$AG2554-$AF2554</f>
        <v/>
      </c>
      <c r="BH2554" s="81">
        <f>IFERROR($AG2554/$AF2554,"")</f>
        <v/>
      </c>
      <c r="BI2554" s="82">
        <f>$AJ2554-$AF2554</f>
        <v/>
      </c>
      <c r="BJ2554" s="81">
        <f>IFERROR($AJ2554/$AG2554,"")</f>
        <v/>
      </c>
      <c r="BK2554" s="81">
        <f>$X2554</f>
        <v/>
      </c>
      <c r="BL2554" s="82">
        <f>($J2554-$J2555)*100</f>
        <v/>
      </c>
      <c r="BM2554" s="82">
        <f>($F2554-$F2555)*100</f>
        <v/>
      </c>
      <c r="BN2554" s="82">
        <f>$AF2554-$AF2555</f>
        <v/>
      </c>
      <c r="BO2554" s="82">
        <f>$AG2554-$AG2555</f>
        <v/>
      </c>
      <c r="BP2554" s="82">
        <f>$AJ2554-$AJ2555</f>
        <v/>
      </c>
    </row>
    <row r="2555">
      <c r="AR2555" s="81">
        <f>($G2555+($H2555-$G2555)*0.5)+($P2555-($O2555+($Q2555-$O2555)*0.5))</f>
        <v/>
      </c>
      <c r="AS2555" s="81">
        <f>($J2555+($K2555-$J2555)*0.5)+($T2555-($S2555+($U2555-$S2555)*0.5))</f>
        <v/>
      </c>
      <c r="AT2555" s="82">
        <f>($J2555-$C2555)*100</f>
        <v/>
      </c>
      <c r="AU2555" s="82">
        <f>($H2555-$F2555)*100</f>
        <v/>
      </c>
      <c r="AV2555" s="82">
        <f>($J2555-$F2555)*100</f>
        <v/>
      </c>
      <c r="AW2555" s="82">
        <f>($L2555-$F2555)*100</f>
        <v/>
      </c>
      <c r="AX2555" s="82">
        <f>($J2555-$H2555)*100</f>
        <v/>
      </c>
      <c r="AY2555" s="82">
        <f>($L2555-$H2555)*100</f>
        <v/>
      </c>
      <c r="AZ2555" s="82">
        <f>($L2555-$J2555)*100</f>
        <v/>
      </c>
      <c r="BA2555" s="82">
        <f>(2*$H2555-$F2555-$J2555)*100</f>
        <v/>
      </c>
      <c r="BB2555" s="82">
        <f>(2*$J2555-$H2555-$L2555)*100</f>
        <v/>
      </c>
      <c r="BC2555" s="82">
        <f>($N2555-$F2555)*100</f>
        <v/>
      </c>
      <c r="BD2555" s="82">
        <f>($Q2555-$H2555)*100</f>
        <v/>
      </c>
      <c r="BE2555" s="82">
        <f>($S2555-$J2555)*100</f>
        <v/>
      </c>
      <c r="BF2555" s="82">
        <f>($V2555-$L2555)*100</f>
        <v/>
      </c>
      <c r="BG2555" s="82">
        <f>$AG2555-$AF2555</f>
        <v/>
      </c>
      <c r="BH2555" s="81">
        <f>IFERROR($AG2555/$AF2555,"")</f>
        <v/>
      </c>
      <c r="BI2555" s="82">
        <f>$AJ2555-$AF2555</f>
        <v/>
      </c>
      <c r="BJ2555" s="81">
        <f>IFERROR($AJ2555/$AG2555,"")</f>
        <v/>
      </c>
      <c r="BK2555" s="81">
        <f>$X2555</f>
        <v/>
      </c>
      <c r="BL2555" s="82">
        <f>($J2555-$J2556)*100</f>
        <v/>
      </c>
      <c r="BM2555" s="82">
        <f>($F2555-$F2556)*100</f>
        <v/>
      </c>
      <c r="BN2555" s="82">
        <f>$AF2555-$AF2556</f>
        <v/>
      </c>
      <c r="BO2555" s="82">
        <f>$AG2555-$AG2556</f>
        <v/>
      </c>
      <c r="BP2555" s="82">
        <f>$AJ2555-$AJ2556</f>
        <v/>
      </c>
    </row>
    <row r="2556">
      <c r="AR2556" s="81">
        <f>($G2556+($H2556-$G2556)*0.5)+($P2556-($O2556+($Q2556-$O2556)*0.5))</f>
        <v/>
      </c>
      <c r="AS2556" s="81">
        <f>($J2556+($K2556-$J2556)*0.5)+($T2556-($S2556+($U2556-$S2556)*0.5))</f>
        <v/>
      </c>
      <c r="AT2556" s="82">
        <f>($J2556-$C2556)*100</f>
        <v/>
      </c>
      <c r="AU2556" s="82">
        <f>($H2556-$F2556)*100</f>
        <v/>
      </c>
      <c r="AV2556" s="82">
        <f>($J2556-$F2556)*100</f>
        <v/>
      </c>
      <c r="AW2556" s="82">
        <f>($L2556-$F2556)*100</f>
        <v/>
      </c>
      <c r="AX2556" s="82">
        <f>($J2556-$H2556)*100</f>
        <v/>
      </c>
      <c r="AY2556" s="82">
        <f>($L2556-$H2556)*100</f>
        <v/>
      </c>
      <c r="AZ2556" s="82">
        <f>($L2556-$J2556)*100</f>
        <v/>
      </c>
      <c r="BA2556" s="82">
        <f>(2*$H2556-$F2556-$J2556)*100</f>
        <v/>
      </c>
      <c r="BB2556" s="82">
        <f>(2*$J2556-$H2556-$L2556)*100</f>
        <v/>
      </c>
      <c r="BC2556" s="82">
        <f>($N2556-$F2556)*100</f>
        <v/>
      </c>
      <c r="BD2556" s="82">
        <f>($Q2556-$H2556)*100</f>
        <v/>
      </c>
      <c r="BE2556" s="82">
        <f>($S2556-$J2556)*100</f>
        <v/>
      </c>
      <c r="BF2556" s="82">
        <f>($V2556-$L2556)*100</f>
        <v/>
      </c>
      <c r="BG2556" s="82">
        <f>$AG2556-$AF2556</f>
        <v/>
      </c>
      <c r="BH2556" s="81">
        <f>IFERROR($AG2556/$AF2556,"")</f>
        <v/>
      </c>
      <c r="BI2556" s="82">
        <f>$AJ2556-$AF2556</f>
        <v/>
      </c>
      <c r="BJ2556" s="81">
        <f>IFERROR($AJ2556/$AG2556,"")</f>
        <v/>
      </c>
      <c r="BK2556" s="81">
        <f>$X2556</f>
        <v/>
      </c>
      <c r="BL2556" s="82">
        <f>($J2556-$J2557)*100</f>
        <v/>
      </c>
      <c r="BM2556" s="82">
        <f>($F2556-$F2557)*100</f>
        <v/>
      </c>
      <c r="BN2556" s="82">
        <f>$AF2556-$AF2557</f>
        <v/>
      </c>
      <c r="BO2556" s="82">
        <f>$AG2556-$AG2557</f>
        <v/>
      </c>
      <c r="BP2556" s="82">
        <f>$AJ2556-$AJ2557</f>
        <v/>
      </c>
    </row>
    <row r="2557">
      <c r="AR2557" s="81">
        <f>($G2557+($H2557-$G2557)*0.5)+($P2557-($O2557+($Q2557-$O2557)*0.5))</f>
        <v/>
      </c>
      <c r="AS2557" s="81">
        <f>($J2557+($K2557-$J2557)*0.5)+($T2557-($S2557+($U2557-$S2557)*0.5))</f>
        <v/>
      </c>
      <c r="AT2557" s="82">
        <f>($J2557-$C2557)*100</f>
        <v/>
      </c>
      <c r="AU2557" s="82">
        <f>($H2557-$F2557)*100</f>
        <v/>
      </c>
      <c r="AV2557" s="82">
        <f>($J2557-$F2557)*100</f>
        <v/>
      </c>
      <c r="AW2557" s="82">
        <f>($L2557-$F2557)*100</f>
        <v/>
      </c>
      <c r="AX2557" s="82">
        <f>($J2557-$H2557)*100</f>
        <v/>
      </c>
      <c r="AY2557" s="82">
        <f>($L2557-$H2557)*100</f>
        <v/>
      </c>
      <c r="AZ2557" s="82">
        <f>($L2557-$J2557)*100</f>
        <v/>
      </c>
      <c r="BA2557" s="82">
        <f>(2*$H2557-$F2557-$J2557)*100</f>
        <v/>
      </c>
      <c r="BB2557" s="82">
        <f>(2*$J2557-$H2557-$L2557)*100</f>
        <v/>
      </c>
      <c r="BC2557" s="82">
        <f>($N2557-$F2557)*100</f>
        <v/>
      </c>
      <c r="BD2557" s="82">
        <f>($Q2557-$H2557)*100</f>
        <v/>
      </c>
      <c r="BE2557" s="82">
        <f>($S2557-$J2557)*100</f>
        <v/>
      </c>
      <c r="BF2557" s="82">
        <f>($V2557-$L2557)*100</f>
        <v/>
      </c>
      <c r="BG2557" s="82">
        <f>$AG2557-$AF2557</f>
        <v/>
      </c>
      <c r="BH2557" s="81">
        <f>IFERROR($AG2557/$AF2557,"")</f>
        <v/>
      </c>
      <c r="BI2557" s="82">
        <f>$AJ2557-$AF2557</f>
        <v/>
      </c>
      <c r="BJ2557" s="81">
        <f>IFERROR($AJ2557/$AG2557,"")</f>
        <v/>
      </c>
      <c r="BK2557" s="81">
        <f>$X2557</f>
        <v/>
      </c>
      <c r="BL2557" s="82">
        <f>($J2557-$J2558)*100</f>
        <v/>
      </c>
      <c r="BM2557" s="82">
        <f>($F2557-$F2558)*100</f>
        <v/>
      </c>
      <c r="BN2557" s="82">
        <f>$AF2557-$AF2558</f>
        <v/>
      </c>
      <c r="BO2557" s="82">
        <f>$AG2557-$AG2558</f>
        <v/>
      </c>
      <c r="BP2557" s="82">
        <f>$AJ2557-$AJ2558</f>
        <v/>
      </c>
    </row>
    <row r="2558">
      <c r="AR2558" s="81">
        <f>($G2558+($H2558-$G2558)*0.5)+($P2558-($O2558+($Q2558-$O2558)*0.5))</f>
        <v/>
      </c>
      <c r="AS2558" s="81">
        <f>($J2558+($K2558-$J2558)*0.5)+($T2558-($S2558+($U2558-$S2558)*0.5))</f>
        <v/>
      </c>
      <c r="AT2558" s="82">
        <f>($J2558-$C2558)*100</f>
        <v/>
      </c>
      <c r="AU2558" s="82">
        <f>($H2558-$F2558)*100</f>
        <v/>
      </c>
      <c r="AV2558" s="82">
        <f>($J2558-$F2558)*100</f>
        <v/>
      </c>
      <c r="AW2558" s="82">
        <f>($L2558-$F2558)*100</f>
        <v/>
      </c>
      <c r="AX2558" s="82">
        <f>($J2558-$H2558)*100</f>
        <v/>
      </c>
      <c r="AY2558" s="82">
        <f>($L2558-$H2558)*100</f>
        <v/>
      </c>
      <c r="AZ2558" s="82">
        <f>($L2558-$J2558)*100</f>
        <v/>
      </c>
      <c r="BA2558" s="82">
        <f>(2*$H2558-$F2558-$J2558)*100</f>
        <v/>
      </c>
      <c r="BB2558" s="82">
        <f>(2*$J2558-$H2558-$L2558)*100</f>
        <v/>
      </c>
      <c r="BC2558" s="82">
        <f>($N2558-$F2558)*100</f>
        <v/>
      </c>
      <c r="BD2558" s="82">
        <f>($Q2558-$H2558)*100</f>
        <v/>
      </c>
      <c r="BE2558" s="82">
        <f>($S2558-$J2558)*100</f>
        <v/>
      </c>
      <c r="BF2558" s="82">
        <f>($V2558-$L2558)*100</f>
        <v/>
      </c>
      <c r="BG2558" s="82">
        <f>$AG2558-$AF2558</f>
        <v/>
      </c>
      <c r="BH2558" s="81">
        <f>IFERROR($AG2558/$AF2558,"")</f>
        <v/>
      </c>
      <c r="BI2558" s="82">
        <f>$AJ2558-$AF2558</f>
        <v/>
      </c>
      <c r="BJ2558" s="81">
        <f>IFERROR($AJ2558/$AG2558,"")</f>
        <v/>
      </c>
      <c r="BK2558" s="81">
        <f>$X2558</f>
        <v/>
      </c>
      <c r="BL2558" s="82">
        <f>($J2558-$J2559)*100</f>
        <v/>
      </c>
      <c r="BM2558" s="82">
        <f>($F2558-$F2559)*100</f>
        <v/>
      </c>
      <c r="BN2558" s="82">
        <f>$AF2558-$AF2559</f>
        <v/>
      </c>
      <c r="BO2558" s="82">
        <f>$AG2558-$AG2559</f>
        <v/>
      </c>
      <c r="BP2558" s="82">
        <f>$AJ2558-$AJ2559</f>
        <v/>
      </c>
    </row>
    <row r="2559">
      <c r="AR2559" s="81">
        <f>($G2559+($H2559-$G2559)*0.5)+($P2559-($O2559+($Q2559-$O2559)*0.5))</f>
        <v/>
      </c>
      <c r="AS2559" s="81">
        <f>($J2559+($K2559-$J2559)*0.5)+($T2559-($S2559+($U2559-$S2559)*0.5))</f>
        <v/>
      </c>
      <c r="AT2559" s="82">
        <f>($J2559-$C2559)*100</f>
        <v/>
      </c>
      <c r="AU2559" s="82">
        <f>($H2559-$F2559)*100</f>
        <v/>
      </c>
      <c r="AV2559" s="82">
        <f>($J2559-$F2559)*100</f>
        <v/>
      </c>
      <c r="AW2559" s="82">
        <f>($L2559-$F2559)*100</f>
        <v/>
      </c>
      <c r="AX2559" s="82">
        <f>($J2559-$H2559)*100</f>
        <v/>
      </c>
      <c r="AY2559" s="82">
        <f>($L2559-$H2559)*100</f>
        <v/>
      </c>
      <c r="AZ2559" s="82">
        <f>($L2559-$J2559)*100</f>
        <v/>
      </c>
      <c r="BA2559" s="82">
        <f>(2*$H2559-$F2559-$J2559)*100</f>
        <v/>
      </c>
      <c r="BB2559" s="82">
        <f>(2*$J2559-$H2559-$L2559)*100</f>
        <v/>
      </c>
      <c r="BC2559" s="82">
        <f>($N2559-$F2559)*100</f>
        <v/>
      </c>
      <c r="BD2559" s="82">
        <f>($Q2559-$H2559)*100</f>
        <v/>
      </c>
      <c r="BE2559" s="82">
        <f>($S2559-$J2559)*100</f>
        <v/>
      </c>
      <c r="BF2559" s="82">
        <f>($V2559-$L2559)*100</f>
        <v/>
      </c>
      <c r="BG2559" s="82">
        <f>$AG2559-$AF2559</f>
        <v/>
      </c>
      <c r="BH2559" s="81">
        <f>IFERROR($AG2559/$AF2559,"")</f>
        <v/>
      </c>
      <c r="BI2559" s="82">
        <f>$AJ2559-$AF2559</f>
        <v/>
      </c>
      <c r="BJ2559" s="81">
        <f>IFERROR($AJ2559/$AG2559,"")</f>
        <v/>
      </c>
      <c r="BK2559" s="81">
        <f>$X2559</f>
        <v/>
      </c>
      <c r="BL2559" s="82">
        <f>($J2559-$J2560)*100</f>
        <v/>
      </c>
      <c r="BM2559" s="82">
        <f>($F2559-$F2560)*100</f>
        <v/>
      </c>
      <c r="BN2559" s="82">
        <f>$AF2559-$AF2560</f>
        <v/>
      </c>
      <c r="BO2559" s="82">
        <f>$AG2559-$AG2560</f>
        <v/>
      </c>
      <c r="BP2559" s="82">
        <f>$AJ2559-$AJ2560</f>
        <v/>
      </c>
    </row>
    <row r="2560">
      <c r="AR2560" s="81">
        <f>($G2560+($H2560-$G2560)*0.5)+($P2560-($O2560+($Q2560-$O2560)*0.5))</f>
        <v/>
      </c>
      <c r="AS2560" s="81">
        <f>($J2560+($K2560-$J2560)*0.5)+($T2560-($S2560+($U2560-$S2560)*0.5))</f>
        <v/>
      </c>
      <c r="AT2560" s="82">
        <f>($J2560-$C2560)*100</f>
        <v/>
      </c>
      <c r="AU2560" s="82">
        <f>($H2560-$F2560)*100</f>
        <v/>
      </c>
      <c r="AV2560" s="82">
        <f>($J2560-$F2560)*100</f>
        <v/>
      </c>
      <c r="AW2560" s="82">
        <f>($L2560-$F2560)*100</f>
        <v/>
      </c>
      <c r="AX2560" s="82">
        <f>($J2560-$H2560)*100</f>
        <v/>
      </c>
      <c r="AY2560" s="82">
        <f>($L2560-$H2560)*100</f>
        <v/>
      </c>
      <c r="AZ2560" s="82">
        <f>($L2560-$J2560)*100</f>
        <v/>
      </c>
      <c r="BA2560" s="82">
        <f>(2*$H2560-$F2560-$J2560)*100</f>
        <v/>
      </c>
      <c r="BB2560" s="82">
        <f>(2*$J2560-$H2560-$L2560)*100</f>
        <v/>
      </c>
      <c r="BC2560" s="82">
        <f>($N2560-$F2560)*100</f>
        <v/>
      </c>
      <c r="BD2560" s="82">
        <f>($Q2560-$H2560)*100</f>
        <v/>
      </c>
      <c r="BE2560" s="82">
        <f>($S2560-$J2560)*100</f>
        <v/>
      </c>
      <c r="BF2560" s="82">
        <f>($V2560-$L2560)*100</f>
        <v/>
      </c>
      <c r="BG2560" s="82">
        <f>$AG2560-$AF2560</f>
        <v/>
      </c>
      <c r="BH2560" s="81">
        <f>IFERROR($AG2560/$AF2560,"")</f>
        <v/>
      </c>
      <c r="BI2560" s="82">
        <f>$AJ2560-$AF2560</f>
        <v/>
      </c>
      <c r="BJ2560" s="81">
        <f>IFERROR($AJ2560/$AG2560,"")</f>
        <v/>
      </c>
      <c r="BK2560" s="81">
        <f>$X2560</f>
        <v/>
      </c>
      <c r="BL2560" s="82">
        <f>($J2560-$J2561)*100</f>
        <v/>
      </c>
      <c r="BM2560" s="82">
        <f>($F2560-$F2561)*100</f>
        <v/>
      </c>
      <c r="BN2560" s="82">
        <f>$AF2560-$AF2561</f>
        <v/>
      </c>
      <c r="BO2560" s="82">
        <f>$AG2560-$AG2561</f>
        <v/>
      </c>
      <c r="BP2560" s="82">
        <f>$AJ2560-$AJ2561</f>
        <v/>
      </c>
    </row>
    <row r="2561">
      <c r="AR2561" s="81">
        <f>($G2561+($H2561-$G2561)*0.5)+($P2561-($O2561+($Q2561-$O2561)*0.5))</f>
        <v/>
      </c>
      <c r="AS2561" s="81">
        <f>($J2561+($K2561-$J2561)*0.5)+($T2561-($S2561+($U2561-$S2561)*0.5))</f>
        <v/>
      </c>
      <c r="AT2561" s="82">
        <f>($J2561-$C2561)*100</f>
        <v/>
      </c>
      <c r="AU2561" s="82">
        <f>($H2561-$F2561)*100</f>
        <v/>
      </c>
      <c r="AV2561" s="82">
        <f>($J2561-$F2561)*100</f>
        <v/>
      </c>
      <c r="AW2561" s="82">
        <f>($L2561-$F2561)*100</f>
        <v/>
      </c>
      <c r="AX2561" s="82">
        <f>($J2561-$H2561)*100</f>
        <v/>
      </c>
      <c r="AY2561" s="82">
        <f>($L2561-$H2561)*100</f>
        <v/>
      </c>
      <c r="AZ2561" s="82">
        <f>($L2561-$J2561)*100</f>
        <v/>
      </c>
      <c r="BA2561" s="82">
        <f>(2*$H2561-$F2561-$J2561)*100</f>
        <v/>
      </c>
      <c r="BB2561" s="82">
        <f>(2*$J2561-$H2561-$L2561)*100</f>
        <v/>
      </c>
      <c r="BC2561" s="82">
        <f>($N2561-$F2561)*100</f>
        <v/>
      </c>
      <c r="BD2561" s="82">
        <f>($Q2561-$H2561)*100</f>
        <v/>
      </c>
      <c r="BE2561" s="82">
        <f>($S2561-$J2561)*100</f>
        <v/>
      </c>
      <c r="BF2561" s="82">
        <f>($V2561-$L2561)*100</f>
        <v/>
      </c>
      <c r="BG2561" s="82">
        <f>$AG2561-$AF2561</f>
        <v/>
      </c>
      <c r="BH2561" s="81">
        <f>IFERROR($AG2561/$AF2561,"")</f>
        <v/>
      </c>
      <c r="BI2561" s="82">
        <f>$AJ2561-$AF2561</f>
        <v/>
      </c>
      <c r="BJ2561" s="81">
        <f>IFERROR($AJ2561/$AG2561,"")</f>
        <v/>
      </c>
      <c r="BK2561" s="81">
        <f>$X2561</f>
        <v/>
      </c>
      <c r="BL2561" s="82">
        <f>($J2561-$J2562)*100</f>
        <v/>
      </c>
      <c r="BM2561" s="82">
        <f>($F2561-$F2562)*100</f>
        <v/>
      </c>
      <c r="BN2561" s="82">
        <f>$AF2561-$AF2562</f>
        <v/>
      </c>
      <c r="BO2561" s="82">
        <f>$AG2561-$AG2562</f>
        <v/>
      </c>
      <c r="BP2561" s="82">
        <f>$AJ2561-$AJ2562</f>
        <v/>
      </c>
    </row>
    <row r="2562">
      <c r="AR2562" s="81">
        <f>($G2562+($H2562-$G2562)*0.5)+($P2562-($O2562+($Q2562-$O2562)*0.5))</f>
        <v/>
      </c>
      <c r="AS2562" s="81">
        <f>($J2562+($K2562-$J2562)*0.5)+($T2562-($S2562+($U2562-$S2562)*0.5))</f>
        <v/>
      </c>
      <c r="AT2562" s="82">
        <f>($J2562-$C2562)*100</f>
        <v/>
      </c>
      <c r="AU2562" s="82">
        <f>($H2562-$F2562)*100</f>
        <v/>
      </c>
      <c r="AV2562" s="82">
        <f>($J2562-$F2562)*100</f>
        <v/>
      </c>
      <c r="AW2562" s="82">
        <f>($L2562-$F2562)*100</f>
        <v/>
      </c>
      <c r="AX2562" s="82">
        <f>($J2562-$H2562)*100</f>
        <v/>
      </c>
      <c r="AY2562" s="82">
        <f>($L2562-$H2562)*100</f>
        <v/>
      </c>
      <c r="AZ2562" s="82">
        <f>($L2562-$J2562)*100</f>
        <v/>
      </c>
      <c r="BA2562" s="82">
        <f>(2*$H2562-$F2562-$J2562)*100</f>
        <v/>
      </c>
      <c r="BB2562" s="82">
        <f>(2*$J2562-$H2562-$L2562)*100</f>
        <v/>
      </c>
      <c r="BC2562" s="82">
        <f>($N2562-$F2562)*100</f>
        <v/>
      </c>
      <c r="BD2562" s="82">
        <f>($Q2562-$H2562)*100</f>
        <v/>
      </c>
      <c r="BE2562" s="82">
        <f>($S2562-$J2562)*100</f>
        <v/>
      </c>
      <c r="BF2562" s="82">
        <f>($V2562-$L2562)*100</f>
        <v/>
      </c>
      <c r="BG2562" s="82">
        <f>$AG2562-$AF2562</f>
        <v/>
      </c>
      <c r="BH2562" s="81">
        <f>IFERROR($AG2562/$AF2562,"")</f>
        <v/>
      </c>
      <c r="BI2562" s="82">
        <f>$AJ2562-$AF2562</f>
        <v/>
      </c>
      <c r="BJ2562" s="81">
        <f>IFERROR($AJ2562/$AG2562,"")</f>
        <v/>
      </c>
      <c r="BK2562" s="81">
        <f>$X2562</f>
        <v/>
      </c>
      <c r="BL2562" s="82">
        <f>($J2562-$J2563)*100</f>
        <v/>
      </c>
      <c r="BM2562" s="82">
        <f>($F2562-$F2563)*100</f>
        <v/>
      </c>
      <c r="BN2562" s="82">
        <f>$AF2562-$AF2563</f>
        <v/>
      </c>
      <c r="BO2562" s="82">
        <f>$AG2562-$AG2563</f>
        <v/>
      </c>
      <c r="BP2562" s="82">
        <f>$AJ2562-$AJ2563</f>
        <v/>
      </c>
    </row>
    <row r="2563">
      <c r="AR2563" s="81">
        <f>($G2563+($H2563-$G2563)*0.5)+($P2563-($O2563+($Q2563-$O2563)*0.5))</f>
        <v/>
      </c>
      <c r="AS2563" s="81">
        <f>($J2563+($K2563-$J2563)*0.5)+($T2563-($S2563+($U2563-$S2563)*0.5))</f>
        <v/>
      </c>
      <c r="AT2563" s="82">
        <f>($J2563-$C2563)*100</f>
        <v/>
      </c>
      <c r="AU2563" s="82">
        <f>($H2563-$F2563)*100</f>
        <v/>
      </c>
      <c r="AV2563" s="82">
        <f>($J2563-$F2563)*100</f>
        <v/>
      </c>
      <c r="AW2563" s="82">
        <f>($L2563-$F2563)*100</f>
        <v/>
      </c>
      <c r="AX2563" s="82">
        <f>($J2563-$H2563)*100</f>
        <v/>
      </c>
      <c r="AY2563" s="82">
        <f>($L2563-$H2563)*100</f>
        <v/>
      </c>
      <c r="AZ2563" s="82">
        <f>($L2563-$J2563)*100</f>
        <v/>
      </c>
      <c r="BA2563" s="82">
        <f>(2*$H2563-$F2563-$J2563)*100</f>
        <v/>
      </c>
      <c r="BB2563" s="82">
        <f>(2*$J2563-$H2563-$L2563)*100</f>
        <v/>
      </c>
      <c r="BC2563" s="82">
        <f>($N2563-$F2563)*100</f>
        <v/>
      </c>
      <c r="BD2563" s="82">
        <f>($Q2563-$H2563)*100</f>
        <v/>
      </c>
      <c r="BE2563" s="82">
        <f>($S2563-$J2563)*100</f>
        <v/>
      </c>
      <c r="BF2563" s="82">
        <f>($V2563-$L2563)*100</f>
        <v/>
      </c>
      <c r="BG2563" s="82">
        <f>$AG2563-$AF2563</f>
        <v/>
      </c>
      <c r="BH2563" s="81">
        <f>IFERROR($AG2563/$AF2563,"")</f>
        <v/>
      </c>
      <c r="BI2563" s="82">
        <f>$AJ2563-$AF2563</f>
        <v/>
      </c>
      <c r="BJ2563" s="81">
        <f>IFERROR($AJ2563/$AG2563,"")</f>
        <v/>
      </c>
      <c r="BK2563" s="81">
        <f>$X2563</f>
        <v/>
      </c>
      <c r="BL2563" s="82">
        <f>($J2563-$J2564)*100</f>
        <v/>
      </c>
      <c r="BM2563" s="82">
        <f>($F2563-$F2564)*100</f>
        <v/>
      </c>
      <c r="BN2563" s="82">
        <f>$AF2563-$AF2564</f>
        <v/>
      </c>
      <c r="BO2563" s="82">
        <f>$AG2563-$AG2564</f>
        <v/>
      </c>
      <c r="BP2563" s="82">
        <f>$AJ2563-$AJ2564</f>
        <v/>
      </c>
    </row>
    <row r="2564">
      <c r="AR2564" s="81">
        <f>($G2564+($H2564-$G2564)*0.5)+($P2564-($O2564+($Q2564-$O2564)*0.5))</f>
        <v/>
      </c>
      <c r="AS2564" s="81">
        <f>($J2564+($K2564-$J2564)*0.5)+($T2564-($S2564+($U2564-$S2564)*0.5))</f>
        <v/>
      </c>
      <c r="AT2564" s="82">
        <f>($J2564-$C2564)*100</f>
        <v/>
      </c>
      <c r="AU2564" s="82">
        <f>($H2564-$F2564)*100</f>
        <v/>
      </c>
      <c r="AV2564" s="82">
        <f>($J2564-$F2564)*100</f>
        <v/>
      </c>
      <c r="AW2564" s="82">
        <f>($L2564-$F2564)*100</f>
        <v/>
      </c>
      <c r="AX2564" s="82">
        <f>($J2564-$H2564)*100</f>
        <v/>
      </c>
      <c r="AY2564" s="82">
        <f>($L2564-$H2564)*100</f>
        <v/>
      </c>
      <c r="AZ2564" s="82">
        <f>($L2564-$J2564)*100</f>
        <v/>
      </c>
      <c r="BA2564" s="82">
        <f>(2*$H2564-$F2564-$J2564)*100</f>
        <v/>
      </c>
      <c r="BB2564" s="82">
        <f>(2*$J2564-$H2564-$L2564)*100</f>
        <v/>
      </c>
      <c r="BC2564" s="82">
        <f>($N2564-$F2564)*100</f>
        <v/>
      </c>
      <c r="BD2564" s="82">
        <f>($Q2564-$H2564)*100</f>
        <v/>
      </c>
      <c r="BE2564" s="82">
        <f>($S2564-$J2564)*100</f>
        <v/>
      </c>
      <c r="BF2564" s="82">
        <f>($V2564-$L2564)*100</f>
        <v/>
      </c>
      <c r="BG2564" s="82">
        <f>$AG2564-$AF2564</f>
        <v/>
      </c>
      <c r="BH2564" s="81">
        <f>IFERROR($AG2564/$AF2564,"")</f>
        <v/>
      </c>
      <c r="BI2564" s="82">
        <f>$AJ2564-$AF2564</f>
        <v/>
      </c>
      <c r="BJ2564" s="81">
        <f>IFERROR($AJ2564/$AG2564,"")</f>
        <v/>
      </c>
      <c r="BK2564" s="81">
        <f>$X2564</f>
        <v/>
      </c>
      <c r="BL2564" s="82">
        <f>($J2564-$J2565)*100</f>
        <v/>
      </c>
      <c r="BM2564" s="82">
        <f>($F2564-$F2565)*100</f>
        <v/>
      </c>
      <c r="BN2564" s="82">
        <f>$AF2564-$AF2565</f>
        <v/>
      </c>
      <c r="BO2564" s="82">
        <f>$AG2564-$AG2565</f>
        <v/>
      </c>
      <c r="BP2564" s="82">
        <f>$AJ2564-$AJ2565</f>
        <v/>
      </c>
    </row>
    <row r="2565">
      <c r="AR2565" s="81">
        <f>($G2565+($H2565-$G2565)*0.5)+($P2565-($O2565+($Q2565-$O2565)*0.5))</f>
        <v/>
      </c>
      <c r="AS2565" s="81">
        <f>($J2565+($K2565-$J2565)*0.5)+($T2565-($S2565+($U2565-$S2565)*0.5))</f>
        <v/>
      </c>
      <c r="AT2565" s="82">
        <f>($J2565-$C2565)*100</f>
        <v/>
      </c>
      <c r="AU2565" s="82">
        <f>($H2565-$F2565)*100</f>
        <v/>
      </c>
      <c r="AV2565" s="82">
        <f>($J2565-$F2565)*100</f>
        <v/>
      </c>
      <c r="AW2565" s="82">
        <f>($L2565-$F2565)*100</f>
        <v/>
      </c>
      <c r="AX2565" s="82">
        <f>($J2565-$H2565)*100</f>
        <v/>
      </c>
      <c r="AY2565" s="82">
        <f>($L2565-$H2565)*100</f>
        <v/>
      </c>
      <c r="AZ2565" s="82">
        <f>($L2565-$J2565)*100</f>
        <v/>
      </c>
      <c r="BA2565" s="82">
        <f>(2*$H2565-$F2565-$J2565)*100</f>
        <v/>
      </c>
      <c r="BB2565" s="82">
        <f>(2*$J2565-$H2565-$L2565)*100</f>
        <v/>
      </c>
      <c r="BC2565" s="82">
        <f>($N2565-$F2565)*100</f>
        <v/>
      </c>
      <c r="BD2565" s="82">
        <f>($Q2565-$H2565)*100</f>
        <v/>
      </c>
      <c r="BE2565" s="82">
        <f>($S2565-$J2565)*100</f>
        <v/>
      </c>
      <c r="BF2565" s="82">
        <f>($V2565-$L2565)*100</f>
        <v/>
      </c>
      <c r="BG2565" s="82">
        <f>$AG2565-$AF2565</f>
        <v/>
      </c>
      <c r="BH2565" s="81">
        <f>IFERROR($AG2565/$AF2565,"")</f>
        <v/>
      </c>
      <c r="BI2565" s="82">
        <f>$AJ2565-$AF2565</f>
        <v/>
      </c>
      <c r="BJ2565" s="81">
        <f>IFERROR($AJ2565/$AG2565,"")</f>
        <v/>
      </c>
      <c r="BK2565" s="81">
        <f>$X2565</f>
        <v/>
      </c>
      <c r="BL2565" s="82">
        <f>($J2565-$J2566)*100</f>
        <v/>
      </c>
      <c r="BM2565" s="82">
        <f>($F2565-$F2566)*100</f>
        <v/>
      </c>
      <c r="BN2565" s="82">
        <f>$AF2565-$AF2566</f>
        <v/>
      </c>
      <c r="BO2565" s="82">
        <f>$AG2565-$AG2566</f>
        <v/>
      </c>
      <c r="BP2565" s="82">
        <f>$AJ2565-$AJ2566</f>
        <v/>
      </c>
    </row>
    <row r="2566">
      <c r="AR2566" s="81">
        <f>($G2566+($H2566-$G2566)*0.5)+($P2566-($O2566+($Q2566-$O2566)*0.5))</f>
        <v/>
      </c>
      <c r="AS2566" s="81">
        <f>($J2566+($K2566-$J2566)*0.5)+($T2566-($S2566+($U2566-$S2566)*0.5))</f>
        <v/>
      </c>
      <c r="AT2566" s="82">
        <f>($J2566-$C2566)*100</f>
        <v/>
      </c>
      <c r="AU2566" s="82">
        <f>($H2566-$F2566)*100</f>
        <v/>
      </c>
      <c r="AV2566" s="82">
        <f>($J2566-$F2566)*100</f>
        <v/>
      </c>
      <c r="AW2566" s="82">
        <f>($L2566-$F2566)*100</f>
        <v/>
      </c>
      <c r="AX2566" s="82">
        <f>($J2566-$H2566)*100</f>
        <v/>
      </c>
      <c r="AY2566" s="82">
        <f>($L2566-$H2566)*100</f>
        <v/>
      </c>
      <c r="AZ2566" s="82">
        <f>($L2566-$J2566)*100</f>
        <v/>
      </c>
      <c r="BA2566" s="82">
        <f>(2*$H2566-$F2566-$J2566)*100</f>
        <v/>
      </c>
      <c r="BB2566" s="82">
        <f>(2*$J2566-$H2566-$L2566)*100</f>
        <v/>
      </c>
      <c r="BC2566" s="82">
        <f>($N2566-$F2566)*100</f>
        <v/>
      </c>
      <c r="BD2566" s="82">
        <f>($Q2566-$H2566)*100</f>
        <v/>
      </c>
      <c r="BE2566" s="82">
        <f>($S2566-$J2566)*100</f>
        <v/>
      </c>
      <c r="BF2566" s="82">
        <f>($V2566-$L2566)*100</f>
        <v/>
      </c>
      <c r="BG2566" s="82">
        <f>$AG2566-$AF2566</f>
        <v/>
      </c>
      <c r="BH2566" s="81">
        <f>IFERROR($AG2566/$AF2566,"")</f>
        <v/>
      </c>
      <c r="BI2566" s="82">
        <f>$AJ2566-$AF2566</f>
        <v/>
      </c>
      <c r="BJ2566" s="81">
        <f>IFERROR($AJ2566/$AG2566,"")</f>
        <v/>
      </c>
      <c r="BK2566" s="81">
        <f>$X2566</f>
        <v/>
      </c>
      <c r="BL2566" s="82">
        <f>($J2566-$J2567)*100</f>
        <v/>
      </c>
      <c r="BM2566" s="82">
        <f>($F2566-$F2567)*100</f>
        <v/>
      </c>
      <c r="BN2566" s="82">
        <f>$AF2566-$AF2567</f>
        <v/>
      </c>
      <c r="BO2566" s="82">
        <f>$AG2566-$AG2567</f>
        <v/>
      </c>
      <c r="BP2566" s="82">
        <f>$AJ2566-$AJ2567</f>
        <v/>
      </c>
    </row>
    <row r="2567">
      <c r="AR2567" s="81">
        <f>($G2567+($H2567-$G2567)*0.5)+($P2567-($O2567+($Q2567-$O2567)*0.5))</f>
        <v/>
      </c>
      <c r="AS2567" s="81">
        <f>($J2567+($K2567-$J2567)*0.5)+($T2567-($S2567+($U2567-$S2567)*0.5))</f>
        <v/>
      </c>
      <c r="AT2567" s="82">
        <f>($J2567-$C2567)*100</f>
        <v/>
      </c>
      <c r="AU2567" s="82">
        <f>($H2567-$F2567)*100</f>
        <v/>
      </c>
      <c r="AV2567" s="82">
        <f>($J2567-$F2567)*100</f>
        <v/>
      </c>
      <c r="AW2567" s="82">
        <f>($L2567-$F2567)*100</f>
        <v/>
      </c>
      <c r="AX2567" s="82">
        <f>($J2567-$H2567)*100</f>
        <v/>
      </c>
      <c r="AY2567" s="82">
        <f>($L2567-$H2567)*100</f>
        <v/>
      </c>
      <c r="AZ2567" s="82">
        <f>($L2567-$J2567)*100</f>
        <v/>
      </c>
      <c r="BA2567" s="82">
        <f>(2*$H2567-$F2567-$J2567)*100</f>
        <v/>
      </c>
      <c r="BB2567" s="82">
        <f>(2*$J2567-$H2567-$L2567)*100</f>
        <v/>
      </c>
      <c r="BC2567" s="82">
        <f>($N2567-$F2567)*100</f>
        <v/>
      </c>
      <c r="BD2567" s="82">
        <f>($Q2567-$H2567)*100</f>
        <v/>
      </c>
      <c r="BE2567" s="82">
        <f>($S2567-$J2567)*100</f>
        <v/>
      </c>
      <c r="BF2567" s="82">
        <f>($V2567-$L2567)*100</f>
        <v/>
      </c>
      <c r="BG2567" s="82">
        <f>$AG2567-$AF2567</f>
        <v/>
      </c>
      <c r="BH2567" s="81">
        <f>IFERROR($AG2567/$AF2567,"")</f>
        <v/>
      </c>
      <c r="BI2567" s="82">
        <f>$AJ2567-$AF2567</f>
        <v/>
      </c>
      <c r="BJ2567" s="81">
        <f>IFERROR($AJ2567/$AG2567,"")</f>
        <v/>
      </c>
      <c r="BK2567" s="81">
        <f>$X2567</f>
        <v/>
      </c>
      <c r="BL2567" s="82">
        <f>($J2567-$J2568)*100</f>
        <v/>
      </c>
      <c r="BM2567" s="82">
        <f>($F2567-$F2568)*100</f>
        <v/>
      </c>
      <c r="BN2567" s="82">
        <f>$AF2567-$AF2568</f>
        <v/>
      </c>
      <c r="BO2567" s="82">
        <f>$AG2567-$AG2568</f>
        <v/>
      </c>
      <c r="BP2567" s="82">
        <f>$AJ2567-$AJ2568</f>
        <v/>
      </c>
    </row>
    <row r="2568">
      <c r="AR2568" s="81">
        <f>($G2568+($H2568-$G2568)*0.5)+($P2568-($O2568+($Q2568-$O2568)*0.5))</f>
        <v/>
      </c>
      <c r="AS2568" s="81">
        <f>($J2568+($K2568-$J2568)*0.5)+($T2568-($S2568+($U2568-$S2568)*0.5))</f>
        <v/>
      </c>
      <c r="AT2568" s="82">
        <f>($J2568-$C2568)*100</f>
        <v/>
      </c>
      <c r="AU2568" s="82">
        <f>($H2568-$F2568)*100</f>
        <v/>
      </c>
      <c r="AV2568" s="82">
        <f>($J2568-$F2568)*100</f>
        <v/>
      </c>
      <c r="AW2568" s="82">
        <f>($L2568-$F2568)*100</f>
        <v/>
      </c>
      <c r="AX2568" s="82">
        <f>($J2568-$H2568)*100</f>
        <v/>
      </c>
      <c r="AY2568" s="82">
        <f>($L2568-$H2568)*100</f>
        <v/>
      </c>
      <c r="AZ2568" s="82">
        <f>($L2568-$J2568)*100</f>
        <v/>
      </c>
      <c r="BA2568" s="82">
        <f>(2*$H2568-$F2568-$J2568)*100</f>
        <v/>
      </c>
      <c r="BB2568" s="82">
        <f>(2*$J2568-$H2568-$L2568)*100</f>
        <v/>
      </c>
      <c r="BC2568" s="82">
        <f>($N2568-$F2568)*100</f>
        <v/>
      </c>
      <c r="BD2568" s="82">
        <f>($Q2568-$H2568)*100</f>
        <v/>
      </c>
      <c r="BE2568" s="82">
        <f>($S2568-$J2568)*100</f>
        <v/>
      </c>
      <c r="BF2568" s="82">
        <f>($V2568-$L2568)*100</f>
        <v/>
      </c>
      <c r="BG2568" s="82">
        <f>$AG2568-$AF2568</f>
        <v/>
      </c>
      <c r="BH2568" s="81">
        <f>IFERROR($AG2568/$AF2568,"")</f>
        <v/>
      </c>
      <c r="BI2568" s="82">
        <f>$AJ2568-$AF2568</f>
        <v/>
      </c>
      <c r="BJ2568" s="81">
        <f>IFERROR($AJ2568/$AG2568,"")</f>
        <v/>
      </c>
      <c r="BK2568" s="81">
        <f>$X2568</f>
        <v/>
      </c>
      <c r="BL2568" s="82">
        <f>($J2568-$J2569)*100</f>
        <v/>
      </c>
      <c r="BM2568" s="82">
        <f>($F2568-$F2569)*100</f>
        <v/>
      </c>
      <c r="BN2568" s="82">
        <f>$AF2568-$AF2569</f>
        <v/>
      </c>
      <c r="BO2568" s="82">
        <f>$AG2568-$AG2569</f>
        <v/>
      </c>
      <c r="BP2568" s="82">
        <f>$AJ2568-$AJ2569</f>
        <v/>
      </c>
    </row>
    <row r="2569">
      <c r="AR2569" s="81">
        <f>($G2569+($H2569-$G2569)*0.5)+($P2569-($O2569+($Q2569-$O2569)*0.5))</f>
        <v/>
      </c>
      <c r="AS2569" s="81">
        <f>($J2569+($K2569-$J2569)*0.5)+($T2569-($S2569+($U2569-$S2569)*0.5))</f>
        <v/>
      </c>
      <c r="AT2569" s="82">
        <f>($J2569-$C2569)*100</f>
        <v/>
      </c>
      <c r="AU2569" s="82">
        <f>($H2569-$F2569)*100</f>
        <v/>
      </c>
      <c r="AV2569" s="82">
        <f>($J2569-$F2569)*100</f>
        <v/>
      </c>
      <c r="AW2569" s="82">
        <f>($L2569-$F2569)*100</f>
        <v/>
      </c>
      <c r="AX2569" s="82">
        <f>($J2569-$H2569)*100</f>
        <v/>
      </c>
      <c r="AY2569" s="82">
        <f>($L2569-$H2569)*100</f>
        <v/>
      </c>
      <c r="AZ2569" s="82">
        <f>($L2569-$J2569)*100</f>
        <v/>
      </c>
      <c r="BA2569" s="82">
        <f>(2*$H2569-$F2569-$J2569)*100</f>
        <v/>
      </c>
      <c r="BB2569" s="82">
        <f>(2*$J2569-$H2569-$L2569)*100</f>
        <v/>
      </c>
      <c r="BC2569" s="82">
        <f>($N2569-$F2569)*100</f>
        <v/>
      </c>
      <c r="BD2569" s="82">
        <f>($Q2569-$H2569)*100</f>
        <v/>
      </c>
      <c r="BE2569" s="82">
        <f>($S2569-$J2569)*100</f>
        <v/>
      </c>
      <c r="BF2569" s="82">
        <f>($V2569-$L2569)*100</f>
        <v/>
      </c>
      <c r="BG2569" s="82">
        <f>$AG2569-$AF2569</f>
        <v/>
      </c>
      <c r="BH2569" s="81">
        <f>IFERROR($AG2569/$AF2569,"")</f>
        <v/>
      </c>
      <c r="BI2569" s="82">
        <f>$AJ2569-$AF2569</f>
        <v/>
      </c>
      <c r="BJ2569" s="81">
        <f>IFERROR($AJ2569/$AG2569,"")</f>
        <v/>
      </c>
      <c r="BK2569" s="81">
        <f>$X2569</f>
        <v/>
      </c>
      <c r="BL2569" s="82">
        <f>($J2569-$J2570)*100</f>
        <v/>
      </c>
      <c r="BM2569" s="82">
        <f>($F2569-$F2570)*100</f>
        <v/>
      </c>
      <c r="BN2569" s="82">
        <f>$AF2569-$AF2570</f>
        <v/>
      </c>
      <c r="BO2569" s="82">
        <f>$AG2569-$AG2570</f>
        <v/>
      </c>
      <c r="BP2569" s="82">
        <f>$AJ2569-$AJ2570</f>
        <v/>
      </c>
    </row>
    <row r="2570">
      <c r="AR2570" s="81">
        <f>($G2570+($H2570-$G2570)*0.5)+($P2570-($O2570+($Q2570-$O2570)*0.5))</f>
        <v/>
      </c>
      <c r="AS2570" s="81">
        <f>($J2570+($K2570-$J2570)*0.5)+($T2570-($S2570+($U2570-$S2570)*0.5))</f>
        <v/>
      </c>
      <c r="AT2570" s="82">
        <f>($J2570-$C2570)*100</f>
        <v/>
      </c>
      <c r="AU2570" s="82">
        <f>($H2570-$F2570)*100</f>
        <v/>
      </c>
      <c r="AV2570" s="82">
        <f>($J2570-$F2570)*100</f>
        <v/>
      </c>
      <c r="AW2570" s="82">
        <f>($L2570-$F2570)*100</f>
        <v/>
      </c>
      <c r="AX2570" s="82">
        <f>($J2570-$H2570)*100</f>
        <v/>
      </c>
      <c r="AY2570" s="82">
        <f>($L2570-$H2570)*100</f>
        <v/>
      </c>
      <c r="AZ2570" s="82">
        <f>($L2570-$J2570)*100</f>
        <v/>
      </c>
      <c r="BA2570" s="82">
        <f>(2*$H2570-$F2570-$J2570)*100</f>
        <v/>
      </c>
      <c r="BB2570" s="82">
        <f>(2*$J2570-$H2570-$L2570)*100</f>
        <v/>
      </c>
      <c r="BC2570" s="82">
        <f>($N2570-$F2570)*100</f>
        <v/>
      </c>
      <c r="BD2570" s="82">
        <f>($Q2570-$H2570)*100</f>
        <v/>
      </c>
      <c r="BE2570" s="82">
        <f>($S2570-$J2570)*100</f>
        <v/>
      </c>
      <c r="BF2570" s="82">
        <f>($V2570-$L2570)*100</f>
        <v/>
      </c>
      <c r="BG2570" s="82">
        <f>$AG2570-$AF2570</f>
        <v/>
      </c>
      <c r="BH2570" s="81">
        <f>IFERROR($AG2570/$AF2570,"")</f>
        <v/>
      </c>
      <c r="BI2570" s="82">
        <f>$AJ2570-$AF2570</f>
        <v/>
      </c>
      <c r="BJ2570" s="81">
        <f>IFERROR($AJ2570/$AG2570,"")</f>
        <v/>
      </c>
      <c r="BK2570" s="81">
        <f>$X2570</f>
        <v/>
      </c>
      <c r="BL2570" s="82">
        <f>($J2570-$J2571)*100</f>
        <v/>
      </c>
      <c r="BM2570" s="82">
        <f>($F2570-$F2571)*100</f>
        <v/>
      </c>
      <c r="BN2570" s="82">
        <f>$AF2570-$AF2571</f>
        <v/>
      </c>
      <c r="BO2570" s="82">
        <f>$AG2570-$AG2571</f>
        <v/>
      </c>
      <c r="BP2570" s="82">
        <f>$AJ2570-$AJ2571</f>
        <v/>
      </c>
    </row>
    <row r="2571">
      <c r="AR2571" s="81">
        <f>($G2571+($H2571-$G2571)*0.5)+($P2571-($O2571+($Q2571-$O2571)*0.5))</f>
        <v/>
      </c>
      <c r="AS2571" s="81">
        <f>($J2571+($K2571-$J2571)*0.5)+($T2571-($S2571+($U2571-$S2571)*0.5))</f>
        <v/>
      </c>
      <c r="AT2571" s="82">
        <f>($J2571-$C2571)*100</f>
        <v/>
      </c>
      <c r="AU2571" s="82">
        <f>($H2571-$F2571)*100</f>
        <v/>
      </c>
      <c r="AV2571" s="82">
        <f>($J2571-$F2571)*100</f>
        <v/>
      </c>
      <c r="AW2571" s="82">
        <f>($L2571-$F2571)*100</f>
        <v/>
      </c>
      <c r="AX2571" s="82">
        <f>($J2571-$H2571)*100</f>
        <v/>
      </c>
      <c r="AY2571" s="82">
        <f>($L2571-$H2571)*100</f>
        <v/>
      </c>
      <c r="AZ2571" s="82">
        <f>($L2571-$J2571)*100</f>
        <v/>
      </c>
      <c r="BA2571" s="82">
        <f>(2*$H2571-$F2571-$J2571)*100</f>
        <v/>
      </c>
      <c r="BB2571" s="82">
        <f>(2*$J2571-$H2571-$L2571)*100</f>
        <v/>
      </c>
      <c r="BC2571" s="82">
        <f>($N2571-$F2571)*100</f>
        <v/>
      </c>
      <c r="BD2571" s="82">
        <f>($Q2571-$H2571)*100</f>
        <v/>
      </c>
      <c r="BE2571" s="82">
        <f>($S2571-$J2571)*100</f>
        <v/>
      </c>
      <c r="BF2571" s="82">
        <f>($V2571-$L2571)*100</f>
        <v/>
      </c>
      <c r="BG2571" s="82">
        <f>$AG2571-$AF2571</f>
        <v/>
      </c>
      <c r="BH2571" s="81">
        <f>IFERROR($AG2571/$AF2571,"")</f>
        <v/>
      </c>
      <c r="BI2571" s="82">
        <f>$AJ2571-$AF2571</f>
        <v/>
      </c>
      <c r="BJ2571" s="81">
        <f>IFERROR($AJ2571/$AG2571,"")</f>
        <v/>
      </c>
      <c r="BK2571" s="81">
        <f>$X2571</f>
        <v/>
      </c>
      <c r="BL2571" s="82">
        <f>($J2571-$J2572)*100</f>
        <v/>
      </c>
      <c r="BM2571" s="82">
        <f>($F2571-$F2572)*100</f>
        <v/>
      </c>
      <c r="BN2571" s="82">
        <f>$AF2571-$AF2572</f>
        <v/>
      </c>
      <c r="BO2571" s="82">
        <f>$AG2571-$AG2572</f>
        <v/>
      </c>
      <c r="BP2571" s="82">
        <f>$AJ2571-$AJ2572</f>
        <v/>
      </c>
    </row>
    <row r="2572">
      <c r="AR2572" s="81">
        <f>($G2572+($H2572-$G2572)*0.5)+($P2572-($O2572+($Q2572-$O2572)*0.5))</f>
        <v/>
      </c>
      <c r="AS2572" s="81">
        <f>($J2572+($K2572-$J2572)*0.5)+($T2572-($S2572+($U2572-$S2572)*0.5))</f>
        <v/>
      </c>
      <c r="AT2572" s="82">
        <f>($J2572-$C2572)*100</f>
        <v/>
      </c>
      <c r="AU2572" s="82">
        <f>($H2572-$F2572)*100</f>
        <v/>
      </c>
      <c r="AV2572" s="82">
        <f>($J2572-$F2572)*100</f>
        <v/>
      </c>
      <c r="AW2572" s="82">
        <f>($L2572-$F2572)*100</f>
        <v/>
      </c>
      <c r="AX2572" s="82">
        <f>($J2572-$H2572)*100</f>
        <v/>
      </c>
      <c r="AY2572" s="82">
        <f>($L2572-$H2572)*100</f>
        <v/>
      </c>
      <c r="AZ2572" s="82">
        <f>($L2572-$J2572)*100</f>
        <v/>
      </c>
      <c r="BA2572" s="82">
        <f>(2*$H2572-$F2572-$J2572)*100</f>
        <v/>
      </c>
      <c r="BB2572" s="82">
        <f>(2*$J2572-$H2572-$L2572)*100</f>
        <v/>
      </c>
      <c r="BC2572" s="82">
        <f>($N2572-$F2572)*100</f>
        <v/>
      </c>
      <c r="BD2572" s="82">
        <f>($Q2572-$H2572)*100</f>
        <v/>
      </c>
      <c r="BE2572" s="82">
        <f>($S2572-$J2572)*100</f>
        <v/>
      </c>
      <c r="BF2572" s="82">
        <f>($V2572-$L2572)*100</f>
        <v/>
      </c>
      <c r="BG2572" s="82">
        <f>$AG2572-$AF2572</f>
        <v/>
      </c>
      <c r="BH2572" s="81">
        <f>IFERROR($AG2572/$AF2572,"")</f>
        <v/>
      </c>
      <c r="BI2572" s="82">
        <f>$AJ2572-$AF2572</f>
        <v/>
      </c>
      <c r="BJ2572" s="81">
        <f>IFERROR($AJ2572/$AG2572,"")</f>
        <v/>
      </c>
      <c r="BK2572" s="81">
        <f>$X2572</f>
        <v/>
      </c>
      <c r="BL2572" s="82">
        <f>($J2572-$J2573)*100</f>
        <v/>
      </c>
      <c r="BM2572" s="82">
        <f>($F2572-$F2573)*100</f>
        <v/>
      </c>
      <c r="BN2572" s="82">
        <f>$AF2572-$AF2573</f>
        <v/>
      </c>
      <c r="BO2572" s="82">
        <f>$AG2572-$AG2573</f>
        <v/>
      </c>
      <c r="BP2572" s="82">
        <f>$AJ2572-$AJ2573</f>
        <v/>
      </c>
    </row>
    <row r="2573">
      <c r="AR2573" s="81">
        <f>($G2573+($H2573-$G2573)*0.5)+($P2573-($O2573+($Q2573-$O2573)*0.5))</f>
        <v/>
      </c>
      <c r="AS2573" s="81">
        <f>($J2573+($K2573-$J2573)*0.5)+($T2573-($S2573+($U2573-$S2573)*0.5))</f>
        <v/>
      </c>
      <c r="AT2573" s="82">
        <f>($J2573-$C2573)*100</f>
        <v/>
      </c>
      <c r="AU2573" s="82">
        <f>($H2573-$F2573)*100</f>
        <v/>
      </c>
      <c r="AV2573" s="82">
        <f>($J2573-$F2573)*100</f>
        <v/>
      </c>
      <c r="AW2573" s="82">
        <f>($L2573-$F2573)*100</f>
        <v/>
      </c>
      <c r="AX2573" s="82">
        <f>($J2573-$H2573)*100</f>
        <v/>
      </c>
      <c r="AY2573" s="82">
        <f>($L2573-$H2573)*100</f>
        <v/>
      </c>
      <c r="AZ2573" s="82">
        <f>($L2573-$J2573)*100</f>
        <v/>
      </c>
      <c r="BA2573" s="82">
        <f>(2*$H2573-$F2573-$J2573)*100</f>
        <v/>
      </c>
      <c r="BB2573" s="82">
        <f>(2*$J2573-$H2573-$L2573)*100</f>
        <v/>
      </c>
      <c r="BC2573" s="82">
        <f>($N2573-$F2573)*100</f>
        <v/>
      </c>
      <c r="BD2573" s="82">
        <f>($Q2573-$H2573)*100</f>
        <v/>
      </c>
      <c r="BE2573" s="82">
        <f>($S2573-$J2573)*100</f>
        <v/>
      </c>
      <c r="BF2573" s="82">
        <f>($V2573-$L2573)*100</f>
        <v/>
      </c>
      <c r="BG2573" s="82">
        <f>$AG2573-$AF2573</f>
        <v/>
      </c>
      <c r="BH2573" s="81">
        <f>IFERROR($AG2573/$AF2573,"")</f>
        <v/>
      </c>
      <c r="BI2573" s="82">
        <f>$AJ2573-$AF2573</f>
        <v/>
      </c>
      <c r="BJ2573" s="81">
        <f>IFERROR($AJ2573/$AG2573,"")</f>
        <v/>
      </c>
      <c r="BK2573" s="81">
        <f>$X2573</f>
        <v/>
      </c>
      <c r="BL2573" s="82">
        <f>($J2573-$J2574)*100</f>
        <v/>
      </c>
      <c r="BM2573" s="82">
        <f>($F2573-$F2574)*100</f>
        <v/>
      </c>
      <c r="BN2573" s="82">
        <f>$AF2573-$AF2574</f>
        <v/>
      </c>
      <c r="BO2573" s="82">
        <f>$AG2573-$AG2574</f>
        <v/>
      </c>
      <c r="BP2573" s="82">
        <f>$AJ2573-$AJ2574</f>
        <v/>
      </c>
    </row>
    <row r="2574">
      <c r="AR2574" s="81">
        <f>($G2574+($H2574-$G2574)*0.5)+($P2574-($O2574+($Q2574-$O2574)*0.5))</f>
        <v/>
      </c>
      <c r="AS2574" s="81">
        <f>($J2574+($K2574-$J2574)*0.5)+($T2574-($S2574+($U2574-$S2574)*0.5))</f>
        <v/>
      </c>
      <c r="AT2574" s="82">
        <f>($J2574-$C2574)*100</f>
        <v/>
      </c>
      <c r="AU2574" s="82">
        <f>($H2574-$F2574)*100</f>
        <v/>
      </c>
      <c r="AV2574" s="82">
        <f>($J2574-$F2574)*100</f>
        <v/>
      </c>
      <c r="AW2574" s="82">
        <f>($L2574-$F2574)*100</f>
        <v/>
      </c>
      <c r="AX2574" s="82">
        <f>($J2574-$H2574)*100</f>
        <v/>
      </c>
      <c r="AY2574" s="82">
        <f>($L2574-$H2574)*100</f>
        <v/>
      </c>
      <c r="AZ2574" s="82">
        <f>($L2574-$J2574)*100</f>
        <v/>
      </c>
      <c r="BA2574" s="82">
        <f>(2*$H2574-$F2574-$J2574)*100</f>
        <v/>
      </c>
      <c r="BB2574" s="82">
        <f>(2*$J2574-$H2574-$L2574)*100</f>
        <v/>
      </c>
      <c r="BC2574" s="82">
        <f>($N2574-$F2574)*100</f>
        <v/>
      </c>
      <c r="BD2574" s="82">
        <f>($Q2574-$H2574)*100</f>
        <v/>
      </c>
      <c r="BE2574" s="82">
        <f>($S2574-$J2574)*100</f>
        <v/>
      </c>
      <c r="BF2574" s="82">
        <f>($V2574-$L2574)*100</f>
        <v/>
      </c>
      <c r="BG2574" s="82">
        <f>$AG2574-$AF2574</f>
        <v/>
      </c>
      <c r="BH2574" s="81">
        <f>IFERROR($AG2574/$AF2574,"")</f>
        <v/>
      </c>
      <c r="BI2574" s="82">
        <f>$AJ2574-$AF2574</f>
        <v/>
      </c>
      <c r="BJ2574" s="81">
        <f>IFERROR($AJ2574/$AG2574,"")</f>
        <v/>
      </c>
      <c r="BK2574" s="81">
        <f>$X2574</f>
        <v/>
      </c>
      <c r="BL2574" s="82">
        <f>($J2574-$J2575)*100</f>
        <v/>
      </c>
      <c r="BM2574" s="82">
        <f>($F2574-$F2575)*100</f>
        <v/>
      </c>
      <c r="BN2574" s="82">
        <f>$AF2574-$AF2575</f>
        <v/>
      </c>
      <c r="BO2574" s="82">
        <f>$AG2574-$AG2575</f>
        <v/>
      </c>
      <c r="BP2574" s="82">
        <f>$AJ2574-$AJ2575</f>
        <v/>
      </c>
    </row>
    <row r="2575">
      <c r="AR2575" s="81">
        <f>($G2575+($H2575-$G2575)*0.5)+($P2575-($O2575+($Q2575-$O2575)*0.5))</f>
        <v/>
      </c>
      <c r="AS2575" s="81">
        <f>($J2575+($K2575-$J2575)*0.5)+($T2575-($S2575+($U2575-$S2575)*0.5))</f>
        <v/>
      </c>
      <c r="AT2575" s="82">
        <f>($J2575-$C2575)*100</f>
        <v/>
      </c>
      <c r="AU2575" s="82">
        <f>($H2575-$F2575)*100</f>
        <v/>
      </c>
      <c r="AV2575" s="82">
        <f>($J2575-$F2575)*100</f>
        <v/>
      </c>
      <c r="AW2575" s="82">
        <f>($L2575-$F2575)*100</f>
        <v/>
      </c>
      <c r="AX2575" s="82">
        <f>($J2575-$H2575)*100</f>
        <v/>
      </c>
      <c r="AY2575" s="82">
        <f>($L2575-$H2575)*100</f>
        <v/>
      </c>
      <c r="AZ2575" s="82">
        <f>($L2575-$J2575)*100</f>
        <v/>
      </c>
      <c r="BA2575" s="82">
        <f>(2*$H2575-$F2575-$J2575)*100</f>
        <v/>
      </c>
      <c r="BB2575" s="82">
        <f>(2*$J2575-$H2575-$L2575)*100</f>
        <v/>
      </c>
      <c r="BC2575" s="82">
        <f>($N2575-$F2575)*100</f>
        <v/>
      </c>
      <c r="BD2575" s="82">
        <f>($Q2575-$H2575)*100</f>
        <v/>
      </c>
      <c r="BE2575" s="82">
        <f>($S2575-$J2575)*100</f>
        <v/>
      </c>
      <c r="BF2575" s="82">
        <f>($V2575-$L2575)*100</f>
        <v/>
      </c>
      <c r="BG2575" s="82">
        <f>$AG2575-$AF2575</f>
        <v/>
      </c>
      <c r="BH2575" s="81">
        <f>IFERROR($AG2575/$AF2575,"")</f>
        <v/>
      </c>
      <c r="BI2575" s="82">
        <f>$AJ2575-$AF2575</f>
        <v/>
      </c>
      <c r="BJ2575" s="81">
        <f>IFERROR($AJ2575/$AG2575,"")</f>
        <v/>
      </c>
      <c r="BK2575" s="81">
        <f>$X2575</f>
        <v/>
      </c>
      <c r="BL2575" s="82">
        <f>($J2575-$J2576)*100</f>
        <v/>
      </c>
      <c r="BM2575" s="82">
        <f>($F2575-$F2576)*100</f>
        <v/>
      </c>
      <c r="BN2575" s="82">
        <f>$AF2575-$AF2576</f>
        <v/>
      </c>
      <c r="BO2575" s="82">
        <f>$AG2575-$AG2576</f>
        <v/>
      </c>
      <c r="BP2575" s="82">
        <f>$AJ2575-$AJ2576</f>
        <v/>
      </c>
    </row>
    <row r="2576">
      <c r="AR2576" s="81">
        <f>($G2576+($H2576-$G2576)*0.5)+($P2576-($O2576+($Q2576-$O2576)*0.5))</f>
        <v/>
      </c>
      <c r="AS2576" s="81">
        <f>($J2576+($K2576-$J2576)*0.5)+($T2576-($S2576+($U2576-$S2576)*0.5))</f>
        <v/>
      </c>
      <c r="AT2576" s="82">
        <f>($J2576-$C2576)*100</f>
        <v/>
      </c>
      <c r="AU2576" s="82">
        <f>($H2576-$F2576)*100</f>
        <v/>
      </c>
      <c r="AV2576" s="82">
        <f>($J2576-$F2576)*100</f>
        <v/>
      </c>
      <c r="AW2576" s="82">
        <f>($L2576-$F2576)*100</f>
        <v/>
      </c>
      <c r="AX2576" s="82">
        <f>($J2576-$H2576)*100</f>
        <v/>
      </c>
      <c r="AY2576" s="82">
        <f>($L2576-$H2576)*100</f>
        <v/>
      </c>
      <c r="AZ2576" s="82">
        <f>($L2576-$J2576)*100</f>
        <v/>
      </c>
      <c r="BA2576" s="82">
        <f>(2*$H2576-$F2576-$J2576)*100</f>
        <v/>
      </c>
      <c r="BB2576" s="82">
        <f>(2*$J2576-$H2576-$L2576)*100</f>
        <v/>
      </c>
      <c r="BC2576" s="82">
        <f>($N2576-$F2576)*100</f>
        <v/>
      </c>
      <c r="BD2576" s="82">
        <f>($Q2576-$H2576)*100</f>
        <v/>
      </c>
      <c r="BE2576" s="82">
        <f>($S2576-$J2576)*100</f>
        <v/>
      </c>
      <c r="BF2576" s="82">
        <f>($V2576-$L2576)*100</f>
        <v/>
      </c>
      <c r="BG2576" s="82">
        <f>$AG2576-$AF2576</f>
        <v/>
      </c>
      <c r="BH2576" s="81">
        <f>IFERROR($AG2576/$AF2576,"")</f>
        <v/>
      </c>
      <c r="BI2576" s="82">
        <f>$AJ2576-$AF2576</f>
        <v/>
      </c>
      <c r="BJ2576" s="81">
        <f>IFERROR($AJ2576/$AG2576,"")</f>
        <v/>
      </c>
      <c r="BK2576" s="81">
        <f>$X2576</f>
        <v/>
      </c>
      <c r="BL2576" s="82">
        <f>($J2576-$J2577)*100</f>
        <v/>
      </c>
      <c r="BM2576" s="82">
        <f>($F2576-$F2577)*100</f>
        <v/>
      </c>
      <c r="BN2576" s="82">
        <f>$AF2576-$AF2577</f>
        <v/>
      </c>
      <c r="BO2576" s="82">
        <f>$AG2576-$AG2577</f>
        <v/>
      </c>
      <c r="BP2576" s="82">
        <f>$AJ2576-$AJ2577</f>
        <v/>
      </c>
    </row>
    <row r="2577">
      <c r="AR2577" s="81">
        <f>($G2577+($H2577-$G2577)*0.5)+($P2577-($O2577+($Q2577-$O2577)*0.5))</f>
        <v/>
      </c>
      <c r="AS2577" s="81">
        <f>($J2577+($K2577-$J2577)*0.5)+($T2577-($S2577+($U2577-$S2577)*0.5))</f>
        <v/>
      </c>
      <c r="AT2577" s="82">
        <f>($J2577-$C2577)*100</f>
        <v/>
      </c>
      <c r="AU2577" s="82">
        <f>($H2577-$F2577)*100</f>
        <v/>
      </c>
      <c r="AV2577" s="82">
        <f>($J2577-$F2577)*100</f>
        <v/>
      </c>
      <c r="AW2577" s="82">
        <f>($L2577-$F2577)*100</f>
        <v/>
      </c>
      <c r="AX2577" s="82">
        <f>($J2577-$H2577)*100</f>
        <v/>
      </c>
      <c r="AY2577" s="82">
        <f>($L2577-$H2577)*100</f>
        <v/>
      </c>
      <c r="AZ2577" s="82">
        <f>($L2577-$J2577)*100</f>
        <v/>
      </c>
      <c r="BA2577" s="82">
        <f>(2*$H2577-$F2577-$J2577)*100</f>
        <v/>
      </c>
      <c r="BB2577" s="82">
        <f>(2*$J2577-$H2577-$L2577)*100</f>
        <v/>
      </c>
      <c r="BC2577" s="82">
        <f>($N2577-$F2577)*100</f>
        <v/>
      </c>
      <c r="BD2577" s="82">
        <f>($Q2577-$H2577)*100</f>
        <v/>
      </c>
      <c r="BE2577" s="82">
        <f>($S2577-$J2577)*100</f>
        <v/>
      </c>
      <c r="BF2577" s="82">
        <f>($V2577-$L2577)*100</f>
        <v/>
      </c>
      <c r="BG2577" s="82">
        <f>$AG2577-$AF2577</f>
        <v/>
      </c>
      <c r="BH2577" s="81">
        <f>IFERROR($AG2577/$AF2577,"")</f>
        <v/>
      </c>
      <c r="BI2577" s="82">
        <f>$AJ2577-$AF2577</f>
        <v/>
      </c>
      <c r="BJ2577" s="81">
        <f>IFERROR($AJ2577/$AG2577,"")</f>
        <v/>
      </c>
      <c r="BK2577" s="81">
        <f>$X2577</f>
        <v/>
      </c>
      <c r="BL2577" s="82">
        <f>($J2577-$J2578)*100</f>
        <v/>
      </c>
      <c r="BM2577" s="82">
        <f>($F2577-$F2578)*100</f>
        <v/>
      </c>
      <c r="BN2577" s="82">
        <f>$AF2577-$AF2578</f>
        <v/>
      </c>
      <c r="BO2577" s="82">
        <f>$AG2577-$AG2578</f>
        <v/>
      </c>
      <c r="BP2577" s="82">
        <f>$AJ2577-$AJ2578</f>
        <v/>
      </c>
    </row>
    <row r="2578">
      <c r="AR2578" s="81">
        <f>($G2578+($H2578-$G2578)*0.5)+($P2578-($O2578+($Q2578-$O2578)*0.5))</f>
        <v/>
      </c>
      <c r="AS2578" s="81">
        <f>($J2578+($K2578-$J2578)*0.5)+($T2578-($S2578+($U2578-$S2578)*0.5))</f>
        <v/>
      </c>
      <c r="AT2578" s="82">
        <f>($J2578-$C2578)*100</f>
        <v/>
      </c>
      <c r="AU2578" s="82">
        <f>($H2578-$F2578)*100</f>
        <v/>
      </c>
      <c r="AV2578" s="82">
        <f>($J2578-$F2578)*100</f>
        <v/>
      </c>
      <c r="AW2578" s="82">
        <f>($L2578-$F2578)*100</f>
        <v/>
      </c>
      <c r="AX2578" s="82">
        <f>($J2578-$H2578)*100</f>
        <v/>
      </c>
      <c r="AY2578" s="82">
        <f>($L2578-$H2578)*100</f>
        <v/>
      </c>
      <c r="AZ2578" s="82">
        <f>($L2578-$J2578)*100</f>
        <v/>
      </c>
      <c r="BA2578" s="82">
        <f>(2*$H2578-$F2578-$J2578)*100</f>
        <v/>
      </c>
      <c r="BB2578" s="82">
        <f>(2*$J2578-$H2578-$L2578)*100</f>
        <v/>
      </c>
      <c r="BC2578" s="82">
        <f>($N2578-$F2578)*100</f>
        <v/>
      </c>
      <c r="BD2578" s="82">
        <f>($Q2578-$H2578)*100</f>
        <v/>
      </c>
      <c r="BE2578" s="82">
        <f>($S2578-$J2578)*100</f>
        <v/>
      </c>
      <c r="BF2578" s="82">
        <f>($V2578-$L2578)*100</f>
        <v/>
      </c>
      <c r="BG2578" s="82">
        <f>$AG2578-$AF2578</f>
        <v/>
      </c>
      <c r="BH2578" s="81">
        <f>IFERROR($AG2578/$AF2578,"")</f>
        <v/>
      </c>
      <c r="BI2578" s="82">
        <f>$AJ2578-$AF2578</f>
        <v/>
      </c>
      <c r="BJ2578" s="81">
        <f>IFERROR($AJ2578/$AG2578,"")</f>
        <v/>
      </c>
      <c r="BK2578" s="81">
        <f>$X2578</f>
        <v/>
      </c>
      <c r="BL2578" s="82">
        <f>($J2578-$J2579)*100</f>
        <v/>
      </c>
      <c r="BM2578" s="82">
        <f>($F2578-$F2579)*100</f>
        <v/>
      </c>
      <c r="BN2578" s="82">
        <f>$AF2578-$AF2579</f>
        <v/>
      </c>
      <c r="BO2578" s="82">
        <f>$AG2578-$AG2579</f>
        <v/>
      </c>
      <c r="BP2578" s="82">
        <f>$AJ2578-$AJ2579</f>
        <v/>
      </c>
    </row>
    <row r="2579">
      <c r="AR2579" s="81">
        <f>($G2579+($H2579-$G2579)*0.5)+($P2579-($O2579+($Q2579-$O2579)*0.5))</f>
        <v/>
      </c>
      <c r="AS2579" s="81">
        <f>($J2579+($K2579-$J2579)*0.5)+($T2579-($S2579+($U2579-$S2579)*0.5))</f>
        <v/>
      </c>
      <c r="AT2579" s="82">
        <f>($J2579-$C2579)*100</f>
        <v/>
      </c>
      <c r="AU2579" s="82">
        <f>($H2579-$F2579)*100</f>
        <v/>
      </c>
      <c r="AV2579" s="82">
        <f>($J2579-$F2579)*100</f>
        <v/>
      </c>
      <c r="AW2579" s="82">
        <f>($L2579-$F2579)*100</f>
        <v/>
      </c>
      <c r="AX2579" s="82">
        <f>($J2579-$H2579)*100</f>
        <v/>
      </c>
      <c r="AY2579" s="82">
        <f>($L2579-$H2579)*100</f>
        <v/>
      </c>
      <c r="AZ2579" s="82">
        <f>($L2579-$J2579)*100</f>
        <v/>
      </c>
      <c r="BA2579" s="82">
        <f>(2*$H2579-$F2579-$J2579)*100</f>
        <v/>
      </c>
      <c r="BB2579" s="82">
        <f>(2*$J2579-$H2579-$L2579)*100</f>
        <v/>
      </c>
      <c r="BC2579" s="82">
        <f>($N2579-$F2579)*100</f>
        <v/>
      </c>
      <c r="BD2579" s="82">
        <f>($Q2579-$H2579)*100</f>
        <v/>
      </c>
      <c r="BE2579" s="82">
        <f>($S2579-$J2579)*100</f>
        <v/>
      </c>
      <c r="BF2579" s="82">
        <f>($V2579-$L2579)*100</f>
        <v/>
      </c>
      <c r="BG2579" s="82">
        <f>$AG2579-$AF2579</f>
        <v/>
      </c>
      <c r="BH2579" s="81">
        <f>IFERROR($AG2579/$AF2579,"")</f>
        <v/>
      </c>
      <c r="BI2579" s="82">
        <f>$AJ2579-$AF2579</f>
        <v/>
      </c>
      <c r="BJ2579" s="81">
        <f>IFERROR($AJ2579/$AG2579,"")</f>
        <v/>
      </c>
      <c r="BK2579" s="81">
        <f>$X2579</f>
        <v/>
      </c>
      <c r="BL2579" s="82">
        <f>($J2579-$J2580)*100</f>
        <v/>
      </c>
      <c r="BM2579" s="82">
        <f>($F2579-$F2580)*100</f>
        <v/>
      </c>
      <c r="BN2579" s="82">
        <f>$AF2579-$AF2580</f>
        <v/>
      </c>
      <c r="BO2579" s="82">
        <f>$AG2579-$AG2580</f>
        <v/>
      </c>
      <c r="BP2579" s="82">
        <f>$AJ2579-$AJ2580</f>
        <v/>
      </c>
    </row>
    <row r="2580">
      <c r="AR2580" s="81">
        <f>($G2580+($H2580-$G2580)*0.5)+($P2580-($O2580+($Q2580-$O2580)*0.5))</f>
        <v/>
      </c>
      <c r="AS2580" s="81">
        <f>($J2580+($K2580-$J2580)*0.5)+($T2580-($S2580+($U2580-$S2580)*0.5))</f>
        <v/>
      </c>
      <c r="AT2580" s="82">
        <f>($J2580-$C2580)*100</f>
        <v/>
      </c>
      <c r="AU2580" s="82">
        <f>($H2580-$F2580)*100</f>
        <v/>
      </c>
      <c r="AV2580" s="82">
        <f>($J2580-$F2580)*100</f>
        <v/>
      </c>
      <c r="AW2580" s="82">
        <f>($L2580-$F2580)*100</f>
        <v/>
      </c>
      <c r="AX2580" s="82">
        <f>($J2580-$H2580)*100</f>
        <v/>
      </c>
      <c r="AY2580" s="82">
        <f>($L2580-$H2580)*100</f>
        <v/>
      </c>
      <c r="AZ2580" s="82">
        <f>($L2580-$J2580)*100</f>
        <v/>
      </c>
      <c r="BA2580" s="82">
        <f>(2*$H2580-$F2580-$J2580)*100</f>
        <v/>
      </c>
      <c r="BB2580" s="82">
        <f>(2*$J2580-$H2580-$L2580)*100</f>
        <v/>
      </c>
      <c r="BC2580" s="82">
        <f>($N2580-$F2580)*100</f>
        <v/>
      </c>
      <c r="BD2580" s="82">
        <f>($Q2580-$H2580)*100</f>
        <v/>
      </c>
      <c r="BE2580" s="82">
        <f>($S2580-$J2580)*100</f>
        <v/>
      </c>
      <c r="BF2580" s="82">
        <f>($V2580-$L2580)*100</f>
        <v/>
      </c>
      <c r="BG2580" s="82">
        <f>$AG2580-$AF2580</f>
        <v/>
      </c>
      <c r="BH2580" s="81">
        <f>IFERROR($AG2580/$AF2580,"")</f>
        <v/>
      </c>
      <c r="BI2580" s="82">
        <f>$AJ2580-$AF2580</f>
        <v/>
      </c>
      <c r="BJ2580" s="81">
        <f>IFERROR($AJ2580/$AG2580,"")</f>
        <v/>
      </c>
      <c r="BK2580" s="81">
        <f>$X2580</f>
        <v/>
      </c>
      <c r="BL2580" s="82">
        <f>($J2580-$J2581)*100</f>
        <v/>
      </c>
      <c r="BM2580" s="82">
        <f>($F2580-$F2581)*100</f>
        <v/>
      </c>
      <c r="BN2580" s="82">
        <f>$AF2580-$AF2581</f>
        <v/>
      </c>
      <c r="BO2580" s="82">
        <f>$AG2580-$AG2581</f>
        <v/>
      </c>
      <c r="BP2580" s="82">
        <f>$AJ2580-$AJ2581</f>
        <v/>
      </c>
    </row>
    <row r="2581">
      <c r="AR2581" s="81">
        <f>($G2581+($H2581-$G2581)*0.5)+($P2581-($O2581+($Q2581-$O2581)*0.5))</f>
        <v/>
      </c>
      <c r="AS2581" s="81">
        <f>($J2581+($K2581-$J2581)*0.5)+($T2581-($S2581+($U2581-$S2581)*0.5))</f>
        <v/>
      </c>
      <c r="AT2581" s="82">
        <f>($J2581-$C2581)*100</f>
        <v/>
      </c>
      <c r="AU2581" s="82">
        <f>($H2581-$F2581)*100</f>
        <v/>
      </c>
      <c r="AV2581" s="82">
        <f>($J2581-$F2581)*100</f>
        <v/>
      </c>
      <c r="AW2581" s="82">
        <f>($L2581-$F2581)*100</f>
        <v/>
      </c>
      <c r="AX2581" s="82">
        <f>($J2581-$H2581)*100</f>
        <v/>
      </c>
      <c r="AY2581" s="82">
        <f>($L2581-$H2581)*100</f>
        <v/>
      </c>
      <c r="AZ2581" s="82">
        <f>($L2581-$J2581)*100</f>
        <v/>
      </c>
      <c r="BA2581" s="82">
        <f>(2*$H2581-$F2581-$J2581)*100</f>
        <v/>
      </c>
      <c r="BB2581" s="82">
        <f>(2*$J2581-$H2581-$L2581)*100</f>
        <v/>
      </c>
      <c r="BC2581" s="82">
        <f>($N2581-$F2581)*100</f>
        <v/>
      </c>
      <c r="BD2581" s="82">
        <f>($Q2581-$H2581)*100</f>
        <v/>
      </c>
      <c r="BE2581" s="82">
        <f>($S2581-$J2581)*100</f>
        <v/>
      </c>
      <c r="BF2581" s="82">
        <f>($V2581-$L2581)*100</f>
        <v/>
      </c>
      <c r="BG2581" s="82">
        <f>$AG2581-$AF2581</f>
        <v/>
      </c>
      <c r="BH2581" s="81">
        <f>IFERROR($AG2581/$AF2581,"")</f>
        <v/>
      </c>
      <c r="BI2581" s="82">
        <f>$AJ2581-$AF2581</f>
        <v/>
      </c>
      <c r="BJ2581" s="81">
        <f>IFERROR($AJ2581/$AG2581,"")</f>
        <v/>
      </c>
      <c r="BK2581" s="81">
        <f>$X2581</f>
        <v/>
      </c>
      <c r="BL2581" s="82">
        <f>($J2581-$J2582)*100</f>
        <v/>
      </c>
      <c r="BM2581" s="82">
        <f>($F2581-$F2582)*100</f>
        <v/>
      </c>
      <c r="BN2581" s="82">
        <f>$AF2581-$AF2582</f>
        <v/>
      </c>
      <c r="BO2581" s="82">
        <f>$AG2581-$AG2582</f>
        <v/>
      </c>
      <c r="BP2581" s="82">
        <f>$AJ2581-$AJ2582</f>
        <v/>
      </c>
    </row>
    <row r="2582">
      <c r="AR2582" s="81">
        <f>($G2582+($H2582-$G2582)*0.5)+($P2582-($O2582+($Q2582-$O2582)*0.5))</f>
        <v/>
      </c>
      <c r="AS2582" s="81">
        <f>($J2582+($K2582-$J2582)*0.5)+($T2582-($S2582+($U2582-$S2582)*0.5))</f>
        <v/>
      </c>
      <c r="AT2582" s="82">
        <f>($J2582-$C2582)*100</f>
        <v/>
      </c>
      <c r="AU2582" s="82">
        <f>($H2582-$F2582)*100</f>
        <v/>
      </c>
      <c r="AV2582" s="82">
        <f>($J2582-$F2582)*100</f>
        <v/>
      </c>
      <c r="AW2582" s="82">
        <f>($L2582-$F2582)*100</f>
        <v/>
      </c>
      <c r="AX2582" s="82">
        <f>($J2582-$H2582)*100</f>
        <v/>
      </c>
      <c r="AY2582" s="82">
        <f>($L2582-$H2582)*100</f>
        <v/>
      </c>
      <c r="AZ2582" s="82">
        <f>($L2582-$J2582)*100</f>
        <v/>
      </c>
      <c r="BA2582" s="82">
        <f>(2*$H2582-$F2582-$J2582)*100</f>
        <v/>
      </c>
      <c r="BB2582" s="82">
        <f>(2*$J2582-$H2582-$L2582)*100</f>
        <v/>
      </c>
      <c r="BC2582" s="82">
        <f>($N2582-$F2582)*100</f>
        <v/>
      </c>
      <c r="BD2582" s="82">
        <f>($Q2582-$H2582)*100</f>
        <v/>
      </c>
      <c r="BE2582" s="82">
        <f>($S2582-$J2582)*100</f>
        <v/>
      </c>
      <c r="BF2582" s="82">
        <f>($V2582-$L2582)*100</f>
        <v/>
      </c>
      <c r="BG2582" s="82">
        <f>$AG2582-$AF2582</f>
        <v/>
      </c>
      <c r="BH2582" s="81">
        <f>IFERROR($AG2582/$AF2582,"")</f>
        <v/>
      </c>
      <c r="BI2582" s="82">
        <f>$AJ2582-$AF2582</f>
        <v/>
      </c>
      <c r="BJ2582" s="81">
        <f>IFERROR($AJ2582/$AG2582,"")</f>
        <v/>
      </c>
      <c r="BK2582" s="81">
        <f>$X2582</f>
        <v/>
      </c>
      <c r="BL2582" s="82">
        <f>($J2582-$J2583)*100</f>
        <v/>
      </c>
      <c r="BM2582" s="82">
        <f>($F2582-$F2583)*100</f>
        <v/>
      </c>
      <c r="BN2582" s="82">
        <f>$AF2582-$AF2583</f>
        <v/>
      </c>
      <c r="BO2582" s="82">
        <f>$AG2582-$AG2583</f>
        <v/>
      </c>
      <c r="BP2582" s="82">
        <f>$AJ2582-$AJ2583</f>
        <v/>
      </c>
    </row>
    <row r="2583">
      <c r="AR2583" s="81">
        <f>($G2583+($H2583-$G2583)*0.5)+($P2583-($O2583+($Q2583-$O2583)*0.5))</f>
        <v/>
      </c>
      <c r="AS2583" s="81">
        <f>($J2583+($K2583-$J2583)*0.5)+($T2583-($S2583+($U2583-$S2583)*0.5))</f>
        <v/>
      </c>
      <c r="AT2583" s="82">
        <f>($J2583-$C2583)*100</f>
        <v/>
      </c>
      <c r="AU2583" s="82">
        <f>($H2583-$F2583)*100</f>
        <v/>
      </c>
      <c r="AV2583" s="82">
        <f>($J2583-$F2583)*100</f>
        <v/>
      </c>
      <c r="AW2583" s="82">
        <f>($L2583-$F2583)*100</f>
        <v/>
      </c>
      <c r="AX2583" s="82">
        <f>($J2583-$H2583)*100</f>
        <v/>
      </c>
      <c r="AY2583" s="82">
        <f>($L2583-$H2583)*100</f>
        <v/>
      </c>
      <c r="AZ2583" s="82">
        <f>($L2583-$J2583)*100</f>
        <v/>
      </c>
      <c r="BA2583" s="82">
        <f>(2*$H2583-$F2583-$J2583)*100</f>
        <v/>
      </c>
      <c r="BB2583" s="82">
        <f>(2*$J2583-$H2583-$L2583)*100</f>
        <v/>
      </c>
      <c r="BC2583" s="82">
        <f>($N2583-$F2583)*100</f>
        <v/>
      </c>
      <c r="BD2583" s="82">
        <f>($Q2583-$H2583)*100</f>
        <v/>
      </c>
      <c r="BE2583" s="82">
        <f>($S2583-$J2583)*100</f>
        <v/>
      </c>
      <c r="BF2583" s="82">
        <f>($V2583-$L2583)*100</f>
        <v/>
      </c>
      <c r="BG2583" s="82">
        <f>$AG2583-$AF2583</f>
        <v/>
      </c>
      <c r="BH2583" s="81">
        <f>IFERROR($AG2583/$AF2583,"")</f>
        <v/>
      </c>
      <c r="BI2583" s="82">
        <f>$AJ2583-$AF2583</f>
        <v/>
      </c>
      <c r="BJ2583" s="81">
        <f>IFERROR($AJ2583/$AG2583,"")</f>
        <v/>
      </c>
      <c r="BK2583" s="81">
        <f>$X2583</f>
        <v/>
      </c>
      <c r="BL2583" s="82">
        <f>($J2583-$J2584)*100</f>
        <v/>
      </c>
      <c r="BM2583" s="82">
        <f>($F2583-$F2584)*100</f>
        <v/>
      </c>
      <c r="BN2583" s="82">
        <f>$AF2583-$AF2584</f>
        <v/>
      </c>
      <c r="BO2583" s="82">
        <f>$AG2583-$AG2584</f>
        <v/>
      </c>
      <c r="BP2583" s="82">
        <f>$AJ2583-$AJ2584</f>
        <v/>
      </c>
    </row>
    <row r="2584">
      <c r="AR2584" s="81">
        <f>($G2584+($H2584-$G2584)*0.5)+($P2584-($O2584+($Q2584-$O2584)*0.5))</f>
        <v/>
      </c>
      <c r="AS2584" s="81">
        <f>($J2584+($K2584-$J2584)*0.5)+($T2584-($S2584+($U2584-$S2584)*0.5))</f>
        <v/>
      </c>
      <c r="AT2584" s="82">
        <f>($J2584-$C2584)*100</f>
        <v/>
      </c>
      <c r="AU2584" s="82">
        <f>($H2584-$F2584)*100</f>
        <v/>
      </c>
      <c r="AV2584" s="82">
        <f>($J2584-$F2584)*100</f>
        <v/>
      </c>
      <c r="AW2584" s="82">
        <f>($L2584-$F2584)*100</f>
        <v/>
      </c>
      <c r="AX2584" s="82">
        <f>($J2584-$H2584)*100</f>
        <v/>
      </c>
      <c r="AY2584" s="82">
        <f>($L2584-$H2584)*100</f>
        <v/>
      </c>
      <c r="AZ2584" s="82">
        <f>($L2584-$J2584)*100</f>
        <v/>
      </c>
      <c r="BA2584" s="82">
        <f>(2*$H2584-$F2584-$J2584)*100</f>
        <v/>
      </c>
      <c r="BB2584" s="82">
        <f>(2*$J2584-$H2584-$L2584)*100</f>
        <v/>
      </c>
      <c r="BC2584" s="82">
        <f>($N2584-$F2584)*100</f>
        <v/>
      </c>
      <c r="BD2584" s="82">
        <f>($Q2584-$H2584)*100</f>
        <v/>
      </c>
      <c r="BE2584" s="82">
        <f>($S2584-$J2584)*100</f>
        <v/>
      </c>
      <c r="BF2584" s="82">
        <f>($V2584-$L2584)*100</f>
        <v/>
      </c>
      <c r="BG2584" s="82">
        <f>$AG2584-$AF2584</f>
        <v/>
      </c>
      <c r="BH2584" s="81">
        <f>IFERROR($AG2584/$AF2584,"")</f>
        <v/>
      </c>
      <c r="BI2584" s="82">
        <f>$AJ2584-$AF2584</f>
        <v/>
      </c>
      <c r="BJ2584" s="81">
        <f>IFERROR($AJ2584/$AG2584,"")</f>
        <v/>
      </c>
      <c r="BK2584" s="81">
        <f>$X2584</f>
        <v/>
      </c>
      <c r="BL2584" s="82">
        <f>($J2584-$J2585)*100</f>
        <v/>
      </c>
      <c r="BM2584" s="82">
        <f>($F2584-$F2585)*100</f>
        <v/>
      </c>
      <c r="BN2584" s="82">
        <f>$AF2584-$AF2585</f>
        <v/>
      </c>
      <c r="BO2584" s="82">
        <f>$AG2584-$AG2585</f>
        <v/>
      </c>
      <c r="BP2584" s="82">
        <f>$AJ2584-$AJ2585</f>
        <v/>
      </c>
    </row>
    <row r="2585">
      <c r="AR2585" s="81">
        <f>($G2585+($H2585-$G2585)*0.5)+($P2585-($O2585+($Q2585-$O2585)*0.5))</f>
        <v/>
      </c>
      <c r="AS2585" s="81">
        <f>($J2585+($K2585-$J2585)*0.5)+($T2585-($S2585+($U2585-$S2585)*0.5))</f>
        <v/>
      </c>
      <c r="AT2585" s="82">
        <f>($J2585-$C2585)*100</f>
        <v/>
      </c>
      <c r="AU2585" s="82">
        <f>($H2585-$F2585)*100</f>
        <v/>
      </c>
      <c r="AV2585" s="82">
        <f>($J2585-$F2585)*100</f>
        <v/>
      </c>
      <c r="AW2585" s="82">
        <f>($L2585-$F2585)*100</f>
        <v/>
      </c>
      <c r="AX2585" s="82">
        <f>($J2585-$H2585)*100</f>
        <v/>
      </c>
      <c r="AY2585" s="82">
        <f>($L2585-$H2585)*100</f>
        <v/>
      </c>
      <c r="AZ2585" s="82">
        <f>($L2585-$J2585)*100</f>
        <v/>
      </c>
      <c r="BA2585" s="82">
        <f>(2*$H2585-$F2585-$J2585)*100</f>
        <v/>
      </c>
      <c r="BB2585" s="82">
        <f>(2*$J2585-$H2585-$L2585)*100</f>
        <v/>
      </c>
      <c r="BC2585" s="82">
        <f>($N2585-$F2585)*100</f>
        <v/>
      </c>
      <c r="BD2585" s="82">
        <f>($Q2585-$H2585)*100</f>
        <v/>
      </c>
      <c r="BE2585" s="82">
        <f>($S2585-$J2585)*100</f>
        <v/>
      </c>
      <c r="BF2585" s="82">
        <f>($V2585-$L2585)*100</f>
        <v/>
      </c>
      <c r="BG2585" s="82">
        <f>$AG2585-$AF2585</f>
        <v/>
      </c>
      <c r="BH2585" s="81">
        <f>IFERROR($AG2585/$AF2585,"")</f>
        <v/>
      </c>
      <c r="BI2585" s="82">
        <f>$AJ2585-$AF2585</f>
        <v/>
      </c>
      <c r="BJ2585" s="81">
        <f>IFERROR($AJ2585/$AG2585,"")</f>
        <v/>
      </c>
      <c r="BK2585" s="81">
        <f>$X2585</f>
        <v/>
      </c>
      <c r="BL2585" s="82">
        <f>($J2585-$J2586)*100</f>
        <v/>
      </c>
      <c r="BM2585" s="82">
        <f>($F2585-$F2586)*100</f>
        <v/>
      </c>
      <c r="BN2585" s="82">
        <f>$AF2585-$AF2586</f>
        <v/>
      </c>
      <c r="BO2585" s="82">
        <f>$AG2585-$AG2586</f>
        <v/>
      </c>
      <c r="BP2585" s="82">
        <f>$AJ2585-$AJ2586</f>
        <v/>
      </c>
    </row>
    <row r="2586">
      <c r="AR2586" s="81">
        <f>($G2586+($H2586-$G2586)*0.5)+($P2586-($O2586+($Q2586-$O2586)*0.5))</f>
        <v/>
      </c>
      <c r="AS2586" s="81">
        <f>($J2586+($K2586-$J2586)*0.5)+($T2586-($S2586+($U2586-$S2586)*0.5))</f>
        <v/>
      </c>
      <c r="AT2586" s="82">
        <f>($J2586-$C2586)*100</f>
        <v/>
      </c>
      <c r="AU2586" s="82">
        <f>($H2586-$F2586)*100</f>
        <v/>
      </c>
      <c r="AV2586" s="82">
        <f>($J2586-$F2586)*100</f>
        <v/>
      </c>
      <c r="AW2586" s="82">
        <f>($L2586-$F2586)*100</f>
        <v/>
      </c>
      <c r="AX2586" s="82">
        <f>($J2586-$H2586)*100</f>
        <v/>
      </c>
      <c r="AY2586" s="82">
        <f>($L2586-$H2586)*100</f>
        <v/>
      </c>
      <c r="AZ2586" s="82">
        <f>($L2586-$J2586)*100</f>
        <v/>
      </c>
      <c r="BA2586" s="82">
        <f>(2*$H2586-$F2586-$J2586)*100</f>
        <v/>
      </c>
      <c r="BB2586" s="82">
        <f>(2*$J2586-$H2586-$L2586)*100</f>
        <v/>
      </c>
      <c r="BC2586" s="82">
        <f>($N2586-$F2586)*100</f>
        <v/>
      </c>
      <c r="BD2586" s="82">
        <f>($Q2586-$H2586)*100</f>
        <v/>
      </c>
      <c r="BE2586" s="82">
        <f>($S2586-$J2586)*100</f>
        <v/>
      </c>
      <c r="BF2586" s="82">
        <f>($V2586-$L2586)*100</f>
        <v/>
      </c>
      <c r="BG2586" s="82">
        <f>$AG2586-$AF2586</f>
        <v/>
      </c>
      <c r="BH2586" s="81">
        <f>IFERROR($AG2586/$AF2586,"")</f>
        <v/>
      </c>
      <c r="BI2586" s="82">
        <f>$AJ2586-$AF2586</f>
        <v/>
      </c>
      <c r="BJ2586" s="81">
        <f>IFERROR($AJ2586/$AG2586,"")</f>
        <v/>
      </c>
      <c r="BK2586" s="81">
        <f>$X2586</f>
        <v/>
      </c>
      <c r="BL2586" s="82">
        <f>($J2586-$J2587)*100</f>
        <v/>
      </c>
      <c r="BM2586" s="82">
        <f>($F2586-$F2587)*100</f>
        <v/>
      </c>
      <c r="BN2586" s="82">
        <f>$AF2586-$AF2587</f>
        <v/>
      </c>
      <c r="BO2586" s="82">
        <f>$AG2586-$AG2587</f>
        <v/>
      </c>
      <c r="BP2586" s="82">
        <f>$AJ2586-$AJ2587</f>
        <v/>
      </c>
    </row>
    <row r="2587">
      <c r="AR2587" s="81">
        <f>($G2587+($H2587-$G2587)*0.5)+($P2587-($O2587+($Q2587-$O2587)*0.5))</f>
        <v/>
      </c>
      <c r="AS2587" s="81">
        <f>($J2587+($K2587-$J2587)*0.5)+($T2587-($S2587+($U2587-$S2587)*0.5))</f>
        <v/>
      </c>
      <c r="AT2587" s="82">
        <f>($J2587-$C2587)*100</f>
        <v/>
      </c>
      <c r="AU2587" s="82">
        <f>($H2587-$F2587)*100</f>
        <v/>
      </c>
      <c r="AV2587" s="82">
        <f>($J2587-$F2587)*100</f>
        <v/>
      </c>
      <c r="AW2587" s="82">
        <f>($L2587-$F2587)*100</f>
        <v/>
      </c>
      <c r="AX2587" s="82">
        <f>($J2587-$H2587)*100</f>
        <v/>
      </c>
      <c r="AY2587" s="82">
        <f>($L2587-$H2587)*100</f>
        <v/>
      </c>
      <c r="AZ2587" s="82">
        <f>($L2587-$J2587)*100</f>
        <v/>
      </c>
      <c r="BA2587" s="82">
        <f>(2*$H2587-$F2587-$J2587)*100</f>
        <v/>
      </c>
      <c r="BB2587" s="82">
        <f>(2*$J2587-$H2587-$L2587)*100</f>
        <v/>
      </c>
      <c r="BC2587" s="82">
        <f>($N2587-$F2587)*100</f>
        <v/>
      </c>
      <c r="BD2587" s="82">
        <f>($Q2587-$H2587)*100</f>
        <v/>
      </c>
      <c r="BE2587" s="82">
        <f>($S2587-$J2587)*100</f>
        <v/>
      </c>
      <c r="BF2587" s="82">
        <f>($V2587-$L2587)*100</f>
        <v/>
      </c>
      <c r="BG2587" s="82">
        <f>$AG2587-$AF2587</f>
        <v/>
      </c>
      <c r="BH2587" s="81">
        <f>IFERROR($AG2587/$AF2587,"")</f>
        <v/>
      </c>
      <c r="BI2587" s="82">
        <f>$AJ2587-$AF2587</f>
        <v/>
      </c>
      <c r="BJ2587" s="81">
        <f>IFERROR($AJ2587/$AG2587,"")</f>
        <v/>
      </c>
      <c r="BK2587" s="81">
        <f>$X2587</f>
        <v/>
      </c>
      <c r="BL2587" s="82">
        <f>($J2587-$J2588)*100</f>
        <v/>
      </c>
      <c r="BM2587" s="82">
        <f>($F2587-$F2588)*100</f>
        <v/>
      </c>
      <c r="BN2587" s="82">
        <f>$AF2587-$AF2588</f>
        <v/>
      </c>
      <c r="BO2587" s="82">
        <f>$AG2587-$AG2588</f>
        <v/>
      </c>
      <c r="BP2587" s="82">
        <f>$AJ2587-$AJ2588</f>
        <v/>
      </c>
    </row>
    <row r="2588">
      <c r="AR2588" s="81">
        <f>($G2588+($H2588-$G2588)*0.5)+($P2588-($O2588+($Q2588-$O2588)*0.5))</f>
        <v/>
      </c>
      <c r="AS2588" s="81">
        <f>($J2588+($K2588-$J2588)*0.5)+($T2588-($S2588+($U2588-$S2588)*0.5))</f>
        <v/>
      </c>
      <c r="AT2588" s="82">
        <f>($J2588-$C2588)*100</f>
        <v/>
      </c>
      <c r="AU2588" s="82">
        <f>($H2588-$F2588)*100</f>
        <v/>
      </c>
      <c r="AV2588" s="82">
        <f>($J2588-$F2588)*100</f>
        <v/>
      </c>
      <c r="AW2588" s="82">
        <f>($L2588-$F2588)*100</f>
        <v/>
      </c>
      <c r="AX2588" s="82">
        <f>($J2588-$H2588)*100</f>
        <v/>
      </c>
      <c r="AY2588" s="82">
        <f>($L2588-$H2588)*100</f>
        <v/>
      </c>
      <c r="AZ2588" s="82">
        <f>($L2588-$J2588)*100</f>
        <v/>
      </c>
      <c r="BA2588" s="82">
        <f>(2*$H2588-$F2588-$J2588)*100</f>
        <v/>
      </c>
      <c r="BB2588" s="82">
        <f>(2*$J2588-$H2588-$L2588)*100</f>
        <v/>
      </c>
      <c r="BC2588" s="82">
        <f>($N2588-$F2588)*100</f>
        <v/>
      </c>
      <c r="BD2588" s="82">
        <f>($Q2588-$H2588)*100</f>
        <v/>
      </c>
      <c r="BE2588" s="82">
        <f>($S2588-$J2588)*100</f>
        <v/>
      </c>
      <c r="BF2588" s="82">
        <f>($V2588-$L2588)*100</f>
        <v/>
      </c>
      <c r="BG2588" s="82">
        <f>$AG2588-$AF2588</f>
        <v/>
      </c>
      <c r="BH2588" s="81">
        <f>IFERROR($AG2588/$AF2588,"")</f>
        <v/>
      </c>
      <c r="BI2588" s="82">
        <f>$AJ2588-$AF2588</f>
        <v/>
      </c>
      <c r="BJ2588" s="81">
        <f>IFERROR($AJ2588/$AG2588,"")</f>
        <v/>
      </c>
      <c r="BK2588" s="81">
        <f>$X2588</f>
        <v/>
      </c>
      <c r="BL2588" s="82">
        <f>($J2588-$J2589)*100</f>
        <v/>
      </c>
      <c r="BM2588" s="82">
        <f>($F2588-$F2589)*100</f>
        <v/>
      </c>
      <c r="BN2588" s="82">
        <f>$AF2588-$AF2589</f>
        <v/>
      </c>
      <c r="BO2588" s="82">
        <f>$AG2588-$AG2589</f>
        <v/>
      </c>
      <c r="BP2588" s="82">
        <f>$AJ2588-$AJ2589</f>
        <v/>
      </c>
    </row>
    <row r="2589">
      <c r="AR2589" s="81">
        <f>($G2589+($H2589-$G2589)*0.5)+($P2589-($O2589+($Q2589-$O2589)*0.5))</f>
        <v/>
      </c>
      <c r="AS2589" s="81">
        <f>($J2589+($K2589-$J2589)*0.5)+($T2589-($S2589+($U2589-$S2589)*0.5))</f>
        <v/>
      </c>
      <c r="AT2589" s="82">
        <f>($J2589-$C2589)*100</f>
        <v/>
      </c>
      <c r="AU2589" s="82">
        <f>($H2589-$F2589)*100</f>
        <v/>
      </c>
      <c r="AV2589" s="82">
        <f>($J2589-$F2589)*100</f>
        <v/>
      </c>
      <c r="AW2589" s="82">
        <f>($L2589-$F2589)*100</f>
        <v/>
      </c>
      <c r="AX2589" s="82">
        <f>($J2589-$H2589)*100</f>
        <v/>
      </c>
      <c r="AY2589" s="82">
        <f>($L2589-$H2589)*100</f>
        <v/>
      </c>
      <c r="AZ2589" s="82">
        <f>($L2589-$J2589)*100</f>
        <v/>
      </c>
      <c r="BA2589" s="82">
        <f>(2*$H2589-$F2589-$J2589)*100</f>
        <v/>
      </c>
      <c r="BB2589" s="82">
        <f>(2*$J2589-$H2589-$L2589)*100</f>
        <v/>
      </c>
      <c r="BC2589" s="82">
        <f>($N2589-$F2589)*100</f>
        <v/>
      </c>
      <c r="BD2589" s="82">
        <f>($Q2589-$H2589)*100</f>
        <v/>
      </c>
      <c r="BE2589" s="82">
        <f>($S2589-$J2589)*100</f>
        <v/>
      </c>
      <c r="BF2589" s="82">
        <f>($V2589-$L2589)*100</f>
        <v/>
      </c>
      <c r="BG2589" s="82">
        <f>$AG2589-$AF2589</f>
        <v/>
      </c>
      <c r="BH2589" s="81">
        <f>IFERROR($AG2589/$AF2589,"")</f>
        <v/>
      </c>
      <c r="BI2589" s="82">
        <f>$AJ2589-$AF2589</f>
        <v/>
      </c>
      <c r="BJ2589" s="81">
        <f>IFERROR($AJ2589/$AG2589,"")</f>
        <v/>
      </c>
      <c r="BK2589" s="81">
        <f>$X2589</f>
        <v/>
      </c>
      <c r="BL2589" s="82">
        <f>($J2589-$J2590)*100</f>
        <v/>
      </c>
      <c r="BM2589" s="82">
        <f>($F2589-$F2590)*100</f>
        <v/>
      </c>
      <c r="BN2589" s="82">
        <f>$AF2589-$AF2590</f>
        <v/>
      </c>
      <c r="BO2589" s="82">
        <f>$AG2589-$AG2590</f>
        <v/>
      </c>
      <c r="BP2589" s="82">
        <f>$AJ2589-$AJ2590</f>
        <v/>
      </c>
    </row>
    <row r="2590">
      <c r="AR2590" s="81">
        <f>($G2590+($H2590-$G2590)*0.5)+($P2590-($O2590+($Q2590-$O2590)*0.5))</f>
        <v/>
      </c>
      <c r="AS2590" s="81">
        <f>($J2590+($K2590-$J2590)*0.5)+($T2590-($S2590+($U2590-$S2590)*0.5))</f>
        <v/>
      </c>
      <c r="AT2590" s="82">
        <f>($J2590-$C2590)*100</f>
        <v/>
      </c>
      <c r="AU2590" s="82">
        <f>($H2590-$F2590)*100</f>
        <v/>
      </c>
      <c r="AV2590" s="82">
        <f>($J2590-$F2590)*100</f>
        <v/>
      </c>
      <c r="AW2590" s="82">
        <f>($L2590-$F2590)*100</f>
        <v/>
      </c>
      <c r="AX2590" s="82">
        <f>($J2590-$H2590)*100</f>
        <v/>
      </c>
      <c r="AY2590" s="82">
        <f>($L2590-$H2590)*100</f>
        <v/>
      </c>
      <c r="AZ2590" s="82">
        <f>($L2590-$J2590)*100</f>
        <v/>
      </c>
      <c r="BA2590" s="82">
        <f>(2*$H2590-$F2590-$J2590)*100</f>
        <v/>
      </c>
      <c r="BB2590" s="82">
        <f>(2*$J2590-$H2590-$L2590)*100</f>
        <v/>
      </c>
      <c r="BC2590" s="82">
        <f>($N2590-$F2590)*100</f>
        <v/>
      </c>
      <c r="BD2590" s="82">
        <f>($Q2590-$H2590)*100</f>
        <v/>
      </c>
      <c r="BE2590" s="82">
        <f>($S2590-$J2590)*100</f>
        <v/>
      </c>
      <c r="BF2590" s="82">
        <f>($V2590-$L2590)*100</f>
        <v/>
      </c>
      <c r="BG2590" s="82">
        <f>$AG2590-$AF2590</f>
        <v/>
      </c>
      <c r="BH2590" s="81">
        <f>IFERROR($AG2590/$AF2590,"")</f>
        <v/>
      </c>
      <c r="BI2590" s="82">
        <f>$AJ2590-$AF2590</f>
        <v/>
      </c>
      <c r="BJ2590" s="81">
        <f>IFERROR($AJ2590/$AG2590,"")</f>
        <v/>
      </c>
      <c r="BK2590" s="81">
        <f>$X2590</f>
        <v/>
      </c>
      <c r="BL2590" s="82">
        <f>($J2590-$J2591)*100</f>
        <v/>
      </c>
      <c r="BM2590" s="82">
        <f>($F2590-$F2591)*100</f>
        <v/>
      </c>
      <c r="BN2590" s="82">
        <f>$AF2590-$AF2591</f>
        <v/>
      </c>
      <c r="BO2590" s="82">
        <f>$AG2590-$AG2591</f>
        <v/>
      </c>
      <c r="BP2590" s="82">
        <f>$AJ2590-$AJ2591</f>
        <v/>
      </c>
    </row>
    <row r="2591">
      <c r="AR2591" s="81">
        <f>($G2591+($H2591-$G2591)*0.5)+($P2591-($O2591+($Q2591-$O2591)*0.5))</f>
        <v/>
      </c>
      <c r="AS2591" s="81">
        <f>($J2591+($K2591-$J2591)*0.5)+($T2591-($S2591+($U2591-$S2591)*0.5))</f>
        <v/>
      </c>
      <c r="AT2591" s="82">
        <f>($J2591-$C2591)*100</f>
        <v/>
      </c>
      <c r="AU2591" s="82">
        <f>($H2591-$F2591)*100</f>
        <v/>
      </c>
      <c r="AV2591" s="82">
        <f>($J2591-$F2591)*100</f>
        <v/>
      </c>
      <c r="AW2591" s="82">
        <f>($L2591-$F2591)*100</f>
        <v/>
      </c>
      <c r="AX2591" s="82">
        <f>($J2591-$H2591)*100</f>
        <v/>
      </c>
      <c r="AY2591" s="82">
        <f>($L2591-$H2591)*100</f>
        <v/>
      </c>
      <c r="AZ2591" s="82">
        <f>($L2591-$J2591)*100</f>
        <v/>
      </c>
      <c r="BA2591" s="82">
        <f>(2*$H2591-$F2591-$J2591)*100</f>
        <v/>
      </c>
      <c r="BB2591" s="82">
        <f>(2*$J2591-$H2591-$L2591)*100</f>
        <v/>
      </c>
      <c r="BC2591" s="82">
        <f>($N2591-$F2591)*100</f>
        <v/>
      </c>
      <c r="BD2591" s="82">
        <f>($Q2591-$H2591)*100</f>
        <v/>
      </c>
      <c r="BE2591" s="82">
        <f>($S2591-$J2591)*100</f>
        <v/>
      </c>
      <c r="BF2591" s="82">
        <f>($V2591-$L2591)*100</f>
        <v/>
      </c>
      <c r="BG2591" s="82">
        <f>$AG2591-$AF2591</f>
        <v/>
      </c>
      <c r="BH2591" s="81">
        <f>IFERROR($AG2591/$AF2591,"")</f>
        <v/>
      </c>
      <c r="BI2591" s="82">
        <f>$AJ2591-$AF2591</f>
        <v/>
      </c>
      <c r="BJ2591" s="81">
        <f>IFERROR($AJ2591/$AG2591,"")</f>
        <v/>
      </c>
      <c r="BK2591" s="81">
        <f>$X2591</f>
        <v/>
      </c>
      <c r="BL2591" s="82">
        <f>($J2591-$J2592)*100</f>
        <v/>
      </c>
      <c r="BM2591" s="82">
        <f>($F2591-$F2592)*100</f>
        <v/>
      </c>
      <c r="BN2591" s="82">
        <f>$AF2591-$AF2592</f>
        <v/>
      </c>
      <c r="BO2591" s="82">
        <f>$AG2591-$AG2592</f>
        <v/>
      </c>
      <c r="BP2591" s="82">
        <f>$AJ2591-$AJ2592</f>
        <v/>
      </c>
    </row>
    <row r="2592">
      <c r="AR2592" s="81">
        <f>($G2592+($H2592-$G2592)*0.5)+($P2592-($O2592+($Q2592-$O2592)*0.5))</f>
        <v/>
      </c>
      <c r="AS2592" s="81">
        <f>($J2592+($K2592-$J2592)*0.5)+($T2592-($S2592+($U2592-$S2592)*0.5))</f>
        <v/>
      </c>
      <c r="AT2592" s="82">
        <f>($J2592-$C2592)*100</f>
        <v/>
      </c>
      <c r="AU2592" s="82">
        <f>($H2592-$F2592)*100</f>
        <v/>
      </c>
      <c r="AV2592" s="82">
        <f>($J2592-$F2592)*100</f>
        <v/>
      </c>
      <c r="AW2592" s="82">
        <f>($L2592-$F2592)*100</f>
        <v/>
      </c>
      <c r="AX2592" s="82">
        <f>($J2592-$H2592)*100</f>
        <v/>
      </c>
      <c r="AY2592" s="82">
        <f>($L2592-$H2592)*100</f>
        <v/>
      </c>
      <c r="AZ2592" s="82">
        <f>($L2592-$J2592)*100</f>
        <v/>
      </c>
      <c r="BA2592" s="82">
        <f>(2*$H2592-$F2592-$J2592)*100</f>
        <v/>
      </c>
      <c r="BB2592" s="82">
        <f>(2*$J2592-$H2592-$L2592)*100</f>
        <v/>
      </c>
      <c r="BC2592" s="82">
        <f>($N2592-$F2592)*100</f>
        <v/>
      </c>
      <c r="BD2592" s="82">
        <f>($Q2592-$H2592)*100</f>
        <v/>
      </c>
      <c r="BE2592" s="82">
        <f>($S2592-$J2592)*100</f>
        <v/>
      </c>
      <c r="BF2592" s="82">
        <f>($V2592-$L2592)*100</f>
        <v/>
      </c>
      <c r="BG2592" s="82">
        <f>$AG2592-$AF2592</f>
        <v/>
      </c>
      <c r="BH2592" s="81">
        <f>IFERROR($AG2592/$AF2592,"")</f>
        <v/>
      </c>
      <c r="BI2592" s="82">
        <f>$AJ2592-$AF2592</f>
        <v/>
      </c>
      <c r="BJ2592" s="81">
        <f>IFERROR($AJ2592/$AG2592,"")</f>
        <v/>
      </c>
      <c r="BK2592" s="81">
        <f>$X2592</f>
        <v/>
      </c>
      <c r="BL2592" s="82">
        <f>($J2592-$J2593)*100</f>
        <v/>
      </c>
      <c r="BM2592" s="82">
        <f>($F2592-$F2593)*100</f>
        <v/>
      </c>
      <c r="BN2592" s="82">
        <f>$AF2592-$AF2593</f>
        <v/>
      </c>
      <c r="BO2592" s="82">
        <f>$AG2592-$AG2593</f>
        <v/>
      </c>
      <c r="BP2592" s="82">
        <f>$AJ2592-$AJ2593</f>
        <v/>
      </c>
    </row>
    <row r="2593">
      <c r="AR2593" s="81">
        <f>($G2593+($H2593-$G2593)*0.5)+($P2593-($O2593+($Q2593-$O2593)*0.5))</f>
        <v/>
      </c>
      <c r="AS2593" s="81">
        <f>($J2593+($K2593-$J2593)*0.5)+($T2593-($S2593+($U2593-$S2593)*0.5))</f>
        <v/>
      </c>
      <c r="AT2593" s="82">
        <f>($J2593-$C2593)*100</f>
        <v/>
      </c>
      <c r="AU2593" s="82">
        <f>($H2593-$F2593)*100</f>
        <v/>
      </c>
      <c r="AV2593" s="82">
        <f>($J2593-$F2593)*100</f>
        <v/>
      </c>
      <c r="AW2593" s="82">
        <f>($L2593-$F2593)*100</f>
        <v/>
      </c>
      <c r="AX2593" s="82">
        <f>($J2593-$H2593)*100</f>
        <v/>
      </c>
      <c r="AY2593" s="82">
        <f>($L2593-$H2593)*100</f>
        <v/>
      </c>
      <c r="AZ2593" s="82">
        <f>($L2593-$J2593)*100</f>
        <v/>
      </c>
      <c r="BA2593" s="82">
        <f>(2*$H2593-$F2593-$J2593)*100</f>
        <v/>
      </c>
      <c r="BB2593" s="82">
        <f>(2*$J2593-$H2593-$L2593)*100</f>
        <v/>
      </c>
      <c r="BC2593" s="82">
        <f>($N2593-$F2593)*100</f>
        <v/>
      </c>
      <c r="BD2593" s="82">
        <f>($Q2593-$H2593)*100</f>
        <v/>
      </c>
      <c r="BE2593" s="82">
        <f>($S2593-$J2593)*100</f>
        <v/>
      </c>
      <c r="BF2593" s="82">
        <f>($V2593-$L2593)*100</f>
        <v/>
      </c>
      <c r="BG2593" s="82">
        <f>$AG2593-$AF2593</f>
        <v/>
      </c>
      <c r="BH2593" s="81">
        <f>IFERROR($AG2593/$AF2593,"")</f>
        <v/>
      </c>
      <c r="BI2593" s="82">
        <f>$AJ2593-$AF2593</f>
        <v/>
      </c>
      <c r="BJ2593" s="81">
        <f>IFERROR($AJ2593/$AG2593,"")</f>
        <v/>
      </c>
      <c r="BK2593" s="81">
        <f>$X2593</f>
        <v/>
      </c>
      <c r="BL2593" s="82">
        <f>($J2593-$J2594)*100</f>
        <v/>
      </c>
      <c r="BM2593" s="82">
        <f>($F2593-$F2594)*100</f>
        <v/>
      </c>
      <c r="BN2593" s="82">
        <f>$AF2593-$AF2594</f>
        <v/>
      </c>
      <c r="BO2593" s="82">
        <f>$AG2593-$AG2594</f>
        <v/>
      </c>
      <c r="BP2593" s="82">
        <f>$AJ2593-$AJ2594</f>
        <v/>
      </c>
    </row>
    <row r="2594">
      <c r="AR2594" s="81">
        <f>($G2594+($H2594-$G2594)*0.5)+($P2594-($O2594+($Q2594-$O2594)*0.5))</f>
        <v/>
      </c>
      <c r="AS2594" s="81">
        <f>($J2594+($K2594-$J2594)*0.5)+($T2594-($S2594+($U2594-$S2594)*0.5))</f>
        <v/>
      </c>
      <c r="AT2594" s="82">
        <f>($J2594-$C2594)*100</f>
        <v/>
      </c>
      <c r="AU2594" s="82">
        <f>($H2594-$F2594)*100</f>
        <v/>
      </c>
      <c r="AV2594" s="82">
        <f>($J2594-$F2594)*100</f>
        <v/>
      </c>
      <c r="AW2594" s="82">
        <f>($L2594-$F2594)*100</f>
        <v/>
      </c>
      <c r="AX2594" s="82">
        <f>($J2594-$H2594)*100</f>
        <v/>
      </c>
      <c r="AY2594" s="82">
        <f>($L2594-$H2594)*100</f>
        <v/>
      </c>
      <c r="AZ2594" s="82">
        <f>($L2594-$J2594)*100</f>
        <v/>
      </c>
      <c r="BA2594" s="82">
        <f>(2*$H2594-$F2594-$J2594)*100</f>
        <v/>
      </c>
      <c r="BB2594" s="82">
        <f>(2*$J2594-$H2594-$L2594)*100</f>
        <v/>
      </c>
      <c r="BC2594" s="82">
        <f>($N2594-$F2594)*100</f>
        <v/>
      </c>
      <c r="BD2594" s="82">
        <f>($Q2594-$H2594)*100</f>
        <v/>
      </c>
      <c r="BE2594" s="82">
        <f>($S2594-$J2594)*100</f>
        <v/>
      </c>
      <c r="BF2594" s="82">
        <f>($V2594-$L2594)*100</f>
        <v/>
      </c>
      <c r="BG2594" s="82">
        <f>$AG2594-$AF2594</f>
        <v/>
      </c>
      <c r="BH2594" s="81">
        <f>IFERROR($AG2594/$AF2594,"")</f>
        <v/>
      </c>
      <c r="BI2594" s="82">
        <f>$AJ2594-$AF2594</f>
        <v/>
      </c>
      <c r="BJ2594" s="81">
        <f>IFERROR($AJ2594/$AG2594,"")</f>
        <v/>
      </c>
      <c r="BK2594" s="81">
        <f>$X2594</f>
        <v/>
      </c>
      <c r="BL2594" s="82">
        <f>($J2594-$J2595)*100</f>
        <v/>
      </c>
      <c r="BM2594" s="82">
        <f>($F2594-$F2595)*100</f>
        <v/>
      </c>
      <c r="BN2594" s="82">
        <f>$AF2594-$AF2595</f>
        <v/>
      </c>
      <c r="BO2594" s="82">
        <f>$AG2594-$AG2595</f>
        <v/>
      </c>
      <c r="BP2594" s="82">
        <f>$AJ2594-$AJ2595</f>
        <v/>
      </c>
    </row>
    <row r="2595">
      <c r="AR2595" s="81">
        <f>($G2595+($H2595-$G2595)*0.5)+($P2595-($O2595+($Q2595-$O2595)*0.5))</f>
        <v/>
      </c>
      <c r="AS2595" s="81">
        <f>($J2595+($K2595-$J2595)*0.5)+($T2595-($S2595+($U2595-$S2595)*0.5))</f>
        <v/>
      </c>
      <c r="AT2595" s="82">
        <f>($J2595-$C2595)*100</f>
        <v/>
      </c>
      <c r="AU2595" s="82">
        <f>($H2595-$F2595)*100</f>
        <v/>
      </c>
      <c r="AV2595" s="82">
        <f>($J2595-$F2595)*100</f>
        <v/>
      </c>
      <c r="AW2595" s="82">
        <f>($L2595-$F2595)*100</f>
        <v/>
      </c>
      <c r="AX2595" s="82">
        <f>($J2595-$H2595)*100</f>
        <v/>
      </c>
      <c r="AY2595" s="82">
        <f>($L2595-$H2595)*100</f>
        <v/>
      </c>
      <c r="AZ2595" s="82">
        <f>($L2595-$J2595)*100</f>
        <v/>
      </c>
      <c r="BA2595" s="82">
        <f>(2*$H2595-$F2595-$J2595)*100</f>
        <v/>
      </c>
      <c r="BB2595" s="82">
        <f>(2*$J2595-$H2595-$L2595)*100</f>
        <v/>
      </c>
      <c r="BC2595" s="82">
        <f>($N2595-$F2595)*100</f>
        <v/>
      </c>
      <c r="BD2595" s="82">
        <f>($Q2595-$H2595)*100</f>
        <v/>
      </c>
      <c r="BE2595" s="82">
        <f>($S2595-$J2595)*100</f>
        <v/>
      </c>
      <c r="BF2595" s="82">
        <f>($V2595-$L2595)*100</f>
        <v/>
      </c>
      <c r="BG2595" s="82">
        <f>$AG2595-$AF2595</f>
        <v/>
      </c>
      <c r="BH2595" s="81">
        <f>IFERROR($AG2595/$AF2595,"")</f>
        <v/>
      </c>
      <c r="BI2595" s="82">
        <f>$AJ2595-$AF2595</f>
        <v/>
      </c>
      <c r="BJ2595" s="81">
        <f>IFERROR($AJ2595/$AG2595,"")</f>
        <v/>
      </c>
      <c r="BK2595" s="81">
        <f>$X2595</f>
        <v/>
      </c>
      <c r="BL2595" s="82">
        <f>($J2595-$J2596)*100</f>
        <v/>
      </c>
      <c r="BM2595" s="82">
        <f>($F2595-$F2596)*100</f>
        <v/>
      </c>
      <c r="BN2595" s="82">
        <f>$AF2595-$AF2596</f>
        <v/>
      </c>
      <c r="BO2595" s="82">
        <f>$AG2595-$AG2596</f>
        <v/>
      </c>
      <c r="BP2595" s="82">
        <f>$AJ2595-$AJ2596</f>
        <v/>
      </c>
    </row>
    <row r="2596">
      <c r="AR2596" s="81">
        <f>($G2596+($H2596-$G2596)*0.5)+($P2596-($O2596+($Q2596-$O2596)*0.5))</f>
        <v/>
      </c>
      <c r="AS2596" s="81">
        <f>($J2596+($K2596-$J2596)*0.5)+($T2596-($S2596+($U2596-$S2596)*0.5))</f>
        <v/>
      </c>
      <c r="AT2596" s="82">
        <f>($J2596-$C2596)*100</f>
        <v/>
      </c>
      <c r="AU2596" s="82">
        <f>($H2596-$F2596)*100</f>
        <v/>
      </c>
      <c r="AV2596" s="82">
        <f>($J2596-$F2596)*100</f>
        <v/>
      </c>
      <c r="AW2596" s="82">
        <f>($L2596-$F2596)*100</f>
        <v/>
      </c>
      <c r="AX2596" s="82">
        <f>($J2596-$H2596)*100</f>
        <v/>
      </c>
      <c r="AY2596" s="82">
        <f>($L2596-$H2596)*100</f>
        <v/>
      </c>
      <c r="AZ2596" s="82">
        <f>($L2596-$J2596)*100</f>
        <v/>
      </c>
      <c r="BA2596" s="82">
        <f>(2*$H2596-$F2596-$J2596)*100</f>
        <v/>
      </c>
      <c r="BB2596" s="82">
        <f>(2*$J2596-$H2596-$L2596)*100</f>
        <v/>
      </c>
      <c r="BC2596" s="82">
        <f>($N2596-$F2596)*100</f>
        <v/>
      </c>
      <c r="BD2596" s="82">
        <f>($Q2596-$H2596)*100</f>
        <v/>
      </c>
      <c r="BE2596" s="82">
        <f>($S2596-$J2596)*100</f>
        <v/>
      </c>
      <c r="BF2596" s="82">
        <f>($V2596-$L2596)*100</f>
        <v/>
      </c>
      <c r="BG2596" s="82">
        <f>$AG2596-$AF2596</f>
        <v/>
      </c>
      <c r="BH2596" s="81">
        <f>IFERROR($AG2596/$AF2596,"")</f>
        <v/>
      </c>
      <c r="BI2596" s="82">
        <f>$AJ2596-$AF2596</f>
        <v/>
      </c>
      <c r="BJ2596" s="81">
        <f>IFERROR($AJ2596/$AG2596,"")</f>
        <v/>
      </c>
      <c r="BK2596" s="81">
        <f>$X2596</f>
        <v/>
      </c>
      <c r="BL2596" s="82">
        <f>($J2596-$J2597)*100</f>
        <v/>
      </c>
      <c r="BM2596" s="82">
        <f>($F2596-$F2597)*100</f>
        <v/>
      </c>
      <c r="BN2596" s="82">
        <f>$AF2596-$AF2597</f>
        <v/>
      </c>
      <c r="BO2596" s="82">
        <f>$AG2596-$AG2597</f>
        <v/>
      </c>
      <c r="BP2596" s="82">
        <f>$AJ2596-$AJ2597</f>
        <v/>
      </c>
    </row>
    <row r="2597">
      <c r="AR2597" s="81">
        <f>($G2597+($H2597-$G2597)*0.5)+($P2597-($O2597+($Q2597-$O2597)*0.5))</f>
        <v/>
      </c>
      <c r="AS2597" s="81">
        <f>($J2597+($K2597-$J2597)*0.5)+($T2597-($S2597+($U2597-$S2597)*0.5))</f>
        <v/>
      </c>
      <c r="AT2597" s="82">
        <f>($J2597-$C2597)*100</f>
        <v/>
      </c>
      <c r="AU2597" s="82">
        <f>($H2597-$F2597)*100</f>
        <v/>
      </c>
      <c r="AV2597" s="82">
        <f>($J2597-$F2597)*100</f>
        <v/>
      </c>
      <c r="AW2597" s="82">
        <f>($L2597-$F2597)*100</f>
        <v/>
      </c>
      <c r="AX2597" s="82">
        <f>($J2597-$H2597)*100</f>
        <v/>
      </c>
      <c r="AY2597" s="82">
        <f>($L2597-$H2597)*100</f>
        <v/>
      </c>
      <c r="AZ2597" s="82">
        <f>($L2597-$J2597)*100</f>
        <v/>
      </c>
      <c r="BA2597" s="82">
        <f>(2*$H2597-$F2597-$J2597)*100</f>
        <v/>
      </c>
      <c r="BB2597" s="82">
        <f>(2*$J2597-$H2597-$L2597)*100</f>
        <v/>
      </c>
      <c r="BC2597" s="82">
        <f>($N2597-$F2597)*100</f>
        <v/>
      </c>
      <c r="BD2597" s="82">
        <f>($Q2597-$H2597)*100</f>
        <v/>
      </c>
      <c r="BE2597" s="82">
        <f>($S2597-$J2597)*100</f>
        <v/>
      </c>
      <c r="BF2597" s="82">
        <f>($V2597-$L2597)*100</f>
        <v/>
      </c>
      <c r="BG2597" s="82">
        <f>$AG2597-$AF2597</f>
        <v/>
      </c>
      <c r="BH2597" s="81">
        <f>IFERROR($AG2597/$AF2597,"")</f>
        <v/>
      </c>
      <c r="BI2597" s="82">
        <f>$AJ2597-$AF2597</f>
        <v/>
      </c>
      <c r="BJ2597" s="81">
        <f>IFERROR($AJ2597/$AG2597,"")</f>
        <v/>
      </c>
      <c r="BK2597" s="81">
        <f>$X2597</f>
        <v/>
      </c>
      <c r="BL2597" s="82">
        <f>($J2597-$J2598)*100</f>
        <v/>
      </c>
      <c r="BM2597" s="82">
        <f>($F2597-$F2598)*100</f>
        <v/>
      </c>
      <c r="BN2597" s="82">
        <f>$AF2597-$AF2598</f>
        <v/>
      </c>
      <c r="BO2597" s="82">
        <f>$AG2597-$AG2598</f>
        <v/>
      </c>
      <c r="BP2597" s="82">
        <f>$AJ2597-$AJ2598</f>
        <v/>
      </c>
    </row>
    <row r="2598">
      <c r="AR2598" s="81">
        <f>($G2598+($H2598-$G2598)*0.5)+($P2598-($O2598+($Q2598-$O2598)*0.5))</f>
        <v/>
      </c>
      <c r="AS2598" s="81">
        <f>($J2598+($K2598-$J2598)*0.5)+($T2598-($S2598+($U2598-$S2598)*0.5))</f>
        <v/>
      </c>
      <c r="AT2598" s="82">
        <f>($J2598-$C2598)*100</f>
        <v/>
      </c>
      <c r="AU2598" s="82">
        <f>($H2598-$F2598)*100</f>
        <v/>
      </c>
      <c r="AV2598" s="82">
        <f>($J2598-$F2598)*100</f>
        <v/>
      </c>
      <c r="AW2598" s="82">
        <f>($L2598-$F2598)*100</f>
        <v/>
      </c>
      <c r="AX2598" s="82">
        <f>($J2598-$H2598)*100</f>
        <v/>
      </c>
      <c r="AY2598" s="82">
        <f>($L2598-$H2598)*100</f>
        <v/>
      </c>
      <c r="AZ2598" s="82">
        <f>($L2598-$J2598)*100</f>
        <v/>
      </c>
      <c r="BA2598" s="82">
        <f>(2*$H2598-$F2598-$J2598)*100</f>
        <v/>
      </c>
      <c r="BB2598" s="82">
        <f>(2*$J2598-$H2598-$L2598)*100</f>
        <v/>
      </c>
      <c r="BC2598" s="82">
        <f>($N2598-$F2598)*100</f>
        <v/>
      </c>
      <c r="BD2598" s="82">
        <f>($Q2598-$H2598)*100</f>
        <v/>
      </c>
      <c r="BE2598" s="82">
        <f>($S2598-$J2598)*100</f>
        <v/>
      </c>
      <c r="BF2598" s="82">
        <f>($V2598-$L2598)*100</f>
        <v/>
      </c>
      <c r="BG2598" s="82">
        <f>$AG2598-$AF2598</f>
        <v/>
      </c>
      <c r="BH2598" s="81">
        <f>IFERROR($AG2598/$AF2598,"")</f>
        <v/>
      </c>
      <c r="BI2598" s="82">
        <f>$AJ2598-$AF2598</f>
        <v/>
      </c>
      <c r="BJ2598" s="81">
        <f>IFERROR($AJ2598/$AG2598,"")</f>
        <v/>
      </c>
      <c r="BK2598" s="81">
        <f>$X2598</f>
        <v/>
      </c>
      <c r="BL2598" s="82">
        <f>($J2598-$J2599)*100</f>
        <v/>
      </c>
      <c r="BM2598" s="82">
        <f>($F2598-$F2599)*100</f>
        <v/>
      </c>
      <c r="BN2598" s="82">
        <f>$AF2598-$AF2599</f>
        <v/>
      </c>
      <c r="BO2598" s="82">
        <f>$AG2598-$AG2599</f>
        <v/>
      </c>
      <c r="BP2598" s="82">
        <f>$AJ2598-$AJ2599</f>
        <v/>
      </c>
    </row>
    <row r="2599">
      <c r="AR2599" s="81">
        <f>($G2599+($H2599-$G2599)*0.5)+($P2599-($O2599+($Q2599-$O2599)*0.5))</f>
        <v/>
      </c>
      <c r="AS2599" s="81">
        <f>($J2599+($K2599-$J2599)*0.5)+($T2599-($S2599+($U2599-$S2599)*0.5))</f>
        <v/>
      </c>
      <c r="AT2599" s="82">
        <f>($J2599-$C2599)*100</f>
        <v/>
      </c>
      <c r="AU2599" s="82">
        <f>($H2599-$F2599)*100</f>
        <v/>
      </c>
      <c r="AV2599" s="82">
        <f>($J2599-$F2599)*100</f>
        <v/>
      </c>
      <c r="AW2599" s="82">
        <f>($L2599-$F2599)*100</f>
        <v/>
      </c>
      <c r="AX2599" s="82">
        <f>($J2599-$H2599)*100</f>
        <v/>
      </c>
      <c r="AY2599" s="82">
        <f>($L2599-$H2599)*100</f>
        <v/>
      </c>
      <c r="AZ2599" s="82">
        <f>($L2599-$J2599)*100</f>
        <v/>
      </c>
      <c r="BA2599" s="82">
        <f>(2*$H2599-$F2599-$J2599)*100</f>
        <v/>
      </c>
      <c r="BB2599" s="82">
        <f>(2*$J2599-$H2599-$L2599)*100</f>
        <v/>
      </c>
      <c r="BC2599" s="82">
        <f>($N2599-$F2599)*100</f>
        <v/>
      </c>
      <c r="BD2599" s="82">
        <f>($Q2599-$H2599)*100</f>
        <v/>
      </c>
      <c r="BE2599" s="82">
        <f>($S2599-$J2599)*100</f>
        <v/>
      </c>
      <c r="BF2599" s="82">
        <f>($V2599-$L2599)*100</f>
        <v/>
      </c>
      <c r="BG2599" s="82">
        <f>$AG2599-$AF2599</f>
        <v/>
      </c>
      <c r="BH2599" s="81">
        <f>IFERROR($AG2599/$AF2599,"")</f>
        <v/>
      </c>
      <c r="BI2599" s="82">
        <f>$AJ2599-$AF2599</f>
        <v/>
      </c>
      <c r="BJ2599" s="81">
        <f>IFERROR($AJ2599/$AG2599,"")</f>
        <v/>
      </c>
      <c r="BK2599" s="81">
        <f>$X2599</f>
        <v/>
      </c>
      <c r="BL2599" s="82">
        <f>($J2599-$J2600)*100</f>
        <v/>
      </c>
      <c r="BM2599" s="82">
        <f>($F2599-$F2600)*100</f>
        <v/>
      </c>
      <c r="BN2599" s="82">
        <f>$AF2599-$AF2600</f>
        <v/>
      </c>
      <c r="BO2599" s="82">
        <f>$AG2599-$AG2600</f>
        <v/>
      </c>
      <c r="BP2599" s="82">
        <f>$AJ2599-$AJ2600</f>
        <v/>
      </c>
    </row>
    <row r="2600">
      <c r="AR2600" s="81">
        <f>($G2600+($H2600-$G2600)*0.5)+($P2600-($O2600+($Q2600-$O2600)*0.5))</f>
        <v/>
      </c>
      <c r="AS2600" s="81">
        <f>($J2600+($K2600-$J2600)*0.5)+($T2600-($S2600+($U2600-$S2600)*0.5))</f>
        <v/>
      </c>
      <c r="AT2600" s="82">
        <f>($J2600-$C2600)*100</f>
        <v/>
      </c>
      <c r="AU2600" s="82">
        <f>($H2600-$F2600)*100</f>
        <v/>
      </c>
      <c r="AV2600" s="82">
        <f>($J2600-$F2600)*100</f>
        <v/>
      </c>
      <c r="AW2600" s="82">
        <f>($L2600-$F2600)*100</f>
        <v/>
      </c>
      <c r="AX2600" s="82">
        <f>($J2600-$H2600)*100</f>
        <v/>
      </c>
      <c r="AY2600" s="82">
        <f>($L2600-$H2600)*100</f>
        <v/>
      </c>
      <c r="AZ2600" s="82">
        <f>($L2600-$J2600)*100</f>
        <v/>
      </c>
      <c r="BA2600" s="82">
        <f>(2*$H2600-$F2600-$J2600)*100</f>
        <v/>
      </c>
      <c r="BB2600" s="82">
        <f>(2*$J2600-$H2600-$L2600)*100</f>
        <v/>
      </c>
      <c r="BC2600" s="82">
        <f>($N2600-$F2600)*100</f>
        <v/>
      </c>
      <c r="BD2600" s="82">
        <f>($Q2600-$H2600)*100</f>
        <v/>
      </c>
      <c r="BE2600" s="82">
        <f>($S2600-$J2600)*100</f>
        <v/>
      </c>
      <c r="BF2600" s="82">
        <f>($V2600-$L2600)*100</f>
        <v/>
      </c>
      <c r="BG2600" s="82">
        <f>$AG2600-$AF2600</f>
        <v/>
      </c>
      <c r="BH2600" s="81">
        <f>IFERROR($AG2600/$AF2600,"")</f>
        <v/>
      </c>
      <c r="BI2600" s="82">
        <f>$AJ2600-$AF2600</f>
        <v/>
      </c>
      <c r="BJ2600" s="81">
        <f>IFERROR($AJ2600/$AG2600,"")</f>
        <v/>
      </c>
      <c r="BK2600" s="81">
        <f>$X2600</f>
        <v/>
      </c>
      <c r="BL2600" s="82">
        <f>($J2600-$J2601)*100</f>
        <v/>
      </c>
      <c r="BM2600" s="82">
        <f>($F2600-$F2601)*100</f>
        <v/>
      </c>
      <c r="BN2600" s="82">
        <f>$AF2600-$AF2601</f>
        <v/>
      </c>
      <c r="BO2600" s="82">
        <f>$AG2600-$AG2601</f>
        <v/>
      </c>
      <c r="BP2600" s="82">
        <f>$AJ2600-$AJ2601</f>
        <v/>
      </c>
    </row>
    <row r="2601">
      <c r="AR2601" s="81">
        <f>($G2601+($H2601-$G2601)*0.5)+($P2601-($O2601+($Q2601-$O2601)*0.5))</f>
        <v/>
      </c>
      <c r="AS2601" s="81">
        <f>($J2601+($K2601-$J2601)*0.5)+($T2601-($S2601+($U2601-$S2601)*0.5))</f>
        <v/>
      </c>
      <c r="AT2601" s="82">
        <f>($J2601-$C2601)*100</f>
        <v/>
      </c>
      <c r="AU2601" s="82">
        <f>($H2601-$F2601)*100</f>
        <v/>
      </c>
      <c r="AV2601" s="82">
        <f>($J2601-$F2601)*100</f>
        <v/>
      </c>
      <c r="AW2601" s="82">
        <f>($L2601-$F2601)*100</f>
        <v/>
      </c>
      <c r="AX2601" s="82">
        <f>($J2601-$H2601)*100</f>
        <v/>
      </c>
      <c r="AY2601" s="82">
        <f>($L2601-$H2601)*100</f>
        <v/>
      </c>
      <c r="AZ2601" s="82">
        <f>($L2601-$J2601)*100</f>
        <v/>
      </c>
      <c r="BA2601" s="82">
        <f>(2*$H2601-$F2601-$J2601)*100</f>
        <v/>
      </c>
      <c r="BB2601" s="82">
        <f>(2*$J2601-$H2601-$L2601)*100</f>
        <v/>
      </c>
      <c r="BC2601" s="82">
        <f>($N2601-$F2601)*100</f>
        <v/>
      </c>
      <c r="BD2601" s="82">
        <f>($Q2601-$H2601)*100</f>
        <v/>
      </c>
      <c r="BE2601" s="82">
        <f>($S2601-$J2601)*100</f>
        <v/>
      </c>
      <c r="BF2601" s="82">
        <f>($V2601-$L2601)*100</f>
        <v/>
      </c>
      <c r="BG2601" s="82">
        <f>$AG2601-$AF2601</f>
        <v/>
      </c>
      <c r="BH2601" s="81">
        <f>IFERROR($AG2601/$AF2601,"")</f>
        <v/>
      </c>
      <c r="BI2601" s="82">
        <f>$AJ2601-$AF2601</f>
        <v/>
      </c>
      <c r="BJ2601" s="81">
        <f>IFERROR($AJ2601/$AG2601,"")</f>
        <v/>
      </c>
      <c r="BK2601" s="81">
        <f>$X2601</f>
        <v/>
      </c>
      <c r="BL2601" s="82">
        <f>($J2601-$J2602)*100</f>
        <v/>
      </c>
      <c r="BM2601" s="82">
        <f>($F2601-$F2602)*100</f>
        <v/>
      </c>
      <c r="BN2601" s="82">
        <f>$AF2601-$AF2602</f>
        <v/>
      </c>
      <c r="BO2601" s="82">
        <f>$AG2601-$AG2602</f>
        <v/>
      </c>
      <c r="BP2601" s="82">
        <f>$AJ2601-$AJ2602</f>
        <v/>
      </c>
    </row>
    <row r="2602">
      <c r="AR2602" s="81">
        <f>($G2602+($H2602-$G2602)*0.5)+($P2602-($O2602+($Q2602-$O2602)*0.5))</f>
        <v/>
      </c>
      <c r="AS2602" s="81">
        <f>($J2602+($K2602-$J2602)*0.5)+($T2602-($S2602+($U2602-$S2602)*0.5))</f>
        <v/>
      </c>
      <c r="AT2602" s="82">
        <f>($J2602-$C2602)*100</f>
        <v/>
      </c>
      <c r="AU2602" s="82">
        <f>($H2602-$F2602)*100</f>
        <v/>
      </c>
      <c r="AV2602" s="82">
        <f>($J2602-$F2602)*100</f>
        <v/>
      </c>
      <c r="AW2602" s="82">
        <f>($L2602-$F2602)*100</f>
        <v/>
      </c>
      <c r="AX2602" s="82">
        <f>($J2602-$H2602)*100</f>
        <v/>
      </c>
      <c r="AY2602" s="82">
        <f>($L2602-$H2602)*100</f>
        <v/>
      </c>
      <c r="AZ2602" s="82">
        <f>($L2602-$J2602)*100</f>
        <v/>
      </c>
      <c r="BA2602" s="82">
        <f>(2*$H2602-$F2602-$J2602)*100</f>
        <v/>
      </c>
      <c r="BB2602" s="82">
        <f>(2*$J2602-$H2602-$L2602)*100</f>
        <v/>
      </c>
      <c r="BC2602" s="82">
        <f>($N2602-$F2602)*100</f>
        <v/>
      </c>
      <c r="BD2602" s="82">
        <f>($Q2602-$H2602)*100</f>
        <v/>
      </c>
      <c r="BE2602" s="82">
        <f>($S2602-$J2602)*100</f>
        <v/>
      </c>
      <c r="BF2602" s="82">
        <f>($V2602-$L2602)*100</f>
        <v/>
      </c>
      <c r="BG2602" s="82">
        <f>$AG2602-$AF2602</f>
        <v/>
      </c>
      <c r="BH2602" s="81">
        <f>IFERROR($AG2602/$AF2602,"")</f>
        <v/>
      </c>
      <c r="BI2602" s="82">
        <f>$AJ2602-$AF2602</f>
        <v/>
      </c>
      <c r="BJ2602" s="81">
        <f>IFERROR($AJ2602/$AG2602,"")</f>
        <v/>
      </c>
      <c r="BK2602" s="81">
        <f>$X2602</f>
        <v/>
      </c>
      <c r="BL2602" s="82">
        <f>($J2602-$J2603)*100</f>
        <v/>
      </c>
      <c r="BM2602" s="82">
        <f>($F2602-$F2603)*100</f>
        <v/>
      </c>
      <c r="BN2602" s="82">
        <f>$AF2602-$AF2603</f>
        <v/>
      </c>
      <c r="BO2602" s="82">
        <f>$AG2602-$AG2603</f>
        <v/>
      </c>
      <c r="BP2602" s="82">
        <f>$AJ2602-$AJ2603</f>
        <v/>
      </c>
    </row>
    <row r="2603">
      <c r="AR2603" s="81">
        <f>($G2603+($H2603-$G2603)*0.5)+($P2603-($O2603+($Q2603-$O2603)*0.5))</f>
        <v/>
      </c>
      <c r="AS2603" s="81">
        <f>($J2603+($K2603-$J2603)*0.5)+($T2603-($S2603+($U2603-$S2603)*0.5))</f>
        <v/>
      </c>
      <c r="AT2603" s="82">
        <f>($J2603-$C2603)*100</f>
        <v/>
      </c>
      <c r="AU2603" s="82">
        <f>($H2603-$F2603)*100</f>
        <v/>
      </c>
      <c r="AV2603" s="82">
        <f>($J2603-$F2603)*100</f>
        <v/>
      </c>
      <c r="AW2603" s="82">
        <f>($L2603-$F2603)*100</f>
        <v/>
      </c>
      <c r="AX2603" s="82">
        <f>($J2603-$H2603)*100</f>
        <v/>
      </c>
      <c r="AY2603" s="82">
        <f>($L2603-$H2603)*100</f>
        <v/>
      </c>
      <c r="AZ2603" s="82">
        <f>($L2603-$J2603)*100</f>
        <v/>
      </c>
      <c r="BA2603" s="82">
        <f>(2*$H2603-$F2603-$J2603)*100</f>
        <v/>
      </c>
      <c r="BB2603" s="82">
        <f>(2*$J2603-$H2603-$L2603)*100</f>
        <v/>
      </c>
      <c r="BC2603" s="82">
        <f>($N2603-$F2603)*100</f>
        <v/>
      </c>
      <c r="BD2603" s="82">
        <f>($Q2603-$H2603)*100</f>
        <v/>
      </c>
      <c r="BE2603" s="82">
        <f>($S2603-$J2603)*100</f>
        <v/>
      </c>
      <c r="BF2603" s="82">
        <f>($V2603-$L2603)*100</f>
        <v/>
      </c>
      <c r="BG2603" s="82">
        <f>$AG2603-$AF2603</f>
        <v/>
      </c>
      <c r="BH2603" s="81">
        <f>IFERROR($AG2603/$AF2603,"")</f>
        <v/>
      </c>
      <c r="BI2603" s="82">
        <f>$AJ2603-$AF2603</f>
        <v/>
      </c>
      <c r="BJ2603" s="81">
        <f>IFERROR($AJ2603/$AG2603,"")</f>
        <v/>
      </c>
      <c r="BK2603" s="81">
        <f>$X2603</f>
        <v/>
      </c>
      <c r="BL2603" s="82">
        <f>($J2603-$J2604)*100</f>
        <v/>
      </c>
      <c r="BM2603" s="82">
        <f>($F2603-$F2604)*100</f>
        <v/>
      </c>
      <c r="BN2603" s="82">
        <f>$AF2603-$AF2604</f>
        <v/>
      </c>
      <c r="BO2603" s="82">
        <f>$AG2603-$AG2604</f>
        <v/>
      </c>
      <c r="BP2603" s="82">
        <f>$AJ2603-$AJ2604</f>
        <v/>
      </c>
    </row>
    <row r="2604">
      <c r="AR2604" s="81">
        <f>($G2604+($H2604-$G2604)*0.5)+($P2604-($O2604+($Q2604-$O2604)*0.5))</f>
        <v/>
      </c>
      <c r="AS2604" s="81">
        <f>($J2604+($K2604-$J2604)*0.5)+($T2604-($S2604+($U2604-$S2604)*0.5))</f>
        <v/>
      </c>
      <c r="AT2604" s="82">
        <f>($J2604-$C2604)*100</f>
        <v/>
      </c>
      <c r="AU2604" s="82">
        <f>($H2604-$F2604)*100</f>
        <v/>
      </c>
      <c r="AV2604" s="82">
        <f>($J2604-$F2604)*100</f>
        <v/>
      </c>
      <c r="AW2604" s="82">
        <f>($L2604-$F2604)*100</f>
        <v/>
      </c>
      <c r="AX2604" s="82">
        <f>($J2604-$H2604)*100</f>
        <v/>
      </c>
      <c r="AY2604" s="82">
        <f>($L2604-$H2604)*100</f>
        <v/>
      </c>
      <c r="AZ2604" s="82">
        <f>($L2604-$J2604)*100</f>
        <v/>
      </c>
      <c r="BA2604" s="82">
        <f>(2*$H2604-$F2604-$J2604)*100</f>
        <v/>
      </c>
      <c r="BB2604" s="82">
        <f>(2*$J2604-$H2604-$L2604)*100</f>
        <v/>
      </c>
      <c r="BC2604" s="82">
        <f>($N2604-$F2604)*100</f>
        <v/>
      </c>
      <c r="BD2604" s="82">
        <f>($Q2604-$H2604)*100</f>
        <v/>
      </c>
      <c r="BE2604" s="82">
        <f>($S2604-$J2604)*100</f>
        <v/>
      </c>
      <c r="BF2604" s="82">
        <f>($V2604-$L2604)*100</f>
        <v/>
      </c>
      <c r="BG2604" s="82">
        <f>$AG2604-$AF2604</f>
        <v/>
      </c>
      <c r="BH2604" s="81">
        <f>IFERROR($AG2604/$AF2604,"")</f>
        <v/>
      </c>
      <c r="BI2604" s="82">
        <f>$AJ2604-$AF2604</f>
        <v/>
      </c>
      <c r="BJ2604" s="81">
        <f>IFERROR($AJ2604/$AG2604,"")</f>
        <v/>
      </c>
      <c r="BK2604" s="81">
        <f>$X2604</f>
        <v/>
      </c>
      <c r="BL2604" s="82">
        <f>($J2604-$J2605)*100</f>
        <v/>
      </c>
      <c r="BM2604" s="82">
        <f>($F2604-$F2605)*100</f>
        <v/>
      </c>
      <c r="BN2604" s="82">
        <f>$AF2604-$AF2605</f>
        <v/>
      </c>
      <c r="BO2604" s="82">
        <f>$AG2604-$AG2605</f>
        <v/>
      </c>
      <c r="BP2604" s="82">
        <f>$AJ2604-$AJ2605</f>
        <v/>
      </c>
    </row>
    <row r="2605">
      <c r="AR2605" s="81">
        <f>($G2605+($H2605-$G2605)*0.5)+($P2605-($O2605+($Q2605-$O2605)*0.5))</f>
        <v/>
      </c>
      <c r="AS2605" s="81">
        <f>($J2605+($K2605-$J2605)*0.5)+($T2605-($S2605+($U2605-$S2605)*0.5))</f>
        <v/>
      </c>
      <c r="AT2605" s="82">
        <f>($J2605-$C2605)*100</f>
        <v/>
      </c>
      <c r="AU2605" s="82">
        <f>($H2605-$F2605)*100</f>
        <v/>
      </c>
      <c r="AV2605" s="82">
        <f>($J2605-$F2605)*100</f>
        <v/>
      </c>
      <c r="AW2605" s="82">
        <f>($L2605-$F2605)*100</f>
        <v/>
      </c>
      <c r="AX2605" s="82">
        <f>($J2605-$H2605)*100</f>
        <v/>
      </c>
      <c r="AY2605" s="82">
        <f>($L2605-$H2605)*100</f>
        <v/>
      </c>
      <c r="AZ2605" s="82">
        <f>($L2605-$J2605)*100</f>
        <v/>
      </c>
      <c r="BA2605" s="82">
        <f>(2*$H2605-$F2605-$J2605)*100</f>
        <v/>
      </c>
      <c r="BB2605" s="82">
        <f>(2*$J2605-$H2605-$L2605)*100</f>
        <v/>
      </c>
      <c r="BC2605" s="82">
        <f>($N2605-$F2605)*100</f>
        <v/>
      </c>
      <c r="BD2605" s="82">
        <f>($Q2605-$H2605)*100</f>
        <v/>
      </c>
      <c r="BE2605" s="82">
        <f>($S2605-$J2605)*100</f>
        <v/>
      </c>
      <c r="BF2605" s="82">
        <f>($V2605-$L2605)*100</f>
        <v/>
      </c>
      <c r="BG2605" s="82">
        <f>$AG2605-$AF2605</f>
        <v/>
      </c>
      <c r="BH2605" s="81">
        <f>IFERROR($AG2605/$AF2605,"")</f>
        <v/>
      </c>
      <c r="BI2605" s="82">
        <f>$AJ2605-$AF2605</f>
        <v/>
      </c>
      <c r="BJ2605" s="81">
        <f>IFERROR($AJ2605/$AG2605,"")</f>
        <v/>
      </c>
      <c r="BK2605" s="81">
        <f>$X2605</f>
        <v/>
      </c>
      <c r="BL2605" s="82">
        <f>($J2605-$J2606)*100</f>
        <v/>
      </c>
      <c r="BM2605" s="82">
        <f>($F2605-$F2606)*100</f>
        <v/>
      </c>
      <c r="BN2605" s="82">
        <f>$AF2605-$AF2606</f>
        <v/>
      </c>
      <c r="BO2605" s="82">
        <f>$AG2605-$AG2606</f>
        <v/>
      </c>
      <c r="BP2605" s="82">
        <f>$AJ2605-$AJ2606</f>
        <v/>
      </c>
    </row>
    <row r="2606">
      <c r="AR2606" s="81">
        <f>($G2606+($H2606-$G2606)*0.5)+($P2606-($O2606+($Q2606-$O2606)*0.5))</f>
        <v/>
      </c>
      <c r="AS2606" s="81">
        <f>($J2606+($K2606-$J2606)*0.5)+($T2606-($S2606+($U2606-$S2606)*0.5))</f>
        <v/>
      </c>
      <c r="AT2606" s="82">
        <f>($J2606-$C2606)*100</f>
        <v/>
      </c>
      <c r="AU2606" s="82">
        <f>($H2606-$F2606)*100</f>
        <v/>
      </c>
      <c r="AV2606" s="82">
        <f>($J2606-$F2606)*100</f>
        <v/>
      </c>
      <c r="AW2606" s="82">
        <f>($L2606-$F2606)*100</f>
        <v/>
      </c>
      <c r="AX2606" s="82">
        <f>($J2606-$H2606)*100</f>
        <v/>
      </c>
      <c r="AY2606" s="82">
        <f>($L2606-$H2606)*100</f>
        <v/>
      </c>
      <c r="AZ2606" s="82">
        <f>($L2606-$J2606)*100</f>
        <v/>
      </c>
      <c r="BA2606" s="82">
        <f>(2*$H2606-$F2606-$J2606)*100</f>
        <v/>
      </c>
      <c r="BB2606" s="82">
        <f>(2*$J2606-$H2606-$L2606)*100</f>
        <v/>
      </c>
      <c r="BC2606" s="82">
        <f>($N2606-$F2606)*100</f>
        <v/>
      </c>
      <c r="BD2606" s="82">
        <f>($Q2606-$H2606)*100</f>
        <v/>
      </c>
      <c r="BE2606" s="82">
        <f>($S2606-$J2606)*100</f>
        <v/>
      </c>
      <c r="BF2606" s="82">
        <f>($V2606-$L2606)*100</f>
        <v/>
      </c>
      <c r="BG2606" s="82">
        <f>$AG2606-$AF2606</f>
        <v/>
      </c>
      <c r="BH2606" s="81">
        <f>IFERROR($AG2606/$AF2606,"")</f>
        <v/>
      </c>
      <c r="BI2606" s="82">
        <f>$AJ2606-$AF2606</f>
        <v/>
      </c>
      <c r="BJ2606" s="81">
        <f>IFERROR($AJ2606/$AG2606,"")</f>
        <v/>
      </c>
      <c r="BK2606" s="81">
        <f>$X2606</f>
        <v/>
      </c>
      <c r="BL2606" s="82">
        <f>($J2606-$J2607)*100</f>
        <v/>
      </c>
      <c r="BM2606" s="82">
        <f>($F2606-$F2607)*100</f>
        <v/>
      </c>
      <c r="BN2606" s="82">
        <f>$AF2606-$AF2607</f>
        <v/>
      </c>
      <c r="BO2606" s="82">
        <f>$AG2606-$AG2607</f>
        <v/>
      </c>
      <c r="BP2606" s="82">
        <f>$AJ2606-$AJ2607</f>
        <v/>
      </c>
    </row>
    <row r="2607">
      <c r="AR2607" s="81">
        <f>($G2607+($H2607-$G2607)*0.5)+($P2607-($O2607+($Q2607-$O2607)*0.5))</f>
        <v/>
      </c>
      <c r="AS2607" s="81">
        <f>($J2607+($K2607-$J2607)*0.5)+($T2607-($S2607+($U2607-$S2607)*0.5))</f>
        <v/>
      </c>
      <c r="AT2607" s="82">
        <f>($J2607-$C2607)*100</f>
        <v/>
      </c>
      <c r="AU2607" s="82">
        <f>($H2607-$F2607)*100</f>
        <v/>
      </c>
      <c r="AV2607" s="82">
        <f>($J2607-$F2607)*100</f>
        <v/>
      </c>
      <c r="AW2607" s="82">
        <f>($L2607-$F2607)*100</f>
        <v/>
      </c>
      <c r="AX2607" s="82">
        <f>($J2607-$H2607)*100</f>
        <v/>
      </c>
      <c r="AY2607" s="82">
        <f>($L2607-$H2607)*100</f>
        <v/>
      </c>
      <c r="AZ2607" s="82">
        <f>($L2607-$J2607)*100</f>
        <v/>
      </c>
      <c r="BA2607" s="82">
        <f>(2*$H2607-$F2607-$J2607)*100</f>
        <v/>
      </c>
      <c r="BB2607" s="82">
        <f>(2*$J2607-$H2607-$L2607)*100</f>
        <v/>
      </c>
      <c r="BC2607" s="82">
        <f>($N2607-$F2607)*100</f>
        <v/>
      </c>
      <c r="BD2607" s="82">
        <f>($Q2607-$H2607)*100</f>
        <v/>
      </c>
      <c r="BE2607" s="82">
        <f>($S2607-$J2607)*100</f>
        <v/>
      </c>
      <c r="BF2607" s="82">
        <f>($V2607-$L2607)*100</f>
        <v/>
      </c>
      <c r="BG2607" s="82">
        <f>$AG2607-$AF2607</f>
        <v/>
      </c>
      <c r="BH2607" s="81">
        <f>IFERROR($AG2607/$AF2607,"")</f>
        <v/>
      </c>
      <c r="BI2607" s="82">
        <f>$AJ2607-$AF2607</f>
        <v/>
      </c>
      <c r="BJ2607" s="81">
        <f>IFERROR($AJ2607/$AG2607,"")</f>
        <v/>
      </c>
      <c r="BK2607" s="81">
        <f>$X2607</f>
        <v/>
      </c>
      <c r="BL2607" s="82">
        <f>($J2607-$J2608)*100</f>
        <v/>
      </c>
      <c r="BM2607" s="82">
        <f>($F2607-$F2608)*100</f>
        <v/>
      </c>
      <c r="BN2607" s="82">
        <f>$AF2607-$AF2608</f>
        <v/>
      </c>
      <c r="BO2607" s="82">
        <f>$AG2607-$AG2608</f>
        <v/>
      </c>
      <c r="BP2607" s="82">
        <f>$AJ2607-$AJ2608</f>
        <v/>
      </c>
    </row>
    <row r="2608">
      <c r="AR2608" s="81">
        <f>($G2608+($H2608-$G2608)*0.5)+($P2608-($O2608+($Q2608-$O2608)*0.5))</f>
        <v/>
      </c>
      <c r="AS2608" s="81">
        <f>($J2608+($K2608-$J2608)*0.5)+($T2608-($S2608+($U2608-$S2608)*0.5))</f>
        <v/>
      </c>
      <c r="AT2608" s="82">
        <f>($J2608-$C2608)*100</f>
        <v/>
      </c>
      <c r="AU2608" s="82">
        <f>($H2608-$F2608)*100</f>
        <v/>
      </c>
      <c r="AV2608" s="82">
        <f>($J2608-$F2608)*100</f>
        <v/>
      </c>
      <c r="AW2608" s="82">
        <f>($L2608-$F2608)*100</f>
        <v/>
      </c>
      <c r="AX2608" s="82">
        <f>($J2608-$H2608)*100</f>
        <v/>
      </c>
      <c r="AY2608" s="82">
        <f>($L2608-$H2608)*100</f>
        <v/>
      </c>
      <c r="AZ2608" s="82">
        <f>($L2608-$J2608)*100</f>
        <v/>
      </c>
      <c r="BA2608" s="82">
        <f>(2*$H2608-$F2608-$J2608)*100</f>
        <v/>
      </c>
      <c r="BB2608" s="82">
        <f>(2*$J2608-$H2608-$L2608)*100</f>
        <v/>
      </c>
      <c r="BC2608" s="82">
        <f>($N2608-$F2608)*100</f>
        <v/>
      </c>
      <c r="BD2608" s="82">
        <f>($Q2608-$H2608)*100</f>
        <v/>
      </c>
      <c r="BE2608" s="82">
        <f>($S2608-$J2608)*100</f>
        <v/>
      </c>
      <c r="BF2608" s="82">
        <f>($V2608-$L2608)*100</f>
        <v/>
      </c>
      <c r="BG2608" s="82">
        <f>$AG2608-$AF2608</f>
        <v/>
      </c>
      <c r="BH2608" s="81">
        <f>IFERROR($AG2608/$AF2608,"")</f>
        <v/>
      </c>
      <c r="BI2608" s="82">
        <f>$AJ2608-$AF2608</f>
        <v/>
      </c>
      <c r="BJ2608" s="81">
        <f>IFERROR($AJ2608/$AG2608,"")</f>
        <v/>
      </c>
      <c r="BK2608" s="81">
        <f>$X2608</f>
        <v/>
      </c>
      <c r="BL2608" s="82">
        <f>($J2608-$J2609)*100</f>
        <v/>
      </c>
      <c r="BM2608" s="82">
        <f>($F2608-$F2609)*100</f>
        <v/>
      </c>
      <c r="BN2608" s="82">
        <f>$AF2608-$AF2609</f>
        <v/>
      </c>
      <c r="BO2608" s="82">
        <f>$AG2608-$AG2609</f>
        <v/>
      </c>
      <c r="BP2608" s="82">
        <f>$AJ2608-$AJ2609</f>
        <v/>
      </c>
    </row>
    <row r="2609">
      <c r="AR2609" s="81">
        <f>($G2609+($H2609-$G2609)*0.5)+($P2609-($O2609+($Q2609-$O2609)*0.5))</f>
        <v/>
      </c>
      <c r="AS2609" s="81">
        <f>($J2609+($K2609-$J2609)*0.5)+($T2609-($S2609+($U2609-$S2609)*0.5))</f>
        <v/>
      </c>
      <c r="AT2609" s="82">
        <f>($J2609-$C2609)*100</f>
        <v/>
      </c>
      <c r="AU2609" s="82">
        <f>($H2609-$F2609)*100</f>
        <v/>
      </c>
      <c r="AV2609" s="82">
        <f>($J2609-$F2609)*100</f>
        <v/>
      </c>
      <c r="AW2609" s="82">
        <f>($L2609-$F2609)*100</f>
        <v/>
      </c>
      <c r="AX2609" s="82">
        <f>($J2609-$H2609)*100</f>
        <v/>
      </c>
      <c r="AY2609" s="82">
        <f>($L2609-$H2609)*100</f>
        <v/>
      </c>
      <c r="AZ2609" s="82">
        <f>($L2609-$J2609)*100</f>
        <v/>
      </c>
      <c r="BA2609" s="82">
        <f>(2*$H2609-$F2609-$J2609)*100</f>
        <v/>
      </c>
      <c r="BB2609" s="82">
        <f>(2*$J2609-$H2609-$L2609)*100</f>
        <v/>
      </c>
      <c r="BC2609" s="82">
        <f>($N2609-$F2609)*100</f>
        <v/>
      </c>
      <c r="BD2609" s="82">
        <f>($Q2609-$H2609)*100</f>
        <v/>
      </c>
      <c r="BE2609" s="82">
        <f>($S2609-$J2609)*100</f>
        <v/>
      </c>
      <c r="BF2609" s="82">
        <f>($V2609-$L2609)*100</f>
        <v/>
      </c>
      <c r="BG2609" s="82">
        <f>$AG2609-$AF2609</f>
        <v/>
      </c>
      <c r="BH2609" s="81">
        <f>IFERROR($AG2609/$AF2609,"")</f>
        <v/>
      </c>
      <c r="BI2609" s="82">
        <f>$AJ2609-$AF2609</f>
        <v/>
      </c>
      <c r="BJ2609" s="81">
        <f>IFERROR($AJ2609/$AG2609,"")</f>
        <v/>
      </c>
      <c r="BK2609" s="81">
        <f>$X2609</f>
        <v/>
      </c>
      <c r="BL2609" s="82">
        <f>($J2609-$J2610)*100</f>
        <v/>
      </c>
      <c r="BM2609" s="82">
        <f>($F2609-$F2610)*100</f>
        <v/>
      </c>
      <c r="BN2609" s="82">
        <f>$AF2609-$AF2610</f>
        <v/>
      </c>
      <c r="BO2609" s="82">
        <f>$AG2609-$AG2610</f>
        <v/>
      </c>
      <c r="BP2609" s="82">
        <f>$AJ2609-$AJ2610</f>
        <v/>
      </c>
    </row>
    <row r="2610">
      <c r="AR2610" s="81">
        <f>($G2610+($H2610-$G2610)*0.5)+($P2610-($O2610+($Q2610-$O2610)*0.5))</f>
        <v/>
      </c>
      <c r="AS2610" s="81">
        <f>($J2610+($K2610-$J2610)*0.5)+($T2610-($S2610+($U2610-$S2610)*0.5))</f>
        <v/>
      </c>
      <c r="AT2610" s="82">
        <f>($J2610-$C2610)*100</f>
        <v/>
      </c>
      <c r="AU2610" s="82">
        <f>($H2610-$F2610)*100</f>
        <v/>
      </c>
      <c r="AV2610" s="82">
        <f>($J2610-$F2610)*100</f>
        <v/>
      </c>
      <c r="AW2610" s="82">
        <f>($L2610-$F2610)*100</f>
        <v/>
      </c>
      <c r="AX2610" s="82">
        <f>($J2610-$H2610)*100</f>
        <v/>
      </c>
      <c r="AY2610" s="82">
        <f>($L2610-$H2610)*100</f>
        <v/>
      </c>
      <c r="AZ2610" s="82">
        <f>($L2610-$J2610)*100</f>
        <v/>
      </c>
      <c r="BA2610" s="82">
        <f>(2*$H2610-$F2610-$J2610)*100</f>
        <v/>
      </c>
      <c r="BB2610" s="82">
        <f>(2*$J2610-$H2610-$L2610)*100</f>
        <v/>
      </c>
      <c r="BC2610" s="82">
        <f>($N2610-$F2610)*100</f>
        <v/>
      </c>
      <c r="BD2610" s="82">
        <f>($Q2610-$H2610)*100</f>
        <v/>
      </c>
      <c r="BE2610" s="82">
        <f>($S2610-$J2610)*100</f>
        <v/>
      </c>
      <c r="BF2610" s="82">
        <f>($V2610-$L2610)*100</f>
        <v/>
      </c>
      <c r="BG2610" s="82">
        <f>$AG2610-$AF2610</f>
        <v/>
      </c>
      <c r="BH2610" s="81">
        <f>IFERROR($AG2610/$AF2610,"")</f>
        <v/>
      </c>
      <c r="BI2610" s="82">
        <f>$AJ2610-$AF2610</f>
        <v/>
      </c>
      <c r="BJ2610" s="81">
        <f>IFERROR($AJ2610/$AG2610,"")</f>
        <v/>
      </c>
      <c r="BK2610" s="81">
        <f>$X2610</f>
        <v/>
      </c>
      <c r="BL2610" s="82">
        <f>($J2610-$J2611)*100</f>
        <v/>
      </c>
      <c r="BM2610" s="82">
        <f>($F2610-$F2611)*100</f>
        <v/>
      </c>
      <c r="BN2610" s="82">
        <f>$AF2610-$AF2611</f>
        <v/>
      </c>
      <c r="BO2610" s="82">
        <f>$AG2610-$AG2611</f>
        <v/>
      </c>
      <c r="BP2610" s="82">
        <f>$AJ2610-$AJ2611</f>
        <v/>
      </c>
    </row>
    <row r="2611">
      <c r="AR2611" s="81">
        <f>($G2611+($H2611-$G2611)*0.5)+($P2611-($O2611+($Q2611-$O2611)*0.5))</f>
        <v/>
      </c>
      <c r="AS2611" s="81">
        <f>($J2611+($K2611-$J2611)*0.5)+($T2611-($S2611+($U2611-$S2611)*0.5))</f>
        <v/>
      </c>
      <c r="AT2611" s="82">
        <f>($J2611-$C2611)*100</f>
        <v/>
      </c>
      <c r="AU2611" s="82">
        <f>($H2611-$F2611)*100</f>
        <v/>
      </c>
      <c r="AV2611" s="82">
        <f>($J2611-$F2611)*100</f>
        <v/>
      </c>
      <c r="AW2611" s="82">
        <f>($L2611-$F2611)*100</f>
        <v/>
      </c>
      <c r="AX2611" s="82">
        <f>($J2611-$H2611)*100</f>
        <v/>
      </c>
      <c r="AY2611" s="82">
        <f>($L2611-$H2611)*100</f>
        <v/>
      </c>
      <c r="AZ2611" s="82">
        <f>($L2611-$J2611)*100</f>
        <v/>
      </c>
      <c r="BA2611" s="82">
        <f>(2*$H2611-$F2611-$J2611)*100</f>
        <v/>
      </c>
      <c r="BB2611" s="82">
        <f>(2*$J2611-$H2611-$L2611)*100</f>
        <v/>
      </c>
      <c r="BC2611" s="82">
        <f>($N2611-$F2611)*100</f>
        <v/>
      </c>
      <c r="BD2611" s="82">
        <f>($Q2611-$H2611)*100</f>
        <v/>
      </c>
      <c r="BE2611" s="82">
        <f>($S2611-$J2611)*100</f>
        <v/>
      </c>
      <c r="BF2611" s="82">
        <f>($V2611-$L2611)*100</f>
        <v/>
      </c>
      <c r="BG2611" s="82">
        <f>$AG2611-$AF2611</f>
        <v/>
      </c>
      <c r="BH2611" s="81">
        <f>IFERROR($AG2611/$AF2611,"")</f>
        <v/>
      </c>
      <c r="BI2611" s="82">
        <f>$AJ2611-$AF2611</f>
        <v/>
      </c>
      <c r="BJ2611" s="81">
        <f>IFERROR($AJ2611/$AG2611,"")</f>
        <v/>
      </c>
      <c r="BK2611" s="81">
        <f>$X2611</f>
        <v/>
      </c>
      <c r="BL2611" s="82">
        <f>($J2611-$J2612)*100</f>
        <v/>
      </c>
      <c r="BM2611" s="82">
        <f>($F2611-$F2612)*100</f>
        <v/>
      </c>
      <c r="BN2611" s="82">
        <f>$AF2611-$AF2612</f>
        <v/>
      </c>
      <c r="BO2611" s="82">
        <f>$AG2611-$AG2612</f>
        <v/>
      </c>
      <c r="BP2611" s="82">
        <f>$AJ2611-$AJ2612</f>
        <v/>
      </c>
    </row>
    <row r="2612">
      <c r="AR2612" s="81">
        <f>($G2612+($H2612-$G2612)*0.5)+($P2612-($O2612+($Q2612-$O2612)*0.5))</f>
        <v/>
      </c>
      <c r="AS2612" s="81">
        <f>($J2612+($K2612-$J2612)*0.5)+($T2612-($S2612+($U2612-$S2612)*0.5))</f>
        <v/>
      </c>
      <c r="AT2612" s="82">
        <f>($J2612-$C2612)*100</f>
        <v/>
      </c>
      <c r="AU2612" s="82">
        <f>($H2612-$F2612)*100</f>
        <v/>
      </c>
      <c r="AV2612" s="82">
        <f>($J2612-$F2612)*100</f>
        <v/>
      </c>
      <c r="AW2612" s="82">
        <f>($L2612-$F2612)*100</f>
        <v/>
      </c>
      <c r="AX2612" s="82">
        <f>($J2612-$H2612)*100</f>
        <v/>
      </c>
      <c r="AY2612" s="82">
        <f>($L2612-$H2612)*100</f>
        <v/>
      </c>
      <c r="AZ2612" s="82">
        <f>($L2612-$J2612)*100</f>
        <v/>
      </c>
      <c r="BA2612" s="82">
        <f>(2*$H2612-$F2612-$J2612)*100</f>
        <v/>
      </c>
      <c r="BB2612" s="82">
        <f>(2*$J2612-$H2612-$L2612)*100</f>
        <v/>
      </c>
      <c r="BC2612" s="82">
        <f>($N2612-$F2612)*100</f>
        <v/>
      </c>
      <c r="BD2612" s="82">
        <f>($Q2612-$H2612)*100</f>
        <v/>
      </c>
      <c r="BE2612" s="82">
        <f>($S2612-$J2612)*100</f>
        <v/>
      </c>
      <c r="BF2612" s="82">
        <f>($V2612-$L2612)*100</f>
        <v/>
      </c>
      <c r="BG2612" s="82">
        <f>$AG2612-$AF2612</f>
        <v/>
      </c>
      <c r="BH2612" s="81">
        <f>IFERROR($AG2612/$AF2612,"")</f>
        <v/>
      </c>
      <c r="BI2612" s="82">
        <f>$AJ2612-$AF2612</f>
        <v/>
      </c>
      <c r="BJ2612" s="81">
        <f>IFERROR($AJ2612/$AG2612,"")</f>
        <v/>
      </c>
      <c r="BK2612" s="81">
        <f>$X2612</f>
        <v/>
      </c>
      <c r="BL2612" s="82">
        <f>($J2612-$J2613)*100</f>
        <v/>
      </c>
      <c r="BM2612" s="82">
        <f>($F2612-$F2613)*100</f>
        <v/>
      </c>
      <c r="BN2612" s="82">
        <f>$AF2612-$AF2613</f>
        <v/>
      </c>
      <c r="BO2612" s="82">
        <f>$AG2612-$AG2613</f>
        <v/>
      </c>
      <c r="BP2612" s="82">
        <f>$AJ2612-$AJ2613</f>
        <v/>
      </c>
    </row>
    <row r="2613">
      <c r="AR2613" s="81">
        <f>($G2613+($H2613-$G2613)*0.5)+($P2613-($O2613+($Q2613-$O2613)*0.5))</f>
        <v/>
      </c>
      <c r="AS2613" s="81">
        <f>($J2613+($K2613-$J2613)*0.5)+($T2613-($S2613+($U2613-$S2613)*0.5))</f>
        <v/>
      </c>
      <c r="AT2613" s="82">
        <f>($J2613-$C2613)*100</f>
        <v/>
      </c>
      <c r="AU2613" s="82">
        <f>($H2613-$F2613)*100</f>
        <v/>
      </c>
      <c r="AV2613" s="82">
        <f>($J2613-$F2613)*100</f>
        <v/>
      </c>
      <c r="AW2613" s="82">
        <f>($L2613-$F2613)*100</f>
        <v/>
      </c>
      <c r="AX2613" s="82">
        <f>($J2613-$H2613)*100</f>
        <v/>
      </c>
      <c r="AY2613" s="82">
        <f>($L2613-$H2613)*100</f>
        <v/>
      </c>
      <c r="AZ2613" s="82">
        <f>($L2613-$J2613)*100</f>
        <v/>
      </c>
      <c r="BA2613" s="82">
        <f>(2*$H2613-$F2613-$J2613)*100</f>
        <v/>
      </c>
      <c r="BB2613" s="82">
        <f>(2*$J2613-$H2613-$L2613)*100</f>
        <v/>
      </c>
      <c r="BC2613" s="82">
        <f>($N2613-$F2613)*100</f>
        <v/>
      </c>
      <c r="BD2613" s="82">
        <f>($Q2613-$H2613)*100</f>
        <v/>
      </c>
      <c r="BE2613" s="82">
        <f>($S2613-$J2613)*100</f>
        <v/>
      </c>
      <c r="BF2613" s="82">
        <f>($V2613-$L2613)*100</f>
        <v/>
      </c>
      <c r="BG2613" s="82">
        <f>$AG2613-$AF2613</f>
        <v/>
      </c>
      <c r="BH2613" s="81">
        <f>IFERROR($AG2613/$AF2613,"")</f>
        <v/>
      </c>
      <c r="BI2613" s="82">
        <f>$AJ2613-$AF2613</f>
        <v/>
      </c>
      <c r="BJ2613" s="81">
        <f>IFERROR($AJ2613/$AG2613,"")</f>
        <v/>
      </c>
      <c r="BK2613" s="81">
        <f>$X2613</f>
        <v/>
      </c>
      <c r="BL2613" s="82">
        <f>($J2613-$J2614)*100</f>
        <v/>
      </c>
      <c r="BM2613" s="82">
        <f>($F2613-$F2614)*100</f>
        <v/>
      </c>
      <c r="BN2613" s="82">
        <f>$AF2613-$AF2614</f>
        <v/>
      </c>
      <c r="BO2613" s="82">
        <f>$AG2613-$AG2614</f>
        <v/>
      </c>
      <c r="BP2613" s="82">
        <f>$AJ2613-$AJ2614</f>
        <v/>
      </c>
    </row>
    <row r="2614">
      <c r="AR2614" s="81">
        <f>($G2614+($H2614-$G2614)*0.5)+($P2614-($O2614+($Q2614-$O2614)*0.5))</f>
        <v/>
      </c>
      <c r="AS2614" s="81">
        <f>($J2614+($K2614-$J2614)*0.5)+($T2614-($S2614+($U2614-$S2614)*0.5))</f>
        <v/>
      </c>
      <c r="AT2614" s="82">
        <f>($J2614-$C2614)*100</f>
        <v/>
      </c>
      <c r="AU2614" s="82">
        <f>($H2614-$F2614)*100</f>
        <v/>
      </c>
      <c r="AV2614" s="82">
        <f>($J2614-$F2614)*100</f>
        <v/>
      </c>
      <c r="AW2614" s="82">
        <f>($L2614-$F2614)*100</f>
        <v/>
      </c>
      <c r="AX2614" s="82">
        <f>($J2614-$H2614)*100</f>
        <v/>
      </c>
      <c r="AY2614" s="82">
        <f>($L2614-$H2614)*100</f>
        <v/>
      </c>
      <c r="AZ2614" s="82">
        <f>($L2614-$J2614)*100</f>
        <v/>
      </c>
      <c r="BA2614" s="82">
        <f>(2*$H2614-$F2614-$J2614)*100</f>
        <v/>
      </c>
      <c r="BB2614" s="82">
        <f>(2*$J2614-$H2614-$L2614)*100</f>
        <v/>
      </c>
      <c r="BC2614" s="82">
        <f>($N2614-$F2614)*100</f>
        <v/>
      </c>
      <c r="BD2614" s="82">
        <f>($Q2614-$H2614)*100</f>
        <v/>
      </c>
      <c r="BE2614" s="82">
        <f>($S2614-$J2614)*100</f>
        <v/>
      </c>
      <c r="BF2614" s="82">
        <f>($V2614-$L2614)*100</f>
        <v/>
      </c>
      <c r="BG2614" s="82">
        <f>$AG2614-$AF2614</f>
        <v/>
      </c>
      <c r="BH2614" s="81">
        <f>IFERROR($AG2614/$AF2614,"")</f>
        <v/>
      </c>
      <c r="BI2614" s="82">
        <f>$AJ2614-$AF2614</f>
        <v/>
      </c>
      <c r="BJ2614" s="81">
        <f>IFERROR($AJ2614/$AG2614,"")</f>
        <v/>
      </c>
      <c r="BK2614" s="81">
        <f>$X2614</f>
        <v/>
      </c>
      <c r="BL2614" s="82">
        <f>($J2614-$J2615)*100</f>
        <v/>
      </c>
      <c r="BM2614" s="82">
        <f>($F2614-$F2615)*100</f>
        <v/>
      </c>
      <c r="BN2614" s="82">
        <f>$AF2614-$AF2615</f>
        <v/>
      </c>
      <c r="BO2614" s="82">
        <f>$AG2614-$AG2615</f>
        <v/>
      </c>
      <c r="BP2614" s="82">
        <f>$AJ2614-$AJ2615</f>
        <v/>
      </c>
    </row>
    <row r="2615">
      <c r="AR2615" s="81">
        <f>($G2615+($H2615-$G2615)*0.5)+($P2615-($O2615+($Q2615-$O2615)*0.5))</f>
        <v/>
      </c>
      <c r="AS2615" s="81">
        <f>($J2615+($K2615-$J2615)*0.5)+($T2615-($S2615+($U2615-$S2615)*0.5))</f>
        <v/>
      </c>
      <c r="AT2615" s="82">
        <f>($J2615-$C2615)*100</f>
        <v/>
      </c>
      <c r="AU2615" s="82">
        <f>($H2615-$F2615)*100</f>
        <v/>
      </c>
      <c r="AV2615" s="82">
        <f>($J2615-$F2615)*100</f>
        <v/>
      </c>
      <c r="AW2615" s="82">
        <f>($L2615-$F2615)*100</f>
        <v/>
      </c>
      <c r="AX2615" s="82">
        <f>($J2615-$H2615)*100</f>
        <v/>
      </c>
      <c r="AY2615" s="82">
        <f>($L2615-$H2615)*100</f>
        <v/>
      </c>
      <c r="AZ2615" s="82">
        <f>($L2615-$J2615)*100</f>
        <v/>
      </c>
      <c r="BA2615" s="82">
        <f>(2*$H2615-$F2615-$J2615)*100</f>
        <v/>
      </c>
      <c r="BB2615" s="82">
        <f>(2*$J2615-$H2615-$L2615)*100</f>
        <v/>
      </c>
      <c r="BC2615" s="82">
        <f>($N2615-$F2615)*100</f>
        <v/>
      </c>
      <c r="BD2615" s="82">
        <f>($Q2615-$H2615)*100</f>
        <v/>
      </c>
      <c r="BE2615" s="82">
        <f>($S2615-$J2615)*100</f>
        <v/>
      </c>
      <c r="BF2615" s="82">
        <f>($V2615-$L2615)*100</f>
        <v/>
      </c>
      <c r="BG2615" s="82">
        <f>$AG2615-$AF2615</f>
        <v/>
      </c>
      <c r="BH2615" s="81">
        <f>IFERROR($AG2615/$AF2615,"")</f>
        <v/>
      </c>
      <c r="BI2615" s="82">
        <f>$AJ2615-$AF2615</f>
        <v/>
      </c>
      <c r="BJ2615" s="81">
        <f>IFERROR($AJ2615/$AG2615,"")</f>
        <v/>
      </c>
      <c r="BK2615" s="81">
        <f>$X2615</f>
        <v/>
      </c>
      <c r="BL2615" s="82">
        <f>($J2615-$J2616)*100</f>
        <v/>
      </c>
      <c r="BM2615" s="82">
        <f>($F2615-$F2616)*100</f>
        <v/>
      </c>
      <c r="BN2615" s="82">
        <f>$AF2615-$AF2616</f>
        <v/>
      </c>
      <c r="BO2615" s="82">
        <f>$AG2615-$AG2616</f>
        <v/>
      </c>
      <c r="BP2615" s="82">
        <f>$AJ2615-$AJ2616</f>
        <v/>
      </c>
    </row>
    <row r="2616">
      <c r="AR2616" s="81">
        <f>($G2616+($H2616-$G2616)*0.5)+($P2616-($O2616+($Q2616-$O2616)*0.5))</f>
        <v/>
      </c>
      <c r="AS2616" s="81">
        <f>($J2616+($K2616-$J2616)*0.5)+($T2616-($S2616+($U2616-$S2616)*0.5))</f>
        <v/>
      </c>
      <c r="AT2616" s="82">
        <f>($J2616-$C2616)*100</f>
        <v/>
      </c>
      <c r="AU2616" s="82">
        <f>($H2616-$F2616)*100</f>
        <v/>
      </c>
      <c r="AV2616" s="82">
        <f>($J2616-$F2616)*100</f>
        <v/>
      </c>
      <c r="AW2616" s="82">
        <f>($L2616-$F2616)*100</f>
        <v/>
      </c>
      <c r="AX2616" s="82">
        <f>($J2616-$H2616)*100</f>
        <v/>
      </c>
      <c r="AY2616" s="82">
        <f>($L2616-$H2616)*100</f>
        <v/>
      </c>
      <c r="AZ2616" s="82">
        <f>($L2616-$J2616)*100</f>
        <v/>
      </c>
      <c r="BA2616" s="82">
        <f>(2*$H2616-$F2616-$J2616)*100</f>
        <v/>
      </c>
      <c r="BB2616" s="82">
        <f>(2*$J2616-$H2616-$L2616)*100</f>
        <v/>
      </c>
      <c r="BC2616" s="82">
        <f>($N2616-$F2616)*100</f>
        <v/>
      </c>
      <c r="BD2616" s="82">
        <f>($Q2616-$H2616)*100</f>
        <v/>
      </c>
      <c r="BE2616" s="82">
        <f>($S2616-$J2616)*100</f>
        <v/>
      </c>
      <c r="BF2616" s="82">
        <f>($V2616-$L2616)*100</f>
        <v/>
      </c>
      <c r="BG2616" s="82">
        <f>$AG2616-$AF2616</f>
        <v/>
      </c>
      <c r="BH2616" s="81">
        <f>IFERROR($AG2616/$AF2616,"")</f>
        <v/>
      </c>
      <c r="BI2616" s="82">
        <f>$AJ2616-$AF2616</f>
        <v/>
      </c>
      <c r="BJ2616" s="81">
        <f>IFERROR($AJ2616/$AG2616,"")</f>
        <v/>
      </c>
      <c r="BK2616" s="81">
        <f>$X2616</f>
        <v/>
      </c>
      <c r="BL2616" s="82">
        <f>($J2616-$J2617)*100</f>
        <v/>
      </c>
      <c r="BM2616" s="82">
        <f>($F2616-$F2617)*100</f>
        <v/>
      </c>
      <c r="BN2616" s="82">
        <f>$AF2616-$AF2617</f>
        <v/>
      </c>
      <c r="BO2616" s="82">
        <f>$AG2616-$AG2617</f>
        <v/>
      </c>
      <c r="BP2616" s="82">
        <f>$AJ2616-$AJ2617</f>
        <v/>
      </c>
    </row>
    <row r="2617">
      <c r="AR2617" s="81">
        <f>($G2617+($H2617-$G2617)*0.5)+($P2617-($O2617+($Q2617-$O2617)*0.5))</f>
        <v/>
      </c>
      <c r="AS2617" s="81">
        <f>($J2617+($K2617-$J2617)*0.5)+($T2617-($S2617+($U2617-$S2617)*0.5))</f>
        <v/>
      </c>
      <c r="AT2617" s="82">
        <f>($J2617-$C2617)*100</f>
        <v/>
      </c>
      <c r="AU2617" s="82">
        <f>($H2617-$F2617)*100</f>
        <v/>
      </c>
      <c r="AV2617" s="82">
        <f>($J2617-$F2617)*100</f>
        <v/>
      </c>
      <c r="AW2617" s="82">
        <f>($L2617-$F2617)*100</f>
        <v/>
      </c>
      <c r="AX2617" s="82">
        <f>($J2617-$H2617)*100</f>
        <v/>
      </c>
      <c r="AY2617" s="82">
        <f>($L2617-$H2617)*100</f>
        <v/>
      </c>
      <c r="AZ2617" s="82">
        <f>($L2617-$J2617)*100</f>
        <v/>
      </c>
      <c r="BA2617" s="82">
        <f>(2*$H2617-$F2617-$J2617)*100</f>
        <v/>
      </c>
      <c r="BB2617" s="82">
        <f>(2*$J2617-$H2617-$L2617)*100</f>
        <v/>
      </c>
      <c r="BC2617" s="82">
        <f>($N2617-$F2617)*100</f>
        <v/>
      </c>
      <c r="BD2617" s="82">
        <f>($Q2617-$H2617)*100</f>
        <v/>
      </c>
      <c r="BE2617" s="82">
        <f>($S2617-$J2617)*100</f>
        <v/>
      </c>
      <c r="BF2617" s="82">
        <f>($V2617-$L2617)*100</f>
        <v/>
      </c>
      <c r="BG2617" s="82">
        <f>$AG2617-$AF2617</f>
        <v/>
      </c>
      <c r="BH2617" s="81">
        <f>IFERROR($AG2617/$AF2617,"")</f>
        <v/>
      </c>
      <c r="BI2617" s="82">
        <f>$AJ2617-$AF2617</f>
        <v/>
      </c>
      <c r="BJ2617" s="81">
        <f>IFERROR($AJ2617/$AG2617,"")</f>
        <v/>
      </c>
      <c r="BK2617" s="81">
        <f>$X2617</f>
        <v/>
      </c>
      <c r="BL2617" s="83" t="inlineStr"/>
      <c r="BM2617" s="83" t="inlineStr"/>
      <c r="BN2617" s="83" t="inlineStr"/>
      <c r="BO2617" s="83" t="inlineStr"/>
      <c r="BP2617" s="83" t="inlineStr"/>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Q308"/>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MONTHLY HISTORY BLOCK — 25 years of month-ends, newest first</t>
        </is>
      </c>
    </row>
    <row r="2">
      <c r="A2" s="2" t="inlineStr">
        <is>
          <t>Feeds the 20y/25y percentile columns. Monthly sampling is deliberate: it keeps the deep-history block small and is the standard convention for long-run spread percentiles.</t>
        </is>
      </c>
    </row>
    <row r="4" ht="30" customHeight="1">
      <c r="A4" s="5" t="inlineStr">
        <is>
          <t>Series</t>
        </is>
      </c>
      <c r="B4" s="5" t="inlineStr">
        <is>
          <t>UST 2Y</t>
        </is>
      </c>
      <c r="C4" s="5" t="inlineStr">
        <is>
          <t>UST 5Y</t>
        </is>
      </c>
      <c r="D4" s="5" t="inlineStr">
        <is>
          <t>UST 10Y</t>
        </is>
      </c>
      <c r="E4" s="5" t="inlineStr">
        <is>
          <t>UST 30Y</t>
        </is>
      </c>
      <c r="F4" s="5" t="inlineStr">
        <is>
          <t>US IG OAS</t>
        </is>
      </c>
      <c r="G4" s="5" t="inlineStr">
        <is>
          <t>US HY OAS</t>
        </is>
      </c>
      <c r="H4" s="5" t="inlineStr">
        <is>
          <t>EM USD Agg OAS</t>
        </is>
      </c>
      <c r="I4" s="5" t="inlineStr">
        <is>
          <t>MOVE index</t>
        </is>
      </c>
      <c r="J4" s="77" t="inlineStr">
        <is>
          <t>2s10s</t>
        </is>
      </c>
      <c r="K4" s="77" t="inlineStr">
        <is>
          <t>2s30s</t>
        </is>
      </c>
      <c r="L4" s="77" t="inlineStr">
        <is>
          <t>5s30s</t>
        </is>
      </c>
      <c r="M4" s="77" t="inlineStr">
        <is>
          <t>10s30s</t>
        </is>
      </c>
      <c r="N4" s="77" t="inlineStr">
        <is>
          <t>HY minus IG OAS</t>
        </is>
      </c>
      <c r="O4" s="77" t="inlineStr">
        <is>
          <t>HY / IG OAS ratio</t>
        </is>
      </c>
      <c r="P4" s="77" t="inlineStr">
        <is>
          <t>EM / HY OAS ratio</t>
        </is>
      </c>
      <c r="Q4" s="77" t="inlineStr">
        <is>
          <t>EM minus IG OAS</t>
        </is>
      </c>
    </row>
    <row r="5">
      <c r="A5" s="5" t="inlineStr">
        <is>
          <t>Ticker</t>
        </is>
      </c>
      <c r="B5" s="78">
        <f>Tickers!$C$51</f>
        <v/>
      </c>
      <c r="C5" s="78">
        <f>Tickers!$C$52</f>
        <v/>
      </c>
      <c r="D5" s="78">
        <f>Tickers!$C$53</f>
        <v/>
      </c>
      <c r="E5" s="78">
        <f>Tickers!$C$54</f>
        <v/>
      </c>
      <c r="F5" s="78">
        <f>Tickers!$C$55</f>
        <v/>
      </c>
      <c r="G5" s="78">
        <f>Tickers!$C$56</f>
        <v/>
      </c>
      <c r="H5" s="78">
        <f>Tickers!$C$57</f>
        <v/>
      </c>
      <c r="I5" s="78">
        <f>Tickers!$C$58</f>
        <v/>
      </c>
      <c r="J5" s="27" t="inlineStr">
        <is>
          <t>derived</t>
        </is>
      </c>
      <c r="K5" s="27" t="inlineStr">
        <is>
          <t>derived</t>
        </is>
      </c>
      <c r="L5" s="27" t="inlineStr">
        <is>
          <t>derived</t>
        </is>
      </c>
      <c r="M5" s="27" t="inlineStr">
        <is>
          <t>derived</t>
        </is>
      </c>
      <c r="N5" s="27" t="inlineStr">
        <is>
          <t>derived</t>
        </is>
      </c>
      <c r="O5" s="27" t="inlineStr">
        <is>
          <t>derived</t>
        </is>
      </c>
      <c r="P5" s="27" t="inlineStr">
        <is>
          <t>derived</t>
        </is>
      </c>
      <c r="Q5" s="27" t="inlineStr">
        <is>
          <t>derived</t>
        </is>
      </c>
    </row>
    <row r="6">
      <c r="A6" s="5" t="inlineStr">
        <is>
          <t>Field</t>
        </is>
      </c>
      <c r="B6" s="78">
        <f>Tickers!$D$51</f>
        <v/>
      </c>
      <c r="C6" s="78">
        <f>Tickers!$D$52</f>
        <v/>
      </c>
      <c r="D6" s="78">
        <f>Tickers!$D$53</f>
        <v/>
      </c>
      <c r="E6" s="78">
        <f>Tickers!$D$54</f>
        <v/>
      </c>
      <c r="F6" s="78">
        <f>Tickers!$D$55</f>
        <v/>
      </c>
      <c r="G6" s="78">
        <f>Tickers!$D$56</f>
        <v/>
      </c>
      <c r="H6" s="78">
        <f>Tickers!$D$57</f>
        <v/>
      </c>
      <c r="I6" s="78">
        <f>Tickers!$D$58</f>
        <v/>
      </c>
      <c r="J6" s="27" t="inlineStr">
        <is>
          <t>bp</t>
        </is>
      </c>
      <c r="K6" s="27" t="inlineStr">
        <is>
          <t>bp</t>
        </is>
      </c>
      <c r="L6" s="27" t="inlineStr">
        <is>
          <t>bp</t>
        </is>
      </c>
      <c r="M6" s="27" t="inlineStr">
        <is>
          <t>bp</t>
        </is>
      </c>
      <c r="N6" s="27" t="inlineStr">
        <is>
          <t>bp</t>
        </is>
      </c>
      <c r="O6" s="27" t="inlineStr">
        <is>
          <t>x</t>
        </is>
      </c>
      <c r="P6" s="27" t="inlineStr">
        <is>
          <t>x</t>
        </is>
      </c>
      <c r="Q6" s="27" t="inlineStr">
        <is>
          <t>bp</t>
        </is>
      </c>
    </row>
    <row r="7">
      <c r="A7" s="5" t="inlineStr">
        <is>
          <t>Date</t>
        </is>
      </c>
      <c r="B7" s="5" t="inlineStr">
        <is>
          <t>MUST2Y</t>
        </is>
      </c>
      <c r="C7" s="5" t="inlineStr">
        <is>
          <t>MUST5Y</t>
        </is>
      </c>
      <c r="D7" s="5" t="inlineStr">
        <is>
          <t>MUST10Y</t>
        </is>
      </c>
      <c r="E7" s="5" t="inlineStr">
        <is>
          <t>MUST30Y</t>
        </is>
      </c>
      <c r="F7" s="5" t="inlineStr">
        <is>
          <t>MIGOAS</t>
        </is>
      </c>
      <c r="G7" s="5" t="inlineStr">
        <is>
          <t>MHYOAS</t>
        </is>
      </c>
      <c r="H7" s="5" t="inlineStr">
        <is>
          <t>MEMOAS</t>
        </is>
      </c>
      <c r="I7" s="5" t="inlineStr">
        <is>
          <t>MMOVE</t>
        </is>
      </c>
      <c r="J7" s="5" t="inlineStr">
        <is>
          <t>M2s10s</t>
        </is>
      </c>
      <c r="K7" s="5" t="inlineStr">
        <is>
          <t>M2s30s</t>
        </is>
      </c>
      <c r="L7" s="5" t="inlineStr">
        <is>
          <t>M5s30s</t>
        </is>
      </c>
      <c r="M7" s="5" t="inlineStr">
        <is>
          <t>M10s30s</t>
        </is>
      </c>
      <c r="N7" s="5" t="inlineStr">
        <is>
          <t>MHYIG</t>
        </is>
      </c>
      <c r="O7" s="5" t="inlineStr">
        <is>
          <t>MHYIGR</t>
        </is>
      </c>
      <c r="P7" s="5" t="inlineStr">
        <is>
          <t>MEMHYR</t>
        </is>
      </c>
      <c r="Q7" s="5" t="inlineStr">
        <is>
          <t>MEMIG</t>
        </is>
      </c>
    </row>
    <row r="8">
      <c r="A8" s="79">
        <f>BDH($B$5,$B$6,Control!$B$8,Control!$B$7,"Dir=V","Sort=D","Per=M","Days=C","Fill=P","Dts=S")</f>
        <v/>
      </c>
      <c r="C8" s="80">
        <f>BDH($C$5,$C$6,Control!$B$8,Control!$B$7,"Dir=V","Sort=D","Per=M","Days=C","Fill=P","Dts=H")</f>
        <v/>
      </c>
      <c r="D8" s="80">
        <f>BDH($D$5,$D$6,Control!$B$8,Control!$B$7,"Dir=V","Sort=D","Per=M","Days=C","Fill=P","Dts=H")</f>
        <v/>
      </c>
      <c r="E8" s="80">
        <f>BDH($E$5,$E$6,Control!$B$8,Control!$B$7,"Dir=V","Sort=D","Per=M","Days=C","Fill=P","Dts=H")</f>
        <v/>
      </c>
      <c r="F8" s="80">
        <f>BDH($F$5,$F$6,Control!$B$8,Control!$B$7,"Dir=V","Sort=D","Per=M","Days=C","Fill=P","Dts=H")</f>
        <v/>
      </c>
      <c r="G8" s="80">
        <f>BDH($G$5,$G$6,Control!$B$8,Control!$B$7,"Dir=V","Sort=D","Per=M","Days=C","Fill=P","Dts=H")</f>
        <v/>
      </c>
      <c r="H8" s="80">
        <f>BDH($H$5,$H$6,Control!$B$8,Control!$B$7,"Dir=V","Sort=D","Per=M","Days=C","Fill=P","Dts=H")</f>
        <v/>
      </c>
      <c r="I8" s="80">
        <f>BDH($I$5,$I$6,Control!$B$8,Control!$B$7,"Dir=V","Sort=D","Per=M","Days=C","Fill=P","Dts=H")</f>
        <v/>
      </c>
      <c r="J8" s="82">
        <f>($D8-$B8)*100</f>
        <v/>
      </c>
      <c r="K8" s="82">
        <f>($E8-$B8)*100</f>
        <v/>
      </c>
      <c r="L8" s="82">
        <f>($E8-$C8)*100</f>
        <v/>
      </c>
      <c r="M8" s="82">
        <f>($E8-$D8)*100</f>
        <v/>
      </c>
      <c r="N8" s="82">
        <f>$G8-$F8</f>
        <v/>
      </c>
      <c r="O8" s="81">
        <f>IFERROR($G8/$F8,"")</f>
        <v/>
      </c>
      <c r="P8" s="81">
        <f>IFERROR($H8/$G8,"")</f>
        <v/>
      </c>
      <c r="Q8" s="82">
        <f>$H8-$F8</f>
        <v/>
      </c>
    </row>
    <row r="9">
      <c r="J9" s="82">
        <f>($D9-$B9)*100</f>
        <v/>
      </c>
      <c r="K9" s="82">
        <f>($E9-$B9)*100</f>
        <v/>
      </c>
      <c r="L9" s="82">
        <f>($E9-$C9)*100</f>
        <v/>
      </c>
      <c r="M9" s="82">
        <f>($E9-$D9)*100</f>
        <v/>
      </c>
      <c r="N9" s="82">
        <f>$G9-$F9</f>
        <v/>
      </c>
      <c r="O9" s="81">
        <f>IFERROR($G9/$F9,"")</f>
        <v/>
      </c>
      <c r="P9" s="81">
        <f>IFERROR($H9/$G9,"")</f>
        <v/>
      </c>
      <c r="Q9" s="82">
        <f>$H9-$F9</f>
        <v/>
      </c>
    </row>
    <row r="10">
      <c r="J10" s="82">
        <f>($D10-$B10)*100</f>
        <v/>
      </c>
      <c r="K10" s="82">
        <f>($E10-$B10)*100</f>
        <v/>
      </c>
      <c r="L10" s="82">
        <f>($E10-$C10)*100</f>
        <v/>
      </c>
      <c r="M10" s="82">
        <f>($E10-$D10)*100</f>
        <v/>
      </c>
      <c r="N10" s="82">
        <f>$G10-$F10</f>
        <v/>
      </c>
      <c r="O10" s="81">
        <f>IFERROR($G10/$F10,"")</f>
        <v/>
      </c>
      <c r="P10" s="81">
        <f>IFERROR($H10/$G10,"")</f>
        <v/>
      </c>
      <c r="Q10" s="82">
        <f>$H10-$F10</f>
        <v/>
      </c>
    </row>
    <row r="11">
      <c r="J11" s="82">
        <f>($D11-$B11)*100</f>
        <v/>
      </c>
      <c r="K11" s="82">
        <f>($E11-$B11)*100</f>
        <v/>
      </c>
      <c r="L11" s="82">
        <f>($E11-$C11)*100</f>
        <v/>
      </c>
      <c r="M11" s="82">
        <f>($E11-$D11)*100</f>
        <v/>
      </c>
      <c r="N11" s="82">
        <f>$G11-$F11</f>
        <v/>
      </c>
      <c r="O11" s="81">
        <f>IFERROR($G11/$F11,"")</f>
        <v/>
      </c>
      <c r="P11" s="81">
        <f>IFERROR($H11/$G11,"")</f>
        <v/>
      </c>
      <c r="Q11" s="82">
        <f>$H11-$F11</f>
        <v/>
      </c>
    </row>
    <row r="12">
      <c r="J12" s="82">
        <f>($D12-$B12)*100</f>
        <v/>
      </c>
      <c r="K12" s="82">
        <f>($E12-$B12)*100</f>
        <v/>
      </c>
      <c r="L12" s="82">
        <f>($E12-$C12)*100</f>
        <v/>
      </c>
      <c r="M12" s="82">
        <f>($E12-$D12)*100</f>
        <v/>
      </c>
      <c r="N12" s="82">
        <f>$G12-$F12</f>
        <v/>
      </c>
      <c r="O12" s="81">
        <f>IFERROR($G12/$F12,"")</f>
        <v/>
      </c>
      <c r="P12" s="81">
        <f>IFERROR($H12/$G12,"")</f>
        <v/>
      </c>
      <c r="Q12" s="82">
        <f>$H12-$F12</f>
        <v/>
      </c>
    </row>
    <row r="13">
      <c r="J13" s="82">
        <f>($D13-$B13)*100</f>
        <v/>
      </c>
      <c r="K13" s="82">
        <f>($E13-$B13)*100</f>
        <v/>
      </c>
      <c r="L13" s="82">
        <f>($E13-$C13)*100</f>
        <v/>
      </c>
      <c r="M13" s="82">
        <f>($E13-$D13)*100</f>
        <v/>
      </c>
      <c r="N13" s="82">
        <f>$G13-$F13</f>
        <v/>
      </c>
      <c r="O13" s="81">
        <f>IFERROR($G13/$F13,"")</f>
        <v/>
      </c>
      <c r="P13" s="81">
        <f>IFERROR($H13/$G13,"")</f>
        <v/>
      </c>
      <c r="Q13" s="82">
        <f>$H13-$F13</f>
        <v/>
      </c>
    </row>
    <row r="14">
      <c r="J14" s="82">
        <f>($D14-$B14)*100</f>
        <v/>
      </c>
      <c r="K14" s="82">
        <f>($E14-$B14)*100</f>
        <v/>
      </c>
      <c r="L14" s="82">
        <f>($E14-$C14)*100</f>
        <v/>
      </c>
      <c r="M14" s="82">
        <f>($E14-$D14)*100</f>
        <v/>
      </c>
      <c r="N14" s="82">
        <f>$G14-$F14</f>
        <v/>
      </c>
      <c r="O14" s="81">
        <f>IFERROR($G14/$F14,"")</f>
        <v/>
      </c>
      <c r="P14" s="81">
        <f>IFERROR($H14/$G14,"")</f>
        <v/>
      </c>
      <c r="Q14" s="82">
        <f>$H14-$F14</f>
        <v/>
      </c>
    </row>
    <row r="15">
      <c r="J15" s="82">
        <f>($D15-$B15)*100</f>
        <v/>
      </c>
      <c r="K15" s="82">
        <f>($E15-$B15)*100</f>
        <v/>
      </c>
      <c r="L15" s="82">
        <f>($E15-$C15)*100</f>
        <v/>
      </c>
      <c r="M15" s="82">
        <f>($E15-$D15)*100</f>
        <v/>
      </c>
      <c r="N15" s="82">
        <f>$G15-$F15</f>
        <v/>
      </c>
      <c r="O15" s="81">
        <f>IFERROR($G15/$F15,"")</f>
        <v/>
      </c>
      <c r="P15" s="81">
        <f>IFERROR($H15/$G15,"")</f>
        <v/>
      </c>
      <c r="Q15" s="82">
        <f>$H15-$F15</f>
        <v/>
      </c>
    </row>
    <row r="16">
      <c r="J16" s="82">
        <f>($D16-$B16)*100</f>
        <v/>
      </c>
      <c r="K16" s="82">
        <f>($E16-$B16)*100</f>
        <v/>
      </c>
      <c r="L16" s="82">
        <f>($E16-$C16)*100</f>
        <v/>
      </c>
      <c r="M16" s="82">
        <f>($E16-$D16)*100</f>
        <v/>
      </c>
      <c r="N16" s="82">
        <f>$G16-$F16</f>
        <v/>
      </c>
      <c r="O16" s="81">
        <f>IFERROR($G16/$F16,"")</f>
        <v/>
      </c>
      <c r="P16" s="81">
        <f>IFERROR($H16/$G16,"")</f>
        <v/>
      </c>
      <c r="Q16" s="82">
        <f>$H16-$F16</f>
        <v/>
      </c>
    </row>
    <row r="17">
      <c r="J17" s="82">
        <f>($D17-$B17)*100</f>
        <v/>
      </c>
      <c r="K17" s="82">
        <f>($E17-$B17)*100</f>
        <v/>
      </c>
      <c r="L17" s="82">
        <f>($E17-$C17)*100</f>
        <v/>
      </c>
      <c r="M17" s="82">
        <f>($E17-$D17)*100</f>
        <v/>
      </c>
      <c r="N17" s="82">
        <f>$G17-$F17</f>
        <v/>
      </c>
      <c r="O17" s="81">
        <f>IFERROR($G17/$F17,"")</f>
        <v/>
      </c>
      <c r="P17" s="81">
        <f>IFERROR($H17/$G17,"")</f>
        <v/>
      </c>
      <c r="Q17" s="82">
        <f>$H17-$F17</f>
        <v/>
      </c>
    </row>
    <row r="18">
      <c r="J18" s="82">
        <f>($D18-$B18)*100</f>
        <v/>
      </c>
      <c r="K18" s="82">
        <f>($E18-$B18)*100</f>
        <v/>
      </c>
      <c r="L18" s="82">
        <f>($E18-$C18)*100</f>
        <v/>
      </c>
      <c r="M18" s="82">
        <f>($E18-$D18)*100</f>
        <v/>
      </c>
      <c r="N18" s="82">
        <f>$G18-$F18</f>
        <v/>
      </c>
      <c r="O18" s="81">
        <f>IFERROR($G18/$F18,"")</f>
        <v/>
      </c>
      <c r="P18" s="81">
        <f>IFERROR($H18/$G18,"")</f>
        <v/>
      </c>
      <c r="Q18" s="82">
        <f>$H18-$F18</f>
        <v/>
      </c>
    </row>
    <row r="19">
      <c r="J19" s="82">
        <f>($D19-$B19)*100</f>
        <v/>
      </c>
      <c r="K19" s="82">
        <f>($E19-$B19)*100</f>
        <v/>
      </c>
      <c r="L19" s="82">
        <f>($E19-$C19)*100</f>
        <v/>
      </c>
      <c r="M19" s="82">
        <f>($E19-$D19)*100</f>
        <v/>
      </c>
      <c r="N19" s="82">
        <f>$G19-$F19</f>
        <v/>
      </c>
      <c r="O19" s="81">
        <f>IFERROR($G19/$F19,"")</f>
        <v/>
      </c>
      <c r="P19" s="81">
        <f>IFERROR($H19/$G19,"")</f>
        <v/>
      </c>
      <c r="Q19" s="82">
        <f>$H19-$F19</f>
        <v/>
      </c>
    </row>
    <row r="20">
      <c r="J20" s="82">
        <f>($D20-$B20)*100</f>
        <v/>
      </c>
      <c r="K20" s="82">
        <f>($E20-$B20)*100</f>
        <v/>
      </c>
      <c r="L20" s="82">
        <f>($E20-$C20)*100</f>
        <v/>
      </c>
      <c r="M20" s="82">
        <f>($E20-$D20)*100</f>
        <v/>
      </c>
      <c r="N20" s="82">
        <f>$G20-$F20</f>
        <v/>
      </c>
      <c r="O20" s="81">
        <f>IFERROR($G20/$F20,"")</f>
        <v/>
      </c>
      <c r="P20" s="81">
        <f>IFERROR($H20/$G20,"")</f>
        <v/>
      </c>
      <c r="Q20" s="82">
        <f>$H20-$F20</f>
        <v/>
      </c>
    </row>
    <row r="21">
      <c r="J21" s="82">
        <f>($D21-$B21)*100</f>
        <v/>
      </c>
      <c r="K21" s="82">
        <f>($E21-$B21)*100</f>
        <v/>
      </c>
      <c r="L21" s="82">
        <f>($E21-$C21)*100</f>
        <v/>
      </c>
      <c r="M21" s="82">
        <f>($E21-$D21)*100</f>
        <v/>
      </c>
      <c r="N21" s="82">
        <f>$G21-$F21</f>
        <v/>
      </c>
      <c r="O21" s="81">
        <f>IFERROR($G21/$F21,"")</f>
        <v/>
      </c>
      <c r="P21" s="81">
        <f>IFERROR($H21/$G21,"")</f>
        <v/>
      </c>
      <c r="Q21" s="82">
        <f>$H21-$F21</f>
        <v/>
      </c>
    </row>
    <row r="22">
      <c r="J22" s="82">
        <f>($D22-$B22)*100</f>
        <v/>
      </c>
      <c r="K22" s="82">
        <f>($E22-$B22)*100</f>
        <v/>
      </c>
      <c r="L22" s="82">
        <f>($E22-$C22)*100</f>
        <v/>
      </c>
      <c r="M22" s="82">
        <f>($E22-$D22)*100</f>
        <v/>
      </c>
      <c r="N22" s="82">
        <f>$G22-$F22</f>
        <v/>
      </c>
      <c r="O22" s="81">
        <f>IFERROR($G22/$F22,"")</f>
        <v/>
      </c>
      <c r="P22" s="81">
        <f>IFERROR($H22/$G22,"")</f>
        <v/>
      </c>
      <c r="Q22" s="82">
        <f>$H22-$F22</f>
        <v/>
      </c>
    </row>
    <row r="23">
      <c r="J23" s="82">
        <f>($D23-$B23)*100</f>
        <v/>
      </c>
      <c r="K23" s="82">
        <f>($E23-$B23)*100</f>
        <v/>
      </c>
      <c r="L23" s="82">
        <f>($E23-$C23)*100</f>
        <v/>
      </c>
      <c r="M23" s="82">
        <f>($E23-$D23)*100</f>
        <v/>
      </c>
      <c r="N23" s="82">
        <f>$G23-$F23</f>
        <v/>
      </c>
      <c r="O23" s="81">
        <f>IFERROR($G23/$F23,"")</f>
        <v/>
      </c>
      <c r="P23" s="81">
        <f>IFERROR($H23/$G23,"")</f>
        <v/>
      </c>
      <c r="Q23" s="82">
        <f>$H23-$F23</f>
        <v/>
      </c>
    </row>
    <row r="24">
      <c r="J24" s="82">
        <f>($D24-$B24)*100</f>
        <v/>
      </c>
      <c r="K24" s="82">
        <f>($E24-$B24)*100</f>
        <v/>
      </c>
      <c r="L24" s="82">
        <f>($E24-$C24)*100</f>
        <v/>
      </c>
      <c r="M24" s="82">
        <f>($E24-$D24)*100</f>
        <v/>
      </c>
      <c r="N24" s="82">
        <f>$G24-$F24</f>
        <v/>
      </c>
      <c r="O24" s="81">
        <f>IFERROR($G24/$F24,"")</f>
        <v/>
      </c>
      <c r="P24" s="81">
        <f>IFERROR($H24/$G24,"")</f>
        <v/>
      </c>
      <c r="Q24" s="82">
        <f>$H24-$F24</f>
        <v/>
      </c>
    </row>
    <row r="25">
      <c r="J25" s="82">
        <f>($D25-$B25)*100</f>
        <v/>
      </c>
      <c r="K25" s="82">
        <f>($E25-$B25)*100</f>
        <v/>
      </c>
      <c r="L25" s="82">
        <f>($E25-$C25)*100</f>
        <v/>
      </c>
      <c r="M25" s="82">
        <f>($E25-$D25)*100</f>
        <v/>
      </c>
      <c r="N25" s="82">
        <f>$G25-$F25</f>
        <v/>
      </c>
      <c r="O25" s="81">
        <f>IFERROR($G25/$F25,"")</f>
        <v/>
      </c>
      <c r="P25" s="81">
        <f>IFERROR($H25/$G25,"")</f>
        <v/>
      </c>
      <c r="Q25" s="82">
        <f>$H25-$F25</f>
        <v/>
      </c>
    </row>
    <row r="26">
      <c r="J26" s="82">
        <f>($D26-$B26)*100</f>
        <v/>
      </c>
      <c r="K26" s="82">
        <f>($E26-$B26)*100</f>
        <v/>
      </c>
      <c r="L26" s="82">
        <f>($E26-$C26)*100</f>
        <v/>
      </c>
      <c r="M26" s="82">
        <f>($E26-$D26)*100</f>
        <v/>
      </c>
      <c r="N26" s="82">
        <f>$G26-$F26</f>
        <v/>
      </c>
      <c r="O26" s="81">
        <f>IFERROR($G26/$F26,"")</f>
        <v/>
      </c>
      <c r="P26" s="81">
        <f>IFERROR($H26/$G26,"")</f>
        <v/>
      </c>
      <c r="Q26" s="82">
        <f>$H26-$F26</f>
        <v/>
      </c>
    </row>
    <row r="27">
      <c r="J27" s="82">
        <f>($D27-$B27)*100</f>
        <v/>
      </c>
      <c r="K27" s="82">
        <f>($E27-$B27)*100</f>
        <v/>
      </c>
      <c r="L27" s="82">
        <f>($E27-$C27)*100</f>
        <v/>
      </c>
      <c r="M27" s="82">
        <f>($E27-$D27)*100</f>
        <v/>
      </c>
      <c r="N27" s="82">
        <f>$G27-$F27</f>
        <v/>
      </c>
      <c r="O27" s="81">
        <f>IFERROR($G27/$F27,"")</f>
        <v/>
      </c>
      <c r="P27" s="81">
        <f>IFERROR($H27/$G27,"")</f>
        <v/>
      </c>
      <c r="Q27" s="82">
        <f>$H27-$F27</f>
        <v/>
      </c>
    </row>
    <row r="28">
      <c r="J28" s="82">
        <f>($D28-$B28)*100</f>
        <v/>
      </c>
      <c r="K28" s="82">
        <f>($E28-$B28)*100</f>
        <v/>
      </c>
      <c r="L28" s="82">
        <f>($E28-$C28)*100</f>
        <v/>
      </c>
      <c r="M28" s="82">
        <f>($E28-$D28)*100</f>
        <v/>
      </c>
      <c r="N28" s="82">
        <f>$G28-$F28</f>
        <v/>
      </c>
      <c r="O28" s="81">
        <f>IFERROR($G28/$F28,"")</f>
        <v/>
      </c>
      <c r="P28" s="81">
        <f>IFERROR($H28/$G28,"")</f>
        <v/>
      </c>
      <c r="Q28" s="82">
        <f>$H28-$F28</f>
        <v/>
      </c>
    </row>
    <row r="29">
      <c r="J29" s="82">
        <f>($D29-$B29)*100</f>
        <v/>
      </c>
      <c r="K29" s="82">
        <f>($E29-$B29)*100</f>
        <v/>
      </c>
      <c r="L29" s="82">
        <f>($E29-$C29)*100</f>
        <v/>
      </c>
      <c r="M29" s="82">
        <f>($E29-$D29)*100</f>
        <v/>
      </c>
      <c r="N29" s="82">
        <f>$G29-$F29</f>
        <v/>
      </c>
      <c r="O29" s="81">
        <f>IFERROR($G29/$F29,"")</f>
        <v/>
      </c>
      <c r="P29" s="81">
        <f>IFERROR($H29/$G29,"")</f>
        <v/>
      </c>
      <c r="Q29" s="82">
        <f>$H29-$F29</f>
        <v/>
      </c>
    </row>
    <row r="30">
      <c r="J30" s="82">
        <f>($D30-$B30)*100</f>
        <v/>
      </c>
      <c r="K30" s="82">
        <f>($E30-$B30)*100</f>
        <v/>
      </c>
      <c r="L30" s="82">
        <f>($E30-$C30)*100</f>
        <v/>
      </c>
      <c r="M30" s="82">
        <f>($E30-$D30)*100</f>
        <v/>
      </c>
      <c r="N30" s="82">
        <f>$G30-$F30</f>
        <v/>
      </c>
      <c r="O30" s="81">
        <f>IFERROR($G30/$F30,"")</f>
        <v/>
      </c>
      <c r="P30" s="81">
        <f>IFERROR($H30/$G30,"")</f>
        <v/>
      </c>
      <c r="Q30" s="82">
        <f>$H30-$F30</f>
        <v/>
      </c>
    </row>
    <row r="31">
      <c r="J31" s="82">
        <f>($D31-$B31)*100</f>
        <v/>
      </c>
      <c r="K31" s="82">
        <f>($E31-$B31)*100</f>
        <v/>
      </c>
      <c r="L31" s="82">
        <f>($E31-$C31)*100</f>
        <v/>
      </c>
      <c r="M31" s="82">
        <f>($E31-$D31)*100</f>
        <v/>
      </c>
      <c r="N31" s="82">
        <f>$G31-$F31</f>
        <v/>
      </c>
      <c r="O31" s="81">
        <f>IFERROR($G31/$F31,"")</f>
        <v/>
      </c>
      <c r="P31" s="81">
        <f>IFERROR($H31/$G31,"")</f>
        <v/>
      </c>
      <c r="Q31" s="82">
        <f>$H31-$F31</f>
        <v/>
      </c>
    </row>
    <row r="32">
      <c r="J32" s="82">
        <f>($D32-$B32)*100</f>
        <v/>
      </c>
      <c r="K32" s="82">
        <f>($E32-$B32)*100</f>
        <v/>
      </c>
      <c r="L32" s="82">
        <f>($E32-$C32)*100</f>
        <v/>
      </c>
      <c r="M32" s="82">
        <f>($E32-$D32)*100</f>
        <v/>
      </c>
      <c r="N32" s="82">
        <f>$G32-$F32</f>
        <v/>
      </c>
      <c r="O32" s="81">
        <f>IFERROR($G32/$F32,"")</f>
        <v/>
      </c>
      <c r="P32" s="81">
        <f>IFERROR($H32/$G32,"")</f>
        <v/>
      </c>
      <c r="Q32" s="82">
        <f>$H32-$F32</f>
        <v/>
      </c>
    </row>
    <row r="33">
      <c r="J33" s="82">
        <f>($D33-$B33)*100</f>
        <v/>
      </c>
      <c r="K33" s="82">
        <f>($E33-$B33)*100</f>
        <v/>
      </c>
      <c r="L33" s="82">
        <f>($E33-$C33)*100</f>
        <v/>
      </c>
      <c r="M33" s="82">
        <f>($E33-$D33)*100</f>
        <v/>
      </c>
      <c r="N33" s="82">
        <f>$G33-$F33</f>
        <v/>
      </c>
      <c r="O33" s="81">
        <f>IFERROR($G33/$F33,"")</f>
        <v/>
      </c>
      <c r="P33" s="81">
        <f>IFERROR($H33/$G33,"")</f>
        <v/>
      </c>
      <c r="Q33" s="82">
        <f>$H33-$F33</f>
        <v/>
      </c>
    </row>
    <row r="34">
      <c r="J34" s="82">
        <f>($D34-$B34)*100</f>
        <v/>
      </c>
      <c r="K34" s="82">
        <f>($E34-$B34)*100</f>
        <v/>
      </c>
      <c r="L34" s="82">
        <f>($E34-$C34)*100</f>
        <v/>
      </c>
      <c r="M34" s="82">
        <f>($E34-$D34)*100</f>
        <v/>
      </c>
      <c r="N34" s="82">
        <f>$G34-$F34</f>
        <v/>
      </c>
      <c r="O34" s="81">
        <f>IFERROR($G34/$F34,"")</f>
        <v/>
      </c>
      <c r="P34" s="81">
        <f>IFERROR($H34/$G34,"")</f>
        <v/>
      </c>
      <c r="Q34" s="82">
        <f>$H34-$F34</f>
        <v/>
      </c>
    </row>
    <row r="35">
      <c r="J35" s="82">
        <f>($D35-$B35)*100</f>
        <v/>
      </c>
      <c r="K35" s="82">
        <f>($E35-$B35)*100</f>
        <v/>
      </c>
      <c r="L35" s="82">
        <f>($E35-$C35)*100</f>
        <v/>
      </c>
      <c r="M35" s="82">
        <f>($E35-$D35)*100</f>
        <v/>
      </c>
      <c r="N35" s="82">
        <f>$G35-$F35</f>
        <v/>
      </c>
      <c r="O35" s="81">
        <f>IFERROR($G35/$F35,"")</f>
        <v/>
      </c>
      <c r="P35" s="81">
        <f>IFERROR($H35/$G35,"")</f>
        <v/>
      </c>
      <c r="Q35" s="82">
        <f>$H35-$F35</f>
        <v/>
      </c>
    </row>
    <row r="36">
      <c r="J36" s="82">
        <f>($D36-$B36)*100</f>
        <v/>
      </c>
      <c r="K36" s="82">
        <f>($E36-$B36)*100</f>
        <v/>
      </c>
      <c r="L36" s="82">
        <f>($E36-$C36)*100</f>
        <v/>
      </c>
      <c r="M36" s="82">
        <f>($E36-$D36)*100</f>
        <v/>
      </c>
      <c r="N36" s="82">
        <f>$G36-$F36</f>
        <v/>
      </c>
      <c r="O36" s="81">
        <f>IFERROR($G36/$F36,"")</f>
        <v/>
      </c>
      <c r="P36" s="81">
        <f>IFERROR($H36/$G36,"")</f>
        <v/>
      </c>
      <c r="Q36" s="82">
        <f>$H36-$F36</f>
        <v/>
      </c>
    </row>
    <row r="37">
      <c r="J37" s="82">
        <f>($D37-$B37)*100</f>
        <v/>
      </c>
      <c r="K37" s="82">
        <f>($E37-$B37)*100</f>
        <v/>
      </c>
      <c r="L37" s="82">
        <f>($E37-$C37)*100</f>
        <v/>
      </c>
      <c r="M37" s="82">
        <f>($E37-$D37)*100</f>
        <v/>
      </c>
      <c r="N37" s="82">
        <f>$G37-$F37</f>
        <v/>
      </c>
      <c r="O37" s="81">
        <f>IFERROR($G37/$F37,"")</f>
        <v/>
      </c>
      <c r="P37" s="81">
        <f>IFERROR($H37/$G37,"")</f>
        <v/>
      </c>
      <c r="Q37" s="82">
        <f>$H37-$F37</f>
        <v/>
      </c>
    </row>
    <row r="38">
      <c r="J38" s="82">
        <f>($D38-$B38)*100</f>
        <v/>
      </c>
      <c r="K38" s="82">
        <f>($E38-$B38)*100</f>
        <v/>
      </c>
      <c r="L38" s="82">
        <f>($E38-$C38)*100</f>
        <v/>
      </c>
      <c r="M38" s="82">
        <f>($E38-$D38)*100</f>
        <v/>
      </c>
      <c r="N38" s="82">
        <f>$G38-$F38</f>
        <v/>
      </c>
      <c r="O38" s="81">
        <f>IFERROR($G38/$F38,"")</f>
        <v/>
      </c>
      <c r="P38" s="81">
        <f>IFERROR($H38/$G38,"")</f>
        <v/>
      </c>
      <c r="Q38" s="82">
        <f>$H38-$F38</f>
        <v/>
      </c>
    </row>
    <row r="39">
      <c r="J39" s="82">
        <f>($D39-$B39)*100</f>
        <v/>
      </c>
      <c r="K39" s="82">
        <f>($E39-$B39)*100</f>
        <v/>
      </c>
      <c r="L39" s="82">
        <f>($E39-$C39)*100</f>
        <v/>
      </c>
      <c r="M39" s="82">
        <f>($E39-$D39)*100</f>
        <v/>
      </c>
      <c r="N39" s="82">
        <f>$G39-$F39</f>
        <v/>
      </c>
      <c r="O39" s="81">
        <f>IFERROR($G39/$F39,"")</f>
        <v/>
      </c>
      <c r="P39" s="81">
        <f>IFERROR($H39/$G39,"")</f>
        <v/>
      </c>
      <c r="Q39" s="82">
        <f>$H39-$F39</f>
        <v/>
      </c>
    </row>
    <row r="40">
      <c r="J40" s="82">
        <f>($D40-$B40)*100</f>
        <v/>
      </c>
      <c r="K40" s="82">
        <f>($E40-$B40)*100</f>
        <v/>
      </c>
      <c r="L40" s="82">
        <f>($E40-$C40)*100</f>
        <v/>
      </c>
      <c r="M40" s="82">
        <f>($E40-$D40)*100</f>
        <v/>
      </c>
      <c r="N40" s="82">
        <f>$G40-$F40</f>
        <v/>
      </c>
      <c r="O40" s="81">
        <f>IFERROR($G40/$F40,"")</f>
        <v/>
      </c>
      <c r="P40" s="81">
        <f>IFERROR($H40/$G40,"")</f>
        <v/>
      </c>
      <c r="Q40" s="82">
        <f>$H40-$F40</f>
        <v/>
      </c>
    </row>
    <row r="41">
      <c r="J41" s="82">
        <f>($D41-$B41)*100</f>
        <v/>
      </c>
      <c r="K41" s="82">
        <f>($E41-$B41)*100</f>
        <v/>
      </c>
      <c r="L41" s="82">
        <f>($E41-$C41)*100</f>
        <v/>
      </c>
      <c r="M41" s="82">
        <f>($E41-$D41)*100</f>
        <v/>
      </c>
      <c r="N41" s="82">
        <f>$G41-$F41</f>
        <v/>
      </c>
      <c r="O41" s="81">
        <f>IFERROR($G41/$F41,"")</f>
        <v/>
      </c>
      <c r="P41" s="81">
        <f>IFERROR($H41/$G41,"")</f>
        <v/>
      </c>
      <c r="Q41" s="82">
        <f>$H41-$F41</f>
        <v/>
      </c>
    </row>
    <row r="42">
      <c r="J42" s="82">
        <f>($D42-$B42)*100</f>
        <v/>
      </c>
      <c r="K42" s="82">
        <f>($E42-$B42)*100</f>
        <v/>
      </c>
      <c r="L42" s="82">
        <f>($E42-$C42)*100</f>
        <v/>
      </c>
      <c r="M42" s="82">
        <f>($E42-$D42)*100</f>
        <v/>
      </c>
      <c r="N42" s="82">
        <f>$G42-$F42</f>
        <v/>
      </c>
      <c r="O42" s="81">
        <f>IFERROR($G42/$F42,"")</f>
        <v/>
      </c>
      <c r="P42" s="81">
        <f>IFERROR($H42/$G42,"")</f>
        <v/>
      </c>
      <c r="Q42" s="82">
        <f>$H42-$F42</f>
        <v/>
      </c>
    </row>
    <row r="43">
      <c r="J43" s="82">
        <f>($D43-$B43)*100</f>
        <v/>
      </c>
      <c r="K43" s="82">
        <f>($E43-$B43)*100</f>
        <v/>
      </c>
      <c r="L43" s="82">
        <f>($E43-$C43)*100</f>
        <v/>
      </c>
      <c r="M43" s="82">
        <f>($E43-$D43)*100</f>
        <v/>
      </c>
      <c r="N43" s="82">
        <f>$G43-$F43</f>
        <v/>
      </c>
      <c r="O43" s="81">
        <f>IFERROR($G43/$F43,"")</f>
        <v/>
      </c>
      <c r="P43" s="81">
        <f>IFERROR($H43/$G43,"")</f>
        <v/>
      </c>
      <c r="Q43" s="82">
        <f>$H43-$F43</f>
        <v/>
      </c>
    </row>
    <row r="44">
      <c r="J44" s="82">
        <f>($D44-$B44)*100</f>
        <v/>
      </c>
      <c r="K44" s="82">
        <f>($E44-$B44)*100</f>
        <v/>
      </c>
      <c r="L44" s="82">
        <f>($E44-$C44)*100</f>
        <v/>
      </c>
      <c r="M44" s="82">
        <f>($E44-$D44)*100</f>
        <v/>
      </c>
      <c r="N44" s="82">
        <f>$G44-$F44</f>
        <v/>
      </c>
      <c r="O44" s="81">
        <f>IFERROR($G44/$F44,"")</f>
        <v/>
      </c>
      <c r="P44" s="81">
        <f>IFERROR($H44/$G44,"")</f>
        <v/>
      </c>
      <c r="Q44" s="82">
        <f>$H44-$F44</f>
        <v/>
      </c>
    </row>
    <row r="45">
      <c r="J45" s="82">
        <f>($D45-$B45)*100</f>
        <v/>
      </c>
      <c r="K45" s="82">
        <f>($E45-$B45)*100</f>
        <v/>
      </c>
      <c r="L45" s="82">
        <f>($E45-$C45)*100</f>
        <v/>
      </c>
      <c r="M45" s="82">
        <f>($E45-$D45)*100</f>
        <v/>
      </c>
      <c r="N45" s="82">
        <f>$G45-$F45</f>
        <v/>
      </c>
      <c r="O45" s="81">
        <f>IFERROR($G45/$F45,"")</f>
        <v/>
      </c>
      <c r="P45" s="81">
        <f>IFERROR($H45/$G45,"")</f>
        <v/>
      </c>
      <c r="Q45" s="82">
        <f>$H45-$F45</f>
        <v/>
      </c>
    </row>
    <row r="46">
      <c r="J46" s="82">
        <f>($D46-$B46)*100</f>
        <v/>
      </c>
      <c r="K46" s="82">
        <f>($E46-$B46)*100</f>
        <v/>
      </c>
      <c r="L46" s="82">
        <f>($E46-$C46)*100</f>
        <v/>
      </c>
      <c r="M46" s="82">
        <f>($E46-$D46)*100</f>
        <v/>
      </c>
      <c r="N46" s="82">
        <f>$G46-$F46</f>
        <v/>
      </c>
      <c r="O46" s="81">
        <f>IFERROR($G46/$F46,"")</f>
        <v/>
      </c>
      <c r="P46" s="81">
        <f>IFERROR($H46/$G46,"")</f>
        <v/>
      </c>
      <c r="Q46" s="82">
        <f>$H46-$F46</f>
        <v/>
      </c>
    </row>
    <row r="47">
      <c r="J47" s="82">
        <f>($D47-$B47)*100</f>
        <v/>
      </c>
      <c r="K47" s="82">
        <f>($E47-$B47)*100</f>
        <v/>
      </c>
      <c r="L47" s="82">
        <f>($E47-$C47)*100</f>
        <v/>
      </c>
      <c r="M47" s="82">
        <f>($E47-$D47)*100</f>
        <v/>
      </c>
      <c r="N47" s="82">
        <f>$G47-$F47</f>
        <v/>
      </c>
      <c r="O47" s="81">
        <f>IFERROR($G47/$F47,"")</f>
        <v/>
      </c>
      <c r="P47" s="81">
        <f>IFERROR($H47/$G47,"")</f>
        <v/>
      </c>
      <c r="Q47" s="82">
        <f>$H47-$F47</f>
        <v/>
      </c>
    </row>
    <row r="48">
      <c r="J48" s="82">
        <f>($D48-$B48)*100</f>
        <v/>
      </c>
      <c r="K48" s="82">
        <f>($E48-$B48)*100</f>
        <v/>
      </c>
      <c r="L48" s="82">
        <f>($E48-$C48)*100</f>
        <v/>
      </c>
      <c r="M48" s="82">
        <f>($E48-$D48)*100</f>
        <v/>
      </c>
      <c r="N48" s="82">
        <f>$G48-$F48</f>
        <v/>
      </c>
      <c r="O48" s="81">
        <f>IFERROR($G48/$F48,"")</f>
        <v/>
      </c>
      <c r="P48" s="81">
        <f>IFERROR($H48/$G48,"")</f>
        <v/>
      </c>
      <c r="Q48" s="82">
        <f>$H48-$F48</f>
        <v/>
      </c>
    </row>
    <row r="49">
      <c r="J49" s="82">
        <f>($D49-$B49)*100</f>
        <v/>
      </c>
      <c r="K49" s="82">
        <f>($E49-$B49)*100</f>
        <v/>
      </c>
      <c r="L49" s="82">
        <f>($E49-$C49)*100</f>
        <v/>
      </c>
      <c r="M49" s="82">
        <f>($E49-$D49)*100</f>
        <v/>
      </c>
      <c r="N49" s="82">
        <f>$G49-$F49</f>
        <v/>
      </c>
      <c r="O49" s="81">
        <f>IFERROR($G49/$F49,"")</f>
        <v/>
      </c>
      <c r="P49" s="81">
        <f>IFERROR($H49/$G49,"")</f>
        <v/>
      </c>
      <c r="Q49" s="82">
        <f>$H49-$F49</f>
        <v/>
      </c>
    </row>
    <row r="50">
      <c r="J50" s="82">
        <f>($D50-$B50)*100</f>
        <v/>
      </c>
      <c r="K50" s="82">
        <f>($E50-$B50)*100</f>
        <v/>
      </c>
      <c r="L50" s="82">
        <f>($E50-$C50)*100</f>
        <v/>
      </c>
      <c r="M50" s="82">
        <f>($E50-$D50)*100</f>
        <v/>
      </c>
      <c r="N50" s="82">
        <f>$G50-$F50</f>
        <v/>
      </c>
      <c r="O50" s="81">
        <f>IFERROR($G50/$F50,"")</f>
        <v/>
      </c>
      <c r="P50" s="81">
        <f>IFERROR($H50/$G50,"")</f>
        <v/>
      </c>
      <c r="Q50" s="82">
        <f>$H50-$F50</f>
        <v/>
      </c>
    </row>
    <row r="51">
      <c r="J51" s="82">
        <f>($D51-$B51)*100</f>
        <v/>
      </c>
      <c r="K51" s="82">
        <f>($E51-$B51)*100</f>
        <v/>
      </c>
      <c r="L51" s="82">
        <f>($E51-$C51)*100</f>
        <v/>
      </c>
      <c r="M51" s="82">
        <f>($E51-$D51)*100</f>
        <v/>
      </c>
      <c r="N51" s="82">
        <f>$G51-$F51</f>
        <v/>
      </c>
      <c r="O51" s="81">
        <f>IFERROR($G51/$F51,"")</f>
        <v/>
      </c>
      <c r="P51" s="81">
        <f>IFERROR($H51/$G51,"")</f>
        <v/>
      </c>
      <c r="Q51" s="82">
        <f>$H51-$F51</f>
        <v/>
      </c>
    </row>
    <row r="52">
      <c r="J52" s="82">
        <f>($D52-$B52)*100</f>
        <v/>
      </c>
      <c r="K52" s="82">
        <f>($E52-$B52)*100</f>
        <v/>
      </c>
      <c r="L52" s="82">
        <f>($E52-$C52)*100</f>
        <v/>
      </c>
      <c r="M52" s="82">
        <f>($E52-$D52)*100</f>
        <v/>
      </c>
      <c r="N52" s="82">
        <f>$G52-$F52</f>
        <v/>
      </c>
      <c r="O52" s="81">
        <f>IFERROR($G52/$F52,"")</f>
        <v/>
      </c>
      <c r="P52" s="81">
        <f>IFERROR($H52/$G52,"")</f>
        <v/>
      </c>
      <c r="Q52" s="82">
        <f>$H52-$F52</f>
        <v/>
      </c>
    </row>
    <row r="53">
      <c r="J53" s="82">
        <f>($D53-$B53)*100</f>
        <v/>
      </c>
      <c r="K53" s="82">
        <f>($E53-$B53)*100</f>
        <v/>
      </c>
      <c r="L53" s="82">
        <f>($E53-$C53)*100</f>
        <v/>
      </c>
      <c r="M53" s="82">
        <f>($E53-$D53)*100</f>
        <v/>
      </c>
      <c r="N53" s="82">
        <f>$G53-$F53</f>
        <v/>
      </c>
      <c r="O53" s="81">
        <f>IFERROR($G53/$F53,"")</f>
        <v/>
      </c>
      <c r="P53" s="81">
        <f>IFERROR($H53/$G53,"")</f>
        <v/>
      </c>
      <c r="Q53" s="82">
        <f>$H53-$F53</f>
        <v/>
      </c>
    </row>
    <row r="54">
      <c r="J54" s="82">
        <f>($D54-$B54)*100</f>
        <v/>
      </c>
      <c r="K54" s="82">
        <f>($E54-$B54)*100</f>
        <v/>
      </c>
      <c r="L54" s="82">
        <f>($E54-$C54)*100</f>
        <v/>
      </c>
      <c r="M54" s="82">
        <f>($E54-$D54)*100</f>
        <v/>
      </c>
      <c r="N54" s="82">
        <f>$G54-$F54</f>
        <v/>
      </c>
      <c r="O54" s="81">
        <f>IFERROR($G54/$F54,"")</f>
        <v/>
      </c>
      <c r="P54" s="81">
        <f>IFERROR($H54/$G54,"")</f>
        <v/>
      </c>
      <c r="Q54" s="82">
        <f>$H54-$F54</f>
        <v/>
      </c>
    </row>
    <row r="55">
      <c r="J55" s="82">
        <f>($D55-$B55)*100</f>
        <v/>
      </c>
      <c r="K55" s="82">
        <f>($E55-$B55)*100</f>
        <v/>
      </c>
      <c r="L55" s="82">
        <f>($E55-$C55)*100</f>
        <v/>
      </c>
      <c r="M55" s="82">
        <f>($E55-$D55)*100</f>
        <v/>
      </c>
      <c r="N55" s="82">
        <f>$G55-$F55</f>
        <v/>
      </c>
      <c r="O55" s="81">
        <f>IFERROR($G55/$F55,"")</f>
        <v/>
      </c>
      <c r="P55" s="81">
        <f>IFERROR($H55/$G55,"")</f>
        <v/>
      </c>
      <c r="Q55" s="82">
        <f>$H55-$F55</f>
        <v/>
      </c>
    </row>
    <row r="56">
      <c r="J56" s="82">
        <f>($D56-$B56)*100</f>
        <v/>
      </c>
      <c r="K56" s="82">
        <f>($E56-$B56)*100</f>
        <v/>
      </c>
      <c r="L56" s="82">
        <f>($E56-$C56)*100</f>
        <v/>
      </c>
      <c r="M56" s="82">
        <f>($E56-$D56)*100</f>
        <v/>
      </c>
      <c r="N56" s="82">
        <f>$G56-$F56</f>
        <v/>
      </c>
      <c r="O56" s="81">
        <f>IFERROR($G56/$F56,"")</f>
        <v/>
      </c>
      <c r="P56" s="81">
        <f>IFERROR($H56/$G56,"")</f>
        <v/>
      </c>
      <c r="Q56" s="82">
        <f>$H56-$F56</f>
        <v/>
      </c>
    </row>
    <row r="57">
      <c r="J57" s="82">
        <f>($D57-$B57)*100</f>
        <v/>
      </c>
      <c r="K57" s="82">
        <f>($E57-$B57)*100</f>
        <v/>
      </c>
      <c r="L57" s="82">
        <f>($E57-$C57)*100</f>
        <v/>
      </c>
      <c r="M57" s="82">
        <f>($E57-$D57)*100</f>
        <v/>
      </c>
      <c r="N57" s="82">
        <f>$G57-$F57</f>
        <v/>
      </c>
      <c r="O57" s="81">
        <f>IFERROR($G57/$F57,"")</f>
        <v/>
      </c>
      <c r="P57" s="81">
        <f>IFERROR($H57/$G57,"")</f>
        <v/>
      </c>
      <c r="Q57" s="82">
        <f>$H57-$F57</f>
        <v/>
      </c>
    </row>
    <row r="58">
      <c r="J58" s="82">
        <f>($D58-$B58)*100</f>
        <v/>
      </c>
      <c r="K58" s="82">
        <f>($E58-$B58)*100</f>
        <v/>
      </c>
      <c r="L58" s="82">
        <f>($E58-$C58)*100</f>
        <v/>
      </c>
      <c r="M58" s="82">
        <f>($E58-$D58)*100</f>
        <v/>
      </c>
      <c r="N58" s="82">
        <f>$G58-$F58</f>
        <v/>
      </c>
      <c r="O58" s="81">
        <f>IFERROR($G58/$F58,"")</f>
        <v/>
      </c>
      <c r="P58" s="81">
        <f>IFERROR($H58/$G58,"")</f>
        <v/>
      </c>
      <c r="Q58" s="82">
        <f>$H58-$F58</f>
        <v/>
      </c>
    </row>
    <row r="59">
      <c r="J59" s="82">
        <f>($D59-$B59)*100</f>
        <v/>
      </c>
      <c r="K59" s="82">
        <f>($E59-$B59)*100</f>
        <v/>
      </c>
      <c r="L59" s="82">
        <f>($E59-$C59)*100</f>
        <v/>
      </c>
      <c r="M59" s="82">
        <f>($E59-$D59)*100</f>
        <v/>
      </c>
      <c r="N59" s="82">
        <f>$G59-$F59</f>
        <v/>
      </c>
      <c r="O59" s="81">
        <f>IFERROR($G59/$F59,"")</f>
        <v/>
      </c>
      <c r="P59" s="81">
        <f>IFERROR($H59/$G59,"")</f>
        <v/>
      </c>
      <c r="Q59" s="82">
        <f>$H59-$F59</f>
        <v/>
      </c>
    </row>
    <row r="60">
      <c r="J60" s="82">
        <f>($D60-$B60)*100</f>
        <v/>
      </c>
      <c r="K60" s="82">
        <f>($E60-$B60)*100</f>
        <v/>
      </c>
      <c r="L60" s="82">
        <f>($E60-$C60)*100</f>
        <v/>
      </c>
      <c r="M60" s="82">
        <f>($E60-$D60)*100</f>
        <v/>
      </c>
      <c r="N60" s="82">
        <f>$G60-$F60</f>
        <v/>
      </c>
      <c r="O60" s="81">
        <f>IFERROR($G60/$F60,"")</f>
        <v/>
      </c>
      <c r="P60" s="81">
        <f>IFERROR($H60/$G60,"")</f>
        <v/>
      </c>
      <c r="Q60" s="82">
        <f>$H60-$F60</f>
        <v/>
      </c>
    </row>
    <row r="61">
      <c r="J61" s="82">
        <f>($D61-$B61)*100</f>
        <v/>
      </c>
      <c r="K61" s="82">
        <f>($E61-$B61)*100</f>
        <v/>
      </c>
      <c r="L61" s="82">
        <f>($E61-$C61)*100</f>
        <v/>
      </c>
      <c r="M61" s="82">
        <f>($E61-$D61)*100</f>
        <v/>
      </c>
      <c r="N61" s="82">
        <f>$G61-$F61</f>
        <v/>
      </c>
      <c r="O61" s="81">
        <f>IFERROR($G61/$F61,"")</f>
        <v/>
      </c>
      <c r="P61" s="81">
        <f>IFERROR($H61/$G61,"")</f>
        <v/>
      </c>
      <c r="Q61" s="82">
        <f>$H61-$F61</f>
        <v/>
      </c>
    </row>
    <row r="62">
      <c r="J62" s="82">
        <f>($D62-$B62)*100</f>
        <v/>
      </c>
      <c r="K62" s="82">
        <f>($E62-$B62)*100</f>
        <v/>
      </c>
      <c r="L62" s="82">
        <f>($E62-$C62)*100</f>
        <v/>
      </c>
      <c r="M62" s="82">
        <f>($E62-$D62)*100</f>
        <v/>
      </c>
      <c r="N62" s="82">
        <f>$G62-$F62</f>
        <v/>
      </c>
      <c r="O62" s="81">
        <f>IFERROR($G62/$F62,"")</f>
        <v/>
      </c>
      <c r="P62" s="81">
        <f>IFERROR($H62/$G62,"")</f>
        <v/>
      </c>
      <c r="Q62" s="82">
        <f>$H62-$F62</f>
        <v/>
      </c>
    </row>
    <row r="63">
      <c r="J63" s="82">
        <f>($D63-$B63)*100</f>
        <v/>
      </c>
      <c r="K63" s="82">
        <f>($E63-$B63)*100</f>
        <v/>
      </c>
      <c r="L63" s="82">
        <f>($E63-$C63)*100</f>
        <v/>
      </c>
      <c r="M63" s="82">
        <f>($E63-$D63)*100</f>
        <v/>
      </c>
      <c r="N63" s="82">
        <f>$G63-$F63</f>
        <v/>
      </c>
      <c r="O63" s="81">
        <f>IFERROR($G63/$F63,"")</f>
        <v/>
      </c>
      <c r="P63" s="81">
        <f>IFERROR($H63/$G63,"")</f>
        <v/>
      </c>
      <c r="Q63" s="82">
        <f>$H63-$F63</f>
        <v/>
      </c>
    </row>
    <row r="64">
      <c r="J64" s="82">
        <f>($D64-$B64)*100</f>
        <v/>
      </c>
      <c r="K64" s="82">
        <f>($E64-$B64)*100</f>
        <v/>
      </c>
      <c r="L64" s="82">
        <f>($E64-$C64)*100</f>
        <v/>
      </c>
      <c r="M64" s="82">
        <f>($E64-$D64)*100</f>
        <v/>
      </c>
      <c r="N64" s="82">
        <f>$G64-$F64</f>
        <v/>
      </c>
      <c r="O64" s="81">
        <f>IFERROR($G64/$F64,"")</f>
        <v/>
      </c>
      <c r="P64" s="81">
        <f>IFERROR($H64/$G64,"")</f>
        <v/>
      </c>
      <c r="Q64" s="82">
        <f>$H64-$F64</f>
        <v/>
      </c>
    </row>
    <row r="65">
      <c r="J65" s="82">
        <f>($D65-$B65)*100</f>
        <v/>
      </c>
      <c r="K65" s="82">
        <f>($E65-$B65)*100</f>
        <v/>
      </c>
      <c r="L65" s="82">
        <f>($E65-$C65)*100</f>
        <v/>
      </c>
      <c r="M65" s="82">
        <f>($E65-$D65)*100</f>
        <v/>
      </c>
      <c r="N65" s="82">
        <f>$G65-$F65</f>
        <v/>
      </c>
      <c r="O65" s="81">
        <f>IFERROR($G65/$F65,"")</f>
        <v/>
      </c>
      <c r="P65" s="81">
        <f>IFERROR($H65/$G65,"")</f>
        <v/>
      </c>
      <c r="Q65" s="82">
        <f>$H65-$F65</f>
        <v/>
      </c>
    </row>
    <row r="66">
      <c r="J66" s="82">
        <f>($D66-$B66)*100</f>
        <v/>
      </c>
      <c r="K66" s="82">
        <f>($E66-$B66)*100</f>
        <v/>
      </c>
      <c r="L66" s="82">
        <f>($E66-$C66)*100</f>
        <v/>
      </c>
      <c r="M66" s="82">
        <f>($E66-$D66)*100</f>
        <v/>
      </c>
      <c r="N66" s="82">
        <f>$G66-$F66</f>
        <v/>
      </c>
      <c r="O66" s="81">
        <f>IFERROR($G66/$F66,"")</f>
        <v/>
      </c>
      <c r="P66" s="81">
        <f>IFERROR($H66/$G66,"")</f>
        <v/>
      </c>
      <c r="Q66" s="82">
        <f>$H66-$F66</f>
        <v/>
      </c>
    </row>
    <row r="67">
      <c r="J67" s="82">
        <f>($D67-$B67)*100</f>
        <v/>
      </c>
      <c r="K67" s="82">
        <f>($E67-$B67)*100</f>
        <v/>
      </c>
      <c r="L67" s="82">
        <f>($E67-$C67)*100</f>
        <v/>
      </c>
      <c r="M67" s="82">
        <f>($E67-$D67)*100</f>
        <v/>
      </c>
      <c r="N67" s="82">
        <f>$G67-$F67</f>
        <v/>
      </c>
      <c r="O67" s="81">
        <f>IFERROR($G67/$F67,"")</f>
        <v/>
      </c>
      <c r="P67" s="81">
        <f>IFERROR($H67/$G67,"")</f>
        <v/>
      </c>
      <c r="Q67" s="82">
        <f>$H67-$F67</f>
        <v/>
      </c>
    </row>
    <row r="68">
      <c r="J68" s="82">
        <f>($D68-$B68)*100</f>
        <v/>
      </c>
      <c r="K68" s="82">
        <f>($E68-$B68)*100</f>
        <v/>
      </c>
      <c r="L68" s="82">
        <f>($E68-$C68)*100</f>
        <v/>
      </c>
      <c r="M68" s="82">
        <f>($E68-$D68)*100</f>
        <v/>
      </c>
      <c r="N68" s="82">
        <f>$G68-$F68</f>
        <v/>
      </c>
      <c r="O68" s="81">
        <f>IFERROR($G68/$F68,"")</f>
        <v/>
      </c>
      <c r="P68" s="81">
        <f>IFERROR($H68/$G68,"")</f>
        <v/>
      </c>
      <c r="Q68" s="82">
        <f>$H68-$F68</f>
        <v/>
      </c>
    </row>
    <row r="69">
      <c r="J69" s="82">
        <f>($D69-$B69)*100</f>
        <v/>
      </c>
      <c r="K69" s="82">
        <f>($E69-$B69)*100</f>
        <v/>
      </c>
      <c r="L69" s="82">
        <f>($E69-$C69)*100</f>
        <v/>
      </c>
      <c r="M69" s="82">
        <f>($E69-$D69)*100</f>
        <v/>
      </c>
      <c r="N69" s="82">
        <f>$G69-$F69</f>
        <v/>
      </c>
      <c r="O69" s="81">
        <f>IFERROR($G69/$F69,"")</f>
        <v/>
      </c>
      <c r="P69" s="81">
        <f>IFERROR($H69/$G69,"")</f>
        <v/>
      </c>
      <c r="Q69" s="82">
        <f>$H69-$F69</f>
        <v/>
      </c>
    </row>
    <row r="70">
      <c r="J70" s="82">
        <f>($D70-$B70)*100</f>
        <v/>
      </c>
      <c r="K70" s="82">
        <f>($E70-$B70)*100</f>
        <v/>
      </c>
      <c r="L70" s="82">
        <f>($E70-$C70)*100</f>
        <v/>
      </c>
      <c r="M70" s="82">
        <f>($E70-$D70)*100</f>
        <v/>
      </c>
      <c r="N70" s="82">
        <f>$G70-$F70</f>
        <v/>
      </c>
      <c r="O70" s="81">
        <f>IFERROR($G70/$F70,"")</f>
        <v/>
      </c>
      <c r="P70" s="81">
        <f>IFERROR($H70/$G70,"")</f>
        <v/>
      </c>
      <c r="Q70" s="82">
        <f>$H70-$F70</f>
        <v/>
      </c>
    </row>
    <row r="71">
      <c r="J71" s="82">
        <f>($D71-$B71)*100</f>
        <v/>
      </c>
      <c r="K71" s="82">
        <f>($E71-$B71)*100</f>
        <v/>
      </c>
      <c r="L71" s="82">
        <f>($E71-$C71)*100</f>
        <v/>
      </c>
      <c r="M71" s="82">
        <f>($E71-$D71)*100</f>
        <v/>
      </c>
      <c r="N71" s="82">
        <f>$G71-$F71</f>
        <v/>
      </c>
      <c r="O71" s="81">
        <f>IFERROR($G71/$F71,"")</f>
        <v/>
      </c>
      <c r="P71" s="81">
        <f>IFERROR($H71/$G71,"")</f>
        <v/>
      </c>
      <c r="Q71" s="82">
        <f>$H71-$F71</f>
        <v/>
      </c>
    </row>
    <row r="72">
      <c r="J72" s="82">
        <f>($D72-$B72)*100</f>
        <v/>
      </c>
      <c r="K72" s="82">
        <f>($E72-$B72)*100</f>
        <v/>
      </c>
      <c r="L72" s="82">
        <f>($E72-$C72)*100</f>
        <v/>
      </c>
      <c r="M72" s="82">
        <f>($E72-$D72)*100</f>
        <v/>
      </c>
      <c r="N72" s="82">
        <f>$G72-$F72</f>
        <v/>
      </c>
      <c r="O72" s="81">
        <f>IFERROR($G72/$F72,"")</f>
        <v/>
      </c>
      <c r="P72" s="81">
        <f>IFERROR($H72/$G72,"")</f>
        <v/>
      </c>
      <c r="Q72" s="82">
        <f>$H72-$F72</f>
        <v/>
      </c>
    </row>
    <row r="73">
      <c r="J73" s="82">
        <f>($D73-$B73)*100</f>
        <v/>
      </c>
      <c r="K73" s="82">
        <f>($E73-$B73)*100</f>
        <v/>
      </c>
      <c r="L73" s="82">
        <f>($E73-$C73)*100</f>
        <v/>
      </c>
      <c r="M73" s="82">
        <f>($E73-$D73)*100</f>
        <v/>
      </c>
      <c r="N73" s="82">
        <f>$G73-$F73</f>
        <v/>
      </c>
      <c r="O73" s="81">
        <f>IFERROR($G73/$F73,"")</f>
        <v/>
      </c>
      <c r="P73" s="81">
        <f>IFERROR($H73/$G73,"")</f>
        <v/>
      </c>
      <c r="Q73" s="82">
        <f>$H73-$F73</f>
        <v/>
      </c>
    </row>
    <row r="74">
      <c r="J74" s="82">
        <f>($D74-$B74)*100</f>
        <v/>
      </c>
      <c r="K74" s="82">
        <f>($E74-$B74)*100</f>
        <v/>
      </c>
      <c r="L74" s="82">
        <f>($E74-$C74)*100</f>
        <v/>
      </c>
      <c r="M74" s="82">
        <f>($E74-$D74)*100</f>
        <v/>
      </c>
      <c r="N74" s="82">
        <f>$G74-$F74</f>
        <v/>
      </c>
      <c r="O74" s="81">
        <f>IFERROR($G74/$F74,"")</f>
        <v/>
      </c>
      <c r="P74" s="81">
        <f>IFERROR($H74/$G74,"")</f>
        <v/>
      </c>
      <c r="Q74" s="82">
        <f>$H74-$F74</f>
        <v/>
      </c>
    </row>
    <row r="75">
      <c r="J75" s="82">
        <f>($D75-$B75)*100</f>
        <v/>
      </c>
      <c r="K75" s="82">
        <f>($E75-$B75)*100</f>
        <v/>
      </c>
      <c r="L75" s="82">
        <f>($E75-$C75)*100</f>
        <v/>
      </c>
      <c r="M75" s="82">
        <f>($E75-$D75)*100</f>
        <v/>
      </c>
      <c r="N75" s="82">
        <f>$G75-$F75</f>
        <v/>
      </c>
      <c r="O75" s="81">
        <f>IFERROR($G75/$F75,"")</f>
        <v/>
      </c>
      <c r="P75" s="81">
        <f>IFERROR($H75/$G75,"")</f>
        <v/>
      </c>
      <c r="Q75" s="82">
        <f>$H75-$F75</f>
        <v/>
      </c>
    </row>
    <row r="76">
      <c r="J76" s="82">
        <f>($D76-$B76)*100</f>
        <v/>
      </c>
      <c r="K76" s="82">
        <f>($E76-$B76)*100</f>
        <v/>
      </c>
      <c r="L76" s="82">
        <f>($E76-$C76)*100</f>
        <v/>
      </c>
      <c r="M76" s="82">
        <f>($E76-$D76)*100</f>
        <v/>
      </c>
      <c r="N76" s="82">
        <f>$G76-$F76</f>
        <v/>
      </c>
      <c r="O76" s="81">
        <f>IFERROR($G76/$F76,"")</f>
        <v/>
      </c>
      <c r="P76" s="81">
        <f>IFERROR($H76/$G76,"")</f>
        <v/>
      </c>
      <c r="Q76" s="82">
        <f>$H76-$F76</f>
        <v/>
      </c>
    </row>
    <row r="77">
      <c r="J77" s="82">
        <f>($D77-$B77)*100</f>
        <v/>
      </c>
      <c r="K77" s="82">
        <f>($E77-$B77)*100</f>
        <v/>
      </c>
      <c r="L77" s="82">
        <f>($E77-$C77)*100</f>
        <v/>
      </c>
      <c r="M77" s="82">
        <f>($E77-$D77)*100</f>
        <v/>
      </c>
      <c r="N77" s="82">
        <f>$G77-$F77</f>
        <v/>
      </c>
      <c r="O77" s="81">
        <f>IFERROR($G77/$F77,"")</f>
        <v/>
      </c>
      <c r="P77" s="81">
        <f>IFERROR($H77/$G77,"")</f>
        <v/>
      </c>
      <c r="Q77" s="82">
        <f>$H77-$F77</f>
        <v/>
      </c>
    </row>
    <row r="78">
      <c r="J78" s="82">
        <f>($D78-$B78)*100</f>
        <v/>
      </c>
      <c r="K78" s="82">
        <f>($E78-$B78)*100</f>
        <v/>
      </c>
      <c r="L78" s="82">
        <f>($E78-$C78)*100</f>
        <v/>
      </c>
      <c r="M78" s="82">
        <f>($E78-$D78)*100</f>
        <v/>
      </c>
      <c r="N78" s="82">
        <f>$G78-$F78</f>
        <v/>
      </c>
      <c r="O78" s="81">
        <f>IFERROR($G78/$F78,"")</f>
        <v/>
      </c>
      <c r="P78" s="81">
        <f>IFERROR($H78/$G78,"")</f>
        <v/>
      </c>
      <c r="Q78" s="82">
        <f>$H78-$F78</f>
        <v/>
      </c>
    </row>
    <row r="79">
      <c r="J79" s="82">
        <f>($D79-$B79)*100</f>
        <v/>
      </c>
      <c r="K79" s="82">
        <f>($E79-$B79)*100</f>
        <v/>
      </c>
      <c r="L79" s="82">
        <f>($E79-$C79)*100</f>
        <v/>
      </c>
      <c r="M79" s="82">
        <f>($E79-$D79)*100</f>
        <v/>
      </c>
      <c r="N79" s="82">
        <f>$G79-$F79</f>
        <v/>
      </c>
      <c r="O79" s="81">
        <f>IFERROR($G79/$F79,"")</f>
        <v/>
      </c>
      <c r="P79" s="81">
        <f>IFERROR($H79/$G79,"")</f>
        <v/>
      </c>
      <c r="Q79" s="82">
        <f>$H79-$F79</f>
        <v/>
      </c>
    </row>
    <row r="80">
      <c r="J80" s="82">
        <f>($D80-$B80)*100</f>
        <v/>
      </c>
      <c r="K80" s="82">
        <f>($E80-$B80)*100</f>
        <v/>
      </c>
      <c r="L80" s="82">
        <f>($E80-$C80)*100</f>
        <v/>
      </c>
      <c r="M80" s="82">
        <f>($E80-$D80)*100</f>
        <v/>
      </c>
      <c r="N80" s="82">
        <f>$G80-$F80</f>
        <v/>
      </c>
      <c r="O80" s="81">
        <f>IFERROR($G80/$F80,"")</f>
        <v/>
      </c>
      <c r="P80" s="81">
        <f>IFERROR($H80/$G80,"")</f>
        <v/>
      </c>
      <c r="Q80" s="82">
        <f>$H80-$F80</f>
        <v/>
      </c>
    </row>
    <row r="81">
      <c r="J81" s="82">
        <f>($D81-$B81)*100</f>
        <v/>
      </c>
      <c r="K81" s="82">
        <f>($E81-$B81)*100</f>
        <v/>
      </c>
      <c r="L81" s="82">
        <f>($E81-$C81)*100</f>
        <v/>
      </c>
      <c r="M81" s="82">
        <f>($E81-$D81)*100</f>
        <v/>
      </c>
      <c r="N81" s="82">
        <f>$G81-$F81</f>
        <v/>
      </c>
      <c r="O81" s="81">
        <f>IFERROR($G81/$F81,"")</f>
        <v/>
      </c>
      <c r="P81" s="81">
        <f>IFERROR($H81/$G81,"")</f>
        <v/>
      </c>
      <c r="Q81" s="82">
        <f>$H81-$F81</f>
        <v/>
      </c>
    </row>
    <row r="82">
      <c r="J82" s="82">
        <f>($D82-$B82)*100</f>
        <v/>
      </c>
      <c r="K82" s="82">
        <f>($E82-$B82)*100</f>
        <v/>
      </c>
      <c r="L82" s="82">
        <f>($E82-$C82)*100</f>
        <v/>
      </c>
      <c r="M82" s="82">
        <f>($E82-$D82)*100</f>
        <v/>
      </c>
      <c r="N82" s="82">
        <f>$G82-$F82</f>
        <v/>
      </c>
      <c r="O82" s="81">
        <f>IFERROR($G82/$F82,"")</f>
        <v/>
      </c>
      <c r="P82" s="81">
        <f>IFERROR($H82/$G82,"")</f>
        <v/>
      </c>
      <c r="Q82" s="82">
        <f>$H82-$F82</f>
        <v/>
      </c>
    </row>
    <row r="83">
      <c r="J83" s="82">
        <f>($D83-$B83)*100</f>
        <v/>
      </c>
      <c r="K83" s="82">
        <f>($E83-$B83)*100</f>
        <v/>
      </c>
      <c r="L83" s="82">
        <f>($E83-$C83)*100</f>
        <v/>
      </c>
      <c r="M83" s="82">
        <f>($E83-$D83)*100</f>
        <v/>
      </c>
      <c r="N83" s="82">
        <f>$G83-$F83</f>
        <v/>
      </c>
      <c r="O83" s="81">
        <f>IFERROR($G83/$F83,"")</f>
        <v/>
      </c>
      <c r="P83" s="81">
        <f>IFERROR($H83/$G83,"")</f>
        <v/>
      </c>
      <c r="Q83" s="82">
        <f>$H83-$F83</f>
        <v/>
      </c>
    </row>
    <row r="84">
      <c r="J84" s="82">
        <f>($D84-$B84)*100</f>
        <v/>
      </c>
      <c r="K84" s="82">
        <f>($E84-$B84)*100</f>
        <v/>
      </c>
      <c r="L84" s="82">
        <f>($E84-$C84)*100</f>
        <v/>
      </c>
      <c r="M84" s="82">
        <f>($E84-$D84)*100</f>
        <v/>
      </c>
      <c r="N84" s="82">
        <f>$G84-$F84</f>
        <v/>
      </c>
      <c r="O84" s="81">
        <f>IFERROR($G84/$F84,"")</f>
        <v/>
      </c>
      <c r="P84" s="81">
        <f>IFERROR($H84/$G84,"")</f>
        <v/>
      </c>
      <c r="Q84" s="82">
        <f>$H84-$F84</f>
        <v/>
      </c>
    </row>
    <row r="85">
      <c r="J85" s="82">
        <f>($D85-$B85)*100</f>
        <v/>
      </c>
      <c r="K85" s="82">
        <f>($E85-$B85)*100</f>
        <v/>
      </c>
      <c r="L85" s="82">
        <f>($E85-$C85)*100</f>
        <v/>
      </c>
      <c r="M85" s="82">
        <f>($E85-$D85)*100</f>
        <v/>
      </c>
      <c r="N85" s="82">
        <f>$G85-$F85</f>
        <v/>
      </c>
      <c r="O85" s="81">
        <f>IFERROR($G85/$F85,"")</f>
        <v/>
      </c>
      <c r="P85" s="81">
        <f>IFERROR($H85/$G85,"")</f>
        <v/>
      </c>
      <c r="Q85" s="82">
        <f>$H85-$F85</f>
        <v/>
      </c>
    </row>
    <row r="86">
      <c r="J86" s="82">
        <f>($D86-$B86)*100</f>
        <v/>
      </c>
      <c r="K86" s="82">
        <f>($E86-$B86)*100</f>
        <v/>
      </c>
      <c r="L86" s="82">
        <f>($E86-$C86)*100</f>
        <v/>
      </c>
      <c r="M86" s="82">
        <f>($E86-$D86)*100</f>
        <v/>
      </c>
      <c r="N86" s="82">
        <f>$G86-$F86</f>
        <v/>
      </c>
      <c r="O86" s="81">
        <f>IFERROR($G86/$F86,"")</f>
        <v/>
      </c>
      <c r="P86" s="81">
        <f>IFERROR($H86/$G86,"")</f>
        <v/>
      </c>
      <c r="Q86" s="82">
        <f>$H86-$F86</f>
        <v/>
      </c>
    </row>
    <row r="87">
      <c r="J87" s="82">
        <f>($D87-$B87)*100</f>
        <v/>
      </c>
      <c r="K87" s="82">
        <f>($E87-$B87)*100</f>
        <v/>
      </c>
      <c r="L87" s="82">
        <f>($E87-$C87)*100</f>
        <v/>
      </c>
      <c r="M87" s="82">
        <f>($E87-$D87)*100</f>
        <v/>
      </c>
      <c r="N87" s="82">
        <f>$G87-$F87</f>
        <v/>
      </c>
      <c r="O87" s="81">
        <f>IFERROR($G87/$F87,"")</f>
        <v/>
      </c>
      <c r="P87" s="81">
        <f>IFERROR($H87/$G87,"")</f>
        <v/>
      </c>
      <c r="Q87" s="82">
        <f>$H87-$F87</f>
        <v/>
      </c>
    </row>
    <row r="88">
      <c r="J88" s="82">
        <f>($D88-$B88)*100</f>
        <v/>
      </c>
      <c r="K88" s="82">
        <f>($E88-$B88)*100</f>
        <v/>
      </c>
      <c r="L88" s="82">
        <f>($E88-$C88)*100</f>
        <v/>
      </c>
      <c r="M88" s="82">
        <f>($E88-$D88)*100</f>
        <v/>
      </c>
      <c r="N88" s="82">
        <f>$G88-$F88</f>
        <v/>
      </c>
      <c r="O88" s="81">
        <f>IFERROR($G88/$F88,"")</f>
        <v/>
      </c>
      <c r="P88" s="81">
        <f>IFERROR($H88/$G88,"")</f>
        <v/>
      </c>
      <c r="Q88" s="82">
        <f>$H88-$F88</f>
        <v/>
      </c>
    </row>
    <row r="89">
      <c r="J89" s="82">
        <f>($D89-$B89)*100</f>
        <v/>
      </c>
      <c r="K89" s="82">
        <f>($E89-$B89)*100</f>
        <v/>
      </c>
      <c r="L89" s="82">
        <f>($E89-$C89)*100</f>
        <v/>
      </c>
      <c r="M89" s="82">
        <f>($E89-$D89)*100</f>
        <v/>
      </c>
      <c r="N89" s="82">
        <f>$G89-$F89</f>
        <v/>
      </c>
      <c r="O89" s="81">
        <f>IFERROR($G89/$F89,"")</f>
        <v/>
      </c>
      <c r="P89" s="81">
        <f>IFERROR($H89/$G89,"")</f>
        <v/>
      </c>
      <c r="Q89" s="82">
        <f>$H89-$F89</f>
        <v/>
      </c>
    </row>
    <row r="90">
      <c r="J90" s="82">
        <f>($D90-$B90)*100</f>
        <v/>
      </c>
      <c r="K90" s="82">
        <f>($E90-$B90)*100</f>
        <v/>
      </c>
      <c r="L90" s="82">
        <f>($E90-$C90)*100</f>
        <v/>
      </c>
      <c r="M90" s="82">
        <f>($E90-$D90)*100</f>
        <v/>
      </c>
      <c r="N90" s="82">
        <f>$G90-$F90</f>
        <v/>
      </c>
      <c r="O90" s="81">
        <f>IFERROR($G90/$F90,"")</f>
        <v/>
      </c>
      <c r="P90" s="81">
        <f>IFERROR($H90/$G90,"")</f>
        <v/>
      </c>
      <c r="Q90" s="82">
        <f>$H90-$F90</f>
        <v/>
      </c>
    </row>
    <row r="91">
      <c r="J91" s="82">
        <f>($D91-$B91)*100</f>
        <v/>
      </c>
      <c r="K91" s="82">
        <f>($E91-$B91)*100</f>
        <v/>
      </c>
      <c r="L91" s="82">
        <f>($E91-$C91)*100</f>
        <v/>
      </c>
      <c r="M91" s="82">
        <f>($E91-$D91)*100</f>
        <v/>
      </c>
      <c r="N91" s="82">
        <f>$G91-$F91</f>
        <v/>
      </c>
      <c r="O91" s="81">
        <f>IFERROR($G91/$F91,"")</f>
        <v/>
      </c>
      <c r="P91" s="81">
        <f>IFERROR($H91/$G91,"")</f>
        <v/>
      </c>
      <c r="Q91" s="82">
        <f>$H91-$F91</f>
        <v/>
      </c>
    </row>
    <row r="92">
      <c r="J92" s="82">
        <f>($D92-$B92)*100</f>
        <v/>
      </c>
      <c r="K92" s="82">
        <f>($E92-$B92)*100</f>
        <v/>
      </c>
      <c r="L92" s="82">
        <f>($E92-$C92)*100</f>
        <v/>
      </c>
      <c r="M92" s="82">
        <f>($E92-$D92)*100</f>
        <v/>
      </c>
      <c r="N92" s="82">
        <f>$G92-$F92</f>
        <v/>
      </c>
      <c r="O92" s="81">
        <f>IFERROR($G92/$F92,"")</f>
        <v/>
      </c>
      <c r="P92" s="81">
        <f>IFERROR($H92/$G92,"")</f>
        <v/>
      </c>
      <c r="Q92" s="82">
        <f>$H92-$F92</f>
        <v/>
      </c>
    </row>
    <row r="93">
      <c r="J93" s="82">
        <f>($D93-$B93)*100</f>
        <v/>
      </c>
      <c r="K93" s="82">
        <f>($E93-$B93)*100</f>
        <v/>
      </c>
      <c r="L93" s="82">
        <f>($E93-$C93)*100</f>
        <v/>
      </c>
      <c r="M93" s="82">
        <f>($E93-$D93)*100</f>
        <v/>
      </c>
      <c r="N93" s="82">
        <f>$G93-$F93</f>
        <v/>
      </c>
      <c r="O93" s="81">
        <f>IFERROR($G93/$F93,"")</f>
        <v/>
      </c>
      <c r="P93" s="81">
        <f>IFERROR($H93/$G93,"")</f>
        <v/>
      </c>
      <c r="Q93" s="82">
        <f>$H93-$F93</f>
        <v/>
      </c>
    </row>
    <row r="94">
      <c r="J94" s="82">
        <f>($D94-$B94)*100</f>
        <v/>
      </c>
      <c r="K94" s="82">
        <f>($E94-$B94)*100</f>
        <v/>
      </c>
      <c r="L94" s="82">
        <f>($E94-$C94)*100</f>
        <v/>
      </c>
      <c r="M94" s="82">
        <f>($E94-$D94)*100</f>
        <v/>
      </c>
      <c r="N94" s="82">
        <f>$G94-$F94</f>
        <v/>
      </c>
      <c r="O94" s="81">
        <f>IFERROR($G94/$F94,"")</f>
        <v/>
      </c>
      <c r="P94" s="81">
        <f>IFERROR($H94/$G94,"")</f>
        <v/>
      </c>
      <c r="Q94" s="82">
        <f>$H94-$F94</f>
        <v/>
      </c>
    </row>
    <row r="95">
      <c r="J95" s="82">
        <f>($D95-$B95)*100</f>
        <v/>
      </c>
      <c r="K95" s="82">
        <f>($E95-$B95)*100</f>
        <v/>
      </c>
      <c r="L95" s="82">
        <f>($E95-$C95)*100</f>
        <v/>
      </c>
      <c r="M95" s="82">
        <f>($E95-$D95)*100</f>
        <v/>
      </c>
      <c r="N95" s="82">
        <f>$G95-$F95</f>
        <v/>
      </c>
      <c r="O95" s="81">
        <f>IFERROR($G95/$F95,"")</f>
        <v/>
      </c>
      <c r="P95" s="81">
        <f>IFERROR($H95/$G95,"")</f>
        <v/>
      </c>
      <c r="Q95" s="82">
        <f>$H95-$F95</f>
        <v/>
      </c>
    </row>
    <row r="96">
      <c r="J96" s="82">
        <f>($D96-$B96)*100</f>
        <v/>
      </c>
      <c r="K96" s="82">
        <f>($E96-$B96)*100</f>
        <v/>
      </c>
      <c r="L96" s="82">
        <f>($E96-$C96)*100</f>
        <v/>
      </c>
      <c r="M96" s="82">
        <f>($E96-$D96)*100</f>
        <v/>
      </c>
      <c r="N96" s="82">
        <f>$G96-$F96</f>
        <v/>
      </c>
      <c r="O96" s="81">
        <f>IFERROR($G96/$F96,"")</f>
        <v/>
      </c>
      <c r="P96" s="81">
        <f>IFERROR($H96/$G96,"")</f>
        <v/>
      </c>
      <c r="Q96" s="82">
        <f>$H96-$F96</f>
        <v/>
      </c>
    </row>
    <row r="97">
      <c r="J97" s="82">
        <f>($D97-$B97)*100</f>
        <v/>
      </c>
      <c r="K97" s="82">
        <f>($E97-$B97)*100</f>
        <v/>
      </c>
      <c r="L97" s="82">
        <f>($E97-$C97)*100</f>
        <v/>
      </c>
      <c r="M97" s="82">
        <f>($E97-$D97)*100</f>
        <v/>
      </c>
      <c r="N97" s="82">
        <f>$G97-$F97</f>
        <v/>
      </c>
      <c r="O97" s="81">
        <f>IFERROR($G97/$F97,"")</f>
        <v/>
      </c>
      <c r="P97" s="81">
        <f>IFERROR($H97/$G97,"")</f>
        <v/>
      </c>
      <c r="Q97" s="82">
        <f>$H97-$F97</f>
        <v/>
      </c>
    </row>
    <row r="98">
      <c r="J98" s="82">
        <f>($D98-$B98)*100</f>
        <v/>
      </c>
      <c r="K98" s="82">
        <f>($E98-$B98)*100</f>
        <v/>
      </c>
      <c r="L98" s="82">
        <f>($E98-$C98)*100</f>
        <v/>
      </c>
      <c r="M98" s="82">
        <f>($E98-$D98)*100</f>
        <v/>
      </c>
      <c r="N98" s="82">
        <f>$G98-$F98</f>
        <v/>
      </c>
      <c r="O98" s="81">
        <f>IFERROR($G98/$F98,"")</f>
        <v/>
      </c>
      <c r="P98" s="81">
        <f>IFERROR($H98/$G98,"")</f>
        <v/>
      </c>
      <c r="Q98" s="82">
        <f>$H98-$F98</f>
        <v/>
      </c>
    </row>
    <row r="99">
      <c r="J99" s="82">
        <f>($D99-$B99)*100</f>
        <v/>
      </c>
      <c r="K99" s="82">
        <f>($E99-$B99)*100</f>
        <v/>
      </c>
      <c r="L99" s="82">
        <f>($E99-$C99)*100</f>
        <v/>
      </c>
      <c r="M99" s="82">
        <f>($E99-$D99)*100</f>
        <v/>
      </c>
      <c r="N99" s="82">
        <f>$G99-$F99</f>
        <v/>
      </c>
      <c r="O99" s="81">
        <f>IFERROR($G99/$F99,"")</f>
        <v/>
      </c>
      <c r="P99" s="81">
        <f>IFERROR($H99/$G99,"")</f>
        <v/>
      </c>
      <c r="Q99" s="82">
        <f>$H99-$F99</f>
        <v/>
      </c>
    </row>
    <row r="100">
      <c r="J100" s="82">
        <f>($D100-$B100)*100</f>
        <v/>
      </c>
      <c r="K100" s="82">
        <f>($E100-$B100)*100</f>
        <v/>
      </c>
      <c r="L100" s="82">
        <f>($E100-$C100)*100</f>
        <v/>
      </c>
      <c r="M100" s="82">
        <f>($E100-$D100)*100</f>
        <v/>
      </c>
      <c r="N100" s="82">
        <f>$G100-$F100</f>
        <v/>
      </c>
      <c r="O100" s="81">
        <f>IFERROR($G100/$F100,"")</f>
        <v/>
      </c>
      <c r="P100" s="81">
        <f>IFERROR($H100/$G100,"")</f>
        <v/>
      </c>
      <c r="Q100" s="82">
        <f>$H100-$F100</f>
        <v/>
      </c>
    </row>
    <row r="101">
      <c r="J101" s="82">
        <f>($D101-$B101)*100</f>
        <v/>
      </c>
      <c r="K101" s="82">
        <f>($E101-$B101)*100</f>
        <v/>
      </c>
      <c r="L101" s="82">
        <f>($E101-$C101)*100</f>
        <v/>
      </c>
      <c r="M101" s="82">
        <f>($E101-$D101)*100</f>
        <v/>
      </c>
      <c r="N101" s="82">
        <f>$G101-$F101</f>
        <v/>
      </c>
      <c r="O101" s="81">
        <f>IFERROR($G101/$F101,"")</f>
        <v/>
      </c>
      <c r="P101" s="81">
        <f>IFERROR($H101/$G101,"")</f>
        <v/>
      </c>
      <c r="Q101" s="82">
        <f>$H101-$F101</f>
        <v/>
      </c>
    </row>
    <row r="102">
      <c r="J102" s="82">
        <f>($D102-$B102)*100</f>
        <v/>
      </c>
      <c r="K102" s="82">
        <f>($E102-$B102)*100</f>
        <v/>
      </c>
      <c r="L102" s="82">
        <f>($E102-$C102)*100</f>
        <v/>
      </c>
      <c r="M102" s="82">
        <f>($E102-$D102)*100</f>
        <v/>
      </c>
      <c r="N102" s="82">
        <f>$G102-$F102</f>
        <v/>
      </c>
      <c r="O102" s="81">
        <f>IFERROR($G102/$F102,"")</f>
        <v/>
      </c>
      <c r="P102" s="81">
        <f>IFERROR($H102/$G102,"")</f>
        <v/>
      </c>
      <c r="Q102" s="82">
        <f>$H102-$F102</f>
        <v/>
      </c>
    </row>
    <row r="103">
      <c r="J103" s="82">
        <f>($D103-$B103)*100</f>
        <v/>
      </c>
      <c r="K103" s="82">
        <f>($E103-$B103)*100</f>
        <v/>
      </c>
      <c r="L103" s="82">
        <f>($E103-$C103)*100</f>
        <v/>
      </c>
      <c r="M103" s="82">
        <f>($E103-$D103)*100</f>
        <v/>
      </c>
      <c r="N103" s="82">
        <f>$G103-$F103</f>
        <v/>
      </c>
      <c r="O103" s="81">
        <f>IFERROR($G103/$F103,"")</f>
        <v/>
      </c>
      <c r="P103" s="81">
        <f>IFERROR($H103/$G103,"")</f>
        <v/>
      </c>
      <c r="Q103" s="82">
        <f>$H103-$F103</f>
        <v/>
      </c>
    </row>
    <row r="104">
      <c r="J104" s="82">
        <f>($D104-$B104)*100</f>
        <v/>
      </c>
      <c r="K104" s="82">
        <f>($E104-$B104)*100</f>
        <v/>
      </c>
      <c r="L104" s="82">
        <f>($E104-$C104)*100</f>
        <v/>
      </c>
      <c r="M104" s="82">
        <f>($E104-$D104)*100</f>
        <v/>
      </c>
      <c r="N104" s="82">
        <f>$G104-$F104</f>
        <v/>
      </c>
      <c r="O104" s="81">
        <f>IFERROR($G104/$F104,"")</f>
        <v/>
      </c>
      <c r="P104" s="81">
        <f>IFERROR($H104/$G104,"")</f>
        <v/>
      </c>
      <c r="Q104" s="82">
        <f>$H104-$F104</f>
        <v/>
      </c>
    </row>
    <row r="105">
      <c r="J105" s="82">
        <f>($D105-$B105)*100</f>
        <v/>
      </c>
      <c r="K105" s="82">
        <f>($E105-$B105)*100</f>
        <v/>
      </c>
      <c r="L105" s="82">
        <f>($E105-$C105)*100</f>
        <v/>
      </c>
      <c r="M105" s="82">
        <f>($E105-$D105)*100</f>
        <v/>
      </c>
      <c r="N105" s="82">
        <f>$G105-$F105</f>
        <v/>
      </c>
      <c r="O105" s="81">
        <f>IFERROR($G105/$F105,"")</f>
        <v/>
      </c>
      <c r="P105" s="81">
        <f>IFERROR($H105/$G105,"")</f>
        <v/>
      </c>
      <c r="Q105" s="82">
        <f>$H105-$F105</f>
        <v/>
      </c>
    </row>
    <row r="106">
      <c r="J106" s="82">
        <f>($D106-$B106)*100</f>
        <v/>
      </c>
      <c r="K106" s="82">
        <f>($E106-$B106)*100</f>
        <v/>
      </c>
      <c r="L106" s="82">
        <f>($E106-$C106)*100</f>
        <v/>
      </c>
      <c r="M106" s="82">
        <f>($E106-$D106)*100</f>
        <v/>
      </c>
      <c r="N106" s="82">
        <f>$G106-$F106</f>
        <v/>
      </c>
      <c r="O106" s="81">
        <f>IFERROR($G106/$F106,"")</f>
        <v/>
      </c>
      <c r="P106" s="81">
        <f>IFERROR($H106/$G106,"")</f>
        <v/>
      </c>
      <c r="Q106" s="82">
        <f>$H106-$F106</f>
        <v/>
      </c>
    </row>
    <row r="107">
      <c r="J107" s="82">
        <f>($D107-$B107)*100</f>
        <v/>
      </c>
      <c r="K107" s="82">
        <f>($E107-$B107)*100</f>
        <v/>
      </c>
      <c r="L107" s="82">
        <f>($E107-$C107)*100</f>
        <v/>
      </c>
      <c r="M107" s="82">
        <f>($E107-$D107)*100</f>
        <v/>
      </c>
      <c r="N107" s="82">
        <f>$G107-$F107</f>
        <v/>
      </c>
      <c r="O107" s="81">
        <f>IFERROR($G107/$F107,"")</f>
        <v/>
      </c>
      <c r="P107" s="81">
        <f>IFERROR($H107/$G107,"")</f>
        <v/>
      </c>
      <c r="Q107" s="82">
        <f>$H107-$F107</f>
        <v/>
      </c>
    </row>
    <row r="108">
      <c r="J108" s="82">
        <f>($D108-$B108)*100</f>
        <v/>
      </c>
      <c r="K108" s="82">
        <f>($E108-$B108)*100</f>
        <v/>
      </c>
      <c r="L108" s="82">
        <f>($E108-$C108)*100</f>
        <v/>
      </c>
      <c r="M108" s="82">
        <f>($E108-$D108)*100</f>
        <v/>
      </c>
      <c r="N108" s="82">
        <f>$G108-$F108</f>
        <v/>
      </c>
      <c r="O108" s="81">
        <f>IFERROR($G108/$F108,"")</f>
        <v/>
      </c>
      <c r="P108" s="81">
        <f>IFERROR($H108/$G108,"")</f>
        <v/>
      </c>
      <c r="Q108" s="82">
        <f>$H108-$F108</f>
        <v/>
      </c>
    </row>
    <row r="109">
      <c r="J109" s="82">
        <f>($D109-$B109)*100</f>
        <v/>
      </c>
      <c r="K109" s="82">
        <f>($E109-$B109)*100</f>
        <v/>
      </c>
      <c r="L109" s="82">
        <f>($E109-$C109)*100</f>
        <v/>
      </c>
      <c r="M109" s="82">
        <f>($E109-$D109)*100</f>
        <v/>
      </c>
      <c r="N109" s="82">
        <f>$G109-$F109</f>
        <v/>
      </c>
      <c r="O109" s="81">
        <f>IFERROR($G109/$F109,"")</f>
        <v/>
      </c>
      <c r="P109" s="81">
        <f>IFERROR($H109/$G109,"")</f>
        <v/>
      </c>
      <c r="Q109" s="82">
        <f>$H109-$F109</f>
        <v/>
      </c>
    </row>
    <row r="110">
      <c r="J110" s="82">
        <f>($D110-$B110)*100</f>
        <v/>
      </c>
      <c r="K110" s="82">
        <f>($E110-$B110)*100</f>
        <v/>
      </c>
      <c r="L110" s="82">
        <f>($E110-$C110)*100</f>
        <v/>
      </c>
      <c r="M110" s="82">
        <f>($E110-$D110)*100</f>
        <v/>
      </c>
      <c r="N110" s="82">
        <f>$G110-$F110</f>
        <v/>
      </c>
      <c r="O110" s="81">
        <f>IFERROR($G110/$F110,"")</f>
        <v/>
      </c>
      <c r="P110" s="81">
        <f>IFERROR($H110/$G110,"")</f>
        <v/>
      </c>
      <c r="Q110" s="82">
        <f>$H110-$F110</f>
        <v/>
      </c>
    </row>
    <row r="111">
      <c r="J111" s="82">
        <f>($D111-$B111)*100</f>
        <v/>
      </c>
      <c r="K111" s="82">
        <f>($E111-$B111)*100</f>
        <v/>
      </c>
      <c r="L111" s="82">
        <f>($E111-$C111)*100</f>
        <v/>
      </c>
      <c r="M111" s="82">
        <f>($E111-$D111)*100</f>
        <v/>
      </c>
      <c r="N111" s="82">
        <f>$G111-$F111</f>
        <v/>
      </c>
      <c r="O111" s="81">
        <f>IFERROR($G111/$F111,"")</f>
        <v/>
      </c>
      <c r="P111" s="81">
        <f>IFERROR($H111/$G111,"")</f>
        <v/>
      </c>
      <c r="Q111" s="82">
        <f>$H111-$F111</f>
        <v/>
      </c>
    </row>
    <row r="112">
      <c r="J112" s="82">
        <f>($D112-$B112)*100</f>
        <v/>
      </c>
      <c r="K112" s="82">
        <f>($E112-$B112)*100</f>
        <v/>
      </c>
      <c r="L112" s="82">
        <f>($E112-$C112)*100</f>
        <v/>
      </c>
      <c r="M112" s="82">
        <f>($E112-$D112)*100</f>
        <v/>
      </c>
      <c r="N112" s="82">
        <f>$G112-$F112</f>
        <v/>
      </c>
      <c r="O112" s="81">
        <f>IFERROR($G112/$F112,"")</f>
        <v/>
      </c>
      <c r="P112" s="81">
        <f>IFERROR($H112/$G112,"")</f>
        <v/>
      </c>
      <c r="Q112" s="82">
        <f>$H112-$F112</f>
        <v/>
      </c>
    </row>
    <row r="113">
      <c r="J113" s="82">
        <f>($D113-$B113)*100</f>
        <v/>
      </c>
      <c r="K113" s="82">
        <f>($E113-$B113)*100</f>
        <v/>
      </c>
      <c r="L113" s="82">
        <f>($E113-$C113)*100</f>
        <v/>
      </c>
      <c r="M113" s="82">
        <f>($E113-$D113)*100</f>
        <v/>
      </c>
      <c r="N113" s="82">
        <f>$G113-$F113</f>
        <v/>
      </c>
      <c r="O113" s="81">
        <f>IFERROR($G113/$F113,"")</f>
        <v/>
      </c>
      <c r="P113" s="81">
        <f>IFERROR($H113/$G113,"")</f>
        <v/>
      </c>
      <c r="Q113" s="82">
        <f>$H113-$F113</f>
        <v/>
      </c>
    </row>
    <row r="114">
      <c r="J114" s="82">
        <f>($D114-$B114)*100</f>
        <v/>
      </c>
      <c r="K114" s="82">
        <f>($E114-$B114)*100</f>
        <v/>
      </c>
      <c r="L114" s="82">
        <f>($E114-$C114)*100</f>
        <v/>
      </c>
      <c r="M114" s="82">
        <f>($E114-$D114)*100</f>
        <v/>
      </c>
      <c r="N114" s="82">
        <f>$G114-$F114</f>
        <v/>
      </c>
      <c r="O114" s="81">
        <f>IFERROR($G114/$F114,"")</f>
        <v/>
      </c>
      <c r="P114" s="81">
        <f>IFERROR($H114/$G114,"")</f>
        <v/>
      </c>
      <c r="Q114" s="82">
        <f>$H114-$F114</f>
        <v/>
      </c>
    </row>
    <row r="115">
      <c r="J115" s="82">
        <f>($D115-$B115)*100</f>
        <v/>
      </c>
      <c r="K115" s="82">
        <f>($E115-$B115)*100</f>
        <v/>
      </c>
      <c r="L115" s="82">
        <f>($E115-$C115)*100</f>
        <v/>
      </c>
      <c r="M115" s="82">
        <f>($E115-$D115)*100</f>
        <v/>
      </c>
      <c r="N115" s="82">
        <f>$G115-$F115</f>
        <v/>
      </c>
      <c r="O115" s="81">
        <f>IFERROR($G115/$F115,"")</f>
        <v/>
      </c>
      <c r="P115" s="81">
        <f>IFERROR($H115/$G115,"")</f>
        <v/>
      </c>
      <c r="Q115" s="82">
        <f>$H115-$F115</f>
        <v/>
      </c>
    </row>
    <row r="116">
      <c r="J116" s="82">
        <f>($D116-$B116)*100</f>
        <v/>
      </c>
      <c r="K116" s="82">
        <f>($E116-$B116)*100</f>
        <v/>
      </c>
      <c r="L116" s="82">
        <f>($E116-$C116)*100</f>
        <v/>
      </c>
      <c r="M116" s="82">
        <f>($E116-$D116)*100</f>
        <v/>
      </c>
      <c r="N116" s="82">
        <f>$G116-$F116</f>
        <v/>
      </c>
      <c r="O116" s="81">
        <f>IFERROR($G116/$F116,"")</f>
        <v/>
      </c>
      <c r="P116" s="81">
        <f>IFERROR($H116/$G116,"")</f>
        <v/>
      </c>
      <c r="Q116" s="82">
        <f>$H116-$F116</f>
        <v/>
      </c>
    </row>
    <row r="117">
      <c r="J117" s="82">
        <f>($D117-$B117)*100</f>
        <v/>
      </c>
      <c r="K117" s="82">
        <f>($E117-$B117)*100</f>
        <v/>
      </c>
      <c r="L117" s="82">
        <f>($E117-$C117)*100</f>
        <v/>
      </c>
      <c r="M117" s="82">
        <f>($E117-$D117)*100</f>
        <v/>
      </c>
      <c r="N117" s="82">
        <f>$G117-$F117</f>
        <v/>
      </c>
      <c r="O117" s="81">
        <f>IFERROR($G117/$F117,"")</f>
        <v/>
      </c>
      <c r="P117" s="81">
        <f>IFERROR($H117/$G117,"")</f>
        <v/>
      </c>
      <c r="Q117" s="82">
        <f>$H117-$F117</f>
        <v/>
      </c>
    </row>
    <row r="118">
      <c r="J118" s="82">
        <f>($D118-$B118)*100</f>
        <v/>
      </c>
      <c r="K118" s="82">
        <f>($E118-$B118)*100</f>
        <v/>
      </c>
      <c r="L118" s="82">
        <f>($E118-$C118)*100</f>
        <v/>
      </c>
      <c r="M118" s="82">
        <f>($E118-$D118)*100</f>
        <v/>
      </c>
      <c r="N118" s="82">
        <f>$G118-$F118</f>
        <v/>
      </c>
      <c r="O118" s="81">
        <f>IFERROR($G118/$F118,"")</f>
        <v/>
      </c>
      <c r="P118" s="81">
        <f>IFERROR($H118/$G118,"")</f>
        <v/>
      </c>
      <c r="Q118" s="82">
        <f>$H118-$F118</f>
        <v/>
      </c>
    </row>
    <row r="119">
      <c r="J119" s="82">
        <f>($D119-$B119)*100</f>
        <v/>
      </c>
      <c r="K119" s="82">
        <f>($E119-$B119)*100</f>
        <v/>
      </c>
      <c r="L119" s="82">
        <f>($E119-$C119)*100</f>
        <v/>
      </c>
      <c r="M119" s="82">
        <f>($E119-$D119)*100</f>
        <v/>
      </c>
      <c r="N119" s="82">
        <f>$G119-$F119</f>
        <v/>
      </c>
      <c r="O119" s="81">
        <f>IFERROR($G119/$F119,"")</f>
        <v/>
      </c>
      <c r="P119" s="81">
        <f>IFERROR($H119/$G119,"")</f>
        <v/>
      </c>
      <c r="Q119" s="82">
        <f>$H119-$F119</f>
        <v/>
      </c>
    </row>
    <row r="120">
      <c r="J120" s="82">
        <f>($D120-$B120)*100</f>
        <v/>
      </c>
      <c r="K120" s="82">
        <f>($E120-$B120)*100</f>
        <v/>
      </c>
      <c r="L120" s="82">
        <f>($E120-$C120)*100</f>
        <v/>
      </c>
      <c r="M120" s="82">
        <f>($E120-$D120)*100</f>
        <v/>
      </c>
      <c r="N120" s="82">
        <f>$G120-$F120</f>
        <v/>
      </c>
      <c r="O120" s="81">
        <f>IFERROR($G120/$F120,"")</f>
        <v/>
      </c>
      <c r="P120" s="81">
        <f>IFERROR($H120/$G120,"")</f>
        <v/>
      </c>
      <c r="Q120" s="82">
        <f>$H120-$F120</f>
        <v/>
      </c>
    </row>
    <row r="121">
      <c r="J121" s="82">
        <f>($D121-$B121)*100</f>
        <v/>
      </c>
      <c r="K121" s="82">
        <f>($E121-$B121)*100</f>
        <v/>
      </c>
      <c r="L121" s="82">
        <f>($E121-$C121)*100</f>
        <v/>
      </c>
      <c r="M121" s="82">
        <f>($E121-$D121)*100</f>
        <v/>
      </c>
      <c r="N121" s="82">
        <f>$G121-$F121</f>
        <v/>
      </c>
      <c r="O121" s="81">
        <f>IFERROR($G121/$F121,"")</f>
        <v/>
      </c>
      <c r="P121" s="81">
        <f>IFERROR($H121/$G121,"")</f>
        <v/>
      </c>
      <c r="Q121" s="82">
        <f>$H121-$F121</f>
        <v/>
      </c>
    </row>
    <row r="122">
      <c r="J122" s="82">
        <f>($D122-$B122)*100</f>
        <v/>
      </c>
      <c r="K122" s="82">
        <f>($E122-$B122)*100</f>
        <v/>
      </c>
      <c r="L122" s="82">
        <f>($E122-$C122)*100</f>
        <v/>
      </c>
      <c r="M122" s="82">
        <f>($E122-$D122)*100</f>
        <v/>
      </c>
      <c r="N122" s="82">
        <f>$G122-$F122</f>
        <v/>
      </c>
      <c r="O122" s="81">
        <f>IFERROR($G122/$F122,"")</f>
        <v/>
      </c>
      <c r="P122" s="81">
        <f>IFERROR($H122/$G122,"")</f>
        <v/>
      </c>
      <c r="Q122" s="82">
        <f>$H122-$F122</f>
        <v/>
      </c>
    </row>
    <row r="123">
      <c r="J123" s="82">
        <f>($D123-$B123)*100</f>
        <v/>
      </c>
      <c r="K123" s="82">
        <f>($E123-$B123)*100</f>
        <v/>
      </c>
      <c r="L123" s="82">
        <f>($E123-$C123)*100</f>
        <v/>
      </c>
      <c r="M123" s="82">
        <f>($E123-$D123)*100</f>
        <v/>
      </c>
      <c r="N123" s="82">
        <f>$G123-$F123</f>
        <v/>
      </c>
      <c r="O123" s="81">
        <f>IFERROR($G123/$F123,"")</f>
        <v/>
      </c>
      <c r="P123" s="81">
        <f>IFERROR($H123/$G123,"")</f>
        <v/>
      </c>
      <c r="Q123" s="82">
        <f>$H123-$F123</f>
        <v/>
      </c>
    </row>
    <row r="124">
      <c r="J124" s="82">
        <f>($D124-$B124)*100</f>
        <v/>
      </c>
      <c r="K124" s="82">
        <f>($E124-$B124)*100</f>
        <v/>
      </c>
      <c r="L124" s="82">
        <f>($E124-$C124)*100</f>
        <v/>
      </c>
      <c r="M124" s="82">
        <f>($E124-$D124)*100</f>
        <v/>
      </c>
      <c r="N124" s="82">
        <f>$G124-$F124</f>
        <v/>
      </c>
      <c r="O124" s="81">
        <f>IFERROR($G124/$F124,"")</f>
        <v/>
      </c>
      <c r="P124" s="81">
        <f>IFERROR($H124/$G124,"")</f>
        <v/>
      </c>
      <c r="Q124" s="82">
        <f>$H124-$F124</f>
        <v/>
      </c>
    </row>
    <row r="125">
      <c r="J125" s="82">
        <f>($D125-$B125)*100</f>
        <v/>
      </c>
      <c r="K125" s="82">
        <f>($E125-$B125)*100</f>
        <v/>
      </c>
      <c r="L125" s="82">
        <f>($E125-$C125)*100</f>
        <v/>
      </c>
      <c r="M125" s="82">
        <f>($E125-$D125)*100</f>
        <v/>
      </c>
      <c r="N125" s="82">
        <f>$G125-$F125</f>
        <v/>
      </c>
      <c r="O125" s="81">
        <f>IFERROR($G125/$F125,"")</f>
        <v/>
      </c>
      <c r="P125" s="81">
        <f>IFERROR($H125/$G125,"")</f>
        <v/>
      </c>
      <c r="Q125" s="82">
        <f>$H125-$F125</f>
        <v/>
      </c>
    </row>
    <row r="126">
      <c r="J126" s="82">
        <f>($D126-$B126)*100</f>
        <v/>
      </c>
      <c r="K126" s="82">
        <f>($E126-$B126)*100</f>
        <v/>
      </c>
      <c r="L126" s="82">
        <f>($E126-$C126)*100</f>
        <v/>
      </c>
      <c r="M126" s="82">
        <f>($E126-$D126)*100</f>
        <v/>
      </c>
      <c r="N126" s="82">
        <f>$G126-$F126</f>
        <v/>
      </c>
      <c r="O126" s="81">
        <f>IFERROR($G126/$F126,"")</f>
        <v/>
      </c>
      <c r="P126" s="81">
        <f>IFERROR($H126/$G126,"")</f>
        <v/>
      </c>
      <c r="Q126" s="82">
        <f>$H126-$F126</f>
        <v/>
      </c>
    </row>
    <row r="127">
      <c r="J127" s="82">
        <f>($D127-$B127)*100</f>
        <v/>
      </c>
      <c r="K127" s="82">
        <f>($E127-$B127)*100</f>
        <v/>
      </c>
      <c r="L127" s="82">
        <f>($E127-$C127)*100</f>
        <v/>
      </c>
      <c r="M127" s="82">
        <f>($E127-$D127)*100</f>
        <v/>
      </c>
      <c r="N127" s="82">
        <f>$G127-$F127</f>
        <v/>
      </c>
      <c r="O127" s="81">
        <f>IFERROR($G127/$F127,"")</f>
        <v/>
      </c>
      <c r="P127" s="81">
        <f>IFERROR($H127/$G127,"")</f>
        <v/>
      </c>
      <c r="Q127" s="82">
        <f>$H127-$F127</f>
        <v/>
      </c>
    </row>
    <row r="128">
      <c r="J128" s="82">
        <f>($D128-$B128)*100</f>
        <v/>
      </c>
      <c r="K128" s="82">
        <f>($E128-$B128)*100</f>
        <v/>
      </c>
      <c r="L128" s="82">
        <f>($E128-$C128)*100</f>
        <v/>
      </c>
      <c r="M128" s="82">
        <f>($E128-$D128)*100</f>
        <v/>
      </c>
      <c r="N128" s="82">
        <f>$G128-$F128</f>
        <v/>
      </c>
      <c r="O128" s="81">
        <f>IFERROR($G128/$F128,"")</f>
        <v/>
      </c>
      <c r="P128" s="81">
        <f>IFERROR($H128/$G128,"")</f>
        <v/>
      </c>
      <c r="Q128" s="82">
        <f>$H128-$F128</f>
        <v/>
      </c>
    </row>
    <row r="129">
      <c r="J129" s="82">
        <f>($D129-$B129)*100</f>
        <v/>
      </c>
      <c r="K129" s="82">
        <f>($E129-$B129)*100</f>
        <v/>
      </c>
      <c r="L129" s="82">
        <f>($E129-$C129)*100</f>
        <v/>
      </c>
      <c r="M129" s="82">
        <f>($E129-$D129)*100</f>
        <v/>
      </c>
      <c r="N129" s="82">
        <f>$G129-$F129</f>
        <v/>
      </c>
      <c r="O129" s="81">
        <f>IFERROR($G129/$F129,"")</f>
        <v/>
      </c>
      <c r="P129" s="81">
        <f>IFERROR($H129/$G129,"")</f>
        <v/>
      </c>
      <c r="Q129" s="82">
        <f>$H129-$F129</f>
        <v/>
      </c>
    </row>
    <row r="130">
      <c r="J130" s="82">
        <f>($D130-$B130)*100</f>
        <v/>
      </c>
      <c r="K130" s="82">
        <f>($E130-$B130)*100</f>
        <v/>
      </c>
      <c r="L130" s="82">
        <f>($E130-$C130)*100</f>
        <v/>
      </c>
      <c r="M130" s="82">
        <f>($E130-$D130)*100</f>
        <v/>
      </c>
      <c r="N130" s="82">
        <f>$G130-$F130</f>
        <v/>
      </c>
      <c r="O130" s="81">
        <f>IFERROR($G130/$F130,"")</f>
        <v/>
      </c>
      <c r="P130" s="81">
        <f>IFERROR($H130/$G130,"")</f>
        <v/>
      </c>
      <c r="Q130" s="82">
        <f>$H130-$F130</f>
        <v/>
      </c>
    </row>
    <row r="131">
      <c r="J131" s="82">
        <f>($D131-$B131)*100</f>
        <v/>
      </c>
      <c r="K131" s="82">
        <f>($E131-$B131)*100</f>
        <v/>
      </c>
      <c r="L131" s="82">
        <f>($E131-$C131)*100</f>
        <v/>
      </c>
      <c r="M131" s="82">
        <f>($E131-$D131)*100</f>
        <v/>
      </c>
      <c r="N131" s="82">
        <f>$G131-$F131</f>
        <v/>
      </c>
      <c r="O131" s="81">
        <f>IFERROR($G131/$F131,"")</f>
        <v/>
      </c>
      <c r="P131" s="81">
        <f>IFERROR($H131/$G131,"")</f>
        <v/>
      </c>
      <c r="Q131" s="82">
        <f>$H131-$F131</f>
        <v/>
      </c>
    </row>
    <row r="132">
      <c r="J132" s="82">
        <f>($D132-$B132)*100</f>
        <v/>
      </c>
      <c r="K132" s="82">
        <f>($E132-$B132)*100</f>
        <v/>
      </c>
      <c r="L132" s="82">
        <f>($E132-$C132)*100</f>
        <v/>
      </c>
      <c r="M132" s="82">
        <f>($E132-$D132)*100</f>
        <v/>
      </c>
      <c r="N132" s="82">
        <f>$G132-$F132</f>
        <v/>
      </c>
      <c r="O132" s="81">
        <f>IFERROR($G132/$F132,"")</f>
        <v/>
      </c>
      <c r="P132" s="81">
        <f>IFERROR($H132/$G132,"")</f>
        <v/>
      </c>
      <c r="Q132" s="82">
        <f>$H132-$F132</f>
        <v/>
      </c>
    </row>
    <row r="133">
      <c r="J133" s="82">
        <f>($D133-$B133)*100</f>
        <v/>
      </c>
      <c r="K133" s="82">
        <f>($E133-$B133)*100</f>
        <v/>
      </c>
      <c r="L133" s="82">
        <f>($E133-$C133)*100</f>
        <v/>
      </c>
      <c r="M133" s="82">
        <f>($E133-$D133)*100</f>
        <v/>
      </c>
      <c r="N133" s="82">
        <f>$G133-$F133</f>
        <v/>
      </c>
      <c r="O133" s="81">
        <f>IFERROR($G133/$F133,"")</f>
        <v/>
      </c>
      <c r="P133" s="81">
        <f>IFERROR($H133/$G133,"")</f>
        <v/>
      </c>
      <c r="Q133" s="82">
        <f>$H133-$F133</f>
        <v/>
      </c>
    </row>
    <row r="134">
      <c r="J134" s="82">
        <f>($D134-$B134)*100</f>
        <v/>
      </c>
      <c r="K134" s="82">
        <f>($E134-$B134)*100</f>
        <v/>
      </c>
      <c r="L134" s="82">
        <f>($E134-$C134)*100</f>
        <v/>
      </c>
      <c r="M134" s="82">
        <f>($E134-$D134)*100</f>
        <v/>
      </c>
      <c r="N134" s="82">
        <f>$G134-$F134</f>
        <v/>
      </c>
      <c r="O134" s="81">
        <f>IFERROR($G134/$F134,"")</f>
        <v/>
      </c>
      <c r="P134" s="81">
        <f>IFERROR($H134/$G134,"")</f>
        <v/>
      </c>
      <c r="Q134" s="82">
        <f>$H134-$F134</f>
        <v/>
      </c>
    </row>
    <row r="135">
      <c r="J135" s="82">
        <f>($D135-$B135)*100</f>
        <v/>
      </c>
      <c r="K135" s="82">
        <f>($E135-$B135)*100</f>
        <v/>
      </c>
      <c r="L135" s="82">
        <f>($E135-$C135)*100</f>
        <v/>
      </c>
      <c r="M135" s="82">
        <f>($E135-$D135)*100</f>
        <v/>
      </c>
      <c r="N135" s="82">
        <f>$G135-$F135</f>
        <v/>
      </c>
      <c r="O135" s="81">
        <f>IFERROR($G135/$F135,"")</f>
        <v/>
      </c>
      <c r="P135" s="81">
        <f>IFERROR($H135/$G135,"")</f>
        <v/>
      </c>
      <c r="Q135" s="82">
        <f>$H135-$F135</f>
        <v/>
      </c>
    </row>
    <row r="136">
      <c r="J136" s="82">
        <f>($D136-$B136)*100</f>
        <v/>
      </c>
      <c r="K136" s="82">
        <f>($E136-$B136)*100</f>
        <v/>
      </c>
      <c r="L136" s="82">
        <f>($E136-$C136)*100</f>
        <v/>
      </c>
      <c r="M136" s="82">
        <f>($E136-$D136)*100</f>
        <v/>
      </c>
      <c r="N136" s="82">
        <f>$G136-$F136</f>
        <v/>
      </c>
      <c r="O136" s="81">
        <f>IFERROR($G136/$F136,"")</f>
        <v/>
      </c>
      <c r="P136" s="81">
        <f>IFERROR($H136/$G136,"")</f>
        <v/>
      </c>
      <c r="Q136" s="82">
        <f>$H136-$F136</f>
        <v/>
      </c>
    </row>
    <row r="137">
      <c r="J137" s="82">
        <f>($D137-$B137)*100</f>
        <v/>
      </c>
      <c r="K137" s="82">
        <f>($E137-$B137)*100</f>
        <v/>
      </c>
      <c r="L137" s="82">
        <f>($E137-$C137)*100</f>
        <v/>
      </c>
      <c r="M137" s="82">
        <f>($E137-$D137)*100</f>
        <v/>
      </c>
      <c r="N137" s="82">
        <f>$G137-$F137</f>
        <v/>
      </c>
      <c r="O137" s="81">
        <f>IFERROR($G137/$F137,"")</f>
        <v/>
      </c>
      <c r="P137" s="81">
        <f>IFERROR($H137/$G137,"")</f>
        <v/>
      </c>
      <c r="Q137" s="82">
        <f>$H137-$F137</f>
        <v/>
      </c>
    </row>
    <row r="138">
      <c r="J138" s="82">
        <f>($D138-$B138)*100</f>
        <v/>
      </c>
      <c r="K138" s="82">
        <f>($E138-$B138)*100</f>
        <v/>
      </c>
      <c r="L138" s="82">
        <f>($E138-$C138)*100</f>
        <v/>
      </c>
      <c r="M138" s="82">
        <f>($E138-$D138)*100</f>
        <v/>
      </c>
      <c r="N138" s="82">
        <f>$G138-$F138</f>
        <v/>
      </c>
      <c r="O138" s="81">
        <f>IFERROR($G138/$F138,"")</f>
        <v/>
      </c>
      <c r="P138" s="81">
        <f>IFERROR($H138/$G138,"")</f>
        <v/>
      </c>
      <c r="Q138" s="82">
        <f>$H138-$F138</f>
        <v/>
      </c>
    </row>
    <row r="139">
      <c r="J139" s="82">
        <f>($D139-$B139)*100</f>
        <v/>
      </c>
      <c r="K139" s="82">
        <f>($E139-$B139)*100</f>
        <v/>
      </c>
      <c r="L139" s="82">
        <f>($E139-$C139)*100</f>
        <v/>
      </c>
      <c r="M139" s="82">
        <f>($E139-$D139)*100</f>
        <v/>
      </c>
      <c r="N139" s="82">
        <f>$G139-$F139</f>
        <v/>
      </c>
      <c r="O139" s="81">
        <f>IFERROR($G139/$F139,"")</f>
        <v/>
      </c>
      <c r="P139" s="81">
        <f>IFERROR($H139/$G139,"")</f>
        <v/>
      </c>
      <c r="Q139" s="82">
        <f>$H139-$F139</f>
        <v/>
      </c>
    </row>
    <row r="140">
      <c r="J140" s="82">
        <f>($D140-$B140)*100</f>
        <v/>
      </c>
      <c r="K140" s="82">
        <f>($E140-$B140)*100</f>
        <v/>
      </c>
      <c r="L140" s="82">
        <f>($E140-$C140)*100</f>
        <v/>
      </c>
      <c r="M140" s="82">
        <f>($E140-$D140)*100</f>
        <v/>
      </c>
      <c r="N140" s="82">
        <f>$G140-$F140</f>
        <v/>
      </c>
      <c r="O140" s="81">
        <f>IFERROR($G140/$F140,"")</f>
        <v/>
      </c>
      <c r="P140" s="81">
        <f>IFERROR($H140/$G140,"")</f>
        <v/>
      </c>
      <c r="Q140" s="82">
        <f>$H140-$F140</f>
        <v/>
      </c>
    </row>
    <row r="141">
      <c r="J141" s="82">
        <f>($D141-$B141)*100</f>
        <v/>
      </c>
      <c r="K141" s="82">
        <f>($E141-$B141)*100</f>
        <v/>
      </c>
      <c r="L141" s="82">
        <f>($E141-$C141)*100</f>
        <v/>
      </c>
      <c r="M141" s="82">
        <f>($E141-$D141)*100</f>
        <v/>
      </c>
      <c r="N141" s="82">
        <f>$G141-$F141</f>
        <v/>
      </c>
      <c r="O141" s="81">
        <f>IFERROR($G141/$F141,"")</f>
        <v/>
      </c>
      <c r="P141" s="81">
        <f>IFERROR($H141/$G141,"")</f>
        <v/>
      </c>
      <c r="Q141" s="82">
        <f>$H141-$F141</f>
        <v/>
      </c>
    </row>
    <row r="142">
      <c r="J142" s="82">
        <f>($D142-$B142)*100</f>
        <v/>
      </c>
      <c r="K142" s="82">
        <f>($E142-$B142)*100</f>
        <v/>
      </c>
      <c r="L142" s="82">
        <f>($E142-$C142)*100</f>
        <v/>
      </c>
      <c r="M142" s="82">
        <f>($E142-$D142)*100</f>
        <v/>
      </c>
      <c r="N142" s="82">
        <f>$G142-$F142</f>
        <v/>
      </c>
      <c r="O142" s="81">
        <f>IFERROR($G142/$F142,"")</f>
        <v/>
      </c>
      <c r="P142" s="81">
        <f>IFERROR($H142/$G142,"")</f>
        <v/>
      </c>
      <c r="Q142" s="82">
        <f>$H142-$F142</f>
        <v/>
      </c>
    </row>
    <row r="143">
      <c r="J143" s="82">
        <f>($D143-$B143)*100</f>
        <v/>
      </c>
      <c r="K143" s="82">
        <f>($E143-$B143)*100</f>
        <v/>
      </c>
      <c r="L143" s="82">
        <f>($E143-$C143)*100</f>
        <v/>
      </c>
      <c r="M143" s="82">
        <f>($E143-$D143)*100</f>
        <v/>
      </c>
      <c r="N143" s="82">
        <f>$G143-$F143</f>
        <v/>
      </c>
      <c r="O143" s="81">
        <f>IFERROR($G143/$F143,"")</f>
        <v/>
      </c>
      <c r="P143" s="81">
        <f>IFERROR($H143/$G143,"")</f>
        <v/>
      </c>
      <c r="Q143" s="82">
        <f>$H143-$F143</f>
        <v/>
      </c>
    </row>
    <row r="144">
      <c r="J144" s="82">
        <f>($D144-$B144)*100</f>
        <v/>
      </c>
      <c r="K144" s="82">
        <f>($E144-$B144)*100</f>
        <v/>
      </c>
      <c r="L144" s="82">
        <f>($E144-$C144)*100</f>
        <v/>
      </c>
      <c r="M144" s="82">
        <f>($E144-$D144)*100</f>
        <v/>
      </c>
      <c r="N144" s="82">
        <f>$G144-$F144</f>
        <v/>
      </c>
      <c r="O144" s="81">
        <f>IFERROR($G144/$F144,"")</f>
        <v/>
      </c>
      <c r="P144" s="81">
        <f>IFERROR($H144/$G144,"")</f>
        <v/>
      </c>
      <c r="Q144" s="82">
        <f>$H144-$F144</f>
        <v/>
      </c>
    </row>
    <row r="145">
      <c r="J145" s="82">
        <f>($D145-$B145)*100</f>
        <v/>
      </c>
      <c r="K145" s="82">
        <f>($E145-$B145)*100</f>
        <v/>
      </c>
      <c r="L145" s="82">
        <f>($E145-$C145)*100</f>
        <v/>
      </c>
      <c r="M145" s="82">
        <f>($E145-$D145)*100</f>
        <v/>
      </c>
      <c r="N145" s="82">
        <f>$G145-$F145</f>
        <v/>
      </c>
      <c r="O145" s="81">
        <f>IFERROR($G145/$F145,"")</f>
        <v/>
      </c>
      <c r="P145" s="81">
        <f>IFERROR($H145/$G145,"")</f>
        <v/>
      </c>
      <c r="Q145" s="82">
        <f>$H145-$F145</f>
        <v/>
      </c>
    </row>
    <row r="146">
      <c r="J146" s="82">
        <f>($D146-$B146)*100</f>
        <v/>
      </c>
      <c r="K146" s="82">
        <f>($E146-$B146)*100</f>
        <v/>
      </c>
      <c r="L146" s="82">
        <f>($E146-$C146)*100</f>
        <v/>
      </c>
      <c r="M146" s="82">
        <f>($E146-$D146)*100</f>
        <v/>
      </c>
      <c r="N146" s="82">
        <f>$G146-$F146</f>
        <v/>
      </c>
      <c r="O146" s="81">
        <f>IFERROR($G146/$F146,"")</f>
        <v/>
      </c>
      <c r="P146" s="81">
        <f>IFERROR($H146/$G146,"")</f>
        <v/>
      </c>
      <c r="Q146" s="82">
        <f>$H146-$F146</f>
        <v/>
      </c>
    </row>
    <row r="147">
      <c r="J147" s="82">
        <f>($D147-$B147)*100</f>
        <v/>
      </c>
      <c r="K147" s="82">
        <f>($E147-$B147)*100</f>
        <v/>
      </c>
      <c r="L147" s="82">
        <f>($E147-$C147)*100</f>
        <v/>
      </c>
      <c r="M147" s="82">
        <f>($E147-$D147)*100</f>
        <v/>
      </c>
      <c r="N147" s="82">
        <f>$G147-$F147</f>
        <v/>
      </c>
      <c r="O147" s="81">
        <f>IFERROR($G147/$F147,"")</f>
        <v/>
      </c>
      <c r="P147" s="81">
        <f>IFERROR($H147/$G147,"")</f>
        <v/>
      </c>
      <c r="Q147" s="82">
        <f>$H147-$F147</f>
        <v/>
      </c>
    </row>
    <row r="148">
      <c r="J148" s="82">
        <f>($D148-$B148)*100</f>
        <v/>
      </c>
      <c r="K148" s="82">
        <f>($E148-$B148)*100</f>
        <v/>
      </c>
      <c r="L148" s="82">
        <f>($E148-$C148)*100</f>
        <v/>
      </c>
      <c r="M148" s="82">
        <f>($E148-$D148)*100</f>
        <v/>
      </c>
      <c r="N148" s="82">
        <f>$G148-$F148</f>
        <v/>
      </c>
      <c r="O148" s="81">
        <f>IFERROR($G148/$F148,"")</f>
        <v/>
      </c>
      <c r="P148" s="81">
        <f>IFERROR($H148/$G148,"")</f>
        <v/>
      </c>
      <c r="Q148" s="82">
        <f>$H148-$F148</f>
        <v/>
      </c>
    </row>
    <row r="149">
      <c r="J149" s="82">
        <f>($D149-$B149)*100</f>
        <v/>
      </c>
      <c r="K149" s="82">
        <f>($E149-$B149)*100</f>
        <v/>
      </c>
      <c r="L149" s="82">
        <f>($E149-$C149)*100</f>
        <v/>
      </c>
      <c r="M149" s="82">
        <f>($E149-$D149)*100</f>
        <v/>
      </c>
      <c r="N149" s="82">
        <f>$G149-$F149</f>
        <v/>
      </c>
      <c r="O149" s="81">
        <f>IFERROR($G149/$F149,"")</f>
        <v/>
      </c>
      <c r="P149" s="81">
        <f>IFERROR($H149/$G149,"")</f>
        <v/>
      </c>
      <c r="Q149" s="82">
        <f>$H149-$F149</f>
        <v/>
      </c>
    </row>
    <row r="150">
      <c r="J150" s="82">
        <f>($D150-$B150)*100</f>
        <v/>
      </c>
      <c r="K150" s="82">
        <f>($E150-$B150)*100</f>
        <v/>
      </c>
      <c r="L150" s="82">
        <f>($E150-$C150)*100</f>
        <v/>
      </c>
      <c r="M150" s="82">
        <f>($E150-$D150)*100</f>
        <v/>
      </c>
      <c r="N150" s="82">
        <f>$G150-$F150</f>
        <v/>
      </c>
      <c r="O150" s="81">
        <f>IFERROR($G150/$F150,"")</f>
        <v/>
      </c>
      <c r="P150" s="81">
        <f>IFERROR($H150/$G150,"")</f>
        <v/>
      </c>
      <c r="Q150" s="82">
        <f>$H150-$F150</f>
        <v/>
      </c>
    </row>
    <row r="151">
      <c r="J151" s="82">
        <f>($D151-$B151)*100</f>
        <v/>
      </c>
      <c r="K151" s="82">
        <f>($E151-$B151)*100</f>
        <v/>
      </c>
      <c r="L151" s="82">
        <f>($E151-$C151)*100</f>
        <v/>
      </c>
      <c r="M151" s="82">
        <f>($E151-$D151)*100</f>
        <v/>
      </c>
      <c r="N151" s="82">
        <f>$G151-$F151</f>
        <v/>
      </c>
      <c r="O151" s="81">
        <f>IFERROR($G151/$F151,"")</f>
        <v/>
      </c>
      <c r="P151" s="81">
        <f>IFERROR($H151/$G151,"")</f>
        <v/>
      </c>
      <c r="Q151" s="82">
        <f>$H151-$F151</f>
        <v/>
      </c>
    </row>
    <row r="152">
      <c r="J152" s="82">
        <f>($D152-$B152)*100</f>
        <v/>
      </c>
      <c r="K152" s="82">
        <f>($E152-$B152)*100</f>
        <v/>
      </c>
      <c r="L152" s="82">
        <f>($E152-$C152)*100</f>
        <v/>
      </c>
      <c r="M152" s="82">
        <f>($E152-$D152)*100</f>
        <v/>
      </c>
      <c r="N152" s="82">
        <f>$G152-$F152</f>
        <v/>
      </c>
      <c r="O152" s="81">
        <f>IFERROR($G152/$F152,"")</f>
        <v/>
      </c>
      <c r="P152" s="81">
        <f>IFERROR($H152/$G152,"")</f>
        <v/>
      </c>
      <c r="Q152" s="82">
        <f>$H152-$F152</f>
        <v/>
      </c>
    </row>
    <row r="153">
      <c r="J153" s="82">
        <f>($D153-$B153)*100</f>
        <v/>
      </c>
      <c r="K153" s="82">
        <f>($E153-$B153)*100</f>
        <v/>
      </c>
      <c r="L153" s="82">
        <f>($E153-$C153)*100</f>
        <v/>
      </c>
      <c r="M153" s="82">
        <f>($E153-$D153)*100</f>
        <v/>
      </c>
      <c r="N153" s="82">
        <f>$G153-$F153</f>
        <v/>
      </c>
      <c r="O153" s="81">
        <f>IFERROR($G153/$F153,"")</f>
        <v/>
      </c>
      <c r="P153" s="81">
        <f>IFERROR($H153/$G153,"")</f>
        <v/>
      </c>
      <c r="Q153" s="82">
        <f>$H153-$F153</f>
        <v/>
      </c>
    </row>
    <row r="154">
      <c r="J154" s="82">
        <f>($D154-$B154)*100</f>
        <v/>
      </c>
      <c r="K154" s="82">
        <f>($E154-$B154)*100</f>
        <v/>
      </c>
      <c r="L154" s="82">
        <f>($E154-$C154)*100</f>
        <v/>
      </c>
      <c r="M154" s="82">
        <f>($E154-$D154)*100</f>
        <v/>
      </c>
      <c r="N154" s="82">
        <f>$G154-$F154</f>
        <v/>
      </c>
      <c r="O154" s="81">
        <f>IFERROR($G154/$F154,"")</f>
        <v/>
      </c>
      <c r="P154" s="81">
        <f>IFERROR($H154/$G154,"")</f>
        <v/>
      </c>
      <c r="Q154" s="82">
        <f>$H154-$F154</f>
        <v/>
      </c>
    </row>
    <row r="155">
      <c r="J155" s="82">
        <f>($D155-$B155)*100</f>
        <v/>
      </c>
      <c r="K155" s="82">
        <f>($E155-$B155)*100</f>
        <v/>
      </c>
      <c r="L155" s="82">
        <f>($E155-$C155)*100</f>
        <v/>
      </c>
      <c r="M155" s="82">
        <f>($E155-$D155)*100</f>
        <v/>
      </c>
      <c r="N155" s="82">
        <f>$G155-$F155</f>
        <v/>
      </c>
      <c r="O155" s="81">
        <f>IFERROR($G155/$F155,"")</f>
        <v/>
      </c>
      <c r="P155" s="81">
        <f>IFERROR($H155/$G155,"")</f>
        <v/>
      </c>
      <c r="Q155" s="82">
        <f>$H155-$F155</f>
        <v/>
      </c>
    </row>
    <row r="156">
      <c r="J156" s="82">
        <f>($D156-$B156)*100</f>
        <v/>
      </c>
      <c r="K156" s="82">
        <f>($E156-$B156)*100</f>
        <v/>
      </c>
      <c r="L156" s="82">
        <f>($E156-$C156)*100</f>
        <v/>
      </c>
      <c r="M156" s="82">
        <f>($E156-$D156)*100</f>
        <v/>
      </c>
      <c r="N156" s="82">
        <f>$G156-$F156</f>
        <v/>
      </c>
      <c r="O156" s="81">
        <f>IFERROR($G156/$F156,"")</f>
        <v/>
      </c>
      <c r="P156" s="81">
        <f>IFERROR($H156/$G156,"")</f>
        <v/>
      </c>
      <c r="Q156" s="82">
        <f>$H156-$F156</f>
        <v/>
      </c>
    </row>
    <row r="157">
      <c r="J157" s="82">
        <f>($D157-$B157)*100</f>
        <v/>
      </c>
      <c r="K157" s="82">
        <f>($E157-$B157)*100</f>
        <v/>
      </c>
      <c r="L157" s="82">
        <f>($E157-$C157)*100</f>
        <v/>
      </c>
      <c r="M157" s="82">
        <f>($E157-$D157)*100</f>
        <v/>
      </c>
      <c r="N157" s="82">
        <f>$G157-$F157</f>
        <v/>
      </c>
      <c r="O157" s="81">
        <f>IFERROR($G157/$F157,"")</f>
        <v/>
      </c>
      <c r="P157" s="81">
        <f>IFERROR($H157/$G157,"")</f>
        <v/>
      </c>
      <c r="Q157" s="82">
        <f>$H157-$F157</f>
        <v/>
      </c>
    </row>
    <row r="158">
      <c r="J158" s="82">
        <f>($D158-$B158)*100</f>
        <v/>
      </c>
      <c r="K158" s="82">
        <f>($E158-$B158)*100</f>
        <v/>
      </c>
      <c r="L158" s="82">
        <f>($E158-$C158)*100</f>
        <v/>
      </c>
      <c r="M158" s="82">
        <f>($E158-$D158)*100</f>
        <v/>
      </c>
      <c r="N158" s="82">
        <f>$G158-$F158</f>
        <v/>
      </c>
      <c r="O158" s="81">
        <f>IFERROR($G158/$F158,"")</f>
        <v/>
      </c>
      <c r="P158" s="81">
        <f>IFERROR($H158/$G158,"")</f>
        <v/>
      </c>
      <c r="Q158" s="82">
        <f>$H158-$F158</f>
        <v/>
      </c>
    </row>
    <row r="159">
      <c r="J159" s="82">
        <f>($D159-$B159)*100</f>
        <v/>
      </c>
      <c r="K159" s="82">
        <f>($E159-$B159)*100</f>
        <v/>
      </c>
      <c r="L159" s="82">
        <f>($E159-$C159)*100</f>
        <v/>
      </c>
      <c r="M159" s="82">
        <f>($E159-$D159)*100</f>
        <v/>
      </c>
      <c r="N159" s="82">
        <f>$G159-$F159</f>
        <v/>
      </c>
      <c r="O159" s="81">
        <f>IFERROR($G159/$F159,"")</f>
        <v/>
      </c>
      <c r="P159" s="81">
        <f>IFERROR($H159/$G159,"")</f>
        <v/>
      </c>
      <c r="Q159" s="82">
        <f>$H159-$F159</f>
        <v/>
      </c>
    </row>
    <row r="160">
      <c r="J160" s="82">
        <f>($D160-$B160)*100</f>
        <v/>
      </c>
      <c r="K160" s="82">
        <f>($E160-$B160)*100</f>
        <v/>
      </c>
      <c r="L160" s="82">
        <f>($E160-$C160)*100</f>
        <v/>
      </c>
      <c r="M160" s="82">
        <f>($E160-$D160)*100</f>
        <v/>
      </c>
      <c r="N160" s="82">
        <f>$G160-$F160</f>
        <v/>
      </c>
      <c r="O160" s="81">
        <f>IFERROR($G160/$F160,"")</f>
        <v/>
      </c>
      <c r="P160" s="81">
        <f>IFERROR($H160/$G160,"")</f>
        <v/>
      </c>
      <c r="Q160" s="82">
        <f>$H160-$F160</f>
        <v/>
      </c>
    </row>
    <row r="161">
      <c r="J161" s="82">
        <f>($D161-$B161)*100</f>
        <v/>
      </c>
      <c r="K161" s="82">
        <f>($E161-$B161)*100</f>
        <v/>
      </c>
      <c r="L161" s="82">
        <f>($E161-$C161)*100</f>
        <v/>
      </c>
      <c r="M161" s="82">
        <f>($E161-$D161)*100</f>
        <v/>
      </c>
      <c r="N161" s="82">
        <f>$G161-$F161</f>
        <v/>
      </c>
      <c r="O161" s="81">
        <f>IFERROR($G161/$F161,"")</f>
        <v/>
      </c>
      <c r="P161" s="81">
        <f>IFERROR($H161/$G161,"")</f>
        <v/>
      </c>
      <c r="Q161" s="82">
        <f>$H161-$F161</f>
        <v/>
      </c>
    </row>
    <row r="162">
      <c r="J162" s="82">
        <f>($D162-$B162)*100</f>
        <v/>
      </c>
      <c r="K162" s="82">
        <f>($E162-$B162)*100</f>
        <v/>
      </c>
      <c r="L162" s="82">
        <f>($E162-$C162)*100</f>
        <v/>
      </c>
      <c r="M162" s="82">
        <f>($E162-$D162)*100</f>
        <v/>
      </c>
      <c r="N162" s="82">
        <f>$G162-$F162</f>
        <v/>
      </c>
      <c r="O162" s="81">
        <f>IFERROR($G162/$F162,"")</f>
        <v/>
      </c>
      <c r="P162" s="81">
        <f>IFERROR($H162/$G162,"")</f>
        <v/>
      </c>
      <c r="Q162" s="82">
        <f>$H162-$F162</f>
        <v/>
      </c>
    </row>
    <row r="163">
      <c r="J163" s="82">
        <f>($D163-$B163)*100</f>
        <v/>
      </c>
      <c r="K163" s="82">
        <f>($E163-$B163)*100</f>
        <v/>
      </c>
      <c r="L163" s="82">
        <f>($E163-$C163)*100</f>
        <v/>
      </c>
      <c r="M163" s="82">
        <f>($E163-$D163)*100</f>
        <v/>
      </c>
      <c r="N163" s="82">
        <f>$G163-$F163</f>
        <v/>
      </c>
      <c r="O163" s="81">
        <f>IFERROR($G163/$F163,"")</f>
        <v/>
      </c>
      <c r="P163" s="81">
        <f>IFERROR($H163/$G163,"")</f>
        <v/>
      </c>
      <c r="Q163" s="82">
        <f>$H163-$F163</f>
        <v/>
      </c>
    </row>
    <row r="164">
      <c r="J164" s="82">
        <f>($D164-$B164)*100</f>
        <v/>
      </c>
      <c r="K164" s="82">
        <f>($E164-$B164)*100</f>
        <v/>
      </c>
      <c r="L164" s="82">
        <f>($E164-$C164)*100</f>
        <v/>
      </c>
      <c r="M164" s="82">
        <f>($E164-$D164)*100</f>
        <v/>
      </c>
      <c r="N164" s="82">
        <f>$G164-$F164</f>
        <v/>
      </c>
      <c r="O164" s="81">
        <f>IFERROR($G164/$F164,"")</f>
        <v/>
      </c>
      <c r="P164" s="81">
        <f>IFERROR($H164/$G164,"")</f>
        <v/>
      </c>
      <c r="Q164" s="82">
        <f>$H164-$F164</f>
        <v/>
      </c>
    </row>
    <row r="165">
      <c r="J165" s="82">
        <f>($D165-$B165)*100</f>
        <v/>
      </c>
      <c r="K165" s="82">
        <f>($E165-$B165)*100</f>
        <v/>
      </c>
      <c r="L165" s="82">
        <f>($E165-$C165)*100</f>
        <v/>
      </c>
      <c r="M165" s="82">
        <f>($E165-$D165)*100</f>
        <v/>
      </c>
      <c r="N165" s="82">
        <f>$G165-$F165</f>
        <v/>
      </c>
      <c r="O165" s="81">
        <f>IFERROR($G165/$F165,"")</f>
        <v/>
      </c>
      <c r="P165" s="81">
        <f>IFERROR($H165/$G165,"")</f>
        <v/>
      </c>
      <c r="Q165" s="82">
        <f>$H165-$F165</f>
        <v/>
      </c>
    </row>
    <row r="166">
      <c r="J166" s="82">
        <f>($D166-$B166)*100</f>
        <v/>
      </c>
      <c r="K166" s="82">
        <f>($E166-$B166)*100</f>
        <v/>
      </c>
      <c r="L166" s="82">
        <f>($E166-$C166)*100</f>
        <v/>
      </c>
      <c r="M166" s="82">
        <f>($E166-$D166)*100</f>
        <v/>
      </c>
      <c r="N166" s="82">
        <f>$G166-$F166</f>
        <v/>
      </c>
      <c r="O166" s="81">
        <f>IFERROR($G166/$F166,"")</f>
        <v/>
      </c>
      <c r="P166" s="81">
        <f>IFERROR($H166/$G166,"")</f>
        <v/>
      </c>
      <c r="Q166" s="82">
        <f>$H166-$F166</f>
        <v/>
      </c>
    </row>
    <row r="167">
      <c r="J167" s="82">
        <f>($D167-$B167)*100</f>
        <v/>
      </c>
      <c r="K167" s="82">
        <f>($E167-$B167)*100</f>
        <v/>
      </c>
      <c r="L167" s="82">
        <f>($E167-$C167)*100</f>
        <v/>
      </c>
      <c r="M167" s="82">
        <f>($E167-$D167)*100</f>
        <v/>
      </c>
      <c r="N167" s="82">
        <f>$G167-$F167</f>
        <v/>
      </c>
      <c r="O167" s="81">
        <f>IFERROR($G167/$F167,"")</f>
        <v/>
      </c>
      <c r="P167" s="81">
        <f>IFERROR($H167/$G167,"")</f>
        <v/>
      </c>
      <c r="Q167" s="82">
        <f>$H167-$F167</f>
        <v/>
      </c>
    </row>
    <row r="168">
      <c r="J168" s="82">
        <f>($D168-$B168)*100</f>
        <v/>
      </c>
      <c r="K168" s="82">
        <f>($E168-$B168)*100</f>
        <v/>
      </c>
      <c r="L168" s="82">
        <f>($E168-$C168)*100</f>
        <v/>
      </c>
      <c r="M168" s="82">
        <f>($E168-$D168)*100</f>
        <v/>
      </c>
      <c r="N168" s="82">
        <f>$G168-$F168</f>
        <v/>
      </c>
      <c r="O168" s="81">
        <f>IFERROR($G168/$F168,"")</f>
        <v/>
      </c>
      <c r="P168" s="81">
        <f>IFERROR($H168/$G168,"")</f>
        <v/>
      </c>
      <c r="Q168" s="82">
        <f>$H168-$F168</f>
        <v/>
      </c>
    </row>
    <row r="169">
      <c r="J169" s="82">
        <f>($D169-$B169)*100</f>
        <v/>
      </c>
      <c r="K169" s="82">
        <f>($E169-$B169)*100</f>
        <v/>
      </c>
      <c r="L169" s="82">
        <f>($E169-$C169)*100</f>
        <v/>
      </c>
      <c r="M169" s="82">
        <f>($E169-$D169)*100</f>
        <v/>
      </c>
      <c r="N169" s="82">
        <f>$G169-$F169</f>
        <v/>
      </c>
      <c r="O169" s="81">
        <f>IFERROR($G169/$F169,"")</f>
        <v/>
      </c>
      <c r="P169" s="81">
        <f>IFERROR($H169/$G169,"")</f>
        <v/>
      </c>
      <c r="Q169" s="82">
        <f>$H169-$F169</f>
        <v/>
      </c>
    </row>
    <row r="170">
      <c r="J170" s="82">
        <f>($D170-$B170)*100</f>
        <v/>
      </c>
      <c r="K170" s="82">
        <f>($E170-$B170)*100</f>
        <v/>
      </c>
      <c r="L170" s="82">
        <f>($E170-$C170)*100</f>
        <v/>
      </c>
      <c r="M170" s="82">
        <f>($E170-$D170)*100</f>
        <v/>
      </c>
      <c r="N170" s="82">
        <f>$G170-$F170</f>
        <v/>
      </c>
      <c r="O170" s="81">
        <f>IFERROR($G170/$F170,"")</f>
        <v/>
      </c>
      <c r="P170" s="81">
        <f>IFERROR($H170/$G170,"")</f>
        <v/>
      </c>
      <c r="Q170" s="82">
        <f>$H170-$F170</f>
        <v/>
      </c>
    </row>
    <row r="171">
      <c r="J171" s="82">
        <f>($D171-$B171)*100</f>
        <v/>
      </c>
      <c r="K171" s="82">
        <f>($E171-$B171)*100</f>
        <v/>
      </c>
      <c r="L171" s="82">
        <f>($E171-$C171)*100</f>
        <v/>
      </c>
      <c r="M171" s="82">
        <f>($E171-$D171)*100</f>
        <v/>
      </c>
      <c r="N171" s="82">
        <f>$G171-$F171</f>
        <v/>
      </c>
      <c r="O171" s="81">
        <f>IFERROR($G171/$F171,"")</f>
        <v/>
      </c>
      <c r="P171" s="81">
        <f>IFERROR($H171/$G171,"")</f>
        <v/>
      </c>
      <c r="Q171" s="82">
        <f>$H171-$F171</f>
        <v/>
      </c>
    </row>
    <row r="172">
      <c r="J172" s="82">
        <f>($D172-$B172)*100</f>
        <v/>
      </c>
      <c r="K172" s="82">
        <f>($E172-$B172)*100</f>
        <v/>
      </c>
      <c r="L172" s="82">
        <f>($E172-$C172)*100</f>
        <v/>
      </c>
      <c r="M172" s="82">
        <f>($E172-$D172)*100</f>
        <v/>
      </c>
      <c r="N172" s="82">
        <f>$G172-$F172</f>
        <v/>
      </c>
      <c r="O172" s="81">
        <f>IFERROR($G172/$F172,"")</f>
        <v/>
      </c>
      <c r="P172" s="81">
        <f>IFERROR($H172/$G172,"")</f>
        <v/>
      </c>
      <c r="Q172" s="82">
        <f>$H172-$F172</f>
        <v/>
      </c>
    </row>
    <row r="173">
      <c r="J173" s="82">
        <f>($D173-$B173)*100</f>
        <v/>
      </c>
      <c r="K173" s="82">
        <f>($E173-$B173)*100</f>
        <v/>
      </c>
      <c r="L173" s="82">
        <f>($E173-$C173)*100</f>
        <v/>
      </c>
      <c r="M173" s="82">
        <f>($E173-$D173)*100</f>
        <v/>
      </c>
      <c r="N173" s="82">
        <f>$G173-$F173</f>
        <v/>
      </c>
      <c r="O173" s="81">
        <f>IFERROR($G173/$F173,"")</f>
        <v/>
      </c>
      <c r="P173" s="81">
        <f>IFERROR($H173/$G173,"")</f>
        <v/>
      </c>
      <c r="Q173" s="82">
        <f>$H173-$F173</f>
        <v/>
      </c>
    </row>
    <row r="174">
      <c r="J174" s="82">
        <f>($D174-$B174)*100</f>
        <v/>
      </c>
      <c r="K174" s="82">
        <f>($E174-$B174)*100</f>
        <v/>
      </c>
      <c r="L174" s="82">
        <f>($E174-$C174)*100</f>
        <v/>
      </c>
      <c r="M174" s="82">
        <f>($E174-$D174)*100</f>
        <v/>
      </c>
      <c r="N174" s="82">
        <f>$G174-$F174</f>
        <v/>
      </c>
      <c r="O174" s="81">
        <f>IFERROR($G174/$F174,"")</f>
        <v/>
      </c>
      <c r="P174" s="81">
        <f>IFERROR($H174/$G174,"")</f>
        <v/>
      </c>
      <c r="Q174" s="82">
        <f>$H174-$F174</f>
        <v/>
      </c>
    </row>
    <row r="175">
      <c r="J175" s="82">
        <f>($D175-$B175)*100</f>
        <v/>
      </c>
      <c r="K175" s="82">
        <f>($E175-$B175)*100</f>
        <v/>
      </c>
      <c r="L175" s="82">
        <f>($E175-$C175)*100</f>
        <v/>
      </c>
      <c r="M175" s="82">
        <f>($E175-$D175)*100</f>
        <v/>
      </c>
      <c r="N175" s="82">
        <f>$G175-$F175</f>
        <v/>
      </c>
      <c r="O175" s="81">
        <f>IFERROR($G175/$F175,"")</f>
        <v/>
      </c>
      <c r="P175" s="81">
        <f>IFERROR($H175/$G175,"")</f>
        <v/>
      </c>
      <c r="Q175" s="82">
        <f>$H175-$F175</f>
        <v/>
      </c>
    </row>
    <row r="176">
      <c r="J176" s="82">
        <f>($D176-$B176)*100</f>
        <v/>
      </c>
      <c r="K176" s="82">
        <f>($E176-$B176)*100</f>
        <v/>
      </c>
      <c r="L176" s="82">
        <f>($E176-$C176)*100</f>
        <v/>
      </c>
      <c r="M176" s="82">
        <f>($E176-$D176)*100</f>
        <v/>
      </c>
      <c r="N176" s="82">
        <f>$G176-$F176</f>
        <v/>
      </c>
      <c r="O176" s="81">
        <f>IFERROR($G176/$F176,"")</f>
        <v/>
      </c>
      <c r="P176" s="81">
        <f>IFERROR($H176/$G176,"")</f>
        <v/>
      </c>
      <c r="Q176" s="82">
        <f>$H176-$F176</f>
        <v/>
      </c>
    </row>
    <row r="177">
      <c r="J177" s="82">
        <f>($D177-$B177)*100</f>
        <v/>
      </c>
      <c r="K177" s="82">
        <f>($E177-$B177)*100</f>
        <v/>
      </c>
      <c r="L177" s="82">
        <f>($E177-$C177)*100</f>
        <v/>
      </c>
      <c r="M177" s="82">
        <f>($E177-$D177)*100</f>
        <v/>
      </c>
      <c r="N177" s="82">
        <f>$G177-$F177</f>
        <v/>
      </c>
      <c r="O177" s="81">
        <f>IFERROR($G177/$F177,"")</f>
        <v/>
      </c>
      <c r="P177" s="81">
        <f>IFERROR($H177/$G177,"")</f>
        <v/>
      </c>
      <c r="Q177" s="82">
        <f>$H177-$F177</f>
        <v/>
      </c>
    </row>
    <row r="178">
      <c r="J178" s="82">
        <f>($D178-$B178)*100</f>
        <v/>
      </c>
      <c r="K178" s="82">
        <f>($E178-$B178)*100</f>
        <v/>
      </c>
      <c r="L178" s="82">
        <f>($E178-$C178)*100</f>
        <v/>
      </c>
      <c r="M178" s="82">
        <f>($E178-$D178)*100</f>
        <v/>
      </c>
      <c r="N178" s="82">
        <f>$G178-$F178</f>
        <v/>
      </c>
      <c r="O178" s="81">
        <f>IFERROR($G178/$F178,"")</f>
        <v/>
      </c>
      <c r="P178" s="81">
        <f>IFERROR($H178/$G178,"")</f>
        <v/>
      </c>
      <c r="Q178" s="82">
        <f>$H178-$F178</f>
        <v/>
      </c>
    </row>
    <row r="179">
      <c r="J179" s="82">
        <f>($D179-$B179)*100</f>
        <v/>
      </c>
      <c r="K179" s="82">
        <f>($E179-$B179)*100</f>
        <v/>
      </c>
      <c r="L179" s="82">
        <f>($E179-$C179)*100</f>
        <v/>
      </c>
      <c r="M179" s="82">
        <f>($E179-$D179)*100</f>
        <v/>
      </c>
      <c r="N179" s="82">
        <f>$G179-$F179</f>
        <v/>
      </c>
      <c r="O179" s="81">
        <f>IFERROR($G179/$F179,"")</f>
        <v/>
      </c>
      <c r="P179" s="81">
        <f>IFERROR($H179/$G179,"")</f>
        <v/>
      </c>
      <c r="Q179" s="82">
        <f>$H179-$F179</f>
        <v/>
      </c>
    </row>
    <row r="180">
      <c r="J180" s="82">
        <f>($D180-$B180)*100</f>
        <v/>
      </c>
      <c r="K180" s="82">
        <f>($E180-$B180)*100</f>
        <v/>
      </c>
      <c r="L180" s="82">
        <f>($E180-$C180)*100</f>
        <v/>
      </c>
      <c r="M180" s="82">
        <f>($E180-$D180)*100</f>
        <v/>
      </c>
      <c r="N180" s="82">
        <f>$G180-$F180</f>
        <v/>
      </c>
      <c r="O180" s="81">
        <f>IFERROR($G180/$F180,"")</f>
        <v/>
      </c>
      <c r="P180" s="81">
        <f>IFERROR($H180/$G180,"")</f>
        <v/>
      </c>
      <c r="Q180" s="82">
        <f>$H180-$F180</f>
        <v/>
      </c>
    </row>
    <row r="181">
      <c r="J181" s="82">
        <f>($D181-$B181)*100</f>
        <v/>
      </c>
      <c r="K181" s="82">
        <f>($E181-$B181)*100</f>
        <v/>
      </c>
      <c r="L181" s="82">
        <f>($E181-$C181)*100</f>
        <v/>
      </c>
      <c r="M181" s="82">
        <f>($E181-$D181)*100</f>
        <v/>
      </c>
      <c r="N181" s="82">
        <f>$G181-$F181</f>
        <v/>
      </c>
      <c r="O181" s="81">
        <f>IFERROR($G181/$F181,"")</f>
        <v/>
      </c>
      <c r="P181" s="81">
        <f>IFERROR($H181/$G181,"")</f>
        <v/>
      </c>
      <c r="Q181" s="82">
        <f>$H181-$F181</f>
        <v/>
      </c>
    </row>
    <row r="182">
      <c r="J182" s="82">
        <f>($D182-$B182)*100</f>
        <v/>
      </c>
      <c r="K182" s="82">
        <f>($E182-$B182)*100</f>
        <v/>
      </c>
      <c r="L182" s="82">
        <f>($E182-$C182)*100</f>
        <v/>
      </c>
      <c r="M182" s="82">
        <f>($E182-$D182)*100</f>
        <v/>
      </c>
      <c r="N182" s="82">
        <f>$G182-$F182</f>
        <v/>
      </c>
      <c r="O182" s="81">
        <f>IFERROR($G182/$F182,"")</f>
        <v/>
      </c>
      <c r="P182" s="81">
        <f>IFERROR($H182/$G182,"")</f>
        <v/>
      </c>
      <c r="Q182" s="82">
        <f>$H182-$F182</f>
        <v/>
      </c>
    </row>
    <row r="183">
      <c r="J183" s="82">
        <f>($D183-$B183)*100</f>
        <v/>
      </c>
      <c r="K183" s="82">
        <f>($E183-$B183)*100</f>
        <v/>
      </c>
      <c r="L183" s="82">
        <f>($E183-$C183)*100</f>
        <v/>
      </c>
      <c r="M183" s="82">
        <f>($E183-$D183)*100</f>
        <v/>
      </c>
      <c r="N183" s="82">
        <f>$G183-$F183</f>
        <v/>
      </c>
      <c r="O183" s="81">
        <f>IFERROR($G183/$F183,"")</f>
        <v/>
      </c>
      <c r="P183" s="81">
        <f>IFERROR($H183/$G183,"")</f>
        <v/>
      </c>
      <c r="Q183" s="82">
        <f>$H183-$F183</f>
        <v/>
      </c>
    </row>
    <row r="184">
      <c r="J184" s="82">
        <f>($D184-$B184)*100</f>
        <v/>
      </c>
      <c r="K184" s="82">
        <f>($E184-$B184)*100</f>
        <v/>
      </c>
      <c r="L184" s="82">
        <f>($E184-$C184)*100</f>
        <v/>
      </c>
      <c r="M184" s="82">
        <f>($E184-$D184)*100</f>
        <v/>
      </c>
      <c r="N184" s="82">
        <f>$G184-$F184</f>
        <v/>
      </c>
      <c r="O184" s="81">
        <f>IFERROR($G184/$F184,"")</f>
        <v/>
      </c>
      <c r="P184" s="81">
        <f>IFERROR($H184/$G184,"")</f>
        <v/>
      </c>
      <c r="Q184" s="82">
        <f>$H184-$F184</f>
        <v/>
      </c>
    </row>
    <row r="185">
      <c r="J185" s="82">
        <f>($D185-$B185)*100</f>
        <v/>
      </c>
      <c r="K185" s="82">
        <f>($E185-$B185)*100</f>
        <v/>
      </c>
      <c r="L185" s="82">
        <f>($E185-$C185)*100</f>
        <v/>
      </c>
      <c r="M185" s="82">
        <f>($E185-$D185)*100</f>
        <v/>
      </c>
      <c r="N185" s="82">
        <f>$G185-$F185</f>
        <v/>
      </c>
      <c r="O185" s="81">
        <f>IFERROR($G185/$F185,"")</f>
        <v/>
      </c>
      <c r="P185" s="81">
        <f>IFERROR($H185/$G185,"")</f>
        <v/>
      </c>
      <c r="Q185" s="82">
        <f>$H185-$F185</f>
        <v/>
      </c>
    </row>
    <row r="186">
      <c r="J186" s="82">
        <f>($D186-$B186)*100</f>
        <v/>
      </c>
      <c r="K186" s="82">
        <f>($E186-$B186)*100</f>
        <v/>
      </c>
      <c r="L186" s="82">
        <f>($E186-$C186)*100</f>
        <v/>
      </c>
      <c r="M186" s="82">
        <f>($E186-$D186)*100</f>
        <v/>
      </c>
      <c r="N186" s="82">
        <f>$G186-$F186</f>
        <v/>
      </c>
      <c r="O186" s="81">
        <f>IFERROR($G186/$F186,"")</f>
        <v/>
      </c>
      <c r="P186" s="81">
        <f>IFERROR($H186/$G186,"")</f>
        <v/>
      </c>
      <c r="Q186" s="82">
        <f>$H186-$F186</f>
        <v/>
      </c>
    </row>
    <row r="187">
      <c r="J187" s="82">
        <f>($D187-$B187)*100</f>
        <v/>
      </c>
      <c r="K187" s="82">
        <f>($E187-$B187)*100</f>
        <v/>
      </c>
      <c r="L187" s="82">
        <f>($E187-$C187)*100</f>
        <v/>
      </c>
      <c r="M187" s="82">
        <f>($E187-$D187)*100</f>
        <v/>
      </c>
      <c r="N187" s="82">
        <f>$G187-$F187</f>
        <v/>
      </c>
      <c r="O187" s="81">
        <f>IFERROR($G187/$F187,"")</f>
        <v/>
      </c>
      <c r="P187" s="81">
        <f>IFERROR($H187/$G187,"")</f>
        <v/>
      </c>
      <c r="Q187" s="82">
        <f>$H187-$F187</f>
        <v/>
      </c>
    </row>
    <row r="188">
      <c r="J188" s="82">
        <f>($D188-$B188)*100</f>
        <v/>
      </c>
      <c r="K188" s="82">
        <f>($E188-$B188)*100</f>
        <v/>
      </c>
      <c r="L188" s="82">
        <f>($E188-$C188)*100</f>
        <v/>
      </c>
      <c r="M188" s="82">
        <f>($E188-$D188)*100</f>
        <v/>
      </c>
      <c r="N188" s="82">
        <f>$G188-$F188</f>
        <v/>
      </c>
      <c r="O188" s="81">
        <f>IFERROR($G188/$F188,"")</f>
        <v/>
      </c>
      <c r="P188" s="81">
        <f>IFERROR($H188/$G188,"")</f>
        <v/>
      </c>
      <c r="Q188" s="82">
        <f>$H188-$F188</f>
        <v/>
      </c>
    </row>
    <row r="189">
      <c r="J189" s="82">
        <f>($D189-$B189)*100</f>
        <v/>
      </c>
      <c r="K189" s="82">
        <f>($E189-$B189)*100</f>
        <v/>
      </c>
      <c r="L189" s="82">
        <f>($E189-$C189)*100</f>
        <v/>
      </c>
      <c r="M189" s="82">
        <f>($E189-$D189)*100</f>
        <v/>
      </c>
      <c r="N189" s="82">
        <f>$G189-$F189</f>
        <v/>
      </c>
      <c r="O189" s="81">
        <f>IFERROR($G189/$F189,"")</f>
        <v/>
      </c>
      <c r="P189" s="81">
        <f>IFERROR($H189/$G189,"")</f>
        <v/>
      </c>
      <c r="Q189" s="82">
        <f>$H189-$F189</f>
        <v/>
      </c>
    </row>
    <row r="190">
      <c r="J190" s="82">
        <f>($D190-$B190)*100</f>
        <v/>
      </c>
      <c r="K190" s="82">
        <f>($E190-$B190)*100</f>
        <v/>
      </c>
      <c r="L190" s="82">
        <f>($E190-$C190)*100</f>
        <v/>
      </c>
      <c r="M190" s="82">
        <f>($E190-$D190)*100</f>
        <v/>
      </c>
      <c r="N190" s="82">
        <f>$G190-$F190</f>
        <v/>
      </c>
      <c r="O190" s="81">
        <f>IFERROR($G190/$F190,"")</f>
        <v/>
      </c>
      <c r="P190" s="81">
        <f>IFERROR($H190/$G190,"")</f>
        <v/>
      </c>
      <c r="Q190" s="82">
        <f>$H190-$F190</f>
        <v/>
      </c>
    </row>
    <row r="191">
      <c r="J191" s="82">
        <f>($D191-$B191)*100</f>
        <v/>
      </c>
      <c r="K191" s="82">
        <f>($E191-$B191)*100</f>
        <v/>
      </c>
      <c r="L191" s="82">
        <f>($E191-$C191)*100</f>
        <v/>
      </c>
      <c r="M191" s="82">
        <f>($E191-$D191)*100</f>
        <v/>
      </c>
      <c r="N191" s="82">
        <f>$G191-$F191</f>
        <v/>
      </c>
      <c r="O191" s="81">
        <f>IFERROR($G191/$F191,"")</f>
        <v/>
      </c>
      <c r="P191" s="81">
        <f>IFERROR($H191/$G191,"")</f>
        <v/>
      </c>
      <c r="Q191" s="82">
        <f>$H191-$F191</f>
        <v/>
      </c>
    </row>
    <row r="192">
      <c r="J192" s="82">
        <f>($D192-$B192)*100</f>
        <v/>
      </c>
      <c r="K192" s="82">
        <f>($E192-$B192)*100</f>
        <v/>
      </c>
      <c r="L192" s="82">
        <f>($E192-$C192)*100</f>
        <v/>
      </c>
      <c r="M192" s="82">
        <f>($E192-$D192)*100</f>
        <v/>
      </c>
      <c r="N192" s="82">
        <f>$G192-$F192</f>
        <v/>
      </c>
      <c r="O192" s="81">
        <f>IFERROR($G192/$F192,"")</f>
        <v/>
      </c>
      <c r="P192" s="81">
        <f>IFERROR($H192/$G192,"")</f>
        <v/>
      </c>
      <c r="Q192" s="82">
        <f>$H192-$F192</f>
        <v/>
      </c>
    </row>
    <row r="193">
      <c r="J193" s="82">
        <f>($D193-$B193)*100</f>
        <v/>
      </c>
      <c r="K193" s="82">
        <f>($E193-$B193)*100</f>
        <v/>
      </c>
      <c r="L193" s="82">
        <f>($E193-$C193)*100</f>
        <v/>
      </c>
      <c r="M193" s="82">
        <f>($E193-$D193)*100</f>
        <v/>
      </c>
      <c r="N193" s="82">
        <f>$G193-$F193</f>
        <v/>
      </c>
      <c r="O193" s="81">
        <f>IFERROR($G193/$F193,"")</f>
        <v/>
      </c>
      <c r="P193" s="81">
        <f>IFERROR($H193/$G193,"")</f>
        <v/>
      </c>
      <c r="Q193" s="82">
        <f>$H193-$F193</f>
        <v/>
      </c>
    </row>
    <row r="194">
      <c r="J194" s="82">
        <f>($D194-$B194)*100</f>
        <v/>
      </c>
      <c r="K194" s="82">
        <f>($E194-$B194)*100</f>
        <v/>
      </c>
      <c r="L194" s="82">
        <f>($E194-$C194)*100</f>
        <v/>
      </c>
      <c r="M194" s="82">
        <f>($E194-$D194)*100</f>
        <v/>
      </c>
      <c r="N194" s="82">
        <f>$G194-$F194</f>
        <v/>
      </c>
      <c r="O194" s="81">
        <f>IFERROR($G194/$F194,"")</f>
        <v/>
      </c>
      <c r="P194" s="81">
        <f>IFERROR($H194/$G194,"")</f>
        <v/>
      </c>
      <c r="Q194" s="82">
        <f>$H194-$F194</f>
        <v/>
      </c>
    </row>
    <row r="195">
      <c r="J195" s="82">
        <f>($D195-$B195)*100</f>
        <v/>
      </c>
      <c r="K195" s="82">
        <f>($E195-$B195)*100</f>
        <v/>
      </c>
      <c r="L195" s="82">
        <f>($E195-$C195)*100</f>
        <v/>
      </c>
      <c r="M195" s="82">
        <f>($E195-$D195)*100</f>
        <v/>
      </c>
      <c r="N195" s="82">
        <f>$G195-$F195</f>
        <v/>
      </c>
      <c r="O195" s="81">
        <f>IFERROR($G195/$F195,"")</f>
        <v/>
      </c>
      <c r="P195" s="81">
        <f>IFERROR($H195/$G195,"")</f>
        <v/>
      </c>
      <c r="Q195" s="82">
        <f>$H195-$F195</f>
        <v/>
      </c>
    </row>
    <row r="196">
      <c r="J196" s="82">
        <f>($D196-$B196)*100</f>
        <v/>
      </c>
      <c r="K196" s="82">
        <f>($E196-$B196)*100</f>
        <v/>
      </c>
      <c r="L196" s="82">
        <f>($E196-$C196)*100</f>
        <v/>
      </c>
      <c r="M196" s="82">
        <f>($E196-$D196)*100</f>
        <v/>
      </c>
      <c r="N196" s="82">
        <f>$G196-$F196</f>
        <v/>
      </c>
      <c r="O196" s="81">
        <f>IFERROR($G196/$F196,"")</f>
        <v/>
      </c>
      <c r="P196" s="81">
        <f>IFERROR($H196/$G196,"")</f>
        <v/>
      </c>
      <c r="Q196" s="82">
        <f>$H196-$F196</f>
        <v/>
      </c>
    </row>
    <row r="197">
      <c r="J197" s="82">
        <f>($D197-$B197)*100</f>
        <v/>
      </c>
      <c r="K197" s="82">
        <f>($E197-$B197)*100</f>
        <v/>
      </c>
      <c r="L197" s="82">
        <f>($E197-$C197)*100</f>
        <v/>
      </c>
      <c r="M197" s="82">
        <f>($E197-$D197)*100</f>
        <v/>
      </c>
      <c r="N197" s="82">
        <f>$G197-$F197</f>
        <v/>
      </c>
      <c r="O197" s="81">
        <f>IFERROR($G197/$F197,"")</f>
        <v/>
      </c>
      <c r="P197" s="81">
        <f>IFERROR($H197/$G197,"")</f>
        <v/>
      </c>
      <c r="Q197" s="82">
        <f>$H197-$F197</f>
        <v/>
      </c>
    </row>
    <row r="198">
      <c r="J198" s="82">
        <f>($D198-$B198)*100</f>
        <v/>
      </c>
      <c r="K198" s="82">
        <f>($E198-$B198)*100</f>
        <v/>
      </c>
      <c r="L198" s="82">
        <f>($E198-$C198)*100</f>
        <v/>
      </c>
      <c r="M198" s="82">
        <f>($E198-$D198)*100</f>
        <v/>
      </c>
      <c r="N198" s="82">
        <f>$G198-$F198</f>
        <v/>
      </c>
      <c r="O198" s="81">
        <f>IFERROR($G198/$F198,"")</f>
        <v/>
      </c>
      <c r="P198" s="81">
        <f>IFERROR($H198/$G198,"")</f>
        <v/>
      </c>
      <c r="Q198" s="82">
        <f>$H198-$F198</f>
        <v/>
      </c>
    </row>
    <row r="199">
      <c r="J199" s="82">
        <f>($D199-$B199)*100</f>
        <v/>
      </c>
      <c r="K199" s="82">
        <f>($E199-$B199)*100</f>
        <v/>
      </c>
      <c r="L199" s="82">
        <f>($E199-$C199)*100</f>
        <v/>
      </c>
      <c r="M199" s="82">
        <f>($E199-$D199)*100</f>
        <v/>
      </c>
      <c r="N199" s="82">
        <f>$G199-$F199</f>
        <v/>
      </c>
      <c r="O199" s="81">
        <f>IFERROR($G199/$F199,"")</f>
        <v/>
      </c>
      <c r="P199" s="81">
        <f>IFERROR($H199/$G199,"")</f>
        <v/>
      </c>
      <c r="Q199" s="82">
        <f>$H199-$F199</f>
        <v/>
      </c>
    </row>
    <row r="200">
      <c r="J200" s="82">
        <f>($D200-$B200)*100</f>
        <v/>
      </c>
      <c r="K200" s="82">
        <f>($E200-$B200)*100</f>
        <v/>
      </c>
      <c r="L200" s="82">
        <f>($E200-$C200)*100</f>
        <v/>
      </c>
      <c r="M200" s="82">
        <f>($E200-$D200)*100</f>
        <v/>
      </c>
      <c r="N200" s="82">
        <f>$G200-$F200</f>
        <v/>
      </c>
      <c r="O200" s="81">
        <f>IFERROR($G200/$F200,"")</f>
        <v/>
      </c>
      <c r="P200" s="81">
        <f>IFERROR($H200/$G200,"")</f>
        <v/>
      </c>
      <c r="Q200" s="82">
        <f>$H200-$F200</f>
        <v/>
      </c>
    </row>
    <row r="201">
      <c r="J201" s="82">
        <f>($D201-$B201)*100</f>
        <v/>
      </c>
      <c r="K201" s="82">
        <f>($E201-$B201)*100</f>
        <v/>
      </c>
      <c r="L201" s="82">
        <f>($E201-$C201)*100</f>
        <v/>
      </c>
      <c r="M201" s="82">
        <f>($E201-$D201)*100</f>
        <v/>
      </c>
      <c r="N201" s="82">
        <f>$G201-$F201</f>
        <v/>
      </c>
      <c r="O201" s="81">
        <f>IFERROR($G201/$F201,"")</f>
        <v/>
      </c>
      <c r="P201" s="81">
        <f>IFERROR($H201/$G201,"")</f>
        <v/>
      </c>
      <c r="Q201" s="82">
        <f>$H201-$F201</f>
        <v/>
      </c>
    </row>
    <row r="202">
      <c r="J202" s="82">
        <f>($D202-$B202)*100</f>
        <v/>
      </c>
      <c r="K202" s="82">
        <f>($E202-$B202)*100</f>
        <v/>
      </c>
      <c r="L202" s="82">
        <f>($E202-$C202)*100</f>
        <v/>
      </c>
      <c r="M202" s="82">
        <f>($E202-$D202)*100</f>
        <v/>
      </c>
      <c r="N202" s="82">
        <f>$G202-$F202</f>
        <v/>
      </c>
      <c r="O202" s="81">
        <f>IFERROR($G202/$F202,"")</f>
        <v/>
      </c>
      <c r="P202" s="81">
        <f>IFERROR($H202/$G202,"")</f>
        <v/>
      </c>
      <c r="Q202" s="82">
        <f>$H202-$F202</f>
        <v/>
      </c>
    </row>
    <row r="203">
      <c r="J203" s="82">
        <f>($D203-$B203)*100</f>
        <v/>
      </c>
      <c r="K203" s="82">
        <f>($E203-$B203)*100</f>
        <v/>
      </c>
      <c r="L203" s="82">
        <f>($E203-$C203)*100</f>
        <v/>
      </c>
      <c r="M203" s="82">
        <f>($E203-$D203)*100</f>
        <v/>
      </c>
      <c r="N203" s="82">
        <f>$G203-$F203</f>
        <v/>
      </c>
      <c r="O203" s="81">
        <f>IFERROR($G203/$F203,"")</f>
        <v/>
      </c>
      <c r="P203" s="81">
        <f>IFERROR($H203/$G203,"")</f>
        <v/>
      </c>
      <c r="Q203" s="82">
        <f>$H203-$F203</f>
        <v/>
      </c>
    </row>
    <row r="204">
      <c r="J204" s="82">
        <f>($D204-$B204)*100</f>
        <v/>
      </c>
      <c r="K204" s="82">
        <f>($E204-$B204)*100</f>
        <v/>
      </c>
      <c r="L204" s="82">
        <f>($E204-$C204)*100</f>
        <v/>
      </c>
      <c r="M204" s="82">
        <f>($E204-$D204)*100</f>
        <v/>
      </c>
      <c r="N204" s="82">
        <f>$G204-$F204</f>
        <v/>
      </c>
      <c r="O204" s="81">
        <f>IFERROR($G204/$F204,"")</f>
        <v/>
      </c>
      <c r="P204" s="81">
        <f>IFERROR($H204/$G204,"")</f>
        <v/>
      </c>
      <c r="Q204" s="82">
        <f>$H204-$F204</f>
        <v/>
      </c>
    </row>
    <row r="205">
      <c r="J205" s="82">
        <f>($D205-$B205)*100</f>
        <v/>
      </c>
      <c r="K205" s="82">
        <f>($E205-$B205)*100</f>
        <v/>
      </c>
      <c r="L205" s="82">
        <f>($E205-$C205)*100</f>
        <v/>
      </c>
      <c r="M205" s="82">
        <f>($E205-$D205)*100</f>
        <v/>
      </c>
      <c r="N205" s="82">
        <f>$G205-$F205</f>
        <v/>
      </c>
      <c r="O205" s="81">
        <f>IFERROR($G205/$F205,"")</f>
        <v/>
      </c>
      <c r="P205" s="81">
        <f>IFERROR($H205/$G205,"")</f>
        <v/>
      </c>
      <c r="Q205" s="82">
        <f>$H205-$F205</f>
        <v/>
      </c>
    </row>
    <row r="206">
      <c r="J206" s="82">
        <f>($D206-$B206)*100</f>
        <v/>
      </c>
      <c r="K206" s="82">
        <f>($E206-$B206)*100</f>
        <v/>
      </c>
      <c r="L206" s="82">
        <f>($E206-$C206)*100</f>
        <v/>
      </c>
      <c r="M206" s="82">
        <f>($E206-$D206)*100</f>
        <v/>
      </c>
      <c r="N206" s="82">
        <f>$G206-$F206</f>
        <v/>
      </c>
      <c r="O206" s="81">
        <f>IFERROR($G206/$F206,"")</f>
        <v/>
      </c>
      <c r="P206" s="81">
        <f>IFERROR($H206/$G206,"")</f>
        <v/>
      </c>
      <c r="Q206" s="82">
        <f>$H206-$F206</f>
        <v/>
      </c>
    </row>
    <row r="207">
      <c r="J207" s="82">
        <f>($D207-$B207)*100</f>
        <v/>
      </c>
      <c r="K207" s="82">
        <f>($E207-$B207)*100</f>
        <v/>
      </c>
      <c r="L207" s="82">
        <f>($E207-$C207)*100</f>
        <v/>
      </c>
      <c r="M207" s="82">
        <f>($E207-$D207)*100</f>
        <v/>
      </c>
      <c r="N207" s="82">
        <f>$G207-$F207</f>
        <v/>
      </c>
      <c r="O207" s="81">
        <f>IFERROR($G207/$F207,"")</f>
        <v/>
      </c>
      <c r="P207" s="81">
        <f>IFERROR($H207/$G207,"")</f>
        <v/>
      </c>
      <c r="Q207" s="82">
        <f>$H207-$F207</f>
        <v/>
      </c>
    </row>
    <row r="208">
      <c r="J208" s="82">
        <f>($D208-$B208)*100</f>
        <v/>
      </c>
      <c r="K208" s="82">
        <f>($E208-$B208)*100</f>
        <v/>
      </c>
      <c r="L208" s="82">
        <f>($E208-$C208)*100</f>
        <v/>
      </c>
      <c r="M208" s="82">
        <f>($E208-$D208)*100</f>
        <v/>
      </c>
      <c r="N208" s="82">
        <f>$G208-$F208</f>
        <v/>
      </c>
      <c r="O208" s="81">
        <f>IFERROR($G208/$F208,"")</f>
        <v/>
      </c>
      <c r="P208" s="81">
        <f>IFERROR($H208/$G208,"")</f>
        <v/>
      </c>
      <c r="Q208" s="82">
        <f>$H208-$F208</f>
        <v/>
      </c>
    </row>
    <row r="209">
      <c r="J209" s="82">
        <f>($D209-$B209)*100</f>
        <v/>
      </c>
      <c r="K209" s="82">
        <f>($E209-$B209)*100</f>
        <v/>
      </c>
      <c r="L209" s="82">
        <f>($E209-$C209)*100</f>
        <v/>
      </c>
      <c r="M209" s="82">
        <f>($E209-$D209)*100</f>
        <v/>
      </c>
      <c r="N209" s="82">
        <f>$G209-$F209</f>
        <v/>
      </c>
      <c r="O209" s="81">
        <f>IFERROR($G209/$F209,"")</f>
        <v/>
      </c>
      <c r="P209" s="81">
        <f>IFERROR($H209/$G209,"")</f>
        <v/>
      </c>
      <c r="Q209" s="82">
        <f>$H209-$F209</f>
        <v/>
      </c>
    </row>
    <row r="210">
      <c r="J210" s="82">
        <f>($D210-$B210)*100</f>
        <v/>
      </c>
      <c r="K210" s="82">
        <f>($E210-$B210)*100</f>
        <v/>
      </c>
      <c r="L210" s="82">
        <f>($E210-$C210)*100</f>
        <v/>
      </c>
      <c r="M210" s="82">
        <f>($E210-$D210)*100</f>
        <v/>
      </c>
      <c r="N210" s="82">
        <f>$G210-$F210</f>
        <v/>
      </c>
      <c r="O210" s="81">
        <f>IFERROR($G210/$F210,"")</f>
        <v/>
      </c>
      <c r="P210" s="81">
        <f>IFERROR($H210/$G210,"")</f>
        <v/>
      </c>
      <c r="Q210" s="82">
        <f>$H210-$F210</f>
        <v/>
      </c>
    </row>
    <row r="211">
      <c r="J211" s="82">
        <f>($D211-$B211)*100</f>
        <v/>
      </c>
      <c r="K211" s="82">
        <f>($E211-$B211)*100</f>
        <v/>
      </c>
      <c r="L211" s="82">
        <f>($E211-$C211)*100</f>
        <v/>
      </c>
      <c r="M211" s="82">
        <f>($E211-$D211)*100</f>
        <v/>
      </c>
      <c r="N211" s="82">
        <f>$G211-$F211</f>
        <v/>
      </c>
      <c r="O211" s="81">
        <f>IFERROR($G211/$F211,"")</f>
        <v/>
      </c>
      <c r="P211" s="81">
        <f>IFERROR($H211/$G211,"")</f>
        <v/>
      </c>
      <c r="Q211" s="82">
        <f>$H211-$F211</f>
        <v/>
      </c>
    </row>
    <row r="212">
      <c r="J212" s="82">
        <f>($D212-$B212)*100</f>
        <v/>
      </c>
      <c r="K212" s="82">
        <f>($E212-$B212)*100</f>
        <v/>
      </c>
      <c r="L212" s="82">
        <f>($E212-$C212)*100</f>
        <v/>
      </c>
      <c r="M212" s="82">
        <f>($E212-$D212)*100</f>
        <v/>
      </c>
      <c r="N212" s="82">
        <f>$G212-$F212</f>
        <v/>
      </c>
      <c r="O212" s="81">
        <f>IFERROR($G212/$F212,"")</f>
        <v/>
      </c>
      <c r="P212" s="81">
        <f>IFERROR($H212/$G212,"")</f>
        <v/>
      </c>
      <c r="Q212" s="82">
        <f>$H212-$F212</f>
        <v/>
      </c>
    </row>
    <row r="213">
      <c r="J213" s="82">
        <f>($D213-$B213)*100</f>
        <v/>
      </c>
      <c r="K213" s="82">
        <f>($E213-$B213)*100</f>
        <v/>
      </c>
      <c r="L213" s="82">
        <f>($E213-$C213)*100</f>
        <v/>
      </c>
      <c r="M213" s="82">
        <f>($E213-$D213)*100</f>
        <v/>
      </c>
      <c r="N213" s="82">
        <f>$G213-$F213</f>
        <v/>
      </c>
      <c r="O213" s="81">
        <f>IFERROR($G213/$F213,"")</f>
        <v/>
      </c>
      <c r="P213" s="81">
        <f>IFERROR($H213/$G213,"")</f>
        <v/>
      </c>
      <c r="Q213" s="82">
        <f>$H213-$F213</f>
        <v/>
      </c>
    </row>
    <row r="214">
      <c r="J214" s="82">
        <f>($D214-$B214)*100</f>
        <v/>
      </c>
      <c r="K214" s="82">
        <f>($E214-$B214)*100</f>
        <v/>
      </c>
      <c r="L214" s="82">
        <f>($E214-$C214)*100</f>
        <v/>
      </c>
      <c r="M214" s="82">
        <f>($E214-$D214)*100</f>
        <v/>
      </c>
      <c r="N214" s="82">
        <f>$G214-$F214</f>
        <v/>
      </c>
      <c r="O214" s="81">
        <f>IFERROR($G214/$F214,"")</f>
        <v/>
      </c>
      <c r="P214" s="81">
        <f>IFERROR($H214/$G214,"")</f>
        <v/>
      </c>
      <c r="Q214" s="82">
        <f>$H214-$F214</f>
        <v/>
      </c>
    </row>
    <row r="215">
      <c r="J215" s="82">
        <f>($D215-$B215)*100</f>
        <v/>
      </c>
      <c r="K215" s="82">
        <f>($E215-$B215)*100</f>
        <v/>
      </c>
      <c r="L215" s="82">
        <f>($E215-$C215)*100</f>
        <v/>
      </c>
      <c r="M215" s="82">
        <f>($E215-$D215)*100</f>
        <v/>
      </c>
      <c r="N215" s="82">
        <f>$G215-$F215</f>
        <v/>
      </c>
      <c r="O215" s="81">
        <f>IFERROR($G215/$F215,"")</f>
        <v/>
      </c>
      <c r="P215" s="81">
        <f>IFERROR($H215/$G215,"")</f>
        <v/>
      </c>
      <c r="Q215" s="82">
        <f>$H215-$F215</f>
        <v/>
      </c>
    </row>
    <row r="216">
      <c r="J216" s="82">
        <f>($D216-$B216)*100</f>
        <v/>
      </c>
      <c r="K216" s="82">
        <f>($E216-$B216)*100</f>
        <v/>
      </c>
      <c r="L216" s="82">
        <f>($E216-$C216)*100</f>
        <v/>
      </c>
      <c r="M216" s="82">
        <f>($E216-$D216)*100</f>
        <v/>
      </c>
      <c r="N216" s="82">
        <f>$G216-$F216</f>
        <v/>
      </c>
      <c r="O216" s="81">
        <f>IFERROR($G216/$F216,"")</f>
        <v/>
      </c>
      <c r="P216" s="81">
        <f>IFERROR($H216/$G216,"")</f>
        <v/>
      </c>
      <c r="Q216" s="82">
        <f>$H216-$F216</f>
        <v/>
      </c>
    </row>
    <row r="217">
      <c r="J217" s="82">
        <f>($D217-$B217)*100</f>
        <v/>
      </c>
      <c r="K217" s="82">
        <f>($E217-$B217)*100</f>
        <v/>
      </c>
      <c r="L217" s="82">
        <f>($E217-$C217)*100</f>
        <v/>
      </c>
      <c r="M217" s="82">
        <f>($E217-$D217)*100</f>
        <v/>
      </c>
      <c r="N217" s="82">
        <f>$G217-$F217</f>
        <v/>
      </c>
      <c r="O217" s="81">
        <f>IFERROR($G217/$F217,"")</f>
        <v/>
      </c>
      <c r="P217" s="81">
        <f>IFERROR($H217/$G217,"")</f>
        <v/>
      </c>
      <c r="Q217" s="82">
        <f>$H217-$F217</f>
        <v/>
      </c>
    </row>
    <row r="218">
      <c r="J218" s="82">
        <f>($D218-$B218)*100</f>
        <v/>
      </c>
      <c r="K218" s="82">
        <f>($E218-$B218)*100</f>
        <v/>
      </c>
      <c r="L218" s="82">
        <f>($E218-$C218)*100</f>
        <v/>
      </c>
      <c r="M218" s="82">
        <f>($E218-$D218)*100</f>
        <v/>
      </c>
      <c r="N218" s="82">
        <f>$G218-$F218</f>
        <v/>
      </c>
      <c r="O218" s="81">
        <f>IFERROR($G218/$F218,"")</f>
        <v/>
      </c>
      <c r="P218" s="81">
        <f>IFERROR($H218/$G218,"")</f>
        <v/>
      </c>
      <c r="Q218" s="82">
        <f>$H218-$F218</f>
        <v/>
      </c>
    </row>
    <row r="219">
      <c r="J219" s="82">
        <f>($D219-$B219)*100</f>
        <v/>
      </c>
      <c r="K219" s="82">
        <f>($E219-$B219)*100</f>
        <v/>
      </c>
      <c r="L219" s="82">
        <f>($E219-$C219)*100</f>
        <v/>
      </c>
      <c r="M219" s="82">
        <f>($E219-$D219)*100</f>
        <v/>
      </c>
      <c r="N219" s="82">
        <f>$G219-$F219</f>
        <v/>
      </c>
      <c r="O219" s="81">
        <f>IFERROR($G219/$F219,"")</f>
        <v/>
      </c>
      <c r="P219" s="81">
        <f>IFERROR($H219/$G219,"")</f>
        <v/>
      </c>
      <c r="Q219" s="82">
        <f>$H219-$F219</f>
        <v/>
      </c>
    </row>
    <row r="220">
      <c r="J220" s="82">
        <f>($D220-$B220)*100</f>
        <v/>
      </c>
      <c r="K220" s="82">
        <f>($E220-$B220)*100</f>
        <v/>
      </c>
      <c r="L220" s="82">
        <f>($E220-$C220)*100</f>
        <v/>
      </c>
      <c r="M220" s="82">
        <f>($E220-$D220)*100</f>
        <v/>
      </c>
      <c r="N220" s="82">
        <f>$G220-$F220</f>
        <v/>
      </c>
      <c r="O220" s="81">
        <f>IFERROR($G220/$F220,"")</f>
        <v/>
      </c>
      <c r="P220" s="81">
        <f>IFERROR($H220/$G220,"")</f>
        <v/>
      </c>
      <c r="Q220" s="82">
        <f>$H220-$F220</f>
        <v/>
      </c>
    </row>
    <row r="221">
      <c r="J221" s="82">
        <f>($D221-$B221)*100</f>
        <v/>
      </c>
      <c r="K221" s="82">
        <f>($E221-$B221)*100</f>
        <v/>
      </c>
      <c r="L221" s="82">
        <f>($E221-$C221)*100</f>
        <v/>
      </c>
      <c r="M221" s="82">
        <f>($E221-$D221)*100</f>
        <v/>
      </c>
      <c r="N221" s="82">
        <f>$G221-$F221</f>
        <v/>
      </c>
      <c r="O221" s="81">
        <f>IFERROR($G221/$F221,"")</f>
        <v/>
      </c>
      <c r="P221" s="81">
        <f>IFERROR($H221/$G221,"")</f>
        <v/>
      </c>
      <c r="Q221" s="82">
        <f>$H221-$F221</f>
        <v/>
      </c>
    </row>
    <row r="222">
      <c r="J222" s="82">
        <f>($D222-$B222)*100</f>
        <v/>
      </c>
      <c r="K222" s="82">
        <f>($E222-$B222)*100</f>
        <v/>
      </c>
      <c r="L222" s="82">
        <f>($E222-$C222)*100</f>
        <v/>
      </c>
      <c r="M222" s="82">
        <f>($E222-$D222)*100</f>
        <v/>
      </c>
      <c r="N222" s="82">
        <f>$G222-$F222</f>
        <v/>
      </c>
      <c r="O222" s="81">
        <f>IFERROR($G222/$F222,"")</f>
        <v/>
      </c>
      <c r="P222" s="81">
        <f>IFERROR($H222/$G222,"")</f>
        <v/>
      </c>
      <c r="Q222" s="82">
        <f>$H222-$F222</f>
        <v/>
      </c>
    </row>
    <row r="223">
      <c r="J223" s="82">
        <f>($D223-$B223)*100</f>
        <v/>
      </c>
      <c r="K223" s="82">
        <f>($E223-$B223)*100</f>
        <v/>
      </c>
      <c r="L223" s="82">
        <f>($E223-$C223)*100</f>
        <v/>
      </c>
      <c r="M223" s="82">
        <f>($E223-$D223)*100</f>
        <v/>
      </c>
      <c r="N223" s="82">
        <f>$G223-$F223</f>
        <v/>
      </c>
      <c r="O223" s="81">
        <f>IFERROR($G223/$F223,"")</f>
        <v/>
      </c>
      <c r="P223" s="81">
        <f>IFERROR($H223/$G223,"")</f>
        <v/>
      </c>
      <c r="Q223" s="82">
        <f>$H223-$F223</f>
        <v/>
      </c>
    </row>
    <row r="224">
      <c r="J224" s="82">
        <f>($D224-$B224)*100</f>
        <v/>
      </c>
      <c r="K224" s="82">
        <f>($E224-$B224)*100</f>
        <v/>
      </c>
      <c r="L224" s="82">
        <f>($E224-$C224)*100</f>
        <v/>
      </c>
      <c r="M224" s="82">
        <f>($E224-$D224)*100</f>
        <v/>
      </c>
      <c r="N224" s="82">
        <f>$G224-$F224</f>
        <v/>
      </c>
      <c r="O224" s="81">
        <f>IFERROR($G224/$F224,"")</f>
        <v/>
      </c>
      <c r="P224" s="81">
        <f>IFERROR($H224/$G224,"")</f>
        <v/>
      </c>
      <c r="Q224" s="82">
        <f>$H224-$F224</f>
        <v/>
      </c>
    </row>
    <row r="225">
      <c r="J225" s="82">
        <f>($D225-$B225)*100</f>
        <v/>
      </c>
      <c r="K225" s="82">
        <f>($E225-$B225)*100</f>
        <v/>
      </c>
      <c r="L225" s="82">
        <f>($E225-$C225)*100</f>
        <v/>
      </c>
      <c r="M225" s="82">
        <f>($E225-$D225)*100</f>
        <v/>
      </c>
      <c r="N225" s="82">
        <f>$G225-$F225</f>
        <v/>
      </c>
      <c r="O225" s="81">
        <f>IFERROR($G225/$F225,"")</f>
        <v/>
      </c>
      <c r="P225" s="81">
        <f>IFERROR($H225/$G225,"")</f>
        <v/>
      </c>
      <c r="Q225" s="82">
        <f>$H225-$F225</f>
        <v/>
      </c>
    </row>
    <row r="226">
      <c r="J226" s="82">
        <f>($D226-$B226)*100</f>
        <v/>
      </c>
      <c r="K226" s="82">
        <f>($E226-$B226)*100</f>
        <v/>
      </c>
      <c r="L226" s="82">
        <f>($E226-$C226)*100</f>
        <v/>
      </c>
      <c r="M226" s="82">
        <f>($E226-$D226)*100</f>
        <v/>
      </c>
      <c r="N226" s="82">
        <f>$G226-$F226</f>
        <v/>
      </c>
      <c r="O226" s="81">
        <f>IFERROR($G226/$F226,"")</f>
        <v/>
      </c>
      <c r="P226" s="81">
        <f>IFERROR($H226/$G226,"")</f>
        <v/>
      </c>
      <c r="Q226" s="82">
        <f>$H226-$F226</f>
        <v/>
      </c>
    </row>
    <row r="227">
      <c r="J227" s="82">
        <f>($D227-$B227)*100</f>
        <v/>
      </c>
      <c r="K227" s="82">
        <f>($E227-$B227)*100</f>
        <v/>
      </c>
      <c r="L227" s="82">
        <f>($E227-$C227)*100</f>
        <v/>
      </c>
      <c r="M227" s="82">
        <f>($E227-$D227)*100</f>
        <v/>
      </c>
      <c r="N227" s="82">
        <f>$G227-$F227</f>
        <v/>
      </c>
      <c r="O227" s="81">
        <f>IFERROR($G227/$F227,"")</f>
        <v/>
      </c>
      <c r="P227" s="81">
        <f>IFERROR($H227/$G227,"")</f>
        <v/>
      </c>
      <c r="Q227" s="82">
        <f>$H227-$F227</f>
        <v/>
      </c>
    </row>
    <row r="228">
      <c r="J228" s="82">
        <f>($D228-$B228)*100</f>
        <v/>
      </c>
      <c r="K228" s="82">
        <f>($E228-$B228)*100</f>
        <v/>
      </c>
      <c r="L228" s="82">
        <f>($E228-$C228)*100</f>
        <v/>
      </c>
      <c r="M228" s="82">
        <f>($E228-$D228)*100</f>
        <v/>
      </c>
      <c r="N228" s="82">
        <f>$G228-$F228</f>
        <v/>
      </c>
      <c r="O228" s="81">
        <f>IFERROR($G228/$F228,"")</f>
        <v/>
      </c>
      <c r="P228" s="81">
        <f>IFERROR($H228/$G228,"")</f>
        <v/>
      </c>
      <c r="Q228" s="82">
        <f>$H228-$F228</f>
        <v/>
      </c>
    </row>
    <row r="229">
      <c r="J229" s="82">
        <f>($D229-$B229)*100</f>
        <v/>
      </c>
      <c r="K229" s="82">
        <f>($E229-$B229)*100</f>
        <v/>
      </c>
      <c r="L229" s="82">
        <f>($E229-$C229)*100</f>
        <v/>
      </c>
      <c r="M229" s="82">
        <f>($E229-$D229)*100</f>
        <v/>
      </c>
      <c r="N229" s="82">
        <f>$G229-$F229</f>
        <v/>
      </c>
      <c r="O229" s="81">
        <f>IFERROR($G229/$F229,"")</f>
        <v/>
      </c>
      <c r="P229" s="81">
        <f>IFERROR($H229/$G229,"")</f>
        <v/>
      </c>
      <c r="Q229" s="82">
        <f>$H229-$F229</f>
        <v/>
      </c>
    </row>
    <row r="230">
      <c r="J230" s="82">
        <f>($D230-$B230)*100</f>
        <v/>
      </c>
      <c r="K230" s="82">
        <f>($E230-$B230)*100</f>
        <v/>
      </c>
      <c r="L230" s="82">
        <f>($E230-$C230)*100</f>
        <v/>
      </c>
      <c r="M230" s="82">
        <f>($E230-$D230)*100</f>
        <v/>
      </c>
      <c r="N230" s="82">
        <f>$G230-$F230</f>
        <v/>
      </c>
      <c r="O230" s="81">
        <f>IFERROR($G230/$F230,"")</f>
        <v/>
      </c>
      <c r="P230" s="81">
        <f>IFERROR($H230/$G230,"")</f>
        <v/>
      </c>
      <c r="Q230" s="82">
        <f>$H230-$F230</f>
        <v/>
      </c>
    </row>
    <row r="231">
      <c r="J231" s="82">
        <f>($D231-$B231)*100</f>
        <v/>
      </c>
      <c r="K231" s="82">
        <f>($E231-$B231)*100</f>
        <v/>
      </c>
      <c r="L231" s="82">
        <f>($E231-$C231)*100</f>
        <v/>
      </c>
      <c r="M231" s="82">
        <f>($E231-$D231)*100</f>
        <v/>
      </c>
      <c r="N231" s="82">
        <f>$G231-$F231</f>
        <v/>
      </c>
      <c r="O231" s="81">
        <f>IFERROR($G231/$F231,"")</f>
        <v/>
      </c>
      <c r="P231" s="81">
        <f>IFERROR($H231/$G231,"")</f>
        <v/>
      </c>
      <c r="Q231" s="82">
        <f>$H231-$F231</f>
        <v/>
      </c>
    </row>
    <row r="232">
      <c r="J232" s="82">
        <f>($D232-$B232)*100</f>
        <v/>
      </c>
      <c r="K232" s="82">
        <f>($E232-$B232)*100</f>
        <v/>
      </c>
      <c r="L232" s="82">
        <f>($E232-$C232)*100</f>
        <v/>
      </c>
      <c r="M232" s="82">
        <f>($E232-$D232)*100</f>
        <v/>
      </c>
      <c r="N232" s="82">
        <f>$G232-$F232</f>
        <v/>
      </c>
      <c r="O232" s="81">
        <f>IFERROR($G232/$F232,"")</f>
        <v/>
      </c>
      <c r="P232" s="81">
        <f>IFERROR($H232/$G232,"")</f>
        <v/>
      </c>
      <c r="Q232" s="82">
        <f>$H232-$F232</f>
        <v/>
      </c>
    </row>
    <row r="233">
      <c r="J233" s="82">
        <f>($D233-$B233)*100</f>
        <v/>
      </c>
      <c r="K233" s="82">
        <f>($E233-$B233)*100</f>
        <v/>
      </c>
      <c r="L233" s="82">
        <f>($E233-$C233)*100</f>
        <v/>
      </c>
      <c r="M233" s="82">
        <f>($E233-$D233)*100</f>
        <v/>
      </c>
      <c r="N233" s="82">
        <f>$G233-$F233</f>
        <v/>
      </c>
      <c r="O233" s="81">
        <f>IFERROR($G233/$F233,"")</f>
        <v/>
      </c>
      <c r="P233" s="81">
        <f>IFERROR($H233/$G233,"")</f>
        <v/>
      </c>
      <c r="Q233" s="82">
        <f>$H233-$F233</f>
        <v/>
      </c>
    </row>
    <row r="234">
      <c r="J234" s="82">
        <f>($D234-$B234)*100</f>
        <v/>
      </c>
      <c r="K234" s="82">
        <f>($E234-$B234)*100</f>
        <v/>
      </c>
      <c r="L234" s="82">
        <f>($E234-$C234)*100</f>
        <v/>
      </c>
      <c r="M234" s="82">
        <f>($E234-$D234)*100</f>
        <v/>
      </c>
      <c r="N234" s="82">
        <f>$G234-$F234</f>
        <v/>
      </c>
      <c r="O234" s="81">
        <f>IFERROR($G234/$F234,"")</f>
        <v/>
      </c>
      <c r="P234" s="81">
        <f>IFERROR($H234/$G234,"")</f>
        <v/>
      </c>
      <c r="Q234" s="82">
        <f>$H234-$F234</f>
        <v/>
      </c>
    </row>
    <row r="235">
      <c r="J235" s="82">
        <f>($D235-$B235)*100</f>
        <v/>
      </c>
      <c r="K235" s="82">
        <f>($E235-$B235)*100</f>
        <v/>
      </c>
      <c r="L235" s="82">
        <f>($E235-$C235)*100</f>
        <v/>
      </c>
      <c r="M235" s="82">
        <f>($E235-$D235)*100</f>
        <v/>
      </c>
      <c r="N235" s="82">
        <f>$G235-$F235</f>
        <v/>
      </c>
      <c r="O235" s="81">
        <f>IFERROR($G235/$F235,"")</f>
        <v/>
      </c>
      <c r="P235" s="81">
        <f>IFERROR($H235/$G235,"")</f>
        <v/>
      </c>
      <c r="Q235" s="82">
        <f>$H235-$F235</f>
        <v/>
      </c>
    </row>
    <row r="236">
      <c r="J236" s="82">
        <f>($D236-$B236)*100</f>
        <v/>
      </c>
      <c r="K236" s="82">
        <f>($E236-$B236)*100</f>
        <v/>
      </c>
      <c r="L236" s="82">
        <f>($E236-$C236)*100</f>
        <v/>
      </c>
      <c r="M236" s="82">
        <f>($E236-$D236)*100</f>
        <v/>
      </c>
      <c r="N236" s="82">
        <f>$G236-$F236</f>
        <v/>
      </c>
      <c r="O236" s="81">
        <f>IFERROR($G236/$F236,"")</f>
        <v/>
      </c>
      <c r="P236" s="81">
        <f>IFERROR($H236/$G236,"")</f>
        <v/>
      </c>
      <c r="Q236" s="82">
        <f>$H236-$F236</f>
        <v/>
      </c>
    </row>
    <row r="237">
      <c r="J237" s="82">
        <f>($D237-$B237)*100</f>
        <v/>
      </c>
      <c r="K237" s="82">
        <f>($E237-$B237)*100</f>
        <v/>
      </c>
      <c r="L237" s="82">
        <f>($E237-$C237)*100</f>
        <v/>
      </c>
      <c r="M237" s="82">
        <f>($E237-$D237)*100</f>
        <v/>
      </c>
      <c r="N237" s="82">
        <f>$G237-$F237</f>
        <v/>
      </c>
      <c r="O237" s="81">
        <f>IFERROR($G237/$F237,"")</f>
        <v/>
      </c>
      <c r="P237" s="81">
        <f>IFERROR($H237/$G237,"")</f>
        <v/>
      </c>
      <c r="Q237" s="82">
        <f>$H237-$F237</f>
        <v/>
      </c>
    </row>
    <row r="238">
      <c r="J238" s="82">
        <f>($D238-$B238)*100</f>
        <v/>
      </c>
      <c r="K238" s="82">
        <f>($E238-$B238)*100</f>
        <v/>
      </c>
      <c r="L238" s="82">
        <f>($E238-$C238)*100</f>
        <v/>
      </c>
      <c r="M238" s="82">
        <f>($E238-$D238)*100</f>
        <v/>
      </c>
      <c r="N238" s="82">
        <f>$G238-$F238</f>
        <v/>
      </c>
      <c r="O238" s="81">
        <f>IFERROR($G238/$F238,"")</f>
        <v/>
      </c>
      <c r="P238" s="81">
        <f>IFERROR($H238/$G238,"")</f>
        <v/>
      </c>
      <c r="Q238" s="82">
        <f>$H238-$F238</f>
        <v/>
      </c>
    </row>
    <row r="239">
      <c r="J239" s="82">
        <f>($D239-$B239)*100</f>
        <v/>
      </c>
      <c r="K239" s="82">
        <f>($E239-$B239)*100</f>
        <v/>
      </c>
      <c r="L239" s="82">
        <f>($E239-$C239)*100</f>
        <v/>
      </c>
      <c r="M239" s="82">
        <f>($E239-$D239)*100</f>
        <v/>
      </c>
      <c r="N239" s="82">
        <f>$G239-$F239</f>
        <v/>
      </c>
      <c r="O239" s="81">
        <f>IFERROR($G239/$F239,"")</f>
        <v/>
      </c>
      <c r="P239" s="81">
        <f>IFERROR($H239/$G239,"")</f>
        <v/>
      </c>
      <c r="Q239" s="82">
        <f>$H239-$F239</f>
        <v/>
      </c>
    </row>
    <row r="240">
      <c r="J240" s="82">
        <f>($D240-$B240)*100</f>
        <v/>
      </c>
      <c r="K240" s="82">
        <f>($E240-$B240)*100</f>
        <v/>
      </c>
      <c r="L240" s="82">
        <f>($E240-$C240)*100</f>
        <v/>
      </c>
      <c r="M240" s="82">
        <f>($E240-$D240)*100</f>
        <v/>
      </c>
      <c r="N240" s="82">
        <f>$G240-$F240</f>
        <v/>
      </c>
      <c r="O240" s="81">
        <f>IFERROR($G240/$F240,"")</f>
        <v/>
      </c>
      <c r="P240" s="81">
        <f>IFERROR($H240/$G240,"")</f>
        <v/>
      </c>
      <c r="Q240" s="82">
        <f>$H240-$F240</f>
        <v/>
      </c>
    </row>
    <row r="241">
      <c r="J241" s="82">
        <f>($D241-$B241)*100</f>
        <v/>
      </c>
      <c r="K241" s="82">
        <f>($E241-$B241)*100</f>
        <v/>
      </c>
      <c r="L241" s="82">
        <f>($E241-$C241)*100</f>
        <v/>
      </c>
      <c r="M241" s="82">
        <f>($E241-$D241)*100</f>
        <v/>
      </c>
      <c r="N241" s="82">
        <f>$G241-$F241</f>
        <v/>
      </c>
      <c r="O241" s="81">
        <f>IFERROR($G241/$F241,"")</f>
        <v/>
      </c>
      <c r="P241" s="81">
        <f>IFERROR($H241/$G241,"")</f>
        <v/>
      </c>
      <c r="Q241" s="82">
        <f>$H241-$F241</f>
        <v/>
      </c>
    </row>
    <row r="242">
      <c r="J242" s="82">
        <f>($D242-$B242)*100</f>
        <v/>
      </c>
      <c r="K242" s="82">
        <f>($E242-$B242)*100</f>
        <v/>
      </c>
      <c r="L242" s="82">
        <f>($E242-$C242)*100</f>
        <v/>
      </c>
      <c r="M242" s="82">
        <f>($E242-$D242)*100</f>
        <v/>
      </c>
      <c r="N242" s="82">
        <f>$G242-$F242</f>
        <v/>
      </c>
      <c r="O242" s="81">
        <f>IFERROR($G242/$F242,"")</f>
        <v/>
      </c>
      <c r="P242" s="81">
        <f>IFERROR($H242/$G242,"")</f>
        <v/>
      </c>
      <c r="Q242" s="82">
        <f>$H242-$F242</f>
        <v/>
      </c>
    </row>
    <row r="243">
      <c r="J243" s="82">
        <f>($D243-$B243)*100</f>
        <v/>
      </c>
      <c r="K243" s="82">
        <f>($E243-$B243)*100</f>
        <v/>
      </c>
      <c r="L243" s="82">
        <f>($E243-$C243)*100</f>
        <v/>
      </c>
      <c r="M243" s="82">
        <f>($E243-$D243)*100</f>
        <v/>
      </c>
      <c r="N243" s="82">
        <f>$G243-$F243</f>
        <v/>
      </c>
      <c r="O243" s="81">
        <f>IFERROR($G243/$F243,"")</f>
        <v/>
      </c>
      <c r="P243" s="81">
        <f>IFERROR($H243/$G243,"")</f>
        <v/>
      </c>
      <c r="Q243" s="82">
        <f>$H243-$F243</f>
        <v/>
      </c>
    </row>
    <row r="244">
      <c r="J244" s="82">
        <f>($D244-$B244)*100</f>
        <v/>
      </c>
      <c r="K244" s="82">
        <f>($E244-$B244)*100</f>
        <v/>
      </c>
      <c r="L244" s="82">
        <f>($E244-$C244)*100</f>
        <v/>
      </c>
      <c r="M244" s="82">
        <f>($E244-$D244)*100</f>
        <v/>
      </c>
      <c r="N244" s="82">
        <f>$G244-$F244</f>
        <v/>
      </c>
      <c r="O244" s="81">
        <f>IFERROR($G244/$F244,"")</f>
        <v/>
      </c>
      <c r="P244" s="81">
        <f>IFERROR($H244/$G244,"")</f>
        <v/>
      </c>
      <c r="Q244" s="82">
        <f>$H244-$F244</f>
        <v/>
      </c>
    </row>
    <row r="245">
      <c r="J245" s="82">
        <f>($D245-$B245)*100</f>
        <v/>
      </c>
      <c r="K245" s="82">
        <f>($E245-$B245)*100</f>
        <v/>
      </c>
      <c r="L245" s="82">
        <f>($E245-$C245)*100</f>
        <v/>
      </c>
      <c r="M245" s="82">
        <f>($E245-$D245)*100</f>
        <v/>
      </c>
      <c r="N245" s="82">
        <f>$G245-$F245</f>
        <v/>
      </c>
      <c r="O245" s="81">
        <f>IFERROR($G245/$F245,"")</f>
        <v/>
      </c>
      <c r="P245" s="81">
        <f>IFERROR($H245/$G245,"")</f>
        <v/>
      </c>
      <c r="Q245" s="82">
        <f>$H245-$F245</f>
        <v/>
      </c>
    </row>
    <row r="246">
      <c r="J246" s="82">
        <f>($D246-$B246)*100</f>
        <v/>
      </c>
      <c r="K246" s="82">
        <f>($E246-$B246)*100</f>
        <v/>
      </c>
      <c r="L246" s="82">
        <f>($E246-$C246)*100</f>
        <v/>
      </c>
      <c r="M246" s="82">
        <f>($E246-$D246)*100</f>
        <v/>
      </c>
      <c r="N246" s="82">
        <f>$G246-$F246</f>
        <v/>
      </c>
      <c r="O246" s="81">
        <f>IFERROR($G246/$F246,"")</f>
        <v/>
      </c>
      <c r="P246" s="81">
        <f>IFERROR($H246/$G246,"")</f>
        <v/>
      </c>
      <c r="Q246" s="82">
        <f>$H246-$F246</f>
        <v/>
      </c>
    </row>
    <row r="247">
      <c r="J247" s="82">
        <f>($D247-$B247)*100</f>
        <v/>
      </c>
      <c r="K247" s="82">
        <f>($E247-$B247)*100</f>
        <v/>
      </c>
      <c r="L247" s="82">
        <f>($E247-$C247)*100</f>
        <v/>
      </c>
      <c r="M247" s="82">
        <f>($E247-$D247)*100</f>
        <v/>
      </c>
      <c r="N247" s="82">
        <f>$G247-$F247</f>
        <v/>
      </c>
      <c r="O247" s="81">
        <f>IFERROR($G247/$F247,"")</f>
        <v/>
      </c>
      <c r="P247" s="81">
        <f>IFERROR($H247/$G247,"")</f>
        <v/>
      </c>
      <c r="Q247" s="82">
        <f>$H247-$F247</f>
        <v/>
      </c>
    </row>
    <row r="248">
      <c r="J248" s="82">
        <f>($D248-$B248)*100</f>
        <v/>
      </c>
      <c r="K248" s="82">
        <f>($E248-$B248)*100</f>
        <v/>
      </c>
      <c r="L248" s="82">
        <f>($E248-$C248)*100</f>
        <v/>
      </c>
      <c r="M248" s="82">
        <f>($E248-$D248)*100</f>
        <v/>
      </c>
      <c r="N248" s="82">
        <f>$G248-$F248</f>
        <v/>
      </c>
      <c r="O248" s="81">
        <f>IFERROR($G248/$F248,"")</f>
        <v/>
      </c>
      <c r="P248" s="81">
        <f>IFERROR($H248/$G248,"")</f>
        <v/>
      </c>
      <c r="Q248" s="82">
        <f>$H248-$F248</f>
        <v/>
      </c>
    </row>
    <row r="249">
      <c r="J249" s="82">
        <f>($D249-$B249)*100</f>
        <v/>
      </c>
      <c r="K249" s="82">
        <f>($E249-$B249)*100</f>
        <v/>
      </c>
      <c r="L249" s="82">
        <f>($E249-$C249)*100</f>
        <v/>
      </c>
      <c r="M249" s="82">
        <f>($E249-$D249)*100</f>
        <v/>
      </c>
      <c r="N249" s="82">
        <f>$G249-$F249</f>
        <v/>
      </c>
      <c r="O249" s="81">
        <f>IFERROR($G249/$F249,"")</f>
        <v/>
      </c>
      <c r="P249" s="81">
        <f>IFERROR($H249/$G249,"")</f>
        <v/>
      </c>
      <c r="Q249" s="82">
        <f>$H249-$F249</f>
        <v/>
      </c>
    </row>
    <row r="250">
      <c r="J250" s="82">
        <f>($D250-$B250)*100</f>
        <v/>
      </c>
      <c r="K250" s="82">
        <f>($E250-$B250)*100</f>
        <v/>
      </c>
      <c r="L250" s="82">
        <f>($E250-$C250)*100</f>
        <v/>
      </c>
      <c r="M250" s="82">
        <f>($E250-$D250)*100</f>
        <v/>
      </c>
      <c r="N250" s="82">
        <f>$G250-$F250</f>
        <v/>
      </c>
      <c r="O250" s="81">
        <f>IFERROR($G250/$F250,"")</f>
        <v/>
      </c>
      <c r="P250" s="81">
        <f>IFERROR($H250/$G250,"")</f>
        <v/>
      </c>
      <c r="Q250" s="82">
        <f>$H250-$F250</f>
        <v/>
      </c>
    </row>
    <row r="251">
      <c r="J251" s="82">
        <f>($D251-$B251)*100</f>
        <v/>
      </c>
      <c r="K251" s="82">
        <f>($E251-$B251)*100</f>
        <v/>
      </c>
      <c r="L251" s="82">
        <f>($E251-$C251)*100</f>
        <v/>
      </c>
      <c r="M251" s="82">
        <f>($E251-$D251)*100</f>
        <v/>
      </c>
      <c r="N251" s="82">
        <f>$G251-$F251</f>
        <v/>
      </c>
      <c r="O251" s="81">
        <f>IFERROR($G251/$F251,"")</f>
        <v/>
      </c>
      <c r="P251" s="81">
        <f>IFERROR($H251/$G251,"")</f>
        <v/>
      </c>
      <c r="Q251" s="82">
        <f>$H251-$F251</f>
        <v/>
      </c>
    </row>
    <row r="252">
      <c r="J252" s="82">
        <f>($D252-$B252)*100</f>
        <v/>
      </c>
      <c r="K252" s="82">
        <f>($E252-$B252)*100</f>
        <v/>
      </c>
      <c r="L252" s="82">
        <f>($E252-$C252)*100</f>
        <v/>
      </c>
      <c r="M252" s="82">
        <f>($E252-$D252)*100</f>
        <v/>
      </c>
      <c r="N252" s="82">
        <f>$G252-$F252</f>
        <v/>
      </c>
      <c r="O252" s="81">
        <f>IFERROR($G252/$F252,"")</f>
        <v/>
      </c>
      <c r="P252" s="81">
        <f>IFERROR($H252/$G252,"")</f>
        <v/>
      </c>
      <c r="Q252" s="82">
        <f>$H252-$F252</f>
        <v/>
      </c>
    </row>
    <row r="253">
      <c r="J253" s="82">
        <f>($D253-$B253)*100</f>
        <v/>
      </c>
      <c r="K253" s="82">
        <f>($E253-$B253)*100</f>
        <v/>
      </c>
      <c r="L253" s="82">
        <f>($E253-$C253)*100</f>
        <v/>
      </c>
      <c r="M253" s="82">
        <f>($E253-$D253)*100</f>
        <v/>
      </c>
      <c r="N253" s="82">
        <f>$G253-$F253</f>
        <v/>
      </c>
      <c r="O253" s="81">
        <f>IFERROR($G253/$F253,"")</f>
        <v/>
      </c>
      <c r="P253" s="81">
        <f>IFERROR($H253/$G253,"")</f>
        <v/>
      </c>
      <c r="Q253" s="82">
        <f>$H253-$F253</f>
        <v/>
      </c>
    </row>
    <row r="254">
      <c r="J254" s="82">
        <f>($D254-$B254)*100</f>
        <v/>
      </c>
      <c r="K254" s="82">
        <f>($E254-$B254)*100</f>
        <v/>
      </c>
      <c r="L254" s="82">
        <f>($E254-$C254)*100</f>
        <v/>
      </c>
      <c r="M254" s="82">
        <f>($E254-$D254)*100</f>
        <v/>
      </c>
      <c r="N254" s="82">
        <f>$G254-$F254</f>
        <v/>
      </c>
      <c r="O254" s="81">
        <f>IFERROR($G254/$F254,"")</f>
        <v/>
      </c>
      <c r="P254" s="81">
        <f>IFERROR($H254/$G254,"")</f>
        <v/>
      </c>
      <c r="Q254" s="82">
        <f>$H254-$F254</f>
        <v/>
      </c>
    </row>
    <row r="255">
      <c r="J255" s="82">
        <f>($D255-$B255)*100</f>
        <v/>
      </c>
      <c r="K255" s="82">
        <f>($E255-$B255)*100</f>
        <v/>
      </c>
      <c r="L255" s="82">
        <f>($E255-$C255)*100</f>
        <v/>
      </c>
      <c r="M255" s="82">
        <f>($E255-$D255)*100</f>
        <v/>
      </c>
      <c r="N255" s="82">
        <f>$G255-$F255</f>
        <v/>
      </c>
      <c r="O255" s="81">
        <f>IFERROR($G255/$F255,"")</f>
        <v/>
      </c>
      <c r="P255" s="81">
        <f>IFERROR($H255/$G255,"")</f>
        <v/>
      </c>
      <c r="Q255" s="82">
        <f>$H255-$F255</f>
        <v/>
      </c>
    </row>
    <row r="256">
      <c r="J256" s="82">
        <f>($D256-$B256)*100</f>
        <v/>
      </c>
      <c r="K256" s="82">
        <f>($E256-$B256)*100</f>
        <v/>
      </c>
      <c r="L256" s="82">
        <f>($E256-$C256)*100</f>
        <v/>
      </c>
      <c r="M256" s="82">
        <f>($E256-$D256)*100</f>
        <v/>
      </c>
      <c r="N256" s="82">
        <f>$G256-$F256</f>
        <v/>
      </c>
      <c r="O256" s="81">
        <f>IFERROR($G256/$F256,"")</f>
        <v/>
      </c>
      <c r="P256" s="81">
        <f>IFERROR($H256/$G256,"")</f>
        <v/>
      </c>
      <c r="Q256" s="82">
        <f>$H256-$F256</f>
        <v/>
      </c>
    </row>
    <row r="257">
      <c r="J257" s="82">
        <f>($D257-$B257)*100</f>
        <v/>
      </c>
      <c r="K257" s="82">
        <f>($E257-$B257)*100</f>
        <v/>
      </c>
      <c r="L257" s="82">
        <f>($E257-$C257)*100</f>
        <v/>
      </c>
      <c r="M257" s="82">
        <f>($E257-$D257)*100</f>
        <v/>
      </c>
      <c r="N257" s="82">
        <f>$G257-$F257</f>
        <v/>
      </c>
      <c r="O257" s="81">
        <f>IFERROR($G257/$F257,"")</f>
        <v/>
      </c>
      <c r="P257" s="81">
        <f>IFERROR($H257/$G257,"")</f>
        <v/>
      </c>
      <c r="Q257" s="82">
        <f>$H257-$F257</f>
        <v/>
      </c>
    </row>
    <row r="258">
      <c r="J258" s="82">
        <f>($D258-$B258)*100</f>
        <v/>
      </c>
      <c r="K258" s="82">
        <f>($E258-$B258)*100</f>
        <v/>
      </c>
      <c r="L258" s="82">
        <f>($E258-$C258)*100</f>
        <v/>
      </c>
      <c r="M258" s="82">
        <f>($E258-$D258)*100</f>
        <v/>
      </c>
      <c r="N258" s="82">
        <f>$G258-$F258</f>
        <v/>
      </c>
      <c r="O258" s="81">
        <f>IFERROR($G258/$F258,"")</f>
        <v/>
      </c>
      <c r="P258" s="81">
        <f>IFERROR($H258/$G258,"")</f>
        <v/>
      </c>
      <c r="Q258" s="82">
        <f>$H258-$F258</f>
        <v/>
      </c>
    </row>
    <row r="259">
      <c r="J259" s="82">
        <f>($D259-$B259)*100</f>
        <v/>
      </c>
      <c r="K259" s="82">
        <f>($E259-$B259)*100</f>
        <v/>
      </c>
      <c r="L259" s="82">
        <f>($E259-$C259)*100</f>
        <v/>
      </c>
      <c r="M259" s="82">
        <f>($E259-$D259)*100</f>
        <v/>
      </c>
      <c r="N259" s="82">
        <f>$G259-$F259</f>
        <v/>
      </c>
      <c r="O259" s="81">
        <f>IFERROR($G259/$F259,"")</f>
        <v/>
      </c>
      <c r="P259" s="81">
        <f>IFERROR($H259/$G259,"")</f>
        <v/>
      </c>
      <c r="Q259" s="82">
        <f>$H259-$F259</f>
        <v/>
      </c>
    </row>
    <row r="260">
      <c r="J260" s="82">
        <f>($D260-$B260)*100</f>
        <v/>
      </c>
      <c r="K260" s="82">
        <f>($E260-$B260)*100</f>
        <v/>
      </c>
      <c r="L260" s="82">
        <f>($E260-$C260)*100</f>
        <v/>
      </c>
      <c r="M260" s="82">
        <f>($E260-$D260)*100</f>
        <v/>
      </c>
      <c r="N260" s="82">
        <f>$G260-$F260</f>
        <v/>
      </c>
      <c r="O260" s="81">
        <f>IFERROR($G260/$F260,"")</f>
        <v/>
      </c>
      <c r="P260" s="81">
        <f>IFERROR($H260/$G260,"")</f>
        <v/>
      </c>
      <c r="Q260" s="82">
        <f>$H260-$F260</f>
        <v/>
      </c>
    </row>
    <row r="261">
      <c r="J261" s="82">
        <f>($D261-$B261)*100</f>
        <v/>
      </c>
      <c r="K261" s="82">
        <f>($E261-$B261)*100</f>
        <v/>
      </c>
      <c r="L261" s="82">
        <f>($E261-$C261)*100</f>
        <v/>
      </c>
      <c r="M261" s="82">
        <f>($E261-$D261)*100</f>
        <v/>
      </c>
      <c r="N261" s="82">
        <f>$G261-$F261</f>
        <v/>
      </c>
      <c r="O261" s="81">
        <f>IFERROR($G261/$F261,"")</f>
        <v/>
      </c>
      <c r="P261" s="81">
        <f>IFERROR($H261/$G261,"")</f>
        <v/>
      </c>
      <c r="Q261" s="82">
        <f>$H261-$F261</f>
        <v/>
      </c>
    </row>
    <row r="262">
      <c r="J262" s="82">
        <f>($D262-$B262)*100</f>
        <v/>
      </c>
      <c r="K262" s="82">
        <f>($E262-$B262)*100</f>
        <v/>
      </c>
      <c r="L262" s="82">
        <f>($E262-$C262)*100</f>
        <v/>
      </c>
      <c r="M262" s="82">
        <f>($E262-$D262)*100</f>
        <v/>
      </c>
      <c r="N262" s="82">
        <f>$G262-$F262</f>
        <v/>
      </c>
      <c r="O262" s="81">
        <f>IFERROR($G262/$F262,"")</f>
        <v/>
      </c>
      <c r="P262" s="81">
        <f>IFERROR($H262/$G262,"")</f>
        <v/>
      </c>
      <c r="Q262" s="82">
        <f>$H262-$F262</f>
        <v/>
      </c>
    </row>
    <row r="263">
      <c r="J263" s="82">
        <f>($D263-$B263)*100</f>
        <v/>
      </c>
      <c r="K263" s="82">
        <f>($E263-$B263)*100</f>
        <v/>
      </c>
      <c r="L263" s="82">
        <f>($E263-$C263)*100</f>
        <v/>
      </c>
      <c r="M263" s="82">
        <f>($E263-$D263)*100</f>
        <v/>
      </c>
      <c r="N263" s="82">
        <f>$G263-$F263</f>
        <v/>
      </c>
      <c r="O263" s="81">
        <f>IFERROR($G263/$F263,"")</f>
        <v/>
      </c>
      <c r="P263" s="81">
        <f>IFERROR($H263/$G263,"")</f>
        <v/>
      </c>
      <c r="Q263" s="82">
        <f>$H263-$F263</f>
        <v/>
      </c>
    </row>
    <row r="264">
      <c r="J264" s="82">
        <f>($D264-$B264)*100</f>
        <v/>
      </c>
      <c r="K264" s="82">
        <f>($E264-$B264)*100</f>
        <v/>
      </c>
      <c r="L264" s="82">
        <f>($E264-$C264)*100</f>
        <v/>
      </c>
      <c r="M264" s="82">
        <f>($E264-$D264)*100</f>
        <v/>
      </c>
      <c r="N264" s="82">
        <f>$G264-$F264</f>
        <v/>
      </c>
      <c r="O264" s="81">
        <f>IFERROR($G264/$F264,"")</f>
        <v/>
      </c>
      <c r="P264" s="81">
        <f>IFERROR($H264/$G264,"")</f>
        <v/>
      </c>
      <c r="Q264" s="82">
        <f>$H264-$F264</f>
        <v/>
      </c>
    </row>
    <row r="265">
      <c r="J265" s="82">
        <f>($D265-$B265)*100</f>
        <v/>
      </c>
      <c r="K265" s="82">
        <f>($E265-$B265)*100</f>
        <v/>
      </c>
      <c r="L265" s="82">
        <f>($E265-$C265)*100</f>
        <v/>
      </c>
      <c r="M265" s="82">
        <f>($E265-$D265)*100</f>
        <v/>
      </c>
      <c r="N265" s="82">
        <f>$G265-$F265</f>
        <v/>
      </c>
      <c r="O265" s="81">
        <f>IFERROR($G265/$F265,"")</f>
        <v/>
      </c>
      <c r="P265" s="81">
        <f>IFERROR($H265/$G265,"")</f>
        <v/>
      </c>
      <c r="Q265" s="82">
        <f>$H265-$F265</f>
        <v/>
      </c>
    </row>
    <row r="266">
      <c r="J266" s="82">
        <f>($D266-$B266)*100</f>
        <v/>
      </c>
      <c r="K266" s="82">
        <f>($E266-$B266)*100</f>
        <v/>
      </c>
      <c r="L266" s="82">
        <f>($E266-$C266)*100</f>
        <v/>
      </c>
      <c r="M266" s="82">
        <f>($E266-$D266)*100</f>
        <v/>
      </c>
      <c r="N266" s="82">
        <f>$G266-$F266</f>
        <v/>
      </c>
      <c r="O266" s="81">
        <f>IFERROR($G266/$F266,"")</f>
        <v/>
      </c>
      <c r="P266" s="81">
        <f>IFERROR($H266/$G266,"")</f>
        <v/>
      </c>
      <c r="Q266" s="82">
        <f>$H266-$F266</f>
        <v/>
      </c>
    </row>
    <row r="267">
      <c r="J267" s="82">
        <f>($D267-$B267)*100</f>
        <v/>
      </c>
      <c r="K267" s="82">
        <f>($E267-$B267)*100</f>
        <v/>
      </c>
      <c r="L267" s="82">
        <f>($E267-$C267)*100</f>
        <v/>
      </c>
      <c r="M267" s="82">
        <f>($E267-$D267)*100</f>
        <v/>
      </c>
      <c r="N267" s="82">
        <f>$G267-$F267</f>
        <v/>
      </c>
      <c r="O267" s="81">
        <f>IFERROR($G267/$F267,"")</f>
        <v/>
      </c>
      <c r="P267" s="81">
        <f>IFERROR($H267/$G267,"")</f>
        <v/>
      </c>
      <c r="Q267" s="82">
        <f>$H267-$F267</f>
        <v/>
      </c>
    </row>
    <row r="268">
      <c r="J268" s="82">
        <f>($D268-$B268)*100</f>
        <v/>
      </c>
      <c r="K268" s="82">
        <f>($E268-$B268)*100</f>
        <v/>
      </c>
      <c r="L268" s="82">
        <f>($E268-$C268)*100</f>
        <v/>
      </c>
      <c r="M268" s="82">
        <f>($E268-$D268)*100</f>
        <v/>
      </c>
      <c r="N268" s="82">
        <f>$G268-$F268</f>
        <v/>
      </c>
      <c r="O268" s="81">
        <f>IFERROR($G268/$F268,"")</f>
        <v/>
      </c>
      <c r="P268" s="81">
        <f>IFERROR($H268/$G268,"")</f>
        <v/>
      </c>
      <c r="Q268" s="82">
        <f>$H268-$F268</f>
        <v/>
      </c>
    </row>
    <row r="269">
      <c r="J269" s="82">
        <f>($D269-$B269)*100</f>
        <v/>
      </c>
      <c r="K269" s="82">
        <f>($E269-$B269)*100</f>
        <v/>
      </c>
      <c r="L269" s="82">
        <f>($E269-$C269)*100</f>
        <v/>
      </c>
      <c r="M269" s="82">
        <f>($E269-$D269)*100</f>
        <v/>
      </c>
      <c r="N269" s="82">
        <f>$G269-$F269</f>
        <v/>
      </c>
      <c r="O269" s="81">
        <f>IFERROR($G269/$F269,"")</f>
        <v/>
      </c>
      <c r="P269" s="81">
        <f>IFERROR($H269/$G269,"")</f>
        <v/>
      </c>
      <c r="Q269" s="82">
        <f>$H269-$F269</f>
        <v/>
      </c>
    </row>
    <row r="270">
      <c r="J270" s="82">
        <f>($D270-$B270)*100</f>
        <v/>
      </c>
      <c r="K270" s="82">
        <f>($E270-$B270)*100</f>
        <v/>
      </c>
      <c r="L270" s="82">
        <f>($E270-$C270)*100</f>
        <v/>
      </c>
      <c r="M270" s="82">
        <f>($E270-$D270)*100</f>
        <v/>
      </c>
      <c r="N270" s="82">
        <f>$G270-$F270</f>
        <v/>
      </c>
      <c r="O270" s="81">
        <f>IFERROR($G270/$F270,"")</f>
        <v/>
      </c>
      <c r="P270" s="81">
        <f>IFERROR($H270/$G270,"")</f>
        <v/>
      </c>
      <c r="Q270" s="82">
        <f>$H270-$F270</f>
        <v/>
      </c>
    </row>
    <row r="271">
      <c r="J271" s="82">
        <f>($D271-$B271)*100</f>
        <v/>
      </c>
      <c r="K271" s="82">
        <f>($E271-$B271)*100</f>
        <v/>
      </c>
      <c r="L271" s="82">
        <f>($E271-$C271)*100</f>
        <v/>
      </c>
      <c r="M271" s="82">
        <f>($E271-$D271)*100</f>
        <v/>
      </c>
      <c r="N271" s="82">
        <f>$G271-$F271</f>
        <v/>
      </c>
      <c r="O271" s="81">
        <f>IFERROR($G271/$F271,"")</f>
        <v/>
      </c>
      <c r="P271" s="81">
        <f>IFERROR($H271/$G271,"")</f>
        <v/>
      </c>
      <c r="Q271" s="82">
        <f>$H271-$F271</f>
        <v/>
      </c>
    </row>
    <row r="272">
      <c r="J272" s="82">
        <f>($D272-$B272)*100</f>
        <v/>
      </c>
      <c r="K272" s="82">
        <f>($E272-$B272)*100</f>
        <v/>
      </c>
      <c r="L272" s="82">
        <f>($E272-$C272)*100</f>
        <v/>
      </c>
      <c r="M272" s="82">
        <f>($E272-$D272)*100</f>
        <v/>
      </c>
      <c r="N272" s="82">
        <f>$G272-$F272</f>
        <v/>
      </c>
      <c r="O272" s="81">
        <f>IFERROR($G272/$F272,"")</f>
        <v/>
      </c>
      <c r="P272" s="81">
        <f>IFERROR($H272/$G272,"")</f>
        <v/>
      </c>
      <c r="Q272" s="82">
        <f>$H272-$F272</f>
        <v/>
      </c>
    </row>
    <row r="273">
      <c r="J273" s="82">
        <f>($D273-$B273)*100</f>
        <v/>
      </c>
      <c r="K273" s="82">
        <f>($E273-$B273)*100</f>
        <v/>
      </c>
      <c r="L273" s="82">
        <f>($E273-$C273)*100</f>
        <v/>
      </c>
      <c r="M273" s="82">
        <f>($E273-$D273)*100</f>
        <v/>
      </c>
      <c r="N273" s="82">
        <f>$G273-$F273</f>
        <v/>
      </c>
      <c r="O273" s="81">
        <f>IFERROR($G273/$F273,"")</f>
        <v/>
      </c>
      <c r="P273" s="81">
        <f>IFERROR($H273/$G273,"")</f>
        <v/>
      </c>
      <c r="Q273" s="82">
        <f>$H273-$F273</f>
        <v/>
      </c>
    </row>
    <row r="274">
      <c r="J274" s="82">
        <f>($D274-$B274)*100</f>
        <v/>
      </c>
      <c r="K274" s="82">
        <f>($E274-$B274)*100</f>
        <v/>
      </c>
      <c r="L274" s="82">
        <f>($E274-$C274)*100</f>
        <v/>
      </c>
      <c r="M274" s="82">
        <f>($E274-$D274)*100</f>
        <v/>
      </c>
      <c r="N274" s="82">
        <f>$G274-$F274</f>
        <v/>
      </c>
      <c r="O274" s="81">
        <f>IFERROR($G274/$F274,"")</f>
        <v/>
      </c>
      <c r="P274" s="81">
        <f>IFERROR($H274/$G274,"")</f>
        <v/>
      </c>
      <c r="Q274" s="82">
        <f>$H274-$F274</f>
        <v/>
      </c>
    </row>
    <row r="275">
      <c r="J275" s="82">
        <f>($D275-$B275)*100</f>
        <v/>
      </c>
      <c r="K275" s="82">
        <f>($E275-$B275)*100</f>
        <v/>
      </c>
      <c r="L275" s="82">
        <f>($E275-$C275)*100</f>
        <v/>
      </c>
      <c r="M275" s="82">
        <f>($E275-$D275)*100</f>
        <v/>
      </c>
      <c r="N275" s="82">
        <f>$G275-$F275</f>
        <v/>
      </c>
      <c r="O275" s="81">
        <f>IFERROR($G275/$F275,"")</f>
        <v/>
      </c>
      <c r="P275" s="81">
        <f>IFERROR($H275/$G275,"")</f>
        <v/>
      </c>
      <c r="Q275" s="82">
        <f>$H275-$F275</f>
        <v/>
      </c>
    </row>
    <row r="276">
      <c r="J276" s="82">
        <f>($D276-$B276)*100</f>
        <v/>
      </c>
      <c r="K276" s="82">
        <f>($E276-$B276)*100</f>
        <v/>
      </c>
      <c r="L276" s="82">
        <f>($E276-$C276)*100</f>
        <v/>
      </c>
      <c r="M276" s="82">
        <f>($E276-$D276)*100</f>
        <v/>
      </c>
      <c r="N276" s="82">
        <f>$G276-$F276</f>
        <v/>
      </c>
      <c r="O276" s="81">
        <f>IFERROR($G276/$F276,"")</f>
        <v/>
      </c>
      <c r="P276" s="81">
        <f>IFERROR($H276/$G276,"")</f>
        <v/>
      </c>
      <c r="Q276" s="82">
        <f>$H276-$F276</f>
        <v/>
      </c>
    </row>
    <row r="277">
      <c r="J277" s="82">
        <f>($D277-$B277)*100</f>
        <v/>
      </c>
      <c r="K277" s="82">
        <f>($E277-$B277)*100</f>
        <v/>
      </c>
      <c r="L277" s="82">
        <f>($E277-$C277)*100</f>
        <v/>
      </c>
      <c r="M277" s="82">
        <f>($E277-$D277)*100</f>
        <v/>
      </c>
      <c r="N277" s="82">
        <f>$G277-$F277</f>
        <v/>
      </c>
      <c r="O277" s="81">
        <f>IFERROR($G277/$F277,"")</f>
        <v/>
      </c>
      <c r="P277" s="81">
        <f>IFERROR($H277/$G277,"")</f>
        <v/>
      </c>
      <c r="Q277" s="82">
        <f>$H277-$F277</f>
        <v/>
      </c>
    </row>
    <row r="278">
      <c r="J278" s="82">
        <f>($D278-$B278)*100</f>
        <v/>
      </c>
      <c r="K278" s="82">
        <f>($E278-$B278)*100</f>
        <v/>
      </c>
      <c r="L278" s="82">
        <f>($E278-$C278)*100</f>
        <v/>
      </c>
      <c r="M278" s="82">
        <f>($E278-$D278)*100</f>
        <v/>
      </c>
      <c r="N278" s="82">
        <f>$G278-$F278</f>
        <v/>
      </c>
      <c r="O278" s="81">
        <f>IFERROR($G278/$F278,"")</f>
        <v/>
      </c>
      <c r="P278" s="81">
        <f>IFERROR($H278/$G278,"")</f>
        <v/>
      </c>
      <c r="Q278" s="82">
        <f>$H278-$F278</f>
        <v/>
      </c>
    </row>
    <row r="279">
      <c r="J279" s="82">
        <f>($D279-$B279)*100</f>
        <v/>
      </c>
      <c r="K279" s="82">
        <f>($E279-$B279)*100</f>
        <v/>
      </c>
      <c r="L279" s="82">
        <f>($E279-$C279)*100</f>
        <v/>
      </c>
      <c r="M279" s="82">
        <f>($E279-$D279)*100</f>
        <v/>
      </c>
      <c r="N279" s="82">
        <f>$G279-$F279</f>
        <v/>
      </c>
      <c r="O279" s="81">
        <f>IFERROR($G279/$F279,"")</f>
        <v/>
      </c>
      <c r="P279" s="81">
        <f>IFERROR($H279/$G279,"")</f>
        <v/>
      </c>
      <c r="Q279" s="82">
        <f>$H279-$F279</f>
        <v/>
      </c>
    </row>
    <row r="280">
      <c r="J280" s="82">
        <f>($D280-$B280)*100</f>
        <v/>
      </c>
      <c r="K280" s="82">
        <f>($E280-$B280)*100</f>
        <v/>
      </c>
      <c r="L280" s="82">
        <f>($E280-$C280)*100</f>
        <v/>
      </c>
      <c r="M280" s="82">
        <f>($E280-$D280)*100</f>
        <v/>
      </c>
      <c r="N280" s="82">
        <f>$G280-$F280</f>
        <v/>
      </c>
      <c r="O280" s="81">
        <f>IFERROR($G280/$F280,"")</f>
        <v/>
      </c>
      <c r="P280" s="81">
        <f>IFERROR($H280/$G280,"")</f>
        <v/>
      </c>
      <c r="Q280" s="82">
        <f>$H280-$F280</f>
        <v/>
      </c>
    </row>
    <row r="281">
      <c r="J281" s="82">
        <f>($D281-$B281)*100</f>
        <v/>
      </c>
      <c r="K281" s="82">
        <f>($E281-$B281)*100</f>
        <v/>
      </c>
      <c r="L281" s="82">
        <f>($E281-$C281)*100</f>
        <v/>
      </c>
      <c r="M281" s="82">
        <f>($E281-$D281)*100</f>
        <v/>
      </c>
      <c r="N281" s="82">
        <f>$G281-$F281</f>
        <v/>
      </c>
      <c r="O281" s="81">
        <f>IFERROR($G281/$F281,"")</f>
        <v/>
      </c>
      <c r="P281" s="81">
        <f>IFERROR($H281/$G281,"")</f>
        <v/>
      </c>
      <c r="Q281" s="82">
        <f>$H281-$F281</f>
        <v/>
      </c>
    </row>
    <row r="282">
      <c r="J282" s="82">
        <f>($D282-$B282)*100</f>
        <v/>
      </c>
      <c r="K282" s="82">
        <f>($E282-$B282)*100</f>
        <v/>
      </c>
      <c r="L282" s="82">
        <f>($E282-$C282)*100</f>
        <v/>
      </c>
      <c r="M282" s="82">
        <f>($E282-$D282)*100</f>
        <v/>
      </c>
      <c r="N282" s="82">
        <f>$G282-$F282</f>
        <v/>
      </c>
      <c r="O282" s="81">
        <f>IFERROR($G282/$F282,"")</f>
        <v/>
      </c>
      <c r="P282" s="81">
        <f>IFERROR($H282/$G282,"")</f>
        <v/>
      </c>
      <c r="Q282" s="82">
        <f>$H282-$F282</f>
        <v/>
      </c>
    </row>
    <row r="283">
      <c r="J283" s="82">
        <f>($D283-$B283)*100</f>
        <v/>
      </c>
      <c r="K283" s="82">
        <f>($E283-$B283)*100</f>
        <v/>
      </c>
      <c r="L283" s="82">
        <f>($E283-$C283)*100</f>
        <v/>
      </c>
      <c r="M283" s="82">
        <f>($E283-$D283)*100</f>
        <v/>
      </c>
      <c r="N283" s="82">
        <f>$G283-$F283</f>
        <v/>
      </c>
      <c r="O283" s="81">
        <f>IFERROR($G283/$F283,"")</f>
        <v/>
      </c>
      <c r="P283" s="81">
        <f>IFERROR($H283/$G283,"")</f>
        <v/>
      </c>
      <c r="Q283" s="82">
        <f>$H283-$F283</f>
        <v/>
      </c>
    </row>
    <row r="284">
      <c r="J284" s="82">
        <f>($D284-$B284)*100</f>
        <v/>
      </c>
      <c r="K284" s="82">
        <f>($E284-$B284)*100</f>
        <v/>
      </c>
      <c r="L284" s="82">
        <f>($E284-$C284)*100</f>
        <v/>
      </c>
      <c r="M284" s="82">
        <f>($E284-$D284)*100</f>
        <v/>
      </c>
      <c r="N284" s="82">
        <f>$G284-$F284</f>
        <v/>
      </c>
      <c r="O284" s="81">
        <f>IFERROR($G284/$F284,"")</f>
        <v/>
      </c>
      <c r="P284" s="81">
        <f>IFERROR($H284/$G284,"")</f>
        <v/>
      </c>
      <c r="Q284" s="82">
        <f>$H284-$F284</f>
        <v/>
      </c>
    </row>
    <row r="285">
      <c r="J285" s="82">
        <f>($D285-$B285)*100</f>
        <v/>
      </c>
      <c r="K285" s="82">
        <f>($E285-$B285)*100</f>
        <v/>
      </c>
      <c r="L285" s="82">
        <f>($E285-$C285)*100</f>
        <v/>
      </c>
      <c r="M285" s="82">
        <f>($E285-$D285)*100</f>
        <v/>
      </c>
      <c r="N285" s="82">
        <f>$G285-$F285</f>
        <v/>
      </c>
      <c r="O285" s="81">
        <f>IFERROR($G285/$F285,"")</f>
        <v/>
      </c>
      <c r="P285" s="81">
        <f>IFERROR($H285/$G285,"")</f>
        <v/>
      </c>
      <c r="Q285" s="82">
        <f>$H285-$F285</f>
        <v/>
      </c>
    </row>
    <row r="286">
      <c r="J286" s="82">
        <f>($D286-$B286)*100</f>
        <v/>
      </c>
      <c r="K286" s="82">
        <f>($E286-$B286)*100</f>
        <v/>
      </c>
      <c r="L286" s="82">
        <f>($E286-$C286)*100</f>
        <v/>
      </c>
      <c r="M286" s="82">
        <f>($E286-$D286)*100</f>
        <v/>
      </c>
      <c r="N286" s="82">
        <f>$G286-$F286</f>
        <v/>
      </c>
      <c r="O286" s="81">
        <f>IFERROR($G286/$F286,"")</f>
        <v/>
      </c>
      <c r="P286" s="81">
        <f>IFERROR($H286/$G286,"")</f>
        <v/>
      </c>
      <c r="Q286" s="82">
        <f>$H286-$F286</f>
        <v/>
      </c>
    </row>
    <row r="287">
      <c r="J287" s="82">
        <f>($D287-$B287)*100</f>
        <v/>
      </c>
      <c r="K287" s="82">
        <f>($E287-$B287)*100</f>
        <v/>
      </c>
      <c r="L287" s="82">
        <f>($E287-$C287)*100</f>
        <v/>
      </c>
      <c r="M287" s="82">
        <f>($E287-$D287)*100</f>
        <v/>
      </c>
      <c r="N287" s="82">
        <f>$G287-$F287</f>
        <v/>
      </c>
      <c r="O287" s="81">
        <f>IFERROR($G287/$F287,"")</f>
        <v/>
      </c>
      <c r="P287" s="81">
        <f>IFERROR($H287/$G287,"")</f>
        <v/>
      </c>
      <c r="Q287" s="82">
        <f>$H287-$F287</f>
        <v/>
      </c>
    </row>
    <row r="288">
      <c r="J288" s="82">
        <f>($D288-$B288)*100</f>
        <v/>
      </c>
      <c r="K288" s="82">
        <f>($E288-$B288)*100</f>
        <v/>
      </c>
      <c r="L288" s="82">
        <f>($E288-$C288)*100</f>
        <v/>
      </c>
      <c r="M288" s="82">
        <f>($E288-$D288)*100</f>
        <v/>
      </c>
      <c r="N288" s="82">
        <f>$G288-$F288</f>
        <v/>
      </c>
      <c r="O288" s="81">
        <f>IFERROR($G288/$F288,"")</f>
        <v/>
      </c>
      <c r="P288" s="81">
        <f>IFERROR($H288/$G288,"")</f>
        <v/>
      </c>
      <c r="Q288" s="82">
        <f>$H288-$F288</f>
        <v/>
      </c>
    </row>
    <row r="289">
      <c r="J289" s="82">
        <f>($D289-$B289)*100</f>
        <v/>
      </c>
      <c r="K289" s="82">
        <f>($E289-$B289)*100</f>
        <v/>
      </c>
      <c r="L289" s="82">
        <f>($E289-$C289)*100</f>
        <v/>
      </c>
      <c r="M289" s="82">
        <f>($E289-$D289)*100</f>
        <v/>
      </c>
      <c r="N289" s="82">
        <f>$G289-$F289</f>
        <v/>
      </c>
      <c r="O289" s="81">
        <f>IFERROR($G289/$F289,"")</f>
        <v/>
      </c>
      <c r="P289" s="81">
        <f>IFERROR($H289/$G289,"")</f>
        <v/>
      </c>
      <c r="Q289" s="82">
        <f>$H289-$F289</f>
        <v/>
      </c>
    </row>
    <row r="290">
      <c r="J290" s="82">
        <f>($D290-$B290)*100</f>
        <v/>
      </c>
      <c r="K290" s="82">
        <f>($E290-$B290)*100</f>
        <v/>
      </c>
      <c r="L290" s="82">
        <f>($E290-$C290)*100</f>
        <v/>
      </c>
      <c r="M290" s="82">
        <f>($E290-$D290)*100</f>
        <v/>
      </c>
      <c r="N290" s="82">
        <f>$G290-$F290</f>
        <v/>
      </c>
      <c r="O290" s="81">
        <f>IFERROR($G290/$F290,"")</f>
        <v/>
      </c>
      <c r="P290" s="81">
        <f>IFERROR($H290/$G290,"")</f>
        <v/>
      </c>
      <c r="Q290" s="82">
        <f>$H290-$F290</f>
        <v/>
      </c>
    </row>
    <row r="291">
      <c r="J291" s="82">
        <f>($D291-$B291)*100</f>
        <v/>
      </c>
      <c r="K291" s="82">
        <f>($E291-$B291)*100</f>
        <v/>
      </c>
      <c r="L291" s="82">
        <f>($E291-$C291)*100</f>
        <v/>
      </c>
      <c r="M291" s="82">
        <f>($E291-$D291)*100</f>
        <v/>
      </c>
      <c r="N291" s="82">
        <f>$G291-$F291</f>
        <v/>
      </c>
      <c r="O291" s="81">
        <f>IFERROR($G291/$F291,"")</f>
        <v/>
      </c>
      <c r="P291" s="81">
        <f>IFERROR($H291/$G291,"")</f>
        <v/>
      </c>
      <c r="Q291" s="82">
        <f>$H291-$F291</f>
        <v/>
      </c>
    </row>
    <row r="292">
      <c r="J292" s="82">
        <f>($D292-$B292)*100</f>
        <v/>
      </c>
      <c r="K292" s="82">
        <f>($E292-$B292)*100</f>
        <v/>
      </c>
      <c r="L292" s="82">
        <f>($E292-$C292)*100</f>
        <v/>
      </c>
      <c r="M292" s="82">
        <f>($E292-$D292)*100</f>
        <v/>
      </c>
      <c r="N292" s="82">
        <f>$G292-$F292</f>
        <v/>
      </c>
      <c r="O292" s="81">
        <f>IFERROR($G292/$F292,"")</f>
        <v/>
      </c>
      <c r="P292" s="81">
        <f>IFERROR($H292/$G292,"")</f>
        <v/>
      </c>
      <c r="Q292" s="82">
        <f>$H292-$F292</f>
        <v/>
      </c>
    </row>
    <row r="293">
      <c r="J293" s="82">
        <f>($D293-$B293)*100</f>
        <v/>
      </c>
      <c r="K293" s="82">
        <f>($E293-$B293)*100</f>
        <v/>
      </c>
      <c r="L293" s="82">
        <f>($E293-$C293)*100</f>
        <v/>
      </c>
      <c r="M293" s="82">
        <f>($E293-$D293)*100</f>
        <v/>
      </c>
      <c r="N293" s="82">
        <f>$G293-$F293</f>
        <v/>
      </c>
      <c r="O293" s="81">
        <f>IFERROR($G293/$F293,"")</f>
        <v/>
      </c>
      <c r="P293" s="81">
        <f>IFERROR($H293/$G293,"")</f>
        <v/>
      </c>
      <c r="Q293" s="82">
        <f>$H293-$F293</f>
        <v/>
      </c>
    </row>
    <row r="294">
      <c r="J294" s="82">
        <f>($D294-$B294)*100</f>
        <v/>
      </c>
      <c r="K294" s="82">
        <f>($E294-$B294)*100</f>
        <v/>
      </c>
      <c r="L294" s="82">
        <f>($E294-$C294)*100</f>
        <v/>
      </c>
      <c r="M294" s="82">
        <f>($E294-$D294)*100</f>
        <v/>
      </c>
      <c r="N294" s="82">
        <f>$G294-$F294</f>
        <v/>
      </c>
      <c r="O294" s="81">
        <f>IFERROR($G294/$F294,"")</f>
        <v/>
      </c>
      <c r="P294" s="81">
        <f>IFERROR($H294/$G294,"")</f>
        <v/>
      </c>
      <c r="Q294" s="82">
        <f>$H294-$F294</f>
        <v/>
      </c>
    </row>
    <row r="295">
      <c r="J295" s="82">
        <f>($D295-$B295)*100</f>
        <v/>
      </c>
      <c r="K295" s="82">
        <f>($E295-$B295)*100</f>
        <v/>
      </c>
      <c r="L295" s="82">
        <f>($E295-$C295)*100</f>
        <v/>
      </c>
      <c r="M295" s="82">
        <f>($E295-$D295)*100</f>
        <v/>
      </c>
      <c r="N295" s="82">
        <f>$G295-$F295</f>
        <v/>
      </c>
      <c r="O295" s="81">
        <f>IFERROR($G295/$F295,"")</f>
        <v/>
      </c>
      <c r="P295" s="81">
        <f>IFERROR($H295/$G295,"")</f>
        <v/>
      </c>
      <c r="Q295" s="82">
        <f>$H295-$F295</f>
        <v/>
      </c>
    </row>
    <row r="296">
      <c r="J296" s="82">
        <f>($D296-$B296)*100</f>
        <v/>
      </c>
      <c r="K296" s="82">
        <f>($E296-$B296)*100</f>
        <v/>
      </c>
      <c r="L296" s="82">
        <f>($E296-$C296)*100</f>
        <v/>
      </c>
      <c r="M296" s="82">
        <f>($E296-$D296)*100</f>
        <v/>
      </c>
      <c r="N296" s="82">
        <f>$G296-$F296</f>
        <v/>
      </c>
      <c r="O296" s="81">
        <f>IFERROR($G296/$F296,"")</f>
        <v/>
      </c>
      <c r="P296" s="81">
        <f>IFERROR($H296/$G296,"")</f>
        <v/>
      </c>
      <c r="Q296" s="82">
        <f>$H296-$F296</f>
        <v/>
      </c>
    </row>
    <row r="297">
      <c r="J297" s="82">
        <f>($D297-$B297)*100</f>
        <v/>
      </c>
      <c r="K297" s="82">
        <f>($E297-$B297)*100</f>
        <v/>
      </c>
      <c r="L297" s="82">
        <f>($E297-$C297)*100</f>
        <v/>
      </c>
      <c r="M297" s="82">
        <f>($E297-$D297)*100</f>
        <v/>
      </c>
      <c r="N297" s="82">
        <f>$G297-$F297</f>
        <v/>
      </c>
      <c r="O297" s="81">
        <f>IFERROR($G297/$F297,"")</f>
        <v/>
      </c>
      <c r="P297" s="81">
        <f>IFERROR($H297/$G297,"")</f>
        <v/>
      </c>
      <c r="Q297" s="82">
        <f>$H297-$F297</f>
        <v/>
      </c>
    </row>
    <row r="298">
      <c r="J298" s="82">
        <f>($D298-$B298)*100</f>
        <v/>
      </c>
      <c r="K298" s="82">
        <f>($E298-$B298)*100</f>
        <v/>
      </c>
      <c r="L298" s="82">
        <f>($E298-$C298)*100</f>
        <v/>
      </c>
      <c r="M298" s="82">
        <f>($E298-$D298)*100</f>
        <v/>
      </c>
      <c r="N298" s="82">
        <f>$G298-$F298</f>
        <v/>
      </c>
      <c r="O298" s="81">
        <f>IFERROR($G298/$F298,"")</f>
        <v/>
      </c>
      <c r="P298" s="81">
        <f>IFERROR($H298/$G298,"")</f>
        <v/>
      </c>
      <c r="Q298" s="82">
        <f>$H298-$F298</f>
        <v/>
      </c>
    </row>
    <row r="299">
      <c r="J299" s="82">
        <f>($D299-$B299)*100</f>
        <v/>
      </c>
      <c r="K299" s="82">
        <f>($E299-$B299)*100</f>
        <v/>
      </c>
      <c r="L299" s="82">
        <f>($E299-$C299)*100</f>
        <v/>
      </c>
      <c r="M299" s="82">
        <f>($E299-$D299)*100</f>
        <v/>
      </c>
      <c r="N299" s="82">
        <f>$G299-$F299</f>
        <v/>
      </c>
      <c r="O299" s="81">
        <f>IFERROR($G299/$F299,"")</f>
        <v/>
      </c>
      <c r="P299" s="81">
        <f>IFERROR($H299/$G299,"")</f>
        <v/>
      </c>
      <c r="Q299" s="82">
        <f>$H299-$F299</f>
        <v/>
      </c>
    </row>
    <row r="300">
      <c r="J300" s="82">
        <f>($D300-$B300)*100</f>
        <v/>
      </c>
      <c r="K300" s="82">
        <f>($E300-$B300)*100</f>
        <v/>
      </c>
      <c r="L300" s="82">
        <f>($E300-$C300)*100</f>
        <v/>
      </c>
      <c r="M300" s="82">
        <f>($E300-$D300)*100</f>
        <v/>
      </c>
      <c r="N300" s="82">
        <f>$G300-$F300</f>
        <v/>
      </c>
      <c r="O300" s="81">
        <f>IFERROR($G300/$F300,"")</f>
        <v/>
      </c>
      <c r="P300" s="81">
        <f>IFERROR($H300/$G300,"")</f>
        <v/>
      </c>
      <c r="Q300" s="82">
        <f>$H300-$F300</f>
        <v/>
      </c>
    </row>
    <row r="301">
      <c r="J301" s="82">
        <f>($D301-$B301)*100</f>
        <v/>
      </c>
      <c r="K301" s="82">
        <f>($E301-$B301)*100</f>
        <v/>
      </c>
      <c r="L301" s="82">
        <f>($E301-$C301)*100</f>
        <v/>
      </c>
      <c r="M301" s="82">
        <f>($E301-$D301)*100</f>
        <v/>
      </c>
      <c r="N301" s="82">
        <f>$G301-$F301</f>
        <v/>
      </c>
      <c r="O301" s="81">
        <f>IFERROR($G301/$F301,"")</f>
        <v/>
      </c>
      <c r="P301" s="81">
        <f>IFERROR($H301/$G301,"")</f>
        <v/>
      </c>
      <c r="Q301" s="82">
        <f>$H301-$F301</f>
        <v/>
      </c>
    </row>
    <row r="302">
      <c r="J302" s="82">
        <f>($D302-$B302)*100</f>
        <v/>
      </c>
      <c r="K302" s="82">
        <f>($E302-$B302)*100</f>
        <v/>
      </c>
      <c r="L302" s="82">
        <f>($E302-$C302)*100</f>
        <v/>
      </c>
      <c r="M302" s="82">
        <f>($E302-$D302)*100</f>
        <v/>
      </c>
      <c r="N302" s="82">
        <f>$G302-$F302</f>
        <v/>
      </c>
      <c r="O302" s="81">
        <f>IFERROR($G302/$F302,"")</f>
        <v/>
      </c>
      <c r="P302" s="81">
        <f>IFERROR($H302/$G302,"")</f>
        <v/>
      </c>
      <c r="Q302" s="82">
        <f>$H302-$F302</f>
        <v/>
      </c>
    </row>
    <row r="303">
      <c r="J303" s="82">
        <f>($D303-$B303)*100</f>
        <v/>
      </c>
      <c r="K303" s="82">
        <f>($E303-$B303)*100</f>
        <v/>
      </c>
      <c r="L303" s="82">
        <f>($E303-$C303)*100</f>
        <v/>
      </c>
      <c r="M303" s="82">
        <f>($E303-$D303)*100</f>
        <v/>
      </c>
      <c r="N303" s="82">
        <f>$G303-$F303</f>
        <v/>
      </c>
      <c r="O303" s="81">
        <f>IFERROR($G303/$F303,"")</f>
        <v/>
      </c>
      <c r="P303" s="81">
        <f>IFERROR($H303/$G303,"")</f>
        <v/>
      </c>
      <c r="Q303" s="82">
        <f>$H303-$F303</f>
        <v/>
      </c>
    </row>
    <row r="304">
      <c r="J304" s="82">
        <f>($D304-$B304)*100</f>
        <v/>
      </c>
      <c r="K304" s="82">
        <f>($E304-$B304)*100</f>
        <v/>
      </c>
      <c r="L304" s="82">
        <f>($E304-$C304)*100</f>
        <v/>
      </c>
      <c r="M304" s="82">
        <f>($E304-$D304)*100</f>
        <v/>
      </c>
      <c r="N304" s="82">
        <f>$G304-$F304</f>
        <v/>
      </c>
      <c r="O304" s="81">
        <f>IFERROR($G304/$F304,"")</f>
        <v/>
      </c>
      <c r="P304" s="81">
        <f>IFERROR($H304/$G304,"")</f>
        <v/>
      </c>
      <c r="Q304" s="82">
        <f>$H304-$F304</f>
        <v/>
      </c>
    </row>
    <row r="305">
      <c r="J305" s="82">
        <f>($D305-$B305)*100</f>
        <v/>
      </c>
      <c r="K305" s="82">
        <f>($E305-$B305)*100</f>
        <v/>
      </c>
      <c r="L305" s="82">
        <f>($E305-$C305)*100</f>
        <v/>
      </c>
      <c r="M305" s="82">
        <f>($E305-$D305)*100</f>
        <v/>
      </c>
      <c r="N305" s="82">
        <f>$G305-$F305</f>
        <v/>
      </c>
      <c r="O305" s="81">
        <f>IFERROR($G305/$F305,"")</f>
        <v/>
      </c>
      <c r="P305" s="81">
        <f>IFERROR($H305/$G305,"")</f>
        <v/>
      </c>
      <c r="Q305" s="82">
        <f>$H305-$F305</f>
        <v/>
      </c>
    </row>
    <row r="306">
      <c r="J306" s="82">
        <f>($D306-$B306)*100</f>
        <v/>
      </c>
      <c r="K306" s="82">
        <f>($E306-$B306)*100</f>
        <v/>
      </c>
      <c r="L306" s="82">
        <f>($E306-$C306)*100</f>
        <v/>
      </c>
      <c r="M306" s="82">
        <f>($E306-$D306)*100</f>
        <v/>
      </c>
      <c r="N306" s="82">
        <f>$G306-$F306</f>
        <v/>
      </c>
      <c r="O306" s="81">
        <f>IFERROR($G306/$F306,"")</f>
        <v/>
      </c>
      <c r="P306" s="81">
        <f>IFERROR($H306/$G306,"")</f>
        <v/>
      </c>
      <c r="Q306" s="82">
        <f>$H306-$F306</f>
        <v/>
      </c>
    </row>
    <row r="307">
      <c r="J307" s="82">
        <f>($D307-$B307)*100</f>
        <v/>
      </c>
      <c r="K307" s="82">
        <f>($E307-$B307)*100</f>
        <v/>
      </c>
      <c r="L307" s="82">
        <f>($E307-$C307)*100</f>
        <v/>
      </c>
      <c r="M307" s="82">
        <f>($E307-$D307)*100</f>
        <v/>
      </c>
      <c r="N307" s="82">
        <f>$G307-$F307</f>
        <v/>
      </c>
      <c r="O307" s="81">
        <f>IFERROR($G307/$F307,"")</f>
        <v/>
      </c>
      <c r="P307" s="81">
        <f>IFERROR($H307/$G307,"")</f>
        <v/>
      </c>
      <c r="Q307" s="82">
        <f>$H307-$F307</f>
        <v/>
      </c>
    </row>
    <row r="308">
      <c r="J308" s="82">
        <f>($D308-$B308)*100</f>
        <v/>
      </c>
      <c r="K308" s="82">
        <f>($E308-$B308)*100</f>
        <v/>
      </c>
      <c r="L308" s="82">
        <f>($E308-$C308)*100</f>
        <v/>
      </c>
      <c r="M308" s="82">
        <f>($E308-$D308)*100</f>
        <v/>
      </c>
      <c r="N308" s="82">
        <f>$G308-$F308</f>
        <v/>
      </c>
      <c r="O308" s="81">
        <f>IFERROR($G308/$F308,"")</f>
        <v/>
      </c>
      <c r="P308" s="81">
        <f>IFERROR($H308/$G308,"")</f>
        <v/>
      </c>
      <c r="Q308" s="82">
        <f>$H308-$F308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2026-09-14T12:20:44Z</dcterms:created>
  <dcterms:modified xmlns:dcterms="http://purl.org/dc/terms/" xmlns:xsi="http://www.w3.org/2001/XMLSchema-instance" xsi:type="dcterms:W3CDTF">2026-09-14T12:20:49Z</dcterms:modified>
</cp:coreProperties>
</file>