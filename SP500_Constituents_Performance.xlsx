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est &amp; Worst YTD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'Data'!$A$5:$H$511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%;[Red](0.00%);-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</font>
    <font>
      <name val="Arial"/>
      <color rgb="000000FF"/>
    </font>
    <font>
      <name val="Arial"/>
      <i val="1"/>
      <color rgb="00555555"/>
    </font>
    <font>
      <name val="Arial"/>
      <b val="1"/>
      <color rgb="00C00000"/>
    </font>
    <font>
      <name val="Arial"/>
      <b val="1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00723F"/>
      </patternFill>
    </fill>
    <fill>
      <patternFill patternType="solid">
        <fgColor rgb="00E2EFDA"/>
      </patternFill>
    </fill>
    <fill>
      <patternFill patternType="solid">
        <fgColor rgb="009C000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4" borderId="0" pivotButton="0" quotePrefix="0" xfId="0"/>
    <xf numFmtId="164" fontId="0" fillId="0" borderId="0" pivotButton="0" quotePrefix="0" xfId="0"/>
    <xf numFmtId="0" fontId="6" fillId="3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164" fontId="3" fillId="3" borderId="0" pivotButton="0" quotePrefix="0" xfId="0"/>
    <xf numFmtId="0" fontId="7" fillId="5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/>
    </xf>
    <xf numFmtId="0" fontId="0" fillId="6" borderId="0" pivotButton="0" quotePrefix="0" xfId="0"/>
    <xf numFmtId="4" fontId="0" fillId="6" borderId="0" pivotButton="0" quotePrefix="0" xfId="0"/>
    <xf numFmtId="165" fontId="0" fillId="6" borderId="0" pivotButton="0" quotePrefix="0" xfId="0"/>
    <xf numFmtId="0" fontId="7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/>
    </xf>
    <xf numFmtId="0" fontId="0" fillId="8" borderId="0" pivotButton="0" quotePrefix="0" xfId="0"/>
    <xf numFmtId="4" fontId="0" fillId="8" borderId="0" pivotButton="0" quotePrefix="0" xfId="0"/>
    <xf numFmtId="165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  <col width="12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S&amp;P 500 Constituents — Total Return Performance</t>
        </is>
      </c>
    </row>
    <row r="3">
      <c r="A3" s="2" t="inlineStr">
        <is>
          <t>Refresh</t>
        </is>
      </c>
      <c r="B3" s="3">
        <f>Settings!B4</f>
        <v/>
      </c>
      <c r="D3" s="4" t="inlineStr">
        <is>
          <t>Custom date</t>
        </is>
      </c>
      <c r="E3" s="3">
        <f>Settings!B8</f>
        <v/>
      </c>
      <c r="G3" s="5" t="inlineStr">
        <is>
          <t># Tickers loaded</t>
        </is>
      </c>
      <c r="H3" t="n">
        <v>506</v>
      </c>
    </row>
    <row r="5" ht="30" customHeight="1">
      <c r="A5" s="6" t="inlineStr">
        <is>
          <t>Bloomberg Ticker</t>
        </is>
      </c>
      <c r="B5" s="6" t="inlineStr">
        <is>
          <t>Name</t>
        </is>
      </c>
      <c r="C5" s="6" t="inlineStr">
        <is>
          <t>GICS Sector</t>
        </is>
      </c>
      <c r="D5" s="6" t="inlineStr">
        <is>
          <t>Price</t>
        </is>
      </c>
      <c r="E5" s="6" t="inlineStr">
        <is>
          <t>TR YTD</t>
        </is>
      </c>
      <c r="F5" s="6" t="inlineStr">
        <is>
          <t>TR 1M</t>
        </is>
      </c>
      <c r="G5" s="6" t="inlineStr">
        <is>
          <t>TR 3M</t>
        </is>
      </c>
      <c r="H5" s="6" t="inlineStr">
        <is>
          <t>TR vs Custom</t>
        </is>
      </c>
    </row>
    <row r="6">
      <c r="A6" s="7" t="inlineStr">
        <is>
          <t>A US Equity</t>
        </is>
      </c>
      <c r="B6">
        <f>IFERROR(BDP(A6,"NAME"),"")</f>
        <v/>
      </c>
      <c r="C6">
        <f>IFERROR(BDP(A6,"GICS_SECTOR_NAME"),"")</f>
        <v/>
      </c>
      <c r="D6" s="8">
        <f>IFERROR(BDP(A6,"PX_LAST"),"")</f>
        <v/>
      </c>
      <c r="E6" s="9">
        <f>IFERROR(BDP(A6,"CUST_TRR_RETURN_HOLDING_PER","CUST_TRR_START_DT",Settings!$C$5,"CUST_TRR_END_DT",Settings!$C$4)/100,"")</f>
        <v/>
      </c>
      <c r="F6" s="9">
        <f>IFERROR(BDP(A6,"CUST_TRR_RETURN_HOLDING_PER","CUST_TRR_START_DT",Settings!$C$6,"CUST_TRR_END_DT",Settings!$C$4)/100,"")</f>
        <v/>
      </c>
      <c r="G6" s="9">
        <f>IFERROR(BDP(A6,"CUST_TRR_RETURN_HOLDING_PER","CUST_TRR_START_DT",Settings!$C$7,"CUST_TRR_END_DT",Settings!$C$4)/100,"")</f>
        <v/>
      </c>
      <c r="H6" s="9">
        <f>IFERROR(BDP(A6,"CUST_TRR_RETURN_HOLDING_PER","CUST_TRR_START_DT",Settings!$C$8,"CUST_TRR_END_DT",Settings!$C$4)/100,"")</f>
        <v/>
      </c>
    </row>
    <row r="7">
      <c r="A7" s="7" t="inlineStr">
        <is>
          <t>AAL US Equity</t>
        </is>
      </c>
      <c r="B7">
        <f>IFERROR(BDP(A7,"NAME"),"")</f>
        <v/>
      </c>
      <c r="C7">
        <f>IFERROR(BDP(A7,"GICS_SECTOR_NAME"),"")</f>
        <v/>
      </c>
      <c r="D7" s="8">
        <f>IFERROR(BDP(A7,"PX_LAST"),"")</f>
        <v/>
      </c>
      <c r="E7" s="9">
        <f>IFERROR(BDP(A7,"CUST_TRR_RETURN_HOLDING_PER","CUST_TRR_START_DT",Settings!$C$5,"CUST_TRR_END_DT",Settings!$C$4)/100,"")</f>
        <v/>
      </c>
      <c r="F7" s="9">
        <f>IFERROR(BDP(A7,"CUST_TRR_RETURN_HOLDING_PER","CUST_TRR_START_DT",Settings!$C$6,"CUST_TRR_END_DT",Settings!$C$4)/100,"")</f>
        <v/>
      </c>
      <c r="G7" s="9">
        <f>IFERROR(BDP(A7,"CUST_TRR_RETURN_HOLDING_PER","CUST_TRR_START_DT",Settings!$C$7,"CUST_TRR_END_DT",Settings!$C$4)/100,"")</f>
        <v/>
      </c>
      <c r="H7" s="9">
        <f>IFERROR(BDP(A7,"CUST_TRR_RETURN_HOLDING_PER","CUST_TRR_START_DT",Settings!$C$8,"CUST_TRR_END_DT",Settings!$C$4)/100,"")</f>
        <v/>
      </c>
    </row>
    <row r="8">
      <c r="A8" s="7" t="inlineStr">
        <is>
          <t>AAPL US Equity</t>
        </is>
      </c>
      <c r="B8">
        <f>IFERROR(BDP(A8,"NAME"),"")</f>
        <v/>
      </c>
      <c r="C8">
        <f>IFERROR(BDP(A8,"GICS_SECTOR_NAME"),"")</f>
        <v/>
      </c>
      <c r="D8" s="8">
        <f>IFERROR(BDP(A8,"PX_LAST"),"")</f>
        <v/>
      </c>
      <c r="E8" s="9">
        <f>IFERROR(BDP(A8,"CUST_TRR_RETURN_HOLDING_PER","CUST_TRR_START_DT",Settings!$C$5,"CUST_TRR_END_DT",Settings!$C$4)/100,"")</f>
        <v/>
      </c>
      <c r="F8" s="9">
        <f>IFERROR(BDP(A8,"CUST_TRR_RETURN_HOLDING_PER","CUST_TRR_START_DT",Settings!$C$6,"CUST_TRR_END_DT",Settings!$C$4)/100,"")</f>
        <v/>
      </c>
      <c r="G8" s="9">
        <f>IFERROR(BDP(A8,"CUST_TRR_RETURN_HOLDING_PER","CUST_TRR_START_DT",Settings!$C$7,"CUST_TRR_END_DT",Settings!$C$4)/100,"")</f>
        <v/>
      </c>
      <c r="H8" s="9">
        <f>IFERROR(BDP(A8,"CUST_TRR_RETURN_HOLDING_PER","CUST_TRR_START_DT",Settings!$C$8,"CUST_TRR_END_DT",Settings!$C$4)/100,"")</f>
        <v/>
      </c>
    </row>
    <row r="9">
      <c r="A9" s="7" t="inlineStr">
        <is>
          <t>ABBV US Equity</t>
        </is>
      </c>
      <c r="B9">
        <f>IFERROR(BDP(A9,"NAME"),"")</f>
        <v/>
      </c>
      <c r="C9">
        <f>IFERROR(BDP(A9,"GICS_SECTOR_NAME"),"")</f>
        <v/>
      </c>
      <c r="D9" s="8">
        <f>IFERROR(BDP(A9,"PX_LAST"),"")</f>
        <v/>
      </c>
      <c r="E9" s="9">
        <f>IFERROR(BDP(A9,"CUST_TRR_RETURN_HOLDING_PER","CUST_TRR_START_DT",Settings!$C$5,"CUST_TRR_END_DT",Settings!$C$4)/100,"")</f>
        <v/>
      </c>
      <c r="F9" s="9">
        <f>IFERROR(BDP(A9,"CUST_TRR_RETURN_HOLDING_PER","CUST_TRR_START_DT",Settings!$C$6,"CUST_TRR_END_DT",Settings!$C$4)/100,"")</f>
        <v/>
      </c>
      <c r="G9" s="9">
        <f>IFERROR(BDP(A9,"CUST_TRR_RETURN_HOLDING_PER","CUST_TRR_START_DT",Settings!$C$7,"CUST_TRR_END_DT",Settings!$C$4)/100,"")</f>
        <v/>
      </c>
      <c r="H9" s="9">
        <f>IFERROR(BDP(A9,"CUST_TRR_RETURN_HOLDING_PER","CUST_TRR_START_DT",Settings!$C$8,"CUST_TRR_END_DT",Settings!$C$4)/100,"")</f>
        <v/>
      </c>
    </row>
    <row r="10">
      <c r="A10" s="7" t="inlineStr">
        <is>
          <t>ABNB US Equity</t>
        </is>
      </c>
      <c r="B10">
        <f>IFERROR(BDP(A10,"NAME"),"")</f>
        <v/>
      </c>
      <c r="C10">
        <f>IFERROR(BDP(A10,"GICS_SECTOR_NAME"),"")</f>
        <v/>
      </c>
      <c r="D10" s="8">
        <f>IFERROR(BDP(A10,"PX_LAST"),"")</f>
        <v/>
      </c>
      <c r="E10" s="9">
        <f>IFERROR(BDP(A10,"CUST_TRR_RETURN_HOLDING_PER","CUST_TRR_START_DT",Settings!$C$5,"CUST_TRR_END_DT",Settings!$C$4)/100,"")</f>
        <v/>
      </c>
      <c r="F10" s="9">
        <f>IFERROR(BDP(A10,"CUST_TRR_RETURN_HOLDING_PER","CUST_TRR_START_DT",Settings!$C$6,"CUST_TRR_END_DT",Settings!$C$4)/100,"")</f>
        <v/>
      </c>
      <c r="G10" s="9">
        <f>IFERROR(BDP(A10,"CUST_TRR_RETURN_HOLDING_PER","CUST_TRR_START_DT",Settings!$C$7,"CUST_TRR_END_DT",Settings!$C$4)/100,"")</f>
        <v/>
      </c>
      <c r="H10" s="9">
        <f>IFERROR(BDP(A10,"CUST_TRR_RETURN_HOLDING_PER","CUST_TRR_START_DT",Settings!$C$8,"CUST_TRR_END_DT",Settings!$C$4)/100,"")</f>
        <v/>
      </c>
    </row>
    <row r="11">
      <c r="A11" s="7" t="inlineStr">
        <is>
          <t>ABT US Equity</t>
        </is>
      </c>
      <c r="B11">
        <f>IFERROR(BDP(A11,"NAME"),"")</f>
        <v/>
      </c>
      <c r="C11">
        <f>IFERROR(BDP(A11,"GICS_SECTOR_NAME"),"")</f>
        <v/>
      </c>
      <c r="D11" s="8">
        <f>IFERROR(BDP(A11,"PX_LAST"),"")</f>
        <v/>
      </c>
      <c r="E11" s="9">
        <f>IFERROR(BDP(A11,"CUST_TRR_RETURN_HOLDING_PER","CUST_TRR_START_DT",Settings!$C$5,"CUST_TRR_END_DT",Settings!$C$4)/100,"")</f>
        <v/>
      </c>
      <c r="F11" s="9">
        <f>IFERROR(BDP(A11,"CUST_TRR_RETURN_HOLDING_PER","CUST_TRR_START_DT",Settings!$C$6,"CUST_TRR_END_DT",Settings!$C$4)/100,"")</f>
        <v/>
      </c>
      <c r="G11" s="9">
        <f>IFERROR(BDP(A11,"CUST_TRR_RETURN_HOLDING_PER","CUST_TRR_START_DT",Settings!$C$7,"CUST_TRR_END_DT",Settings!$C$4)/100,"")</f>
        <v/>
      </c>
      <c r="H11" s="9">
        <f>IFERROR(BDP(A11,"CUST_TRR_RETURN_HOLDING_PER","CUST_TRR_START_DT",Settings!$C$8,"CUST_TRR_END_DT",Settings!$C$4)/100,"")</f>
        <v/>
      </c>
    </row>
    <row r="12">
      <c r="A12" s="7" t="inlineStr">
        <is>
          <t>ACGL US Equity</t>
        </is>
      </c>
      <c r="B12">
        <f>IFERROR(BDP(A12,"NAME"),"")</f>
        <v/>
      </c>
      <c r="C12">
        <f>IFERROR(BDP(A12,"GICS_SECTOR_NAME"),"")</f>
        <v/>
      </c>
      <c r="D12" s="8">
        <f>IFERROR(BDP(A12,"PX_LAST"),"")</f>
        <v/>
      </c>
      <c r="E12" s="9">
        <f>IFERROR(BDP(A12,"CUST_TRR_RETURN_HOLDING_PER","CUST_TRR_START_DT",Settings!$C$5,"CUST_TRR_END_DT",Settings!$C$4)/100,"")</f>
        <v/>
      </c>
      <c r="F12" s="9">
        <f>IFERROR(BDP(A12,"CUST_TRR_RETURN_HOLDING_PER","CUST_TRR_START_DT",Settings!$C$6,"CUST_TRR_END_DT",Settings!$C$4)/100,"")</f>
        <v/>
      </c>
      <c r="G12" s="9">
        <f>IFERROR(BDP(A12,"CUST_TRR_RETURN_HOLDING_PER","CUST_TRR_START_DT",Settings!$C$7,"CUST_TRR_END_DT",Settings!$C$4)/100,"")</f>
        <v/>
      </c>
      <c r="H12" s="9">
        <f>IFERROR(BDP(A12,"CUST_TRR_RETURN_HOLDING_PER","CUST_TRR_START_DT",Settings!$C$8,"CUST_TRR_END_DT",Settings!$C$4)/100,"")</f>
        <v/>
      </c>
    </row>
    <row r="13">
      <c r="A13" s="7" t="inlineStr">
        <is>
          <t>ACN US Equity</t>
        </is>
      </c>
      <c r="B13">
        <f>IFERROR(BDP(A13,"NAME"),"")</f>
        <v/>
      </c>
      <c r="C13">
        <f>IFERROR(BDP(A13,"GICS_SECTOR_NAME"),"")</f>
        <v/>
      </c>
      <c r="D13" s="8">
        <f>IFERROR(BDP(A13,"PX_LAST"),"")</f>
        <v/>
      </c>
      <c r="E13" s="9">
        <f>IFERROR(BDP(A13,"CUST_TRR_RETURN_HOLDING_PER","CUST_TRR_START_DT",Settings!$C$5,"CUST_TRR_END_DT",Settings!$C$4)/100,"")</f>
        <v/>
      </c>
      <c r="F13" s="9">
        <f>IFERROR(BDP(A13,"CUST_TRR_RETURN_HOLDING_PER","CUST_TRR_START_DT",Settings!$C$6,"CUST_TRR_END_DT",Settings!$C$4)/100,"")</f>
        <v/>
      </c>
      <c r="G13" s="9">
        <f>IFERROR(BDP(A13,"CUST_TRR_RETURN_HOLDING_PER","CUST_TRR_START_DT",Settings!$C$7,"CUST_TRR_END_DT",Settings!$C$4)/100,"")</f>
        <v/>
      </c>
      <c r="H13" s="9">
        <f>IFERROR(BDP(A13,"CUST_TRR_RETURN_HOLDING_PER","CUST_TRR_START_DT",Settings!$C$8,"CUST_TRR_END_DT",Settings!$C$4)/100,"")</f>
        <v/>
      </c>
    </row>
    <row r="14">
      <c r="A14" s="7" t="inlineStr">
        <is>
          <t>ADBE US Equity</t>
        </is>
      </c>
      <c r="B14">
        <f>IFERROR(BDP(A14,"NAME"),"")</f>
        <v/>
      </c>
      <c r="C14">
        <f>IFERROR(BDP(A14,"GICS_SECTOR_NAME"),"")</f>
        <v/>
      </c>
      <c r="D14" s="8">
        <f>IFERROR(BDP(A14,"PX_LAST"),"")</f>
        <v/>
      </c>
      <c r="E14" s="9">
        <f>IFERROR(BDP(A14,"CUST_TRR_RETURN_HOLDING_PER","CUST_TRR_START_DT",Settings!$C$5,"CUST_TRR_END_DT",Settings!$C$4)/100,"")</f>
        <v/>
      </c>
      <c r="F14" s="9">
        <f>IFERROR(BDP(A14,"CUST_TRR_RETURN_HOLDING_PER","CUST_TRR_START_DT",Settings!$C$6,"CUST_TRR_END_DT",Settings!$C$4)/100,"")</f>
        <v/>
      </c>
      <c r="G14" s="9">
        <f>IFERROR(BDP(A14,"CUST_TRR_RETURN_HOLDING_PER","CUST_TRR_START_DT",Settings!$C$7,"CUST_TRR_END_DT",Settings!$C$4)/100,"")</f>
        <v/>
      </c>
      <c r="H14" s="9">
        <f>IFERROR(BDP(A14,"CUST_TRR_RETURN_HOLDING_PER","CUST_TRR_START_DT",Settings!$C$8,"CUST_TRR_END_DT",Settings!$C$4)/100,"")</f>
        <v/>
      </c>
    </row>
    <row r="15">
      <c r="A15" s="7" t="inlineStr">
        <is>
          <t>ADI US Equity</t>
        </is>
      </c>
      <c r="B15">
        <f>IFERROR(BDP(A15,"NAME"),"")</f>
        <v/>
      </c>
      <c r="C15">
        <f>IFERROR(BDP(A15,"GICS_SECTOR_NAME"),"")</f>
        <v/>
      </c>
      <c r="D15" s="8">
        <f>IFERROR(BDP(A15,"PX_LAST"),"")</f>
        <v/>
      </c>
      <c r="E15" s="9">
        <f>IFERROR(BDP(A15,"CUST_TRR_RETURN_HOLDING_PER","CUST_TRR_START_DT",Settings!$C$5,"CUST_TRR_END_DT",Settings!$C$4)/100,"")</f>
        <v/>
      </c>
      <c r="F15" s="9">
        <f>IFERROR(BDP(A15,"CUST_TRR_RETURN_HOLDING_PER","CUST_TRR_START_DT",Settings!$C$6,"CUST_TRR_END_DT",Settings!$C$4)/100,"")</f>
        <v/>
      </c>
      <c r="G15" s="9">
        <f>IFERROR(BDP(A15,"CUST_TRR_RETURN_HOLDING_PER","CUST_TRR_START_DT",Settings!$C$7,"CUST_TRR_END_DT",Settings!$C$4)/100,"")</f>
        <v/>
      </c>
      <c r="H15" s="9">
        <f>IFERROR(BDP(A15,"CUST_TRR_RETURN_HOLDING_PER","CUST_TRR_START_DT",Settings!$C$8,"CUST_TRR_END_DT",Settings!$C$4)/100,"")</f>
        <v/>
      </c>
    </row>
    <row r="16">
      <c r="A16" s="7" t="inlineStr">
        <is>
          <t>ADM US Equity</t>
        </is>
      </c>
      <c r="B16">
        <f>IFERROR(BDP(A16,"NAME"),"")</f>
        <v/>
      </c>
      <c r="C16">
        <f>IFERROR(BDP(A16,"GICS_SECTOR_NAME"),"")</f>
        <v/>
      </c>
      <c r="D16" s="8">
        <f>IFERROR(BDP(A16,"PX_LAST"),"")</f>
        <v/>
      </c>
      <c r="E16" s="9">
        <f>IFERROR(BDP(A16,"CUST_TRR_RETURN_HOLDING_PER","CUST_TRR_START_DT",Settings!$C$5,"CUST_TRR_END_DT",Settings!$C$4)/100,"")</f>
        <v/>
      </c>
      <c r="F16" s="9">
        <f>IFERROR(BDP(A16,"CUST_TRR_RETURN_HOLDING_PER","CUST_TRR_START_DT",Settings!$C$6,"CUST_TRR_END_DT",Settings!$C$4)/100,"")</f>
        <v/>
      </c>
      <c r="G16" s="9">
        <f>IFERROR(BDP(A16,"CUST_TRR_RETURN_HOLDING_PER","CUST_TRR_START_DT",Settings!$C$7,"CUST_TRR_END_DT",Settings!$C$4)/100,"")</f>
        <v/>
      </c>
      <c r="H16" s="9">
        <f>IFERROR(BDP(A16,"CUST_TRR_RETURN_HOLDING_PER","CUST_TRR_START_DT",Settings!$C$8,"CUST_TRR_END_DT",Settings!$C$4)/100,"")</f>
        <v/>
      </c>
    </row>
    <row r="17">
      <c r="A17" s="7" t="inlineStr">
        <is>
          <t>ADP US Equity</t>
        </is>
      </c>
      <c r="B17">
        <f>IFERROR(BDP(A17,"NAME"),"")</f>
        <v/>
      </c>
      <c r="C17">
        <f>IFERROR(BDP(A17,"GICS_SECTOR_NAME"),"")</f>
        <v/>
      </c>
      <c r="D17" s="8">
        <f>IFERROR(BDP(A17,"PX_LAST"),"")</f>
        <v/>
      </c>
      <c r="E17" s="9">
        <f>IFERROR(BDP(A17,"CUST_TRR_RETURN_HOLDING_PER","CUST_TRR_START_DT",Settings!$C$5,"CUST_TRR_END_DT",Settings!$C$4)/100,"")</f>
        <v/>
      </c>
      <c r="F17" s="9">
        <f>IFERROR(BDP(A17,"CUST_TRR_RETURN_HOLDING_PER","CUST_TRR_START_DT",Settings!$C$6,"CUST_TRR_END_DT",Settings!$C$4)/100,"")</f>
        <v/>
      </c>
      <c r="G17" s="9">
        <f>IFERROR(BDP(A17,"CUST_TRR_RETURN_HOLDING_PER","CUST_TRR_START_DT",Settings!$C$7,"CUST_TRR_END_DT",Settings!$C$4)/100,"")</f>
        <v/>
      </c>
      <c r="H17" s="9">
        <f>IFERROR(BDP(A17,"CUST_TRR_RETURN_HOLDING_PER","CUST_TRR_START_DT",Settings!$C$8,"CUST_TRR_END_DT",Settings!$C$4)/100,"")</f>
        <v/>
      </c>
    </row>
    <row r="18">
      <c r="A18" s="7" t="inlineStr">
        <is>
          <t>ADSK US Equity</t>
        </is>
      </c>
      <c r="B18">
        <f>IFERROR(BDP(A18,"NAME"),"")</f>
        <v/>
      </c>
      <c r="C18">
        <f>IFERROR(BDP(A18,"GICS_SECTOR_NAME"),"")</f>
        <v/>
      </c>
      <c r="D18" s="8">
        <f>IFERROR(BDP(A18,"PX_LAST"),"")</f>
        <v/>
      </c>
      <c r="E18" s="9">
        <f>IFERROR(BDP(A18,"CUST_TRR_RETURN_HOLDING_PER","CUST_TRR_START_DT",Settings!$C$5,"CUST_TRR_END_DT",Settings!$C$4)/100,"")</f>
        <v/>
      </c>
      <c r="F18" s="9">
        <f>IFERROR(BDP(A18,"CUST_TRR_RETURN_HOLDING_PER","CUST_TRR_START_DT",Settings!$C$6,"CUST_TRR_END_DT",Settings!$C$4)/100,"")</f>
        <v/>
      </c>
      <c r="G18" s="9">
        <f>IFERROR(BDP(A18,"CUST_TRR_RETURN_HOLDING_PER","CUST_TRR_START_DT",Settings!$C$7,"CUST_TRR_END_DT",Settings!$C$4)/100,"")</f>
        <v/>
      </c>
      <c r="H18" s="9">
        <f>IFERROR(BDP(A18,"CUST_TRR_RETURN_HOLDING_PER","CUST_TRR_START_DT",Settings!$C$8,"CUST_TRR_END_DT",Settings!$C$4)/100,"")</f>
        <v/>
      </c>
    </row>
    <row r="19">
      <c r="A19" s="7" t="inlineStr">
        <is>
          <t>AEE US Equity</t>
        </is>
      </c>
      <c r="B19">
        <f>IFERROR(BDP(A19,"NAME"),"")</f>
        <v/>
      </c>
      <c r="C19">
        <f>IFERROR(BDP(A19,"GICS_SECTOR_NAME"),"")</f>
        <v/>
      </c>
      <c r="D19" s="8">
        <f>IFERROR(BDP(A19,"PX_LAST"),"")</f>
        <v/>
      </c>
      <c r="E19" s="9">
        <f>IFERROR(BDP(A19,"CUST_TRR_RETURN_HOLDING_PER","CUST_TRR_START_DT",Settings!$C$5,"CUST_TRR_END_DT",Settings!$C$4)/100,"")</f>
        <v/>
      </c>
      <c r="F19" s="9">
        <f>IFERROR(BDP(A19,"CUST_TRR_RETURN_HOLDING_PER","CUST_TRR_START_DT",Settings!$C$6,"CUST_TRR_END_DT",Settings!$C$4)/100,"")</f>
        <v/>
      </c>
      <c r="G19" s="9">
        <f>IFERROR(BDP(A19,"CUST_TRR_RETURN_HOLDING_PER","CUST_TRR_START_DT",Settings!$C$7,"CUST_TRR_END_DT",Settings!$C$4)/100,"")</f>
        <v/>
      </c>
      <c r="H19" s="9">
        <f>IFERROR(BDP(A19,"CUST_TRR_RETURN_HOLDING_PER","CUST_TRR_START_DT",Settings!$C$8,"CUST_TRR_END_DT",Settings!$C$4)/100,"")</f>
        <v/>
      </c>
    </row>
    <row r="20">
      <c r="A20" s="7" t="inlineStr">
        <is>
          <t>AEP US Equity</t>
        </is>
      </c>
      <c r="B20">
        <f>IFERROR(BDP(A20,"NAME"),"")</f>
        <v/>
      </c>
      <c r="C20">
        <f>IFERROR(BDP(A20,"GICS_SECTOR_NAME"),"")</f>
        <v/>
      </c>
      <c r="D20" s="8">
        <f>IFERROR(BDP(A20,"PX_LAST"),"")</f>
        <v/>
      </c>
      <c r="E20" s="9">
        <f>IFERROR(BDP(A20,"CUST_TRR_RETURN_HOLDING_PER","CUST_TRR_START_DT",Settings!$C$5,"CUST_TRR_END_DT",Settings!$C$4)/100,"")</f>
        <v/>
      </c>
      <c r="F20" s="9">
        <f>IFERROR(BDP(A20,"CUST_TRR_RETURN_HOLDING_PER","CUST_TRR_START_DT",Settings!$C$6,"CUST_TRR_END_DT",Settings!$C$4)/100,"")</f>
        <v/>
      </c>
      <c r="G20" s="9">
        <f>IFERROR(BDP(A20,"CUST_TRR_RETURN_HOLDING_PER","CUST_TRR_START_DT",Settings!$C$7,"CUST_TRR_END_DT",Settings!$C$4)/100,"")</f>
        <v/>
      </c>
      <c r="H20" s="9">
        <f>IFERROR(BDP(A20,"CUST_TRR_RETURN_HOLDING_PER","CUST_TRR_START_DT",Settings!$C$8,"CUST_TRR_END_DT",Settings!$C$4)/100,"")</f>
        <v/>
      </c>
    </row>
    <row r="21">
      <c r="A21" s="7" t="inlineStr">
        <is>
          <t>AES US Equity</t>
        </is>
      </c>
      <c r="B21">
        <f>IFERROR(BDP(A21,"NAME"),"")</f>
        <v/>
      </c>
      <c r="C21">
        <f>IFERROR(BDP(A21,"GICS_SECTOR_NAME"),"")</f>
        <v/>
      </c>
      <c r="D21" s="8">
        <f>IFERROR(BDP(A21,"PX_LAST"),"")</f>
        <v/>
      </c>
      <c r="E21" s="9">
        <f>IFERROR(BDP(A21,"CUST_TRR_RETURN_HOLDING_PER","CUST_TRR_START_DT",Settings!$C$5,"CUST_TRR_END_DT",Settings!$C$4)/100,"")</f>
        <v/>
      </c>
      <c r="F21" s="9">
        <f>IFERROR(BDP(A21,"CUST_TRR_RETURN_HOLDING_PER","CUST_TRR_START_DT",Settings!$C$6,"CUST_TRR_END_DT",Settings!$C$4)/100,"")</f>
        <v/>
      </c>
      <c r="G21" s="9">
        <f>IFERROR(BDP(A21,"CUST_TRR_RETURN_HOLDING_PER","CUST_TRR_START_DT",Settings!$C$7,"CUST_TRR_END_DT",Settings!$C$4)/100,"")</f>
        <v/>
      </c>
      <c r="H21" s="9">
        <f>IFERROR(BDP(A21,"CUST_TRR_RETURN_HOLDING_PER","CUST_TRR_START_DT",Settings!$C$8,"CUST_TRR_END_DT",Settings!$C$4)/100,"")</f>
        <v/>
      </c>
    </row>
    <row r="22">
      <c r="A22" s="7" t="inlineStr">
        <is>
          <t>AFL US Equity</t>
        </is>
      </c>
      <c r="B22">
        <f>IFERROR(BDP(A22,"NAME"),"")</f>
        <v/>
      </c>
      <c r="C22">
        <f>IFERROR(BDP(A22,"GICS_SECTOR_NAME"),"")</f>
        <v/>
      </c>
      <c r="D22" s="8">
        <f>IFERROR(BDP(A22,"PX_LAST"),"")</f>
        <v/>
      </c>
      <c r="E22" s="9">
        <f>IFERROR(BDP(A22,"CUST_TRR_RETURN_HOLDING_PER","CUST_TRR_START_DT",Settings!$C$5,"CUST_TRR_END_DT",Settings!$C$4)/100,"")</f>
        <v/>
      </c>
      <c r="F22" s="9">
        <f>IFERROR(BDP(A22,"CUST_TRR_RETURN_HOLDING_PER","CUST_TRR_START_DT",Settings!$C$6,"CUST_TRR_END_DT",Settings!$C$4)/100,"")</f>
        <v/>
      </c>
      <c r="G22" s="9">
        <f>IFERROR(BDP(A22,"CUST_TRR_RETURN_HOLDING_PER","CUST_TRR_START_DT",Settings!$C$7,"CUST_TRR_END_DT",Settings!$C$4)/100,"")</f>
        <v/>
      </c>
      <c r="H22" s="9">
        <f>IFERROR(BDP(A22,"CUST_TRR_RETURN_HOLDING_PER","CUST_TRR_START_DT",Settings!$C$8,"CUST_TRR_END_DT",Settings!$C$4)/100,"")</f>
        <v/>
      </c>
    </row>
    <row r="23">
      <c r="A23" s="7" t="inlineStr">
        <is>
          <t>AIG US Equity</t>
        </is>
      </c>
      <c r="B23">
        <f>IFERROR(BDP(A23,"NAME"),"")</f>
        <v/>
      </c>
      <c r="C23">
        <f>IFERROR(BDP(A23,"GICS_SECTOR_NAME"),"")</f>
        <v/>
      </c>
      <c r="D23" s="8">
        <f>IFERROR(BDP(A23,"PX_LAST"),"")</f>
        <v/>
      </c>
      <c r="E23" s="9">
        <f>IFERROR(BDP(A23,"CUST_TRR_RETURN_HOLDING_PER","CUST_TRR_START_DT",Settings!$C$5,"CUST_TRR_END_DT",Settings!$C$4)/100,"")</f>
        <v/>
      </c>
      <c r="F23" s="9">
        <f>IFERROR(BDP(A23,"CUST_TRR_RETURN_HOLDING_PER","CUST_TRR_START_DT",Settings!$C$6,"CUST_TRR_END_DT",Settings!$C$4)/100,"")</f>
        <v/>
      </c>
      <c r="G23" s="9">
        <f>IFERROR(BDP(A23,"CUST_TRR_RETURN_HOLDING_PER","CUST_TRR_START_DT",Settings!$C$7,"CUST_TRR_END_DT",Settings!$C$4)/100,"")</f>
        <v/>
      </c>
      <c r="H23" s="9">
        <f>IFERROR(BDP(A23,"CUST_TRR_RETURN_HOLDING_PER","CUST_TRR_START_DT",Settings!$C$8,"CUST_TRR_END_DT",Settings!$C$4)/100,"")</f>
        <v/>
      </c>
    </row>
    <row r="24">
      <c r="A24" s="7" t="inlineStr">
        <is>
          <t>AIZ US Equity</t>
        </is>
      </c>
      <c r="B24">
        <f>IFERROR(BDP(A24,"NAME"),"")</f>
        <v/>
      </c>
      <c r="C24">
        <f>IFERROR(BDP(A24,"GICS_SECTOR_NAME"),"")</f>
        <v/>
      </c>
      <c r="D24" s="8">
        <f>IFERROR(BDP(A24,"PX_LAST"),"")</f>
        <v/>
      </c>
      <c r="E24" s="9">
        <f>IFERROR(BDP(A24,"CUST_TRR_RETURN_HOLDING_PER","CUST_TRR_START_DT",Settings!$C$5,"CUST_TRR_END_DT",Settings!$C$4)/100,"")</f>
        <v/>
      </c>
      <c r="F24" s="9">
        <f>IFERROR(BDP(A24,"CUST_TRR_RETURN_HOLDING_PER","CUST_TRR_START_DT",Settings!$C$6,"CUST_TRR_END_DT",Settings!$C$4)/100,"")</f>
        <v/>
      </c>
      <c r="G24" s="9">
        <f>IFERROR(BDP(A24,"CUST_TRR_RETURN_HOLDING_PER","CUST_TRR_START_DT",Settings!$C$7,"CUST_TRR_END_DT",Settings!$C$4)/100,"")</f>
        <v/>
      </c>
      <c r="H24" s="9">
        <f>IFERROR(BDP(A24,"CUST_TRR_RETURN_HOLDING_PER","CUST_TRR_START_DT",Settings!$C$8,"CUST_TRR_END_DT",Settings!$C$4)/100,"")</f>
        <v/>
      </c>
    </row>
    <row r="25">
      <c r="A25" s="7" t="inlineStr">
        <is>
          <t>AJG US Equity</t>
        </is>
      </c>
      <c r="B25">
        <f>IFERROR(BDP(A25,"NAME"),"")</f>
        <v/>
      </c>
      <c r="C25">
        <f>IFERROR(BDP(A25,"GICS_SECTOR_NAME"),"")</f>
        <v/>
      </c>
      <c r="D25" s="8">
        <f>IFERROR(BDP(A25,"PX_LAST"),"")</f>
        <v/>
      </c>
      <c r="E25" s="9">
        <f>IFERROR(BDP(A25,"CUST_TRR_RETURN_HOLDING_PER","CUST_TRR_START_DT",Settings!$C$5,"CUST_TRR_END_DT",Settings!$C$4)/100,"")</f>
        <v/>
      </c>
      <c r="F25" s="9">
        <f>IFERROR(BDP(A25,"CUST_TRR_RETURN_HOLDING_PER","CUST_TRR_START_DT",Settings!$C$6,"CUST_TRR_END_DT",Settings!$C$4)/100,"")</f>
        <v/>
      </c>
      <c r="G25" s="9">
        <f>IFERROR(BDP(A25,"CUST_TRR_RETURN_HOLDING_PER","CUST_TRR_START_DT",Settings!$C$7,"CUST_TRR_END_DT",Settings!$C$4)/100,"")</f>
        <v/>
      </c>
      <c r="H25" s="9">
        <f>IFERROR(BDP(A25,"CUST_TRR_RETURN_HOLDING_PER","CUST_TRR_START_DT",Settings!$C$8,"CUST_TRR_END_DT",Settings!$C$4)/100,"")</f>
        <v/>
      </c>
    </row>
    <row r="26">
      <c r="A26" s="7" t="inlineStr">
        <is>
          <t>AKAM US Equity</t>
        </is>
      </c>
      <c r="B26">
        <f>IFERROR(BDP(A26,"NAME"),"")</f>
        <v/>
      </c>
      <c r="C26">
        <f>IFERROR(BDP(A26,"GICS_SECTOR_NAME"),"")</f>
        <v/>
      </c>
      <c r="D26" s="8">
        <f>IFERROR(BDP(A26,"PX_LAST"),"")</f>
        <v/>
      </c>
      <c r="E26" s="9">
        <f>IFERROR(BDP(A26,"CUST_TRR_RETURN_HOLDING_PER","CUST_TRR_START_DT",Settings!$C$5,"CUST_TRR_END_DT",Settings!$C$4)/100,"")</f>
        <v/>
      </c>
      <c r="F26" s="9">
        <f>IFERROR(BDP(A26,"CUST_TRR_RETURN_HOLDING_PER","CUST_TRR_START_DT",Settings!$C$6,"CUST_TRR_END_DT",Settings!$C$4)/100,"")</f>
        <v/>
      </c>
      <c r="G26" s="9">
        <f>IFERROR(BDP(A26,"CUST_TRR_RETURN_HOLDING_PER","CUST_TRR_START_DT",Settings!$C$7,"CUST_TRR_END_DT",Settings!$C$4)/100,"")</f>
        <v/>
      </c>
      <c r="H26" s="9">
        <f>IFERROR(BDP(A26,"CUST_TRR_RETURN_HOLDING_PER","CUST_TRR_START_DT",Settings!$C$8,"CUST_TRR_END_DT",Settings!$C$4)/100,"")</f>
        <v/>
      </c>
    </row>
    <row r="27">
      <c r="A27" s="7" t="inlineStr">
        <is>
          <t>ALB US Equity</t>
        </is>
      </c>
      <c r="B27">
        <f>IFERROR(BDP(A27,"NAME"),"")</f>
        <v/>
      </c>
      <c r="C27">
        <f>IFERROR(BDP(A27,"GICS_SECTOR_NAME"),"")</f>
        <v/>
      </c>
      <c r="D27" s="8">
        <f>IFERROR(BDP(A27,"PX_LAST"),"")</f>
        <v/>
      </c>
      <c r="E27" s="9">
        <f>IFERROR(BDP(A27,"CUST_TRR_RETURN_HOLDING_PER","CUST_TRR_START_DT",Settings!$C$5,"CUST_TRR_END_DT",Settings!$C$4)/100,"")</f>
        <v/>
      </c>
      <c r="F27" s="9">
        <f>IFERROR(BDP(A27,"CUST_TRR_RETURN_HOLDING_PER","CUST_TRR_START_DT",Settings!$C$6,"CUST_TRR_END_DT",Settings!$C$4)/100,"")</f>
        <v/>
      </c>
      <c r="G27" s="9">
        <f>IFERROR(BDP(A27,"CUST_TRR_RETURN_HOLDING_PER","CUST_TRR_START_DT",Settings!$C$7,"CUST_TRR_END_DT",Settings!$C$4)/100,"")</f>
        <v/>
      </c>
      <c r="H27" s="9">
        <f>IFERROR(BDP(A27,"CUST_TRR_RETURN_HOLDING_PER","CUST_TRR_START_DT",Settings!$C$8,"CUST_TRR_END_DT",Settings!$C$4)/100,"")</f>
        <v/>
      </c>
    </row>
    <row r="28">
      <c r="A28" s="7" t="inlineStr">
        <is>
          <t>ALGN US Equity</t>
        </is>
      </c>
      <c r="B28">
        <f>IFERROR(BDP(A28,"NAME"),"")</f>
        <v/>
      </c>
      <c r="C28">
        <f>IFERROR(BDP(A28,"GICS_SECTOR_NAME"),"")</f>
        <v/>
      </c>
      <c r="D28" s="8">
        <f>IFERROR(BDP(A28,"PX_LAST"),"")</f>
        <v/>
      </c>
      <c r="E28" s="9">
        <f>IFERROR(BDP(A28,"CUST_TRR_RETURN_HOLDING_PER","CUST_TRR_START_DT",Settings!$C$5,"CUST_TRR_END_DT",Settings!$C$4)/100,"")</f>
        <v/>
      </c>
      <c r="F28" s="9">
        <f>IFERROR(BDP(A28,"CUST_TRR_RETURN_HOLDING_PER","CUST_TRR_START_DT",Settings!$C$6,"CUST_TRR_END_DT",Settings!$C$4)/100,"")</f>
        <v/>
      </c>
      <c r="G28" s="9">
        <f>IFERROR(BDP(A28,"CUST_TRR_RETURN_HOLDING_PER","CUST_TRR_START_DT",Settings!$C$7,"CUST_TRR_END_DT",Settings!$C$4)/100,"")</f>
        <v/>
      </c>
      <c r="H28" s="9">
        <f>IFERROR(BDP(A28,"CUST_TRR_RETURN_HOLDING_PER","CUST_TRR_START_DT",Settings!$C$8,"CUST_TRR_END_DT",Settings!$C$4)/100,"")</f>
        <v/>
      </c>
    </row>
    <row r="29">
      <c r="A29" s="7" t="inlineStr">
        <is>
          <t>ALL US Equity</t>
        </is>
      </c>
      <c r="B29">
        <f>IFERROR(BDP(A29,"NAME"),"")</f>
        <v/>
      </c>
      <c r="C29">
        <f>IFERROR(BDP(A29,"GICS_SECTOR_NAME"),"")</f>
        <v/>
      </c>
      <c r="D29" s="8">
        <f>IFERROR(BDP(A29,"PX_LAST"),"")</f>
        <v/>
      </c>
      <c r="E29" s="9">
        <f>IFERROR(BDP(A29,"CUST_TRR_RETURN_HOLDING_PER","CUST_TRR_START_DT",Settings!$C$5,"CUST_TRR_END_DT",Settings!$C$4)/100,"")</f>
        <v/>
      </c>
      <c r="F29" s="9">
        <f>IFERROR(BDP(A29,"CUST_TRR_RETURN_HOLDING_PER","CUST_TRR_START_DT",Settings!$C$6,"CUST_TRR_END_DT",Settings!$C$4)/100,"")</f>
        <v/>
      </c>
      <c r="G29" s="9">
        <f>IFERROR(BDP(A29,"CUST_TRR_RETURN_HOLDING_PER","CUST_TRR_START_DT",Settings!$C$7,"CUST_TRR_END_DT",Settings!$C$4)/100,"")</f>
        <v/>
      </c>
      <c r="H29" s="9">
        <f>IFERROR(BDP(A29,"CUST_TRR_RETURN_HOLDING_PER","CUST_TRR_START_DT",Settings!$C$8,"CUST_TRR_END_DT",Settings!$C$4)/100,"")</f>
        <v/>
      </c>
    </row>
    <row r="30">
      <c r="A30" s="7" t="inlineStr">
        <is>
          <t>ALLE US Equity</t>
        </is>
      </c>
      <c r="B30">
        <f>IFERROR(BDP(A30,"NAME"),"")</f>
        <v/>
      </c>
      <c r="C30">
        <f>IFERROR(BDP(A30,"GICS_SECTOR_NAME"),"")</f>
        <v/>
      </c>
      <c r="D30" s="8">
        <f>IFERROR(BDP(A30,"PX_LAST"),"")</f>
        <v/>
      </c>
      <c r="E30" s="9">
        <f>IFERROR(BDP(A30,"CUST_TRR_RETURN_HOLDING_PER","CUST_TRR_START_DT",Settings!$C$5,"CUST_TRR_END_DT",Settings!$C$4)/100,"")</f>
        <v/>
      </c>
      <c r="F30" s="9">
        <f>IFERROR(BDP(A30,"CUST_TRR_RETURN_HOLDING_PER","CUST_TRR_START_DT",Settings!$C$6,"CUST_TRR_END_DT",Settings!$C$4)/100,"")</f>
        <v/>
      </c>
      <c r="G30" s="9">
        <f>IFERROR(BDP(A30,"CUST_TRR_RETURN_HOLDING_PER","CUST_TRR_START_DT",Settings!$C$7,"CUST_TRR_END_DT",Settings!$C$4)/100,"")</f>
        <v/>
      </c>
      <c r="H30" s="9">
        <f>IFERROR(BDP(A30,"CUST_TRR_RETURN_HOLDING_PER","CUST_TRR_START_DT",Settings!$C$8,"CUST_TRR_END_DT",Settings!$C$4)/100,"")</f>
        <v/>
      </c>
    </row>
    <row r="31">
      <c r="A31" s="7" t="inlineStr">
        <is>
          <t>AMAT US Equity</t>
        </is>
      </c>
      <c r="B31">
        <f>IFERROR(BDP(A31,"NAME"),"")</f>
        <v/>
      </c>
      <c r="C31">
        <f>IFERROR(BDP(A31,"GICS_SECTOR_NAME"),"")</f>
        <v/>
      </c>
      <c r="D31" s="8">
        <f>IFERROR(BDP(A31,"PX_LAST"),"")</f>
        <v/>
      </c>
      <c r="E31" s="9">
        <f>IFERROR(BDP(A31,"CUST_TRR_RETURN_HOLDING_PER","CUST_TRR_START_DT",Settings!$C$5,"CUST_TRR_END_DT",Settings!$C$4)/100,"")</f>
        <v/>
      </c>
      <c r="F31" s="9">
        <f>IFERROR(BDP(A31,"CUST_TRR_RETURN_HOLDING_PER","CUST_TRR_START_DT",Settings!$C$6,"CUST_TRR_END_DT",Settings!$C$4)/100,"")</f>
        <v/>
      </c>
      <c r="G31" s="9">
        <f>IFERROR(BDP(A31,"CUST_TRR_RETURN_HOLDING_PER","CUST_TRR_START_DT",Settings!$C$7,"CUST_TRR_END_DT",Settings!$C$4)/100,"")</f>
        <v/>
      </c>
      <c r="H31" s="9">
        <f>IFERROR(BDP(A31,"CUST_TRR_RETURN_HOLDING_PER","CUST_TRR_START_DT",Settings!$C$8,"CUST_TRR_END_DT",Settings!$C$4)/100,"")</f>
        <v/>
      </c>
    </row>
    <row r="32">
      <c r="A32" s="7" t="inlineStr">
        <is>
          <t>AMCR US Equity</t>
        </is>
      </c>
      <c r="B32">
        <f>IFERROR(BDP(A32,"NAME"),"")</f>
        <v/>
      </c>
      <c r="C32">
        <f>IFERROR(BDP(A32,"GICS_SECTOR_NAME"),"")</f>
        <v/>
      </c>
      <c r="D32" s="8">
        <f>IFERROR(BDP(A32,"PX_LAST"),"")</f>
        <v/>
      </c>
      <c r="E32" s="9">
        <f>IFERROR(BDP(A32,"CUST_TRR_RETURN_HOLDING_PER","CUST_TRR_START_DT",Settings!$C$5,"CUST_TRR_END_DT",Settings!$C$4)/100,"")</f>
        <v/>
      </c>
      <c r="F32" s="9">
        <f>IFERROR(BDP(A32,"CUST_TRR_RETURN_HOLDING_PER","CUST_TRR_START_DT",Settings!$C$6,"CUST_TRR_END_DT",Settings!$C$4)/100,"")</f>
        <v/>
      </c>
      <c r="G32" s="9">
        <f>IFERROR(BDP(A32,"CUST_TRR_RETURN_HOLDING_PER","CUST_TRR_START_DT",Settings!$C$7,"CUST_TRR_END_DT",Settings!$C$4)/100,"")</f>
        <v/>
      </c>
      <c r="H32" s="9">
        <f>IFERROR(BDP(A32,"CUST_TRR_RETURN_HOLDING_PER","CUST_TRR_START_DT",Settings!$C$8,"CUST_TRR_END_DT",Settings!$C$4)/100,"")</f>
        <v/>
      </c>
    </row>
    <row r="33">
      <c r="A33" s="7" t="inlineStr">
        <is>
          <t>AMD US Equity</t>
        </is>
      </c>
      <c r="B33">
        <f>IFERROR(BDP(A33,"NAME"),"")</f>
        <v/>
      </c>
      <c r="C33">
        <f>IFERROR(BDP(A33,"GICS_SECTOR_NAME"),"")</f>
        <v/>
      </c>
      <c r="D33" s="8">
        <f>IFERROR(BDP(A33,"PX_LAST"),"")</f>
        <v/>
      </c>
      <c r="E33" s="9">
        <f>IFERROR(BDP(A33,"CUST_TRR_RETURN_HOLDING_PER","CUST_TRR_START_DT",Settings!$C$5,"CUST_TRR_END_DT",Settings!$C$4)/100,"")</f>
        <v/>
      </c>
      <c r="F33" s="9">
        <f>IFERROR(BDP(A33,"CUST_TRR_RETURN_HOLDING_PER","CUST_TRR_START_DT",Settings!$C$6,"CUST_TRR_END_DT",Settings!$C$4)/100,"")</f>
        <v/>
      </c>
      <c r="G33" s="9">
        <f>IFERROR(BDP(A33,"CUST_TRR_RETURN_HOLDING_PER","CUST_TRR_START_DT",Settings!$C$7,"CUST_TRR_END_DT",Settings!$C$4)/100,"")</f>
        <v/>
      </c>
      <c r="H33" s="9">
        <f>IFERROR(BDP(A33,"CUST_TRR_RETURN_HOLDING_PER","CUST_TRR_START_DT",Settings!$C$8,"CUST_TRR_END_DT",Settings!$C$4)/100,"")</f>
        <v/>
      </c>
    </row>
    <row r="34">
      <c r="A34" s="7" t="inlineStr">
        <is>
          <t>AME US Equity</t>
        </is>
      </c>
      <c r="B34">
        <f>IFERROR(BDP(A34,"NAME"),"")</f>
        <v/>
      </c>
      <c r="C34">
        <f>IFERROR(BDP(A34,"GICS_SECTOR_NAME"),"")</f>
        <v/>
      </c>
      <c r="D34" s="8">
        <f>IFERROR(BDP(A34,"PX_LAST"),"")</f>
        <v/>
      </c>
      <c r="E34" s="9">
        <f>IFERROR(BDP(A34,"CUST_TRR_RETURN_HOLDING_PER","CUST_TRR_START_DT",Settings!$C$5,"CUST_TRR_END_DT",Settings!$C$4)/100,"")</f>
        <v/>
      </c>
      <c r="F34" s="9">
        <f>IFERROR(BDP(A34,"CUST_TRR_RETURN_HOLDING_PER","CUST_TRR_START_DT",Settings!$C$6,"CUST_TRR_END_DT",Settings!$C$4)/100,"")</f>
        <v/>
      </c>
      <c r="G34" s="9">
        <f>IFERROR(BDP(A34,"CUST_TRR_RETURN_HOLDING_PER","CUST_TRR_START_DT",Settings!$C$7,"CUST_TRR_END_DT",Settings!$C$4)/100,"")</f>
        <v/>
      </c>
      <c r="H34" s="9">
        <f>IFERROR(BDP(A34,"CUST_TRR_RETURN_HOLDING_PER","CUST_TRR_START_DT",Settings!$C$8,"CUST_TRR_END_DT",Settings!$C$4)/100,"")</f>
        <v/>
      </c>
    </row>
    <row r="35">
      <c r="A35" s="7" t="inlineStr">
        <is>
          <t>AMGN US Equity</t>
        </is>
      </c>
      <c r="B35">
        <f>IFERROR(BDP(A35,"NAME"),"")</f>
        <v/>
      </c>
      <c r="C35">
        <f>IFERROR(BDP(A35,"GICS_SECTOR_NAME"),"")</f>
        <v/>
      </c>
      <c r="D35" s="8">
        <f>IFERROR(BDP(A35,"PX_LAST"),"")</f>
        <v/>
      </c>
      <c r="E35" s="9">
        <f>IFERROR(BDP(A35,"CUST_TRR_RETURN_HOLDING_PER","CUST_TRR_START_DT",Settings!$C$5,"CUST_TRR_END_DT",Settings!$C$4)/100,"")</f>
        <v/>
      </c>
      <c r="F35" s="9">
        <f>IFERROR(BDP(A35,"CUST_TRR_RETURN_HOLDING_PER","CUST_TRR_START_DT",Settings!$C$6,"CUST_TRR_END_DT",Settings!$C$4)/100,"")</f>
        <v/>
      </c>
      <c r="G35" s="9">
        <f>IFERROR(BDP(A35,"CUST_TRR_RETURN_HOLDING_PER","CUST_TRR_START_DT",Settings!$C$7,"CUST_TRR_END_DT",Settings!$C$4)/100,"")</f>
        <v/>
      </c>
      <c r="H35" s="9">
        <f>IFERROR(BDP(A35,"CUST_TRR_RETURN_HOLDING_PER","CUST_TRR_START_DT",Settings!$C$8,"CUST_TRR_END_DT",Settings!$C$4)/100,"")</f>
        <v/>
      </c>
    </row>
    <row r="36">
      <c r="A36" s="7" t="inlineStr">
        <is>
          <t>AMP US Equity</t>
        </is>
      </c>
      <c r="B36">
        <f>IFERROR(BDP(A36,"NAME"),"")</f>
        <v/>
      </c>
      <c r="C36">
        <f>IFERROR(BDP(A36,"GICS_SECTOR_NAME"),"")</f>
        <v/>
      </c>
      <c r="D36" s="8">
        <f>IFERROR(BDP(A36,"PX_LAST"),"")</f>
        <v/>
      </c>
      <c r="E36" s="9">
        <f>IFERROR(BDP(A36,"CUST_TRR_RETURN_HOLDING_PER","CUST_TRR_START_DT",Settings!$C$5,"CUST_TRR_END_DT",Settings!$C$4)/100,"")</f>
        <v/>
      </c>
      <c r="F36" s="9">
        <f>IFERROR(BDP(A36,"CUST_TRR_RETURN_HOLDING_PER","CUST_TRR_START_DT",Settings!$C$6,"CUST_TRR_END_DT",Settings!$C$4)/100,"")</f>
        <v/>
      </c>
      <c r="G36" s="9">
        <f>IFERROR(BDP(A36,"CUST_TRR_RETURN_HOLDING_PER","CUST_TRR_START_DT",Settings!$C$7,"CUST_TRR_END_DT",Settings!$C$4)/100,"")</f>
        <v/>
      </c>
      <c r="H36" s="9">
        <f>IFERROR(BDP(A36,"CUST_TRR_RETURN_HOLDING_PER","CUST_TRR_START_DT",Settings!$C$8,"CUST_TRR_END_DT",Settings!$C$4)/100,"")</f>
        <v/>
      </c>
    </row>
    <row r="37">
      <c r="A37" s="7" t="inlineStr">
        <is>
          <t>AMT US Equity</t>
        </is>
      </c>
      <c r="B37">
        <f>IFERROR(BDP(A37,"NAME"),"")</f>
        <v/>
      </c>
      <c r="C37">
        <f>IFERROR(BDP(A37,"GICS_SECTOR_NAME"),"")</f>
        <v/>
      </c>
      <c r="D37" s="8">
        <f>IFERROR(BDP(A37,"PX_LAST"),"")</f>
        <v/>
      </c>
      <c r="E37" s="9">
        <f>IFERROR(BDP(A37,"CUST_TRR_RETURN_HOLDING_PER","CUST_TRR_START_DT",Settings!$C$5,"CUST_TRR_END_DT",Settings!$C$4)/100,"")</f>
        <v/>
      </c>
      <c r="F37" s="9">
        <f>IFERROR(BDP(A37,"CUST_TRR_RETURN_HOLDING_PER","CUST_TRR_START_DT",Settings!$C$6,"CUST_TRR_END_DT",Settings!$C$4)/100,"")</f>
        <v/>
      </c>
      <c r="G37" s="9">
        <f>IFERROR(BDP(A37,"CUST_TRR_RETURN_HOLDING_PER","CUST_TRR_START_DT",Settings!$C$7,"CUST_TRR_END_DT",Settings!$C$4)/100,"")</f>
        <v/>
      </c>
      <c r="H37" s="9">
        <f>IFERROR(BDP(A37,"CUST_TRR_RETURN_HOLDING_PER","CUST_TRR_START_DT",Settings!$C$8,"CUST_TRR_END_DT",Settings!$C$4)/100,"")</f>
        <v/>
      </c>
    </row>
    <row r="38">
      <c r="A38" s="7" t="inlineStr">
        <is>
          <t>AMZN US Equity</t>
        </is>
      </c>
      <c r="B38">
        <f>IFERROR(BDP(A38,"NAME"),"")</f>
        <v/>
      </c>
      <c r="C38">
        <f>IFERROR(BDP(A38,"GICS_SECTOR_NAME"),"")</f>
        <v/>
      </c>
      <c r="D38" s="8">
        <f>IFERROR(BDP(A38,"PX_LAST"),"")</f>
        <v/>
      </c>
      <c r="E38" s="9">
        <f>IFERROR(BDP(A38,"CUST_TRR_RETURN_HOLDING_PER","CUST_TRR_START_DT",Settings!$C$5,"CUST_TRR_END_DT",Settings!$C$4)/100,"")</f>
        <v/>
      </c>
      <c r="F38" s="9">
        <f>IFERROR(BDP(A38,"CUST_TRR_RETURN_HOLDING_PER","CUST_TRR_START_DT",Settings!$C$6,"CUST_TRR_END_DT",Settings!$C$4)/100,"")</f>
        <v/>
      </c>
      <c r="G38" s="9">
        <f>IFERROR(BDP(A38,"CUST_TRR_RETURN_HOLDING_PER","CUST_TRR_START_DT",Settings!$C$7,"CUST_TRR_END_DT",Settings!$C$4)/100,"")</f>
        <v/>
      </c>
      <c r="H38" s="9">
        <f>IFERROR(BDP(A38,"CUST_TRR_RETURN_HOLDING_PER","CUST_TRR_START_DT",Settings!$C$8,"CUST_TRR_END_DT",Settings!$C$4)/100,"")</f>
        <v/>
      </c>
    </row>
    <row r="39">
      <c r="A39" s="7" t="inlineStr">
        <is>
          <t>ANET US Equity</t>
        </is>
      </c>
      <c r="B39">
        <f>IFERROR(BDP(A39,"NAME"),"")</f>
        <v/>
      </c>
      <c r="C39">
        <f>IFERROR(BDP(A39,"GICS_SECTOR_NAME"),"")</f>
        <v/>
      </c>
      <c r="D39" s="8">
        <f>IFERROR(BDP(A39,"PX_LAST"),"")</f>
        <v/>
      </c>
      <c r="E39" s="9">
        <f>IFERROR(BDP(A39,"CUST_TRR_RETURN_HOLDING_PER","CUST_TRR_START_DT",Settings!$C$5,"CUST_TRR_END_DT",Settings!$C$4)/100,"")</f>
        <v/>
      </c>
      <c r="F39" s="9">
        <f>IFERROR(BDP(A39,"CUST_TRR_RETURN_HOLDING_PER","CUST_TRR_START_DT",Settings!$C$6,"CUST_TRR_END_DT",Settings!$C$4)/100,"")</f>
        <v/>
      </c>
      <c r="G39" s="9">
        <f>IFERROR(BDP(A39,"CUST_TRR_RETURN_HOLDING_PER","CUST_TRR_START_DT",Settings!$C$7,"CUST_TRR_END_DT",Settings!$C$4)/100,"")</f>
        <v/>
      </c>
      <c r="H39" s="9">
        <f>IFERROR(BDP(A39,"CUST_TRR_RETURN_HOLDING_PER","CUST_TRR_START_DT",Settings!$C$8,"CUST_TRR_END_DT",Settings!$C$4)/100,"")</f>
        <v/>
      </c>
    </row>
    <row r="40">
      <c r="A40" s="7" t="inlineStr">
        <is>
          <t>ANSS US Equity</t>
        </is>
      </c>
      <c r="B40">
        <f>IFERROR(BDP(A40,"NAME"),"")</f>
        <v/>
      </c>
      <c r="C40">
        <f>IFERROR(BDP(A40,"GICS_SECTOR_NAME"),"")</f>
        <v/>
      </c>
      <c r="D40" s="8">
        <f>IFERROR(BDP(A40,"PX_LAST"),"")</f>
        <v/>
      </c>
      <c r="E40" s="9">
        <f>IFERROR(BDP(A40,"CUST_TRR_RETURN_HOLDING_PER","CUST_TRR_START_DT",Settings!$C$5,"CUST_TRR_END_DT",Settings!$C$4)/100,"")</f>
        <v/>
      </c>
      <c r="F40" s="9">
        <f>IFERROR(BDP(A40,"CUST_TRR_RETURN_HOLDING_PER","CUST_TRR_START_DT",Settings!$C$6,"CUST_TRR_END_DT",Settings!$C$4)/100,"")</f>
        <v/>
      </c>
      <c r="G40" s="9">
        <f>IFERROR(BDP(A40,"CUST_TRR_RETURN_HOLDING_PER","CUST_TRR_START_DT",Settings!$C$7,"CUST_TRR_END_DT",Settings!$C$4)/100,"")</f>
        <v/>
      </c>
      <c r="H40" s="9">
        <f>IFERROR(BDP(A40,"CUST_TRR_RETURN_HOLDING_PER","CUST_TRR_START_DT",Settings!$C$8,"CUST_TRR_END_DT",Settings!$C$4)/100,"")</f>
        <v/>
      </c>
    </row>
    <row r="41">
      <c r="A41" s="7" t="inlineStr">
        <is>
          <t>AON US Equity</t>
        </is>
      </c>
      <c r="B41">
        <f>IFERROR(BDP(A41,"NAME"),"")</f>
        <v/>
      </c>
      <c r="C41">
        <f>IFERROR(BDP(A41,"GICS_SECTOR_NAME"),"")</f>
        <v/>
      </c>
      <c r="D41" s="8">
        <f>IFERROR(BDP(A41,"PX_LAST"),"")</f>
        <v/>
      </c>
      <c r="E41" s="9">
        <f>IFERROR(BDP(A41,"CUST_TRR_RETURN_HOLDING_PER","CUST_TRR_START_DT",Settings!$C$5,"CUST_TRR_END_DT",Settings!$C$4)/100,"")</f>
        <v/>
      </c>
      <c r="F41" s="9">
        <f>IFERROR(BDP(A41,"CUST_TRR_RETURN_HOLDING_PER","CUST_TRR_START_DT",Settings!$C$6,"CUST_TRR_END_DT",Settings!$C$4)/100,"")</f>
        <v/>
      </c>
      <c r="G41" s="9">
        <f>IFERROR(BDP(A41,"CUST_TRR_RETURN_HOLDING_PER","CUST_TRR_START_DT",Settings!$C$7,"CUST_TRR_END_DT",Settings!$C$4)/100,"")</f>
        <v/>
      </c>
      <c r="H41" s="9">
        <f>IFERROR(BDP(A41,"CUST_TRR_RETURN_HOLDING_PER","CUST_TRR_START_DT",Settings!$C$8,"CUST_TRR_END_DT",Settings!$C$4)/100,"")</f>
        <v/>
      </c>
    </row>
    <row r="42">
      <c r="A42" s="7" t="inlineStr">
        <is>
          <t>AOS US Equity</t>
        </is>
      </c>
      <c r="B42">
        <f>IFERROR(BDP(A42,"NAME"),"")</f>
        <v/>
      </c>
      <c r="C42">
        <f>IFERROR(BDP(A42,"GICS_SECTOR_NAME"),"")</f>
        <v/>
      </c>
      <c r="D42" s="8">
        <f>IFERROR(BDP(A42,"PX_LAST"),"")</f>
        <v/>
      </c>
      <c r="E42" s="9">
        <f>IFERROR(BDP(A42,"CUST_TRR_RETURN_HOLDING_PER","CUST_TRR_START_DT",Settings!$C$5,"CUST_TRR_END_DT",Settings!$C$4)/100,"")</f>
        <v/>
      </c>
      <c r="F42" s="9">
        <f>IFERROR(BDP(A42,"CUST_TRR_RETURN_HOLDING_PER","CUST_TRR_START_DT",Settings!$C$6,"CUST_TRR_END_DT",Settings!$C$4)/100,"")</f>
        <v/>
      </c>
      <c r="G42" s="9">
        <f>IFERROR(BDP(A42,"CUST_TRR_RETURN_HOLDING_PER","CUST_TRR_START_DT",Settings!$C$7,"CUST_TRR_END_DT",Settings!$C$4)/100,"")</f>
        <v/>
      </c>
      <c r="H42" s="9">
        <f>IFERROR(BDP(A42,"CUST_TRR_RETURN_HOLDING_PER","CUST_TRR_START_DT",Settings!$C$8,"CUST_TRR_END_DT",Settings!$C$4)/100,"")</f>
        <v/>
      </c>
    </row>
    <row r="43">
      <c r="A43" s="7" t="inlineStr">
        <is>
          <t>APA US Equity</t>
        </is>
      </c>
      <c r="B43">
        <f>IFERROR(BDP(A43,"NAME"),"")</f>
        <v/>
      </c>
      <c r="C43">
        <f>IFERROR(BDP(A43,"GICS_SECTOR_NAME"),"")</f>
        <v/>
      </c>
      <c r="D43" s="8">
        <f>IFERROR(BDP(A43,"PX_LAST"),"")</f>
        <v/>
      </c>
      <c r="E43" s="9">
        <f>IFERROR(BDP(A43,"CUST_TRR_RETURN_HOLDING_PER","CUST_TRR_START_DT",Settings!$C$5,"CUST_TRR_END_DT",Settings!$C$4)/100,"")</f>
        <v/>
      </c>
      <c r="F43" s="9">
        <f>IFERROR(BDP(A43,"CUST_TRR_RETURN_HOLDING_PER","CUST_TRR_START_DT",Settings!$C$6,"CUST_TRR_END_DT",Settings!$C$4)/100,"")</f>
        <v/>
      </c>
      <c r="G43" s="9">
        <f>IFERROR(BDP(A43,"CUST_TRR_RETURN_HOLDING_PER","CUST_TRR_START_DT",Settings!$C$7,"CUST_TRR_END_DT",Settings!$C$4)/100,"")</f>
        <v/>
      </c>
      <c r="H43" s="9">
        <f>IFERROR(BDP(A43,"CUST_TRR_RETURN_HOLDING_PER","CUST_TRR_START_DT",Settings!$C$8,"CUST_TRR_END_DT",Settings!$C$4)/100,"")</f>
        <v/>
      </c>
    </row>
    <row r="44">
      <c r="A44" s="7" t="inlineStr">
        <is>
          <t>APD US Equity</t>
        </is>
      </c>
      <c r="B44">
        <f>IFERROR(BDP(A44,"NAME"),"")</f>
        <v/>
      </c>
      <c r="C44">
        <f>IFERROR(BDP(A44,"GICS_SECTOR_NAME"),"")</f>
        <v/>
      </c>
      <c r="D44" s="8">
        <f>IFERROR(BDP(A44,"PX_LAST"),"")</f>
        <v/>
      </c>
      <c r="E44" s="9">
        <f>IFERROR(BDP(A44,"CUST_TRR_RETURN_HOLDING_PER","CUST_TRR_START_DT",Settings!$C$5,"CUST_TRR_END_DT",Settings!$C$4)/100,"")</f>
        <v/>
      </c>
      <c r="F44" s="9">
        <f>IFERROR(BDP(A44,"CUST_TRR_RETURN_HOLDING_PER","CUST_TRR_START_DT",Settings!$C$6,"CUST_TRR_END_DT",Settings!$C$4)/100,"")</f>
        <v/>
      </c>
      <c r="G44" s="9">
        <f>IFERROR(BDP(A44,"CUST_TRR_RETURN_HOLDING_PER","CUST_TRR_START_DT",Settings!$C$7,"CUST_TRR_END_DT",Settings!$C$4)/100,"")</f>
        <v/>
      </c>
      <c r="H44" s="9">
        <f>IFERROR(BDP(A44,"CUST_TRR_RETURN_HOLDING_PER","CUST_TRR_START_DT",Settings!$C$8,"CUST_TRR_END_DT",Settings!$C$4)/100,"")</f>
        <v/>
      </c>
    </row>
    <row r="45">
      <c r="A45" s="7" t="inlineStr">
        <is>
          <t>APH US Equity</t>
        </is>
      </c>
      <c r="B45">
        <f>IFERROR(BDP(A45,"NAME"),"")</f>
        <v/>
      </c>
      <c r="C45">
        <f>IFERROR(BDP(A45,"GICS_SECTOR_NAME"),"")</f>
        <v/>
      </c>
      <c r="D45" s="8">
        <f>IFERROR(BDP(A45,"PX_LAST"),"")</f>
        <v/>
      </c>
      <c r="E45" s="9">
        <f>IFERROR(BDP(A45,"CUST_TRR_RETURN_HOLDING_PER","CUST_TRR_START_DT",Settings!$C$5,"CUST_TRR_END_DT",Settings!$C$4)/100,"")</f>
        <v/>
      </c>
      <c r="F45" s="9">
        <f>IFERROR(BDP(A45,"CUST_TRR_RETURN_HOLDING_PER","CUST_TRR_START_DT",Settings!$C$6,"CUST_TRR_END_DT",Settings!$C$4)/100,"")</f>
        <v/>
      </c>
      <c r="G45" s="9">
        <f>IFERROR(BDP(A45,"CUST_TRR_RETURN_HOLDING_PER","CUST_TRR_START_DT",Settings!$C$7,"CUST_TRR_END_DT",Settings!$C$4)/100,"")</f>
        <v/>
      </c>
      <c r="H45" s="9">
        <f>IFERROR(BDP(A45,"CUST_TRR_RETURN_HOLDING_PER","CUST_TRR_START_DT",Settings!$C$8,"CUST_TRR_END_DT",Settings!$C$4)/100,"")</f>
        <v/>
      </c>
    </row>
    <row r="46">
      <c r="A46" s="7" t="inlineStr">
        <is>
          <t>APTV US Equity</t>
        </is>
      </c>
      <c r="B46">
        <f>IFERROR(BDP(A46,"NAME"),"")</f>
        <v/>
      </c>
      <c r="C46">
        <f>IFERROR(BDP(A46,"GICS_SECTOR_NAME"),"")</f>
        <v/>
      </c>
      <c r="D46" s="8">
        <f>IFERROR(BDP(A46,"PX_LAST"),"")</f>
        <v/>
      </c>
      <c r="E46" s="9">
        <f>IFERROR(BDP(A46,"CUST_TRR_RETURN_HOLDING_PER","CUST_TRR_START_DT",Settings!$C$5,"CUST_TRR_END_DT",Settings!$C$4)/100,"")</f>
        <v/>
      </c>
      <c r="F46" s="9">
        <f>IFERROR(BDP(A46,"CUST_TRR_RETURN_HOLDING_PER","CUST_TRR_START_DT",Settings!$C$6,"CUST_TRR_END_DT",Settings!$C$4)/100,"")</f>
        <v/>
      </c>
      <c r="G46" s="9">
        <f>IFERROR(BDP(A46,"CUST_TRR_RETURN_HOLDING_PER","CUST_TRR_START_DT",Settings!$C$7,"CUST_TRR_END_DT",Settings!$C$4)/100,"")</f>
        <v/>
      </c>
      <c r="H46" s="9">
        <f>IFERROR(BDP(A46,"CUST_TRR_RETURN_HOLDING_PER","CUST_TRR_START_DT",Settings!$C$8,"CUST_TRR_END_DT",Settings!$C$4)/100,"")</f>
        <v/>
      </c>
    </row>
    <row r="47">
      <c r="A47" s="7" t="inlineStr">
        <is>
          <t>ARE US Equity</t>
        </is>
      </c>
      <c r="B47">
        <f>IFERROR(BDP(A47,"NAME"),"")</f>
        <v/>
      </c>
      <c r="C47">
        <f>IFERROR(BDP(A47,"GICS_SECTOR_NAME"),"")</f>
        <v/>
      </c>
      <c r="D47" s="8">
        <f>IFERROR(BDP(A47,"PX_LAST"),"")</f>
        <v/>
      </c>
      <c r="E47" s="9">
        <f>IFERROR(BDP(A47,"CUST_TRR_RETURN_HOLDING_PER","CUST_TRR_START_DT",Settings!$C$5,"CUST_TRR_END_DT",Settings!$C$4)/100,"")</f>
        <v/>
      </c>
      <c r="F47" s="9">
        <f>IFERROR(BDP(A47,"CUST_TRR_RETURN_HOLDING_PER","CUST_TRR_START_DT",Settings!$C$6,"CUST_TRR_END_DT",Settings!$C$4)/100,"")</f>
        <v/>
      </c>
      <c r="G47" s="9">
        <f>IFERROR(BDP(A47,"CUST_TRR_RETURN_HOLDING_PER","CUST_TRR_START_DT",Settings!$C$7,"CUST_TRR_END_DT",Settings!$C$4)/100,"")</f>
        <v/>
      </c>
      <c r="H47" s="9">
        <f>IFERROR(BDP(A47,"CUST_TRR_RETURN_HOLDING_PER","CUST_TRR_START_DT",Settings!$C$8,"CUST_TRR_END_DT",Settings!$C$4)/100,"")</f>
        <v/>
      </c>
    </row>
    <row r="48">
      <c r="A48" s="7" t="inlineStr">
        <is>
          <t>ATO US Equity</t>
        </is>
      </c>
      <c r="B48">
        <f>IFERROR(BDP(A48,"NAME"),"")</f>
        <v/>
      </c>
      <c r="C48">
        <f>IFERROR(BDP(A48,"GICS_SECTOR_NAME"),"")</f>
        <v/>
      </c>
      <c r="D48" s="8">
        <f>IFERROR(BDP(A48,"PX_LAST"),"")</f>
        <v/>
      </c>
      <c r="E48" s="9">
        <f>IFERROR(BDP(A48,"CUST_TRR_RETURN_HOLDING_PER","CUST_TRR_START_DT",Settings!$C$5,"CUST_TRR_END_DT",Settings!$C$4)/100,"")</f>
        <v/>
      </c>
      <c r="F48" s="9">
        <f>IFERROR(BDP(A48,"CUST_TRR_RETURN_HOLDING_PER","CUST_TRR_START_DT",Settings!$C$6,"CUST_TRR_END_DT",Settings!$C$4)/100,"")</f>
        <v/>
      </c>
      <c r="G48" s="9">
        <f>IFERROR(BDP(A48,"CUST_TRR_RETURN_HOLDING_PER","CUST_TRR_START_DT",Settings!$C$7,"CUST_TRR_END_DT",Settings!$C$4)/100,"")</f>
        <v/>
      </c>
      <c r="H48" s="9">
        <f>IFERROR(BDP(A48,"CUST_TRR_RETURN_HOLDING_PER","CUST_TRR_START_DT",Settings!$C$8,"CUST_TRR_END_DT",Settings!$C$4)/100,"")</f>
        <v/>
      </c>
    </row>
    <row r="49">
      <c r="A49" s="7" t="inlineStr">
        <is>
          <t>AVB US Equity</t>
        </is>
      </c>
      <c r="B49">
        <f>IFERROR(BDP(A49,"NAME"),"")</f>
        <v/>
      </c>
      <c r="C49">
        <f>IFERROR(BDP(A49,"GICS_SECTOR_NAME"),"")</f>
        <v/>
      </c>
      <c r="D49" s="8">
        <f>IFERROR(BDP(A49,"PX_LAST"),"")</f>
        <v/>
      </c>
      <c r="E49" s="9">
        <f>IFERROR(BDP(A49,"CUST_TRR_RETURN_HOLDING_PER","CUST_TRR_START_DT",Settings!$C$5,"CUST_TRR_END_DT",Settings!$C$4)/100,"")</f>
        <v/>
      </c>
      <c r="F49" s="9">
        <f>IFERROR(BDP(A49,"CUST_TRR_RETURN_HOLDING_PER","CUST_TRR_START_DT",Settings!$C$6,"CUST_TRR_END_DT",Settings!$C$4)/100,"")</f>
        <v/>
      </c>
      <c r="G49" s="9">
        <f>IFERROR(BDP(A49,"CUST_TRR_RETURN_HOLDING_PER","CUST_TRR_START_DT",Settings!$C$7,"CUST_TRR_END_DT",Settings!$C$4)/100,"")</f>
        <v/>
      </c>
      <c r="H49" s="9">
        <f>IFERROR(BDP(A49,"CUST_TRR_RETURN_HOLDING_PER","CUST_TRR_START_DT",Settings!$C$8,"CUST_TRR_END_DT",Settings!$C$4)/100,"")</f>
        <v/>
      </c>
    </row>
    <row r="50">
      <c r="A50" s="7" t="inlineStr">
        <is>
          <t>AVGO US Equity</t>
        </is>
      </c>
      <c r="B50">
        <f>IFERROR(BDP(A50,"NAME"),"")</f>
        <v/>
      </c>
      <c r="C50">
        <f>IFERROR(BDP(A50,"GICS_SECTOR_NAME"),"")</f>
        <v/>
      </c>
      <c r="D50" s="8">
        <f>IFERROR(BDP(A50,"PX_LAST"),"")</f>
        <v/>
      </c>
      <c r="E50" s="9">
        <f>IFERROR(BDP(A50,"CUST_TRR_RETURN_HOLDING_PER","CUST_TRR_START_DT",Settings!$C$5,"CUST_TRR_END_DT",Settings!$C$4)/100,"")</f>
        <v/>
      </c>
      <c r="F50" s="9">
        <f>IFERROR(BDP(A50,"CUST_TRR_RETURN_HOLDING_PER","CUST_TRR_START_DT",Settings!$C$6,"CUST_TRR_END_DT",Settings!$C$4)/100,"")</f>
        <v/>
      </c>
      <c r="G50" s="9">
        <f>IFERROR(BDP(A50,"CUST_TRR_RETURN_HOLDING_PER","CUST_TRR_START_DT",Settings!$C$7,"CUST_TRR_END_DT",Settings!$C$4)/100,"")</f>
        <v/>
      </c>
      <c r="H50" s="9">
        <f>IFERROR(BDP(A50,"CUST_TRR_RETURN_HOLDING_PER","CUST_TRR_START_DT",Settings!$C$8,"CUST_TRR_END_DT",Settings!$C$4)/100,"")</f>
        <v/>
      </c>
    </row>
    <row r="51">
      <c r="A51" s="7" t="inlineStr">
        <is>
          <t>AVY US Equity</t>
        </is>
      </c>
      <c r="B51">
        <f>IFERROR(BDP(A51,"NAME"),"")</f>
        <v/>
      </c>
      <c r="C51">
        <f>IFERROR(BDP(A51,"GICS_SECTOR_NAME"),"")</f>
        <v/>
      </c>
      <c r="D51" s="8">
        <f>IFERROR(BDP(A51,"PX_LAST"),"")</f>
        <v/>
      </c>
      <c r="E51" s="9">
        <f>IFERROR(BDP(A51,"CUST_TRR_RETURN_HOLDING_PER","CUST_TRR_START_DT",Settings!$C$5,"CUST_TRR_END_DT",Settings!$C$4)/100,"")</f>
        <v/>
      </c>
      <c r="F51" s="9">
        <f>IFERROR(BDP(A51,"CUST_TRR_RETURN_HOLDING_PER","CUST_TRR_START_DT",Settings!$C$6,"CUST_TRR_END_DT",Settings!$C$4)/100,"")</f>
        <v/>
      </c>
      <c r="G51" s="9">
        <f>IFERROR(BDP(A51,"CUST_TRR_RETURN_HOLDING_PER","CUST_TRR_START_DT",Settings!$C$7,"CUST_TRR_END_DT",Settings!$C$4)/100,"")</f>
        <v/>
      </c>
      <c r="H51" s="9">
        <f>IFERROR(BDP(A51,"CUST_TRR_RETURN_HOLDING_PER","CUST_TRR_START_DT",Settings!$C$8,"CUST_TRR_END_DT",Settings!$C$4)/100,"")</f>
        <v/>
      </c>
    </row>
    <row r="52">
      <c r="A52" s="7" t="inlineStr">
        <is>
          <t>AWK US Equity</t>
        </is>
      </c>
      <c r="B52">
        <f>IFERROR(BDP(A52,"NAME"),"")</f>
        <v/>
      </c>
      <c r="C52">
        <f>IFERROR(BDP(A52,"GICS_SECTOR_NAME"),"")</f>
        <v/>
      </c>
      <c r="D52" s="8">
        <f>IFERROR(BDP(A52,"PX_LAST"),"")</f>
        <v/>
      </c>
      <c r="E52" s="9">
        <f>IFERROR(BDP(A52,"CUST_TRR_RETURN_HOLDING_PER","CUST_TRR_START_DT",Settings!$C$5,"CUST_TRR_END_DT",Settings!$C$4)/100,"")</f>
        <v/>
      </c>
      <c r="F52" s="9">
        <f>IFERROR(BDP(A52,"CUST_TRR_RETURN_HOLDING_PER","CUST_TRR_START_DT",Settings!$C$6,"CUST_TRR_END_DT",Settings!$C$4)/100,"")</f>
        <v/>
      </c>
      <c r="G52" s="9">
        <f>IFERROR(BDP(A52,"CUST_TRR_RETURN_HOLDING_PER","CUST_TRR_START_DT",Settings!$C$7,"CUST_TRR_END_DT",Settings!$C$4)/100,"")</f>
        <v/>
      </c>
      <c r="H52" s="9">
        <f>IFERROR(BDP(A52,"CUST_TRR_RETURN_HOLDING_PER","CUST_TRR_START_DT",Settings!$C$8,"CUST_TRR_END_DT",Settings!$C$4)/100,"")</f>
        <v/>
      </c>
    </row>
    <row r="53">
      <c r="A53" s="7" t="inlineStr">
        <is>
          <t>AXON US Equity</t>
        </is>
      </c>
      <c r="B53">
        <f>IFERROR(BDP(A53,"NAME"),"")</f>
        <v/>
      </c>
      <c r="C53">
        <f>IFERROR(BDP(A53,"GICS_SECTOR_NAME"),"")</f>
        <v/>
      </c>
      <c r="D53" s="8">
        <f>IFERROR(BDP(A53,"PX_LAST"),"")</f>
        <v/>
      </c>
      <c r="E53" s="9">
        <f>IFERROR(BDP(A53,"CUST_TRR_RETURN_HOLDING_PER","CUST_TRR_START_DT",Settings!$C$5,"CUST_TRR_END_DT",Settings!$C$4)/100,"")</f>
        <v/>
      </c>
      <c r="F53" s="9">
        <f>IFERROR(BDP(A53,"CUST_TRR_RETURN_HOLDING_PER","CUST_TRR_START_DT",Settings!$C$6,"CUST_TRR_END_DT",Settings!$C$4)/100,"")</f>
        <v/>
      </c>
      <c r="G53" s="9">
        <f>IFERROR(BDP(A53,"CUST_TRR_RETURN_HOLDING_PER","CUST_TRR_START_DT",Settings!$C$7,"CUST_TRR_END_DT",Settings!$C$4)/100,"")</f>
        <v/>
      </c>
      <c r="H53" s="9">
        <f>IFERROR(BDP(A53,"CUST_TRR_RETURN_HOLDING_PER","CUST_TRR_START_DT",Settings!$C$8,"CUST_TRR_END_DT",Settings!$C$4)/100,"")</f>
        <v/>
      </c>
    </row>
    <row r="54">
      <c r="A54" s="7" t="inlineStr">
        <is>
          <t>AXP US Equity</t>
        </is>
      </c>
      <c r="B54">
        <f>IFERROR(BDP(A54,"NAME"),"")</f>
        <v/>
      </c>
      <c r="C54">
        <f>IFERROR(BDP(A54,"GICS_SECTOR_NAME"),"")</f>
        <v/>
      </c>
      <c r="D54" s="8">
        <f>IFERROR(BDP(A54,"PX_LAST"),"")</f>
        <v/>
      </c>
      <c r="E54" s="9">
        <f>IFERROR(BDP(A54,"CUST_TRR_RETURN_HOLDING_PER","CUST_TRR_START_DT",Settings!$C$5,"CUST_TRR_END_DT",Settings!$C$4)/100,"")</f>
        <v/>
      </c>
      <c r="F54" s="9">
        <f>IFERROR(BDP(A54,"CUST_TRR_RETURN_HOLDING_PER","CUST_TRR_START_DT",Settings!$C$6,"CUST_TRR_END_DT",Settings!$C$4)/100,"")</f>
        <v/>
      </c>
      <c r="G54" s="9">
        <f>IFERROR(BDP(A54,"CUST_TRR_RETURN_HOLDING_PER","CUST_TRR_START_DT",Settings!$C$7,"CUST_TRR_END_DT",Settings!$C$4)/100,"")</f>
        <v/>
      </c>
      <c r="H54" s="9">
        <f>IFERROR(BDP(A54,"CUST_TRR_RETURN_HOLDING_PER","CUST_TRR_START_DT",Settings!$C$8,"CUST_TRR_END_DT",Settings!$C$4)/100,"")</f>
        <v/>
      </c>
    </row>
    <row r="55">
      <c r="A55" s="7" t="inlineStr">
        <is>
          <t>AZO US Equity</t>
        </is>
      </c>
      <c r="B55">
        <f>IFERROR(BDP(A55,"NAME"),"")</f>
        <v/>
      </c>
      <c r="C55">
        <f>IFERROR(BDP(A55,"GICS_SECTOR_NAME"),"")</f>
        <v/>
      </c>
      <c r="D55" s="8">
        <f>IFERROR(BDP(A55,"PX_LAST"),"")</f>
        <v/>
      </c>
      <c r="E55" s="9">
        <f>IFERROR(BDP(A55,"CUST_TRR_RETURN_HOLDING_PER","CUST_TRR_START_DT",Settings!$C$5,"CUST_TRR_END_DT",Settings!$C$4)/100,"")</f>
        <v/>
      </c>
      <c r="F55" s="9">
        <f>IFERROR(BDP(A55,"CUST_TRR_RETURN_HOLDING_PER","CUST_TRR_START_DT",Settings!$C$6,"CUST_TRR_END_DT",Settings!$C$4)/100,"")</f>
        <v/>
      </c>
      <c r="G55" s="9">
        <f>IFERROR(BDP(A55,"CUST_TRR_RETURN_HOLDING_PER","CUST_TRR_START_DT",Settings!$C$7,"CUST_TRR_END_DT",Settings!$C$4)/100,"")</f>
        <v/>
      </c>
      <c r="H55" s="9">
        <f>IFERROR(BDP(A55,"CUST_TRR_RETURN_HOLDING_PER","CUST_TRR_START_DT",Settings!$C$8,"CUST_TRR_END_DT",Settings!$C$4)/100,"")</f>
        <v/>
      </c>
    </row>
    <row r="56">
      <c r="A56" s="7" t="inlineStr">
        <is>
          <t>BA US Equity</t>
        </is>
      </c>
      <c r="B56">
        <f>IFERROR(BDP(A56,"NAME"),"")</f>
        <v/>
      </c>
      <c r="C56">
        <f>IFERROR(BDP(A56,"GICS_SECTOR_NAME"),"")</f>
        <v/>
      </c>
      <c r="D56" s="8">
        <f>IFERROR(BDP(A56,"PX_LAST"),"")</f>
        <v/>
      </c>
      <c r="E56" s="9">
        <f>IFERROR(BDP(A56,"CUST_TRR_RETURN_HOLDING_PER","CUST_TRR_START_DT",Settings!$C$5,"CUST_TRR_END_DT",Settings!$C$4)/100,"")</f>
        <v/>
      </c>
      <c r="F56" s="9">
        <f>IFERROR(BDP(A56,"CUST_TRR_RETURN_HOLDING_PER","CUST_TRR_START_DT",Settings!$C$6,"CUST_TRR_END_DT",Settings!$C$4)/100,"")</f>
        <v/>
      </c>
      <c r="G56" s="9">
        <f>IFERROR(BDP(A56,"CUST_TRR_RETURN_HOLDING_PER","CUST_TRR_START_DT",Settings!$C$7,"CUST_TRR_END_DT",Settings!$C$4)/100,"")</f>
        <v/>
      </c>
      <c r="H56" s="9">
        <f>IFERROR(BDP(A56,"CUST_TRR_RETURN_HOLDING_PER","CUST_TRR_START_DT",Settings!$C$8,"CUST_TRR_END_DT",Settings!$C$4)/100,"")</f>
        <v/>
      </c>
    </row>
    <row r="57">
      <c r="A57" s="7" t="inlineStr">
        <is>
          <t>BAC US Equity</t>
        </is>
      </c>
      <c r="B57">
        <f>IFERROR(BDP(A57,"NAME"),"")</f>
        <v/>
      </c>
      <c r="C57">
        <f>IFERROR(BDP(A57,"GICS_SECTOR_NAME"),"")</f>
        <v/>
      </c>
      <c r="D57" s="8">
        <f>IFERROR(BDP(A57,"PX_LAST"),"")</f>
        <v/>
      </c>
      <c r="E57" s="9">
        <f>IFERROR(BDP(A57,"CUST_TRR_RETURN_HOLDING_PER","CUST_TRR_START_DT",Settings!$C$5,"CUST_TRR_END_DT",Settings!$C$4)/100,"")</f>
        <v/>
      </c>
      <c r="F57" s="9">
        <f>IFERROR(BDP(A57,"CUST_TRR_RETURN_HOLDING_PER","CUST_TRR_START_DT",Settings!$C$6,"CUST_TRR_END_DT",Settings!$C$4)/100,"")</f>
        <v/>
      </c>
      <c r="G57" s="9">
        <f>IFERROR(BDP(A57,"CUST_TRR_RETURN_HOLDING_PER","CUST_TRR_START_DT",Settings!$C$7,"CUST_TRR_END_DT",Settings!$C$4)/100,"")</f>
        <v/>
      </c>
      <c r="H57" s="9">
        <f>IFERROR(BDP(A57,"CUST_TRR_RETURN_HOLDING_PER","CUST_TRR_START_DT",Settings!$C$8,"CUST_TRR_END_DT",Settings!$C$4)/100,"")</f>
        <v/>
      </c>
    </row>
    <row r="58">
      <c r="A58" s="7" t="inlineStr">
        <is>
          <t>BALL US Equity</t>
        </is>
      </c>
      <c r="B58">
        <f>IFERROR(BDP(A58,"NAME"),"")</f>
        <v/>
      </c>
      <c r="C58">
        <f>IFERROR(BDP(A58,"GICS_SECTOR_NAME"),"")</f>
        <v/>
      </c>
      <c r="D58" s="8">
        <f>IFERROR(BDP(A58,"PX_LAST"),"")</f>
        <v/>
      </c>
      <c r="E58" s="9">
        <f>IFERROR(BDP(A58,"CUST_TRR_RETURN_HOLDING_PER","CUST_TRR_START_DT",Settings!$C$5,"CUST_TRR_END_DT",Settings!$C$4)/100,"")</f>
        <v/>
      </c>
      <c r="F58" s="9">
        <f>IFERROR(BDP(A58,"CUST_TRR_RETURN_HOLDING_PER","CUST_TRR_START_DT",Settings!$C$6,"CUST_TRR_END_DT",Settings!$C$4)/100,"")</f>
        <v/>
      </c>
      <c r="G58" s="9">
        <f>IFERROR(BDP(A58,"CUST_TRR_RETURN_HOLDING_PER","CUST_TRR_START_DT",Settings!$C$7,"CUST_TRR_END_DT",Settings!$C$4)/100,"")</f>
        <v/>
      </c>
      <c r="H58" s="9">
        <f>IFERROR(BDP(A58,"CUST_TRR_RETURN_HOLDING_PER","CUST_TRR_START_DT",Settings!$C$8,"CUST_TRR_END_DT",Settings!$C$4)/100,"")</f>
        <v/>
      </c>
    </row>
    <row r="59">
      <c r="A59" s="7" t="inlineStr">
        <is>
          <t>BAX US Equity</t>
        </is>
      </c>
      <c r="B59">
        <f>IFERROR(BDP(A59,"NAME"),"")</f>
        <v/>
      </c>
      <c r="C59">
        <f>IFERROR(BDP(A59,"GICS_SECTOR_NAME"),"")</f>
        <v/>
      </c>
      <c r="D59" s="8">
        <f>IFERROR(BDP(A59,"PX_LAST"),"")</f>
        <v/>
      </c>
      <c r="E59" s="9">
        <f>IFERROR(BDP(A59,"CUST_TRR_RETURN_HOLDING_PER","CUST_TRR_START_DT",Settings!$C$5,"CUST_TRR_END_DT",Settings!$C$4)/100,"")</f>
        <v/>
      </c>
      <c r="F59" s="9">
        <f>IFERROR(BDP(A59,"CUST_TRR_RETURN_HOLDING_PER","CUST_TRR_START_DT",Settings!$C$6,"CUST_TRR_END_DT",Settings!$C$4)/100,"")</f>
        <v/>
      </c>
      <c r="G59" s="9">
        <f>IFERROR(BDP(A59,"CUST_TRR_RETURN_HOLDING_PER","CUST_TRR_START_DT",Settings!$C$7,"CUST_TRR_END_DT",Settings!$C$4)/100,"")</f>
        <v/>
      </c>
      <c r="H59" s="9">
        <f>IFERROR(BDP(A59,"CUST_TRR_RETURN_HOLDING_PER","CUST_TRR_START_DT",Settings!$C$8,"CUST_TRR_END_DT",Settings!$C$4)/100,"")</f>
        <v/>
      </c>
    </row>
    <row r="60">
      <c r="A60" s="7" t="inlineStr">
        <is>
          <t>BBWI US Equity</t>
        </is>
      </c>
      <c r="B60">
        <f>IFERROR(BDP(A60,"NAME"),"")</f>
        <v/>
      </c>
      <c r="C60">
        <f>IFERROR(BDP(A60,"GICS_SECTOR_NAME"),"")</f>
        <v/>
      </c>
      <c r="D60" s="8">
        <f>IFERROR(BDP(A60,"PX_LAST"),"")</f>
        <v/>
      </c>
      <c r="E60" s="9">
        <f>IFERROR(BDP(A60,"CUST_TRR_RETURN_HOLDING_PER","CUST_TRR_START_DT",Settings!$C$5,"CUST_TRR_END_DT",Settings!$C$4)/100,"")</f>
        <v/>
      </c>
      <c r="F60" s="9">
        <f>IFERROR(BDP(A60,"CUST_TRR_RETURN_HOLDING_PER","CUST_TRR_START_DT",Settings!$C$6,"CUST_TRR_END_DT",Settings!$C$4)/100,"")</f>
        <v/>
      </c>
      <c r="G60" s="9">
        <f>IFERROR(BDP(A60,"CUST_TRR_RETURN_HOLDING_PER","CUST_TRR_START_DT",Settings!$C$7,"CUST_TRR_END_DT",Settings!$C$4)/100,"")</f>
        <v/>
      </c>
      <c r="H60" s="9">
        <f>IFERROR(BDP(A60,"CUST_TRR_RETURN_HOLDING_PER","CUST_TRR_START_DT",Settings!$C$8,"CUST_TRR_END_DT",Settings!$C$4)/100,"")</f>
        <v/>
      </c>
    </row>
    <row r="61">
      <c r="A61" s="7" t="inlineStr">
        <is>
          <t>BBY US Equity</t>
        </is>
      </c>
      <c r="B61">
        <f>IFERROR(BDP(A61,"NAME"),"")</f>
        <v/>
      </c>
      <c r="C61">
        <f>IFERROR(BDP(A61,"GICS_SECTOR_NAME"),"")</f>
        <v/>
      </c>
      <c r="D61" s="8">
        <f>IFERROR(BDP(A61,"PX_LAST"),"")</f>
        <v/>
      </c>
      <c r="E61" s="9">
        <f>IFERROR(BDP(A61,"CUST_TRR_RETURN_HOLDING_PER","CUST_TRR_START_DT",Settings!$C$5,"CUST_TRR_END_DT",Settings!$C$4)/100,"")</f>
        <v/>
      </c>
      <c r="F61" s="9">
        <f>IFERROR(BDP(A61,"CUST_TRR_RETURN_HOLDING_PER","CUST_TRR_START_DT",Settings!$C$6,"CUST_TRR_END_DT",Settings!$C$4)/100,"")</f>
        <v/>
      </c>
      <c r="G61" s="9">
        <f>IFERROR(BDP(A61,"CUST_TRR_RETURN_HOLDING_PER","CUST_TRR_START_DT",Settings!$C$7,"CUST_TRR_END_DT",Settings!$C$4)/100,"")</f>
        <v/>
      </c>
      <c r="H61" s="9">
        <f>IFERROR(BDP(A61,"CUST_TRR_RETURN_HOLDING_PER","CUST_TRR_START_DT",Settings!$C$8,"CUST_TRR_END_DT",Settings!$C$4)/100,"")</f>
        <v/>
      </c>
    </row>
    <row r="62">
      <c r="A62" s="7" t="inlineStr">
        <is>
          <t>BDX US Equity</t>
        </is>
      </c>
      <c r="B62">
        <f>IFERROR(BDP(A62,"NAME"),"")</f>
        <v/>
      </c>
      <c r="C62">
        <f>IFERROR(BDP(A62,"GICS_SECTOR_NAME"),"")</f>
        <v/>
      </c>
      <c r="D62" s="8">
        <f>IFERROR(BDP(A62,"PX_LAST"),"")</f>
        <v/>
      </c>
      <c r="E62" s="9">
        <f>IFERROR(BDP(A62,"CUST_TRR_RETURN_HOLDING_PER","CUST_TRR_START_DT",Settings!$C$5,"CUST_TRR_END_DT",Settings!$C$4)/100,"")</f>
        <v/>
      </c>
      <c r="F62" s="9">
        <f>IFERROR(BDP(A62,"CUST_TRR_RETURN_HOLDING_PER","CUST_TRR_START_DT",Settings!$C$6,"CUST_TRR_END_DT",Settings!$C$4)/100,"")</f>
        <v/>
      </c>
      <c r="G62" s="9">
        <f>IFERROR(BDP(A62,"CUST_TRR_RETURN_HOLDING_PER","CUST_TRR_START_DT",Settings!$C$7,"CUST_TRR_END_DT",Settings!$C$4)/100,"")</f>
        <v/>
      </c>
      <c r="H62" s="9">
        <f>IFERROR(BDP(A62,"CUST_TRR_RETURN_HOLDING_PER","CUST_TRR_START_DT",Settings!$C$8,"CUST_TRR_END_DT",Settings!$C$4)/100,"")</f>
        <v/>
      </c>
    </row>
    <row r="63">
      <c r="A63" s="7" t="inlineStr">
        <is>
          <t>BEN US Equity</t>
        </is>
      </c>
      <c r="B63">
        <f>IFERROR(BDP(A63,"NAME"),"")</f>
        <v/>
      </c>
      <c r="C63">
        <f>IFERROR(BDP(A63,"GICS_SECTOR_NAME"),"")</f>
        <v/>
      </c>
      <c r="D63" s="8">
        <f>IFERROR(BDP(A63,"PX_LAST"),"")</f>
        <v/>
      </c>
      <c r="E63" s="9">
        <f>IFERROR(BDP(A63,"CUST_TRR_RETURN_HOLDING_PER","CUST_TRR_START_DT",Settings!$C$5,"CUST_TRR_END_DT",Settings!$C$4)/100,"")</f>
        <v/>
      </c>
      <c r="F63" s="9">
        <f>IFERROR(BDP(A63,"CUST_TRR_RETURN_HOLDING_PER","CUST_TRR_START_DT",Settings!$C$6,"CUST_TRR_END_DT",Settings!$C$4)/100,"")</f>
        <v/>
      </c>
      <c r="G63" s="9">
        <f>IFERROR(BDP(A63,"CUST_TRR_RETURN_HOLDING_PER","CUST_TRR_START_DT",Settings!$C$7,"CUST_TRR_END_DT",Settings!$C$4)/100,"")</f>
        <v/>
      </c>
      <c r="H63" s="9">
        <f>IFERROR(BDP(A63,"CUST_TRR_RETURN_HOLDING_PER","CUST_TRR_START_DT",Settings!$C$8,"CUST_TRR_END_DT",Settings!$C$4)/100,"")</f>
        <v/>
      </c>
    </row>
    <row r="64">
      <c r="A64" s="7" t="inlineStr">
        <is>
          <t>BF/B US Equity</t>
        </is>
      </c>
      <c r="B64">
        <f>IFERROR(BDP(A64,"NAME"),"")</f>
        <v/>
      </c>
      <c r="C64">
        <f>IFERROR(BDP(A64,"GICS_SECTOR_NAME"),"")</f>
        <v/>
      </c>
      <c r="D64" s="8">
        <f>IFERROR(BDP(A64,"PX_LAST"),"")</f>
        <v/>
      </c>
      <c r="E64" s="9">
        <f>IFERROR(BDP(A64,"CUST_TRR_RETURN_HOLDING_PER","CUST_TRR_START_DT",Settings!$C$5,"CUST_TRR_END_DT",Settings!$C$4)/100,"")</f>
        <v/>
      </c>
      <c r="F64" s="9">
        <f>IFERROR(BDP(A64,"CUST_TRR_RETURN_HOLDING_PER","CUST_TRR_START_DT",Settings!$C$6,"CUST_TRR_END_DT",Settings!$C$4)/100,"")</f>
        <v/>
      </c>
      <c r="G64" s="9">
        <f>IFERROR(BDP(A64,"CUST_TRR_RETURN_HOLDING_PER","CUST_TRR_START_DT",Settings!$C$7,"CUST_TRR_END_DT",Settings!$C$4)/100,"")</f>
        <v/>
      </c>
      <c r="H64" s="9">
        <f>IFERROR(BDP(A64,"CUST_TRR_RETURN_HOLDING_PER","CUST_TRR_START_DT",Settings!$C$8,"CUST_TRR_END_DT",Settings!$C$4)/100,"")</f>
        <v/>
      </c>
    </row>
    <row r="65">
      <c r="A65" s="7" t="inlineStr">
        <is>
          <t>BG US Equity</t>
        </is>
      </c>
      <c r="B65">
        <f>IFERROR(BDP(A65,"NAME"),"")</f>
        <v/>
      </c>
      <c r="C65">
        <f>IFERROR(BDP(A65,"GICS_SECTOR_NAME"),"")</f>
        <v/>
      </c>
      <c r="D65" s="8">
        <f>IFERROR(BDP(A65,"PX_LAST"),"")</f>
        <v/>
      </c>
      <c r="E65" s="9">
        <f>IFERROR(BDP(A65,"CUST_TRR_RETURN_HOLDING_PER","CUST_TRR_START_DT",Settings!$C$5,"CUST_TRR_END_DT",Settings!$C$4)/100,"")</f>
        <v/>
      </c>
      <c r="F65" s="9">
        <f>IFERROR(BDP(A65,"CUST_TRR_RETURN_HOLDING_PER","CUST_TRR_START_DT",Settings!$C$6,"CUST_TRR_END_DT",Settings!$C$4)/100,"")</f>
        <v/>
      </c>
      <c r="G65" s="9">
        <f>IFERROR(BDP(A65,"CUST_TRR_RETURN_HOLDING_PER","CUST_TRR_START_DT",Settings!$C$7,"CUST_TRR_END_DT",Settings!$C$4)/100,"")</f>
        <v/>
      </c>
      <c r="H65" s="9">
        <f>IFERROR(BDP(A65,"CUST_TRR_RETURN_HOLDING_PER","CUST_TRR_START_DT",Settings!$C$8,"CUST_TRR_END_DT",Settings!$C$4)/100,"")</f>
        <v/>
      </c>
    </row>
    <row r="66">
      <c r="A66" s="7" t="inlineStr">
        <is>
          <t>BIIB US Equity</t>
        </is>
      </c>
      <c r="B66">
        <f>IFERROR(BDP(A66,"NAME"),"")</f>
        <v/>
      </c>
      <c r="C66">
        <f>IFERROR(BDP(A66,"GICS_SECTOR_NAME"),"")</f>
        <v/>
      </c>
      <c r="D66" s="8">
        <f>IFERROR(BDP(A66,"PX_LAST"),"")</f>
        <v/>
      </c>
      <c r="E66" s="9">
        <f>IFERROR(BDP(A66,"CUST_TRR_RETURN_HOLDING_PER","CUST_TRR_START_DT",Settings!$C$5,"CUST_TRR_END_DT",Settings!$C$4)/100,"")</f>
        <v/>
      </c>
      <c r="F66" s="9">
        <f>IFERROR(BDP(A66,"CUST_TRR_RETURN_HOLDING_PER","CUST_TRR_START_DT",Settings!$C$6,"CUST_TRR_END_DT",Settings!$C$4)/100,"")</f>
        <v/>
      </c>
      <c r="G66" s="9">
        <f>IFERROR(BDP(A66,"CUST_TRR_RETURN_HOLDING_PER","CUST_TRR_START_DT",Settings!$C$7,"CUST_TRR_END_DT",Settings!$C$4)/100,"")</f>
        <v/>
      </c>
      <c r="H66" s="9">
        <f>IFERROR(BDP(A66,"CUST_TRR_RETURN_HOLDING_PER","CUST_TRR_START_DT",Settings!$C$8,"CUST_TRR_END_DT",Settings!$C$4)/100,"")</f>
        <v/>
      </c>
    </row>
    <row r="67">
      <c r="A67" s="7" t="inlineStr">
        <is>
          <t>BIO US Equity</t>
        </is>
      </c>
      <c r="B67">
        <f>IFERROR(BDP(A67,"NAME"),"")</f>
        <v/>
      </c>
      <c r="C67">
        <f>IFERROR(BDP(A67,"GICS_SECTOR_NAME"),"")</f>
        <v/>
      </c>
      <c r="D67" s="8">
        <f>IFERROR(BDP(A67,"PX_LAST"),"")</f>
        <v/>
      </c>
      <c r="E67" s="9">
        <f>IFERROR(BDP(A67,"CUST_TRR_RETURN_HOLDING_PER","CUST_TRR_START_DT",Settings!$C$5,"CUST_TRR_END_DT",Settings!$C$4)/100,"")</f>
        <v/>
      </c>
      <c r="F67" s="9">
        <f>IFERROR(BDP(A67,"CUST_TRR_RETURN_HOLDING_PER","CUST_TRR_START_DT",Settings!$C$6,"CUST_TRR_END_DT",Settings!$C$4)/100,"")</f>
        <v/>
      </c>
      <c r="G67" s="9">
        <f>IFERROR(BDP(A67,"CUST_TRR_RETURN_HOLDING_PER","CUST_TRR_START_DT",Settings!$C$7,"CUST_TRR_END_DT",Settings!$C$4)/100,"")</f>
        <v/>
      </c>
      <c r="H67" s="9">
        <f>IFERROR(BDP(A67,"CUST_TRR_RETURN_HOLDING_PER","CUST_TRR_START_DT",Settings!$C$8,"CUST_TRR_END_DT",Settings!$C$4)/100,"")</f>
        <v/>
      </c>
    </row>
    <row r="68">
      <c r="A68" s="7" t="inlineStr">
        <is>
          <t>BK US Equity</t>
        </is>
      </c>
      <c r="B68">
        <f>IFERROR(BDP(A68,"NAME"),"")</f>
        <v/>
      </c>
      <c r="C68">
        <f>IFERROR(BDP(A68,"GICS_SECTOR_NAME"),"")</f>
        <v/>
      </c>
      <c r="D68" s="8">
        <f>IFERROR(BDP(A68,"PX_LAST"),"")</f>
        <v/>
      </c>
      <c r="E68" s="9">
        <f>IFERROR(BDP(A68,"CUST_TRR_RETURN_HOLDING_PER","CUST_TRR_START_DT",Settings!$C$5,"CUST_TRR_END_DT",Settings!$C$4)/100,"")</f>
        <v/>
      </c>
      <c r="F68" s="9">
        <f>IFERROR(BDP(A68,"CUST_TRR_RETURN_HOLDING_PER","CUST_TRR_START_DT",Settings!$C$6,"CUST_TRR_END_DT",Settings!$C$4)/100,"")</f>
        <v/>
      </c>
      <c r="G68" s="9">
        <f>IFERROR(BDP(A68,"CUST_TRR_RETURN_HOLDING_PER","CUST_TRR_START_DT",Settings!$C$7,"CUST_TRR_END_DT",Settings!$C$4)/100,"")</f>
        <v/>
      </c>
      <c r="H68" s="9">
        <f>IFERROR(BDP(A68,"CUST_TRR_RETURN_HOLDING_PER","CUST_TRR_START_DT",Settings!$C$8,"CUST_TRR_END_DT",Settings!$C$4)/100,"")</f>
        <v/>
      </c>
    </row>
    <row r="69">
      <c r="A69" s="7" t="inlineStr">
        <is>
          <t>BKNG US Equity</t>
        </is>
      </c>
      <c r="B69">
        <f>IFERROR(BDP(A69,"NAME"),"")</f>
        <v/>
      </c>
      <c r="C69">
        <f>IFERROR(BDP(A69,"GICS_SECTOR_NAME"),"")</f>
        <v/>
      </c>
      <c r="D69" s="8">
        <f>IFERROR(BDP(A69,"PX_LAST"),"")</f>
        <v/>
      </c>
      <c r="E69" s="9">
        <f>IFERROR(BDP(A69,"CUST_TRR_RETURN_HOLDING_PER","CUST_TRR_START_DT",Settings!$C$5,"CUST_TRR_END_DT",Settings!$C$4)/100,"")</f>
        <v/>
      </c>
      <c r="F69" s="9">
        <f>IFERROR(BDP(A69,"CUST_TRR_RETURN_HOLDING_PER","CUST_TRR_START_DT",Settings!$C$6,"CUST_TRR_END_DT",Settings!$C$4)/100,"")</f>
        <v/>
      </c>
      <c r="G69" s="9">
        <f>IFERROR(BDP(A69,"CUST_TRR_RETURN_HOLDING_PER","CUST_TRR_START_DT",Settings!$C$7,"CUST_TRR_END_DT",Settings!$C$4)/100,"")</f>
        <v/>
      </c>
      <c r="H69" s="9">
        <f>IFERROR(BDP(A69,"CUST_TRR_RETURN_HOLDING_PER","CUST_TRR_START_DT",Settings!$C$8,"CUST_TRR_END_DT",Settings!$C$4)/100,"")</f>
        <v/>
      </c>
    </row>
    <row r="70">
      <c r="A70" s="7" t="inlineStr">
        <is>
          <t>BKR US Equity</t>
        </is>
      </c>
      <c r="B70">
        <f>IFERROR(BDP(A70,"NAME"),"")</f>
        <v/>
      </c>
      <c r="C70">
        <f>IFERROR(BDP(A70,"GICS_SECTOR_NAME"),"")</f>
        <v/>
      </c>
      <c r="D70" s="8">
        <f>IFERROR(BDP(A70,"PX_LAST"),"")</f>
        <v/>
      </c>
      <c r="E70" s="9">
        <f>IFERROR(BDP(A70,"CUST_TRR_RETURN_HOLDING_PER","CUST_TRR_START_DT",Settings!$C$5,"CUST_TRR_END_DT",Settings!$C$4)/100,"")</f>
        <v/>
      </c>
      <c r="F70" s="9">
        <f>IFERROR(BDP(A70,"CUST_TRR_RETURN_HOLDING_PER","CUST_TRR_START_DT",Settings!$C$6,"CUST_TRR_END_DT",Settings!$C$4)/100,"")</f>
        <v/>
      </c>
      <c r="G70" s="9">
        <f>IFERROR(BDP(A70,"CUST_TRR_RETURN_HOLDING_PER","CUST_TRR_START_DT",Settings!$C$7,"CUST_TRR_END_DT",Settings!$C$4)/100,"")</f>
        <v/>
      </c>
      <c r="H70" s="9">
        <f>IFERROR(BDP(A70,"CUST_TRR_RETURN_HOLDING_PER","CUST_TRR_START_DT",Settings!$C$8,"CUST_TRR_END_DT",Settings!$C$4)/100,"")</f>
        <v/>
      </c>
    </row>
    <row r="71">
      <c r="A71" s="7" t="inlineStr">
        <is>
          <t>BLDR US Equity</t>
        </is>
      </c>
      <c r="B71">
        <f>IFERROR(BDP(A71,"NAME"),"")</f>
        <v/>
      </c>
      <c r="C71">
        <f>IFERROR(BDP(A71,"GICS_SECTOR_NAME"),"")</f>
        <v/>
      </c>
      <c r="D71" s="8">
        <f>IFERROR(BDP(A71,"PX_LAST"),"")</f>
        <v/>
      </c>
      <c r="E71" s="9">
        <f>IFERROR(BDP(A71,"CUST_TRR_RETURN_HOLDING_PER","CUST_TRR_START_DT",Settings!$C$5,"CUST_TRR_END_DT",Settings!$C$4)/100,"")</f>
        <v/>
      </c>
      <c r="F71" s="9">
        <f>IFERROR(BDP(A71,"CUST_TRR_RETURN_HOLDING_PER","CUST_TRR_START_DT",Settings!$C$6,"CUST_TRR_END_DT",Settings!$C$4)/100,"")</f>
        <v/>
      </c>
      <c r="G71" s="9">
        <f>IFERROR(BDP(A71,"CUST_TRR_RETURN_HOLDING_PER","CUST_TRR_START_DT",Settings!$C$7,"CUST_TRR_END_DT",Settings!$C$4)/100,"")</f>
        <v/>
      </c>
      <c r="H71" s="9">
        <f>IFERROR(BDP(A71,"CUST_TRR_RETURN_HOLDING_PER","CUST_TRR_START_DT",Settings!$C$8,"CUST_TRR_END_DT",Settings!$C$4)/100,"")</f>
        <v/>
      </c>
    </row>
    <row r="72">
      <c r="A72" s="7" t="inlineStr">
        <is>
          <t>BLK US Equity</t>
        </is>
      </c>
      <c r="B72">
        <f>IFERROR(BDP(A72,"NAME"),"")</f>
        <v/>
      </c>
      <c r="C72">
        <f>IFERROR(BDP(A72,"GICS_SECTOR_NAME"),"")</f>
        <v/>
      </c>
      <c r="D72" s="8">
        <f>IFERROR(BDP(A72,"PX_LAST"),"")</f>
        <v/>
      </c>
      <c r="E72" s="9">
        <f>IFERROR(BDP(A72,"CUST_TRR_RETURN_HOLDING_PER","CUST_TRR_START_DT",Settings!$C$5,"CUST_TRR_END_DT",Settings!$C$4)/100,"")</f>
        <v/>
      </c>
      <c r="F72" s="9">
        <f>IFERROR(BDP(A72,"CUST_TRR_RETURN_HOLDING_PER","CUST_TRR_START_DT",Settings!$C$6,"CUST_TRR_END_DT",Settings!$C$4)/100,"")</f>
        <v/>
      </c>
      <c r="G72" s="9">
        <f>IFERROR(BDP(A72,"CUST_TRR_RETURN_HOLDING_PER","CUST_TRR_START_DT",Settings!$C$7,"CUST_TRR_END_DT",Settings!$C$4)/100,"")</f>
        <v/>
      </c>
      <c r="H72" s="9">
        <f>IFERROR(BDP(A72,"CUST_TRR_RETURN_HOLDING_PER","CUST_TRR_START_DT",Settings!$C$8,"CUST_TRR_END_DT",Settings!$C$4)/100,"")</f>
        <v/>
      </c>
    </row>
    <row r="73">
      <c r="A73" s="7" t="inlineStr">
        <is>
          <t>BMY US Equity</t>
        </is>
      </c>
      <c r="B73">
        <f>IFERROR(BDP(A73,"NAME"),"")</f>
        <v/>
      </c>
      <c r="C73">
        <f>IFERROR(BDP(A73,"GICS_SECTOR_NAME"),"")</f>
        <v/>
      </c>
      <c r="D73" s="8">
        <f>IFERROR(BDP(A73,"PX_LAST"),"")</f>
        <v/>
      </c>
      <c r="E73" s="9">
        <f>IFERROR(BDP(A73,"CUST_TRR_RETURN_HOLDING_PER","CUST_TRR_START_DT",Settings!$C$5,"CUST_TRR_END_DT",Settings!$C$4)/100,"")</f>
        <v/>
      </c>
      <c r="F73" s="9">
        <f>IFERROR(BDP(A73,"CUST_TRR_RETURN_HOLDING_PER","CUST_TRR_START_DT",Settings!$C$6,"CUST_TRR_END_DT",Settings!$C$4)/100,"")</f>
        <v/>
      </c>
      <c r="G73" s="9">
        <f>IFERROR(BDP(A73,"CUST_TRR_RETURN_HOLDING_PER","CUST_TRR_START_DT",Settings!$C$7,"CUST_TRR_END_DT",Settings!$C$4)/100,"")</f>
        <v/>
      </c>
      <c r="H73" s="9">
        <f>IFERROR(BDP(A73,"CUST_TRR_RETURN_HOLDING_PER","CUST_TRR_START_DT",Settings!$C$8,"CUST_TRR_END_DT",Settings!$C$4)/100,"")</f>
        <v/>
      </c>
    </row>
    <row r="74">
      <c r="A74" s="7" t="inlineStr">
        <is>
          <t>BR US Equity</t>
        </is>
      </c>
      <c r="B74">
        <f>IFERROR(BDP(A74,"NAME"),"")</f>
        <v/>
      </c>
      <c r="C74">
        <f>IFERROR(BDP(A74,"GICS_SECTOR_NAME"),"")</f>
        <v/>
      </c>
      <c r="D74" s="8">
        <f>IFERROR(BDP(A74,"PX_LAST"),"")</f>
        <v/>
      </c>
      <c r="E74" s="9">
        <f>IFERROR(BDP(A74,"CUST_TRR_RETURN_HOLDING_PER","CUST_TRR_START_DT",Settings!$C$5,"CUST_TRR_END_DT",Settings!$C$4)/100,"")</f>
        <v/>
      </c>
      <c r="F74" s="9">
        <f>IFERROR(BDP(A74,"CUST_TRR_RETURN_HOLDING_PER","CUST_TRR_START_DT",Settings!$C$6,"CUST_TRR_END_DT",Settings!$C$4)/100,"")</f>
        <v/>
      </c>
      <c r="G74" s="9">
        <f>IFERROR(BDP(A74,"CUST_TRR_RETURN_HOLDING_PER","CUST_TRR_START_DT",Settings!$C$7,"CUST_TRR_END_DT",Settings!$C$4)/100,"")</f>
        <v/>
      </c>
      <c r="H74" s="9">
        <f>IFERROR(BDP(A74,"CUST_TRR_RETURN_HOLDING_PER","CUST_TRR_START_DT",Settings!$C$8,"CUST_TRR_END_DT",Settings!$C$4)/100,"")</f>
        <v/>
      </c>
    </row>
    <row r="75">
      <c r="A75" s="7" t="inlineStr">
        <is>
          <t>BRK/B US Equity</t>
        </is>
      </c>
      <c r="B75">
        <f>IFERROR(BDP(A75,"NAME"),"")</f>
        <v/>
      </c>
      <c r="C75">
        <f>IFERROR(BDP(A75,"GICS_SECTOR_NAME"),"")</f>
        <v/>
      </c>
      <c r="D75" s="8">
        <f>IFERROR(BDP(A75,"PX_LAST"),"")</f>
        <v/>
      </c>
      <c r="E75" s="9">
        <f>IFERROR(BDP(A75,"CUST_TRR_RETURN_HOLDING_PER","CUST_TRR_START_DT",Settings!$C$5,"CUST_TRR_END_DT",Settings!$C$4)/100,"")</f>
        <v/>
      </c>
      <c r="F75" s="9">
        <f>IFERROR(BDP(A75,"CUST_TRR_RETURN_HOLDING_PER","CUST_TRR_START_DT",Settings!$C$6,"CUST_TRR_END_DT",Settings!$C$4)/100,"")</f>
        <v/>
      </c>
      <c r="G75" s="9">
        <f>IFERROR(BDP(A75,"CUST_TRR_RETURN_HOLDING_PER","CUST_TRR_START_DT",Settings!$C$7,"CUST_TRR_END_DT",Settings!$C$4)/100,"")</f>
        <v/>
      </c>
      <c r="H75" s="9">
        <f>IFERROR(BDP(A75,"CUST_TRR_RETURN_HOLDING_PER","CUST_TRR_START_DT",Settings!$C$8,"CUST_TRR_END_DT",Settings!$C$4)/100,"")</f>
        <v/>
      </c>
    </row>
    <row r="76">
      <c r="A76" s="7" t="inlineStr">
        <is>
          <t>BRO US Equity</t>
        </is>
      </c>
      <c r="B76">
        <f>IFERROR(BDP(A76,"NAME"),"")</f>
        <v/>
      </c>
      <c r="C76">
        <f>IFERROR(BDP(A76,"GICS_SECTOR_NAME"),"")</f>
        <v/>
      </c>
      <c r="D76" s="8">
        <f>IFERROR(BDP(A76,"PX_LAST"),"")</f>
        <v/>
      </c>
      <c r="E76" s="9">
        <f>IFERROR(BDP(A76,"CUST_TRR_RETURN_HOLDING_PER","CUST_TRR_START_DT",Settings!$C$5,"CUST_TRR_END_DT",Settings!$C$4)/100,"")</f>
        <v/>
      </c>
      <c r="F76" s="9">
        <f>IFERROR(BDP(A76,"CUST_TRR_RETURN_HOLDING_PER","CUST_TRR_START_DT",Settings!$C$6,"CUST_TRR_END_DT",Settings!$C$4)/100,"")</f>
        <v/>
      </c>
      <c r="G76" s="9">
        <f>IFERROR(BDP(A76,"CUST_TRR_RETURN_HOLDING_PER","CUST_TRR_START_DT",Settings!$C$7,"CUST_TRR_END_DT",Settings!$C$4)/100,"")</f>
        <v/>
      </c>
      <c r="H76" s="9">
        <f>IFERROR(BDP(A76,"CUST_TRR_RETURN_HOLDING_PER","CUST_TRR_START_DT",Settings!$C$8,"CUST_TRR_END_DT",Settings!$C$4)/100,"")</f>
        <v/>
      </c>
    </row>
    <row r="77">
      <c r="A77" s="7" t="inlineStr">
        <is>
          <t>BSX US Equity</t>
        </is>
      </c>
      <c r="B77">
        <f>IFERROR(BDP(A77,"NAME"),"")</f>
        <v/>
      </c>
      <c r="C77">
        <f>IFERROR(BDP(A77,"GICS_SECTOR_NAME"),"")</f>
        <v/>
      </c>
      <c r="D77" s="8">
        <f>IFERROR(BDP(A77,"PX_LAST"),"")</f>
        <v/>
      </c>
      <c r="E77" s="9">
        <f>IFERROR(BDP(A77,"CUST_TRR_RETURN_HOLDING_PER","CUST_TRR_START_DT",Settings!$C$5,"CUST_TRR_END_DT",Settings!$C$4)/100,"")</f>
        <v/>
      </c>
      <c r="F77" s="9">
        <f>IFERROR(BDP(A77,"CUST_TRR_RETURN_HOLDING_PER","CUST_TRR_START_DT",Settings!$C$6,"CUST_TRR_END_DT",Settings!$C$4)/100,"")</f>
        <v/>
      </c>
      <c r="G77" s="9">
        <f>IFERROR(BDP(A77,"CUST_TRR_RETURN_HOLDING_PER","CUST_TRR_START_DT",Settings!$C$7,"CUST_TRR_END_DT",Settings!$C$4)/100,"")</f>
        <v/>
      </c>
      <c r="H77" s="9">
        <f>IFERROR(BDP(A77,"CUST_TRR_RETURN_HOLDING_PER","CUST_TRR_START_DT",Settings!$C$8,"CUST_TRR_END_DT",Settings!$C$4)/100,"")</f>
        <v/>
      </c>
    </row>
    <row r="78">
      <c r="A78" s="7" t="inlineStr">
        <is>
          <t>BWA US Equity</t>
        </is>
      </c>
      <c r="B78">
        <f>IFERROR(BDP(A78,"NAME"),"")</f>
        <v/>
      </c>
      <c r="C78">
        <f>IFERROR(BDP(A78,"GICS_SECTOR_NAME"),"")</f>
        <v/>
      </c>
      <c r="D78" s="8">
        <f>IFERROR(BDP(A78,"PX_LAST"),"")</f>
        <v/>
      </c>
      <c r="E78" s="9">
        <f>IFERROR(BDP(A78,"CUST_TRR_RETURN_HOLDING_PER","CUST_TRR_START_DT",Settings!$C$5,"CUST_TRR_END_DT",Settings!$C$4)/100,"")</f>
        <v/>
      </c>
      <c r="F78" s="9">
        <f>IFERROR(BDP(A78,"CUST_TRR_RETURN_HOLDING_PER","CUST_TRR_START_DT",Settings!$C$6,"CUST_TRR_END_DT",Settings!$C$4)/100,"")</f>
        <v/>
      </c>
      <c r="G78" s="9">
        <f>IFERROR(BDP(A78,"CUST_TRR_RETURN_HOLDING_PER","CUST_TRR_START_DT",Settings!$C$7,"CUST_TRR_END_DT",Settings!$C$4)/100,"")</f>
        <v/>
      </c>
      <c r="H78" s="9">
        <f>IFERROR(BDP(A78,"CUST_TRR_RETURN_HOLDING_PER","CUST_TRR_START_DT",Settings!$C$8,"CUST_TRR_END_DT",Settings!$C$4)/100,"")</f>
        <v/>
      </c>
    </row>
    <row r="79">
      <c r="A79" s="7" t="inlineStr">
        <is>
          <t>BX US Equity</t>
        </is>
      </c>
      <c r="B79">
        <f>IFERROR(BDP(A79,"NAME"),"")</f>
        <v/>
      </c>
      <c r="C79">
        <f>IFERROR(BDP(A79,"GICS_SECTOR_NAME"),"")</f>
        <v/>
      </c>
      <c r="D79" s="8">
        <f>IFERROR(BDP(A79,"PX_LAST"),"")</f>
        <v/>
      </c>
      <c r="E79" s="9">
        <f>IFERROR(BDP(A79,"CUST_TRR_RETURN_HOLDING_PER","CUST_TRR_START_DT",Settings!$C$5,"CUST_TRR_END_DT",Settings!$C$4)/100,"")</f>
        <v/>
      </c>
      <c r="F79" s="9">
        <f>IFERROR(BDP(A79,"CUST_TRR_RETURN_HOLDING_PER","CUST_TRR_START_DT",Settings!$C$6,"CUST_TRR_END_DT",Settings!$C$4)/100,"")</f>
        <v/>
      </c>
      <c r="G79" s="9">
        <f>IFERROR(BDP(A79,"CUST_TRR_RETURN_HOLDING_PER","CUST_TRR_START_DT",Settings!$C$7,"CUST_TRR_END_DT",Settings!$C$4)/100,"")</f>
        <v/>
      </c>
      <c r="H79" s="9">
        <f>IFERROR(BDP(A79,"CUST_TRR_RETURN_HOLDING_PER","CUST_TRR_START_DT",Settings!$C$8,"CUST_TRR_END_DT",Settings!$C$4)/100,"")</f>
        <v/>
      </c>
    </row>
    <row r="80">
      <c r="A80" s="7" t="inlineStr">
        <is>
          <t>BXP US Equity</t>
        </is>
      </c>
      <c r="B80">
        <f>IFERROR(BDP(A80,"NAME"),"")</f>
        <v/>
      </c>
      <c r="C80">
        <f>IFERROR(BDP(A80,"GICS_SECTOR_NAME"),"")</f>
        <v/>
      </c>
      <c r="D80" s="8">
        <f>IFERROR(BDP(A80,"PX_LAST"),"")</f>
        <v/>
      </c>
      <c r="E80" s="9">
        <f>IFERROR(BDP(A80,"CUST_TRR_RETURN_HOLDING_PER","CUST_TRR_START_DT",Settings!$C$5,"CUST_TRR_END_DT",Settings!$C$4)/100,"")</f>
        <v/>
      </c>
      <c r="F80" s="9">
        <f>IFERROR(BDP(A80,"CUST_TRR_RETURN_HOLDING_PER","CUST_TRR_START_DT",Settings!$C$6,"CUST_TRR_END_DT",Settings!$C$4)/100,"")</f>
        <v/>
      </c>
      <c r="G80" s="9">
        <f>IFERROR(BDP(A80,"CUST_TRR_RETURN_HOLDING_PER","CUST_TRR_START_DT",Settings!$C$7,"CUST_TRR_END_DT",Settings!$C$4)/100,"")</f>
        <v/>
      </c>
      <c r="H80" s="9">
        <f>IFERROR(BDP(A80,"CUST_TRR_RETURN_HOLDING_PER","CUST_TRR_START_DT",Settings!$C$8,"CUST_TRR_END_DT",Settings!$C$4)/100,"")</f>
        <v/>
      </c>
    </row>
    <row r="81">
      <c r="A81" s="7" t="inlineStr">
        <is>
          <t>C US Equity</t>
        </is>
      </c>
      <c r="B81">
        <f>IFERROR(BDP(A81,"NAME"),"")</f>
        <v/>
      </c>
      <c r="C81">
        <f>IFERROR(BDP(A81,"GICS_SECTOR_NAME"),"")</f>
        <v/>
      </c>
      <c r="D81" s="8">
        <f>IFERROR(BDP(A81,"PX_LAST"),"")</f>
        <v/>
      </c>
      <c r="E81" s="9">
        <f>IFERROR(BDP(A81,"CUST_TRR_RETURN_HOLDING_PER","CUST_TRR_START_DT",Settings!$C$5,"CUST_TRR_END_DT",Settings!$C$4)/100,"")</f>
        <v/>
      </c>
      <c r="F81" s="9">
        <f>IFERROR(BDP(A81,"CUST_TRR_RETURN_HOLDING_PER","CUST_TRR_START_DT",Settings!$C$6,"CUST_TRR_END_DT",Settings!$C$4)/100,"")</f>
        <v/>
      </c>
      <c r="G81" s="9">
        <f>IFERROR(BDP(A81,"CUST_TRR_RETURN_HOLDING_PER","CUST_TRR_START_DT",Settings!$C$7,"CUST_TRR_END_DT",Settings!$C$4)/100,"")</f>
        <v/>
      </c>
      <c r="H81" s="9">
        <f>IFERROR(BDP(A81,"CUST_TRR_RETURN_HOLDING_PER","CUST_TRR_START_DT",Settings!$C$8,"CUST_TRR_END_DT",Settings!$C$4)/100,"")</f>
        <v/>
      </c>
    </row>
    <row r="82">
      <c r="A82" s="7" t="inlineStr">
        <is>
          <t>CAG US Equity</t>
        </is>
      </c>
      <c r="B82">
        <f>IFERROR(BDP(A82,"NAME"),"")</f>
        <v/>
      </c>
      <c r="C82">
        <f>IFERROR(BDP(A82,"GICS_SECTOR_NAME"),"")</f>
        <v/>
      </c>
      <c r="D82" s="8">
        <f>IFERROR(BDP(A82,"PX_LAST"),"")</f>
        <v/>
      </c>
      <c r="E82" s="9">
        <f>IFERROR(BDP(A82,"CUST_TRR_RETURN_HOLDING_PER","CUST_TRR_START_DT",Settings!$C$5,"CUST_TRR_END_DT",Settings!$C$4)/100,"")</f>
        <v/>
      </c>
      <c r="F82" s="9">
        <f>IFERROR(BDP(A82,"CUST_TRR_RETURN_HOLDING_PER","CUST_TRR_START_DT",Settings!$C$6,"CUST_TRR_END_DT",Settings!$C$4)/100,"")</f>
        <v/>
      </c>
      <c r="G82" s="9">
        <f>IFERROR(BDP(A82,"CUST_TRR_RETURN_HOLDING_PER","CUST_TRR_START_DT",Settings!$C$7,"CUST_TRR_END_DT",Settings!$C$4)/100,"")</f>
        <v/>
      </c>
      <c r="H82" s="9">
        <f>IFERROR(BDP(A82,"CUST_TRR_RETURN_HOLDING_PER","CUST_TRR_START_DT",Settings!$C$8,"CUST_TRR_END_DT",Settings!$C$4)/100,"")</f>
        <v/>
      </c>
    </row>
    <row r="83">
      <c r="A83" s="7" t="inlineStr">
        <is>
          <t>CAH US Equity</t>
        </is>
      </c>
      <c r="B83">
        <f>IFERROR(BDP(A83,"NAME"),"")</f>
        <v/>
      </c>
      <c r="C83">
        <f>IFERROR(BDP(A83,"GICS_SECTOR_NAME"),"")</f>
        <v/>
      </c>
      <c r="D83" s="8">
        <f>IFERROR(BDP(A83,"PX_LAST"),"")</f>
        <v/>
      </c>
      <c r="E83" s="9">
        <f>IFERROR(BDP(A83,"CUST_TRR_RETURN_HOLDING_PER","CUST_TRR_START_DT",Settings!$C$5,"CUST_TRR_END_DT",Settings!$C$4)/100,"")</f>
        <v/>
      </c>
      <c r="F83" s="9">
        <f>IFERROR(BDP(A83,"CUST_TRR_RETURN_HOLDING_PER","CUST_TRR_START_DT",Settings!$C$6,"CUST_TRR_END_DT",Settings!$C$4)/100,"")</f>
        <v/>
      </c>
      <c r="G83" s="9">
        <f>IFERROR(BDP(A83,"CUST_TRR_RETURN_HOLDING_PER","CUST_TRR_START_DT",Settings!$C$7,"CUST_TRR_END_DT",Settings!$C$4)/100,"")</f>
        <v/>
      </c>
      <c r="H83" s="9">
        <f>IFERROR(BDP(A83,"CUST_TRR_RETURN_HOLDING_PER","CUST_TRR_START_DT",Settings!$C$8,"CUST_TRR_END_DT",Settings!$C$4)/100,"")</f>
        <v/>
      </c>
    </row>
    <row r="84">
      <c r="A84" s="7" t="inlineStr">
        <is>
          <t>CARR US Equity</t>
        </is>
      </c>
      <c r="B84">
        <f>IFERROR(BDP(A84,"NAME"),"")</f>
        <v/>
      </c>
      <c r="C84">
        <f>IFERROR(BDP(A84,"GICS_SECTOR_NAME"),"")</f>
        <v/>
      </c>
      <c r="D84" s="8">
        <f>IFERROR(BDP(A84,"PX_LAST"),"")</f>
        <v/>
      </c>
      <c r="E84" s="9">
        <f>IFERROR(BDP(A84,"CUST_TRR_RETURN_HOLDING_PER","CUST_TRR_START_DT",Settings!$C$5,"CUST_TRR_END_DT",Settings!$C$4)/100,"")</f>
        <v/>
      </c>
      <c r="F84" s="9">
        <f>IFERROR(BDP(A84,"CUST_TRR_RETURN_HOLDING_PER","CUST_TRR_START_DT",Settings!$C$6,"CUST_TRR_END_DT",Settings!$C$4)/100,"")</f>
        <v/>
      </c>
      <c r="G84" s="9">
        <f>IFERROR(BDP(A84,"CUST_TRR_RETURN_HOLDING_PER","CUST_TRR_START_DT",Settings!$C$7,"CUST_TRR_END_DT",Settings!$C$4)/100,"")</f>
        <v/>
      </c>
      <c r="H84" s="9">
        <f>IFERROR(BDP(A84,"CUST_TRR_RETURN_HOLDING_PER","CUST_TRR_START_DT",Settings!$C$8,"CUST_TRR_END_DT",Settings!$C$4)/100,"")</f>
        <v/>
      </c>
    </row>
    <row r="85">
      <c r="A85" s="7" t="inlineStr">
        <is>
          <t>CAT US Equity</t>
        </is>
      </c>
      <c r="B85">
        <f>IFERROR(BDP(A85,"NAME"),"")</f>
        <v/>
      </c>
      <c r="C85">
        <f>IFERROR(BDP(A85,"GICS_SECTOR_NAME"),"")</f>
        <v/>
      </c>
      <c r="D85" s="8">
        <f>IFERROR(BDP(A85,"PX_LAST"),"")</f>
        <v/>
      </c>
      <c r="E85" s="9">
        <f>IFERROR(BDP(A85,"CUST_TRR_RETURN_HOLDING_PER","CUST_TRR_START_DT",Settings!$C$5,"CUST_TRR_END_DT",Settings!$C$4)/100,"")</f>
        <v/>
      </c>
      <c r="F85" s="9">
        <f>IFERROR(BDP(A85,"CUST_TRR_RETURN_HOLDING_PER","CUST_TRR_START_DT",Settings!$C$6,"CUST_TRR_END_DT",Settings!$C$4)/100,"")</f>
        <v/>
      </c>
      <c r="G85" s="9">
        <f>IFERROR(BDP(A85,"CUST_TRR_RETURN_HOLDING_PER","CUST_TRR_START_DT",Settings!$C$7,"CUST_TRR_END_DT",Settings!$C$4)/100,"")</f>
        <v/>
      </c>
      <c r="H85" s="9">
        <f>IFERROR(BDP(A85,"CUST_TRR_RETURN_HOLDING_PER","CUST_TRR_START_DT",Settings!$C$8,"CUST_TRR_END_DT",Settings!$C$4)/100,"")</f>
        <v/>
      </c>
    </row>
    <row r="86">
      <c r="A86" s="7" t="inlineStr">
        <is>
          <t>CB US Equity</t>
        </is>
      </c>
      <c r="B86">
        <f>IFERROR(BDP(A86,"NAME"),"")</f>
        <v/>
      </c>
      <c r="C86">
        <f>IFERROR(BDP(A86,"GICS_SECTOR_NAME"),"")</f>
        <v/>
      </c>
      <c r="D86" s="8">
        <f>IFERROR(BDP(A86,"PX_LAST"),"")</f>
        <v/>
      </c>
      <c r="E86" s="9">
        <f>IFERROR(BDP(A86,"CUST_TRR_RETURN_HOLDING_PER","CUST_TRR_START_DT",Settings!$C$5,"CUST_TRR_END_DT",Settings!$C$4)/100,"")</f>
        <v/>
      </c>
      <c r="F86" s="9">
        <f>IFERROR(BDP(A86,"CUST_TRR_RETURN_HOLDING_PER","CUST_TRR_START_DT",Settings!$C$6,"CUST_TRR_END_DT",Settings!$C$4)/100,"")</f>
        <v/>
      </c>
      <c r="G86" s="9">
        <f>IFERROR(BDP(A86,"CUST_TRR_RETURN_HOLDING_PER","CUST_TRR_START_DT",Settings!$C$7,"CUST_TRR_END_DT",Settings!$C$4)/100,"")</f>
        <v/>
      </c>
      <c r="H86" s="9">
        <f>IFERROR(BDP(A86,"CUST_TRR_RETURN_HOLDING_PER","CUST_TRR_START_DT",Settings!$C$8,"CUST_TRR_END_DT",Settings!$C$4)/100,"")</f>
        <v/>
      </c>
    </row>
    <row r="87">
      <c r="A87" s="7" t="inlineStr">
        <is>
          <t>CBOE US Equity</t>
        </is>
      </c>
      <c r="B87">
        <f>IFERROR(BDP(A87,"NAME"),"")</f>
        <v/>
      </c>
      <c r="C87">
        <f>IFERROR(BDP(A87,"GICS_SECTOR_NAME"),"")</f>
        <v/>
      </c>
      <c r="D87" s="8">
        <f>IFERROR(BDP(A87,"PX_LAST"),"")</f>
        <v/>
      </c>
      <c r="E87" s="9">
        <f>IFERROR(BDP(A87,"CUST_TRR_RETURN_HOLDING_PER","CUST_TRR_START_DT",Settings!$C$5,"CUST_TRR_END_DT",Settings!$C$4)/100,"")</f>
        <v/>
      </c>
      <c r="F87" s="9">
        <f>IFERROR(BDP(A87,"CUST_TRR_RETURN_HOLDING_PER","CUST_TRR_START_DT",Settings!$C$6,"CUST_TRR_END_DT",Settings!$C$4)/100,"")</f>
        <v/>
      </c>
      <c r="G87" s="9">
        <f>IFERROR(BDP(A87,"CUST_TRR_RETURN_HOLDING_PER","CUST_TRR_START_DT",Settings!$C$7,"CUST_TRR_END_DT",Settings!$C$4)/100,"")</f>
        <v/>
      </c>
      <c r="H87" s="9">
        <f>IFERROR(BDP(A87,"CUST_TRR_RETURN_HOLDING_PER","CUST_TRR_START_DT",Settings!$C$8,"CUST_TRR_END_DT",Settings!$C$4)/100,"")</f>
        <v/>
      </c>
    </row>
    <row r="88">
      <c r="A88" s="7" t="inlineStr">
        <is>
          <t>CBRE US Equity</t>
        </is>
      </c>
      <c r="B88">
        <f>IFERROR(BDP(A88,"NAME"),"")</f>
        <v/>
      </c>
      <c r="C88">
        <f>IFERROR(BDP(A88,"GICS_SECTOR_NAME"),"")</f>
        <v/>
      </c>
      <c r="D88" s="8">
        <f>IFERROR(BDP(A88,"PX_LAST"),"")</f>
        <v/>
      </c>
      <c r="E88" s="9">
        <f>IFERROR(BDP(A88,"CUST_TRR_RETURN_HOLDING_PER","CUST_TRR_START_DT",Settings!$C$5,"CUST_TRR_END_DT",Settings!$C$4)/100,"")</f>
        <v/>
      </c>
      <c r="F88" s="9">
        <f>IFERROR(BDP(A88,"CUST_TRR_RETURN_HOLDING_PER","CUST_TRR_START_DT",Settings!$C$6,"CUST_TRR_END_DT",Settings!$C$4)/100,"")</f>
        <v/>
      </c>
      <c r="G88" s="9">
        <f>IFERROR(BDP(A88,"CUST_TRR_RETURN_HOLDING_PER","CUST_TRR_START_DT",Settings!$C$7,"CUST_TRR_END_DT",Settings!$C$4)/100,"")</f>
        <v/>
      </c>
      <c r="H88" s="9">
        <f>IFERROR(BDP(A88,"CUST_TRR_RETURN_HOLDING_PER","CUST_TRR_START_DT",Settings!$C$8,"CUST_TRR_END_DT",Settings!$C$4)/100,"")</f>
        <v/>
      </c>
    </row>
    <row r="89">
      <c r="A89" s="7" t="inlineStr">
        <is>
          <t>CCI US Equity</t>
        </is>
      </c>
      <c r="B89">
        <f>IFERROR(BDP(A89,"NAME"),"")</f>
        <v/>
      </c>
      <c r="C89">
        <f>IFERROR(BDP(A89,"GICS_SECTOR_NAME"),"")</f>
        <v/>
      </c>
      <c r="D89" s="8">
        <f>IFERROR(BDP(A89,"PX_LAST"),"")</f>
        <v/>
      </c>
      <c r="E89" s="9">
        <f>IFERROR(BDP(A89,"CUST_TRR_RETURN_HOLDING_PER","CUST_TRR_START_DT",Settings!$C$5,"CUST_TRR_END_DT",Settings!$C$4)/100,"")</f>
        <v/>
      </c>
      <c r="F89" s="9">
        <f>IFERROR(BDP(A89,"CUST_TRR_RETURN_HOLDING_PER","CUST_TRR_START_DT",Settings!$C$6,"CUST_TRR_END_DT",Settings!$C$4)/100,"")</f>
        <v/>
      </c>
      <c r="G89" s="9">
        <f>IFERROR(BDP(A89,"CUST_TRR_RETURN_HOLDING_PER","CUST_TRR_START_DT",Settings!$C$7,"CUST_TRR_END_DT",Settings!$C$4)/100,"")</f>
        <v/>
      </c>
      <c r="H89" s="9">
        <f>IFERROR(BDP(A89,"CUST_TRR_RETURN_HOLDING_PER","CUST_TRR_START_DT",Settings!$C$8,"CUST_TRR_END_DT",Settings!$C$4)/100,"")</f>
        <v/>
      </c>
    </row>
    <row r="90">
      <c r="A90" s="7" t="inlineStr">
        <is>
          <t>CCL US Equity</t>
        </is>
      </c>
      <c r="B90">
        <f>IFERROR(BDP(A90,"NAME"),"")</f>
        <v/>
      </c>
      <c r="C90">
        <f>IFERROR(BDP(A90,"GICS_SECTOR_NAME"),"")</f>
        <v/>
      </c>
      <c r="D90" s="8">
        <f>IFERROR(BDP(A90,"PX_LAST"),"")</f>
        <v/>
      </c>
      <c r="E90" s="9">
        <f>IFERROR(BDP(A90,"CUST_TRR_RETURN_HOLDING_PER","CUST_TRR_START_DT",Settings!$C$5,"CUST_TRR_END_DT",Settings!$C$4)/100,"")</f>
        <v/>
      </c>
      <c r="F90" s="9">
        <f>IFERROR(BDP(A90,"CUST_TRR_RETURN_HOLDING_PER","CUST_TRR_START_DT",Settings!$C$6,"CUST_TRR_END_DT",Settings!$C$4)/100,"")</f>
        <v/>
      </c>
      <c r="G90" s="9">
        <f>IFERROR(BDP(A90,"CUST_TRR_RETURN_HOLDING_PER","CUST_TRR_START_DT",Settings!$C$7,"CUST_TRR_END_DT",Settings!$C$4)/100,"")</f>
        <v/>
      </c>
      <c r="H90" s="9">
        <f>IFERROR(BDP(A90,"CUST_TRR_RETURN_HOLDING_PER","CUST_TRR_START_DT",Settings!$C$8,"CUST_TRR_END_DT",Settings!$C$4)/100,"")</f>
        <v/>
      </c>
    </row>
    <row r="91">
      <c r="A91" s="7" t="inlineStr">
        <is>
          <t>CDNS US Equity</t>
        </is>
      </c>
      <c r="B91">
        <f>IFERROR(BDP(A91,"NAME"),"")</f>
        <v/>
      </c>
      <c r="C91">
        <f>IFERROR(BDP(A91,"GICS_SECTOR_NAME"),"")</f>
        <v/>
      </c>
      <c r="D91" s="8">
        <f>IFERROR(BDP(A91,"PX_LAST"),"")</f>
        <v/>
      </c>
      <c r="E91" s="9">
        <f>IFERROR(BDP(A91,"CUST_TRR_RETURN_HOLDING_PER","CUST_TRR_START_DT",Settings!$C$5,"CUST_TRR_END_DT",Settings!$C$4)/100,"")</f>
        <v/>
      </c>
      <c r="F91" s="9">
        <f>IFERROR(BDP(A91,"CUST_TRR_RETURN_HOLDING_PER","CUST_TRR_START_DT",Settings!$C$6,"CUST_TRR_END_DT",Settings!$C$4)/100,"")</f>
        <v/>
      </c>
      <c r="G91" s="9">
        <f>IFERROR(BDP(A91,"CUST_TRR_RETURN_HOLDING_PER","CUST_TRR_START_DT",Settings!$C$7,"CUST_TRR_END_DT",Settings!$C$4)/100,"")</f>
        <v/>
      </c>
      <c r="H91" s="9">
        <f>IFERROR(BDP(A91,"CUST_TRR_RETURN_HOLDING_PER","CUST_TRR_START_DT",Settings!$C$8,"CUST_TRR_END_DT",Settings!$C$4)/100,"")</f>
        <v/>
      </c>
    </row>
    <row r="92">
      <c r="A92" s="7" t="inlineStr">
        <is>
          <t>CDW US Equity</t>
        </is>
      </c>
      <c r="B92">
        <f>IFERROR(BDP(A92,"NAME"),"")</f>
        <v/>
      </c>
      <c r="C92">
        <f>IFERROR(BDP(A92,"GICS_SECTOR_NAME"),"")</f>
        <v/>
      </c>
      <c r="D92" s="8">
        <f>IFERROR(BDP(A92,"PX_LAST"),"")</f>
        <v/>
      </c>
      <c r="E92" s="9">
        <f>IFERROR(BDP(A92,"CUST_TRR_RETURN_HOLDING_PER","CUST_TRR_START_DT",Settings!$C$5,"CUST_TRR_END_DT",Settings!$C$4)/100,"")</f>
        <v/>
      </c>
      <c r="F92" s="9">
        <f>IFERROR(BDP(A92,"CUST_TRR_RETURN_HOLDING_PER","CUST_TRR_START_DT",Settings!$C$6,"CUST_TRR_END_DT",Settings!$C$4)/100,"")</f>
        <v/>
      </c>
      <c r="G92" s="9">
        <f>IFERROR(BDP(A92,"CUST_TRR_RETURN_HOLDING_PER","CUST_TRR_START_DT",Settings!$C$7,"CUST_TRR_END_DT",Settings!$C$4)/100,"")</f>
        <v/>
      </c>
      <c r="H92" s="9">
        <f>IFERROR(BDP(A92,"CUST_TRR_RETURN_HOLDING_PER","CUST_TRR_START_DT",Settings!$C$8,"CUST_TRR_END_DT",Settings!$C$4)/100,"")</f>
        <v/>
      </c>
    </row>
    <row r="93">
      <c r="A93" s="7" t="inlineStr">
        <is>
          <t>CE US Equity</t>
        </is>
      </c>
      <c r="B93">
        <f>IFERROR(BDP(A93,"NAME"),"")</f>
        <v/>
      </c>
      <c r="C93">
        <f>IFERROR(BDP(A93,"GICS_SECTOR_NAME"),"")</f>
        <v/>
      </c>
      <c r="D93" s="8">
        <f>IFERROR(BDP(A93,"PX_LAST"),"")</f>
        <v/>
      </c>
      <c r="E93" s="9">
        <f>IFERROR(BDP(A93,"CUST_TRR_RETURN_HOLDING_PER","CUST_TRR_START_DT",Settings!$C$5,"CUST_TRR_END_DT",Settings!$C$4)/100,"")</f>
        <v/>
      </c>
      <c r="F93" s="9">
        <f>IFERROR(BDP(A93,"CUST_TRR_RETURN_HOLDING_PER","CUST_TRR_START_DT",Settings!$C$6,"CUST_TRR_END_DT",Settings!$C$4)/100,"")</f>
        <v/>
      </c>
      <c r="G93" s="9">
        <f>IFERROR(BDP(A93,"CUST_TRR_RETURN_HOLDING_PER","CUST_TRR_START_DT",Settings!$C$7,"CUST_TRR_END_DT",Settings!$C$4)/100,"")</f>
        <v/>
      </c>
      <c r="H93" s="9">
        <f>IFERROR(BDP(A93,"CUST_TRR_RETURN_HOLDING_PER","CUST_TRR_START_DT",Settings!$C$8,"CUST_TRR_END_DT",Settings!$C$4)/100,"")</f>
        <v/>
      </c>
    </row>
    <row r="94">
      <c r="A94" s="7" t="inlineStr">
        <is>
          <t>CEG US Equity</t>
        </is>
      </c>
      <c r="B94">
        <f>IFERROR(BDP(A94,"NAME"),"")</f>
        <v/>
      </c>
      <c r="C94">
        <f>IFERROR(BDP(A94,"GICS_SECTOR_NAME"),"")</f>
        <v/>
      </c>
      <c r="D94" s="8">
        <f>IFERROR(BDP(A94,"PX_LAST"),"")</f>
        <v/>
      </c>
      <c r="E94" s="9">
        <f>IFERROR(BDP(A94,"CUST_TRR_RETURN_HOLDING_PER","CUST_TRR_START_DT",Settings!$C$5,"CUST_TRR_END_DT",Settings!$C$4)/100,"")</f>
        <v/>
      </c>
      <c r="F94" s="9">
        <f>IFERROR(BDP(A94,"CUST_TRR_RETURN_HOLDING_PER","CUST_TRR_START_DT",Settings!$C$6,"CUST_TRR_END_DT",Settings!$C$4)/100,"")</f>
        <v/>
      </c>
      <c r="G94" s="9">
        <f>IFERROR(BDP(A94,"CUST_TRR_RETURN_HOLDING_PER","CUST_TRR_START_DT",Settings!$C$7,"CUST_TRR_END_DT",Settings!$C$4)/100,"")</f>
        <v/>
      </c>
      <c r="H94" s="9">
        <f>IFERROR(BDP(A94,"CUST_TRR_RETURN_HOLDING_PER","CUST_TRR_START_DT",Settings!$C$8,"CUST_TRR_END_DT",Settings!$C$4)/100,"")</f>
        <v/>
      </c>
    </row>
    <row r="95">
      <c r="A95" s="7" t="inlineStr">
        <is>
          <t>CF US Equity</t>
        </is>
      </c>
      <c r="B95">
        <f>IFERROR(BDP(A95,"NAME"),"")</f>
        <v/>
      </c>
      <c r="C95">
        <f>IFERROR(BDP(A95,"GICS_SECTOR_NAME"),"")</f>
        <v/>
      </c>
      <c r="D95" s="8">
        <f>IFERROR(BDP(A95,"PX_LAST"),"")</f>
        <v/>
      </c>
      <c r="E95" s="9">
        <f>IFERROR(BDP(A95,"CUST_TRR_RETURN_HOLDING_PER","CUST_TRR_START_DT",Settings!$C$5,"CUST_TRR_END_DT",Settings!$C$4)/100,"")</f>
        <v/>
      </c>
      <c r="F95" s="9">
        <f>IFERROR(BDP(A95,"CUST_TRR_RETURN_HOLDING_PER","CUST_TRR_START_DT",Settings!$C$6,"CUST_TRR_END_DT",Settings!$C$4)/100,"")</f>
        <v/>
      </c>
      <c r="G95" s="9">
        <f>IFERROR(BDP(A95,"CUST_TRR_RETURN_HOLDING_PER","CUST_TRR_START_DT",Settings!$C$7,"CUST_TRR_END_DT",Settings!$C$4)/100,"")</f>
        <v/>
      </c>
      <c r="H95" s="9">
        <f>IFERROR(BDP(A95,"CUST_TRR_RETURN_HOLDING_PER","CUST_TRR_START_DT",Settings!$C$8,"CUST_TRR_END_DT",Settings!$C$4)/100,"")</f>
        <v/>
      </c>
    </row>
    <row r="96">
      <c r="A96" s="7" t="inlineStr">
        <is>
          <t>CFG US Equity</t>
        </is>
      </c>
      <c r="B96">
        <f>IFERROR(BDP(A96,"NAME"),"")</f>
        <v/>
      </c>
      <c r="C96">
        <f>IFERROR(BDP(A96,"GICS_SECTOR_NAME"),"")</f>
        <v/>
      </c>
      <c r="D96" s="8">
        <f>IFERROR(BDP(A96,"PX_LAST"),"")</f>
        <v/>
      </c>
      <c r="E96" s="9">
        <f>IFERROR(BDP(A96,"CUST_TRR_RETURN_HOLDING_PER","CUST_TRR_START_DT",Settings!$C$5,"CUST_TRR_END_DT",Settings!$C$4)/100,"")</f>
        <v/>
      </c>
      <c r="F96" s="9">
        <f>IFERROR(BDP(A96,"CUST_TRR_RETURN_HOLDING_PER","CUST_TRR_START_DT",Settings!$C$6,"CUST_TRR_END_DT",Settings!$C$4)/100,"")</f>
        <v/>
      </c>
      <c r="G96" s="9">
        <f>IFERROR(BDP(A96,"CUST_TRR_RETURN_HOLDING_PER","CUST_TRR_START_DT",Settings!$C$7,"CUST_TRR_END_DT",Settings!$C$4)/100,"")</f>
        <v/>
      </c>
      <c r="H96" s="9">
        <f>IFERROR(BDP(A96,"CUST_TRR_RETURN_HOLDING_PER","CUST_TRR_START_DT",Settings!$C$8,"CUST_TRR_END_DT",Settings!$C$4)/100,"")</f>
        <v/>
      </c>
    </row>
    <row r="97">
      <c r="A97" s="7" t="inlineStr">
        <is>
          <t>CHD US Equity</t>
        </is>
      </c>
      <c r="B97">
        <f>IFERROR(BDP(A97,"NAME"),"")</f>
        <v/>
      </c>
      <c r="C97">
        <f>IFERROR(BDP(A97,"GICS_SECTOR_NAME"),"")</f>
        <v/>
      </c>
      <c r="D97" s="8">
        <f>IFERROR(BDP(A97,"PX_LAST"),"")</f>
        <v/>
      </c>
      <c r="E97" s="9">
        <f>IFERROR(BDP(A97,"CUST_TRR_RETURN_HOLDING_PER","CUST_TRR_START_DT",Settings!$C$5,"CUST_TRR_END_DT",Settings!$C$4)/100,"")</f>
        <v/>
      </c>
      <c r="F97" s="9">
        <f>IFERROR(BDP(A97,"CUST_TRR_RETURN_HOLDING_PER","CUST_TRR_START_DT",Settings!$C$6,"CUST_TRR_END_DT",Settings!$C$4)/100,"")</f>
        <v/>
      </c>
      <c r="G97" s="9">
        <f>IFERROR(BDP(A97,"CUST_TRR_RETURN_HOLDING_PER","CUST_TRR_START_DT",Settings!$C$7,"CUST_TRR_END_DT",Settings!$C$4)/100,"")</f>
        <v/>
      </c>
      <c r="H97" s="9">
        <f>IFERROR(BDP(A97,"CUST_TRR_RETURN_HOLDING_PER","CUST_TRR_START_DT",Settings!$C$8,"CUST_TRR_END_DT",Settings!$C$4)/100,"")</f>
        <v/>
      </c>
    </row>
    <row r="98">
      <c r="A98" s="7" t="inlineStr">
        <is>
          <t>CHRW US Equity</t>
        </is>
      </c>
      <c r="B98">
        <f>IFERROR(BDP(A98,"NAME"),"")</f>
        <v/>
      </c>
      <c r="C98">
        <f>IFERROR(BDP(A98,"GICS_SECTOR_NAME"),"")</f>
        <v/>
      </c>
      <c r="D98" s="8">
        <f>IFERROR(BDP(A98,"PX_LAST"),"")</f>
        <v/>
      </c>
      <c r="E98" s="9">
        <f>IFERROR(BDP(A98,"CUST_TRR_RETURN_HOLDING_PER","CUST_TRR_START_DT",Settings!$C$5,"CUST_TRR_END_DT",Settings!$C$4)/100,"")</f>
        <v/>
      </c>
      <c r="F98" s="9">
        <f>IFERROR(BDP(A98,"CUST_TRR_RETURN_HOLDING_PER","CUST_TRR_START_DT",Settings!$C$6,"CUST_TRR_END_DT",Settings!$C$4)/100,"")</f>
        <v/>
      </c>
      <c r="G98" s="9">
        <f>IFERROR(BDP(A98,"CUST_TRR_RETURN_HOLDING_PER","CUST_TRR_START_DT",Settings!$C$7,"CUST_TRR_END_DT",Settings!$C$4)/100,"")</f>
        <v/>
      </c>
      <c r="H98" s="9">
        <f>IFERROR(BDP(A98,"CUST_TRR_RETURN_HOLDING_PER","CUST_TRR_START_DT",Settings!$C$8,"CUST_TRR_END_DT",Settings!$C$4)/100,"")</f>
        <v/>
      </c>
    </row>
    <row r="99">
      <c r="A99" s="7" t="inlineStr">
        <is>
          <t>CHTR US Equity</t>
        </is>
      </c>
      <c r="B99">
        <f>IFERROR(BDP(A99,"NAME"),"")</f>
        <v/>
      </c>
      <c r="C99">
        <f>IFERROR(BDP(A99,"GICS_SECTOR_NAME"),"")</f>
        <v/>
      </c>
      <c r="D99" s="8">
        <f>IFERROR(BDP(A99,"PX_LAST"),"")</f>
        <v/>
      </c>
      <c r="E99" s="9">
        <f>IFERROR(BDP(A99,"CUST_TRR_RETURN_HOLDING_PER","CUST_TRR_START_DT",Settings!$C$5,"CUST_TRR_END_DT",Settings!$C$4)/100,"")</f>
        <v/>
      </c>
      <c r="F99" s="9">
        <f>IFERROR(BDP(A99,"CUST_TRR_RETURN_HOLDING_PER","CUST_TRR_START_DT",Settings!$C$6,"CUST_TRR_END_DT",Settings!$C$4)/100,"")</f>
        <v/>
      </c>
      <c r="G99" s="9">
        <f>IFERROR(BDP(A99,"CUST_TRR_RETURN_HOLDING_PER","CUST_TRR_START_DT",Settings!$C$7,"CUST_TRR_END_DT",Settings!$C$4)/100,"")</f>
        <v/>
      </c>
      <c r="H99" s="9">
        <f>IFERROR(BDP(A99,"CUST_TRR_RETURN_HOLDING_PER","CUST_TRR_START_DT",Settings!$C$8,"CUST_TRR_END_DT",Settings!$C$4)/100,"")</f>
        <v/>
      </c>
    </row>
    <row r="100">
      <c r="A100" s="7" t="inlineStr">
        <is>
          <t>CI US Equity</t>
        </is>
      </c>
      <c r="B100">
        <f>IFERROR(BDP(A100,"NAME"),"")</f>
        <v/>
      </c>
      <c r="C100">
        <f>IFERROR(BDP(A100,"GICS_SECTOR_NAME"),"")</f>
        <v/>
      </c>
      <c r="D100" s="8">
        <f>IFERROR(BDP(A100,"PX_LAST"),"")</f>
        <v/>
      </c>
      <c r="E100" s="9">
        <f>IFERROR(BDP(A100,"CUST_TRR_RETURN_HOLDING_PER","CUST_TRR_START_DT",Settings!$C$5,"CUST_TRR_END_DT",Settings!$C$4)/100,"")</f>
        <v/>
      </c>
      <c r="F100" s="9">
        <f>IFERROR(BDP(A100,"CUST_TRR_RETURN_HOLDING_PER","CUST_TRR_START_DT",Settings!$C$6,"CUST_TRR_END_DT",Settings!$C$4)/100,"")</f>
        <v/>
      </c>
      <c r="G100" s="9">
        <f>IFERROR(BDP(A100,"CUST_TRR_RETURN_HOLDING_PER","CUST_TRR_START_DT",Settings!$C$7,"CUST_TRR_END_DT",Settings!$C$4)/100,"")</f>
        <v/>
      </c>
      <c r="H100" s="9">
        <f>IFERROR(BDP(A100,"CUST_TRR_RETURN_HOLDING_PER","CUST_TRR_START_DT",Settings!$C$8,"CUST_TRR_END_DT",Settings!$C$4)/100,"")</f>
        <v/>
      </c>
    </row>
    <row r="101">
      <c r="A101" s="7" t="inlineStr">
        <is>
          <t>CINF US Equity</t>
        </is>
      </c>
      <c r="B101">
        <f>IFERROR(BDP(A101,"NAME"),"")</f>
        <v/>
      </c>
      <c r="C101">
        <f>IFERROR(BDP(A101,"GICS_SECTOR_NAME"),"")</f>
        <v/>
      </c>
      <c r="D101" s="8">
        <f>IFERROR(BDP(A101,"PX_LAST"),"")</f>
        <v/>
      </c>
      <c r="E101" s="9">
        <f>IFERROR(BDP(A101,"CUST_TRR_RETURN_HOLDING_PER","CUST_TRR_START_DT",Settings!$C$5,"CUST_TRR_END_DT",Settings!$C$4)/100,"")</f>
        <v/>
      </c>
      <c r="F101" s="9">
        <f>IFERROR(BDP(A101,"CUST_TRR_RETURN_HOLDING_PER","CUST_TRR_START_DT",Settings!$C$6,"CUST_TRR_END_DT",Settings!$C$4)/100,"")</f>
        <v/>
      </c>
      <c r="G101" s="9">
        <f>IFERROR(BDP(A101,"CUST_TRR_RETURN_HOLDING_PER","CUST_TRR_START_DT",Settings!$C$7,"CUST_TRR_END_DT",Settings!$C$4)/100,"")</f>
        <v/>
      </c>
      <c r="H101" s="9">
        <f>IFERROR(BDP(A101,"CUST_TRR_RETURN_HOLDING_PER","CUST_TRR_START_DT",Settings!$C$8,"CUST_TRR_END_DT",Settings!$C$4)/100,"")</f>
        <v/>
      </c>
    </row>
    <row r="102">
      <c r="A102" s="7" t="inlineStr">
        <is>
          <t>CL US Equity</t>
        </is>
      </c>
      <c r="B102">
        <f>IFERROR(BDP(A102,"NAME"),"")</f>
        <v/>
      </c>
      <c r="C102">
        <f>IFERROR(BDP(A102,"GICS_SECTOR_NAME"),"")</f>
        <v/>
      </c>
      <c r="D102" s="8">
        <f>IFERROR(BDP(A102,"PX_LAST"),"")</f>
        <v/>
      </c>
      <c r="E102" s="9">
        <f>IFERROR(BDP(A102,"CUST_TRR_RETURN_HOLDING_PER","CUST_TRR_START_DT",Settings!$C$5,"CUST_TRR_END_DT",Settings!$C$4)/100,"")</f>
        <v/>
      </c>
      <c r="F102" s="9">
        <f>IFERROR(BDP(A102,"CUST_TRR_RETURN_HOLDING_PER","CUST_TRR_START_DT",Settings!$C$6,"CUST_TRR_END_DT",Settings!$C$4)/100,"")</f>
        <v/>
      </c>
      <c r="G102" s="9">
        <f>IFERROR(BDP(A102,"CUST_TRR_RETURN_HOLDING_PER","CUST_TRR_START_DT",Settings!$C$7,"CUST_TRR_END_DT",Settings!$C$4)/100,"")</f>
        <v/>
      </c>
      <c r="H102" s="9">
        <f>IFERROR(BDP(A102,"CUST_TRR_RETURN_HOLDING_PER","CUST_TRR_START_DT",Settings!$C$8,"CUST_TRR_END_DT",Settings!$C$4)/100,"")</f>
        <v/>
      </c>
    </row>
    <row r="103">
      <c r="A103" s="7" t="inlineStr">
        <is>
          <t>CLX US Equity</t>
        </is>
      </c>
      <c r="B103">
        <f>IFERROR(BDP(A103,"NAME"),"")</f>
        <v/>
      </c>
      <c r="C103">
        <f>IFERROR(BDP(A103,"GICS_SECTOR_NAME"),"")</f>
        <v/>
      </c>
      <c r="D103" s="8">
        <f>IFERROR(BDP(A103,"PX_LAST"),"")</f>
        <v/>
      </c>
      <c r="E103" s="9">
        <f>IFERROR(BDP(A103,"CUST_TRR_RETURN_HOLDING_PER","CUST_TRR_START_DT",Settings!$C$5,"CUST_TRR_END_DT",Settings!$C$4)/100,"")</f>
        <v/>
      </c>
      <c r="F103" s="9">
        <f>IFERROR(BDP(A103,"CUST_TRR_RETURN_HOLDING_PER","CUST_TRR_START_DT",Settings!$C$6,"CUST_TRR_END_DT",Settings!$C$4)/100,"")</f>
        <v/>
      </c>
      <c r="G103" s="9">
        <f>IFERROR(BDP(A103,"CUST_TRR_RETURN_HOLDING_PER","CUST_TRR_START_DT",Settings!$C$7,"CUST_TRR_END_DT",Settings!$C$4)/100,"")</f>
        <v/>
      </c>
      <c r="H103" s="9">
        <f>IFERROR(BDP(A103,"CUST_TRR_RETURN_HOLDING_PER","CUST_TRR_START_DT",Settings!$C$8,"CUST_TRR_END_DT",Settings!$C$4)/100,"")</f>
        <v/>
      </c>
    </row>
    <row r="104">
      <c r="A104" s="7" t="inlineStr">
        <is>
          <t>CMA US Equity</t>
        </is>
      </c>
      <c r="B104">
        <f>IFERROR(BDP(A104,"NAME"),"")</f>
        <v/>
      </c>
      <c r="C104">
        <f>IFERROR(BDP(A104,"GICS_SECTOR_NAME"),"")</f>
        <v/>
      </c>
      <c r="D104" s="8">
        <f>IFERROR(BDP(A104,"PX_LAST"),"")</f>
        <v/>
      </c>
      <c r="E104" s="9">
        <f>IFERROR(BDP(A104,"CUST_TRR_RETURN_HOLDING_PER","CUST_TRR_START_DT",Settings!$C$5,"CUST_TRR_END_DT",Settings!$C$4)/100,"")</f>
        <v/>
      </c>
      <c r="F104" s="9">
        <f>IFERROR(BDP(A104,"CUST_TRR_RETURN_HOLDING_PER","CUST_TRR_START_DT",Settings!$C$6,"CUST_TRR_END_DT",Settings!$C$4)/100,"")</f>
        <v/>
      </c>
      <c r="G104" s="9">
        <f>IFERROR(BDP(A104,"CUST_TRR_RETURN_HOLDING_PER","CUST_TRR_START_DT",Settings!$C$7,"CUST_TRR_END_DT",Settings!$C$4)/100,"")</f>
        <v/>
      </c>
      <c r="H104" s="9">
        <f>IFERROR(BDP(A104,"CUST_TRR_RETURN_HOLDING_PER","CUST_TRR_START_DT",Settings!$C$8,"CUST_TRR_END_DT",Settings!$C$4)/100,"")</f>
        <v/>
      </c>
    </row>
    <row r="105">
      <c r="A105" s="7" t="inlineStr">
        <is>
          <t>CME US Equity</t>
        </is>
      </c>
      <c r="B105">
        <f>IFERROR(BDP(A105,"NAME"),"")</f>
        <v/>
      </c>
      <c r="C105">
        <f>IFERROR(BDP(A105,"GICS_SECTOR_NAME"),"")</f>
        <v/>
      </c>
      <c r="D105" s="8">
        <f>IFERROR(BDP(A105,"PX_LAST"),"")</f>
        <v/>
      </c>
      <c r="E105" s="9">
        <f>IFERROR(BDP(A105,"CUST_TRR_RETURN_HOLDING_PER","CUST_TRR_START_DT",Settings!$C$5,"CUST_TRR_END_DT",Settings!$C$4)/100,"")</f>
        <v/>
      </c>
      <c r="F105" s="9">
        <f>IFERROR(BDP(A105,"CUST_TRR_RETURN_HOLDING_PER","CUST_TRR_START_DT",Settings!$C$6,"CUST_TRR_END_DT",Settings!$C$4)/100,"")</f>
        <v/>
      </c>
      <c r="G105" s="9">
        <f>IFERROR(BDP(A105,"CUST_TRR_RETURN_HOLDING_PER","CUST_TRR_START_DT",Settings!$C$7,"CUST_TRR_END_DT",Settings!$C$4)/100,"")</f>
        <v/>
      </c>
      <c r="H105" s="9">
        <f>IFERROR(BDP(A105,"CUST_TRR_RETURN_HOLDING_PER","CUST_TRR_START_DT",Settings!$C$8,"CUST_TRR_END_DT",Settings!$C$4)/100,"")</f>
        <v/>
      </c>
    </row>
    <row r="106">
      <c r="A106" s="7" t="inlineStr">
        <is>
          <t>CMG US Equity</t>
        </is>
      </c>
      <c r="B106">
        <f>IFERROR(BDP(A106,"NAME"),"")</f>
        <v/>
      </c>
      <c r="C106">
        <f>IFERROR(BDP(A106,"GICS_SECTOR_NAME"),"")</f>
        <v/>
      </c>
      <c r="D106" s="8">
        <f>IFERROR(BDP(A106,"PX_LAST"),"")</f>
        <v/>
      </c>
      <c r="E106" s="9">
        <f>IFERROR(BDP(A106,"CUST_TRR_RETURN_HOLDING_PER","CUST_TRR_START_DT",Settings!$C$5,"CUST_TRR_END_DT",Settings!$C$4)/100,"")</f>
        <v/>
      </c>
      <c r="F106" s="9">
        <f>IFERROR(BDP(A106,"CUST_TRR_RETURN_HOLDING_PER","CUST_TRR_START_DT",Settings!$C$6,"CUST_TRR_END_DT",Settings!$C$4)/100,"")</f>
        <v/>
      </c>
      <c r="G106" s="9">
        <f>IFERROR(BDP(A106,"CUST_TRR_RETURN_HOLDING_PER","CUST_TRR_START_DT",Settings!$C$7,"CUST_TRR_END_DT",Settings!$C$4)/100,"")</f>
        <v/>
      </c>
      <c r="H106" s="9">
        <f>IFERROR(BDP(A106,"CUST_TRR_RETURN_HOLDING_PER","CUST_TRR_START_DT",Settings!$C$8,"CUST_TRR_END_DT",Settings!$C$4)/100,"")</f>
        <v/>
      </c>
    </row>
    <row r="107">
      <c r="A107" s="7" t="inlineStr">
        <is>
          <t>CMI US Equity</t>
        </is>
      </c>
      <c r="B107">
        <f>IFERROR(BDP(A107,"NAME"),"")</f>
        <v/>
      </c>
      <c r="C107">
        <f>IFERROR(BDP(A107,"GICS_SECTOR_NAME"),"")</f>
        <v/>
      </c>
      <c r="D107" s="8">
        <f>IFERROR(BDP(A107,"PX_LAST"),"")</f>
        <v/>
      </c>
      <c r="E107" s="9">
        <f>IFERROR(BDP(A107,"CUST_TRR_RETURN_HOLDING_PER","CUST_TRR_START_DT",Settings!$C$5,"CUST_TRR_END_DT",Settings!$C$4)/100,"")</f>
        <v/>
      </c>
      <c r="F107" s="9">
        <f>IFERROR(BDP(A107,"CUST_TRR_RETURN_HOLDING_PER","CUST_TRR_START_DT",Settings!$C$6,"CUST_TRR_END_DT",Settings!$C$4)/100,"")</f>
        <v/>
      </c>
      <c r="G107" s="9">
        <f>IFERROR(BDP(A107,"CUST_TRR_RETURN_HOLDING_PER","CUST_TRR_START_DT",Settings!$C$7,"CUST_TRR_END_DT",Settings!$C$4)/100,"")</f>
        <v/>
      </c>
      <c r="H107" s="9">
        <f>IFERROR(BDP(A107,"CUST_TRR_RETURN_HOLDING_PER","CUST_TRR_START_DT",Settings!$C$8,"CUST_TRR_END_DT",Settings!$C$4)/100,"")</f>
        <v/>
      </c>
    </row>
    <row r="108">
      <c r="A108" s="7" t="inlineStr">
        <is>
          <t>CMS US Equity</t>
        </is>
      </c>
      <c r="B108">
        <f>IFERROR(BDP(A108,"NAME"),"")</f>
        <v/>
      </c>
      <c r="C108">
        <f>IFERROR(BDP(A108,"GICS_SECTOR_NAME"),"")</f>
        <v/>
      </c>
      <c r="D108" s="8">
        <f>IFERROR(BDP(A108,"PX_LAST"),"")</f>
        <v/>
      </c>
      <c r="E108" s="9">
        <f>IFERROR(BDP(A108,"CUST_TRR_RETURN_HOLDING_PER","CUST_TRR_START_DT",Settings!$C$5,"CUST_TRR_END_DT",Settings!$C$4)/100,"")</f>
        <v/>
      </c>
      <c r="F108" s="9">
        <f>IFERROR(BDP(A108,"CUST_TRR_RETURN_HOLDING_PER","CUST_TRR_START_DT",Settings!$C$6,"CUST_TRR_END_DT",Settings!$C$4)/100,"")</f>
        <v/>
      </c>
      <c r="G108" s="9">
        <f>IFERROR(BDP(A108,"CUST_TRR_RETURN_HOLDING_PER","CUST_TRR_START_DT",Settings!$C$7,"CUST_TRR_END_DT",Settings!$C$4)/100,"")</f>
        <v/>
      </c>
      <c r="H108" s="9">
        <f>IFERROR(BDP(A108,"CUST_TRR_RETURN_HOLDING_PER","CUST_TRR_START_DT",Settings!$C$8,"CUST_TRR_END_DT",Settings!$C$4)/100,"")</f>
        <v/>
      </c>
    </row>
    <row r="109">
      <c r="A109" s="7" t="inlineStr">
        <is>
          <t>CNC US Equity</t>
        </is>
      </c>
      <c r="B109">
        <f>IFERROR(BDP(A109,"NAME"),"")</f>
        <v/>
      </c>
      <c r="C109">
        <f>IFERROR(BDP(A109,"GICS_SECTOR_NAME"),"")</f>
        <v/>
      </c>
      <c r="D109" s="8">
        <f>IFERROR(BDP(A109,"PX_LAST"),"")</f>
        <v/>
      </c>
      <c r="E109" s="9">
        <f>IFERROR(BDP(A109,"CUST_TRR_RETURN_HOLDING_PER","CUST_TRR_START_DT",Settings!$C$5,"CUST_TRR_END_DT",Settings!$C$4)/100,"")</f>
        <v/>
      </c>
      <c r="F109" s="9">
        <f>IFERROR(BDP(A109,"CUST_TRR_RETURN_HOLDING_PER","CUST_TRR_START_DT",Settings!$C$6,"CUST_TRR_END_DT",Settings!$C$4)/100,"")</f>
        <v/>
      </c>
      <c r="G109" s="9">
        <f>IFERROR(BDP(A109,"CUST_TRR_RETURN_HOLDING_PER","CUST_TRR_START_DT",Settings!$C$7,"CUST_TRR_END_DT",Settings!$C$4)/100,"")</f>
        <v/>
      </c>
      <c r="H109" s="9">
        <f>IFERROR(BDP(A109,"CUST_TRR_RETURN_HOLDING_PER","CUST_TRR_START_DT",Settings!$C$8,"CUST_TRR_END_DT",Settings!$C$4)/100,"")</f>
        <v/>
      </c>
    </row>
    <row r="110">
      <c r="A110" s="7" t="inlineStr">
        <is>
          <t>CNP US Equity</t>
        </is>
      </c>
      <c r="B110">
        <f>IFERROR(BDP(A110,"NAME"),"")</f>
        <v/>
      </c>
      <c r="C110">
        <f>IFERROR(BDP(A110,"GICS_SECTOR_NAME"),"")</f>
        <v/>
      </c>
      <c r="D110" s="8">
        <f>IFERROR(BDP(A110,"PX_LAST"),"")</f>
        <v/>
      </c>
      <c r="E110" s="9">
        <f>IFERROR(BDP(A110,"CUST_TRR_RETURN_HOLDING_PER","CUST_TRR_START_DT",Settings!$C$5,"CUST_TRR_END_DT",Settings!$C$4)/100,"")</f>
        <v/>
      </c>
      <c r="F110" s="9">
        <f>IFERROR(BDP(A110,"CUST_TRR_RETURN_HOLDING_PER","CUST_TRR_START_DT",Settings!$C$6,"CUST_TRR_END_DT",Settings!$C$4)/100,"")</f>
        <v/>
      </c>
      <c r="G110" s="9">
        <f>IFERROR(BDP(A110,"CUST_TRR_RETURN_HOLDING_PER","CUST_TRR_START_DT",Settings!$C$7,"CUST_TRR_END_DT",Settings!$C$4)/100,"")</f>
        <v/>
      </c>
      <c r="H110" s="9">
        <f>IFERROR(BDP(A110,"CUST_TRR_RETURN_HOLDING_PER","CUST_TRR_START_DT",Settings!$C$8,"CUST_TRR_END_DT",Settings!$C$4)/100,"")</f>
        <v/>
      </c>
    </row>
    <row r="111">
      <c r="A111" s="7" t="inlineStr">
        <is>
          <t>COF US Equity</t>
        </is>
      </c>
      <c r="B111">
        <f>IFERROR(BDP(A111,"NAME"),"")</f>
        <v/>
      </c>
      <c r="C111">
        <f>IFERROR(BDP(A111,"GICS_SECTOR_NAME"),"")</f>
        <v/>
      </c>
      <c r="D111" s="8">
        <f>IFERROR(BDP(A111,"PX_LAST"),"")</f>
        <v/>
      </c>
      <c r="E111" s="9">
        <f>IFERROR(BDP(A111,"CUST_TRR_RETURN_HOLDING_PER","CUST_TRR_START_DT",Settings!$C$5,"CUST_TRR_END_DT",Settings!$C$4)/100,"")</f>
        <v/>
      </c>
      <c r="F111" s="9">
        <f>IFERROR(BDP(A111,"CUST_TRR_RETURN_HOLDING_PER","CUST_TRR_START_DT",Settings!$C$6,"CUST_TRR_END_DT",Settings!$C$4)/100,"")</f>
        <v/>
      </c>
      <c r="G111" s="9">
        <f>IFERROR(BDP(A111,"CUST_TRR_RETURN_HOLDING_PER","CUST_TRR_START_DT",Settings!$C$7,"CUST_TRR_END_DT",Settings!$C$4)/100,"")</f>
        <v/>
      </c>
      <c r="H111" s="9">
        <f>IFERROR(BDP(A111,"CUST_TRR_RETURN_HOLDING_PER","CUST_TRR_START_DT",Settings!$C$8,"CUST_TRR_END_DT",Settings!$C$4)/100,"")</f>
        <v/>
      </c>
    </row>
    <row r="112">
      <c r="A112" s="7" t="inlineStr">
        <is>
          <t>COO US Equity</t>
        </is>
      </c>
      <c r="B112">
        <f>IFERROR(BDP(A112,"NAME"),"")</f>
        <v/>
      </c>
      <c r="C112">
        <f>IFERROR(BDP(A112,"GICS_SECTOR_NAME"),"")</f>
        <v/>
      </c>
      <c r="D112" s="8">
        <f>IFERROR(BDP(A112,"PX_LAST"),"")</f>
        <v/>
      </c>
      <c r="E112" s="9">
        <f>IFERROR(BDP(A112,"CUST_TRR_RETURN_HOLDING_PER","CUST_TRR_START_DT",Settings!$C$5,"CUST_TRR_END_DT",Settings!$C$4)/100,"")</f>
        <v/>
      </c>
      <c r="F112" s="9">
        <f>IFERROR(BDP(A112,"CUST_TRR_RETURN_HOLDING_PER","CUST_TRR_START_DT",Settings!$C$6,"CUST_TRR_END_DT",Settings!$C$4)/100,"")</f>
        <v/>
      </c>
      <c r="G112" s="9">
        <f>IFERROR(BDP(A112,"CUST_TRR_RETURN_HOLDING_PER","CUST_TRR_START_DT",Settings!$C$7,"CUST_TRR_END_DT",Settings!$C$4)/100,"")</f>
        <v/>
      </c>
      <c r="H112" s="9">
        <f>IFERROR(BDP(A112,"CUST_TRR_RETURN_HOLDING_PER","CUST_TRR_START_DT",Settings!$C$8,"CUST_TRR_END_DT",Settings!$C$4)/100,"")</f>
        <v/>
      </c>
    </row>
    <row r="113">
      <c r="A113" s="7" t="inlineStr">
        <is>
          <t>COP US Equity</t>
        </is>
      </c>
      <c r="B113">
        <f>IFERROR(BDP(A113,"NAME"),"")</f>
        <v/>
      </c>
      <c r="C113">
        <f>IFERROR(BDP(A113,"GICS_SECTOR_NAME"),"")</f>
        <v/>
      </c>
      <c r="D113" s="8">
        <f>IFERROR(BDP(A113,"PX_LAST"),"")</f>
        <v/>
      </c>
      <c r="E113" s="9">
        <f>IFERROR(BDP(A113,"CUST_TRR_RETURN_HOLDING_PER","CUST_TRR_START_DT",Settings!$C$5,"CUST_TRR_END_DT",Settings!$C$4)/100,"")</f>
        <v/>
      </c>
      <c r="F113" s="9">
        <f>IFERROR(BDP(A113,"CUST_TRR_RETURN_HOLDING_PER","CUST_TRR_START_DT",Settings!$C$6,"CUST_TRR_END_DT",Settings!$C$4)/100,"")</f>
        <v/>
      </c>
      <c r="G113" s="9">
        <f>IFERROR(BDP(A113,"CUST_TRR_RETURN_HOLDING_PER","CUST_TRR_START_DT",Settings!$C$7,"CUST_TRR_END_DT",Settings!$C$4)/100,"")</f>
        <v/>
      </c>
      <c r="H113" s="9">
        <f>IFERROR(BDP(A113,"CUST_TRR_RETURN_HOLDING_PER","CUST_TRR_START_DT",Settings!$C$8,"CUST_TRR_END_DT",Settings!$C$4)/100,"")</f>
        <v/>
      </c>
    </row>
    <row r="114">
      <c r="A114" s="7" t="inlineStr">
        <is>
          <t>COR US Equity</t>
        </is>
      </c>
      <c r="B114">
        <f>IFERROR(BDP(A114,"NAME"),"")</f>
        <v/>
      </c>
      <c r="C114">
        <f>IFERROR(BDP(A114,"GICS_SECTOR_NAME"),"")</f>
        <v/>
      </c>
      <c r="D114" s="8">
        <f>IFERROR(BDP(A114,"PX_LAST"),"")</f>
        <v/>
      </c>
      <c r="E114" s="9">
        <f>IFERROR(BDP(A114,"CUST_TRR_RETURN_HOLDING_PER","CUST_TRR_START_DT",Settings!$C$5,"CUST_TRR_END_DT",Settings!$C$4)/100,"")</f>
        <v/>
      </c>
      <c r="F114" s="9">
        <f>IFERROR(BDP(A114,"CUST_TRR_RETURN_HOLDING_PER","CUST_TRR_START_DT",Settings!$C$6,"CUST_TRR_END_DT",Settings!$C$4)/100,"")</f>
        <v/>
      </c>
      <c r="G114" s="9">
        <f>IFERROR(BDP(A114,"CUST_TRR_RETURN_HOLDING_PER","CUST_TRR_START_DT",Settings!$C$7,"CUST_TRR_END_DT",Settings!$C$4)/100,"")</f>
        <v/>
      </c>
      <c r="H114" s="9">
        <f>IFERROR(BDP(A114,"CUST_TRR_RETURN_HOLDING_PER","CUST_TRR_START_DT",Settings!$C$8,"CUST_TRR_END_DT",Settings!$C$4)/100,"")</f>
        <v/>
      </c>
    </row>
    <row r="115">
      <c r="A115" s="7" t="inlineStr">
        <is>
          <t>COST US Equity</t>
        </is>
      </c>
      <c r="B115">
        <f>IFERROR(BDP(A115,"NAME"),"")</f>
        <v/>
      </c>
      <c r="C115">
        <f>IFERROR(BDP(A115,"GICS_SECTOR_NAME"),"")</f>
        <v/>
      </c>
      <c r="D115" s="8">
        <f>IFERROR(BDP(A115,"PX_LAST"),"")</f>
        <v/>
      </c>
      <c r="E115" s="9">
        <f>IFERROR(BDP(A115,"CUST_TRR_RETURN_HOLDING_PER","CUST_TRR_START_DT",Settings!$C$5,"CUST_TRR_END_DT",Settings!$C$4)/100,"")</f>
        <v/>
      </c>
      <c r="F115" s="9">
        <f>IFERROR(BDP(A115,"CUST_TRR_RETURN_HOLDING_PER","CUST_TRR_START_DT",Settings!$C$6,"CUST_TRR_END_DT",Settings!$C$4)/100,"")</f>
        <v/>
      </c>
      <c r="G115" s="9">
        <f>IFERROR(BDP(A115,"CUST_TRR_RETURN_HOLDING_PER","CUST_TRR_START_DT",Settings!$C$7,"CUST_TRR_END_DT",Settings!$C$4)/100,"")</f>
        <v/>
      </c>
      <c r="H115" s="9">
        <f>IFERROR(BDP(A115,"CUST_TRR_RETURN_HOLDING_PER","CUST_TRR_START_DT",Settings!$C$8,"CUST_TRR_END_DT",Settings!$C$4)/100,"")</f>
        <v/>
      </c>
    </row>
    <row r="116">
      <c r="A116" s="7" t="inlineStr">
        <is>
          <t>CPB US Equity</t>
        </is>
      </c>
      <c r="B116">
        <f>IFERROR(BDP(A116,"NAME"),"")</f>
        <v/>
      </c>
      <c r="C116">
        <f>IFERROR(BDP(A116,"GICS_SECTOR_NAME"),"")</f>
        <v/>
      </c>
      <c r="D116" s="8">
        <f>IFERROR(BDP(A116,"PX_LAST"),"")</f>
        <v/>
      </c>
      <c r="E116" s="9">
        <f>IFERROR(BDP(A116,"CUST_TRR_RETURN_HOLDING_PER","CUST_TRR_START_DT",Settings!$C$5,"CUST_TRR_END_DT",Settings!$C$4)/100,"")</f>
        <v/>
      </c>
      <c r="F116" s="9">
        <f>IFERROR(BDP(A116,"CUST_TRR_RETURN_HOLDING_PER","CUST_TRR_START_DT",Settings!$C$6,"CUST_TRR_END_DT",Settings!$C$4)/100,"")</f>
        <v/>
      </c>
      <c r="G116" s="9">
        <f>IFERROR(BDP(A116,"CUST_TRR_RETURN_HOLDING_PER","CUST_TRR_START_DT",Settings!$C$7,"CUST_TRR_END_DT",Settings!$C$4)/100,"")</f>
        <v/>
      </c>
      <c r="H116" s="9">
        <f>IFERROR(BDP(A116,"CUST_TRR_RETURN_HOLDING_PER","CUST_TRR_START_DT",Settings!$C$8,"CUST_TRR_END_DT",Settings!$C$4)/100,"")</f>
        <v/>
      </c>
    </row>
    <row r="117">
      <c r="A117" s="7" t="inlineStr">
        <is>
          <t>CPRT US Equity</t>
        </is>
      </c>
      <c r="B117">
        <f>IFERROR(BDP(A117,"NAME"),"")</f>
        <v/>
      </c>
      <c r="C117">
        <f>IFERROR(BDP(A117,"GICS_SECTOR_NAME"),"")</f>
        <v/>
      </c>
      <c r="D117" s="8">
        <f>IFERROR(BDP(A117,"PX_LAST"),"")</f>
        <v/>
      </c>
      <c r="E117" s="9">
        <f>IFERROR(BDP(A117,"CUST_TRR_RETURN_HOLDING_PER","CUST_TRR_START_DT",Settings!$C$5,"CUST_TRR_END_DT",Settings!$C$4)/100,"")</f>
        <v/>
      </c>
      <c r="F117" s="9">
        <f>IFERROR(BDP(A117,"CUST_TRR_RETURN_HOLDING_PER","CUST_TRR_START_DT",Settings!$C$6,"CUST_TRR_END_DT",Settings!$C$4)/100,"")</f>
        <v/>
      </c>
      <c r="G117" s="9">
        <f>IFERROR(BDP(A117,"CUST_TRR_RETURN_HOLDING_PER","CUST_TRR_START_DT",Settings!$C$7,"CUST_TRR_END_DT",Settings!$C$4)/100,"")</f>
        <v/>
      </c>
      <c r="H117" s="9">
        <f>IFERROR(BDP(A117,"CUST_TRR_RETURN_HOLDING_PER","CUST_TRR_START_DT",Settings!$C$8,"CUST_TRR_END_DT",Settings!$C$4)/100,"")</f>
        <v/>
      </c>
    </row>
    <row r="118">
      <c r="A118" s="7" t="inlineStr">
        <is>
          <t>CPT US Equity</t>
        </is>
      </c>
      <c r="B118">
        <f>IFERROR(BDP(A118,"NAME"),"")</f>
        <v/>
      </c>
      <c r="C118">
        <f>IFERROR(BDP(A118,"GICS_SECTOR_NAME"),"")</f>
        <v/>
      </c>
      <c r="D118" s="8">
        <f>IFERROR(BDP(A118,"PX_LAST"),"")</f>
        <v/>
      </c>
      <c r="E118" s="9">
        <f>IFERROR(BDP(A118,"CUST_TRR_RETURN_HOLDING_PER","CUST_TRR_START_DT",Settings!$C$5,"CUST_TRR_END_DT",Settings!$C$4)/100,"")</f>
        <v/>
      </c>
      <c r="F118" s="9">
        <f>IFERROR(BDP(A118,"CUST_TRR_RETURN_HOLDING_PER","CUST_TRR_START_DT",Settings!$C$6,"CUST_TRR_END_DT",Settings!$C$4)/100,"")</f>
        <v/>
      </c>
      <c r="G118" s="9">
        <f>IFERROR(BDP(A118,"CUST_TRR_RETURN_HOLDING_PER","CUST_TRR_START_DT",Settings!$C$7,"CUST_TRR_END_DT",Settings!$C$4)/100,"")</f>
        <v/>
      </c>
      <c r="H118" s="9">
        <f>IFERROR(BDP(A118,"CUST_TRR_RETURN_HOLDING_PER","CUST_TRR_START_DT",Settings!$C$8,"CUST_TRR_END_DT",Settings!$C$4)/100,"")</f>
        <v/>
      </c>
    </row>
    <row r="119">
      <c r="A119" s="7" t="inlineStr">
        <is>
          <t>CRL US Equity</t>
        </is>
      </c>
      <c r="B119">
        <f>IFERROR(BDP(A119,"NAME"),"")</f>
        <v/>
      </c>
      <c r="C119">
        <f>IFERROR(BDP(A119,"GICS_SECTOR_NAME"),"")</f>
        <v/>
      </c>
      <c r="D119" s="8">
        <f>IFERROR(BDP(A119,"PX_LAST"),"")</f>
        <v/>
      </c>
      <c r="E119" s="9">
        <f>IFERROR(BDP(A119,"CUST_TRR_RETURN_HOLDING_PER","CUST_TRR_START_DT",Settings!$C$5,"CUST_TRR_END_DT",Settings!$C$4)/100,"")</f>
        <v/>
      </c>
      <c r="F119" s="9">
        <f>IFERROR(BDP(A119,"CUST_TRR_RETURN_HOLDING_PER","CUST_TRR_START_DT",Settings!$C$6,"CUST_TRR_END_DT",Settings!$C$4)/100,"")</f>
        <v/>
      </c>
      <c r="G119" s="9">
        <f>IFERROR(BDP(A119,"CUST_TRR_RETURN_HOLDING_PER","CUST_TRR_START_DT",Settings!$C$7,"CUST_TRR_END_DT",Settings!$C$4)/100,"")</f>
        <v/>
      </c>
      <c r="H119" s="9">
        <f>IFERROR(BDP(A119,"CUST_TRR_RETURN_HOLDING_PER","CUST_TRR_START_DT",Settings!$C$8,"CUST_TRR_END_DT",Settings!$C$4)/100,"")</f>
        <v/>
      </c>
    </row>
    <row r="120">
      <c r="A120" s="7" t="inlineStr">
        <is>
          <t>CRM US Equity</t>
        </is>
      </c>
      <c r="B120">
        <f>IFERROR(BDP(A120,"NAME"),"")</f>
        <v/>
      </c>
      <c r="C120">
        <f>IFERROR(BDP(A120,"GICS_SECTOR_NAME"),"")</f>
        <v/>
      </c>
      <c r="D120" s="8">
        <f>IFERROR(BDP(A120,"PX_LAST"),"")</f>
        <v/>
      </c>
      <c r="E120" s="9">
        <f>IFERROR(BDP(A120,"CUST_TRR_RETURN_HOLDING_PER","CUST_TRR_START_DT",Settings!$C$5,"CUST_TRR_END_DT",Settings!$C$4)/100,"")</f>
        <v/>
      </c>
      <c r="F120" s="9">
        <f>IFERROR(BDP(A120,"CUST_TRR_RETURN_HOLDING_PER","CUST_TRR_START_DT",Settings!$C$6,"CUST_TRR_END_DT",Settings!$C$4)/100,"")</f>
        <v/>
      </c>
      <c r="G120" s="9">
        <f>IFERROR(BDP(A120,"CUST_TRR_RETURN_HOLDING_PER","CUST_TRR_START_DT",Settings!$C$7,"CUST_TRR_END_DT",Settings!$C$4)/100,"")</f>
        <v/>
      </c>
      <c r="H120" s="9">
        <f>IFERROR(BDP(A120,"CUST_TRR_RETURN_HOLDING_PER","CUST_TRR_START_DT",Settings!$C$8,"CUST_TRR_END_DT",Settings!$C$4)/100,"")</f>
        <v/>
      </c>
    </row>
    <row r="121">
      <c r="A121" s="7" t="inlineStr">
        <is>
          <t>CRWD US Equity</t>
        </is>
      </c>
      <c r="B121">
        <f>IFERROR(BDP(A121,"NAME"),"")</f>
        <v/>
      </c>
      <c r="C121">
        <f>IFERROR(BDP(A121,"GICS_SECTOR_NAME"),"")</f>
        <v/>
      </c>
      <c r="D121" s="8">
        <f>IFERROR(BDP(A121,"PX_LAST"),"")</f>
        <v/>
      </c>
      <c r="E121" s="9">
        <f>IFERROR(BDP(A121,"CUST_TRR_RETURN_HOLDING_PER","CUST_TRR_START_DT",Settings!$C$5,"CUST_TRR_END_DT",Settings!$C$4)/100,"")</f>
        <v/>
      </c>
      <c r="F121" s="9">
        <f>IFERROR(BDP(A121,"CUST_TRR_RETURN_HOLDING_PER","CUST_TRR_START_DT",Settings!$C$6,"CUST_TRR_END_DT",Settings!$C$4)/100,"")</f>
        <v/>
      </c>
      <c r="G121" s="9">
        <f>IFERROR(BDP(A121,"CUST_TRR_RETURN_HOLDING_PER","CUST_TRR_START_DT",Settings!$C$7,"CUST_TRR_END_DT",Settings!$C$4)/100,"")</f>
        <v/>
      </c>
      <c r="H121" s="9">
        <f>IFERROR(BDP(A121,"CUST_TRR_RETURN_HOLDING_PER","CUST_TRR_START_DT",Settings!$C$8,"CUST_TRR_END_DT",Settings!$C$4)/100,"")</f>
        <v/>
      </c>
    </row>
    <row r="122">
      <c r="A122" s="7" t="inlineStr">
        <is>
          <t>CSCO US Equity</t>
        </is>
      </c>
      <c r="B122">
        <f>IFERROR(BDP(A122,"NAME"),"")</f>
        <v/>
      </c>
      <c r="C122">
        <f>IFERROR(BDP(A122,"GICS_SECTOR_NAME"),"")</f>
        <v/>
      </c>
      <c r="D122" s="8">
        <f>IFERROR(BDP(A122,"PX_LAST"),"")</f>
        <v/>
      </c>
      <c r="E122" s="9">
        <f>IFERROR(BDP(A122,"CUST_TRR_RETURN_HOLDING_PER","CUST_TRR_START_DT",Settings!$C$5,"CUST_TRR_END_DT",Settings!$C$4)/100,"")</f>
        <v/>
      </c>
      <c r="F122" s="9">
        <f>IFERROR(BDP(A122,"CUST_TRR_RETURN_HOLDING_PER","CUST_TRR_START_DT",Settings!$C$6,"CUST_TRR_END_DT",Settings!$C$4)/100,"")</f>
        <v/>
      </c>
      <c r="G122" s="9">
        <f>IFERROR(BDP(A122,"CUST_TRR_RETURN_HOLDING_PER","CUST_TRR_START_DT",Settings!$C$7,"CUST_TRR_END_DT",Settings!$C$4)/100,"")</f>
        <v/>
      </c>
      <c r="H122" s="9">
        <f>IFERROR(BDP(A122,"CUST_TRR_RETURN_HOLDING_PER","CUST_TRR_START_DT",Settings!$C$8,"CUST_TRR_END_DT",Settings!$C$4)/100,"")</f>
        <v/>
      </c>
    </row>
    <row r="123">
      <c r="A123" s="7" t="inlineStr">
        <is>
          <t>CSGP US Equity</t>
        </is>
      </c>
      <c r="B123">
        <f>IFERROR(BDP(A123,"NAME"),"")</f>
        <v/>
      </c>
      <c r="C123">
        <f>IFERROR(BDP(A123,"GICS_SECTOR_NAME"),"")</f>
        <v/>
      </c>
      <c r="D123" s="8">
        <f>IFERROR(BDP(A123,"PX_LAST"),"")</f>
        <v/>
      </c>
      <c r="E123" s="9">
        <f>IFERROR(BDP(A123,"CUST_TRR_RETURN_HOLDING_PER","CUST_TRR_START_DT",Settings!$C$5,"CUST_TRR_END_DT",Settings!$C$4)/100,"")</f>
        <v/>
      </c>
      <c r="F123" s="9">
        <f>IFERROR(BDP(A123,"CUST_TRR_RETURN_HOLDING_PER","CUST_TRR_START_DT",Settings!$C$6,"CUST_TRR_END_DT",Settings!$C$4)/100,"")</f>
        <v/>
      </c>
      <c r="G123" s="9">
        <f>IFERROR(BDP(A123,"CUST_TRR_RETURN_HOLDING_PER","CUST_TRR_START_DT",Settings!$C$7,"CUST_TRR_END_DT",Settings!$C$4)/100,"")</f>
        <v/>
      </c>
      <c r="H123" s="9">
        <f>IFERROR(BDP(A123,"CUST_TRR_RETURN_HOLDING_PER","CUST_TRR_START_DT",Settings!$C$8,"CUST_TRR_END_DT",Settings!$C$4)/100,"")</f>
        <v/>
      </c>
    </row>
    <row r="124">
      <c r="A124" s="7" t="inlineStr">
        <is>
          <t>CSX US Equity</t>
        </is>
      </c>
      <c r="B124">
        <f>IFERROR(BDP(A124,"NAME"),"")</f>
        <v/>
      </c>
      <c r="C124">
        <f>IFERROR(BDP(A124,"GICS_SECTOR_NAME"),"")</f>
        <v/>
      </c>
      <c r="D124" s="8">
        <f>IFERROR(BDP(A124,"PX_LAST"),"")</f>
        <v/>
      </c>
      <c r="E124" s="9">
        <f>IFERROR(BDP(A124,"CUST_TRR_RETURN_HOLDING_PER","CUST_TRR_START_DT",Settings!$C$5,"CUST_TRR_END_DT",Settings!$C$4)/100,"")</f>
        <v/>
      </c>
      <c r="F124" s="9">
        <f>IFERROR(BDP(A124,"CUST_TRR_RETURN_HOLDING_PER","CUST_TRR_START_DT",Settings!$C$6,"CUST_TRR_END_DT",Settings!$C$4)/100,"")</f>
        <v/>
      </c>
      <c r="G124" s="9">
        <f>IFERROR(BDP(A124,"CUST_TRR_RETURN_HOLDING_PER","CUST_TRR_START_DT",Settings!$C$7,"CUST_TRR_END_DT",Settings!$C$4)/100,"")</f>
        <v/>
      </c>
      <c r="H124" s="9">
        <f>IFERROR(BDP(A124,"CUST_TRR_RETURN_HOLDING_PER","CUST_TRR_START_DT",Settings!$C$8,"CUST_TRR_END_DT",Settings!$C$4)/100,"")</f>
        <v/>
      </c>
    </row>
    <row r="125">
      <c r="A125" s="7" t="inlineStr">
        <is>
          <t>CTAS US Equity</t>
        </is>
      </c>
      <c r="B125">
        <f>IFERROR(BDP(A125,"NAME"),"")</f>
        <v/>
      </c>
      <c r="C125">
        <f>IFERROR(BDP(A125,"GICS_SECTOR_NAME"),"")</f>
        <v/>
      </c>
      <c r="D125" s="8">
        <f>IFERROR(BDP(A125,"PX_LAST"),"")</f>
        <v/>
      </c>
      <c r="E125" s="9">
        <f>IFERROR(BDP(A125,"CUST_TRR_RETURN_HOLDING_PER","CUST_TRR_START_DT",Settings!$C$5,"CUST_TRR_END_DT",Settings!$C$4)/100,"")</f>
        <v/>
      </c>
      <c r="F125" s="9">
        <f>IFERROR(BDP(A125,"CUST_TRR_RETURN_HOLDING_PER","CUST_TRR_START_DT",Settings!$C$6,"CUST_TRR_END_DT",Settings!$C$4)/100,"")</f>
        <v/>
      </c>
      <c r="G125" s="9">
        <f>IFERROR(BDP(A125,"CUST_TRR_RETURN_HOLDING_PER","CUST_TRR_START_DT",Settings!$C$7,"CUST_TRR_END_DT",Settings!$C$4)/100,"")</f>
        <v/>
      </c>
      <c r="H125" s="9">
        <f>IFERROR(BDP(A125,"CUST_TRR_RETURN_HOLDING_PER","CUST_TRR_START_DT",Settings!$C$8,"CUST_TRR_END_DT",Settings!$C$4)/100,"")</f>
        <v/>
      </c>
    </row>
    <row r="126">
      <c r="A126" s="7" t="inlineStr">
        <is>
          <t>CTLT US Equity</t>
        </is>
      </c>
      <c r="B126">
        <f>IFERROR(BDP(A126,"NAME"),"")</f>
        <v/>
      </c>
      <c r="C126">
        <f>IFERROR(BDP(A126,"GICS_SECTOR_NAME"),"")</f>
        <v/>
      </c>
      <c r="D126" s="8">
        <f>IFERROR(BDP(A126,"PX_LAST"),"")</f>
        <v/>
      </c>
      <c r="E126" s="9">
        <f>IFERROR(BDP(A126,"CUST_TRR_RETURN_HOLDING_PER","CUST_TRR_START_DT",Settings!$C$5,"CUST_TRR_END_DT",Settings!$C$4)/100,"")</f>
        <v/>
      </c>
      <c r="F126" s="9">
        <f>IFERROR(BDP(A126,"CUST_TRR_RETURN_HOLDING_PER","CUST_TRR_START_DT",Settings!$C$6,"CUST_TRR_END_DT",Settings!$C$4)/100,"")</f>
        <v/>
      </c>
      <c r="G126" s="9">
        <f>IFERROR(BDP(A126,"CUST_TRR_RETURN_HOLDING_PER","CUST_TRR_START_DT",Settings!$C$7,"CUST_TRR_END_DT",Settings!$C$4)/100,"")</f>
        <v/>
      </c>
      <c r="H126" s="9">
        <f>IFERROR(BDP(A126,"CUST_TRR_RETURN_HOLDING_PER","CUST_TRR_START_DT",Settings!$C$8,"CUST_TRR_END_DT",Settings!$C$4)/100,"")</f>
        <v/>
      </c>
    </row>
    <row r="127">
      <c r="A127" s="7" t="inlineStr">
        <is>
          <t>CTRA US Equity</t>
        </is>
      </c>
      <c r="B127">
        <f>IFERROR(BDP(A127,"NAME"),"")</f>
        <v/>
      </c>
      <c r="C127">
        <f>IFERROR(BDP(A127,"GICS_SECTOR_NAME"),"")</f>
        <v/>
      </c>
      <c r="D127" s="8">
        <f>IFERROR(BDP(A127,"PX_LAST"),"")</f>
        <v/>
      </c>
      <c r="E127" s="9">
        <f>IFERROR(BDP(A127,"CUST_TRR_RETURN_HOLDING_PER","CUST_TRR_START_DT",Settings!$C$5,"CUST_TRR_END_DT",Settings!$C$4)/100,"")</f>
        <v/>
      </c>
      <c r="F127" s="9">
        <f>IFERROR(BDP(A127,"CUST_TRR_RETURN_HOLDING_PER","CUST_TRR_START_DT",Settings!$C$6,"CUST_TRR_END_DT",Settings!$C$4)/100,"")</f>
        <v/>
      </c>
      <c r="G127" s="9">
        <f>IFERROR(BDP(A127,"CUST_TRR_RETURN_HOLDING_PER","CUST_TRR_START_DT",Settings!$C$7,"CUST_TRR_END_DT",Settings!$C$4)/100,"")</f>
        <v/>
      </c>
      <c r="H127" s="9">
        <f>IFERROR(BDP(A127,"CUST_TRR_RETURN_HOLDING_PER","CUST_TRR_START_DT",Settings!$C$8,"CUST_TRR_END_DT",Settings!$C$4)/100,"")</f>
        <v/>
      </c>
    </row>
    <row r="128">
      <c r="A128" s="7" t="inlineStr">
        <is>
          <t>CTSH US Equity</t>
        </is>
      </c>
      <c r="B128">
        <f>IFERROR(BDP(A128,"NAME"),"")</f>
        <v/>
      </c>
      <c r="C128">
        <f>IFERROR(BDP(A128,"GICS_SECTOR_NAME"),"")</f>
        <v/>
      </c>
      <c r="D128" s="8">
        <f>IFERROR(BDP(A128,"PX_LAST"),"")</f>
        <v/>
      </c>
      <c r="E128" s="9">
        <f>IFERROR(BDP(A128,"CUST_TRR_RETURN_HOLDING_PER","CUST_TRR_START_DT",Settings!$C$5,"CUST_TRR_END_DT",Settings!$C$4)/100,"")</f>
        <v/>
      </c>
      <c r="F128" s="9">
        <f>IFERROR(BDP(A128,"CUST_TRR_RETURN_HOLDING_PER","CUST_TRR_START_DT",Settings!$C$6,"CUST_TRR_END_DT",Settings!$C$4)/100,"")</f>
        <v/>
      </c>
      <c r="G128" s="9">
        <f>IFERROR(BDP(A128,"CUST_TRR_RETURN_HOLDING_PER","CUST_TRR_START_DT",Settings!$C$7,"CUST_TRR_END_DT",Settings!$C$4)/100,"")</f>
        <v/>
      </c>
      <c r="H128" s="9">
        <f>IFERROR(BDP(A128,"CUST_TRR_RETURN_HOLDING_PER","CUST_TRR_START_DT",Settings!$C$8,"CUST_TRR_END_DT",Settings!$C$4)/100,"")</f>
        <v/>
      </c>
    </row>
    <row r="129">
      <c r="A129" s="7" t="inlineStr">
        <is>
          <t>CTVA US Equity</t>
        </is>
      </c>
      <c r="B129">
        <f>IFERROR(BDP(A129,"NAME"),"")</f>
        <v/>
      </c>
      <c r="C129">
        <f>IFERROR(BDP(A129,"GICS_SECTOR_NAME"),"")</f>
        <v/>
      </c>
      <c r="D129" s="8">
        <f>IFERROR(BDP(A129,"PX_LAST"),"")</f>
        <v/>
      </c>
      <c r="E129" s="9">
        <f>IFERROR(BDP(A129,"CUST_TRR_RETURN_HOLDING_PER","CUST_TRR_START_DT",Settings!$C$5,"CUST_TRR_END_DT",Settings!$C$4)/100,"")</f>
        <v/>
      </c>
      <c r="F129" s="9">
        <f>IFERROR(BDP(A129,"CUST_TRR_RETURN_HOLDING_PER","CUST_TRR_START_DT",Settings!$C$6,"CUST_TRR_END_DT",Settings!$C$4)/100,"")</f>
        <v/>
      </c>
      <c r="G129" s="9">
        <f>IFERROR(BDP(A129,"CUST_TRR_RETURN_HOLDING_PER","CUST_TRR_START_DT",Settings!$C$7,"CUST_TRR_END_DT",Settings!$C$4)/100,"")</f>
        <v/>
      </c>
      <c r="H129" s="9">
        <f>IFERROR(BDP(A129,"CUST_TRR_RETURN_HOLDING_PER","CUST_TRR_START_DT",Settings!$C$8,"CUST_TRR_END_DT",Settings!$C$4)/100,"")</f>
        <v/>
      </c>
    </row>
    <row r="130">
      <c r="A130" s="7" t="inlineStr">
        <is>
          <t>CVS US Equity</t>
        </is>
      </c>
      <c r="B130">
        <f>IFERROR(BDP(A130,"NAME"),"")</f>
        <v/>
      </c>
      <c r="C130">
        <f>IFERROR(BDP(A130,"GICS_SECTOR_NAME"),"")</f>
        <v/>
      </c>
      <c r="D130" s="8">
        <f>IFERROR(BDP(A130,"PX_LAST"),"")</f>
        <v/>
      </c>
      <c r="E130" s="9">
        <f>IFERROR(BDP(A130,"CUST_TRR_RETURN_HOLDING_PER","CUST_TRR_START_DT",Settings!$C$5,"CUST_TRR_END_DT",Settings!$C$4)/100,"")</f>
        <v/>
      </c>
      <c r="F130" s="9">
        <f>IFERROR(BDP(A130,"CUST_TRR_RETURN_HOLDING_PER","CUST_TRR_START_DT",Settings!$C$6,"CUST_TRR_END_DT",Settings!$C$4)/100,"")</f>
        <v/>
      </c>
      <c r="G130" s="9">
        <f>IFERROR(BDP(A130,"CUST_TRR_RETURN_HOLDING_PER","CUST_TRR_START_DT",Settings!$C$7,"CUST_TRR_END_DT",Settings!$C$4)/100,"")</f>
        <v/>
      </c>
      <c r="H130" s="9">
        <f>IFERROR(BDP(A130,"CUST_TRR_RETURN_HOLDING_PER","CUST_TRR_START_DT",Settings!$C$8,"CUST_TRR_END_DT",Settings!$C$4)/100,"")</f>
        <v/>
      </c>
    </row>
    <row r="131">
      <c r="A131" s="7" t="inlineStr">
        <is>
          <t>CVX US Equity</t>
        </is>
      </c>
      <c r="B131">
        <f>IFERROR(BDP(A131,"NAME"),"")</f>
        <v/>
      </c>
      <c r="C131">
        <f>IFERROR(BDP(A131,"GICS_SECTOR_NAME"),"")</f>
        <v/>
      </c>
      <c r="D131" s="8">
        <f>IFERROR(BDP(A131,"PX_LAST"),"")</f>
        <v/>
      </c>
      <c r="E131" s="9">
        <f>IFERROR(BDP(A131,"CUST_TRR_RETURN_HOLDING_PER","CUST_TRR_START_DT",Settings!$C$5,"CUST_TRR_END_DT",Settings!$C$4)/100,"")</f>
        <v/>
      </c>
      <c r="F131" s="9">
        <f>IFERROR(BDP(A131,"CUST_TRR_RETURN_HOLDING_PER","CUST_TRR_START_DT",Settings!$C$6,"CUST_TRR_END_DT",Settings!$C$4)/100,"")</f>
        <v/>
      </c>
      <c r="G131" s="9">
        <f>IFERROR(BDP(A131,"CUST_TRR_RETURN_HOLDING_PER","CUST_TRR_START_DT",Settings!$C$7,"CUST_TRR_END_DT",Settings!$C$4)/100,"")</f>
        <v/>
      </c>
      <c r="H131" s="9">
        <f>IFERROR(BDP(A131,"CUST_TRR_RETURN_HOLDING_PER","CUST_TRR_START_DT",Settings!$C$8,"CUST_TRR_END_DT",Settings!$C$4)/100,"")</f>
        <v/>
      </c>
    </row>
    <row r="132">
      <c r="A132" s="7" t="inlineStr">
        <is>
          <t>CZR US Equity</t>
        </is>
      </c>
      <c r="B132">
        <f>IFERROR(BDP(A132,"NAME"),"")</f>
        <v/>
      </c>
      <c r="C132">
        <f>IFERROR(BDP(A132,"GICS_SECTOR_NAME"),"")</f>
        <v/>
      </c>
      <c r="D132" s="8">
        <f>IFERROR(BDP(A132,"PX_LAST"),"")</f>
        <v/>
      </c>
      <c r="E132" s="9">
        <f>IFERROR(BDP(A132,"CUST_TRR_RETURN_HOLDING_PER","CUST_TRR_START_DT",Settings!$C$5,"CUST_TRR_END_DT",Settings!$C$4)/100,"")</f>
        <v/>
      </c>
      <c r="F132" s="9">
        <f>IFERROR(BDP(A132,"CUST_TRR_RETURN_HOLDING_PER","CUST_TRR_START_DT",Settings!$C$6,"CUST_TRR_END_DT",Settings!$C$4)/100,"")</f>
        <v/>
      </c>
      <c r="G132" s="9">
        <f>IFERROR(BDP(A132,"CUST_TRR_RETURN_HOLDING_PER","CUST_TRR_START_DT",Settings!$C$7,"CUST_TRR_END_DT",Settings!$C$4)/100,"")</f>
        <v/>
      </c>
      <c r="H132" s="9">
        <f>IFERROR(BDP(A132,"CUST_TRR_RETURN_HOLDING_PER","CUST_TRR_START_DT",Settings!$C$8,"CUST_TRR_END_DT",Settings!$C$4)/100,"")</f>
        <v/>
      </c>
    </row>
    <row r="133">
      <c r="A133" s="7" t="inlineStr">
        <is>
          <t>D US Equity</t>
        </is>
      </c>
      <c r="B133">
        <f>IFERROR(BDP(A133,"NAME"),"")</f>
        <v/>
      </c>
      <c r="C133">
        <f>IFERROR(BDP(A133,"GICS_SECTOR_NAME"),"")</f>
        <v/>
      </c>
      <c r="D133" s="8">
        <f>IFERROR(BDP(A133,"PX_LAST"),"")</f>
        <v/>
      </c>
      <c r="E133" s="9">
        <f>IFERROR(BDP(A133,"CUST_TRR_RETURN_HOLDING_PER","CUST_TRR_START_DT",Settings!$C$5,"CUST_TRR_END_DT",Settings!$C$4)/100,"")</f>
        <v/>
      </c>
      <c r="F133" s="9">
        <f>IFERROR(BDP(A133,"CUST_TRR_RETURN_HOLDING_PER","CUST_TRR_START_DT",Settings!$C$6,"CUST_TRR_END_DT",Settings!$C$4)/100,"")</f>
        <v/>
      </c>
      <c r="G133" s="9">
        <f>IFERROR(BDP(A133,"CUST_TRR_RETURN_HOLDING_PER","CUST_TRR_START_DT",Settings!$C$7,"CUST_TRR_END_DT",Settings!$C$4)/100,"")</f>
        <v/>
      </c>
      <c r="H133" s="9">
        <f>IFERROR(BDP(A133,"CUST_TRR_RETURN_HOLDING_PER","CUST_TRR_START_DT",Settings!$C$8,"CUST_TRR_END_DT",Settings!$C$4)/100,"")</f>
        <v/>
      </c>
    </row>
    <row r="134">
      <c r="A134" s="7" t="inlineStr">
        <is>
          <t>DAL US Equity</t>
        </is>
      </c>
      <c r="B134">
        <f>IFERROR(BDP(A134,"NAME"),"")</f>
        <v/>
      </c>
      <c r="C134">
        <f>IFERROR(BDP(A134,"GICS_SECTOR_NAME"),"")</f>
        <v/>
      </c>
      <c r="D134" s="8">
        <f>IFERROR(BDP(A134,"PX_LAST"),"")</f>
        <v/>
      </c>
      <c r="E134" s="9">
        <f>IFERROR(BDP(A134,"CUST_TRR_RETURN_HOLDING_PER","CUST_TRR_START_DT",Settings!$C$5,"CUST_TRR_END_DT",Settings!$C$4)/100,"")</f>
        <v/>
      </c>
      <c r="F134" s="9">
        <f>IFERROR(BDP(A134,"CUST_TRR_RETURN_HOLDING_PER","CUST_TRR_START_DT",Settings!$C$6,"CUST_TRR_END_DT",Settings!$C$4)/100,"")</f>
        <v/>
      </c>
      <c r="G134" s="9">
        <f>IFERROR(BDP(A134,"CUST_TRR_RETURN_HOLDING_PER","CUST_TRR_START_DT",Settings!$C$7,"CUST_TRR_END_DT",Settings!$C$4)/100,"")</f>
        <v/>
      </c>
      <c r="H134" s="9">
        <f>IFERROR(BDP(A134,"CUST_TRR_RETURN_HOLDING_PER","CUST_TRR_START_DT",Settings!$C$8,"CUST_TRR_END_DT",Settings!$C$4)/100,"")</f>
        <v/>
      </c>
    </row>
    <row r="135">
      <c r="A135" s="7" t="inlineStr">
        <is>
          <t>DAY US Equity</t>
        </is>
      </c>
      <c r="B135">
        <f>IFERROR(BDP(A135,"NAME"),"")</f>
        <v/>
      </c>
      <c r="C135">
        <f>IFERROR(BDP(A135,"GICS_SECTOR_NAME"),"")</f>
        <v/>
      </c>
      <c r="D135" s="8">
        <f>IFERROR(BDP(A135,"PX_LAST"),"")</f>
        <v/>
      </c>
      <c r="E135" s="9">
        <f>IFERROR(BDP(A135,"CUST_TRR_RETURN_HOLDING_PER","CUST_TRR_START_DT",Settings!$C$5,"CUST_TRR_END_DT",Settings!$C$4)/100,"")</f>
        <v/>
      </c>
      <c r="F135" s="9">
        <f>IFERROR(BDP(A135,"CUST_TRR_RETURN_HOLDING_PER","CUST_TRR_START_DT",Settings!$C$6,"CUST_TRR_END_DT",Settings!$C$4)/100,"")</f>
        <v/>
      </c>
      <c r="G135" s="9">
        <f>IFERROR(BDP(A135,"CUST_TRR_RETURN_HOLDING_PER","CUST_TRR_START_DT",Settings!$C$7,"CUST_TRR_END_DT",Settings!$C$4)/100,"")</f>
        <v/>
      </c>
      <c r="H135" s="9">
        <f>IFERROR(BDP(A135,"CUST_TRR_RETURN_HOLDING_PER","CUST_TRR_START_DT",Settings!$C$8,"CUST_TRR_END_DT",Settings!$C$4)/100,"")</f>
        <v/>
      </c>
    </row>
    <row r="136">
      <c r="A136" s="7" t="inlineStr">
        <is>
          <t>DD US Equity</t>
        </is>
      </c>
      <c r="B136">
        <f>IFERROR(BDP(A136,"NAME"),"")</f>
        <v/>
      </c>
      <c r="C136">
        <f>IFERROR(BDP(A136,"GICS_SECTOR_NAME"),"")</f>
        <v/>
      </c>
      <c r="D136" s="8">
        <f>IFERROR(BDP(A136,"PX_LAST"),"")</f>
        <v/>
      </c>
      <c r="E136" s="9">
        <f>IFERROR(BDP(A136,"CUST_TRR_RETURN_HOLDING_PER","CUST_TRR_START_DT",Settings!$C$5,"CUST_TRR_END_DT",Settings!$C$4)/100,"")</f>
        <v/>
      </c>
      <c r="F136" s="9">
        <f>IFERROR(BDP(A136,"CUST_TRR_RETURN_HOLDING_PER","CUST_TRR_START_DT",Settings!$C$6,"CUST_TRR_END_DT",Settings!$C$4)/100,"")</f>
        <v/>
      </c>
      <c r="G136" s="9">
        <f>IFERROR(BDP(A136,"CUST_TRR_RETURN_HOLDING_PER","CUST_TRR_START_DT",Settings!$C$7,"CUST_TRR_END_DT",Settings!$C$4)/100,"")</f>
        <v/>
      </c>
      <c r="H136" s="9">
        <f>IFERROR(BDP(A136,"CUST_TRR_RETURN_HOLDING_PER","CUST_TRR_START_DT",Settings!$C$8,"CUST_TRR_END_DT",Settings!$C$4)/100,"")</f>
        <v/>
      </c>
    </row>
    <row r="137">
      <c r="A137" s="7" t="inlineStr">
        <is>
          <t>DE US Equity</t>
        </is>
      </c>
      <c r="B137">
        <f>IFERROR(BDP(A137,"NAME"),"")</f>
        <v/>
      </c>
      <c r="C137">
        <f>IFERROR(BDP(A137,"GICS_SECTOR_NAME"),"")</f>
        <v/>
      </c>
      <c r="D137" s="8">
        <f>IFERROR(BDP(A137,"PX_LAST"),"")</f>
        <v/>
      </c>
      <c r="E137" s="9">
        <f>IFERROR(BDP(A137,"CUST_TRR_RETURN_HOLDING_PER","CUST_TRR_START_DT",Settings!$C$5,"CUST_TRR_END_DT",Settings!$C$4)/100,"")</f>
        <v/>
      </c>
      <c r="F137" s="9">
        <f>IFERROR(BDP(A137,"CUST_TRR_RETURN_HOLDING_PER","CUST_TRR_START_DT",Settings!$C$6,"CUST_TRR_END_DT",Settings!$C$4)/100,"")</f>
        <v/>
      </c>
      <c r="G137" s="9">
        <f>IFERROR(BDP(A137,"CUST_TRR_RETURN_HOLDING_PER","CUST_TRR_START_DT",Settings!$C$7,"CUST_TRR_END_DT",Settings!$C$4)/100,"")</f>
        <v/>
      </c>
      <c r="H137" s="9">
        <f>IFERROR(BDP(A137,"CUST_TRR_RETURN_HOLDING_PER","CUST_TRR_START_DT",Settings!$C$8,"CUST_TRR_END_DT",Settings!$C$4)/100,"")</f>
        <v/>
      </c>
    </row>
    <row r="138">
      <c r="A138" s="7" t="inlineStr">
        <is>
          <t>DECK US Equity</t>
        </is>
      </c>
      <c r="B138">
        <f>IFERROR(BDP(A138,"NAME"),"")</f>
        <v/>
      </c>
      <c r="C138">
        <f>IFERROR(BDP(A138,"GICS_SECTOR_NAME"),"")</f>
        <v/>
      </c>
      <c r="D138" s="8">
        <f>IFERROR(BDP(A138,"PX_LAST"),"")</f>
        <v/>
      </c>
      <c r="E138" s="9">
        <f>IFERROR(BDP(A138,"CUST_TRR_RETURN_HOLDING_PER","CUST_TRR_START_DT",Settings!$C$5,"CUST_TRR_END_DT",Settings!$C$4)/100,"")</f>
        <v/>
      </c>
      <c r="F138" s="9">
        <f>IFERROR(BDP(A138,"CUST_TRR_RETURN_HOLDING_PER","CUST_TRR_START_DT",Settings!$C$6,"CUST_TRR_END_DT",Settings!$C$4)/100,"")</f>
        <v/>
      </c>
      <c r="G138" s="9">
        <f>IFERROR(BDP(A138,"CUST_TRR_RETURN_HOLDING_PER","CUST_TRR_START_DT",Settings!$C$7,"CUST_TRR_END_DT",Settings!$C$4)/100,"")</f>
        <v/>
      </c>
      <c r="H138" s="9">
        <f>IFERROR(BDP(A138,"CUST_TRR_RETURN_HOLDING_PER","CUST_TRR_START_DT",Settings!$C$8,"CUST_TRR_END_DT",Settings!$C$4)/100,"")</f>
        <v/>
      </c>
    </row>
    <row r="139">
      <c r="A139" s="7" t="inlineStr">
        <is>
          <t>DFS US Equity</t>
        </is>
      </c>
      <c r="B139">
        <f>IFERROR(BDP(A139,"NAME"),"")</f>
        <v/>
      </c>
      <c r="C139">
        <f>IFERROR(BDP(A139,"GICS_SECTOR_NAME"),"")</f>
        <v/>
      </c>
      <c r="D139" s="8">
        <f>IFERROR(BDP(A139,"PX_LAST"),"")</f>
        <v/>
      </c>
      <c r="E139" s="9">
        <f>IFERROR(BDP(A139,"CUST_TRR_RETURN_HOLDING_PER","CUST_TRR_START_DT",Settings!$C$5,"CUST_TRR_END_DT",Settings!$C$4)/100,"")</f>
        <v/>
      </c>
      <c r="F139" s="9">
        <f>IFERROR(BDP(A139,"CUST_TRR_RETURN_HOLDING_PER","CUST_TRR_START_DT",Settings!$C$6,"CUST_TRR_END_DT",Settings!$C$4)/100,"")</f>
        <v/>
      </c>
      <c r="G139" s="9">
        <f>IFERROR(BDP(A139,"CUST_TRR_RETURN_HOLDING_PER","CUST_TRR_START_DT",Settings!$C$7,"CUST_TRR_END_DT",Settings!$C$4)/100,"")</f>
        <v/>
      </c>
      <c r="H139" s="9">
        <f>IFERROR(BDP(A139,"CUST_TRR_RETURN_HOLDING_PER","CUST_TRR_START_DT",Settings!$C$8,"CUST_TRR_END_DT",Settings!$C$4)/100,"")</f>
        <v/>
      </c>
    </row>
    <row r="140">
      <c r="A140" s="7" t="inlineStr">
        <is>
          <t>DG US Equity</t>
        </is>
      </c>
      <c r="B140">
        <f>IFERROR(BDP(A140,"NAME"),"")</f>
        <v/>
      </c>
      <c r="C140">
        <f>IFERROR(BDP(A140,"GICS_SECTOR_NAME"),"")</f>
        <v/>
      </c>
      <c r="D140" s="8">
        <f>IFERROR(BDP(A140,"PX_LAST"),"")</f>
        <v/>
      </c>
      <c r="E140" s="9">
        <f>IFERROR(BDP(A140,"CUST_TRR_RETURN_HOLDING_PER","CUST_TRR_START_DT",Settings!$C$5,"CUST_TRR_END_DT",Settings!$C$4)/100,"")</f>
        <v/>
      </c>
      <c r="F140" s="9">
        <f>IFERROR(BDP(A140,"CUST_TRR_RETURN_HOLDING_PER","CUST_TRR_START_DT",Settings!$C$6,"CUST_TRR_END_DT",Settings!$C$4)/100,"")</f>
        <v/>
      </c>
      <c r="G140" s="9">
        <f>IFERROR(BDP(A140,"CUST_TRR_RETURN_HOLDING_PER","CUST_TRR_START_DT",Settings!$C$7,"CUST_TRR_END_DT",Settings!$C$4)/100,"")</f>
        <v/>
      </c>
      <c r="H140" s="9">
        <f>IFERROR(BDP(A140,"CUST_TRR_RETURN_HOLDING_PER","CUST_TRR_START_DT",Settings!$C$8,"CUST_TRR_END_DT",Settings!$C$4)/100,"")</f>
        <v/>
      </c>
    </row>
    <row r="141">
      <c r="A141" s="7" t="inlineStr">
        <is>
          <t>DGX US Equity</t>
        </is>
      </c>
      <c r="B141">
        <f>IFERROR(BDP(A141,"NAME"),"")</f>
        <v/>
      </c>
      <c r="C141">
        <f>IFERROR(BDP(A141,"GICS_SECTOR_NAME"),"")</f>
        <v/>
      </c>
      <c r="D141" s="8">
        <f>IFERROR(BDP(A141,"PX_LAST"),"")</f>
        <v/>
      </c>
      <c r="E141" s="9">
        <f>IFERROR(BDP(A141,"CUST_TRR_RETURN_HOLDING_PER","CUST_TRR_START_DT",Settings!$C$5,"CUST_TRR_END_DT",Settings!$C$4)/100,"")</f>
        <v/>
      </c>
      <c r="F141" s="9">
        <f>IFERROR(BDP(A141,"CUST_TRR_RETURN_HOLDING_PER","CUST_TRR_START_DT",Settings!$C$6,"CUST_TRR_END_DT",Settings!$C$4)/100,"")</f>
        <v/>
      </c>
      <c r="G141" s="9">
        <f>IFERROR(BDP(A141,"CUST_TRR_RETURN_HOLDING_PER","CUST_TRR_START_DT",Settings!$C$7,"CUST_TRR_END_DT",Settings!$C$4)/100,"")</f>
        <v/>
      </c>
      <c r="H141" s="9">
        <f>IFERROR(BDP(A141,"CUST_TRR_RETURN_HOLDING_PER","CUST_TRR_START_DT",Settings!$C$8,"CUST_TRR_END_DT",Settings!$C$4)/100,"")</f>
        <v/>
      </c>
    </row>
    <row r="142">
      <c r="A142" s="7" t="inlineStr">
        <is>
          <t>DHI US Equity</t>
        </is>
      </c>
      <c r="B142">
        <f>IFERROR(BDP(A142,"NAME"),"")</f>
        <v/>
      </c>
      <c r="C142">
        <f>IFERROR(BDP(A142,"GICS_SECTOR_NAME"),"")</f>
        <v/>
      </c>
      <c r="D142" s="8">
        <f>IFERROR(BDP(A142,"PX_LAST"),"")</f>
        <v/>
      </c>
      <c r="E142" s="9">
        <f>IFERROR(BDP(A142,"CUST_TRR_RETURN_HOLDING_PER","CUST_TRR_START_DT",Settings!$C$5,"CUST_TRR_END_DT",Settings!$C$4)/100,"")</f>
        <v/>
      </c>
      <c r="F142" s="9">
        <f>IFERROR(BDP(A142,"CUST_TRR_RETURN_HOLDING_PER","CUST_TRR_START_DT",Settings!$C$6,"CUST_TRR_END_DT",Settings!$C$4)/100,"")</f>
        <v/>
      </c>
      <c r="G142" s="9">
        <f>IFERROR(BDP(A142,"CUST_TRR_RETURN_HOLDING_PER","CUST_TRR_START_DT",Settings!$C$7,"CUST_TRR_END_DT",Settings!$C$4)/100,"")</f>
        <v/>
      </c>
      <c r="H142" s="9">
        <f>IFERROR(BDP(A142,"CUST_TRR_RETURN_HOLDING_PER","CUST_TRR_START_DT",Settings!$C$8,"CUST_TRR_END_DT",Settings!$C$4)/100,"")</f>
        <v/>
      </c>
    </row>
    <row r="143">
      <c r="A143" s="7" t="inlineStr">
        <is>
          <t>DHR US Equity</t>
        </is>
      </c>
      <c r="B143">
        <f>IFERROR(BDP(A143,"NAME"),"")</f>
        <v/>
      </c>
      <c r="C143">
        <f>IFERROR(BDP(A143,"GICS_SECTOR_NAME"),"")</f>
        <v/>
      </c>
      <c r="D143" s="8">
        <f>IFERROR(BDP(A143,"PX_LAST"),"")</f>
        <v/>
      </c>
      <c r="E143" s="9">
        <f>IFERROR(BDP(A143,"CUST_TRR_RETURN_HOLDING_PER","CUST_TRR_START_DT",Settings!$C$5,"CUST_TRR_END_DT",Settings!$C$4)/100,"")</f>
        <v/>
      </c>
      <c r="F143" s="9">
        <f>IFERROR(BDP(A143,"CUST_TRR_RETURN_HOLDING_PER","CUST_TRR_START_DT",Settings!$C$6,"CUST_TRR_END_DT",Settings!$C$4)/100,"")</f>
        <v/>
      </c>
      <c r="G143" s="9">
        <f>IFERROR(BDP(A143,"CUST_TRR_RETURN_HOLDING_PER","CUST_TRR_START_DT",Settings!$C$7,"CUST_TRR_END_DT",Settings!$C$4)/100,"")</f>
        <v/>
      </c>
      <c r="H143" s="9">
        <f>IFERROR(BDP(A143,"CUST_TRR_RETURN_HOLDING_PER","CUST_TRR_START_DT",Settings!$C$8,"CUST_TRR_END_DT",Settings!$C$4)/100,"")</f>
        <v/>
      </c>
    </row>
    <row r="144">
      <c r="A144" s="7" t="inlineStr">
        <is>
          <t>DIS US Equity</t>
        </is>
      </c>
      <c r="B144">
        <f>IFERROR(BDP(A144,"NAME"),"")</f>
        <v/>
      </c>
      <c r="C144">
        <f>IFERROR(BDP(A144,"GICS_SECTOR_NAME"),"")</f>
        <v/>
      </c>
      <c r="D144" s="8">
        <f>IFERROR(BDP(A144,"PX_LAST"),"")</f>
        <v/>
      </c>
      <c r="E144" s="9">
        <f>IFERROR(BDP(A144,"CUST_TRR_RETURN_HOLDING_PER","CUST_TRR_START_DT",Settings!$C$5,"CUST_TRR_END_DT",Settings!$C$4)/100,"")</f>
        <v/>
      </c>
      <c r="F144" s="9">
        <f>IFERROR(BDP(A144,"CUST_TRR_RETURN_HOLDING_PER","CUST_TRR_START_DT",Settings!$C$6,"CUST_TRR_END_DT",Settings!$C$4)/100,"")</f>
        <v/>
      </c>
      <c r="G144" s="9">
        <f>IFERROR(BDP(A144,"CUST_TRR_RETURN_HOLDING_PER","CUST_TRR_START_DT",Settings!$C$7,"CUST_TRR_END_DT",Settings!$C$4)/100,"")</f>
        <v/>
      </c>
      <c r="H144" s="9">
        <f>IFERROR(BDP(A144,"CUST_TRR_RETURN_HOLDING_PER","CUST_TRR_START_DT",Settings!$C$8,"CUST_TRR_END_DT",Settings!$C$4)/100,"")</f>
        <v/>
      </c>
    </row>
    <row r="145">
      <c r="A145" s="7" t="inlineStr">
        <is>
          <t>DLR US Equity</t>
        </is>
      </c>
      <c r="B145">
        <f>IFERROR(BDP(A145,"NAME"),"")</f>
        <v/>
      </c>
      <c r="C145">
        <f>IFERROR(BDP(A145,"GICS_SECTOR_NAME"),"")</f>
        <v/>
      </c>
      <c r="D145" s="8">
        <f>IFERROR(BDP(A145,"PX_LAST"),"")</f>
        <v/>
      </c>
      <c r="E145" s="9">
        <f>IFERROR(BDP(A145,"CUST_TRR_RETURN_HOLDING_PER","CUST_TRR_START_DT",Settings!$C$5,"CUST_TRR_END_DT",Settings!$C$4)/100,"")</f>
        <v/>
      </c>
      <c r="F145" s="9">
        <f>IFERROR(BDP(A145,"CUST_TRR_RETURN_HOLDING_PER","CUST_TRR_START_DT",Settings!$C$6,"CUST_TRR_END_DT",Settings!$C$4)/100,"")</f>
        <v/>
      </c>
      <c r="G145" s="9">
        <f>IFERROR(BDP(A145,"CUST_TRR_RETURN_HOLDING_PER","CUST_TRR_START_DT",Settings!$C$7,"CUST_TRR_END_DT",Settings!$C$4)/100,"")</f>
        <v/>
      </c>
      <c r="H145" s="9">
        <f>IFERROR(BDP(A145,"CUST_TRR_RETURN_HOLDING_PER","CUST_TRR_START_DT",Settings!$C$8,"CUST_TRR_END_DT",Settings!$C$4)/100,"")</f>
        <v/>
      </c>
    </row>
    <row r="146">
      <c r="A146" s="7" t="inlineStr">
        <is>
          <t>DLTR US Equity</t>
        </is>
      </c>
      <c r="B146">
        <f>IFERROR(BDP(A146,"NAME"),"")</f>
        <v/>
      </c>
      <c r="C146">
        <f>IFERROR(BDP(A146,"GICS_SECTOR_NAME"),"")</f>
        <v/>
      </c>
      <c r="D146" s="8">
        <f>IFERROR(BDP(A146,"PX_LAST"),"")</f>
        <v/>
      </c>
      <c r="E146" s="9">
        <f>IFERROR(BDP(A146,"CUST_TRR_RETURN_HOLDING_PER","CUST_TRR_START_DT",Settings!$C$5,"CUST_TRR_END_DT",Settings!$C$4)/100,"")</f>
        <v/>
      </c>
      <c r="F146" s="9">
        <f>IFERROR(BDP(A146,"CUST_TRR_RETURN_HOLDING_PER","CUST_TRR_START_DT",Settings!$C$6,"CUST_TRR_END_DT",Settings!$C$4)/100,"")</f>
        <v/>
      </c>
      <c r="G146" s="9">
        <f>IFERROR(BDP(A146,"CUST_TRR_RETURN_HOLDING_PER","CUST_TRR_START_DT",Settings!$C$7,"CUST_TRR_END_DT",Settings!$C$4)/100,"")</f>
        <v/>
      </c>
      <c r="H146" s="9">
        <f>IFERROR(BDP(A146,"CUST_TRR_RETURN_HOLDING_PER","CUST_TRR_START_DT",Settings!$C$8,"CUST_TRR_END_DT",Settings!$C$4)/100,"")</f>
        <v/>
      </c>
    </row>
    <row r="147">
      <c r="A147" s="7" t="inlineStr">
        <is>
          <t>DOC US Equity</t>
        </is>
      </c>
      <c r="B147">
        <f>IFERROR(BDP(A147,"NAME"),"")</f>
        <v/>
      </c>
      <c r="C147">
        <f>IFERROR(BDP(A147,"GICS_SECTOR_NAME"),"")</f>
        <v/>
      </c>
      <c r="D147" s="8">
        <f>IFERROR(BDP(A147,"PX_LAST"),"")</f>
        <v/>
      </c>
      <c r="E147" s="9">
        <f>IFERROR(BDP(A147,"CUST_TRR_RETURN_HOLDING_PER","CUST_TRR_START_DT",Settings!$C$5,"CUST_TRR_END_DT",Settings!$C$4)/100,"")</f>
        <v/>
      </c>
      <c r="F147" s="9">
        <f>IFERROR(BDP(A147,"CUST_TRR_RETURN_HOLDING_PER","CUST_TRR_START_DT",Settings!$C$6,"CUST_TRR_END_DT",Settings!$C$4)/100,"")</f>
        <v/>
      </c>
      <c r="G147" s="9">
        <f>IFERROR(BDP(A147,"CUST_TRR_RETURN_HOLDING_PER","CUST_TRR_START_DT",Settings!$C$7,"CUST_TRR_END_DT",Settings!$C$4)/100,"")</f>
        <v/>
      </c>
      <c r="H147" s="9">
        <f>IFERROR(BDP(A147,"CUST_TRR_RETURN_HOLDING_PER","CUST_TRR_START_DT",Settings!$C$8,"CUST_TRR_END_DT",Settings!$C$4)/100,"")</f>
        <v/>
      </c>
    </row>
    <row r="148">
      <c r="A148" s="7" t="inlineStr">
        <is>
          <t>DOV US Equity</t>
        </is>
      </c>
      <c r="B148">
        <f>IFERROR(BDP(A148,"NAME"),"")</f>
        <v/>
      </c>
      <c r="C148">
        <f>IFERROR(BDP(A148,"GICS_SECTOR_NAME"),"")</f>
        <v/>
      </c>
      <c r="D148" s="8">
        <f>IFERROR(BDP(A148,"PX_LAST"),"")</f>
        <v/>
      </c>
      <c r="E148" s="9">
        <f>IFERROR(BDP(A148,"CUST_TRR_RETURN_HOLDING_PER","CUST_TRR_START_DT",Settings!$C$5,"CUST_TRR_END_DT",Settings!$C$4)/100,"")</f>
        <v/>
      </c>
      <c r="F148" s="9">
        <f>IFERROR(BDP(A148,"CUST_TRR_RETURN_HOLDING_PER","CUST_TRR_START_DT",Settings!$C$6,"CUST_TRR_END_DT",Settings!$C$4)/100,"")</f>
        <v/>
      </c>
      <c r="G148" s="9">
        <f>IFERROR(BDP(A148,"CUST_TRR_RETURN_HOLDING_PER","CUST_TRR_START_DT",Settings!$C$7,"CUST_TRR_END_DT",Settings!$C$4)/100,"")</f>
        <v/>
      </c>
      <c r="H148" s="9">
        <f>IFERROR(BDP(A148,"CUST_TRR_RETURN_HOLDING_PER","CUST_TRR_START_DT",Settings!$C$8,"CUST_TRR_END_DT",Settings!$C$4)/100,"")</f>
        <v/>
      </c>
    </row>
    <row r="149">
      <c r="A149" s="7" t="inlineStr">
        <is>
          <t>DOW US Equity</t>
        </is>
      </c>
      <c r="B149">
        <f>IFERROR(BDP(A149,"NAME"),"")</f>
        <v/>
      </c>
      <c r="C149">
        <f>IFERROR(BDP(A149,"GICS_SECTOR_NAME"),"")</f>
        <v/>
      </c>
      <c r="D149" s="8">
        <f>IFERROR(BDP(A149,"PX_LAST"),"")</f>
        <v/>
      </c>
      <c r="E149" s="9">
        <f>IFERROR(BDP(A149,"CUST_TRR_RETURN_HOLDING_PER","CUST_TRR_START_DT",Settings!$C$5,"CUST_TRR_END_DT",Settings!$C$4)/100,"")</f>
        <v/>
      </c>
      <c r="F149" s="9">
        <f>IFERROR(BDP(A149,"CUST_TRR_RETURN_HOLDING_PER","CUST_TRR_START_DT",Settings!$C$6,"CUST_TRR_END_DT",Settings!$C$4)/100,"")</f>
        <v/>
      </c>
      <c r="G149" s="9">
        <f>IFERROR(BDP(A149,"CUST_TRR_RETURN_HOLDING_PER","CUST_TRR_START_DT",Settings!$C$7,"CUST_TRR_END_DT",Settings!$C$4)/100,"")</f>
        <v/>
      </c>
      <c r="H149" s="9">
        <f>IFERROR(BDP(A149,"CUST_TRR_RETURN_HOLDING_PER","CUST_TRR_START_DT",Settings!$C$8,"CUST_TRR_END_DT",Settings!$C$4)/100,"")</f>
        <v/>
      </c>
    </row>
    <row r="150">
      <c r="A150" s="7" t="inlineStr">
        <is>
          <t>DPZ US Equity</t>
        </is>
      </c>
      <c r="B150">
        <f>IFERROR(BDP(A150,"NAME"),"")</f>
        <v/>
      </c>
      <c r="C150">
        <f>IFERROR(BDP(A150,"GICS_SECTOR_NAME"),"")</f>
        <v/>
      </c>
      <c r="D150" s="8">
        <f>IFERROR(BDP(A150,"PX_LAST"),"")</f>
        <v/>
      </c>
      <c r="E150" s="9">
        <f>IFERROR(BDP(A150,"CUST_TRR_RETURN_HOLDING_PER","CUST_TRR_START_DT",Settings!$C$5,"CUST_TRR_END_DT",Settings!$C$4)/100,"")</f>
        <v/>
      </c>
      <c r="F150" s="9">
        <f>IFERROR(BDP(A150,"CUST_TRR_RETURN_HOLDING_PER","CUST_TRR_START_DT",Settings!$C$6,"CUST_TRR_END_DT",Settings!$C$4)/100,"")</f>
        <v/>
      </c>
      <c r="G150" s="9">
        <f>IFERROR(BDP(A150,"CUST_TRR_RETURN_HOLDING_PER","CUST_TRR_START_DT",Settings!$C$7,"CUST_TRR_END_DT",Settings!$C$4)/100,"")</f>
        <v/>
      </c>
      <c r="H150" s="9">
        <f>IFERROR(BDP(A150,"CUST_TRR_RETURN_HOLDING_PER","CUST_TRR_START_DT",Settings!$C$8,"CUST_TRR_END_DT",Settings!$C$4)/100,"")</f>
        <v/>
      </c>
    </row>
    <row r="151">
      <c r="A151" s="7" t="inlineStr">
        <is>
          <t>DRI US Equity</t>
        </is>
      </c>
      <c r="B151">
        <f>IFERROR(BDP(A151,"NAME"),"")</f>
        <v/>
      </c>
      <c r="C151">
        <f>IFERROR(BDP(A151,"GICS_SECTOR_NAME"),"")</f>
        <v/>
      </c>
      <c r="D151" s="8">
        <f>IFERROR(BDP(A151,"PX_LAST"),"")</f>
        <v/>
      </c>
      <c r="E151" s="9">
        <f>IFERROR(BDP(A151,"CUST_TRR_RETURN_HOLDING_PER","CUST_TRR_START_DT",Settings!$C$5,"CUST_TRR_END_DT",Settings!$C$4)/100,"")</f>
        <v/>
      </c>
      <c r="F151" s="9">
        <f>IFERROR(BDP(A151,"CUST_TRR_RETURN_HOLDING_PER","CUST_TRR_START_DT",Settings!$C$6,"CUST_TRR_END_DT",Settings!$C$4)/100,"")</f>
        <v/>
      </c>
      <c r="G151" s="9">
        <f>IFERROR(BDP(A151,"CUST_TRR_RETURN_HOLDING_PER","CUST_TRR_START_DT",Settings!$C$7,"CUST_TRR_END_DT",Settings!$C$4)/100,"")</f>
        <v/>
      </c>
      <c r="H151" s="9">
        <f>IFERROR(BDP(A151,"CUST_TRR_RETURN_HOLDING_PER","CUST_TRR_START_DT",Settings!$C$8,"CUST_TRR_END_DT",Settings!$C$4)/100,"")</f>
        <v/>
      </c>
    </row>
    <row r="152">
      <c r="A152" s="7" t="inlineStr">
        <is>
          <t>DTE US Equity</t>
        </is>
      </c>
      <c r="B152">
        <f>IFERROR(BDP(A152,"NAME"),"")</f>
        <v/>
      </c>
      <c r="C152">
        <f>IFERROR(BDP(A152,"GICS_SECTOR_NAME"),"")</f>
        <v/>
      </c>
      <c r="D152" s="8">
        <f>IFERROR(BDP(A152,"PX_LAST"),"")</f>
        <v/>
      </c>
      <c r="E152" s="9">
        <f>IFERROR(BDP(A152,"CUST_TRR_RETURN_HOLDING_PER","CUST_TRR_START_DT",Settings!$C$5,"CUST_TRR_END_DT",Settings!$C$4)/100,"")</f>
        <v/>
      </c>
      <c r="F152" s="9">
        <f>IFERROR(BDP(A152,"CUST_TRR_RETURN_HOLDING_PER","CUST_TRR_START_DT",Settings!$C$6,"CUST_TRR_END_DT",Settings!$C$4)/100,"")</f>
        <v/>
      </c>
      <c r="G152" s="9">
        <f>IFERROR(BDP(A152,"CUST_TRR_RETURN_HOLDING_PER","CUST_TRR_START_DT",Settings!$C$7,"CUST_TRR_END_DT",Settings!$C$4)/100,"")</f>
        <v/>
      </c>
      <c r="H152" s="9">
        <f>IFERROR(BDP(A152,"CUST_TRR_RETURN_HOLDING_PER","CUST_TRR_START_DT",Settings!$C$8,"CUST_TRR_END_DT",Settings!$C$4)/100,"")</f>
        <v/>
      </c>
    </row>
    <row r="153">
      <c r="A153" s="7" t="inlineStr">
        <is>
          <t>DUK US Equity</t>
        </is>
      </c>
      <c r="B153">
        <f>IFERROR(BDP(A153,"NAME"),"")</f>
        <v/>
      </c>
      <c r="C153">
        <f>IFERROR(BDP(A153,"GICS_SECTOR_NAME"),"")</f>
        <v/>
      </c>
      <c r="D153" s="8">
        <f>IFERROR(BDP(A153,"PX_LAST"),"")</f>
        <v/>
      </c>
      <c r="E153" s="9">
        <f>IFERROR(BDP(A153,"CUST_TRR_RETURN_HOLDING_PER","CUST_TRR_START_DT",Settings!$C$5,"CUST_TRR_END_DT",Settings!$C$4)/100,"")</f>
        <v/>
      </c>
      <c r="F153" s="9">
        <f>IFERROR(BDP(A153,"CUST_TRR_RETURN_HOLDING_PER","CUST_TRR_START_DT",Settings!$C$6,"CUST_TRR_END_DT",Settings!$C$4)/100,"")</f>
        <v/>
      </c>
      <c r="G153" s="9">
        <f>IFERROR(BDP(A153,"CUST_TRR_RETURN_HOLDING_PER","CUST_TRR_START_DT",Settings!$C$7,"CUST_TRR_END_DT",Settings!$C$4)/100,"")</f>
        <v/>
      </c>
      <c r="H153" s="9">
        <f>IFERROR(BDP(A153,"CUST_TRR_RETURN_HOLDING_PER","CUST_TRR_START_DT",Settings!$C$8,"CUST_TRR_END_DT",Settings!$C$4)/100,"")</f>
        <v/>
      </c>
    </row>
    <row r="154">
      <c r="A154" s="7" t="inlineStr">
        <is>
          <t>DVA US Equity</t>
        </is>
      </c>
      <c r="B154">
        <f>IFERROR(BDP(A154,"NAME"),"")</f>
        <v/>
      </c>
      <c r="C154">
        <f>IFERROR(BDP(A154,"GICS_SECTOR_NAME"),"")</f>
        <v/>
      </c>
      <c r="D154" s="8">
        <f>IFERROR(BDP(A154,"PX_LAST"),"")</f>
        <v/>
      </c>
      <c r="E154" s="9">
        <f>IFERROR(BDP(A154,"CUST_TRR_RETURN_HOLDING_PER","CUST_TRR_START_DT",Settings!$C$5,"CUST_TRR_END_DT",Settings!$C$4)/100,"")</f>
        <v/>
      </c>
      <c r="F154" s="9">
        <f>IFERROR(BDP(A154,"CUST_TRR_RETURN_HOLDING_PER","CUST_TRR_START_DT",Settings!$C$6,"CUST_TRR_END_DT",Settings!$C$4)/100,"")</f>
        <v/>
      </c>
      <c r="G154" s="9">
        <f>IFERROR(BDP(A154,"CUST_TRR_RETURN_HOLDING_PER","CUST_TRR_START_DT",Settings!$C$7,"CUST_TRR_END_DT",Settings!$C$4)/100,"")</f>
        <v/>
      </c>
      <c r="H154" s="9">
        <f>IFERROR(BDP(A154,"CUST_TRR_RETURN_HOLDING_PER","CUST_TRR_START_DT",Settings!$C$8,"CUST_TRR_END_DT",Settings!$C$4)/100,"")</f>
        <v/>
      </c>
    </row>
    <row r="155">
      <c r="A155" s="7" t="inlineStr">
        <is>
          <t>DVN US Equity</t>
        </is>
      </c>
      <c r="B155">
        <f>IFERROR(BDP(A155,"NAME"),"")</f>
        <v/>
      </c>
      <c r="C155">
        <f>IFERROR(BDP(A155,"GICS_SECTOR_NAME"),"")</f>
        <v/>
      </c>
      <c r="D155" s="8">
        <f>IFERROR(BDP(A155,"PX_LAST"),"")</f>
        <v/>
      </c>
      <c r="E155" s="9">
        <f>IFERROR(BDP(A155,"CUST_TRR_RETURN_HOLDING_PER","CUST_TRR_START_DT",Settings!$C$5,"CUST_TRR_END_DT",Settings!$C$4)/100,"")</f>
        <v/>
      </c>
      <c r="F155" s="9">
        <f>IFERROR(BDP(A155,"CUST_TRR_RETURN_HOLDING_PER","CUST_TRR_START_DT",Settings!$C$6,"CUST_TRR_END_DT",Settings!$C$4)/100,"")</f>
        <v/>
      </c>
      <c r="G155" s="9">
        <f>IFERROR(BDP(A155,"CUST_TRR_RETURN_HOLDING_PER","CUST_TRR_START_DT",Settings!$C$7,"CUST_TRR_END_DT",Settings!$C$4)/100,"")</f>
        <v/>
      </c>
      <c r="H155" s="9">
        <f>IFERROR(BDP(A155,"CUST_TRR_RETURN_HOLDING_PER","CUST_TRR_START_DT",Settings!$C$8,"CUST_TRR_END_DT",Settings!$C$4)/100,"")</f>
        <v/>
      </c>
    </row>
    <row r="156">
      <c r="A156" s="7" t="inlineStr">
        <is>
          <t>DXCM US Equity</t>
        </is>
      </c>
      <c r="B156">
        <f>IFERROR(BDP(A156,"NAME"),"")</f>
        <v/>
      </c>
      <c r="C156">
        <f>IFERROR(BDP(A156,"GICS_SECTOR_NAME"),"")</f>
        <v/>
      </c>
      <c r="D156" s="8">
        <f>IFERROR(BDP(A156,"PX_LAST"),"")</f>
        <v/>
      </c>
      <c r="E156" s="9">
        <f>IFERROR(BDP(A156,"CUST_TRR_RETURN_HOLDING_PER","CUST_TRR_START_DT",Settings!$C$5,"CUST_TRR_END_DT",Settings!$C$4)/100,"")</f>
        <v/>
      </c>
      <c r="F156" s="9">
        <f>IFERROR(BDP(A156,"CUST_TRR_RETURN_HOLDING_PER","CUST_TRR_START_DT",Settings!$C$6,"CUST_TRR_END_DT",Settings!$C$4)/100,"")</f>
        <v/>
      </c>
      <c r="G156" s="9">
        <f>IFERROR(BDP(A156,"CUST_TRR_RETURN_HOLDING_PER","CUST_TRR_START_DT",Settings!$C$7,"CUST_TRR_END_DT",Settings!$C$4)/100,"")</f>
        <v/>
      </c>
      <c r="H156" s="9">
        <f>IFERROR(BDP(A156,"CUST_TRR_RETURN_HOLDING_PER","CUST_TRR_START_DT",Settings!$C$8,"CUST_TRR_END_DT",Settings!$C$4)/100,"")</f>
        <v/>
      </c>
    </row>
    <row r="157">
      <c r="A157" s="7" t="inlineStr">
        <is>
          <t>EA US Equity</t>
        </is>
      </c>
      <c r="B157">
        <f>IFERROR(BDP(A157,"NAME"),"")</f>
        <v/>
      </c>
      <c r="C157">
        <f>IFERROR(BDP(A157,"GICS_SECTOR_NAME"),"")</f>
        <v/>
      </c>
      <c r="D157" s="8">
        <f>IFERROR(BDP(A157,"PX_LAST"),"")</f>
        <v/>
      </c>
      <c r="E157" s="9">
        <f>IFERROR(BDP(A157,"CUST_TRR_RETURN_HOLDING_PER","CUST_TRR_START_DT",Settings!$C$5,"CUST_TRR_END_DT",Settings!$C$4)/100,"")</f>
        <v/>
      </c>
      <c r="F157" s="9">
        <f>IFERROR(BDP(A157,"CUST_TRR_RETURN_HOLDING_PER","CUST_TRR_START_DT",Settings!$C$6,"CUST_TRR_END_DT",Settings!$C$4)/100,"")</f>
        <v/>
      </c>
      <c r="G157" s="9">
        <f>IFERROR(BDP(A157,"CUST_TRR_RETURN_HOLDING_PER","CUST_TRR_START_DT",Settings!$C$7,"CUST_TRR_END_DT",Settings!$C$4)/100,"")</f>
        <v/>
      </c>
      <c r="H157" s="9">
        <f>IFERROR(BDP(A157,"CUST_TRR_RETURN_HOLDING_PER","CUST_TRR_START_DT",Settings!$C$8,"CUST_TRR_END_DT",Settings!$C$4)/100,"")</f>
        <v/>
      </c>
    </row>
    <row r="158">
      <c r="A158" s="7" t="inlineStr">
        <is>
          <t>EBAY US Equity</t>
        </is>
      </c>
      <c r="B158">
        <f>IFERROR(BDP(A158,"NAME"),"")</f>
        <v/>
      </c>
      <c r="C158">
        <f>IFERROR(BDP(A158,"GICS_SECTOR_NAME"),"")</f>
        <v/>
      </c>
      <c r="D158" s="8">
        <f>IFERROR(BDP(A158,"PX_LAST"),"")</f>
        <v/>
      </c>
      <c r="E158" s="9">
        <f>IFERROR(BDP(A158,"CUST_TRR_RETURN_HOLDING_PER","CUST_TRR_START_DT",Settings!$C$5,"CUST_TRR_END_DT",Settings!$C$4)/100,"")</f>
        <v/>
      </c>
      <c r="F158" s="9">
        <f>IFERROR(BDP(A158,"CUST_TRR_RETURN_HOLDING_PER","CUST_TRR_START_DT",Settings!$C$6,"CUST_TRR_END_DT",Settings!$C$4)/100,"")</f>
        <v/>
      </c>
      <c r="G158" s="9">
        <f>IFERROR(BDP(A158,"CUST_TRR_RETURN_HOLDING_PER","CUST_TRR_START_DT",Settings!$C$7,"CUST_TRR_END_DT",Settings!$C$4)/100,"")</f>
        <v/>
      </c>
      <c r="H158" s="9">
        <f>IFERROR(BDP(A158,"CUST_TRR_RETURN_HOLDING_PER","CUST_TRR_START_DT",Settings!$C$8,"CUST_TRR_END_DT",Settings!$C$4)/100,"")</f>
        <v/>
      </c>
    </row>
    <row r="159">
      <c r="A159" s="7" t="inlineStr">
        <is>
          <t>ECL US Equity</t>
        </is>
      </c>
      <c r="B159">
        <f>IFERROR(BDP(A159,"NAME"),"")</f>
        <v/>
      </c>
      <c r="C159">
        <f>IFERROR(BDP(A159,"GICS_SECTOR_NAME"),"")</f>
        <v/>
      </c>
      <c r="D159" s="8">
        <f>IFERROR(BDP(A159,"PX_LAST"),"")</f>
        <v/>
      </c>
      <c r="E159" s="9">
        <f>IFERROR(BDP(A159,"CUST_TRR_RETURN_HOLDING_PER","CUST_TRR_START_DT",Settings!$C$5,"CUST_TRR_END_DT",Settings!$C$4)/100,"")</f>
        <v/>
      </c>
      <c r="F159" s="9">
        <f>IFERROR(BDP(A159,"CUST_TRR_RETURN_HOLDING_PER","CUST_TRR_START_DT",Settings!$C$6,"CUST_TRR_END_DT",Settings!$C$4)/100,"")</f>
        <v/>
      </c>
      <c r="G159" s="9">
        <f>IFERROR(BDP(A159,"CUST_TRR_RETURN_HOLDING_PER","CUST_TRR_START_DT",Settings!$C$7,"CUST_TRR_END_DT",Settings!$C$4)/100,"")</f>
        <v/>
      </c>
      <c r="H159" s="9">
        <f>IFERROR(BDP(A159,"CUST_TRR_RETURN_HOLDING_PER","CUST_TRR_START_DT",Settings!$C$8,"CUST_TRR_END_DT",Settings!$C$4)/100,"")</f>
        <v/>
      </c>
    </row>
    <row r="160">
      <c r="A160" s="7" t="inlineStr">
        <is>
          <t>ED US Equity</t>
        </is>
      </c>
      <c r="B160">
        <f>IFERROR(BDP(A160,"NAME"),"")</f>
        <v/>
      </c>
      <c r="C160">
        <f>IFERROR(BDP(A160,"GICS_SECTOR_NAME"),"")</f>
        <v/>
      </c>
      <c r="D160" s="8">
        <f>IFERROR(BDP(A160,"PX_LAST"),"")</f>
        <v/>
      </c>
      <c r="E160" s="9">
        <f>IFERROR(BDP(A160,"CUST_TRR_RETURN_HOLDING_PER","CUST_TRR_START_DT",Settings!$C$5,"CUST_TRR_END_DT",Settings!$C$4)/100,"")</f>
        <v/>
      </c>
      <c r="F160" s="9">
        <f>IFERROR(BDP(A160,"CUST_TRR_RETURN_HOLDING_PER","CUST_TRR_START_DT",Settings!$C$6,"CUST_TRR_END_DT",Settings!$C$4)/100,"")</f>
        <v/>
      </c>
      <c r="G160" s="9">
        <f>IFERROR(BDP(A160,"CUST_TRR_RETURN_HOLDING_PER","CUST_TRR_START_DT",Settings!$C$7,"CUST_TRR_END_DT",Settings!$C$4)/100,"")</f>
        <v/>
      </c>
      <c r="H160" s="9">
        <f>IFERROR(BDP(A160,"CUST_TRR_RETURN_HOLDING_PER","CUST_TRR_START_DT",Settings!$C$8,"CUST_TRR_END_DT",Settings!$C$4)/100,"")</f>
        <v/>
      </c>
    </row>
    <row r="161">
      <c r="A161" s="7" t="inlineStr">
        <is>
          <t>EFX US Equity</t>
        </is>
      </c>
      <c r="B161">
        <f>IFERROR(BDP(A161,"NAME"),"")</f>
        <v/>
      </c>
      <c r="C161">
        <f>IFERROR(BDP(A161,"GICS_SECTOR_NAME"),"")</f>
        <v/>
      </c>
      <c r="D161" s="8">
        <f>IFERROR(BDP(A161,"PX_LAST"),"")</f>
        <v/>
      </c>
      <c r="E161" s="9">
        <f>IFERROR(BDP(A161,"CUST_TRR_RETURN_HOLDING_PER","CUST_TRR_START_DT",Settings!$C$5,"CUST_TRR_END_DT",Settings!$C$4)/100,"")</f>
        <v/>
      </c>
      <c r="F161" s="9">
        <f>IFERROR(BDP(A161,"CUST_TRR_RETURN_HOLDING_PER","CUST_TRR_START_DT",Settings!$C$6,"CUST_TRR_END_DT",Settings!$C$4)/100,"")</f>
        <v/>
      </c>
      <c r="G161" s="9">
        <f>IFERROR(BDP(A161,"CUST_TRR_RETURN_HOLDING_PER","CUST_TRR_START_DT",Settings!$C$7,"CUST_TRR_END_DT",Settings!$C$4)/100,"")</f>
        <v/>
      </c>
      <c r="H161" s="9">
        <f>IFERROR(BDP(A161,"CUST_TRR_RETURN_HOLDING_PER","CUST_TRR_START_DT",Settings!$C$8,"CUST_TRR_END_DT",Settings!$C$4)/100,"")</f>
        <v/>
      </c>
    </row>
    <row r="162">
      <c r="A162" s="7" t="inlineStr">
        <is>
          <t>EG US Equity</t>
        </is>
      </c>
      <c r="B162">
        <f>IFERROR(BDP(A162,"NAME"),"")</f>
        <v/>
      </c>
      <c r="C162">
        <f>IFERROR(BDP(A162,"GICS_SECTOR_NAME"),"")</f>
        <v/>
      </c>
      <c r="D162" s="8">
        <f>IFERROR(BDP(A162,"PX_LAST"),"")</f>
        <v/>
      </c>
      <c r="E162" s="9">
        <f>IFERROR(BDP(A162,"CUST_TRR_RETURN_HOLDING_PER","CUST_TRR_START_DT",Settings!$C$5,"CUST_TRR_END_DT",Settings!$C$4)/100,"")</f>
        <v/>
      </c>
      <c r="F162" s="9">
        <f>IFERROR(BDP(A162,"CUST_TRR_RETURN_HOLDING_PER","CUST_TRR_START_DT",Settings!$C$6,"CUST_TRR_END_DT",Settings!$C$4)/100,"")</f>
        <v/>
      </c>
      <c r="G162" s="9">
        <f>IFERROR(BDP(A162,"CUST_TRR_RETURN_HOLDING_PER","CUST_TRR_START_DT",Settings!$C$7,"CUST_TRR_END_DT",Settings!$C$4)/100,"")</f>
        <v/>
      </c>
      <c r="H162" s="9">
        <f>IFERROR(BDP(A162,"CUST_TRR_RETURN_HOLDING_PER","CUST_TRR_START_DT",Settings!$C$8,"CUST_TRR_END_DT",Settings!$C$4)/100,"")</f>
        <v/>
      </c>
    </row>
    <row r="163">
      <c r="A163" s="7" t="inlineStr">
        <is>
          <t>EIX US Equity</t>
        </is>
      </c>
      <c r="B163">
        <f>IFERROR(BDP(A163,"NAME"),"")</f>
        <v/>
      </c>
      <c r="C163">
        <f>IFERROR(BDP(A163,"GICS_SECTOR_NAME"),"")</f>
        <v/>
      </c>
      <c r="D163" s="8">
        <f>IFERROR(BDP(A163,"PX_LAST"),"")</f>
        <v/>
      </c>
      <c r="E163" s="9">
        <f>IFERROR(BDP(A163,"CUST_TRR_RETURN_HOLDING_PER","CUST_TRR_START_DT",Settings!$C$5,"CUST_TRR_END_DT",Settings!$C$4)/100,"")</f>
        <v/>
      </c>
      <c r="F163" s="9">
        <f>IFERROR(BDP(A163,"CUST_TRR_RETURN_HOLDING_PER","CUST_TRR_START_DT",Settings!$C$6,"CUST_TRR_END_DT",Settings!$C$4)/100,"")</f>
        <v/>
      </c>
      <c r="G163" s="9">
        <f>IFERROR(BDP(A163,"CUST_TRR_RETURN_HOLDING_PER","CUST_TRR_START_DT",Settings!$C$7,"CUST_TRR_END_DT",Settings!$C$4)/100,"")</f>
        <v/>
      </c>
      <c r="H163" s="9">
        <f>IFERROR(BDP(A163,"CUST_TRR_RETURN_HOLDING_PER","CUST_TRR_START_DT",Settings!$C$8,"CUST_TRR_END_DT",Settings!$C$4)/100,"")</f>
        <v/>
      </c>
    </row>
    <row r="164">
      <c r="A164" s="7" t="inlineStr">
        <is>
          <t>EL US Equity</t>
        </is>
      </c>
      <c r="B164">
        <f>IFERROR(BDP(A164,"NAME"),"")</f>
        <v/>
      </c>
      <c r="C164">
        <f>IFERROR(BDP(A164,"GICS_SECTOR_NAME"),"")</f>
        <v/>
      </c>
      <c r="D164" s="8">
        <f>IFERROR(BDP(A164,"PX_LAST"),"")</f>
        <v/>
      </c>
      <c r="E164" s="9">
        <f>IFERROR(BDP(A164,"CUST_TRR_RETURN_HOLDING_PER","CUST_TRR_START_DT",Settings!$C$5,"CUST_TRR_END_DT",Settings!$C$4)/100,"")</f>
        <v/>
      </c>
      <c r="F164" s="9">
        <f>IFERROR(BDP(A164,"CUST_TRR_RETURN_HOLDING_PER","CUST_TRR_START_DT",Settings!$C$6,"CUST_TRR_END_DT",Settings!$C$4)/100,"")</f>
        <v/>
      </c>
      <c r="G164" s="9">
        <f>IFERROR(BDP(A164,"CUST_TRR_RETURN_HOLDING_PER","CUST_TRR_START_DT",Settings!$C$7,"CUST_TRR_END_DT",Settings!$C$4)/100,"")</f>
        <v/>
      </c>
      <c r="H164" s="9">
        <f>IFERROR(BDP(A164,"CUST_TRR_RETURN_HOLDING_PER","CUST_TRR_START_DT",Settings!$C$8,"CUST_TRR_END_DT",Settings!$C$4)/100,"")</f>
        <v/>
      </c>
    </row>
    <row r="165">
      <c r="A165" s="7" t="inlineStr">
        <is>
          <t>ELV US Equity</t>
        </is>
      </c>
      <c r="B165">
        <f>IFERROR(BDP(A165,"NAME"),"")</f>
        <v/>
      </c>
      <c r="C165">
        <f>IFERROR(BDP(A165,"GICS_SECTOR_NAME"),"")</f>
        <v/>
      </c>
      <c r="D165" s="8">
        <f>IFERROR(BDP(A165,"PX_LAST"),"")</f>
        <v/>
      </c>
      <c r="E165" s="9">
        <f>IFERROR(BDP(A165,"CUST_TRR_RETURN_HOLDING_PER","CUST_TRR_START_DT",Settings!$C$5,"CUST_TRR_END_DT",Settings!$C$4)/100,"")</f>
        <v/>
      </c>
      <c r="F165" s="9">
        <f>IFERROR(BDP(A165,"CUST_TRR_RETURN_HOLDING_PER","CUST_TRR_START_DT",Settings!$C$6,"CUST_TRR_END_DT",Settings!$C$4)/100,"")</f>
        <v/>
      </c>
      <c r="G165" s="9">
        <f>IFERROR(BDP(A165,"CUST_TRR_RETURN_HOLDING_PER","CUST_TRR_START_DT",Settings!$C$7,"CUST_TRR_END_DT",Settings!$C$4)/100,"")</f>
        <v/>
      </c>
      <c r="H165" s="9">
        <f>IFERROR(BDP(A165,"CUST_TRR_RETURN_HOLDING_PER","CUST_TRR_START_DT",Settings!$C$8,"CUST_TRR_END_DT",Settings!$C$4)/100,"")</f>
        <v/>
      </c>
    </row>
    <row r="166">
      <c r="A166" s="7" t="inlineStr">
        <is>
          <t>EMN US Equity</t>
        </is>
      </c>
      <c r="B166">
        <f>IFERROR(BDP(A166,"NAME"),"")</f>
        <v/>
      </c>
      <c r="C166">
        <f>IFERROR(BDP(A166,"GICS_SECTOR_NAME"),"")</f>
        <v/>
      </c>
      <c r="D166" s="8">
        <f>IFERROR(BDP(A166,"PX_LAST"),"")</f>
        <v/>
      </c>
      <c r="E166" s="9">
        <f>IFERROR(BDP(A166,"CUST_TRR_RETURN_HOLDING_PER","CUST_TRR_START_DT",Settings!$C$5,"CUST_TRR_END_DT",Settings!$C$4)/100,"")</f>
        <v/>
      </c>
      <c r="F166" s="9">
        <f>IFERROR(BDP(A166,"CUST_TRR_RETURN_HOLDING_PER","CUST_TRR_START_DT",Settings!$C$6,"CUST_TRR_END_DT",Settings!$C$4)/100,"")</f>
        <v/>
      </c>
      <c r="G166" s="9">
        <f>IFERROR(BDP(A166,"CUST_TRR_RETURN_HOLDING_PER","CUST_TRR_START_DT",Settings!$C$7,"CUST_TRR_END_DT",Settings!$C$4)/100,"")</f>
        <v/>
      </c>
      <c r="H166" s="9">
        <f>IFERROR(BDP(A166,"CUST_TRR_RETURN_HOLDING_PER","CUST_TRR_START_DT",Settings!$C$8,"CUST_TRR_END_DT",Settings!$C$4)/100,"")</f>
        <v/>
      </c>
    </row>
    <row r="167">
      <c r="A167" s="7" t="inlineStr">
        <is>
          <t>EMR US Equity</t>
        </is>
      </c>
      <c r="B167">
        <f>IFERROR(BDP(A167,"NAME"),"")</f>
        <v/>
      </c>
      <c r="C167">
        <f>IFERROR(BDP(A167,"GICS_SECTOR_NAME"),"")</f>
        <v/>
      </c>
      <c r="D167" s="8">
        <f>IFERROR(BDP(A167,"PX_LAST"),"")</f>
        <v/>
      </c>
      <c r="E167" s="9">
        <f>IFERROR(BDP(A167,"CUST_TRR_RETURN_HOLDING_PER","CUST_TRR_START_DT",Settings!$C$5,"CUST_TRR_END_DT",Settings!$C$4)/100,"")</f>
        <v/>
      </c>
      <c r="F167" s="9">
        <f>IFERROR(BDP(A167,"CUST_TRR_RETURN_HOLDING_PER","CUST_TRR_START_DT",Settings!$C$6,"CUST_TRR_END_DT",Settings!$C$4)/100,"")</f>
        <v/>
      </c>
      <c r="G167" s="9">
        <f>IFERROR(BDP(A167,"CUST_TRR_RETURN_HOLDING_PER","CUST_TRR_START_DT",Settings!$C$7,"CUST_TRR_END_DT",Settings!$C$4)/100,"")</f>
        <v/>
      </c>
      <c r="H167" s="9">
        <f>IFERROR(BDP(A167,"CUST_TRR_RETURN_HOLDING_PER","CUST_TRR_START_DT",Settings!$C$8,"CUST_TRR_END_DT",Settings!$C$4)/100,"")</f>
        <v/>
      </c>
    </row>
    <row r="168">
      <c r="A168" s="7" t="inlineStr">
        <is>
          <t>ENPH US Equity</t>
        </is>
      </c>
      <c r="B168">
        <f>IFERROR(BDP(A168,"NAME"),"")</f>
        <v/>
      </c>
      <c r="C168">
        <f>IFERROR(BDP(A168,"GICS_SECTOR_NAME"),"")</f>
        <v/>
      </c>
      <c r="D168" s="8">
        <f>IFERROR(BDP(A168,"PX_LAST"),"")</f>
        <v/>
      </c>
      <c r="E168" s="9">
        <f>IFERROR(BDP(A168,"CUST_TRR_RETURN_HOLDING_PER","CUST_TRR_START_DT",Settings!$C$5,"CUST_TRR_END_DT",Settings!$C$4)/100,"")</f>
        <v/>
      </c>
      <c r="F168" s="9">
        <f>IFERROR(BDP(A168,"CUST_TRR_RETURN_HOLDING_PER","CUST_TRR_START_DT",Settings!$C$6,"CUST_TRR_END_DT",Settings!$C$4)/100,"")</f>
        <v/>
      </c>
      <c r="G168" s="9">
        <f>IFERROR(BDP(A168,"CUST_TRR_RETURN_HOLDING_PER","CUST_TRR_START_DT",Settings!$C$7,"CUST_TRR_END_DT",Settings!$C$4)/100,"")</f>
        <v/>
      </c>
      <c r="H168" s="9">
        <f>IFERROR(BDP(A168,"CUST_TRR_RETURN_HOLDING_PER","CUST_TRR_START_DT",Settings!$C$8,"CUST_TRR_END_DT",Settings!$C$4)/100,"")</f>
        <v/>
      </c>
    </row>
    <row r="169">
      <c r="A169" s="7" t="inlineStr">
        <is>
          <t>EOG US Equity</t>
        </is>
      </c>
      <c r="B169">
        <f>IFERROR(BDP(A169,"NAME"),"")</f>
        <v/>
      </c>
      <c r="C169">
        <f>IFERROR(BDP(A169,"GICS_SECTOR_NAME"),"")</f>
        <v/>
      </c>
      <c r="D169" s="8">
        <f>IFERROR(BDP(A169,"PX_LAST"),"")</f>
        <v/>
      </c>
      <c r="E169" s="9">
        <f>IFERROR(BDP(A169,"CUST_TRR_RETURN_HOLDING_PER","CUST_TRR_START_DT",Settings!$C$5,"CUST_TRR_END_DT",Settings!$C$4)/100,"")</f>
        <v/>
      </c>
      <c r="F169" s="9">
        <f>IFERROR(BDP(A169,"CUST_TRR_RETURN_HOLDING_PER","CUST_TRR_START_DT",Settings!$C$6,"CUST_TRR_END_DT",Settings!$C$4)/100,"")</f>
        <v/>
      </c>
      <c r="G169" s="9">
        <f>IFERROR(BDP(A169,"CUST_TRR_RETURN_HOLDING_PER","CUST_TRR_START_DT",Settings!$C$7,"CUST_TRR_END_DT",Settings!$C$4)/100,"")</f>
        <v/>
      </c>
      <c r="H169" s="9">
        <f>IFERROR(BDP(A169,"CUST_TRR_RETURN_HOLDING_PER","CUST_TRR_START_DT",Settings!$C$8,"CUST_TRR_END_DT",Settings!$C$4)/100,"")</f>
        <v/>
      </c>
    </row>
    <row r="170">
      <c r="A170" s="7" t="inlineStr">
        <is>
          <t>EPAM US Equity</t>
        </is>
      </c>
      <c r="B170">
        <f>IFERROR(BDP(A170,"NAME"),"")</f>
        <v/>
      </c>
      <c r="C170">
        <f>IFERROR(BDP(A170,"GICS_SECTOR_NAME"),"")</f>
        <v/>
      </c>
      <c r="D170" s="8">
        <f>IFERROR(BDP(A170,"PX_LAST"),"")</f>
        <v/>
      </c>
      <c r="E170" s="9">
        <f>IFERROR(BDP(A170,"CUST_TRR_RETURN_HOLDING_PER","CUST_TRR_START_DT",Settings!$C$5,"CUST_TRR_END_DT",Settings!$C$4)/100,"")</f>
        <v/>
      </c>
      <c r="F170" s="9">
        <f>IFERROR(BDP(A170,"CUST_TRR_RETURN_HOLDING_PER","CUST_TRR_START_DT",Settings!$C$6,"CUST_TRR_END_DT",Settings!$C$4)/100,"")</f>
        <v/>
      </c>
      <c r="G170" s="9">
        <f>IFERROR(BDP(A170,"CUST_TRR_RETURN_HOLDING_PER","CUST_TRR_START_DT",Settings!$C$7,"CUST_TRR_END_DT",Settings!$C$4)/100,"")</f>
        <v/>
      </c>
      <c r="H170" s="9">
        <f>IFERROR(BDP(A170,"CUST_TRR_RETURN_HOLDING_PER","CUST_TRR_START_DT",Settings!$C$8,"CUST_TRR_END_DT",Settings!$C$4)/100,"")</f>
        <v/>
      </c>
    </row>
    <row r="171">
      <c r="A171" s="7" t="inlineStr">
        <is>
          <t>EQIX US Equity</t>
        </is>
      </c>
      <c r="B171">
        <f>IFERROR(BDP(A171,"NAME"),"")</f>
        <v/>
      </c>
      <c r="C171">
        <f>IFERROR(BDP(A171,"GICS_SECTOR_NAME"),"")</f>
        <v/>
      </c>
      <c r="D171" s="8">
        <f>IFERROR(BDP(A171,"PX_LAST"),"")</f>
        <v/>
      </c>
      <c r="E171" s="9">
        <f>IFERROR(BDP(A171,"CUST_TRR_RETURN_HOLDING_PER","CUST_TRR_START_DT",Settings!$C$5,"CUST_TRR_END_DT",Settings!$C$4)/100,"")</f>
        <v/>
      </c>
      <c r="F171" s="9">
        <f>IFERROR(BDP(A171,"CUST_TRR_RETURN_HOLDING_PER","CUST_TRR_START_DT",Settings!$C$6,"CUST_TRR_END_DT",Settings!$C$4)/100,"")</f>
        <v/>
      </c>
      <c r="G171" s="9">
        <f>IFERROR(BDP(A171,"CUST_TRR_RETURN_HOLDING_PER","CUST_TRR_START_DT",Settings!$C$7,"CUST_TRR_END_DT",Settings!$C$4)/100,"")</f>
        <v/>
      </c>
      <c r="H171" s="9">
        <f>IFERROR(BDP(A171,"CUST_TRR_RETURN_HOLDING_PER","CUST_TRR_START_DT",Settings!$C$8,"CUST_TRR_END_DT",Settings!$C$4)/100,"")</f>
        <v/>
      </c>
    </row>
    <row r="172">
      <c r="A172" s="7" t="inlineStr">
        <is>
          <t>EQR US Equity</t>
        </is>
      </c>
      <c r="B172">
        <f>IFERROR(BDP(A172,"NAME"),"")</f>
        <v/>
      </c>
      <c r="C172">
        <f>IFERROR(BDP(A172,"GICS_SECTOR_NAME"),"")</f>
        <v/>
      </c>
      <c r="D172" s="8">
        <f>IFERROR(BDP(A172,"PX_LAST"),"")</f>
        <v/>
      </c>
      <c r="E172" s="9">
        <f>IFERROR(BDP(A172,"CUST_TRR_RETURN_HOLDING_PER","CUST_TRR_START_DT",Settings!$C$5,"CUST_TRR_END_DT",Settings!$C$4)/100,"")</f>
        <v/>
      </c>
      <c r="F172" s="9">
        <f>IFERROR(BDP(A172,"CUST_TRR_RETURN_HOLDING_PER","CUST_TRR_START_DT",Settings!$C$6,"CUST_TRR_END_DT",Settings!$C$4)/100,"")</f>
        <v/>
      </c>
      <c r="G172" s="9">
        <f>IFERROR(BDP(A172,"CUST_TRR_RETURN_HOLDING_PER","CUST_TRR_START_DT",Settings!$C$7,"CUST_TRR_END_DT",Settings!$C$4)/100,"")</f>
        <v/>
      </c>
      <c r="H172" s="9">
        <f>IFERROR(BDP(A172,"CUST_TRR_RETURN_HOLDING_PER","CUST_TRR_START_DT",Settings!$C$8,"CUST_TRR_END_DT",Settings!$C$4)/100,"")</f>
        <v/>
      </c>
    </row>
    <row r="173">
      <c r="A173" s="7" t="inlineStr">
        <is>
          <t>EQT US Equity</t>
        </is>
      </c>
      <c r="B173">
        <f>IFERROR(BDP(A173,"NAME"),"")</f>
        <v/>
      </c>
      <c r="C173">
        <f>IFERROR(BDP(A173,"GICS_SECTOR_NAME"),"")</f>
        <v/>
      </c>
      <c r="D173" s="8">
        <f>IFERROR(BDP(A173,"PX_LAST"),"")</f>
        <v/>
      </c>
      <c r="E173" s="9">
        <f>IFERROR(BDP(A173,"CUST_TRR_RETURN_HOLDING_PER","CUST_TRR_START_DT",Settings!$C$5,"CUST_TRR_END_DT",Settings!$C$4)/100,"")</f>
        <v/>
      </c>
      <c r="F173" s="9">
        <f>IFERROR(BDP(A173,"CUST_TRR_RETURN_HOLDING_PER","CUST_TRR_START_DT",Settings!$C$6,"CUST_TRR_END_DT",Settings!$C$4)/100,"")</f>
        <v/>
      </c>
      <c r="G173" s="9">
        <f>IFERROR(BDP(A173,"CUST_TRR_RETURN_HOLDING_PER","CUST_TRR_START_DT",Settings!$C$7,"CUST_TRR_END_DT",Settings!$C$4)/100,"")</f>
        <v/>
      </c>
      <c r="H173" s="9">
        <f>IFERROR(BDP(A173,"CUST_TRR_RETURN_HOLDING_PER","CUST_TRR_START_DT",Settings!$C$8,"CUST_TRR_END_DT",Settings!$C$4)/100,"")</f>
        <v/>
      </c>
    </row>
    <row r="174">
      <c r="A174" s="7" t="inlineStr">
        <is>
          <t>ES US Equity</t>
        </is>
      </c>
      <c r="B174">
        <f>IFERROR(BDP(A174,"NAME"),"")</f>
        <v/>
      </c>
      <c r="C174">
        <f>IFERROR(BDP(A174,"GICS_SECTOR_NAME"),"")</f>
        <v/>
      </c>
      <c r="D174" s="8">
        <f>IFERROR(BDP(A174,"PX_LAST"),"")</f>
        <v/>
      </c>
      <c r="E174" s="9">
        <f>IFERROR(BDP(A174,"CUST_TRR_RETURN_HOLDING_PER","CUST_TRR_START_DT",Settings!$C$5,"CUST_TRR_END_DT",Settings!$C$4)/100,"")</f>
        <v/>
      </c>
      <c r="F174" s="9">
        <f>IFERROR(BDP(A174,"CUST_TRR_RETURN_HOLDING_PER","CUST_TRR_START_DT",Settings!$C$6,"CUST_TRR_END_DT",Settings!$C$4)/100,"")</f>
        <v/>
      </c>
      <c r="G174" s="9">
        <f>IFERROR(BDP(A174,"CUST_TRR_RETURN_HOLDING_PER","CUST_TRR_START_DT",Settings!$C$7,"CUST_TRR_END_DT",Settings!$C$4)/100,"")</f>
        <v/>
      </c>
      <c r="H174" s="9">
        <f>IFERROR(BDP(A174,"CUST_TRR_RETURN_HOLDING_PER","CUST_TRR_START_DT",Settings!$C$8,"CUST_TRR_END_DT",Settings!$C$4)/100,"")</f>
        <v/>
      </c>
    </row>
    <row r="175">
      <c r="A175" s="7" t="inlineStr">
        <is>
          <t>ESS US Equity</t>
        </is>
      </c>
      <c r="B175">
        <f>IFERROR(BDP(A175,"NAME"),"")</f>
        <v/>
      </c>
      <c r="C175">
        <f>IFERROR(BDP(A175,"GICS_SECTOR_NAME"),"")</f>
        <v/>
      </c>
      <c r="D175" s="8">
        <f>IFERROR(BDP(A175,"PX_LAST"),"")</f>
        <v/>
      </c>
      <c r="E175" s="9">
        <f>IFERROR(BDP(A175,"CUST_TRR_RETURN_HOLDING_PER","CUST_TRR_START_DT",Settings!$C$5,"CUST_TRR_END_DT",Settings!$C$4)/100,"")</f>
        <v/>
      </c>
      <c r="F175" s="9">
        <f>IFERROR(BDP(A175,"CUST_TRR_RETURN_HOLDING_PER","CUST_TRR_START_DT",Settings!$C$6,"CUST_TRR_END_DT",Settings!$C$4)/100,"")</f>
        <v/>
      </c>
      <c r="G175" s="9">
        <f>IFERROR(BDP(A175,"CUST_TRR_RETURN_HOLDING_PER","CUST_TRR_START_DT",Settings!$C$7,"CUST_TRR_END_DT",Settings!$C$4)/100,"")</f>
        <v/>
      </c>
      <c r="H175" s="9">
        <f>IFERROR(BDP(A175,"CUST_TRR_RETURN_HOLDING_PER","CUST_TRR_START_DT",Settings!$C$8,"CUST_TRR_END_DT",Settings!$C$4)/100,"")</f>
        <v/>
      </c>
    </row>
    <row r="176">
      <c r="A176" s="7" t="inlineStr">
        <is>
          <t>ETN US Equity</t>
        </is>
      </c>
      <c r="B176">
        <f>IFERROR(BDP(A176,"NAME"),"")</f>
        <v/>
      </c>
      <c r="C176">
        <f>IFERROR(BDP(A176,"GICS_SECTOR_NAME"),"")</f>
        <v/>
      </c>
      <c r="D176" s="8">
        <f>IFERROR(BDP(A176,"PX_LAST"),"")</f>
        <v/>
      </c>
      <c r="E176" s="9">
        <f>IFERROR(BDP(A176,"CUST_TRR_RETURN_HOLDING_PER","CUST_TRR_START_DT",Settings!$C$5,"CUST_TRR_END_DT",Settings!$C$4)/100,"")</f>
        <v/>
      </c>
      <c r="F176" s="9">
        <f>IFERROR(BDP(A176,"CUST_TRR_RETURN_HOLDING_PER","CUST_TRR_START_DT",Settings!$C$6,"CUST_TRR_END_DT",Settings!$C$4)/100,"")</f>
        <v/>
      </c>
      <c r="G176" s="9">
        <f>IFERROR(BDP(A176,"CUST_TRR_RETURN_HOLDING_PER","CUST_TRR_START_DT",Settings!$C$7,"CUST_TRR_END_DT",Settings!$C$4)/100,"")</f>
        <v/>
      </c>
      <c r="H176" s="9">
        <f>IFERROR(BDP(A176,"CUST_TRR_RETURN_HOLDING_PER","CUST_TRR_START_DT",Settings!$C$8,"CUST_TRR_END_DT",Settings!$C$4)/100,"")</f>
        <v/>
      </c>
    </row>
    <row r="177">
      <c r="A177" s="7" t="inlineStr">
        <is>
          <t>ETR US Equity</t>
        </is>
      </c>
      <c r="B177">
        <f>IFERROR(BDP(A177,"NAME"),"")</f>
        <v/>
      </c>
      <c r="C177">
        <f>IFERROR(BDP(A177,"GICS_SECTOR_NAME"),"")</f>
        <v/>
      </c>
      <c r="D177" s="8">
        <f>IFERROR(BDP(A177,"PX_LAST"),"")</f>
        <v/>
      </c>
      <c r="E177" s="9">
        <f>IFERROR(BDP(A177,"CUST_TRR_RETURN_HOLDING_PER","CUST_TRR_START_DT",Settings!$C$5,"CUST_TRR_END_DT",Settings!$C$4)/100,"")</f>
        <v/>
      </c>
      <c r="F177" s="9">
        <f>IFERROR(BDP(A177,"CUST_TRR_RETURN_HOLDING_PER","CUST_TRR_START_DT",Settings!$C$6,"CUST_TRR_END_DT",Settings!$C$4)/100,"")</f>
        <v/>
      </c>
      <c r="G177" s="9">
        <f>IFERROR(BDP(A177,"CUST_TRR_RETURN_HOLDING_PER","CUST_TRR_START_DT",Settings!$C$7,"CUST_TRR_END_DT",Settings!$C$4)/100,"")</f>
        <v/>
      </c>
      <c r="H177" s="9">
        <f>IFERROR(BDP(A177,"CUST_TRR_RETURN_HOLDING_PER","CUST_TRR_START_DT",Settings!$C$8,"CUST_TRR_END_DT",Settings!$C$4)/100,"")</f>
        <v/>
      </c>
    </row>
    <row r="178">
      <c r="A178" s="7" t="inlineStr">
        <is>
          <t>EVRG US Equity</t>
        </is>
      </c>
      <c r="B178">
        <f>IFERROR(BDP(A178,"NAME"),"")</f>
        <v/>
      </c>
      <c r="C178">
        <f>IFERROR(BDP(A178,"GICS_SECTOR_NAME"),"")</f>
        <v/>
      </c>
      <c r="D178" s="8">
        <f>IFERROR(BDP(A178,"PX_LAST"),"")</f>
        <v/>
      </c>
      <c r="E178" s="9">
        <f>IFERROR(BDP(A178,"CUST_TRR_RETURN_HOLDING_PER","CUST_TRR_START_DT",Settings!$C$5,"CUST_TRR_END_DT",Settings!$C$4)/100,"")</f>
        <v/>
      </c>
      <c r="F178" s="9">
        <f>IFERROR(BDP(A178,"CUST_TRR_RETURN_HOLDING_PER","CUST_TRR_START_DT",Settings!$C$6,"CUST_TRR_END_DT",Settings!$C$4)/100,"")</f>
        <v/>
      </c>
      <c r="G178" s="9">
        <f>IFERROR(BDP(A178,"CUST_TRR_RETURN_HOLDING_PER","CUST_TRR_START_DT",Settings!$C$7,"CUST_TRR_END_DT",Settings!$C$4)/100,"")</f>
        <v/>
      </c>
      <c r="H178" s="9">
        <f>IFERROR(BDP(A178,"CUST_TRR_RETURN_HOLDING_PER","CUST_TRR_START_DT",Settings!$C$8,"CUST_TRR_END_DT",Settings!$C$4)/100,"")</f>
        <v/>
      </c>
    </row>
    <row r="179">
      <c r="A179" s="7" t="inlineStr">
        <is>
          <t>EW US Equity</t>
        </is>
      </c>
      <c r="B179">
        <f>IFERROR(BDP(A179,"NAME"),"")</f>
        <v/>
      </c>
      <c r="C179">
        <f>IFERROR(BDP(A179,"GICS_SECTOR_NAME"),"")</f>
        <v/>
      </c>
      <c r="D179" s="8">
        <f>IFERROR(BDP(A179,"PX_LAST"),"")</f>
        <v/>
      </c>
      <c r="E179" s="9">
        <f>IFERROR(BDP(A179,"CUST_TRR_RETURN_HOLDING_PER","CUST_TRR_START_DT",Settings!$C$5,"CUST_TRR_END_DT",Settings!$C$4)/100,"")</f>
        <v/>
      </c>
      <c r="F179" s="9">
        <f>IFERROR(BDP(A179,"CUST_TRR_RETURN_HOLDING_PER","CUST_TRR_START_DT",Settings!$C$6,"CUST_TRR_END_DT",Settings!$C$4)/100,"")</f>
        <v/>
      </c>
      <c r="G179" s="9">
        <f>IFERROR(BDP(A179,"CUST_TRR_RETURN_HOLDING_PER","CUST_TRR_START_DT",Settings!$C$7,"CUST_TRR_END_DT",Settings!$C$4)/100,"")</f>
        <v/>
      </c>
      <c r="H179" s="9">
        <f>IFERROR(BDP(A179,"CUST_TRR_RETURN_HOLDING_PER","CUST_TRR_START_DT",Settings!$C$8,"CUST_TRR_END_DT",Settings!$C$4)/100,"")</f>
        <v/>
      </c>
    </row>
    <row r="180">
      <c r="A180" s="7" t="inlineStr">
        <is>
          <t>EXC US Equity</t>
        </is>
      </c>
      <c r="B180">
        <f>IFERROR(BDP(A180,"NAME"),"")</f>
        <v/>
      </c>
      <c r="C180">
        <f>IFERROR(BDP(A180,"GICS_SECTOR_NAME"),"")</f>
        <v/>
      </c>
      <c r="D180" s="8">
        <f>IFERROR(BDP(A180,"PX_LAST"),"")</f>
        <v/>
      </c>
      <c r="E180" s="9">
        <f>IFERROR(BDP(A180,"CUST_TRR_RETURN_HOLDING_PER","CUST_TRR_START_DT",Settings!$C$5,"CUST_TRR_END_DT",Settings!$C$4)/100,"")</f>
        <v/>
      </c>
      <c r="F180" s="9">
        <f>IFERROR(BDP(A180,"CUST_TRR_RETURN_HOLDING_PER","CUST_TRR_START_DT",Settings!$C$6,"CUST_TRR_END_DT",Settings!$C$4)/100,"")</f>
        <v/>
      </c>
      <c r="G180" s="9">
        <f>IFERROR(BDP(A180,"CUST_TRR_RETURN_HOLDING_PER","CUST_TRR_START_DT",Settings!$C$7,"CUST_TRR_END_DT",Settings!$C$4)/100,"")</f>
        <v/>
      </c>
      <c r="H180" s="9">
        <f>IFERROR(BDP(A180,"CUST_TRR_RETURN_HOLDING_PER","CUST_TRR_START_DT",Settings!$C$8,"CUST_TRR_END_DT",Settings!$C$4)/100,"")</f>
        <v/>
      </c>
    </row>
    <row r="181">
      <c r="A181" s="7" t="inlineStr">
        <is>
          <t>EXPD US Equity</t>
        </is>
      </c>
      <c r="B181">
        <f>IFERROR(BDP(A181,"NAME"),"")</f>
        <v/>
      </c>
      <c r="C181">
        <f>IFERROR(BDP(A181,"GICS_SECTOR_NAME"),"")</f>
        <v/>
      </c>
      <c r="D181" s="8">
        <f>IFERROR(BDP(A181,"PX_LAST"),"")</f>
        <v/>
      </c>
      <c r="E181" s="9">
        <f>IFERROR(BDP(A181,"CUST_TRR_RETURN_HOLDING_PER","CUST_TRR_START_DT",Settings!$C$5,"CUST_TRR_END_DT",Settings!$C$4)/100,"")</f>
        <v/>
      </c>
      <c r="F181" s="9">
        <f>IFERROR(BDP(A181,"CUST_TRR_RETURN_HOLDING_PER","CUST_TRR_START_DT",Settings!$C$6,"CUST_TRR_END_DT",Settings!$C$4)/100,"")</f>
        <v/>
      </c>
      <c r="G181" s="9">
        <f>IFERROR(BDP(A181,"CUST_TRR_RETURN_HOLDING_PER","CUST_TRR_START_DT",Settings!$C$7,"CUST_TRR_END_DT",Settings!$C$4)/100,"")</f>
        <v/>
      </c>
      <c r="H181" s="9">
        <f>IFERROR(BDP(A181,"CUST_TRR_RETURN_HOLDING_PER","CUST_TRR_START_DT",Settings!$C$8,"CUST_TRR_END_DT",Settings!$C$4)/100,"")</f>
        <v/>
      </c>
    </row>
    <row r="182">
      <c r="A182" s="7" t="inlineStr">
        <is>
          <t>EXPE US Equity</t>
        </is>
      </c>
      <c r="B182">
        <f>IFERROR(BDP(A182,"NAME"),"")</f>
        <v/>
      </c>
      <c r="C182">
        <f>IFERROR(BDP(A182,"GICS_SECTOR_NAME"),"")</f>
        <v/>
      </c>
      <c r="D182" s="8">
        <f>IFERROR(BDP(A182,"PX_LAST"),"")</f>
        <v/>
      </c>
      <c r="E182" s="9">
        <f>IFERROR(BDP(A182,"CUST_TRR_RETURN_HOLDING_PER","CUST_TRR_START_DT",Settings!$C$5,"CUST_TRR_END_DT",Settings!$C$4)/100,"")</f>
        <v/>
      </c>
      <c r="F182" s="9">
        <f>IFERROR(BDP(A182,"CUST_TRR_RETURN_HOLDING_PER","CUST_TRR_START_DT",Settings!$C$6,"CUST_TRR_END_DT",Settings!$C$4)/100,"")</f>
        <v/>
      </c>
      <c r="G182" s="9">
        <f>IFERROR(BDP(A182,"CUST_TRR_RETURN_HOLDING_PER","CUST_TRR_START_DT",Settings!$C$7,"CUST_TRR_END_DT",Settings!$C$4)/100,"")</f>
        <v/>
      </c>
      <c r="H182" s="9">
        <f>IFERROR(BDP(A182,"CUST_TRR_RETURN_HOLDING_PER","CUST_TRR_START_DT",Settings!$C$8,"CUST_TRR_END_DT",Settings!$C$4)/100,"")</f>
        <v/>
      </c>
    </row>
    <row r="183">
      <c r="A183" s="7" t="inlineStr">
        <is>
          <t>EXR US Equity</t>
        </is>
      </c>
      <c r="B183">
        <f>IFERROR(BDP(A183,"NAME"),"")</f>
        <v/>
      </c>
      <c r="C183">
        <f>IFERROR(BDP(A183,"GICS_SECTOR_NAME"),"")</f>
        <v/>
      </c>
      <c r="D183" s="8">
        <f>IFERROR(BDP(A183,"PX_LAST"),"")</f>
        <v/>
      </c>
      <c r="E183" s="9">
        <f>IFERROR(BDP(A183,"CUST_TRR_RETURN_HOLDING_PER","CUST_TRR_START_DT",Settings!$C$5,"CUST_TRR_END_DT",Settings!$C$4)/100,"")</f>
        <v/>
      </c>
      <c r="F183" s="9">
        <f>IFERROR(BDP(A183,"CUST_TRR_RETURN_HOLDING_PER","CUST_TRR_START_DT",Settings!$C$6,"CUST_TRR_END_DT",Settings!$C$4)/100,"")</f>
        <v/>
      </c>
      <c r="G183" s="9">
        <f>IFERROR(BDP(A183,"CUST_TRR_RETURN_HOLDING_PER","CUST_TRR_START_DT",Settings!$C$7,"CUST_TRR_END_DT",Settings!$C$4)/100,"")</f>
        <v/>
      </c>
      <c r="H183" s="9">
        <f>IFERROR(BDP(A183,"CUST_TRR_RETURN_HOLDING_PER","CUST_TRR_START_DT",Settings!$C$8,"CUST_TRR_END_DT",Settings!$C$4)/100,"")</f>
        <v/>
      </c>
    </row>
    <row r="184">
      <c r="A184" s="7" t="inlineStr">
        <is>
          <t>F US Equity</t>
        </is>
      </c>
      <c r="B184">
        <f>IFERROR(BDP(A184,"NAME"),"")</f>
        <v/>
      </c>
      <c r="C184">
        <f>IFERROR(BDP(A184,"GICS_SECTOR_NAME"),"")</f>
        <v/>
      </c>
      <c r="D184" s="8">
        <f>IFERROR(BDP(A184,"PX_LAST"),"")</f>
        <v/>
      </c>
      <c r="E184" s="9">
        <f>IFERROR(BDP(A184,"CUST_TRR_RETURN_HOLDING_PER","CUST_TRR_START_DT",Settings!$C$5,"CUST_TRR_END_DT",Settings!$C$4)/100,"")</f>
        <v/>
      </c>
      <c r="F184" s="9">
        <f>IFERROR(BDP(A184,"CUST_TRR_RETURN_HOLDING_PER","CUST_TRR_START_DT",Settings!$C$6,"CUST_TRR_END_DT",Settings!$C$4)/100,"")</f>
        <v/>
      </c>
      <c r="G184" s="9">
        <f>IFERROR(BDP(A184,"CUST_TRR_RETURN_HOLDING_PER","CUST_TRR_START_DT",Settings!$C$7,"CUST_TRR_END_DT",Settings!$C$4)/100,"")</f>
        <v/>
      </c>
      <c r="H184" s="9">
        <f>IFERROR(BDP(A184,"CUST_TRR_RETURN_HOLDING_PER","CUST_TRR_START_DT",Settings!$C$8,"CUST_TRR_END_DT",Settings!$C$4)/100,"")</f>
        <v/>
      </c>
    </row>
    <row r="185">
      <c r="A185" s="7" t="inlineStr">
        <is>
          <t>FANG US Equity</t>
        </is>
      </c>
      <c r="B185">
        <f>IFERROR(BDP(A185,"NAME"),"")</f>
        <v/>
      </c>
      <c r="C185">
        <f>IFERROR(BDP(A185,"GICS_SECTOR_NAME"),"")</f>
        <v/>
      </c>
      <c r="D185" s="8">
        <f>IFERROR(BDP(A185,"PX_LAST"),"")</f>
        <v/>
      </c>
      <c r="E185" s="9">
        <f>IFERROR(BDP(A185,"CUST_TRR_RETURN_HOLDING_PER","CUST_TRR_START_DT",Settings!$C$5,"CUST_TRR_END_DT",Settings!$C$4)/100,"")</f>
        <v/>
      </c>
      <c r="F185" s="9">
        <f>IFERROR(BDP(A185,"CUST_TRR_RETURN_HOLDING_PER","CUST_TRR_START_DT",Settings!$C$6,"CUST_TRR_END_DT",Settings!$C$4)/100,"")</f>
        <v/>
      </c>
      <c r="G185" s="9">
        <f>IFERROR(BDP(A185,"CUST_TRR_RETURN_HOLDING_PER","CUST_TRR_START_DT",Settings!$C$7,"CUST_TRR_END_DT",Settings!$C$4)/100,"")</f>
        <v/>
      </c>
      <c r="H185" s="9">
        <f>IFERROR(BDP(A185,"CUST_TRR_RETURN_HOLDING_PER","CUST_TRR_START_DT",Settings!$C$8,"CUST_TRR_END_DT",Settings!$C$4)/100,"")</f>
        <v/>
      </c>
    </row>
    <row r="186">
      <c r="A186" s="7" t="inlineStr">
        <is>
          <t>FAST US Equity</t>
        </is>
      </c>
      <c r="B186">
        <f>IFERROR(BDP(A186,"NAME"),"")</f>
        <v/>
      </c>
      <c r="C186">
        <f>IFERROR(BDP(A186,"GICS_SECTOR_NAME"),"")</f>
        <v/>
      </c>
      <c r="D186" s="8">
        <f>IFERROR(BDP(A186,"PX_LAST"),"")</f>
        <v/>
      </c>
      <c r="E186" s="9">
        <f>IFERROR(BDP(A186,"CUST_TRR_RETURN_HOLDING_PER","CUST_TRR_START_DT",Settings!$C$5,"CUST_TRR_END_DT",Settings!$C$4)/100,"")</f>
        <v/>
      </c>
      <c r="F186" s="9">
        <f>IFERROR(BDP(A186,"CUST_TRR_RETURN_HOLDING_PER","CUST_TRR_START_DT",Settings!$C$6,"CUST_TRR_END_DT",Settings!$C$4)/100,"")</f>
        <v/>
      </c>
      <c r="G186" s="9">
        <f>IFERROR(BDP(A186,"CUST_TRR_RETURN_HOLDING_PER","CUST_TRR_START_DT",Settings!$C$7,"CUST_TRR_END_DT",Settings!$C$4)/100,"")</f>
        <v/>
      </c>
      <c r="H186" s="9">
        <f>IFERROR(BDP(A186,"CUST_TRR_RETURN_HOLDING_PER","CUST_TRR_START_DT",Settings!$C$8,"CUST_TRR_END_DT",Settings!$C$4)/100,"")</f>
        <v/>
      </c>
    </row>
    <row r="187">
      <c r="A187" s="7" t="inlineStr">
        <is>
          <t>FCX US Equity</t>
        </is>
      </c>
      <c r="B187">
        <f>IFERROR(BDP(A187,"NAME"),"")</f>
        <v/>
      </c>
      <c r="C187">
        <f>IFERROR(BDP(A187,"GICS_SECTOR_NAME"),"")</f>
        <v/>
      </c>
      <c r="D187" s="8">
        <f>IFERROR(BDP(A187,"PX_LAST"),"")</f>
        <v/>
      </c>
      <c r="E187" s="9">
        <f>IFERROR(BDP(A187,"CUST_TRR_RETURN_HOLDING_PER","CUST_TRR_START_DT",Settings!$C$5,"CUST_TRR_END_DT",Settings!$C$4)/100,"")</f>
        <v/>
      </c>
      <c r="F187" s="9">
        <f>IFERROR(BDP(A187,"CUST_TRR_RETURN_HOLDING_PER","CUST_TRR_START_DT",Settings!$C$6,"CUST_TRR_END_DT",Settings!$C$4)/100,"")</f>
        <v/>
      </c>
      <c r="G187" s="9">
        <f>IFERROR(BDP(A187,"CUST_TRR_RETURN_HOLDING_PER","CUST_TRR_START_DT",Settings!$C$7,"CUST_TRR_END_DT",Settings!$C$4)/100,"")</f>
        <v/>
      </c>
      <c r="H187" s="9">
        <f>IFERROR(BDP(A187,"CUST_TRR_RETURN_HOLDING_PER","CUST_TRR_START_DT",Settings!$C$8,"CUST_TRR_END_DT",Settings!$C$4)/100,"")</f>
        <v/>
      </c>
    </row>
    <row r="188">
      <c r="A188" s="7" t="inlineStr">
        <is>
          <t>FDS US Equity</t>
        </is>
      </c>
      <c r="B188">
        <f>IFERROR(BDP(A188,"NAME"),"")</f>
        <v/>
      </c>
      <c r="C188">
        <f>IFERROR(BDP(A188,"GICS_SECTOR_NAME"),"")</f>
        <v/>
      </c>
      <c r="D188" s="8">
        <f>IFERROR(BDP(A188,"PX_LAST"),"")</f>
        <v/>
      </c>
      <c r="E188" s="9">
        <f>IFERROR(BDP(A188,"CUST_TRR_RETURN_HOLDING_PER","CUST_TRR_START_DT",Settings!$C$5,"CUST_TRR_END_DT",Settings!$C$4)/100,"")</f>
        <v/>
      </c>
      <c r="F188" s="9">
        <f>IFERROR(BDP(A188,"CUST_TRR_RETURN_HOLDING_PER","CUST_TRR_START_DT",Settings!$C$6,"CUST_TRR_END_DT",Settings!$C$4)/100,"")</f>
        <v/>
      </c>
      <c r="G188" s="9">
        <f>IFERROR(BDP(A188,"CUST_TRR_RETURN_HOLDING_PER","CUST_TRR_START_DT",Settings!$C$7,"CUST_TRR_END_DT",Settings!$C$4)/100,"")</f>
        <v/>
      </c>
      <c r="H188" s="9">
        <f>IFERROR(BDP(A188,"CUST_TRR_RETURN_HOLDING_PER","CUST_TRR_START_DT",Settings!$C$8,"CUST_TRR_END_DT",Settings!$C$4)/100,"")</f>
        <v/>
      </c>
    </row>
    <row r="189">
      <c r="A189" s="7" t="inlineStr">
        <is>
          <t>FDX US Equity</t>
        </is>
      </c>
      <c r="B189">
        <f>IFERROR(BDP(A189,"NAME"),"")</f>
        <v/>
      </c>
      <c r="C189">
        <f>IFERROR(BDP(A189,"GICS_SECTOR_NAME"),"")</f>
        <v/>
      </c>
      <c r="D189" s="8">
        <f>IFERROR(BDP(A189,"PX_LAST"),"")</f>
        <v/>
      </c>
      <c r="E189" s="9">
        <f>IFERROR(BDP(A189,"CUST_TRR_RETURN_HOLDING_PER","CUST_TRR_START_DT",Settings!$C$5,"CUST_TRR_END_DT",Settings!$C$4)/100,"")</f>
        <v/>
      </c>
      <c r="F189" s="9">
        <f>IFERROR(BDP(A189,"CUST_TRR_RETURN_HOLDING_PER","CUST_TRR_START_DT",Settings!$C$6,"CUST_TRR_END_DT",Settings!$C$4)/100,"")</f>
        <v/>
      </c>
      <c r="G189" s="9">
        <f>IFERROR(BDP(A189,"CUST_TRR_RETURN_HOLDING_PER","CUST_TRR_START_DT",Settings!$C$7,"CUST_TRR_END_DT",Settings!$C$4)/100,"")</f>
        <v/>
      </c>
      <c r="H189" s="9">
        <f>IFERROR(BDP(A189,"CUST_TRR_RETURN_HOLDING_PER","CUST_TRR_START_DT",Settings!$C$8,"CUST_TRR_END_DT",Settings!$C$4)/100,"")</f>
        <v/>
      </c>
    </row>
    <row r="190">
      <c r="A190" s="7" t="inlineStr">
        <is>
          <t>FE US Equity</t>
        </is>
      </c>
      <c r="B190">
        <f>IFERROR(BDP(A190,"NAME"),"")</f>
        <v/>
      </c>
      <c r="C190">
        <f>IFERROR(BDP(A190,"GICS_SECTOR_NAME"),"")</f>
        <v/>
      </c>
      <c r="D190" s="8">
        <f>IFERROR(BDP(A190,"PX_LAST"),"")</f>
        <v/>
      </c>
      <c r="E190" s="9">
        <f>IFERROR(BDP(A190,"CUST_TRR_RETURN_HOLDING_PER","CUST_TRR_START_DT",Settings!$C$5,"CUST_TRR_END_DT",Settings!$C$4)/100,"")</f>
        <v/>
      </c>
      <c r="F190" s="9">
        <f>IFERROR(BDP(A190,"CUST_TRR_RETURN_HOLDING_PER","CUST_TRR_START_DT",Settings!$C$6,"CUST_TRR_END_DT",Settings!$C$4)/100,"")</f>
        <v/>
      </c>
      <c r="G190" s="9">
        <f>IFERROR(BDP(A190,"CUST_TRR_RETURN_HOLDING_PER","CUST_TRR_START_DT",Settings!$C$7,"CUST_TRR_END_DT",Settings!$C$4)/100,"")</f>
        <v/>
      </c>
      <c r="H190" s="9">
        <f>IFERROR(BDP(A190,"CUST_TRR_RETURN_HOLDING_PER","CUST_TRR_START_DT",Settings!$C$8,"CUST_TRR_END_DT",Settings!$C$4)/100,"")</f>
        <v/>
      </c>
    </row>
    <row r="191">
      <c r="A191" s="7" t="inlineStr">
        <is>
          <t>FFIV US Equity</t>
        </is>
      </c>
      <c r="B191">
        <f>IFERROR(BDP(A191,"NAME"),"")</f>
        <v/>
      </c>
      <c r="C191">
        <f>IFERROR(BDP(A191,"GICS_SECTOR_NAME"),"")</f>
        <v/>
      </c>
      <c r="D191" s="8">
        <f>IFERROR(BDP(A191,"PX_LAST"),"")</f>
        <v/>
      </c>
      <c r="E191" s="9">
        <f>IFERROR(BDP(A191,"CUST_TRR_RETURN_HOLDING_PER","CUST_TRR_START_DT",Settings!$C$5,"CUST_TRR_END_DT",Settings!$C$4)/100,"")</f>
        <v/>
      </c>
      <c r="F191" s="9">
        <f>IFERROR(BDP(A191,"CUST_TRR_RETURN_HOLDING_PER","CUST_TRR_START_DT",Settings!$C$6,"CUST_TRR_END_DT",Settings!$C$4)/100,"")</f>
        <v/>
      </c>
      <c r="G191" s="9">
        <f>IFERROR(BDP(A191,"CUST_TRR_RETURN_HOLDING_PER","CUST_TRR_START_DT",Settings!$C$7,"CUST_TRR_END_DT",Settings!$C$4)/100,"")</f>
        <v/>
      </c>
      <c r="H191" s="9">
        <f>IFERROR(BDP(A191,"CUST_TRR_RETURN_HOLDING_PER","CUST_TRR_START_DT",Settings!$C$8,"CUST_TRR_END_DT",Settings!$C$4)/100,"")</f>
        <v/>
      </c>
    </row>
    <row r="192">
      <c r="A192" s="7" t="inlineStr">
        <is>
          <t>FI US Equity</t>
        </is>
      </c>
      <c r="B192">
        <f>IFERROR(BDP(A192,"NAME"),"")</f>
        <v/>
      </c>
      <c r="C192">
        <f>IFERROR(BDP(A192,"GICS_SECTOR_NAME"),"")</f>
        <v/>
      </c>
      <c r="D192" s="8">
        <f>IFERROR(BDP(A192,"PX_LAST"),"")</f>
        <v/>
      </c>
      <c r="E192" s="9">
        <f>IFERROR(BDP(A192,"CUST_TRR_RETURN_HOLDING_PER","CUST_TRR_START_DT",Settings!$C$5,"CUST_TRR_END_DT",Settings!$C$4)/100,"")</f>
        <v/>
      </c>
      <c r="F192" s="9">
        <f>IFERROR(BDP(A192,"CUST_TRR_RETURN_HOLDING_PER","CUST_TRR_START_DT",Settings!$C$6,"CUST_TRR_END_DT",Settings!$C$4)/100,"")</f>
        <v/>
      </c>
      <c r="G192" s="9">
        <f>IFERROR(BDP(A192,"CUST_TRR_RETURN_HOLDING_PER","CUST_TRR_START_DT",Settings!$C$7,"CUST_TRR_END_DT",Settings!$C$4)/100,"")</f>
        <v/>
      </c>
      <c r="H192" s="9">
        <f>IFERROR(BDP(A192,"CUST_TRR_RETURN_HOLDING_PER","CUST_TRR_START_DT",Settings!$C$8,"CUST_TRR_END_DT",Settings!$C$4)/100,"")</f>
        <v/>
      </c>
    </row>
    <row r="193">
      <c r="A193" s="7" t="inlineStr">
        <is>
          <t>FICO US Equity</t>
        </is>
      </c>
      <c r="B193">
        <f>IFERROR(BDP(A193,"NAME"),"")</f>
        <v/>
      </c>
      <c r="C193">
        <f>IFERROR(BDP(A193,"GICS_SECTOR_NAME"),"")</f>
        <v/>
      </c>
      <c r="D193" s="8">
        <f>IFERROR(BDP(A193,"PX_LAST"),"")</f>
        <v/>
      </c>
      <c r="E193" s="9">
        <f>IFERROR(BDP(A193,"CUST_TRR_RETURN_HOLDING_PER","CUST_TRR_START_DT",Settings!$C$5,"CUST_TRR_END_DT",Settings!$C$4)/100,"")</f>
        <v/>
      </c>
      <c r="F193" s="9">
        <f>IFERROR(BDP(A193,"CUST_TRR_RETURN_HOLDING_PER","CUST_TRR_START_DT",Settings!$C$6,"CUST_TRR_END_DT",Settings!$C$4)/100,"")</f>
        <v/>
      </c>
      <c r="G193" s="9">
        <f>IFERROR(BDP(A193,"CUST_TRR_RETURN_HOLDING_PER","CUST_TRR_START_DT",Settings!$C$7,"CUST_TRR_END_DT",Settings!$C$4)/100,"")</f>
        <v/>
      </c>
      <c r="H193" s="9">
        <f>IFERROR(BDP(A193,"CUST_TRR_RETURN_HOLDING_PER","CUST_TRR_START_DT",Settings!$C$8,"CUST_TRR_END_DT",Settings!$C$4)/100,"")</f>
        <v/>
      </c>
    </row>
    <row r="194">
      <c r="A194" s="7" t="inlineStr">
        <is>
          <t>FIS US Equity</t>
        </is>
      </c>
      <c r="B194">
        <f>IFERROR(BDP(A194,"NAME"),"")</f>
        <v/>
      </c>
      <c r="C194">
        <f>IFERROR(BDP(A194,"GICS_SECTOR_NAME"),"")</f>
        <v/>
      </c>
      <c r="D194" s="8">
        <f>IFERROR(BDP(A194,"PX_LAST"),"")</f>
        <v/>
      </c>
      <c r="E194" s="9">
        <f>IFERROR(BDP(A194,"CUST_TRR_RETURN_HOLDING_PER","CUST_TRR_START_DT",Settings!$C$5,"CUST_TRR_END_DT",Settings!$C$4)/100,"")</f>
        <v/>
      </c>
      <c r="F194" s="9">
        <f>IFERROR(BDP(A194,"CUST_TRR_RETURN_HOLDING_PER","CUST_TRR_START_DT",Settings!$C$6,"CUST_TRR_END_DT",Settings!$C$4)/100,"")</f>
        <v/>
      </c>
      <c r="G194" s="9">
        <f>IFERROR(BDP(A194,"CUST_TRR_RETURN_HOLDING_PER","CUST_TRR_START_DT",Settings!$C$7,"CUST_TRR_END_DT",Settings!$C$4)/100,"")</f>
        <v/>
      </c>
      <c r="H194" s="9">
        <f>IFERROR(BDP(A194,"CUST_TRR_RETURN_HOLDING_PER","CUST_TRR_START_DT",Settings!$C$8,"CUST_TRR_END_DT",Settings!$C$4)/100,"")</f>
        <v/>
      </c>
    </row>
    <row r="195">
      <c r="A195" s="7" t="inlineStr">
        <is>
          <t>FITB US Equity</t>
        </is>
      </c>
      <c r="B195">
        <f>IFERROR(BDP(A195,"NAME"),"")</f>
        <v/>
      </c>
      <c r="C195">
        <f>IFERROR(BDP(A195,"GICS_SECTOR_NAME"),"")</f>
        <v/>
      </c>
      <c r="D195" s="8">
        <f>IFERROR(BDP(A195,"PX_LAST"),"")</f>
        <v/>
      </c>
      <c r="E195" s="9">
        <f>IFERROR(BDP(A195,"CUST_TRR_RETURN_HOLDING_PER","CUST_TRR_START_DT",Settings!$C$5,"CUST_TRR_END_DT",Settings!$C$4)/100,"")</f>
        <v/>
      </c>
      <c r="F195" s="9">
        <f>IFERROR(BDP(A195,"CUST_TRR_RETURN_HOLDING_PER","CUST_TRR_START_DT",Settings!$C$6,"CUST_TRR_END_DT",Settings!$C$4)/100,"")</f>
        <v/>
      </c>
      <c r="G195" s="9">
        <f>IFERROR(BDP(A195,"CUST_TRR_RETURN_HOLDING_PER","CUST_TRR_START_DT",Settings!$C$7,"CUST_TRR_END_DT",Settings!$C$4)/100,"")</f>
        <v/>
      </c>
      <c r="H195" s="9">
        <f>IFERROR(BDP(A195,"CUST_TRR_RETURN_HOLDING_PER","CUST_TRR_START_DT",Settings!$C$8,"CUST_TRR_END_DT",Settings!$C$4)/100,"")</f>
        <v/>
      </c>
    </row>
    <row r="196">
      <c r="A196" s="7" t="inlineStr">
        <is>
          <t>FMC US Equity</t>
        </is>
      </c>
      <c r="B196">
        <f>IFERROR(BDP(A196,"NAME"),"")</f>
        <v/>
      </c>
      <c r="C196">
        <f>IFERROR(BDP(A196,"GICS_SECTOR_NAME"),"")</f>
        <v/>
      </c>
      <c r="D196" s="8">
        <f>IFERROR(BDP(A196,"PX_LAST"),"")</f>
        <v/>
      </c>
      <c r="E196" s="9">
        <f>IFERROR(BDP(A196,"CUST_TRR_RETURN_HOLDING_PER","CUST_TRR_START_DT",Settings!$C$5,"CUST_TRR_END_DT",Settings!$C$4)/100,"")</f>
        <v/>
      </c>
      <c r="F196" s="9">
        <f>IFERROR(BDP(A196,"CUST_TRR_RETURN_HOLDING_PER","CUST_TRR_START_DT",Settings!$C$6,"CUST_TRR_END_DT",Settings!$C$4)/100,"")</f>
        <v/>
      </c>
      <c r="G196" s="9">
        <f>IFERROR(BDP(A196,"CUST_TRR_RETURN_HOLDING_PER","CUST_TRR_START_DT",Settings!$C$7,"CUST_TRR_END_DT",Settings!$C$4)/100,"")</f>
        <v/>
      </c>
      <c r="H196" s="9">
        <f>IFERROR(BDP(A196,"CUST_TRR_RETURN_HOLDING_PER","CUST_TRR_START_DT",Settings!$C$8,"CUST_TRR_END_DT",Settings!$C$4)/100,"")</f>
        <v/>
      </c>
    </row>
    <row r="197">
      <c r="A197" s="7" t="inlineStr">
        <is>
          <t>FOX US Equity</t>
        </is>
      </c>
      <c r="B197">
        <f>IFERROR(BDP(A197,"NAME"),"")</f>
        <v/>
      </c>
      <c r="C197">
        <f>IFERROR(BDP(A197,"GICS_SECTOR_NAME"),"")</f>
        <v/>
      </c>
      <c r="D197" s="8">
        <f>IFERROR(BDP(A197,"PX_LAST"),"")</f>
        <v/>
      </c>
      <c r="E197" s="9">
        <f>IFERROR(BDP(A197,"CUST_TRR_RETURN_HOLDING_PER","CUST_TRR_START_DT",Settings!$C$5,"CUST_TRR_END_DT",Settings!$C$4)/100,"")</f>
        <v/>
      </c>
      <c r="F197" s="9">
        <f>IFERROR(BDP(A197,"CUST_TRR_RETURN_HOLDING_PER","CUST_TRR_START_DT",Settings!$C$6,"CUST_TRR_END_DT",Settings!$C$4)/100,"")</f>
        <v/>
      </c>
      <c r="G197" s="9">
        <f>IFERROR(BDP(A197,"CUST_TRR_RETURN_HOLDING_PER","CUST_TRR_START_DT",Settings!$C$7,"CUST_TRR_END_DT",Settings!$C$4)/100,"")</f>
        <v/>
      </c>
      <c r="H197" s="9">
        <f>IFERROR(BDP(A197,"CUST_TRR_RETURN_HOLDING_PER","CUST_TRR_START_DT",Settings!$C$8,"CUST_TRR_END_DT",Settings!$C$4)/100,"")</f>
        <v/>
      </c>
    </row>
    <row r="198">
      <c r="A198" s="7" t="inlineStr">
        <is>
          <t>FOXA US Equity</t>
        </is>
      </c>
      <c r="B198">
        <f>IFERROR(BDP(A198,"NAME"),"")</f>
        <v/>
      </c>
      <c r="C198">
        <f>IFERROR(BDP(A198,"GICS_SECTOR_NAME"),"")</f>
        <v/>
      </c>
      <c r="D198" s="8">
        <f>IFERROR(BDP(A198,"PX_LAST"),"")</f>
        <v/>
      </c>
      <c r="E198" s="9">
        <f>IFERROR(BDP(A198,"CUST_TRR_RETURN_HOLDING_PER","CUST_TRR_START_DT",Settings!$C$5,"CUST_TRR_END_DT",Settings!$C$4)/100,"")</f>
        <v/>
      </c>
      <c r="F198" s="9">
        <f>IFERROR(BDP(A198,"CUST_TRR_RETURN_HOLDING_PER","CUST_TRR_START_DT",Settings!$C$6,"CUST_TRR_END_DT",Settings!$C$4)/100,"")</f>
        <v/>
      </c>
      <c r="G198" s="9">
        <f>IFERROR(BDP(A198,"CUST_TRR_RETURN_HOLDING_PER","CUST_TRR_START_DT",Settings!$C$7,"CUST_TRR_END_DT",Settings!$C$4)/100,"")</f>
        <v/>
      </c>
      <c r="H198" s="9">
        <f>IFERROR(BDP(A198,"CUST_TRR_RETURN_HOLDING_PER","CUST_TRR_START_DT",Settings!$C$8,"CUST_TRR_END_DT",Settings!$C$4)/100,"")</f>
        <v/>
      </c>
    </row>
    <row r="199">
      <c r="A199" s="7" t="inlineStr">
        <is>
          <t>FRT US Equity</t>
        </is>
      </c>
      <c r="B199">
        <f>IFERROR(BDP(A199,"NAME"),"")</f>
        <v/>
      </c>
      <c r="C199">
        <f>IFERROR(BDP(A199,"GICS_SECTOR_NAME"),"")</f>
        <v/>
      </c>
      <c r="D199" s="8">
        <f>IFERROR(BDP(A199,"PX_LAST"),"")</f>
        <v/>
      </c>
      <c r="E199" s="9">
        <f>IFERROR(BDP(A199,"CUST_TRR_RETURN_HOLDING_PER","CUST_TRR_START_DT",Settings!$C$5,"CUST_TRR_END_DT",Settings!$C$4)/100,"")</f>
        <v/>
      </c>
      <c r="F199" s="9">
        <f>IFERROR(BDP(A199,"CUST_TRR_RETURN_HOLDING_PER","CUST_TRR_START_DT",Settings!$C$6,"CUST_TRR_END_DT",Settings!$C$4)/100,"")</f>
        <v/>
      </c>
      <c r="G199" s="9">
        <f>IFERROR(BDP(A199,"CUST_TRR_RETURN_HOLDING_PER","CUST_TRR_START_DT",Settings!$C$7,"CUST_TRR_END_DT",Settings!$C$4)/100,"")</f>
        <v/>
      </c>
      <c r="H199" s="9">
        <f>IFERROR(BDP(A199,"CUST_TRR_RETURN_HOLDING_PER","CUST_TRR_START_DT",Settings!$C$8,"CUST_TRR_END_DT",Settings!$C$4)/100,"")</f>
        <v/>
      </c>
    </row>
    <row r="200">
      <c r="A200" s="7" t="inlineStr">
        <is>
          <t>FSLR US Equity</t>
        </is>
      </c>
      <c r="B200">
        <f>IFERROR(BDP(A200,"NAME"),"")</f>
        <v/>
      </c>
      <c r="C200">
        <f>IFERROR(BDP(A200,"GICS_SECTOR_NAME"),"")</f>
        <v/>
      </c>
      <c r="D200" s="8">
        <f>IFERROR(BDP(A200,"PX_LAST"),"")</f>
        <v/>
      </c>
      <c r="E200" s="9">
        <f>IFERROR(BDP(A200,"CUST_TRR_RETURN_HOLDING_PER","CUST_TRR_START_DT",Settings!$C$5,"CUST_TRR_END_DT",Settings!$C$4)/100,"")</f>
        <v/>
      </c>
      <c r="F200" s="9">
        <f>IFERROR(BDP(A200,"CUST_TRR_RETURN_HOLDING_PER","CUST_TRR_START_DT",Settings!$C$6,"CUST_TRR_END_DT",Settings!$C$4)/100,"")</f>
        <v/>
      </c>
      <c r="G200" s="9">
        <f>IFERROR(BDP(A200,"CUST_TRR_RETURN_HOLDING_PER","CUST_TRR_START_DT",Settings!$C$7,"CUST_TRR_END_DT",Settings!$C$4)/100,"")</f>
        <v/>
      </c>
      <c r="H200" s="9">
        <f>IFERROR(BDP(A200,"CUST_TRR_RETURN_HOLDING_PER","CUST_TRR_START_DT",Settings!$C$8,"CUST_TRR_END_DT",Settings!$C$4)/100,"")</f>
        <v/>
      </c>
    </row>
    <row r="201">
      <c r="A201" s="7" t="inlineStr">
        <is>
          <t>FTNT US Equity</t>
        </is>
      </c>
      <c r="B201">
        <f>IFERROR(BDP(A201,"NAME"),"")</f>
        <v/>
      </c>
      <c r="C201">
        <f>IFERROR(BDP(A201,"GICS_SECTOR_NAME"),"")</f>
        <v/>
      </c>
      <c r="D201" s="8">
        <f>IFERROR(BDP(A201,"PX_LAST"),"")</f>
        <v/>
      </c>
      <c r="E201" s="9">
        <f>IFERROR(BDP(A201,"CUST_TRR_RETURN_HOLDING_PER","CUST_TRR_START_DT",Settings!$C$5,"CUST_TRR_END_DT",Settings!$C$4)/100,"")</f>
        <v/>
      </c>
      <c r="F201" s="9">
        <f>IFERROR(BDP(A201,"CUST_TRR_RETURN_HOLDING_PER","CUST_TRR_START_DT",Settings!$C$6,"CUST_TRR_END_DT",Settings!$C$4)/100,"")</f>
        <v/>
      </c>
      <c r="G201" s="9">
        <f>IFERROR(BDP(A201,"CUST_TRR_RETURN_HOLDING_PER","CUST_TRR_START_DT",Settings!$C$7,"CUST_TRR_END_DT",Settings!$C$4)/100,"")</f>
        <v/>
      </c>
      <c r="H201" s="9">
        <f>IFERROR(BDP(A201,"CUST_TRR_RETURN_HOLDING_PER","CUST_TRR_START_DT",Settings!$C$8,"CUST_TRR_END_DT",Settings!$C$4)/100,"")</f>
        <v/>
      </c>
    </row>
    <row r="202">
      <c r="A202" s="7" t="inlineStr">
        <is>
          <t>FTV US Equity</t>
        </is>
      </c>
      <c r="B202">
        <f>IFERROR(BDP(A202,"NAME"),"")</f>
        <v/>
      </c>
      <c r="C202">
        <f>IFERROR(BDP(A202,"GICS_SECTOR_NAME"),"")</f>
        <v/>
      </c>
      <c r="D202" s="8">
        <f>IFERROR(BDP(A202,"PX_LAST"),"")</f>
        <v/>
      </c>
      <c r="E202" s="9">
        <f>IFERROR(BDP(A202,"CUST_TRR_RETURN_HOLDING_PER","CUST_TRR_START_DT",Settings!$C$5,"CUST_TRR_END_DT",Settings!$C$4)/100,"")</f>
        <v/>
      </c>
      <c r="F202" s="9">
        <f>IFERROR(BDP(A202,"CUST_TRR_RETURN_HOLDING_PER","CUST_TRR_START_DT",Settings!$C$6,"CUST_TRR_END_DT",Settings!$C$4)/100,"")</f>
        <v/>
      </c>
      <c r="G202" s="9">
        <f>IFERROR(BDP(A202,"CUST_TRR_RETURN_HOLDING_PER","CUST_TRR_START_DT",Settings!$C$7,"CUST_TRR_END_DT",Settings!$C$4)/100,"")</f>
        <v/>
      </c>
      <c r="H202" s="9">
        <f>IFERROR(BDP(A202,"CUST_TRR_RETURN_HOLDING_PER","CUST_TRR_START_DT",Settings!$C$8,"CUST_TRR_END_DT",Settings!$C$4)/100,"")</f>
        <v/>
      </c>
    </row>
    <row r="203">
      <c r="A203" s="7" t="inlineStr">
        <is>
          <t>GD US Equity</t>
        </is>
      </c>
      <c r="B203">
        <f>IFERROR(BDP(A203,"NAME"),"")</f>
        <v/>
      </c>
      <c r="C203">
        <f>IFERROR(BDP(A203,"GICS_SECTOR_NAME"),"")</f>
        <v/>
      </c>
      <c r="D203" s="8">
        <f>IFERROR(BDP(A203,"PX_LAST"),"")</f>
        <v/>
      </c>
      <c r="E203" s="9">
        <f>IFERROR(BDP(A203,"CUST_TRR_RETURN_HOLDING_PER","CUST_TRR_START_DT",Settings!$C$5,"CUST_TRR_END_DT",Settings!$C$4)/100,"")</f>
        <v/>
      </c>
      <c r="F203" s="9">
        <f>IFERROR(BDP(A203,"CUST_TRR_RETURN_HOLDING_PER","CUST_TRR_START_DT",Settings!$C$6,"CUST_TRR_END_DT",Settings!$C$4)/100,"")</f>
        <v/>
      </c>
      <c r="G203" s="9">
        <f>IFERROR(BDP(A203,"CUST_TRR_RETURN_HOLDING_PER","CUST_TRR_START_DT",Settings!$C$7,"CUST_TRR_END_DT",Settings!$C$4)/100,"")</f>
        <v/>
      </c>
      <c r="H203" s="9">
        <f>IFERROR(BDP(A203,"CUST_TRR_RETURN_HOLDING_PER","CUST_TRR_START_DT",Settings!$C$8,"CUST_TRR_END_DT",Settings!$C$4)/100,"")</f>
        <v/>
      </c>
    </row>
    <row r="204">
      <c r="A204" s="7" t="inlineStr">
        <is>
          <t>GDDY US Equity</t>
        </is>
      </c>
      <c r="B204">
        <f>IFERROR(BDP(A204,"NAME"),"")</f>
        <v/>
      </c>
      <c r="C204">
        <f>IFERROR(BDP(A204,"GICS_SECTOR_NAME"),"")</f>
        <v/>
      </c>
      <c r="D204" s="8">
        <f>IFERROR(BDP(A204,"PX_LAST"),"")</f>
        <v/>
      </c>
      <c r="E204" s="9">
        <f>IFERROR(BDP(A204,"CUST_TRR_RETURN_HOLDING_PER","CUST_TRR_START_DT",Settings!$C$5,"CUST_TRR_END_DT",Settings!$C$4)/100,"")</f>
        <v/>
      </c>
      <c r="F204" s="9">
        <f>IFERROR(BDP(A204,"CUST_TRR_RETURN_HOLDING_PER","CUST_TRR_START_DT",Settings!$C$6,"CUST_TRR_END_DT",Settings!$C$4)/100,"")</f>
        <v/>
      </c>
      <c r="G204" s="9">
        <f>IFERROR(BDP(A204,"CUST_TRR_RETURN_HOLDING_PER","CUST_TRR_START_DT",Settings!$C$7,"CUST_TRR_END_DT",Settings!$C$4)/100,"")</f>
        <v/>
      </c>
      <c r="H204" s="9">
        <f>IFERROR(BDP(A204,"CUST_TRR_RETURN_HOLDING_PER","CUST_TRR_START_DT",Settings!$C$8,"CUST_TRR_END_DT",Settings!$C$4)/100,"")</f>
        <v/>
      </c>
    </row>
    <row r="205">
      <c r="A205" s="7" t="inlineStr">
        <is>
          <t>GE US Equity</t>
        </is>
      </c>
      <c r="B205">
        <f>IFERROR(BDP(A205,"NAME"),"")</f>
        <v/>
      </c>
      <c r="C205">
        <f>IFERROR(BDP(A205,"GICS_SECTOR_NAME"),"")</f>
        <v/>
      </c>
      <c r="D205" s="8">
        <f>IFERROR(BDP(A205,"PX_LAST"),"")</f>
        <v/>
      </c>
      <c r="E205" s="9">
        <f>IFERROR(BDP(A205,"CUST_TRR_RETURN_HOLDING_PER","CUST_TRR_START_DT",Settings!$C$5,"CUST_TRR_END_DT",Settings!$C$4)/100,"")</f>
        <v/>
      </c>
      <c r="F205" s="9">
        <f>IFERROR(BDP(A205,"CUST_TRR_RETURN_HOLDING_PER","CUST_TRR_START_DT",Settings!$C$6,"CUST_TRR_END_DT",Settings!$C$4)/100,"")</f>
        <v/>
      </c>
      <c r="G205" s="9">
        <f>IFERROR(BDP(A205,"CUST_TRR_RETURN_HOLDING_PER","CUST_TRR_START_DT",Settings!$C$7,"CUST_TRR_END_DT",Settings!$C$4)/100,"")</f>
        <v/>
      </c>
      <c r="H205" s="9">
        <f>IFERROR(BDP(A205,"CUST_TRR_RETURN_HOLDING_PER","CUST_TRR_START_DT",Settings!$C$8,"CUST_TRR_END_DT",Settings!$C$4)/100,"")</f>
        <v/>
      </c>
    </row>
    <row r="206">
      <c r="A206" s="7" t="inlineStr">
        <is>
          <t>GEHC US Equity</t>
        </is>
      </c>
      <c r="B206">
        <f>IFERROR(BDP(A206,"NAME"),"")</f>
        <v/>
      </c>
      <c r="C206">
        <f>IFERROR(BDP(A206,"GICS_SECTOR_NAME"),"")</f>
        <v/>
      </c>
      <c r="D206" s="8">
        <f>IFERROR(BDP(A206,"PX_LAST"),"")</f>
        <v/>
      </c>
      <c r="E206" s="9">
        <f>IFERROR(BDP(A206,"CUST_TRR_RETURN_HOLDING_PER","CUST_TRR_START_DT",Settings!$C$5,"CUST_TRR_END_DT",Settings!$C$4)/100,"")</f>
        <v/>
      </c>
      <c r="F206" s="9">
        <f>IFERROR(BDP(A206,"CUST_TRR_RETURN_HOLDING_PER","CUST_TRR_START_DT",Settings!$C$6,"CUST_TRR_END_DT",Settings!$C$4)/100,"")</f>
        <v/>
      </c>
      <c r="G206" s="9">
        <f>IFERROR(BDP(A206,"CUST_TRR_RETURN_HOLDING_PER","CUST_TRR_START_DT",Settings!$C$7,"CUST_TRR_END_DT",Settings!$C$4)/100,"")</f>
        <v/>
      </c>
      <c r="H206" s="9">
        <f>IFERROR(BDP(A206,"CUST_TRR_RETURN_HOLDING_PER","CUST_TRR_START_DT",Settings!$C$8,"CUST_TRR_END_DT",Settings!$C$4)/100,"")</f>
        <v/>
      </c>
    </row>
    <row r="207">
      <c r="A207" s="7" t="inlineStr">
        <is>
          <t>GEN US Equity</t>
        </is>
      </c>
      <c r="B207">
        <f>IFERROR(BDP(A207,"NAME"),"")</f>
        <v/>
      </c>
      <c r="C207">
        <f>IFERROR(BDP(A207,"GICS_SECTOR_NAME"),"")</f>
        <v/>
      </c>
      <c r="D207" s="8">
        <f>IFERROR(BDP(A207,"PX_LAST"),"")</f>
        <v/>
      </c>
      <c r="E207" s="9">
        <f>IFERROR(BDP(A207,"CUST_TRR_RETURN_HOLDING_PER","CUST_TRR_START_DT",Settings!$C$5,"CUST_TRR_END_DT",Settings!$C$4)/100,"")</f>
        <v/>
      </c>
      <c r="F207" s="9">
        <f>IFERROR(BDP(A207,"CUST_TRR_RETURN_HOLDING_PER","CUST_TRR_START_DT",Settings!$C$6,"CUST_TRR_END_DT",Settings!$C$4)/100,"")</f>
        <v/>
      </c>
      <c r="G207" s="9">
        <f>IFERROR(BDP(A207,"CUST_TRR_RETURN_HOLDING_PER","CUST_TRR_START_DT",Settings!$C$7,"CUST_TRR_END_DT",Settings!$C$4)/100,"")</f>
        <v/>
      </c>
      <c r="H207" s="9">
        <f>IFERROR(BDP(A207,"CUST_TRR_RETURN_HOLDING_PER","CUST_TRR_START_DT",Settings!$C$8,"CUST_TRR_END_DT",Settings!$C$4)/100,"")</f>
        <v/>
      </c>
    </row>
    <row r="208">
      <c r="A208" s="7" t="inlineStr">
        <is>
          <t>GEV US Equity</t>
        </is>
      </c>
      <c r="B208">
        <f>IFERROR(BDP(A208,"NAME"),"")</f>
        <v/>
      </c>
      <c r="C208">
        <f>IFERROR(BDP(A208,"GICS_SECTOR_NAME"),"")</f>
        <v/>
      </c>
      <c r="D208" s="8">
        <f>IFERROR(BDP(A208,"PX_LAST"),"")</f>
        <v/>
      </c>
      <c r="E208" s="9">
        <f>IFERROR(BDP(A208,"CUST_TRR_RETURN_HOLDING_PER","CUST_TRR_START_DT",Settings!$C$5,"CUST_TRR_END_DT",Settings!$C$4)/100,"")</f>
        <v/>
      </c>
      <c r="F208" s="9">
        <f>IFERROR(BDP(A208,"CUST_TRR_RETURN_HOLDING_PER","CUST_TRR_START_DT",Settings!$C$6,"CUST_TRR_END_DT",Settings!$C$4)/100,"")</f>
        <v/>
      </c>
      <c r="G208" s="9">
        <f>IFERROR(BDP(A208,"CUST_TRR_RETURN_HOLDING_PER","CUST_TRR_START_DT",Settings!$C$7,"CUST_TRR_END_DT",Settings!$C$4)/100,"")</f>
        <v/>
      </c>
      <c r="H208" s="9">
        <f>IFERROR(BDP(A208,"CUST_TRR_RETURN_HOLDING_PER","CUST_TRR_START_DT",Settings!$C$8,"CUST_TRR_END_DT",Settings!$C$4)/100,"")</f>
        <v/>
      </c>
    </row>
    <row r="209">
      <c r="A209" s="7" t="inlineStr">
        <is>
          <t>GILD US Equity</t>
        </is>
      </c>
      <c r="B209">
        <f>IFERROR(BDP(A209,"NAME"),"")</f>
        <v/>
      </c>
      <c r="C209">
        <f>IFERROR(BDP(A209,"GICS_SECTOR_NAME"),"")</f>
        <v/>
      </c>
      <c r="D209" s="8">
        <f>IFERROR(BDP(A209,"PX_LAST"),"")</f>
        <v/>
      </c>
      <c r="E209" s="9">
        <f>IFERROR(BDP(A209,"CUST_TRR_RETURN_HOLDING_PER","CUST_TRR_START_DT",Settings!$C$5,"CUST_TRR_END_DT",Settings!$C$4)/100,"")</f>
        <v/>
      </c>
      <c r="F209" s="9">
        <f>IFERROR(BDP(A209,"CUST_TRR_RETURN_HOLDING_PER","CUST_TRR_START_DT",Settings!$C$6,"CUST_TRR_END_DT",Settings!$C$4)/100,"")</f>
        <v/>
      </c>
      <c r="G209" s="9">
        <f>IFERROR(BDP(A209,"CUST_TRR_RETURN_HOLDING_PER","CUST_TRR_START_DT",Settings!$C$7,"CUST_TRR_END_DT",Settings!$C$4)/100,"")</f>
        <v/>
      </c>
      <c r="H209" s="9">
        <f>IFERROR(BDP(A209,"CUST_TRR_RETURN_HOLDING_PER","CUST_TRR_START_DT",Settings!$C$8,"CUST_TRR_END_DT",Settings!$C$4)/100,"")</f>
        <v/>
      </c>
    </row>
    <row r="210">
      <c r="A210" s="7" t="inlineStr">
        <is>
          <t>GIS US Equity</t>
        </is>
      </c>
      <c r="B210">
        <f>IFERROR(BDP(A210,"NAME"),"")</f>
        <v/>
      </c>
      <c r="C210">
        <f>IFERROR(BDP(A210,"GICS_SECTOR_NAME"),"")</f>
        <v/>
      </c>
      <c r="D210" s="8">
        <f>IFERROR(BDP(A210,"PX_LAST"),"")</f>
        <v/>
      </c>
      <c r="E210" s="9">
        <f>IFERROR(BDP(A210,"CUST_TRR_RETURN_HOLDING_PER","CUST_TRR_START_DT",Settings!$C$5,"CUST_TRR_END_DT",Settings!$C$4)/100,"")</f>
        <v/>
      </c>
      <c r="F210" s="9">
        <f>IFERROR(BDP(A210,"CUST_TRR_RETURN_HOLDING_PER","CUST_TRR_START_DT",Settings!$C$6,"CUST_TRR_END_DT",Settings!$C$4)/100,"")</f>
        <v/>
      </c>
      <c r="G210" s="9">
        <f>IFERROR(BDP(A210,"CUST_TRR_RETURN_HOLDING_PER","CUST_TRR_START_DT",Settings!$C$7,"CUST_TRR_END_DT",Settings!$C$4)/100,"")</f>
        <v/>
      </c>
      <c r="H210" s="9">
        <f>IFERROR(BDP(A210,"CUST_TRR_RETURN_HOLDING_PER","CUST_TRR_START_DT",Settings!$C$8,"CUST_TRR_END_DT",Settings!$C$4)/100,"")</f>
        <v/>
      </c>
    </row>
    <row r="211">
      <c r="A211" s="7" t="inlineStr">
        <is>
          <t>GL US Equity</t>
        </is>
      </c>
      <c r="B211">
        <f>IFERROR(BDP(A211,"NAME"),"")</f>
        <v/>
      </c>
      <c r="C211">
        <f>IFERROR(BDP(A211,"GICS_SECTOR_NAME"),"")</f>
        <v/>
      </c>
      <c r="D211" s="8">
        <f>IFERROR(BDP(A211,"PX_LAST"),"")</f>
        <v/>
      </c>
      <c r="E211" s="9">
        <f>IFERROR(BDP(A211,"CUST_TRR_RETURN_HOLDING_PER","CUST_TRR_START_DT",Settings!$C$5,"CUST_TRR_END_DT",Settings!$C$4)/100,"")</f>
        <v/>
      </c>
      <c r="F211" s="9">
        <f>IFERROR(BDP(A211,"CUST_TRR_RETURN_HOLDING_PER","CUST_TRR_START_DT",Settings!$C$6,"CUST_TRR_END_DT",Settings!$C$4)/100,"")</f>
        <v/>
      </c>
      <c r="G211" s="9">
        <f>IFERROR(BDP(A211,"CUST_TRR_RETURN_HOLDING_PER","CUST_TRR_START_DT",Settings!$C$7,"CUST_TRR_END_DT",Settings!$C$4)/100,"")</f>
        <v/>
      </c>
      <c r="H211" s="9">
        <f>IFERROR(BDP(A211,"CUST_TRR_RETURN_HOLDING_PER","CUST_TRR_START_DT",Settings!$C$8,"CUST_TRR_END_DT",Settings!$C$4)/100,"")</f>
        <v/>
      </c>
    </row>
    <row r="212">
      <c r="A212" s="7" t="inlineStr">
        <is>
          <t>GLW US Equity</t>
        </is>
      </c>
      <c r="B212">
        <f>IFERROR(BDP(A212,"NAME"),"")</f>
        <v/>
      </c>
      <c r="C212">
        <f>IFERROR(BDP(A212,"GICS_SECTOR_NAME"),"")</f>
        <v/>
      </c>
      <c r="D212" s="8">
        <f>IFERROR(BDP(A212,"PX_LAST"),"")</f>
        <v/>
      </c>
      <c r="E212" s="9">
        <f>IFERROR(BDP(A212,"CUST_TRR_RETURN_HOLDING_PER","CUST_TRR_START_DT",Settings!$C$5,"CUST_TRR_END_DT",Settings!$C$4)/100,"")</f>
        <v/>
      </c>
      <c r="F212" s="9">
        <f>IFERROR(BDP(A212,"CUST_TRR_RETURN_HOLDING_PER","CUST_TRR_START_DT",Settings!$C$6,"CUST_TRR_END_DT",Settings!$C$4)/100,"")</f>
        <v/>
      </c>
      <c r="G212" s="9">
        <f>IFERROR(BDP(A212,"CUST_TRR_RETURN_HOLDING_PER","CUST_TRR_START_DT",Settings!$C$7,"CUST_TRR_END_DT",Settings!$C$4)/100,"")</f>
        <v/>
      </c>
      <c r="H212" s="9">
        <f>IFERROR(BDP(A212,"CUST_TRR_RETURN_HOLDING_PER","CUST_TRR_START_DT",Settings!$C$8,"CUST_TRR_END_DT",Settings!$C$4)/100,"")</f>
        <v/>
      </c>
    </row>
    <row r="213">
      <c r="A213" s="7" t="inlineStr">
        <is>
          <t>GM US Equity</t>
        </is>
      </c>
      <c r="B213">
        <f>IFERROR(BDP(A213,"NAME"),"")</f>
        <v/>
      </c>
      <c r="C213">
        <f>IFERROR(BDP(A213,"GICS_SECTOR_NAME"),"")</f>
        <v/>
      </c>
      <c r="D213" s="8">
        <f>IFERROR(BDP(A213,"PX_LAST"),"")</f>
        <v/>
      </c>
      <c r="E213" s="9">
        <f>IFERROR(BDP(A213,"CUST_TRR_RETURN_HOLDING_PER","CUST_TRR_START_DT",Settings!$C$5,"CUST_TRR_END_DT",Settings!$C$4)/100,"")</f>
        <v/>
      </c>
      <c r="F213" s="9">
        <f>IFERROR(BDP(A213,"CUST_TRR_RETURN_HOLDING_PER","CUST_TRR_START_DT",Settings!$C$6,"CUST_TRR_END_DT",Settings!$C$4)/100,"")</f>
        <v/>
      </c>
      <c r="G213" s="9">
        <f>IFERROR(BDP(A213,"CUST_TRR_RETURN_HOLDING_PER","CUST_TRR_START_DT",Settings!$C$7,"CUST_TRR_END_DT",Settings!$C$4)/100,"")</f>
        <v/>
      </c>
      <c r="H213" s="9">
        <f>IFERROR(BDP(A213,"CUST_TRR_RETURN_HOLDING_PER","CUST_TRR_START_DT",Settings!$C$8,"CUST_TRR_END_DT",Settings!$C$4)/100,"")</f>
        <v/>
      </c>
    </row>
    <row r="214">
      <c r="A214" s="7" t="inlineStr">
        <is>
          <t>GNRC US Equity</t>
        </is>
      </c>
      <c r="B214">
        <f>IFERROR(BDP(A214,"NAME"),"")</f>
        <v/>
      </c>
      <c r="C214">
        <f>IFERROR(BDP(A214,"GICS_SECTOR_NAME"),"")</f>
        <v/>
      </c>
      <c r="D214" s="8">
        <f>IFERROR(BDP(A214,"PX_LAST"),"")</f>
        <v/>
      </c>
      <c r="E214" s="9">
        <f>IFERROR(BDP(A214,"CUST_TRR_RETURN_HOLDING_PER","CUST_TRR_START_DT",Settings!$C$5,"CUST_TRR_END_DT",Settings!$C$4)/100,"")</f>
        <v/>
      </c>
      <c r="F214" s="9">
        <f>IFERROR(BDP(A214,"CUST_TRR_RETURN_HOLDING_PER","CUST_TRR_START_DT",Settings!$C$6,"CUST_TRR_END_DT",Settings!$C$4)/100,"")</f>
        <v/>
      </c>
      <c r="G214" s="9">
        <f>IFERROR(BDP(A214,"CUST_TRR_RETURN_HOLDING_PER","CUST_TRR_START_DT",Settings!$C$7,"CUST_TRR_END_DT",Settings!$C$4)/100,"")</f>
        <v/>
      </c>
      <c r="H214" s="9">
        <f>IFERROR(BDP(A214,"CUST_TRR_RETURN_HOLDING_PER","CUST_TRR_START_DT",Settings!$C$8,"CUST_TRR_END_DT",Settings!$C$4)/100,"")</f>
        <v/>
      </c>
    </row>
    <row r="215">
      <c r="A215" s="7" t="inlineStr">
        <is>
          <t>GOOG US Equity</t>
        </is>
      </c>
      <c r="B215">
        <f>IFERROR(BDP(A215,"NAME"),"")</f>
        <v/>
      </c>
      <c r="C215">
        <f>IFERROR(BDP(A215,"GICS_SECTOR_NAME"),"")</f>
        <v/>
      </c>
      <c r="D215" s="8">
        <f>IFERROR(BDP(A215,"PX_LAST"),"")</f>
        <v/>
      </c>
      <c r="E215" s="9">
        <f>IFERROR(BDP(A215,"CUST_TRR_RETURN_HOLDING_PER","CUST_TRR_START_DT",Settings!$C$5,"CUST_TRR_END_DT",Settings!$C$4)/100,"")</f>
        <v/>
      </c>
      <c r="F215" s="9">
        <f>IFERROR(BDP(A215,"CUST_TRR_RETURN_HOLDING_PER","CUST_TRR_START_DT",Settings!$C$6,"CUST_TRR_END_DT",Settings!$C$4)/100,"")</f>
        <v/>
      </c>
      <c r="G215" s="9">
        <f>IFERROR(BDP(A215,"CUST_TRR_RETURN_HOLDING_PER","CUST_TRR_START_DT",Settings!$C$7,"CUST_TRR_END_DT",Settings!$C$4)/100,"")</f>
        <v/>
      </c>
      <c r="H215" s="9">
        <f>IFERROR(BDP(A215,"CUST_TRR_RETURN_HOLDING_PER","CUST_TRR_START_DT",Settings!$C$8,"CUST_TRR_END_DT",Settings!$C$4)/100,"")</f>
        <v/>
      </c>
    </row>
    <row r="216">
      <c r="A216" s="7" t="inlineStr">
        <is>
          <t>GOOGL US Equity</t>
        </is>
      </c>
      <c r="B216">
        <f>IFERROR(BDP(A216,"NAME"),"")</f>
        <v/>
      </c>
      <c r="C216">
        <f>IFERROR(BDP(A216,"GICS_SECTOR_NAME"),"")</f>
        <v/>
      </c>
      <c r="D216" s="8">
        <f>IFERROR(BDP(A216,"PX_LAST"),"")</f>
        <v/>
      </c>
      <c r="E216" s="9">
        <f>IFERROR(BDP(A216,"CUST_TRR_RETURN_HOLDING_PER","CUST_TRR_START_DT",Settings!$C$5,"CUST_TRR_END_DT",Settings!$C$4)/100,"")</f>
        <v/>
      </c>
      <c r="F216" s="9">
        <f>IFERROR(BDP(A216,"CUST_TRR_RETURN_HOLDING_PER","CUST_TRR_START_DT",Settings!$C$6,"CUST_TRR_END_DT",Settings!$C$4)/100,"")</f>
        <v/>
      </c>
      <c r="G216" s="9">
        <f>IFERROR(BDP(A216,"CUST_TRR_RETURN_HOLDING_PER","CUST_TRR_START_DT",Settings!$C$7,"CUST_TRR_END_DT",Settings!$C$4)/100,"")</f>
        <v/>
      </c>
      <c r="H216" s="9">
        <f>IFERROR(BDP(A216,"CUST_TRR_RETURN_HOLDING_PER","CUST_TRR_START_DT",Settings!$C$8,"CUST_TRR_END_DT",Settings!$C$4)/100,"")</f>
        <v/>
      </c>
    </row>
    <row r="217">
      <c r="A217" s="7" t="inlineStr">
        <is>
          <t>GPC US Equity</t>
        </is>
      </c>
      <c r="B217">
        <f>IFERROR(BDP(A217,"NAME"),"")</f>
        <v/>
      </c>
      <c r="C217">
        <f>IFERROR(BDP(A217,"GICS_SECTOR_NAME"),"")</f>
        <v/>
      </c>
      <c r="D217" s="8">
        <f>IFERROR(BDP(A217,"PX_LAST"),"")</f>
        <v/>
      </c>
      <c r="E217" s="9">
        <f>IFERROR(BDP(A217,"CUST_TRR_RETURN_HOLDING_PER","CUST_TRR_START_DT",Settings!$C$5,"CUST_TRR_END_DT",Settings!$C$4)/100,"")</f>
        <v/>
      </c>
      <c r="F217" s="9">
        <f>IFERROR(BDP(A217,"CUST_TRR_RETURN_HOLDING_PER","CUST_TRR_START_DT",Settings!$C$6,"CUST_TRR_END_DT",Settings!$C$4)/100,"")</f>
        <v/>
      </c>
      <c r="G217" s="9">
        <f>IFERROR(BDP(A217,"CUST_TRR_RETURN_HOLDING_PER","CUST_TRR_START_DT",Settings!$C$7,"CUST_TRR_END_DT",Settings!$C$4)/100,"")</f>
        <v/>
      </c>
      <c r="H217" s="9">
        <f>IFERROR(BDP(A217,"CUST_TRR_RETURN_HOLDING_PER","CUST_TRR_START_DT",Settings!$C$8,"CUST_TRR_END_DT",Settings!$C$4)/100,"")</f>
        <v/>
      </c>
    </row>
    <row r="218">
      <c r="A218" s="7" t="inlineStr">
        <is>
          <t>GPN US Equity</t>
        </is>
      </c>
      <c r="B218">
        <f>IFERROR(BDP(A218,"NAME"),"")</f>
        <v/>
      </c>
      <c r="C218">
        <f>IFERROR(BDP(A218,"GICS_SECTOR_NAME"),"")</f>
        <v/>
      </c>
      <c r="D218" s="8">
        <f>IFERROR(BDP(A218,"PX_LAST"),"")</f>
        <v/>
      </c>
      <c r="E218" s="9">
        <f>IFERROR(BDP(A218,"CUST_TRR_RETURN_HOLDING_PER","CUST_TRR_START_DT",Settings!$C$5,"CUST_TRR_END_DT",Settings!$C$4)/100,"")</f>
        <v/>
      </c>
      <c r="F218" s="9">
        <f>IFERROR(BDP(A218,"CUST_TRR_RETURN_HOLDING_PER","CUST_TRR_START_DT",Settings!$C$6,"CUST_TRR_END_DT",Settings!$C$4)/100,"")</f>
        <v/>
      </c>
      <c r="G218" s="9">
        <f>IFERROR(BDP(A218,"CUST_TRR_RETURN_HOLDING_PER","CUST_TRR_START_DT",Settings!$C$7,"CUST_TRR_END_DT",Settings!$C$4)/100,"")</f>
        <v/>
      </c>
      <c r="H218" s="9">
        <f>IFERROR(BDP(A218,"CUST_TRR_RETURN_HOLDING_PER","CUST_TRR_START_DT",Settings!$C$8,"CUST_TRR_END_DT",Settings!$C$4)/100,"")</f>
        <v/>
      </c>
    </row>
    <row r="219">
      <c r="A219" s="7" t="inlineStr">
        <is>
          <t>GRMN US Equity</t>
        </is>
      </c>
      <c r="B219">
        <f>IFERROR(BDP(A219,"NAME"),"")</f>
        <v/>
      </c>
      <c r="C219">
        <f>IFERROR(BDP(A219,"GICS_SECTOR_NAME"),"")</f>
        <v/>
      </c>
      <c r="D219" s="8">
        <f>IFERROR(BDP(A219,"PX_LAST"),"")</f>
        <v/>
      </c>
      <c r="E219" s="9">
        <f>IFERROR(BDP(A219,"CUST_TRR_RETURN_HOLDING_PER","CUST_TRR_START_DT",Settings!$C$5,"CUST_TRR_END_DT",Settings!$C$4)/100,"")</f>
        <v/>
      </c>
      <c r="F219" s="9">
        <f>IFERROR(BDP(A219,"CUST_TRR_RETURN_HOLDING_PER","CUST_TRR_START_DT",Settings!$C$6,"CUST_TRR_END_DT",Settings!$C$4)/100,"")</f>
        <v/>
      </c>
      <c r="G219" s="9">
        <f>IFERROR(BDP(A219,"CUST_TRR_RETURN_HOLDING_PER","CUST_TRR_START_DT",Settings!$C$7,"CUST_TRR_END_DT",Settings!$C$4)/100,"")</f>
        <v/>
      </c>
      <c r="H219" s="9">
        <f>IFERROR(BDP(A219,"CUST_TRR_RETURN_HOLDING_PER","CUST_TRR_START_DT",Settings!$C$8,"CUST_TRR_END_DT",Settings!$C$4)/100,"")</f>
        <v/>
      </c>
    </row>
    <row r="220">
      <c r="A220" s="7" t="inlineStr">
        <is>
          <t>GS US Equity</t>
        </is>
      </c>
      <c r="B220">
        <f>IFERROR(BDP(A220,"NAME"),"")</f>
        <v/>
      </c>
      <c r="C220">
        <f>IFERROR(BDP(A220,"GICS_SECTOR_NAME"),"")</f>
        <v/>
      </c>
      <c r="D220" s="8">
        <f>IFERROR(BDP(A220,"PX_LAST"),"")</f>
        <v/>
      </c>
      <c r="E220" s="9">
        <f>IFERROR(BDP(A220,"CUST_TRR_RETURN_HOLDING_PER","CUST_TRR_START_DT",Settings!$C$5,"CUST_TRR_END_DT",Settings!$C$4)/100,"")</f>
        <v/>
      </c>
      <c r="F220" s="9">
        <f>IFERROR(BDP(A220,"CUST_TRR_RETURN_HOLDING_PER","CUST_TRR_START_DT",Settings!$C$6,"CUST_TRR_END_DT",Settings!$C$4)/100,"")</f>
        <v/>
      </c>
      <c r="G220" s="9">
        <f>IFERROR(BDP(A220,"CUST_TRR_RETURN_HOLDING_PER","CUST_TRR_START_DT",Settings!$C$7,"CUST_TRR_END_DT",Settings!$C$4)/100,"")</f>
        <v/>
      </c>
      <c r="H220" s="9">
        <f>IFERROR(BDP(A220,"CUST_TRR_RETURN_HOLDING_PER","CUST_TRR_START_DT",Settings!$C$8,"CUST_TRR_END_DT",Settings!$C$4)/100,"")</f>
        <v/>
      </c>
    </row>
    <row r="221">
      <c r="A221" s="7" t="inlineStr">
        <is>
          <t>GWW US Equity</t>
        </is>
      </c>
      <c r="B221">
        <f>IFERROR(BDP(A221,"NAME"),"")</f>
        <v/>
      </c>
      <c r="C221">
        <f>IFERROR(BDP(A221,"GICS_SECTOR_NAME"),"")</f>
        <v/>
      </c>
      <c r="D221" s="8">
        <f>IFERROR(BDP(A221,"PX_LAST"),"")</f>
        <v/>
      </c>
      <c r="E221" s="9">
        <f>IFERROR(BDP(A221,"CUST_TRR_RETURN_HOLDING_PER","CUST_TRR_START_DT",Settings!$C$5,"CUST_TRR_END_DT",Settings!$C$4)/100,"")</f>
        <v/>
      </c>
      <c r="F221" s="9">
        <f>IFERROR(BDP(A221,"CUST_TRR_RETURN_HOLDING_PER","CUST_TRR_START_DT",Settings!$C$6,"CUST_TRR_END_DT",Settings!$C$4)/100,"")</f>
        <v/>
      </c>
      <c r="G221" s="9">
        <f>IFERROR(BDP(A221,"CUST_TRR_RETURN_HOLDING_PER","CUST_TRR_START_DT",Settings!$C$7,"CUST_TRR_END_DT",Settings!$C$4)/100,"")</f>
        <v/>
      </c>
      <c r="H221" s="9">
        <f>IFERROR(BDP(A221,"CUST_TRR_RETURN_HOLDING_PER","CUST_TRR_START_DT",Settings!$C$8,"CUST_TRR_END_DT",Settings!$C$4)/100,"")</f>
        <v/>
      </c>
    </row>
    <row r="222">
      <c r="A222" s="7" t="inlineStr">
        <is>
          <t>HAL US Equity</t>
        </is>
      </c>
      <c r="B222">
        <f>IFERROR(BDP(A222,"NAME"),"")</f>
        <v/>
      </c>
      <c r="C222">
        <f>IFERROR(BDP(A222,"GICS_SECTOR_NAME"),"")</f>
        <v/>
      </c>
      <c r="D222" s="8">
        <f>IFERROR(BDP(A222,"PX_LAST"),"")</f>
        <v/>
      </c>
      <c r="E222" s="9">
        <f>IFERROR(BDP(A222,"CUST_TRR_RETURN_HOLDING_PER","CUST_TRR_START_DT",Settings!$C$5,"CUST_TRR_END_DT",Settings!$C$4)/100,"")</f>
        <v/>
      </c>
      <c r="F222" s="9">
        <f>IFERROR(BDP(A222,"CUST_TRR_RETURN_HOLDING_PER","CUST_TRR_START_DT",Settings!$C$6,"CUST_TRR_END_DT",Settings!$C$4)/100,"")</f>
        <v/>
      </c>
      <c r="G222" s="9">
        <f>IFERROR(BDP(A222,"CUST_TRR_RETURN_HOLDING_PER","CUST_TRR_START_DT",Settings!$C$7,"CUST_TRR_END_DT",Settings!$C$4)/100,"")</f>
        <v/>
      </c>
      <c r="H222" s="9">
        <f>IFERROR(BDP(A222,"CUST_TRR_RETURN_HOLDING_PER","CUST_TRR_START_DT",Settings!$C$8,"CUST_TRR_END_DT",Settings!$C$4)/100,"")</f>
        <v/>
      </c>
    </row>
    <row r="223">
      <c r="A223" s="7" t="inlineStr">
        <is>
          <t>HAS US Equity</t>
        </is>
      </c>
      <c r="B223">
        <f>IFERROR(BDP(A223,"NAME"),"")</f>
        <v/>
      </c>
      <c r="C223">
        <f>IFERROR(BDP(A223,"GICS_SECTOR_NAME"),"")</f>
        <v/>
      </c>
      <c r="D223" s="8">
        <f>IFERROR(BDP(A223,"PX_LAST"),"")</f>
        <v/>
      </c>
      <c r="E223" s="9">
        <f>IFERROR(BDP(A223,"CUST_TRR_RETURN_HOLDING_PER","CUST_TRR_START_DT",Settings!$C$5,"CUST_TRR_END_DT",Settings!$C$4)/100,"")</f>
        <v/>
      </c>
      <c r="F223" s="9">
        <f>IFERROR(BDP(A223,"CUST_TRR_RETURN_HOLDING_PER","CUST_TRR_START_DT",Settings!$C$6,"CUST_TRR_END_DT",Settings!$C$4)/100,"")</f>
        <v/>
      </c>
      <c r="G223" s="9">
        <f>IFERROR(BDP(A223,"CUST_TRR_RETURN_HOLDING_PER","CUST_TRR_START_DT",Settings!$C$7,"CUST_TRR_END_DT",Settings!$C$4)/100,"")</f>
        <v/>
      </c>
      <c r="H223" s="9">
        <f>IFERROR(BDP(A223,"CUST_TRR_RETURN_HOLDING_PER","CUST_TRR_START_DT",Settings!$C$8,"CUST_TRR_END_DT",Settings!$C$4)/100,"")</f>
        <v/>
      </c>
    </row>
    <row r="224">
      <c r="A224" s="7" t="inlineStr">
        <is>
          <t>HBAN US Equity</t>
        </is>
      </c>
      <c r="B224">
        <f>IFERROR(BDP(A224,"NAME"),"")</f>
        <v/>
      </c>
      <c r="C224">
        <f>IFERROR(BDP(A224,"GICS_SECTOR_NAME"),"")</f>
        <v/>
      </c>
      <c r="D224" s="8">
        <f>IFERROR(BDP(A224,"PX_LAST"),"")</f>
        <v/>
      </c>
      <c r="E224" s="9">
        <f>IFERROR(BDP(A224,"CUST_TRR_RETURN_HOLDING_PER","CUST_TRR_START_DT",Settings!$C$5,"CUST_TRR_END_DT",Settings!$C$4)/100,"")</f>
        <v/>
      </c>
      <c r="F224" s="9">
        <f>IFERROR(BDP(A224,"CUST_TRR_RETURN_HOLDING_PER","CUST_TRR_START_DT",Settings!$C$6,"CUST_TRR_END_DT",Settings!$C$4)/100,"")</f>
        <v/>
      </c>
      <c r="G224" s="9">
        <f>IFERROR(BDP(A224,"CUST_TRR_RETURN_HOLDING_PER","CUST_TRR_START_DT",Settings!$C$7,"CUST_TRR_END_DT",Settings!$C$4)/100,"")</f>
        <v/>
      </c>
      <c r="H224" s="9">
        <f>IFERROR(BDP(A224,"CUST_TRR_RETURN_HOLDING_PER","CUST_TRR_START_DT",Settings!$C$8,"CUST_TRR_END_DT",Settings!$C$4)/100,"")</f>
        <v/>
      </c>
    </row>
    <row r="225">
      <c r="A225" s="7" t="inlineStr">
        <is>
          <t>HCA US Equity</t>
        </is>
      </c>
      <c r="B225">
        <f>IFERROR(BDP(A225,"NAME"),"")</f>
        <v/>
      </c>
      <c r="C225">
        <f>IFERROR(BDP(A225,"GICS_SECTOR_NAME"),"")</f>
        <v/>
      </c>
      <c r="D225" s="8">
        <f>IFERROR(BDP(A225,"PX_LAST"),"")</f>
        <v/>
      </c>
      <c r="E225" s="9">
        <f>IFERROR(BDP(A225,"CUST_TRR_RETURN_HOLDING_PER","CUST_TRR_START_DT",Settings!$C$5,"CUST_TRR_END_DT",Settings!$C$4)/100,"")</f>
        <v/>
      </c>
      <c r="F225" s="9">
        <f>IFERROR(BDP(A225,"CUST_TRR_RETURN_HOLDING_PER","CUST_TRR_START_DT",Settings!$C$6,"CUST_TRR_END_DT",Settings!$C$4)/100,"")</f>
        <v/>
      </c>
      <c r="G225" s="9">
        <f>IFERROR(BDP(A225,"CUST_TRR_RETURN_HOLDING_PER","CUST_TRR_START_DT",Settings!$C$7,"CUST_TRR_END_DT",Settings!$C$4)/100,"")</f>
        <v/>
      </c>
      <c r="H225" s="9">
        <f>IFERROR(BDP(A225,"CUST_TRR_RETURN_HOLDING_PER","CUST_TRR_START_DT",Settings!$C$8,"CUST_TRR_END_DT",Settings!$C$4)/100,"")</f>
        <v/>
      </c>
    </row>
    <row r="226">
      <c r="A226" s="7" t="inlineStr">
        <is>
          <t>HD US Equity</t>
        </is>
      </c>
      <c r="B226">
        <f>IFERROR(BDP(A226,"NAME"),"")</f>
        <v/>
      </c>
      <c r="C226">
        <f>IFERROR(BDP(A226,"GICS_SECTOR_NAME"),"")</f>
        <v/>
      </c>
      <c r="D226" s="8">
        <f>IFERROR(BDP(A226,"PX_LAST"),"")</f>
        <v/>
      </c>
      <c r="E226" s="9">
        <f>IFERROR(BDP(A226,"CUST_TRR_RETURN_HOLDING_PER","CUST_TRR_START_DT",Settings!$C$5,"CUST_TRR_END_DT",Settings!$C$4)/100,"")</f>
        <v/>
      </c>
      <c r="F226" s="9">
        <f>IFERROR(BDP(A226,"CUST_TRR_RETURN_HOLDING_PER","CUST_TRR_START_DT",Settings!$C$6,"CUST_TRR_END_DT",Settings!$C$4)/100,"")</f>
        <v/>
      </c>
      <c r="G226" s="9">
        <f>IFERROR(BDP(A226,"CUST_TRR_RETURN_HOLDING_PER","CUST_TRR_START_DT",Settings!$C$7,"CUST_TRR_END_DT",Settings!$C$4)/100,"")</f>
        <v/>
      </c>
      <c r="H226" s="9">
        <f>IFERROR(BDP(A226,"CUST_TRR_RETURN_HOLDING_PER","CUST_TRR_START_DT",Settings!$C$8,"CUST_TRR_END_DT",Settings!$C$4)/100,"")</f>
        <v/>
      </c>
    </row>
    <row r="227">
      <c r="A227" s="7" t="inlineStr">
        <is>
          <t>HES US Equity</t>
        </is>
      </c>
      <c r="B227">
        <f>IFERROR(BDP(A227,"NAME"),"")</f>
        <v/>
      </c>
      <c r="C227">
        <f>IFERROR(BDP(A227,"GICS_SECTOR_NAME"),"")</f>
        <v/>
      </c>
      <c r="D227" s="8">
        <f>IFERROR(BDP(A227,"PX_LAST"),"")</f>
        <v/>
      </c>
      <c r="E227" s="9">
        <f>IFERROR(BDP(A227,"CUST_TRR_RETURN_HOLDING_PER","CUST_TRR_START_DT",Settings!$C$5,"CUST_TRR_END_DT",Settings!$C$4)/100,"")</f>
        <v/>
      </c>
      <c r="F227" s="9">
        <f>IFERROR(BDP(A227,"CUST_TRR_RETURN_HOLDING_PER","CUST_TRR_START_DT",Settings!$C$6,"CUST_TRR_END_DT",Settings!$C$4)/100,"")</f>
        <v/>
      </c>
      <c r="G227" s="9">
        <f>IFERROR(BDP(A227,"CUST_TRR_RETURN_HOLDING_PER","CUST_TRR_START_DT",Settings!$C$7,"CUST_TRR_END_DT",Settings!$C$4)/100,"")</f>
        <v/>
      </c>
      <c r="H227" s="9">
        <f>IFERROR(BDP(A227,"CUST_TRR_RETURN_HOLDING_PER","CUST_TRR_START_DT",Settings!$C$8,"CUST_TRR_END_DT",Settings!$C$4)/100,"")</f>
        <v/>
      </c>
    </row>
    <row r="228">
      <c r="A228" s="7" t="inlineStr">
        <is>
          <t>HIG US Equity</t>
        </is>
      </c>
      <c r="B228">
        <f>IFERROR(BDP(A228,"NAME"),"")</f>
        <v/>
      </c>
      <c r="C228">
        <f>IFERROR(BDP(A228,"GICS_SECTOR_NAME"),"")</f>
        <v/>
      </c>
      <c r="D228" s="8">
        <f>IFERROR(BDP(A228,"PX_LAST"),"")</f>
        <v/>
      </c>
      <c r="E228" s="9">
        <f>IFERROR(BDP(A228,"CUST_TRR_RETURN_HOLDING_PER","CUST_TRR_START_DT",Settings!$C$5,"CUST_TRR_END_DT",Settings!$C$4)/100,"")</f>
        <v/>
      </c>
      <c r="F228" s="9">
        <f>IFERROR(BDP(A228,"CUST_TRR_RETURN_HOLDING_PER","CUST_TRR_START_DT",Settings!$C$6,"CUST_TRR_END_DT",Settings!$C$4)/100,"")</f>
        <v/>
      </c>
      <c r="G228" s="9">
        <f>IFERROR(BDP(A228,"CUST_TRR_RETURN_HOLDING_PER","CUST_TRR_START_DT",Settings!$C$7,"CUST_TRR_END_DT",Settings!$C$4)/100,"")</f>
        <v/>
      </c>
      <c r="H228" s="9">
        <f>IFERROR(BDP(A228,"CUST_TRR_RETURN_HOLDING_PER","CUST_TRR_START_DT",Settings!$C$8,"CUST_TRR_END_DT",Settings!$C$4)/100,"")</f>
        <v/>
      </c>
    </row>
    <row r="229">
      <c r="A229" s="7" t="inlineStr">
        <is>
          <t>HII US Equity</t>
        </is>
      </c>
      <c r="B229">
        <f>IFERROR(BDP(A229,"NAME"),"")</f>
        <v/>
      </c>
      <c r="C229">
        <f>IFERROR(BDP(A229,"GICS_SECTOR_NAME"),"")</f>
        <v/>
      </c>
      <c r="D229" s="8">
        <f>IFERROR(BDP(A229,"PX_LAST"),"")</f>
        <v/>
      </c>
      <c r="E229" s="9">
        <f>IFERROR(BDP(A229,"CUST_TRR_RETURN_HOLDING_PER","CUST_TRR_START_DT",Settings!$C$5,"CUST_TRR_END_DT",Settings!$C$4)/100,"")</f>
        <v/>
      </c>
      <c r="F229" s="9">
        <f>IFERROR(BDP(A229,"CUST_TRR_RETURN_HOLDING_PER","CUST_TRR_START_DT",Settings!$C$6,"CUST_TRR_END_DT",Settings!$C$4)/100,"")</f>
        <v/>
      </c>
      <c r="G229" s="9">
        <f>IFERROR(BDP(A229,"CUST_TRR_RETURN_HOLDING_PER","CUST_TRR_START_DT",Settings!$C$7,"CUST_TRR_END_DT",Settings!$C$4)/100,"")</f>
        <v/>
      </c>
      <c r="H229" s="9">
        <f>IFERROR(BDP(A229,"CUST_TRR_RETURN_HOLDING_PER","CUST_TRR_START_DT",Settings!$C$8,"CUST_TRR_END_DT",Settings!$C$4)/100,"")</f>
        <v/>
      </c>
    </row>
    <row r="230">
      <c r="A230" s="7" t="inlineStr">
        <is>
          <t>HLT US Equity</t>
        </is>
      </c>
      <c r="B230">
        <f>IFERROR(BDP(A230,"NAME"),"")</f>
        <v/>
      </c>
      <c r="C230">
        <f>IFERROR(BDP(A230,"GICS_SECTOR_NAME"),"")</f>
        <v/>
      </c>
      <c r="D230" s="8">
        <f>IFERROR(BDP(A230,"PX_LAST"),"")</f>
        <v/>
      </c>
      <c r="E230" s="9">
        <f>IFERROR(BDP(A230,"CUST_TRR_RETURN_HOLDING_PER","CUST_TRR_START_DT",Settings!$C$5,"CUST_TRR_END_DT",Settings!$C$4)/100,"")</f>
        <v/>
      </c>
      <c r="F230" s="9">
        <f>IFERROR(BDP(A230,"CUST_TRR_RETURN_HOLDING_PER","CUST_TRR_START_DT",Settings!$C$6,"CUST_TRR_END_DT",Settings!$C$4)/100,"")</f>
        <v/>
      </c>
      <c r="G230" s="9">
        <f>IFERROR(BDP(A230,"CUST_TRR_RETURN_HOLDING_PER","CUST_TRR_START_DT",Settings!$C$7,"CUST_TRR_END_DT",Settings!$C$4)/100,"")</f>
        <v/>
      </c>
      <c r="H230" s="9">
        <f>IFERROR(BDP(A230,"CUST_TRR_RETURN_HOLDING_PER","CUST_TRR_START_DT",Settings!$C$8,"CUST_TRR_END_DT",Settings!$C$4)/100,"")</f>
        <v/>
      </c>
    </row>
    <row r="231">
      <c r="A231" s="7" t="inlineStr">
        <is>
          <t>HOLX US Equity</t>
        </is>
      </c>
      <c r="B231">
        <f>IFERROR(BDP(A231,"NAME"),"")</f>
        <v/>
      </c>
      <c r="C231">
        <f>IFERROR(BDP(A231,"GICS_SECTOR_NAME"),"")</f>
        <v/>
      </c>
      <c r="D231" s="8">
        <f>IFERROR(BDP(A231,"PX_LAST"),"")</f>
        <v/>
      </c>
      <c r="E231" s="9">
        <f>IFERROR(BDP(A231,"CUST_TRR_RETURN_HOLDING_PER","CUST_TRR_START_DT",Settings!$C$5,"CUST_TRR_END_DT",Settings!$C$4)/100,"")</f>
        <v/>
      </c>
      <c r="F231" s="9">
        <f>IFERROR(BDP(A231,"CUST_TRR_RETURN_HOLDING_PER","CUST_TRR_START_DT",Settings!$C$6,"CUST_TRR_END_DT",Settings!$C$4)/100,"")</f>
        <v/>
      </c>
      <c r="G231" s="9">
        <f>IFERROR(BDP(A231,"CUST_TRR_RETURN_HOLDING_PER","CUST_TRR_START_DT",Settings!$C$7,"CUST_TRR_END_DT",Settings!$C$4)/100,"")</f>
        <v/>
      </c>
      <c r="H231" s="9">
        <f>IFERROR(BDP(A231,"CUST_TRR_RETURN_HOLDING_PER","CUST_TRR_START_DT",Settings!$C$8,"CUST_TRR_END_DT",Settings!$C$4)/100,"")</f>
        <v/>
      </c>
    </row>
    <row r="232">
      <c r="A232" s="7" t="inlineStr">
        <is>
          <t>HON US Equity</t>
        </is>
      </c>
      <c r="B232">
        <f>IFERROR(BDP(A232,"NAME"),"")</f>
        <v/>
      </c>
      <c r="C232">
        <f>IFERROR(BDP(A232,"GICS_SECTOR_NAME"),"")</f>
        <v/>
      </c>
      <c r="D232" s="8">
        <f>IFERROR(BDP(A232,"PX_LAST"),"")</f>
        <v/>
      </c>
      <c r="E232" s="9">
        <f>IFERROR(BDP(A232,"CUST_TRR_RETURN_HOLDING_PER","CUST_TRR_START_DT",Settings!$C$5,"CUST_TRR_END_DT",Settings!$C$4)/100,"")</f>
        <v/>
      </c>
      <c r="F232" s="9">
        <f>IFERROR(BDP(A232,"CUST_TRR_RETURN_HOLDING_PER","CUST_TRR_START_DT",Settings!$C$6,"CUST_TRR_END_DT",Settings!$C$4)/100,"")</f>
        <v/>
      </c>
      <c r="G232" s="9">
        <f>IFERROR(BDP(A232,"CUST_TRR_RETURN_HOLDING_PER","CUST_TRR_START_DT",Settings!$C$7,"CUST_TRR_END_DT",Settings!$C$4)/100,"")</f>
        <v/>
      </c>
      <c r="H232" s="9">
        <f>IFERROR(BDP(A232,"CUST_TRR_RETURN_HOLDING_PER","CUST_TRR_START_DT",Settings!$C$8,"CUST_TRR_END_DT",Settings!$C$4)/100,"")</f>
        <v/>
      </c>
    </row>
    <row r="233">
      <c r="A233" s="7" t="inlineStr">
        <is>
          <t>HPE US Equity</t>
        </is>
      </c>
      <c r="B233">
        <f>IFERROR(BDP(A233,"NAME"),"")</f>
        <v/>
      </c>
      <c r="C233">
        <f>IFERROR(BDP(A233,"GICS_SECTOR_NAME"),"")</f>
        <v/>
      </c>
      <c r="D233" s="8">
        <f>IFERROR(BDP(A233,"PX_LAST"),"")</f>
        <v/>
      </c>
      <c r="E233" s="9">
        <f>IFERROR(BDP(A233,"CUST_TRR_RETURN_HOLDING_PER","CUST_TRR_START_DT",Settings!$C$5,"CUST_TRR_END_DT",Settings!$C$4)/100,"")</f>
        <v/>
      </c>
      <c r="F233" s="9">
        <f>IFERROR(BDP(A233,"CUST_TRR_RETURN_HOLDING_PER","CUST_TRR_START_DT",Settings!$C$6,"CUST_TRR_END_DT",Settings!$C$4)/100,"")</f>
        <v/>
      </c>
      <c r="G233" s="9">
        <f>IFERROR(BDP(A233,"CUST_TRR_RETURN_HOLDING_PER","CUST_TRR_START_DT",Settings!$C$7,"CUST_TRR_END_DT",Settings!$C$4)/100,"")</f>
        <v/>
      </c>
      <c r="H233" s="9">
        <f>IFERROR(BDP(A233,"CUST_TRR_RETURN_HOLDING_PER","CUST_TRR_START_DT",Settings!$C$8,"CUST_TRR_END_DT",Settings!$C$4)/100,"")</f>
        <v/>
      </c>
    </row>
    <row r="234">
      <c r="A234" s="7" t="inlineStr">
        <is>
          <t>HPQ US Equity</t>
        </is>
      </c>
      <c r="B234">
        <f>IFERROR(BDP(A234,"NAME"),"")</f>
        <v/>
      </c>
      <c r="C234">
        <f>IFERROR(BDP(A234,"GICS_SECTOR_NAME"),"")</f>
        <v/>
      </c>
      <c r="D234" s="8">
        <f>IFERROR(BDP(A234,"PX_LAST"),"")</f>
        <v/>
      </c>
      <c r="E234" s="9">
        <f>IFERROR(BDP(A234,"CUST_TRR_RETURN_HOLDING_PER","CUST_TRR_START_DT",Settings!$C$5,"CUST_TRR_END_DT",Settings!$C$4)/100,"")</f>
        <v/>
      </c>
      <c r="F234" s="9">
        <f>IFERROR(BDP(A234,"CUST_TRR_RETURN_HOLDING_PER","CUST_TRR_START_DT",Settings!$C$6,"CUST_TRR_END_DT",Settings!$C$4)/100,"")</f>
        <v/>
      </c>
      <c r="G234" s="9">
        <f>IFERROR(BDP(A234,"CUST_TRR_RETURN_HOLDING_PER","CUST_TRR_START_DT",Settings!$C$7,"CUST_TRR_END_DT",Settings!$C$4)/100,"")</f>
        <v/>
      </c>
      <c r="H234" s="9">
        <f>IFERROR(BDP(A234,"CUST_TRR_RETURN_HOLDING_PER","CUST_TRR_START_DT",Settings!$C$8,"CUST_TRR_END_DT",Settings!$C$4)/100,"")</f>
        <v/>
      </c>
    </row>
    <row r="235">
      <c r="A235" s="7" t="inlineStr">
        <is>
          <t>HRL US Equity</t>
        </is>
      </c>
      <c r="B235">
        <f>IFERROR(BDP(A235,"NAME"),"")</f>
        <v/>
      </c>
      <c r="C235">
        <f>IFERROR(BDP(A235,"GICS_SECTOR_NAME"),"")</f>
        <v/>
      </c>
      <c r="D235" s="8">
        <f>IFERROR(BDP(A235,"PX_LAST"),"")</f>
        <v/>
      </c>
      <c r="E235" s="9">
        <f>IFERROR(BDP(A235,"CUST_TRR_RETURN_HOLDING_PER","CUST_TRR_START_DT",Settings!$C$5,"CUST_TRR_END_DT",Settings!$C$4)/100,"")</f>
        <v/>
      </c>
      <c r="F235" s="9">
        <f>IFERROR(BDP(A235,"CUST_TRR_RETURN_HOLDING_PER","CUST_TRR_START_DT",Settings!$C$6,"CUST_TRR_END_DT",Settings!$C$4)/100,"")</f>
        <v/>
      </c>
      <c r="G235" s="9">
        <f>IFERROR(BDP(A235,"CUST_TRR_RETURN_HOLDING_PER","CUST_TRR_START_DT",Settings!$C$7,"CUST_TRR_END_DT",Settings!$C$4)/100,"")</f>
        <v/>
      </c>
      <c r="H235" s="9">
        <f>IFERROR(BDP(A235,"CUST_TRR_RETURN_HOLDING_PER","CUST_TRR_START_DT",Settings!$C$8,"CUST_TRR_END_DT",Settings!$C$4)/100,"")</f>
        <v/>
      </c>
    </row>
    <row r="236">
      <c r="A236" s="7" t="inlineStr">
        <is>
          <t>HSIC US Equity</t>
        </is>
      </c>
      <c r="B236">
        <f>IFERROR(BDP(A236,"NAME"),"")</f>
        <v/>
      </c>
      <c r="C236">
        <f>IFERROR(BDP(A236,"GICS_SECTOR_NAME"),"")</f>
        <v/>
      </c>
      <c r="D236" s="8">
        <f>IFERROR(BDP(A236,"PX_LAST"),"")</f>
        <v/>
      </c>
      <c r="E236" s="9">
        <f>IFERROR(BDP(A236,"CUST_TRR_RETURN_HOLDING_PER","CUST_TRR_START_DT",Settings!$C$5,"CUST_TRR_END_DT",Settings!$C$4)/100,"")</f>
        <v/>
      </c>
      <c r="F236" s="9">
        <f>IFERROR(BDP(A236,"CUST_TRR_RETURN_HOLDING_PER","CUST_TRR_START_DT",Settings!$C$6,"CUST_TRR_END_DT",Settings!$C$4)/100,"")</f>
        <v/>
      </c>
      <c r="G236" s="9">
        <f>IFERROR(BDP(A236,"CUST_TRR_RETURN_HOLDING_PER","CUST_TRR_START_DT",Settings!$C$7,"CUST_TRR_END_DT",Settings!$C$4)/100,"")</f>
        <v/>
      </c>
      <c r="H236" s="9">
        <f>IFERROR(BDP(A236,"CUST_TRR_RETURN_HOLDING_PER","CUST_TRR_START_DT",Settings!$C$8,"CUST_TRR_END_DT",Settings!$C$4)/100,"")</f>
        <v/>
      </c>
    </row>
    <row r="237">
      <c r="A237" s="7" t="inlineStr">
        <is>
          <t>HST US Equity</t>
        </is>
      </c>
      <c r="B237">
        <f>IFERROR(BDP(A237,"NAME"),"")</f>
        <v/>
      </c>
      <c r="C237">
        <f>IFERROR(BDP(A237,"GICS_SECTOR_NAME"),"")</f>
        <v/>
      </c>
      <c r="D237" s="8">
        <f>IFERROR(BDP(A237,"PX_LAST"),"")</f>
        <v/>
      </c>
      <c r="E237" s="9">
        <f>IFERROR(BDP(A237,"CUST_TRR_RETURN_HOLDING_PER","CUST_TRR_START_DT",Settings!$C$5,"CUST_TRR_END_DT",Settings!$C$4)/100,"")</f>
        <v/>
      </c>
      <c r="F237" s="9">
        <f>IFERROR(BDP(A237,"CUST_TRR_RETURN_HOLDING_PER","CUST_TRR_START_DT",Settings!$C$6,"CUST_TRR_END_DT",Settings!$C$4)/100,"")</f>
        <v/>
      </c>
      <c r="G237" s="9">
        <f>IFERROR(BDP(A237,"CUST_TRR_RETURN_HOLDING_PER","CUST_TRR_START_DT",Settings!$C$7,"CUST_TRR_END_DT",Settings!$C$4)/100,"")</f>
        <v/>
      </c>
      <c r="H237" s="9">
        <f>IFERROR(BDP(A237,"CUST_TRR_RETURN_HOLDING_PER","CUST_TRR_START_DT",Settings!$C$8,"CUST_TRR_END_DT",Settings!$C$4)/100,"")</f>
        <v/>
      </c>
    </row>
    <row r="238">
      <c r="A238" s="7" t="inlineStr">
        <is>
          <t>HSY US Equity</t>
        </is>
      </c>
      <c r="B238">
        <f>IFERROR(BDP(A238,"NAME"),"")</f>
        <v/>
      </c>
      <c r="C238">
        <f>IFERROR(BDP(A238,"GICS_SECTOR_NAME"),"")</f>
        <v/>
      </c>
      <c r="D238" s="8">
        <f>IFERROR(BDP(A238,"PX_LAST"),"")</f>
        <v/>
      </c>
      <c r="E238" s="9">
        <f>IFERROR(BDP(A238,"CUST_TRR_RETURN_HOLDING_PER","CUST_TRR_START_DT",Settings!$C$5,"CUST_TRR_END_DT",Settings!$C$4)/100,"")</f>
        <v/>
      </c>
      <c r="F238" s="9">
        <f>IFERROR(BDP(A238,"CUST_TRR_RETURN_HOLDING_PER","CUST_TRR_START_DT",Settings!$C$6,"CUST_TRR_END_DT",Settings!$C$4)/100,"")</f>
        <v/>
      </c>
      <c r="G238" s="9">
        <f>IFERROR(BDP(A238,"CUST_TRR_RETURN_HOLDING_PER","CUST_TRR_START_DT",Settings!$C$7,"CUST_TRR_END_DT",Settings!$C$4)/100,"")</f>
        <v/>
      </c>
      <c r="H238" s="9">
        <f>IFERROR(BDP(A238,"CUST_TRR_RETURN_HOLDING_PER","CUST_TRR_START_DT",Settings!$C$8,"CUST_TRR_END_DT",Settings!$C$4)/100,"")</f>
        <v/>
      </c>
    </row>
    <row r="239">
      <c r="A239" s="7" t="inlineStr">
        <is>
          <t>HUBB US Equity</t>
        </is>
      </c>
      <c r="B239">
        <f>IFERROR(BDP(A239,"NAME"),"")</f>
        <v/>
      </c>
      <c r="C239">
        <f>IFERROR(BDP(A239,"GICS_SECTOR_NAME"),"")</f>
        <v/>
      </c>
      <c r="D239" s="8">
        <f>IFERROR(BDP(A239,"PX_LAST"),"")</f>
        <v/>
      </c>
      <c r="E239" s="9">
        <f>IFERROR(BDP(A239,"CUST_TRR_RETURN_HOLDING_PER","CUST_TRR_START_DT",Settings!$C$5,"CUST_TRR_END_DT",Settings!$C$4)/100,"")</f>
        <v/>
      </c>
      <c r="F239" s="9">
        <f>IFERROR(BDP(A239,"CUST_TRR_RETURN_HOLDING_PER","CUST_TRR_START_DT",Settings!$C$6,"CUST_TRR_END_DT",Settings!$C$4)/100,"")</f>
        <v/>
      </c>
      <c r="G239" s="9">
        <f>IFERROR(BDP(A239,"CUST_TRR_RETURN_HOLDING_PER","CUST_TRR_START_DT",Settings!$C$7,"CUST_TRR_END_DT",Settings!$C$4)/100,"")</f>
        <v/>
      </c>
      <c r="H239" s="9">
        <f>IFERROR(BDP(A239,"CUST_TRR_RETURN_HOLDING_PER","CUST_TRR_START_DT",Settings!$C$8,"CUST_TRR_END_DT",Settings!$C$4)/100,"")</f>
        <v/>
      </c>
    </row>
    <row r="240">
      <c r="A240" s="7" t="inlineStr">
        <is>
          <t>HUM US Equity</t>
        </is>
      </c>
      <c r="B240">
        <f>IFERROR(BDP(A240,"NAME"),"")</f>
        <v/>
      </c>
      <c r="C240">
        <f>IFERROR(BDP(A240,"GICS_SECTOR_NAME"),"")</f>
        <v/>
      </c>
      <c r="D240" s="8">
        <f>IFERROR(BDP(A240,"PX_LAST"),"")</f>
        <v/>
      </c>
      <c r="E240" s="9">
        <f>IFERROR(BDP(A240,"CUST_TRR_RETURN_HOLDING_PER","CUST_TRR_START_DT",Settings!$C$5,"CUST_TRR_END_DT",Settings!$C$4)/100,"")</f>
        <v/>
      </c>
      <c r="F240" s="9">
        <f>IFERROR(BDP(A240,"CUST_TRR_RETURN_HOLDING_PER","CUST_TRR_START_DT",Settings!$C$6,"CUST_TRR_END_DT",Settings!$C$4)/100,"")</f>
        <v/>
      </c>
      <c r="G240" s="9">
        <f>IFERROR(BDP(A240,"CUST_TRR_RETURN_HOLDING_PER","CUST_TRR_START_DT",Settings!$C$7,"CUST_TRR_END_DT",Settings!$C$4)/100,"")</f>
        <v/>
      </c>
      <c r="H240" s="9">
        <f>IFERROR(BDP(A240,"CUST_TRR_RETURN_HOLDING_PER","CUST_TRR_START_DT",Settings!$C$8,"CUST_TRR_END_DT",Settings!$C$4)/100,"")</f>
        <v/>
      </c>
    </row>
    <row r="241">
      <c r="A241" s="7" t="inlineStr">
        <is>
          <t>HWM US Equity</t>
        </is>
      </c>
      <c r="B241">
        <f>IFERROR(BDP(A241,"NAME"),"")</f>
        <v/>
      </c>
      <c r="C241">
        <f>IFERROR(BDP(A241,"GICS_SECTOR_NAME"),"")</f>
        <v/>
      </c>
      <c r="D241" s="8">
        <f>IFERROR(BDP(A241,"PX_LAST"),"")</f>
        <v/>
      </c>
      <c r="E241" s="9">
        <f>IFERROR(BDP(A241,"CUST_TRR_RETURN_HOLDING_PER","CUST_TRR_START_DT",Settings!$C$5,"CUST_TRR_END_DT",Settings!$C$4)/100,"")</f>
        <v/>
      </c>
      <c r="F241" s="9">
        <f>IFERROR(BDP(A241,"CUST_TRR_RETURN_HOLDING_PER","CUST_TRR_START_DT",Settings!$C$6,"CUST_TRR_END_DT",Settings!$C$4)/100,"")</f>
        <v/>
      </c>
      <c r="G241" s="9">
        <f>IFERROR(BDP(A241,"CUST_TRR_RETURN_HOLDING_PER","CUST_TRR_START_DT",Settings!$C$7,"CUST_TRR_END_DT",Settings!$C$4)/100,"")</f>
        <v/>
      </c>
      <c r="H241" s="9">
        <f>IFERROR(BDP(A241,"CUST_TRR_RETURN_HOLDING_PER","CUST_TRR_START_DT",Settings!$C$8,"CUST_TRR_END_DT",Settings!$C$4)/100,"")</f>
        <v/>
      </c>
    </row>
    <row r="242">
      <c r="A242" s="7" t="inlineStr">
        <is>
          <t>IBM US Equity</t>
        </is>
      </c>
      <c r="B242">
        <f>IFERROR(BDP(A242,"NAME"),"")</f>
        <v/>
      </c>
      <c r="C242">
        <f>IFERROR(BDP(A242,"GICS_SECTOR_NAME"),"")</f>
        <v/>
      </c>
      <c r="D242" s="8">
        <f>IFERROR(BDP(A242,"PX_LAST"),"")</f>
        <v/>
      </c>
      <c r="E242" s="9">
        <f>IFERROR(BDP(A242,"CUST_TRR_RETURN_HOLDING_PER","CUST_TRR_START_DT",Settings!$C$5,"CUST_TRR_END_DT",Settings!$C$4)/100,"")</f>
        <v/>
      </c>
      <c r="F242" s="9">
        <f>IFERROR(BDP(A242,"CUST_TRR_RETURN_HOLDING_PER","CUST_TRR_START_DT",Settings!$C$6,"CUST_TRR_END_DT",Settings!$C$4)/100,"")</f>
        <v/>
      </c>
      <c r="G242" s="9">
        <f>IFERROR(BDP(A242,"CUST_TRR_RETURN_HOLDING_PER","CUST_TRR_START_DT",Settings!$C$7,"CUST_TRR_END_DT",Settings!$C$4)/100,"")</f>
        <v/>
      </c>
      <c r="H242" s="9">
        <f>IFERROR(BDP(A242,"CUST_TRR_RETURN_HOLDING_PER","CUST_TRR_START_DT",Settings!$C$8,"CUST_TRR_END_DT",Settings!$C$4)/100,"")</f>
        <v/>
      </c>
    </row>
    <row r="243">
      <c r="A243" s="7" t="inlineStr">
        <is>
          <t>ICE US Equity</t>
        </is>
      </c>
      <c r="B243">
        <f>IFERROR(BDP(A243,"NAME"),"")</f>
        <v/>
      </c>
      <c r="C243">
        <f>IFERROR(BDP(A243,"GICS_SECTOR_NAME"),"")</f>
        <v/>
      </c>
      <c r="D243" s="8">
        <f>IFERROR(BDP(A243,"PX_LAST"),"")</f>
        <v/>
      </c>
      <c r="E243" s="9">
        <f>IFERROR(BDP(A243,"CUST_TRR_RETURN_HOLDING_PER","CUST_TRR_START_DT",Settings!$C$5,"CUST_TRR_END_DT",Settings!$C$4)/100,"")</f>
        <v/>
      </c>
      <c r="F243" s="9">
        <f>IFERROR(BDP(A243,"CUST_TRR_RETURN_HOLDING_PER","CUST_TRR_START_DT",Settings!$C$6,"CUST_TRR_END_DT",Settings!$C$4)/100,"")</f>
        <v/>
      </c>
      <c r="G243" s="9">
        <f>IFERROR(BDP(A243,"CUST_TRR_RETURN_HOLDING_PER","CUST_TRR_START_DT",Settings!$C$7,"CUST_TRR_END_DT",Settings!$C$4)/100,"")</f>
        <v/>
      </c>
      <c r="H243" s="9">
        <f>IFERROR(BDP(A243,"CUST_TRR_RETURN_HOLDING_PER","CUST_TRR_START_DT",Settings!$C$8,"CUST_TRR_END_DT",Settings!$C$4)/100,"")</f>
        <v/>
      </c>
    </row>
    <row r="244">
      <c r="A244" s="7" t="inlineStr">
        <is>
          <t>IDXX US Equity</t>
        </is>
      </c>
      <c r="B244">
        <f>IFERROR(BDP(A244,"NAME"),"")</f>
        <v/>
      </c>
      <c r="C244">
        <f>IFERROR(BDP(A244,"GICS_SECTOR_NAME"),"")</f>
        <v/>
      </c>
      <c r="D244" s="8">
        <f>IFERROR(BDP(A244,"PX_LAST"),"")</f>
        <v/>
      </c>
      <c r="E244" s="9">
        <f>IFERROR(BDP(A244,"CUST_TRR_RETURN_HOLDING_PER","CUST_TRR_START_DT",Settings!$C$5,"CUST_TRR_END_DT",Settings!$C$4)/100,"")</f>
        <v/>
      </c>
      <c r="F244" s="9">
        <f>IFERROR(BDP(A244,"CUST_TRR_RETURN_HOLDING_PER","CUST_TRR_START_DT",Settings!$C$6,"CUST_TRR_END_DT",Settings!$C$4)/100,"")</f>
        <v/>
      </c>
      <c r="G244" s="9">
        <f>IFERROR(BDP(A244,"CUST_TRR_RETURN_HOLDING_PER","CUST_TRR_START_DT",Settings!$C$7,"CUST_TRR_END_DT",Settings!$C$4)/100,"")</f>
        <v/>
      </c>
      <c r="H244" s="9">
        <f>IFERROR(BDP(A244,"CUST_TRR_RETURN_HOLDING_PER","CUST_TRR_START_DT",Settings!$C$8,"CUST_TRR_END_DT",Settings!$C$4)/100,"")</f>
        <v/>
      </c>
    </row>
    <row r="245">
      <c r="A245" s="7" t="inlineStr">
        <is>
          <t>IEX US Equity</t>
        </is>
      </c>
      <c r="B245">
        <f>IFERROR(BDP(A245,"NAME"),"")</f>
        <v/>
      </c>
      <c r="C245">
        <f>IFERROR(BDP(A245,"GICS_SECTOR_NAME"),"")</f>
        <v/>
      </c>
      <c r="D245" s="8">
        <f>IFERROR(BDP(A245,"PX_LAST"),"")</f>
        <v/>
      </c>
      <c r="E245" s="9">
        <f>IFERROR(BDP(A245,"CUST_TRR_RETURN_HOLDING_PER","CUST_TRR_START_DT",Settings!$C$5,"CUST_TRR_END_DT",Settings!$C$4)/100,"")</f>
        <v/>
      </c>
      <c r="F245" s="9">
        <f>IFERROR(BDP(A245,"CUST_TRR_RETURN_HOLDING_PER","CUST_TRR_START_DT",Settings!$C$6,"CUST_TRR_END_DT",Settings!$C$4)/100,"")</f>
        <v/>
      </c>
      <c r="G245" s="9">
        <f>IFERROR(BDP(A245,"CUST_TRR_RETURN_HOLDING_PER","CUST_TRR_START_DT",Settings!$C$7,"CUST_TRR_END_DT",Settings!$C$4)/100,"")</f>
        <v/>
      </c>
      <c r="H245" s="9">
        <f>IFERROR(BDP(A245,"CUST_TRR_RETURN_HOLDING_PER","CUST_TRR_START_DT",Settings!$C$8,"CUST_TRR_END_DT",Settings!$C$4)/100,"")</f>
        <v/>
      </c>
    </row>
    <row r="246">
      <c r="A246" s="7" t="inlineStr">
        <is>
          <t>IFF US Equity</t>
        </is>
      </c>
      <c r="B246">
        <f>IFERROR(BDP(A246,"NAME"),"")</f>
        <v/>
      </c>
      <c r="C246">
        <f>IFERROR(BDP(A246,"GICS_SECTOR_NAME"),"")</f>
        <v/>
      </c>
      <c r="D246" s="8">
        <f>IFERROR(BDP(A246,"PX_LAST"),"")</f>
        <v/>
      </c>
      <c r="E246" s="9">
        <f>IFERROR(BDP(A246,"CUST_TRR_RETURN_HOLDING_PER","CUST_TRR_START_DT",Settings!$C$5,"CUST_TRR_END_DT",Settings!$C$4)/100,"")</f>
        <v/>
      </c>
      <c r="F246" s="9">
        <f>IFERROR(BDP(A246,"CUST_TRR_RETURN_HOLDING_PER","CUST_TRR_START_DT",Settings!$C$6,"CUST_TRR_END_DT",Settings!$C$4)/100,"")</f>
        <v/>
      </c>
      <c r="G246" s="9">
        <f>IFERROR(BDP(A246,"CUST_TRR_RETURN_HOLDING_PER","CUST_TRR_START_DT",Settings!$C$7,"CUST_TRR_END_DT",Settings!$C$4)/100,"")</f>
        <v/>
      </c>
      <c r="H246" s="9">
        <f>IFERROR(BDP(A246,"CUST_TRR_RETURN_HOLDING_PER","CUST_TRR_START_DT",Settings!$C$8,"CUST_TRR_END_DT",Settings!$C$4)/100,"")</f>
        <v/>
      </c>
    </row>
    <row r="247">
      <c r="A247" s="7" t="inlineStr">
        <is>
          <t>ILMN US Equity</t>
        </is>
      </c>
      <c r="B247">
        <f>IFERROR(BDP(A247,"NAME"),"")</f>
        <v/>
      </c>
      <c r="C247">
        <f>IFERROR(BDP(A247,"GICS_SECTOR_NAME"),"")</f>
        <v/>
      </c>
      <c r="D247" s="8">
        <f>IFERROR(BDP(A247,"PX_LAST"),"")</f>
        <v/>
      </c>
      <c r="E247" s="9">
        <f>IFERROR(BDP(A247,"CUST_TRR_RETURN_HOLDING_PER","CUST_TRR_START_DT",Settings!$C$5,"CUST_TRR_END_DT",Settings!$C$4)/100,"")</f>
        <v/>
      </c>
      <c r="F247" s="9">
        <f>IFERROR(BDP(A247,"CUST_TRR_RETURN_HOLDING_PER","CUST_TRR_START_DT",Settings!$C$6,"CUST_TRR_END_DT",Settings!$C$4)/100,"")</f>
        <v/>
      </c>
      <c r="G247" s="9">
        <f>IFERROR(BDP(A247,"CUST_TRR_RETURN_HOLDING_PER","CUST_TRR_START_DT",Settings!$C$7,"CUST_TRR_END_DT",Settings!$C$4)/100,"")</f>
        <v/>
      </c>
      <c r="H247" s="9">
        <f>IFERROR(BDP(A247,"CUST_TRR_RETURN_HOLDING_PER","CUST_TRR_START_DT",Settings!$C$8,"CUST_TRR_END_DT",Settings!$C$4)/100,"")</f>
        <v/>
      </c>
    </row>
    <row r="248">
      <c r="A248" s="7" t="inlineStr">
        <is>
          <t>INCY US Equity</t>
        </is>
      </c>
      <c r="B248">
        <f>IFERROR(BDP(A248,"NAME"),"")</f>
        <v/>
      </c>
      <c r="C248">
        <f>IFERROR(BDP(A248,"GICS_SECTOR_NAME"),"")</f>
        <v/>
      </c>
      <c r="D248" s="8">
        <f>IFERROR(BDP(A248,"PX_LAST"),"")</f>
        <v/>
      </c>
      <c r="E248" s="9">
        <f>IFERROR(BDP(A248,"CUST_TRR_RETURN_HOLDING_PER","CUST_TRR_START_DT",Settings!$C$5,"CUST_TRR_END_DT",Settings!$C$4)/100,"")</f>
        <v/>
      </c>
      <c r="F248" s="9">
        <f>IFERROR(BDP(A248,"CUST_TRR_RETURN_HOLDING_PER","CUST_TRR_START_DT",Settings!$C$6,"CUST_TRR_END_DT",Settings!$C$4)/100,"")</f>
        <v/>
      </c>
      <c r="G248" s="9">
        <f>IFERROR(BDP(A248,"CUST_TRR_RETURN_HOLDING_PER","CUST_TRR_START_DT",Settings!$C$7,"CUST_TRR_END_DT",Settings!$C$4)/100,"")</f>
        <v/>
      </c>
      <c r="H248" s="9">
        <f>IFERROR(BDP(A248,"CUST_TRR_RETURN_HOLDING_PER","CUST_TRR_START_DT",Settings!$C$8,"CUST_TRR_END_DT",Settings!$C$4)/100,"")</f>
        <v/>
      </c>
    </row>
    <row r="249">
      <c r="A249" s="7" t="inlineStr">
        <is>
          <t>INTC US Equity</t>
        </is>
      </c>
      <c r="B249">
        <f>IFERROR(BDP(A249,"NAME"),"")</f>
        <v/>
      </c>
      <c r="C249">
        <f>IFERROR(BDP(A249,"GICS_SECTOR_NAME"),"")</f>
        <v/>
      </c>
      <c r="D249" s="8">
        <f>IFERROR(BDP(A249,"PX_LAST"),"")</f>
        <v/>
      </c>
      <c r="E249" s="9">
        <f>IFERROR(BDP(A249,"CUST_TRR_RETURN_HOLDING_PER","CUST_TRR_START_DT",Settings!$C$5,"CUST_TRR_END_DT",Settings!$C$4)/100,"")</f>
        <v/>
      </c>
      <c r="F249" s="9">
        <f>IFERROR(BDP(A249,"CUST_TRR_RETURN_HOLDING_PER","CUST_TRR_START_DT",Settings!$C$6,"CUST_TRR_END_DT",Settings!$C$4)/100,"")</f>
        <v/>
      </c>
      <c r="G249" s="9">
        <f>IFERROR(BDP(A249,"CUST_TRR_RETURN_HOLDING_PER","CUST_TRR_START_DT",Settings!$C$7,"CUST_TRR_END_DT",Settings!$C$4)/100,"")</f>
        <v/>
      </c>
      <c r="H249" s="9">
        <f>IFERROR(BDP(A249,"CUST_TRR_RETURN_HOLDING_PER","CUST_TRR_START_DT",Settings!$C$8,"CUST_TRR_END_DT",Settings!$C$4)/100,"")</f>
        <v/>
      </c>
    </row>
    <row r="250">
      <c r="A250" s="7" t="inlineStr">
        <is>
          <t>INTU US Equity</t>
        </is>
      </c>
      <c r="B250">
        <f>IFERROR(BDP(A250,"NAME"),"")</f>
        <v/>
      </c>
      <c r="C250">
        <f>IFERROR(BDP(A250,"GICS_SECTOR_NAME"),"")</f>
        <v/>
      </c>
      <c r="D250" s="8">
        <f>IFERROR(BDP(A250,"PX_LAST"),"")</f>
        <v/>
      </c>
      <c r="E250" s="9">
        <f>IFERROR(BDP(A250,"CUST_TRR_RETURN_HOLDING_PER","CUST_TRR_START_DT",Settings!$C$5,"CUST_TRR_END_DT",Settings!$C$4)/100,"")</f>
        <v/>
      </c>
      <c r="F250" s="9">
        <f>IFERROR(BDP(A250,"CUST_TRR_RETURN_HOLDING_PER","CUST_TRR_START_DT",Settings!$C$6,"CUST_TRR_END_DT",Settings!$C$4)/100,"")</f>
        <v/>
      </c>
      <c r="G250" s="9">
        <f>IFERROR(BDP(A250,"CUST_TRR_RETURN_HOLDING_PER","CUST_TRR_START_DT",Settings!$C$7,"CUST_TRR_END_DT",Settings!$C$4)/100,"")</f>
        <v/>
      </c>
      <c r="H250" s="9">
        <f>IFERROR(BDP(A250,"CUST_TRR_RETURN_HOLDING_PER","CUST_TRR_START_DT",Settings!$C$8,"CUST_TRR_END_DT",Settings!$C$4)/100,"")</f>
        <v/>
      </c>
    </row>
    <row r="251">
      <c r="A251" s="7" t="inlineStr">
        <is>
          <t>INVH US Equity</t>
        </is>
      </c>
      <c r="B251">
        <f>IFERROR(BDP(A251,"NAME"),"")</f>
        <v/>
      </c>
      <c r="C251">
        <f>IFERROR(BDP(A251,"GICS_SECTOR_NAME"),"")</f>
        <v/>
      </c>
      <c r="D251" s="8">
        <f>IFERROR(BDP(A251,"PX_LAST"),"")</f>
        <v/>
      </c>
      <c r="E251" s="9">
        <f>IFERROR(BDP(A251,"CUST_TRR_RETURN_HOLDING_PER","CUST_TRR_START_DT",Settings!$C$5,"CUST_TRR_END_DT",Settings!$C$4)/100,"")</f>
        <v/>
      </c>
      <c r="F251" s="9">
        <f>IFERROR(BDP(A251,"CUST_TRR_RETURN_HOLDING_PER","CUST_TRR_START_DT",Settings!$C$6,"CUST_TRR_END_DT",Settings!$C$4)/100,"")</f>
        <v/>
      </c>
      <c r="G251" s="9">
        <f>IFERROR(BDP(A251,"CUST_TRR_RETURN_HOLDING_PER","CUST_TRR_START_DT",Settings!$C$7,"CUST_TRR_END_DT",Settings!$C$4)/100,"")</f>
        <v/>
      </c>
      <c r="H251" s="9">
        <f>IFERROR(BDP(A251,"CUST_TRR_RETURN_HOLDING_PER","CUST_TRR_START_DT",Settings!$C$8,"CUST_TRR_END_DT",Settings!$C$4)/100,"")</f>
        <v/>
      </c>
    </row>
    <row r="252">
      <c r="A252" s="7" t="inlineStr">
        <is>
          <t>IP US Equity</t>
        </is>
      </c>
      <c r="B252">
        <f>IFERROR(BDP(A252,"NAME"),"")</f>
        <v/>
      </c>
      <c r="C252">
        <f>IFERROR(BDP(A252,"GICS_SECTOR_NAME"),"")</f>
        <v/>
      </c>
      <c r="D252" s="8">
        <f>IFERROR(BDP(A252,"PX_LAST"),"")</f>
        <v/>
      </c>
      <c r="E252" s="9">
        <f>IFERROR(BDP(A252,"CUST_TRR_RETURN_HOLDING_PER","CUST_TRR_START_DT",Settings!$C$5,"CUST_TRR_END_DT",Settings!$C$4)/100,"")</f>
        <v/>
      </c>
      <c r="F252" s="9">
        <f>IFERROR(BDP(A252,"CUST_TRR_RETURN_HOLDING_PER","CUST_TRR_START_DT",Settings!$C$6,"CUST_TRR_END_DT",Settings!$C$4)/100,"")</f>
        <v/>
      </c>
      <c r="G252" s="9">
        <f>IFERROR(BDP(A252,"CUST_TRR_RETURN_HOLDING_PER","CUST_TRR_START_DT",Settings!$C$7,"CUST_TRR_END_DT",Settings!$C$4)/100,"")</f>
        <v/>
      </c>
      <c r="H252" s="9">
        <f>IFERROR(BDP(A252,"CUST_TRR_RETURN_HOLDING_PER","CUST_TRR_START_DT",Settings!$C$8,"CUST_TRR_END_DT",Settings!$C$4)/100,"")</f>
        <v/>
      </c>
    </row>
    <row r="253">
      <c r="A253" s="7" t="inlineStr">
        <is>
          <t>IPG US Equity</t>
        </is>
      </c>
      <c r="B253">
        <f>IFERROR(BDP(A253,"NAME"),"")</f>
        <v/>
      </c>
      <c r="C253">
        <f>IFERROR(BDP(A253,"GICS_SECTOR_NAME"),"")</f>
        <v/>
      </c>
      <c r="D253" s="8">
        <f>IFERROR(BDP(A253,"PX_LAST"),"")</f>
        <v/>
      </c>
      <c r="E253" s="9">
        <f>IFERROR(BDP(A253,"CUST_TRR_RETURN_HOLDING_PER","CUST_TRR_START_DT",Settings!$C$5,"CUST_TRR_END_DT",Settings!$C$4)/100,"")</f>
        <v/>
      </c>
      <c r="F253" s="9">
        <f>IFERROR(BDP(A253,"CUST_TRR_RETURN_HOLDING_PER","CUST_TRR_START_DT",Settings!$C$6,"CUST_TRR_END_DT",Settings!$C$4)/100,"")</f>
        <v/>
      </c>
      <c r="G253" s="9">
        <f>IFERROR(BDP(A253,"CUST_TRR_RETURN_HOLDING_PER","CUST_TRR_START_DT",Settings!$C$7,"CUST_TRR_END_DT",Settings!$C$4)/100,"")</f>
        <v/>
      </c>
      <c r="H253" s="9">
        <f>IFERROR(BDP(A253,"CUST_TRR_RETURN_HOLDING_PER","CUST_TRR_START_DT",Settings!$C$8,"CUST_TRR_END_DT",Settings!$C$4)/100,"")</f>
        <v/>
      </c>
    </row>
    <row r="254">
      <c r="A254" s="7" t="inlineStr">
        <is>
          <t>IQV US Equity</t>
        </is>
      </c>
      <c r="B254">
        <f>IFERROR(BDP(A254,"NAME"),"")</f>
        <v/>
      </c>
      <c r="C254">
        <f>IFERROR(BDP(A254,"GICS_SECTOR_NAME"),"")</f>
        <v/>
      </c>
      <c r="D254" s="8">
        <f>IFERROR(BDP(A254,"PX_LAST"),"")</f>
        <v/>
      </c>
      <c r="E254" s="9">
        <f>IFERROR(BDP(A254,"CUST_TRR_RETURN_HOLDING_PER","CUST_TRR_START_DT",Settings!$C$5,"CUST_TRR_END_DT",Settings!$C$4)/100,"")</f>
        <v/>
      </c>
      <c r="F254" s="9">
        <f>IFERROR(BDP(A254,"CUST_TRR_RETURN_HOLDING_PER","CUST_TRR_START_DT",Settings!$C$6,"CUST_TRR_END_DT",Settings!$C$4)/100,"")</f>
        <v/>
      </c>
      <c r="G254" s="9">
        <f>IFERROR(BDP(A254,"CUST_TRR_RETURN_HOLDING_PER","CUST_TRR_START_DT",Settings!$C$7,"CUST_TRR_END_DT",Settings!$C$4)/100,"")</f>
        <v/>
      </c>
      <c r="H254" s="9">
        <f>IFERROR(BDP(A254,"CUST_TRR_RETURN_HOLDING_PER","CUST_TRR_START_DT",Settings!$C$8,"CUST_TRR_END_DT",Settings!$C$4)/100,"")</f>
        <v/>
      </c>
    </row>
    <row r="255">
      <c r="A255" s="7" t="inlineStr">
        <is>
          <t>IR US Equity</t>
        </is>
      </c>
      <c r="B255">
        <f>IFERROR(BDP(A255,"NAME"),"")</f>
        <v/>
      </c>
      <c r="C255">
        <f>IFERROR(BDP(A255,"GICS_SECTOR_NAME"),"")</f>
        <v/>
      </c>
      <c r="D255" s="8">
        <f>IFERROR(BDP(A255,"PX_LAST"),"")</f>
        <v/>
      </c>
      <c r="E255" s="9">
        <f>IFERROR(BDP(A255,"CUST_TRR_RETURN_HOLDING_PER","CUST_TRR_START_DT",Settings!$C$5,"CUST_TRR_END_DT",Settings!$C$4)/100,"")</f>
        <v/>
      </c>
      <c r="F255" s="9">
        <f>IFERROR(BDP(A255,"CUST_TRR_RETURN_HOLDING_PER","CUST_TRR_START_DT",Settings!$C$6,"CUST_TRR_END_DT",Settings!$C$4)/100,"")</f>
        <v/>
      </c>
      <c r="G255" s="9">
        <f>IFERROR(BDP(A255,"CUST_TRR_RETURN_HOLDING_PER","CUST_TRR_START_DT",Settings!$C$7,"CUST_TRR_END_DT",Settings!$C$4)/100,"")</f>
        <v/>
      </c>
      <c r="H255" s="9">
        <f>IFERROR(BDP(A255,"CUST_TRR_RETURN_HOLDING_PER","CUST_TRR_START_DT",Settings!$C$8,"CUST_TRR_END_DT",Settings!$C$4)/100,"")</f>
        <v/>
      </c>
    </row>
    <row r="256">
      <c r="A256" s="7" t="inlineStr">
        <is>
          <t>IRM US Equity</t>
        </is>
      </c>
      <c r="B256">
        <f>IFERROR(BDP(A256,"NAME"),"")</f>
        <v/>
      </c>
      <c r="C256">
        <f>IFERROR(BDP(A256,"GICS_SECTOR_NAME"),"")</f>
        <v/>
      </c>
      <c r="D256" s="8">
        <f>IFERROR(BDP(A256,"PX_LAST"),"")</f>
        <v/>
      </c>
      <c r="E256" s="9">
        <f>IFERROR(BDP(A256,"CUST_TRR_RETURN_HOLDING_PER","CUST_TRR_START_DT",Settings!$C$5,"CUST_TRR_END_DT",Settings!$C$4)/100,"")</f>
        <v/>
      </c>
      <c r="F256" s="9">
        <f>IFERROR(BDP(A256,"CUST_TRR_RETURN_HOLDING_PER","CUST_TRR_START_DT",Settings!$C$6,"CUST_TRR_END_DT",Settings!$C$4)/100,"")</f>
        <v/>
      </c>
      <c r="G256" s="9">
        <f>IFERROR(BDP(A256,"CUST_TRR_RETURN_HOLDING_PER","CUST_TRR_START_DT",Settings!$C$7,"CUST_TRR_END_DT",Settings!$C$4)/100,"")</f>
        <v/>
      </c>
      <c r="H256" s="9">
        <f>IFERROR(BDP(A256,"CUST_TRR_RETURN_HOLDING_PER","CUST_TRR_START_DT",Settings!$C$8,"CUST_TRR_END_DT",Settings!$C$4)/100,"")</f>
        <v/>
      </c>
    </row>
    <row r="257">
      <c r="A257" s="7" t="inlineStr">
        <is>
          <t>ISRG US Equity</t>
        </is>
      </c>
      <c r="B257">
        <f>IFERROR(BDP(A257,"NAME"),"")</f>
        <v/>
      </c>
      <c r="C257">
        <f>IFERROR(BDP(A257,"GICS_SECTOR_NAME"),"")</f>
        <v/>
      </c>
      <c r="D257" s="8">
        <f>IFERROR(BDP(A257,"PX_LAST"),"")</f>
        <v/>
      </c>
      <c r="E257" s="9">
        <f>IFERROR(BDP(A257,"CUST_TRR_RETURN_HOLDING_PER","CUST_TRR_START_DT",Settings!$C$5,"CUST_TRR_END_DT",Settings!$C$4)/100,"")</f>
        <v/>
      </c>
      <c r="F257" s="9">
        <f>IFERROR(BDP(A257,"CUST_TRR_RETURN_HOLDING_PER","CUST_TRR_START_DT",Settings!$C$6,"CUST_TRR_END_DT",Settings!$C$4)/100,"")</f>
        <v/>
      </c>
      <c r="G257" s="9">
        <f>IFERROR(BDP(A257,"CUST_TRR_RETURN_HOLDING_PER","CUST_TRR_START_DT",Settings!$C$7,"CUST_TRR_END_DT",Settings!$C$4)/100,"")</f>
        <v/>
      </c>
      <c r="H257" s="9">
        <f>IFERROR(BDP(A257,"CUST_TRR_RETURN_HOLDING_PER","CUST_TRR_START_DT",Settings!$C$8,"CUST_TRR_END_DT",Settings!$C$4)/100,"")</f>
        <v/>
      </c>
    </row>
    <row r="258">
      <c r="A258" s="7" t="inlineStr">
        <is>
          <t>IT US Equity</t>
        </is>
      </c>
      <c r="B258">
        <f>IFERROR(BDP(A258,"NAME"),"")</f>
        <v/>
      </c>
      <c r="C258">
        <f>IFERROR(BDP(A258,"GICS_SECTOR_NAME"),"")</f>
        <v/>
      </c>
      <c r="D258" s="8">
        <f>IFERROR(BDP(A258,"PX_LAST"),"")</f>
        <v/>
      </c>
      <c r="E258" s="9">
        <f>IFERROR(BDP(A258,"CUST_TRR_RETURN_HOLDING_PER","CUST_TRR_START_DT",Settings!$C$5,"CUST_TRR_END_DT",Settings!$C$4)/100,"")</f>
        <v/>
      </c>
      <c r="F258" s="9">
        <f>IFERROR(BDP(A258,"CUST_TRR_RETURN_HOLDING_PER","CUST_TRR_START_DT",Settings!$C$6,"CUST_TRR_END_DT",Settings!$C$4)/100,"")</f>
        <v/>
      </c>
      <c r="G258" s="9">
        <f>IFERROR(BDP(A258,"CUST_TRR_RETURN_HOLDING_PER","CUST_TRR_START_DT",Settings!$C$7,"CUST_TRR_END_DT",Settings!$C$4)/100,"")</f>
        <v/>
      </c>
      <c r="H258" s="9">
        <f>IFERROR(BDP(A258,"CUST_TRR_RETURN_HOLDING_PER","CUST_TRR_START_DT",Settings!$C$8,"CUST_TRR_END_DT",Settings!$C$4)/100,"")</f>
        <v/>
      </c>
    </row>
    <row r="259">
      <c r="A259" s="7" t="inlineStr">
        <is>
          <t>ITW US Equity</t>
        </is>
      </c>
      <c r="B259">
        <f>IFERROR(BDP(A259,"NAME"),"")</f>
        <v/>
      </c>
      <c r="C259">
        <f>IFERROR(BDP(A259,"GICS_SECTOR_NAME"),"")</f>
        <v/>
      </c>
      <c r="D259" s="8">
        <f>IFERROR(BDP(A259,"PX_LAST"),"")</f>
        <v/>
      </c>
      <c r="E259" s="9">
        <f>IFERROR(BDP(A259,"CUST_TRR_RETURN_HOLDING_PER","CUST_TRR_START_DT",Settings!$C$5,"CUST_TRR_END_DT",Settings!$C$4)/100,"")</f>
        <v/>
      </c>
      <c r="F259" s="9">
        <f>IFERROR(BDP(A259,"CUST_TRR_RETURN_HOLDING_PER","CUST_TRR_START_DT",Settings!$C$6,"CUST_TRR_END_DT",Settings!$C$4)/100,"")</f>
        <v/>
      </c>
      <c r="G259" s="9">
        <f>IFERROR(BDP(A259,"CUST_TRR_RETURN_HOLDING_PER","CUST_TRR_START_DT",Settings!$C$7,"CUST_TRR_END_DT",Settings!$C$4)/100,"")</f>
        <v/>
      </c>
      <c r="H259" s="9">
        <f>IFERROR(BDP(A259,"CUST_TRR_RETURN_HOLDING_PER","CUST_TRR_START_DT",Settings!$C$8,"CUST_TRR_END_DT",Settings!$C$4)/100,"")</f>
        <v/>
      </c>
    </row>
    <row r="260">
      <c r="A260" s="7" t="inlineStr">
        <is>
          <t>IVZ US Equity</t>
        </is>
      </c>
      <c r="B260">
        <f>IFERROR(BDP(A260,"NAME"),"")</f>
        <v/>
      </c>
      <c r="C260">
        <f>IFERROR(BDP(A260,"GICS_SECTOR_NAME"),"")</f>
        <v/>
      </c>
      <c r="D260" s="8">
        <f>IFERROR(BDP(A260,"PX_LAST"),"")</f>
        <v/>
      </c>
      <c r="E260" s="9">
        <f>IFERROR(BDP(A260,"CUST_TRR_RETURN_HOLDING_PER","CUST_TRR_START_DT",Settings!$C$5,"CUST_TRR_END_DT",Settings!$C$4)/100,"")</f>
        <v/>
      </c>
      <c r="F260" s="9">
        <f>IFERROR(BDP(A260,"CUST_TRR_RETURN_HOLDING_PER","CUST_TRR_START_DT",Settings!$C$6,"CUST_TRR_END_DT",Settings!$C$4)/100,"")</f>
        <v/>
      </c>
      <c r="G260" s="9">
        <f>IFERROR(BDP(A260,"CUST_TRR_RETURN_HOLDING_PER","CUST_TRR_START_DT",Settings!$C$7,"CUST_TRR_END_DT",Settings!$C$4)/100,"")</f>
        <v/>
      </c>
      <c r="H260" s="9">
        <f>IFERROR(BDP(A260,"CUST_TRR_RETURN_HOLDING_PER","CUST_TRR_START_DT",Settings!$C$8,"CUST_TRR_END_DT",Settings!$C$4)/100,"")</f>
        <v/>
      </c>
    </row>
    <row r="261">
      <c r="A261" s="7" t="inlineStr">
        <is>
          <t>J US Equity</t>
        </is>
      </c>
      <c r="B261">
        <f>IFERROR(BDP(A261,"NAME"),"")</f>
        <v/>
      </c>
      <c r="C261">
        <f>IFERROR(BDP(A261,"GICS_SECTOR_NAME"),"")</f>
        <v/>
      </c>
      <c r="D261" s="8">
        <f>IFERROR(BDP(A261,"PX_LAST"),"")</f>
        <v/>
      </c>
      <c r="E261" s="9">
        <f>IFERROR(BDP(A261,"CUST_TRR_RETURN_HOLDING_PER","CUST_TRR_START_DT",Settings!$C$5,"CUST_TRR_END_DT",Settings!$C$4)/100,"")</f>
        <v/>
      </c>
      <c r="F261" s="9">
        <f>IFERROR(BDP(A261,"CUST_TRR_RETURN_HOLDING_PER","CUST_TRR_START_DT",Settings!$C$6,"CUST_TRR_END_DT",Settings!$C$4)/100,"")</f>
        <v/>
      </c>
      <c r="G261" s="9">
        <f>IFERROR(BDP(A261,"CUST_TRR_RETURN_HOLDING_PER","CUST_TRR_START_DT",Settings!$C$7,"CUST_TRR_END_DT",Settings!$C$4)/100,"")</f>
        <v/>
      </c>
      <c r="H261" s="9">
        <f>IFERROR(BDP(A261,"CUST_TRR_RETURN_HOLDING_PER","CUST_TRR_START_DT",Settings!$C$8,"CUST_TRR_END_DT",Settings!$C$4)/100,"")</f>
        <v/>
      </c>
    </row>
    <row r="262">
      <c r="A262" s="7" t="inlineStr">
        <is>
          <t>JBHT US Equity</t>
        </is>
      </c>
      <c r="B262">
        <f>IFERROR(BDP(A262,"NAME"),"")</f>
        <v/>
      </c>
      <c r="C262">
        <f>IFERROR(BDP(A262,"GICS_SECTOR_NAME"),"")</f>
        <v/>
      </c>
      <c r="D262" s="8">
        <f>IFERROR(BDP(A262,"PX_LAST"),"")</f>
        <v/>
      </c>
      <c r="E262" s="9">
        <f>IFERROR(BDP(A262,"CUST_TRR_RETURN_HOLDING_PER","CUST_TRR_START_DT",Settings!$C$5,"CUST_TRR_END_DT",Settings!$C$4)/100,"")</f>
        <v/>
      </c>
      <c r="F262" s="9">
        <f>IFERROR(BDP(A262,"CUST_TRR_RETURN_HOLDING_PER","CUST_TRR_START_DT",Settings!$C$6,"CUST_TRR_END_DT",Settings!$C$4)/100,"")</f>
        <v/>
      </c>
      <c r="G262" s="9">
        <f>IFERROR(BDP(A262,"CUST_TRR_RETURN_HOLDING_PER","CUST_TRR_START_DT",Settings!$C$7,"CUST_TRR_END_DT",Settings!$C$4)/100,"")</f>
        <v/>
      </c>
      <c r="H262" s="9">
        <f>IFERROR(BDP(A262,"CUST_TRR_RETURN_HOLDING_PER","CUST_TRR_START_DT",Settings!$C$8,"CUST_TRR_END_DT",Settings!$C$4)/100,"")</f>
        <v/>
      </c>
    </row>
    <row r="263">
      <c r="A263" s="7" t="inlineStr">
        <is>
          <t>JBL US Equity</t>
        </is>
      </c>
      <c r="B263">
        <f>IFERROR(BDP(A263,"NAME"),"")</f>
        <v/>
      </c>
      <c r="C263">
        <f>IFERROR(BDP(A263,"GICS_SECTOR_NAME"),"")</f>
        <v/>
      </c>
      <c r="D263" s="8">
        <f>IFERROR(BDP(A263,"PX_LAST"),"")</f>
        <v/>
      </c>
      <c r="E263" s="9">
        <f>IFERROR(BDP(A263,"CUST_TRR_RETURN_HOLDING_PER","CUST_TRR_START_DT",Settings!$C$5,"CUST_TRR_END_DT",Settings!$C$4)/100,"")</f>
        <v/>
      </c>
      <c r="F263" s="9">
        <f>IFERROR(BDP(A263,"CUST_TRR_RETURN_HOLDING_PER","CUST_TRR_START_DT",Settings!$C$6,"CUST_TRR_END_DT",Settings!$C$4)/100,"")</f>
        <v/>
      </c>
      <c r="G263" s="9">
        <f>IFERROR(BDP(A263,"CUST_TRR_RETURN_HOLDING_PER","CUST_TRR_START_DT",Settings!$C$7,"CUST_TRR_END_DT",Settings!$C$4)/100,"")</f>
        <v/>
      </c>
      <c r="H263" s="9">
        <f>IFERROR(BDP(A263,"CUST_TRR_RETURN_HOLDING_PER","CUST_TRR_START_DT",Settings!$C$8,"CUST_TRR_END_DT",Settings!$C$4)/100,"")</f>
        <v/>
      </c>
    </row>
    <row r="264">
      <c r="A264" s="7" t="inlineStr">
        <is>
          <t>JCI US Equity</t>
        </is>
      </c>
      <c r="B264">
        <f>IFERROR(BDP(A264,"NAME"),"")</f>
        <v/>
      </c>
      <c r="C264">
        <f>IFERROR(BDP(A264,"GICS_SECTOR_NAME"),"")</f>
        <v/>
      </c>
      <c r="D264" s="8">
        <f>IFERROR(BDP(A264,"PX_LAST"),"")</f>
        <v/>
      </c>
      <c r="E264" s="9">
        <f>IFERROR(BDP(A264,"CUST_TRR_RETURN_HOLDING_PER","CUST_TRR_START_DT",Settings!$C$5,"CUST_TRR_END_DT",Settings!$C$4)/100,"")</f>
        <v/>
      </c>
      <c r="F264" s="9">
        <f>IFERROR(BDP(A264,"CUST_TRR_RETURN_HOLDING_PER","CUST_TRR_START_DT",Settings!$C$6,"CUST_TRR_END_DT",Settings!$C$4)/100,"")</f>
        <v/>
      </c>
      <c r="G264" s="9">
        <f>IFERROR(BDP(A264,"CUST_TRR_RETURN_HOLDING_PER","CUST_TRR_START_DT",Settings!$C$7,"CUST_TRR_END_DT",Settings!$C$4)/100,"")</f>
        <v/>
      </c>
      <c r="H264" s="9">
        <f>IFERROR(BDP(A264,"CUST_TRR_RETURN_HOLDING_PER","CUST_TRR_START_DT",Settings!$C$8,"CUST_TRR_END_DT",Settings!$C$4)/100,"")</f>
        <v/>
      </c>
    </row>
    <row r="265">
      <c r="A265" s="7" t="inlineStr">
        <is>
          <t>JKHY US Equity</t>
        </is>
      </c>
      <c r="B265">
        <f>IFERROR(BDP(A265,"NAME"),"")</f>
        <v/>
      </c>
      <c r="C265">
        <f>IFERROR(BDP(A265,"GICS_SECTOR_NAME"),"")</f>
        <v/>
      </c>
      <c r="D265" s="8">
        <f>IFERROR(BDP(A265,"PX_LAST"),"")</f>
        <v/>
      </c>
      <c r="E265" s="9">
        <f>IFERROR(BDP(A265,"CUST_TRR_RETURN_HOLDING_PER","CUST_TRR_START_DT",Settings!$C$5,"CUST_TRR_END_DT",Settings!$C$4)/100,"")</f>
        <v/>
      </c>
      <c r="F265" s="9">
        <f>IFERROR(BDP(A265,"CUST_TRR_RETURN_HOLDING_PER","CUST_TRR_START_DT",Settings!$C$6,"CUST_TRR_END_DT",Settings!$C$4)/100,"")</f>
        <v/>
      </c>
      <c r="G265" s="9">
        <f>IFERROR(BDP(A265,"CUST_TRR_RETURN_HOLDING_PER","CUST_TRR_START_DT",Settings!$C$7,"CUST_TRR_END_DT",Settings!$C$4)/100,"")</f>
        <v/>
      </c>
      <c r="H265" s="9">
        <f>IFERROR(BDP(A265,"CUST_TRR_RETURN_HOLDING_PER","CUST_TRR_START_DT",Settings!$C$8,"CUST_TRR_END_DT",Settings!$C$4)/100,"")</f>
        <v/>
      </c>
    </row>
    <row r="266">
      <c r="A266" s="7" t="inlineStr">
        <is>
          <t>JNJ US Equity</t>
        </is>
      </c>
      <c r="B266">
        <f>IFERROR(BDP(A266,"NAME"),"")</f>
        <v/>
      </c>
      <c r="C266">
        <f>IFERROR(BDP(A266,"GICS_SECTOR_NAME"),"")</f>
        <v/>
      </c>
      <c r="D266" s="8">
        <f>IFERROR(BDP(A266,"PX_LAST"),"")</f>
        <v/>
      </c>
      <c r="E266" s="9">
        <f>IFERROR(BDP(A266,"CUST_TRR_RETURN_HOLDING_PER","CUST_TRR_START_DT",Settings!$C$5,"CUST_TRR_END_DT",Settings!$C$4)/100,"")</f>
        <v/>
      </c>
      <c r="F266" s="9">
        <f>IFERROR(BDP(A266,"CUST_TRR_RETURN_HOLDING_PER","CUST_TRR_START_DT",Settings!$C$6,"CUST_TRR_END_DT",Settings!$C$4)/100,"")</f>
        <v/>
      </c>
      <c r="G266" s="9">
        <f>IFERROR(BDP(A266,"CUST_TRR_RETURN_HOLDING_PER","CUST_TRR_START_DT",Settings!$C$7,"CUST_TRR_END_DT",Settings!$C$4)/100,"")</f>
        <v/>
      </c>
      <c r="H266" s="9">
        <f>IFERROR(BDP(A266,"CUST_TRR_RETURN_HOLDING_PER","CUST_TRR_START_DT",Settings!$C$8,"CUST_TRR_END_DT",Settings!$C$4)/100,"")</f>
        <v/>
      </c>
    </row>
    <row r="267">
      <c r="A267" s="7" t="inlineStr">
        <is>
          <t>JNPR US Equity</t>
        </is>
      </c>
      <c r="B267">
        <f>IFERROR(BDP(A267,"NAME"),"")</f>
        <v/>
      </c>
      <c r="C267">
        <f>IFERROR(BDP(A267,"GICS_SECTOR_NAME"),"")</f>
        <v/>
      </c>
      <c r="D267" s="8">
        <f>IFERROR(BDP(A267,"PX_LAST"),"")</f>
        <v/>
      </c>
      <c r="E267" s="9">
        <f>IFERROR(BDP(A267,"CUST_TRR_RETURN_HOLDING_PER","CUST_TRR_START_DT",Settings!$C$5,"CUST_TRR_END_DT",Settings!$C$4)/100,"")</f>
        <v/>
      </c>
      <c r="F267" s="9">
        <f>IFERROR(BDP(A267,"CUST_TRR_RETURN_HOLDING_PER","CUST_TRR_START_DT",Settings!$C$6,"CUST_TRR_END_DT",Settings!$C$4)/100,"")</f>
        <v/>
      </c>
      <c r="G267" s="9">
        <f>IFERROR(BDP(A267,"CUST_TRR_RETURN_HOLDING_PER","CUST_TRR_START_DT",Settings!$C$7,"CUST_TRR_END_DT",Settings!$C$4)/100,"")</f>
        <v/>
      </c>
      <c r="H267" s="9">
        <f>IFERROR(BDP(A267,"CUST_TRR_RETURN_HOLDING_PER","CUST_TRR_START_DT",Settings!$C$8,"CUST_TRR_END_DT",Settings!$C$4)/100,"")</f>
        <v/>
      </c>
    </row>
    <row r="268">
      <c r="A268" s="7" t="inlineStr">
        <is>
          <t>JPM US Equity</t>
        </is>
      </c>
      <c r="B268">
        <f>IFERROR(BDP(A268,"NAME"),"")</f>
        <v/>
      </c>
      <c r="C268">
        <f>IFERROR(BDP(A268,"GICS_SECTOR_NAME"),"")</f>
        <v/>
      </c>
      <c r="D268" s="8">
        <f>IFERROR(BDP(A268,"PX_LAST"),"")</f>
        <v/>
      </c>
      <c r="E268" s="9">
        <f>IFERROR(BDP(A268,"CUST_TRR_RETURN_HOLDING_PER","CUST_TRR_START_DT",Settings!$C$5,"CUST_TRR_END_DT",Settings!$C$4)/100,"")</f>
        <v/>
      </c>
      <c r="F268" s="9">
        <f>IFERROR(BDP(A268,"CUST_TRR_RETURN_HOLDING_PER","CUST_TRR_START_DT",Settings!$C$6,"CUST_TRR_END_DT",Settings!$C$4)/100,"")</f>
        <v/>
      </c>
      <c r="G268" s="9">
        <f>IFERROR(BDP(A268,"CUST_TRR_RETURN_HOLDING_PER","CUST_TRR_START_DT",Settings!$C$7,"CUST_TRR_END_DT",Settings!$C$4)/100,"")</f>
        <v/>
      </c>
      <c r="H268" s="9">
        <f>IFERROR(BDP(A268,"CUST_TRR_RETURN_HOLDING_PER","CUST_TRR_START_DT",Settings!$C$8,"CUST_TRR_END_DT",Settings!$C$4)/100,"")</f>
        <v/>
      </c>
    </row>
    <row r="269">
      <c r="A269" s="7" t="inlineStr">
        <is>
          <t>K US Equity</t>
        </is>
      </c>
      <c r="B269">
        <f>IFERROR(BDP(A269,"NAME"),"")</f>
        <v/>
      </c>
      <c r="C269">
        <f>IFERROR(BDP(A269,"GICS_SECTOR_NAME"),"")</f>
        <v/>
      </c>
      <c r="D269" s="8">
        <f>IFERROR(BDP(A269,"PX_LAST"),"")</f>
        <v/>
      </c>
      <c r="E269" s="9">
        <f>IFERROR(BDP(A269,"CUST_TRR_RETURN_HOLDING_PER","CUST_TRR_START_DT",Settings!$C$5,"CUST_TRR_END_DT",Settings!$C$4)/100,"")</f>
        <v/>
      </c>
      <c r="F269" s="9">
        <f>IFERROR(BDP(A269,"CUST_TRR_RETURN_HOLDING_PER","CUST_TRR_START_DT",Settings!$C$6,"CUST_TRR_END_DT",Settings!$C$4)/100,"")</f>
        <v/>
      </c>
      <c r="G269" s="9">
        <f>IFERROR(BDP(A269,"CUST_TRR_RETURN_HOLDING_PER","CUST_TRR_START_DT",Settings!$C$7,"CUST_TRR_END_DT",Settings!$C$4)/100,"")</f>
        <v/>
      </c>
      <c r="H269" s="9">
        <f>IFERROR(BDP(A269,"CUST_TRR_RETURN_HOLDING_PER","CUST_TRR_START_DT",Settings!$C$8,"CUST_TRR_END_DT",Settings!$C$4)/100,"")</f>
        <v/>
      </c>
    </row>
    <row r="270">
      <c r="A270" s="7" t="inlineStr">
        <is>
          <t>KDP US Equity</t>
        </is>
      </c>
      <c r="B270">
        <f>IFERROR(BDP(A270,"NAME"),"")</f>
        <v/>
      </c>
      <c r="C270">
        <f>IFERROR(BDP(A270,"GICS_SECTOR_NAME"),"")</f>
        <v/>
      </c>
      <c r="D270" s="8">
        <f>IFERROR(BDP(A270,"PX_LAST"),"")</f>
        <v/>
      </c>
      <c r="E270" s="9">
        <f>IFERROR(BDP(A270,"CUST_TRR_RETURN_HOLDING_PER","CUST_TRR_START_DT",Settings!$C$5,"CUST_TRR_END_DT",Settings!$C$4)/100,"")</f>
        <v/>
      </c>
      <c r="F270" s="9">
        <f>IFERROR(BDP(A270,"CUST_TRR_RETURN_HOLDING_PER","CUST_TRR_START_DT",Settings!$C$6,"CUST_TRR_END_DT",Settings!$C$4)/100,"")</f>
        <v/>
      </c>
      <c r="G270" s="9">
        <f>IFERROR(BDP(A270,"CUST_TRR_RETURN_HOLDING_PER","CUST_TRR_START_DT",Settings!$C$7,"CUST_TRR_END_DT",Settings!$C$4)/100,"")</f>
        <v/>
      </c>
      <c r="H270" s="9">
        <f>IFERROR(BDP(A270,"CUST_TRR_RETURN_HOLDING_PER","CUST_TRR_START_DT",Settings!$C$8,"CUST_TRR_END_DT",Settings!$C$4)/100,"")</f>
        <v/>
      </c>
    </row>
    <row r="271">
      <c r="A271" s="7" t="inlineStr">
        <is>
          <t>KEY US Equity</t>
        </is>
      </c>
      <c r="B271">
        <f>IFERROR(BDP(A271,"NAME"),"")</f>
        <v/>
      </c>
      <c r="C271">
        <f>IFERROR(BDP(A271,"GICS_SECTOR_NAME"),"")</f>
        <v/>
      </c>
      <c r="D271" s="8">
        <f>IFERROR(BDP(A271,"PX_LAST"),"")</f>
        <v/>
      </c>
      <c r="E271" s="9">
        <f>IFERROR(BDP(A271,"CUST_TRR_RETURN_HOLDING_PER","CUST_TRR_START_DT",Settings!$C$5,"CUST_TRR_END_DT",Settings!$C$4)/100,"")</f>
        <v/>
      </c>
      <c r="F271" s="9">
        <f>IFERROR(BDP(A271,"CUST_TRR_RETURN_HOLDING_PER","CUST_TRR_START_DT",Settings!$C$6,"CUST_TRR_END_DT",Settings!$C$4)/100,"")</f>
        <v/>
      </c>
      <c r="G271" s="9">
        <f>IFERROR(BDP(A271,"CUST_TRR_RETURN_HOLDING_PER","CUST_TRR_START_DT",Settings!$C$7,"CUST_TRR_END_DT",Settings!$C$4)/100,"")</f>
        <v/>
      </c>
      <c r="H271" s="9">
        <f>IFERROR(BDP(A271,"CUST_TRR_RETURN_HOLDING_PER","CUST_TRR_START_DT",Settings!$C$8,"CUST_TRR_END_DT",Settings!$C$4)/100,"")</f>
        <v/>
      </c>
    </row>
    <row r="272">
      <c r="A272" s="7" t="inlineStr">
        <is>
          <t>KEYS US Equity</t>
        </is>
      </c>
      <c r="B272">
        <f>IFERROR(BDP(A272,"NAME"),"")</f>
        <v/>
      </c>
      <c r="C272">
        <f>IFERROR(BDP(A272,"GICS_SECTOR_NAME"),"")</f>
        <v/>
      </c>
      <c r="D272" s="8">
        <f>IFERROR(BDP(A272,"PX_LAST"),"")</f>
        <v/>
      </c>
      <c r="E272" s="9">
        <f>IFERROR(BDP(A272,"CUST_TRR_RETURN_HOLDING_PER","CUST_TRR_START_DT",Settings!$C$5,"CUST_TRR_END_DT",Settings!$C$4)/100,"")</f>
        <v/>
      </c>
      <c r="F272" s="9">
        <f>IFERROR(BDP(A272,"CUST_TRR_RETURN_HOLDING_PER","CUST_TRR_START_DT",Settings!$C$6,"CUST_TRR_END_DT",Settings!$C$4)/100,"")</f>
        <v/>
      </c>
      <c r="G272" s="9">
        <f>IFERROR(BDP(A272,"CUST_TRR_RETURN_HOLDING_PER","CUST_TRR_START_DT",Settings!$C$7,"CUST_TRR_END_DT",Settings!$C$4)/100,"")</f>
        <v/>
      </c>
      <c r="H272" s="9">
        <f>IFERROR(BDP(A272,"CUST_TRR_RETURN_HOLDING_PER","CUST_TRR_START_DT",Settings!$C$8,"CUST_TRR_END_DT",Settings!$C$4)/100,"")</f>
        <v/>
      </c>
    </row>
    <row r="273">
      <c r="A273" s="7" t="inlineStr">
        <is>
          <t>KHC US Equity</t>
        </is>
      </c>
      <c r="B273">
        <f>IFERROR(BDP(A273,"NAME"),"")</f>
        <v/>
      </c>
      <c r="C273">
        <f>IFERROR(BDP(A273,"GICS_SECTOR_NAME"),"")</f>
        <v/>
      </c>
      <c r="D273" s="8">
        <f>IFERROR(BDP(A273,"PX_LAST"),"")</f>
        <v/>
      </c>
      <c r="E273" s="9">
        <f>IFERROR(BDP(A273,"CUST_TRR_RETURN_HOLDING_PER","CUST_TRR_START_DT",Settings!$C$5,"CUST_TRR_END_DT",Settings!$C$4)/100,"")</f>
        <v/>
      </c>
      <c r="F273" s="9">
        <f>IFERROR(BDP(A273,"CUST_TRR_RETURN_HOLDING_PER","CUST_TRR_START_DT",Settings!$C$6,"CUST_TRR_END_DT",Settings!$C$4)/100,"")</f>
        <v/>
      </c>
      <c r="G273" s="9">
        <f>IFERROR(BDP(A273,"CUST_TRR_RETURN_HOLDING_PER","CUST_TRR_START_DT",Settings!$C$7,"CUST_TRR_END_DT",Settings!$C$4)/100,"")</f>
        <v/>
      </c>
      <c r="H273" s="9">
        <f>IFERROR(BDP(A273,"CUST_TRR_RETURN_HOLDING_PER","CUST_TRR_START_DT",Settings!$C$8,"CUST_TRR_END_DT",Settings!$C$4)/100,"")</f>
        <v/>
      </c>
    </row>
    <row r="274">
      <c r="A274" s="7" t="inlineStr">
        <is>
          <t>KIM US Equity</t>
        </is>
      </c>
      <c r="B274">
        <f>IFERROR(BDP(A274,"NAME"),"")</f>
        <v/>
      </c>
      <c r="C274">
        <f>IFERROR(BDP(A274,"GICS_SECTOR_NAME"),"")</f>
        <v/>
      </c>
      <c r="D274" s="8">
        <f>IFERROR(BDP(A274,"PX_LAST"),"")</f>
        <v/>
      </c>
      <c r="E274" s="9">
        <f>IFERROR(BDP(A274,"CUST_TRR_RETURN_HOLDING_PER","CUST_TRR_START_DT",Settings!$C$5,"CUST_TRR_END_DT",Settings!$C$4)/100,"")</f>
        <v/>
      </c>
      <c r="F274" s="9">
        <f>IFERROR(BDP(A274,"CUST_TRR_RETURN_HOLDING_PER","CUST_TRR_START_DT",Settings!$C$6,"CUST_TRR_END_DT",Settings!$C$4)/100,"")</f>
        <v/>
      </c>
      <c r="G274" s="9">
        <f>IFERROR(BDP(A274,"CUST_TRR_RETURN_HOLDING_PER","CUST_TRR_START_DT",Settings!$C$7,"CUST_TRR_END_DT",Settings!$C$4)/100,"")</f>
        <v/>
      </c>
      <c r="H274" s="9">
        <f>IFERROR(BDP(A274,"CUST_TRR_RETURN_HOLDING_PER","CUST_TRR_START_DT",Settings!$C$8,"CUST_TRR_END_DT",Settings!$C$4)/100,"")</f>
        <v/>
      </c>
    </row>
    <row r="275">
      <c r="A275" s="7" t="inlineStr">
        <is>
          <t>KKR US Equity</t>
        </is>
      </c>
      <c r="B275">
        <f>IFERROR(BDP(A275,"NAME"),"")</f>
        <v/>
      </c>
      <c r="C275">
        <f>IFERROR(BDP(A275,"GICS_SECTOR_NAME"),"")</f>
        <v/>
      </c>
      <c r="D275" s="8">
        <f>IFERROR(BDP(A275,"PX_LAST"),"")</f>
        <v/>
      </c>
      <c r="E275" s="9">
        <f>IFERROR(BDP(A275,"CUST_TRR_RETURN_HOLDING_PER","CUST_TRR_START_DT",Settings!$C$5,"CUST_TRR_END_DT",Settings!$C$4)/100,"")</f>
        <v/>
      </c>
      <c r="F275" s="9">
        <f>IFERROR(BDP(A275,"CUST_TRR_RETURN_HOLDING_PER","CUST_TRR_START_DT",Settings!$C$6,"CUST_TRR_END_DT",Settings!$C$4)/100,"")</f>
        <v/>
      </c>
      <c r="G275" s="9">
        <f>IFERROR(BDP(A275,"CUST_TRR_RETURN_HOLDING_PER","CUST_TRR_START_DT",Settings!$C$7,"CUST_TRR_END_DT",Settings!$C$4)/100,"")</f>
        <v/>
      </c>
      <c r="H275" s="9">
        <f>IFERROR(BDP(A275,"CUST_TRR_RETURN_HOLDING_PER","CUST_TRR_START_DT",Settings!$C$8,"CUST_TRR_END_DT",Settings!$C$4)/100,"")</f>
        <v/>
      </c>
    </row>
    <row r="276">
      <c r="A276" s="7" t="inlineStr">
        <is>
          <t>KLAC US Equity</t>
        </is>
      </c>
      <c r="B276">
        <f>IFERROR(BDP(A276,"NAME"),"")</f>
        <v/>
      </c>
      <c r="C276">
        <f>IFERROR(BDP(A276,"GICS_SECTOR_NAME"),"")</f>
        <v/>
      </c>
      <c r="D276" s="8">
        <f>IFERROR(BDP(A276,"PX_LAST"),"")</f>
        <v/>
      </c>
      <c r="E276" s="9">
        <f>IFERROR(BDP(A276,"CUST_TRR_RETURN_HOLDING_PER","CUST_TRR_START_DT",Settings!$C$5,"CUST_TRR_END_DT",Settings!$C$4)/100,"")</f>
        <v/>
      </c>
      <c r="F276" s="9">
        <f>IFERROR(BDP(A276,"CUST_TRR_RETURN_HOLDING_PER","CUST_TRR_START_DT",Settings!$C$6,"CUST_TRR_END_DT",Settings!$C$4)/100,"")</f>
        <v/>
      </c>
      <c r="G276" s="9">
        <f>IFERROR(BDP(A276,"CUST_TRR_RETURN_HOLDING_PER","CUST_TRR_START_DT",Settings!$C$7,"CUST_TRR_END_DT",Settings!$C$4)/100,"")</f>
        <v/>
      </c>
      <c r="H276" s="9">
        <f>IFERROR(BDP(A276,"CUST_TRR_RETURN_HOLDING_PER","CUST_TRR_START_DT",Settings!$C$8,"CUST_TRR_END_DT",Settings!$C$4)/100,"")</f>
        <v/>
      </c>
    </row>
    <row r="277">
      <c r="A277" s="7" t="inlineStr">
        <is>
          <t>KMB US Equity</t>
        </is>
      </c>
      <c r="B277">
        <f>IFERROR(BDP(A277,"NAME"),"")</f>
        <v/>
      </c>
      <c r="C277">
        <f>IFERROR(BDP(A277,"GICS_SECTOR_NAME"),"")</f>
        <v/>
      </c>
      <c r="D277" s="8">
        <f>IFERROR(BDP(A277,"PX_LAST"),"")</f>
        <v/>
      </c>
      <c r="E277" s="9">
        <f>IFERROR(BDP(A277,"CUST_TRR_RETURN_HOLDING_PER","CUST_TRR_START_DT",Settings!$C$5,"CUST_TRR_END_DT",Settings!$C$4)/100,"")</f>
        <v/>
      </c>
      <c r="F277" s="9">
        <f>IFERROR(BDP(A277,"CUST_TRR_RETURN_HOLDING_PER","CUST_TRR_START_DT",Settings!$C$6,"CUST_TRR_END_DT",Settings!$C$4)/100,"")</f>
        <v/>
      </c>
      <c r="G277" s="9">
        <f>IFERROR(BDP(A277,"CUST_TRR_RETURN_HOLDING_PER","CUST_TRR_START_DT",Settings!$C$7,"CUST_TRR_END_DT",Settings!$C$4)/100,"")</f>
        <v/>
      </c>
      <c r="H277" s="9">
        <f>IFERROR(BDP(A277,"CUST_TRR_RETURN_HOLDING_PER","CUST_TRR_START_DT",Settings!$C$8,"CUST_TRR_END_DT",Settings!$C$4)/100,"")</f>
        <v/>
      </c>
    </row>
    <row r="278">
      <c r="A278" s="7" t="inlineStr">
        <is>
          <t>KMI US Equity</t>
        </is>
      </c>
      <c r="B278">
        <f>IFERROR(BDP(A278,"NAME"),"")</f>
        <v/>
      </c>
      <c r="C278">
        <f>IFERROR(BDP(A278,"GICS_SECTOR_NAME"),"")</f>
        <v/>
      </c>
      <c r="D278" s="8">
        <f>IFERROR(BDP(A278,"PX_LAST"),"")</f>
        <v/>
      </c>
      <c r="E278" s="9">
        <f>IFERROR(BDP(A278,"CUST_TRR_RETURN_HOLDING_PER","CUST_TRR_START_DT",Settings!$C$5,"CUST_TRR_END_DT",Settings!$C$4)/100,"")</f>
        <v/>
      </c>
      <c r="F278" s="9">
        <f>IFERROR(BDP(A278,"CUST_TRR_RETURN_HOLDING_PER","CUST_TRR_START_DT",Settings!$C$6,"CUST_TRR_END_DT",Settings!$C$4)/100,"")</f>
        <v/>
      </c>
      <c r="G278" s="9">
        <f>IFERROR(BDP(A278,"CUST_TRR_RETURN_HOLDING_PER","CUST_TRR_START_DT",Settings!$C$7,"CUST_TRR_END_DT",Settings!$C$4)/100,"")</f>
        <v/>
      </c>
      <c r="H278" s="9">
        <f>IFERROR(BDP(A278,"CUST_TRR_RETURN_HOLDING_PER","CUST_TRR_START_DT",Settings!$C$8,"CUST_TRR_END_DT",Settings!$C$4)/100,"")</f>
        <v/>
      </c>
    </row>
    <row r="279">
      <c r="A279" s="7" t="inlineStr">
        <is>
          <t>KMX US Equity</t>
        </is>
      </c>
      <c r="B279">
        <f>IFERROR(BDP(A279,"NAME"),"")</f>
        <v/>
      </c>
      <c r="C279">
        <f>IFERROR(BDP(A279,"GICS_SECTOR_NAME"),"")</f>
        <v/>
      </c>
      <c r="D279" s="8">
        <f>IFERROR(BDP(A279,"PX_LAST"),"")</f>
        <v/>
      </c>
      <c r="E279" s="9">
        <f>IFERROR(BDP(A279,"CUST_TRR_RETURN_HOLDING_PER","CUST_TRR_START_DT",Settings!$C$5,"CUST_TRR_END_DT",Settings!$C$4)/100,"")</f>
        <v/>
      </c>
      <c r="F279" s="9">
        <f>IFERROR(BDP(A279,"CUST_TRR_RETURN_HOLDING_PER","CUST_TRR_START_DT",Settings!$C$6,"CUST_TRR_END_DT",Settings!$C$4)/100,"")</f>
        <v/>
      </c>
      <c r="G279" s="9">
        <f>IFERROR(BDP(A279,"CUST_TRR_RETURN_HOLDING_PER","CUST_TRR_START_DT",Settings!$C$7,"CUST_TRR_END_DT",Settings!$C$4)/100,"")</f>
        <v/>
      </c>
      <c r="H279" s="9">
        <f>IFERROR(BDP(A279,"CUST_TRR_RETURN_HOLDING_PER","CUST_TRR_START_DT",Settings!$C$8,"CUST_TRR_END_DT",Settings!$C$4)/100,"")</f>
        <v/>
      </c>
    </row>
    <row r="280">
      <c r="A280" s="7" t="inlineStr">
        <is>
          <t>KO US Equity</t>
        </is>
      </c>
      <c r="B280">
        <f>IFERROR(BDP(A280,"NAME"),"")</f>
        <v/>
      </c>
      <c r="C280">
        <f>IFERROR(BDP(A280,"GICS_SECTOR_NAME"),"")</f>
        <v/>
      </c>
      <c r="D280" s="8">
        <f>IFERROR(BDP(A280,"PX_LAST"),"")</f>
        <v/>
      </c>
      <c r="E280" s="9">
        <f>IFERROR(BDP(A280,"CUST_TRR_RETURN_HOLDING_PER","CUST_TRR_START_DT",Settings!$C$5,"CUST_TRR_END_DT",Settings!$C$4)/100,"")</f>
        <v/>
      </c>
      <c r="F280" s="9">
        <f>IFERROR(BDP(A280,"CUST_TRR_RETURN_HOLDING_PER","CUST_TRR_START_DT",Settings!$C$6,"CUST_TRR_END_DT",Settings!$C$4)/100,"")</f>
        <v/>
      </c>
      <c r="G280" s="9">
        <f>IFERROR(BDP(A280,"CUST_TRR_RETURN_HOLDING_PER","CUST_TRR_START_DT",Settings!$C$7,"CUST_TRR_END_DT",Settings!$C$4)/100,"")</f>
        <v/>
      </c>
      <c r="H280" s="9">
        <f>IFERROR(BDP(A280,"CUST_TRR_RETURN_HOLDING_PER","CUST_TRR_START_DT",Settings!$C$8,"CUST_TRR_END_DT",Settings!$C$4)/100,"")</f>
        <v/>
      </c>
    </row>
    <row r="281">
      <c r="A281" s="7" t="inlineStr">
        <is>
          <t>KR US Equity</t>
        </is>
      </c>
      <c r="B281">
        <f>IFERROR(BDP(A281,"NAME"),"")</f>
        <v/>
      </c>
      <c r="C281">
        <f>IFERROR(BDP(A281,"GICS_SECTOR_NAME"),"")</f>
        <v/>
      </c>
      <c r="D281" s="8">
        <f>IFERROR(BDP(A281,"PX_LAST"),"")</f>
        <v/>
      </c>
      <c r="E281" s="9">
        <f>IFERROR(BDP(A281,"CUST_TRR_RETURN_HOLDING_PER","CUST_TRR_START_DT",Settings!$C$5,"CUST_TRR_END_DT",Settings!$C$4)/100,"")</f>
        <v/>
      </c>
      <c r="F281" s="9">
        <f>IFERROR(BDP(A281,"CUST_TRR_RETURN_HOLDING_PER","CUST_TRR_START_DT",Settings!$C$6,"CUST_TRR_END_DT",Settings!$C$4)/100,"")</f>
        <v/>
      </c>
      <c r="G281" s="9">
        <f>IFERROR(BDP(A281,"CUST_TRR_RETURN_HOLDING_PER","CUST_TRR_START_DT",Settings!$C$7,"CUST_TRR_END_DT",Settings!$C$4)/100,"")</f>
        <v/>
      </c>
      <c r="H281" s="9">
        <f>IFERROR(BDP(A281,"CUST_TRR_RETURN_HOLDING_PER","CUST_TRR_START_DT",Settings!$C$8,"CUST_TRR_END_DT",Settings!$C$4)/100,"")</f>
        <v/>
      </c>
    </row>
    <row r="282">
      <c r="A282" s="7" t="inlineStr">
        <is>
          <t>KVUE US Equity</t>
        </is>
      </c>
      <c r="B282">
        <f>IFERROR(BDP(A282,"NAME"),"")</f>
        <v/>
      </c>
      <c r="C282">
        <f>IFERROR(BDP(A282,"GICS_SECTOR_NAME"),"")</f>
        <v/>
      </c>
      <c r="D282" s="8">
        <f>IFERROR(BDP(A282,"PX_LAST"),"")</f>
        <v/>
      </c>
      <c r="E282" s="9">
        <f>IFERROR(BDP(A282,"CUST_TRR_RETURN_HOLDING_PER","CUST_TRR_START_DT",Settings!$C$5,"CUST_TRR_END_DT",Settings!$C$4)/100,"")</f>
        <v/>
      </c>
      <c r="F282" s="9">
        <f>IFERROR(BDP(A282,"CUST_TRR_RETURN_HOLDING_PER","CUST_TRR_START_DT",Settings!$C$6,"CUST_TRR_END_DT",Settings!$C$4)/100,"")</f>
        <v/>
      </c>
      <c r="G282" s="9">
        <f>IFERROR(BDP(A282,"CUST_TRR_RETURN_HOLDING_PER","CUST_TRR_START_DT",Settings!$C$7,"CUST_TRR_END_DT",Settings!$C$4)/100,"")</f>
        <v/>
      </c>
      <c r="H282" s="9">
        <f>IFERROR(BDP(A282,"CUST_TRR_RETURN_HOLDING_PER","CUST_TRR_START_DT",Settings!$C$8,"CUST_TRR_END_DT",Settings!$C$4)/100,"")</f>
        <v/>
      </c>
    </row>
    <row r="283">
      <c r="A283" s="7" t="inlineStr">
        <is>
          <t>L US Equity</t>
        </is>
      </c>
      <c r="B283">
        <f>IFERROR(BDP(A283,"NAME"),"")</f>
        <v/>
      </c>
      <c r="C283">
        <f>IFERROR(BDP(A283,"GICS_SECTOR_NAME"),"")</f>
        <v/>
      </c>
      <c r="D283" s="8">
        <f>IFERROR(BDP(A283,"PX_LAST"),"")</f>
        <v/>
      </c>
      <c r="E283" s="9">
        <f>IFERROR(BDP(A283,"CUST_TRR_RETURN_HOLDING_PER","CUST_TRR_START_DT",Settings!$C$5,"CUST_TRR_END_DT",Settings!$C$4)/100,"")</f>
        <v/>
      </c>
      <c r="F283" s="9">
        <f>IFERROR(BDP(A283,"CUST_TRR_RETURN_HOLDING_PER","CUST_TRR_START_DT",Settings!$C$6,"CUST_TRR_END_DT",Settings!$C$4)/100,"")</f>
        <v/>
      </c>
      <c r="G283" s="9">
        <f>IFERROR(BDP(A283,"CUST_TRR_RETURN_HOLDING_PER","CUST_TRR_START_DT",Settings!$C$7,"CUST_TRR_END_DT",Settings!$C$4)/100,"")</f>
        <v/>
      </c>
      <c r="H283" s="9">
        <f>IFERROR(BDP(A283,"CUST_TRR_RETURN_HOLDING_PER","CUST_TRR_START_DT",Settings!$C$8,"CUST_TRR_END_DT",Settings!$C$4)/100,"")</f>
        <v/>
      </c>
    </row>
    <row r="284">
      <c r="A284" s="7" t="inlineStr">
        <is>
          <t>LDOS US Equity</t>
        </is>
      </c>
      <c r="B284">
        <f>IFERROR(BDP(A284,"NAME"),"")</f>
        <v/>
      </c>
      <c r="C284">
        <f>IFERROR(BDP(A284,"GICS_SECTOR_NAME"),"")</f>
        <v/>
      </c>
      <c r="D284" s="8">
        <f>IFERROR(BDP(A284,"PX_LAST"),"")</f>
        <v/>
      </c>
      <c r="E284" s="9">
        <f>IFERROR(BDP(A284,"CUST_TRR_RETURN_HOLDING_PER","CUST_TRR_START_DT",Settings!$C$5,"CUST_TRR_END_DT",Settings!$C$4)/100,"")</f>
        <v/>
      </c>
      <c r="F284" s="9">
        <f>IFERROR(BDP(A284,"CUST_TRR_RETURN_HOLDING_PER","CUST_TRR_START_DT",Settings!$C$6,"CUST_TRR_END_DT",Settings!$C$4)/100,"")</f>
        <v/>
      </c>
      <c r="G284" s="9">
        <f>IFERROR(BDP(A284,"CUST_TRR_RETURN_HOLDING_PER","CUST_TRR_START_DT",Settings!$C$7,"CUST_TRR_END_DT",Settings!$C$4)/100,"")</f>
        <v/>
      </c>
      <c r="H284" s="9">
        <f>IFERROR(BDP(A284,"CUST_TRR_RETURN_HOLDING_PER","CUST_TRR_START_DT",Settings!$C$8,"CUST_TRR_END_DT",Settings!$C$4)/100,"")</f>
        <v/>
      </c>
    </row>
    <row r="285">
      <c r="A285" s="7" t="inlineStr">
        <is>
          <t>LEN US Equity</t>
        </is>
      </c>
      <c r="B285">
        <f>IFERROR(BDP(A285,"NAME"),"")</f>
        <v/>
      </c>
      <c r="C285">
        <f>IFERROR(BDP(A285,"GICS_SECTOR_NAME"),"")</f>
        <v/>
      </c>
      <c r="D285" s="8">
        <f>IFERROR(BDP(A285,"PX_LAST"),"")</f>
        <v/>
      </c>
      <c r="E285" s="9">
        <f>IFERROR(BDP(A285,"CUST_TRR_RETURN_HOLDING_PER","CUST_TRR_START_DT",Settings!$C$5,"CUST_TRR_END_DT",Settings!$C$4)/100,"")</f>
        <v/>
      </c>
      <c r="F285" s="9">
        <f>IFERROR(BDP(A285,"CUST_TRR_RETURN_HOLDING_PER","CUST_TRR_START_DT",Settings!$C$6,"CUST_TRR_END_DT",Settings!$C$4)/100,"")</f>
        <v/>
      </c>
      <c r="G285" s="9">
        <f>IFERROR(BDP(A285,"CUST_TRR_RETURN_HOLDING_PER","CUST_TRR_START_DT",Settings!$C$7,"CUST_TRR_END_DT",Settings!$C$4)/100,"")</f>
        <v/>
      </c>
      <c r="H285" s="9">
        <f>IFERROR(BDP(A285,"CUST_TRR_RETURN_HOLDING_PER","CUST_TRR_START_DT",Settings!$C$8,"CUST_TRR_END_DT",Settings!$C$4)/100,"")</f>
        <v/>
      </c>
    </row>
    <row r="286">
      <c r="A286" s="7" t="inlineStr">
        <is>
          <t>LH US Equity</t>
        </is>
      </c>
      <c r="B286">
        <f>IFERROR(BDP(A286,"NAME"),"")</f>
        <v/>
      </c>
      <c r="C286">
        <f>IFERROR(BDP(A286,"GICS_SECTOR_NAME"),"")</f>
        <v/>
      </c>
      <c r="D286" s="8">
        <f>IFERROR(BDP(A286,"PX_LAST"),"")</f>
        <v/>
      </c>
      <c r="E286" s="9">
        <f>IFERROR(BDP(A286,"CUST_TRR_RETURN_HOLDING_PER","CUST_TRR_START_DT",Settings!$C$5,"CUST_TRR_END_DT",Settings!$C$4)/100,"")</f>
        <v/>
      </c>
      <c r="F286" s="9">
        <f>IFERROR(BDP(A286,"CUST_TRR_RETURN_HOLDING_PER","CUST_TRR_START_DT",Settings!$C$6,"CUST_TRR_END_DT",Settings!$C$4)/100,"")</f>
        <v/>
      </c>
      <c r="G286" s="9">
        <f>IFERROR(BDP(A286,"CUST_TRR_RETURN_HOLDING_PER","CUST_TRR_START_DT",Settings!$C$7,"CUST_TRR_END_DT",Settings!$C$4)/100,"")</f>
        <v/>
      </c>
      <c r="H286" s="9">
        <f>IFERROR(BDP(A286,"CUST_TRR_RETURN_HOLDING_PER","CUST_TRR_START_DT",Settings!$C$8,"CUST_TRR_END_DT",Settings!$C$4)/100,"")</f>
        <v/>
      </c>
    </row>
    <row r="287">
      <c r="A287" s="7" t="inlineStr">
        <is>
          <t>LHX US Equity</t>
        </is>
      </c>
      <c r="B287">
        <f>IFERROR(BDP(A287,"NAME"),"")</f>
        <v/>
      </c>
      <c r="C287">
        <f>IFERROR(BDP(A287,"GICS_SECTOR_NAME"),"")</f>
        <v/>
      </c>
      <c r="D287" s="8">
        <f>IFERROR(BDP(A287,"PX_LAST"),"")</f>
        <v/>
      </c>
      <c r="E287" s="9">
        <f>IFERROR(BDP(A287,"CUST_TRR_RETURN_HOLDING_PER","CUST_TRR_START_DT",Settings!$C$5,"CUST_TRR_END_DT",Settings!$C$4)/100,"")</f>
        <v/>
      </c>
      <c r="F287" s="9">
        <f>IFERROR(BDP(A287,"CUST_TRR_RETURN_HOLDING_PER","CUST_TRR_START_DT",Settings!$C$6,"CUST_TRR_END_DT",Settings!$C$4)/100,"")</f>
        <v/>
      </c>
      <c r="G287" s="9">
        <f>IFERROR(BDP(A287,"CUST_TRR_RETURN_HOLDING_PER","CUST_TRR_START_DT",Settings!$C$7,"CUST_TRR_END_DT",Settings!$C$4)/100,"")</f>
        <v/>
      </c>
      <c r="H287" s="9">
        <f>IFERROR(BDP(A287,"CUST_TRR_RETURN_HOLDING_PER","CUST_TRR_START_DT",Settings!$C$8,"CUST_TRR_END_DT",Settings!$C$4)/100,"")</f>
        <v/>
      </c>
    </row>
    <row r="288">
      <c r="A288" s="7" t="inlineStr">
        <is>
          <t>LIN US Equity</t>
        </is>
      </c>
      <c r="B288">
        <f>IFERROR(BDP(A288,"NAME"),"")</f>
        <v/>
      </c>
      <c r="C288">
        <f>IFERROR(BDP(A288,"GICS_SECTOR_NAME"),"")</f>
        <v/>
      </c>
      <c r="D288" s="8">
        <f>IFERROR(BDP(A288,"PX_LAST"),"")</f>
        <v/>
      </c>
      <c r="E288" s="9">
        <f>IFERROR(BDP(A288,"CUST_TRR_RETURN_HOLDING_PER","CUST_TRR_START_DT",Settings!$C$5,"CUST_TRR_END_DT",Settings!$C$4)/100,"")</f>
        <v/>
      </c>
      <c r="F288" s="9">
        <f>IFERROR(BDP(A288,"CUST_TRR_RETURN_HOLDING_PER","CUST_TRR_START_DT",Settings!$C$6,"CUST_TRR_END_DT",Settings!$C$4)/100,"")</f>
        <v/>
      </c>
      <c r="G288" s="9">
        <f>IFERROR(BDP(A288,"CUST_TRR_RETURN_HOLDING_PER","CUST_TRR_START_DT",Settings!$C$7,"CUST_TRR_END_DT",Settings!$C$4)/100,"")</f>
        <v/>
      </c>
      <c r="H288" s="9">
        <f>IFERROR(BDP(A288,"CUST_TRR_RETURN_HOLDING_PER","CUST_TRR_START_DT",Settings!$C$8,"CUST_TRR_END_DT",Settings!$C$4)/100,"")</f>
        <v/>
      </c>
    </row>
    <row r="289">
      <c r="A289" s="7" t="inlineStr">
        <is>
          <t>LKQ US Equity</t>
        </is>
      </c>
      <c r="B289">
        <f>IFERROR(BDP(A289,"NAME"),"")</f>
        <v/>
      </c>
      <c r="C289">
        <f>IFERROR(BDP(A289,"GICS_SECTOR_NAME"),"")</f>
        <v/>
      </c>
      <c r="D289" s="8">
        <f>IFERROR(BDP(A289,"PX_LAST"),"")</f>
        <v/>
      </c>
      <c r="E289" s="9">
        <f>IFERROR(BDP(A289,"CUST_TRR_RETURN_HOLDING_PER","CUST_TRR_START_DT",Settings!$C$5,"CUST_TRR_END_DT",Settings!$C$4)/100,"")</f>
        <v/>
      </c>
      <c r="F289" s="9">
        <f>IFERROR(BDP(A289,"CUST_TRR_RETURN_HOLDING_PER","CUST_TRR_START_DT",Settings!$C$6,"CUST_TRR_END_DT",Settings!$C$4)/100,"")</f>
        <v/>
      </c>
      <c r="G289" s="9">
        <f>IFERROR(BDP(A289,"CUST_TRR_RETURN_HOLDING_PER","CUST_TRR_START_DT",Settings!$C$7,"CUST_TRR_END_DT",Settings!$C$4)/100,"")</f>
        <v/>
      </c>
      <c r="H289" s="9">
        <f>IFERROR(BDP(A289,"CUST_TRR_RETURN_HOLDING_PER","CUST_TRR_START_DT",Settings!$C$8,"CUST_TRR_END_DT",Settings!$C$4)/100,"")</f>
        <v/>
      </c>
    </row>
    <row r="290">
      <c r="A290" s="7" t="inlineStr">
        <is>
          <t>LLY US Equity</t>
        </is>
      </c>
      <c r="B290">
        <f>IFERROR(BDP(A290,"NAME"),"")</f>
        <v/>
      </c>
      <c r="C290">
        <f>IFERROR(BDP(A290,"GICS_SECTOR_NAME"),"")</f>
        <v/>
      </c>
      <c r="D290" s="8">
        <f>IFERROR(BDP(A290,"PX_LAST"),"")</f>
        <v/>
      </c>
      <c r="E290" s="9">
        <f>IFERROR(BDP(A290,"CUST_TRR_RETURN_HOLDING_PER","CUST_TRR_START_DT",Settings!$C$5,"CUST_TRR_END_DT",Settings!$C$4)/100,"")</f>
        <v/>
      </c>
      <c r="F290" s="9">
        <f>IFERROR(BDP(A290,"CUST_TRR_RETURN_HOLDING_PER","CUST_TRR_START_DT",Settings!$C$6,"CUST_TRR_END_DT",Settings!$C$4)/100,"")</f>
        <v/>
      </c>
      <c r="G290" s="9">
        <f>IFERROR(BDP(A290,"CUST_TRR_RETURN_HOLDING_PER","CUST_TRR_START_DT",Settings!$C$7,"CUST_TRR_END_DT",Settings!$C$4)/100,"")</f>
        <v/>
      </c>
      <c r="H290" s="9">
        <f>IFERROR(BDP(A290,"CUST_TRR_RETURN_HOLDING_PER","CUST_TRR_START_DT",Settings!$C$8,"CUST_TRR_END_DT",Settings!$C$4)/100,"")</f>
        <v/>
      </c>
    </row>
    <row r="291">
      <c r="A291" s="7" t="inlineStr">
        <is>
          <t>LMT US Equity</t>
        </is>
      </c>
      <c r="B291">
        <f>IFERROR(BDP(A291,"NAME"),"")</f>
        <v/>
      </c>
      <c r="C291">
        <f>IFERROR(BDP(A291,"GICS_SECTOR_NAME"),"")</f>
        <v/>
      </c>
      <c r="D291" s="8">
        <f>IFERROR(BDP(A291,"PX_LAST"),"")</f>
        <v/>
      </c>
      <c r="E291" s="9">
        <f>IFERROR(BDP(A291,"CUST_TRR_RETURN_HOLDING_PER","CUST_TRR_START_DT",Settings!$C$5,"CUST_TRR_END_DT",Settings!$C$4)/100,"")</f>
        <v/>
      </c>
      <c r="F291" s="9">
        <f>IFERROR(BDP(A291,"CUST_TRR_RETURN_HOLDING_PER","CUST_TRR_START_DT",Settings!$C$6,"CUST_TRR_END_DT",Settings!$C$4)/100,"")</f>
        <v/>
      </c>
      <c r="G291" s="9">
        <f>IFERROR(BDP(A291,"CUST_TRR_RETURN_HOLDING_PER","CUST_TRR_START_DT",Settings!$C$7,"CUST_TRR_END_DT",Settings!$C$4)/100,"")</f>
        <v/>
      </c>
      <c r="H291" s="9">
        <f>IFERROR(BDP(A291,"CUST_TRR_RETURN_HOLDING_PER","CUST_TRR_START_DT",Settings!$C$8,"CUST_TRR_END_DT",Settings!$C$4)/100,"")</f>
        <v/>
      </c>
    </row>
    <row r="292">
      <c r="A292" s="7" t="inlineStr">
        <is>
          <t>LNT US Equity</t>
        </is>
      </c>
      <c r="B292">
        <f>IFERROR(BDP(A292,"NAME"),"")</f>
        <v/>
      </c>
      <c r="C292">
        <f>IFERROR(BDP(A292,"GICS_SECTOR_NAME"),"")</f>
        <v/>
      </c>
      <c r="D292" s="8">
        <f>IFERROR(BDP(A292,"PX_LAST"),"")</f>
        <v/>
      </c>
      <c r="E292" s="9">
        <f>IFERROR(BDP(A292,"CUST_TRR_RETURN_HOLDING_PER","CUST_TRR_START_DT",Settings!$C$5,"CUST_TRR_END_DT",Settings!$C$4)/100,"")</f>
        <v/>
      </c>
      <c r="F292" s="9">
        <f>IFERROR(BDP(A292,"CUST_TRR_RETURN_HOLDING_PER","CUST_TRR_START_DT",Settings!$C$6,"CUST_TRR_END_DT",Settings!$C$4)/100,"")</f>
        <v/>
      </c>
      <c r="G292" s="9">
        <f>IFERROR(BDP(A292,"CUST_TRR_RETURN_HOLDING_PER","CUST_TRR_START_DT",Settings!$C$7,"CUST_TRR_END_DT",Settings!$C$4)/100,"")</f>
        <v/>
      </c>
      <c r="H292" s="9">
        <f>IFERROR(BDP(A292,"CUST_TRR_RETURN_HOLDING_PER","CUST_TRR_START_DT",Settings!$C$8,"CUST_TRR_END_DT",Settings!$C$4)/100,"")</f>
        <v/>
      </c>
    </row>
    <row r="293">
      <c r="A293" s="7" t="inlineStr">
        <is>
          <t>LOW US Equity</t>
        </is>
      </c>
      <c r="B293">
        <f>IFERROR(BDP(A293,"NAME"),"")</f>
        <v/>
      </c>
      <c r="C293">
        <f>IFERROR(BDP(A293,"GICS_SECTOR_NAME"),"")</f>
        <v/>
      </c>
      <c r="D293" s="8">
        <f>IFERROR(BDP(A293,"PX_LAST"),"")</f>
        <v/>
      </c>
      <c r="E293" s="9">
        <f>IFERROR(BDP(A293,"CUST_TRR_RETURN_HOLDING_PER","CUST_TRR_START_DT",Settings!$C$5,"CUST_TRR_END_DT",Settings!$C$4)/100,"")</f>
        <v/>
      </c>
      <c r="F293" s="9">
        <f>IFERROR(BDP(A293,"CUST_TRR_RETURN_HOLDING_PER","CUST_TRR_START_DT",Settings!$C$6,"CUST_TRR_END_DT",Settings!$C$4)/100,"")</f>
        <v/>
      </c>
      <c r="G293" s="9">
        <f>IFERROR(BDP(A293,"CUST_TRR_RETURN_HOLDING_PER","CUST_TRR_START_DT",Settings!$C$7,"CUST_TRR_END_DT",Settings!$C$4)/100,"")</f>
        <v/>
      </c>
      <c r="H293" s="9">
        <f>IFERROR(BDP(A293,"CUST_TRR_RETURN_HOLDING_PER","CUST_TRR_START_DT",Settings!$C$8,"CUST_TRR_END_DT",Settings!$C$4)/100,"")</f>
        <v/>
      </c>
    </row>
    <row r="294">
      <c r="A294" s="7" t="inlineStr">
        <is>
          <t>LRCX US Equity</t>
        </is>
      </c>
      <c r="B294">
        <f>IFERROR(BDP(A294,"NAME"),"")</f>
        <v/>
      </c>
      <c r="C294">
        <f>IFERROR(BDP(A294,"GICS_SECTOR_NAME"),"")</f>
        <v/>
      </c>
      <c r="D294" s="8">
        <f>IFERROR(BDP(A294,"PX_LAST"),"")</f>
        <v/>
      </c>
      <c r="E294" s="9">
        <f>IFERROR(BDP(A294,"CUST_TRR_RETURN_HOLDING_PER","CUST_TRR_START_DT",Settings!$C$5,"CUST_TRR_END_DT",Settings!$C$4)/100,"")</f>
        <v/>
      </c>
      <c r="F294" s="9">
        <f>IFERROR(BDP(A294,"CUST_TRR_RETURN_HOLDING_PER","CUST_TRR_START_DT",Settings!$C$6,"CUST_TRR_END_DT",Settings!$C$4)/100,"")</f>
        <v/>
      </c>
      <c r="G294" s="9">
        <f>IFERROR(BDP(A294,"CUST_TRR_RETURN_HOLDING_PER","CUST_TRR_START_DT",Settings!$C$7,"CUST_TRR_END_DT",Settings!$C$4)/100,"")</f>
        <v/>
      </c>
      <c r="H294" s="9">
        <f>IFERROR(BDP(A294,"CUST_TRR_RETURN_HOLDING_PER","CUST_TRR_START_DT",Settings!$C$8,"CUST_TRR_END_DT",Settings!$C$4)/100,"")</f>
        <v/>
      </c>
    </row>
    <row r="295">
      <c r="A295" s="7" t="inlineStr">
        <is>
          <t>LULU US Equity</t>
        </is>
      </c>
      <c r="B295">
        <f>IFERROR(BDP(A295,"NAME"),"")</f>
        <v/>
      </c>
      <c r="C295">
        <f>IFERROR(BDP(A295,"GICS_SECTOR_NAME"),"")</f>
        <v/>
      </c>
      <c r="D295" s="8">
        <f>IFERROR(BDP(A295,"PX_LAST"),"")</f>
        <v/>
      </c>
      <c r="E295" s="9">
        <f>IFERROR(BDP(A295,"CUST_TRR_RETURN_HOLDING_PER","CUST_TRR_START_DT",Settings!$C$5,"CUST_TRR_END_DT",Settings!$C$4)/100,"")</f>
        <v/>
      </c>
      <c r="F295" s="9">
        <f>IFERROR(BDP(A295,"CUST_TRR_RETURN_HOLDING_PER","CUST_TRR_START_DT",Settings!$C$6,"CUST_TRR_END_DT",Settings!$C$4)/100,"")</f>
        <v/>
      </c>
      <c r="G295" s="9">
        <f>IFERROR(BDP(A295,"CUST_TRR_RETURN_HOLDING_PER","CUST_TRR_START_DT",Settings!$C$7,"CUST_TRR_END_DT",Settings!$C$4)/100,"")</f>
        <v/>
      </c>
      <c r="H295" s="9">
        <f>IFERROR(BDP(A295,"CUST_TRR_RETURN_HOLDING_PER","CUST_TRR_START_DT",Settings!$C$8,"CUST_TRR_END_DT",Settings!$C$4)/100,"")</f>
        <v/>
      </c>
    </row>
    <row r="296">
      <c r="A296" s="7" t="inlineStr">
        <is>
          <t>LUV US Equity</t>
        </is>
      </c>
      <c r="B296">
        <f>IFERROR(BDP(A296,"NAME"),"")</f>
        <v/>
      </c>
      <c r="C296">
        <f>IFERROR(BDP(A296,"GICS_SECTOR_NAME"),"")</f>
        <v/>
      </c>
      <c r="D296" s="8">
        <f>IFERROR(BDP(A296,"PX_LAST"),"")</f>
        <v/>
      </c>
      <c r="E296" s="9">
        <f>IFERROR(BDP(A296,"CUST_TRR_RETURN_HOLDING_PER","CUST_TRR_START_DT",Settings!$C$5,"CUST_TRR_END_DT",Settings!$C$4)/100,"")</f>
        <v/>
      </c>
      <c r="F296" s="9">
        <f>IFERROR(BDP(A296,"CUST_TRR_RETURN_HOLDING_PER","CUST_TRR_START_DT",Settings!$C$6,"CUST_TRR_END_DT",Settings!$C$4)/100,"")</f>
        <v/>
      </c>
      <c r="G296" s="9">
        <f>IFERROR(BDP(A296,"CUST_TRR_RETURN_HOLDING_PER","CUST_TRR_START_DT",Settings!$C$7,"CUST_TRR_END_DT",Settings!$C$4)/100,"")</f>
        <v/>
      </c>
      <c r="H296" s="9">
        <f>IFERROR(BDP(A296,"CUST_TRR_RETURN_HOLDING_PER","CUST_TRR_START_DT",Settings!$C$8,"CUST_TRR_END_DT",Settings!$C$4)/100,"")</f>
        <v/>
      </c>
    </row>
    <row r="297">
      <c r="A297" s="7" t="inlineStr">
        <is>
          <t>LVS US Equity</t>
        </is>
      </c>
      <c r="B297">
        <f>IFERROR(BDP(A297,"NAME"),"")</f>
        <v/>
      </c>
      <c r="C297">
        <f>IFERROR(BDP(A297,"GICS_SECTOR_NAME"),"")</f>
        <v/>
      </c>
      <c r="D297" s="8">
        <f>IFERROR(BDP(A297,"PX_LAST"),"")</f>
        <v/>
      </c>
      <c r="E297" s="9">
        <f>IFERROR(BDP(A297,"CUST_TRR_RETURN_HOLDING_PER","CUST_TRR_START_DT",Settings!$C$5,"CUST_TRR_END_DT",Settings!$C$4)/100,"")</f>
        <v/>
      </c>
      <c r="F297" s="9">
        <f>IFERROR(BDP(A297,"CUST_TRR_RETURN_HOLDING_PER","CUST_TRR_START_DT",Settings!$C$6,"CUST_TRR_END_DT",Settings!$C$4)/100,"")</f>
        <v/>
      </c>
      <c r="G297" s="9">
        <f>IFERROR(BDP(A297,"CUST_TRR_RETURN_HOLDING_PER","CUST_TRR_START_DT",Settings!$C$7,"CUST_TRR_END_DT",Settings!$C$4)/100,"")</f>
        <v/>
      </c>
      <c r="H297" s="9">
        <f>IFERROR(BDP(A297,"CUST_TRR_RETURN_HOLDING_PER","CUST_TRR_START_DT",Settings!$C$8,"CUST_TRR_END_DT",Settings!$C$4)/100,"")</f>
        <v/>
      </c>
    </row>
    <row r="298">
      <c r="A298" s="7" t="inlineStr">
        <is>
          <t>LW US Equity</t>
        </is>
      </c>
      <c r="B298">
        <f>IFERROR(BDP(A298,"NAME"),"")</f>
        <v/>
      </c>
      <c r="C298">
        <f>IFERROR(BDP(A298,"GICS_SECTOR_NAME"),"")</f>
        <v/>
      </c>
      <c r="D298" s="8">
        <f>IFERROR(BDP(A298,"PX_LAST"),"")</f>
        <v/>
      </c>
      <c r="E298" s="9">
        <f>IFERROR(BDP(A298,"CUST_TRR_RETURN_HOLDING_PER","CUST_TRR_START_DT",Settings!$C$5,"CUST_TRR_END_DT",Settings!$C$4)/100,"")</f>
        <v/>
      </c>
      <c r="F298" s="9">
        <f>IFERROR(BDP(A298,"CUST_TRR_RETURN_HOLDING_PER","CUST_TRR_START_DT",Settings!$C$6,"CUST_TRR_END_DT",Settings!$C$4)/100,"")</f>
        <v/>
      </c>
      <c r="G298" s="9">
        <f>IFERROR(BDP(A298,"CUST_TRR_RETURN_HOLDING_PER","CUST_TRR_START_DT",Settings!$C$7,"CUST_TRR_END_DT",Settings!$C$4)/100,"")</f>
        <v/>
      </c>
      <c r="H298" s="9">
        <f>IFERROR(BDP(A298,"CUST_TRR_RETURN_HOLDING_PER","CUST_TRR_START_DT",Settings!$C$8,"CUST_TRR_END_DT",Settings!$C$4)/100,"")</f>
        <v/>
      </c>
    </row>
    <row r="299">
      <c r="A299" s="7" t="inlineStr">
        <is>
          <t>LYB US Equity</t>
        </is>
      </c>
      <c r="B299">
        <f>IFERROR(BDP(A299,"NAME"),"")</f>
        <v/>
      </c>
      <c r="C299">
        <f>IFERROR(BDP(A299,"GICS_SECTOR_NAME"),"")</f>
        <v/>
      </c>
      <c r="D299" s="8">
        <f>IFERROR(BDP(A299,"PX_LAST"),"")</f>
        <v/>
      </c>
      <c r="E299" s="9">
        <f>IFERROR(BDP(A299,"CUST_TRR_RETURN_HOLDING_PER","CUST_TRR_START_DT",Settings!$C$5,"CUST_TRR_END_DT",Settings!$C$4)/100,"")</f>
        <v/>
      </c>
      <c r="F299" s="9">
        <f>IFERROR(BDP(A299,"CUST_TRR_RETURN_HOLDING_PER","CUST_TRR_START_DT",Settings!$C$6,"CUST_TRR_END_DT",Settings!$C$4)/100,"")</f>
        <v/>
      </c>
      <c r="G299" s="9">
        <f>IFERROR(BDP(A299,"CUST_TRR_RETURN_HOLDING_PER","CUST_TRR_START_DT",Settings!$C$7,"CUST_TRR_END_DT",Settings!$C$4)/100,"")</f>
        <v/>
      </c>
      <c r="H299" s="9">
        <f>IFERROR(BDP(A299,"CUST_TRR_RETURN_HOLDING_PER","CUST_TRR_START_DT",Settings!$C$8,"CUST_TRR_END_DT",Settings!$C$4)/100,"")</f>
        <v/>
      </c>
    </row>
    <row r="300">
      <c r="A300" s="7" t="inlineStr">
        <is>
          <t>LYV US Equity</t>
        </is>
      </c>
      <c r="B300">
        <f>IFERROR(BDP(A300,"NAME"),"")</f>
        <v/>
      </c>
      <c r="C300">
        <f>IFERROR(BDP(A300,"GICS_SECTOR_NAME"),"")</f>
        <v/>
      </c>
      <c r="D300" s="8">
        <f>IFERROR(BDP(A300,"PX_LAST"),"")</f>
        <v/>
      </c>
      <c r="E300" s="9">
        <f>IFERROR(BDP(A300,"CUST_TRR_RETURN_HOLDING_PER","CUST_TRR_START_DT",Settings!$C$5,"CUST_TRR_END_DT",Settings!$C$4)/100,"")</f>
        <v/>
      </c>
      <c r="F300" s="9">
        <f>IFERROR(BDP(A300,"CUST_TRR_RETURN_HOLDING_PER","CUST_TRR_START_DT",Settings!$C$6,"CUST_TRR_END_DT",Settings!$C$4)/100,"")</f>
        <v/>
      </c>
      <c r="G300" s="9">
        <f>IFERROR(BDP(A300,"CUST_TRR_RETURN_HOLDING_PER","CUST_TRR_START_DT",Settings!$C$7,"CUST_TRR_END_DT",Settings!$C$4)/100,"")</f>
        <v/>
      </c>
      <c r="H300" s="9">
        <f>IFERROR(BDP(A300,"CUST_TRR_RETURN_HOLDING_PER","CUST_TRR_START_DT",Settings!$C$8,"CUST_TRR_END_DT",Settings!$C$4)/100,"")</f>
        <v/>
      </c>
    </row>
    <row r="301">
      <c r="A301" s="7" t="inlineStr">
        <is>
          <t>MA US Equity</t>
        </is>
      </c>
      <c r="B301">
        <f>IFERROR(BDP(A301,"NAME"),"")</f>
        <v/>
      </c>
      <c r="C301">
        <f>IFERROR(BDP(A301,"GICS_SECTOR_NAME"),"")</f>
        <v/>
      </c>
      <c r="D301" s="8">
        <f>IFERROR(BDP(A301,"PX_LAST"),"")</f>
        <v/>
      </c>
      <c r="E301" s="9">
        <f>IFERROR(BDP(A301,"CUST_TRR_RETURN_HOLDING_PER","CUST_TRR_START_DT",Settings!$C$5,"CUST_TRR_END_DT",Settings!$C$4)/100,"")</f>
        <v/>
      </c>
      <c r="F301" s="9">
        <f>IFERROR(BDP(A301,"CUST_TRR_RETURN_HOLDING_PER","CUST_TRR_START_DT",Settings!$C$6,"CUST_TRR_END_DT",Settings!$C$4)/100,"")</f>
        <v/>
      </c>
      <c r="G301" s="9">
        <f>IFERROR(BDP(A301,"CUST_TRR_RETURN_HOLDING_PER","CUST_TRR_START_DT",Settings!$C$7,"CUST_TRR_END_DT",Settings!$C$4)/100,"")</f>
        <v/>
      </c>
      <c r="H301" s="9">
        <f>IFERROR(BDP(A301,"CUST_TRR_RETURN_HOLDING_PER","CUST_TRR_START_DT",Settings!$C$8,"CUST_TRR_END_DT",Settings!$C$4)/100,"")</f>
        <v/>
      </c>
    </row>
    <row r="302">
      <c r="A302" s="7" t="inlineStr">
        <is>
          <t>MAA US Equity</t>
        </is>
      </c>
      <c r="B302">
        <f>IFERROR(BDP(A302,"NAME"),"")</f>
        <v/>
      </c>
      <c r="C302">
        <f>IFERROR(BDP(A302,"GICS_SECTOR_NAME"),"")</f>
        <v/>
      </c>
      <c r="D302" s="8">
        <f>IFERROR(BDP(A302,"PX_LAST"),"")</f>
        <v/>
      </c>
      <c r="E302" s="9">
        <f>IFERROR(BDP(A302,"CUST_TRR_RETURN_HOLDING_PER","CUST_TRR_START_DT",Settings!$C$5,"CUST_TRR_END_DT",Settings!$C$4)/100,"")</f>
        <v/>
      </c>
      <c r="F302" s="9">
        <f>IFERROR(BDP(A302,"CUST_TRR_RETURN_HOLDING_PER","CUST_TRR_START_DT",Settings!$C$6,"CUST_TRR_END_DT",Settings!$C$4)/100,"")</f>
        <v/>
      </c>
      <c r="G302" s="9">
        <f>IFERROR(BDP(A302,"CUST_TRR_RETURN_HOLDING_PER","CUST_TRR_START_DT",Settings!$C$7,"CUST_TRR_END_DT",Settings!$C$4)/100,"")</f>
        <v/>
      </c>
      <c r="H302" s="9">
        <f>IFERROR(BDP(A302,"CUST_TRR_RETURN_HOLDING_PER","CUST_TRR_START_DT",Settings!$C$8,"CUST_TRR_END_DT",Settings!$C$4)/100,"")</f>
        <v/>
      </c>
    </row>
    <row r="303">
      <c r="A303" s="7" t="inlineStr">
        <is>
          <t>MAR US Equity</t>
        </is>
      </c>
      <c r="B303">
        <f>IFERROR(BDP(A303,"NAME"),"")</f>
        <v/>
      </c>
      <c r="C303">
        <f>IFERROR(BDP(A303,"GICS_SECTOR_NAME"),"")</f>
        <v/>
      </c>
      <c r="D303" s="8">
        <f>IFERROR(BDP(A303,"PX_LAST"),"")</f>
        <v/>
      </c>
      <c r="E303" s="9">
        <f>IFERROR(BDP(A303,"CUST_TRR_RETURN_HOLDING_PER","CUST_TRR_START_DT",Settings!$C$5,"CUST_TRR_END_DT",Settings!$C$4)/100,"")</f>
        <v/>
      </c>
      <c r="F303" s="9">
        <f>IFERROR(BDP(A303,"CUST_TRR_RETURN_HOLDING_PER","CUST_TRR_START_DT",Settings!$C$6,"CUST_TRR_END_DT",Settings!$C$4)/100,"")</f>
        <v/>
      </c>
      <c r="G303" s="9">
        <f>IFERROR(BDP(A303,"CUST_TRR_RETURN_HOLDING_PER","CUST_TRR_START_DT",Settings!$C$7,"CUST_TRR_END_DT",Settings!$C$4)/100,"")</f>
        <v/>
      </c>
      <c r="H303" s="9">
        <f>IFERROR(BDP(A303,"CUST_TRR_RETURN_HOLDING_PER","CUST_TRR_START_DT",Settings!$C$8,"CUST_TRR_END_DT",Settings!$C$4)/100,"")</f>
        <v/>
      </c>
    </row>
    <row r="304">
      <c r="A304" s="7" t="inlineStr">
        <is>
          <t>MAS US Equity</t>
        </is>
      </c>
      <c r="B304">
        <f>IFERROR(BDP(A304,"NAME"),"")</f>
        <v/>
      </c>
      <c r="C304">
        <f>IFERROR(BDP(A304,"GICS_SECTOR_NAME"),"")</f>
        <v/>
      </c>
      <c r="D304" s="8">
        <f>IFERROR(BDP(A304,"PX_LAST"),"")</f>
        <v/>
      </c>
      <c r="E304" s="9">
        <f>IFERROR(BDP(A304,"CUST_TRR_RETURN_HOLDING_PER","CUST_TRR_START_DT",Settings!$C$5,"CUST_TRR_END_DT",Settings!$C$4)/100,"")</f>
        <v/>
      </c>
      <c r="F304" s="9">
        <f>IFERROR(BDP(A304,"CUST_TRR_RETURN_HOLDING_PER","CUST_TRR_START_DT",Settings!$C$6,"CUST_TRR_END_DT",Settings!$C$4)/100,"")</f>
        <v/>
      </c>
      <c r="G304" s="9">
        <f>IFERROR(BDP(A304,"CUST_TRR_RETURN_HOLDING_PER","CUST_TRR_START_DT",Settings!$C$7,"CUST_TRR_END_DT",Settings!$C$4)/100,"")</f>
        <v/>
      </c>
      <c r="H304" s="9">
        <f>IFERROR(BDP(A304,"CUST_TRR_RETURN_HOLDING_PER","CUST_TRR_START_DT",Settings!$C$8,"CUST_TRR_END_DT",Settings!$C$4)/100,"")</f>
        <v/>
      </c>
    </row>
    <row r="305">
      <c r="A305" s="7" t="inlineStr">
        <is>
          <t>MCD US Equity</t>
        </is>
      </c>
      <c r="B305">
        <f>IFERROR(BDP(A305,"NAME"),"")</f>
        <v/>
      </c>
      <c r="C305">
        <f>IFERROR(BDP(A305,"GICS_SECTOR_NAME"),"")</f>
        <v/>
      </c>
      <c r="D305" s="8">
        <f>IFERROR(BDP(A305,"PX_LAST"),"")</f>
        <v/>
      </c>
      <c r="E305" s="9">
        <f>IFERROR(BDP(A305,"CUST_TRR_RETURN_HOLDING_PER","CUST_TRR_START_DT",Settings!$C$5,"CUST_TRR_END_DT",Settings!$C$4)/100,"")</f>
        <v/>
      </c>
      <c r="F305" s="9">
        <f>IFERROR(BDP(A305,"CUST_TRR_RETURN_HOLDING_PER","CUST_TRR_START_DT",Settings!$C$6,"CUST_TRR_END_DT",Settings!$C$4)/100,"")</f>
        <v/>
      </c>
      <c r="G305" s="9">
        <f>IFERROR(BDP(A305,"CUST_TRR_RETURN_HOLDING_PER","CUST_TRR_START_DT",Settings!$C$7,"CUST_TRR_END_DT",Settings!$C$4)/100,"")</f>
        <v/>
      </c>
      <c r="H305" s="9">
        <f>IFERROR(BDP(A305,"CUST_TRR_RETURN_HOLDING_PER","CUST_TRR_START_DT",Settings!$C$8,"CUST_TRR_END_DT",Settings!$C$4)/100,"")</f>
        <v/>
      </c>
    </row>
    <row r="306">
      <c r="A306" s="7" t="inlineStr">
        <is>
          <t>MCHP US Equity</t>
        </is>
      </c>
      <c r="B306">
        <f>IFERROR(BDP(A306,"NAME"),"")</f>
        <v/>
      </c>
      <c r="C306">
        <f>IFERROR(BDP(A306,"GICS_SECTOR_NAME"),"")</f>
        <v/>
      </c>
      <c r="D306" s="8">
        <f>IFERROR(BDP(A306,"PX_LAST"),"")</f>
        <v/>
      </c>
      <c r="E306" s="9">
        <f>IFERROR(BDP(A306,"CUST_TRR_RETURN_HOLDING_PER","CUST_TRR_START_DT",Settings!$C$5,"CUST_TRR_END_DT",Settings!$C$4)/100,"")</f>
        <v/>
      </c>
      <c r="F306" s="9">
        <f>IFERROR(BDP(A306,"CUST_TRR_RETURN_HOLDING_PER","CUST_TRR_START_DT",Settings!$C$6,"CUST_TRR_END_DT",Settings!$C$4)/100,"")</f>
        <v/>
      </c>
      <c r="G306" s="9">
        <f>IFERROR(BDP(A306,"CUST_TRR_RETURN_HOLDING_PER","CUST_TRR_START_DT",Settings!$C$7,"CUST_TRR_END_DT",Settings!$C$4)/100,"")</f>
        <v/>
      </c>
      <c r="H306" s="9">
        <f>IFERROR(BDP(A306,"CUST_TRR_RETURN_HOLDING_PER","CUST_TRR_START_DT",Settings!$C$8,"CUST_TRR_END_DT",Settings!$C$4)/100,"")</f>
        <v/>
      </c>
    </row>
    <row r="307">
      <c r="A307" s="7" t="inlineStr">
        <is>
          <t>MCK US Equity</t>
        </is>
      </c>
      <c r="B307">
        <f>IFERROR(BDP(A307,"NAME"),"")</f>
        <v/>
      </c>
      <c r="C307">
        <f>IFERROR(BDP(A307,"GICS_SECTOR_NAME"),"")</f>
        <v/>
      </c>
      <c r="D307" s="8">
        <f>IFERROR(BDP(A307,"PX_LAST"),"")</f>
        <v/>
      </c>
      <c r="E307" s="9">
        <f>IFERROR(BDP(A307,"CUST_TRR_RETURN_HOLDING_PER","CUST_TRR_START_DT",Settings!$C$5,"CUST_TRR_END_DT",Settings!$C$4)/100,"")</f>
        <v/>
      </c>
      <c r="F307" s="9">
        <f>IFERROR(BDP(A307,"CUST_TRR_RETURN_HOLDING_PER","CUST_TRR_START_DT",Settings!$C$6,"CUST_TRR_END_DT",Settings!$C$4)/100,"")</f>
        <v/>
      </c>
      <c r="G307" s="9">
        <f>IFERROR(BDP(A307,"CUST_TRR_RETURN_HOLDING_PER","CUST_TRR_START_DT",Settings!$C$7,"CUST_TRR_END_DT",Settings!$C$4)/100,"")</f>
        <v/>
      </c>
      <c r="H307" s="9">
        <f>IFERROR(BDP(A307,"CUST_TRR_RETURN_HOLDING_PER","CUST_TRR_START_DT",Settings!$C$8,"CUST_TRR_END_DT",Settings!$C$4)/100,"")</f>
        <v/>
      </c>
    </row>
    <row r="308">
      <c r="A308" s="7" t="inlineStr">
        <is>
          <t>MCO US Equity</t>
        </is>
      </c>
      <c r="B308">
        <f>IFERROR(BDP(A308,"NAME"),"")</f>
        <v/>
      </c>
      <c r="C308">
        <f>IFERROR(BDP(A308,"GICS_SECTOR_NAME"),"")</f>
        <v/>
      </c>
      <c r="D308" s="8">
        <f>IFERROR(BDP(A308,"PX_LAST"),"")</f>
        <v/>
      </c>
      <c r="E308" s="9">
        <f>IFERROR(BDP(A308,"CUST_TRR_RETURN_HOLDING_PER","CUST_TRR_START_DT",Settings!$C$5,"CUST_TRR_END_DT",Settings!$C$4)/100,"")</f>
        <v/>
      </c>
      <c r="F308" s="9">
        <f>IFERROR(BDP(A308,"CUST_TRR_RETURN_HOLDING_PER","CUST_TRR_START_DT",Settings!$C$6,"CUST_TRR_END_DT",Settings!$C$4)/100,"")</f>
        <v/>
      </c>
      <c r="G308" s="9">
        <f>IFERROR(BDP(A308,"CUST_TRR_RETURN_HOLDING_PER","CUST_TRR_START_DT",Settings!$C$7,"CUST_TRR_END_DT",Settings!$C$4)/100,"")</f>
        <v/>
      </c>
      <c r="H308" s="9">
        <f>IFERROR(BDP(A308,"CUST_TRR_RETURN_HOLDING_PER","CUST_TRR_START_DT",Settings!$C$8,"CUST_TRR_END_DT",Settings!$C$4)/100,"")</f>
        <v/>
      </c>
    </row>
    <row r="309">
      <c r="A309" s="7" t="inlineStr">
        <is>
          <t>MDLZ US Equity</t>
        </is>
      </c>
      <c r="B309">
        <f>IFERROR(BDP(A309,"NAME"),"")</f>
        <v/>
      </c>
      <c r="C309">
        <f>IFERROR(BDP(A309,"GICS_SECTOR_NAME"),"")</f>
        <v/>
      </c>
      <c r="D309" s="8">
        <f>IFERROR(BDP(A309,"PX_LAST"),"")</f>
        <v/>
      </c>
      <c r="E309" s="9">
        <f>IFERROR(BDP(A309,"CUST_TRR_RETURN_HOLDING_PER","CUST_TRR_START_DT",Settings!$C$5,"CUST_TRR_END_DT",Settings!$C$4)/100,"")</f>
        <v/>
      </c>
      <c r="F309" s="9">
        <f>IFERROR(BDP(A309,"CUST_TRR_RETURN_HOLDING_PER","CUST_TRR_START_DT",Settings!$C$6,"CUST_TRR_END_DT",Settings!$C$4)/100,"")</f>
        <v/>
      </c>
      <c r="G309" s="9">
        <f>IFERROR(BDP(A309,"CUST_TRR_RETURN_HOLDING_PER","CUST_TRR_START_DT",Settings!$C$7,"CUST_TRR_END_DT",Settings!$C$4)/100,"")</f>
        <v/>
      </c>
      <c r="H309" s="9">
        <f>IFERROR(BDP(A309,"CUST_TRR_RETURN_HOLDING_PER","CUST_TRR_START_DT",Settings!$C$8,"CUST_TRR_END_DT",Settings!$C$4)/100,"")</f>
        <v/>
      </c>
    </row>
    <row r="310">
      <c r="A310" s="7" t="inlineStr">
        <is>
          <t>MDT US Equity</t>
        </is>
      </c>
      <c r="B310">
        <f>IFERROR(BDP(A310,"NAME"),"")</f>
        <v/>
      </c>
      <c r="C310">
        <f>IFERROR(BDP(A310,"GICS_SECTOR_NAME"),"")</f>
        <v/>
      </c>
      <c r="D310" s="8">
        <f>IFERROR(BDP(A310,"PX_LAST"),"")</f>
        <v/>
      </c>
      <c r="E310" s="9">
        <f>IFERROR(BDP(A310,"CUST_TRR_RETURN_HOLDING_PER","CUST_TRR_START_DT",Settings!$C$5,"CUST_TRR_END_DT",Settings!$C$4)/100,"")</f>
        <v/>
      </c>
      <c r="F310" s="9">
        <f>IFERROR(BDP(A310,"CUST_TRR_RETURN_HOLDING_PER","CUST_TRR_START_DT",Settings!$C$6,"CUST_TRR_END_DT",Settings!$C$4)/100,"")</f>
        <v/>
      </c>
      <c r="G310" s="9">
        <f>IFERROR(BDP(A310,"CUST_TRR_RETURN_HOLDING_PER","CUST_TRR_START_DT",Settings!$C$7,"CUST_TRR_END_DT",Settings!$C$4)/100,"")</f>
        <v/>
      </c>
      <c r="H310" s="9">
        <f>IFERROR(BDP(A310,"CUST_TRR_RETURN_HOLDING_PER","CUST_TRR_START_DT",Settings!$C$8,"CUST_TRR_END_DT",Settings!$C$4)/100,"")</f>
        <v/>
      </c>
    </row>
    <row r="311">
      <c r="A311" s="7" t="inlineStr">
        <is>
          <t>MET US Equity</t>
        </is>
      </c>
      <c r="B311">
        <f>IFERROR(BDP(A311,"NAME"),"")</f>
        <v/>
      </c>
      <c r="C311">
        <f>IFERROR(BDP(A311,"GICS_SECTOR_NAME"),"")</f>
        <v/>
      </c>
      <c r="D311" s="8">
        <f>IFERROR(BDP(A311,"PX_LAST"),"")</f>
        <v/>
      </c>
      <c r="E311" s="9">
        <f>IFERROR(BDP(A311,"CUST_TRR_RETURN_HOLDING_PER","CUST_TRR_START_DT",Settings!$C$5,"CUST_TRR_END_DT",Settings!$C$4)/100,"")</f>
        <v/>
      </c>
      <c r="F311" s="9">
        <f>IFERROR(BDP(A311,"CUST_TRR_RETURN_HOLDING_PER","CUST_TRR_START_DT",Settings!$C$6,"CUST_TRR_END_DT",Settings!$C$4)/100,"")</f>
        <v/>
      </c>
      <c r="G311" s="9">
        <f>IFERROR(BDP(A311,"CUST_TRR_RETURN_HOLDING_PER","CUST_TRR_START_DT",Settings!$C$7,"CUST_TRR_END_DT",Settings!$C$4)/100,"")</f>
        <v/>
      </c>
      <c r="H311" s="9">
        <f>IFERROR(BDP(A311,"CUST_TRR_RETURN_HOLDING_PER","CUST_TRR_START_DT",Settings!$C$8,"CUST_TRR_END_DT",Settings!$C$4)/100,"")</f>
        <v/>
      </c>
    </row>
    <row r="312">
      <c r="A312" s="7" t="inlineStr">
        <is>
          <t>META US Equity</t>
        </is>
      </c>
      <c r="B312">
        <f>IFERROR(BDP(A312,"NAME"),"")</f>
        <v/>
      </c>
      <c r="C312">
        <f>IFERROR(BDP(A312,"GICS_SECTOR_NAME"),"")</f>
        <v/>
      </c>
      <c r="D312" s="8">
        <f>IFERROR(BDP(A312,"PX_LAST"),"")</f>
        <v/>
      </c>
      <c r="E312" s="9">
        <f>IFERROR(BDP(A312,"CUST_TRR_RETURN_HOLDING_PER","CUST_TRR_START_DT",Settings!$C$5,"CUST_TRR_END_DT",Settings!$C$4)/100,"")</f>
        <v/>
      </c>
      <c r="F312" s="9">
        <f>IFERROR(BDP(A312,"CUST_TRR_RETURN_HOLDING_PER","CUST_TRR_START_DT",Settings!$C$6,"CUST_TRR_END_DT",Settings!$C$4)/100,"")</f>
        <v/>
      </c>
      <c r="G312" s="9">
        <f>IFERROR(BDP(A312,"CUST_TRR_RETURN_HOLDING_PER","CUST_TRR_START_DT",Settings!$C$7,"CUST_TRR_END_DT",Settings!$C$4)/100,"")</f>
        <v/>
      </c>
      <c r="H312" s="9">
        <f>IFERROR(BDP(A312,"CUST_TRR_RETURN_HOLDING_PER","CUST_TRR_START_DT",Settings!$C$8,"CUST_TRR_END_DT",Settings!$C$4)/100,"")</f>
        <v/>
      </c>
    </row>
    <row r="313">
      <c r="A313" s="7" t="inlineStr">
        <is>
          <t>MGM US Equity</t>
        </is>
      </c>
      <c r="B313">
        <f>IFERROR(BDP(A313,"NAME"),"")</f>
        <v/>
      </c>
      <c r="C313">
        <f>IFERROR(BDP(A313,"GICS_SECTOR_NAME"),"")</f>
        <v/>
      </c>
      <c r="D313" s="8">
        <f>IFERROR(BDP(A313,"PX_LAST"),"")</f>
        <v/>
      </c>
      <c r="E313" s="9">
        <f>IFERROR(BDP(A313,"CUST_TRR_RETURN_HOLDING_PER","CUST_TRR_START_DT",Settings!$C$5,"CUST_TRR_END_DT",Settings!$C$4)/100,"")</f>
        <v/>
      </c>
      <c r="F313" s="9">
        <f>IFERROR(BDP(A313,"CUST_TRR_RETURN_HOLDING_PER","CUST_TRR_START_DT",Settings!$C$6,"CUST_TRR_END_DT",Settings!$C$4)/100,"")</f>
        <v/>
      </c>
      <c r="G313" s="9">
        <f>IFERROR(BDP(A313,"CUST_TRR_RETURN_HOLDING_PER","CUST_TRR_START_DT",Settings!$C$7,"CUST_TRR_END_DT",Settings!$C$4)/100,"")</f>
        <v/>
      </c>
      <c r="H313" s="9">
        <f>IFERROR(BDP(A313,"CUST_TRR_RETURN_HOLDING_PER","CUST_TRR_START_DT",Settings!$C$8,"CUST_TRR_END_DT",Settings!$C$4)/100,"")</f>
        <v/>
      </c>
    </row>
    <row r="314">
      <c r="A314" s="7" t="inlineStr">
        <is>
          <t>MHK US Equity</t>
        </is>
      </c>
      <c r="B314">
        <f>IFERROR(BDP(A314,"NAME"),"")</f>
        <v/>
      </c>
      <c r="C314">
        <f>IFERROR(BDP(A314,"GICS_SECTOR_NAME"),"")</f>
        <v/>
      </c>
      <c r="D314" s="8">
        <f>IFERROR(BDP(A314,"PX_LAST"),"")</f>
        <v/>
      </c>
      <c r="E314" s="9">
        <f>IFERROR(BDP(A314,"CUST_TRR_RETURN_HOLDING_PER","CUST_TRR_START_DT",Settings!$C$5,"CUST_TRR_END_DT",Settings!$C$4)/100,"")</f>
        <v/>
      </c>
      <c r="F314" s="9">
        <f>IFERROR(BDP(A314,"CUST_TRR_RETURN_HOLDING_PER","CUST_TRR_START_DT",Settings!$C$6,"CUST_TRR_END_DT",Settings!$C$4)/100,"")</f>
        <v/>
      </c>
      <c r="G314" s="9">
        <f>IFERROR(BDP(A314,"CUST_TRR_RETURN_HOLDING_PER","CUST_TRR_START_DT",Settings!$C$7,"CUST_TRR_END_DT",Settings!$C$4)/100,"")</f>
        <v/>
      </c>
      <c r="H314" s="9">
        <f>IFERROR(BDP(A314,"CUST_TRR_RETURN_HOLDING_PER","CUST_TRR_START_DT",Settings!$C$8,"CUST_TRR_END_DT",Settings!$C$4)/100,"")</f>
        <v/>
      </c>
    </row>
    <row r="315">
      <c r="A315" s="7" t="inlineStr">
        <is>
          <t>MKC US Equity</t>
        </is>
      </c>
      <c r="B315">
        <f>IFERROR(BDP(A315,"NAME"),"")</f>
        <v/>
      </c>
      <c r="C315">
        <f>IFERROR(BDP(A315,"GICS_SECTOR_NAME"),"")</f>
        <v/>
      </c>
      <c r="D315" s="8">
        <f>IFERROR(BDP(A315,"PX_LAST"),"")</f>
        <v/>
      </c>
      <c r="E315" s="9">
        <f>IFERROR(BDP(A315,"CUST_TRR_RETURN_HOLDING_PER","CUST_TRR_START_DT",Settings!$C$5,"CUST_TRR_END_DT",Settings!$C$4)/100,"")</f>
        <v/>
      </c>
      <c r="F315" s="9">
        <f>IFERROR(BDP(A315,"CUST_TRR_RETURN_HOLDING_PER","CUST_TRR_START_DT",Settings!$C$6,"CUST_TRR_END_DT",Settings!$C$4)/100,"")</f>
        <v/>
      </c>
      <c r="G315" s="9">
        <f>IFERROR(BDP(A315,"CUST_TRR_RETURN_HOLDING_PER","CUST_TRR_START_DT",Settings!$C$7,"CUST_TRR_END_DT",Settings!$C$4)/100,"")</f>
        <v/>
      </c>
      <c r="H315" s="9">
        <f>IFERROR(BDP(A315,"CUST_TRR_RETURN_HOLDING_PER","CUST_TRR_START_DT",Settings!$C$8,"CUST_TRR_END_DT",Settings!$C$4)/100,"")</f>
        <v/>
      </c>
    </row>
    <row r="316">
      <c r="A316" s="7" t="inlineStr">
        <is>
          <t>MKTX US Equity</t>
        </is>
      </c>
      <c r="B316">
        <f>IFERROR(BDP(A316,"NAME"),"")</f>
        <v/>
      </c>
      <c r="C316">
        <f>IFERROR(BDP(A316,"GICS_SECTOR_NAME"),"")</f>
        <v/>
      </c>
      <c r="D316" s="8">
        <f>IFERROR(BDP(A316,"PX_LAST"),"")</f>
        <v/>
      </c>
      <c r="E316" s="9">
        <f>IFERROR(BDP(A316,"CUST_TRR_RETURN_HOLDING_PER","CUST_TRR_START_DT",Settings!$C$5,"CUST_TRR_END_DT",Settings!$C$4)/100,"")</f>
        <v/>
      </c>
      <c r="F316" s="9">
        <f>IFERROR(BDP(A316,"CUST_TRR_RETURN_HOLDING_PER","CUST_TRR_START_DT",Settings!$C$6,"CUST_TRR_END_DT",Settings!$C$4)/100,"")</f>
        <v/>
      </c>
      <c r="G316" s="9">
        <f>IFERROR(BDP(A316,"CUST_TRR_RETURN_HOLDING_PER","CUST_TRR_START_DT",Settings!$C$7,"CUST_TRR_END_DT",Settings!$C$4)/100,"")</f>
        <v/>
      </c>
      <c r="H316" s="9">
        <f>IFERROR(BDP(A316,"CUST_TRR_RETURN_HOLDING_PER","CUST_TRR_START_DT",Settings!$C$8,"CUST_TRR_END_DT",Settings!$C$4)/100,"")</f>
        <v/>
      </c>
    </row>
    <row r="317">
      <c r="A317" s="7" t="inlineStr">
        <is>
          <t>MLM US Equity</t>
        </is>
      </c>
      <c r="B317">
        <f>IFERROR(BDP(A317,"NAME"),"")</f>
        <v/>
      </c>
      <c r="C317">
        <f>IFERROR(BDP(A317,"GICS_SECTOR_NAME"),"")</f>
        <v/>
      </c>
      <c r="D317" s="8">
        <f>IFERROR(BDP(A317,"PX_LAST"),"")</f>
        <v/>
      </c>
      <c r="E317" s="9">
        <f>IFERROR(BDP(A317,"CUST_TRR_RETURN_HOLDING_PER","CUST_TRR_START_DT",Settings!$C$5,"CUST_TRR_END_DT",Settings!$C$4)/100,"")</f>
        <v/>
      </c>
      <c r="F317" s="9">
        <f>IFERROR(BDP(A317,"CUST_TRR_RETURN_HOLDING_PER","CUST_TRR_START_DT",Settings!$C$6,"CUST_TRR_END_DT",Settings!$C$4)/100,"")</f>
        <v/>
      </c>
      <c r="G317" s="9">
        <f>IFERROR(BDP(A317,"CUST_TRR_RETURN_HOLDING_PER","CUST_TRR_START_DT",Settings!$C$7,"CUST_TRR_END_DT",Settings!$C$4)/100,"")</f>
        <v/>
      </c>
      <c r="H317" s="9">
        <f>IFERROR(BDP(A317,"CUST_TRR_RETURN_HOLDING_PER","CUST_TRR_START_DT",Settings!$C$8,"CUST_TRR_END_DT",Settings!$C$4)/100,"")</f>
        <v/>
      </c>
    </row>
    <row r="318">
      <c r="A318" s="7" t="inlineStr">
        <is>
          <t>MMC US Equity</t>
        </is>
      </c>
      <c r="B318">
        <f>IFERROR(BDP(A318,"NAME"),"")</f>
        <v/>
      </c>
      <c r="C318">
        <f>IFERROR(BDP(A318,"GICS_SECTOR_NAME"),"")</f>
        <v/>
      </c>
      <c r="D318" s="8">
        <f>IFERROR(BDP(A318,"PX_LAST"),"")</f>
        <v/>
      </c>
      <c r="E318" s="9">
        <f>IFERROR(BDP(A318,"CUST_TRR_RETURN_HOLDING_PER","CUST_TRR_START_DT",Settings!$C$5,"CUST_TRR_END_DT",Settings!$C$4)/100,"")</f>
        <v/>
      </c>
      <c r="F318" s="9">
        <f>IFERROR(BDP(A318,"CUST_TRR_RETURN_HOLDING_PER","CUST_TRR_START_DT",Settings!$C$6,"CUST_TRR_END_DT",Settings!$C$4)/100,"")</f>
        <v/>
      </c>
      <c r="G318" s="9">
        <f>IFERROR(BDP(A318,"CUST_TRR_RETURN_HOLDING_PER","CUST_TRR_START_DT",Settings!$C$7,"CUST_TRR_END_DT",Settings!$C$4)/100,"")</f>
        <v/>
      </c>
      <c r="H318" s="9">
        <f>IFERROR(BDP(A318,"CUST_TRR_RETURN_HOLDING_PER","CUST_TRR_START_DT",Settings!$C$8,"CUST_TRR_END_DT",Settings!$C$4)/100,"")</f>
        <v/>
      </c>
    </row>
    <row r="319">
      <c r="A319" s="7" t="inlineStr">
        <is>
          <t>MMM US Equity</t>
        </is>
      </c>
      <c r="B319">
        <f>IFERROR(BDP(A319,"NAME"),"")</f>
        <v/>
      </c>
      <c r="C319">
        <f>IFERROR(BDP(A319,"GICS_SECTOR_NAME"),"")</f>
        <v/>
      </c>
      <c r="D319" s="8">
        <f>IFERROR(BDP(A319,"PX_LAST"),"")</f>
        <v/>
      </c>
      <c r="E319" s="9">
        <f>IFERROR(BDP(A319,"CUST_TRR_RETURN_HOLDING_PER","CUST_TRR_START_DT",Settings!$C$5,"CUST_TRR_END_DT",Settings!$C$4)/100,"")</f>
        <v/>
      </c>
      <c r="F319" s="9">
        <f>IFERROR(BDP(A319,"CUST_TRR_RETURN_HOLDING_PER","CUST_TRR_START_DT",Settings!$C$6,"CUST_TRR_END_DT",Settings!$C$4)/100,"")</f>
        <v/>
      </c>
      <c r="G319" s="9">
        <f>IFERROR(BDP(A319,"CUST_TRR_RETURN_HOLDING_PER","CUST_TRR_START_DT",Settings!$C$7,"CUST_TRR_END_DT",Settings!$C$4)/100,"")</f>
        <v/>
      </c>
      <c r="H319" s="9">
        <f>IFERROR(BDP(A319,"CUST_TRR_RETURN_HOLDING_PER","CUST_TRR_START_DT",Settings!$C$8,"CUST_TRR_END_DT",Settings!$C$4)/100,"")</f>
        <v/>
      </c>
    </row>
    <row r="320">
      <c r="A320" s="7" t="inlineStr">
        <is>
          <t>MNST US Equity</t>
        </is>
      </c>
      <c r="B320">
        <f>IFERROR(BDP(A320,"NAME"),"")</f>
        <v/>
      </c>
      <c r="C320">
        <f>IFERROR(BDP(A320,"GICS_SECTOR_NAME"),"")</f>
        <v/>
      </c>
      <c r="D320" s="8">
        <f>IFERROR(BDP(A320,"PX_LAST"),"")</f>
        <v/>
      </c>
      <c r="E320" s="9">
        <f>IFERROR(BDP(A320,"CUST_TRR_RETURN_HOLDING_PER","CUST_TRR_START_DT",Settings!$C$5,"CUST_TRR_END_DT",Settings!$C$4)/100,"")</f>
        <v/>
      </c>
      <c r="F320" s="9">
        <f>IFERROR(BDP(A320,"CUST_TRR_RETURN_HOLDING_PER","CUST_TRR_START_DT",Settings!$C$6,"CUST_TRR_END_DT",Settings!$C$4)/100,"")</f>
        <v/>
      </c>
      <c r="G320" s="9">
        <f>IFERROR(BDP(A320,"CUST_TRR_RETURN_HOLDING_PER","CUST_TRR_START_DT",Settings!$C$7,"CUST_TRR_END_DT",Settings!$C$4)/100,"")</f>
        <v/>
      </c>
      <c r="H320" s="9">
        <f>IFERROR(BDP(A320,"CUST_TRR_RETURN_HOLDING_PER","CUST_TRR_START_DT",Settings!$C$8,"CUST_TRR_END_DT",Settings!$C$4)/100,"")</f>
        <v/>
      </c>
    </row>
    <row r="321">
      <c r="A321" s="7" t="inlineStr">
        <is>
          <t>MO US Equity</t>
        </is>
      </c>
      <c r="B321">
        <f>IFERROR(BDP(A321,"NAME"),"")</f>
        <v/>
      </c>
      <c r="C321">
        <f>IFERROR(BDP(A321,"GICS_SECTOR_NAME"),"")</f>
        <v/>
      </c>
      <c r="D321" s="8">
        <f>IFERROR(BDP(A321,"PX_LAST"),"")</f>
        <v/>
      </c>
      <c r="E321" s="9">
        <f>IFERROR(BDP(A321,"CUST_TRR_RETURN_HOLDING_PER","CUST_TRR_START_DT",Settings!$C$5,"CUST_TRR_END_DT",Settings!$C$4)/100,"")</f>
        <v/>
      </c>
      <c r="F321" s="9">
        <f>IFERROR(BDP(A321,"CUST_TRR_RETURN_HOLDING_PER","CUST_TRR_START_DT",Settings!$C$6,"CUST_TRR_END_DT",Settings!$C$4)/100,"")</f>
        <v/>
      </c>
      <c r="G321" s="9">
        <f>IFERROR(BDP(A321,"CUST_TRR_RETURN_HOLDING_PER","CUST_TRR_START_DT",Settings!$C$7,"CUST_TRR_END_DT",Settings!$C$4)/100,"")</f>
        <v/>
      </c>
      <c r="H321" s="9">
        <f>IFERROR(BDP(A321,"CUST_TRR_RETURN_HOLDING_PER","CUST_TRR_START_DT",Settings!$C$8,"CUST_TRR_END_DT",Settings!$C$4)/100,"")</f>
        <v/>
      </c>
    </row>
    <row r="322">
      <c r="A322" s="7" t="inlineStr">
        <is>
          <t>MOH US Equity</t>
        </is>
      </c>
      <c r="B322">
        <f>IFERROR(BDP(A322,"NAME"),"")</f>
        <v/>
      </c>
      <c r="C322">
        <f>IFERROR(BDP(A322,"GICS_SECTOR_NAME"),"")</f>
        <v/>
      </c>
      <c r="D322" s="8">
        <f>IFERROR(BDP(A322,"PX_LAST"),"")</f>
        <v/>
      </c>
      <c r="E322" s="9">
        <f>IFERROR(BDP(A322,"CUST_TRR_RETURN_HOLDING_PER","CUST_TRR_START_DT",Settings!$C$5,"CUST_TRR_END_DT",Settings!$C$4)/100,"")</f>
        <v/>
      </c>
      <c r="F322" s="9">
        <f>IFERROR(BDP(A322,"CUST_TRR_RETURN_HOLDING_PER","CUST_TRR_START_DT",Settings!$C$6,"CUST_TRR_END_DT",Settings!$C$4)/100,"")</f>
        <v/>
      </c>
      <c r="G322" s="9">
        <f>IFERROR(BDP(A322,"CUST_TRR_RETURN_HOLDING_PER","CUST_TRR_START_DT",Settings!$C$7,"CUST_TRR_END_DT",Settings!$C$4)/100,"")</f>
        <v/>
      </c>
      <c r="H322" s="9">
        <f>IFERROR(BDP(A322,"CUST_TRR_RETURN_HOLDING_PER","CUST_TRR_START_DT",Settings!$C$8,"CUST_TRR_END_DT",Settings!$C$4)/100,"")</f>
        <v/>
      </c>
    </row>
    <row r="323">
      <c r="A323" s="7" t="inlineStr">
        <is>
          <t>MOS US Equity</t>
        </is>
      </c>
      <c r="B323">
        <f>IFERROR(BDP(A323,"NAME"),"")</f>
        <v/>
      </c>
      <c r="C323">
        <f>IFERROR(BDP(A323,"GICS_SECTOR_NAME"),"")</f>
        <v/>
      </c>
      <c r="D323" s="8">
        <f>IFERROR(BDP(A323,"PX_LAST"),"")</f>
        <v/>
      </c>
      <c r="E323" s="9">
        <f>IFERROR(BDP(A323,"CUST_TRR_RETURN_HOLDING_PER","CUST_TRR_START_DT",Settings!$C$5,"CUST_TRR_END_DT",Settings!$C$4)/100,"")</f>
        <v/>
      </c>
      <c r="F323" s="9">
        <f>IFERROR(BDP(A323,"CUST_TRR_RETURN_HOLDING_PER","CUST_TRR_START_DT",Settings!$C$6,"CUST_TRR_END_DT",Settings!$C$4)/100,"")</f>
        <v/>
      </c>
      <c r="G323" s="9">
        <f>IFERROR(BDP(A323,"CUST_TRR_RETURN_HOLDING_PER","CUST_TRR_START_DT",Settings!$C$7,"CUST_TRR_END_DT",Settings!$C$4)/100,"")</f>
        <v/>
      </c>
      <c r="H323" s="9">
        <f>IFERROR(BDP(A323,"CUST_TRR_RETURN_HOLDING_PER","CUST_TRR_START_DT",Settings!$C$8,"CUST_TRR_END_DT",Settings!$C$4)/100,"")</f>
        <v/>
      </c>
    </row>
    <row r="324">
      <c r="A324" s="7" t="inlineStr">
        <is>
          <t>MPC US Equity</t>
        </is>
      </c>
      <c r="B324">
        <f>IFERROR(BDP(A324,"NAME"),"")</f>
        <v/>
      </c>
      <c r="C324">
        <f>IFERROR(BDP(A324,"GICS_SECTOR_NAME"),"")</f>
        <v/>
      </c>
      <c r="D324" s="8">
        <f>IFERROR(BDP(A324,"PX_LAST"),"")</f>
        <v/>
      </c>
      <c r="E324" s="9">
        <f>IFERROR(BDP(A324,"CUST_TRR_RETURN_HOLDING_PER","CUST_TRR_START_DT",Settings!$C$5,"CUST_TRR_END_DT",Settings!$C$4)/100,"")</f>
        <v/>
      </c>
      <c r="F324" s="9">
        <f>IFERROR(BDP(A324,"CUST_TRR_RETURN_HOLDING_PER","CUST_TRR_START_DT",Settings!$C$6,"CUST_TRR_END_DT",Settings!$C$4)/100,"")</f>
        <v/>
      </c>
      <c r="G324" s="9">
        <f>IFERROR(BDP(A324,"CUST_TRR_RETURN_HOLDING_PER","CUST_TRR_START_DT",Settings!$C$7,"CUST_TRR_END_DT",Settings!$C$4)/100,"")</f>
        <v/>
      </c>
      <c r="H324" s="9">
        <f>IFERROR(BDP(A324,"CUST_TRR_RETURN_HOLDING_PER","CUST_TRR_START_DT",Settings!$C$8,"CUST_TRR_END_DT",Settings!$C$4)/100,"")</f>
        <v/>
      </c>
    </row>
    <row r="325">
      <c r="A325" s="7" t="inlineStr">
        <is>
          <t>MPWR US Equity</t>
        </is>
      </c>
      <c r="B325">
        <f>IFERROR(BDP(A325,"NAME"),"")</f>
        <v/>
      </c>
      <c r="C325">
        <f>IFERROR(BDP(A325,"GICS_SECTOR_NAME"),"")</f>
        <v/>
      </c>
      <c r="D325" s="8">
        <f>IFERROR(BDP(A325,"PX_LAST"),"")</f>
        <v/>
      </c>
      <c r="E325" s="9">
        <f>IFERROR(BDP(A325,"CUST_TRR_RETURN_HOLDING_PER","CUST_TRR_START_DT",Settings!$C$5,"CUST_TRR_END_DT",Settings!$C$4)/100,"")</f>
        <v/>
      </c>
      <c r="F325" s="9">
        <f>IFERROR(BDP(A325,"CUST_TRR_RETURN_HOLDING_PER","CUST_TRR_START_DT",Settings!$C$6,"CUST_TRR_END_DT",Settings!$C$4)/100,"")</f>
        <v/>
      </c>
      <c r="G325" s="9">
        <f>IFERROR(BDP(A325,"CUST_TRR_RETURN_HOLDING_PER","CUST_TRR_START_DT",Settings!$C$7,"CUST_TRR_END_DT",Settings!$C$4)/100,"")</f>
        <v/>
      </c>
      <c r="H325" s="9">
        <f>IFERROR(BDP(A325,"CUST_TRR_RETURN_HOLDING_PER","CUST_TRR_START_DT",Settings!$C$8,"CUST_TRR_END_DT",Settings!$C$4)/100,"")</f>
        <v/>
      </c>
    </row>
    <row r="326">
      <c r="A326" s="7" t="inlineStr">
        <is>
          <t>MRK US Equity</t>
        </is>
      </c>
      <c r="B326">
        <f>IFERROR(BDP(A326,"NAME"),"")</f>
        <v/>
      </c>
      <c r="C326">
        <f>IFERROR(BDP(A326,"GICS_SECTOR_NAME"),"")</f>
        <v/>
      </c>
      <c r="D326" s="8">
        <f>IFERROR(BDP(A326,"PX_LAST"),"")</f>
        <v/>
      </c>
      <c r="E326" s="9">
        <f>IFERROR(BDP(A326,"CUST_TRR_RETURN_HOLDING_PER","CUST_TRR_START_DT",Settings!$C$5,"CUST_TRR_END_DT",Settings!$C$4)/100,"")</f>
        <v/>
      </c>
      <c r="F326" s="9">
        <f>IFERROR(BDP(A326,"CUST_TRR_RETURN_HOLDING_PER","CUST_TRR_START_DT",Settings!$C$6,"CUST_TRR_END_DT",Settings!$C$4)/100,"")</f>
        <v/>
      </c>
      <c r="G326" s="9">
        <f>IFERROR(BDP(A326,"CUST_TRR_RETURN_HOLDING_PER","CUST_TRR_START_DT",Settings!$C$7,"CUST_TRR_END_DT",Settings!$C$4)/100,"")</f>
        <v/>
      </c>
      <c r="H326" s="9">
        <f>IFERROR(BDP(A326,"CUST_TRR_RETURN_HOLDING_PER","CUST_TRR_START_DT",Settings!$C$8,"CUST_TRR_END_DT",Settings!$C$4)/100,"")</f>
        <v/>
      </c>
    </row>
    <row r="327">
      <c r="A327" s="7" t="inlineStr">
        <is>
          <t>MRNA US Equity</t>
        </is>
      </c>
      <c r="B327">
        <f>IFERROR(BDP(A327,"NAME"),"")</f>
        <v/>
      </c>
      <c r="C327">
        <f>IFERROR(BDP(A327,"GICS_SECTOR_NAME"),"")</f>
        <v/>
      </c>
      <c r="D327" s="8">
        <f>IFERROR(BDP(A327,"PX_LAST"),"")</f>
        <v/>
      </c>
      <c r="E327" s="9">
        <f>IFERROR(BDP(A327,"CUST_TRR_RETURN_HOLDING_PER","CUST_TRR_START_DT",Settings!$C$5,"CUST_TRR_END_DT",Settings!$C$4)/100,"")</f>
        <v/>
      </c>
      <c r="F327" s="9">
        <f>IFERROR(BDP(A327,"CUST_TRR_RETURN_HOLDING_PER","CUST_TRR_START_DT",Settings!$C$6,"CUST_TRR_END_DT",Settings!$C$4)/100,"")</f>
        <v/>
      </c>
      <c r="G327" s="9">
        <f>IFERROR(BDP(A327,"CUST_TRR_RETURN_HOLDING_PER","CUST_TRR_START_DT",Settings!$C$7,"CUST_TRR_END_DT",Settings!$C$4)/100,"")</f>
        <v/>
      </c>
      <c r="H327" s="9">
        <f>IFERROR(BDP(A327,"CUST_TRR_RETURN_HOLDING_PER","CUST_TRR_START_DT",Settings!$C$8,"CUST_TRR_END_DT",Settings!$C$4)/100,"")</f>
        <v/>
      </c>
    </row>
    <row r="328">
      <c r="A328" s="7" t="inlineStr">
        <is>
          <t>MRO US Equity</t>
        </is>
      </c>
      <c r="B328">
        <f>IFERROR(BDP(A328,"NAME"),"")</f>
        <v/>
      </c>
      <c r="C328">
        <f>IFERROR(BDP(A328,"GICS_SECTOR_NAME"),"")</f>
        <v/>
      </c>
      <c r="D328" s="8">
        <f>IFERROR(BDP(A328,"PX_LAST"),"")</f>
        <v/>
      </c>
      <c r="E328" s="9">
        <f>IFERROR(BDP(A328,"CUST_TRR_RETURN_HOLDING_PER","CUST_TRR_START_DT",Settings!$C$5,"CUST_TRR_END_DT",Settings!$C$4)/100,"")</f>
        <v/>
      </c>
      <c r="F328" s="9">
        <f>IFERROR(BDP(A328,"CUST_TRR_RETURN_HOLDING_PER","CUST_TRR_START_DT",Settings!$C$6,"CUST_TRR_END_DT",Settings!$C$4)/100,"")</f>
        <v/>
      </c>
      <c r="G328" s="9">
        <f>IFERROR(BDP(A328,"CUST_TRR_RETURN_HOLDING_PER","CUST_TRR_START_DT",Settings!$C$7,"CUST_TRR_END_DT",Settings!$C$4)/100,"")</f>
        <v/>
      </c>
      <c r="H328" s="9">
        <f>IFERROR(BDP(A328,"CUST_TRR_RETURN_HOLDING_PER","CUST_TRR_START_DT",Settings!$C$8,"CUST_TRR_END_DT",Settings!$C$4)/100,"")</f>
        <v/>
      </c>
    </row>
    <row r="329">
      <c r="A329" s="7" t="inlineStr">
        <is>
          <t>MS US Equity</t>
        </is>
      </c>
      <c r="B329">
        <f>IFERROR(BDP(A329,"NAME"),"")</f>
        <v/>
      </c>
      <c r="C329">
        <f>IFERROR(BDP(A329,"GICS_SECTOR_NAME"),"")</f>
        <v/>
      </c>
      <c r="D329" s="8">
        <f>IFERROR(BDP(A329,"PX_LAST"),"")</f>
        <v/>
      </c>
      <c r="E329" s="9">
        <f>IFERROR(BDP(A329,"CUST_TRR_RETURN_HOLDING_PER","CUST_TRR_START_DT",Settings!$C$5,"CUST_TRR_END_DT",Settings!$C$4)/100,"")</f>
        <v/>
      </c>
      <c r="F329" s="9">
        <f>IFERROR(BDP(A329,"CUST_TRR_RETURN_HOLDING_PER","CUST_TRR_START_DT",Settings!$C$6,"CUST_TRR_END_DT",Settings!$C$4)/100,"")</f>
        <v/>
      </c>
      <c r="G329" s="9">
        <f>IFERROR(BDP(A329,"CUST_TRR_RETURN_HOLDING_PER","CUST_TRR_START_DT",Settings!$C$7,"CUST_TRR_END_DT",Settings!$C$4)/100,"")</f>
        <v/>
      </c>
      <c r="H329" s="9">
        <f>IFERROR(BDP(A329,"CUST_TRR_RETURN_HOLDING_PER","CUST_TRR_START_DT",Settings!$C$8,"CUST_TRR_END_DT",Settings!$C$4)/100,"")</f>
        <v/>
      </c>
    </row>
    <row r="330">
      <c r="A330" s="7" t="inlineStr">
        <is>
          <t>MSCI US Equity</t>
        </is>
      </c>
      <c r="B330">
        <f>IFERROR(BDP(A330,"NAME"),"")</f>
        <v/>
      </c>
      <c r="C330">
        <f>IFERROR(BDP(A330,"GICS_SECTOR_NAME"),"")</f>
        <v/>
      </c>
      <c r="D330" s="8">
        <f>IFERROR(BDP(A330,"PX_LAST"),"")</f>
        <v/>
      </c>
      <c r="E330" s="9">
        <f>IFERROR(BDP(A330,"CUST_TRR_RETURN_HOLDING_PER","CUST_TRR_START_DT",Settings!$C$5,"CUST_TRR_END_DT",Settings!$C$4)/100,"")</f>
        <v/>
      </c>
      <c r="F330" s="9">
        <f>IFERROR(BDP(A330,"CUST_TRR_RETURN_HOLDING_PER","CUST_TRR_START_DT",Settings!$C$6,"CUST_TRR_END_DT",Settings!$C$4)/100,"")</f>
        <v/>
      </c>
      <c r="G330" s="9">
        <f>IFERROR(BDP(A330,"CUST_TRR_RETURN_HOLDING_PER","CUST_TRR_START_DT",Settings!$C$7,"CUST_TRR_END_DT",Settings!$C$4)/100,"")</f>
        <v/>
      </c>
      <c r="H330" s="9">
        <f>IFERROR(BDP(A330,"CUST_TRR_RETURN_HOLDING_PER","CUST_TRR_START_DT",Settings!$C$8,"CUST_TRR_END_DT",Settings!$C$4)/100,"")</f>
        <v/>
      </c>
    </row>
    <row r="331">
      <c r="A331" s="7" t="inlineStr">
        <is>
          <t>MSFT US Equity</t>
        </is>
      </c>
      <c r="B331">
        <f>IFERROR(BDP(A331,"NAME"),"")</f>
        <v/>
      </c>
      <c r="C331">
        <f>IFERROR(BDP(A331,"GICS_SECTOR_NAME"),"")</f>
        <v/>
      </c>
      <c r="D331" s="8">
        <f>IFERROR(BDP(A331,"PX_LAST"),"")</f>
        <v/>
      </c>
      <c r="E331" s="9">
        <f>IFERROR(BDP(A331,"CUST_TRR_RETURN_HOLDING_PER","CUST_TRR_START_DT",Settings!$C$5,"CUST_TRR_END_DT",Settings!$C$4)/100,"")</f>
        <v/>
      </c>
      <c r="F331" s="9">
        <f>IFERROR(BDP(A331,"CUST_TRR_RETURN_HOLDING_PER","CUST_TRR_START_DT",Settings!$C$6,"CUST_TRR_END_DT",Settings!$C$4)/100,"")</f>
        <v/>
      </c>
      <c r="G331" s="9">
        <f>IFERROR(BDP(A331,"CUST_TRR_RETURN_HOLDING_PER","CUST_TRR_START_DT",Settings!$C$7,"CUST_TRR_END_DT",Settings!$C$4)/100,"")</f>
        <v/>
      </c>
      <c r="H331" s="9">
        <f>IFERROR(BDP(A331,"CUST_TRR_RETURN_HOLDING_PER","CUST_TRR_START_DT",Settings!$C$8,"CUST_TRR_END_DT",Settings!$C$4)/100,"")</f>
        <v/>
      </c>
    </row>
    <row r="332">
      <c r="A332" s="7" t="inlineStr">
        <is>
          <t>MSI US Equity</t>
        </is>
      </c>
      <c r="B332">
        <f>IFERROR(BDP(A332,"NAME"),"")</f>
        <v/>
      </c>
      <c r="C332">
        <f>IFERROR(BDP(A332,"GICS_SECTOR_NAME"),"")</f>
        <v/>
      </c>
      <c r="D332" s="8">
        <f>IFERROR(BDP(A332,"PX_LAST"),"")</f>
        <v/>
      </c>
      <c r="E332" s="9">
        <f>IFERROR(BDP(A332,"CUST_TRR_RETURN_HOLDING_PER","CUST_TRR_START_DT",Settings!$C$5,"CUST_TRR_END_DT",Settings!$C$4)/100,"")</f>
        <v/>
      </c>
      <c r="F332" s="9">
        <f>IFERROR(BDP(A332,"CUST_TRR_RETURN_HOLDING_PER","CUST_TRR_START_DT",Settings!$C$6,"CUST_TRR_END_DT",Settings!$C$4)/100,"")</f>
        <v/>
      </c>
      <c r="G332" s="9">
        <f>IFERROR(BDP(A332,"CUST_TRR_RETURN_HOLDING_PER","CUST_TRR_START_DT",Settings!$C$7,"CUST_TRR_END_DT",Settings!$C$4)/100,"")</f>
        <v/>
      </c>
      <c r="H332" s="9">
        <f>IFERROR(BDP(A332,"CUST_TRR_RETURN_HOLDING_PER","CUST_TRR_START_DT",Settings!$C$8,"CUST_TRR_END_DT",Settings!$C$4)/100,"")</f>
        <v/>
      </c>
    </row>
    <row r="333">
      <c r="A333" s="7" t="inlineStr">
        <is>
          <t>MTB US Equity</t>
        </is>
      </c>
      <c r="B333">
        <f>IFERROR(BDP(A333,"NAME"),"")</f>
        <v/>
      </c>
      <c r="C333">
        <f>IFERROR(BDP(A333,"GICS_SECTOR_NAME"),"")</f>
        <v/>
      </c>
      <c r="D333" s="8">
        <f>IFERROR(BDP(A333,"PX_LAST"),"")</f>
        <v/>
      </c>
      <c r="E333" s="9">
        <f>IFERROR(BDP(A333,"CUST_TRR_RETURN_HOLDING_PER","CUST_TRR_START_DT",Settings!$C$5,"CUST_TRR_END_DT",Settings!$C$4)/100,"")</f>
        <v/>
      </c>
      <c r="F333" s="9">
        <f>IFERROR(BDP(A333,"CUST_TRR_RETURN_HOLDING_PER","CUST_TRR_START_DT",Settings!$C$6,"CUST_TRR_END_DT",Settings!$C$4)/100,"")</f>
        <v/>
      </c>
      <c r="G333" s="9">
        <f>IFERROR(BDP(A333,"CUST_TRR_RETURN_HOLDING_PER","CUST_TRR_START_DT",Settings!$C$7,"CUST_TRR_END_DT",Settings!$C$4)/100,"")</f>
        <v/>
      </c>
      <c r="H333" s="9">
        <f>IFERROR(BDP(A333,"CUST_TRR_RETURN_HOLDING_PER","CUST_TRR_START_DT",Settings!$C$8,"CUST_TRR_END_DT",Settings!$C$4)/100,"")</f>
        <v/>
      </c>
    </row>
    <row r="334">
      <c r="A334" s="7" t="inlineStr">
        <is>
          <t>MTCH US Equity</t>
        </is>
      </c>
      <c r="B334">
        <f>IFERROR(BDP(A334,"NAME"),"")</f>
        <v/>
      </c>
      <c r="C334">
        <f>IFERROR(BDP(A334,"GICS_SECTOR_NAME"),"")</f>
        <v/>
      </c>
      <c r="D334" s="8">
        <f>IFERROR(BDP(A334,"PX_LAST"),"")</f>
        <v/>
      </c>
      <c r="E334" s="9">
        <f>IFERROR(BDP(A334,"CUST_TRR_RETURN_HOLDING_PER","CUST_TRR_START_DT",Settings!$C$5,"CUST_TRR_END_DT",Settings!$C$4)/100,"")</f>
        <v/>
      </c>
      <c r="F334" s="9">
        <f>IFERROR(BDP(A334,"CUST_TRR_RETURN_HOLDING_PER","CUST_TRR_START_DT",Settings!$C$6,"CUST_TRR_END_DT",Settings!$C$4)/100,"")</f>
        <v/>
      </c>
      <c r="G334" s="9">
        <f>IFERROR(BDP(A334,"CUST_TRR_RETURN_HOLDING_PER","CUST_TRR_START_DT",Settings!$C$7,"CUST_TRR_END_DT",Settings!$C$4)/100,"")</f>
        <v/>
      </c>
      <c r="H334" s="9">
        <f>IFERROR(BDP(A334,"CUST_TRR_RETURN_HOLDING_PER","CUST_TRR_START_DT",Settings!$C$8,"CUST_TRR_END_DT",Settings!$C$4)/100,"")</f>
        <v/>
      </c>
    </row>
    <row r="335">
      <c r="A335" s="7" t="inlineStr">
        <is>
          <t>MTD US Equity</t>
        </is>
      </c>
      <c r="B335">
        <f>IFERROR(BDP(A335,"NAME"),"")</f>
        <v/>
      </c>
      <c r="C335">
        <f>IFERROR(BDP(A335,"GICS_SECTOR_NAME"),"")</f>
        <v/>
      </c>
      <c r="D335" s="8">
        <f>IFERROR(BDP(A335,"PX_LAST"),"")</f>
        <v/>
      </c>
      <c r="E335" s="9">
        <f>IFERROR(BDP(A335,"CUST_TRR_RETURN_HOLDING_PER","CUST_TRR_START_DT",Settings!$C$5,"CUST_TRR_END_DT",Settings!$C$4)/100,"")</f>
        <v/>
      </c>
      <c r="F335" s="9">
        <f>IFERROR(BDP(A335,"CUST_TRR_RETURN_HOLDING_PER","CUST_TRR_START_DT",Settings!$C$6,"CUST_TRR_END_DT",Settings!$C$4)/100,"")</f>
        <v/>
      </c>
      <c r="G335" s="9">
        <f>IFERROR(BDP(A335,"CUST_TRR_RETURN_HOLDING_PER","CUST_TRR_START_DT",Settings!$C$7,"CUST_TRR_END_DT",Settings!$C$4)/100,"")</f>
        <v/>
      </c>
      <c r="H335" s="9">
        <f>IFERROR(BDP(A335,"CUST_TRR_RETURN_HOLDING_PER","CUST_TRR_START_DT",Settings!$C$8,"CUST_TRR_END_DT",Settings!$C$4)/100,"")</f>
        <v/>
      </c>
    </row>
    <row r="336">
      <c r="A336" s="7" t="inlineStr">
        <is>
          <t>MU US Equity</t>
        </is>
      </c>
      <c r="B336">
        <f>IFERROR(BDP(A336,"NAME"),"")</f>
        <v/>
      </c>
      <c r="C336">
        <f>IFERROR(BDP(A336,"GICS_SECTOR_NAME"),"")</f>
        <v/>
      </c>
      <c r="D336" s="8">
        <f>IFERROR(BDP(A336,"PX_LAST"),"")</f>
        <v/>
      </c>
      <c r="E336" s="9">
        <f>IFERROR(BDP(A336,"CUST_TRR_RETURN_HOLDING_PER","CUST_TRR_START_DT",Settings!$C$5,"CUST_TRR_END_DT",Settings!$C$4)/100,"")</f>
        <v/>
      </c>
      <c r="F336" s="9">
        <f>IFERROR(BDP(A336,"CUST_TRR_RETURN_HOLDING_PER","CUST_TRR_START_DT",Settings!$C$6,"CUST_TRR_END_DT",Settings!$C$4)/100,"")</f>
        <v/>
      </c>
      <c r="G336" s="9">
        <f>IFERROR(BDP(A336,"CUST_TRR_RETURN_HOLDING_PER","CUST_TRR_START_DT",Settings!$C$7,"CUST_TRR_END_DT",Settings!$C$4)/100,"")</f>
        <v/>
      </c>
      <c r="H336" s="9">
        <f>IFERROR(BDP(A336,"CUST_TRR_RETURN_HOLDING_PER","CUST_TRR_START_DT",Settings!$C$8,"CUST_TRR_END_DT",Settings!$C$4)/100,"")</f>
        <v/>
      </c>
    </row>
    <row r="337">
      <c r="A337" s="7" t="inlineStr">
        <is>
          <t>NCLH US Equity</t>
        </is>
      </c>
      <c r="B337">
        <f>IFERROR(BDP(A337,"NAME"),"")</f>
        <v/>
      </c>
      <c r="C337">
        <f>IFERROR(BDP(A337,"GICS_SECTOR_NAME"),"")</f>
        <v/>
      </c>
      <c r="D337" s="8">
        <f>IFERROR(BDP(A337,"PX_LAST"),"")</f>
        <v/>
      </c>
      <c r="E337" s="9">
        <f>IFERROR(BDP(A337,"CUST_TRR_RETURN_HOLDING_PER","CUST_TRR_START_DT",Settings!$C$5,"CUST_TRR_END_DT",Settings!$C$4)/100,"")</f>
        <v/>
      </c>
      <c r="F337" s="9">
        <f>IFERROR(BDP(A337,"CUST_TRR_RETURN_HOLDING_PER","CUST_TRR_START_DT",Settings!$C$6,"CUST_TRR_END_DT",Settings!$C$4)/100,"")</f>
        <v/>
      </c>
      <c r="G337" s="9">
        <f>IFERROR(BDP(A337,"CUST_TRR_RETURN_HOLDING_PER","CUST_TRR_START_DT",Settings!$C$7,"CUST_TRR_END_DT",Settings!$C$4)/100,"")</f>
        <v/>
      </c>
      <c r="H337" s="9">
        <f>IFERROR(BDP(A337,"CUST_TRR_RETURN_HOLDING_PER","CUST_TRR_START_DT",Settings!$C$8,"CUST_TRR_END_DT",Settings!$C$4)/100,"")</f>
        <v/>
      </c>
    </row>
    <row r="338">
      <c r="A338" s="7" t="inlineStr">
        <is>
          <t>NDAQ US Equity</t>
        </is>
      </c>
      <c r="B338">
        <f>IFERROR(BDP(A338,"NAME"),"")</f>
        <v/>
      </c>
      <c r="C338">
        <f>IFERROR(BDP(A338,"GICS_SECTOR_NAME"),"")</f>
        <v/>
      </c>
      <c r="D338" s="8">
        <f>IFERROR(BDP(A338,"PX_LAST"),"")</f>
        <v/>
      </c>
      <c r="E338" s="9">
        <f>IFERROR(BDP(A338,"CUST_TRR_RETURN_HOLDING_PER","CUST_TRR_START_DT",Settings!$C$5,"CUST_TRR_END_DT",Settings!$C$4)/100,"")</f>
        <v/>
      </c>
      <c r="F338" s="9">
        <f>IFERROR(BDP(A338,"CUST_TRR_RETURN_HOLDING_PER","CUST_TRR_START_DT",Settings!$C$6,"CUST_TRR_END_DT",Settings!$C$4)/100,"")</f>
        <v/>
      </c>
      <c r="G338" s="9">
        <f>IFERROR(BDP(A338,"CUST_TRR_RETURN_HOLDING_PER","CUST_TRR_START_DT",Settings!$C$7,"CUST_TRR_END_DT",Settings!$C$4)/100,"")</f>
        <v/>
      </c>
      <c r="H338" s="9">
        <f>IFERROR(BDP(A338,"CUST_TRR_RETURN_HOLDING_PER","CUST_TRR_START_DT",Settings!$C$8,"CUST_TRR_END_DT",Settings!$C$4)/100,"")</f>
        <v/>
      </c>
    </row>
    <row r="339">
      <c r="A339" s="7" t="inlineStr">
        <is>
          <t>NDSN US Equity</t>
        </is>
      </c>
      <c r="B339">
        <f>IFERROR(BDP(A339,"NAME"),"")</f>
        <v/>
      </c>
      <c r="C339">
        <f>IFERROR(BDP(A339,"GICS_SECTOR_NAME"),"")</f>
        <v/>
      </c>
      <c r="D339" s="8">
        <f>IFERROR(BDP(A339,"PX_LAST"),"")</f>
        <v/>
      </c>
      <c r="E339" s="9">
        <f>IFERROR(BDP(A339,"CUST_TRR_RETURN_HOLDING_PER","CUST_TRR_START_DT",Settings!$C$5,"CUST_TRR_END_DT",Settings!$C$4)/100,"")</f>
        <v/>
      </c>
      <c r="F339" s="9">
        <f>IFERROR(BDP(A339,"CUST_TRR_RETURN_HOLDING_PER","CUST_TRR_START_DT",Settings!$C$6,"CUST_TRR_END_DT",Settings!$C$4)/100,"")</f>
        <v/>
      </c>
      <c r="G339" s="9">
        <f>IFERROR(BDP(A339,"CUST_TRR_RETURN_HOLDING_PER","CUST_TRR_START_DT",Settings!$C$7,"CUST_TRR_END_DT",Settings!$C$4)/100,"")</f>
        <v/>
      </c>
      <c r="H339" s="9">
        <f>IFERROR(BDP(A339,"CUST_TRR_RETURN_HOLDING_PER","CUST_TRR_START_DT",Settings!$C$8,"CUST_TRR_END_DT",Settings!$C$4)/100,"")</f>
        <v/>
      </c>
    </row>
    <row r="340">
      <c r="A340" s="7" t="inlineStr">
        <is>
          <t>NEE US Equity</t>
        </is>
      </c>
      <c r="B340">
        <f>IFERROR(BDP(A340,"NAME"),"")</f>
        <v/>
      </c>
      <c r="C340">
        <f>IFERROR(BDP(A340,"GICS_SECTOR_NAME"),"")</f>
        <v/>
      </c>
      <c r="D340" s="8">
        <f>IFERROR(BDP(A340,"PX_LAST"),"")</f>
        <v/>
      </c>
      <c r="E340" s="9">
        <f>IFERROR(BDP(A340,"CUST_TRR_RETURN_HOLDING_PER","CUST_TRR_START_DT",Settings!$C$5,"CUST_TRR_END_DT",Settings!$C$4)/100,"")</f>
        <v/>
      </c>
      <c r="F340" s="9">
        <f>IFERROR(BDP(A340,"CUST_TRR_RETURN_HOLDING_PER","CUST_TRR_START_DT",Settings!$C$6,"CUST_TRR_END_DT",Settings!$C$4)/100,"")</f>
        <v/>
      </c>
      <c r="G340" s="9">
        <f>IFERROR(BDP(A340,"CUST_TRR_RETURN_HOLDING_PER","CUST_TRR_START_DT",Settings!$C$7,"CUST_TRR_END_DT",Settings!$C$4)/100,"")</f>
        <v/>
      </c>
      <c r="H340" s="9">
        <f>IFERROR(BDP(A340,"CUST_TRR_RETURN_HOLDING_PER","CUST_TRR_START_DT",Settings!$C$8,"CUST_TRR_END_DT",Settings!$C$4)/100,"")</f>
        <v/>
      </c>
    </row>
    <row r="341">
      <c r="A341" s="7" t="inlineStr">
        <is>
          <t>NEM US Equity</t>
        </is>
      </c>
      <c r="B341">
        <f>IFERROR(BDP(A341,"NAME"),"")</f>
        <v/>
      </c>
      <c r="C341">
        <f>IFERROR(BDP(A341,"GICS_SECTOR_NAME"),"")</f>
        <v/>
      </c>
      <c r="D341" s="8">
        <f>IFERROR(BDP(A341,"PX_LAST"),"")</f>
        <v/>
      </c>
      <c r="E341" s="9">
        <f>IFERROR(BDP(A341,"CUST_TRR_RETURN_HOLDING_PER","CUST_TRR_START_DT",Settings!$C$5,"CUST_TRR_END_DT",Settings!$C$4)/100,"")</f>
        <v/>
      </c>
      <c r="F341" s="9">
        <f>IFERROR(BDP(A341,"CUST_TRR_RETURN_HOLDING_PER","CUST_TRR_START_DT",Settings!$C$6,"CUST_TRR_END_DT",Settings!$C$4)/100,"")</f>
        <v/>
      </c>
      <c r="G341" s="9">
        <f>IFERROR(BDP(A341,"CUST_TRR_RETURN_HOLDING_PER","CUST_TRR_START_DT",Settings!$C$7,"CUST_TRR_END_DT",Settings!$C$4)/100,"")</f>
        <v/>
      </c>
      <c r="H341" s="9">
        <f>IFERROR(BDP(A341,"CUST_TRR_RETURN_HOLDING_PER","CUST_TRR_START_DT",Settings!$C$8,"CUST_TRR_END_DT",Settings!$C$4)/100,"")</f>
        <v/>
      </c>
    </row>
    <row r="342">
      <c r="A342" s="7" t="inlineStr">
        <is>
          <t>NFLX US Equity</t>
        </is>
      </c>
      <c r="B342">
        <f>IFERROR(BDP(A342,"NAME"),"")</f>
        <v/>
      </c>
      <c r="C342">
        <f>IFERROR(BDP(A342,"GICS_SECTOR_NAME"),"")</f>
        <v/>
      </c>
      <c r="D342" s="8">
        <f>IFERROR(BDP(A342,"PX_LAST"),"")</f>
        <v/>
      </c>
      <c r="E342" s="9">
        <f>IFERROR(BDP(A342,"CUST_TRR_RETURN_HOLDING_PER","CUST_TRR_START_DT",Settings!$C$5,"CUST_TRR_END_DT",Settings!$C$4)/100,"")</f>
        <v/>
      </c>
      <c r="F342" s="9">
        <f>IFERROR(BDP(A342,"CUST_TRR_RETURN_HOLDING_PER","CUST_TRR_START_DT",Settings!$C$6,"CUST_TRR_END_DT",Settings!$C$4)/100,"")</f>
        <v/>
      </c>
      <c r="G342" s="9">
        <f>IFERROR(BDP(A342,"CUST_TRR_RETURN_HOLDING_PER","CUST_TRR_START_DT",Settings!$C$7,"CUST_TRR_END_DT",Settings!$C$4)/100,"")</f>
        <v/>
      </c>
      <c r="H342" s="9">
        <f>IFERROR(BDP(A342,"CUST_TRR_RETURN_HOLDING_PER","CUST_TRR_START_DT",Settings!$C$8,"CUST_TRR_END_DT",Settings!$C$4)/100,"")</f>
        <v/>
      </c>
    </row>
    <row r="343">
      <c r="A343" s="7" t="inlineStr">
        <is>
          <t>NI US Equity</t>
        </is>
      </c>
      <c r="B343">
        <f>IFERROR(BDP(A343,"NAME"),"")</f>
        <v/>
      </c>
      <c r="C343">
        <f>IFERROR(BDP(A343,"GICS_SECTOR_NAME"),"")</f>
        <v/>
      </c>
      <c r="D343" s="8">
        <f>IFERROR(BDP(A343,"PX_LAST"),"")</f>
        <v/>
      </c>
      <c r="E343" s="9">
        <f>IFERROR(BDP(A343,"CUST_TRR_RETURN_HOLDING_PER","CUST_TRR_START_DT",Settings!$C$5,"CUST_TRR_END_DT",Settings!$C$4)/100,"")</f>
        <v/>
      </c>
      <c r="F343" s="9">
        <f>IFERROR(BDP(A343,"CUST_TRR_RETURN_HOLDING_PER","CUST_TRR_START_DT",Settings!$C$6,"CUST_TRR_END_DT",Settings!$C$4)/100,"")</f>
        <v/>
      </c>
      <c r="G343" s="9">
        <f>IFERROR(BDP(A343,"CUST_TRR_RETURN_HOLDING_PER","CUST_TRR_START_DT",Settings!$C$7,"CUST_TRR_END_DT",Settings!$C$4)/100,"")</f>
        <v/>
      </c>
      <c r="H343" s="9">
        <f>IFERROR(BDP(A343,"CUST_TRR_RETURN_HOLDING_PER","CUST_TRR_START_DT",Settings!$C$8,"CUST_TRR_END_DT",Settings!$C$4)/100,"")</f>
        <v/>
      </c>
    </row>
    <row r="344">
      <c r="A344" s="7" t="inlineStr">
        <is>
          <t>NKE US Equity</t>
        </is>
      </c>
      <c r="B344">
        <f>IFERROR(BDP(A344,"NAME"),"")</f>
        <v/>
      </c>
      <c r="C344">
        <f>IFERROR(BDP(A344,"GICS_SECTOR_NAME"),"")</f>
        <v/>
      </c>
      <c r="D344" s="8">
        <f>IFERROR(BDP(A344,"PX_LAST"),"")</f>
        <v/>
      </c>
      <c r="E344" s="9">
        <f>IFERROR(BDP(A344,"CUST_TRR_RETURN_HOLDING_PER","CUST_TRR_START_DT",Settings!$C$5,"CUST_TRR_END_DT",Settings!$C$4)/100,"")</f>
        <v/>
      </c>
      <c r="F344" s="9">
        <f>IFERROR(BDP(A344,"CUST_TRR_RETURN_HOLDING_PER","CUST_TRR_START_DT",Settings!$C$6,"CUST_TRR_END_DT",Settings!$C$4)/100,"")</f>
        <v/>
      </c>
      <c r="G344" s="9">
        <f>IFERROR(BDP(A344,"CUST_TRR_RETURN_HOLDING_PER","CUST_TRR_START_DT",Settings!$C$7,"CUST_TRR_END_DT",Settings!$C$4)/100,"")</f>
        <v/>
      </c>
      <c r="H344" s="9">
        <f>IFERROR(BDP(A344,"CUST_TRR_RETURN_HOLDING_PER","CUST_TRR_START_DT",Settings!$C$8,"CUST_TRR_END_DT",Settings!$C$4)/100,"")</f>
        <v/>
      </c>
    </row>
    <row r="345">
      <c r="A345" s="7" t="inlineStr">
        <is>
          <t>NOC US Equity</t>
        </is>
      </c>
      <c r="B345">
        <f>IFERROR(BDP(A345,"NAME"),"")</f>
        <v/>
      </c>
      <c r="C345">
        <f>IFERROR(BDP(A345,"GICS_SECTOR_NAME"),"")</f>
        <v/>
      </c>
      <c r="D345" s="8">
        <f>IFERROR(BDP(A345,"PX_LAST"),"")</f>
        <v/>
      </c>
      <c r="E345" s="9">
        <f>IFERROR(BDP(A345,"CUST_TRR_RETURN_HOLDING_PER","CUST_TRR_START_DT",Settings!$C$5,"CUST_TRR_END_DT",Settings!$C$4)/100,"")</f>
        <v/>
      </c>
      <c r="F345" s="9">
        <f>IFERROR(BDP(A345,"CUST_TRR_RETURN_HOLDING_PER","CUST_TRR_START_DT",Settings!$C$6,"CUST_TRR_END_DT",Settings!$C$4)/100,"")</f>
        <v/>
      </c>
      <c r="G345" s="9">
        <f>IFERROR(BDP(A345,"CUST_TRR_RETURN_HOLDING_PER","CUST_TRR_START_DT",Settings!$C$7,"CUST_TRR_END_DT",Settings!$C$4)/100,"")</f>
        <v/>
      </c>
      <c r="H345" s="9">
        <f>IFERROR(BDP(A345,"CUST_TRR_RETURN_HOLDING_PER","CUST_TRR_START_DT",Settings!$C$8,"CUST_TRR_END_DT",Settings!$C$4)/100,"")</f>
        <v/>
      </c>
    </row>
    <row r="346">
      <c r="A346" s="7" t="inlineStr">
        <is>
          <t>NOW US Equity</t>
        </is>
      </c>
      <c r="B346">
        <f>IFERROR(BDP(A346,"NAME"),"")</f>
        <v/>
      </c>
      <c r="C346">
        <f>IFERROR(BDP(A346,"GICS_SECTOR_NAME"),"")</f>
        <v/>
      </c>
      <c r="D346" s="8">
        <f>IFERROR(BDP(A346,"PX_LAST"),"")</f>
        <v/>
      </c>
      <c r="E346" s="9">
        <f>IFERROR(BDP(A346,"CUST_TRR_RETURN_HOLDING_PER","CUST_TRR_START_DT",Settings!$C$5,"CUST_TRR_END_DT",Settings!$C$4)/100,"")</f>
        <v/>
      </c>
      <c r="F346" s="9">
        <f>IFERROR(BDP(A346,"CUST_TRR_RETURN_HOLDING_PER","CUST_TRR_START_DT",Settings!$C$6,"CUST_TRR_END_DT",Settings!$C$4)/100,"")</f>
        <v/>
      </c>
      <c r="G346" s="9">
        <f>IFERROR(BDP(A346,"CUST_TRR_RETURN_HOLDING_PER","CUST_TRR_START_DT",Settings!$C$7,"CUST_TRR_END_DT",Settings!$C$4)/100,"")</f>
        <v/>
      </c>
      <c r="H346" s="9">
        <f>IFERROR(BDP(A346,"CUST_TRR_RETURN_HOLDING_PER","CUST_TRR_START_DT",Settings!$C$8,"CUST_TRR_END_DT",Settings!$C$4)/100,"")</f>
        <v/>
      </c>
    </row>
    <row r="347">
      <c r="A347" s="7" t="inlineStr">
        <is>
          <t>NRG US Equity</t>
        </is>
      </c>
      <c r="B347">
        <f>IFERROR(BDP(A347,"NAME"),"")</f>
        <v/>
      </c>
      <c r="C347">
        <f>IFERROR(BDP(A347,"GICS_SECTOR_NAME"),"")</f>
        <v/>
      </c>
      <c r="D347" s="8">
        <f>IFERROR(BDP(A347,"PX_LAST"),"")</f>
        <v/>
      </c>
      <c r="E347" s="9">
        <f>IFERROR(BDP(A347,"CUST_TRR_RETURN_HOLDING_PER","CUST_TRR_START_DT",Settings!$C$5,"CUST_TRR_END_DT",Settings!$C$4)/100,"")</f>
        <v/>
      </c>
      <c r="F347" s="9">
        <f>IFERROR(BDP(A347,"CUST_TRR_RETURN_HOLDING_PER","CUST_TRR_START_DT",Settings!$C$6,"CUST_TRR_END_DT",Settings!$C$4)/100,"")</f>
        <v/>
      </c>
      <c r="G347" s="9">
        <f>IFERROR(BDP(A347,"CUST_TRR_RETURN_HOLDING_PER","CUST_TRR_START_DT",Settings!$C$7,"CUST_TRR_END_DT",Settings!$C$4)/100,"")</f>
        <v/>
      </c>
      <c r="H347" s="9">
        <f>IFERROR(BDP(A347,"CUST_TRR_RETURN_HOLDING_PER","CUST_TRR_START_DT",Settings!$C$8,"CUST_TRR_END_DT",Settings!$C$4)/100,"")</f>
        <v/>
      </c>
    </row>
    <row r="348">
      <c r="A348" s="7" t="inlineStr">
        <is>
          <t>NSC US Equity</t>
        </is>
      </c>
      <c r="B348">
        <f>IFERROR(BDP(A348,"NAME"),"")</f>
        <v/>
      </c>
      <c r="C348">
        <f>IFERROR(BDP(A348,"GICS_SECTOR_NAME"),"")</f>
        <v/>
      </c>
      <c r="D348" s="8">
        <f>IFERROR(BDP(A348,"PX_LAST"),"")</f>
        <v/>
      </c>
      <c r="E348" s="9">
        <f>IFERROR(BDP(A348,"CUST_TRR_RETURN_HOLDING_PER","CUST_TRR_START_DT",Settings!$C$5,"CUST_TRR_END_DT",Settings!$C$4)/100,"")</f>
        <v/>
      </c>
      <c r="F348" s="9">
        <f>IFERROR(BDP(A348,"CUST_TRR_RETURN_HOLDING_PER","CUST_TRR_START_DT",Settings!$C$6,"CUST_TRR_END_DT",Settings!$C$4)/100,"")</f>
        <v/>
      </c>
      <c r="G348" s="9">
        <f>IFERROR(BDP(A348,"CUST_TRR_RETURN_HOLDING_PER","CUST_TRR_START_DT",Settings!$C$7,"CUST_TRR_END_DT",Settings!$C$4)/100,"")</f>
        <v/>
      </c>
      <c r="H348" s="9">
        <f>IFERROR(BDP(A348,"CUST_TRR_RETURN_HOLDING_PER","CUST_TRR_START_DT",Settings!$C$8,"CUST_TRR_END_DT",Settings!$C$4)/100,"")</f>
        <v/>
      </c>
    </row>
    <row r="349">
      <c r="A349" s="7" t="inlineStr">
        <is>
          <t>NTAP US Equity</t>
        </is>
      </c>
      <c r="B349">
        <f>IFERROR(BDP(A349,"NAME"),"")</f>
        <v/>
      </c>
      <c r="C349">
        <f>IFERROR(BDP(A349,"GICS_SECTOR_NAME"),"")</f>
        <v/>
      </c>
      <c r="D349" s="8">
        <f>IFERROR(BDP(A349,"PX_LAST"),"")</f>
        <v/>
      </c>
      <c r="E349" s="9">
        <f>IFERROR(BDP(A349,"CUST_TRR_RETURN_HOLDING_PER","CUST_TRR_START_DT",Settings!$C$5,"CUST_TRR_END_DT",Settings!$C$4)/100,"")</f>
        <v/>
      </c>
      <c r="F349" s="9">
        <f>IFERROR(BDP(A349,"CUST_TRR_RETURN_HOLDING_PER","CUST_TRR_START_DT",Settings!$C$6,"CUST_TRR_END_DT",Settings!$C$4)/100,"")</f>
        <v/>
      </c>
      <c r="G349" s="9">
        <f>IFERROR(BDP(A349,"CUST_TRR_RETURN_HOLDING_PER","CUST_TRR_START_DT",Settings!$C$7,"CUST_TRR_END_DT",Settings!$C$4)/100,"")</f>
        <v/>
      </c>
      <c r="H349" s="9">
        <f>IFERROR(BDP(A349,"CUST_TRR_RETURN_HOLDING_PER","CUST_TRR_START_DT",Settings!$C$8,"CUST_TRR_END_DT",Settings!$C$4)/100,"")</f>
        <v/>
      </c>
    </row>
    <row r="350">
      <c r="A350" s="7" t="inlineStr">
        <is>
          <t>NTRS US Equity</t>
        </is>
      </c>
      <c r="B350">
        <f>IFERROR(BDP(A350,"NAME"),"")</f>
        <v/>
      </c>
      <c r="C350">
        <f>IFERROR(BDP(A350,"GICS_SECTOR_NAME"),"")</f>
        <v/>
      </c>
      <c r="D350" s="8">
        <f>IFERROR(BDP(A350,"PX_LAST"),"")</f>
        <v/>
      </c>
      <c r="E350" s="9">
        <f>IFERROR(BDP(A350,"CUST_TRR_RETURN_HOLDING_PER","CUST_TRR_START_DT",Settings!$C$5,"CUST_TRR_END_DT",Settings!$C$4)/100,"")</f>
        <v/>
      </c>
      <c r="F350" s="9">
        <f>IFERROR(BDP(A350,"CUST_TRR_RETURN_HOLDING_PER","CUST_TRR_START_DT",Settings!$C$6,"CUST_TRR_END_DT",Settings!$C$4)/100,"")</f>
        <v/>
      </c>
      <c r="G350" s="9">
        <f>IFERROR(BDP(A350,"CUST_TRR_RETURN_HOLDING_PER","CUST_TRR_START_DT",Settings!$C$7,"CUST_TRR_END_DT",Settings!$C$4)/100,"")</f>
        <v/>
      </c>
      <c r="H350" s="9">
        <f>IFERROR(BDP(A350,"CUST_TRR_RETURN_HOLDING_PER","CUST_TRR_START_DT",Settings!$C$8,"CUST_TRR_END_DT",Settings!$C$4)/100,"")</f>
        <v/>
      </c>
    </row>
    <row r="351">
      <c r="A351" s="7" t="inlineStr">
        <is>
          <t>NUE US Equity</t>
        </is>
      </c>
      <c r="B351">
        <f>IFERROR(BDP(A351,"NAME"),"")</f>
        <v/>
      </c>
      <c r="C351">
        <f>IFERROR(BDP(A351,"GICS_SECTOR_NAME"),"")</f>
        <v/>
      </c>
      <c r="D351" s="8">
        <f>IFERROR(BDP(A351,"PX_LAST"),"")</f>
        <v/>
      </c>
      <c r="E351" s="9">
        <f>IFERROR(BDP(A351,"CUST_TRR_RETURN_HOLDING_PER","CUST_TRR_START_DT",Settings!$C$5,"CUST_TRR_END_DT",Settings!$C$4)/100,"")</f>
        <v/>
      </c>
      <c r="F351" s="9">
        <f>IFERROR(BDP(A351,"CUST_TRR_RETURN_HOLDING_PER","CUST_TRR_START_DT",Settings!$C$6,"CUST_TRR_END_DT",Settings!$C$4)/100,"")</f>
        <v/>
      </c>
      <c r="G351" s="9">
        <f>IFERROR(BDP(A351,"CUST_TRR_RETURN_HOLDING_PER","CUST_TRR_START_DT",Settings!$C$7,"CUST_TRR_END_DT",Settings!$C$4)/100,"")</f>
        <v/>
      </c>
      <c r="H351" s="9">
        <f>IFERROR(BDP(A351,"CUST_TRR_RETURN_HOLDING_PER","CUST_TRR_START_DT",Settings!$C$8,"CUST_TRR_END_DT",Settings!$C$4)/100,"")</f>
        <v/>
      </c>
    </row>
    <row r="352">
      <c r="A352" s="7" t="inlineStr">
        <is>
          <t>NVDA US Equity</t>
        </is>
      </c>
      <c r="B352">
        <f>IFERROR(BDP(A352,"NAME"),"")</f>
        <v/>
      </c>
      <c r="C352">
        <f>IFERROR(BDP(A352,"GICS_SECTOR_NAME"),"")</f>
        <v/>
      </c>
      <c r="D352" s="8">
        <f>IFERROR(BDP(A352,"PX_LAST"),"")</f>
        <v/>
      </c>
      <c r="E352" s="9">
        <f>IFERROR(BDP(A352,"CUST_TRR_RETURN_HOLDING_PER","CUST_TRR_START_DT",Settings!$C$5,"CUST_TRR_END_DT",Settings!$C$4)/100,"")</f>
        <v/>
      </c>
      <c r="F352" s="9">
        <f>IFERROR(BDP(A352,"CUST_TRR_RETURN_HOLDING_PER","CUST_TRR_START_DT",Settings!$C$6,"CUST_TRR_END_DT",Settings!$C$4)/100,"")</f>
        <v/>
      </c>
      <c r="G352" s="9">
        <f>IFERROR(BDP(A352,"CUST_TRR_RETURN_HOLDING_PER","CUST_TRR_START_DT",Settings!$C$7,"CUST_TRR_END_DT",Settings!$C$4)/100,"")</f>
        <v/>
      </c>
      <c r="H352" s="9">
        <f>IFERROR(BDP(A352,"CUST_TRR_RETURN_HOLDING_PER","CUST_TRR_START_DT",Settings!$C$8,"CUST_TRR_END_DT",Settings!$C$4)/100,"")</f>
        <v/>
      </c>
    </row>
    <row r="353">
      <c r="A353" s="7" t="inlineStr">
        <is>
          <t>NVR US Equity</t>
        </is>
      </c>
      <c r="B353">
        <f>IFERROR(BDP(A353,"NAME"),"")</f>
        <v/>
      </c>
      <c r="C353">
        <f>IFERROR(BDP(A353,"GICS_SECTOR_NAME"),"")</f>
        <v/>
      </c>
      <c r="D353" s="8">
        <f>IFERROR(BDP(A353,"PX_LAST"),"")</f>
        <v/>
      </c>
      <c r="E353" s="9">
        <f>IFERROR(BDP(A353,"CUST_TRR_RETURN_HOLDING_PER","CUST_TRR_START_DT",Settings!$C$5,"CUST_TRR_END_DT",Settings!$C$4)/100,"")</f>
        <v/>
      </c>
      <c r="F353" s="9">
        <f>IFERROR(BDP(A353,"CUST_TRR_RETURN_HOLDING_PER","CUST_TRR_START_DT",Settings!$C$6,"CUST_TRR_END_DT",Settings!$C$4)/100,"")</f>
        <v/>
      </c>
      <c r="G353" s="9">
        <f>IFERROR(BDP(A353,"CUST_TRR_RETURN_HOLDING_PER","CUST_TRR_START_DT",Settings!$C$7,"CUST_TRR_END_DT",Settings!$C$4)/100,"")</f>
        <v/>
      </c>
      <c r="H353" s="9">
        <f>IFERROR(BDP(A353,"CUST_TRR_RETURN_HOLDING_PER","CUST_TRR_START_DT",Settings!$C$8,"CUST_TRR_END_DT",Settings!$C$4)/100,"")</f>
        <v/>
      </c>
    </row>
    <row r="354">
      <c r="A354" s="7" t="inlineStr">
        <is>
          <t>NWS US Equity</t>
        </is>
      </c>
      <c r="B354">
        <f>IFERROR(BDP(A354,"NAME"),"")</f>
        <v/>
      </c>
      <c r="C354">
        <f>IFERROR(BDP(A354,"GICS_SECTOR_NAME"),"")</f>
        <v/>
      </c>
      <c r="D354" s="8">
        <f>IFERROR(BDP(A354,"PX_LAST"),"")</f>
        <v/>
      </c>
      <c r="E354" s="9">
        <f>IFERROR(BDP(A354,"CUST_TRR_RETURN_HOLDING_PER","CUST_TRR_START_DT",Settings!$C$5,"CUST_TRR_END_DT",Settings!$C$4)/100,"")</f>
        <v/>
      </c>
      <c r="F354" s="9">
        <f>IFERROR(BDP(A354,"CUST_TRR_RETURN_HOLDING_PER","CUST_TRR_START_DT",Settings!$C$6,"CUST_TRR_END_DT",Settings!$C$4)/100,"")</f>
        <v/>
      </c>
      <c r="G354" s="9">
        <f>IFERROR(BDP(A354,"CUST_TRR_RETURN_HOLDING_PER","CUST_TRR_START_DT",Settings!$C$7,"CUST_TRR_END_DT",Settings!$C$4)/100,"")</f>
        <v/>
      </c>
      <c r="H354" s="9">
        <f>IFERROR(BDP(A354,"CUST_TRR_RETURN_HOLDING_PER","CUST_TRR_START_DT",Settings!$C$8,"CUST_TRR_END_DT",Settings!$C$4)/100,"")</f>
        <v/>
      </c>
    </row>
    <row r="355">
      <c r="A355" s="7" t="inlineStr">
        <is>
          <t>NWSA US Equity</t>
        </is>
      </c>
      <c r="B355">
        <f>IFERROR(BDP(A355,"NAME"),"")</f>
        <v/>
      </c>
      <c r="C355">
        <f>IFERROR(BDP(A355,"GICS_SECTOR_NAME"),"")</f>
        <v/>
      </c>
      <c r="D355" s="8">
        <f>IFERROR(BDP(A355,"PX_LAST"),"")</f>
        <v/>
      </c>
      <c r="E355" s="9">
        <f>IFERROR(BDP(A355,"CUST_TRR_RETURN_HOLDING_PER","CUST_TRR_START_DT",Settings!$C$5,"CUST_TRR_END_DT",Settings!$C$4)/100,"")</f>
        <v/>
      </c>
      <c r="F355" s="9">
        <f>IFERROR(BDP(A355,"CUST_TRR_RETURN_HOLDING_PER","CUST_TRR_START_DT",Settings!$C$6,"CUST_TRR_END_DT",Settings!$C$4)/100,"")</f>
        <v/>
      </c>
      <c r="G355" s="9">
        <f>IFERROR(BDP(A355,"CUST_TRR_RETURN_HOLDING_PER","CUST_TRR_START_DT",Settings!$C$7,"CUST_TRR_END_DT",Settings!$C$4)/100,"")</f>
        <v/>
      </c>
      <c r="H355" s="9">
        <f>IFERROR(BDP(A355,"CUST_TRR_RETURN_HOLDING_PER","CUST_TRR_START_DT",Settings!$C$8,"CUST_TRR_END_DT",Settings!$C$4)/100,"")</f>
        <v/>
      </c>
    </row>
    <row r="356">
      <c r="A356" s="7" t="inlineStr">
        <is>
          <t>NXPI US Equity</t>
        </is>
      </c>
      <c r="B356">
        <f>IFERROR(BDP(A356,"NAME"),"")</f>
        <v/>
      </c>
      <c r="C356">
        <f>IFERROR(BDP(A356,"GICS_SECTOR_NAME"),"")</f>
        <v/>
      </c>
      <c r="D356" s="8">
        <f>IFERROR(BDP(A356,"PX_LAST"),"")</f>
        <v/>
      </c>
      <c r="E356" s="9">
        <f>IFERROR(BDP(A356,"CUST_TRR_RETURN_HOLDING_PER","CUST_TRR_START_DT",Settings!$C$5,"CUST_TRR_END_DT",Settings!$C$4)/100,"")</f>
        <v/>
      </c>
      <c r="F356" s="9">
        <f>IFERROR(BDP(A356,"CUST_TRR_RETURN_HOLDING_PER","CUST_TRR_START_DT",Settings!$C$6,"CUST_TRR_END_DT",Settings!$C$4)/100,"")</f>
        <v/>
      </c>
      <c r="G356" s="9">
        <f>IFERROR(BDP(A356,"CUST_TRR_RETURN_HOLDING_PER","CUST_TRR_START_DT",Settings!$C$7,"CUST_TRR_END_DT",Settings!$C$4)/100,"")</f>
        <v/>
      </c>
      <c r="H356" s="9">
        <f>IFERROR(BDP(A356,"CUST_TRR_RETURN_HOLDING_PER","CUST_TRR_START_DT",Settings!$C$8,"CUST_TRR_END_DT",Settings!$C$4)/100,"")</f>
        <v/>
      </c>
    </row>
    <row r="357">
      <c r="A357" s="7" t="inlineStr">
        <is>
          <t>O US Equity</t>
        </is>
      </c>
      <c r="B357">
        <f>IFERROR(BDP(A357,"NAME"),"")</f>
        <v/>
      </c>
      <c r="C357">
        <f>IFERROR(BDP(A357,"GICS_SECTOR_NAME"),"")</f>
        <v/>
      </c>
      <c r="D357" s="8">
        <f>IFERROR(BDP(A357,"PX_LAST"),"")</f>
        <v/>
      </c>
      <c r="E357" s="9">
        <f>IFERROR(BDP(A357,"CUST_TRR_RETURN_HOLDING_PER","CUST_TRR_START_DT",Settings!$C$5,"CUST_TRR_END_DT",Settings!$C$4)/100,"")</f>
        <v/>
      </c>
      <c r="F357" s="9">
        <f>IFERROR(BDP(A357,"CUST_TRR_RETURN_HOLDING_PER","CUST_TRR_START_DT",Settings!$C$6,"CUST_TRR_END_DT",Settings!$C$4)/100,"")</f>
        <v/>
      </c>
      <c r="G357" s="9">
        <f>IFERROR(BDP(A357,"CUST_TRR_RETURN_HOLDING_PER","CUST_TRR_START_DT",Settings!$C$7,"CUST_TRR_END_DT",Settings!$C$4)/100,"")</f>
        <v/>
      </c>
      <c r="H357" s="9">
        <f>IFERROR(BDP(A357,"CUST_TRR_RETURN_HOLDING_PER","CUST_TRR_START_DT",Settings!$C$8,"CUST_TRR_END_DT",Settings!$C$4)/100,"")</f>
        <v/>
      </c>
    </row>
    <row r="358">
      <c r="A358" s="7" t="inlineStr">
        <is>
          <t>ODFL US Equity</t>
        </is>
      </c>
      <c r="B358">
        <f>IFERROR(BDP(A358,"NAME"),"")</f>
        <v/>
      </c>
      <c r="C358">
        <f>IFERROR(BDP(A358,"GICS_SECTOR_NAME"),"")</f>
        <v/>
      </c>
      <c r="D358" s="8">
        <f>IFERROR(BDP(A358,"PX_LAST"),"")</f>
        <v/>
      </c>
      <c r="E358" s="9">
        <f>IFERROR(BDP(A358,"CUST_TRR_RETURN_HOLDING_PER","CUST_TRR_START_DT",Settings!$C$5,"CUST_TRR_END_DT",Settings!$C$4)/100,"")</f>
        <v/>
      </c>
      <c r="F358" s="9">
        <f>IFERROR(BDP(A358,"CUST_TRR_RETURN_HOLDING_PER","CUST_TRR_START_DT",Settings!$C$6,"CUST_TRR_END_DT",Settings!$C$4)/100,"")</f>
        <v/>
      </c>
      <c r="G358" s="9">
        <f>IFERROR(BDP(A358,"CUST_TRR_RETURN_HOLDING_PER","CUST_TRR_START_DT",Settings!$C$7,"CUST_TRR_END_DT",Settings!$C$4)/100,"")</f>
        <v/>
      </c>
      <c r="H358" s="9">
        <f>IFERROR(BDP(A358,"CUST_TRR_RETURN_HOLDING_PER","CUST_TRR_START_DT",Settings!$C$8,"CUST_TRR_END_DT",Settings!$C$4)/100,"")</f>
        <v/>
      </c>
    </row>
    <row r="359">
      <c r="A359" s="7" t="inlineStr">
        <is>
          <t>OKE US Equity</t>
        </is>
      </c>
      <c r="B359">
        <f>IFERROR(BDP(A359,"NAME"),"")</f>
        <v/>
      </c>
      <c r="C359">
        <f>IFERROR(BDP(A359,"GICS_SECTOR_NAME"),"")</f>
        <v/>
      </c>
      <c r="D359" s="8">
        <f>IFERROR(BDP(A359,"PX_LAST"),"")</f>
        <v/>
      </c>
      <c r="E359" s="9">
        <f>IFERROR(BDP(A359,"CUST_TRR_RETURN_HOLDING_PER","CUST_TRR_START_DT",Settings!$C$5,"CUST_TRR_END_DT",Settings!$C$4)/100,"")</f>
        <v/>
      </c>
      <c r="F359" s="9">
        <f>IFERROR(BDP(A359,"CUST_TRR_RETURN_HOLDING_PER","CUST_TRR_START_DT",Settings!$C$6,"CUST_TRR_END_DT",Settings!$C$4)/100,"")</f>
        <v/>
      </c>
      <c r="G359" s="9">
        <f>IFERROR(BDP(A359,"CUST_TRR_RETURN_HOLDING_PER","CUST_TRR_START_DT",Settings!$C$7,"CUST_TRR_END_DT",Settings!$C$4)/100,"")</f>
        <v/>
      </c>
      <c r="H359" s="9">
        <f>IFERROR(BDP(A359,"CUST_TRR_RETURN_HOLDING_PER","CUST_TRR_START_DT",Settings!$C$8,"CUST_TRR_END_DT",Settings!$C$4)/100,"")</f>
        <v/>
      </c>
    </row>
    <row r="360">
      <c r="A360" s="7" t="inlineStr">
        <is>
          <t>OMC US Equity</t>
        </is>
      </c>
      <c r="B360">
        <f>IFERROR(BDP(A360,"NAME"),"")</f>
        <v/>
      </c>
      <c r="C360">
        <f>IFERROR(BDP(A360,"GICS_SECTOR_NAME"),"")</f>
        <v/>
      </c>
      <c r="D360" s="8">
        <f>IFERROR(BDP(A360,"PX_LAST"),"")</f>
        <v/>
      </c>
      <c r="E360" s="9">
        <f>IFERROR(BDP(A360,"CUST_TRR_RETURN_HOLDING_PER","CUST_TRR_START_DT",Settings!$C$5,"CUST_TRR_END_DT",Settings!$C$4)/100,"")</f>
        <v/>
      </c>
      <c r="F360" s="9">
        <f>IFERROR(BDP(A360,"CUST_TRR_RETURN_HOLDING_PER","CUST_TRR_START_DT",Settings!$C$6,"CUST_TRR_END_DT",Settings!$C$4)/100,"")</f>
        <v/>
      </c>
      <c r="G360" s="9">
        <f>IFERROR(BDP(A360,"CUST_TRR_RETURN_HOLDING_PER","CUST_TRR_START_DT",Settings!$C$7,"CUST_TRR_END_DT",Settings!$C$4)/100,"")</f>
        <v/>
      </c>
      <c r="H360" s="9">
        <f>IFERROR(BDP(A360,"CUST_TRR_RETURN_HOLDING_PER","CUST_TRR_START_DT",Settings!$C$8,"CUST_TRR_END_DT",Settings!$C$4)/100,"")</f>
        <v/>
      </c>
    </row>
    <row r="361">
      <c r="A361" s="7" t="inlineStr">
        <is>
          <t>ON US Equity</t>
        </is>
      </c>
      <c r="B361">
        <f>IFERROR(BDP(A361,"NAME"),"")</f>
        <v/>
      </c>
      <c r="C361">
        <f>IFERROR(BDP(A361,"GICS_SECTOR_NAME"),"")</f>
        <v/>
      </c>
      <c r="D361" s="8">
        <f>IFERROR(BDP(A361,"PX_LAST"),"")</f>
        <v/>
      </c>
      <c r="E361" s="9">
        <f>IFERROR(BDP(A361,"CUST_TRR_RETURN_HOLDING_PER","CUST_TRR_START_DT",Settings!$C$5,"CUST_TRR_END_DT",Settings!$C$4)/100,"")</f>
        <v/>
      </c>
      <c r="F361" s="9">
        <f>IFERROR(BDP(A361,"CUST_TRR_RETURN_HOLDING_PER","CUST_TRR_START_DT",Settings!$C$6,"CUST_TRR_END_DT",Settings!$C$4)/100,"")</f>
        <v/>
      </c>
      <c r="G361" s="9">
        <f>IFERROR(BDP(A361,"CUST_TRR_RETURN_HOLDING_PER","CUST_TRR_START_DT",Settings!$C$7,"CUST_TRR_END_DT",Settings!$C$4)/100,"")</f>
        <v/>
      </c>
      <c r="H361" s="9">
        <f>IFERROR(BDP(A361,"CUST_TRR_RETURN_HOLDING_PER","CUST_TRR_START_DT",Settings!$C$8,"CUST_TRR_END_DT",Settings!$C$4)/100,"")</f>
        <v/>
      </c>
    </row>
    <row r="362">
      <c r="A362" s="7" t="inlineStr">
        <is>
          <t>ORCL US Equity</t>
        </is>
      </c>
      <c r="B362">
        <f>IFERROR(BDP(A362,"NAME"),"")</f>
        <v/>
      </c>
      <c r="C362">
        <f>IFERROR(BDP(A362,"GICS_SECTOR_NAME"),"")</f>
        <v/>
      </c>
      <c r="D362" s="8">
        <f>IFERROR(BDP(A362,"PX_LAST"),"")</f>
        <v/>
      </c>
      <c r="E362" s="9">
        <f>IFERROR(BDP(A362,"CUST_TRR_RETURN_HOLDING_PER","CUST_TRR_START_DT",Settings!$C$5,"CUST_TRR_END_DT",Settings!$C$4)/100,"")</f>
        <v/>
      </c>
      <c r="F362" s="9">
        <f>IFERROR(BDP(A362,"CUST_TRR_RETURN_HOLDING_PER","CUST_TRR_START_DT",Settings!$C$6,"CUST_TRR_END_DT",Settings!$C$4)/100,"")</f>
        <v/>
      </c>
      <c r="G362" s="9">
        <f>IFERROR(BDP(A362,"CUST_TRR_RETURN_HOLDING_PER","CUST_TRR_START_DT",Settings!$C$7,"CUST_TRR_END_DT",Settings!$C$4)/100,"")</f>
        <v/>
      </c>
      <c r="H362" s="9">
        <f>IFERROR(BDP(A362,"CUST_TRR_RETURN_HOLDING_PER","CUST_TRR_START_DT",Settings!$C$8,"CUST_TRR_END_DT",Settings!$C$4)/100,"")</f>
        <v/>
      </c>
    </row>
    <row r="363">
      <c r="A363" s="7" t="inlineStr">
        <is>
          <t>ORLY US Equity</t>
        </is>
      </c>
      <c r="B363">
        <f>IFERROR(BDP(A363,"NAME"),"")</f>
        <v/>
      </c>
      <c r="C363">
        <f>IFERROR(BDP(A363,"GICS_SECTOR_NAME"),"")</f>
        <v/>
      </c>
      <c r="D363" s="8">
        <f>IFERROR(BDP(A363,"PX_LAST"),"")</f>
        <v/>
      </c>
      <c r="E363" s="9">
        <f>IFERROR(BDP(A363,"CUST_TRR_RETURN_HOLDING_PER","CUST_TRR_START_DT",Settings!$C$5,"CUST_TRR_END_DT",Settings!$C$4)/100,"")</f>
        <v/>
      </c>
      <c r="F363" s="9">
        <f>IFERROR(BDP(A363,"CUST_TRR_RETURN_HOLDING_PER","CUST_TRR_START_DT",Settings!$C$6,"CUST_TRR_END_DT",Settings!$C$4)/100,"")</f>
        <v/>
      </c>
      <c r="G363" s="9">
        <f>IFERROR(BDP(A363,"CUST_TRR_RETURN_HOLDING_PER","CUST_TRR_START_DT",Settings!$C$7,"CUST_TRR_END_DT",Settings!$C$4)/100,"")</f>
        <v/>
      </c>
      <c r="H363" s="9">
        <f>IFERROR(BDP(A363,"CUST_TRR_RETURN_HOLDING_PER","CUST_TRR_START_DT",Settings!$C$8,"CUST_TRR_END_DT",Settings!$C$4)/100,"")</f>
        <v/>
      </c>
    </row>
    <row r="364">
      <c r="A364" s="7" t="inlineStr">
        <is>
          <t>OTIS US Equity</t>
        </is>
      </c>
      <c r="B364">
        <f>IFERROR(BDP(A364,"NAME"),"")</f>
        <v/>
      </c>
      <c r="C364">
        <f>IFERROR(BDP(A364,"GICS_SECTOR_NAME"),"")</f>
        <v/>
      </c>
      <c r="D364" s="8">
        <f>IFERROR(BDP(A364,"PX_LAST"),"")</f>
        <v/>
      </c>
      <c r="E364" s="9">
        <f>IFERROR(BDP(A364,"CUST_TRR_RETURN_HOLDING_PER","CUST_TRR_START_DT",Settings!$C$5,"CUST_TRR_END_DT",Settings!$C$4)/100,"")</f>
        <v/>
      </c>
      <c r="F364" s="9">
        <f>IFERROR(BDP(A364,"CUST_TRR_RETURN_HOLDING_PER","CUST_TRR_START_DT",Settings!$C$6,"CUST_TRR_END_DT",Settings!$C$4)/100,"")</f>
        <v/>
      </c>
      <c r="G364" s="9">
        <f>IFERROR(BDP(A364,"CUST_TRR_RETURN_HOLDING_PER","CUST_TRR_START_DT",Settings!$C$7,"CUST_TRR_END_DT",Settings!$C$4)/100,"")</f>
        <v/>
      </c>
      <c r="H364" s="9">
        <f>IFERROR(BDP(A364,"CUST_TRR_RETURN_HOLDING_PER","CUST_TRR_START_DT",Settings!$C$8,"CUST_TRR_END_DT",Settings!$C$4)/100,"")</f>
        <v/>
      </c>
    </row>
    <row r="365">
      <c r="A365" s="7" t="inlineStr">
        <is>
          <t>OXY US Equity</t>
        </is>
      </c>
      <c r="B365">
        <f>IFERROR(BDP(A365,"NAME"),"")</f>
        <v/>
      </c>
      <c r="C365">
        <f>IFERROR(BDP(A365,"GICS_SECTOR_NAME"),"")</f>
        <v/>
      </c>
      <c r="D365" s="8">
        <f>IFERROR(BDP(A365,"PX_LAST"),"")</f>
        <v/>
      </c>
      <c r="E365" s="9">
        <f>IFERROR(BDP(A365,"CUST_TRR_RETURN_HOLDING_PER","CUST_TRR_START_DT",Settings!$C$5,"CUST_TRR_END_DT",Settings!$C$4)/100,"")</f>
        <v/>
      </c>
      <c r="F365" s="9">
        <f>IFERROR(BDP(A365,"CUST_TRR_RETURN_HOLDING_PER","CUST_TRR_START_DT",Settings!$C$6,"CUST_TRR_END_DT",Settings!$C$4)/100,"")</f>
        <v/>
      </c>
      <c r="G365" s="9">
        <f>IFERROR(BDP(A365,"CUST_TRR_RETURN_HOLDING_PER","CUST_TRR_START_DT",Settings!$C$7,"CUST_TRR_END_DT",Settings!$C$4)/100,"")</f>
        <v/>
      </c>
      <c r="H365" s="9">
        <f>IFERROR(BDP(A365,"CUST_TRR_RETURN_HOLDING_PER","CUST_TRR_START_DT",Settings!$C$8,"CUST_TRR_END_DT",Settings!$C$4)/100,"")</f>
        <v/>
      </c>
    </row>
    <row r="366">
      <c r="A366" s="7" t="inlineStr">
        <is>
          <t>PANW US Equity</t>
        </is>
      </c>
      <c r="B366">
        <f>IFERROR(BDP(A366,"NAME"),"")</f>
        <v/>
      </c>
      <c r="C366">
        <f>IFERROR(BDP(A366,"GICS_SECTOR_NAME"),"")</f>
        <v/>
      </c>
      <c r="D366" s="8">
        <f>IFERROR(BDP(A366,"PX_LAST"),"")</f>
        <v/>
      </c>
      <c r="E366" s="9">
        <f>IFERROR(BDP(A366,"CUST_TRR_RETURN_HOLDING_PER","CUST_TRR_START_DT",Settings!$C$5,"CUST_TRR_END_DT",Settings!$C$4)/100,"")</f>
        <v/>
      </c>
      <c r="F366" s="9">
        <f>IFERROR(BDP(A366,"CUST_TRR_RETURN_HOLDING_PER","CUST_TRR_START_DT",Settings!$C$6,"CUST_TRR_END_DT",Settings!$C$4)/100,"")</f>
        <v/>
      </c>
      <c r="G366" s="9">
        <f>IFERROR(BDP(A366,"CUST_TRR_RETURN_HOLDING_PER","CUST_TRR_START_DT",Settings!$C$7,"CUST_TRR_END_DT",Settings!$C$4)/100,"")</f>
        <v/>
      </c>
      <c r="H366" s="9">
        <f>IFERROR(BDP(A366,"CUST_TRR_RETURN_HOLDING_PER","CUST_TRR_START_DT",Settings!$C$8,"CUST_TRR_END_DT",Settings!$C$4)/100,"")</f>
        <v/>
      </c>
    </row>
    <row r="367">
      <c r="A367" s="7" t="inlineStr">
        <is>
          <t>PARA US Equity</t>
        </is>
      </c>
      <c r="B367">
        <f>IFERROR(BDP(A367,"NAME"),"")</f>
        <v/>
      </c>
      <c r="C367">
        <f>IFERROR(BDP(A367,"GICS_SECTOR_NAME"),"")</f>
        <v/>
      </c>
      <c r="D367" s="8">
        <f>IFERROR(BDP(A367,"PX_LAST"),"")</f>
        <v/>
      </c>
      <c r="E367" s="9">
        <f>IFERROR(BDP(A367,"CUST_TRR_RETURN_HOLDING_PER","CUST_TRR_START_DT",Settings!$C$5,"CUST_TRR_END_DT",Settings!$C$4)/100,"")</f>
        <v/>
      </c>
      <c r="F367" s="9">
        <f>IFERROR(BDP(A367,"CUST_TRR_RETURN_HOLDING_PER","CUST_TRR_START_DT",Settings!$C$6,"CUST_TRR_END_DT",Settings!$C$4)/100,"")</f>
        <v/>
      </c>
      <c r="G367" s="9">
        <f>IFERROR(BDP(A367,"CUST_TRR_RETURN_HOLDING_PER","CUST_TRR_START_DT",Settings!$C$7,"CUST_TRR_END_DT",Settings!$C$4)/100,"")</f>
        <v/>
      </c>
      <c r="H367" s="9">
        <f>IFERROR(BDP(A367,"CUST_TRR_RETURN_HOLDING_PER","CUST_TRR_START_DT",Settings!$C$8,"CUST_TRR_END_DT",Settings!$C$4)/100,"")</f>
        <v/>
      </c>
    </row>
    <row r="368">
      <c r="A368" s="7" t="inlineStr">
        <is>
          <t>PAYC US Equity</t>
        </is>
      </c>
      <c r="B368">
        <f>IFERROR(BDP(A368,"NAME"),"")</f>
        <v/>
      </c>
      <c r="C368">
        <f>IFERROR(BDP(A368,"GICS_SECTOR_NAME"),"")</f>
        <v/>
      </c>
      <c r="D368" s="8">
        <f>IFERROR(BDP(A368,"PX_LAST"),"")</f>
        <v/>
      </c>
      <c r="E368" s="9">
        <f>IFERROR(BDP(A368,"CUST_TRR_RETURN_HOLDING_PER","CUST_TRR_START_DT",Settings!$C$5,"CUST_TRR_END_DT",Settings!$C$4)/100,"")</f>
        <v/>
      </c>
      <c r="F368" s="9">
        <f>IFERROR(BDP(A368,"CUST_TRR_RETURN_HOLDING_PER","CUST_TRR_START_DT",Settings!$C$6,"CUST_TRR_END_DT",Settings!$C$4)/100,"")</f>
        <v/>
      </c>
      <c r="G368" s="9">
        <f>IFERROR(BDP(A368,"CUST_TRR_RETURN_HOLDING_PER","CUST_TRR_START_DT",Settings!$C$7,"CUST_TRR_END_DT",Settings!$C$4)/100,"")</f>
        <v/>
      </c>
      <c r="H368" s="9">
        <f>IFERROR(BDP(A368,"CUST_TRR_RETURN_HOLDING_PER","CUST_TRR_START_DT",Settings!$C$8,"CUST_TRR_END_DT",Settings!$C$4)/100,"")</f>
        <v/>
      </c>
    </row>
    <row r="369">
      <c r="A369" s="7" t="inlineStr">
        <is>
          <t>PAYX US Equity</t>
        </is>
      </c>
      <c r="B369">
        <f>IFERROR(BDP(A369,"NAME"),"")</f>
        <v/>
      </c>
      <c r="C369">
        <f>IFERROR(BDP(A369,"GICS_SECTOR_NAME"),"")</f>
        <v/>
      </c>
      <c r="D369" s="8">
        <f>IFERROR(BDP(A369,"PX_LAST"),"")</f>
        <v/>
      </c>
      <c r="E369" s="9">
        <f>IFERROR(BDP(A369,"CUST_TRR_RETURN_HOLDING_PER","CUST_TRR_START_DT",Settings!$C$5,"CUST_TRR_END_DT",Settings!$C$4)/100,"")</f>
        <v/>
      </c>
      <c r="F369" s="9">
        <f>IFERROR(BDP(A369,"CUST_TRR_RETURN_HOLDING_PER","CUST_TRR_START_DT",Settings!$C$6,"CUST_TRR_END_DT",Settings!$C$4)/100,"")</f>
        <v/>
      </c>
      <c r="G369" s="9">
        <f>IFERROR(BDP(A369,"CUST_TRR_RETURN_HOLDING_PER","CUST_TRR_START_DT",Settings!$C$7,"CUST_TRR_END_DT",Settings!$C$4)/100,"")</f>
        <v/>
      </c>
      <c r="H369" s="9">
        <f>IFERROR(BDP(A369,"CUST_TRR_RETURN_HOLDING_PER","CUST_TRR_START_DT",Settings!$C$8,"CUST_TRR_END_DT",Settings!$C$4)/100,"")</f>
        <v/>
      </c>
    </row>
    <row r="370">
      <c r="A370" s="7" t="inlineStr">
        <is>
          <t>PCAR US Equity</t>
        </is>
      </c>
      <c r="B370">
        <f>IFERROR(BDP(A370,"NAME"),"")</f>
        <v/>
      </c>
      <c r="C370">
        <f>IFERROR(BDP(A370,"GICS_SECTOR_NAME"),"")</f>
        <v/>
      </c>
      <c r="D370" s="8">
        <f>IFERROR(BDP(A370,"PX_LAST"),"")</f>
        <v/>
      </c>
      <c r="E370" s="9">
        <f>IFERROR(BDP(A370,"CUST_TRR_RETURN_HOLDING_PER","CUST_TRR_START_DT",Settings!$C$5,"CUST_TRR_END_DT",Settings!$C$4)/100,"")</f>
        <v/>
      </c>
      <c r="F370" s="9">
        <f>IFERROR(BDP(A370,"CUST_TRR_RETURN_HOLDING_PER","CUST_TRR_START_DT",Settings!$C$6,"CUST_TRR_END_DT",Settings!$C$4)/100,"")</f>
        <v/>
      </c>
      <c r="G370" s="9">
        <f>IFERROR(BDP(A370,"CUST_TRR_RETURN_HOLDING_PER","CUST_TRR_START_DT",Settings!$C$7,"CUST_TRR_END_DT",Settings!$C$4)/100,"")</f>
        <v/>
      </c>
      <c r="H370" s="9">
        <f>IFERROR(BDP(A370,"CUST_TRR_RETURN_HOLDING_PER","CUST_TRR_START_DT",Settings!$C$8,"CUST_TRR_END_DT",Settings!$C$4)/100,"")</f>
        <v/>
      </c>
    </row>
    <row r="371">
      <c r="A371" s="7" t="inlineStr">
        <is>
          <t>PCG US Equity</t>
        </is>
      </c>
      <c r="B371">
        <f>IFERROR(BDP(A371,"NAME"),"")</f>
        <v/>
      </c>
      <c r="C371">
        <f>IFERROR(BDP(A371,"GICS_SECTOR_NAME"),"")</f>
        <v/>
      </c>
      <c r="D371" s="8">
        <f>IFERROR(BDP(A371,"PX_LAST"),"")</f>
        <v/>
      </c>
      <c r="E371" s="9">
        <f>IFERROR(BDP(A371,"CUST_TRR_RETURN_HOLDING_PER","CUST_TRR_START_DT",Settings!$C$5,"CUST_TRR_END_DT",Settings!$C$4)/100,"")</f>
        <v/>
      </c>
      <c r="F371" s="9">
        <f>IFERROR(BDP(A371,"CUST_TRR_RETURN_HOLDING_PER","CUST_TRR_START_DT",Settings!$C$6,"CUST_TRR_END_DT",Settings!$C$4)/100,"")</f>
        <v/>
      </c>
      <c r="G371" s="9">
        <f>IFERROR(BDP(A371,"CUST_TRR_RETURN_HOLDING_PER","CUST_TRR_START_DT",Settings!$C$7,"CUST_TRR_END_DT",Settings!$C$4)/100,"")</f>
        <v/>
      </c>
      <c r="H371" s="9">
        <f>IFERROR(BDP(A371,"CUST_TRR_RETURN_HOLDING_PER","CUST_TRR_START_DT",Settings!$C$8,"CUST_TRR_END_DT",Settings!$C$4)/100,"")</f>
        <v/>
      </c>
    </row>
    <row r="372">
      <c r="A372" s="7" t="inlineStr">
        <is>
          <t>PEG US Equity</t>
        </is>
      </c>
      <c r="B372">
        <f>IFERROR(BDP(A372,"NAME"),"")</f>
        <v/>
      </c>
      <c r="C372">
        <f>IFERROR(BDP(A372,"GICS_SECTOR_NAME"),"")</f>
        <v/>
      </c>
      <c r="D372" s="8">
        <f>IFERROR(BDP(A372,"PX_LAST"),"")</f>
        <v/>
      </c>
      <c r="E372" s="9">
        <f>IFERROR(BDP(A372,"CUST_TRR_RETURN_HOLDING_PER","CUST_TRR_START_DT",Settings!$C$5,"CUST_TRR_END_DT",Settings!$C$4)/100,"")</f>
        <v/>
      </c>
      <c r="F372" s="9">
        <f>IFERROR(BDP(A372,"CUST_TRR_RETURN_HOLDING_PER","CUST_TRR_START_DT",Settings!$C$6,"CUST_TRR_END_DT",Settings!$C$4)/100,"")</f>
        <v/>
      </c>
      <c r="G372" s="9">
        <f>IFERROR(BDP(A372,"CUST_TRR_RETURN_HOLDING_PER","CUST_TRR_START_DT",Settings!$C$7,"CUST_TRR_END_DT",Settings!$C$4)/100,"")</f>
        <v/>
      </c>
      <c r="H372" s="9">
        <f>IFERROR(BDP(A372,"CUST_TRR_RETURN_HOLDING_PER","CUST_TRR_START_DT",Settings!$C$8,"CUST_TRR_END_DT",Settings!$C$4)/100,"")</f>
        <v/>
      </c>
    </row>
    <row r="373">
      <c r="A373" s="7" t="inlineStr">
        <is>
          <t>PEP US Equity</t>
        </is>
      </c>
      <c r="B373">
        <f>IFERROR(BDP(A373,"NAME"),"")</f>
        <v/>
      </c>
      <c r="C373">
        <f>IFERROR(BDP(A373,"GICS_SECTOR_NAME"),"")</f>
        <v/>
      </c>
      <c r="D373" s="8">
        <f>IFERROR(BDP(A373,"PX_LAST"),"")</f>
        <v/>
      </c>
      <c r="E373" s="9">
        <f>IFERROR(BDP(A373,"CUST_TRR_RETURN_HOLDING_PER","CUST_TRR_START_DT",Settings!$C$5,"CUST_TRR_END_DT",Settings!$C$4)/100,"")</f>
        <v/>
      </c>
      <c r="F373" s="9">
        <f>IFERROR(BDP(A373,"CUST_TRR_RETURN_HOLDING_PER","CUST_TRR_START_DT",Settings!$C$6,"CUST_TRR_END_DT",Settings!$C$4)/100,"")</f>
        <v/>
      </c>
      <c r="G373" s="9">
        <f>IFERROR(BDP(A373,"CUST_TRR_RETURN_HOLDING_PER","CUST_TRR_START_DT",Settings!$C$7,"CUST_TRR_END_DT",Settings!$C$4)/100,"")</f>
        <v/>
      </c>
      <c r="H373" s="9">
        <f>IFERROR(BDP(A373,"CUST_TRR_RETURN_HOLDING_PER","CUST_TRR_START_DT",Settings!$C$8,"CUST_TRR_END_DT",Settings!$C$4)/100,"")</f>
        <v/>
      </c>
    </row>
    <row r="374">
      <c r="A374" s="7" t="inlineStr">
        <is>
          <t>PFE US Equity</t>
        </is>
      </c>
      <c r="B374">
        <f>IFERROR(BDP(A374,"NAME"),"")</f>
        <v/>
      </c>
      <c r="C374">
        <f>IFERROR(BDP(A374,"GICS_SECTOR_NAME"),"")</f>
        <v/>
      </c>
      <c r="D374" s="8">
        <f>IFERROR(BDP(A374,"PX_LAST"),"")</f>
        <v/>
      </c>
      <c r="E374" s="9">
        <f>IFERROR(BDP(A374,"CUST_TRR_RETURN_HOLDING_PER","CUST_TRR_START_DT",Settings!$C$5,"CUST_TRR_END_DT",Settings!$C$4)/100,"")</f>
        <v/>
      </c>
      <c r="F374" s="9">
        <f>IFERROR(BDP(A374,"CUST_TRR_RETURN_HOLDING_PER","CUST_TRR_START_DT",Settings!$C$6,"CUST_TRR_END_DT",Settings!$C$4)/100,"")</f>
        <v/>
      </c>
      <c r="G374" s="9">
        <f>IFERROR(BDP(A374,"CUST_TRR_RETURN_HOLDING_PER","CUST_TRR_START_DT",Settings!$C$7,"CUST_TRR_END_DT",Settings!$C$4)/100,"")</f>
        <v/>
      </c>
      <c r="H374" s="9">
        <f>IFERROR(BDP(A374,"CUST_TRR_RETURN_HOLDING_PER","CUST_TRR_START_DT",Settings!$C$8,"CUST_TRR_END_DT",Settings!$C$4)/100,"")</f>
        <v/>
      </c>
    </row>
    <row r="375">
      <c r="A375" s="7" t="inlineStr">
        <is>
          <t>PFG US Equity</t>
        </is>
      </c>
      <c r="B375">
        <f>IFERROR(BDP(A375,"NAME"),"")</f>
        <v/>
      </c>
      <c r="C375">
        <f>IFERROR(BDP(A375,"GICS_SECTOR_NAME"),"")</f>
        <v/>
      </c>
      <c r="D375" s="8">
        <f>IFERROR(BDP(A375,"PX_LAST"),"")</f>
        <v/>
      </c>
      <c r="E375" s="9">
        <f>IFERROR(BDP(A375,"CUST_TRR_RETURN_HOLDING_PER","CUST_TRR_START_DT",Settings!$C$5,"CUST_TRR_END_DT",Settings!$C$4)/100,"")</f>
        <v/>
      </c>
      <c r="F375" s="9">
        <f>IFERROR(BDP(A375,"CUST_TRR_RETURN_HOLDING_PER","CUST_TRR_START_DT",Settings!$C$6,"CUST_TRR_END_DT",Settings!$C$4)/100,"")</f>
        <v/>
      </c>
      <c r="G375" s="9">
        <f>IFERROR(BDP(A375,"CUST_TRR_RETURN_HOLDING_PER","CUST_TRR_START_DT",Settings!$C$7,"CUST_TRR_END_DT",Settings!$C$4)/100,"")</f>
        <v/>
      </c>
      <c r="H375" s="9">
        <f>IFERROR(BDP(A375,"CUST_TRR_RETURN_HOLDING_PER","CUST_TRR_START_DT",Settings!$C$8,"CUST_TRR_END_DT",Settings!$C$4)/100,"")</f>
        <v/>
      </c>
    </row>
    <row r="376">
      <c r="A376" s="7" t="inlineStr">
        <is>
          <t>PG US Equity</t>
        </is>
      </c>
      <c r="B376">
        <f>IFERROR(BDP(A376,"NAME"),"")</f>
        <v/>
      </c>
      <c r="C376">
        <f>IFERROR(BDP(A376,"GICS_SECTOR_NAME"),"")</f>
        <v/>
      </c>
      <c r="D376" s="8">
        <f>IFERROR(BDP(A376,"PX_LAST"),"")</f>
        <v/>
      </c>
      <c r="E376" s="9">
        <f>IFERROR(BDP(A376,"CUST_TRR_RETURN_HOLDING_PER","CUST_TRR_START_DT",Settings!$C$5,"CUST_TRR_END_DT",Settings!$C$4)/100,"")</f>
        <v/>
      </c>
      <c r="F376" s="9">
        <f>IFERROR(BDP(A376,"CUST_TRR_RETURN_HOLDING_PER","CUST_TRR_START_DT",Settings!$C$6,"CUST_TRR_END_DT",Settings!$C$4)/100,"")</f>
        <v/>
      </c>
      <c r="G376" s="9">
        <f>IFERROR(BDP(A376,"CUST_TRR_RETURN_HOLDING_PER","CUST_TRR_START_DT",Settings!$C$7,"CUST_TRR_END_DT",Settings!$C$4)/100,"")</f>
        <v/>
      </c>
      <c r="H376" s="9">
        <f>IFERROR(BDP(A376,"CUST_TRR_RETURN_HOLDING_PER","CUST_TRR_START_DT",Settings!$C$8,"CUST_TRR_END_DT",Settings!$C$4)/100,"")</f>
        <v/>
      </c>
    </row>
    <row r="377">
      <c r="A377" s="7" t="inlineStr">
        <is>
          <t>PGR US Equity</t>
        </is>
      </c>
      <c r="B377">
        <f>IFERROR(BDP(A377,"NAME"),"")</f>
        <v/>
      </c>
      <c r="C377">
        <f>IFERROR(BDP(A377,"GICS_SECTOR_NAME"),"")</f>
        <v/>
      </c>
      <c r="D377" s="8">
        <f>IFERROR(BDP(A377,"PX_LAST"),"")</f>
        <v/>
      </c>
      <c r="E377" s="9">
        <f>IFERROR(BDP(A377,"CUST_TRR_RETURN_HOLDING_PER","CUST_TRR_START_DT",Settings!$C$5,"CUST_TRR_END_DT",Settings!$C$4)/100,"")</f>
        <v/>
      </c>
      <c r="F377" s="9">
        <f>IFERROR(BDP(A377,"CUST_TRR_RETURN_HOLDING_PER","CUST_TRR_START_DT",Settings!$C$6,"CUST_TRR_END_DT",Settings!$C$4)/100,"")</f>
        <v/>
      </c>
      <c r="G377" s="9">
        <f>IFERROR(BDP(A377,"CUST_TRR_RETURN_HOLDING_PER","CUST_TRR_START_DT",Settings!$C$7,"CUST_TRR_END_DT",Settings!$C$4)/100,"")</f>
        <v/>
      </c>
      <c r="H377" s="9">
        <f>IFERROR(BDP(A377,"CUST_TRR_RETURN_HOLDING_PER","CUST_TRR_START_DT",Settings!$C$8,"CUST_TRR_END_DT",Settings!$C$4)/100,"")</f>
        <v/>
      </c>
    </row>
    <row r="378">
      <c r="A378" s="7" t="inlineStr">
        <is>
          <t>PH US Equity</t>
        </is>
      </c>
      <c r="B378">
        <f>IFERROR(BDP(A378,"NAME"),"")</f>
        <v/>
      </c>
      <c r="C378">
        <f>IFERROR(BDP(A378,"GICS_SECTOR_NAME"),"")</f>
        <v/>
      </c>
      <c r="D378" s="8">
        <f>IFERROR(BDP(A378,"PX_LAST"),"")</f>
        <v/>
      </c>
      <c r="E378" s="9">
        <f>IFERROR(BDP(A378,"CUST_TRR_RETURN_HOLDING_PER","CUST_TRR_START_DT",Settings!$C$5,"CUST_TRR_END_DT",Settings!$C$4)/100,"")</f>
        <v/>
      </c>
      <c r="F378" s="9">
        <f>IFERROR(BDP(A378,"CUST_TRR_RETURN_HOLDING_PER","CUST_TRR_START_DT",Settings!$C$6,"CUST_TRR_END_DT",Settings!$C$4)/100,"")</f>
        <v/>
      </c>
      <c r="G378" s="9">
        <f>IFERROR(BDP(A378,"CUST_TRR_RETURN_HOLDING_PER","CUST_TRR_START_DT",Settings!$C$7,"CUST_TRR_END_DT",Settings!$C$4)/100,"")</f>
        <v/>
      </c>
      <c r="H378" s="9">
        <f>IFERROR(BDP(A378,"CUST_TRR_RETURN_HOLDING_PER","CUST_TRR_START_DT",Settings!$C$8,"CUST_TRR_END_DT",Settings!$C$4)/100,"")</f>
        <v/>
      </c>
    </row>
    <row r="379">
      <c r="A379" s="7" t="inlineStr">
        <is>
          <t>PHM US Equity</t>
        </is>
      </c>
      <c r="B379">
        <f>IFERROR(BDP(A379,"NAME"),"")</f>
        <v/>
      </c>
      <c r="C379">
        <f>IFERROR(BDP(A379,"GICS_SECTOR_NAME"),"")</f>
        <v/>
      </c>
      <c r="D379" s="8">
        <f>IFERROR(BDP(A379,"PX_LAST"),"")</f>
        <v/>
      </c>
      <c r="E379" s="9">
        <f>IFERROR(BDP(A379,"CUST_TRR_RETURN_HOLDING_PER","CUST_TRR_START_DT",Settings!$C$5,"CUST_TRR_END_DT",Settings!$C$4)/100,"")</f>
        <v/>
      </c>
      <c r="F379" s="9">
        <f>IFERROR(BDP(A379,"CUST_TRR_RETURN_HOLDING_PER","CUST_TRR_START_DT",Settings!$C$6,"CUST_TRR_END_DT",Settings!$C$4)/100,"")</f>
        <v/>
      </c>
      <c r="G379" s="9">
        <f>IFERROR(BDP(A379,"CUST_TRR_RETURN_HOLDING_PER","CUST_TRR_START_DT",Settings!$C$7,"CUST_TRR_END_DT",Settings!$C$4)/100,"")</f>
        <v/>
      </c>
      <c r="H379" s="9">
        <f>IFERROR(BDP(A379,"CUST_TRR_RETURN_HOLDING_PER","CUST_TRR_START_DT",Settings!$C$8,"CUST_TRR_END_DT",Settings!$C$4)/100,"")</f>
        <v/>
      </c>
    </row>
    <row r="380">
      <c r="A380" s="7" t="inlineStr">
        <is>
          <t>PKG US Equity</t>
        </is>
      </c>
      <c r="B380">
        <f>IFERROR(BDP(A380,"NAME"),"")</f>
        <v/>
      </c>
      <c r="C380">
        <f>IFERROR(BDP(A380,"GICS_SECTOR_NAME"),"")</f>
        <v/>
      </c>
      <c r="D380" s="8">
        <f>IFERROR(BDP(A380,"PX_LAST"),"")</f>
        <v/>
      </c>
      <c r="E380" s="9">
        <f>IFERROR(BDP(A380,"CUST_TRR_RETURN_HOLDING_PER","CUST_TRR_START_DT",Settings!$C$5,"CUST_TRR_END_DT",Settings!$C$4)/100,"")</f>
        <v/>
      </c>
      <c r="F380" s="9">
        <f>IFERROR(BDP(A380,"CUST_TRR_RETURN_HOLDING_PER","CUST_TRR_START_DT",Settings!$C$6,"CUST_TRR_END_DT",Settings!$C$4)/100,"")</f>
        <v/>
      </c>
      <c r="G380" s="9">
        <f>IFERROR(BDP(A380,"CUST_TRR_RETURN_HOLDING_PER","CUST_TRR_START_DT",Settings!$C$7,"CUST_TRR_END_DT",Settings!$C$4)/100,"")</f>
        <v/>
      </c>
      <c r="H380" s="9">
        <f>IFERROR(BDP(A380,"CUST_TRR_RETURN_HOLDING_PER","CUST_TRR_START_DT",Settings!$C$8,"CUST_TRR_END_DT",Settings!$C$4)/100,"")</f>
        <v/>
      </c>
    </row>
    <row r="381">
      <c r="A381" s="7" t="inlineStr">
        <is>
          <t>PLD US Equity</t>
        </is>
      </c>
      <c r="B381">
        <f>IFERROR(BDP(A381,"NAME"),"")</f>
        <v/>
      </c>
      <c r="C381">
        <f>IFERROR(BDP(A381,"GICS_SECTOR_NAME"),"")</f>
        <v/>
      </c>
      <c r="D381" s="8">
        <f>IFERROR(BDP(A381,"PX_LAST"),"")</f>
        <v/>
      </c>
      <c r="E381" s="9">
        <f>IFERROR(BDP(A381,"CUST_TRR_RETURN_HOLDING_PER","CUST_TRR_START_DT",Settings!$C$5,"CUST_TRR_END_DT",Settings!$C$4)/100,"")</f>
        <v/>
      </c>
      <c r="F381" s="9">
        <f>IFERROR(BDP(A381,"CUST_TRR_RETURN_HOLDING_PER","CUST_TRR_START_DT",Settings!$C$6,"CUST_TRR_END_DT",Settings!$C$4)/100,"")</f>
        <v/>
      </c>
      <c r="G381" s="9">
        <f>IFERROR(BDP(A381,"CUST_TRR_RETURN_HOLDING_PER","CUST_TRR_START_DT",Settings!$C$7,"CUST_TRR_END_DT",Settings!$C$4)/100,"")</f>
        <v/>
      </c>
      <c r="H381" s="9">
        <f>IFERROR(BDP(A381,"CUST_TRR_RETURN_HOLDING_PER","CUST_TRR_START_DT",Settings!$C$8,"CUST_TRR_END_DT",Settings!$C$4)/100,"")</f>
        <v/>
      </c>
    </row>
    <row r="382">
      <c r="A382" s="7" t="inlineStr">
        <is>
          <t>PLTR US Equity</t>
        </is>
      </c>
      <c r="B382">
        <f>IFERROR(BDP(A382,"NAME"),"")</f>
        <v/>
      </c>
      <c r="C382">
        <f>IFERROR(BDP(A382,"GICS_SECTOR_NAME"),"")</f>
        <v/>
      </c>
      <c r="D382" s="8">
        <f>IFERROR(BDP(A382,"PX_LAST"),"")</f>
        <v/>
      </c>
      <c r="E382" s="9">
        <f>IFERROR(BDP(A382,"CUST_TRR_RETURN_HOLDING_PER","CUST_TRR_START_DT",Settings!$C$5,"CUST_TRR_END_DT",Settings!$C$4)/100,"")</f>
        <v/>
      </c>
      <c r="F382" s="9">
        <f>IFERROR(BDP(A382,"CUST_TRR_RETURN_HOLDING_PER","CUST_TRR_START_DT",Settings!$C$6,"CUST_TRR_END_DT",Settings!$C$4)/100,"")</f>
        <v/>
      </c>
      <c r="G382" s="9">
        <f>IFERROR(BDP(A382,"CUST_TRR_RETURN_HOLDING_PER","CUST_TRR_START_DT",Settings!$C$7,"CUST_TRR_END_DT",Settings!$C$4)/100,"")</f>
        <v/>
      </c>
      <c r="H382" s="9">
        <f>IFERROR(BDP(A382,"CUST_TRR_RETURN_HOLDING_PER","CUST_TRR_START_DT",Settings!$C$8,"CUST_TRR_END_DT",Settings!$C$4)/100,"")</f>
        <v/>
      </c>
    </row>
    <row r="383">
      <c r="A383" s="7" t="inlineStr">
        <is>
          <t>PM US Equity</t>
        </is>
      </c>
      <c r="B383">
        <f>IFERROR(BDP(A383,"NAME"),"")</f>
        <v/>
      </c>
      <c r="C383">
        <f>IFERROR(BDP(A383,"GICS_SECTOR_NAME"),"")</f>
        <v/>
      </c>
      <c r="D383" s="8">
        <f>IFERROR(BDP(A383,"PX_LAST"),"")</f>
        <v/>
      </c>
      <c r="E383" s="9">
        <f>IFERROR(BDP(A383,"CUST_TRR_RETURN_HOLDING_PER","CUST_TRR_START_DT",Settings!$C$5,"CUST_TRR_END_DT",Settings!$C$4)/100,"")</f>
        <v/>
      </c>
      <c r="F383" s="9">
        <f>IFERROR(BDP(A383,"CUST_TRR_RETURN_HOLDING_PER","CUST_TRR_START_DT",Settings!$C$6,"CUST_TRR_END_DT",Settings!$C$4)/100,"")</f>
        <v/>
      </c>
      <c r="G383" s="9">
        <f>IFERROR(BDP(A383,"CUST_TRR_RETURN_HOLDING_PER","CUST_TRR_START_DT",Settings!$C$7,"CUST_TRR_END_DT",Settings!$C$4)/100,"")</f>
        <v/>
      </c>
      <c r="H383" s="9">
        <f>IFERROR(BDP(A383,"CUST_TRR_RETURN_HOLDING_PER","CUST_TRR_START_DT",Settings!$C$8,"CUST_TRR_END_DT",Settings!$C$4)/100,"")</f>
        <v/>
      </c>
    </row>
    <row r="384">
      <c r="A384" s="7" t="inlineStr">
        <is>
          <t>PNC US Equity</t>
        </is>
      </c>
      <c r="B384">
        <f>IFERROR(BDP(A384,"NAME"),"")</f>
        <v/>
      </c>
      <c r="C384">
        <f>IFERROR(BDP(A384,"GICS_SECTOR_NAME"),"")</f>
        <v/>
      </c>
      <c r="D384" s="8">
        <f>IFERROR(BDP(A384,"PX_LAST"),"")</f>
        <v/>
      </c>
      <c r="E384" s="9">
        <f>IFERROR(BDP(A384,"CUST_TRR_RETURN_HOLDING_PER","CUST_TRR_START_DT",Settings!$C$5,"CUST_TRR_END_DT",Settings!$C$4)/100,"")</f>
        <v/>
      </c>
      <c r="F384" s="9">
        <f>IFERROR(BDP(A384,"CUST_TRR_RETURN_HOLDING_PER","CUST_TRR_START_DT",Settings!$C$6,"CUST_TRR_END_DT",Settings!$C$4)/100,"")</f>
        <v/>
      </c>
      <c r="G384" s="9">
        <f>IFERROR(BDP(A384,"CUST_TRR_RETURN_HOLDING_PER","CUST_TRR_START_DT",Settings!$C$7,"CUST_TRR_END_DT",Settings!$C$4)/100,"")</f>
        <v/>
      </c>
      <c r="H384" s="9">
        <f>IFERROR(BDP(A384,"CUST_TRR_RETURN_HOLDING_PER","CUST_TRR_START_DT",Settings!$C$8,"CUST_TRR_END_DT",Settings!$C$4)/100,"")</f>
        <v/>
      </c>
    </row>
    <row r="385">
      <c r="A385" s="7" t="inlineStr">
        <is>
          <t>PNR US Equity</t>
        </is>
      </c>
      <c r="B385">
        <f>IFERROR(BDP(A385,"NAME"),"")</f>
        <v/>
      </c>
      <c r="C385">
        <f>IFERROR(BDP(A385,"GICS_SECTOR_NAME"),"")</f>
        <v/>
      </c>
      <c r="D385" s="8">
        <f>IFERROR(BDP(A385,"PX_LAST"),"")</f>
        <v/>
      </c>
      <c r="E385" s="9">
        <f>IFERROR(BDP(A385,"CUST_TRR_RETURN_HOLDING_PER","CUST_TRR_START_DT",Settings!$C$5,"CUST_TRR_END_DT",Settings!$C$4)/100,"")</f>
        <v/>
      </c>
      <c r="F385" s="9">
        <f>IFERROR(BDP(A385,"CUST_TRR_RETURN_HOLDING_PER","CUST_TRR_START_DT",Settings!$C$6,"CUST_TRR_END_DT",Settings!$C$4)/100,"")</f>
        <v/>
      </c>
      <c r="G385" s="9">
        <f>IFERROR(BDP(A385,"CUST_TRR_RETURN_HOLDING_PER","CUST_TRR_START_DT",Settings!$C$7,"CUST_TRR_END_DT",Settings!$C$4)/100,"")</f>
        <v/>
      </c>
      <c r="H385" s="9">
        <f>IFERROR(BDP(A385,"CUST_TRR_RETURN_HOLDING_PER","CUST_TRR_START_DT",Settings!$C$8,"CUST_TRR_END_DT",Settings!$C$4)/100,"")</f>
        <v/>
      </c>
    </row>
    <row r="386">
      <c r="A386" s="7" t="inlineStr">
        <is>
          <t>PNW US Equity</t>
        </is>
      </c>
      <c r="B386">
        <f>IFERROR(BDP(A386,"NAME"),"")</f>
        <v/>
      </c>
      <c r="C386">
        <f>IFERROR(BDP(A386,"GICS_SECTOR_NAME"),"")</f>
        <v/>
      </c>
      <c r="D386" s="8">
        <f>IFERROR(BDP(A386,"PX_LAST"),"")</f>
        <v/>
      </c>
      <c r="E386" s="9">
        <f>IFERROR(BDP(A386,"CUST_TRR_RETURN_HOLDING_PER","CUST_TRR_START_DT",Settings!$C$5,"CUST_TRR_END_DT",Settings!$C$4)/100,"")</f>
        <v/>
      </c>
      <c r="F386" s="9">
        <f>IFERROR(BDP(A386,"CUST_TRR_RETURN_HOLDING_PER","CUST_TRR_START_DT",Settings!$C$6,"CUST_TRR_END_DT",Settings!$C$4)/100,"")</f>
        <v/>
      </c>
      <c r="G386" s="9">
        <f>IFERROR(BDP(A386,"CUST_TRR_RETURN_HOLDING_PER","CUST_TRR_START_DT",Settings!$C$7,"CUST_TRR_END_DT",Settings!$C$4)/100,"")</f>
        <v/>
      </c>
      <c r="H386" s="9">
        <f>IFERROR(BDP(A386,"CUST_TRR_RETURN_HOLDING_PER","CUST_TRR_START_DT",Settings!$C$8,"CUST_TRR_END_DT",Settings!$C$4)/100,"")</f>
        <v/>
      </c>
    </row>
    <row r="387">
      <c r="A387" s="7" t="inlineStr">
        <is>
          <t>PODD US Equity</t>
        </is>
      </c>
      <c r="B387">
        <f>IFERROR(BDP(A387,"NAME"),"")</f>
        <v/>
      </c>
      <c r="C387">
        <f>IFERROR(BDP(A387,"GICS_SECTOR_NAME"),"")</f>
        <v/>
      </c>
      <c r="D387" s="8">
        <f>IFERROR(BDP(A387,"PX_LAST"),"")</f>
        <v/>
      </c>
      <c r="E387" s="9">
        <f>IFERROR(BDP(A387,"CUST_TRR_RETURN_HOLDING_PER","CUST_TRR_START_DT",Settings!$C$5,"CUST_TRR_END_DT",Settings!$C$4)/100,"")</f>
        <v/>
      </c>
      <c r="F387" s="9">
        <f>IFERROR(BDP(A387,"CUST_TRR_RETURN_HOLDING_PER","CUST_TRR_START_DT",Settings!$C$6,"CUST_TRR_END_DT",Settings!$C$4)/100,"")</f>
        <v/>
      </c>
      <c r="G387" s="9">
        <f>IFERROR(BDP(A387,"CUST_TRR_RETURN_HOLDING_PER","CUST_TRR_START_DT",Settings!$C$7,"CUST_TRR_END_DT",Settings!$C$4)/100,"")</f>
        <v/>
      </c>
      <c r="H387" s="9">
        <f>IFERROR(BDP(A387,"CUST_TRR_RETURN_HOLDING_PER","CUST_TRR_START_DT",Settings!$C$8,"CUST_TRR_END_DT",Settings!$C$4)/100,"")</f>
        <v/>
      </c>
    </row>
    <row r="388">
      <c r="A388" s="7" t="inlineStr">
        <is>
          <t>POOL US Equity</t>
        </is>
      </c>
      <c r="B388">
        <f>IFERROR(BDP(A388,"NAME"),"")</f>
        <v/>
      </c>
      <c r="C388">
        <f>IFERROR(BDP(A388,"GICS_SECTOR_NAME"),"")</f>
        <v/>
      </c>
      <c r="D388" s="8">
        <f>IFERROR(BDP(A388,"PX_LAST"),"")</f>
        <v/>
      </c>
      <c r="E388" s="9">
        <f>IFERROR(BDP(A388,"CUST_TRR_RETURN_HOLDING_PER","CUST_TRR_START_DT",Settings!$C$5,"CUST_TRR_END_DT",Settings!$C$4)/100,"")</f>
        <v/>
      </c>
      <c r="F388" s="9">
        <f>IFERROR(BDP(A388,"CUST_TRR_RETURN_HOLDING_PER","CUST_TRR_START_DT",Settings!$C$6,"CUST_TRR_END_DT",Settings!$C$4)/100,"")</f>
        <v/>
      </c>
      <c r="G388" s="9">
        <f>IFERROR(BDP(A388,"CUST_TRR_RETURN_HOLDING_PER","CUST_TRR_START_DT",Settings!$C$7,"CUST_TRR_END_DT",Settings!$C$4)/100,"")</f>
        <v/>
      </c>
      <c r="H388" s="9">
        <f>IFERROR(BDP(A388,"CUST_TRR_RETURN_HOLDING_PER","CUST_TRR_START_DT",Settings!$C$8,"CUST_TRR_END_DT",Settings!$C$4)/100,"")</f>
        <v/>
      </c>
    </row>
    <row r="389">
      <c r="A389" s="7" t="inlineStr">
        <is>
          <t>PPG US Equity</t>
        </is>
      </c>
      <c r="B389">
        <f>IFERROR(BDP(A389,"NAME"),"")</f>
        <v/>
      </c>
      <c r="C389">
        <f>IFERROR(BDP(A389,"GICS_SECTOR_NAME"),"")</f>
        <v/>
      </c>
      <c r="D389" s="8">
        <f>IFERROR(BDP(A389,"PX_LAST"),"")</f>
        <v/>
      </c>
      <c r="E389" s="9">
        <f>IFERROR(BDP(A389,"CUST_TRR_RETURN_HOLDING_PER","CUST_TRR_START_DT",Settings!$C$5,"CUST_TRR_END_DT",Settings!$C$4)/100,"")</f>
        <v/>
      </c>
      <c r="F389" s="9">
        <f>IFERROR(BDP(A389,"CUST_TRR_RETURN_HOLDING_PER","CUST_TRR_START_DT",Settings!$C$6,"CUST_TRR_END_DT",Settings!$C$4)/100,"")</f>
        <v/>
      </c>
      <c r="G389" s="9">
        <f>IFERROR(BDP(A389,"CUST_TRR_RETURN_HOLDING_PER","CUST_TRR_START_DT",Settings!$C$7,"CUST_TRR_END_DT",Settings!$C$4)/100,"")</f>
        <v/>
      </c>
      <c r="H389" s="9">
        <f>IFERROR(BDP(A389,"CUST_TRR_RETURN_HOLDING_PER","CUST_TRR_START_DT",Settings!$C$8,"CUST_TRR_END_DT",Settings!$C$4)/100,"")</f>
        <v/>
      </c>
    </row>
    <row r="390">
      <c r="A390" s="7" t="inlineStr">
        <is>
          <t>PPL US Equity</t>
        </is>
      </c>
      <c r="B390">
        <f>IFERROR(BDP(A390,"NAME"),"")</f>
        <v/>
      </c>
      <c r="C390">
        <f>IFERROR(BDP(A390,"GICS_SECTOR_NAME"),"")</f>
        <v/>
      </c>
      <c r="D390" s="8">
        <f>IFERROR(BDP(A390,"PX_LAST"),"")</f>
        <v/>
      </c>
      <c r="E390" s="9">
        <f>IFERROR(BDP(A390,"CUST_TRR_RETURN_HOLDING_PER","CUST_TRR_START_DT",Settings!$C$5,"CUST_TRR_END_DT",Settings!$C$4)/100,"")</f>
        <v/>
      </c>
      <c r="F390" s="9">
        <f>IFERROR(BDP(A390,"CUST_TRR_RETURN_HOLDING_PER","CUST_TRR_START_DT",Settings!$C$6,"CUST_TRR_END_DT",Settings!$C$4)/100,"")</f>
        <v/>
      </c>
      <c r="G390" s="9">
        <f>IFERROR(BDP(A390,"CUST_TRR_RETURN_HOLDING_PER","CUST_TRR_START_DT",Settings!$C$7,"CUST_TRR_END_DT",Settings!$C$4)/100,"")</f>
        <v/>
      </c>
      <c r="H390" s="9">
        <f>IFERROR(BDP(A390,"CUST_TRR_RETURN_HOLDING_PER","CUST_TRR_START_DT",Settings!$C$8,"CUST_TRR_END_DT",Settings!$C$4)/100,"")</f>
        <v/>
      </c>
    </row>
    <row r="391">
      <c r="A391" s="7" t="inlineStr">
        <is>
          <t>PRU US Equity</t>
        </is>
      </c>
      <c r="B391">
        <f>IFERROR(BDP(A391,"NAME"),"")</f>
        <v/>
      </c>
      <c r="C391">
        <f>IFERROR(BDP(A391,"GICS_SECTOR_NAME"),"")</f>
        <v/>
      </c>
      <c r="D391" s="8">
        <f>IFERROR(BDP(A391,"PX_LAST"),"")</f>
        <v/>
      </c>
      <c r="E391" s="9">
        <f>IFERROR(BDP(A391,"CUST_TRR_RETURN_HOLDING_PER","CUST_TRR_START_DT",Settings!$C$5,"CUST_TRR_END_DT",Settings!$C$4)/100,"")</f>
        <v/>
      </c>
      <c r="F391" s="9">
        <f>IFERROR(BDP(A391,"CUST_TRR_RETURN_HOLDING_PER","CUST_TRR_START_DT",Settings!$C$6,"CUST_TRR_END_DT",Settings!$C$4)/100,"")</f>
        <v/>
      </c>
      <c r="G391" s="9">
        <f>IFERROR(BDP(A391,"CUST_TRR_RETURN_HOLDING_PER","CUST_TRR_START_DT",Settings!$C$7,"CUST_TRR_END_DT",Settings!$C$4)/100,"")</f>
        <v/>
      </c>
      <c r="H391" s="9">
        <f>IFERROR(BDP(A391,"CUST_TRR_RETURN_HOLDING_PER","CUST_TRR_START_DT",Settings!$C$8,"CUST_TRR_END_DT",Settings!$C$4)/100,"")</f>
        <v/>
      </c>
    </row>
    <row r="392">
      <c r="A392" s="7" t="inlineStr">
        <is>
          <t>PSA US Equity</t>
        </is>
      </c>
      <c r="B392">
        <f>IFERROR(BDP(A392,"NAME"),"")</f>
        <v/>
      </c>
      <c r="C392">
        <f>IFERROR(BDP(A392,"GICS_SECTOR_NAME"),"")</f>
        <v/>
      </c>
      <c r="D392" s="8">
        <f>IFERROR(BDP(A392,"PX_LAST"),"")</f>
        <v/>
      </c>
      <c r="E392" s="9">
        <f>IFERROR(BDP(A392,"CUST_TRR_RETURN_HOLDING_PER","CUST_TRR_START_DT",Settings!$C$5,"CUST_TRR_END_DT",Settings!$C$4)/100,"")</f>
        <v/>
      </c>
      <c r="F392" s="9">
        <f>IFERROR(BDP(A392,"CUST_TRR_RETURN_HOLDING_PER","CUST_TRR_START_DT",Settings!$C$6,"CUST_TRR_END_DT",Settings!$C$4)/100,"")</f>
        <v/>
      </c>
      <c r="G392" s="9">
        <f>IFERROR(BDP(A392,"CUST_TRR_RETURN_HOLDING_PER","CUST_TRR_START_DT",Settings!$C$7,"CUST_TRR_END_DT",Settings!$C$4)/100,"")</f>
        <v/>
      </c>
      <c r="H392" s="9">
        <f>IFERROR(BDP(A392,"CUST_TRR_RETURN_HOLDING_PER","CUST_TRR_START_DT",Settings!$C$8,"CUST_TRR_END_DT",Settings!$C$4)/100,"")</f>
        <v/>
      </c>
    </row>
    <row r="393">
      <c r="A393" s="7" t="inlineStr">
        <is>
          <t>PSX US Equity</t>
        </is>
      </c>
      <c r="B393">
        <f>IFERROR(BDP(A393,"NAME"),"")</f>
        <v/>
      </c>
      <c r="C393">
        <f>IFERROR(BDP(A393,"GICS_SECTOR_NAME"),"")</f>
        <v/>
      </c>
      <c r="D393" s="8">
        <f>IFERROR(BDP(A393,"PX_LAST"),"")</f>
        <v/>
      </c>
      <c r="E393" s="9">
        <f>IFERROR(BDP(A393,"CUST_TRR_RETURN_HOLDING_PER","CUST_TRR_START_DT",Settings!$C$5,"CUST_TRR_END_DT",Settings!$C$4)/100,"")</f>
        <v/>
      </c>
      <c r="F393" s="9">
        <f>IFERROR(BDP(A393,"CUST_TRR_RETURN_HOLDING_PER","CUST_TRR_START_DT",Settings!$C$6,"CUST_TRR_END_DT",Settings!$C$4)/100,"")</f>
        <v/>
      </c>
      <c r="G393" s="9">
        <f>IFERROR(BDP(A393,"CUST_TRR_RETURN_HOLDING_PER","CUST_TRR_START_DT",Settings!$C$7,"CUST_TRR_END_DT",Settings!$C$4)/100,"")</f>
        <v/>
      </c>
      <c r="H393" s="9">
        <f>IFERROR(BDP(A393,"CUST_TRR_RETURN_HOLDING_PER","CUST_TRR_START_DT",Settings!$C$8,"CUST_TRR_END_DT",Settings!$C$4)/100,"")</f>
        <v/>
      </c>
    </row>
    <row r="394">
      <c r="A394" s="7" t="inlineStr">
        <is>
          <t>PTC US Equity</t>
        </is>
      </c>
      <c r="B394">
        <f>IFERROR(BDP(A394,"NAME"),"")</f>
        <v/>
      </c>
      <c r="C394">
        <f>IFERROR(BDP(A394,"GICS_SECTOR_NAME"),"")</f>
        <v/>
      </c>
      <c r="D394" s="8">
        <f>IFERROR(BDP(A394,"PX_LAST"),"")</f>
        <v/>
      </c>
      <c r="E394" s="9">
        <f>IFERROR(BDP(A394,"CUST_TRR_RETURN_HOLDING_PER","CUST_TRR_START_DT",Settings!$C$5,"CUST_TRR_END_DT",Settings!$C$4)/100,"")</f>
        <v/>
      </c>
      <c r="F394" s="9">
        <f>IFERROR(BDP(A394,"CUST_TRR_RETURN_HOLDING_PER","CUST_TRR_START_DT",Settings!$C$6,"CUST_TRR_END_DT",Settings!$C$4)/100,"")</f>
        <v/>
      </c>
      <c r="G394" s="9">
        <f>IFERROR(BDP(A394,"CUST_TRR_RETURN_HOLDING_PER","CUST_TRR_START_DT",Settings!$C$7,"CUST_TRR_END_DT",Settings!$C$4)/100,"")</f>
        <v/>
      </c>
      <c r="H394" s="9">
        <f>IFERROR(BDP(A394,"CUST_TRR_RETURN_HOLDING_PER","CUST_TRR_START_DT",Settings!$C$8,"CUST_TRR_END_DT",Settings!$C$4)/100,"")</f>
        <v/>
      </c>
    </row>
    <row r="395">
      <c r="A395" s="7" t="inlineStr">
        <is>
          <t>PWR US Equity</t>
        </is>
      </c>
      <c r="B395">
        <f>IFERROR(BDP(A395,"NAME"),"")</f>
        <v/>
      </c>
      <c r="C395">
        <f>IFERROR(BDP(A395,"GICS_SECTOR_NAME"),"")</f>
        <v/>
      </c>
      <c r="D395" s="8">
        <f>IFERROR(BDP(A395,"PX_LAST"),"")</f>
        <v/>
      </c>
      <c r="E395" s="9">
        <f>IFERROR(BDP(A395,"CUST_TRR_RETURN_HOLDING_PER","CUST_TRR_START_DT",Settings!$C$5,"CUST_TRR_END_DT",Settings!$C$4)/100,"")</f>
        <v/>
      </c>
      <c r="F395" s="9">
        <f>IFERROR(BDP(A395,"CUST_TRR_RETURN_HOLDING_PER","CUST_TRR_START_DT",Settings!$C$6,"CUST_TRR_END_DT",Settings!$C$4)/100,"")</f>
        <v/>
      </c>
      <c r="G395" s="9">
        <f>IFERROR(BDP(A395,"CUST_TRR_RETURN_HOLDING_PER","CUST_TRR_START_DT",Settings!$C$7,"CUST_TRR_END_DT",Settings!$C$4)/100,"")</f>
        <v/>
      </c>
      <c r="H395" s="9">
        <f>IFERROR(BDP(A395,"CUST_TRR_RETURN_HOLDING_PER","CUST_TRR_START_DT",Settings!$C$8,"CUST_TRR_END_DT",Settings!$C$4)/100,"")</f>
        <v/>
      </c>
    </row>
    <row r="396">
      <c r="A396" s="7" t="inlineStr">
        <is>
          <t>PYPL US Equity</t>
        </is>
      </c>
      <c r="B396">
        <f>IFERROR(BDP(A396,"NAME"),"")</f>
        <v/>
      </c>
      <c r="C396">
        <f>IFERROR(BDP(A396,"GICS_SECTOR_NAME"),"")</f>
        <v/>
      </c>
      <c r="D396" s="8">
        <f>IFERROR(BDP(A396,"PX_LAST"),"")</f>
        <v/>
      </c>
      <c r="E396" s="9">
        <f>IFERROR(BDP(A396,"CUST_TRR_RETURN_HOLDING_PER","CUST_TRR_START_DT",Settings!$C$5,"CUST_TRR_END_DT",Settings!$C$4)/100,"")</f>
        <v/>
      </c>
      <c r="F396" s="9">
        <f>IFERROR(BDP(A396,"CUST_TRR_RETURN_HOLDING_PER","CUST_TRR_START_DT",Settings!$C$6,"CUST_TRR_END_DT",Settings!$C$4)/100,"")</f>
        <v/>
      </c>
      <c r="G396" s="9">
        <f>IFERROR(BDP(A396,"CUST_TRR_RETURN_HOLDING_PER","CUST_TRR_START_DT",Settings!$C$7,"CUST_TRR_END_DT",Settings!$C$4)/100,"")</f>
        <v/>
      </c>
      <c r="H396" s="9">
        <f>IFERROR(BDP(A396,"CUST_TRR_RETURN_HOLDING_PER","CUST_TRR_START_DT",Settings!$C$8,"CUST_TRR_END_DT",Settings!$C$4)/100,"")</f>
        <v/>
      </c>
    </row>
    <row r="397">
      <c r="A397" s="7" t="inlineStr">
        <is>
          <t>QCOM US Equity</t>
        </is>
      </c>
      <c r="B397">
        <f>IFERROR(BDP(A397,"NAME"),"")</f>
        <v/>
      </c>
      <c r="C397">
        <f>IFERROR(BDP(A397,"GICS_SECTOR_NAME"),"")</f>
        <v/>
      </c>
      <c r="D397" s="8">
        <f>IFERROR(BDP(A397,"PX_LAST"),"")</f>
        <v/>
      </c>
      <c r="E397" s="9">
        <f>IFERROR(BDP(A397,"CUST_TRR_RETURN_HOLDING_PER","CUST_TRR_START_DT",Settings!$C$5,"CUST_TRR_END_DT",Settings!$C$4)/100,"")</f>
        <v/>
      </c>
      <c r="F397" s="9">
        <f>IFERROR(BDP(A397,"CUST_TRR_RETURN_HOLDING_PER","CUST_TRR_START_DT",Settings!$C$6,"CUST_TRR_END_DT",Settings!$C$4)/100,"")</f>
        <v/>
      </c>
      <c r="G397" s="9">
        <f>IFERROR(BDP(A397,"CUST_TRR_RETURN_HOLDING_PER","CUST_TRR_START_DT",Settings!$C$7,"CUST_TRR_END_DT",Settings!$C$4)/100,"")</f>
        <v/>
      </c>
      <c r="H397" s="9">
        <f>IFERROR(BDP(A397,"CUST_TRR_RETURN_HOLDING_PER","CUST_TRR_START_DT",Settings!$C$8,"CUST_TRR_END_DT",Settings!$C$4)/100,"")</f>
        <v/>
      </c>
    </row>
    <row r="398">
      <c r="A398" s="7" t="inlineStr">
        <is>
          <t>QRVO US Equity</t>
        </is>
      </c>
      <c r="B398">
        <f>IFERROR(BDP(A398,"NAME"),"")</f>
        <v/>
      </c>
      <c r="C398">
        <f>IFERROR(BDP(A398,"GICS_SECTOR_NAME"),"")</f>
        <v/>
      </c>
      <c r="D398" s="8">
        <f>IFERROR(BDP(A398,"PX_LAST"),"")</f>
        <v/>
      </c>
      <c r="E398" s="9">
        <f>IFERROR(BDP(A398,"CUST_TRR_RETURN_HOLDING_PER","CUST_TRR_START_DT",Settings!$C$5,"CUST_TRR_END_DT",Settings!$C$4)/100,"")</f>
        <v/>
      </c>
      <c r="F398" s="9">
        <f>IFERROR(BDP(A398,"CUST_TRR_RETURN_HOLDING_PER","CUST_TRR_START_DT",Settings!$C$6,"CUST_TRR_END_DT",Settings!$C$4)/100,"")</f>
        <v/>
      </c>
      <c r="G398" s="9">
        <f>IFERROR(BDP(A398,"CUST_TRR_RETURN_HOLDING_PER","CUST_TRR_START_DT",Settings!$C$7,"CUST_TRR_END_DT",Settings!$C$4)/100,"")</f>
        <v/>
      </c>
      <c r="H398" s="9">
        <f>IFERROR(BDP(A398,"CUST_TRR_RETURN_HOLDING_PER","CUST_TRR_START_DT",Settings!$C$8,"CUST_TRR_END_DT",Settings!$C$4)/100,"")</f>
        <v/>
      </c>
    </row>
    <row r="399">
      <c r="A399" s="7" t="inlineStr">
        <is>
          <t>RCL US Equity</t>
        </is>
      </c>
      <c r="B399">
        <f>IFERROR(BDP(A399,"NAME"),"")</f>
        <v/>
      </c>
      <c r="C399">
        <f>IFERROR(BDP(A399,"GICS_SECTOR_NAME"),"")</f>
        <v/>
      </c>
      <c r="D399" s="8">
        <f>IFERROR(BDP(A399,"PX_LAST"),"")</f>
        <v/>
      </c>
      <c r="E399" s="9">
        <f>IFERROR(BDP(A399,"CUST_TRR_RETURN_HOLDING_PER","CUST_TRR_START_DT",Settings!$C$5,"CUST_TRR_END_DT",Settings!$C$4)/100,"")</f>
        <v/>
      </c>
      <c r="F399" s="9">
        <f>IFERROR(BDP(A399,"CUST_TRR_RETURN_HOLDING_PER","CUST_TRR_START_DT",Settings!$C$6,"CUST_TRR_END_DT",Settings!$C$4)/100,"")</f>
        <v/>
      </c>
      <c r="G399" s="9">
        <f>IFERROR(BDP(A399,"CUST_TRR_RETURN_HOLDING_PER","CUST_TRR_START_DT",Settings!$C$7,"CUST_TRR_END_DT",Settings!$C$4)/100,"")</f>
        <v/>
      </c>
      <c r="H399" s="9">
        <f>IFERROR(BDP(A399,"CUST_TRR_RETURN_HOLDING_PER","CUST_TRR_START_DT",Settings!$C$8,"CUST_TRR_END_DT",Settings!$C$4)/100,"")</f>
        <v/>
      </c>
    </row>
    <row r="400">
      <c r="A400" s="7" t="inlineStr">
        <is>
          <t>REG US Equity</t>
        </is>
      </c>
      <c r="B400">
        <f>IFERROR(BDP(A400,"NAME"),"")</f>
        <v/>
      </c>
      <c r="C400">
        <f>IFERROR(BDP(A400,"GICS_SECTOR_NAME"),"")</f>
        <v/>
      </c>
      <c r="D400" s="8">
        <f>IFERROR(BDP(A400,"PX_LAST"),"")</f>
        <v/>
      </c>
      <c r="E400" s="9">
        <f>IFERROR(BDP(A400,"CUST_TRR_RETURN_HOLDING_PER","CUST_TRR_START_DT",Settings!$C$5,"CUST_TRR_END_DT",Settings!$C$4)/100,"")</f>
        <v/>
      </c>
      <c r="F400" s="9">
        <f>IFERROR(BDP(A400,"CUST_TRR_RETURN_HOLDING_PER","CUST_TRR_START_DT",Settings!$C$6,"CUST_TRR_END_DT",Settings!$C$4)/100,"")</f>
        <v/>
      </c>
      <c r="G400" s="9">
        <f>IFERROR(BDP(A400,"CUST_TRR_RETURN_HOLDING_PER","CUST_TRR_START_DT",Settings!$C$7,"CUST_TRR_END_DT",Settings!$C$4)/100,"")</f>
        <v/>
      </c>
      <c r="H400" s="9">
        <f>IFERROR(BDP(A400,"CUST_TRR_RETURN_HOLDING_PER","CUST_TRR_START_DT",Settings!$C$8,"CUST_TRR_END_DT",Settings!$C$4)/100,"")</f>
        <v/>
      </c>
    </row>
    <row r="401">
      <c r="A401" s="7" t="inlineStr">
        <is>
          <t>REGN US Equity</t>
        </is>
      </c>
      <c r="B401">
        <f>IFERROR(BDP(A401,"NAME"),"")</f>
        <v/>
      </c>
      <c r="C401">
        <f>IFERROR(BDP(A401,"GICS_SECTOR_NAME"),"")</f>
        <v/>
      </c>
      <c r="D401" s="8">
        <f>IFERROR(BDP(A401,"PX_LAST"),"")</f>
        <v/>
      </c>
      <c r="E401" s="9">
        <f>IFERROR(BDP(A401,"CUST_TRR_RETURN_HOLDING_PER","CUST_TRR_START_DT",Settings!$C$5,"CUST_TRR_END_DT",Settings!$C$4)/100,"")</f>
        <v/>
      </c>
      <c r="F401" s="9">
        <f>IFERROR(BDP(A401,"CUST_TRR_RETURN_HOLDING_PER","CUST_TRR_START_DT",Settings!$C$6,"CUST_TRR_END_DT",Settings!$C$4)/100,"")</f>
        <v/>
      </c>
      <c r="G401" s="9">
        <f>IFERROR(BDP(A401,"CUST_TRR_RETURN_HOLDING_PER","CUST_TRR_START_DT",Settings!$C$7,"CUST_TRR_END_DT",Settings!$C$4)/100,"")</f>
        <v/>
      </c>
      <c r="H401" s="9">
        <f>IFERROR(BDP(A401,"CUST_TRR_RETURN_HOLDING_PER","CUST_TRR_START_DT",Settings!$C$8,"CUST_TRR_END_DT",Settings!$C$4)/100,"")</f>
        <v/>
      </c>
    </row>
    <row r="402">
      <c r="A402" s="7" t="inlineStr">
        <is>
          <t>RF US Equity</t>
        </is>
      </c>
      <c r="B402">
        <f>IFERROR(BDP(A402,"NAME"),"")</f>
        <v/>
      </c>
      <c r="C402">
        <f>IFERROR(BDP(A402,"GICS_SECTOR_NAME"),"")</f>
        <v/>
      </c>
      <c r="D402" s="8">
        <f>IFERROR(BDP(A402,"PX_LAST"),"")</f>
        <v/>
      </c>
      <c r="E402" s="9">
        <f>IFERROR(BDP(A402,"CUST_TRR_RETURN_HOLDING_PER","CUST_TRR_START_DT",Settings!$C$5,"CUST_TRR_END_DT",Settings!$C$4)/100,"")</f>
        <v/>
      </c>
      <c r="F402" s="9">
        <f>IFERROR(BDP(A402,"CUST_TRR_RETURN_HOLDING_PER","CUST_TRR_START_DT",Settings!$C$6,"CUST_TRR_END_DT",Settings!$C$4)/100,"")</f>
        <v/>
      </c>
      <c r="G402" s="9">
        <f>IFERROR(BDP(A402,"CUST_TRR_RETURN_HOLDING_PER","CUST_TRR_START_DT",Settings!$C$7,"CUST_TRR_END_DT",Settings!$C$4)/100,"")</f>
        <v/>
      </c>
      <c r="H402" s="9">
        <f>IFERROR(BDP(A402,"CUST_TRR_RETURN_HOLDING_PER","CUST_TRR_START_DT",Settings!$C$8,"CUST_TRR_END_DT",Settings!$C$4)/100,"")</f>
        <v/>
      </c>
    </row>
    <row r="403">
      <c r="A403" s="7" t="inlineStr">
        <is>
          <t>RJF US Equity</t>
        </is>
      </c>
      <c r="B403">
        <f>IFERROR(BDP(A403,"NAME"),"")</f>
        <v/>
      </c>
      <c r="C403">
        <f>IFERROR(BDP(A403,"GICS_SECTOR_NAME"),"")</f>
        <v/>
      </c>
      <c r="D403" s="8">
        <f>IFERROR(BDP(A403,"PX_LAST"),"")</f>
        <v/>
      </c>
      <c r="E403" s="9">
        <f>IFERROR(BDP(A403,"CUST_TRR_RETURN_HOLDING_PER","CUST_TRR_START_DT",Settings!$C$5,"CUST_TRR_END_DT",Settings!$C$4)/100,"")</f>
        <v/>
      </c>
      <c r="F403" s="9">
        <f>IFERROR(BDP(A403,"CUST_TRR_RETURN_HOLDING_PER","CUST_TRR_START_DT",Settings!$C$6,"CUST_TRR_END_DT",Settings!$C$4)/100,"")</f>
        <v/>
      </c>
      <c r="G403" s="9">
        <f>IFERROR(BDP(A403,"CUST_TRR_RETURN_HOLDING_PER","CUST_TRR_START_DT",Settings!$C$7,"CUST_TRR_END_DT",Settings!$C$4)/100,"")</f>
        <v/>
      </c>
      <c r="H403" s="9">
        <f>IFERROR(BDP(A403,"CUST_TRR_RETURN_HOLDING_PER","CUST_TRR_START_DT",Settings!$C$8,"CUST_TRR_END_DT",Settings!$C$4)/100,"")</f>
        <v/>
      </c>
    </row>
    <row r="404">
      <c r="A404" s="7" t="inlineStr">
        <is>
          <t>RL US Equity</t>
        </is>
      </c>
      <c r="B404">
        <f>IFERROR(BDP(A404,"NAME"),"")</f>
        <v/>
      </c>
      <c r="C404">
        <f>IFERROR(BDP(A404,"GICS_SECTOR_NAME"),"")</f>
        <v/>
      </c>
      <c r="D404" s="8">
        <f>IFERROR(BDP(A404,"PX_LAST"),"")</f>
        <v/>
      </c>
      <c r="E404" s="9">
        <f>IFERROR(BDP(A404,"CUST_TRR_RETURN_HOLDING_PER","CUST_TRR_START_DT",Settings!$C$5,"CUST_TRR_END_DT",Settings!$C$4)/100,"")</f>
        <v/>
      </c>
      <c r="F404" s="9">
        <f>IFERROR(BDP(A404,"CUST_TRR_RETURN_HOLDING_PER","CUST_TRR_START_DT",Settings!$C$6,"CUST_TRR_END_DT",Settings!$C$4)/100,"")</f>
        <v/>
      </c>
      <c r="G404" s="9">
        <f>IFERROR(BDP(A404,"CUST_TRR_RETURN_HOLDING_PER","CUST_TRR_START_DT",Settings!$C$7,"CUST_TRR_END_DT",Settings!$C$4)/100,"")</f>
        <v/>
      </c>
      <c r="H404" s="9">
        <f>IFERROR(BDP(A404,"CUST_TRR_RETURN_HOLDING_PER","CUST_TRR_START_DT",Settings!$C$8,"CUST_TRR_END_DT",Settings!$C$4)/100,"")</f>
        <v/>
      </c>
    </row>
    <row r="405">
      <c r="A405" s="7" t="inlineStr">
        <is>
          <t>RMD US Equity</t>
        </is>
      </c>
      <c r="B405">
        <f>IFERROR(BDP(A405,"NAME"),"")</f>
        <v/>
      </c>
      <c r="C405">
        <f>IFERROR(BDP(A405,"GICS_SECTOR_NAME"),"")</f>
        <v/>
      </c>
      <c r="D405" s="8">
        <f>IFERROR(BDP(A405,"PX_LAST"),"")</f>
        <v/>
      </c>
      <c r="E405" s="9">
        <f>IFERROR(BDP(A405,"CUST_TRR_RETURN_HOLDING_PER","CUST_TRR_START_DT",Settings!$C$5,"CUST_TRR_END_DT",Settings!$C$4)/100,"")</f>
        <v/>
      </c>
      <c r="F405" s="9">
        <f>IFERROR(BDP(A405,"CUST_TRR_RETURN_HOLDING_PER","CUST_TRR_START_DT",Settings!$C$6,"CUST_TRR_END_DT",Settings!$C$4)/100,"")</f>
        <v/>
      </c>
      <c r="G405" s="9">
        <f>IFERROR(BDP(A405,"CUST_TRR_RETURN_HOLDING_PER","CUST_TRR_START_DT",Settings!$C$7,"CUST_TRR_END_DT",Settings!$C$4)/100,"")</f>
        <v/>
      </c>
      <c r="H405" s="9">
        <f>IFERROR(BDP(A405,"CUST_TRR_RETURN_HOLDING_PER","CUST_TRR_START_DT",Settings!$C$8,"CUST_TRR_END_DT",Settings!$C$4)/100,"")</f>
        <v/>
      </c>
    </row>
    <row r="406">
      <c r="A406" s="7" t="inlineStr">
        <is>
          <t>ROK US Equity</t>
        </is>
      </c>
      <c r="B406">
        <f>IFERROR(BDP(A406,"NAME"),"")</f>
        <v/>
      </c>
      <c r="C406">
        <f>IFERROR(BDP(A406,"GICS_SECTOR_NAME"),"")</f>
        <v/>
      </c>
      <c r="D406" s="8">
        <f>IFERROR(BDP(A406,"PX_LAST"),"")</f>
        <v/>
      </c>
      <c r="E406" s="9">
        <f>IFERROR(BDP(A406,"CUST_TRR_RETURN_HOLDING_PER","CUST_TRR_START_DT",Settings!$C$5,"CUST_TRR_END_DT",Settings!$C$4)/100,"")</f>
        <v/>
      </c>
      <c r="F406" s="9">
        <f>IFERROR(BDP(A406,"CUST_TRR_RETURN_HOLDING_PER","CUST_TRR_START_DT",Settings!$C$6,"CUST_TRR_END_DT",Settings!$C$4)/100,"")</f>
        <v/>
      </c>
      <c r="G406" s="9">
        <f>IFERROR(BDP(A406,"CUST_TRR_RETURN_HOLDING_PER","CUST_TRR_START_DT",Settings!$C$7,"CUST_TRR_END_DT",Settings!$C$4)/100,"")</f>
        <v/>
      </c>
      <c r="H406" s="9">
        <f>IFERROR(BDP(A406,"CUST_TRR_RETURN_HOLDING_PER","CUST_TRR_START_DT",Settings!$C$8,"CUST_TRR_END_DT",Settings!$C$4)/100,"")</f>
        <v/>
      </c>
    </row>
    <row r="407">
      <c r="A407" s="7" t="inlineStr">
        <is>
          <t>ROL US Equity</t>
        </is>
      </c>
      <c r="B407">
        <f>IFERROR(BDP(A407,"NAME"),"")</f>
        <v/>
      </c>
      <c r="C407">
        <f>IFERROR(BDP(A407,"GICS_SECTOR_NAME"),"")</f>
        <v/>
      </c>
      <c r="D407" s="8">
        <f>IFERROR(BDP(A407,"PX_LAST"),"")</f>
        <v/>
      </c>
      <c r="E407" s="9">
        <f>IFERROR(BDP(A407,"CUST_TRR_RETURN_HOLDING_PER","CUST_TRR_START_DT",Settings!$C$5,"CUST_TRR_END_DT",Settings!$C$4)/100,"")</f>
        <v/>
      </c>
      <c r="F407" s="9">
        <f>IFERROR(BDP(A407,"CUST_TRR_RETURN_HOLDING_PER","CUST_TRR_START_DT",Settings!$C$6,"CUST_TRR_END_DT",Settings!$C$4)/100,"")</f>
        <v/>
      </c>
      <c r="G407" s="9">
        <f>IFERROR(BDP(A407,"CUST_TRR_RETURN_HOLDING_PER","CUST_TRR_START_DT",Settings!$C$7,"CUST_TRR_END_DT",Settings!$C$4)/100,"")</f>
        <v/>
      </c>
      <c r="H407" s="9">
        <f>IFERROR(BDP(A407,"CUST_TRR_RETURN_HOLDING_PER","CUST_TRR_START_DT",Settings!$C$8,"CUST_TRR_END_DT",Settings!$C$4)/100,"")</f>
        <v/>
      </c>
    </row>
    <row r="408">
      <c r="A408" s="7" t="inlineStr">
        <is>
          <t>ROP US Equity</t>
        </is>
      </c>
      <c r="B408">
        <f>IFERROR(BDP(A408,"NAME"),"")</f>
        <v/>
      </c>
      <c r="C408">
        <f>IFERROR(BDP(A408,"GICS_SECTOR_NAME"),"")</f>
        <v/>
      </c>
      <c r="D408" s="8">
        <f>IFERROR(BDP(A408,"PX_LAST"),"")</f>
        <v/>
      </c>
      <c r="E408" s="9">
        <f>IFERROR(BDP(A408,"CUST_TRR_RETURN_HOLDING_PER","CUST_TRR_START_DT",Settings!$C$5,"CUST_TRR_END_DT",Settings!$C$4)/100,"")</f>
        <v/>
      </c>
      <c r="F408" s="9">
        <f>IFERROR(BDP(A408,"CUST_TRR_RETURN_HOLDING_PER","CUST_TRR_START_DT",Settings!$C$6,"CUST_TRR_END_DT",Settings!$C$4)/100,"")</f>
        <v/>
      </c>
      <c r="G408" s="9">
        <f>IFERROR(BDP(A408,"CUST_TRR_RETURN_HOLDING_PER","CUST_TRR_START_DT",Settings!$C$7,"CUST_TRR_END_DT",Settings!$C$4)/100,"")</f>
        <v/>
      </c>
      <c r="H408" s="9">
        <f>IFERROR(BDP(A408,"CUST_TRR_RETURN_HOLDING_PER","CUST_TRR_START_DT",Settings!$C$8,"CUST_TRR_END_DT",Settings!$C$4)/100,"")</f>
        <v/>
      </c>
    </row>
    <row r="409">
      <c r="A409" s="7" t="inlineStr">
        <is>
          <t>ROST US Equity</t>
        </is>
      </c>
      <c r="B409">
        <f>IFERROR(BDP(A409,"NAME"),"")</f>
        <v/>
      </c>
      <c r="C409">
        <f>IFERROR(BDP(A409,"GICS_SECTOR_NAME"),"")</f>
        <v/>
      </c>
      <c r="D409" s="8">
        <f>IFERROR(BDP(A409,"PX_LAST"),"")</f>
        <v/>
      </c>
      <c r="E409" s="9">
        <f>IFERROR(BDP(A409,"CUST_TRR_RETURN_HOLDING_PER","CUST_TRR_START_DT",Settings!$C$5,"CUST_TRR_END_DT",Settings!$C$4)/100,"")</f>
        <v/>
      </c>
      <c r="F409" s="9">
        <f>IFERROR(BDP(A409,"CUST_TRR_RETURN_HOLDING_PER","CUST_TRR_START_DT",Settings!$C$6,"CUST_TRR_END_DT",Settings!$C$4)/100,"")</f>
        <v/>
      </c>
      <c r="G409" s="9">
        <f>IFERROR(BDP(A409,"CUST_TRR_RETURN_HOLDING_PER","CUST_TRR_START_DT",Settings!$C$7,"CUST_TRR_END_DT",Settings!$C$4)/100,"")</f>
        <v/>
      </c>
      <c r="H409" s="9">
        <f>IFERROR(BDP(A409,"CUST_TRR_RETURN_HOLDING_PER","CUST_TRR_START_DT",Settings!$C$8,"CUST_TRR_END_DT",Settings!$C$4)/100,"")</f>
        <v/>
      </c>
    </row>
    <row r="410">
      <c r="A410" s="7" t="inlineStr">
        <is>
          <t>RSG US Equity</t>
        </is>
      </c>
      <c r="B410">
        <f>IFERROR(BDP(A410,"NAME"),"")</f>
        <v/>
      </c>
      <c r="C410">
        <f>IFERROR(BDP(A410,"GICS_SECTOR_NAME"),"")</f>
        <v/>
      </c>
      <c r="D410" s="8">
        <f>IFERROR(BDP(A410,"PX_LAST"),"")</f>
        <v/>
      </c>
      <c r="E410" s="9">
        <f>IFERROR(BDP(A410,"CUST_TRR_RETURN_HOLDING_PER","CUST_TRR_START_DT",Settings!$C$5,"CUST_TRR_END_DT",Settings!$C$4)/100,"")</f>
        <v/>
      </c>
      <c r="F410" s="9">
        <f>IFERROR(BDP(A410,"CUST_TRR_RETURN_HOLDING_PER","CUST_TRR_START_DT",Settings!$C$6,"CUST_TRR_END_DT",Settings!$C$4)/100,"")</f>
        <v/>
      </c>
      <c r="G410" s="9">
        <f>IFERROR(BDP(A410,"CUST_TRR_RETURN_HOLDING_PER","CUST_TRR_START_DT",Settings!$C$7,"CUST_TRR_END_DT",Settings!$C$4)/100,"")</f>
        <v/>
      </c>
      <c r="H410" s="9">
        <f>IFERROR(BDP(A410,"CUST_TRR_RETURN_HOLDING_PER","CUST_TRR_START_DT",Settings!$C$8,"CUST_TRR_END_DT",Settings!$C$4)/100,"")</f>
        <v/>
      </c>
    </row>
    <row r="411">
      <c r="A411" s="7" t="inlineStr">
        <is>
          <t>RTX US Equity</t>
        </is>
      </c>
      <c r="B411">
        <f>IFERROR(BDP(A411,"NAME"),"")</f>
        <v/>
      </c>
      <c r="C411">
        <f>IFERROR(BDP(A411,"GICS_SECTOR_NAME"),"")</f>
        <v/>
      </c>
      <c r="D411" s="8">
        <f>IFERROR(BDP(A411,"PX_LAST"),"")</f>
        <v/>
      </c>
      <c r="E411" s="9">
        <f>IFERROR(BDP(A411,"CUST_TRR_RETURN_HOLDING_PER","CUST_TRR_START_DT",Settings!$C$5,"CUST_TRR_END_DT",Settings!$C$4)/100,"")</f>
        <v/>
      </c>
      <c r="F411" s="9">
        <f>IFERROR(BDP(A411,"CUST_TRR_RETURN_HOLDING_PER","CUST_TRR_START_DT",Settings!$C$6,"CUST_TRR_END_DT",Settings!$C$4)/100,"")</f>
        <v/>
      </c>
      <c r="G411" s="9">
        <f>IFERROR(BDP(A411,"CUST_TRR_RETURN_HOLDING_PER","CUST_TRR_START_DT",Settings!$C$7,"CUST_TRR_END_DT",Settings!$C$4)/100,"")</f>
        <v/>
      </c>
      <c r="H411" s="9">
        <f>IFERROR(BDP(A411,"CUST_TRR_RETURN_HOLDING_PER","CUST_TRR_START_DT",Settings!$C$8,"CUST_TRR_END_DT",Settings!$C$4)/100,"")</f>
        <v/>
      </c>
    </row>
    <row r="412">
      <c r="A412" s="7" t="inlineStr">
        <is>
          <t>RVTY US Equity</t>
        </is>
      </c>
      <c r="B412">
        <f>IFERROR(BDP(A412,"NAME"),"")</f>
        <v/>
      </c>
      <c r="C412">
        <f>IFERROR(BDP(A412,"GICS_SECTOR_NAME"),"")</f>
        <v/>
      </c>
      <c r="D412" s="8">
        <f>IFERROR(BDP(A412,"PX_LAST"),"")</f>
        <v/>
      </c>
      <c r="E412" s="9">
        <f>IFERROR(BDP(A412,"CUST_TRR_RETURN_HOLDING_PER","CUST_TRR_START_DT",Settings!$C$5,"CUST_TRR_END_DT",Settings!$C$4)/100,"")</f>
        <v/>
      </c>
      <c r="F412" s="9">
        <f>IFERROR(BDP(A412,"CUST_TRR_RETURN_HOLDING_PER","CUST_TRR_START_DT",Settings!$C$6,"CUST_TRR_END_DT",Settings!$C$4)/100,"")</f>
        <v/>
      </c>
      <c r="G412" s="9">
        <f>IFERROR(BDP(A412,"CUST_TRR_RETURN_HOLDING_PER","CUST_TRR_START_DT",Settings!$C$7,"CUST_TRR_END_DT",Settings!$C$4)/100,"")</f>
        <v/>
      </c>
      <c r="H412" s="9">
        <f>IFERROR(BDP(A412,"CUST_TRR_RETURN_HOLDING_PER","CUST_TRR_START_DT",Settings!$C$8,"CUST_TRR_END_DT",Settings!$C$4)/100,"")</f>
        <v/>
      </c>
    </row>
    <row r="413">
      <c r="A413" s="7" t="inlineStr">
        <is>
          <t>SBAC US Equity</t>
        </is>
      </c>
      <c r="B413">
        <f>IFERROR(BDP(A413,"NAME"),"")</f>
        <v/>
      </c>
      <c r="C413">
        <f>IFERROR(BDP(A413,"GICS_SECTOR_NAME"),"")</f>
        <v/>
      </c>
      <c r="D413" s="8">
        <f>IFERROR(BDP(A413,"PX_LAST"),"")</f>
        <v/>
      </c>
      <c r="E413" s="9">
        <f>IFERROR(BDP(A413,"CUST_TRR_RETURN_HOLDING_PER","CUST_TRR_START_DT",Settings!$C$5,"CUST_TRR_END_DT",Settings!$C$4)/100,"")</f>
        <v/>
      </c>
      <c r="F413" s="9">
        <f>IFERROR(BDP(A413,"CUST_TRR_RETURN_HOLDING_PER","CUST_TRR_START_DT",Settings!$C$6,"CUST_TRR_END_DT",Settings!$C$4)/100,"")</f>
        <v/>
      </c>
      <c r="G413" s="9">
        <f>IFERROR(BDP(A413,"CUST_TRR_RETURN_HOLDING_PER","CUST_TRR_START_DT",Settings!$C$7,"CUST_TRR_END_DT",Settings!$C$4)/100,"")</f>
        <v/>
      </c>
      <c r="H413" s="9">
        <f>IFERROR(BDP(A413,"CUST_TRR_RETURN_HOLDING_PER","CUST_TRR_START_DT",Settings!$C$8,"CUST_TRR_END_DT",Settings!$C$4)/100,"")</f>
        <v/>
      </c>
    </row>
    <row r="414">
      <c r="A414" s="7" t="inlineStr">
        <is>
          <t>SBUX US Equity</t>
        </is>
      </c>
      <c r="B414">
        <f>IFERROR(BDP(A414,"NAME"),"")</f>
        <v/>
      </c>
      <c r="C414">
        <f>IFERROR(BDP(A414,"GICS_SECTOR_NAME"),"")</f>
        <v/>
      </c>
      <c r="D414" s="8">
        <f>IFERROR(BDP(A414,"PX_LAST"),"")</f>
        <v/>
      </c>
      <c r="E414" s="9">
        <f>IFERROR(BDP(A414,"CUST_TRR_RETURN_HOLDING_PER","CUST_TRR_START_DT",Settings!$C$5,"CUST_TRR_END_DT",Settings!$C$4)/100,"")</f>
        <v/>
      </c>
      <c r="F414" s="9">
        <f>IFERROR(BDP(A414,"CUST_TRR_RETURN_HOLDING_PER","CUST_TRR_START_DT",Settings!$C$6,"CUST_TRR_END_DT",Settings!$C$4)/100,"")</f>
        <v/>
      </c>
      <c r="G414" s="9">
        <f>IFERROR(BDP(A414,"CUST_TRR_RETURN_HOLDING_PER","CUST_TRR_START_DT",Settings!$C$7,"CUST_TRR_END_DT",Settings!$C$4)/100,"")</f>
        <v/>
      </c>
      <c r="H414" s="9">
        <f>IFERROR(BDP(A414,"CUST_TRR_RETURN_HOLDING_PER","CUST_TRR_START_DT",Settings!$C$8,"CUST_TRR_END_DT",Settings!$C$4)/100,"")</f>
        <v/>
      </c>
    </row>
    <row r="415">
      <c r="A415" s="7" t="inlineStr">
        <is>
          <t>SCHW US Equity</t>
        </is>
      </c>
      <c r="B415">
        <f>IFERROR(BDP(A415,"NAME"),"")</f>
        <v/>
      </c>
      <c r="C415">
        <f>IFERROR(BDP(A415,"GICS_SECTOR_NAME"),"")</f>
        <v/>
      </c>
      <c r="D415" s="8">
        <f>IFERROR(BDP(A415,"PX_LAST"),"")</f>
        <v/>
      </c>
      <c r="E415" s="9">
        <f>IFERROR(BDP(A415,"CUST_TRR_RETURN_HOLDING_PER","CUST_TRR_START_DT",Settings!$C$5,"CUST_TRR_END_DT",Settings!$C$4)/100,"")</f>
        <v/>
      </c>
      <c r="F415" s="9">
        <f>IFERROR(BDP(A415,"CUST_TRR_RETURN_HOLDING_PER","CUST_TRR_START_DT",Settings!$C$6,"CUST_TRR_END_DT",Settings!$C$4)/100,"")</f>
        <v/>
      </c>
      <c r="G415" s="9">
        <f>IFERROR(BDP(A415,"CUST_TRR_RETURN_HOLDING_PER","CUST_TRR_START_DT",Settings!$C$7,"CUST_TRR_END_DT",Settings!$C$4)/100,"")</f>
        <v/>
      </c>
      <c r="H415" s="9">
        <f>IFERROR(BDP(A415,"CUST_TRR_RETURN_HOLDING_PER","CUST_TRR_START_DT",Settings!$C$8,"CUST_TRR_END_DT",Settings!$C$4)/100,"")</f>
        <v/>
      </c>
    </row>
    <row r="416">
      <c r="A416" s="7" t="inlineStr">
        <is>
          <t>SHW US Equity</t>
        </is>
      </c>
      <c r="B416">
        <f>IFERROR(BDP(A416,"NAME"),"")</f>
        <v/>
      </c>
      <c r="C416">
        <f>IFERROR(BDP(A416,"GICS_SECTOR_NAME"),"")</f>
        <v/>
      </c>
      <c r="D416" s="8">
        <f>IFERROR(BDP(A416,"PX_LAST"),"")</f>
        <v/>
      </c>
      <c r="E416" s="9">
        <f>IFERROR(BDP(A416,"CUST_TRR_RETURN_HOLDING_PER","CUST_TRR_START_DT",Settings!$C$5,"CUST_TRR_END_DT",Settings!$C$4)/100,"")</f>
        <v/>
      </c>
      <c r="F416" s="9">
        <f>IFERROR(BDP(A416,"CUST_TRR_RETURN_HOLDING_PER","CUST_TRR_START_DT",Settings!$C$6,"CUST_TRR_END_DT",Settings!$C$4)/100,"")</f>
        <v/>
      </c>
      <c r="G416" s="9">
        <f>IFERROR(BDP(A416,"CUST_TRR_RETURN_HOLDING_PER","CUST_TRR_START_DT",Settings!$C$7,"CUST_TRR_END_DT",Settings!$C$4)/100,"")</f>
        <v/>
      </c>
      <c r="H416" s="9">
        <f>IFERROR(BDP(A416,"CUST_TRR_RETURN_HOLDING_PER","CUST_TRR_START_DT",Settings!$C$8,"CUST_TRR_END_DT",Settings!$C$4)/100,"")</f>
        <v/>
      </c>
    </row>
    <row r="417">
      <c r="A417" s="7" t="inlineStr">
        <is>
          <t>SJM US Equity</t>
        </is>
      </c>
      <c r="B417">
        <f>IFERROR(BDP(A417,"NAME"),"")</f>
        <v/>
      </c>
      <c r="C417">
        <f>IFERROR(BDP(A417,"GICS_SECTOR_NAME"),"")</f>
        <v/>
      </c>
      <c r="D417" s="8">
        <f>IFERROR(BDP(A417,"PX_LAST"),"")</f>
        <v/>
      </c>
      <c r="E417" s="9">
        <f>IFERROR(BDP(A417,"CUST_TRR_RETURN_HOLDING_PER","CUST_TRR_START_DT",Settings!$C$5,"CUST_TRR_END_DT",Settings!$C$4)/100,"")</f>
        <v/>
      </c>
      <c r="F417" s="9">
        <f>IFERROR(BDP(A417,"CUST_TRR_RETURN_HOLDING_PER","CUST_TRR_START_DT",Settings!$C$6,"CUST_TRR_END_DT",Settings!$C$4)/100,"")</f>
        <v/>
      </c>
      <c r="G417" s="9">
        <f>IFERROR(BDP(A417,"CUST_TRR_RETURN_HOLDING_PER","CUST_TRR_START_DT",Settings!$C$7,"CUST_TRR_END_DT",Settings!$C$4)/100,"")</f>
        <v/>
      </c>
      <c r="H417" s="9">
        <f>IFERROR(BDP(A417,"CUST_TRR_RETURN_HOLDING_PER","CUST_TRR_START_DT",Settings!$C$8,"CUST_TRR_END_DT",Settings!$C$4)/100,"")</f>
        <v/>
      </c>
    </row>
    <row r="418">
      <c r="A418" s="7" t="inlineStr">
        <is>
          <t>SLB US Equity</t>
        </is>
      </c>
      <c r="B418">
        <f>IFERROR(BDP(A418,"NAME"),"")</f>
        <v/>
      </c>
      <c r="C418">
        <f>IFERROR(BDP(A418,"GICS_SECTOR_NAME"),"")</f>
        <v/>
      </c>
      <c r="D418" s="8">
        <f>IFERROR(BDP(A418,"PX_LAST"),"")</f>
        <v/>
      </c>
      <c r="E418" s="9">
        <f>IFERROR(BDP(A418,"CUST_TRR_RETURN_HOLDING_PER","CUST_TRR_START_DT",Settings!$C$5,"CUST_TRR_END_DT",Settings!$C$4)/100,"")</f>
        <v/>
      </c>
      <c r="F418" s="9">
        <f>IFERROR(BDP(A418,"CUST_TRR_RETURN_HOLDING_PER","CUST_TRR_START_DT",Settings!$C$6,"CUST_TRR_END_DT",Settings!$C$4)/100,"")</f>
        <v/>
      </c>
      <c r="G418" s="9">
        <f>IFERROR(BDP(A418,"CUST_TRR_RETURN_HOLDING_PER","CUST_TRR_START_DT",Settings!$C$7,"CUST_TRR_END_DT",Settings!$C$4)/100,"")</f>
        <v/>
      </c>
      <c r="H418" s="9">
        <f>IFERROR(BDP(A418,"CUST_TRR_RETURN_HOLDING_PER","CUST_TRR_START_DT",Settings!$C$8,"CUST_TRR_END_DT",Settings!$C$4)/100,"")</f>
        <v/>
      </c>
    </row>
    <row r="419">
      <c r="A419" s="7" t="inlineStr">
        <is>
          <t>SMCI US Equity</t>
        </is>
      </c>
      <c r="B419">
        <f>IFERROR(BDP(A419,"NAME"),"")</f>
        <v/>
      </c>
      <c r="C419">
        <f>IFERROR(BDP(A419,"GICS_SECTOR_NAME"),"")</f>
        <v/>
      </c>
      <c r="D419" s="8">
        <f>IFERROR(BDP(A419,"PX_LAST"),"")</f>
        <v/>
      </c>
      <c r="E419" s="9">
        <f>IFERROR(BDP(A419,"CUST_TRR_RETURN_HOLDING_PER","CUST_TRR_START_DT",Settings!$C$5,"CUST_TRR_END_DT",Settings!$C$4)/100,"")</f>
        <v/>
      </c>
      <c r="F419" s="9">
        <f>IFERROR(BDP(A419,"CUST_TRR_RETURN_HOLDING_PER","CUST_TRR_START_DT",Settings!$C$6,"CUST_TRR_END_DT",Settings!$C$4)/100,"")</f>
        <v/>
      </c>
      <c r="G419" s="9">
        <f>IFERROR(BDP(A419,"CUST_TRR_RETURN_HOLDING_PER","CUST_TRR_START_DT",Settings!$C$7,"CUST_TRR_END_DT",Settings!$C$4)/100,"")</f>
        <v/>
      </c>
      <c r="H419" s="9">
        <f>IFERROR(BDP(A419,"CUST_TRR_RETURN_HOLDING_PER","CUST_TRR_START_DT",Settings!$C$8,"CUST_TRR_END_DT",Settings!$C$4)/100,"")</f>
        <v/>
      </c>
    </row>
    <row r="420">
      <c r="A420" s="7" t="inlineStr">
        <is>
          <t>SNA US Equity</t>
        </is>
      </c>
      <c r="B420">
        <f>IFERROR(BDP(A420,"NAME"),"")</f>
        <v/>
      </c>
      <c r="C420">
        <f>IFERROR(BDP(A420,"GICS_SECTOR_NAME"),"")</f>
        <v/>
      </c>
      <c r="D420" s="8">
        <f>IFERROR(BDP(A420,"PX_LAST"),"")</f>
        <v/>
      </c>
      <c r="E420" s="9">
        <f>IFERROR(BDP(A420,"CUST_TRR_RETURN_HOLDING_PER","CUST_TRR_START_DT",Settings!$C$5,"CUST_TRR_END_DT",Settings!$C$4)/100,"")</f>
        <v/>
      </c>
      <c r="F420" s="9">
        <f>IFERROR(BDP(A420,"CUST_TRR_RETURN_HOLDING_PER","CUST_TRR_START_DT",Settings!$C$6,"CUST_TRR_END_DT",Settings!$C$4)/100,"")</f>
        <v/>
      </c>
      <c r="G420" s="9">
        <f>IFERROR(BDP(A420,"CUST_TRR_RETURN_HOLDING_PER","CUST_TRR_START_DT",Settings!$C$7,"CUST_TRR_END_DT",Settings!$C$4)/100,"")</f>
        <v/>
      </c>
      <c r="H420" s="9">
        <f>IFERROR(BDP(A420,"CUST_TRR_RETURN_HOLDING_PER","CUST_TRR_START_DT",Settings!$C$8,"CUST_TRR_END_DT",Settings!$C$4)/100,"")</f>
        <v/>
      </c>
    </row>
    <row r="421">
      <c r="A421" s="7" t="inlineStr">
        <is>
          <t>SNPS US Equity</t>
        </is>
      </c>
      <c r="B421">
        <f>IFERROR(BDP(A421,"NAME"),"")</f>
        <v/>
      </c>
      <c r="C421">
        <f>IFERROR(BDP(A421,"GICS_SECTOR_NAME"),"")</f>
        <v/>
      </c>
      <c r="D421" s="8">
        <f>IFERROR(BDP(A421,"PX_LAST"),"")</f>
        <v/>
      </c>
      <c r="E421" s="9">
        <f>IFERROR(BDP(A421,"CUST_TRR_RETURN_HOLDING_PER","CUST_TRR_START_DT",Settings!$C$5,"CUST_TRR_END_DT",Settings!$C$4)/100,"")</f>
        <v/>
      </c>
      <c r="F421" s="9">
        <f>IFERROR(BDP(A421,"CUST_TRR_RETURN_HOLDING_PER","CUST_TRR_START_DT",Settings!$C$6,"CUST_TRR_END_DT",Settings!$C$4)/100,"")</f>
        <v/>
      </c>
      <c r="G421" s="9">
        <f>IFERROR(BDP(A421,"CUST_TRR_RETURN_HOLDING_PER","CUST_TRR_START_DT",Settings!$C$7,"CUST_TRR_END_DT",Settings!$C$4)/100,"")</f>
        <v/>
      </c>
      <c r="H421" s="9">
        <f>IFERROR(BDP(A421,"CUST_TRR_RETURN_HOLDING_PER","CUST_TRR_START_DT",Settings!$C$8,"CUST_TRR_END_DT",Settings!$C$4)/100,"")</f>
        <v/>
      </c>
    </row>
    <row r="422">
      <c r="A422" s="7" t="inlineStr">
        <is>
          <t>SO US Equity</t>
        </is>
      </c>
      <c r="B422">
        <f>IFERROR(BDP(A422,"NAME"),"")</f>
        <v/>
      </c>
      <c r="C422">
        <f>IFERROR(BDP(A422,"GICS_SECTOR_NAME"),"")</f>
        <v/>
      </c>
      <c r="D422" s="8">
        <f>IFERROR(BDP(A422,"PX_LAST"),"")</f>
        <v/>
      </c>
      <c r="E422" s="9">
        <f>IFERROR(BDP(A422,"CUST_TRR_RETURN_HOLDING_PER","CUST_TRR_START_DT",Settings!$C$5,"CUST_TRR_END_DT",Settings!$C$4)/100,"")</f>
        <v/>
      </c>
      <c r="F422" s="9">
        <f>IFERROR(BDP(A422,"CUST_TRR_RETURN_HOLDING_PER","CUST_TRR_START_DT",Settings!$C$6,"CUST_TRR_END_DT",Settings!$C$4)/100,"")</f>
        <v/>
      </c>
      <c r="G422" s="9">
        <f>IFERROR(BDP(A422,"CUST_TRR_RETURN_HOLDING_PER","CUST_TRR_START_DT",Settings!$C$7,"CUST_TRR_END_DT",Settings!$C$4)/100,"")</f>
        <v/>
      </c>
      <c r="H422" s="9">
        <f>IFERROR(BDP(A422,"CUST_TRR_RETURN_HOLDING_PER","CUST_TRR_START_DT",Settings!$C$8,"CUST_TRR_END_DT",Settings!$C$4)/100,"")</f>
        <v/>
      </c>
    </row>
    <row r="423">
      <c r="A423" s="7" t="inlineStr">
        <is>
          <t>SOLV US Equity</t>
        </is>
      </c>
      <c r="B423">
        <f>IFERROR(BDP(A423,"NAME"),"")</f>
        <v/>
      </c>
      <c r="C423">
        <f>IFERROR(BDP(A423,"GICS_SECTOR_NAME"),"")</f>
        <v/>
      </c>
      <c r="D423" s="8">
        <f>IFERROR(BDP(A423,"PX_LAST"),"")</f>
        <v/>
      </c>
      <c r="E423" s="9">
        <f>IFERROR(BDP(A423,"CUST_TRR_RETURN_HOLDING_PER","CUST_TRR_START_DT",Settings!$C$5,"CUST_TRR_END_DT",Settings!$C$4)/100,"")</f>
        <v/>
      </c>
      <c r="F423" s="9">
        <f>IFERROR(BDP(A423,"CUST_TRR_RETURN_HOLDING_PER","CUST_TRR_START_DT",Settings!$C$6,"CUST_TRR_END_DT",Settings!$C$4)/100,"")</f>
        <v/>
      </c>
      <c r="G423" s="9">
        <f>IFERROR(BDP(A423,"CUST_TRR_RETURN_HOLDING_PER","CUST_TRR_START_DT",Settings!$C$7,"CUST_TRR_END_DT",Settings!$C$4)/100,"")</f>
        <v/>
      </c>
      <c r="H423" s="9">
        <f>IFERROR(BDP(A423,"CUST_TRR_RETURN_HOLDING_PER","CUST_TRR_START_DT",Settings!$C$8,"CUST_TRR_END_DT",Settings!$C$4)/100,"")</f>
        <v/>
      </c>
    </row>
    <row r="424">
      <c r="A424" s="7" t="inlineStr">
        <is>
          <t>SPG US Equity</t>
        </is>
      </c>
      <c r="B424">
        <f>IFERROR(BDP(A424,"NAME"),"")</f>
        <v/>
      </c>
      <c r="C424">
        <f>IFERROR(BDP(A424,"GICS_SECTOR_NAME"),"")</f>
        <v/>
      </c>
      <c r="D424" s="8">
        <f>IFERROR(BDP(A424,"PX_LAST"),"")</f>
        <v/>
      </c>
      <c r="E424" s="9">
        <f>IFERROR(BDP(A424,"CUST_TRR_RETURN_HOLDING_PER","CUST_TRR_START_DT",Settings!$C$5,"CUST_TRR_END_DT",Settings!$C$4)/100,"")</f>
        <v/>
      </c>
      <c r="F424" s="9">
        <f>IFERROR(BDP(A424,"CUST_TRR_RETURN_HOLDING_PER","CUST_TRR_START_DT",Settings!$C$6,"CUST_TRR_END_DT",Settings!$C$4)/100,"")</f>
        <v/>
      </c>
      <c r="G424" s="9">
        <f>IFERROR(BDP(A424,"CUST_TRR_RETURN_HOLDING_PER","CUST_TRR_START_DT",Settings!$C$7,"CUST_TRR_END_DT",Settings!$C$4)/100,"")</f>
        <v/>
      </c>
      <c r="H424" s="9">
        <f>IFERROR(BDP(A424,"CUST_TRR_RETURN_HOLDING_PER","CUST_TRR_START_DT",Settings!$C$8,"CUST_TRR_END_DT",Settings!$C$4)/100,"")</f>
        <v/>
      </c>
    </row>
    <row r="425">
      <c r="A425" s="7" t="inlineStr">
        <is>
          <t>SPGI US Equity</t>
        </is>
      </c>
      <c r="B425">
        <f>IFERROR(BDP(A425,"NAME"),"")</f>
        <v/>
      </c>
      <c r="C425">
        <f>IFERROR(BDP(A425,"GICS_SECTOR_NAME"),"")</f>
        <v/>
      </c>
      <c r="D425" s="8">
        <f>IFERROR(BDP(A425,"PX_LAST"),"")</f>
        <v/>
      </c>
      <c r="E425" s="9">
        <f>IFERROR(BDP(A425,"CUST_TRR_RETURN_HOLDING_PER","CUST_TRR_START_DT",Settings!$C$5,"CUST_TRR_END_DT",Settings!$C$4)/100,"")</f>
        <v/>
      </c>
      <c r="F425" s="9">
        <f>IFERROR(BDP(A425,"CUST_TRR_RETURN_HOLDING_PER","CUST_TRR_START_DT",Settings!$C$6,"CUST_TRR_END_DT",Settings!$C$4)/100,"")</f>
        <v/>
      </c>
      <c r="G425" s="9">
        <f>IFERROR(BDP(A425,"CUST_TRR_RETURN_HOLDING_PER","CUST_TRR_START_DT",Settings!$C$7,"CUST_TRR_END_DT",Settings!$C$4)/100,"")</f>
        <v/>
      </c>
      <c r="H425" s="9">
        <f>IFERROR(BDP(A425,"CUST_TRR_RETURN_HOLDING_PER","CUST_TRR_START_DT",Settings!$C$8,"CUST_TRR_END_DT",Settings!$C$4)/100,"")</f>
        <v/>
      </c>
    </row>
    <row r="426">
      <c r="A426" s="7" t="inlineStr">
        <is>
          <t>SRE US Equity</t>
        </is>
      </c>
      <c r="B426">
        <f>IFERROR(BDP(A426,"NAME"),"")</f>
        <v/>
      </c>
      <c r="C426">
        <f>IFERROR(BDP(A426,"GICS_SECTOR_NAME"),"")</f>
        <v/>
      </c>
      <c r="D426" s="8">
        <f>IFERROR(BDP(A426,"PX_LAST"),"")</f>
        <v/>
      </c>
      <c r="E426" s="9">
        <f>IFERROR(BDP(A426,"CUST_TRR_RETURN_HOLDING_PER","CUST_TRR_START_DT",Settings!$C$5,"CUST_TRR_END_DT",Settings!$C$4)/100,"")</f>
        <v/>
      </c>
      <c r="F426" s="9">
        <f>IFERROR(BDP(A426,"CUST_TRR_RETURN_HOLDING_PER","CUST_TRR_START_DT",Settings!$C$6,"CUST_TRR_END_DT",Settings!$C$4)/100,"")</f>
        <v/>
      </c>
      <c r="G426" s="9">
        <f>IFERROR(BDP(A426,"CUST_TRR_RETURN_HOLDING_PER","CUST_TRR_START_DT",Settings!$C$7,"CUST_TRR_END_DT",Settings!$C$4)/100,"")</f>
        <v/>
      </c>
      <c r="H426" s="9">
        <f>IFERROR(BDP(A426,"CUST_TRR_RETURN_HOLDING_PER","CUST_TRR_START_DT",Settings!$C$8,"CUST_TRR_END_DT",Settings!$C$4)/100,"")</f>
        <v/>
      </c>
    </row>
    <row r="427">
      <c r="A427" s="7" t="inlineStr">
        <is>
          <t>STE US Equity</t>
        </is>
      </c>
      <c r="B427">
        <f>IFERROR(BDP(A427,"NAME"),"")</f>
        <v/>
      </c>
      <c r="C427">
        <f>IFERROR(BDP(A427,"GICS_SECTOR_NAME"),"")</f>
        <v/>
      </c>
      <c r="D427" s="8">
        <f>IFERROR(BDP(A427,"PX_LAST"),"")</f>
        <v/>
      </c>
      <c r="E427" s="9">
        <f>IFERROR(BDP(A427,"CUST_TRR_RETURN_HOLDING_PER","CUST_TRR_START_DT",Settings!$C$5,"CUST_TRR_END_DT",Settings!$C$4)/100,"")</f>
        <v/>
      </c>
      <c r="F427" s="9">
        <f>IFERROR(BDP(A427,"CUST_TRR_RETURN_HOLDING_PER","CUST_TRR_START_DT",Settings!$C$6,"CUST_TRR_END_DT",Settings!$C$4)/100,"")</f>
        <v/>
      </c>
      <c r="G427" s="9">
        <f>IFERROR(BDP(A427,"CUST_TRR_RETURN_HOLDING_PER","CUST_TRR_START_DT",Settings!$C$7,"CUST_TRR_END_DT",Settings!$C$4)/100,"")</f>
        <v/>
      </c>
      <c r="H427" s="9">
        <f>IFERROR(BDP(A427,"CUST_TRR_RETURN_HOLDING_PER","CUST_TRR_START_DT",Settings!$C$8,"CUST_TRR_END_DT",Settings!$C$4)/100,"")</f>
        <v/>
      </c>
    </row>
    <row r="428">
      <c r="A428" s="7" t="inlineStr">
        <is>
          <t>STLD US Equity</t>
        </is>
      </c>
      <c r="B428">
        <f>IFERROR(BDP(A428,"NAME"),"")</f>
        <v/>
      </c>
      <c r="C428">
        <f>IFERROR(BDP(A428,"GICS_SECTOR_NAME"),"")</f>
        <v/>
      </c>
      <c r="D428" s="8">
        <f>IFERROR(BDP(A428,"PX_LAST"),"")</f>
        <v/>
      </c>
      <c r="E428" s="9">
        <f>IFERROR(BDP(A428,"CUST_TRR_RETURN_HOLDING_PER","CUST_TRR_START_DT",Settings!$C$5,"CUST_TRR_END_DT",Settings!$C$4)/100,"")</f>
        <v/>
      </c>
      <c r="F428" s="9">
        <f>IFERROR(BDP(A428,"CUST_TRR_RETURN_HOLDING_PER","CUST_TRR_START_DT",Settings!$C$6,"CUST_TRR_END_DT",Settings!$C$4)/100,"")</f>
        <v/>
      </c>
      <c r="G428" s="9">
        <f>IFERROR(BDP(A428,"CUST_TRR_RETURN_HOLDING_PER","CUST_TRR_START_DT",Settings!$C$7,"CUST_TRR_END_DT",Settings!$C$4)/100,"")</f>
        <v/>
      </c>
      <c r="H428" s="9">
        <f>IFERROR(BDP(A428,"CUST_TRR_RETURN_HOLDING_PER","CUST_TRR_START_DT",Settings!$C$8,"CUST_TRR_END_DT",Settings!$C$4)/100,"")</f>
        <v/>
      </c>
    </row>
    <row r="429">
      <c r="A429" s="7" t="inlineStr">
        <is>
          <t>STT US Equity</t>
        </is>
      </c>
      <c r="B429">
        <f>IFERROR(BDP(A429,"NAME"),"")</f>
        <v/>
      </c>
      <c r="C429">
        <f>IFERROR(BDP(A429,"GICS_SECTOR_NAME"),"")</f>
        <v/>
      </c>
      <c r="D429" s="8">
        <f>IFERROR(BDP(A429,"PX_LAST"),"")</f>
        <v/>
      </c>
      <c r="E429" s="9">
        <f>IFERROR(BDP(A429,"CUST_TRR_RETURN_HOLDING_PER","CUST_TRR_START_DT",Settings!$C$5,"CUST_TRR_END_DT",Settings!$C$4)/100,"")</f>
        <v/>
      </c>
      <c r="F429" s="9">
        <f>IFERROR(BDP(A429,"CUST_TRR_RETURN_HOLDING_PER","CUST_TRR_START_DT",Settings!$C$6,"CUST_TRR_END_DT",Settings!$C$4)/100,"")</f>
        <v/>
      </c>
      <c r="G429" s="9">
        <f>IFERROR(BDP(A429,"CUST_TRR_RETURN_HOLDING_PER","CUST_TRR_START_DT",Settings!$C$7,"CUST_TRR_END_DT",Settings!$C$4)/100,"")</f>
        <v/>
      </c>
      <c r="H429" s="9">
        <f>IFERROR(BDP(A429,"CUST_TRR_RETURN_HOLDING_PER","CUST_TRR_START_DT",Settings!$C$8,"CUST_TRR_END_DT",Settings!$C$4)/100,"")</f>
        <v/>
      </c>
    </row>
    <row r="430">
      <c r="A430" s="7" t="inlineStr">
        <is>
          <t>STX US Equity</t>
        </is>
      </c>
      <c r="B430">
        <f>IFERROR(BDP(A430,"NAME"),"")</f>
        <v/>
      </c>
      <c r="C430">
        <f>IFERROR(BDP(A430,"GICS_SECTOR_NAME"),"")</f>
        <v/>
      </c>
      <c r="D430" s="8">
        <f>IFERROR(BDP(A430,"PX_LAST"),"")</f>
        <v/>
      </c>
      <c r="E430" s="9">
        <f>IFERROR(BDP(A430,"CUST_TRR_RETURN_HOLDING_PER","CUST_TRR_START_DT",Settings!$C$5,"CUST_TRR_END_DT",Settings!$C$4)/100,"")</f>
        <v/>
      </c>
      <c r="F430" s="9">
        <f>IFERROR(BDP(A430,"CUST_TRR_RETURN_HOLDING_PER","CUST_TRR_START_DT",Settings!$C$6,"CUST_TRR_END_DT",Settings!$C$4)/100,"")</f>
        <v/>
      </c>
      <c r="G430" s="9">
        <f>IFERROR(BDP(A430,"CUST_TRR_RETURN_HOLDING_PER","CUST_TRR_START_DT",Settings!$C$7,"CUST_TRR_END_DT",Settings!$C$4)/100,"")</f>
        <v/>
      </c>
      <c r="H430" s="9">
        <f>IFERROR(BDP(A430,"CUST_TRR_RETURN_HOLDING_PER","CUST_TRR_START_DT",Settings!$C$8,"CUST_TRR_END_DT",Settings!$C$4)/100,"")</f>
        <v/>
      </c>
    </row>
    <row r="431">
      <c r="A431" s="7" t="inlineStr">
        <is>
          <t>STZ US Equity</t>
        </is>
      </c>
      <c r="B431">
        <f>IFERROR(BDP(A431,"NAME"),"")</f>
        <v/>
      </c>
      <c r="C431">
        <f>IFERROR(BDP(A431,"GICS_SECTOR_NAME"),"")</f>
        <v/>
      </c>
      <c r="D431" s="8">
        <f>IFERROR(BDP(A431,"PX_LAST"),"")</f>
        <v/>
      </c>
      <c r="E431" s="9">
        <f>IFERROR(BDP(A431,"CUST_TRR_RETURN_HOLDING_PER","CUST_TRR_START_DT",Settings!$C$5,"CUST_TRR_END_DT",Settings!$C$4)/100,"")</f>
        <v/>
      </c>
      <c r="F431" s="9">
        <f>IFERROR(BDP(A431,"CUST_TRR_RETURN_HOLDING_PER","CUST_TRR_START_DT",Settings!$C$6,"CUST_TRR_END_DT",Settings!$C$4)/100,"")</f>
        <v/>
      </c>
      <c r="G431" s="9">
        <f>IFERROR(BDP(A431,"CUST_TRR_RETURN_HOLDING_PER","CUST_TRR_START_DT",Settings!$C$7,"CUST_TRR_END_DT",Settings!$C$4)/100,"")</f>
        <v/>
      </c>
      <c r="H431" s="9">
        <f>IFERROR(BDP(A431,"CUST_TRR_RETURN_HOLDING_PER","CUST_TRR_START_DT",Settings!$C$8,"CUST_TRR_END_DT",Settings!$C$4)/100,"")</f>
        <v/>
      </c>
    </row>
    <row r="432">
      <c r="A432" s="7" t="inlineStr">
        <is>
          <t>SW US Equity</t>
        </is>
      </c>
      <c r="B432">
        <f>IFERROR(BDP(A432,"NAME"),"")</f>
        <v/>
      </c>
      <c r="C432">
        <f>IFERROR(BDP(A432,"GICS_SECTOR_NAME"),"")</f>
        <v/>
      </c>
      <c r="D432" s="8">
        <f>IFERROR(BDP(A432,"PX_LAST"),"")</f>
        <v/>
      </c>
      <c r="E432" s="9">
        <f>IFERROR(BDP(A432,"CUST_TRR_RETURN_HOLDING_PER","CUST_TRR_START_DT",Settings!$C$5,"CUST_TRR_END_DT",Settings!$C$4)/100,"")</f>
        <v/>
      </c>
      <c r="F432" s="9">
        <f>IFERROR(BDP(A432,"CUST_TRR_RETURN_HOLDING_PER","CUST_TRR_START_DT",Settings!$C$6,"CUST_TRR_END_DT",Settings!$C$4)/100,"")</f>
        <v/>
      </c>
      <c r="G432" s="9">
        <f>IFERROR(BDP(A432,"CUST_TRR_RETURN_HOLDING_PER","CUST_TRR_START_DT",Settings!$C$7,"CUST_TRR_END_DT",Settings!$C$4)/100,"")</f>
        <v/>
      </c>
      <c r="H432" s="9">
        <f>IFERROR(BDP(A432,"CUST_TRR_RETURN_HOLDING_PER","CUST_TRR_START_DT",Settings!$C$8,"CUST_TRR_END_DT",Settings!$C$4)/100,"")</f>
        <v/>
      </c>
    </row>
    <row r="433">
      <c r="A433" s="7" t="inlineStr">
        <is>
          <t>SWK US Equity</t>
        </is>
      </c>
      <c r="B433">
        <f>IFERROR(BDP(A433,"NAME"),"")</f>
        <v/>
      </c>
      <c r="C433">
        <f>IFERROR(BDP(A433,"GICS_SECTOR_NAME"),"")</f>
        <v/>
      </c>
      <c r="D433" s="8">
        <f>IFERROR(BDP(A433,"PX_LAST"),"")</f>
        <v/>
      </c>
      <c r="E433" s="9">
        <f>IFERROR(BDP(A433,"CUST_TRR_RETURN_HOLDING_PER","CUST_TRR_START_DT",Settings!$C$5,"CUST_TRR_END_DT",Settings!$C$4)/100,"")</f>
        <v/>
      </c>
      <c r="F433" s="9">
        <f>IFERROR(BDP(A433,"CUST_TRR_RETURN_HOLDING_PER","CUST_TRR_START_DT",Settings!$C$6,"CUST_TRR_END_DT",Settings!$C$4)/100,"")</f>
        <v/>
      </c>
      <c r="G433" s="9">
        <f>IFERROR(BDP(A433,"CUST_TRR_RETURN_HOLDING_PER","CUST_TRR_START_DT",Settings!$C$7,"CUST_TRR_END_DT",Settings!$C$4)/100,"")</f>
        <v/>
      </c>
      <c r="H433" s="9">
        <f>IFERROR(BDP(A433,"CUST_TRR_RETURN_HOLDING_PER","CUST_TRR_START_DT",Settings!$C$8,"CUST_TRR_END_DT",Settings!$C$4)/100,"")</f>
        <v/>
      </c>
    </row>
    <row r="434">
      <c r="A434" s="7" t="inlineStr">
        <is>
          <t>SWKS US Equity</t>
        </is>
      </c>
      <c r="B434">
        <f>IFERROR(BDP(A434,"NAME"),"")</f>
        <v/>
      </c>
      <c r="C434">
        <f>IFERROR(BDP(A434,"GICS_SECTOR_NAME"),"")</f>
        <v/>
      </c>
      <c r="D434" s="8">
        <f>IFERROR(BDP(A434,"PX_LAST"),"")</f>
        <v/>
      </c>
      <c r="E434" s="9">
        <f>IFERROR(BDP(A434,"CUST_TRR_RETURN_HOLDING_PER","CUST_TRR_START_DT",Settings!$C$5,"CUST_TRR_END_DT",Settings!$C$4)/100,"")</f>
        <v/>
      </c>
      <c r="F434" s="9">
        <f>IFERROR(BDP(A434,"CUST_TRR_RETURN_HOLDING_PER","CUST_TRR_START_DT",Settings!$C$6,"CUST_TRR_END_DT",Settings!$C$4)/100,"")</f>
        <v/>
      </c>
      <c r="G434" s="9">
        <f>IFERROR(BDP(A434,"CUST_TRR_RETURN_HOLDING_PER","CUST_TRR_START_DT",Settings!$C$7,"CUST_TRR_END_DT",Settings!$C$4)/100,"")</f>
        <v/>
      </c>
      <c r="H434" s="9">
        <f>IFERROR(BDP(A434,"CUST_TRR_RETURN_HOLDING_PER","CUST_TRR_START_DT",Settings!$C$8,"CUST_TRR_END_DT",Settings!$C$4)/100,"")</f>
        <v/>
      </c>
    </row>
    <row r="435">
      <c r="A435" s="7" t="inlineStr">
        <is>
          <t>SYF US Equity</t>
        </is>
      </c>
      <c r="B435">
        <f>IFERROR(BDP(A435,"NAME"),"")</f>
        <v/>
      </c>
      <c r="C435">
        <f>IFERROR(BDP(A435,"GICS_SECTOR_NAME"),"")</f>
        <v/>
      </c>
      <c r="D435" s="8">
        <f>IFERROR(BDP(A435,"PX_LAST"),"")</f>
        <v/>
      </c>
      <c r="E435" s="9">
        <f>IFERROR(BDP(A435,"CUST_TRR_RETURN_HOLDING_PER","CUST_TRR_START_DT",Settings!$C$5,"CUST_TRR_END_DT",Settings!$C$4)/100,"")</f>
        <v/>
      </c>
      <c r="F435" s="9">
        <f>IFERROR(BDP(A435,"CUST_TRR_RETURN_HOLDING_PER","CUST_TRR_START_DT",Settings!$C$6,"CUST_TRR_END_DT",Settings!$C$4)/100,"")</f>
        <v/>
      </c>
      <c r="G435" s="9">
        <f>IFERROR(BDP(A435,"CUST_TRR_RETURN_HOLDING_PER","CUST_TRR_START_DT",Settings!$C$7,"CUST_TRR_END_DT",Settings!$C$4)/100,"")</f>
        <v/>
      </c>
      <c r="H435" s="9">
        <f>IFERROR(BDP(A435,"CUST_TRR_RETURN_HOLDING_PER","CUST_TRR_START_DT",Settings!$C$8,"CUST_TRR_END_DT",Settings!$C$4)/100,"")</f>
        <v/>
      </c>
    </row>
    <row r="436">
      <c r="A436" s="7" t="inlineStr">
        <is>
          <t>SYK US Equity</t>
        </is>
      </c>
      <c r="B436">
        <f>IFERROR(BDP(A436,"NAME"),"")</f>
        <v/>
      </c>
      <c r="C436">
        <f>IFERROR(BDP(A436,"GICS_SECTOR_NAME"),"")</f>
        <v/>
      </c>
      <c r="D436" s="8">
        <f>IFERROR(BDP(A436,"PX_LAST"),"")</f>
        <v/>
      </c>
      <c r="E436" s="9">
        <f>IFERROR(BDP(A436,"CUST_TRR_RETURN_HOLDING_PER","CUST_TRR_START_DT",Settings!$C$5,"CUST_TRR_END_DT",Settings!$C$4)/100,"")</f>
        <v/>
      </c>
      <c r="F436" s="9">
        <f>IFERROR(BDP(A436,"CUST_TRR_RETURN_HOLDING_PER","CUST_TRR_START_DT",Settings!$C$6,"CUST_TRR_END_DT",Settings!$C$4)/100,"")</f>
        <v/>
      </c>
      <c r="G436" s="9">
        <f>IFERROR(BDP(A436,"CUST_TRR_RETURN_HOLDING_PER","CUST_TRR_START_DT",Settings!$C$7,"CUST_TRR_END_DT",Settings!$C$4)/100,"")</f>
        <v/>
      </c>
      <c r="H436" s="9">
        <f>IFERROR(BDP(A436,"CUST_TRR_RETURN_HOLDING_PER","CUST_TRR_START_DT",Settings!$C$8,"CUST_TRR_END_DT",Settings!$C$4)/100,"")</f>
        <v/>
      </c>
    </row>
    <row r="437">
      <c r="A437" s="7" t="inlineStr">
        <is>
          <t>SYY US Equity</t>
        </is>
      </c>
      <c r="B437">
        <f>IFERROR(BDP(A437,"NAME"),"")</f>
        <v/>
      </c>
      <c r="C437">
        <f>IFERROR(BDP(A437,"GICS_SECTOR_NAME"),"")</f>
        <v/>
      </c>
      <c r="D437" s="8">
        <f>IFERROR(BDP(A437,"PX_LAST"),"")</f>
        <v/>
      </c>
      <c r="E437" s="9">
        <f>IFERROR(BDP(A437,"CUST_TRR_RETURN_HOLDING_PER","CUST_TRR_START_DT",Settings!$C$5,"CUST_TRR_END_DT",Settings!$C$4)/100,"")</f>
        <v/>
      </c>
      <c r="F437" s="9">
        <f>IFERROR(BDP(A437,"CUST_TRR_RETURN_HOLDING_PER","CUST_TRR_START_DT",Settings!$C$6,"CUST_TRR_END_DT",Settings!$C$4)/100,"")</f>
        <v/>
      </c>
      <c r="G437" s="9">
        <f>IFERROR(BDP(A437,"CUST_TRR_RETURN_HOLDING_PER","CUST_TRR_START_DT",Settings!$C$7,"CUST_TRR_END_DT",Settings!$C$4)/100,"")</f>
        <v/>
      </c>
      <c r="H437" s="9">
        <f>IFERROR(BDP(A437,"CUST_TRR_RETURN_HOLDING_PER","CUST_TRR_START_DT",Settings!$C$8,"CUST_TRR_END_DT",Settings!$C$4)/100,"")</f>
        <v/>
      </c>
    </row>
    <row r="438">
      <c r="A438" s="7" t="inlineStr">
        <is>
          <t>T US Equity</t>
        </is>
      </c>
      <c r="B438">
        <f>IFERROR(BDP(A438,"NAME"),"")</f>
        <v/>
      </c>
      <c r="C438">
        <f>IFERROR(BDP(A438,"GICS_SECTOR_NAME"),"")</f>
        <v/>
      </c>
      <c r="D438" s="8">
        <f>IFERROR(BDP(A438,"PX_LAST"),"")</f>
        <v/>
      </c>
      <c r="E438" s="9">
        <f>IFERROR(BDP(A438,"CUST_TRR_RETURN_HOLDING_PER","CUST_TRR_START_DT",Settings!$C$5,"CUST_TRR_END_DT",Settings!$C$4)/100,"")</f>
        <v/>
      </c>
      <c r="F438" s="9">
        <f>IFERROR(BDP(A438,"CUST_TRR_RETURN_HOLDING_PER","CUST_TRR_START_DT",Settings!$C$6,"CUST_TRR_END_DT",Settings!$C$4)/100,"")</f>
        <v/>
      </c>
      <c r="G438" s="9">
        <f>IFERROR(BDP(A438,"CUST_TRR_RETURN_HOLDING_PER","CUST_TRR_START_DT",Settings!$C$7,"CUST_TRR_END_DT",Settings!$C$4)/100,"")</f>
        <v/>
      </c>
      <c r="H438" s="9">
        <f>IFERROR(BDP(A438,"CUST_TRR_RETURN_HOLDING_PER","CUST_TRR_START_DT",Settings!$C$8,"CUST_TRR_END_DT",Settings!$C$4)/100,"")</f>
        <v/>
      </c>
    </row>
    <row r="439">
      <c r="A439" s="7" t="inlineStr">
        <is>
          <t>TAP US Equity</t>
        </is>
      </c>
      <c r="B439">
        <f>IFERROR(BDP(A439,"NAME"),"")</f>
        <v/>
      </c>
      <c r="C439">
        <f>IFERROR(BDP(A439,"GICS_SECTOR_NAME"),"")</f>
        <v/>
      </c>
      <c r="D439" s="8">
        <f>IFERROR(BDP(A439,"PX_LAST"),"")</f>
        <v/>
      </c>
      <c r="E439" s="9">
        <f>IFERROR(BDP(A439,"CUST_TRR_RETURN_HOLDING_PER","CUST_TRR_START_DT",Settings!$C$5,"CUST_TRR_END_DT",Settings!$C$4)/100,"")</f>
        <v/>
      </c>
      <c r="F439" s="9">
        <f>IFERROR(BDP(A439,"CUST_TRR_RETURN_HOLDING_PER","CUST_TRR_START_DT",Settings!$C$6,"CUST_TRR_END_DT",Settings!$C$4)/100,"")</f>
        <v/>
      </c>
      <c r="G439" s="9">
        <f>IFERROR(BDP(A439,"CUST_TRR_RETURN_HOLDING_PER","CUST_TRR_START_DT",Settings!$C$7,"CUST_TRR_END_DT",Settings!$C$4)/100,"")</f>
        <v/>
      </c>
      <c r="H439" s="9">
        <f>IFERROR(BDP(A439,"CUST_TRR_RETURN_HOLDING_PER","CUST_TRR_START_DT",Settings!$C$8,"CUST_TRR_END_DT",Settings!$C$4)/100,"")</f>
        <v/>
      </c>
    </row>
    <row r="440">
      <c r="A440" s="7" t="inlineStr">
        <is>
          <t>TDG US Equity</t>
        </is>
      </c>
      <c r="B440">
        <f>IFERROR(BDP(A440,"NAME"),"")</f>
        <v/>
      </c>
      <c r="C440">
        <f>IFERROR(BDP(A440,"GICS_SECTOR_NAME"),"")</f>
        <v/>
      </c>
      <c r="D440" s="8">
        <f>IFERROR(BDP(A440,"PX_LAST"),"")</f>
        <v/>
      </c>
      <c r="E440" s="9">
        <f>IFERROR(BDP(A440,"CUST_TRR_RETURN_HOLDING_PER","CUST_TRR_START_DT",Settings!$C$5,"CUST_TRR_END_DT",Settings!$C$4)/100,"")</f>
        <v/>
      </c>
      <c r="F440" s="9">
        <f>IFERROR(BDP(A440,"CUST_TRR_RETURN_HOLDING_PER","CUST_TRR_START_DT",Settings!$C$6,"CUST_TRR_END_DT",Settings!$C$4)/100,"")</f>
        <v/>
      </c>
      <c r="G440" s="9">
        <f>IFERROR(BDP(A440,"CUST_TRR_RETURN_HOLDING_PER","CUST_TRR_START_DT",Settings!$C$7,"CUST_TRR_END_DT",Settings!$C$4)/100,"")</f>
        <v/>
      </c>
      <c r="H440" s="9">
        <f>IFERROR(BDP(A440,"CUST_TRR_RETURN_HOLDING_PER","CUST_TRR_START_DT",Settings!$C$8,"CUST_TRR_END_DT",Settings!$C$4)/100,"")</f>
        <v/>
      </c>
    </row>
    <row r="441">
      <c r="A441" s="7" t="inlineStr">
        <is>
          <t>TDY US Equity</t>
        </is>
      </c>
      <c r="B441">
        <f>IFERROR(BDP(A441,"NAME"),"")</f>
        <v/>
      </c>
      <c r="C441">
        <f>IFERROR(BDP(A441,"GICS_SECTOR_NAME"),"")</f>
        <v/>
      </c>
      <c r="D441" s="8">
        <f>IFERROR(BDP(A441,"PX_LAST"),"")</f>
        <v/>
      </c>
      <c r="E441" s="9">
        <f>IFERROR(BDP(A441,"CUST_TRR_RETURN_HOLDING_PER","CUST_TRR_START_DT",Settings!$C$5,"CUST_TRR_END_DT",Settings!$C$4)/100,"")</f>
        <v/>
      </c>
      <c r="F441" s="9">
        <f>IFERROR(BDP(A441,"CUST_TRR_RETURN_HOLDING_PER","CUST_TRR_START_DT",Settings!$C$6,"CUST_TRR_END_DT",Settings!$C$4)/100,"")</f>
        <v/>
      </c>
      <c r="G441" s="9">
        <f>IFERROR(BDP(A441,"CUST_TRR_RETURN_HOLDING_PER","CUST_TRR_START_DT",Settings!$C$7,"CUST_TRR_END_DT",Settings!$C$4)/100,"")</f>
        <v/>
      </c>
      <c r="H441" s="9">
        <f>IFERROR(BDP(A441,"CUST_TRR_RETURN_HOLDING_PER","CUST_TRR_START_DT",Settings!$C$8,"CUST_TRR_END_DT",Settings!$C$4)/100,"")</f>
        <v/>
      </c>
    </row>
    <row r="442">
      <c r="A442" s="7" t="inlineStr">
        <is>
          <t>TECH US Equity</t>
        </is>
      </c>
      <c r="B442">
        <f>IFERROR(BDP(A442,"NAME"),"")</f>
        <v/>
      </c>
      <c r="C442">
        <f>IFERROR(BDP(A442,"GICS_SECTOR_NAME"),"")</f>
        <v/>
      </c>
      <c r="D442" s="8">
        <f>IFERROR(BDP(A442,"PX_LAST"),"")</f>
        <v/>
      </c>
      <c r="E442" s="9">
        <f>IFERROR(BDP(A442,"CUST_TRR_RETURN_HOLDING_PER","CUST_TRR_START_DT",Settings!$C$5,"CUST_TRR_END_DT",Settings!$C$4)/100,"")</f>
        <v/>
      </c>
      <c r="F442" s="9">
        <f>IFERROR(BDP(A442,"CUST_TRR_RETURN_HOLDING_PER","CUST_TRR_START_DT",Settings!$C$6,"CUST_TRR_END_DT",Settings!$C$4)/100,"")</f>
        <v/>
      </c>
      <c r="G442" s="9">
        <f>IFERROR(BDP(A442,"CUST_TRR_RETURN_HOLDING_PER","CUST_TRR_START_DT",Settings!$C$7,"CUST_TRR_END_DT",Settings!$C$4)/100,"")</f>
        <v/>
      </c>
      <c r="H442" s="9">
        <f>IFERROR(BDP(A442,"CUST_TRR_RETURN_HOLDING_PER","CUST_TRR_START_DT",Settings!$C$8,"CUST_TRR_END_DT",Settings!$C$4)/100,"")</f>
        <v/>
      </c>
    </row>
    <row r="443">
      <c r="A443" s="7" t="inlineStr">
        <is>
          <t>TEL US Equity</t>
        </is>
      </c>
      <c r="B443">
        <f>IFERROR(BDP(A443,"NAME"),"")</f>
        <v/>
      </c>
      <c r="C443">
        <f>IFERROR(BDP(A443,"GICS_SECTOR_NAME"),"")</f>
        <v/>
      </c>
      <c r="D443" s="8">
        <f>IFERROR(BDP(A443,"PX_LAST"),"")</f>
        <v/>
      </c>
      <c r="E443" s="9">
        <f>IFERROR(BDP(A443,"CUST_TRR_RETURN_HOLDING_PER","CUST_TRR_START_DT",Settings!$C$5,"CUST_TRR_END_DT",Settings!$C$4)/100,"")</f>
        <v/>
      </c>
      <c r="F443" s="9">
        <f>IFERROR(BDP(A443,"CUST_TRR_RETURN_HOLDING_PER","CUST_TRR_START_DT",Settings!$C$6,"CUST_TRR_END_DT",Settings!$C$4)/100,"")</f>
        <v/>
      </c>
      <c r="G443" s="9">
        <f>IFERROR(BDP(A443,"CUST_TRR_RETURN_HOLDING_PER","CUST_TRR_START_DT",Settings!$C$7,"CUST_TRR_END_DT",Settings!$C$4)/100,"")</f>
        <v/>
      </c>
      <c r="H443" s="9">
        <f>IFERROR(BDP(A443,"CUST_TRR_RETURN_HOLDING_PER","CUST_TRR_START_DT",Settings!$C$8,"CUST_TRR_END_DT",Settings!$C$4)/100,"")</f>
        <v/>
      </c>
    </row>
    <row r="444">
      <c r="A444" s="7" t="inlineStr">
        <is>
          <t>TER US Equity</t>
        </is>
      </c>
      <c r="B444">
        <f>IFERROR(BDP(A444,"NAME"),"")</f>
        <v/>
      </c>
      <c r="C444">
        <f>IFERROR(BDP(A444,"GICS_SECTOR_NAME"),"")</f>
        <v/>
      </c>
      <c r="D444" s="8">
        <f>IFERROR(BDP(A444,"PX_LAST"),"")</f>
        <v/>
      </c>
      <c r="E444" s="9">
        <f>IFERROR(BDP(A444,"CUST_TRR_RETURN_HOLDING_PER","CUST_TRR_START_DT",Settings!$C$5,"CUST_TRR_END_DT",Settings!$C$4)/100,"")</f>
        <v/>
      </c>
      <c r="F444" s="9">
        <f>IFERROR(BDP(A444,"CUST_TRR_RETURN_HOLDING_PER","CUST_TRR_START_DT",Settings!$C$6,"CUST_TRR_END_DT",Settings!$C$4)/100,"")</f>
        <v/>
      </c>
      <c r="G444" s="9">
        <f>IFERROR(BDP(A444,"CUST_TRR_RETURN_HOLDING_PER","CUST_TRR_START_DT",Settings!$C$7,"CUST_TRR_END_DT",Settings!$C$4)/100,"")</f>
        <v/>
      </c>
      <c r="H444" s="9">
        <f>IFERROR(BDP(A444,"CUST_TRR_RETURN_HOLDING_PER","CUST_TRR_START_DT",Settings!$C$8,"CUST_TRR_END_DT",Settings!$C$4)/100,"")</f>
        <v/>
      </c>
    </row>
    <row r="445">
      <c r="A445" s="7" t="inlineStr">
        <is>
          <t>TFC US Equity</t>
        </is>
      </c>
      <c r="B445">
        <f>IFERROR(BDP(A445,"NAME"),"")</f>
        <v/>
      </c>
      <c r="C445">
        <f>IFERROR(BDP(A445,"GICS_SECTOR_NAME"),"")</f>
        <v/>
      </c>
      <c r="D445" s="8">
        <f>IFERROR(BDP(A445,"PX_LAST"),"")</f>
        <v/>
      </c>
      <c r="E445" s="9">
        <f>IFERROR(BDP(A445,"CUST_TRR_RETURN_HOLDING_PER","CUST_TRR_START_DT",Settings!$C$5,"CUST_TRR_END_DT",Settings!$C$4)/100,"")</f>
        <v/>
      </c>
      <c r="F445" s="9">
        <f>IFERROR(BDP(A445,"CUST_TRR_RETURN_HOLDING_PER","CUST_TRR_START_DT",Settings!$C$6,"CUST_TRR_END_DT",Settings!$C$4)/100,"")</f>
        <v/>
      </c>
      <c r="G445" s="9">
        <f>IFERROR(BDP(A445,"CUST_TRR_RETURN_HOLDING_PER","CUST_TRR_START_DT",Settings!$C$7,"CUST_TRR_END_DT",Settings!$C$4)/100,"")</f>
        <v/>
      </c>
      <c r="H445" s="9">
        <f>IFERROR(BDP(A445,"CUST_TRR_RETURN_HOLDING_PER","CUST_TRR_START_DT",Settings!$C$8,"CUST_TRR_END_DT",Settings!$C$4)/100,"")</f>
        <v/>
      </c>
    </row>
    <row r="446">
      <c r="A446" s="7" t="inlineStr">
        <is>
          <t>TFX US Equity</t>
        </is>
      </c>
      <c r="B446">
        <f>IFERROR(BDP(A446,"NAME"),"")</f>
        <v/>
      </c>
      <c r="C446">
        <f>IFERROR(BDP(A446,"GICS_SECTOR_NAME"),"")</f>
        <v/>
      </c>
      <c r="D446" s="8">
        <f>IFERROR(BDP(A446,"PX_LAST"),"")</f>
        <v/>
      </c>
      <c r="E446" s="9">
        <f>IFERROR(BDP(A446,"CUST_TRR_RETURN_HOLDING_PER","CUST_TRR_START_DT",Settings!$C$5,"CUST_TRR_END_DT",Settings!$C$4)/100,"")</f>
        <v/>
      </c>
      <c r="F446" s="9">
        <f>IFERROR(BDP(A446,"CUST_TRR_RETURN_HOLDING_PER","CUST_TRR_START_DT",Settings!$C$6,"CUST_TRR_END_DT",Settings!$C$4)/100,"")</f>
        <v/>
      </c>
      <c r="G446" s="9">
        <f>IFERROR(BDP(A446,"CUST_TRR_RETURN_HOLDING_PER","CUST_TRR_START_DT",Settings!$C$7,"CUST_TRR_END_DT",Settings!$C$4)/100,"")</f>
        <v/>
      </c>
      <c r="H446" s="9">
        <f>IFERROR(BDP(A446,"CUST_TRR_RETURN_HOLDING_PER","CUST_TRR_START_DT",Settings!$C$8,"CUST_TRR_END_DT",Settings!$C$4)/100,"")</f>
        <v/>
      </c>
    </row>
    <row r="447">
      <c r="A447" s="7" t="inlineStr">
        <is>
          <t>TGT US Equity</t>
        </is>
      </c>
      <c r="B447">
        <f>IFERROR(BDP(A447,"NAME"),"")</f>
        <v/>
      </c>
      <c r="C447">
        <f>IFERROR(BDP(A447,"GICS_SECTOR_NAME"),"")</f>
        <v/>
      </c>
      <c r="D447" s="8">
        <f>IFERROR(BDP(A447,"PX_LAST"),"")</f>
        <v/>
      </c>
      <c r="E447" s="9">
        <f>IFERROR(BDP(A447,"CUST_TRR_RETURN_HOLDING_PER","CUST_TRR_START_DT",Settings!$C$5,"CUST_TRR_END_DT",Settings!$C$4)/100,"")</f>
        <v/>
      </c>
      <c r="F447" s="9">
        <f>IFERROR(BDP(A447,"CUST_TRR_RETURN_HOLDING_PER","CUST_TRR_START_DT",Settings!$C$6,"CUST_TRR_END_DT",Settings!$C$4)/100,"")</f>
        <v/>
      </c>
      <c r="G447" s="9">
        <f>IFERROR(BDP(A447,"CUST_TRR_RETURN_HOLDING_PER","CUST_TRR_START_DT",Settings!$C$7,"CUST_TRR_END_DT",Settings!$C$4)/100,"")</f>
        <v/>
      </c>
      <c r="H447" s="9">
        <f>IFERROR(BDP(A447,"CUST_TRR_RETURN_HOLDING_PER","CUST_TRR_START_DT",Settings!$C$8,"CUST_TRR_END_DT",Settings!$C$4)/100,"")</f>
        <v/>
      </c>
    </row>
    <row r="448">
      <c r="A448" s="7" t="inlineStr">
        <is>
          <t>TJX US Equity</t>
        </is>
      </c>
      <c r="B448">
        <f>IFERROR(BDP(A448,"NAME"),"")</f>
        <v/>
      </c>
      <c r="C448">
        <f>IFERROR(BDP(A448,"GICS_SECTOR_NAME"),"")</f>
        <v/>
      </c>
      <c r="D448" s="8">
        <f>IFERROR(BDP(A448,"PX_LAST"),"")</f>
        <v/>
      </c>
      <c r="E448" s="9">
        <f>IFERROR(BDP(A448,"CUST_TRR_RETURN_HOLDING_PER","CUST_TRR_START_DT",Settings!$C$5,"CUST_TRR_END_DT",Settings!$C$4)/100,"")</f>
        <v/>
      </c>
      <c r="F448" s="9">
        <f>IFERROR(BDP(A448,"CUST_TRR_RETURN_HOLDING_PER","CUST_TRR_START_DT",Settings!$C$6,"CUST_TRR_END_DT",Settings!$C$4)/100,"")</f>
        <v/>
      </c>
      <c r="G448" s="9">
        <f>IFERROR(BDP(A448,"CUST_TRR_RETURN_HOLDING_PER","CUST_TRR_START_DT",Settings!$C$7,"CUST_TRR_END_DT",Settings!$C$4)/100,"")</f>
        <v/>
      </c>
      <c r="H448" s="9">
        <f>IFERROR(BDP(A448,"CUST_TRR_RETURN_HOLDING_PER","CUST_TRR_START_DT",Settings!$C$8,"CUST_TRR_END_DT",Settings!$C$4)/100,"")</f>
        <v/>
      </c>
    </row>
    <row r="449">
      <c r="A449" s="7" t="inlineStr">
        <is>
          <t>TKO US Equity</t>
        </is>
      </c>
      <c r="B449">
        <f>IFERROR(BDP(A449,"NAME"),"")</f>
        <v/>
      </c>
      <c r="C449">
        <f>IFERROR(BDP(A449,"GICS_SECTOR_NAME"),"")</f>
        <v/>
      </c>
      <c r="D449" s="8">
        <f>IFERROR(BDP(A449,"PX_LAST"),"")</f>
        <v/>
      </c>
      <c r="E449" s="9">
        <f>IFERROR(BDP(A449,"CUST_TRR_RETURN_HOLDING_PER","CUST_TRR_START_DT",Settings!$C$5,"CUST_TRR_END_DT",Settings!$C$4)/100,"")</f>
        <v/>
      </c>
      <c r="F449" s="9">
        <f>IFERROR(BDP(A449,"CUST_TRR_RETURN_HOLDING_PER","CUST_TRR_START_DT",Settings!$C$6,"CUST_TRR_END_DT",Settings!$C$4)/100,"")</f>
        <v/>
      </c>
      <c r="G449" s="9">
        <f>IFERROR(BDP(A449,"CUST_TRR_RETURN_HOLDING_PER","CUST_TRR_START_DT",Settings!$C$7,"CUST_TRR_END_DT",Settings!$C$4)/100,"")</f>
        <v/>
      </c>
      <c r="H449" s="9">
        <f>IFERROR(BDP(A449,"CUST_TRR_RETURN_HOLDING_PER","CUST_TRR_START_DT",Settings!$C$8,"CUST_TRR_END_DT",Settings!$C$4)/100,"")</f>
        <v/>
      </c>
    </row>
    <row r="450">
      <c r="A450" s="7" t="inlineStr">
        <is>
          <t>TMO US Equity</t>
        </is>
      </c>
      <c r="B450">
        <f>IFERROR(BDP(A450,"NAME"),"")</f>
        <v/>
      </c>
      <c r="C450">
        <f>IFERROR(BDP(A450,"GICS_SECTOR_NAME"),"")</f>
        <v/>
      </c>
      <c r="D450" s="8">
        <f>IFERROR(BDP(A450,"PX_LAST"),"")</f>
        <v/>
      </c>
      <c r="E450" s="9">
        <f>IFERROR(BDP(A450,"CUST_TRR_RETURN_HOLDING_PER","CUST_TRR_START_DT",Settings!$C$5,"CUST_TRR_END_DT",Settings!$C$4)/100,"")</f>
        <v/>
      </c>
      <c r="F450" s="9">
        <f>IFERROR(BDP(A450,"CUST_TRR_RETURN_HOLDING_PER","CUST_TRR_START_DT",Settings!$C$6,"CUST_TRR_END_DT",Settings!$C$4)/100,"")</f>
        <v/>
      </c>
      <c r="G450" s="9">
        <f>IFERROR(BDP(A450,"CUST_TRR_RETURN_HOLDING_PER","CUST_TRR_START_DT",Settings!$C$7,"CUST_TRR_END_DT",Settings!$C$4)/100,"")</f>
        <v/>
      </c>
      <c r="H450" s="9">
        <f>IFERROR(BDP(A450,"CUST_TRR_RETURN_HOLDING_PER","CUST_TRR_START_DT",Settings!$C$8,"CUST_TRR_END_DT",Settings!$C$4)/100,"")</f>
        <v/>
      </c>
    </row>
    <row r="451">
      <c r="A451" s="7" t="inlineStr">
        <is>
          <t>TMUS US Equity</t>
        </is>
      </c>
      <c r="B451">
        <f>IFERROR(BDP(A451,"NAME"),"")</f>
        <v/>
      </c>
      <c r="C451">
        <f>IFERROR(BDP(A451,"GICS_SECTOR_NAME"),"")</f>
        <v/>
      </c>
      <c r="D451" s="8">
        <f>IFERROR(BDP(A451,"PX_LAST"),"")</f>
        <v/>
      </c>
      <c r="E451" s="9">
        <f>IFERROR(BDP(A451,"CUST_TRR_RETURN_HOLDING_PER","CUST_TRR_START_DT",Settings!$C$5,"CUST_TRR_END_DT",Settings!$C$4)/100,"")</f>
        <v/>
      </c>
      <c r="F451" s="9">
        <f>IFERROR(BDP(A451,"CUST_TRR_RETURN_HOLDING_PER","CUST_TRR_START_DT",Settings!$C$6,"CUST_TRR_END_DT",Settings!$C$4)/100,"")</f>
        <v/>
      </c>
      <c r="G451" s="9">
        <f>IFERROR(BDP(A451,"CUST_TRR_RETURN_HOLDING_PER","CUST_TRR_START_DT",Settings!$C$7,"CUST_TRR_END_DT",Settings!$C$4)/100,"")</f>
        <v/>
      </c>
      <c r="H451" s="9">
        <f>IFERROR(BDP(A451,"CUST_TRR_RETURN_HOLDING_PER","CUST_TRR_START_DT",Settings!$C$8,"CUST_TRR_END_DT",Settings!$C$4)/100,"")</f>
        <v/>
      </c>
    </row>
    <row r="452">
      <c r="A452" s="7" t="inlineStr">
        <is>
          <t>TPL US Equity</t>
        </is>
      </c>
      <c r="B452">
        <f>IFERROR(BDP(A452,"NAME"),"")</f>
        <v/>
      </c>
      <c r="C452">
        <f>IFERROR(BDP(A452,"GICS_SECTOR_NAME"),"")</f>
        <v/>
      </c>
      <c r="D452" s="8">
        <f>IFERROR(BDP(A452,"PX_LAST"),"")</f>
        <v/>
      </c>
      <c r="E452" s="9">
        <f>IFERROR(BDP(A452,"CUST_TRR_RETURN_HOLDING_PER","CUST_TRR_START_DT",Settings!$C$5,"CUST_TRR_END_DT",Settings!$C$4)/100,"")</f>
        <v/>
      </c>
      <c r="F452" s="9">
        <f>IFERROR(BDP(A452,"CUST_TRR_RETURN_HOLDING_PER","CUST_TRR_START_DT",Settings!$C$6,"CUST_TRR_END_DT",Settings!$C$4)/100,"")</f>
        <v/>
      </c>
      <c r="G452" s="9">
        <f>IFERROR(BDP(A452,"CUST_TRR_RETURN_HOLDING_PER","CUST_TRR_START_DT",Settings!$C$7,"CUST_TRR_END_DT",Settings!$C$4)/100,"")</f>
        <v/>
      </c>
      <c r="H452" s="9">
        <f>IFERROR(BDP(A452,"CUST_TRR_RETURN_HOLDING_PER","CUST_TRR_START_DT",Settings!$C$8,"CUST_TRR_END_DT",Settings!$C$4)/100,"")</f>
        <v/>
      </c>
    </row>
    <row r="453">
      <c r="A453" s="7" t="inlineStr">
        <is>
          <t>TPR US Equity</t>
        </is>
      </c>
      <c r="B453">
        <f>IFERROR(BDP(A453,"NAME"),"")</f>
        <v/>
      </c>
      <c r="C453">
        <f>IFERROR(BDP(A453,"GICS_SECTOR_NAME"),"")</f>
        <v/>
      </c>
      <c r="D453" s="8">
        <f>IFERROR(BDP(A453,"PX_LAST"),"")</f>
        <v/>
      </c>
      <c r="E453" s="9">
        <f>IFERROR(BDP(A453,"CUST_TRR_RETURN_HOLDING_PER","CUST_TRR_START_DT",Settings!$C$5,"CUST_TRR_END_DT",Settings!$C$4)/100,"")</f>
        <v/>
      </c>
      <c r="F453" s="9">
        <f>IFERROR(BDP(A453,"CUST_TRR_RETURN_HOLDING_PER","CUST_TRR_START_DT",Settings!$C$6,"CUST_TRR_END_DT",Settings!$C$4)/100,"")</f>
        <v/>
      </c>
      <c r="G453" s="9">
        <f>IFERROR(BDP(A453,"CUST_TRR_RETURN_HOLDING_PER","CUST_TRR_START_DT",Settings!$C$7,"CUST_TRR_END_DT",Settings!$C$4)/100,"")</f>
        <v/>
      </c>
      <c r="H453" s="9">
        <f>IFERROR(BDP(A453,"CUST_TRR_RETURN_HOLDING_PER","CUST_TRR_START_DT",Settings!$C$8,"CUST_TRR_END_DT",Settings!$C$4)/100,"")</f>
        <v/>
      </c>
    </row>
    <row r="454">
      <c r="A454" s="7" t="inlineStr">
        <is>
          <t>TRGP US Equity</t>
        </is>
      </c>
      <c r="B454">
        <f>IFERROR(BDP(A454,"NAME"),"")</f>
        <v/>
      </c>
      <c r="C454">
        <f>IFERROR(BDP(A454,"GICS_SECTOR_NAME"),"")</f>
        <v/>
      </c>
      <c r="D454" s="8">
        <f>IFERROR(BDP(A454,"PX_LAST"),"")</f>
        <v/>
      </c>
      <c r="E454" s="9">
        <f>IFERROR(BDP(A454,"CUST_TRR_RETURN_HOLDING_PER","CUST_TRR_START_DT",Settings!$C$5,"CUST_TRR_END_DT",Settings!$C$4)/100,"")</f>
        <v/>
      </c>
      <c r="F454" s="9">
        <f>IFERROR(BDP(A454,"CUST_TRR_RETURN_HOLDING_PER","CUST_TRR_START_DT",Settings!$C$6,"CUST_TRR_END_DT",Settings!$C$4)/100,"")</f>
        <v/>
      </c>
      <c r="G454" s="9">
        <f>IFERROR(BDP(A454,"CUST_TRR_RETURN_HOLDING_PER","CUST_TRR_START_DT",Settings!$C$7,"CUST_TRR_END_DT",Settings!$C$4)/100,"")</f>
        <v/>
      </c>
      <c r="H454" s="9">
        <f>IFERROR(BDP(A454,"CUST_TRR_RETURN_HOLDING_PER","CUST_TRR_START_DT",Settings!$C$8,"CUST_TRR_END_DT",Settings!$C$4)/100,"")</f>
        <v/>
      </c>
    </row>
    <row r="455">
      <c r="A455" s="7" t="inlineStr">
        <is>
          <t>TRMB US Equity</t>
        </is>
      </c>
      <c r="B455">
        <f>IFERROR(BDP(A455,"NAME"),"")</f>
        <v/>
      </c>
      <c r="C455">
        <f>IFERROR(BDP(A455,"GICS_SECTOR_NAME"),"")</f>
        <v/>
      </c>
      <c r="D455" s="8">
        <f>IFERROR(BDP(A455,"PX_LAST"),"")</f>
        <v/>
      </c>
      <c r="E455" s="9">
        <f>IFERROR(BDP(A455,"CUST_TRR_RETURN_HOLDING_PER","CUST_TRR_START_DT",Settings!$C$5,"CUST_TRR_END_DT",Settings!$C$4)/100,"")</f>
        <v/>
      </c>
      <c r="F455" s="9">
        <f>IFERROR(BDP(A455,"CUST_TRR_RETURN_HOLDING_PER","CUST_TRR_START_DT",Settings!$C$6,"CUST_TRR_END_DT",Settings!$C$4)/100,"")</f>
        <v/>
      </c>
      <c r="G455" s="9">
        <f>IFERROR(BDP(A455,"CUST_TRR_RETURN_HOLDING_PER","CUST_TRR_START_DT",Settings!$C$7,"CUST_TRR_END_DT",Settings!$C$4)/100,"")</f>
        <v/>
      </c>
      <c r="H455" s="9">
        <f>IFERROR(BDP(A455,"CUST_TRR_RETURN_HOLDING_PER","CUST_TRR_START_DT",Settings!$C$8,"CUST_TRR_END_DT",Settings!$C$4)/100,"")</f>
        <v/>
      </c>
    </row>
    <row r="456">
      <c r="A456" s="7" t="inlineStr">
        <is>
          <t>TROW US Equity</t>
        </is>
      </c>
      <c r="B456">
        <f>IFERROR(BDP(A456,"NAME"),"")</f>
        <v/>
      </c>
      <c r="C456">
        <f>IFERROR(BDP(A456,"GICS_SECTOR_NAME"),"")</f>
        <v/>
      </c>
      <c r="D456" s="8">
        <f>IFERROR(BDP(A456,"PX_LAST"),"")</f>
        <v/>
      </c>
      <c r="E456" s="9">
        <f>IFERROR(BDP(A456,"CUST_TRR_RETURN_HOLDING_PER","CUST_TRR_START_DT",Settings!$C$5,"CUST_TRR_END_DT",Settings!$C$4)/100,"")</f>
        <v/>
      </c>
      <c r="F456" s="9">
        <f>IFERROR(BDP(A456,"CUST_TRR_RETURN_HOLDING_PER","CUST_TRR_START_DT",Settings!$C$6,"CUST_TRR_END_DT",Settings!$C$4)/100,"")</f>
        <v/>
      </c>
      <c r="G456" s="9">
        <f>IFERROR(BDP(A456,"CUST_TRR_RETURN_HOLDING_PER","CUST_TRR_START_DT",Settings!$C$7,"CUST_TRR_END_DT",Settings!$C$4)/100,"")</f>
        <v/>
      </c>
      <c r="H456" s="9">
        <f>IFERROR(BDP(A456,"CUST_TRR_RETURN_HOLDING_PER","CUST_TRR_START_DT",Settings!$C$8,"CUST_TRR_END_DT",Settings!$C$4)/100,"")</f>
        <v/>
      </c>
    </row>
    <row r="457">
      <c r="A457" s="7" t="inlineStr">
        <is>
          <t>TRV US Equity</t>
        </is>
      </c>
      <c r="B457">
        <f>IFERROR(BDP(A457,"NAME"),"")</f>
        <v/>
      </c>
      <c r="C457">
        <f>IFERROR(BDP(A457,"GICS_SECTOR_NAME"),"")</f>
        <v/>
      </c>
      <c r="D457" s="8">
        <f>IFERROR(BDP(A457,"PX_LAST"),"")</f>
        <v/>
      </c>
      <c r="E457" s="9">
        <f>IFERROR(BDP(A457,"CUST_TRR_RETURN_HOLDING_PER","CUST_TRR_START_DT",Settings!$C$5,"CUST_TRR_END_DT",Settings!$C$4)/100,"")</f>
        <v/>
      </c>
      <c r="F457" s="9">
        <f>IFERROR(BDP(A457,"CUST_TRR_RETURN_HOLDING_PER","CUST_TRR_START_DT",Settings!$C$6,"CUST_TRR_END_DT",Settings!$C$4)/100,"")</f>
        <v/>
      </c>
      <c r="G457" s="9">
        <f>IFERROR(BDP(A457,"CUST_TRR_RETURN_HOLDING_PER","CUST_TRR_START_DT",Settings!$C$7,"CUST_TRR_END_DT",Settings!$C$4)/100,"")</f>
        <v/>
      </c>
      <c r="H457" s="9">
        <f>IFERROR(BDP(A457,"CUST_TRR_RETURN_HOLDING_PER","CUST_TRR_START_DT",Settings!$C$8,"CUST_TRR_END_DT",Settings!$C$4)/100,"")</f>
        <v/>
      </c>
    </row>
    <row r="458">
      <c r="A458" s="7" t="inlineStr">
        <is>
          <t>TSCO US Equity</t>
        </is>
      </c>
      <c r="B458">
        <f>IFERROR(BDP(A458,"NAME"),"")</f>
        <v/>
      </c>
      <c r="C458">
        <f>IFERROR(BDP(A458,"GICS_SECTOR_NAME"),"")</f>
        <v/>
      </c>
      <c r="D458" s="8">
        <f>IFERROR(BDP(A458,"PX_LAST"),"")</f>
        <v/>
      </c>
      <c r="E458" s="9">
        <f>IFERROR(BDP(A458,"CUST_TRR_RETURN_HOLDING_PER","CUST_TRR_START_DT",Settings!$C$5,"CUST_TRR_END_DT",Settings!$C$4)/100,"")</f>
        <v/>
      </c>
      <c r="F458" s="9">
        <f>IFERROR(BDP(A458,"CUST_TRR_RETURN_HOLDING_PER","CUST_TRR_START_DT",Settings!$C$6,"CUST_TRR_END_DT",Settings!$C$4)/100,"")</f>
        <v/>
      </c>
      <c r="G458" s="9">
        <f>IFERROR(BDP(A458,"CUST_TRR_RETURN_HOLDING_PER","CUST_TRR_START_DT",Settings!$C$7,"CUST_TRR_END_DT",Settings!$C$4)/100,"")</f>
        <v/>
      </c>
      <c r="H458" s="9">
        <f>IFERROR(BDP(A458,"CUST_TRR_RETURN_HOLDING_PER","CUST_TRR_START_DT",Settings!$C$8,"CUST_TRR_END_DT",Settings!$C$4)/100,"")</f>
        <v/>
      </c>
    </row>
    <row r="459">
      <c r="A459" s="7" t="inlineStr">
        <is>
          <t>TSLA US Equity</t>
        </is>
      </c>
      <c r="B459">
        <f>IFERROR(BDP(A459,"NAME"),"")</f>
        <v/>
      </c>
      <c r="C459">
        <f>IFERROR(BDP(A459,"GICS_SECTOR_NAME"),"")</f>
        <v/>
      </c>
      <c r="D459" s="8">
        <f>IFERROR(BDP(A459,"PX_LAST"),"")</f>
        <v/>
      </c>
      <c r="E459" s="9">
        <f>IFERROR(BDP(A459,"CUST_TRR_RETURN_HOLDING_PER","CUST_TRR_START_DT",Settings!$C$5,"CUST_TRR_END_DT",Settings!$C$4)/100,"")</f>
        <v/>
      </c>
      <c r="F459" s="9">
        <f>IFERROR(BDP(A459,"CUST_TRR_RETURN_HOLDING_PER","CUST_TRR_START_DT",Settings!$C$6,"CUST_TRR_END_DT",Settings!$C$4)/100,"")</f>
        <v/>
      </c>
      <c r="G459" s="9">
        <f>IFERROR(BDP(A459,"CUST_TRR_RETURN_HOLDING_PER","CUST_TRR_START_DT",Settings!$C$7,"CUST_TRR_END_DT",Settings!$C$4)/100,"")</f>
        <v/>
      </c>
      <c r="H459" s="9">
        <f>IFERROR(BDP(A459,"CUST_TRR_RETURN_HOLDING_PER","CUST_TRR_START_DT",Settings!$C$8,"CUST_TRR_END_DT",Settings!$C$4)/100,"")</f>
        <v/>
      </c>
    </row>
    <row r="460">
      <c r="A460" s="7" t="inlineStr">
        <is>
          <t>TSN US Equity</t>
        </is>
      </c>
      <c r="B460">
        <f>IFERROR(BDP(A460,"NAME"),"")</f>
        <v/>
      </c>
      <c r="C460">
        <f>IFERROR(BDP(A460,"GICS_SECTOR_NAME"),"")</f>
        <v/>
      </c>
      <c r="D460" s="8">
        <f>IFERROR(BDP(A460,"PX_LAST"),"")</f>
        <v/>
      </c>
      <c r="E460" s="9">
        <f>IFERROR(BDP(A460,"CUST_TRR_RETURN_HOLDING_PER","CUST_TRR_START_DT",Settings!$C$5,"CUST_TRR_END_DT",Settings!$C$4)/100,"")</f>
        <v/>
      </c>
      <c r="F460" s="9">
        <f>IFERROR(BDP(A460,"CUST_TRR_RETURN_HOLDING_PER","CUST_TRR_START_DT",Settings!$C$6,"CUST_TRR_END_DT",Settings!$C$4)/100,"")</f>
        <v/>
      </c>
      <c r="G460" s="9">
        <f>IFERROR(BDP(A460,"CUST_TRR_RETURN_HOLDING_PER","CUST_TRR_START_DT",Settings!$C$7,"CUST_TRR_END_DT",Settings!$C$4)/100,"")</f>
        <v/>
      </c>
      <c r="H460" s="9">
        <f>IFERROR(BDP(A460,"CUST_TRR_RETURN_HOLDING_PER","CUST_TRR_START_DT",Settings!$C$8,"CUST_TRR_END_DT",Settings!$C$4)/100,"")</f>
        <v/>
      </c>
    </row>
    <row r="461">
      <c r="A461" s="7" t="inlineStr">
        <is>
          <t>TT US Equity</t>
        </is>
      </c>
      <c r="B461">
        <f>IFERROR(BDP(A461,"NAME"),"")</f>
        <v/>
      </c>
      <c r="C461">
        <f>IFERROR(BDP(A461,"GICS_SECTOR_NAME"),"")</f>
        <v/>
      </c>
      <c r="D461" s="8">
        <f>IFERROR(BDP(A461,"PX_LAST"),"")</f>
        <v/>
      </c>
      <c r="E461" s="9">
        <f>IFERROR(BDP(A461,"CUST_TRR_RETURN_HOLDING_PER","CUST_TRR_START_DT",Settings!$C$5,"CUST_TRR_END_DT",Settings!$C$4)/100,"")</f>
        <v/>
      </c>
      <c r="F461" s="9">
        <f>IFERROR(BDP(A461,"CUST_TRR_RETURN_HOLDING_PER","CUST_TRR_START_DT",Settings!$C$6,"CUST_TRR_END_DT",Settings!$C$4)/100,"")</f>
        <v/>
      </c>
      <c r="G461" s="9">
        <f>IFERROR(BDP(A461,"CUST_TRR_RETURN_HOLDING_PER","CUST_TRR_START_DT",Settings!$C$7,"CUST_TRR_END_DT",Settings!$C$4)/100,"")</f>
        <v/>
      </c>
      <c r="H461" s="9">
        <f>IFERROR(BDP(A461,"CUST_TRR_RETURN_HOLDING_PER","CUST_TRR_START_DT",Settings!$C$8,"CUST_TRR_END_DT",Settings!$C$4)/100,"")</f>
        <v/>
      </c>
    </row>
    <row r="462">
      <c r="A462" s="7" t="inlineStr">
        <is>
          <t>TTWO US Equity</t>
        </is>
      </c>
      <c r="B462">
        <f>IFERROR(BDP(A462,"NAME"),"")</f>
        <v/>
      </c>
      <c r="C462">
        <f>IFERROR(BDP(A462,"GICS_SECTOR_NAME"),"")</f>
        <v/>
      </c>
      <c r="D462" s="8">
        <f>IFERROR(BDP(A462,"PX_LAST"),"")</f>
        <v/>
      </c>
      <c r="E462" s="9">
        <f>IFERROR(BDP(A462,"CUST_TRR_RETURN_HOLDING_PER","CUST_TRR_START_DT",Settings!$C$5,"CUST_TRR_END_DT",Settings!$C$4)/100,"")</f>
        <v/>
      </c>
      <c r="F462" s="9">
        <f>IFERROR(BDP(A462,"CUST_TRR_RETURN_HOLDING_PER","CUST_TRR_START_DT",Settings!$C$6,"CUST_TRR_END_DT",Settings!$C$4)/100,"")</f>
        <v/>
      </c>
      <c r="G462" s="9">
        <f>IFERROR(BDP(A462,"CUST_TRR_RETURN_HOLDING_PER","CUST_TRR_START_DT",Settings!$C$7,"CUST_TRR_END_DT",Settings!$C$4)/100,"")</f>
        <v/>
      </c>
      <c r="H462" s="9">
        <f>IFERROR(BDP(A462,"CUST_TRR_RETURN_HOLDING_PER","CUST_TRR_START_DT",Settings!$C$8,"CUST_TRR_END_DT",Settings!$C$4)/100,"")</f>
        <v/>
      </c>
    </row>
    <row r="463">
      <c r="A463" s="7" t="inlineStr">
        <is>
          <t>TXN US Equity</t>
        </is>
      </c>
      <c r="B463">
        <f>IFERROR(BDP(A463,"NAME"),"")</f>
        <v/>
      </c>
      <c r="C463">
        <f>IFERROR(BDP(A463,"GICS_SECTOR_NAME"),"")</f>
        <v/>
      </c>
      <c r="D463" s="8">
        <f>IFERROR(BDP(A463,"PX_LAST"),"")</f>
        <v/>
      </c>
      <c r="E463" s="9">
        <f>IFERROR(BDP(A463,"CUST_TRR_RETURN_HOLDING_PER","CUST_TRR_START_DT",Settings!$C$5,"CUST_TRR_END_DT",Settings!$C$4)/100,"")</f>
        <v/>
      </c>
      <c r="F463" s="9">
        <f>IFERROR(BDP(A463,"CUST_TRR_RETURN_HOLDING_PER","CUST_TRR_START_DT",Settings!$C$6,"CUST_TRR_END_DT",Settings!$C$4)/100,"")</f>
        <v/>
      </c>
      <c r="G463" s="9">
        <f>IFERROR(BDP(A463,"CUST_TRR_RETURN_HOLDING_PER","CUST_TRR_START_DT",Settings!$C$7,"CUST_TRR_END_DT",Settings!$C$4)/100,"")</f>
        <v/>
      </c>
      <c r="H463" s="9">
        <f>IFERROR(BDP(A463,"CUST_TRR_RETURN_HOLDING_PER","CUST_TRR_START_DT",Settings!$C$8,"CUST_TRR_END_DT",Settings!$C$4)/100,"")</f>
        <v/>
      </c>
    </row>
    <row r="464">
      <c r="A464" s="7" t="inlineStr">
        <is>
          <t>TXT US Equity</t>
        </is>
      </c>
      <c r="B464">
        <f>IFERROR(BDP(A464,"NAME"),"")</f>
        <v/>
      </c>
      <c r="C464">
        <f>IFERROR(BDP(A464,"GICS_SECTOR_NAME"),"")</f>
        <v/>
      </c>
      <c r="D464" s="8">
        <f>IFERROR(BDP(A464,"PX_LAST"),"")</f>
        <v/>
      </c>
      <c r="E464" s="9">
        <f>IFERROR(BDP(A464,"CUST_TRR_RETURN_HOLDING_PER","CUST_TRR_START_DT",Settings!$C$5,"CUST_TRR_END_DT",Settings!$C$4)/100,"")</f>
        <v/>
      </c>
      <c r="F464" s="9">
        <f>IFERROR(BDP(A464,"CUST_TRR_RETURN_HOLDING_PER","CUST_TRR_START_DT",Settings!$C$6,"CUST_TRR_END_DT",Settings!$C$4)/100,"")</f>
        <v/>
      </c>
      <c r="G464" s="9">
        <f>IFERROR(BDP(A464,"CUST_TRR_RETURN_HOLDING_PER","CUST_TRR_START_DT",Settings!$C$7,"CUST_TRR_END_DT",Settings!$C$4)/100,"")</f>
        <v/>
      </c>
      <c r="H464" s="9">
        <f>IFERROR(BDP(A464,"CUST_TRR_RETURN_HOLDING_PER","CUST_TRR_START_DT",Settings!$C$8,"CUST_TRR_END_DT",Settings!$C$4)/100,"")</f>
        <v/>
      </c>
    </row>
    <row r="465">
      <c r="A465" s="7" t="inlineStr">
        <is>
          <t>TYL US Equity</t>
        </is>
      </c>
      <c r="B465">
        <f>IFERROR(BDP(A465,"NAME"),"")</f>
        <v/>
      </c>
      <c r="C465">
        <f>IFERROR(BDP(A465,"GICS_SECTOR_NAME"),"")</f>
        <v/>
      </c>
      <c r="D465" s="8">
        <f>IFERROR(BDP(A465,"PX_LAST"),"")</f>
        <v/>
      </c>
      <c r="E465" s="9">
        <f>IFERROR(BDP(A465,"CUST_TRR_RETURN_HOLDING_PER","CUST_TRR_START_DT",Settings!$C$5,"CUST_TRR_END_DT",Settings!$C$4)/100,"")</f>
        <v/>
      </c>
      <c r="F465" s="9">
        <f>IFERROR(BDP(A465,"CUST_TRR_RETURN_HOLDING_PER","CUST_TRR_START_DT",Settings!$C$6,"CUST_TRR_END_DT",Settings!$C$4)/100,"")</f>
        <v/>
      </c>
      <c r="G465" s="9">
        <f>IFERROR(BDP(A465,"CUST_TRR_RETURN_HOLDING_PER","CUST_TRR_START_DT",Settings!$C$7,"CUST_TRR_END_DT",Settings!$C$4)/100,"")</f>
        <v/>
      </c>
      <c r="H465" s="9">
        <f>IFERROR(BDP(A465,"CUST_TRR_RETURN_HOLDING_PER","CUST_TRR_START_DT",Settings!$C$8,"CUST_TRR_END_DT",Settings!$C$4)/100,"")</f>
        <v/>
      </c>
    </row>
    <row r="466">
      <c r="A466" s="7" t="inlineStr">
        <is>
          <t>UAL US Equity</t>
        </is>
      </c>
      <c r="B466">
        <f>IFERROR(BDP(A466,"NAME"),"")</f>
        <v/>
      </c>
      <c r="C466">
        <f>IFERROR(BDP(A466,"GICS_SECTOR_NAME"),"")</f>
        <v/>
      </c>
      <c r="D466" s="8">
        <f>IFERROR(BDP(A466,"PX_LAST"),"")</f>
        <v/>
      </c>
      <c r="E466" s="9">
        <f>IFERROR(BDP(A466,"CUST_TRR_RETURN_HOLDING_PER","CUST_TRR_START_DT",Settings!$C$5,"CUST_TRR_END_DT",Settings!$C$4)/100,"")</f>
        <v/>
      </c>
      <c r="F466" s="9">
        <f>IFERROR(BDP(A466,"CUST_TRR_RETURN_HOLDING_PER","CUST_TRR_START_DT",Settings!$C$6,"CUST_TRR_END_DT",Settings!$C$4)/100,"")</f>
        <v/>
      </c>
      <c r="G466" s="9">
        <f>IFERROR(BDP(A466,"CUST_TRR_RETURN_HOLDING_PER","CUST_TRR_START_DT",Settings!$C$7,"CUST_TRR_END_DT",Settings!$C$4)/100,"")</f>
        <v/>
      </c>
      <c r="H466" s="9">
        <f>IFERROR(BDP(A466,"CUST_TRR_RETURN_HOLDING_PER","CUST_TRR_START_DT",Settings!$C$8,"CUST_TRR_END_DT",Settings!$C$4)/100,"")</f>
        <v/>
      </c>
    </row>
    <row r="467">
      <c r="A467" s="7" t="inlineStr">
        <is>
          <t>UBER US Equity</t>
        </is>
      </c>
      <c r="B467">
        <f>IFERROR(BDP(A467,"NAME"),"")</f>
        <v/>
      </c>
      <c r="C467">
        <f>IFERROR(BDP(A467,"GICS_SECTOR_NAME"),"")</f>
        <v/>
      </c>
      <c r="D467" s="8">
        <f>IFERROR(BDP(A467,"PX_LAST"),"")</f>
        <v/>
      </c>
      <c r="E467" s="9">
        <f>IFERROR(BDP(A467,"CUST_TRR_RETURN_HOLDING_PER","CUST_TRR_START_DT",Settings!$C$5,"CUST_TRR_END_DT",Settings!$C$4)/100,"")</f>
        <v/>
      </c>
      <c r="F467" s="9">
        <f>IFERROR(BDP(A467,"CUST_TRR_RETURN_HOLDING_PER","CUST_TRR_START_DT",Settings!$C$6,"CUST_TRR_END_DT",Settings!$C$4)/100,"")</f>
        <v/>
      </c>
      <c r="G467" s="9">
        <f>IFERROR(BDP(A467,"CUST_TRR_RETURN_HOLDING_PER","CUST_TRR_START_DT",Settings!$C$7,"CUST_TRR_END_DT",Settings!$C$4)/100,"")</f>
        <v/>
      </c>
      <c r="H467" s="9">
        <f>IFERROR(BDP(A467,"CUST_TRR_RETURN_HOLDING_PER","CUST_TRR_START_DT",Settings!$C$8,"CUST_TRR_END_DT",Settings!$C$4)/100,"")</f>
        <v/>
      </c>
    </row>
    <row r="468">
      <c r="A468" s="7" t="inlineStr">
        <is>
          <t>UDR US Equity</t>
        </is>
      </c>
      <c r="B468">
        <f>IFERROR(BDP(A468,"NAME"),"")</f>
        <v/>
      </c>
      <c r="C468">
        <f>IFERROR(BDP(A468,"GICS_SECTOR_NAME"),"")</f>
        <v/>
      </c>
      <c r="D468" s="8">
        <f>IFERROR(BDP(A468,"PX_LAST"),"")</f>
        <v/>
      </c>
      <c r="E468" s="9">
        <f>IFERROR(BDP(A468,"CUST_TRR_RETURN_HOLDING_PER","CUST_TRR_START_DT",Settings!$C$5,"CUST_TRR_END_DT",Settings!$C$4)/100,"")</f>
        <v/>
      </c>
      <c r="F468" s="9">
        <f>IFERROR(BDP(A468,"CUST_TRR_RETURN_HOLDING_PER","CUST_TRR_START_DT",Settings!$C$6,"CUST_TRR_END_DT",Settings!$C$4)/100,"")</f>
        <v/>
      </c>
      <c r="G468" s="9">
        <f>IFERROR(BDP(A468,"CUST_TRR_RETURN_HOLDING_PER","CUST_TRR_START_DT",Settings!$C$7,"CUST_TRR_END_DT",Settings!$C$4)/100,"")</f>
        <v/>
      </c>
      <c r="H468" s="9">
        <f>IFERROR(BDP(A468,"CUST_TRR_RETURN_HOLDING_PER","CUST_TRR_START_DT",Settings!$C$8,"CUST_TRR_END_DT",Settings!$C$4)/100,"")</f>
        <v/>
      </c>
    </row>
    <row r="469">
      <c r="A469" s="7" t="inlineStr">
        <is>
          <t>UHS US Equity</t>
        </is>
      </c>
      <c r="B469">
        <f>IFERROR(BDP(A469,"NAME"),"")</f>
        <v/>
      </c>
      <c r="C469">
        <f>IFERROR(BDP(A469,"GICS_SECTOR_NAME"),"")</f>
        <v/>
      </c>
      <c r="D469" s="8">
        <f>IFERROR(BDP(A469,"PX_LAST"),"")</f>
        <v/>
      </c>
      <c r="E469" s="9">
        <f>IFERROR(BDP(A469,"CUST_TRR_RETURN_HOLDING_PER","CUST_TRR_START_DT",Settings!$C$5,"CUST_TRR_END_DT",Settings!$C$4)/100,"")</f>
        <v/>
      </c>
      <c r="F469" s="9">
        <f>IFERROR(BDP(A469,"CUST_TRR_RETURN_HOLDING_PER","CUST_TRR_START_DT",Settings!$C$6,"CUST_TRR_END_DT",Settings!$C$4)/100,"")</f>
        <v/>
      </c>
      <c r="G469" s="9">
        <f>IFERROR(BDP(A469,"CUST_TRR_RETURN_HOLDING_PER","CUST_TRR_START_DT",Settings!$C$7,"CUST_TRR_END_DT",Settings!$C$4)/100,"")</f>
        <v/>
      </c>
      <c r="H469" s="9">
        <f>IFERROR(BDP(A469,"CUST_TRR_RETURN_HOLDING_PER","CUST_TRR_START_DT",Settings!$C$8,"CUST_TRR_END_DT",Settings!$C$4)/100,"")</f>
        <v/>
      </c>
    </row>
    <row r="470">
      <c r="A470" s="7" t="inlineStr">
        <is>
          <t>ULTA US Equity</t>
        </is>
      </c>
      <c r="B470">
        <f>IFERROR(BDP(A470,"NAME"),"")</f>
        <v/>
      </c>
      <c r="C470">
        <f>IFERROR(BDP(A470,"GICS_SECTOR_NAME"),"")</f>
        <v/>
      </c>
      <c r="D470" s="8">
        <f>IFERROR(BDP(A470,"PX_LAST"),"")</f>
        <v/>
      </c>
      <c r="E470" s="9">
        <f>IFERROR(BDP(A470,"CUST_TRR_RETURN_HOLDING_PER","CUST_TRR_START_DT",Settings!$C$5,"CUST_TRR_END_DT",Settings!$C$4)/100,"")</f>
        <v/>
      </c>
      <c r="F470" s="9">
        <f>IFERROR(BDP(A470,"CUST_TRR_RETURN_HOLDING_PER","CUST_TRR_START_DT",Settings!$C$6,"CUST_TRR_END_DT",Settings!$C$4)/100,"")</f>
        <v/>
      </c>
      <c r="G470" s="9">
        <f>IFERROR(BDP(A470,"CUST_TRR_RETURN_HOLDING_PER","CUST_TRR_START_DT",Settings!$C$7,"CUST_TRR_END_DT",Settings!$C$4)/100,"")</f>
        <v/>
      </c>
      <c r="H470" s="9">
        <f>IFERROR(BDP(A470,"CUST_TRR_RETURN_HOLDING_PER","CUST_TRR_START_DT",Settings!$C$8,"CUST_TRR_END_DT",Settings!$C$4)/100,"")</f>
        <v/>
      </c>
    </row>
    <row r="471">
      <c r="A471" s="7" t="inlineStr">
        <is>
          <t>UNH US Equity</t>
        </is>
      </c>
      <c r="B471">
        <f>IFERROR(BDP(A471,"NAME"),"")</f>
        <v/>
      </c>
      <c r="C471">
        <f>IFERROR(BDP(A471,"GICS_SECTOR_NAME"),"")</f>
        <v/>
      </c>
      <c r="D471" s="8">
        <f>IFERROR(BDP(A471,"PX_LAST"),"")</f>
        <v/>
      </c>
      <c r="E471" s="9">
        <f>IFERROR(BDP(A471,"CUST_TRR_RETURN_HOLDING_PER","CUST_TRR_START_DT",Settings!$C$5,"CUST_TRR_END_DT",Settings!$C$4)/100,"")</f>
        <v/>
      </c>
      <c r="F471" s="9">
        <f>IFERROR(BDP(A471,"CUST_TRR_RETURN_HOLDING_PER","CUST_TRR_START_DT",Settings!$C$6,"CUST_TRR_END_DT",Settings!$C$4)/100,"")</f>
        <v/>
      </c>
      <c r="G471" s="9">
        <f>IFERROR(BDP(A471,"CUST_TRR_RETURN_HOLDING_PER","CUST_TRR_START_DT",Settings!$C$7,"CUST_TRR_END_DT",Settings!$C$4)/100,"")</f>
        <v/>
      </c>
      <c r="H471" s="9">
        <f>IFERROR(BDP(A471,"CUST_TRR_RETURN_HOLDING_PER","CUST_TRR_START_DT",Settings!$C$8,"CUST_TRR_END_DT",Settings!$C$4)/100,"")</f>
        <v/>
      </c>
    </row>
    <row r="472">
      <c r="A472" s="7" t="inlineStr">
        <is>
          <t>UNP US Equity</t>
        </is>
      </c>
      <c r="B472">
        <f>IFERROR(BDP(A472,"NAME"),"")</f>
        <v/>
      </c>
      <c r="C472">
        <f>IFERROR(BDP(A472,"GICS_SECTOR_NAME"),"")</f>
        <v/>
      </c>
      <c r="D472" s="8">
        <f>IFERROR(BDP(A472,"PX_LAST"),"")</f>
        <v/>
      </c>
      <c r="E472" s="9">
        <f>IFERROR(BDP(A472,"CUST_TRR_RETURN_HOLDING_PER","CUST_TRR_START_DT",Settings!$C$5,"CUST_TRR_END_DT",Settings!$C$4)/100,"")</f>
        <v/>
      </c>
      <c r="F472" s="9">
        <f>IFERROR(BDP(A472,"CUST_TRR_RETURN_HOLDING_PER","CUST_TRR_START_DT",Settings!$C$6,"CUST_TRR_END_DT",Settings!$C$4)/100,"")</f>
        <v/>
      </c>
      <c r="G472" s="9">
        <f>IFERROR(BDP(A472,"CUST_TRR_RETURN_HOLDING_PER","CUST_TRR_START_DT",Settings!$C$7,"CUST_TRR_END_DT",Settings!$C$4)/100,"")</f>
        <v/>
      </c>
      <c r="H472" s="9">
        <f>IFERROR(BDP(A472,"CUST_TRR_RETURN_HOLDING_PER","CUST_TRR_START_DT",Settings!$C$8,"CUST_TRR_END_DT",Settings!$C$4)/100,"")</f>
        <v/>
      </c>
    </row>
    <row r="473">
      <c r="A473" s="7" t="inlineStr">
        <is>
          <t>UPS US Equity</t>
        </is>
      </c>
      <c r="B473">
        <f>IFERROR(BDP(A473,"NAME"),"")</f>
        <v/>
      </c>
      <c r="C473">
        <f>IFERROR(BDP(A473,"GICS_SECTOR_NAME"),"")</f>
        <v/>
      </c>
      <c r="D473" s="8">
        <f>IFERROR(BDP(A473,"PX_LAST"),"")</f>
        <v/>
      </c>
      <c r="E473" s="9">
        <f>IFERROR(BDP(A473,"CUST_TRR_RETURN_HOLDING_PER","CUST_TRR_START_DT",Settings!$C$5,"CUST_TRR_END_DT",Settings!$C$4)/100,"")</f>
        <v/>
      </c>
      <c r="F473" s="9">
        <f>IFERROR(BDP(A473,"CUST_TRR_RETURN_HOLDING_PER","CUST_TRR_START_DT",Settings!$C$6,"CUST_TRR_END_DT",Settings!$C$4)/100,"")</f>
        <v/>
      </c>
      <c r="G473" s="9">
        <f>IFERROR(BDP(A473,"CUST_TRR_RETURN_HOLDING_PER","CUST_TRR_START_DT",Settings!$C$7,"CUST_TRR_END_DT",Settings!$C$4)/100,"")</f>
        <v/>
      </c>
      <c r="H473" s="9">
        <f>IFERROR(BDP(A473,"CUST_TRR_RETURN_HOLDING_PER","CUST_TRR_START_DT",Settings!$C$8,"CUST_TRR_END_DT",Settings!$C$4)/100,"")</f>
        <v/>
      </c>
    </row>
    <row r="474">
      <c r="A474" s="7" t="inlineStr">
        <is>
          <t>URI US Equity</t>
        </is>
      </c>
      <c r="B474">
        <f>IFERROR(BDP(A474,"NAME"),"")</f>
        <v/>
      </c>
      <c r="C474">
        <f>IFERROR(BDP(A474,"GICS_SECTOR_NAME"),"")</f>
        <v/>
      </c>
      <c r="D474" s="8">
        <f>IFERROR(BDP(A474,"PX_LAST"),"")</f>
        <v/>
      </c>
      <c r="E474" s="9">
        <f>IFERROR(BDP(A474,"CUST_TRR_RETURN_HOLDING_PER","CUST_TRR_START_DT",Settings!$C$5,"CUST_TRR_END_DT",Settings!$C$4)/100,"")</f>
        <v/>
      </c>
      <c r="F474" s="9">
        <f>IFERROR(BDP(A474,"CUST_TRR_RETURN_HOLDING_PER","CUST_TRR_START_DT",Settings!$C$6,"CUST_TRR_END_DT",Settings!$C$4)/100,"")</f>
        <v/>
      </c>
      <c r="G474" s="9">
        <f>IFERROR(BDP(A474,"CUST_TRR_RETURN_HOLDING_PER","CUST_TRR_START_DT",Settings!$C$7,"CUST_TRR_END_DT",Settings!$C$4)/100,"")</f>
        <v/>
      </c>
      <c r="H474" s="9">
        <f>IFERROR(BDP(A474,"CUST_TRR_RETURN_HOLDING_PER","CUST_TRR_START_DT",Settings!$C$8,"CUST_TRR_END_DT",Settings!$C$4)/100,"")</f>
        <v/>
      </c>
    </row>
    <row r="475">
      <c r="A475" s="7" t="inlineStr">
        <is>
          <t>USB US Equity</t>
        </is>
      </c>
      <c r="B475">
        <f>IFERROR(BDP(A475,"NAME"),"")</f>
        <v/>
      </c>
      <c r="C475">
        <f>IFERROR(BDP(A475,"GICS_SECTOR_NAME"),"")</f>
        <v/>
      </c>
      <c r="D475" s="8">
        <f>IFERROR(BDP(A475,"PX_LAST"),"")</f>
        <v/>
      </c>
      <c r="E475" s="9">
        <f>IFERROR(BDP(A475,"CUST_TRR_RETURN_HOLDING_PER","CUST_TRR_START_DT",Settings!$C$5,"CUST_TRR_END_DT",Settings!$C$4)/100,"")</f>
        <v/>
      </c>
      <c r="F475" s="9">
        <f>IFERROR(BDP(A475,"CUST_TRR_RETURN_HOLDING_PER","CUST_TRR_START_DT",Settings!$C$6,"CUST_TRR_END_DT",Settings!$C$4)/100,"")</f>
        <v/>
      </c>
      <c r="G475" s="9">
        <f>IFERROR(BDP(A475,"CUST_TRR_RETURN_HOLDING_PER","CUST_TRR_START_DT",Settings!$C$7,"CUST_TRR_END_DT",Settings!$C$4)/100,"")</f>
        <v/>
      </c>
      <c r="H475" s="9">
        <f>IFERROR(BDP(A475,"CUST_TRR_RETURN_HOLDING_PER","CUST_TRR_START_DT",Settings!$C$8,"CUST_TRR_END_DT",Settings!$C$4)/100,"")</f>
        <v/>
      </c>
    </row>
    <row r="476">
      <c r="A476" s="7" t="inlineStr">
        <is>
          <t>V US Equity</t>
        </is>
      </c>
      <c r="B476">
        <f>IFERROR(BDP(A476,"NAME"),"")</f>
        <v/>
      </c>
      <c r="C476">
        <f>IFERROR(BDP(A476,"GICS_SECTOR_NAME"),"")</f>
        <v/>
      </c>
      <c r="D476" s="8">
        <f>IFERROR(BDP(A476,"PX_LAST"),"")</f>
        <v/>
      </c>
      <c r="E476" s="9">
        <f>IFERROR(BDP(A476,"CUST_TRR_RETURN_HOLDING_PER","CUST_TRR_START_DT",Settings!$C$5,"CUST_TRR_END_DT",Settings!$C$4)/100,"")</f>
        <v/>
      </c>
      <c r="F476" s="9">
        <f>IFERROR(BDP(A476,"CUST_TRR_RETURN_HOLDING_PER","CUST_TRR_START_DT",Settings!$C$6,"CUST_TRR_END_DT",Settings!$C$4)/100,"")</f>
        <v/>
      </c>
      <c r="G476" s="9">
        <f>IFERROR(BDP(A476,"CUST_TRR_RETURN_HOLDING_PER","CUST_TRR_START_DT",Settings!$C$7,"CUST_TRR_END_DT",Settings!$C$4)/100,"")</f>
        <v/>
      </c>
      <c r="H476" s="9">
        <f>IFERROR(BDP(A476,"CUST_TRR_RETURN_HOLDING_PER","CUST_TRR_START_DT",Settings!$C$8,"CUST_TRR_END_DT",Settings!$C$4)/100,"")</f>
        <v/>
      </c>
    </row>
    <row r="477">
      <c r="A477" s="7" t="inlineStr">
        <is>
          <t>VICI US Equity</t>
        </is>
      </c>
      <c r="B477">
        <f>IFERROR(BDP(A477,"NAME"),"")</f>
        <v/>
      </c>
      <c r="C477">
        <f>IFERROR(BDP(A477,"GICS_SECTOR_NAME"),"")</f>
        <v/>
      </c>
      <c r="D477" s="8">
        <f>IFERROR(BDP(A477,"PX_LAST"),"")</f>
        <v/>
      </c>
      <c r="E477" s="9">
        <f>IFERROR(BDP(A477,"CUST_TRR_RETURN_HOLDING_PER","CUST_TRR_START_DT",Settings!$C$5,"CUST_TRR_END_DT",Settings!$C$4)/100,"")</f>
        <v/>
      </c>
      <c r="F477" s="9">
        <f>IFERROR(BDP(A477,"CUST_TRR_RETURN_HOLDING_PER","CUST_TRR_START_DT",Settings!$C$6,"CUST_TRR_END_DT",Settings!$C$4)/100,"")</f>
        <v/>
      </c>
      <c r="G477" s="9">
        <f>IFERROR(BDP(A477,"CUST_TRR_RETURN_HOLDING_PER","CUST_TRR_START_DT",Settings!$C$7,"CUST_TRR_END_DT",Settings!$C$4)/100,"")</f>
        <v/>
      </c>
      <c r="H477" s="9">
        <f>IFERROR(BDP(A477,"CUST_TRR_RETURN_HOLDING_PER","CUST_TRR_START_DT",Settings!$C$8,"CUST_TRR_END_DT",Settings!$C$4)/100,"")</f>
        <v/>
      </c>
    </row>
    <row r="478">
      <c r="A478" s="7" t="inlineStr">
        <is>
          <t>VLO US Equity</t>
        </is>
      </c>
      <c r="B478">
        <f>IFERROR(BDP(A478,"NAME"),"")</f>
        <v/>
      </c>
      <c r="C478">
        <f>IFERROR(BDP(A478,"GICS_SECTOR_NAME"),"")</f>
        <v/>
      </c>
      <c r="D478" s="8">
        <f>IFERROR(BDP(A478,"PX_LAST"),"")</f>
        <v/>
      </c>
      <c r="E478" s="9">
        <f>IFERROR(BDP(A478,"CUST_TRR_RETURN_HOLDING_PER","CUST_TRR_START_DT",Settings!$C$5,"CUST_TRR_END_DT",Settings!$C$4)/100,"")</f>
        <v/>
      </c>
      <c r="F478" s="9">
        <f>IFERROR(BDP(A478,"CUST_TRR_RETURN_HOLDING_PER","CUST_TRR_START_DT",Settings!$C$6,"CUST_TRR_END_DT",Settings!$C$4)/100,"")</f>
        <v/>
      </c>
      <c r="G478" s="9">
        <f>IFERROR(BDP(A478,"CUST_TRR_RETURN_HOLDING_PER","CUST_TRR_START_DT",Settings!$C$7,"CUST_TRR_END_DT",Settings!$C$4)/100,"")</f>
        <v/>
      </c>
      <c r="H478" s="9">
        <f>IFERROR(BDP(A478,"CUST_TRR_RETURN_HOLDING_PER","CUST_TRR_START_DT",Settings!$C$8,"CUST_TRR_END_DT",Settings!$C$4)/100,"")</f>
        <v/>
      </c>
    </row>
    <row r="479">
      <c r="A479" s="7" t="inlineStr">
        <is>
          <t>VLTO US Equity</t>
        </is>
      </c>
      <c r="B479">
        <f>IFERROR(BDP(A479,"NAME"),"")</f>
        <v/>
      </c>
      <c r="C479">
        <f>IFERROR(BDP(A479,"GICS_SECTOR_NAME"),"")</f>
        <v/>
      </c>
      <c r="D479" s="8">
        <f>IFERROR(BDP(A479,"PX_LAST"),"")</f>
        <v/>
      </c>
      <c r="E479" s="9">
        <f>IFERROR(BDP(A479,"CUST_TRR_RETURN_HOLDING_PER","CUST_TRR_START_DT",Settings!$C$5,"CUST_TRR_END_DT",Settings!$C$4)/100,"")</f>
        <v/>
      </c>
      <c r="F479" s="9">
        <f>IFERROR(BDP(A479,"CUST_TRR_RETURN_HOLDING_PER","CUST_TRR_START_DT",Settings!$C$6,"CUST_TRR_END_DT",Settings!$C$4)/100,"")</f>
        <v/>
      </c>
      <c r="G479" s="9">
        <f>IFERROR(BDP(A479,"CUST_TRR_RETURN_HOLDING_PER","CUST_TRR_START_DT",Settings!$C$7,"CUST_TRR_END_DT",Settings!$C$4)/100,"")</f>
        <v/>
      </c>
      <c r="H479" s="9">
        <f>IFERROR(BDP(A479,"CUST_TRR_RETURN_HOLDING_PER","CUST_TRR_START_DT",Settings!$C$8,"CUST_TRR_END_DT",Settings!$C$4)/100,"")</f>
        <v/>
      </c>
    </row>
    <row r="480">
      <c r="A480" s="7" t="inlineStr">
        <is>
          <t>VMC US Equity</t>
        </is>
      </c>
      <c r="B480">
        <f>IFERROR(BDP(A480,"NAME"),"")</f>
        <v/>
      </c>
      <c r="C480">
        <f>IFERROR(BDP(A480,"GICS_SECTOR_NAME"),"")</f>
        <v/>
      </c>
      <c r="D480" s="8">
        <f>IFERROR(BDP(A480,"PX_LAST"),"")</f>
        <v/>
      </c>
      <c r="E480" s="9">
        <f>IFERROR(BDP(A480,"CUST_TRR_RETURN_HOLDING_PER","CUST_TRR_START_DT",Settings!$C$5,"CUST_TRR_END_DT",Settings!$C$4)/100,"")</f>
        <v/>
      </c>
      <c r="F480" s="9">
        <f>IFERROR(BDP(A480,"CUST_TRR_RETURN_HOLDING_PER","CUST_TRR_START_DT",Settings!$C$6,"CUST_TRR_END_DT",Settings!$C$4)/100,"")</f>
        <v/>
      </c>
      <c r="G480" s="9">
        <f>IFERROR(BDP(A480,"CUST_TRR_RETURN_HOLDING_PER","CUST_TRR_START_DT",Settings!$C$7,"CUST_TRR_END_DT",Settings!$C$4)/100,"")</f>
        <v/>
      </c>
      <c r="H480" s="9">
        <f>IFERROR(BDP(A480,"CUST_TRR_RETURN_HOLDING_PER","CUST_TRR_START_DT",Settings!$C$8,"CUST_TRR_END_DT",Settings!$C$4)/100,"")</f>
        <v/>
      </c>
    </row>
    <row r="481">
      <c r="A481" s="7" t="inlineStr">
        <is>
          <t>VRSK US Equity</t>
        </is>
      </c>
      <c r="B481">
        <f>IFERROR(BDP(A481,"NAME"),"")</f>
        <v/>
      </c>
      <c r="C481">
        <f>IFERROR(BDP(A481,"GICS_SECTOR_NAME"),"")</f>
        <v/>
      </c>
      <c r="D481" s="8">
        <f>IFERROR(BDP(A481,"PX_LAST"),"")</f>
        <v/>
      </c>
      <c r="E481" s="9">
        <f>IFERROR(BDP(A481,"CUST_TRR_RETURN_HOLDING_PER","CUST_TRR_START_DT",Settings!$C$5,"CUST_TRR_END_DT",Settings!$C$4)/100,"")</f>
        <v/>
      </c>
      <c r="F481" s="9">
        <f>IFERROR(BDP(A481,"CUST_TRR_RETURN_HOLDING_PER","CUST_TRR_START_DT",Settings!$C$6,"CUST_TRR_END_DT",Settings!$C$4)/100,"")</f>
        <v/>
      </c>
      <c r="G481" s="9">
        <f>IFERROR(BDP(A481,"CUST_TRR_RETURN_HOLDING_PER","CUST_TRR_START_DT",Settings!$C$7,"CUST_TRR_END_DT",Settings!$C$4)/100,"")</f>
        <v/>
      </c>
      <c r="H481" s="9">
        <f>IFERROR(BDP(A481,"CUST_TRR_RETURN_HOLDING_PER","CUST_TRR_START_DT",Settings!$C$8,"CUST_TRR_END_DT",Settings!$C$4)/100,"")</f>
        <v/>
      </c>
    </row>
    <row r="482">
      <c r="A482" s="7" t="inlineStr">
        <is>
          <t>VRSN US Equity</t>
        </is>
      </c>
      <c r="B482">
        <f>IFERROR(BDP(A482,"NAME"),"")</f>
        <v/>
      </c>
      <c r="C482">
        <f>IFERROR(BDP(A482,"GICS_SECTOR_NAME"),"")</f>
        <v/>
      </c>
      <c r="D482" s="8">
        <f>IFERROR(BDP(A482,"PX_LAST"),"")</f>
        <v/>
      </c>
      <c r="E482" s="9">
        <f>IFERROR(BDP(A482,"CUST_TRR_RETURN_HOLDING_PER","CUST_TRR_START_DT",Settings!$C$5,"CUST_TRR_END_DT",Settings!$C$4)/100,"")</f>
        <v/>
      </c>
      <c r="F482" s="9">
        <f>IFERROR(BDP(A482,"CUST_TRR_RETURN_HOLDING_PER","CUST_TRR_START_DT",Settings!$C$6,"CUST_TRR_END_DT",Settings!$C$4)/100,"")</f>
        <v/>
      </c>
      <c r="G482" s="9">
        <f>IFERROR(BDP(A482,"CUST_TRR_RETURN_HOLDING_PER","CUST_TRR_START_DT",Settings!$C$7,"CUST_TRR_END_DT",Settings!$C$4)/100,"")</f>
        <v/>
      </c>
      <c r="H482" s="9">
        <f>IFERROR(BDP(A482,"CUST_TRR_RETURN_HOLDING_PER","CUST_TRR_START_DT",Settings!$C$8,"CUST_TRR_END_DT",Settings!$C$4)/100,"")</f>
        <v/>
      </c>
    </row>
    <row r="483">
      <c r="A483" s="7" t="inlineStr">
        <is>
          <t>VRTX US Equity</t>
        </is>
      </c>
      <c r="B483">
        <f>IFERROR(BDP(A483,"NAME"),"")</f>
        <v/>
      </c>
      <c r="C483">
        <f>IFERROR(BDP(A483,"GICS_SECTOR_NAME"),"")</f>
        <v/>
      </c>
      <c r="D483" s="8">
        <f>IFERROR(BDP(A483,"PX_LAST"),"")</f>
        <v/>
      </c>
      <c r="E483" s="9">
        <f>IFERROR(BDP(A483,"CUST_TRR_RETURN_HOLDING_PER","CUST_TRR_START_DT",Settings!$C$5,"CUST_TRR_END_DT",Settings!$C$4)/100,"")</f>
        <v/>
      </c>
      <c r="F483" s="9">
        <f>IFERROR(BDP(A483,"CUST_TRR_RETURN_HOLDING_PER","CUST_TRR_START_DT",Settings!$C$6,"CUST_TRR_END_DT",Settings!$C$4)/100,"")</f>
        <v/>
      </c>
      <c r="G483" s="9">
        <f>IFERROR(BDP(A483,"CUST_TRR_RETURN_HOLDING_PER","CUST_TRR_START_DT",Settings!$C$7,"CUST_TRR_END_DT",Settings!$C$4)/100,"")</f>
        <v/>
      </c>
      <c r="H483" s="9">
        <f>IFERROR(BDP(A483,"CUST_TRR_RETURN_HOLDING_PER","CUST_TRR_START_DT",Settings!$C$8,"CUST_TRR_END_DT",Settings!$C$4)/100,"")</f>
        <v/>
      </c>
    </row>
    <row r="484">
      <c r="A484" s="7" t="inlineStr">
        <is>
          <t>VST US Equity</t>
        </is>
      </c>
      <c r="B484">
        <f>IFERROR(BDP(A484,"NAME"),"")</f>
        <v/>
      </c>
      <c r="C484">
        <f>IFERROR(BDP(A484,"GICS_SECTOR_NAME"),"")</f>
        <v/>
      </c>
      <c r="D484" s="8">
        <f>IFERROR(BDP(A484,"PX_LAST"),"")</f>
        <v/>
      </c>
      <c r="E484" s="9">
        <f>IFERROR(BDP(A484,"CUST_TRR_RETURN_HOLDING_PER","CUST_TRR_START_DT",Settings!$C$5,"CUST_TRR_END_DT",Settings!$C$4)/100,"")</f>
        <v/>
      </c>
      <c r="F484" s="9">
        <f>IFERROR(BDP(A484,"CUST_TRR_RETURN_HOLDING_PER","CUST_TRR_START_DT",Settings!$C$6,"CUST_TRR_END_DT",Settings!$C$4)/100,"")</f>
        <v/>
      </c>
      <c r="G484" s="9">
        <f>IFERROR(BDP(A484,"CUST_TRR_RETURN_HOLDING_PER","CUST_TRR_START_DT",Settings!$C$7,"CUST_TRR_END_DT",Settings!$C$4)/100,"")</f>
        <v/>
      </c>
      <c r="H484" s="9">
        <f>IFERROR(BDP(A484,"CUST_TRR_RETURN_HOLDING_PER","CUST_TRR_START_DT",Settings!$C$8,"CUST_TRR_END_DT",Settings!$C$4)/100,"")</f>
        <v/>
      </c>
    </row>
    <row r="485">
      <c r="A485" s="7" t="inlineStr">
        <is>
          <t>VTR US Equity</t>
        </is>
      </c>
      <c r="B485">
        <f>IFERROR(BDP(A485,"NAME"),"")</f>
        <v/>
      </c>
      <c r="C485">
        <f>IFERROR(BDP(A485,"GICS_SECTOR_NAME"),"")</f>
        <v/>
      </c>
      <c r="D485" s="8">
        <f>IFERROR(BDP(A485,"PX_LAST"),"")</f>
        <v/>
      </c>
      <c r="E485" s="9">
        <f>IFERROR(BDP(A485,"CUST_TRR_RETURN_HOLDING_PER","CUST_TRR_START_DT",Settings!$C$5,"CUST_TRR_END_DT",Settings!$C$4)/100,"")</f>
        <v/>
      </c>
      <c r="F485" s="9">
        <f>IFERROR(BDP(A485,"CUST_TRR_RETURN_HOLDING_PER","CUST_TRR_START_DT",Settings!$C$6,"CUST_TRR_END_DT",Settings!$C$4)/100,"")</f>
        <v/>
      </c>
      <c r="G485" s="9">
        <f>IFERROR(BDP(A485,"CUST_TRR_RETURN_HOLDING_PER","CUST_TRR_START_DT",Settings!$C$7,"CUST_TRR_END_DT",Settings!$C$4)/100,"")</f>
        <v/>
      </c>
      <c r="H485" s="9">
        <f>IFERROR(BDP(A485,"CUST_TRR_RETURN_HOLDING_PER","CUST_TRR_START_DT",Settings!$C$8,"CUST_TRR_END_DT",Settings!$C$4)/100,"")</f>
        <v/>
      </c>
    </row>
    <row r="486">
      <c r="A486" s="7" t="inlineStr">
        <is>
          <t>VTRS US Equity</t>
        </is>
      </c>
      <c r="B486">
        <f>IFERROR(BDP(A486,"NAME"),"")</f>
        <v/>
      </c>
      <c r="C486">
        <f>IFERROR(BDP(A486,"GICS_SECTOR_NAME"),"")</f>
        <v/>
      </c>
      <c r="D486" s="8">
        <f>IFERROR(BDP(A486,"PX_LAST"),"")</f>
        <v/>
      </c>
      <c r="E486" s="9">
        <f>IFERROR(BDP(A486,"CUST_TRR_RETURN_HOLDING_PER","CUST_TRR_START_DT",Settings!$C$5,"CUST_TRR_END_DT",Settings!$C$4)/100,"")</f>
        <v/>
      </c>
      <c r="F486" s="9">
        <f>IFERROR(BDP(A486,"CUST_TRR_RETURN_HOLDING_PER","CUST_TRR_START_DT",Settings!$C$6,"CUST_TRR_END_DT",Settings!$C$4)/100,"")</f>
        <v/>
      </c>
      <c r="G486" s="9">
        <f>IFERROR(BDP(A486,"CUST_TRR_RETURN_HOLDING_PER","CUST_TRR_START_DT",Settings!$C$7,"CUST_TRR_END_DT",Settings!$C$4)/100,"")</f>
        <v/>
      </c>
      <c r="H486" s="9">
        <f>IFERROR(BDP(A486,"CUST_TRR_RETURN_HOLDING_PER","CUST_TRR_START_DT",Settings!$C$8,"CUST_TRR_END_DT",Settings!$C$4)/100,"")</f>
        <v/>
      </c>
    </row>
    <row r="487">
      <c r="A487" s="7" t="inlineStr">
        <is>
          <t>VZ US Equity</t>
        </is>
      </c>
      <c r="B487">
        <f>IFERROR(BDP(A487,"NAME"),"")</f>
        <v/>
      </c>
      <c r="C487">
        <f>IFERROR(BDP(A487,"GICS_SECTOR_NAME"),"")</f>
        <v/>
      </c>
      <c r="D487" s="8">
        <f>IFERROR(BDP(A487,"PX_LAST"),"")</f>
        <v/>
      </c>
      <c r="E487" s="9">
        <f>IFERROR(BDP(A487,"CUST_TRR_RETURN_HOLDING_PER","CUST_TRR_START_DT",Settings!$C$5,"CUST_TRR_END_DT",Settings!$C$4)/100,"")</f>
        <v/>
      </c>
      <c r="F487" s="9">
        <f>IFERROR(BDP(A487,"CUST_TRR_RETURN_HOLDING_PER","CUST_TRR_START_DT",Settings!$C$6,"CUST_TRR_END_DT",Settings!$C$4)/100,"")</f>
        <v/>
      </c>
      <c r="G487" s="9">
        <f>IFERROR(BDP(A487,"CUST_TRR_RETURN_HOLDING_PER","CUST_TRR_START_DT",Settings!$C$7,"CUST_TRR_END_DT",Settings!$C$4)/100,"")</f>
        <v/>
      </c>
      <c r="H487" s="9">
        <f>IFERROR(BDP(A487,"CUST_TRR_RETURN_HOLDING_PER","CUST_TRR_START_DT",Settings!$C$8,"CUST_TRR_END_DT",Settings!$C$4)/100,"")</f>
        <v/>
      </c>
    </row>
    <row r="488">
      <c r="A488" s="7" t="inlineStr">
        <is>
          <t>WAB US Equity</t>
        </is>
      </c>
      <c r="B488">
        <f>IFERROR(BDP(A488,"NAME"),"")</f>
        <v/>
      </c>
      <c r="C488">
        <f>IFERROR(BDP(A488,"GICS_SECTOR_NAME"),"")</f>
        <v/>
      </c>
      <c r="D488" s="8">
        <f>IFERROR(BDP(A488,"PX_LAST"),"")</f>
        <v/>
      </c>
      <c r="E488" s="9">
        <f>IFERROR(BDP(A488,"CUST_TRR_RETURN_HOLDING_PER","CUST_TRR_START_DT",Settings!$C$5,"CUST_TRR_END_DT",Settings!$C$4)/100,"")</f>
        <v/>
      </c>
      <c r="F488" s="9">
        <f>IFERROR(BDP(A488,"CUST_TRR_RETURN_HOLDING_PER","CUST_TRR_START_DT",Settings!$C$6,"CUST_TRR_END_DT",Settings!$C$4)/100,"")</f>
        <v/>
      </c>
      <c r="G488" s="9">
        <f>IFERROR(BDP(A488,"CUST_TRR_RETURN_HOLDING_PER","CUST_TRR_START_DT",Settings!$C$7,"CUST_TRR_END_DT",Settings!$C$4)/100,"")</f>
        <v/>
      </c>
      <c r="H488" s="9">
        <f>IFERROR(BDP(A488,"CUST_TRR_RETURN_HOLDING_PER","CUST_TRR_START_DT",Settings!$C$8,"CUST_TRR_END_DT",Settings!$C$4)/100,"")</f>
        <v/>
      </c>
    </row>
    <row r="489">
      <c r="A489" s="7" t="inlineStr">
        <is>
          <t>WAT US Equity</t>
        </is>
      </c>
      <c r="B489">
        <f>IFERROR(BDP(A489,"NAME"),"")</f>
        <v/>
      </c>
      <c r="C489">
        <f>IFERROR(BDP(A489,"GICS_SECTOR_NAME"),"")</f>
        <v/>
      </c>
      <c r="D489" s="8">
        <f>IFERROR(BDP(A489,"PX_LAST"),"")</f>
        <v/>
      </c>
      <c r="E489" s="9">
        <f>IFERROR(BDP(A489,"CUST_TRR_RETURN_HOLDING_PER","CUST_TRR_START_DT",Settings!$C$5,"CUST_TRR_END_DT",Settings!$C$4)/100,"")</f>
        <v/>
      </c>
      <c r="F489" s="9">
        <f>IFERROR(BDP(A489,"CUST_TRR_RETURN_HOLDING_PER","CUST_TRR_START_DT",Settings!$C$6,"CUST_TRR_END_DT",Settings!$C$4)/100,"")</f>
        <v/>
      </c>
      <c r="G489" s="9">
        <f>IFERROR(BDP(A489,"CUST_TRR_RETURN_HOLDING_PER","CUST_TRR_START_DT",Settings!$C$7,"CUST_TRR_END_DT",Settings!$C$4)/100,"")</f>
        <v/>
      </c>
      <c r="H489" s="9">
        <f>IFERROR(BDP(A489,"CUST_TRR_RETURN_HOLDING_PER","CUST_TRR_START_DT",Settings!$C$8,"CUST_TRR_END_DT",Settings!$C$4)/100,"")</f>
        <v/>
      </c>
    </row>
    <row r="490">
      <c r="A490" s="7" t="inlineStr">
        <is>
          <t>WBA US Equity</t>
        </is>
      </c>
      <c r="B490">
        <f>IFERROR(BDP(A490,"NAME"),"")</f>
        <v/>
      </c>
      <c r="C490">
        <f>IFERROR(BDP(A490,"GICS_SECTOR_NAME"),"")</f>
        <v/>
      </c>
      <c r="D490" s="8">
        <f>IFERROR(BDP(A490,"PX_LAST"),"")</f>
        <v/>
      </c>
      <c r="E490" s="9">
        <f>IFERROR(BDP(A490,"CUST_TRR_RETURN_HOLDING_PER","CUST_TRR_START_DT",Settings!$C$5,"CUST_TRR_END_DT",Settings!$C$4)/100,"")</f>
        <v/>
      </c>
      <c r="F490" s="9">
        <f>IFERROR(BDP(A490,"CUST_TRR_RETURN_HOLDING_PER","CUST_TRR_START_DT",Settings!$C$6,"CUST_TRR_END_DT",Settings!$C$4)/100,"")</f>
        <v/>
      </c>
      <c r="G490" s="9">
        <f>IFERROR(BDP(A490,"CUST_TRR_RETURN_HOLDING_PER","CUST_TRR_START_DT",Settings!$C$7,"CUST_TRR_END_DT",Settings!$C$4)/100,"")</f>
        <v/>
      </c>
      <c r="H490" s="9">
        <f>IFERROR(BDP(A490,"CUST_TRR_RETURN_HOLDING_PER","CUST_TRR_START_DT",Settings!$C$8,"CUST_TRR_END_DT",Settings!$C$4)/100,"")</f>
        <v/>
      </c>
    </row>
    <row r="491">
      <c r="A491" s="7" t="inlineStr">
        <is>
          <t>WBD US Equity</t>
        </is>
      </c>
      <c r="B491">
        <f>IFERROR(BDP(A491,"NAME"),"")</f>
        <v/>
      </c>
      <c r="C491">
        <f>IFERROR(BDP(A491,"GICS_SECTOR_NAME"),"")</f>
        <v/>
      </c>
      <c r="D491" s="8">
        <f>IFERROR(BDP(A491,"PX_LAST"),"")</f>
        <v/>
      </c>
      <c r="E491" s="9">
        <f>IFERROR(BDP(A491,"CUST_TRR_RETURN_HOLDING_PER","CUST_TRR_START_DT",Settings!$C$5,"CUST_TRR_END_DT",Settings!$C$4)/100,"")</f>
        <v/>
      </c>
      <c r="F491" s="9">
        <f>IFERROR(BDP(A491,"CUST_TRR_RETURN_HOLDING_PER","CUST_TRR_START_DT",Settings!$C$6,"CUST_TRR_END_DT",Settings!$C$4)/100,"")</f>
        <v/>
      </c>
      <c r="G491" s="9">
        <f>IFERROR(BDP(A491,"CUST_TRR_RETURN_HOLDING_PER","CUST_TRR_START_DT",Settings!$C$7,"CUST_TRR_END_DT",Settings!$C$4)/100,"")</f>
        <v/>
      </c>
      <c r="H491" s="9">
        <f>IFERROR(BDP(A491,"CUST_TRR_RETURN_HOLDING_PER","CUST_TRR_START_DT",Settings!$C$8,"CUST_TRR_END_DT",Settings!$C$4)/100,"")</f>
        <v/>
      </c>
    </row>
    <row r="492">
      <c r="A492" s="7" t="inlineStr">
        <is>
          <t>WDC US Equity</t>
        </is>
      </c>
      <c r="B492">
        <f>IFERROR(BDP(A492,"NAME"),"")</f>
        <v/>
      </c>
      <c r="C492">
        <f>IFERROR(BDP(A492,"GICS_SECTOR_NAME"),"")</f>
        <v/>
      </c>
      <c r="D492" s="8">
        <f>IFERROR(BDP(A492,"PX_LAST"),"")</f>
        <v/>
      </c>
      <c r="E492" s="9">
        <f>IFERROR(BDP(A492,"CUST_TRR_RETURN_HOLDING_PER","CUST_TRR_START_DT",Settings!$C$5,"CUST_TRR_END_DT",Settings!$C$4)/100,"")</f>
        <v/>
      </c>
      <c r="F492" s="9">
        <f>IFERROR(BDP(A492,"CUST_TRR_RETURN_HOLDING_PER","CUST_TRR_START_DT",Settings!$C$6,"CUST_TRR_END_DT",Settings!$C$4)/100,"")</f>
        <v/>
      </c>
      <c r="G492" s="9">
        <f>IFERROR(BDP(A492,"CUST_TRR_RETURN_HOLDING_PER","CUST_TRR_START_DT",Settings!$C$7,"CUST_TRR_END_DT",Settings!$C$4)/100,"")</f>
        <v/>
      </c>
      <c r="H492" s="9">
        <f>IFERROR(BDP(A492,"CUST_TRR_RETURN_HOLDING_PER","CUST_TRR_START_DT",Settings!$C$8,"CUST_TRR_END_DT",Settings!$C$4)/100,"")</f>
        <v/>
      </c>
    </row>
    <row r="493">
      <c r="A493" s="7" t="inlineStr">
        <is>
          <t>WEC US Equity</t>
        </is>
      </c>
      <c r="B493">
        <f>IFERROR(BDP(A493,"NAME"),"")</f>
        <v/>
      </c>
      <c r="C493">
        <f>IFERROR(BDP(A493,"GICS_SECTOR_NAME"),"")</f>
        <v/>
      </c>
      <c r="D493" s="8">
        <f>IFERROR(BDP(A493,"PX_LAST"),"")</f>
        <v/>
      </c>
      <c r="E493" s="9">
        <f>IFERROR(BDP(A493,"CUST_TRR_RETURN_HOLDING_PER","CUST_TRR_START_DT",Settings!$C$5,"CUST_TRR_END_DT",Settings!$C$4)/100,"")</f>
        <v/>
      </c>
      <c r="F493" s="9">
        <f>IFERROR(BDP(A493,"CUST_TRR_RETURN_HOLDING_PER","CUST_TRR_START_DT",Settings!$C$6,"CUST_TRR_END_DT",Settings!$C$4)/100,"")</f>
        <v/>
      </c>
      <c r="G493" s="9">
        <f>IFERROR(BDP(A493,"CUST_TRR_RETURN_HOLDING_PER","CUST_TRR_START_DT",Settings!$C$7,"CUST_TRR_END_DT",Settings!$C$4)/100,"")</f>
        <v/>
      </c>
      <c r="H493" s="9">
        <f>IFERROR(BDP(A493,"CUST_TRR_RETURN_HOLDING_PER","CUST_TRR_START_DT",Settings!$C$8,"CUST_TRR_END_DT",Settings!$C$4)/100,"")</f>
        <v/>
      </c>
    </row>
    <row r="494">
      <c r="A494" s="7" t="inlineStr">
        <is>
          <t>WELL US Equity</t>
        </is>
      </c>
      <c r="B494">
        <f>IFERROR(BDP(A494,"NAME"),"")</f>
        <v/>
      </c>
      <c r="C494">
        <f>IFERROR(BDP(A494,"GICS_SECTOR_NAME"),"")</f>
        <v/>
      </c>
      <c r="D494" s="8">
        <f>IFERROR(BDP(A494,"PX_LAST"),"")</f>
        <v/>
      </c>
      <c r="E494" s="9">
        <f>IFERROR(BDP(A494,"CUST_TRR_RETURN_HOLDING_PER","CUST_TRR_START_DT",Settings!$C$5,"CUST_TRR_END_DT",Settings!$C$4)/100,"")</f>
        <v/>
      </c>
      <c r="F494" s="9">
        <f>IFERROR(BDP(A494,"CUST_TRR_RETURN_HOLDING_PER","CUST_TRR_START_DT",Settings!$C$6,"CUST_TRR_END_DT",Settings!$C$4)/100,"")</f>
        <v/>
      </c>
      <c r="G494" s="9">
        <f>IFERROR(BDP(A494,"CUST_TRR_RETURN_HOLDING_PER","CUST_TRR_START_DT",Settings!$C$7,"CUST_TRR_END_DT",Settings!$C$4)/100,"")</f>
        <v/>
      </c>
      <c r="H494" s="9">
        <f>IFERROR(BDP(A494,"CUST_TRR_RETURN_HOLDING_PER","CUST_TRR_START_DT",Settings!$C$8,"CUST_TRR_END_DT",Settings!$C$4)/100,"")</f>
        <v/>
      </c>
    </row>
    <row r="495">
      <c r="A495" s="7" t="inlineStr">
        <is>
          <t>WFC US Equity</t>
        </is>
      </c>
      <c r="B495">
        <f>IFERROR(BDP(A495,"NAME"),"")</f>
        <v/>
      </c>
      <c r="C495">
        <f>IFERROR(BDP(A495,"GICS_SECTOR_NAME"),"")</f>
        <v/>
      </c>
      <c r="D495" s="8">
        <f>IFERROR(BDP(A495,"PX_LAST"),"")</f>
        <v/>
      </c>
      <c r="E495" s="9">
        <f>IFERROR(BDP(A495,"CUST_TRR_RETURN_HOLDING_PER","CUST_TRR_START_DT",Settings!$C$5,"CUST_TRR_END_DT",Settings!$C$4)/100,"")</f>
        <v/>
      </c>
      <c r="F495" s="9">
        <f>IFERROR(BDP(A495,"CUST_TRR_RETURN_HOLDING_PER","CUST_TRR_START_DT",Settings!$C$6,"CUST_TRR_END_DT",Settings!$C$4)/100,"")</f>
        <v/>
      </c>
      <c r="G495" s="9">
        <f>IFERROR(BDP(A495,"CUST_TRR_RETURN_HOLDING_PER","CUST_TRR_START_DT",Settings!$C$7,"CUST_TRR_END_DT",Settings!$C$4)/100,"")</f>
        <v/>
      </c>
      <c r="H495" s="9">
        <f>IFERROR(BDP(A495,"CUST_TRR_RETURN_HOLDING_PER","CUST_TRR_START_DT",Settings!$C$8,"CUST_TRR_END_DT",Settings!$C$4)/100,"")</f>
        <v/>
      </c>
    </row>
    <row r="496">
      <c r="A496" s="7" t="inlineStr">
        <is>
          <t>WHR US Equity</t>
        </is>
      </c>
      <c r="B496">
        <f>IFERROR(BDP(A496,"NAME"),"")</f>
        <v/>
      </c>
      <c r="C496">
        <f>IFERROR(BDP(A496,"GICS_SECTOR_NAME"),"")</f>
        <v/>
      </c>
      <c r="D496" s="8">
        <f>IFERROR(BDP(A496,"PX_LAST"),"")</f>
        <v/>
      </c>
      <c r="E496" s="9">
        <f>IFERROR(BDP(A496,"CUST_TRR_RETURN_HOLDING_PER","CUST_TRR_START_DT",Settings!$C$5,"CUST_TRR_END_DT",Settings!$C$4)/100,"")</f>
        <v/>
      </c>
      <c r="F496" s="9">
        <f>IFERROR(BDP(A496,"CUST_TRR_RETURN_HOLDING_PER","CUST_TRR_START_DT",Settings!$C$6,"CUST_TRR_END_DT",Settings!$C$4)/100,"")</f>
        <v/>
      </c>
      <c r="G496" s="9">
        <f>IFERROR(BDP(A496,"CUST_TRR_RETURN_HOLDING_PER","CUST_TRR_START_DT",Settings!$C$7,"CUST_TRR_END_DT",Settings!$C$4)/100,"")</f>
        <v/>
      </c>
      <c r="H496" s="9">
        <f>IFERROR(BDP(A496,"CUST_TRR_RETURN_HOLDING_PER","CUST_TRR_START_DT",Settings!$C$8,"CUST_TRR_END_DT",Settings!$C$4)/100,"")</f>
        <v/>
      </c>
    </row>
    <row r="497">
      <c r="A497" s="7" t="inlineStr">
        <is>
          <t>WM US Equity</t>
        </is>
      </c>
      <c r="B497">
        <f>IFERROR(BDP(A497,"NAME"),"")</f>
        <v/>
      </c>
      <c r="C497">
        <f>IFERROR(BDP(A497,"GICS_SECTOR_NAME"),"")</f>
        <v/>
      </c>
      <c r="D497" s="8">
        <f>IFERROR(BDP(A497,"PX_LAST"),"")</f>
        <v/>
      </c>
      <c r="E497" s="9">
        <f>IFERROR(BDP(A497,"CUST_TRR_RETURN_HOLDING_PER","CUST_TRR_START_DT",Settings!$C$5,"CUST_TRR_END_DT",Settings!$C$4)/100,"")</f>
        <v/>
      </c>
      <c r="F497" s="9">
        <f>IFERROR(BDP(A497,"CUST_TRR_RETURN_HOLDING_PER","CUST_TRR_START_DT",Settings!$C$6,"CUST_TRR_END_DT",Settings!$C$4)/100,"")</f>
        <v/>
      </c>
      <c r="G497" s="9">
        <f>IFERROR(BDP(A497,"CUST_TRR_RETURN_HOLDING_PER","CUST_TRR_START_DT",Settings!$C$7,"CUST_TRR_END_DT",Settings!$C$4)/100,"")</f>
        <v/>
      </c>
      <c r="H497" s="9">
        <f>IFERROR(BDP(A497,"CUST_TRR_RETURN_HOLDING_PER","CUST_TRR_START_DT",Settings!$C$8,"CUST_TRR_END_DT",Settings!$C$4)/100,"")</f>
        <v/>
      </c>
    </row>
    <row r="498">
      <c r="A498" s="7" t="inlineStr">
        <is>
          <t>WMB US Equity</t>
        </is>
      </c>
      <c r="B498">
        <f>IFERROR(BDP(A498,"NAME"),"")</f>
        <v/>
      </c>
      <c r="C498">
        <f>IFERROR(BDP(A498,"GICS_SECTOR_NAME"),"")</f>
        <v/>
      </c>
      <c r="D498" s="8">
        <f>IFERROR(BDP(A498,"PX_LAST"),"")</f>
        <v/>
      </c>
      <c r="E498" s="9">
        <f>IFERROR(BDP(A498,"CUST_TRR_RETURN_HOLDING_PER","CUST_TRR_START_DT",Settings!$C$5,"CUST_TRR_END_DT",Settings!$C$4)/100,"")</f>
        <v/>
      </c>
      <c r="F498" s="9">
        <f>IFERROR(BDP(A498,"CUST_TRR_RETURN_HOLDING_PER","CUST_TRR_START_DT",Settings!$C$6,"CUST_TRR_END_DT",Settings!$C$4)/100,"")</f>
        <v/>
      </c>
      <c r="G498" s="9">
        <f>IFERROR(BDP(A498,"CUST_TRR_RETURN_HOLDING_PER","CUST_TRR_START_DT",Settings!$C$7,"CUST_TRR_END_DT",Settings!$C$4)/100,"")</f>
        <v/>
      </c>
      <c r="H498" s="9">
        <f>IFERROR(BDP(A498,"CUST_TRR_RETURN_HOLDING_PER","CUST_TRR_START_DT",Settings!$C$8,"CUST_TRR_END_DT",Settings!$C$4)/100,"")</f>
        <v/>
      </c>
    </row>
    <row r="499">
      <c r="A499" s="7" t="inlineStr">
        <is>
          <t>WMT US Equity</t>
        </is>
      </c>
      <c r="B499">
        <f>IFERROR(BDP(A499,"NAME"),"")</f>
        <v/>
      </c>
      <c r="C499">
        <f>IFERROR(BDP(A499,"GICS_SECTOR_NAME"),"")</f>
        <v/>
      </c>
      <c r="D499" s="8">
        <f>IFERROR(BDP(A499,"PX_LAST"),"")</f>
        <v/>
      </c>
      <c r="E499" s="9">
        <f>IFERROR(BDP(A499,"CUST_TRR_RETURN_HOLDING_PER","CUST_TRR_START_DT",Settings!$C$5,"CUST_TRR_END_DT",Settings!$C$4)/100,"")</f>
        <v/>
      </c>
      <c r="F499" s="9">
        <f>IFERROR(BDP(A499,"CUST_TRR_RETURN_HOLDING_PER","CUST_TRR_START_DT",Settings!$C$6,"CUST_TRR_END_DT",Settings!$C$4)/100,"")</f>
        <v/>
      </c>
      <c r="G499" s="9">
        <f>IFERROR(BDP(A499,"CUST_TRR_RETURN_HOLDING_PER","CUST_TRR_START_DT",Settings!$C$7,"CUST_TRR_END_DT",Settings!$C$4)/100,"")</f>
        <v/>
      </c>
      <c r="H499" s="9">
        <f>IFERROR(BDP(A499,"CUST_TRR_RETURN_HOLDING_PER","CUST_TRR_START_DT",Settings!$C$8,"CUST_TRR_END_DT",Settings!$C$4)/100,"")</f>
        <v/>
      </c>
    </row>
    <row r="500">
      <c r="A500" s="7" t="inlineStr">
        <is>
          <t>WRB US Equity</t>
        </is>
      </c>
      <c r="B500">
        <f>IFERROR(BDP(A500,"NAME"),"")</f>
        <v/>
      </c>
      <c r="C500">
        <f>IFERROR(BDP(A500,"GICS_SECTOR_NAME"),"")</f>
        <v/>
      </c>
      <c r="D500" s="8">
        <f>IFERROR(BDP(A500,"PX_LAST"),"")</f>
        <v/>
      </c>
      <c r="E500" s="9">
        <f>IFERROR(BDP(A500,"CUST_TRR_RETURN_HOLDING_PER","CUST_TRR_START_DT",Settings!$C$5,"CUST_TRR_END_DT",Settings!$C$4)/100,"")</f>
        <v/>
      </c>
      <c r="F500" s="9">
        <f>IFERROR(BDP(A500,"CUST_TRR_RETURN_HOLDING_PER","CUST_TRR_START_DT",Settings!$C$6,"CUST_TRR_END_DT",Settings!$C$4)/100,"")</f>
        <v/>
      </c>
      <c r="G500" s="9">
        <f>IFERROR(BDP(A500,"CUST_TRR_RETURN_HOLDING_PER","CUST_TRR_START_DT",Settings!$C$7,"CUST_TRR_END_DT",Settings!$C$4)/100,"")</f>
        <v/>
      </c>
      <c r="H500" s="9">
        <f>IFERROR(BDP(A500,"CUST_TRR_RETURN_HOLDING_PER","CUST_TRR_START_DT",Settings!$C$8,"CUST_TRR_END_DT",Settings!$C$4)/100,"")</f>
        <v/>
      </c>
    </row>
    <row r="501">
      <c r="A501" s="7" t="inlineStr">
        <is>
          <t>WST US Equity</t>
        </is>
      </c>
      <c r="B501">
        <f>IFERROR(BDP(A501,"NAME"),"")</f>
        <v/>
      </c>
      <c r="C501">
        <f>IFERROR(BDP(A501,"GICS_SECTOR_NAME"),"")</f>
        <v/>
      </c>
      <c r="D501" s="8">
        <f>IFERROR(BDP(A501,"PX_LAST"),"")</f>
        <v/>
      </c>
      <c r="E501" s="9">
        <f>IFERROR(BDP(A501,"CUST_TRR_RETURN_HOLDING_PER","CUST_TRR_START_DT",Settings!$C$5,"CUST_TRR_END_DT",Settings!$C$4)/100,"")</f>
        <v/>
      </c>
      <c r="F501" s="9">
        <f>IFERROR(BDP(A501,"CUST_TRR_RETURN_HOLDING_PER","CUST_TRR_START_DT",Settings!$C$6,"CUST_TRR_END_DT",Settings!$C$4)/100,"")</f>
        <v/>
      </c>
      <c r="G501" s="9">
        <f>IFERROR(BDP(A501,"CUST_TRR_RETURN_HOLDING_PER","CUST_TRR_START_DT",Settings!$C$7,"CUST_TRR_END_DT",Settings!$C$4)/100,"")</f>
        <v/>
      </c>
      <c r="H501" s="9">
        <f>IFERROR(BDP(A501,"CUST_TRR_RETURN_HOLDING_PER","CUST_TRR_START_DT",Settings!$C$8,"CUST_TRR_END_DT",Settings!$C$4)/100,"")</f>
        <v/>
      </c>
    </row>
    <row r="502">
      <c r="A502" s="7" t="inlineStr">
        <is>
          <t>WTW US Equity</t>
        </is>
      </c>
      <c r="B502">
        <f>IFERROR(BDP(A502,"NAME"),"")</f>
        <v/>
      </c>
      <c r="C502">
        <f>IFERROR(BDP(A502,"GICS_SECTOR_NAME"),"")</f>
        <v/>
      </c>
      <c r="D502" s="8">
        <f>IFERROR(BDP(A502,"PX_LAST"),"")</f>
        <v/>
      </c>
      <c r="E502" s="9">
        <f>IFERROR(BDP(A502,"CUST_TRR_RETURN_HOLDING_PER","CUST_TRR_START_DT",Settings!$C$5,"CUST_TRR_END_DT",Settings!$C$4)/100,"")</f>
        <v/>
      </c>
      <c r="F502" s="9">
        <f>IFERROR(BDP(A502,"CUST_TRR_RETURN_HOLDING_PER","CUST_TRR_START_DT",Settings!$C$6,"CUST_TRR_END_DT",Settings!$C$4)/100,"")</f>
        <v/>
      </c>
      <c r="G502" s="9">
        <f>IFERROR(BDP(A502,"CUST_TRR_RETURN_HOLDING_PER","CUST_TRR_START_DT",Settings!$C$7,"CUST_TRR_END_DT",Settings!$C$4)/100,"")</f>
        <v/>
      </c>
      <c r="H502" s="9">
        <f>IFERROR(BDP(A502,"CUST_TRR_RETURN_HOLDING_PER","CUST_TRR_START_DT",Settings!$C$8,"CUST_TRR_END_DT",Settings!$C$4)/100,"")</f>
        <v/>
      </c>
    </row>
    <row r="503">
      <c r="A503" s="7" t="inlineStr">
        <is>
          <t>WY US Equity</t>
        </is>
      </c>
      <c r="B503">
        <f>IFERROR(BDP(A503,"NAME"),"")</f>
        <v/>
      </c>
      <c r="C503">
        <f>IFERROR(BDP(A503,"GICS_SECTOR_NAME"),"")</f>
        <v/>
      </c>
      <c r="D503" s="8">
        <f>IFERROR(BDP(A503,"PX_LAST"),"")</f>
        <v/>
      </c>
      <c r="E503" s="9">
        <f>IFERROR(BDP(A503,"CUST_TRR_RETURN_HOLDING_PER","CUST_TRR_START_DT",Settings!$C$5,"CUST_TRR_END_DT",Settings!$C$4)/100,"")</f>
        <v/>
      </c>
      <c r="F503" s="9">
        <f>IFERROR(BDP(A503,"CUST_TRR_RETURN_HOLDING_PER","CUST_TRR_START_DT",Settings!$C$6,"CUST_TRR_END_DT",Settings!$C$4)/100,"")</f>
        <v/>
      </c>
      <c r="G503" s="9">
        <f>IFERROR(BDP(A503,"CUST_TRR_RETURN_HOLDING_PER","CUST_TRR_START_DT",Settings!$C$7,"CUST_TRR_END_DT",Settings!$C$4)/100,"")</f>
        <v/>
      </c>
      <c r="H503" s="9">
        <f>IFERROR(BDP(A503,"CUST_TRR_RETURN_HOLDING_PER","CUST_TRR_START_DT",Settings!$C$8,"CUST_TRR_END_DT",Settings!$C$4)/100,"")</f>
        <v/>
      </c>
    </row>
    <row r="504">
      <c r="A504" s="7" t="inlineStr">
        <is>
          <t>WYNN US Equity</t>
        </is>
      </c>
      <c r="B504">
        <f>IFERROR(BDP(A504,"NAME"),"")</f>
        <v/>
      </c>
      <c r="C504">
        <f>IFERROR(BDP(A504,"GICS_SECTOR_NAME"),"")</f>
        <v/>
      </c>
      <c r="D504" s="8">
        <f>IFERROR(BDP(A504,"PX_LAST"),"")</f>
        <v/>
      </c>
      <c r="E504" s="9">
        <f>IFERROR(BDP(A504,"CUST_TRR_RETURN_HOLDING_PER","CUST_TRR_START_DT",Settings!$C$5,"CUST_TRR_END_DT",Settings!$C$4)/100,"")</f>
        <v/>
      </c>
      <c r="F504" s="9">
        <f>IFERROR(BDP(A504,"CUST_TRR_RETURN_HOLDING_PER","CUST_TRR_START_DT",Settings!$C$6,"CUST_TRR_END_DT",Settings!$C$4)/100,"")</f>
        <v/>
      </c>
      <c r="G504" s="9">
        <f>IFERROR(BDP(A504,"CUST_TRR_RETURN_HOLDING_PER","CUST_TRR_START_DT",Settings!$C$7,"CUST_TRR_END_DT",Settings!$C$4)/100,"")</f>
        <v/>
      </c>
      <c r="H504" s="9">
        <f>IFERROR(BDP(A504,"CUST_TRR_RETURN_HOLDING_PER","CUST_TRR_START_DT",Settings!$C$8,"CUST_TRR_END_DT",Settings!$C$4)/100,"")</f>
        <v/>
      </c>
    </row>
    <row r="505">
      <c r="A505" s="7" t="inlineStr">
        <is>
          <t>XEL US Equity</t>
        </is>
      </c>
      <c r="B505">
        <f>IFERROR(BDP(A505,"NAME"),"")</f>
        <v/>
      </c>
      <c r="C505">
        <f>IFERROR(BDP(A505,"GICS_SECTOR_NAME"),"")</f>
        <v/>
      </c>
      <c r="D505" s="8">
        <f>IFERROR(BDP(A505,"PX_LAST"),"")</f>
        <v/>
      </c>
      <c r="E505" s="9">
        <f>IFERROR(BDP(A505,"CUST_TRR_RETURN_HOLDING_PER","CUST_TRR_START_DT",Settings!$C$5,"CUST_TRR_END_DT",Settings!$C$4)/100,"")</f>
        <v/>
      </c>
      <c r="F505" s="9">
        <f>IFERROR(BDP(A505,"CUST_TRR_RETURN_HOLDING_PER","CUST_TRR_START_DT",Settings!$C$6,"CUST_TRR_END_DT",Settings!$C$4)/100,"")</f>
        <v/>
      </c>
      <c r="G505" s="9">
        <f>IFERROR(BDP(A505,"CUST_TRR_RETURN_HOLDING_PER","CUST_TRR_START_DT",Settings!$C$7,"CUST_TRR_END_DT",Settings!$C$4)/100,"")</f>
        <v/>
      </c>
      <c r="H505" s="9">
        <f>IFERROR(BDP(A505,"CUST_TRR_RETURN_HOLDING_PER","CUST_TRR_START_DT",Settings!$C$8,"CUST_TRR_END_DT",Settings!$C$4)/100,"")</f>
        <v/>
      </c>
    </row>
    <row r="506">
      <c r="A506" s="7" t="inlineStr">
        <is>
          <t>XOM US Equity</t>
        </is>
      </c>
      <c r="B506">
        <f>IFERROR(BDP(A506,"NAME"),"")</f>
        <v/>
      </c>
      <c r="C506">
        <f>IFERROR(BDP(A506,"GICS_SECTOR_NAME"),"")</f>
        <v/>
      </c>
      <c r="D506" s="8">
        <f>IFERROR(BDP(A506,"PX_LAST"),"")</f>
        <v/>
      </c>
      <c r="E506" s="9">
        <f>IFERROR(BDP(A506,"CUST_TRR_RETURN_HOLDING_PER","CUST_TRR_START_DT",Settings!$C$5,"CUST_TRR_END_DT",Settings!$C$4)/100,"")</f>
        <v/>
      </c>
      <c r="F506" s="9">
        <f>IFERROR(BDP(A506,"CUST_TRR_RETURN_HOLDING_PER","CUST_TRR_START_DT",Settings!$C$6,"CUST_TRR_END_DT",Settings!$C$4)/100,"")</f>
        <v/>
      </c>
      <c r="G506" s="9">
        <f>IFERROR(BDP(A506,"CUST_TRR_RETURN_HOLDING_PER","CUST_TRR_START_DT",Settings!$C$7,"CUST_TRR_END_DT",Settings!$C$4)/100,"")</f>
        <v/>
      </c>
      <c r="H506" s="9">
        <f>IFERROR(BDP(A506,"CUST_TRR_RETURN_HOLDING_PER","CUST_TRR_START_DT",Settings!$C$8,"CUST_TRR_END_DT",Settings!$C$4)/100,"")</f>
        <v/>
      </c>
    </row>
    <row r="507">
      <c r="A507" s="7" t="inlineStr">
        <is>
          <t>XYL US Equity</t>
        </is>
      </c>
      <c r="B507">
        <f>IFERROR(BDP(A507,"NAME"),"")</f>
        <v/>
      </c>
      <c r="C507">
        <f>IFERROR(BDP(A507,"GICS_SECTOR_NAME"),"")</f>
        <v/>
      </c>
      <c r="D507" s="8">
        <f>IFERROR(BDP(A507,"PX_LAST"),"")</f>
        <v/>
      </c>
      <c r="E507" s="9">
        <f>IFERROR(BDP(A507,"CUST_TRR_RETURN_HOLDING_PER","CUST_TRR_START_DT",Settings!$C$5,"CUST_TRR_END_DT",Settings!$C$4)/100,"")</f>
        <v/>
      </c>
      <c r="F507" s="9">
        <f>IFERROR(BDP(A507,"CUST_TRR_RETURN_HOLDING_PER","CUST_TRR_START_DT",Settings!$C$6,"CUST_TRR_END_DT",Settings!$C$4)/100,"")</f>
        <v/>
      </c>
      <c r="G507" s="9">
        <f>IFERROR(BDP(A507,"CUST_TRR_RETURN_HOLDING_PER","CUST_TRR_START_DT",Settings!$C$7,"CUST_TRR_END_DT",Settings!$C$4)/100,"")</f>
        <v/>
      </c>
      <c r="H507" s="9">
        <f>IFERROR(BDP(A507,"CUST_TRR_RETURN_HOLDING_PER","CUST_TRR_START_DT",Settings!$C$8,"CUST_TRR_END_DT",Settings!$C$4)/100,"")</f>
        <v/>
      </c>
    </row>
    <row r="508">
      <c r="A508" s="7" t="inlineStr">
        <is>
          <t>YUM US Equity</t>
        </is>
      </c>
      <c r="B508">
        <f>IFERROR(BDP(A508,"NAME"),"")</f>
        <v/>
      </c>
      <c r="C508">
        <f>IFERROR(BDP(A508,"GICS_SECTOR_NAME"),"")</f>
        <v/>
      </c>
      <c r="D508" s="8">
        <f>IFERROR(BDP(A508,"PX_LAST"),"")</f>
        <v/>
      </c>
      <c r="E508" s="9">
        <f>IFERROR(BDP(A508,"CUST_TRR_RETURN_HOLDING_PER","CUST_TRR_START_DT",Settings!$C$5,"CUST_TRR_END_DT",Settings!$C$4)/100,"")</f>
        <v/>
      </c>
      <c r="F508" s="9">
        <f>IFERROR(BDP(A508,"CUST_TRR_RETURN_HOLDING_PER","CUST_TRR_START_DT",Settings!$C$6,"CUST_TRR_END_DT",Settings!$C$4)/100,"")</f>
        <v/>
      </c>
      <c r="G508" s="9">
        <f>IFERROR(BDP(A508,"CUST_TRR_RETURN_HOLDING_PER","CUST_TRR_START_DT",Settings!$C$7,"CUST_TRR_END_DT",Settings!$C$4)/100,"")</f>
        <v/>
      </c>
      <c r="H508" s="9">
        <f>IFERROR(BDP(A508,"CUST_TRR_RETURN_HOLDING_PER","CUST_TRR_START_DT",Settings!$C$8,"CUST_TRR_END_DT",Settings!$C$4)/100,"")</f>
        <v/>
      </c>
    </row>
    <row r="509">
      <c r="A509" s="7" t="inlineStr">
        <is>
          <t>ZBH US Equity</t>
        </is>
      </c>
      <c r="B509">
        <f>IFERROR(BDP(A509,"NAME"),"")</f>
        <v/>
      </c>
      <c r="C509">
        <f>IFERROR(BDP(A509,"GICS_SECTOR_NAME"),"")</f>
        <v/>
      </c>
      <c r="D509" s="8">
        <f>IFERROR(BDP(A509,"PX_LAST"),"")</f>
        <v/>
      </c>
      <c r="E509" s="9">
        <f>IFERROR(BDP(A509,"CUST_TRR_RETURN_HOLDING_PER","CUST_TRR_START_DT",Settings!$C$5,"CUST_TRR_END_DT",Settings!$C$4)/100,"")</f>
        <v/>
      </c>
      <c r="F509" s="9">
        <f>IFERROR(BDP(A509,"CUST_TRR_RETURN_HOLDING_PER","CUST_TRR_START_DT",Settings!$C$6,"CUST_TRR_END_DT",Settings!$C$4)/100,"")</f>
        <v/>
      </c>
      <c r="G509" s="9">
        <f>IFERROR(BDP(A509,"CUST_TRR_RETURN_HOLDING_PER","CUST_TRR_START_DT",Settings!$C$7,"CUST_TRR_END_DT",Settings!$C$4)/100,"")</f>
        <v/>
      </c>
      <c r="H509" s="9">
        <f>IFERROR(BDP(A509,"CUST_TRR_RETURN_HOLDING_PER","CUST_TRR_START_DT",Settings!$C$8,"CUST_TRR_END_DT",Settings!$C$4)/100,"")</f>
        <v/>
      </c>
    </row>
    <row r="510">
      <c r="A510" s="7" t="inlineStr">
        <is>
          <t>ZBRA US Equity</t>
        </is>
      </c>
      <c r="B510">
        <f>IFERROR(BDP(A510,"NAME"),"")</f>
        <v/>
      </c>
      <c r="C510">
        <f>IFERROR(BDP(A510,"GICS_SECTOR_NAME"),"")</f>
        <v/>
      </c>
      <c r="D510" s="8">
        <f>IFERROR(BDP(A510,"PX_LAST"),"")</f>
        <v/>
      </c>
      <c r="E510" s="9">
        <f>IFERROR(BDP(A510,"CUST_TRR_RETURN_HOLDING_PER","CUST_TRR_START_DT",Settings!$C$5,"CUST_TRR_END_DT",Settings!$C$4)/100,"")</f>
        <v/>
      </c>
      <c r="F510" s="9">
        <f>IFERROR(BDP(A510,"CUST_TRR_RETURN_HOLDING_PER","CUST_TRR_START_DT",Settings!$C$6,"CUST_TRR_END_DT",Settings!$C$4)/100,"")</f>
        <v/>
      </c>
      <c r="G510" s="9">
        <f>IFERROR(BDP(A510,"CUST_TRR_RETURN_HOLDING_PER","CUST_TRR_START_DT",Settings!$C$7,"CUST_TRR_END_DT",Settings!$C$4)/100,"")</f>
        <v/>
      </c>
      <c r="H510" s="9">
        <f>IFERROR(BDP(A510,"CUST_TRR_RETURN_HOLDING_PER","CUST_TRR_START_DT",Settings!$C$8,"CUST_TRR_END_DT",Settings!$C$4)/100,"")</f>
        <v/>
      </c>
    </row>
    <row r="511">
      <c r="A511" s="7" t="inlineStr">
        <is>
          <t>ZTS US Equity</t>
        </is>
      </c>
      <c r="B511">
        <f>IFERROR(BDP(A511,"NAME"),"")</f>
        <v/>
      </c>
      <c r="C511">
        <f>IFERROR(BDP(A511,"GICS_SECTOR_NAME"),"")</f>
        <v/>
      </c>
      <c r="D511" s="8">
        <f>IFERROR(BDP(A511,"PX_LAST"),"")</f>
        <v/>
      </c>
      <c r="E511" s="9">
        <f>IFERROR(BDP(A511,"CUST_TRR_RETURN_HOLDING_PER","CUST_TRR_START_DT",Settings!$C$5,"CUST_TRR_END_DT",Settings!$C$4)/100,"")</f>
        <v/>
      </c>
      <c r="F511" s="9">
        <f>IFERROR(BDP(A511,"CUST_TRR_RETURN_HOLDING_PER","CUST_TRR_START_DT",Settings!$C$6,"CUST_TRR_END_DT",Settings!$C$4)/100,"")</f>
        <v/>
      </c>
      <c r="G511" s="9">
        <f>IFERROR(BDP(A511,"CUST_TRR_RETURN_HOLDING_PER","CUST_TRR_START_DT",Settings!$C$7,"CUST_TRR_END_DT",Settings!$C$4)/100,"")</f>
        <v/>
      </c>
      <c r="H511" s="9">
        <f>IFERROR(BDP(A511,"CUST_TRR_RETURN_HOLDING_PER","CUST_TRR_START_DT",Settings!$C$8,"CUST_TRR_END_DT",Settings!$C$4)/100,"")</f>
        <v/>
      </c>
    </row>
    <row r="512"/>
    <row r="513">
      <c r="A513" s="5" t="inlineStr">
        <is>
          <t>Notes:</t>
        </is>
      </c>
    </row>
    <row r="514">
      <c r="A514" s="10" t="inlineStr">
        <is>
          <t>• Blue = Bloomberg ticker (edit / paste your full S&amp;P 500 list here). Formulas on each row auto-pull Name, Sector, Price, TR.</t>
        </is>
      </c>
    </row>
    <row r="515">
      <c r="A515" s="10" t="inlineStr">
        <is>
          <t>• Sort or filter by column to rank winners/losers per window.</t>
        </is>
      </c>
    </row>
    <row r="516">
      <c r="A516" s="10" t="inlineStr">
        <is>
          <t>• If your firm prefers gross dividend TR, swap CUST_TRR_RETURN_HOLDING_PER for the appropriate field.</t>
        </is>
      </c>
    </row>
  </sheetData>
  <autoFilter ref="A5:H511"/>
  <mergeCells count="4">
    <mergeCell ref="A516:H516"/>
    <mergeCell ref="A515:H515"/>
    <mergeCell ref="A514:H514"/>
    <mergeCell ref="A1:H1"/>
  </mergeCells>
  <conditionalFormatting sqref="E6:E511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F6:F511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G6:G511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H6:H511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26" customWidth="1" min="4" max="4"/>
    <col width="12" customWidth="1" min="5" max="5"/>
    <col width="12" customWidth="1" min="6" max="6"/>
  </cols>
  <sheetData>
    <row r="1">
      <c r="A1" s="1" t="inlineStr">
        <is>
          <t>S&amp;P 500 — Top 10 &amp; Bottom 10 Stocks (Year-to-Date Total Return)</t>
        </is>
      </c>
    </row>
    <row r="2">
      <c r="A2" s="10" t="inlineStr">
        <is>
          <t>Pulled live from the Data tab. Sort/refresh in Excel with Bloomberg connected.</t>
        </is>
      </c>
    </row>
    <row r="4" ht="22" customHeight="1">
      <c r="A4" s="16" t="inlineStr">
        <is>
          <t xml:space="preserve">  TOP 10 — Best YTD Total Return</t>
        </is>
      </c>
    </row>
    <row r="5" ht="22" customHeight="1">
      <c r="A5" s="17" t="inlineStr">
        <is>
          <t>Rank</t>
        </is>
      </c>
      <c r="B5" s="17" t="inlineStr">
        <is>
          <t>Ticker</t>
        </is>
      </c>
      <c r="C5" s="17" t="inlineStr">
        <is>
          <t>Name</t>
        </is>
      </c>
      <c r="D5" s="17" t="inlineStr">
        <is>
          <t>GICS Sector</t>
        </is>
      </c>
      <c r="E5" s="17" t="inlineStr">
        <is>
          <t>Price</t>
        </is>
      </c>
      <c r="F5" s="17" t="inlineStr">
        <is>
          <t>TR YTD</t>
        </is>
      </c>
    </row>
    <row r="6">
      <c r="A6" s="18" t="n">
        <v>1</v>
      </c>
      <c r="B6" s="19">
        <f>IFERROR(INDEX(Data!$A$6:$A$511,MATCH(LARGE(Data!$E$6:$E$511,1),Data!$E$6:$E$511,0)),"")</f>
        <v/>
      </c>
      <c r="C6" s="19">
        <f>IFERROR(INDEX(Data!$B$6:$B$511,MATCH(LARGE(Data!$E$6:$E$511,1),Data!$E$6:$E$511,0)),"")</f>
        <v/>
      </c>
      <c r="D6" s="19">
        <f>IFERROR(INDEX(Data!$C$6:$C$511,MATCH(LARGE(Data!$E$6:$E$511,1),Data!$E$6:$E$511,0)),"")</f>
        <v/>
      </c>
      <c r="E6" s="20">
        <f>IFERROR(INDEX(Data!$D$6:$D$511,MATCH(LARGE(Data!$E$6:$E$511,1),Data!$E$6:$E$511,0)),"")</f>
        <v/>
      </c>
      <c r="F6" s="21">
        <f>IFERROR(LARGE(Data!$E$6:$E$511,1),"")</f>
        <v/>
      </c>
    </row>
    <row r="7">
      <c r="A7" s="18" t="n">
        <v>2</v>
      </c>
      <c r="B7" s="19">
        <f>IFERROR(INDEX(Data!$A$6:$A$511,MATCH(LARGE(Data!$E$6:$E$511,2),Data!$E$6:$E$511,0)),"")</f>
        <v/>
      </c>
      <c r="C7" s="19">
        <f>IFERROR(INDEX(Data!$B$6:$B$511,MATCH(LARGE(Data!$E$6:$E$511,2),Data!$E$6:$E$511,0)),"")</f>
        <v/>
      </c>
      <c r="D7" s="19">
        <f>IFERROR(INDEX(Data!$C$6:$C$511,MATCH(LARGE(Data!$E$6:$E$511,2),Data!$E$6:$E$511,0)),"")</f>
        <v/>
      </c>
      <c r="E7" s="20">
        <f>IFERROR(INDEX(Data!$D$6:$D$511,MATCH(LARGE(Data!$E$6:$E$511,2),Data!$E$6:$E$511,0)),"")</f>
        <v/>
      </c>
      <c r="F7" s="21">
        <f>IFERROR(LARGE(Data!$E$6:$E$511,2),"")</f>
        <v/>
      </c>
    </row>
    <row r="8">
      <c r="A8" s="18" t="n">
        <v>3</v>
      </c>
      <c r="B8" s="19">
        <f>IFERROR(INDEX(Data!$A$6:$A$511,MATCH(LARGE(Data!$E$6:$E$511,3),Data!$E$6:$E$511,0)),"")</f>
        <v/>
      </c>
      <c r="C8" s="19">
        <f>IFERROR(INDEX(Data!$B$6:$B$511,MATCH(LARGE(Data!$E$6:$E$511,3),Data!$E$6:$E$511,0)),"")</f>
        <v/>
      </c>
      <c r="D8" s="19">
        <f>IFERROR(INDEX(Data!$C$6:$C$511,MATCH(LARGE(Data!$E$6:$E$511,3),Data!$E$6:$E$511,0)),"")</f>
        <v/>
      </c>
      <c r="E8" s="20">
        <f>IFERROR(INDEX(Data!$D$6:$D$511,MATCH(LARGE(Data!$E$6:$E$511,3),Data!$E$6:$E$511,0)),"")</f>
        <v/>
      </c>
      <c r="F8" s="21">
        <f>IFERROR(LARGE(Data!$E$6:$E$511,3),"")</f>
        <v/>
      </c>
    </row>
    <row r="9">
      <c r="A9" s="18" t="n">
        <v>4</v>
      </c>
      <c r="B9" s="19">
        <f>IFERROR(INDEX(Data!$A$6:$A$511,MATCH(LARGE(Data!$E$6:$E$511,4),Data!$E$6:$E$511,0)),"")</f>
        <v/>
      </c>
      <c r="C9" s="19">
        <f>IFERROR(INDEX(Data!$B$6:$B$511,MATCH(LARGE(Data!$E$6:$E$511,4),Data!$E$6:$E$511,0)),"")</f>
        <v/>
      </c>
      <c r="D9" s="19">
        <f>IFERROR(INDEX(Data!$C$6:$C$511,MATCH(LARGE(Data!$E$6:$E$511,4),Data!$E$6:$E$511,0)),"")</f>
        <v/>
      </c>
      <c r="E9" s="20">
        <f>IFERROR(INDEX(Data!$D$6:$D$511,MATCH(LARGE(Data!$E$6:$E$511,4),Data!$E$6:$E$511,0)),"")</f>
        <v/>
      </c>
      <c r="F9" s="21">
        <f>IFERROR(LARGE(Data!$E$6:$E$511,4),"")</f>
        <v/>
      </c>
    </row>
    <row r="10">
      <c r="A10" s="18" t="n">
        <v>5</v>
      </c>
      <c r="B10" s="19">
        <f>IFERROR(INDEX(Data!$A$6:$A$511,MATCH(LARGE(Data!$E$6:$E$511,5),Data!$E$6:$E$511,0)),"")</f>
        <v/>
      </c>
      <c r="C10" s="19">
        <f>IFERROR(INDEX(Data!$B$6:$B$511,MATCH(LARGE(Data!$E$6:$E$511,5),Data!$E$6:$E$511,0)),"")</f>
        <v/>
      </c>
      <c r="D10" s="19">
        <f>IFERROR(INDEX(Data!$C$6:$C$511,MATCH(LARGE(Data!$E$6:$E$511,5),Data!$E$6:$E$511,0)),"")</f>
        <v/>
      </c>
      <c r="E10" s="20">
        <f>IFERROR(INDEX(Data!$D$6:$D$511,MATCH(LARGE(Data!$E$6:$E$511,5),Data!$E$6:$E$511,0)),"")</f>
        <v/>
      </c>
      <c r="F10" s="21">
        <f>IFERROR(LARGE(Data!$E$6:$E$511,5),"")</f>
        <v/>
      </c>
    </row>
    <row r="11">
      <c r="A11" s="18" t="n">
        <v>6</v>
      </c>
      <c r="B11" s="19">
        <f>IFERROR(INDEX(Data!$A$6:$A$511,MATCH(LARGE(Data!$E$6:$E$511,6),Data!$E$6:$E$511,0)),"")</f>
        <v/>
      </c>
      <c r="C11" s="19">
        <f>IFERROR(INDEX(Data!$B$6:$B$511,MATCH(LARGE(Data!$E$6:$E$511,6),Data!$E$6:$E$511,0)),"")</f>
        <v/>
      </c>
      <c r="D11" s="19">
        <f>IFERROR(INDEX(Data!$C$6:$C$511,MATCH(LARGE(Data!$E$6:$E$511,6),Data!$E$6:$E$511,0)),"")</f>
        <v/>
      </c>
      <c r="E11" s="20">
        <f>IFERROR(INDEX(Data!$D$6:$D$511,MATCH(LARGE(Data!$E$6:$E$511,6),Data!$E$6:$E$511,0)),"")</f>
        <v/>
      </c>
      <c r="F11" s="21">
        <f>IFERROR(LARGE(Data!$E$6:$E$511,6),"")</f>
        <v/>
      </c>
    </row>
    <row r="12">
      <c r="A12" s="18" t="n">
        <v>7</v>
      </c>
      <c r="B12" s="19">
        <f>IFERROR(INDEX(Data!$A$6:$A$511,MATCH(LARGE(Data!$E$6:$E$511,7),Data!$E$6:$E$511,0)),"")</f>
        <v/>
      </c>
      <c r="C12" s="19">
        <f>IFERROR(INDEX(Data!$B$6:$B$511,MATCH(LARGE(Data!$E$6:$E$511,7),Data!$E$6:$E$511,0)),"")</f>
        <v/>
      </c>
      <c r="D12" s="19">
        <f>IFERROR(INDEX(Data!$C$6:$C$511,MATCH(LARGE(Data!$E$6:$E$511,7),Data!$E$6:$E$511,0)),"")</f>
        <v/>
      </c>
      <c r="E12" s="20">
        <f>IFERROR(INDEX(Data!$D$6:$D$511,MATCH(LARGE(Data!$E$6:$E$511,7),Data!$E$6:$E$511,0)),"")</f>
        <v/>
      </c>
      <c r="F12" s="21">
        <f>IFERROR(LARGE(Data!$E$6:$E$511,7),"")</f>
        <v/>
      </c>
    </row>
    <row r="13">
      <c r="A13" s="18" t="n">
        <v>8</v>
      </c>
      <c r="B13" s="19">
        <f>IFERROR(INDEX(Data!$A$6:$A$511,MATCH(LARGE(Data!$E$6:$E$511,8),Data!$E$6:$E$511,0)),"")</f>
        <v/>
      </c>
      <c r="C13" s="19">
        <f>IFERROR(INDEX(Data!$B$6:$B$511,MATCH(LARGE(Data!$E$6:$E$511,8),Data!$E$6:$E$511,0)),"")</f>
        <v/>
      </c>
      <c r="D13" s="19">
        <f>IFERROR(INDEX(Data!$C$6:$C$511,MATCH(LARGE(Data!$E$6:$E$511,8),Data!$E$6:$E$511,0)),"")</f>
        <v/>
      </c>
      <c r="E13" s="20">
        <f>IFERROR(INDEX(Data!$D$6:$D$511,MATCH(LARGE(Data!$E$6:$E$511,8),Data!$E$6:$E$511,0)),"")</f>
        <v/>
      </c>
      <c r="F13" s="21">
        <f>IFERROR(LARGE(Data!$E$6:$E$511,8),"")</f>
        <v/>
      </c>
    </row>
    <row r="14">
      <c r="A14" s="18" t="n">
        <v>9</v>
      </c>
      <c r="B14" s="19">
        <f>IFERROR(INDEX(Data!$A$6:$A$511,MATCH(LARGE(Data!$E$6:$E$511,9),Data!$E$6:$E$511,0)),"")</f>
        <v/>
      </c>
      <c r="C14" s="19">
        <f>IFERROR(INDEX(Data!$B$6:$B$511,MATCH(LARGE(Data!$E$6:$E$511,9),Data!$E$6:$E$511,0)),"")</f>
        <v/>
      </c>
      <c r="D14" s="19">
        <f>IFERROR(INDEX(Data!$C$6:$C$511,MATCH(LARGE(Data!$E$6:$E$511,9),Data!$E$6:$E$511,0)),"")</f>
        <v/>
      </c>
      <c r="E14" s="20">
        <f>IFERROR(INDEX(Data!$D$6:$D$511,MATCH(LARGE(Data!$E$6:$E$511,9),Data!$E$6:$E$511,0)),"")</f>
        <v/>
      </c>
      <c r="F14" s="21">
        <f>IFERROR(LARGE(Data!$E$6:$E$511,9),"")</f>
        <v/>
      </c>
    </row>
    <row r="15">
      <c r="A15" s="18" t="n">
        <v>10</v>
      </c>
      <c r="B15" s="19">
        <f>IFERROR(INDEX(Data!$A$6:$A$511,MATCH(LARGE(Data!$E$6:$E$511,10),Data!$E$6:$E$511,0)),"")</f>
        <v/>
      </c>
      <c r="C15" s="19">
        <f>IFERROR(INDEX(Data!$B$6:$B$511,MATCH(LARGE(Data!$E$6:$E$511,10),Data!$E$6:$E$511,0)),"")</f>
        <v/>
      </c>
      <c r="D15" s="19">
        <f>IFERROR(INDEX(Data!$C$6:$C$511,MATCH(LARGE(Data!$E$6:$E$511,10),Data!$E$6:$E$511,0)),"")</f>
        <v/>
      </c>
      <c r="E15" s="20">
        <f>IFERROR(INDEX(Data!$D$6:$D$511,MATCH(LARGE(Data!$E$6:$E$511,10),Data!$E$6:$E$511,0)),"")</f>
        <v/>
      </c>
      <c r="F15" s="21">
        <f>IFERROR(LARGE(Data!$E$6:$E$511,10),"")</f>
        <v/>
      </c>
    </row>
    <row r="16">
      <c r="A16" t="inlineStr"/>
    </row>
    <row r="18" ht="22" customHeight="1">
      <c r="A18" s="22" t="inlineStr">
        <is>
          <t xml:space="preserve">  BOTTOM 10 — Worst YTD Total Return</t>
        </is>
      </c>
    </row>
    <row r="19" ht="22" customHeight="1">
      <c r="A19" s="17" t="inlineStr">
        <is>
          <t>Rank</t>
        </is>
      </c>
      <c r="B19" s="17" t="inlineStr">
        <is>
          <t>Ticker</t>
        </is>
      </c>
      <c r="C19" s="17" t="inlineStr">
        <is>
          <t>Name</t>
        </is>
      </c>
      <c r="D19" s="17" t="inlineStr">
        <is>
          <t>GICS Sector</t>
        </is>
      </c>
      <c r="E19" s="17" t="inlineStr">
        <is>
          <t>Price</t>
        </is>
      </c>
      <c r="F19" s="17" t="inlineStr">
        <is>
          <t>TR YTD</t>
        </is>
      </c>
    </row>
    <row r="20">
      <c r="A20" s="23" t="n">
        <v>1</v>
      </c>
      <c r="B20" s="24">
        <f>IFERROR(INDEX(Data!$A$6:$A$511,MATCH(SMALL(Data!$E$6:$E$511,1),Data!$E$6:$E$511,0)),"")</f>
        <v/>
      </c>
      <c r="C20" s="24">
        <f>IFERROR(INDEX(Data!$B$6:$B$511,MATCH(SMALL(Data!$E$6:$E$511,1),Data!$E$6:$E$511,0)),"")</f>
        <v/>
      </c>
      <c r="D20" s="24">
        <f>IFERROR(INDEX(Data!$C$6:$C$511,MATCH(SMALL(Data!$E$6:$E$511,1),Data!$E$6:$E$511,0)),"")</f>
        <v/>
      </c>
      <c r="E20" s="25">
        <f>IFERROR(INDEX(Data!$D$6:$D$511,MATCH(SMALL(Data!$E$6:$E$511,1),Data!$E$6:$E$511,0)),"")</f>
        <v/>
      </c>
      <c r="F20" s="26">
        <f>IFERROR(SMALL(Data!$E$6:$E$511,1),"")</f>
        <v/>
      </c>
    </row>
    <row r="21">
      <c r="A21" s="23" t="n">
        <v>2</v>
      </c>
      <c r="B21" s="24">
        <f>IFERROR(INDEX(Data!$A$6:$A$511,MATCH(SMALL(Data!$E$6:$E$511,2),Data!$E$6:$E$511,0)),"")</f>
        <v/>
      </c>
      <c r="C21" s="24">
        <f>IFERROR(INDEX(Data!$B$6:$B$511,MATCH(SMALL(Data!$E$6:$E$511,2),Data!$E$6:$E$511,0)),"")</f>
        <v/>
      </c>
      <c r="D21" s="24">
        <f>IFERROR(INDEX(Data!$C$6:$C$511,MATCH(SMALL(Data!$E$6:$E$511,2),Data!$E$6:$E$511,0)),"")</f>
        <v/>
      </c>
      <c r="E21" s="25">
        <f>IFERROR(INDEX(Data!$D$6:$D$511,MATCH(SMALL(Data!$E$6:$E$511,2),Data!$E$6:$E$511,0)),"")</f>
        <v/>
      </c>
      <c r="F21" s="26">
        <f>IFERROR(SMALL(Data!$E$6:$E$511,2),"")</f>
        <v/>
      </c>
    </row>
    <row r="22">
      <c r="A22" s="23" t="n">
        <v>3</v>
      </c>
      <c r="B22" s="24">
        <f>IFERROR(INDEX(Data!$A$6:$A$511,MATCH(SMALL(Data!$E$6:$E$511,3),Data!$E$6:$E$511,0)),"")</f>
        <v/>
      </c>
      <c r="C22" s="24">
        <f>IFERROR(INDEX(Data!$B$6:$B$511,MATCH(SMALL(Data!$E$6:$E$511,3),Data!$E$6:$E$511,0)),"")</f>
        <v/>
      </c>
      <c r="D22" s="24">
        <f>IFERROR(INDEX(Data!$C$6:$C$511,MATCH(SMALL(Data!$E$6:$E$511,3),Data!$E$6:$E$511,0)),"")</f>
        <v/>
      </c>
      <c r="E22" s="25">
        <f>IFERROR(INDEX(Data!$D$6:$D$511,MATCH(SMALL(Data!$E$6:$E$511,3),Data!$E$6:$E$511,0)),"")</f>
        <v/>
      </c>
      <c r="F22" s="26">
        <f>IFERROR(SMALL(Data!$E$6:$E$511,3),"")</f>
        <v/>
      </c>
    </row>
    <row r="23">
      <c r="A23" s="23" t="n">
        <v>4</v>
      </c>
      <c r="B23" s="24">
        <f>IFERROR(INDEX(Data!$A$6:$A$511,MATCH(SMALL(Data!$E$6:$E$511,4),Data!$E$6:$E$511,0)),"")</f>
        <v/>
      </c>
      <c r="C23" s="24">
        <f>IFERROR(INDEX(Data!$B$6:$B$511,MATCH(SMALL(Data!$E$6:$E$511,4),Data!$E$6:$E$511,0)),"")</f>
        <v/>
      </c>
      <c r="D23" s="24">
        <f>IFERROR(INDEX(Data!$C$6:$C$511,MATCH(SMALL(Data!$E$6:$E$511,4),Data!$E$6:$E$511,0)),"")</f>
        <v/>
      </c>
      <c r="E23" s="25">
        <f>IFERROR(INDEX(Data!$D$6:$D$511,MATCH(SMALL(Data!$E$6:$E$511,4),Data!$E$6:$E$511,0)),"")</f>
        <v/>
      </c>
      <c r="F23" s="26">
        <f>IFERROR(SMALL(Data!$E$6:$E$511,4),"")</f>
        <v/>
      </c>
    </row>
    <row r="24">
      <c r="A24" s="23" t="n">
        <v>5</v>
      </c>
      <c r="B24" s="24">
        <f>IFERROR(INDEX(Data!$A$6:$A$511,MATCH(SMALL(Data!$E$6:$E$511,5),Data!$E$6:$E$511,0)),"")</f>
        <v/>
      </c>
      <c r="C24" s="24">
        <f>IFERROR(INDEX(Data!$B$6:$B$511,MATCH(SMALL(Data!$E$6:$E$511,5),Data!$E$6:$E$511,0)),"")</f>
        <v/>
      </c>
      <c r="D24" s="24">
        <f>IFERROR(INDEX(Data!$C$6:$C$511,MATCH(SMALL(Data!$E$6:$E$511,5),Data!$E$6:$E$511,0)),"")</f>
        <v/>
      </c>
      <c r="E24" s="25">
        <f>IFERROR(INDEX(Data!$D$6:$D$511,MATCH(SMALL(Data!$E$6:$E$511,5),Data!$E$6:$E$511,0)),"")</f>
        <v/>
      </c>
      <c r="F24" s="26">
        <f>IFERROR(SMALL(Data!$E$6:$E$511,5),"")</f>
        <v/>
      </c>
    </row>
    <row r="25">
      <c r="A25" s="23" t="n">
        <v>6</v>
      </c>
      <c r="B25" s="24">
        <f>IFERROR(INDEX(Data!$A$6:$A$511,MATCH(SMALL(Data!$E$6:$E$511,6),Data!$E$6:$E$511,0)),"")</f>
        <v/>
      </c>
      <c r="C25" s="24">
        <f>IFERROR(INDEX(Data!$B$6:$B$511,MATCH(SMALL(Data!$E$6:$E$511,6),Data!$E$6:$E$511,0)),"")</f>
        <v/>
      </c>
      <c r="D25" s="24">
        <f>IFERROR(INDEX(Data!$C$6:$C$511,MATCH(SMALL(Data!$E$6:$E$511,6),Data!$E$6:$E$511,0)),"")</f>
        <v/>
      </c>
      <c r="E25" s="25">
        <f>IFERROR(INDEX(Data!$D$6:$D$511,MATCH(SMALL(Data!$E$6:$E$511,6),Data!$E$6:$E$511,0)),"")</f>
        <v/>
      </c>
      <c r="F25" s="26">
        <f>IFERROR(SMALL(Data!$E$6:$E$511,6),"")</f>
        <v/>
      </c>
    </row>
    <row r="26">
      <c r="A26" s="23" t="n">
        <v>7</v>
      </c>
      <c r="B26" s="24">
        <f>IFERROR(INDEX(Data!$A$6:$A$511,MATCH(SMALL(Data!$E$6:$E$511,7),Data!$E$6:$E$511,0)),"")</f>
        <v/>
      </c>
      <c r="C26" s="24">
        <f>IFERROR(INDEX(Data!$B$6:$B$511,MATCH(SMALL(Data!$E$6:$E$511,7),Data!$E$6:$E$511,0)),"")</f>
        <v/>
      </c>
      <c r="D26" s="24">
        <f>IFERROR(INDEX(Data!$C$6:$C$511,MATCH(SMALL(Data!$E$6:$E$511,7),Data!$E$6:$E$511,0)),"")</f>
        <v/>
      </c>
      <c r="E26" s="25">
        <f>IFERROR(INDEX(Data!$D$6:$D$511,MATCH(SMALL(Data!$E$6:$E$511,7),Data!$E$6:$E$511,0)),"")</f>
        <v/>
      </c>
      <c r="F26" s="26">
        <f>IFERROR(SMALL(Data!$E$6:$E$511,7),"")</f>
        <v/>
      </c>
    </row>
    <row r="27">
      <c r="A27" s="23" t="n">
        <v>8</v>
      </c>
      <c r="B27" s="24">
        <f>IFERROR(INDEX(Data!$A$6:$A$511,MATCH(SMALL(Data!$E$6:$E$511,8),Data!$E$6:$E$511,0)),"")</f>
        <v/>
      </c>
      <c r="C27" s="24">
        <f>IFERROR(INDEX(Data!$B$6:$B$511,MATCH(SMALL(Data!$E$6:$E$511,8),Data!$E$6:$E$511,0)),"")</f>
        <v/>
      </c>
      <c r="D27" s="24">
        <f>IFERROR(INDEX(Data!$C$6:$C$511,MATCH(SMALL(Data!$E$6:$E$511,8),Data!$E$6:$E$511,0)),"")</f>
        <v/>
      </c>
      <c r="E27" s="25">
        <f>IFERROR(INDEX(Data!$D$6:$D$511,MATCH(SMALL(Data!$E$6:$E$511,8),Data!$E$6:$E$511,0)),"")</f>
        <v/>
      </c>
      <c r="F27" s="26">
        <f>IFERROR(SMALL(Data!$E$6:$E$511,8),"")</f>
        <v/>
      </c>
    </row>
    <row r="28">
      <c r="A28" s="23" t="n">
        <v>9</v>
      </c>
      <c r="B28" s="24">
        <f>IFERROR(INDEX(Data!$A$6:$A$511,MATCH(SMALL(Data!$E$6:$E$511,9),Data!$E$6:$E$511,0)),"")</f>
        <v/>
      </c>
      <c r="C28" s="24">
        <f>IFERROR(INDEX(Data!$B$6:$B$511,MATCH(SMALL(Data!$E$6:$E$511,9),Data!$E$6:$E$511,0)),"")</f>
        <v/>
      </c>
      <c r="D28" s="24">
        <f>IFERROR(INDEX(Data!$C$6:$C$511,MATCH(SMALL(Data!$E$6:$E$511,9),Data!$E$6:$E$511,0)),"")</f>
        <v/>
      </c>
      <c r="E28" s="25">
        <f>IFERROR(INDEX(Data!$D$6:$D$511,MATCH(SMALL(Data!$E$6:$E$511,9),Data!$E$6:$E$511,0)),"")</f>
        <v/>
      </c>
      <c r="F28" s="26">
        <f>IFERROR(SMALL(Data!$E$6:$E$511,9),"")</f>
        <v/>
      </c>
    </row>
    <row r="29">
      <c r="A29" s="23" t="n">
        <v>10</v>
      </c>
      <c r="B29" s="24">
        <f>IFERROR(INDEX(Data!$A$6:$A$511,MATCH(SMALL(Data!$E$6:$E$511,10),Data!$E$6:$E$511,0)),"")</f>
        <v/>
      </c>
      <c r="C29" s="24">
        <f>IFERROR(INDEX(Data!$B$6:$B$511,MATCH(SMALL(Data!$E$6:$E$511,10),Data!$E$6:$E$511,0)),"")</f>
        <v/>
      </c>
      <c r="D29" s="24">
        <f>IFERROR(INDEX(Data!$C$6:$C$511,MATCH(SMALL(Data!$E$6:$E$511,10),Data!$E$6:$E$511,0)),"")</f>
        <v/>
      </c>
      <c r="E29" s="25">
        <f>IFERROR(INDEX(Data!$D$6:$D$511,MATCH(SMALL(Data!$E$6:$E$511,10),Data!$E$6:$E$511,0)),"")</f>
        <v/>
      </c>
      <c r="F29" s="26">
        <f>IFERROR(SMALL(Data!$E$6:$E$511,10),"")</f>
        <v/>
      </c>
    </row>
    <row r="31">
      <c r="A31" s="5" t="inlineStr">
        <is>
          <t>Notes:</t>
        </is>
      </c>
    </row>
    <row r="32">
      <c r="A32" s="10" t="inlineStr">
        <is>
          <t>• Rankings update automatically when Bloomberg refreshes the Data tab.</t>
        </is>
      </c>
    </row>
    <row r="33">
      <c r="A33" s="10" t="inlineStr">
        <is>
          <t>• Ties: if two stocks tie on a YTD figure, MATCH returns the first occurrence in the Data tab — so the second tied name may appear at the next rank.</t>
        </is>
      </c>
    </row>
    <row r="34">
      <c r="A34" s="10" t="inlineStr">
        <is>
          <t>• Want a different window (1M / 3M / Custom)? Copy this sheet and replace 'Data!$E$' with '$F$' (1M), '$G$' (3M), or '$H$' (Custom).</t>
        </is>
      </c>
    </row>
  </sheetData>
  <mergeCells count="7">
    <mergeCell ref="A2:F2"/>
    <mergeCell ref="A33:F33"/>
    <mergeCell ref="A1:F1"/>
    <mergeCell ref="A32:F32"/>
    <mergeCell ref="A34:F34"/>
    <mergeCell ref="A18:F18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60" customWidth="1" min="4" max="4"/>
  </cols>
  <sheetData>
    <row r="1">
      <c r="A1" s="1" t="inlineStr">
        <is>
          <t>S&amp;P 500 Performance — Date Settings</t>
        </is>
      </c>
    </row>
    <row r="3">
      <c r="A3" s="11" t="inlineStr">
        <is>
          <t>Label</t>
        </is>
      </c>
      <c r="B3" s="11" t="inlineStr">
        <is>
          <t>Date</t>
        </is>
      </c>
      <c r="C3" s="11" t="inlineStr">
        <is>
          <t>YYYYMMDD (Bloomberg)</t>
        </is>
      </c>
      <c r="D3" s="11" t="inlineStr">
        <is>
          <t>Used for</t>
        </is>
      </c>
    </row>
    <row r="4">
      <c r="A4" t="inlineStr">
        <is>
          <t>Today</t>
        </is>
      </c>
      <c r="B4" s="12">
        <f>TODAY()</f>
        <v/>
      </c>
      <c r="C4" s="13">
        <f>TEXT(B4,"yyyymmdd")</f>
        <v/>
      </c>
      <c r="D4" s="10" t="inlineStr">
        <is>
          <t>End date for all windows</t>
        </is>
      </c>
    </row>
    <row r="5">
      <c r="A5" t="inlineStr">
        <is>
          <t>YTD baseline</t>
        </is>
      </c>
      <c r="B5" s="12">
        <f>DATE(YEAR(TODAY())-1,12,31)</f>
        <v/>
      </c>
      <c r="C5" s="13">
        <f>TEXT(B5,"yyyymmdd")</f>
        <v/>
      </c>
      <c r="D5" s="10" t="inlineStr">
        <is>
          <t>Prior year-end close</t>
        </is>
      </c>
    </row>
    <row r="6">
      <c r="A6" t="inlineStr">
        <is>
          <t>1M ago</t>
        </is>
      </c>
      <c r="B6" s="12">
        <f>EDATE(TODAY(),-1)</f>
        <v/>
      </c>
      <c r="C6" s="13">
        <f>TEXT(B6,"yyyymmdd")</f>
        <v/>
      </c>
      <c r="D6" s="10" t="inlineStr">
        <is>
          <t>One month trailing</t>
        </is>
      </c>
    </row>
    <row r="7">
      <c r="A7" t="inlineStr">
        <is>
          <t>3M ago</t>
        </is>
      </c>
      <c r="B7" s="12">
        <f>EDATE(TODAY(),-3)</f>
        <v/>
      </c>
      <c r="C7" s="13">
        <f>TEXT(B7,"yyyymmdd")</f>
        <v/>
      </c>
      <c r="D7" s="10" t="inlineStr">
        <is>
          <t>Three months trailing</t>
        </is>
      </c>
    </row>
    <row r="8">
      <c r="A8" s="14" t="inlineStr">
        <is>
          <t>Custom date</t>
        </is>
      </c>
      <c r="B8" s="15">
        <f>EDATE(TODAY(),-6)</f>
        <v/>
      </c>
      <c r="C8" s="13">
        <f>TEXT(B8,"yyyymmdd")</f>
        <v/>
      </c>
      <c r="D8" s="10" t="inlineStr">
        <is>
          <t>EDIT ME — pick any reference date</t>
        </is>
      </c>
    </row>
    <row r="10">
      <c r="A10" s="5" t="inlineStr">
        <is>
          <t>Notes</t>
        </is>
      </c>
    </row>
    <row r="11">
      <c r="A11" s="10" t="inlineStr">
        <is>
          <t>Edit B8 to compare today vs any date.</t>
        </is>
      </c>
    </row>
    <row r="12">
      <c r="A12" s="10" t="inlineStr">
        <is>
          <t>TR uses CUST_TRR_RETURN_HOLDING_PER with date overrides — includes dividends.</t>
        </is>
      </c>
    </row>
    <row r="13">
      <c r="A13" s="10" t="inlineStr">
        <is>
          <t>Formulas divide CUST_TRR by 100 to give a decimal then format as %. If your Bloomberg returns decimals, drop the /100.</t>
        </is>
      </c>
    </row>
    <row r="14">
      <c r="A14" s="10" t="inlineStr">
        <is>
          <t>To extend the list: type or paste additional Bloomberg tickers into column A on the Data sheet — formulas will auto-fill.</t>
        </is>
      </c>
    </row>
  </sheetData>
  <mergeCells count="5">
    <mergeCell ref="A1:D1"/>
    <mergeCell ref="A12:D12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2026-05-12T00:41:30Z</dcterms:created>
  <dcterms:modified xmlns:dcterms="http://purl.org/dc/terms/" xmlns:xsi="http://www.w3.org/2001/XMLSchema-instance" xsi:type="dcterms:W3CDTF">2026-05-12T00:46:51Z</dcterms:modified>
</cp:coreProperties>
</file>