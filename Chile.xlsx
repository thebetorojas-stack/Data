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nthly" sheetId="2" state="visible" r:id="rId2"/>
    <sheet xmlns:r="http://schemas.openxmlformats.org/officeDocument/2006/relationships" name="Quarterly" sheetId="3" state="visible" r:id="rId3"/>
    <sheet xmlns:r="http://schemas.openxmlformats.org/officeDocument/2006/relationships" name="Annual" sheetId="4" state="visible" r:id="rId4"/>
    <sheet xmlns:r="http://schemas.openxmlformats.org/officeDocument/2006/relationships" name="Credit" sheetId="5" state="visible" r:id="rId5"/>
    <sheet xmlns:r="http://schemas.openxmlformats.org/officeDocument/2006/relationships" name="Markets" sheetId="6" state="visible" r:id="rId6"/>
    <sheet xmlns:r="http://schemas.openxmlformats.org/officeDocument/2006/relationships" name="Tickers" sheetId="7" state="visible" r:id="rId7"/>
  </sheets>
  <definedNames>
    <definedName name="_xlnm._FilterDatabase" localSheetId="6" hidden="1">'Tickers'!$A$1:$F$27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8"/>
    </font>
    <font>
      <name val="Calibri"/>
      <i val="1"/>
      <color rgb="00595959"/>
      <sz val="10"/>
    </font>
    <font>
      <name val="Calibri"/>
      <b val="1"/>
      <sz val="12"/>
    </font>
    <font>
      <name val="Calibri"/>
      <sz val="10"/>
    </font>
    <font>
      <name val="Calibri"/>
      <b val="1"/>
      <color rgb="001F4E79"/>
      <sz val="16"/>
    </font>
    <font>
      <name val="Calibri"/>
      <b val="1"/>
      <color rgb="00FFFFFF"/>
      <sz val="11"/>
    </font>
  </fonts>
  <fills count="4">
    <fill>
      <patternFill/>
    </fill>
    <fill>
      <patternFill patternType="gray125"/>
    </fill>
    <fill>
      <patternFill patternType="solid">
        <fgColor rgb="00D9E1F2"/>
      </patternFill>
    </fill>
    <fill>
      <patternFill patternType="solid">
        <f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center"/>
    </xf>
    <xf numFmtId="0" fontId="6"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CPI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'Monthly'!$A$5:$A$255</f>
            </numRef>
          </cat>
          <val>
            <numRef>
              <f>'Monthly'!$B$5:$B$255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CPI core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'Monthly'!$D$5:$D$255</f>
            </numRef>
          </cat>
          <val>
            <numRef>
              <f>'Monthly'!$E$5:$E$255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IMACEC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'Monthly'!$G$5:$G$255</f>
            </numRef>
          </cat>
          <val>
            <numRef>
              <f>'Monthly'!$H$5:$H$255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Industrial production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'Monthly'!$J$5:$J$255</f>
            </numRef>
          </cat>
          <val>
            <numRef>
              <f>'Monthly'!$K$5:$K$255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Retail sales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'Monthly'!$M$5:$M$255</f>
            </numRef>
          </cat>
          <val>
            <numRef>
              <f>'Monthly'!$N$5:$N$255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Unemployment rate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'Monthly'!$P$5:$P$255</f>
            </numRef>
          </cat>
          <val>
            <numRef>
              <f>'Monthly'!$Q$5:$Q$255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Trade balance (USD mn)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'Monthly'!$S$5:$S$255</f>
            </numRef>
          </cat>
          <val>
            <numRef>
              <f>'Monthly'!$T$5:$T$255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Reserves (USD bn)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'Monthly'!$V$5:$V$255</f>
            </numRef>
          </cat>
          <val>
            <numRef>
              <f>'Monthly'!$W$5:$W$255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Policy rate TPM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'Monthly'!$Y$5:$Y$255</f>
            </numRef>
          </cat>
          <val>
            <numRef>
              <f>'Monthly'!$Z$5:$Z$255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Real GDP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'Quarterly'!$A$5:$A$95</f>
            </numRef>
          </cat>
          <val>
            <numRef>
              <f>'Quarterly'!$B$5:$B$95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a:pPr>
            <a:r>
              <a:t>GDP QoQ saar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'Quarterly'!$D$5:$D$95</f>
            </numRef>
          </cat>
          <val>
            <numRef>
              <f>'Quarterly'!$E$5:$E$95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a:pPr>
            <a:r>
              <a:t>Current account % GDP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'Quarterly'!$G$5:$G$95</f>
            </numRef>
          </cat>
          <val>
            <numRef>
              <f>'Quarterly'!$H$5:$H$95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a:pPr>
            <a:r>
              <a:t>Investment GFCF YoY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'Quarterly'!$J$5:$J$95</f>
            </numRef>
          </cat>
          <val>
            <numRef>
              <f>'Quarterly'!$K$5:$K$95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a:pPr>
            <a:r>
              <a:t>GDP per capita USD</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'Annual'!$A$5:$A$40</f>
            </numRef>
          </cat>
          <val>
            <numRef>
              <f>'Annual'!$B$5:$B$40</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a:pPr>
            <a:r>
              <a:t>Govt debt % GDP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'Annual'!$D$5:$D$40</f>
            </numRef>
          </cat>
          <val>
            <numRef>
              <f>'Annual'!$E$5:$E$40</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a:pPr>
            <a:r>
              <a:t>External debt % GDP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'Annual'!$G$5:$G$40</f>
            </numRef>
          </cat>
          <val>
            <numRef>
              <f>'Annual'!$H$5:$H$40</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17.xml><?xml version="1.0" encoding="utf-8"?>
<chartSpace xmlns="http://schemas.openxmlformats.org/drawingml/2006/chart">
  <style val="2"/>
  <chart>
    <title>
      <tx>
        <rich>
          <a:bodyPr xmlns:a="http://schemas.openxmlformats.org/drawingml/2006/main"/>
          <a:p xmlns:a="http://schemas.openxmlformats.org/drawingml/2006/main">
            <a:pPr>
              <a:defRPr/>
            </a:pPr>
            <a:r>
              <a:t>EMBI Chile spread (bps)</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'Credit'!$A$5:$A$2205</f>
            </numRef>
          </cat>
          <val>
            <numRef>
              <f>'Credit'!$B$5:$B$2205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quot; bps&quot;" sourceLinked="0"/>
        <majorTickMark val="none"/>
        <minorTickMark val="none"/>
        <crossAx val="10"/>
      </valAx>
    </plotArea>
    <plotVisOnly val="1"/>
    <dispBlanksAs val="gap"/>
  </chart>
</chartSpace>
</file>

<file path=xl/charts/chart18.xml><?xml version="1.0" encoding="utf-8"?>
<chartSpace xmlns="http://schemas.openxmlformats.org/drawingml/2006/chart">
  <style val="2"/>
  <chart>
    <title>
      <tx>
        <rich>
          <a:bodyPr xmlns:a="http://schemas.openxmlformats.org/drawingml/2006/main"/>
          <a:p xmlns:a="http://schemas.openxmlformats.org/drawingml/2006/main">
            <a:pPr>
              <a:defRPr/>
            </a:pPr>
            <a:r>
              <a:t>CEMBI Chile spread (bps)</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'Credit'!$D$5:$D$2205</f>
            </numRef>
          </cat>
          <val>
            <numRef>
              <f>'Credit'!$E$5:$E$2205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quot; bps&quot;" sourceLinked="0"/>
        <majorTickMark val="none"/>
        <minorTickMark val="none"/>
        <crossAx val="10"/>
      </valAx>
    </plotArea>
    <plotVisOnly val="1"/>
    <dispBlanksAs val="gap"/>
  </chart>
</chartSpace>
</file>

<file path=xl/charts/chart19.xml><?xml version="1.0" encoding="utf-8"?>
<chartSpace xmlns="http://schemas.openxmlformats.org/drawingml/2006/chart">
  <style val="2"/>
  <chart>
    <title>
      <tx>
        <rich>
          <a:bodyPr xmlns:a="http://schemas.openxmlformats.org/drawingml/2006/main"/>
          <a:p xmlns:a="http://schemas.openxmlformats.org/drawingml/2006/main">
            <a:pPr>
              <a:defRPr/>
            </a:pPr>
            <a:r>
              <a:t>EMBI Chile total return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'Credit'!$G$5:$G$2205</f>
            </numRef>
          </cat>
          <val>
            <numRef>
              <f>'Credit'!$H$5:$H$2205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0.xml><?xml version="1.0" encoding="utf-8"?>
<chartSpace xmlns="http://schemas.openxmlformats.org/drawingml/2006/chart">
  <style val="2"/>
  <chart>
    <title>
      <tx>
        <rich>
          <a:bodyPr xmlns:a="http://schemas.openxmlformats.org/drawingml/2006/main"/>
          <a:p xmlns:a="http://schemas.openxmlformats.org/drawingml/2006/main">
            <a:pPr>
              <a:defRPr/>
            </a:pPr>
            <a:r>
              <a:t>Chile USD 5Y yield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'Credit'!$J$5:$J$2205</f>
            </numRef>
          </cat>
          <val>
            <numRef>
              <f>'Credit'!$K$5:$K$2205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1.xml><?xml version="1.0" encoding="utf-8"?>
<chartSpace xmlns="http://schemas.openxmlformats.org/drawingml/2006/chart">
  <style val="2"/>
  <chart>
    <title>
      <tx>
        <rich>
          <a:bodyPr xmlns:a="http://schemas.openxmlformats.org/drawingml/2006/main"/>
          <a:p xmlns:a="http://schemas.openxmlformats.org/drawingml/2006/main">
            <a:pPr>
              <a:defRPr/>
            </a:pPr>
            <a:r>
              <a:t>Chile USD 10Y yield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'Credit'!$M$5:$M$2205</f>
            </numRef>
          </cat>
          <val>
            <numRef>
              <f>'Credit'!$N$5:$N$2205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2.xml><?xml version="1.0" encoding="utf-8"?>
<chartSpace xmlns="http://schemas.openxmlformats.org/drawingml/2006/chart">
  <style val="2"/>
  <chart>
    <title>
      <tx>
        <rich>
          <a:bodyPr xmlns:a="http://schemas.openxmlformats.org/drawingml/2006/main"/>
          <a:p xmlns:a="http://schemas.openxmlformats.org/drawingml/2006/main">
            <a:pPr>
              <a:defRPr/>
            </a:pPr>
            <a:r>
              <a:t>Chile USD 30Y yield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'Credit'!$P$5:$P$2205</f>
            </numRef>
          </cat>
          <val>
            <numRef>
              <f>'Credit'!$Q$5:$Q$2205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charts/chart23.xml><?xml version="1.0" encoding="utf-8"?>
<chartSpace xmlns="http://schemas.openxmlformats.org/drawingml/2006/chart">
  <style val="2"/>
  <chart>
    <title>
      <tx>
        <rich>
          <a:bodyPr xmlns:a="http://schemas.openxmlformats.org/drawingml/2006/main"/>
          <a:p xmlns:a="http://schemas.openxmlformats.org/drawingml/2006/main">
            <a:pPr>
              <a:defRPr/>
            </a:pPr>
            <a:r>
              <a:t>USD/CLP</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'Markets'!$A$5:$A$2205</f>
            </numRef>
          </cat>
          <val>
            <numRef>
              <f>'Markets'!$B$5:$B$2205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4.xml><?xml version="1.0" encoding="utf-8"?>
<chartSpace xmlns="http://schemas.openxmlformats.org/drawingml/2006/chart">
  <style val="2"/>
  <chart>
    <title>
      <tx>
        <rich>
          <a:bodyPr xmlns:a="http://schemas.openxmlformats.org/drawingml/2006/main"/>
          <a:p xmlns:a="http://schemas.openxmlformats.org/drawingml/2006/main">
            <a:pPr>
              <a:defRPr/>
            </a:pPr>
            <a:r>
              <a:t>Copper LME (USD/lb)</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'Markets'!$D$5:$D$2205</f>
            </numRef>
          </cat>
          <val>
            <numRef>
              <f>'Markets'!$E$5:$E$2205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5.xml><?xml version="1.0" encoding="utf-8"?>
<chartSpace xmlns="http://schemas.openxmlformats.org/drawingml/2006/chart">
  <style val="2"/>
  <chart>
    <title>
      <tx>
        <rich>
          <a:bodyPr xmlns:a="http://schemas.openxmlformats.org/drawingml/2006/main"/>
          <a:p xmlns:a="http://schemas.openxmlformats.org/drawingml/2006/main">
            <a:pPr>
              <a:defRPr/>
            </a:pPr>
            <a:r>
              <a:t>IPSA</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'Markets'!$G$5:$G$2205</f>
            </numRef>
          </cat>
          <val>
            <numRef>
              <f>'Markets'!$H$5:$H$2205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 sourceLinked="0"/>
        <majorTickMark val="none"/>
        <minorTickMark val="none"/>
        <crossAx val="10"/>
      </valAx>
    </plotArea>
    <plotVisOnly val="1"/>
    <dispBlanksAs val="gap"/>
  </chart>
</chartSpace>
</file>

<file path=xl/charts/chart26.xml><?xml version="1.0" encoding="utf-8"?>
<chartSpace xmlns="http://schemas.openxmlformats.org/drawingml/2006/chart">
  <style val="2"/>
  <chart>
    <title>
      <tx>
        <rich>
          <a:bodyPr xmlns:a="http://schemas.openxmlformats.org/drawingml/2006/main"/>
          <a:p xmlns:a="http://schemas.openxmlformats.org/drawingml/2006/main">
            <a:pPr>
              <a:defRPr/>
            </a:pPr>
            <a:r>
              <a:t>Chile 10Y local rate (%)</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'Markets'!$J$5:$J$2205</f>
            </numRef>
          </cat>
          <val>
            <numRef>
              <f>'Markets'!$K$5:$K$2205</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00&quot;%&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_rels/drawing2.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s>
</file>

<file path=xl/drawings/_rels/drawing4.xml.rels><Relationships xmlns="http://schemas.openxmlformats.org/package/2006/relationships"><Relationship Type="http://schemas.openxmlformats.org/officeDocument/2006/relationships/chart" Target="/xl/charts/chart17.xml" Id="rId1"/><Relationship Type="http://schemas.openxmlformats.org/officeDocument/2006/relationships/chart" Target="/xl/charts/chart18.xml" Id="rId2"/><Relationship Type="http://schemas.openxmlformats.org/officeDocument/2006/relationships/chart" Target="/xl/charts/chart19.xml" Id="rId3"/><Relationship Type="http://schemas.openxmlformats.org/officeDocument/2006/relationships/chart" Target="/xl/charts/chart20.xml" Id="rId4"/><Relationship Type="http://schemas.openxmlformats.org/officeDocument/2006/relationships/chart" Target="/xl/charts/chart21.xml" Id="rId5"/><Relationship Type="http://schemas.openxmlformats.org/officeDocument/2006/relationships/chart" Target="/xl/charts/chart22.xml" Id="rId6"/></Relationships>
</file>

<file path=xl/drawings/_rels/drawing5.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 Type="http://schemas.openxmlformats.org/officeDocument/2006/relationships/chart" Target="/xl/charts/chart25.xml" Id="rId3"/><Relationship Type="http://schemas.openxmlformats.org/officeDocument/2006/relationships/chart" Target="/xl/charts/chart26.xml" Id="rId4"/></Relationships>
</file>

<file path=xl/drawings/drawing1.xml><?xml version="1.0" encoding="utf-8"?>
<wsDr xmlns="http://schemas.openxmlformats.org/drawingml/2006/spreadsheetDrawing">
  <oneCellAnchor>
    <from>
      <col>0</col>
      <colOff>0</colOff>
      <row>258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258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274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274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290</row>
      <rowOff>0</rowOff>
    </from>
    <ext cx="504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8</col>
      <colOff>0</colOff>
      <row>290</row>
      <rowOff>0</rowOff>
    </from>
    <ext cx="504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306</row>
      <rowOff>0</rowOff>
    </from>
    <ext cx="5040000" cy="252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8</col>
      <colOff>0</colOff>
      <row>306</row>
      <rowOff>0</rowOff>
    </from>
    <ext cx="5040000" cy="25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0</col>
      <colOff>0</colOff>
      <row>322</row>
      <rowOff>0</rowOff>
    </from>
    <ext cx="5040000" cy="252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drawings/drawing2.xml><?xml version="1.0" encoding="utf-8"?>
<wsDr xmlns="http://schemas.openxmlformats.org/drawingml/2006/spreadsheetDrawing">
  <oneCellAnchor>
    <from>
      <col>0</col>
      <colOff>0</colOff>
      <row>98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98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114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114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xml><?xml version="1.0" encoding="utf-8"?>
<wsDr xmlns="http://schemas.openxmlformats.org/drawingml/2006/spreadsheetDrawing">
  <oneCellAnchor>
    <from>
      <col>0</col>
      <colOff>0</colOff>
      <row>43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43</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59</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2208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2208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2224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2224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2240</row>
      <rowOff>0</rowOff>
    </from>
    <ext cx="504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8</col>
      <colOff>0</colOff>
      <row>2240</row>
      <rowOff>0</rowOff>
    </from>
    <ext cx="504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5.xml><?xml version="1.0" encoding="utf-8"?>
<wsDr xmlns="http://schemas.openxmlformats.org/drawingml/2006/spreadsheetDrawing">
  <oneCellAnchor>
    <from>
      <col>0</col>
      <colOff>0</colOff>
      <row>2208</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2208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2224</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2224</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3" customWidth="1" min="1" max="1"/>
    <col width="88" customWidth="1" min="2" max="2"/>
    <col width="3" customWidth="1" min="3" max="3"/>
    <col width="18" customWidth="1" min="4" max="4"/>
    <col width="18" customWidth="1" min="5" max="5"/>
    <col width="18" customWidth="1" min="6" max="6"/>
    <col width="18" customWidth="1" min="7" max="7"/>
    <col width="3" customWidth="1" min="8" max="8"/>
  </cols>
  <sheetData>
    <row r="2">
      <c r="B2" s="1" t="inlineStr">
        <is>
          <t>Chile — Macro &amp; Hard-Currency Credit</t>
        </is>
      </c>
    </row>
    <row r="3">
      <c r="B3" s="2" t="inlineStr">
        <is>
          <t>Self-updating workbook driven by Bloomberg BDH formulas</t>
        </is>
      </c>
    </row>
    <row r="5">
      <c r="B5" s="3" t="inlineStr">
        <is>
          <t>How it works</t>
        </is>
      </c>
    </row>
    <row r="6" ht="50" customHeight="1">
      <c r="B6" s="4" t="inlineStr">
        <is>
          <t>Every series on every tab is a single =BDH(...) formula that pulls the time series directly from Bloomberg. Charts reference those cells, so refreshing the formulas refreshes the charts.</t>
        </is>
      </c>
    </row>
    <row r="8">
      <c r="B8" s="3" t="inlineStr">
        <is>
          <t>To refresh</t>
        </is>
      </c>
    </row>
    <row r="9" ht="50" customHeight="1">
      <c r="B9" s="4" t="inlineStr">
        <is>
          <t>1) Make sure Bloomberg Terminal is open and you're logged in.  2) On the Bloomberg toolbar in the Excel ribbon, click 'Refresh Workbook' (or press F9). The data and charts update in place.</t>
        </is>
      </c>
    </row>
    <row r="11">
      <c r="B11" s="3" t="inlineStr">
        <is>
          <t>Tabs</t>
        </is>
      </c>
    </row>
    <row r="12" ht="50" customHeight="1">
      <c r="B12" s="4" t="inlineStr">
        <is>
          <t>Monthly · Quarterly · Annual · Credit · Markets — each one self-contained, with the data block at the top and a 2-column chart grid below it.</t>
        </is>
      </c>
    </row>
    <row r="14">
      <c r="B14" s="3" t="inlineStr">
        <is>
          <t>Editing tickers</t>
        </is>
      </c>
    </row>
    <row r="15" ht="50" customHeight="1">
      <c r="B15" s="4" t="inlineStr">
        <is>
          <t>Open the 'Tickers' tab. Each series has its own row showing the current ticker. If a series is showing #N/A or the wrong number, replace the ticker on that row, then refresh — that's the only change needed.</t>
        </is>
      </c>
    </row>
    <row r="17">
      <c r="B17" s="3" t="inlineStr">
        <is>
          <t>Looking up tickers in Bloomberg</t>
        </is>
      </c>
    </row>
    <row r="18" ht="50" customHeight="1">
      <c r="B18" s="4" t="inlineStr">
        <is>
          <t>ECO &lt;GO&gt;, then country, gives the official tickers for macro indicators. SECF &lt;GO&gt; finds securities by name. Once you have the right ticker, paste it into the Tickers tab.</t>
        </is>
      </c>
    </row>
    <row r="20">
      <c r="B20" s="3" t="inlineStr">
        <is>
          <t>Caveats</t>
        </is>
      </c>
    </row>
    <row r="21" ht="50" customHeight="1">
      <c r="B21" s="4" t="inlineStr">
        <is>
          <t>Argentina CPI has structural breaks pre-2017 (INDEC suspension); levels are still valid post-2017. For Argentina FX, Bloomberg reports official, MEP, CCL separately — see Markets tab. Charts are native Excel objects so they survive emailing the workbook to clients (no Bloomberg required on the receiving end — they see the last values you refreshed).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 width="13" customWidth="1" min="13" max="13"/>
    <col width="13" customWidth="1" min="14" max="14"/>
    <col width="13" customWidth="1" min="16" max="16"/>
    <col width="13" customWidth="1" min="17" max="17"/>
    <col width="13" customWidth="1" min="19" max="19"/>
    <col width="13" customWidth="1" min="20" max="20"/>
    <col width="13" customWidth="1" min="22" max="22"/>
    <col width="13" customWidth="1" min="23" max="23"/>
    <col width="13" customWidth="1" min="25" max="25"/>
    <col width="13" customWidth="1" min="26" max="26"/>
  </cols>
  <sheetData>
    <row r="1">
      <c r="A1" s="5" t="inlineStr">
        <is>
          <t>Chile — Monthly</t>
        </is>
      </c>
    </row>
    <row r="2">
      <c r="A2" s="2" t="inlineStr">
        <is>
          <t>Refresh: Bloomberg toolbar → Refresh Workbook    (or press F9). Edit tickers on the 'Tickers' tab.</t>
        </is>
      </c>
    </row>
    <row r="3">
      <c r="A3" s="2" t="inlineStr">
        <is>
          <t>Latest readings</t>
        </is>
      </c>
    </row>
    <row r="4">
      <c r="A4" s="6" t="inlineStr">
        <is>
          <t>CPI YoY (%)</t>
        </is>
      </c>
      <c r="D4" s="6" t="inlineStr">
        <is>
          <t>CPI core YoY (%)</t>
        </is>
      </c>
      <c r="G4" s="6" t="inlineStr">
        <is>
          <t>IMACEC YoY (%)</t>
        </is>
      </c>
      <c r="J4" s="6" t="inlineStr">
        <is>
          <t>Industrial production YoY (%)</t>
        </is>
      </c>
      <c r="M4" s="6" t="inlineStr">
        <is>
          <t>Retail sales YoY (%)</t>
        </is>
      </c>
      <c r="P4" s="6" t="inlineStr">
        <is>
          <t>Unemployment rate (%)</t>
        </is>
      </c>
      <c r="S4" s="6" t="inlineStr">
        <is>
          <t>Trade balance (USD mn)</t>
        </is>
      </c>
      <c r="V4" s="6" t="inlineStr">
        <is>
          <t>Reserves (USD bn)</t>
        </is>
      </c>
      <c r="Y4" s="6" t="inlineStr">
        <is>
          <t>Policy rate TPM (%)</t>
        </is>
      </c>
    </row>
    <row r="5">
      <c r="A5">
        <f>BDH("CHCPIYOY Index","PX_LAST","1/1/2010",TODAY(),"Per","M")</f>
        <v/>
      </c>
      <c r="D5">
        <f>BDH("CHCPCRYY Index","PX_LAST","1/1/2010",TODAY(),"Per","M")</f>
        <v/>
      </c>
      <c r="G5">
        <f>BDH("CHIMACYY Index","PX_LAST","1/1/2010",TODAY(),"Per","M")</f>
        <v/>
      </c>
      <c r="J5">
        <f>BDH("CHIPYOY Index","PX_LAST","1/1/2010",TODAY(),"Per","M")</f>
        <v/>
      </c>
      <c r="M5">
        <f>BDH("CHRSYOY Index","PX_LAST","1/1/2010",TODAY(),"Per","M")</f>
        <v/>
      </c>
      <c r="P5">
        <f>BDH("CHUEMP Index","PX_LAST","1/1/2010",TODAY(),"Per","M")</f>
        <v/>
      </c>
      <c r="S5">
        <f>BDH("CHTBTOTL Index","PX_LAST","1/1/2010",TODAY(),"Per","M")</f>
        <v/>
      </c>
      <c r="V5">
        <f>BDH("CHRESVS Index","PX_LAST","1/1/2010",TODAY(),"Per","M")</f>
        <v/>
      </c>
      <c r="Y5">
        <f>BDH("CHOVCHOV Index","PX_LAST","1/1/2010",TODAY(),"Per","M")</f>
        <v/>
      </c>
    </row>
  </sheetData>
  <mergeCells count="11">
    <mergeCell ref="A4:B4"/>
    <mergeCell ref="G4:H4"/>
    <mergeCell ref="P4:Q4"/>
    <mergeCell ref="J4:K4"/>
    <mergeCell ref="V4:W4"/>
    <mergeCell ref="Y4:Z4"/>
    <mergeCell ref="M4:N4"/>
    <mergeCell ref="A1:F1"/>
    <mergeCell ref="D4:E4"/>
    <mergeCell ref="A2:M2"/>
    <mergeCell ref="S4:T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s>
  <sheetData>
    <row r="1">
      <c r="A1" s="5" t="inlineStr">
        <is>
          <t>Chile — Quarterly</t>
        </is>
      </c>
    </row>
    <row r="2">
      <c r="A2" s="2" t="inlineStr">
        <is>
          <t>Refresh: Bloomberg toolbar → Refresh Workbook    (or press F9). Edit tickers on the 'Tickers' tab.</t>
        </is>
      </c>
    </row>
    <row r="3">
      <c r="A3" s="2" t="inlineStr">
        <is>
          <t>Latest readings</t>
        </is>
      </c>
    </row>
    <row r="4">
      <c r="A4" s="6" t="inlineStr">
        <is>
          <t>Real GDP YoY (%)</t>
        </is>
      </c>
      <c r="D4" s="6" t="inlineStr">
        <is>
          <t>GDP QoQ saar (%)</t>
        </is>
      </c>
      <c r="G4" s="6" t="inlineStr">
        <is>
          <t>Current account % GDP</t>
        </is>
      </c>
      <c r="J4" s="6" t="inlineStr">
        <is>
          <t>Investment GFCF YoY (%)</t>
        </is>
      </c>
    </row>
    <row r="5">
      <c r="A5">
        <f>BDH("CHGDPYOY Index","PX_LAST","1/1/2005",TODAY(),"Per","Q")</f>
        <v/>
      </c>
      <c r="D5">
        <f>BDH("CHGDPSAR Index","PX_LAST","1/1/2005",TODAY(),"Per","Q")</f>
        <v/>
      </c>
      <c r="G5">
        <f>BDH("CHCAGDP Index","PX_LAST","1/1/2005",TODAY(),"Per","Q")</f>
        <v/>
      </c>
      <c r="J5">
        <f>BDH("CHGFCFYY Index","PX_LAST","1/1/2005",TODAY(),"Per","Q")</f>
        <v/>
      </c>
    </row>
  </sheetData>
  <mergeCells count="6">
    <mergeCell ref="A4:B4"/>
    <mergeCell ref="G4:H4"/>
    <mergeCell ref="J4:K4"/>
    <mergeCell ref="A1:F1"/>
    <mergeCell ref="D4:E4"/>
    <mergeCell ref="A2:M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s>
  <sheetData>
    <row r="1">
      <c r="A1" s="5" t="inlineStr">
        <is>
          <t>Chile — Annual</t>
        </is>
      </c>
    </row>
    <row r="2">
      <c r="A2" s="2" t="inlineStr">
        <is>
          <t>Refresh: Bloomberg toolbar → Refresh Workbook    (or press F9). Edit tickers on the 'Tickers' tab.</t>
        </is>
      </c>
    </row>
    <row r="3">
      <c r="A3" s="2" t="inlineStr">
        <is>
          <t>Latest readings</t>
        </is>
      </c>
    </row>
    <row r="4">
      <c r="A4" s="6" t="inlineStr">
        <is>
          <t>GDP per capita USD</t>
        </is>
      </c>
      <c r="D4" s="6" t="inlineStr">
        <is>
          <t>Govt debt % GDP</t>
        </is>
      </c>
      <c r="G4" s="6" t="inlineStr">
        <is>
          <t>External debt % GDP</t>
        </is>
      </c>
    </row>
    <row r="5">
      <c r="A5">
        <f>BDH("CHGDPPC Index","PX_LAST","1/1/2000",TODAY(),"Per","A")</f>
        <v/>
      </c>
      <c r="D5">
        <f>BDH("CHGDDEBT Index","PX_LAST","1/1/2000",TODAY(),"Per","A")</f>
        <v/>
      </c>
      <c r="G5">
        <f>BDH("CHEXTDB Index","PX_LAST","1/1/2000",TODAY(),"Per","A")</f>
        <v/>
      </c>
    </row>
  </sheetData>
  <mergeCells count="5">
    <mergeCell ref="A4:B4"/>
    <mergeCell ref="G4:H4"/>
    <mergeCell ref="A1:F1"/>
    <mergeCell ref="D4:E4"/>
    <mergeCell ref="A2:M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Q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 width="13" customWidth="1" min="13" max="13"/>
    <col width="13" customWidth="1" min="14" max="14"/>
    <col width="13" customWidth="1" min="16" max="16"/>
    <col width="13" customWidth="1" min="17" max="17"/>
  </cols>
  <sheetData>
    <row r="1">
      <c r="A1" s="5" t="inlineStr">
        <is>
          <t>Chile — Credit</t>
        </is>
      </c>
    </row>
    <row r="2">
      <c r="A2" s="2" t="inlineStr">
        <is>
          <t>Refresh: Bloomberg toolbar → Refresh Workbook    (or press F9). Edit tickers on the 'Tickers' tab.</t>
        </is>
      </c>
    </row>
    <row r="3">
      <c r="A3" s="2" t="inlineStr">
        <is>
          <t>Latest readings</t>
        </is>
      </c>
    </row>
    <row r="4">
      <c r="A4" s="6" t="inlineStr">
        <is>
          <t>EMBI Chile spread (bps)</t>
        </is>
      </c>
      <c r="D4" s="6" t="inlineStr">
        <is>
          <t>CEMBI Chile spread (bps)</t>
        </is>
      </c>
      <c r="G4" s="6" t="inlineStr">
        <is>
          <t>EMBI Chile total return</t>
        </is>
      </c>
      <c r="J4" s="6" t="inlineStr">
        <is>
          <t>Chile USD 5Y yield (%)</t>
        </is>
      </c>
      <c r="M4" s="6" t="inlineStr">
        <is>
          <t>Chile USD 10Y yield (%)</t>
        </is>
      </c>
      <c r="P4" s="6" t="inlineStr">
        <is>
          <t>Chile USD 30Y yield (%)</t>
        </is>
      </c>
    </row>
    <row r="5">
      <c r="A5">
        <f>BDH("JPSSCHIL Index","PX_LAST","1/1/2018",TODAY())</f>
        <v/>
      </c>
      <c r="D5">
        <f>BDH("JBCDCHIL Index","PX_LAST","1/1/2018",TODAY())</f>
        <v/>
      </c>
      <c r="G5">
        <f>BDH("JPMECHIL Index","PX_LAST","1/1/2018",TODAY())</f>
        <v/>
      </c>
      <c r="J5">
        <f>BDH("CHILE 2.55 01/27 Corp","YLD_YTM_MID","1/1/2018",TODAY())</f>
        <v/>
      </c>
      <c r="M5">
        <f>BDH("CHILE 2.55 01/32 Corp","YLD_YTM_MID","1/1/2018",TODAY())</f>
        <v/>
      </c>
      <c r="P5">
        <f>BDH("CHILE 3.50 01/50 Corp","YLD_YTM_MID","1/1/2018",TODAY())</f>
        <v/>
      </c>
    </row>
  </sheetData>
  <mergeCells count="8">
    <mergeCell ref="A4:B4"/>
    <mergeCell ref="G4:H4"/>
    <mergeCell ref="P4:Q4"/>
    <mergeCell ref="J4:K4"/>
    <mergeCell ref="M4:N4"/>
    <mergeCell ref="A1:F1"/>
    <mergeCell ref="D4:E4"/>
    <mergeCell ref="A2:M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5"/>
  <sheetViews>
    <sheetView showGridLines="0" workbookViewId="0">
      <selection activeCell="A1" sqref="A1"/>
    </sheetView>
  </sheetViews>
  <sheetFormatPr baseColWidth="8" defaultRowHeight="15"/>
  <cols>
    <col width="13" customWidth="1" min="1" max="1"/>
    <col width="13" customWidth="1" min="2" max="2"/>
    <col width="13" customWidth="1" min="4" max="4"/>
    <col width="13" customWidth="1" min="5" max="5"/>
    <col width="13" customWidth="1" min="7" max="7"/>
    <col width="13" customWidth="1" min="8" max="8"/>
    <col width="13" customWidth="1" min="10" max="10"/>
    <col width="13" customWidth="1" min="11" max="11"/>
  </cols>
  <sheetData>
    <row r="1">
      <c r="A1" s="5" t="inlineStr">
        <is>
          <t>Chile — Markets</t>
        </is>
      </c>
    </row>
    <row r="2">
      <c r="A2" s="2" t="inlineStr">
        <is>
          <t>Refresh: Bloomberg toolbar → Refresh Workbook    (or press F9). Edit tickers on the 'Tickers' tab.</t>
        </is>
      </c>
    </row>
    <row r="3">
      <c r="A3" s="2" t="inlineStr">
        <is>
          <t>Latest readings</t>
        </is>
      </c>
    </row>
    <row r="4">
      <c r="A4" s="6" t="inlineStr">
        <is>
          <t>USD/CLP</t>
        </is>
      </c>
      <c r="D4" s="6" t="inlineStr">
        <is>
          <t>Copper LME (USD/lb)</t>
        </is>
      </c>
      <c r="G4" s="6" t="inlineStr">
        <is>
          <t>IPSA</t>
        </is>
      </c>
      <c r="J4" s="6" t="inlineStr">
        <is>
          <t>Chile 10Y local rate (%)</t>
        </is>
      </c>
    </row>
    <row r="5">
      <c r="A5">
        <f>BDH("USDCLP Curncy","PX_LAST","1/1/2018",TODAY())</f>
        <v/>
      </c>
      <c r="D5">
        <f>BDH("HG1 Comdty","PX_LAST","1/1/2018",TODAY())</f>
        <v/>
      </c>
      <c r="G5">
        <f>BDH("IPSA Index","PX_LAST","1/1/2018",TODAY())</f>
        <v/>
      </c>
      <c r="J5">
        <f>BDH("GTCLP10Y Govt","YLD_YTM_MID","1/1/2018",TODAY())</f>
        <v/>
      </c>
    </row>
  </sheetData>
  <mergeCells count="6">
    <mergeCell ref="A4:B4"/>
    <mergeCell ref="G4:H4"/>
    <mergeCell ref="J4:K4"/>
    <mergeCell ref="A1:F1"/>
    <mergeCell ref="D4:E4"/>
    <mergeCell ref="A2:M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30" customWidth="1" min="3" max="3"/>
    <col width="14" customWidth="1" min="4" max="4"/>
    <col width="10" customWidth="1" min="5" max="5"/>
    <col width="10" customWidth="1" min="6" max="6"/>
  </cols>
  <sheetData>
    <row r="1">
      <c r="A1" s="6" t="inlineStr">
        <is>
          <t>Tab</t>
        </is>
      </c>
      <c r="B1" s="6" t="inlineStr">
        <is>
          <t>Label</t>
        </is>
      </c>
      <c r="C1" s="6" t="inlineStr">
        <is>
          <t>Ticker</t>
        </is>
      </c>
      <c r="D1" s="6" t="inlineStr">
        <is>
          <t>Field</t>
        </is>
      </c>
      <c r="E1" s="6" t="inlineStr">
        <is>
          <t>Frequency</t>
        </is>
      </c>
      <c r="F1" s="6" t="inlineStr">
        <is>
          <t>Units</t>
        </is>
      </c>
    </row>
    <row r="2">
      <c r="A2" t="inlineStr">
        <is>
          <t>Monthly</t>
        </is>
      </c>
      <c r="B2" t="inlineStr">
        <is>
          <t>CPI YoY (%)</t>
        </is>
      </c>
      <c r="C2" t="inlineStr">
        <is>
          <t>CHCPIYOY Index</t>
        </is>
      </c>
      <c r="D2" t="inlineStr">
        <is>
          <t>PX_LAST</t>
        </is>
      </c>
      <c r="E2" t="inlineStr">
        <is>
          <t>M</t>
        </is>
      </c>
      <c r="F2" t="inlineStr">
        <is>
          <t>%</t>
        </is>
      </c>
    </row>
    <row r="3">
      <c r="A3" t="inlineStr">
        <is>
          <t>Monthly</t>
        </is>
      </c>
      <c r="B3" t="inlineStr">
        <is>
          <t>CPI core YoY (%)</t>
        </is>
      </c>
      <c r="C3" t="inlineStr">
        <is>
          <t>CHCPCRYY Index</t>
        </is>
      </c>
      <c r="D3" t="inlineStr">
        <is>
          <t>PX_LAST</t>
        </is>
      </c>
      <c r="E3" t="inlineStr">
        <is>
          <t>M</t>
        </is>
      </c>
      <c r="F3" t="inlineStr">
        <is>
          <t>%</t>
        </is>
      </c>
    </row>
    <row r="4">
      <c r="A4" t="inlineStr">
        <is>
          <t>Monthly</t>
        </is>
      </c>
      <c r="B4" t="inlineStr">
        <is>
          <t>IMACEC YoY (%)</t>
        </is>
      </c>
      <c r="C4" t="inlineStr">
        <is>
          <t>CHIMACYY Index</t>
        </is>
      </c>
      <c r="D4" t="inlineStr">
        <is>
          <t>PX_LAST</t>
        </is>
      </c>
      <c r="E4" t="inlineStr">
        <is>
          <t>M</t>
        </is>
      </c>
      <c r="F4" t="inlineStr">
        <is>
          <t>%</t>
        </is>
      </c>
    </row>
    <row r="5">
      <c r="A5" t="inlineStr">
        <is>
          <t>Monthly</t>
        </is>
      </c>
      <c r="B5" t="inlineStr">
        <is>
          <t>Industrial production YoY (%)</t>
        </is>
      </c>
      <c r="C5" t="inlineStr">
        <is>
          <t>CHIPYOY Index</t>
        </is>
      </c>
      <c r="D5" t="inlineStr">
        <is>
          <t>PX_LAST</t>
        </is>
      </c>
      <c r="E5" t="inlineStr">
        <is>
          <t>M</t>
        </is>
      </c>
      <c r="F5" t="inlineStr">
        <is>
          <t>%</t>
        </is>
      </c>
    </row>
    <row r="6">
      <c r="A6" t="inlineStr">
        <is>
          <t>Monthly</t>
        </is>
      </c>
      <c r="B6" t="inlineStr">
        <is>
          <t>Retail sales YoY (%)</t>
        </is>
      </c>
      <c r="C6" t="inlineStr">
        <is>
          <t>CHRSYOY Index</t>
        </is>
      </c>
      <c r="D6" t="inlineStr">
        <is>
          <t>PX_LAST</t>
        </is>
      </c>
      <c r="E6" t="inlineStr">
        <is>
          <t>M</t>
        </is>
      </c>
      <c r="F6" t="inlineStr">
        <is>
          <t>%</t>
        </is>
      </c>
    </row>
    <row r="7">
      <c r="A7" t="inlineStr">
        <is>
          <t>Monthly</t>
        </is>
      </c>
      <c r="B7" t="inlineStr">
        <is>
          <t>Unemployment rate (%)</t>
        </is>
      </c>
      <c r="C7" t="inlineStr">
        <is>
          <t>CHUEMP Index</t>
        </is>
      </c>
      <c r="D7" t="inlineStr">
        <is>
          <t>PX_LAST</t>
        </is>
      </c>
      <c r="E7" t="inlineStr">
        <is>
          <t>M</t>
        </is>
      </c>
      <c r="F7" t="inlineStr">
        <is>
          <t>%</t>
        </is>
      </c>
    </row>
    <row r="8">
      <c r="A8" t="inlineStr">
        <is>
          <t>Monthly</t>
        </is>
      </c>
      <c r="B8" t="inlineStr">
        <is>
          <t>Trade balance (USD mn)</t>
        </is>
      </c>
      <c r="C8" t="inlineStr">
        <is>
          <t>CHTBTOTL Index</t>
        </is>
      </c>
      <c r="D8" t="inlineStr">
        <is>
          <t>PX_LAST</t>
        </is>
      </c>
      <c r="E8" t="inlineStr">
        <is>
          <t>M</t>
        </is>
      </c>
      <c r="F8" t="inlineStr">
        <is>
          <t>USDmn</t>
        </is>
      </c>
    </row>
    <row r="9">
      <c r="A9" t="inlineStr">
        <is>
          <t>Monthly</t>
        </is>
      </c>
      <c r="B9" t="inlineStr">
        <is>
          <t>Reserves (USD bn)</t>
        </is>
      </c>
      <c r="C9" t="inlineStr">
        <is>
          <t>CHRESVS Index</t>
        </is>
      </c>
      <c r="D9" t="inlineStr">
        <is>
          <t>PX_LAST</t>
        </is>
      </c>
      <c r="E9" t="inlineStr">
        <is>
          <t>M</t>
        </is>
      </c>
      <c r="F9" t="inlineStr">
        <is>
          <t>USDbn</t>
        </is>
      </c>
    </row>
    <row r="10">
      <c r="A10" t="inlineStr">
        <is>
          <t>Monthly</t>
        </is>
      </c>
      <c r="B10" t="inlineStr">
        <is>
          <t>Policy rate TPM (%)</t>
        </is>
      </c>
      <c r="C10" t="inlineStr">
        <is>
          <t>CHOVCHOV Index</t>
        </is>
      </c>
      <c r="D10" t="inlineStr">
        <is>
          <t>PX_LAST</t>
        </is>
      </c>
      <c r="E10" t="inlineStr">
        <is>
          <t>M</t>
        </is>
      </c>
      <c r="F10" t="inlineStr">
        <is>
          <t>%</t>
        </is>
      </c>
    </row>
    <row r="11">
      <c r="A11" t="inlineStr">
        <is>
          <t>Quarterly</t>
        </is>
      </c>
      <c r="B11" t="inlineStr">
        <is>
          <t>Real GDP YoY (%)</t>
        </is>
      </c>
      <c r="C11" t="inlineStr">
        <is>
          <t>CHGDPYOY Index</t>
        </is>
      </c>
      <c r="D11" t="inlineStr">
        <is>
          <t>PX_LAST</t>
        </is>
      </c>
      <c r="E11" t="inlineStr">
        <is>
          <t>Q</t>
        </is>
      </c>
      <c r="F11" t="inlineStr">
        <is>
          <t>%</t>
        </is>
      </c>
    </row>
    <row r="12">
      <c r="A12" t="inlineStr">
        <is>
          <t>Quarterly</t>
        </is>
      </c>
      <c r="B12" t="inlineStr">
        <is>
          <t>GDP QoQ saar (%)</t>
        </is>
      </c>
      <c r="C12" t="inlineStr">
        <is>
          <t>CHGDPSAR Index</t>
        </is>
      </c>
      <c r="D12" t="inlineStr">
        <is>
          <t>PX_LAST</t>
        </is>
      </c>
      <c r="E12" t="inlineStr">
        <is>
          <t>Q</t>
        </is>
      </c>
      <c r="F12" t="inlineStr">
        <is>
          <t>%</t>
        </is>
      </c>
    </row>
    <row r="13">
      <c r="A13" t="inlineStr">
        <is>
          <t>Quarterly</t>
        </is>
      </c>
      <c r="B13" t="inlineStr">
        <is>
          <t>Current account % GDP</t>
        </is>
      </c>
      <c r="C13" t="inlineStr">
        <is>
          <t>CHCAGDP Index</t>
        </is>
      </c>
      <c r="D13" t="inlineStr">
        <is>
          <t>PX_LAST</t>
        </is>
      </c>
      <c r="E13" t="inlineStr">
        <is>
          <t>Q</t>
        </is>
      </c>
      <c r="F13" t="inlineStr">
        <is>
          <t>%</t>
        </is>
      </c>
    </row>
    <row r="14">
      <c r="A14" t="inlineStr">
        <is>
          <t>Quarterly</t>
        </is>
      </c>
      <c r="B14" t="inlineStr">
        <is>
          <t>Investment GFCF YoY (%)</t>
        </is>
      </c>
      <c r="C14" t="inlineStr">
        <is>
          <t>CHGFCFYY Index</t>
        </is>
      </c>
      <c r="D14" t="inlineStr">
        <is>
          <t>PX_LAST</t>
        </is>
      </c>
      <c r="E14" t="inlineStr">
        <is>
          <t>Q</t>
        </is>
      </c>
      <c r="F14" t="inlineStr">
        <is>
          <t>%</t>
        </is>
      </c>
    </row>
    <row r="15">
      <c r="A15" t="inlineStr">
        <is>
          <t>Annual</t>
        </is>
      </c>
      <c r="B15" t="inlineStr">
        <is>
          <t>GDP per capita USD</t>
        </is>
      </c>
      <c r="C15" t="inlineStr">
        <is>
          <t>CHGDPPC Index</t>
        </is>
      </c>
      <c r="D15" t="inlineStr">
        <is>
          <t>PX_LAST</t>
        </is>
      </c>
      <c r="E15" t="inlineStr">
        <is>
          <t>A</t>
        </is>
      </c>
      <c r="F15" t="inlineStr">
        <is>
          <t>USD</t>
        </is>
      </c>
    </row>
    <row r="16">
      <c r="A16" t="inlineStr">
        <is>
          <t>Annual</t>
        </is>
      </c>
      <c r="B16" t="inlineStr">
        <is>
          <t>Govt debt % GDP</t>
        </is>
      </c>
      <c r="C16" t="inlineStr">
        <is>
          <t>CHGDDEBT Index</t>
        </is>
      </c>
      <c r="D16" t="inlineStr">
        <is>
          <t>PX_LAST</t>
        </is>
      </c>
      <c r="E16" t="inlineStr">
        <is>
          <t>A</t>
        </is>
      </c>
      <c r="F16" t="inlineStr">
        <is>
          <t>%</t>
        </is>
      </c>
    </row>
    <row r="17">
      <c r="A17" t="inlineStr">
        <is>
          <t>Annual</t>
        </is>
      </c>
      <c r="B17" t="inlineStr">
        <is>
          <t>External debt % GDP</t>
        </is>
      </c>
      <c r="C17" t="inlineStr">
        <is>
          <t>CHEXTDB Index</t>
        </is>
      </c>
      <c r="D17" t="inlineStr">
        <is>
          <t>PX_LAST</t>
        </is>
      </c>
      <c r="E17" t="inlineStr">
        <is>
          <t>A</t>
        </is>
      </c>
      <c r="F17" t="inlineStr">
        <is>
          <t>%</t>
        </is>
      </c>
    </row>
    <row r="18">
      <c r="A18" t="inlineStr">
        <is>
          <t>Credit</t>
        </is>
      </c>
      <c r="B18" t="inlineStr">
        <is>
          <t>EMBI Chile spread (bps)</t>
        </is>
      </c>
      <c r="C18" t="inlineStr">
        <is>
          <t>JPSSCHIL Index</t>
        </is>
      </c>
      <c r="D18" t="inlineStr">
        <is>
          <t>PX_LAST</t>
        </is>
      </c>
      <c r="E18" t="inlineStr">
        <is>
          <t>D</t>
        </is>
      </c>
      <c r="F18" t="inlineStr">
        <is>
          <t>bps</t>
        </is>
      </c>
    </row>
    <row r="19">
      <c r="A19" t="inlineStr">
        <is>
          <t>Credit</t>
        </is>
      </c>
      <c r="B19" t="inlineStr">
        <is>
          <t>CEMBI Chile spread (bps)</t>
        </is>
      </c>
      <c r="C19" t="inlineStr">
        <is>
          <t>JBCDCHIL Index</t>
        </is>
      </c>
      <c r="D19" t="inlineStr">
        <is>
          <t>PX_LAST</t>
        </is>
      </c>
      <c r="E19" t="inlineStr">
        <is>
          <t>D</t>
        </is>
      </c>
      <c r="F19" t="inlineStr">
        <is>
          <t>bps</t>
        </is>
      </c>
    </row>
    <row r="20">
      <c r="A20" t="inlineStr">
        <is>
          <t>Credit</t>
        </is>
      </c>
      <c r="B20" t="inlineStr">
        <is>
          <t>EMBI Chile total return</t>
        </is>
      </c>
      <c r="C20" t="inlineStr">
        <is>
          <t>JPMECHIL Index</t>
        </is>
      </c>
      <c r="D20" t="inlineStr">
        <is>
          <t>PX_LAST</t>
        </is>
      </c>
      <c r="E20" t="inlineStr">
        <is>
          <t>D</t>
        </is>
      </c>
      <c r="F20" t="inlineStr">
        <is>
          <t>idx</t>
        </is>
      </c>
    </row>
    <row r="21">
      <c r="A21" t="inlineStr">
        <is>
          <t>Credit</t>
        </is>
      </c>
      <c r="B21" t="inlineStr">
        <is>
          <t>Chile USD 5Y yield (%)</t>
        </is>
      </c>
      <c r="C21" t="inlineStr">
        <is>
          <t>CHILE 2.55 01/27 Corp</t>
        </is>
      </c>
      <c r="D21" t="inlineStr">
        <is>
          <t>YLD_YTM_MID</t>
        </is>
      </c>
      <c r="E21" t="inlineStr">
        <is>
          <t>D</t>
        </is>
      </c>
      <c r="F21" t="inlineStr">
        <is>
          <t>%</t>
        </is>
      </c>
    </row>
    <row r="22">
      <c r="A22" t="inlineStr">
        <is>
          <t>Credit</t>
        </is>
      </c>
      <c r="B22" t="inlineStr">
        <is>
          <t>Chile USD 10Y yield (%)</t>
        </is>
      </c>
      <c r="C22" t="inlineStr">
        <is>
          <t>CHILE 2.55 01/32 Corp</t>
        </is>
      </c>
      <c r="D22" t="inlineStr">
        <is>
          <t>YLD_YTM_MID</t>
        </is>
      </c>
      <c r="E22" t="inlineStr">
        <is>
          <t>D</t>
        </is>
      </c>
      <c r="F22" t="inlineStr">
        <is>
          <t>%</t>
        </is>
      </c>
    </row>
    <row r="23">
      <c r="A23" t="inlineStr">
        <is>
          <t>Credit</t>
        </is>
      </c>
      <c r="B23" t="inlineStr">
        <is>
          <t>Chile USD 30Y yield (%)</t>
        </is>
      </c>
      <c r="C23" t="inlineStr">
        <is>
          <t>CHILE 3.50 01/50 Corp</t>
        </is>
      </c>
      <c r="D23" t="inlineStr">
        <is>
          <t>YLD_YTM_MID</t>
        </is>
      </c>
      <c r="E23" t="inlineStr">
        <is>
          <t>D</t>
        </is>
      </c>
      <c r="F23" t="inlineStr">
        <is>
          <t>%</t>
        </is>
      </c>
    </row>
    <row r="24">
      <c r="A24" t="inlineStr">
        <is>
          <t>Markets</t>
        </is>
      </c>
      <c r="B24" t="inlineStr">
        <is>
          <t>USD/CLP</t>
        </is>
      </c>
      <c r="C24" t="inlineStr">
        <is>
          <t>USDCLP Curncy</t>
        </is>
      </c>
      <c r="D24" t="inlineStr">
        <is>
          <t>PX_LAST</t>
        </is>
      </c>
      <c r="E24" t="inlineStr">
        <is>
          <t>D</t>
        </is>
      </c>
      <c r="F24" t="inlineStr">
        <is>
          <t>CLP</t>
        </is>
      </c>
    </row>
    <row r="25">
      <c r="A25" t="inlineStr">
        <is>
          <t>Markets</t>
        </is>
      </c>
      <c r="B25" t="inlineStr">
        <is>
          <t>Copper LME (USD/lb)</t>
        </is>
      </c>
      <c r="C25" t="inlineStr">
        <is>
          <t>HG1 Comdty</t>
        </is>
      </c>
      <c r="D25" t="inlineStr">
        <is>
          <t>PX_LAST</t>
        </is>
      </c>
      <c r="E25" t="inlineStr">
        <is>
          <t>D</t>
        </is>
      </c>
      <c r="F25" t="inlineStr">
        <is>
          <t>USD</t>
        </is>
      </c>
    </row>
    <row r="26">
      <c r="A26" t="inlineStr">
        <is>
          <t>Markets</t>
        </is>
      </c>
      <c r="B26" t="inlineStr">
        <is>
          <t>IPSA</t>
        </is>
      </c>
      <c r="C26" t="inlineStr">
        <is>
          <t>IPSA Index</t>
        </is>
      </c>
      <c r="D26" t="inlineStr">
        <is>
          <t>PX_LAST</t>
        </is>
      </c>
      <c r="E26" t="inlineStr">
        <is>
          <t>D</t>
        </is>
      </c>
      <c r="F26" t="inlineStr">
        <is>
          <t>idx</t>
        </is>
      </c>
    </row>
    <row r="27">
      <c r="A27" t="inlineStr">
        <is>
          <t>Markets</t>
        </is>
      </c>
      <c r="B27" t="inlineStr">
        <is>
          <t>Chile 10Y local rate (%)</t>
        </is>
      </c>
      <c r="C27" t="inlineStr">
        <is>
          <t>GTCLP10Y Govt</t>
        </is>
      </c>
      <c r="D27" t="inlineStr">
        <is>
          <t>YLD_YTM_MID</t>
        </is>
      </c>
      <c r="E27" t="inlineStr">
        <is>
          <t>D</t>
        </is>
      </c>
      <c r="F27" t="inlineStr">
        <is>
          <t>%</t>
        </is>
      </c>
    </row>
  </sheetData>
  <autoFilter ref="A1:F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2026-04-26T13:41:20Z</dcterms:created>
  <dcterms:modified xmlns:dcterms="http://purl.org/dc/terms/" xmlns:xsi="http://www.w3.org/2001/XMLSchema-instance" xsi:type="dcterms:W3CDTF">2026-04-26T13:41:20Z</dcterms:modified>
</cp:coreProperties>
</file>