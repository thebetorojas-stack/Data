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Tickers" sheetId="4" state="visible" r:id="rId4"/>
    <sheet xmlns:r="http://schemas.openxmlformats.org/officeDocument/2006/relationships" name="Haver" sheetId="5" state="visible" r:id="rId5"/>
    <sheet xmlns:r="http://schemas.openxmlformats.org/officeDocument/2006/relationships" name="Methodology" sheetId="6" state="visible" r:id="rId6"/>
    <sheet xmlns:r="http://schemas.openxmlformats.org/officeDocument/2006/relationships" name="scale" sheetId="7" state="hidden" r:id="rId7"/>
  </sheets>
  <definedNames>
    <definedName name="SpreadsheetBuilder_1" hidden="1">spreads!$B$13:$C$19</definedName>
    <definedName name="SpreadsheetBuilder_2" hidden="1">spreads!$A$10:$C$16</definedName>
    <definedName name="SpreadsheetBuilder_3" hidden="1">#REF!</definedName>
    <definedName name="TRNR_009a8ec275cf420f9255e111f7464ed9_212_1" hidden="1">ds!$ML$3</definedName>
    <definedName name="TRNR_0229a507a1b74b63bf659e3c9881c716_211_47" hidden="1">ds!$IM$3</definedName>
    <definedName name="TRNR_0320f4ce6542421b80abfbeac9b7bb35_213_47" hidden="1">ds!$B$3</definedName>
    <definedName name="TRNR_057843ae6c9e4c4bb6c98df08872bb36_218_47" hidden="1">ds!$IM$3</definedName>
    <definedName name="TRNR_0845be04bf5f4bc480809a04a0562e8f_211_47" hidden="1">ds!$B$3</definedName>
    <definedName name="TRNR_0847a40231a24d24992eafa92a753566_215_47" hidden="1">ds!$KJ$3</definedName>
    <definedName name="TRNR_096d8e353cab44eaacaa870bce2577bd_220_47" hidden="1">ds!$KJ$3</definedName>
    <definedName name="TRNR_0dabf94683ac4739bfb1756aa901e32b_216_47" hidden="1">ds!$MO$3</definedName>
    <definedName name="TRNR_0f5fabdafa8e4c24b8946d687d935a95_219_3" hidden="1">ds!$MG$3</definedName>
    <definedName name="TRNR_0f7cdd240b7b4457b86db7d49007e019_220_47" hidden="1">ds!$IM$3</definedName>
    <definedName name="TRNR_11d612b03ca54964b155eb09f93b207f_219_1" hidden="1">ds!$ML$3</definedName>
    <definedName name="TRNR_1240ccb3480c4e8f8682b1f7b5752d9c_220_47" hidden="1">ds!$SI$3</definedName>
    <definedName name="TRNR_12ecf72c65834299adb59d7403450b58_215_47" hidden="1">ds!$IM$3</definedName>
    <definedName name="TRNR_12f8cf42e2354de695ed05040ea8c6cc_216_1" hidden="1">ds!$UF$3</definedName>
    <definedName name="TRNR_138dc99ca75648b78b39f24c22ebbbfc_220_47" hidden="1">ds!$AY$3</definedName>
    <definedName name="TRNR_16057371b210485ca76b2e2807ce3c4f_220_47" hidden="1">ds!$B$3</definedName>
    <definedName name="TRNR_19484c8b46eb406ca0a08e77b92acb7b_215_47" hidden="1">ds!$B$3</definedName>
    <definedName name="TRNR_196cc80beea949789808b1d5da7c55c4_212_47" hidden="1">ds!$ES$3</definedName>
    <definedName name="TRNR_1b9598bd931d4c1ab4fcb7eb24235573_218_47" hidden="1">ds!$B$3</definedName>
    <definedName name="TRNR_1ce9680c09f34c2e914388236970b24e_220_47" hidden="1">ds!$QI$3</definedName>
    <definedName name="TRNR_1e6b7bf45152479d8b063875f00fa951_220_47" hidden="1">ds!$B$3</definedName>
    <definedName name="TRNR_203bce6b95a743a691aedc6d2b24e921_216_47" hidden="1">ds!$ES$3</definedName>
    <definedName name="TRNR_20d63b4b86d3478b8850444fd56c8e43_218_47" hidden="1">ds!$QI$3</definedName>
    <definedName name="TRNR_2176d0e3630d44f49d2b98ff8d2d296a_220_47" hidden="1">ds!$KJ$3</definedName>
    <definedName name="TRNR_21c462fa89f24a6ba788625b96f2d1cc_219_47" hidden="1">ds!$QI$3</definedName>
    <definedName name="TRNR_22d2231a62da42a686321328781201a2_216_1" hidden="1">ds!$SF$3</definedName>
    <definedName name="TRNR_2306f55c560d4104acadb3f3682ee8ff_219_47" hidden="1">ds!$GP$3</definedName>
    <definedName name="TRNR_25a52404e2f8435baef40855bad93ad1_211_1" hidden="1">ds!$ML$3</definedName>
    <definedName name="TRNR_26737990ae1e4e279dab967575d246e9_216_47" hidden="1">ds!$CV$3</definedName>
    <definedName name="TRNR_270c51fcfc4d4065a73a50d0b09a5e8e_218_47" hidden="1">ds!$CV$3</definedName>
    <definedName name="TRNR_29c06fda14f64762aed7643928d739e9_221_1" hidden="1">ds!$SF$3</definedName>
    <definedName name="TRNR_2a3f8256155e424a80efd743d560efcf_211_1" hidden="1">ds!$SF$3</definedName>
    <definedName name="TRNR_2acb07bed0014d93843d47b60248f000_215_1" hidden="1">ds!$ML$3</definedName>
    <definedName name="TRNR_2bdf469f31ac4d5c986cfa4e894f70b3_220_47" hidden="1">ds!$CV$3</definedName>
    <definedName name="TRNR_2cc8f587808c44cc9d7b03840b8555fe_220_47" hidden="1">ds!$OL$3</definedName>
    <definedName name="TRNR_2ce4f5ffa9d94118a24093581ba6eea9_219_47" hidden="1">ds!$IM$3</definedName>
    <definedName name="TRNR_2ec3e5318ef149c1ac9c39372b33022a_217_47" hidden="1">ds!$CV$3</definedName>
    <definedName name="TRNR_2ed8a56e5eb54a71911c5a9e61ebc761_220_47" hidden="1">ds!$MO$3</definedName>
    <definedName name="TRNR_30fd2ac56a6645e080b16ab732c47c9d_221_1" hidden="1">ds!$UF$3</definedName>
    <definedName name="TRNR_324ffa3b73584f8ab6961016748c6ef6_219_47" hidden="1">ds!$KJ$3</definedName>
    <definedName name="TRNR_331485cecb634b9b98ffe000d4c21515_213_1" hidden="1">ds!$ML$3</definedName>
    <definedName name="TRNR_347115c2a5c84a1791707ee31b20d312_212_3" hidden="1">ds!$MG$3</definedName>
    <definedName name="TRNR_388a3dad67924b7faf2db83e5941930c_213_47" hidden="1">ds!$SI$3</definedName>
    <definedName name="TRNR_3915053288af430693942bd8d8f95936_220_1" hidden="1">ds!$ML$3</definedName>
    <definedName name="TRNR_39cb02ee24b444cfa9e863860e722984_216_1" hidden="1">ds!$ML$3</definedName>
    <definedName name="TRNR_39d5d6b130ab491e815952569523ac5b_211_47" hidden="1">ds!$CV$3</definedName>
    <definedName name="TRNR_3b601393ab394cc08bc367653a641a2f_216_47" hidden="1">ds!$AY$3</definedName>
    <definedName name="TRNR_3e68cb603f71402c99b22bbded2ddb37_213_1" hidden="1">ds!$SF$3</definedName>
    <definedName name="TRNR_3e68f992812e4180a664c8f860f73b2d_221_47" hidden="1">ds!$OL$3</definedName>
    <definedName name="TRNR_3f9a3b95759348c3b3ed8c8ebd5bdfdd_217_1" hidden="1">ds!$ML$3</definedName>
    <definedName name="TRNR_3fd3cf4dd8d1418b9ac79e541e344c07_216_47" hidden="1">ds!$GP$3</definedName>
    <definedName name="TRNR_3fe1402b13424577bef25992f0ebf85b_217_1" hidden="1">ds!$SF$3</definedName>
    <definedName name="TRNR_407c10d52959407888a2ee25fc8395df_217_47" hidden="1">ds!$MO$3</definedName>
    <definedName name="TRNR_41dea4f167ed49829b52a719d835a4d7_213_47" hidden="1">ds!$OL$3</definedName>
    <definedName name="TRNR_42e8b0befd454462abb70c4e192c76a2_218_1" hidden="1">ds!$ML$3</definedName>
    <definedName name="TRNR_431ead7439464e2694cf72a6a7b6ee07_220_1" hidden="1">ds!$ML$3</definedName>
    <definedName name="TRNR_4410a64472b14c41ac2245ea9741f5f4_213_47" hidden="1">ds!$GP$3</definedName>
    <definedName name="TRNR_44818c70abe04c1696b30ac45f3818fc_217_47" hidden="1">ds!$AY$3</definedName>
    <definedName name="TRNR_44e84e44532a48988ddeb6954fd450a6_217_3" hidden="1">ds!$MG$3</definedName>
    <definedName name="TRNR_4640ec049b2443ef8b183eadb129e280_221_47" hidden="1">ds!$ES$3</definedName>
    <definedName name="TRNR_4c2a516c27b146e1a8e9b3a25af654a0_215_47" hidden="1">ds!$QI$3</definedName>
    <definedName name="TRNR_4d3aef05b6d842b78b793abde7620b92_212_47" hidden="1">ds!$CV$3</definedName>
    <definedName name="TRNR_4e32b7c6c2624b0c9b67a9fff53afdf4_216_47" hidden="1">ds!$ES$3</definedName>
    <definedName name="TRNR_4f3249598a31410ab2e7487fe6bacf64_216_47" hidden="1">ds!$OL$3</definedName>
    <definedName name="TRNR_5026a2d8fd9646f3b1023a33d85fdd31_221_3" hidden="1">ds!$MG$3</definedName>
    <definedName name="TRNR_502b853153d9489e940b596ee668a731_211_47" hidden="1">ds!$ES$3</definedName>
    <definedName name="TRNR_50ede7aa12d348cd959f6ef98cd19ee3_213_47" hidden="1">ds!$IM$3</definedName>
    <definedName name="TRNR_5143cef544c54d1a955a505938e4b092_219_47" hidden="1">ds!$AY$3</definedName>
    <definedName name="TRNR_52c4e421b8c04c0084296312a9d64ae7_218_47" hidden="1">ds!$AY$3</definedName>
    <definedName name="TRNR_534a6710c6c042459f61486b01c8b74a_220_47" hidden="1">ds!$QI$3</definedName>
    <definedName name="TRNR_5457b2a11b7041a7bd3b6be7692cb090_220_3" hidden="1">ds!$MG$3</definedName>
    <definedName name="TRNR_57afb39954f54071832a1eae16bdc793_215_1" hidden="1">ds!$SF$3</definedName>
    <definedName name="TRNR_58ec68f32ddc441bbf897b3e761e7939_211_47" hidden="1">ds!$OL$3</definedName>
    <definedName name="TRNR_5adf0af9b0194a899c32c02547de73ea_215_3" hidden="1">ds!$MG$3</definedName>
    <definedName name="TRNR_5b0875ca534d417899998a6f737e166d_220_47" hidden="1">ds!$CV$3</definedName>
    <definedName name="TRNR_5bcebf2db3444fefbb51ed2e703656a2_217_47" hidden="1">ds!$ES$3</definedName>
    <definedName name="TRNR_5d175155d90b48cb82d23ae82658599e_217_47" hidden="1">ds!$QI$3</definedName>
    <definedName name="TRNR_5d3f79c08d03462681286a16221d9edc_219_47" hidden="1">ds!$GP$3</definedName>
    <definedName name="TRNR_5dd0fb0ed9f040d4996de8d5e72c6657_212_47" hidden="1">ds!$B$3</definedName>
    <definedName name="TRNR_5efebfd2127d44daa42c9f2ba688f069_213_1" hidden="1">ds!$UF$3</definedName>
    <definedName name="TRNR_5fabb0a5fe4b409a8db92e88803d781e_219_1" hidden="1">ds!$UF$3</definedName>
    <definedName name="TRNR_62b9e401fa12459f9384cf576b4d0e4d_220_47" hidden="1">ds!$ES$3</definedName>
    <definedName name="TRNR_62c141fc19a6491e8d11444eadca5fce_220_47" hidden="1">ds!$KJ$3</definedName>
    <definedName name="TRNR_63e0412701e842b59679831b79132fc5_215_47" hidden="1">ds!$MO$3</definedName>
    <definedName name="TRNR_64fd8577ed934c2e9f1e4953230ba634_220_47" hidden="1">ds!$QI$3</definedName>
    <definedName name="TRNR_66afcb939283403fb6b1e570109b9dee_216_3" hidden="1">ds!$MG$3</definedName>
    <definedName name="TRNR_6c8994e6555b406f90106bc3574e3030_216_3" hidden="1">ds!$MG$3</definedName>
    <definedName name="TRNR_6eeadbb3df2c4597a883c870727f9180_215_47" hidden="1">ds!$CV$3</definedName>
    <definedName name="TRNR_7065de4a831045e9b58598a30e9764ee_217_47" hidden="1">ds!$SI$3</definedName>
    <definedName name="TRNR_72a5dcbfe3d94f2ea776bf888ac69066_219_47" hidden="1">ds!$CV$3</definedName>
    <definedName name="TRNR_73a95117dd6d45e99cf539d50489c983_217_47" hidden="1">ds!$GP$3</definedName>
    <definedName name="TRNR_7449b3b0827b4197a52b23299f331874_215_47" hidden="1">ds!$SI$3</definedName>
    <definedName name="TRNR_75528e02eaf1471faff971d04ed0c5db_220_47" hidden="1">ds!$AY$3</definedName>
    <definedName name="TRNR_76456d12f6064f9d8b585f9f3cc7f32b_221_47" hidden="1">ds!$AY$3</definedName>
    <definedName name="TRNR_76f0af26c07c4dc4a09c70bf352eb921_216_1" hidden="1">ds!$ML$3</definedName>
    <definedName name="TRNR_78092b928fad4829be26e5b4aaffbc2c_217_47" hidden="1">ds!$OL$3</definedName>
    <definedName name="TRNR_7837ad912fed488ea339ad00344cfd48_216_47" hidden="1">ds!$CV$3</definedName>
    <definedName name="TRNR_7987e204875c482c8302c8d7123b75b5_216_47" hidden="1">ds!$B$3</definedName>
    <definedName name="TRNR_7a697280f38940dc8c974222f59a867b_212_47" hidden="1">ds!$GP$3</definedName>
    <definedName name="TRNR_7ad248f165b14ff69056a697909bf020_217_1" hidden="1">ds!$UF$3</definedName>
    <definedName name="TRNR_7ad90b76c5fd440798131e4895d63cee_219_47" hidden="1">ds!$SI$3</definedName>
    <definedName name="TRNR_7d382bdd3f1d4b02bb0d12305828a593_219_47" hidden="1">ds!$IM$3</definedName>
    <definedName name="TRNR_7dad2aedf2ff4f919cdbeeb070814bbd_219_47" hidden="1">ds!$CV$3</definedName>
    <definedName name="TRNR_7e297d4990234de0a4bfc9ce2f148cd4_219_3" hidden="1">ds!$MG$3</definedName>
    <definedName name="TRNR_7e61648e96894273b0b97a9c3fd0822e_211_47" hidden="1">ds!$MO$3</definedName>
    <definedName name="TRNR_7f5c8a38af564ba8bbe2469d5dbd0b55_220_47" hidden="1">ds!$B$3</definedName>
    <definedName name="TRNR_80c8a55481b94d3cb9960bf3293ddb2f_217_47" hidden="1">ds!$KJ$3</definedName>
    <definedName name="TRNR_8195fed6532449edbc8fa4068b17aaed_221_47" hidden="1">ds!$QI$3</definedName>
    <definedName name="TRNR_83d87dd5f9b74297be0e79119ee8bd63_219_47" hidden="1">ds!$B$3</definedName>
    <definedName name="TRNR_88531feb5c9a485096ea5056fc095df2_218_47" hidden="1">ds!$OL$3</definedName>
    <definedName name="TRNR_8856c730fff74e33af6a1a1968eb4103_220_47" hidden="1">ds!$MO$3</definedName>
    <definedName name="TRNR_885a863ad09647a88f72c9fe685a0b77_216_47" hidden="1">ds!$B$3</definedName>
    <definedName name="TRNR_8adc181f5f1a475db3d4da5369d779b5_221_47" hidden="1">ds!$B$3</definedName>
    <definedName name="TRNR_8c36db5edfd341eb86d066e795938a97_216_1" hidden="1">ds!$UF$3</definedName>
    <definedName name="TRNR_8e66364e61e44a2e9d2170a7fadb5a52_216_1" hidden="1">ds!$SF$3</definedName>
    <definedName name="TRNR_8e6e3cb9d46845a8a7e8ba99353a6b89_216_47" hidden="1">ds!$OL$3</definedName>
    <definedName name="TRNR_8f2947ce13444f05b9c9b3c2eb7381d4_218_47" hidden="1">ds!$KJ$3</definedName>
    <definedName name="TRNR_90d5a403d0184034b59ec78e2ea677ce_211_47" hidden="1">ds!$KJ$3</definedName>
    <definedName name="TRNR_91159eebc6324fd78df903c1b5d2873c_216_47" hidden="1">ds!$AY$3</definedName>
    <definedName name="TRNR_91d9abb216b14e59b4aa02627ace183f_211_47" hidden="1">ds!$GP$3</definedName>
    <definedName name="TRNR_931d80af8afe4c57b14cfd0cf2149308_212_47" hidden="1">ds!$SI$3</definedName>
    <definedName name="TRNR_9454adf55d4148c681c1f223a2952839_215_1" hidden="1">ds!$UF$3</definedName>
    <definedName name="TRNR_945ba95a404941d0a66136503b870604_213_3" hidden="1">ds!$MG$3</definedName>
    <definedName name="TRNR_97cb47a77feb4880b4aa9512594ec400_220_47" hidden="1">ds!$IM$3</definedName>
    <definedName name="TRNR_998b34d6ff7d428c9ea88949de540d57_218_47" hidden="1">ds!$MO$3</definedName>
    <definedName name="TRNR_999293b7f4974c9581a79c29ed6ee710_216_47" hidden="1">ds!$IM$3</definedName>
    <definedName name="TRNR_9b6ba6ba5cdf482fb82ebbb959a85b47_217_47" hidden="1">ds!$B$3</definedName>
    <definedName name="TRNR_9ca52558198544e3913988349ae222d3_211_47" hidden="1">ds!$AY$3</definedName>
    <definedName name="TRNR_9e33ed575ce14abf9494a22ca43b79b1_220_47" hidden="1">ds!$CV$3</definedName>
    <definedName name="TRNR_9ea6712e62b7429b805683a1bad333a5_218_47" hidden="1">ds!$ES$3</definedName>
    <definedName name="TRNR_9f055cbdb35746dfaca85a2097129240_220_1" hidden="1">ds!$UF$3</definedName>
    <definedName name="TRNR_9f3bbc624fa34116a1c66aa3c6f0ad67_210_47" hidden="1">ds!$B$3</definedName>
    <definedName name="TRNR_9f3c5e48169c47bcb137817c129ce5c0_220_47" hidden="1">ds!$AY$3</definedName>
    <definedName name="TRNR_a172c34b1ec6405e80bb5f2cfaa4f326_220_47" hidden="1">ds!$MO$3</definedName>
    <definedName name="TRNR_a2a09700434c45ce95581d7fa413e3fd_216_47" hidden="1">ds!$KJ$3</definedName>
    <definedName name="TRNR_a48a19b10e834f38898927e9e90629fe_212_47" hidden="1">ds!$MO$3</definedName>
    <definedName name="TRNR_a614f68b811f42e9b14119eee71df140_220_47" hidden="1">ds!$ES$3</definedName>
    <definedName name="TRNR_a6b6ac474df74993abd34fb653c68434_212_47" hidden="1">ds!$AY$3</definedName>
    <definedName name="TRNR_a875b0aa299a4e8690de3779cb5a4d42_212_1" hidden="1">ds!$UF$3</definedName>
    <definedName name="TRNR_a8b055b91eb645519d34f1331fb2fd56_218_3" hidden="1">ds!$MG$3</definedName>
    <definedName name="TRNR_a942c736bd3d412da72ec9571296f3ab_221_47" hidden="1">ds!$CV$3</definedName>
    <definedName name="TRNR_ac44f25647db4e1a8128d3a66bee7a2b_218_1" hidden="1">ds!$SF$3</definedName>
    <definedName name="TRNR_ad08dc7424ec417e883b8fb841e4478c_216_47" hidden="1">ds!$MO$3</definedName>
    <definedName name="TRNR_adb4b7db65a74891b8a03b618433e9f2_216_47" hidden="1">ds!$KJ$3</definedName>
    <definedName name="TRNR_ae002b534ac34f47bebee0a576215f77_220_47" hidden="1">ds!$IM$3</definedName>
    <definedName name="TRNR_ae454217aa2540c98a6ea8f6dbb19156_221_47" hidden="1">ds!$IM$3</definedName>
    <definedName name="TRNR_afadc6ca5dad472485d9766469babba2_219_1" hidden="1">ds!$ML$3</definedName>
    <definedName name="TRNR_b23d3f32479f464a8e68e85d9235bbaa_220_1" hidden="1">ds!$SF$3</definedName>
    <definedName name="TRNR_b2eddc15c7bb4e388f2746b909b074b9_219_1" hidden="1">ds!$SF$3</definedName>
    <definedName name="TRNR_b2f56c3f0cd84607a96fcd1983cd0a12_220_1" hidden="1">ds!$UF$3</definedName>
    <definedName name="TRNR_b60c01da4aae4b658b23c505f891f5cf_216_47" hidden="1">ds!$SI$3</definedName>
    <definedName name="TRNR_b6e3d2b3433f4aa1956a4aeb5b393f1d_220_1" hidden="1">ds!$SF$3</definedName>
    <definedName name="TRNR_b7406bbd03d34a0b86cefaf89a842ea3_220_47" hidden="1">ds!$ES$3</definedName>
    <definedName name="TRNR_b82902a518f94e6bb4bc1d267369761a_212_47" hidden="1">ds!$QI$3</definedName>
    <definedName name="TRNR_bad94f96f15f4479919d4e80bb26bcb0_219_47" hidden="1">ds!$QI$3</definedName>
    <definedName name="TRNR_bb702788568d490eaab22fd7d39ea16b_210_47" hidden="1">ds!$ES$3</definedName>
    <definedName name="TRNR_bc44ee11fba74ce0ac4b50776b39b078_219_47" hidden="1">ds!$OL$3</definedName>
    <definedName name="TRNR_bd8dc4532c3944539342275487a7dca3_67_47" hidden="1">#REF!</definedName>
    <definedName name="TRNR_bde1c6a13bc34fa19677c739794dea7b_221_47" hidden="1">ds!$SI$3</definedName>
    <definedName name="TRNR_bf4878ccd98a4bb5bf428a23a8a60d54_215_47" hidden="1">ds!$OL$3</definedName>
    <definedName name="TRNR_bf9fd28026004c9aa671c1f616a956fa_220_47" hidden="1">ds!$GP$3</definedName>
    <definedName name="TRNR_c00071d1586f466a92ef6af887b3da7e_209_47" hidden="1">ds!$OL$3</definedName>
    <definedName name="TRNR_c00679156bd342249d51480c4c2deb01_216_47" hidden="1">ds!$QI$3</definedName>
    <definedName name="TRNR_c1e049e758154d83907cbe3d34005f25_208_47" hidden="1">ds!$SI$3</definedName>
    <definedName name="TRNR_c25d949c9a284b608b90a5cf6b9cc839_211_3" hidden="1">ds!$MG$3</definedName>
    <definedName name="TRNR_c5a5b416511c49889a612075314a8040_220_47" hidden="1">ds!$GP$3</definedName>
    <definedName name="TRNR_c93d3e97cc31426b8136189230d072d0_216_47" hidden="1">ds!$SI$3</definedName>
    <definedName name="TRNR_cac20360162e42aebd1ee2ac364857df_208_47" hidden="1">ds!$IM$3</definedName>
    <definedName name="TRNR_cb490f2beb474b9b8b1b6c9ca520dc13_219_47" hidden="1">ds!$ES$3</definedName>
    <definedName name="TRNR_cbfda8771db24af282e6779f87525ecd_220_47" hidden="1">ds!$GP$3</definedName>
    <definedName name="TRNR_cea15480b9bd419e84966e3139a470ea_219_47" hidden="1">ds!$ES$3</definedName>
    <definedName name="TRNR_d089863470544ce8ad8939d5ee26020d_213_47" hidden="1">ds!$QI$3</definedName>
    <definedName name="TRNR_d2d8dae214cd418490def9a10bafc121_208_1" hidden="1">ds!$ML$3</definedName>
    <definedName name="TRNR_d2e99d1cfe774b30a6fcbd36628042a9_212_1" hidden="1">ds!$SF$3</definedName>
    <definedName name="TRNR_d38cf9fdba384d5bbbfcae09d54ee1a4_220_3" hidden="1">ds!$MG$3</definedName>
    <definedName name="TRNR_d428a557ea354f94accc983dd3b9df90_213_47" hidden="1">ds!$ES$3</definedName>
    <definedName name="TRNR_d51fa1477c804ec8aca1af7a5e6bd0a2_213_47" hidden="1">ds!$MO$3</definedName>
    <definedName name="TRNR_d564bb100ad34c2c990117b7388979ad_210_1" hidden="1">ds!$UF$3</definedName>
    <definedName name="TRNR_d6484502642846d9b1a96b1c3aa295f4_218_1" hidden="1">ds!$UF$3</definedName>
    <definedName name="TRNR_d9f8d7946f2a4899ace6ec9df462b303_211_47" hidden="1">ds!$QI$3</definedName>
    <definedName name="TRNR_d9fc5501b6944fbe808c5b9a35cdd16a_210_1" hidden="1">ds!$SF$3</definedName>
    <definedName name="TRNR_da1d3197dd914007ad5091dcb0216ede_208_47" hidden="1">ds!$AY$3</definedName>
    <definedName name="TRNR_daec64f62e204fef827267c83907541b_219_47" hidden="1">ds!$B$3</definedName>
    <definedName name="TRNR_db6862fb09354c3ca15238a98c3be474_221_47" hidden="1">ds!$MO$3</definedName>
    <definedName name="TRNR_dc897bbfa3d14a08b2329dd5da79bfd1_220_47" hidden="1">ds!$OL$3</definedName>
    <definedName name="TRNR_de317ed8f25b4bdda2ae6aa2b5a5b9d4_220_3" hidden="1">ds!$MG$3</definedName>
    <definedName name="TRNR_df010799c2144d08bc555d60fe77b843_220_1" hidden="1">ds!$SF$3</definedName>
    <definedName name="TRNR_e1214df70c4e4425a5950e61980162c4_208_47" hidden="1">ds!$KJ$3</definedName>
    <definedName name="TRNR_e28656197bdd4e6abaa7bf1bb7505e70_219_1" hidden="1">ds!$UF$3</definedName>
    <definedName name="TRNR_e2a1c701772b4e9f9421fee60c26d1fe_220_47" hidden="1">ds!$SI$3</definedName>
    <definedName name="TRNR_e3c0ac232f294c3da5a257bdd1f1a119_215_47" hidden="1">ds!$ES$3</definedName>
    <definedName name="TRNR_e56696737dc84fe5920b2380521dca29_219_1" hidden="1">ds!$SF$3</definedName>
    <definedName name="TRNR_e5b12bdef18946f7a983454adfe60436_213_47" hidden="1">ds!$KJ$3</definedName>
    <definedName name="TRNR_e734740c977e445cb020131cbd75f0ba_219_47" hidden="1">ds!$KJ$3</definedName>
    <definedName name="TRNR_e8df4213ef924691a4d9e0cc503cda92_211_1" hidden="1">ds!$UF$3</definedName>
    <definedName name="TRNR_e9a2360c61f14ccd854385dfa001a7ee_220_47" hidden="1">ds!$OL$3</definedName>
    <definedName name="TRNR_eb227752842c4c07a41316f3eb49b2df_208_47" hidden="1">ds!$CV$3</definedName>
    <definedName name="TRNR_ec2c383c738746b3be75d09b36591101_213_47" hidden="1">ds!$AY$3</definedName>
    <definedName name="TRNR_ec49d2a01e6444038f406f390565feb7_221_47" hidden="1">ds!$GP$3</definedName>
    <definedName name="TRNR_ee0df74ea19f44ecb39e20ed8ca85983_218_47" hidden="1">ds!$SI$3</definedName>
    <definedName name="TRNR_ee203786515c4f1bbe86c75d31c4cb63_212_47" hidden="1">ds!$KJ$3</definedName>
    <definedName name="TRNR_ee74fa24869848238a07e0838ce741a8_216_47" hidden="1">ds!$QI$3</definedName>
    <definedName name="TRNR_ef7fe86dde4649219a50ff2617d07544_220_47" hidden="1">ds!$SI$3</definedName>
    <definedName name="TRNR_f0a69c333cf346a6b64757baa22182ef_220_1" hidden="1">ds!$UF$3</definedName>
    <definedName name="TRNR_f0f56430639b4f21a6db6cf8ff2881c8_220_1" hidden="1">ds!$ML$3</definedName>
    <definedName name="TRNR_f1c7055574ba401db718eb138eaf7966_216_47" hidden="1">ds!$IM$3</definedName>
    <definedName name="TRNR_f26aa83b13724732a3febe269730cc9c_209_3" hidden="1">ds!$MG$3</definedName>
    <definedName name="TRNR_f36b73e9e3984f71b4a9665078a4067a_216_47" hidden="1">ds!$GP$3</definedName>
    <definedName name="TRNR_f44dcf0142294e3bbf7c943dfd846032_219_47" hidden="1">ds!$AY$3</definedName>
    <definedName name="TRNR_f4778656b6864ad08a432c86865c0d39_215_47" hidden="1">ds!$GP$3</definedName>
    <definedName name="TRNR_f55affb6c47c44c5bc5cfe01df392139_219_47" hidden="1">ds!$MO$3</definedName>
    <definedName name="TRNR_f637193a0c164458837a82f557a3fe95_209_47" hidden="1">ds!$GP$3</definedName>
    <definedName name="TRNR_f645d72124bf4b3483cf074ed2392ab8_218_47" hidden="1">ds!$GP$3</definedName>
    <definedName name="TRNR_f8c8022ed7744b58b53a41e1259fa3e3_213_47" hidden="1">ds!$CV$3</definedName>
    <definedName name="TRNR_f94cc333378c4c71bbf11ac558549c7d_212_47" hidden="1">ds!$OL$3</definedName>
    <definedName name="TRNR_f96d0a6fc8fe4dc1b01eb410c595c042_209_47" hidden="1">ds!$MO$3</definedName>
    <definedName name="TRNR_fab3e38ba1c74b83a9b5a2c9f32a277b_219_47" hidden="1">ds!$OL$3</definedName>
    <definedName name="TRNR_fab69afcb73c4f739155134b7169a32e_211_47" hidden="1">ds!$SI$3</definedName>
    <definedName name="TRNR_fae5e937eca5479b99dfc05e4f75055e_217_47" hidden="1">ds!$IM$3</definedName>
    <definedName name="TRNR_fc259092b86748da9b2e9006fa2b4c9e_219_47" hidden="1">ds!$MO$3</definedName>
    <definedName name="TRNR_fc717a839d484293b2f474dcb0d6d037_219_47" hidden="1">ds!$SI$3</definedName>
    <definedName name="TRNR_fcd1fa0970e64896a980a9759485ba05_221_47" hidden="1">ds!$KJ$3</definedName>
    <definedName name="TRNR_fd2a974243b247ebbc5698cd232a35e7_221_1" hidden="1">ds!$ML$3</definedName>
    <definedName name="TRNR_fdbf859840454655a667408fcfb83150_215_47" hidden="1">ds!$AY$3</definedName>
    <definedName name="TRNR_fdc4a508c7a942479d5a66b98e16b18b_212_47" hidden="1">ds!$IM$3</definedName>
    <definedName name="TRNR_ffa3e2155f7d4ad5ad952baf395803c5_211_47" hidden="1">ds!$QI$3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d-mmm-yyyy"/>
    <numFmt numFmtId="166" formatCode="#,##0;(#,##0);-"/>
    <numFmt numFmtId="167" formatCode="0.0;(0.0);-"/>
    <numFmt numFmtId="168" formatCode="+0.00;-0.00"/>
    <numFmt numFmtId="169" formatCode="0&quot; sovs&quot;"/>
    <numFmt numFmtId="170" formatCode="#,##0&quot; bps&quot;"/>
    <numFmt numFmtId="171" formatCode="+0.0;-0.0;-"/>
    <numFmt numFmtId="172" formatCode="0&quot;/6&quot;"/>
  </numFmts>
  <fonts count="60">
    <font>
      <name val="Calibri"/>
      <family val="2"/>
      <color theme="1"/>
      <sz val="11"/>
      <scheme val="minor"/>
    </font>
    <font>
      <name val="Arial"/>
      <family val="2"/>
      <color rgb="FFFFFFFF"/>
      <sz val="10"/>
    </font>
    <font>
      <name val="Arial"/>
      <family val="2"/>
      <sz val="10"/>
    </font>
    <font>
      <name val="Arial"/>
      <family val="2"/>
      <color indexed="18"/>
      <sz val="10"/>
    </font>
    <font>
      <name val="MS Sans Serif"/>
      <family val="2"/>
      <color indexed="9"/>
      <sz val="8"/>
    </font>
    <font>
      <name val="MS Sans Serif"/>
      <family val="2"/>
      <color rgb="FFFFFFFF"/>
      <sz val="8"/>
    </font>
    <font>
      <name val="Calibri"/>
      <family val="2"/>
      <color rgb="FFFFFFFF"/>
      <sz val="11"/>
      <scheme val="minor"/>
    </font>
    <font>
      <name val="MS Sans Serif"/>
      <family val="2"/>
      <sz val="8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sz val="12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MS Sans Serif"/>
      <color rgb="FF000000"/>
      <sz val="8"/>
    </font>
    <font>
      <name val="MS Sans Serif"/>
      <color rgb="FF000000"/>
      <sz val="8"/>
      <u val="single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0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rgb="FFFF0000"/>
      <sz val="10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  <font>
      <name val="Tahoma"/>
      <family val="2"/>
      <color rgb="FF000000"/>
      <sz val="8"/>
    </font>
    <font>
      <name val="Tahoma"/>
      <family val="2"/>
      <color indexed="81"/>
      <sz val="9"/>
    </font>
    <font>
      <name val="Calibri"/>
      <b val="1"/>
      <color rgb="00FFFFFF"/>
      <sz val="18"/>
    </font>
    <font>
      <name val="Calibri"/>
      <i val="1"/>
      <color rgb="004A4A48"/>
      <sz val="10"/>
    </font>
    <font>
      <name val="Calibri"/>
      <b val="1"/>
      <color rgb="00FFFFFF"/>
      <sz val="9"/>
    </font>
    <font>
      <name val="Calibri"/>
      <b val="1"/>
      <color rgb="0014213D"/>
      <sz val="10"/>
    </font>
    <font>
      <name val="Calibri"/>
      <color rgb="004A4A48"/>
      <sz val="9"/>
    </font>
    <font>
      <name val="Calibri"/>
      <b val="1"/>
      <color rgb="000070C0"/>
      <sz val="10"/>
    </font>
    <font>
      <name val="Calibri"/>
      <color rgb="000070C0"/>
      <sz val="9"/>
    </font>
    <font>
      <name val="Calibri"/>
      <b val="1"/>
      <color rgb="00FFFFFF"/>
      <sz val="20"/>
    </font>
    <font>
      <name val="Calibri"/>
      <b val="1"/>
      <color rgb="0014213D"/>
      <sz val="11"/>
    </font>
    <font>
      <name val="Calibri"/>
      <color rgb="004A4A48"/>
      <sz val="10"/>
    </font>
    <font>
      <name val="Calibri"/>
      <b val="1"/>
      <color rgb="000070C0"/>
      <sz val="11"/>
    </font>
    <font>
      <name val="Calibri"/>
      <b val="1"/>
      <color rgb="00C9A227"/>
      <sz val="18"/>
    </font>
    <font>
      <name val="Calibri"/>
      <b val="1"/>
      <color rgb="0014213D"/>
      <sz val="20"/>
    </font>
    <font>
      <name val="Calibri"/>
      <b val="1"/>
      <color rgb="004A4A48"/>
      <sz val="20"/>
    </font>
    <font>
      <name val="Calibri"/>
      <b val="1"/>
      <color rgb="00C9A227"/>
      <sz val="20"/>
    </font>
    <font>
      <name val="Calibri"/>
      <b val="1"/>
      <color rgb="00FFFFFF"/>
      <sz val="28"/>
    </font>
    <font>
      <name val="Calibri"/>
      <b val="1"/>
      <color rgb="0014213D"/>
      <sz val="13"/>
    </font>
    <font>
      <name val="Calibri"/>
      <b val="1"/>
      <color rgb="00FFFFFF"/>
      <sz val="10"/>
    </font>
    <font>
      <name val="Calibri"/>
      <color rgb="0014213D"/>
      <sz val="11"/>
    </font>
    <font>
      <name val="Calibri"/>
      <color rgb="004A4A48"/>
      <sz val="11"/>
    </font>
    <font>
      <name val="Calibri"/>
      <color rgb="004A4A48"/>
      <sz val="8"/>
    </font>
    <font>
      <name val="Calibri"/>
      <b val="1"/>
      <color rgb="00FFFFFF"/>
      <sz val="40"/>
    </font>
    <font>
      <name val="Calibri"/>
      <i val="1"/>
      <color rgb="004A4A48"/>
      <sz val="12"/>
    </font>
    <font>
      <name val="Calibri"/>
      <b val="1"/>
      <color rgb="0014213D"/>
      <sz val="22"/>
    </font>
    <font>
      <name val="Calibri"/>
      <b val="1"/>
      <color rgb="00C9A227"/>
      <sz val="22"/>
    </font>
    <font>
      <name val="Calibri"/>
      <b val="1"/>
      <color rgb="002A9D8F"/>
      <sz val="22"/>
    </font>
    <font>
      <name val="Calibri"/>
      <b val="1"/>
      <color rgb="0014213D"/>
      <sz val="28"/>
    </font>
    <font>
      <name val="Calibri"/>
      <b val="1"/>
      <color rgb="00C44536"/>
      <sz val="14"/>
    </font>
    <font>
      <name val="Calibri"/>
      <b val="1"/>
      <color rgb="005B8C5A"/>
      <sz val="14"/>
    </font>
    <font>
      <name val="Calibri"/>
      <b val="1"/>
      <color rgb="0014213D"/>
      <sz val="14"/>
    </font>
    <font>
      <name val="Calibri"/>
      <b val="1"/>
      <color rgb="00C9A227"/>
      <sz val="14"/>
    </font>
    <font>
      <name val="Calibri"/>
      <color rgb="000070C0"/>
      <sz val="10"/>
    </font>
    <font>
      <name val="Calibri"/>
      <b val="1"/>
      <color rgb="005B8C5A"/>
      <sz val="22"/>
    </font>
  </fonts>
  <fills count="3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69696"/>
        <bgColor theme="0" tint="-0.49998474074526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14213D"/>
        <bgColor rgb="0014213D"/>
      </patternFill>
    </fill>
    <fill>
      <patternFill patternType="solid">
        <fgColor rgb="00FAF3DD"/>
        <bgColor rgb="00FAF3DD"/>
      </patternFill>
    </fill>
    <fill>
      <patternFill patternType="solid">
        <fgColor rgb="00F6F4EE"/>
        <bgColor rgb="00F6F4EE"/>
      </patternFill>
    </fill>
    <fill>
      <patternFill patternType="solid">
        <fgColor rgb="00EEF3F7"/>
        <bgColor rgb="00EEF3F7"/>
      </patternFill>
    </fill>
    <fill>
      <patternFill patternType="solid">
        <fgColor rgb="00C44536"/>
        <bgColor rgb="00C44536"/>
      </patternFill>
    </fill>
    <fill>
      <patternFill patternType="solid">
        <fgColor rgb="00F7E6E2"/>
        <bgColor rgb="00F7E6E2"/>
      </patternFill>
    </fill>
    <fill>
      <patternFill patternType="solid">
        <fgColor rgb="00E8F0E2"/>
        <bgColor rgb="00E8F0E2"/>
      </patternFill>
    </fill>
    <fill>
      <patternFill patternType="solid">
        <fgColor rgb="005B8C5A"/>
        <bgColor rgb="005B8C5A"/>
      </patternFill>
    </fill>
    <fill>
      <patternFill patternType="solid">
        <fgColor rgb="00C9A227"/>
        <bgColor rgb="00C9A227"/>
      </patternFill>
    </fill>
  </fills>
  <borders count="28">
    <border>
      <left/>
      <right/>
      <top/>
      <bottom/>
      <diagonal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5F5F5F"/>
      </left>
      <right/>
      <top/>
      <bottom/>
      <diagonal/>
    </border>
    <border>
      <left style="thin">
        <color rgb="FF5F5F5F"/>
      </left>
      <right style="thin">
        <color rgb="FF5F5F5F"/>
      </right>
      <top/>
      <bottom/>
      <diagonal/>
    </border>
    <border>
      <left style="thin">
        <color rgb="FF5F5F5F"/>
      </left>
      <right style="thin">
        <color rgb="FF5F5F5F"/>
      </right>
      <top/>
      <bottom style="thin">
        <color rgb="FF5F5F5F"/>
      </bottom>
      <diagonal/>
    </border>
    <border>
      <left style="thin">
        <color rgb="00BFBDB6"/>
      </left>
      <right style="thin">
        <color rgb="00BFBDB6"/>
      </right>
      <top style="thin">
        <color rgb="00BFBDB6"/>
      </top>
      <bottom style="thin">
        <color rgb="00BFBDB6"/>
      </bottom>
    </border>
    <border>
      <bottom style="medium">
        <color rgb="0014213D"/>
      </bottom>
    </border>
    <border>
      <left/>
      <right/>
      <top/>
      <bottom style="medium">
        <color rgb="0014213D"/>
      </bottom>
      <diagonal/>
    </border>
    <border>
      <bottom style="medium">
        <color rgb="00C44536"/>
      </bottom>
    </border>
    <border>
      <left/>
      <right/>
      <top/>
      <bottom style="medium">
        <color rgb="00C44536"/>
      </bottom>
      <diagonal/>
    </border>
    <border>
      <bottom style="medium">
        <color rgb="005B8C5A"/>
      </bottom>
    </border>
    <border>
      <left/>
      <right/>
      <top/>
      <bottom style="medium">
        <color rgb="005B8C5A"/>
      </bottom>
      <diagonal/>
    </border>
    <border>
      <right/>
      <bottom style="medium">
        <color rgb="00C44536"/>
      </bottom>
    </border>
    <border>
      <right/>
      <bottom style="medium">
        <color rgb="005B8C5A"/>
      </bottom>
    </border>
    <border>
      <left/>
      <right/>
      <top style="thin">
        <color rgb="00BFBDB6"/>
      </top>
      <bottom/>
      <diagonal/>
    </border>
    <border>
      <left/>
      <right style="thin">
        <color rgb="00BFBDB6"/>
      </right>
      <top style="thin">
        <color rgb="00BFBDB6"/>
      </top>
      <bottom/>
      <diagonal/>
    </border>
    <border>
      <left/>
      <right/>
      <top style="thin">
        <color rgb="00BFBDB6"/>
      </top>
      <bottom style="thin">
        <color rgb="00BFBDB6"/>
      </bottom>
      <diagonal/>
    </border>
    <border>
      <left/>
      <right style="thin">
        <color rgb="00BFBDB6"/>
      </right>
      <top style="thin">
        <color rgb="00BFBDB6"/>
      </top>
      <bottom style="thin">
        <color rgb="00BFBDB6"/>
      </bottom>
      <diagonal/>
    </border>
    <border>
      <right/>
      <bottom style="medium">
        <color rgb="0014213D"/>
      </bottom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right/>
      <bottom style="medium">
        <color rgb="00C9A227"/>
      </bottom>
    </border>
  </borders>
  <cellStyleXfs count="2">
    <xf numFmtId="0" fontId="19" fillId="0" borderId="0"/>
    <xf numFmtId="0" fontId="15" fillId="0" borderId="0"/>
  </cellStyleXfs>
  <cellXfs count="31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1" fillId="2" borderId="0" pivotButton="0" quotePrefix="0" xfId="0"/>
    <xf numFmtId="49" fontId="0" fillId="2" borderId="0" applyAlignment="1" pivotButton="0" quotePrefix="1" xfId="0">
      <alignment horizontal="left" vertical="center"/>
    </xf>
    <xf numFmtId="49" fontId="0" fillId="2" borderId="0" applyAlignment="1" pivotButton="0" quotePrefix="1" xfId="0">
      <alignment horizontal="left"/>
    </xf>
    <xf numFmtId="0" fontId="2" fillId="2" borderId="0" pivotButton="0" quotePrefix="0" xfId="0"/>
    <xf numFmtId="0" fontId="0" fillId="2" borderId="0" applyAlignment="1" pivotButton="0" quotePrefix="0" xfId="0">
      <alignment vertical="center"/>
    </xf>
    <xf numFmtId="49" fontId="0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center" vertical="center"/>
    </xf>
    <xf numFmtId="49" fontId="0" fillId="2" borderId="0" pivotButton="0" quotePrefix="0" xfId="0"/>
    <xf numFmtId="49" fontId="3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vertical="top"/>
    </xf>
    <xf numFmtId="0" fontId="0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/>
    </xf>
    <xf numFmtId="0" fontId="2" fillId="2" borderId="0" pivotButton="0" quotePrefix="0" xfId="0"/>
    <xf numFmtId="0" fontId="10" fillId="2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49" fontId="2" fillId="0" borderId="0" applyAlignment="1" pivotButton="0" quotePrefix="0" xfId="0">
      <alignment horizontal="left" vertical="center"/>
    </xf>
    <xf numFmtId="49" fontId="2" fillId="0" borderId="0" pivotButton="0" quotePrefix="0" xfId="0"/>
    <xf numFmtId="49" fontId="2" fillId="0" borderId="0" pivotButton="0" quotePrefix="0" xfId="0"/>
    <xf numFmtId="49" fontId="2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5" fillId="4" borderId="1" applyAlignment="1" pivotButton="0" quotePrefix="0" xfId="0">
      <alignment horizontal="center" vertical="top"/>
    </xf>
    <xf numFmtId="49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vertical="center"/>
    </xf>
    <xf numFmtId="49" fontId="2" fillId="0" borderId="1" applyAlignment="1" pivotButton="0" quotePrefix="1" xfId="0">
      <alignment vertical="center"/>
    </xf>
    <xf numFmtId="1" fontId="2" fillId="0" borderId="1" applyAlignment="1" pivotButton="0" quotePrefix="1" xfId="0">
      <alignment horizontal="left"/>
    </xf>
    <xf numFmtId="0" fontId="2" fillId="0" borderId="1" pivotButton="0" quotePrefix="0" xfId="0"/>
    <xf numFmtId="2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9" fontId="8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49" fontId="8" fillId="0" borderId="1" applyAlignment="1" pivotButton="0" quotePrefix="0" xfId="0">
      <alignment vertical="center"/>
    </xf>
    <xf numFmtId="49" fontId="8" fillId="0" borderId="1" applyAlignment="1" pivotButton="0" quotePrefix="0" xfId="0">
      <alignment horizontal="left" vertical="center"/>
    </xf>
    <xf numFmtId="0" fontId="7" fillId="2" borderId="0" pivotButton="0" quotePrefix="0" xfId="0"/>
    <xf numFmtId="0" fontId="9" fillId="2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top"/>
    </xf>
    <xf numFmtId="49" fontId="6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49" fontId="2" fillId="4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4" fontId="0" fillId="0" borderId="0" pivotButton="0" quotePrefix="0" xfId="0"/>
    <xf numFmtId="49" fontId="4" fillId="4" borderId="1" applyAlignment="1" pivotButton="0" quotePrefix="0" xfId="0">
      <alignment horizontal="left" vertical="top"/>
    </xf>
    <xf numFmtId="49" fontId="16" fillId="0" borderId="1" applyAlignment="1" pivotButton="0" quotePrefix="0" xfId="0">
      <alignment horizontal="center" vertical="center"/>
    </xf>
    <xf numFmtId="49" fontId="16" fillId="0" borderId="1" applyAlignment="1" pivotButton="0" quotePrefix="0" xfId="0">
      <alignment vertical="center"/>
    </xf>
    <xf numFmtId="49" fontId="16" fillId="0" borderId="1" applyAlignment="1" pivotButton="0" quotePrefix="0" xfId="0">
      <alignment horizontal="left" vertical="center"/>
    </xf>
    <xf numFmtId="49" fontId="16" fillId="0" borderId="1" applyAlignment="1" pivotButton="0" quotePrefix="1" xfId="0">
      <alignment horizontal="left" vertical="center"/>
    </xf>
    <xf numFmtId="0" fontId="17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5" borderId="0" pivotButton="0" quotePrefix="0" xfId="0"/>
    <xf numFmtId="49" fontId="16" fillId="0" borderId="1" applyAlignment="1" pivotButton="0" quotePrefix="1" xfId="0">
      <alignment vertical="center"/>
    </xf>
    <xf numFmtId="0" fontId="18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49" fontId="20" fillId="0" borderId="1" applyAlignment="1" pivotButton="0" quotePrefix="0" xfId="0">
      <alignment horizontal="center" vertical="center"/>
    </xf>
    <xf numFmtId="49" fontId="20" fillId="0" borderId="1" applyAlignment="1" pivotButton="0" quotePrefix="0" xfId="0">
      <alignment vertical="center"/>
    </xf>
    <xf numFmtId="49" fontId="20" fillId="0" borderId="1" applyAlignment="1" pivotButton="0" quotePrefix="0" xfId="0">
      <alignment horizontal="left" vertical="center"/>
    </xf>
    <xf numFmtId="14" fontId="21" fillId="0" borderId="0" pivotButton="0" quotePrefix="0" xfId="0"/>
    <xf numFmtId="0" fontId="21" fillId="0" borderId="0" pivotButton="0" quotePrefix="0" xfId="0"/>
    <xf numFmtId="0" fontId="21" fillId="0" borderId="0" applyAlignment="1" pivotButton="0" quotePrefix="0" xfId="0">
      <alignment horizontal="center"/>
    </xf>
    <xf numFmtId="0" fontId="21" fillId="5" borderId="0" pivotButton="0" quotePrefix="0" xfId="0"/>
    <xf numFmtId="0" fontId="22" fillId="0" borderId="0" applyAlignment="1" pivotButton="0" quotePrefix="0" xfId="0">
      <alignment horizontal="center" vertical="center" wrapText="1"/>
    </xf>
    <xf numFmtId="0" fontId="22" fillId="9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center" vertical="center" wrapText="1"/>
    </xf>
    <xf numFmtId="0" fontId="22" fillId="11" borderId="0" applyAlignment="1" pivotButton="0" quotePrefix="0" xfId="0">
      <alignment horizontal="center" vertical="center" wrapText="1"/>
    </xf>
    <xf numFmtId="0" fontId="22" fillId="12" borderId="0" applyAlignment="1" pivotButton="0" quotePrefix="0" xfId="0">
      <alignment horizontal="center" vertical="center" wrapText="1"/>
    </xf>
    <xf numFmtId="14" fontId="18" fillId="9" borderId="0" pivotButton="0" quotePrefix="0" xfId="0"/>
    <xf numFmtId="0" fontId="18" fillId="9" borderId="0" pivotButton="0" quotePrefix="0" xfId="0"/>
    <xf numFmtId="164" fontId="0" fillId="0" borderId="0" applyAlignment="1" pivotButton="0" quotePrefix="0" xfId="0">
      <alignment horizontal="center"/>
    </xf>
    <xf numFmtId="0" fontId="18" fillId="10" borderId="0" pivotButton="0" quotePrefix="0" xfId="0"/>
    <xf numFmtId="0" fontId="18" fillId="11" borderId="0" pivotButton="0" quotePrefix="0" xfId="0"/>
    <xf numFmtId="0" fontId="18" fillId="13" borderId="0" pivotButton="0" quotePrefix="0" xfId="0"/>
    <xf numFmtId="0" fontId="18" fillId="12" borderId="0" pivotButton="0" quotePrefix="0" xfId="0"/>
    <xf numFmtId="0" fontId="18" fillId="14" borderId="0" pivotButton="0" quotePrefix="0" xfId="0"/>
    <xf numFmtId="0" fontId="18" fillId="15" borderId="0" pivotButton="0" quotePrefix="0" xfId="0"/>
    <xf numFmtId="0" fontId="18" fillId="16" borderId="0" pivotButton="0" quotePrefix="0" xfId="0"/>
    <xf numFmtId="0" fontId="23" fillId="17" borderId="0" pivotButton="0" quotePrefix="0" xfId="0"/>
    <xf numFmtId="1" fontId="0" fillId="0" borderId="0" applyAlignment="1" pivotButton="0" quotePrefix="0" xfId="0">
      <alignment horizontal="center"/>
    </xf>
    <xf numFmtId="49" fontId="20" fillId="0" borderId="1" applyAlignment="1" pivotButton="0" quotePrefix="1" xfId="0">
      <alignment horizontal="left" vertical="center"/>
    </xf>
    <xf numFmtId="0" fontId="18" fillId="5" borderId="0" pivotButton="0" quotePrefix="0" xfId="0"/>
    <xf numFmtId="14" fontId="18" fillId="0" borderId="0" pivotButton="0" quotePrefix="0" xfId="0"/>
    <xf numFmtId="0" fontId="18" fillId="0" borderId="0" pivotButton="0" quotePrefix="0" xfId="0"/>
    <xf numFmtId="0" fontId="18" fillId="0" borderId="0" pivotButton="0" quotePrefix="0" xfId="0"/>
    <xf numFmtId="11" fontId="0" fillId="0" borderId="0" pivotButton="0" quotePrefix="0" xfId="0"/>
    <xf numFmtId="0" fontId="0" fillId="18" borderId="4" pivotButton="0" quotePrefix="0" xfId="0"/>
    <xf numFmtId="0" fontId="0" fillId="19" borderId="4" pivotButton="0" quotePrefix="0" xfId="0"/>
    <xf numFmtId="0" fontId="0" fillId="19" borderId="6" pivotButton="0" quotePrefix="0" xfId="0"/>
    <xf numFmtId="0" fontId="0" fillId="8" borderId="3" pivotButton="0" quotePrefix="0" xfId="0"/>
    <xf numFmtId="0" fontId="0" fillId="7" borderId="3" pivotButton="0" quotePrefix="0" xfId="0"/>
    <xf numFmtId="0" fontId="0" fillId="6" borderId="3" pivotButton="0" quotePrefix="0" xfId="0"/>
    <xf numFmtId="0" fontId="0" fillId="6" borderId="5" pivotButton="0" quotePrefix="0" xfId="0"/>
    <xf numFmtId="0" fontId="22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1" xfId="0"/>
    <xf numFmtId="0" fontId="18" fillId="0" borderId="2" applyAlignment="1" pivotButton="0" quotePrefix="0" xfId="0">
      <alignment horizontal="center" vertical="center" wrapText="1"/>
    </xf>
    <xf numFmtId="14" fontId="0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7" pivotButton="0" quotePrefix="0" xfId="0"/>
    <xf numFmtId="1" fontId="0" fillId="0" borderId="7" applyAlignment="1" pivotButton="0" quotePrefix="0" xfId="0">
      <alignment horizontal="center"/>
    </xf>
    <xf numFmtId="1" fontId="18" fillId="0" borderId="7" applyAlignment="1" pivotButton="0" quotePrefix="0" xfId="0">
      <alignment horizontal="center"/>
    </xf>
    <xf numFmtId="0" fontId="0" fillId="20" borderId="0" pivotButton="0" quotePrefix="0" xfId="0"/>
    <xf numFmtId="1" fontId="0" fillId="20" borderId="0" applyAlignment="1" pivotButton="0" quotePrefix="0" xfId="0">
      <alignment horizontal="center"/>
    </xf>
    <xf numFmtId="1" fontId="18" fillId="0" borderId="0" applyAlignment="1" pivotButton="0" quotePrefix="0" xfId="0">
      <alignment horizontal="center"/>
    </xf>
    <xf numFmtId="0" fontId="0" fillId="2" borderId="2" pivotButton="0" quotePrefix="0" xfId="0"/>
    <xf numFmtId="1" fontId="0" fillId="2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1" fontId="18" fillId="0" borderId="2" applyAlignment="1" pivotButton="0" quotePrefix="0" xfId="0">
      <alignment horizontal="center"/>
    </xf>
    <xf numFmtId="1" fontId="0" fillId="2" borderId="0" applyAlignment="1" pivotButton="0" quotePrefix="0" xfId="0">
      <alignment horizontal="center"/>
    </xf>
    <xf numFmtId="0" fontId="0" fillId="20" borderId="2" pivotButton="0" quotePrefix="0" xfId="0"/>
    <xf numFmtId="1" fontId="0" fillId="20" borderId="2" applyAlignment="1" pivotButton="0" quotePrefix="0" xfId="0">
      <alignment horizontal="center"/>
    </xf>
    <xf numFmtId="0" fontId="24" fillId="2" borderId="0" pivotButton="0" quotePrefix="0" xfId="0"/>
    <xf numFmtId="0" fontId="0" fillId="0" borderId="2" pivotButton="0" quotePrefix="0" xfId="0"/>
    <xf numFmtId="0" fontId="0" fillId="20" borderId="0" pivotButton="0" quotePrefix="0" xfId="0"/>
    <xf numFmtId="0" fontId="0" fillId="0" borderId="0" pivotButton="0" quotePrefix="0" xfId="0"/>
    <xf numFmtId="1" fontId="0" fillId="2" borderId="0" applyAlignment="1" pivotButton="0" quotePrefix="0" xfId="0">
      <alignment horizontal="left"/>
    </xf>
    <xf numFmtId="1" fontId="0" fillId="2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" fontId="0" fillId="0" borderId="2" applyAlignment="1" pivotButton="0" quotePrefix="0" xfId="0">
      <alignment horizontal="left"/>
    </xf>
    <xf numFmtId="14" fontId="0" fillId="0" borderId="0" pivotButton="0" quotePrefix="0" xfId="0"/>
    <xf numFmtId="0" fontId="0" fillId="0" borderId="0" pivotButton="0" quotePrefix="0" xfId="0"/>
    <xf numFmtId="0" fontId="15" fillId="0" borderId="0" pivotButton="0" quotePrefix="0" xfId="1"/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4" fillId="21" borderId="0" applyAlignment="1" pivotButton="0" quotePrefix="0" xfId="0">
      <alignment horizontal="left" vertical="center" indent="2"/>
    </xf>
    <xf numFmtId="0" fontId="28" fillId="0" borderId="0" applyAlignment="1" pivotButton="0" quotePrefix="0" xfId="0">
      <alignment horizontal="left" vertical="center" indent="2"/>
    </xf>
    <xf numFmtId="0" fontId="35" fillId="0" borderId="12" pivotButton="0" quotePrefix="0" xfId="0"/>
    <xf numFmtId="0" fontId="36" fillId="0" borderId="0" pivotButton="0" quotePrefix="0" xfId="0"/>
    <xf numFmtId="0" fontId="28" fillId="0" borderId="0" applyAlignment="1" pivotButton="0" quotePrefix="0" xfId="0">
      <alignment horizontal="center" vertical="center"/>
    </xf>
    <xf numFmtId="2" fontId="37" fillId="24" borderId="0" applyAlignment="1" pivotButton="0" quotePrefix="0" xfId="0">
      <alignment horizontal="center" vertical="center"/>
    </xf>
    <xf numFmtId="2" fontId="35" fillId="0" borderId="0" applyAlignment="1" pivotButton="0" quotePrefix="0" xfId="0">
      <alignment horizontal="center" vertical="center"/>
    </xf>
    <xf numFmtId="1" fontId="35" fillId="0" borderId="0" applyAlignment="1" pivotButton="0" quotePrefix="0" xfId="0">
      <alignment horizontal="center" vertical="center"/>
    </xf>
    <xf numFmtId="3" fontId="35" fillId="0" borderId="0" applyAlignment="1" pivotButton="0" quotePrefix="0" xfId="0">
      <alignment horizontal="center" vertical="center"/>
    </xf>
    <xf numFmtId="165" fontId="35" fillId="0" borderId="0" applyAlignment="1" pivotButton="0" quotePrefix="0" xfId="0">
      <alignment horizontal="center" vertical="center"/>
    </xf>
    <xf numFmtId="0" fontId="28" fillId="0" borderId="0" pivotButton="0" quotePrefix="0" xfId="0"/>
    <xf numFmtId="2" fontId="28" fillId="0" borderId="0" applyAlignment="1" pivotButton="0" quotePrefix="0" xfId="0">
      <alignment horizontal="center" vertical="center"/>
    </xf>
    <xf numFmtId="0" fontId="29" fillId="21" borderId="0" applyAlignment="1" pivotButton="0" quotePrefix="0" xfId="0">
      <alignment horizontal="center" vertical="center"/>
    </xf>
    <xf numFmtId="0" fontId="30" fillId="23" borderId="11" applyAlignment="1" pivotButton="0" quotePrefix="0" xfId="0">
      <alignment horizontal="left" vertical="center" indent="1"/>
    </xf>
    <xf numFmtId="0" fontId="31" fillId="23" borderId="11" applyAlignment="1" pivotButton="0" quotePrefix="0" xfId="0">
      <alignment horizontal="center" vertical="center"/>
    </xf>
    <xf numFmtId="1" fontId="0" fillId="23" borderId="11" applyAlignment="1" pivotButton="0" quotePrefix="0" xfId="0">
      <alignment horizontal="center" vertical="center"/>
    </xf>
    <xf numFmtId="166" fontId="0" fillId="23" borderId="11" pivotButton="0" quotePrefix="0" xfId="0"/>
    <xf numFmtId="167" fontId="0" fillId="23" borderId="11" pivotButton="0" quotePrefix="0" xfId="0"/>
    <xf numFmtId="168" fontId="0" fillId="23" borderId="11" pivotButton="0" quotePrefix="0" xfId="0"/>
    <xf numFmtId="2" fontId="0" fillId="23" borderId="11" pivotButton="0" quotePrefix="0" xfId="0"/>
    <xf numFmtId="0" fontId="0" fillId="23" borderId="11" applyAlignment="1" pivotButton="0" quotePrefix="0" xfId="0">
      <alignment horizontal="center" vertical="center"/>
    </xf>
    <xf numFmtId="0" fontId="30" fillId="0" borderId="11" applyAlignment="1" pivotButton="0" quotePrefix="0" xfId="0">
      <alignment horizontal="left" vertical="center" indent="1"/>
    </xf>
    <xf numFmtId="0" fontId="31" fillId="0" borderId="11" applyAlignment="1" pivotButton="0" quotePrefix="0" xfId="0">
      <alignment horizontal="center" vertical="center"/>
    </xf>
    <xf numFmtId="1" fontId="0" fillId="0" borderId="11" applyAlignment="1" pivotButton="0" quotePrefix="0" xfId="0">
      <alignment horizontal="center" vertical="center"/>
    </xf>
    <xf numFmtId="166" fontId="0" fillId="0" borderId="11" pivotButton="0" quotePrefix="0" xfId="0"/>
    <xf numFmtId="167" fontId="0" fillId="0" borderId="11" pivotButton="0" quotePrefix="0" xfId="0"/>
    <xf numFmtId="168" fontId="0" fillId="0" borderId="11" pivotButton="0" quotePrefix="0" xfId="0"/>
    <xf numFmtId="2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0" fontId="27" fillId="21" borderId="0" applyAlignment="1" pivotButton="0" quotePrefix="0" xfId="0">
      <alignment horizontal="left" vertical="center" indent="2"/>
    </xf>
    <xf numFmtId="1" fontId="32" fillId="23" borderId="11" applyAlignment="1" pivotButton="0" quotePrefix="0" xfId="0">
      <alignment horizontal="center" vertical="center"/>
    </xf>
    <xf numFmtId="0" fontId="33" fillId="23" borderId="11" applyAlignment="1" pivotButton="0" quotePrefix="0" xfId="0">
      <alignment horizontal="left" vertical="center"/>
    </xf>
    <xf numFmtId="166" fontId="0" fillId="23" borderId="11" applyAlignment="1" pivotButton="0" quotePrefix="0" xfId="0">
      <alignment horizontal="right" vertical="center"/>
    </xf>
    <xf numFmtId="167" fontId="0" fillId="23" borderId="11" applyAlignment="1" pivotButton="0" quotePrefix="0" xfId="0">
      <alignment horizontal="right" vertical="center"/>
    </xf>
    <xf numFmtId="0" fontId="31" fillId="22" borderId="11" pivotButton="0" quotePrefix="0" xfId="0"/>
    <xf numFmtId="1" fontId="32" fillId="0" borderId="11" applyAlignment="1" pivotButton="0" quotePrefix="0" xfId="0">
      <alignment horizontal="center" vertical="center"/>
    </xf>
    <xf numFmtId="0" fontId="33" fillId="0" borderId="11" applyAlignment="1" pivotButton="0" quotePrefix="0" xfId="0">
      <alignment horizontal="left" vertical="center"/>
    </xf>
    <xf numFmtId="166" fontId="0" fillId="0" borderId="11" applyAlignment="1" pivotButton="0" quotePrefix="0" xfId="0">
      <alignment horizontal="right" vertical="center"/>
    </xf>
    <xf numFmtId="167" fontId="0" fillId="0" borderId="11" applyAlignment="1" pivotButton="0" quotePrefix="0" xfId="0">
      <alignment horizontal="right" vertical="center"/>
    </xf>
    <xf numFmtId="0" fontId="48" fillId="21" borderId="0" applyAlignment="1" pivotButton="0" quotePrefix="0" xfId="0">
      <alignment horizontal="left" vertical="center" indent="3"/>
    </xf>
    <xf numFmtId="0" fontId="49" fillId="24" borderId="0" applyAlignment="1" pivotButton="0" quotePrefix="0" xfId="0">
      <alignment horizontal="left" vertical="center" indent="2"/>
    </xf>
    <xf numFmtId="0" fontId="29" fillId="21" borderId="0" applyAlignment="1" pivotButton="0" quotePrefix="0" xfId="0">
      <alignment horizontal="center"/>
    </xf>
    <xf numFmtId="0" fontId="47" fillId="0" borderId="0" pivotButton="0" quotePrefix="0" xfId="0"/>
    <xf numFmtId="165" fontId="50" fillId="24" borderId="0" applyAlignment="1" pivotButton="0" quotePrefix="0" xfId="0">
      <alignment horizontal="center" vertical="center"/>
    </xf>
    <xf numFmtId="169" fontId="50" fillId="24" borderId="0" applyAlignment="1" pivotButton="0" quotePrefix="0" xfId="0">
      <alignment horizontal="center" vertical="center"/>
    </xf>
    <xf numFmtId="170" fontId="51" fillId="24" borderId="0" applyAlignment="1" pivotButton="0" quotePrefix="0" xfId="0">
      <alignment horizontal="center" vertical="center"/>
    </xf>
    <xf numFmtId="1" fontId="50" fillId="24" borderId="0" applyAlignment="1" pivotButton="0" quotePrefix="0" xfId="0">
      <alignment horizontal="center" vertical="center"/>
    </xf>
    <xf numFmtId="2" fontId="52" fillId="24" borderId="0" applyAlignment="1" pivotButton="0" quotePrefix="0" xfId="0">
      <alignment horizontal="center" vertical="center"/>
    </xf>
    <xf numFmtId="168" fontId="0" fillId="0" borderId="0" pivotButton="0" quotePrefix="0" xfId="0"/>
    <xf numFmtId="0" fontId="43" fillId="0" borderId="12" pivotButton="0" quotePrefix="0" xfId="0"/>
    <xf numFmtId="0" fontId="44" fillId="25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30" fillId="23" borderId="0" applyAlignment="1" pivotButton="0" quotePrefix="0" xfId="0">
      <alignment horizontal="center" vertical="center"/>
    </xf>
    <xf numFmtId="0" fontId="30" fillId="27" borderId="0" applyAlignment="1" pivotButton="0" quotePrefix="0" xfId="0">
      <alignment horizontal="center" vertical="center"/>
    </xf>
    <xf numFmtId="0" fontId="44" fillId="28" borderId="0" applyAlignment="1" pivotButton="0" quotePrefix="0" xfId="0">
      <alignment horizontal="center" vertical="center"/>
    </xf>
    <xf numFmtId="1" fontId="53" fillId="24" borderId="0" applyAlignment="1" pivotButton="0" quotePrefix="0" xfId="0">
      <alignment horizontal="center" vertical="center"/>
    </xf>
    <xf numFmtId="0" fontId="54" fillId="0" borderId="14" pivotButton="0" quotePrefix="0" xfId="0"/>
    <xf numFmtId="0" fontId="0" fillId="0" borderId="15" pivotButton="0" quotePrefix="0" xfId="0"/>
    <xf numFmtId="0" fontId="55" fillId="0" borderId="16" pivotButton="0" quotePrefix="0" xfId="0"/>
    <xf numFmtId="0" fontId="0" fillId="0" borderId="17" pivotButton="0" quotePrefix="0" xfId="0"/>
    <xf numFmtId="0" fontId="36" fillId="0" borderId="11" applyAlignment="1" pivotButton="0" quotePrefix="0" xfId="0">
      <alignment horizontal="center"/>
    </xf>
    <xf numFmtId="0" fontId="35" fillId="0" borderId="11" pivotButton="0" quotePrefix="0" xfId="0"/>
    <xf numFmtId="3" fontId="0" fillId="0" borderId="11" applyAlignment="1" pivotButton="0" quotePrefix="0" xfId="0">
      <alignment horizontal="center"/>
    </xf>
    <xf numFmtId="168" fontId="0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36" fillId="23" borderId="11" applyAlignment="1" pivotButton="0" quotePrefix="0" xfId="0">
      <alignment horizontal="center"/>
    </xf>
    <xf numFmtId="0" fontId="35" fillId="23" borderId="11" pivotButton="0" quotePrefix="0" xfId="0"/>
    <xf numFmtId="3" fontId="0" fillId="23" borderId="11" applyAlignment="1" pivotButton="0" quotePrefix="0" xfId="0">
      <alignment horizontal="center"/>
    </xf>
    <xf numFmtId="168" fontId="0" fillId="23" borderId="11" applyAlignment="1" pivotButton="0" quotePrefix="0" xfId="0">
      <alignment horizontal="center"/>
    </xf>
    <xf numFmtId="0" fontId="0" fillId="23" borderId="11" applyAlignment="1" pivotButton="0" quotePrefix="0" xfId="0">
      <alignment horizontal="center"/>
    </xf>
    <xf numFmtId="0" fontId="35" fillId="0" borderId="0" applyAlignment="1" pivotButton="0" quotePrefix="0" xfId="0">
      <alignment horizontal="right"/>
    </xf>
    <xf numFmtId="0" fontId="38" fillId="21" borderId="0" applyAlignment="1" pivotButton="0" quotePrefix="0" xfId="0">
      <alignment horizontal="center" vertical="center"/>
    </xf>
    <xf numFmtId="3" fontId="39" fillId="24" borderId="0" applyAlignment="1" pivotButton="0" quotePrefix="0" xfId="0">
      <alignment horizontal="center" vertical="center"/>
    </xf>
    <xf numFmtId="1" fontId="40" fillId="24" borderId="0" applyAlignment="1" pivotButton="0" quotePrefix="0" xfId="0">
      <alignment horizontal="center" vertical="center"/>
    </xf>
    <xf numFmtId="168" fontId="39" fillId="24" borderId="0" applyAlignment="1" pivotButton="0" quotePrefix="0" xfId="0">
      <alignment horizontal="center" vertical="center"/>
    </xf>
    <xf numFmtId="168" fontId="41" fillId="24" borderId="0" applyAlignment="1" pivotButton="0" quotePrefix="0" xfId="0">
      <alignment horizontal="center" vertical="center"/>
    </xf>
    <xf numFmtId="0" fontId="42" fillId="21" borderId="0" applyAlignment="1" pivotButton="0" quotePrefix="0" xfId="0">
      <alignment horizontal="center" vertical="center"/>
    </xf>
    <xf numFmtId="0" fontId="44" fillId="21" borderId="0" applyAlignment="1" pivotButton="0" quotePrefix="0" xfId="0">
      <alignment horizontal="center"/>
    </xf>
    <xf numFmtId="0" fontId="30" fillId="23" borderId="11" applyAlignment="1" pivotButton="0" quotePrefix="0" xfId="0">
      <alignment horizontal="left" indent="1"/>
    </xf>
    <xf numFmtId="0" fontId="0" fillId="23" borderId="11" pivotButton="0" quotePrefix="0" xfId="0"/>
    <xf numFmtId="171" fontId="45" fillId="23" borderId="11" applyAlignment="1" pivotButton="0" quotePrefix="0" xfId="0">
      <alignment horizontal="center"/>
    </xf>
    <xf numFmtId="171" fontId="46" fillId="23" borderId="11" applyAlignment="1" pivotButton="0" quotePrefix="0" xfId="0">
      <alignment horizontal="center"/>
    </xf>
    <xf numFmtId="168" fontId="35" fillId="23" borderId="11" applyAlignment="1" pivotButton="0" quotePrefix="0" xfId="0">
      <alignment horizontal="center"/>
    </xf>
    <xf numFmtId="0" fontId="30" fillId="0" borderId="11" applyAlignment="1" pivotButton="0" quotePrefix="0" xfId="0">
      <alignment horizontal="left" indent="1"/>
    </xf>
    <xf numFmtId="0" fontId="0" fillId="0" borderId="11" pivotButton="0" quotePrefix="0" xfId="0"/>
    <xf numFmtId="171" fontId="45" fillId="0" borderId="11" applyAlignment="1" pivotButton="0" quotePrefix="0" xfId="0">
      <alignment horizontal="center"/>
    </xf>
    <xf numFmtId="171" fontId="46" fillId="0" borderId="11" applyAlignment="1" pivotButton="0" quotePrefix="0" xfId="0">
      <alignment horizontal="center"/>
    </xf>
    <xf numFmtId="168" fontId="35" fillId="0" borderId="11" applyAlignment="1" pivotButton="0" quotePrefix="0" xfId="0">
      <alignment horizontal="center"/>
    </xf>
    <xf numFmtId="167" fontId="45" fillId="23" borderId="11" applyAlignment="1" pivotButton="0" quotePrefix="0" xfId="0">
      <alignment horizontal="center"/>
    </xf>
    <xf numFmtId="167" fontId="46" fillId="23" borderId="11" applyAlignment="1" pivotButton="0" quotePrefix="0" xfId="0">
      <alignment horizontal="center"/>
    </xf>
    <xf numFmtId="166" fontId="45" fillId="23" borderId="11" applyAlignment="1" pivotButton="0" quotePrefix="0" xfId="0">
      <alignment horizontal="center"/>
    </xf>
    <xf numFmtId="166" fontId="46" fillId="23" borderId="11" applyAlignment="1" pivotButton="0" quotePrefix="0" xfId="0">
      <alignment horizontal="center"/>
    </xf>
    <xf numFmtId="1" fontId="45" fillId="0" borderId="11" applyAlignment="1" pivotButton="0" quotePrefix="0" xfId="0">
      <alignment horizontal="center"/>
    </xf>
    <xf numFmtId="1" fontId="46" fillId="0" borderId="11" applyAlignment="1" pivotButton="0" quotePrefix="0" xfId="0">
      <alignment horizontal="center"/>
    </xf>
    <xf numFmtId="2" fontId="0" fillId="0" borderId="0" pivotButton="0" quotePrefix="0" xfId="0"/>
    <xf numFmtId="0" fontId="0" fillId="0" borderId="13" pivotButton="0" quotePrefix="0" xfId="0"/>
    <xf numFmtId="165" fontId="35" fillId="0" borderId="0" applyAlignment="1" pivotButton="0" quotePrefix="0" xfId="0">
      <alignment horizontal="center" vertical="center"/>
    </xf>
    <xf numFmtId="166" fontId="0" fillId="23" borderId="11" pivotButton="0" quotePrefix="0" xfId="0"/>
    <xf numFmtId="167" fontId="0" fillId="23" borderId="11" pivotButton="0" quotePrefix="0" xfId="0"/>
    <xf numFmtId="168" fontId="0" fillId="23" borderId="11" pivotButton="0" quotePrefix="0" xfId="0"/>
    <xf numFmtId="166" fontId="0" fillId="0" borderId="11" pivotButton="0" quotePrefix="0" xfId="0"/>
    <xf numFmtId="167" fontId="0" fillId="0" borderId="11" pivotButton="0" quotePrefix="0" xfId="0"/>
    <xf numFmtId="168" fontId="0" fillId="0" borderId="11" pivotButton="0" quotePrefix="0" xfId="0"/>
    <xf numFmtId="166" fontId="0" fillId="23" borderId="11" applyAlignment="1" pivotButton="0" quotePrefix="0" xfId="0">
      <alignment horizontal="right" vertical="center"/>
    </xf>
    <xf numFmtId="167" fontId="0" fillId="23" borderId="11" applyAlignment="1" pivotButton="0" quotePrefix="0" xfId="0">
      <alignment horizontal="right" vertical="center"/>
    </xf>
    <xf numFmtId="166" fontId="0" fillId="0" borderId="11" applyAlignment="1" pivotButton="0" quotePrefix="0" xfId="0">
      <alignment horizontal="right" vertical="center"/>
    </xf>
    <xf numFmtId="167" fontId="0" fillId="0" borderId="11" applyAlignment="1" pivotButton="0" quotePrefix="0" xfId="0">
      <alignment horizontal="right" vertical="center"/>
    </xf>
    <xf numFmtId="169" fontId="50" fillId="24" borderId="0" applyAlignment="1" pivotButton="0" quotePrefix="0" xfId="0">
      <alignment horizontal="center" vertical="center"/>
    </xf>
    <xf numFmtId="170" fontId="51" fillId="24" borderId="0" applyAlignment="1" pivotButton="0" quotePrefix="0" xfId="0">
      <alignment horizontal="center" vertical="center"/>
    </xf>
    <xf numFmtId="0" fontId="54" fillId="0" borderId="18" pivotButton="0" quotePrefix="0" xfId="0"/>
    <xf numFmtId="0" fontId="55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171" fontId="45" fillId="23" borderId="11" applyAlignment="1" pivotButton="0" quotePrefix="0" xfId="0">
      <alignment horizontal="center"/>
    </xf>
    <xf numFmtId="171" fontId="46" fillId="23" borderId="11" applyAlignment="1" pivotButton="0" quotePrefix="0" xfId="0">
      <alignment horizontal="center"/>
    </xf>
    <xf numFmtId="171" fontId="45" fillId="0" borderId="11" applyAlignment="1" pivotButton="0" quotePrefix="0" xfId="0">
      <alignment horizontal="center"/>
    </xf>
    <xf numFmtId="171" fontId="46" fillId="0" borderId="11" applyAlignment="1" pivotButton="0" quotePrefix="0" xfId="0">
      <alignment horizontal="center"/>
    </xf>
    <xf numFmtId="0" fontId="35" fillId="0" borderId="24" pivotButton="0" quotePrefix="0" xfId="0"/>
    <xf numFmtId="0" fontId="56" fillId="0" borderId="12" pivotButton="0" quotePrefix="0" xfId="0"/>
    <xf numFmtId="0" fontId="36" fillId="0" borderId="0" applyAlignment="1" pivotButton="0" quotePrefix="0" xfId="0">
      <alignment horizontal="left" vertical="top" wrapText="1" indent="1"/>
    </xf>
    <xf numFmtId="0" fontId="30" fillId="0" borderId="0" applyAlignment="1" pivotButton="0" quotePrefix="0" xfId="0">
      <alignment horizontal="left" indent="1"/>
    </xf>
    <xf numFmtId="0" fontId="57" fillId="0" borderId="25" pivotButton="0" quotePrefix="0" xfId="0"/>
    <xf numFmtId="1" fontId="59" fillId="24" borderId="0" applyAlignment="1" pivotButton="0" quotePrefix="0" xfId="0">
      <alignment horizontal="center" vertical="center"/>
    </xf>
    <xf numFmtId="0" fontId="43" fillId="0" borderId="24" pivotButton="0" quotePrefix="0" xfId="0"/>
    <xf numFmtId="0" fontId="44" fillId="29" borderId="0" applyAlignment="1" pivotButton="0" quotePrefix="0" xfId="0">
      <alignment horizontal="center" vertical="center"/>
    </xf>
    <xf numFmtId="1" fontId="50" fillId="24" borderId="18" applyAlignment="1" pivotButton="0" quotePrefix="0" xfId="0">
      <alignment horizontal="center" vertical="center"/>
    </xf>
    <xf numFmtId="2" fontId="35" fillId="0" borderId="0" applyAlignment="1" pivotButton="0" quotePrefix="0" xfId="0">
      <alignment horizontal="center"/>
    </xf>
    <xf numFmtId="1" fontId="35" fillId="0" borderId="0" applyAlignment="1" pivotButton="0" quotePrefix="0" xfId="0">
      <alignment horizontal="center"/>
    </xf>
    <xf numFmtId="1" fontId="37" fillId="24" borderId="0" applyAlignment="1" pivotButton="0" quotePrefix="0" xfId="0">
      <alignment horizontal="center" vertical="center"/>
    </xf>
    <xf numFmtId="172" fontId="36" fillId="23" borderId="11" applyAlignment="1" pivotButton="0" quotePrefix="0" xfId="0">
      <alignment horizontal="center"/>
    </xf>
    <xf numFmtId="0" fontId="30" fillId="23" borderId="11" applyAlignment="1" pivotButton="0" quotePrefix="0" xfId="0">
      <alignment horizontal="center"/>
    </xf>
    <xf numFmtId="2" fontId="31" fillId="23" borderId="11" pivotButton="0" quotePrefix="0" xfId="0"/>
    <xf numFmtId="168" fontId="31" fillId="23" borderId="11" pivotButton="0" quotePrefix="0" xfId="0"/>
    <xf numFmtId="172" fontId="36" fillId="0" borderId="11" applyAlignment="1" pivotButton="0" quotePrefix="0" xfId="0">
      <alignment horizontal="center"/>
    </xf>
    <xf numFmtId="0" fontId="30" fillId="0" borderId="11" applyAlignment="1" pivotButton="0" quotePrefix="0" xfId="0">
      <alignment horizontal="center"/>
    </xf>
    <xf numFmtId="2" fontId="31" fillId="0" borderId="11" pivotButton="0" quotePrefix="0" xfId="0"/>
    <xf numFmtId="168" fontId="31" fillId="0" borderId="11" pivotButton="0" quotePrefix="0" xfId="0"/>
    <xf numFmtId="0" fontId="29" fillId="21" borderId="0" applyAlignment="1" pivotButton="0" quotePrefix="0" xfId="0">
      <alignment horizontal="center" vertical="center" wrapText="1"/>
    </xf>
    <xf numFmtId="167" fontId="58" fillId="22" borderId="11" applyAlignment="1" pivotButton="0" quotePrefix="0" xfId="0">
      <alignment horizontal="right"/>
    </xf>
    <xf numFmtId="166" fontId="58" fillId="22" borderId="11" applyAlignment="1" pivotButton="0" quotePrefix="0" xfId="0">
      <alignment horizontal="right"/>
    </xf>
    <xf numFmtId="0" fontId="0" fillId="0" borderId="26" pivotButton="0" quotePrefix="0" xfId="0"/>
    <xf numFmtId="0" fontId="28" fillId="0" borderId="0" applyAlignment="1" pivotButton="0" quotePrefix="0" xfId="0">
      <alignment horizontal="left" vertical="center" wrapText="1" indent="2"/>
    </xf>
    <xf numFmtId="0" fontId="31" fillId="23" borderId="11" applyAlignment="1" pivotButton="0" quotePrefix="0" xfId="0">
      <alignment horizontal="center"/>
    </xf>
    <xf numFmtId="0" fontId="33" fillId="23" borderId="11" applyAlignment="1" pivotButton="0" quotePrefix="0" xfId="0">
      <alignment horizontal="left"/>
    </xf>
    <xf numFmtId="167" fontId="0" fillId="23" borderId="11" applyAlignment="1" pivotButton="0" quotePrefix="0" xfId="0">
      <alignment horizontal="right"/>
    </xf>
    <xf numFmtId="166" fontId="0" fillId="23" borderId="11" applyAlignment="1" pivotButton="0" quotePrefix="0" xfId="0">
      <alignment horizontal="right"/>
    </xf>
    <xf numFmtId="0" fontId="31" fillId="0" borderId="11" applyAlignment="1" pivotButton="0" quotePrefix="0" xfId="0">
      <alignment horizontal="center"/>
    </xf>
    <xf numFmtId="0" fontId="33" fillId="0" borderId="11" applyAlignment="1" pivotButton="0" quotePrefix="0" xfId="0">
      <alignment horizontal="left"/>
    </xf>
    <xf numFmtId="167" fontId="0" fillId="0" borderId="11" applyAlignment="1" pivotButton="0" quotePrefix="0" xfId="0">
      <alignment horizontal="right"/>
    </xf>
    <xf numFmtId="166" fontId="0" fillId="0" borderId="11" applyAlignment="1" pivotButton="0" quotePrefix="0" xfId="0">
      <alignment horizontal="right"/>
    </xf>
    <xf numFmtId="0" fontId="56" fillId="0" borderId="24" pivotButton="0" quotePrefix="0" xfId="0"/>
    <xf numFmtId="0" fontId="57" fillId="0" borderId="27" pivotButton="0" quotePrefix="0" xfId="0"/>
  </cellXfs>
  <cellStyles count="2">
    <cellStyle name="Normal" xfId="0" builtinId="0"/>
    <cellStyle name="Lien hypertexte" xfId="1" builtinId="8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"/>
        </patternFill>
      </fill>
    </dxf>
    <dxf>
      <fill>
        <patternFill>
          <bgColor theme="9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-0.249946592608417"/>
        </patternFill>
      </fill>
    </dxf>
    <dxf>
      <fill>
        <patternFill>
          <bgColor theme="9"/>
        </patternFill>
      </fill>
    </dxf>
    <dxf>
      <fill>
        <patternFill>
          <bgColor theme="8" tint="0.3999450666829432"/>
        </patternFill>
      </fill>
    </dxf>
    <dxf>
      <fill>
        <patternFill>
          <bgColor theme="8" tint="0.7999816888943144"/>
        </patternFill>
      </fill>
    </dxf>
    <dxf>
      <font>
        <name val="Calibri"/>
        <b val="1"/>
        <color rgb="00FFFFFF"/>
        <sz val="10"/>
      </font>
      <fill>
        <patternFill patternType="solid">
          <fgColor rgb="00C44536"/>
          <bgColor rgb="00C44536"/>
        </patternFill>
      </fill>
    </dxf>
    <dxf>
      <font>
        <name val="Calibri"/>
        <b val="1"/>
        <color rgb="00FFFFFF"/>
        <sz val="10"/>
      </font>
      <fill>
        <patternFill patternType="solid">
          <fgColor rgb="005B8C5A"/>
          <bgColor rgb="005B8C5A"/>
        </patternFill>
      </fill>
    </dxf>
    <dxf>
      <fill>
        <patternFill patternType="solid">
          <fgColor rgb="00F7E6E2"/>
          <bgColor rgb="00F7E6E2"/>
        </patternFill>
      </fill>
    </dxf>
    <dxf>
      <fill>
        <patternFill patternType="solid">
          <fgColor rgb="00E8F0E2"/>
          <bgColor rgb="00E8F0E2"/>
        </patternFill>
      </fill>
    </dxf>
    <dxf>
      <font>
        <name val="Calibri"/>
        <b val="1"/>
        <color rgb="00FFFFFF"/>
        <sz val="28"/>
      </font>
      <fill>
        <patternFill patternType="solid">
          <fgColor rgb="00C44536"/>
          <bgColor rgb="00C44536"/>
        </patternFill>
      </fill>
    </dxf>
    <dxf>
      <font>
        <name val="Calibri"/>
        <b val="1"/>
        <color rgb="00FFFFFF"/>
        <sz val="28"/>
      </font>
      <fill>
        <patternFill patternType="solid">
          <fgColor rgb="005B8C5A"/>
          <bgColor rgb="005B8C5A"/>
        </patternFill>
      </fill>
    </dxf>
    <dxf>
      <font>
        <name val="Calibri"/>
        <b val="1"/>
        <color rgb="0014213D"/>
        <sz val="28"/>
      </font>
      <fill>
        <patternFill patternType="solid">
          <fgColor rgb="00F7E6E2"/>
          <bgColor rgb="00F7E6E2"/>
        </patternFill>
      </fill>
    </dxf>
    <dxf>
      <font>
        <name val="Calibri"/>
        <b val="1"/>
        <color rgb="0014213D"/>
        <sz val="28"/>
      </font>
      <fill>
        <patternFill patternType="solid">
          <fgColor rgb="00E8F0E2"/>
          <bgColor rgb="00E8F0E2"/>
        </patternFill>
      </fill>
    </dxf>
    <dxf>
      <font>
        <name val="Calibri"/>
        <b val="1"/>
        <color rgb="0014213D"/>
        <sz val="28"/>
      </font>
      <fill>
        <patternFill patternType="solid">
          <fgColor rgb="00F6F4EE"/>
          <bgColor rgb="00F6F4EE"/>
        </patternFill>
      </fill>
    </dxf>
    <dxf>
      <font>
        <name val="Calibri"/>
        <b val="1"/>
        <color rgb="005B8C5A"/>
        <sz val="10"/>
      </font>
      <fill>
        <patternFill patternType="solid">
          <fgColor rgb="00E8F0E2"/>
          <bgColor rgb="00E8F0E2"/>
        </patternFill>
      </fill>
    </dxf>
    <dxf>
      <font>
        <name val="Calibri"/>
        <b val="1"/>
        <color rgb="00C9A227"/>
        <sz val="10"/>
      </font>
      <fill>
        <patternFill patternType="solid">
          <fgColor rgb="00FAF3DD"/>
          <bgColor rgb="00FAF3DD"/>
        </patternFill>
      </fill>
    </dxf>
    <dxf>
      <font>
        <name val="Calibri"/>
        <b val="1"/>
        <color rgb="00C44536"/>
        <sz val="10"/>
      </font>
      <fill>
        <patternFill patternType="solid">
          <fgColor rgb="00F7E6E2"/>
          <bgColor rgb="00F7E6E2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Cross-section fit  ·  log(spread) vs. fundamental score  ·  trendline = today's OLS regression</a:t>
            </a:r>
          </a:p>
        </rich>
      </tx>
    </title>
    <plotArea>
      <scatterChart>
        <ser>
          <idx val="0"/>
          <order val="0"/>
          <tx>
            <v>Sovereigns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trendlineType val="linear"/>
            <dispRSqr val="0"/>
            <dispEq val="0"/>
          </trendline>
          <xVal>
            <numRef>
              <f>'Model'!$R$15:$R$85</f>
            </numRef>
          </xVal>
          <yVal>
            <numRef>
              <f>'Model'!$S$15:$S$85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fundamental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log(EMBI spread)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 sovereigns  ·  z-residual ranked  ·  positive = cheap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14213D"/>
            </a:solidFill>
            <a:ln xmlns:a="http://schemas.openxmlformats.org/drawingml/2006/main">
              <a:prstDash val="solid"/>
            </a:ln>
          </spPr>
          <cat>
            <numRef>
              <f>'Dashboard'!$W$9:$W$79</f>
            </numRef>
          </cat>
          <val>
            <numRef>
              <f>'Dashboard'!$X$9:$X$79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Fundamental Score vs. Spread (log) — selected country highlighted</a:t>
            </a:r>
          </a:p>
        </rich>
      </tx>
    </title>
    <plotArea>
      <scatterChart>
        <ser>
          <idx val="0"/>
          <order val="0"/>
          <tx>
            <v>Sovereigns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FBDB6"/>
              </a:solidFill>
              <a:ln xmlns:a="http://schemas.openxmlformats.org/drawingml/2006/main">
                <a:noFill/>
                <a:prstDash val="solid"/>
              </a:ln>
            </spPr>
          </marker>
          <trendline>
            <trendlineType val="linear"/>
            <dispRSqr val="0"/>
            <dispEq val="0"/>
          </trendline>
          <xVal>
            <numRef>
              <f>'Model'!$R$15:$R$85</f>
            </numRef>
          </xVal>
          <yVal>
            <numRef>
              <f>'Model'!$S$15:$S$85</f>
            </numRef>
          </yVal>
        </ser>
        <ser>
          <idx val="1"/>
          <order val="1"/>
          <tx>
            <v>Selected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solidFill xmlns:a="http://schemas.openxmlformats.org/drawingml/2006/main">
                <a:srgbClr val="C9A227"/>
              </a:solidFill>
              <a:ln xmlns:a="http://schemas.openxmlformats.org/drawingml/2006/main">
                <a:prstDash val="solid"/>
              </a:ln>
            </spPr>
          </marker>
          <xVal>
            <numRef>
              <f>'Country'!$R$201</f>
            </numRef>
          </xVal>
          <yVal>
            <numRef>
              <f>'Country'!$S$201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fundamental score (lower = stronger credit)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log(EMBI spread, bps)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31</row>
      <rowOff>0</rowOff>
    </from>
    <ext cx="8640000" cy="79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79"/>
  <sheetViews>
    <sheetView showGridLines="0" zoomScale="90" workbookViewId="0">
      <selection activeCell="A1" sqref="A1"/>
    </sheetView>
  </sheetViews>
  <sheetFormatPr baseColWidth="8" defaultRowHeight="15"/>
  <cols>
    <col width="2" customWidth="1" style="159" min="1" max="1"/>
    <col width="9" customWidth="1" style="159" min="2" max="2"/>
    <col width="9" customWidth="1" style="159" min="3" max="3"/>
    <col width="9" customWidth="1" style="159" min="4" max="4"/>
    <col width="9" customWidth="1" style="159" min="5" max="5"/>
    <col width="9" customWidth="1" style="159" min="6" max="6"/>
    <col width="9" customWidth="1" style="159" min="7" max="7"/>
    <col width="9" customWidth="1" style="159" min="8" max="8"/>
    <col width="9" customWidth="1" style="159" min="9" max="9"/>
    <col width="9" customWidth="1" style="159" min="10" max="10"/>
    <col width="9" customWidth="1" style="159" min="11" max="11"/>
    <col width="9" customWidth="1" style="159" min="12" max="12"/>
    <col width="9" customWidth="1" style="159" min="13" max="13"/>
    <col width="9" customWidth="1" style="159" min="14" max="14"/>
    <col width="9" customWidth="1" style="159" min="15" max="15"/>
    <col width="9" customWidth="1" style="159" min="16" max="16"/>
    <col width="9" customWidth="1" style="159" min="17" max="17"/>
    <col width="9" customWidth="1" style="159" min="18" max="18"/>
    <col width="9" customWidth="1" style="159" min="19" max="19"/>
    <col hidden="1" width="13" customWidth="1" style="159" min="22" max="22"/>
    <col hidden="1" width="13" customWidth="1" style="159" min="23" max="23"/>
    <col hidden="1" width="13" customWidth="1" style="159" min="24" max="24"/>
  </cols>
  <sheetData>
    <row r="2" ht="8" customHeight="1" s="159">
      <c r="B2" s="202" t="inlineStr">
        <is>
          <t>EM Sovereign Credit</t>
        </is>
      </c>
    </row>
    <row r="3" ht="22" customHeight="1" s="159"/>
    <row r="4" ht="22" customHeight="1" s="159"/>
    <row r="5" ht="8" customHeight="1" s="159"/>
    <row r="6" ht="24" customHeight="1" s="159">
      <c r="B6" s="203" t="inlineStr">
        <is>
          <t>Cross-section fair value across the EMBI universe  ·  re-fits every Bloomberg refresh  ·  no frozen anything</t>
        </is>
      </c>
    </row>
    <row r="8" ht="18" customHeight="1" s="159">
      <c r="B8" s="204" t="inlineStr">
        <is>
          <t>Snapshot</t>
        </is>
      </c>
      <c r="E8" s="204" t="inlineStr">
        <is>
          <t>Universe</t>
        </is>
      </c>
      <c r="H8" s="204" t="inlineStr">
        <is>
          <t>EM median spread</t>
        </is>
      </c>
      <c r="K8" s="175" t="inlineStr">
        <is>
          <t>HIGH-conf</t>
        </is>
      </c>
      <c r="N8" s="204" t="inlineStr">
        <is>
          <t>Live R²</t>
        </is>
      </c>
      <c r="Q8" s="204" t="inlineStr">
        <is>
          <t>Live β (slope)</t>
        </is>
      </c>
      <c r="V8" s="205" t="inlineStr">
        <is>
          <t>k</t>
        </is>
      </c>
      <c r="W8" s="205" t="inlineStr">
        <is>
          <t>country</t>
        </is>
      </c>
      <c r="X8" s="205" t="inlineStr">
        <is>
          <t>z-resid</t>
        </is>
      </c>
    </row>
    <row r="9" ht="26" customHeight="1" s="159">
      <c r="B9" s="206">
        <f>TODAY()</f>
        <v/>
      </c>
      <c r="E9" s="270">
        <f>COUNTA(Model!$B$15:$B$85)</f>
        <v/>
      </c>
      <c r="H9" s="271">
        <f>IFERROR(ROUND(MEDIAN(Model!$E$15:$E$85),0),NA())</f>
        <v/>
      </c>
      <c r="K9" s="285">
        <f>COUNTIF(Model!$Y$15:$Y$85,"HIGH")</f>
        <v/>
      </c>
      <c r="N9" s="210">
        <f>IFERROR(RSQ(Model!$S$15:$S$85,Model!$R$15:$R$85),NA())</f>
        <v/>
      </c>
      <c r="Q9" s="210">
        <f>IFERROR(SLOPE(Model!$S$15:$S$85,Model!$R$15:$R$85),NA())</f>
        <v/>
      </c>
      <c r="V9" s="205" t="n">
        <v>1</v>
      </c>
      <c r="W9">
        <f>IFERROR(INDEX(Model!$B$15:$B$85,MATCH(X9,Model!$V$15:$V$85,0)),"")</f>
        <v/>
      </c>
      <c r="X9" s="211">
        <f>IFERROR(LARGE(Model!$V$15:$V$85,1),"")</f>
        <v/>
      </c>
    </row>
    <row r="10" ht="26" customHeight="1" s="159">
      <c r="V10" s="205" t="n">
        <v>2</v>
      </c>
      <c r="W10">
        <f>IFERROR(INDEX(Model!$B$15:$B$85,MATCH(X10,Model!$V$15:$V$85,0)),"")</f>
        <v/>
      </c>
      <c r="X10" s="211">
        <f>IFERROR(LARGE(Model!$V$15:$V$85,2),"")</f>
        <v/>
      </c>
    </row>
    <row r="11">
      <c r="V11" s="205" t="n">
        <v>3</v>
      </c>
      <c r="W11">
        <f>IFERROR(INDEX(Model!$B$15:$B$85,MATCH(X11,Model!$V$15:$V$85,0)),"")</f>
        <v/>
      </c>
      <c r="X11" s="211">
        <f>IFERROR(LARGE(Model!$V$15:$V$85,3),"")</f>
        <v/>
      </c>
    </row>
    <row r="12">
      <c r="V12" s="205" t="n">
        <v>4</v>
      </c>
      <c r="W12">
        <f>IFERROR(INDEX(Model!$B$15:$B$85,MATCH(X12,Model!$V$15:$V$85,0)),"")</f>
        <v/>
      </c>
      <c r="X12" s="211">
        <f>IFERROR(LARGE(Model!$V$15:$V$85,4),"")</f>
        <v/>
      </c>
    </row>
    <row r="13">
      <c r="B13" s="286" t="inlineStr">
        <is>
          <t>Cheap / Rich distribution</t>
        </is>
      </c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V13" s="205" t="n">
        <v>5</v>
      </c>
      <c r="W13">
        <f>IFERROR(INDEX(Model!$B$15:$B$85,MATCH(X13,Model!$V$15:$V$85,0)),"")</f>
        <v/>
      </c>
      <c r="X13" s="211">
        <f>IFERROR(LARGE(Model!$V$15:$V$85,5),"")</f>
        <v/>
      </c>
    </row>
    <row r="14" ht="18" customHeight="1" s="159">
      <c r="B14" s="213" t="inlineStr">
        <is>
          <t>CHEAP</t>
        </is>
      </c>
      <c r="F14" s="214" t="inlineStr">
        <is>
          <t>Slightly cheap</t>
        </is>
      </c>
      <c r="J14" s="215" t="inlineStr">
        <is>
          <t>Fair</t>
        </is>
      </c>
      <c r="N14" s="216" t="inlineStr">
        <is>
          <t>Slightly rich</t>
        </is>
      </c>
      <c r="Q14" s="217" t="inlineStr">
        <is>
          <t>RICH</t>
        </is>
      </c>
      <c r="V14" s="205" t="n">
        <v>6</v>
      </c>
      <c r="W14">
        <f>IFERROR(INDEX(Model!$B$15:$B$85,MATCH(X14,Model!$V$15:$V$85,0)),"")</f>
        <v/>
      </c>
      <c r="X14" s="211">
        <f>IFERROR(LARGE(Model!$V$15:$V$85,6),"")</f>
        <v/>
      </c>
    </row>
    <row r="15" ht="28" customHeight="1" s="159">
      <c r="B15" s="218">
        <f>COUNTIF(Model!$W$15:$W$85,"CHEAP")</f>
        <v/>
      </c>
      <c r="F15" s="218">
        <f>COUNTIF(Model!$W$15:$W$85,"slightly cheap")</f>
        <v/>
      </c>
      <c r="J15" s="218">
        <f>COUNTIF(Model!$W$15:$W$85,"fair")</f>
        <v/>
      </c>
      <c r="N15" s="218">
        <f>COUNTIF(Model!$W$15:$W$85,"slightly rich")</f>
        <v/>
      </c>
      <c r="Q15" s="218">
        <f>COUNTIF(Model!$W$15:$W$85,"RICH")</f>
        <v/>
      </c>
      <c r="V15" s="205" t="n">
        <v>7</v>
      </c>
      <c r="W15">
        <f>IFERROR(INDEX(Model!$B$15:$B$85,MATCH(X15,Model!$V$15:$V$85,0)),"")</f>
        <v/>
      </c>
      <c r="X15" s="211">
        <f>IFERROR(LARGE(Model!$V$15:$V$85,7),"")</f>
        <v/>
      </c>
    </row>
    <row r="16" ht="28" customHeight="1" s="159">
      <c r="V16" s="205" t="n">
        <v>8</v>
      </c>
      <c r="W16">
        <f>IFERROR(INDEX(Model!$B$15:$B$85,MATCH(X16,Model!$V$15:$V$85,0)),"")</f>
        <v/>
      </c>
      <c r="X16" s="211">
        <f>IFERROR(LARGE(Model!$V$15:$V$85,8),"")</f>
        <v/>
      </c>
    </row>
    <row r="17">
      <c r="B17" s="165" t="inlineStr">
        <is>
          <t>Data Coverage  ·  countries by confidence tier</t>
        </is>
      </c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V17" s="205" t="n">
        <v>9</v>
      </c>
      <c r="W17">
        <f>IFERROR(INDEX(Model!$B$15:$B$85,MATCH(X17,Model!$V$15:$V$85,0)),"")</f>
        <v/>
      </c>
      <c r="X17" s="211">
        <f>IFERROR(LARGE(Model!$V$15:$V$85,9),"")</f>
        <v/>
      </c>
    </row>
    <row r="18" ht="18" customHeight="1" s="159">
      <c r="B18" s="217" t="inlineStr">
        <is>
          <t>HIGH  (5-6 vars)</t>
        </is>
      </c>
      <c r="H18" s="287" t="inlineStr">
        <is>
          <t>MED  (3-4 vars)</t>
        </is>
      </c>
      <c r="N18" s="213" t="inlineStr">
        <is>
          <t>LOW  (0-2 vars)</t>
        </is>
      </c>
      <c r="V18" s="205" t="n">
        <v>10</v>
      </c>
      <c r="W18">
        <f>IFERROR(INDEX(Model!$B$15:$B$85,MATCH(X18,Model!$V$15:$V$85,0)),"")</f>
        <v/>
      </c>
      <c r="X18" s="211">
        <f>IFERROR(LARGE(Model!$V$15:$V$85,10),"")</f>
        <v/>
      </c>
    </row>
    <row r="19" ht="26" customHeight="1" s="159">
      <c r="B19" s="288">
        <f>COUNTIF(Model!$Y$15:$Y$85,"HIGH")</f>
        <v/>
      </c>
      <c r="C19" s="220" t="n"/>
      <c r="D19" s="220" t="n"/>
      <c r="E19" s="220" t="n"/>
      <c r="F19" s="220" t="n"/>
      <c r="H19" s="209">
        <f>COUNTIF(Model!$Y$15:$Y$85,"MED")</f>
        <v/>
      </c>
      <c r="N19" s="209">
        <f>COUNTIF(Model!$Y$15:$Y$85,"LOW")</f>
        <v/>
      </c>
      <c r="V19" s="205" t="n">
        <v>11</v>
      </c>
      <c r="W19">
        <f>IFERROR(INDEX(Model!$B$15:$B$85,MATCH(X19,Model!$V$15:$V$85,0)),"")</f>
        <v/>
      </c>
      <c r="X19" s="211">
        <f>IFERROR(LARGE(Model!$V$15:$V$85,11),"")</f>
        <v/>
      </c>
    </row>
    <row r="20">
      <c r="B20" s="204" t="inlineStr">
        <is>
          <t>Rank</t>
        </is>
      </c>
      <c r="C20" s="204" t="inlineStr">
        <is>
          <t>Country</t>
        </is>
      </c>
      <c r="D20" s="204" t="inlineStr">
        <is>
          <t>Spread</t>
        </is>
      </c>
      <c r="E20" s="204" t="inlineStr">
        <is>
          <t>Fund Z</t>
        </is>
      </c>
      <c r="F20" s="204" t="inlineStr">
        <is>
          <t>Resid</t>
        </is>
      </c>
      <c r="G20" s="204" t="inlineStr">
        <is>
          <t>Z-resid</t>
        </is>
      </c>
      <c r="H20" s="204" t="inlineStr">
        <is>
          <t>Signal</t>
        </is>
      </c>
      <c r="K20" s="204" t="inlineStr">
        <is>
          <t>Rank</t>
        </is>
      </c>
      <c r="L20" s="204" t="inlineStr">
        <is>
          <t>Country</t>
        </is>
      </c>
      <c r="M20" s="204" t="inlineStr">
        <is>
          <t>Spread</t>
        </is>
      </c>
      <c r="N20" s="204" t="inlineStr">
        <is>
          <t>Fund Z</t>
        </is>
      </c>
      <c r="O20" s="204" t="inlineStr">
        <is>
          <t>Resid</t>
        </is>
      </c>
      <c r="P20" s="204" t="inlineStr">
        <is>
          <t>Z-resid</t>
        </is>
      </c>
      <c r="Q20" s="204" t="inlineStr">
        <is>
          <t>Signal</t>
        </is>
      </c>
      <c r="V20" s="205" t="n">
        <v>12</v>
      </c>
      <c r="W20">
        <f>IFERROR(INDEX(Model!$B$15:$B$85,MATCH(X20,Model!$V$15:$V$85,0)),"")</f>
        <v/>
      </c>
      <c r="X20" s="211">
        <f>IFERROR(LARGE(Model!$V$15:$V$85,12),"")</f>
        <v/>
      </c>
    </row>
    <row r="21">
      <c r="B21" s="223" t="n">
        <v>1</v>
      </c>
      <c r="C21" s="224">
        <f>IFERROR(INDEX(Model!$B$15:$B$85,MATCH(G21,Model!$V$15:$V$85,0)),"")</f>
        <v/>
      </c>
      <c r="D21" s="225">
        <f>IFERROR(INDEX(Model!$E$15:$E$85,MATCH(G21,Model!$V$15:$V$85,0)),"")</f>
        <v/>
      </c>
      <c r="E21" s="226">
        <f>IFERROR(INDEX(Model!$R$15:$R$85,MATCH(G21,Model!$V$15:$V$85,0)),"")</f>
        <v/>
      </c>
      <c r="F21" s="226">
        <f>IFERROR(INDEX(Model!$U$15:$U$85,MATCH(G21,Model!$V$15:$V$85,0)),"")</f>
        <v/>
      </c>
      <c r="G21" s="226">
        <f>IFERROR(LARGE(Model!$V$15:$V$85,1),"")</f>
        <v/>
      </c>
      <c r="H21" s="227">
        <f>IFERROR(INDEX(Model!$W$15:$W$85,MATCH(G21,Model!$V$15:$V$85,0)),"")</f>
        <v/>
      </c>
      <c r="K21" s="223" t="n">
        <v>1</v>
      </c>
      <c r="L21" s="224">
        <f>IFERROR(INDEX(Model!$B$15:$B$85,MATCH(P21,Model!$V$15:$V$85,0)),"")</f>
        <v/>
      </c>
      <c r="M21" s="225">
        <f>IFERROR(INDEX(Model!$E$15:$E$85,MATCH(P21,Model!$V$15:$V$85,0)),"")</f>
        <v/>
      </c>
      <c r="N21" s="226">
        <f>IFERROR(INDEX(Model!$R$15:$R$85,MATCH(P21,Model!$V$15:$V$85,0)),"")</f>
        <v/>
      </c>
      <c r="O21" s="226">
        <f>IFERROR(INDEX(Model!$U$15:$U$85,MATCH(P21,Model!$V$15:$V$85,0)),"")</f>
        <v/>
      </c>
      <c r="P21" s="226">
        <f>IFERROR(SMALL(Model!$V$15:$V$85,1),"")</f>
        <v/>
      </c>
      <c r="Q21" s="227">
        <f>IFERROR(INDEX(Model!$W$15:$W$85,MATCH(P21,Model!$V$15:$V$85,0)),"")</f>
        <v/>
      </c>
      <c r="V21" s="205" t="n">
        <v>13</v>
      </c>
      <c r="W21">
        <f>IFERROR(INDEX(Model!$B$15:$B$85,MATCH(X21,Model!$V$15:$V$85,0)),"")</f>
        <v/>
      </c>
      <c r="X21" s="211">
        <f>IFERROR(LARGE(Model!$V$15:$V$85,13),"")</f>
        <v/>
      </c>
    </row>
    <row r="22">
      <c r="B22" s="228" t="n">
        <v>2</v>
      </c>
      <c r="C22" s="229">
        <f>IFERROR(INDEX(Model!$B$15:$B$85,MATCH(G22,Model!$V$15:$V$85,0)),"")</f>
        <v/>
      </c>
      <c r="D22" s="230">
        <f>IFERROR(INDEX(Model!$E$15:$E$85,MATCH(G22,Model!$V$15:$V$85,0)),"")</f>
        <v/>
      </c>
      <c r="E22" s="231">
        <f>IFERROR(INDEX(Model!$R$15:$R$85,MATCH(G22,Model!$V$15:$V$85,0)),"")</f>
        <v/>
      </c>
      <c r="F22" s="231">
        <f>IFERROR(INDEX(Model!$U$15:$U$85,MATCH(G22,Model!$V$15:$V$85,0)),"")</f>
        <v/>
      </c>
      <c r="G22" s="231">
        <f>IFERROR(LARGE(Model!$V$15:$V$85,2),"")</f>
        <v/>
      </c>
      <c r="H22" s="232">
        <f>IFERROR(INDEX(Model!$W$15:$W$85,MATCH(G22,Model!$V$15:$V$85,0)),"")</f>
        <v/>
      </c>
      <c r="K22" s="228" t="n">
        <v>2</v>
      </c>
      <c r="L22" s="229">
        <f>IFERROR(INDEX(Model!$B$15:$B$85,MATCH(P22,Model!$V$15:$V$85,0)),"")</f>
        <v/>
      </c>
      <c r="M22" s="230">
        <f>IFERROR(INDEX(Model!$E$15:$E$85,MATCH(P22,Model!$V$15:$V$85,0)),"")</f>
        <v/>
      </c>
      <c r="N22" s="231">
        <f>IFERROR(INDEX(Model!$R$15:$R$85,MATCH(P22,Model!$V$15:$V$85,0)),"")</f>
        <v/>
      </c>
      <c r="O22" s="231">
        <f>IFERROR(INDEX(Model!$U$15:$U$85,MATCH(P22,Model!$V$15:$V$85,0)),"")</f>
        <v/>
      </c>
      <c r="P22" s="231">
        <f>IFERROR(SMALL(Model!$V$15:$V$85,2),"")</f>
        <v/>
      </c>
      <c r="Q22" s="232">
        <f>IFERROR(INDEX(Model!$W$15:$W$85,MATCH(P22,Model!$V$15:$V$85,0)),"")</f>
        <v/>
      </c>
      <c r="V22" s="205" t="n">
        <v>14</v>
      </c>
      <c r="W22">
        <f>IFERROR(INDEX(Model!$B$15:$B$85,MATCH(X22,Model!$V$15:$V$85,0)),"")</f>
        <v/>
      </c>
      <c r="X22" s="211">
        <f>IFERROR(LARGE(Model!$V$15:$V$85,14),"")</f>
        <v/>
      </c>
    </row>
    <row r="23">
      <c r="B23" s="223" t="n">
        <v>3</v>
      </c>
      <c r="C23" s="224">
        <f>IFERROR(INDEX(Model!$B$15:$B$85,MATCH(G23,Model!$V$15:$V$85,0)),"")</f>
        <v/>
      </c>
      <c r="D23" s="225">
        <f>IFERROR(INDEX(Model!$E$15:$E$85,MATCH(G23,Model!$V$15:$V$85,0)),"")</f>
        <v/>
      </c>
      <c r="E23" s="226">
        <f>IFERROR(INDEX(Model!$R$15:$R$85,MATCH(G23,Model!$V$15:$V$85,0)),"")</f>
        <v/>
      </c>
      <c r="F23" s="226">
        <f>IFERROR(INDEX(Model!$U$15:$U$85,MATCH(G23,Model!$V$15:$V$85,0)),"")</f>
        <v/>
      </c>
      <c r="G23" s="226">
        <f>IFERROR(LARGE(Model!$V$15:$V$85,3),"")</f>
        <v/>
      </c>
      <c r="H23" s="227">
        <f>IFERROR(INDEX(Model!$W$15:$W$85,MATCH(G23,Model!$V$15:$V$85,0)),"")</f>
        <v/>
      </c>
      <c r="K23" s="223" t="n">
        <v>3</v>
      </c>
      <c r="L23" s="224">
        <f>IFERROR(INDEX(Model!$B$15:$B$85,MATCH(P23,Model!$V$15:$V$85,0)),"")</f>
        <v/>
      </c>
      <c r="M23" s="225">
        <f>IFERROR(INDEX(Model!$E$15:$E$85,MATCH(P23,Model!$V$15:$V$85,0)),"")</f>
        <v/>
      </c>
      <c r="N23" s="226">
        <f>IFERROR(INDEX(Model!$R$15:$R$85,MATCH(P23,Model!$V$15:$V$85,0)),"")</f>
        <v/>
      </c>
      <c r="O23" s="226">
        <f>IFERROR(INDEX(Model!$U$15:$U$85,MATCH(P23,Model!$V$15:$V$85,0)),"")</f>
        <v/>
      </c>
      <c r="P23" s="226">
        <f>IFERROR(SMALL(Model!$V$15:$V$85,3),"")</f>
        <v/>
      </c>
      <c r="Q23" s="227">
        <f>IFERROR(INDEX(Model!$W$15:$W$85,MATCH(P23,Model!$V$15:$V$85,0)),"")</f>
        <v/>
      </c>
      <c r="V23" s="205" t="n">
        <v>15</v>
      </c>
      <c r="W23">
        <f>IFERROR(INDEX(Model!$B$15:$B$85,MATCH(X23,Model!$V$15:$V$85,0)),"")</f>
        <v/>
      </c>
      <c r="X23" s="211">
        <f>IFERROR(LARGE(Model!$V$15:$V$85,15),"")</f>
        <v/>
      </c>
    </row>
    <row r="24">
      <c r="B24" s="228" t="n">
        <v>4</v>
      </c>
      <c r="C24" s="229">
        <f>IFERROR(INDEX(Model!$B$15:$B$85,MATCH(G24,Model!$V$15:$V$85,0)),"")</f>
        <v/>
      </c>
      <c r="D24" s="230">
        <f>IFERROR(INDEX(Model!$E$15:$E$85,MATCH(G24,Model!$V$15:$V$85,0)),"")</f>
        <v/>
      </c>
      <c r="E24" s="231">
        <f>IFERROR(INDEX(Model!$R$15:$R$85,MATCH(G24,Model!$V$15:$V$85,0)),"")</f>
        <v/>
      </c>
      <c r="F24" s="231">
        <f>IFERROR(INDEX(Model!$U$15:$U$85,MATCH(G24,Model!$V$15:$V$85,0)),"")</f>
        <v/>
      </c>
      <c r="G24" s="231">
        <f>IFERROR(LARGE(Model!$V$15:$V$85,4),"")</f>
        <v/>
      </c>
      <c r="H24" s="232">
        <f>IFERROR(INDEX(Model!$W$15:$W$85,MATCH(G24,Model!$V$15:$V$85,0)),"")</f>
        <v/>
      </c>
      <c r="K24" s="228" t="n">
        <v>4</v>
      </c>
      <c r="L24" s="229">
        <f>IFERROR(INDEX(Model!$B$15:$B$85,MATCH(P24,Model!$V$15:$V$85,0)),"")</f>
        <v/>
      </c>
      <c r="M24" s="230">
        <f>IFERROR(INDEX(Model!$E$15:$E$85,MATCH(P24,Model!$V$15:$V$85,0)),"")</f>
        <v/>
      </c>
      <c r="N24" s="231">
        <f>IFERROR(INDEX(Model!$R$15:$R$85,MATCH(P24,Model!$V$15:$V$85,0)),"")</f>
        <v/>
      </c>
      <c r="O24" s="231">
        <f>IFERROR(INDEX(Model!$U$15:$U$85,MATCH(P24,Model!$V$15:$V$85,0)),"")</f>
        <v/>
      </c>
      <c r="P24" s="231">
        <f>IFERROR(SMALL(Model!$V$15:$V$85,4),"")</f>
        <v/>
      </c>
      <c r="Q24" s="232">
        <f>IFERROR(INDEX(Model!$W$15:$W$85,MATCH(P24,Model!$V$15:$V$85,0)),"")</f>
        <v/>
      </c>
      <c r="V24" s="205" t="n">
        <v>16</v>
      </c>
      <c r="W24">
        <f>IFERROR(INDEX(Model!$B$15:$B$85,MATCH(X24,Model!$V$15:$V$85,0)),"")</f>
        <v/>
      </c>
      <c r="X24" s="211">
        <f>IFERROR(LARGE(Model!$V$15:$V$85,16),"")</f>
        <v/>
      </c>
    </row>
    <row r="25">
      <c r="B25" s="223" t="n">
        <v>5</v>
      </c>
      <c r="C25" s="224">
        <f>IFERROR(INDEX(Model!$B$15:$B$85,MATCH(G25,Model!$V$15:$V$85,0)),"")</f>
        <v/>
      </c>
      <c r="D25" s="225">
        <f>IFERROR(INDEX(Model!$E$15:$E$85,MATCH(G25,Model!$V$15:$V$85,0)),"")</f>
        <v/>
      </c>
      <c r="E25" s="226">
        <f>IFERROR(INDEX(Model!$R$15:$R$85,MATCH(G25,Model!$V$15:$V$85,0)),"")</f>
        <v/>
      </c>
      <c r="F25" s="226">
        <f>IFERROR(INDEX(Model!$U$15:$U$85,MATCH(G25,Model!$V$15:$V$85,0)),"")</f>
        <v/>
      </c>
      <c r="G25" s="226">
        <f>IFERROR(LARGE(Model!$V$15:$V$85,5),"")</f>
        <v/>
      </c>
      <c r="H25" s="227">
        <f>IFERROR(INDEX(Model!$W$15:$W$85,MATCH(G25,Model!$V$15:$V$85,0)),"")</f>
        <v/>
      </c>
      <c r="K25" s="223" t="n">
        <v>5</v>
      </c>
      <c r="L25" s="224">
        <f>IFERROR(INDEX(Model!$B$15:$B$85,MATCH(P25,Model!$V$15:$V$85,0)),"")</f>
        <v/>
      </c>
      <c r="M25" s="225">
        <f>IFERROR(INDEX(Model!$E$15:$E$85,MATCH(P25,Model!$V$15:$V$85,0)),"")</f>
        <v/>
      </c>
      <c r="N25" s="226">
        <f>IFERROR(INDEX(Model!$R$15:$R$85,MATCH(P25,Model!$V$15:$V$85,0)),"")</f>
        <v/>
      </c>
      <c r="O25" s="226">
        <f>IFERROR(INDEX(Model!$U$15:$U$85,MATCH(P25,Model!$V$15:$V$85,0)),"")</f>
        <v/>
      </c>
      <c r="P25" s="226">
        <f>IFERROR(SMALL(Model!$V$15:$V$85,5),"")</f>
        <v/>
      </c>
      <c r="Q25" s="227">
        <f>IFERROR(INDEX(Model!$W$15:$W$85,MATCH(P25,Model!$V$15:$V$85,0)),"")</f>
        <v/>
      </c>
      <c r="V25" s="205" t="n">
        <v>17</v>
      </c>
      <c r="W25">
        <f>IFERROR(INDEX(Model!$B$15:$B$85,MATCH(X25,Model!$V$15:$V$85,0)),"")</f>
        <v/>
      </c>
      <c r="X25" s="211">
        <f>IFERROR(LARGE(Model!$V$15:$V$85,17),"")</f>
        <v/>
      </c>
    </row>
    <row r="26">
      <c r="B26" s="228" t="n">
        <v>6</v>
      </c>
      <c r="C26" s="229">
        <f>IFERROR(INDEX(Model!$B$15:$B$85,MATCH(G26,Model!$V$15:$V$85,0)),"")</f>
        <v/>
      </c>
      <c r="D26" s="230">
        <f>IFERROR(INDEX(Model!$E$15:$E$85,MATCH(G26,Model!$V$15:$V$85,0)),"")</f>
        <v/>
      </c>
      <c r="E26" s="231">
        <f>IFERROR(INDEX(Model!$R$15:$R$85,MATCH(G26,Model!$V$15:$V$85,0)),"")</f>
        <v/>
      </c>
      <c r="F26" s="231">
        <f>IFERROR(INDEX(Model!$U$15:$U$85,MATCH(G26,Model!$V$15:$V$85,0)),"")</f>
        <v/>
      </c>
      <c r="G26" s="231">
        <f>IFERROR(LARGE(Model!$V$15:$V$85,6),"")</f>
        <v/>
      </c>
      <c r="H26" s="232">
        <f>IFERROR(INDEX(Model!$W$15:$W$85,MATCH(G26,Model!$V$15:$V$85,0)),"")</f>
        <v/>
      </c>
      <c r="K26" s="228" t="n">
        <v>6</v>
      </c>
      <c r="L26" s="229">
        <f>IFERROR(INDEX(Model!$B$15:$B$85,MATCH(P26,Model!$V$15:$V$85,0)),"")</f>
        <v/>
      </c>
      <c r="M26" s="230">
        <f>IFERROR(INDEX(Model!$E$15:$E$85,MATCH(P26,Model!$V$15:$V$85,0)),"")</f>
        <v/>
      </c>
      <c r="N26" s="231">
        <f>IFERROR(INDEX(Model!$R$15:$R$85,MATCH(P26,Model!$V$15:$V$85,0)),"")</f>
        <v/>
      </c>
      <c r="O26" s="231">
        <f>IFERROR(INDEX(Model!$U$15:$U$85,MATCH(P26,Model!$V$15:$V$85,0)),"")</f>
        <v/>
      </c>
      <c r="P26" s="231">
        <f>IFERROR(SMALL(Model!$V$15:$V$85,6),"")</f>
        <v/>
      </c>
      <c r="Q26" s="232">
        <f>IFERROR(INDEX(Model!$W$15:$W$85,MATCH(P26,Model!$V$15:$V$85,0)),"")</f>
        <v/>
      </c>
      <c r="V26" s="205" t="n">
        <v>18</v>
      </c>
      <c r="W26">
        <f>IFERROR(INDEX(Model!$B$15:$B$85,MATCH(X26,Model!$V$15:$V$85,0)),"")</f>
        <v/>
      </c>
      <c r="X26" s="211">
        <f>IFERROR(LARGE(Model!$V$15:$V$85,18),"")</f>
        <v/>
      </c>
    </row>
    <row r="27">
      <c r="B27" s="223" t="n">
        <v>7</v>
      </c>
      <c r="C27" s="224">
        <f>IFERROR(INDEX(Model!$B$15:$B$85,MATCH(G27,Model!$V$15:$V$85,0)),"")</f>
        <v/>
      </c>
      <c r="D27" s="225">
        <f>IFERROR(INDEX(Model!$E$15:$E$85,MATCH(G27,Model!$V$15:$V$85,0)),"")</f>
        <v/>
      </c>
      <c r="E27" s="226">
        <f>IFERROR(INDEX(Model!$R$15:$R$85,MATCH(G27,Model!$V$15:$V$85,0)),"")</f>
        <v/>
      </c>
      <c r="F27" s="226">
        <f>IFERROR(INDEX(Model!$U$15:$U$85,MATCH(G27,Model!$V$15:$V$85,0)),"")</f>
        <v/>
      </c>
      <c r="G27" s="226">
        <f>IFERROR(LARGE(Model!$V$15:$V$85,7),"")</f>
        <v/>
      </c>
      <c r="H27" s="227">
        <f>IFERROR(INDEX(Model!$W$15:$W$85,MATCH(G27,Model!$V$15:$V$85,0)),"")</f>
        <v/>
      </c>
      <c r="K27" s="223" t="n">
        <v>7</v>
      </c>
      <c r="L27" s="224">
        <f>IFERROR(INDEX(Model!$B$15:$B$85,MATCH(P27,Model!$V$15:$V$85,0)),"")</f>
        <v/>
      </c>
      <c r="M27" s="225">
        <f>IFERROR(INDEX(Model!$E$15:$E$85,MATCH(P27,Model!$V$15:$V$85,0)),"")</f>
        <v/>
      </c>
      <c r="N27" s="226">
        <f>IFERROR(INDEX(Model!$R$15:$R$85,MATCH(P27,Model!$V$15:$V$85,0)),"")</f>
        <v/>
      </c>
      <c r="O27" s="226">
        <f>IFERROR(INDEX(Model!$U$15:$U$85,MATCH(P27,Model!$V$15:$V$85,0)),"")</f>
        <v/>
      </c>
      <c r="P27" s="226">
        <f>IFERROR(SMALL(Model!$V$15:$V$85,7),"")</f>
        <v/>
      </c>
      <c r="Q27" s="227">
        <f>IFERROR(INDEX(Model!$W$15:$W$85,MATCH(P27,Model!$V$15:$V$85,0)),"")</f>
        <v/>
      </c>
      <c r="V27" s="205" t="n">
        <v>19</v>
      </c>
      <c r="W27">
        <f>IFERROR(INDEX(Model!$B$15:$B$85,MATCH(X27,Model!$V$15:$V$85,0)),"")</f>
        <v/>
      </c>
      <c r="X27" s="211">
        <f>IFERROR(LARGE(Model!$V$15:$V$85,19),"")</f>
        <v/>
      </c>
    </row>
    <row r="28">
      <c r="B28" s="228" t="n">
        <v>8</v>
      </c>
      <c r="C28" s="229">
        <f>IFERROR(INDEX(Model!$B$15:$B$85,MATCH(G28,Model!$V$15:$V$85,0)),"")</f>
        <v/>
      </c>
      <c r="D28" s="230">
        <f>IFERROR(INDEX(Model!$E$15:$E$85,MATCH(G28,Model!$V$15:$V$85,0)),"")</f>
        <v/>
      </c>
      <c r="E28" s="231">
        <f>IFERROR(INDEX(Model!$R$15:$R$85,MATCH(G28,Model!$V$15:$V$85,0)),"")</f>
        <v/>
      </c>
      <c r="F28" s="231">
        <f>IFERROR(INDEX(Model!$U$15:$U$85,MATCH(G28,Model!$V$15:$V$85,0)),"")</f>
        <v/>
      </c>
      <c r="G28" s="231">
        <f>IFERROR(LARGE(Model!$V$15:$V$85,8),"")</f>
        <v/>
      </c>
      <c r="H28" s="232">
        <f>IFERROR(INDEX(Model!$W$15:$W$85,MATCH(G28,Model!$V$15:$V$85,0)),"")</f>
        <v/>
      </c>
      <c r="K28" s="228" t="n">
        <v>8</v>
      </c>
      <c r="L28" s="229">
        <f>IFERROR(INDEX(Model!$B$15:$B$85,MATCH(P28,Model!$V$15:$V$85,0)),"")</f>
        <v/>
      </c>
      <c r="M28" s="230">
        <f>IFERROR(INDEX(Model!$E$15:$E$85,MATCH(P28,Model!$V$15:$V$85,0)),"")</f>
        <v/>
      </c>
      <c r="N28" s="231">
        <f>IFERROR(INDEX(Model!$R$15:$R$85,MATCH(P28,Model!$V$15:$V$85,0)),"")</f>
        <v/>
      </c>
      <c r="O28" s="231">
        <f>IFERROR(INDEX(Model!$U$15:$U$85,MATCH(P28,Model!$V$15:$V$85,0)),"")</f>
        <v/>
      </c>
      <c r="P28" s="231">
        <f>IFERROR(SMALL(Model!$V$15:$V$85,8),"")</f>
        <v/>
      </c>
      <c r="Q28" s="232">
        <f>IFERROR(INDEX(Model!$W$15:$W$85,MATCH(P28,Model!$V$15:$V$85,0)),"")</f>
        <v/>
      </c>
      <c r="V28" s="205" t="n">
        <v>20</v>
      </c>
      <c r="W28">
        <f>IFERROR(INDEX(Model!$B$15:$B$85,MATCH(X28,Model!$V$15:$V$85,0)),"")</f>
        <v/>
      </c>
      <c r="X28" s="211">
        <f>IFERROR(LARGE(Model!$V$15:$V$85,20),"")</f>
        <v/>
      </c>
    </row>
    <row r="29">
      <c r="B29" s="223" t="n">
        <v>9</v>
      </c>
      <c r="C29" s="224">
        <f>IFERROR(INDEX(Model!$B$15:$B$85,MATCH(G29,Model!$V$15:$V$85,0)),"")</f>
        <v/>
      </c>
      <c r="D29" s="225">
        <f>IFERROR(INDEX(Model!$E$15:$E$85,MATCH(G29,Model!$V$15:$V$85,0)),"")</f>
        <v/>
      </c>
      <c r="E29" s="226">
        <f>IFERROR(INDEX(Model!$R$15:$R$85,MATCH(G29,Model!$V$15:$V$85,0)),"")</f>
        <v/>
      </c>
      <c r="F29" s="226">
        <f>IFERROR(INDEX(Model!$U$15:$U$85,MATCH(G29,Model!$V$15:$V$85,0)),"")</f>
        <v/>
      </c>
      <c r="G29" s="226">
        <f>IFERROR(LARGE(Model!$V$15:$V$85,9),"")</f>
        <v/>
      </c>
      <c r="H29" s="227">
        <f>IFERROR(INDEX(Model!$W$15:$W$85,MATCH(G29,Model!$V$15:$V$85,0)),"")</f>
        <v/>
      </c>
      <c r="K29" s="223" t="n">
        <v>9</v>
      </c>
      <c r="L29" s="224">
        <f>IFERROR(INDEX(Model!$B$15:$B$85,MATCH(P29,Model!$V$15:$V$85,0)),"")</f>
        <v/>
      </c>
      <c r="M29" s="225">
        <f>IFERROR(INDEX(Model!$E$15:$E$85,MATCH(P29,Model!$V$15:$V$85,0)),"")</f>
        <v/>
      </c>
      <c r="N29" s="226">
        <f>IFERROR(INDEX(Model!$R$15:$R$85,MATCH(P29,Model!$V$15:$V$85,0)),"")</f>
        <v/>
      </c>
      <c r="O29" s="226">
        <f>IFERROR(INDEX(Model!$U$15:$U$85,MATCH(P29,Model!$V$15:$V$85,0)),"")</f>
        <v/>
      </c>
      <c r="P29" s="226">
        <f>IFERROR(SMALL(Model!$V$15:$V$85,9),"")</f>
        <v/>
      </c>
      <c r="Q29" s="227">
        <f>IFERROR(INDEX(Model!$W$15:$W$85,MATCH(P29,Model!$V$15:$V$85,0)),"")</f>
        <v/>
      </c>
      <c r="V29" s="205" t="n">
        <v>21</v>
      </c>
      <c r="W29">
        <f>IFERROR(INDEX(Model!$B$15:$B$85,MATCH(X29,Model!$V$15:$V$85,0)),"")</f>
        <v/>
      </c>
      <c r="X29" s="211">
        <f>IFERROR(LARGE(Model!$V$15:$V$85,21),"")</f>
        <v/>
      </c>
    </row>
    <row r="30">
      <c r="B30" s="228" t="n">
        <v>10</v>
      </c>
      <c r="C30" s="229">
        <f>IFERROR(INDEX(Model!$B$15:$B$85,MATCH(G30,Model!$V$15:$V$85,0)),"")</f>
        <v/>
      </c>
      <c r="D30" s="230">
        <f>IFERROR(INDEX(Model!$E$15:$E$85,MATCH(G30,Model!$V$15:$V$85,0)),"")</f>
        <v/>
      </c>
      <c r="E30" s="231">
        <f>IFERROR(INDEX(Model!$R$15:$R$85,MATCH(G30,Model!$V$15:$V$85,0)),"")</f>
        <v/>
      </c>
      <c r="F30" s="231">
        <f>IFERROR(INDEX(Model!$U$15:$U$85,MATCH(G30,Model!$V$15:$V$85,0)),"")</f>
        <v/>
      </c>
      <c r="G30" s="231">
        <f>IFERROR(LARGE(Model!$V$15:$V$85,10),"")</f>
        <v/>
      </c>
      <c r="H30" s="232">
        <f>IFERROR(INDEX(Model!$W$15:$W$85,MATCH(G30,Model!$V$15:$V$85,0)),"")</f>
        <v/>
      </c>
      <c r="K30" s="228" t="n">
        <v>10</v>
      </c>
      <c r="L30" s="229">
        <f>IFERROR(INDEX(Model!$B$15:$B$85,MATCH(P30,Model!$V$15:$V$85,0)),"")</f>
        <v/>
      </c>
      <c r="M30" s="230">
        <f>IFERROR(INDEX(Model!$E$15:$E$85,MATCH(P30,Model!$V$15:$V$85,0)),"")</f>
        <v/>
      </c>
      <c r="N30" s="231">
        <f>IFERROR(INDEX(Model!$R$15:$R$85,MATCH(P30,Model!$V$15:$V$85,0)),"")</f>
        <v/>
      </c>
      <c r="O30" s="231">
        <f>IFERROR(INDEX(Model!$U$15:$U$85,MATCH(P30,Model!$V$15:$V$85,0)),"")</f>
        <v/>
      </c>
      <c r="P30" s="231">
        <f>IFERROR(SMALL(Model!$V$15:$V$85,10),"")</f>
        <v/>
      </c>
      <c r="Q30" s="232">
        <f>IFERROR(INDEX(Model!$W$15:$W$85,MATCH(P30,Model!$V$15:$V$85,0)),"")</f>
        <v/>
      </c>
      <c r="V30" s="205" t="n">
        <v>22</v>
      </c>
      <c r="W30">
        <f>IFERROR(INDEX(Model!$B$15:$B$85,MATCH(X30,Model!$V$15:$V$85,0)),"")</f>
        <v/>
      </c>
      <c r="X30" s="211">
        <f>IFERROR(LARGE(Model!$V$15:$V$85,22),"")</f>
        <v/>
      </c>
    </row>
    <row r="31">
      <c r="V31" s="205" t="n">
        <v>23</v>
      </c>
      <c r="W31">
        <f>IFERROR(INDEX(Model!$B$15:$B$85,MATCH(X31,Model!$V$15:$V$85,0)),"")</f>
        <v/>
      </c>
      <c r="X31" s="211">
        <f>IFERROR(LARGE(Model!$V$15:$V$85,23),"")</f>
        <v/>
      </c>
    </row>
    <row r="32">
      <c r="V32" s="205" t="n">
        <v>24</v>
      </c>
      <c r="W32">
        <f>IFERROR(INDEX(Model!$B$15:$B$85,MATCH(X32,Model!$V$15:$V$85,0)),"")</f>
        <v/>
      </c>
      <c r="X32" s="211">
        <f>IFERROR(LARGE(Model!$V$15:$V$85,24),"")</f>
        <v/>
      </c>
    </row>
    <row r="33">
      <c r="V33" s="205" t="n">
        <v>25</v>
      </c>
      <c r="W33">
        <f>IFERROR(INDEX(Model!$B$15:$B$85,MATCH(X33,Model!$V$15:$V$85,0)),"")</f>
        <v/>
      </c>
      <c r="X33" s="211">
        <f>IFERROR(LARGE(Model!$V$15:$V$85,25),"")</f>
        <v/>
      </c>
    </row>
    <row r="34">
      <c r="V34" s="205" t="n">
        <v>26</v>
      </c>
      <c r="W34">
        <f>IFERROR(INDEX(Model!$B$15:$B$85,MATCH(X34,Model!$V$15:$V$85,0)),"")</f>
        <v/>
      </c>
      <c r="X34" s="211">
        <f>IFERROR(LARGE(Model!$V$15:$V$85,26),"")</f>
        <v/>
      </c>
    </row>
    <row r="35">
      <c r="V35" s="205" t="n">
        <v>27</v>
      </c>
      <c r="W35">
        <f>IFERROR(INDEX(Model!$B$15:$B$85,MATCH(X35,Model!$V$15:$V$85,0)),"")</f>
        <v/>
      </c>
      <c r="X35" s="211">
        <f>IFERROR(LARGE(Model!$V$15:$V$85,27),"")</f>
        <v/>
      </c>
    </row>
    <row r="36">
      <c r="V36" s="205" t="n">
        <v>28</v>
      </c>
      <c r="W36">
        <f>IFERROR(INDEX(Model!$B$15:$B$85,MATCH(X36,Model!$V$15:$V$85,0)),"")</f>
        <v/>
      </c>
      <c r="X36" s="211">
        <f>IFERROR(LARGE(Model!$V$15:$V$85,28),"")</f>
        <v/>
      </c>
    </row>
    <row r="37">
      <c r="V37" s="205" t="n">
        <v>29</v>
      </c>
      <c r="W37">
        <f>IFERROR(INDEX(Model!$B$15:$B$85,MATCH(X37,Model!$V$15:$V$85,0)),"")</f>
        <v/>
      </c>
      <c r="X37" s="211">
        <f>IFERROR(LARGE(Model!$V$15:$V$85,29),"")</f>
        <v/>
      </c>
    </row>
    <row r="38">
      <c r="V38" s="205" t="n">
        <v>30</v>
      </c>
      <c r="W38">
        <f>IFERROR(INDEX(Model!$B$15:$B$85,MATCH(X38,Model!$V$15:$V$85,0)),"")</f>
        <v/>
      </c>
      <c r="X38" s="211">
        <f>IFERROR(LARGE(Model!$V$15:$V$85,30),"")</f>
        <v/>
      </c>
    </row>
    <row r="39">
      <c r="V39" s="205" t="n">
        <v>31</v>
      </c>
      <c r="W39">
        <f>IFERROR(INDEX(Model!$B$15:$B$85,MATCH(X39,Model!$V$15:$V$85,0)),"")</f>
        <v/>
      </c>
      <c r="X39" s="211">
        <f>IFERROR(LARGE(Model!$V$15:$V$85,31),"")</f>
        <v/>
      </c>
    </row>
    <row r="40">
      <c r="V40" s="205" t="n">
        <v>32</v>
      </c>
      <c r="W40">
        <f>IFERROR(INDEX(Model!$B$15:$B$85,MATCH(X40,Model!$V$15:$V$85,0)),"")</f>
        <v/>
      </c>
      <c r="X40" s="211">
        <f>IFERROR(LARGE(Model!$V$15:$V$85,32),"")</f>
        <v/>
      </c>
    </row>
    <row r="41">
      <c r="V41" s="205" t="n">
        <v>33</v>
      </c>
      <c r="W41">
        <f>IFERROR(INDEX(Model!$B$15:$B$85,MATCH(X41,Model!$V$15:$V$85,0)),"")</f>
        <v/>
      </c>
      <c r="X41" s="211">
        <f>IFERROR(LARGE(Model!$V$15:$V$85,33),"")</f>
        <v/>
      </c>
    </row>
    <row r="42">
      <c r="V42" s="205" t="n">
        <v>34</v>
      </c>
      <c r="W42">
        <f>IFERROR(INDEX(Model!$B$15:$B$85,MATCH(X42,Model!$V$15:$V$85,0)),"")</f>
        <v/>
      </c>
      <c r="X42" s="211">
        <f>IFERROR(LARGE(Model!$V$15:$V$85,34),"")</f>
        <v/>
      </c>
    </row>
    <row r="43">
      <c r="V43" s="205" t="n">
        <v>35</v>
      </c>
      <c r="W43">
        <f>IFERROR(INDEX(Model!$B$15:$B$85,MATCH(X43,Model!$V$15:$V$85,0)),"")</f>
        <v/>
      </c>
      <c r="X43" s="211">
        <f>IFERROR(LARGE(Model!$V$15:$V$85,35),"")</f>
        <v/>
      </c>
    </row>
    <row r="44">
      <c r="V44" s="205" t="n">
        <v>36</v>
      </c>
      <c r="W44">
        <f>IFERROR(INDEX(Model!$B$15:$B$85,MATCH(X44,Model!$V$15:$V$85,0)),"")</f>
        <v/>
      </c>
      <c r="X44" s="211">
        <f>IFERROR(LARGE(Model!$V$15:$V$85,36),"")</f>
        <v/>
      </c>
    </row>
    <row r="45">
      <c r="V45" s="205" t="n">
        <v>37</v>
      </c>
      <c r="W45">
        <f>IFERROR(INDEX(Model!$B$15:$B$85,MATCH(X45,Model!$V$15:$V$85,0)),"")</f>
        <v/>
      </c>
      <c r="X45" s="211">
        <f>IFERROR(LARGE(Model!$V$15:$V$85,37),"")</f>
        <v/>
      </c>
    </row>
    <row r="46">
      <c r="V46" s="205" t="n">
        <v>38</v>
      </c>
      <c r="W46">
        <f>IFERROR(INDEX(Model!$B$15:$B$85,MATCH(X46,Model!$V$15:$V$85,0)),"")</f>
        <v/>
      </c>
      <c r="X46" s="211">
        <f>IFERROR(LARGE(Model!$V$15:$V$85,38),"")</f>
        <v/>
      </c>
    </row>
    <row r="47">
      <c r="V47" s="205" t="n">
        <v>39</v>
      </c>
      <c r="W47">
        <f>IFERROR(INDEX(Model!$B$15:$B$85,MATCH(X47,Model!$V$15:$V$85,0)),"")</f>
        <v/>
      </c>
      <c r="X47" s="211">
        <f>IFERROR(LARGE(Model!$V$15:$V$85,39),"")</f>
        <v/>
      </c>
    </row>
    <row r="48">
      <c r="V48" s="205" t="n">
        <v>40</v>
      </c>
      <c r="W48">
        <f>IFERROR(INDEX(Model!$B$15:$B$85,MATCH(X48,Model!$V$15:$V$85,0)),"")</f>
        <v/>
      </c>
      <c r="X48" s="211">
        <f>IFERROR(LARGE(Model!$V$15:$V$85,40),"")</f>
        <v/>
      </c>
    </row>
    <row r="49">
      <c r="V49" s="205" t="n">
        <v>41</v>
      </c>
      <c r="W49">
        <f>IFERROR(INDEX(Model!$B$15:$B$85,MATCH(X49,Model!$V$15:$V$85,0)),"")</f>
        <v/>
      </c>
      <c r="X49" s="211">
        <f>IFERROR(LARGE(Model!$V$15:$V$85,41),"")</f>
        <v/>
      </c>
    </row>
    <row r="50">
      <c r="V50" s="205" t="n">
        <v>42</v>
      </c>
      <c r="W50">
        <f>IFERROR(INDEX(Model!$B$15:$B$85,MATCH(X50,Model!$V$15:$V$85,0)),"")</f>
        <v/>
      </c>
      <c r="X50" s="211">
        <f>IFERROR(LARGE(Model!$V$15:$V$85,42),"")</f>
        <v/>
      </c>
    </row>
    <row r="51">
      <c r="V51" s="205" t="n">
        <v>43</v>
      </c>
      <c r="W51">
        <f>IFERROR(INDEX(Model!$B$15:$B$85,MATCH(X51,Model!$V$15:$V$85,0)),"")</f>
        <v/>
      </c>
      <c r="X51" s="211">
        <f>IFERROR(LARGE(Model!$V$15:$V$85,43),"")</f>
        <v/>
      </c>
    </row>
    <row r="52">
      <c r="V52" s="205" t="n">
        <v>44</v>
      </c>
      <c r="W52">
        <f>IFERROR(INDEX(Model!$B$15:$B$85,MATCH(X52,Model!$V$15:$V$85,0)),"")</f>
        <v/>
      </c>
      <c r="X52" s="211">
        <f>IFERROR(LARGE(Model!$V$15:$V$85,44),"")</f>
        <v/>
      </c>
    </row>
    <row r="53">
      <c r="V53" s="205" t="n">
        <v>45</v>
      </c>
      <c r="W53">
        <f>IFERROR(INDEX(Model!$B$15:$B$85,MATCH(X53,Model!$V$15:$V$85,0)),"")</f>
        <v/>
      </c>
      <c r="X53" s="211">
        <f>IFERROR(LARGE(Model!$V$15:$V$85,45),"")</f>
        <v/>
      </c>
    </row>
    <row r="54">
      <c r="V54" s="205" t="n">
        <v>46</v>
      </c>
      <c r="W54">
        <f>IFERROR(INDEX(Model!$B$15:$B$85,MATCH(X54,Model!$V$15:$V$85,0)),"")</f>
        <v/>
      </c>
      <c r="X54" s="211">
        <f>IFERROR(LARGE(Model!$V$15:$V$85,46),"")</f>
        <v/>
      </c>
    </row>
    <row r="55">
      <c r="V55" s="205" t="n">
        <v>47</v>
      </c>
      <c r="W55">
        <f>IFERROR(INDEX(Model!$B$15:$B$85,MATCH(X55,Model!$V$15:$V$85,0)),"")</f>
        <v/>
      </c>
      <c r="X55" s="211">
        <f>IFERROR(LARGE(Model!$V$15:$V$85,47),"")</f>
        <v/>
      </c>
    </row>
    <row r="56">
      <c r="V56" s="205" t="n">
        <v>48</v>
      </c>
      <c r="W56">
        <f>IFERROR(INDEX(Model!$B$15:$B$85,MATCH(X56,Model!$V$15:$V$85,0)),"")</f>
        <v/>
      </c>
      <c r="X56" s="211">
        <f>IFERROR(LARGE(Model!$V$15:$V$85,48),"")</f>
        <v/>
      </c>
    </row>
    <row r="57">
      <c r="V57" s="205" t="n">
        <v>49</v>
      </c>
      <c r="W57">
        <f>IFERROR(INDEX(Model!$B$15:$B$85,MATCH(X57,Model!$V$15:$V$85,0)),"")</f>
        <v/>
      </c>
      <c r="X57" s="211">
        <f>IFERROR(LARGE(Model!$V$15:$V$85,49),"")</f>
        <v/>
      </c>
    </row>
    <row r="58">
      <c r="V58" s="205" t="n">
        <v>50</v>
      </c>
      <c r="W58">
        <f>IFERROR(INDEX(Model!$B$15:$B$85,MATCH(X58,Model!$V$15:$V$85,0)),"")</f>
        <v/>
      </c>
      <c r="X58" s="211">
        <f>IFERROR(LARGE(Model!$V$15:$V$85,50),"")</f>
        <v/>
      </c>
    </row>
    <row r="59">
      <c r="V59" s="205" t="n">
        <v>51</v>
      </c>
      <c r="W59">
        <f>IFERROR(INDEX(Model!$B$15:$B$85,MATCH(X59,Model!$V$15:$V$85,0)),"")</f>
        <v/>
      </c>
      <c r="X59" s="211">
        <f>IFERROR(LARGE(Model!$V$15:$V$85,51),"")</f>
        <v/>
      </c>
    </row>
    <row r="60">
      <c r="V60" s="205" t="n">
        <v>52</v>
      </c>
      <c r="W60">
        <f>IFERROR(INDEX(Model!$B$15:$B$85,MATCH(X60,Model!$V$15:$V$85,0)),"")</f>
        <v/>
      </c>
      <c r="X60" s="211">
        <f>IFERROR(LARGE(Model!$V$15:$V$85,52),"")</f>
        <v/>
      </c>
    </row>
    <row r="61">
      <c r="V61" s="205" t="n">
        <v>53</v>
      </c>
      <c r="W61">
        <f>IFERROR(INDEX(Model!$B$15:$B$85,MATCH(X61,Model!$V$15:$V$85,0)),"")</f>
        <v/>
      </c>
      <c r="X61" s="211">
        <f>IFERROR(LARGE(Model!$V$15:$V$85,53),"")</f>
        <v/>
      </c>
    </row>
    <row r="62">
      <c r="V62" s="205" t="n">
        <v>54</v>
      </c>
      <c r="W62">
        <f>IFERROR(INDEX(Model!$B$15:$B$85,MATCH(X62,Model!$V$15:$V$85,0)),"")</f>
        <v/>
      </c>
      <c r="X62" s="211">
        <f>IFERROR(LARGE(Model!$V$15:$V$85,54),"")</f>
        <v/>
      </c>
    </row>
    <row r="63">
      <c r="V63" s="205" t="n">
        <v>55</v>
      </c>
      <c r="W63">
        <f>IFERROR(INDEX(Model!$B$15:$B$85,MATCH(X63,Model!$V$15:$V$85,0)),"")</f>
        <v/>
      </c>
      <c r="X63" s="211">
        <f>IFERROR(LARGE(Model!$V$15:$V$85,55),"")</f>
        <v/>
      </c>
    </row>
    <row r="64">
      <c r="V64" s="205" t="n">
        <v>56</v>
      </c>
      <c r="W64">
        <f>IFERROR(INDEX(Model!$B$15:$B$85,MATCH(X64,Model!$V$15:$V$85,0)),"")</f>
        <v/>
      </c>
      <c r="X64" s="211">
        <f>IFERROR(LARGE(Model!$V$15:$V$85,56),"")</f>
        <v/>
      </c>
    </row>
    <row r="65">
      <c r="V65" s="205" t="n">
        <v>57</v>
      </c>
      <c r="W65">
        <f>IFERROR(INDEX(Model!$B$15:$B$85,MATCH(X65,Model!$V$15:$V$85,0)),"")</f>
        <v/>
      </c>
      <c r="X65" s="211">
        <f>IFERROR(LARGE(Model!$V$15:$V$85,57),"")</f>
        <v/>
      </c>
    </row>
    <row r="66">
      <c r="V66" s="205" t="n">
        <v>58</v>
      </c>
      <c r="W66">
        <f>IFERROR(INDEX(Model!$B$15:$B$85,MATCH(X66,Model!$V$15:$V$85,0)),"")</f>
        <v/>
      </c>
      <c r="X66" s="211">
        <f>IFERROR(LARGE(Model!$V$15:$V$85,58),"")</f>
        <v/>
      </c>
    </row>
    <row r="67">
      <c r="V67" s="205" t="n">
        <v>59</v>
      </c>
      <c r="W67">
        <f>IFERROR(INDEX(Model!$B$15:$B$85,MATCH(X67,Model!$V$15:$V$85,0)),"")</f>
        <v/>
      </c>
      <c r="X67" s="211">
        <f>IFERROR(LARGE(Model!$V$15:$V$85,59),"")</f>
        <v/>
      </c>
    </row>
    <row r="68">
      <c r="V68" s="205" t="n">
        <v>60</v>
      </c>
      <c r="W68">
        <f>IFERROR(INDEX(Model!$B$15:$B$85,MATCH(X68,Model!$V$15:$V$85,0)),"")</f>
        <v/>
      </c>
      <c r="X68" s="211">
        <f>IFERROR(LARGE(Model!$V$15:$V$85,60),"")</f>
        <v/>
      </c>
    </row>
    <row r="69">
      <c r="V69" s="205" t="n">
        <v>61</v>
      </c>
      <c r="W69">
        <f>IFERROR(INDEX(Model!$B$15:$B$85,MATCH(X69,Model!$V$15:$V$85,0)),"")</f>
        <v/>
      </c>
      <c r="X69" s="211">
        <f>IFERROR(LARGE(Model!$V$15:$V$85,61),"")</f>
        <v/>
      </c>
    </row>
    <row r="70">
      <c r="V70" s="205" t="n">
        <v>62</v>
      </c>
      <c r="W70">
        <f>IFERROR(INDEX(Model!$B$15:$B$85,MATCH(X70,Model!$V$15:$V$85,0)),"")</f>
        <v/>
      </c>
      <c r="X70" s="211">
        <f>IFERROR(LARGE(Model!$V$15:$V$85,62),"")</f>
        <v/>
      </c>
    </row>
    <row r="71">
      <c r="V71" s="205" t="n">
        <v>63</v>
      </c>
      <c r="W71">
        <f>IFERROR(INDEX(Model!$B$15:$B$85,MATCH(X71,Model!$V$15:$V$85,0)),"")</f>
        <v/>
      </c>
      <c r="X71" s="211">
        <f>IFERROR(LARGE(Model!$V$15:$V$85,63),"")</f>
        <v/>
      </c>
    </row>
    <row r="72">
      <c r="V72" s="205" t="n">
        <v>64</v>
      </c>
      <c r="W72">
        <f>IFERROR(INDEX(Model!$B$15:$B$85,MATCH(X72,Model!$V$15:$V$85,0)),"")</f>
        <v/>
      </c>
      <c r="X72" s="211">
        <f>IFERROR(LARGE(Model!$V$15:$V$85,64),"")</f>
        <v/>
      </c>
    </row>
    <row r="73">
      <c r="V73" s="205" t="n">
        <v>65</v>
      </c>
      <c r="W73">
        <f>IFERROR(INDEX(Model!$B$15:$B$85,MATCH(X73,Model!$V$15:$V$85,0)),"")</f>
        <v/>
      </c>
      <c r="X73" s="211">
        <f>IFERROR(LARGE(Model!$V$15:$V$85,65),"")</f>
        <v/>
      </c>
    </row>
    <row r="74">
      <c r="V74" s="205" t="n">
        <v>66</v>
      </c>
      <c r="W74">
        <f>IFERROR(INDEX(Model!$B$15:$B$85,MATCH(X74,Model!$V$15:$V$85,0)),"")</f>
        <v/>
      </c>
      <c r="X74" s="211">
        <f>IFERROR(LARGE(Model!$V$15:$V$85,66),"")</f>
        <v/>
      </c>
    </row>
    <row r="75">
      <c r="V75" s="205" t="n">
        <v>67</v>
      </c>
      <c r="W75">
        <f>IFERROR(INDEX(Model!$B$15:$B$85,MATCH(X75,Model!$V$15:$V$85,0)),"")</f>
        <v/>
      </c>
      <c r="X75" s="211">
        <f>IFERROR(LARGE(Model!$V$15:$V$85,67),"")</f>
        <v/>
      </c>
    </row>
    <row r="76">
      <c r="V76" s="205" t="n">
        <v>68</v>
      </c>
      <c r="W76">
        <f>IFERROR(INDEX(Model!$B$15:$B$85,MATCH(X76,Model!$V$15:$V$85,0)),"")</f>
        <v/>
      </c>
      <c r="X76" s="211">
        <f>IFERROR(LARGE(Model!$V$15:$V$85,68),"")</f>
        <v/>
      </c>
    </row>
    <row r="77">
      <c r="V77" s="205" t="n">
        <v>69</v>
      </c>
      <c r="W77">
        <f>IFERROR(INDEX(Model!$B$15:$B$85,MATCH(X77,Model!$V$15:$V$85,0)),"")</f>
        <v/>
      </c>
      <c r="X77" s="211">
        <f>IFERROR(LARGE(Model!$V$15:$V$85,69),"")</f>
        <v/>
      </c>
    </row>
    <row r="78">
      <c r="V78" s="205" t="n">
        <v>70</v>
      </c>
      <c r="W78">
        <f>IFERROR(INDEX(Model!$B$15:$B$85,MATCH(X78,Model!$V$15:$V$85,0)),"")</f>
        <v/>
      </c>
      <c r="X78" s="211">
        <f>IFERROR(LARGE(Model!$V$15:$V$85,70),"")</f>
        <v/>
      </c>
    </row>
    <row r="79">
      <c r="V79" s="205" t="n">
        <v>71</v>
      </c>
      <c r="W79">
        <f>IFERROR(INDEX(Model!$B$15:$B$85,MATCH(X79,Model!$V$15:$V$85,0)),"")</f>
        <v/>
      </c>
      <c r="X79" s="211">
        <f>IFERROR(LARGE(Model!$V$15:$V$85,71),"")</f>
        <v/>
      </c>
    </row>
  </sheetData>
  <mergeCells count="32">
    <mergeCell ref="Q14:S14"/>
    <mergeCell ref="N15:P16"/>
    <mergeCell ref="B14:D14"/>
    <mergeCell ref="B8:D8"/>
    <mergeCell ref="N14:P14"/>
    <mergeCell ref="K9:M10"/>
    <mergeCell ref="N8:P8"/>
    <mergeCell ref="B17:S17"/>
    <mergeCell ref="B18:F18"/>
    <mergeCell ref="B13:S13"/>
    <mergeCell ref="K8:M8"/>
    <mergeCell ref="F15:H16"/>
    <mergeCell ref="H9:J10"/>
    <mergeCell ref="N18:R18"/>
    <mergeCell ref="B6:S6"/>
    <mergeCell ref="J15:L16"/>
    <mergeCell ref="F14:H14"/>
    <mergeCell ref="B19:F19"/>
    <mergeCell ref="H8:J8"/>
    <mergeCell ref="B2:S5"/>
    <mergeCell ref="E9:G10"/>
    <mergeCell ref="H19:L19"/>
    <mergeCell ref="Q9:S10"/>
    <mergeCell ref="N19:R19"/>
    <mergeCell ref="J14:L14"/>
    <mergeCell ref="Q15:S16"/>
    <mergeCell ref="B15:D16"/>
    <mergeCell ref="E8:G8"/>
    <mergeCell ref="H18:L18"/>
    <mergeCell ref="B9:D10"/>
    <mergeCell ref="N9:P10"/>
    <mergeCell ref="Q8:S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01"/>
  <sheetViews>
    <sheetView showGridLines="0" zoomScale="100" workbookViewId="0">
      <selection activeCell="A1" sqref="A1"/>
    </sheetView>
  </sheetViews>
  <sheetFormatPr baseColWidth="8" defaultRowHeight="15"/>
  <cols>
    <col width="2" customWidth="1" style="159" min="1" max="1"/>
    <col width="11" customWidth="1" style="159" min="2" max="2"/>
    <col width="11" customWidth="1" style="159" min="3" max="3"/>
    <col width="11" customWidth="1" style="159" min="4" max="4"/>
    <col width="11" customWidth="1" style="159" min="5" max="5"/>
    <col width="11" customWidth="1" style="159" min="6" max="6"/>
    <col width="11" customWidth="1" style="159" min="7" max="7"/>
    <col width="11" customWidth="1" style="159" min="8" max="8"/>
    <col width="11" customWidth="1" style="159" min="9" max="9"/>
    <col width="11" customWidth="1" style="159" min="10" max="10"/>
    <col width="11" customWidth="1" style="159" min="11" max="11"/>
    <col width="11" customWidth="1" style="159" min="12" max="12"/>
    <col width="11" customWidth="1" style="159" min="13" max="13"/>
    <col width="11" customWidth="1" style="159" min="14" max="14"/>
    <col width="11" customWidth="1" style="159" min="15" max="15"/>
    <col width="11" customWidth="1" style="159" min="16" max="16"/>
    <col width="11" customWidth="1" style="159" min="17" max="17"/>
  </cols>
  <sheetData>
    <row r="2">
      <c r="B2" s="163" t="inlineStr">
        <is>
          <t>Country Detail</t>
        </is>
      </c>
    </row>
    <row r="3"/>
    <row r="4">
      <c r="B4" s="164" t="inlineStr">
        <is>
          <t>Pick a sovereign — KPIs and the scatter all update from live Bloomberg data.</t>
        </is>
      </c>
    </row>
    <row r="6" ht="30" customHeight="1" s="159">
      <c r="B6" s="233" t="inlineStr">
        <is>
          <t>Sovereign:</t>
        </is>
      </c>
      <c r="C6" s="234" t="inlineStr">
        <is>
          <t>BRAZIL</t>
        </is>
      </c>
    </row>
    <row r="8">
      <c r="B8" s="204" t="inlineStr">
        <is>
          <t>Spread (bps)</t>
        </is>
      </c>
      <c r="E8" s="204" t="inlineStr">
        <is>
          <t>Composite rating</t>
        </is>
      </c>
      <c r="H8" s="204" t="inlineStr">
        <is>
          <t>Fund. score</t>
        </is>
      </c>
      <c r="K8" s="204" t="inlineStr">
        <is>
          <t>Resid (log)</t>
        </is>
      </c>
      <c r="N8" s="204" t="inlineStr">
        <is>
          <t>Z-score signal</t>
        </is>
      </c>
    </row>
    <row r="9">
      <c r="B9" s="235">
        <f>IFERROR(INDEX(Model!$E$15:$E$85,MATCH($C$6,Model!$B$15:$B$85,0)),NA())</f>
        <v/>
      </c>
      <c r="E9" s="236">
        <f>IFERROR(INDEX(Model!$D$15:$D$85,MATCH($C$6,Model!$B$15:$B$85,0)),NA())</f>
        <v/>
      </c>
      <c r="H9" s="237">
        <f>IFERROR(INDEX(Model!$R$15:$R$85,MATCH($C$6,Model!$B$15:$B$85,0)),NA())</f>
        <v/>
      </c>
      <c r="K9" s="238">
        <f>IFERROR(INDEX(Model!$U$15:$U$85,MATCH($C$6,Model!$B$15:$B$85,0)),NA())</f>
        <v/>
      </c>
      <c r="N9" s="237">
        <f>IFERROR(INDEX(Model!$V$15:$V$85,MATCH($C$6,Model!$B$15:$B$85,0)),NA())</f>
        <v/>
      </c>
    </row>
    <row r="10"/>
    <row r="12" ht="40" customHeight="1" s="159">
      <c r="B12" s="239">
        <f>IFERROR(INDEX(Model!$W$15:$W$85,MATCH($C$6,Model!$B$15:$B$85,0)),"-")</f>
        <v/>
      </c>
    </row>
    <row r="14">
      <c r="B14" s="286" t="inlineStr">
        <is>
          <t>Macro fundamentals  ·  vs. peer-group cross-section</t>
        </is>
      </c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8" t="n"/>
      <c r="M14" s="258" t="n"/>
      <c r="N14" s="258" t="n"/>
      <c r="O14" s="258" t="n"/>
      <c r="P14" s="258" t="n"/>
    </row>
    <row r="15">
      <c r="B15" s="240" t="inlineStr"/>
      <c r="E15" s="240" t="inlineStr">
        <is>
          <t>Latest value</t>
        </is>
      </c>
      <c r="H15" s="240" t="inlineStr">
        <is>
          <t>Peer median</t>
        </is>
      </c>
      <c r="K15" s="240" t="inlineStr">
        <is>
          <t>Cross-section z</t>
        </is>
      </c>
    </row>
    <row r="16">
      <c r="B16" s="241" t="inlineStr">
        <is>
          <t>GDP growth (%)</t>
        </is>
      </c>
      <c r="C16" s="274" t="n"/>
      <c r="D16" s="275" t="n"/>
      <c r="E16" s="276">
        <f>IFERROR(INDEX(Model!$G$15:$G$85,MATCH($C$6,Model!$B$15:$B$85,0)),"")</f>
        <v/>
      </c>
      <c r="F16" s="274" t="n"/>
      <c r="G16" s="275" t="n"/>
      <c r="H16" s="277">
        <f>IFERROR(MEDIAN(Model!$G$15:$G$85),"")</f>
        <v/>
      </c>
      <c r="I16" s="274" t="n"/>
      <c r="J16" s="275" t="n"/>
      <c r="K16" s="245">
        <f>IFERROR(INDEX(Model!$Q$15:$Q$85,MATCH($C$6,Model!$B$15:$B$85,0)),"")</f>
        <v/>
      </c>
      <c r="L16" s="274" t="n"/>
      <c r="M16" s="275" t="n"/>
    </row>
    <row r="17">
      <c r="B17" s="246" t="inlineStr">
        <is>
          <t>Inflation (%)</t>
        </is>
      </c>
      <c r="C17" s="274" t="n"/>
      <c r="D17" s="275" t="n"/>
      <c r="E17" s="278">
        <f>IFERROR(INDEX(Model!$H$15:$H$85,MATCH($C$6,Model!$B$15:$B$85,0)),"")</f>
        <v/>
      </c>
      <c r="F17" s="274" t="n"/>
      <c r="G17" s="275" t="n"/>
      <c r="H17" s="279">
        <f>IFERROR(MEDIAN(Model!$H$15:$H$85),"")</f>
        <v/>
      </c>
      <c r="I17" s="274" t="n"/>
      <c r="J17" s="275" t="n"/>
      <c r="K17" s="250">
        <f>IFERROR(INDEX(Model!$R$15:$R$85,MATCH($C$6,Model!$B$15:$B$85,0)),"")</f>
        <v/>
      </c>
      <c r="L17" s="274" t="n"/>
      <c r="M17" s="275" t="n"/>
    </row>
    <row r="18">
      <c r="B18" s="241" t="inlineStr">
        <is>
          <t>Govt debt (%GDP)</t>
        </is>
      </c>
      <c r="C18" s="274" t="n"/>
      <c r="D18" s="275" t="n"/>
      <c r="E18" s="251">
        <f>IFERROR(INDEX(Model!$I$15:$I$85,MATCH($C$6,Model!$B$15:$B$85,0)),"")</f>
        <v/>
      </c>
      <c r="F18" s="274" t="n"/>
      <c r="G18" s="275" t="n"/>
      <c r="H18" s="252">
        <f>IFERROR(MEDIAN(Model!$I$15:$I$85),"")</f>
        <v/>
      </c>
      <c r="I18" s="274" t="n"/>
      <c r="J18" s="275" t="n"/>
      <c r="K18" s="245">
        <f>IFERROR(INDEX(Model!$M$15:$M$85,MATCH($C$6,Model!$B$15:$B$85,0)),"")</f>
        <v/>
      </c>
      <c r="L18" s="274" t="n"/>
      <c r="M18" s="275" t="n"/>
    </row>
    <row r="19">
      <c r="B19" s="246" t="inlineStr">
        <is>
          <t>Curr acct (%GDP)</t>
        </is>
      </c>
      <c r="C19" s="274" t="n"/>
      <c r="D19" s="275" t="n"/>
      <c r="E19" s="278">
        <f>IFERROR(INDEX(Model!$J$15:$J$85,MATCH($C$6,Model!$B$15:$B$85,0)),"")</f>
        <v/>
      </c>
      <c r="F19" s="274" t="n"/>
      <c r="G19" s="275" t="n"/>
      <c r="H19" s="279">
        <f>IFERROR(MEDIAN(Model!$J$15:$J$85),"")</f>
        <v/>
      </c>
      <c r="I19" s="274" t="n"/>
      <c r="J19" s="275" t="n"/>
      <c r="K19" s="250">
        <f>IFERROR(INDEX(Model!$N$15:$N$85,MATCH($C$6,Model!$B$15:$B$85,0)),"")</f>
        <v/>
      </c>
      <c r="L19" s="274" t="n"/>
      <c r="M19" s="275" t="n"/>
    </row>
    <row r="20">
      <c r="B20" s="241" t="inlineStr">
        <is>
          <t>FX reserves (USD)</t>
        </is>
      </c>
      <c r="C20" s="274" t="n"/>
      <c r="D20" s="275" t="n"/>
      <c r="E20" s="253">
        <f>IFERROR(INDEX(Model!$K$15:$K$85,MATCH($C$6,Model!$B$15:$B$85,0)),"")</f>
        <v/>
      </c>
      <c r="F20" s="274" t="n"/>
      <c r="G20" s="275" t="n"/>
      <c r="H20" s="254">
        <f>IFERROR(MEDIAN(Model!$K$15:$K$85),"")</f>
        <v/>
      </c>
      <c r="I20" s="274" t="n"/>
      <c r="J20" s="275" t="n"/>
      <c r="K20" s="245">
        <f>IFERROR(INDEX(Model!$O$15:$O$85,MATCH($C$6,Model!$B$15:$B$85,0)),"")</f>
        <v/>
      </c>
      <c r="L20" s="274" t="n"/>
      <c r="M20" s="275" t="n"/>
    </row>
    <row r="21">
      <c r="B21" s="246" t="inlineStr">
        <is>
          <t>Rating (1=AAA→22=D)</t>
        </is>
      </c>
      <c r="C21" s="274" t="n"/>
      <c r="D21" s="275" t="n"/>
      <c r="E21" s="255">
        <f>IFERROR(INDEX(Model!$D$15:$D$85,MATCH($C$6,Model!$B$15:$B$85,0)),"")</f>
        <v/>
      </c>
      <c r="F21" s="274" t="n"/>
      <c r="G21" s="275" t="n"/>
      <c r="H21" s="256">
        <f>IFERROR(MEDIAN(Model!$D$15:$D$85),"")</f>
        <v/>
      </c>
      <c r="I21" s="274" t="n"/>
      <c r="J21" s="275" t="n"/>
      <c r="K21" s="250">
        <f>IFERROR(INDEX(Model!$L$15:$L$85,MATCH($C$6,Model!$B$15:$B$85,0)),"")</f>
        <v/>
      </c>
      <c r="L21" s="274" t="n"/>
      <c r="M21" s="275" t="n"/>
    </row>
    <row r="200" hidden="1" s="159">
      <c r="R200" s="205" t="inlineStr">
        <is>
          <t>helper</t>
        </is>
      </c>
    </row>
    <row r="201" hidden="1" s="159">
      <c r="R201" s="257">
        <f>IFERROR(INDEX(Model!$R$15:$R$85,MATCH($C$6,Model!$B$15:$B$85,0)),NA())</f>
        <v/>
      </c>
      <c r="S201" s="257">
        <f>IFERROR(INDEX(Model!$S$15:$S$85,MATCH($C$6,Model!$B$15:$B$85,0)),NA())</f>
        <v/>
      </c>
    </row>
    <row r="202" hidden="1" s="159"/>
    <row r="203" hidden="1" s="159"/>
    <row r="204" hidden="1" s="159"/>
  </sheetData>
  <mergeCells count="43">
    <mergeCell ref="E19:G19"/>
    <mergeCell ref="B8:D8"/>
    <mergeCell ref="B14:P14"/>
    <mergeCell ref="B17:D17"/>
    <mergeCell ref="K9:M10"/>
    <mergeCell ref="N8:P8"/>
    <mergeCell ref="H17:J17"/>
    <mergeCell ref="E15:G15"/>
    <mergeCell ref="B2:Q3"/>
    <mergeCell ref="H16:J16"/>
    <mergeCell ref="K8:M8"/>
    <mergeCell ref="B19:D19"/>
    <mergeCell ref="H19:J19"/>
    <mergeCell ref="B4:Q4"/>
    <mergeCell ref="C6:F6"/>
    <mergeCell ref="H9:J10"/>
    <mergeCell ref="K17:M17"/>
    <mergeCell ref="B15:D15"/>
    <mergeCell ref="B20:D20"/>
    <mergeCell ref="E16:G16"/>
    <mergeCell ref="H15:J15"/>
    <mergeCell ref="K19:M19"/>
    <mergeCell ref="H18:J18"/>
    <mergeCell ref="H8:J8"/>
    <mergeCell ref="E18:G18"/>
    <mergeCell ref="K18:M18"/>
    <mergeCell ref="H21:J21"/>
    <mergeCell ref="E9:G10"/>
    <mergeCell ref="E21:G21"/>
    <mergeCell ref="K16:M16"/>
    <mergeCell ref="B16:D16"/>
    <mergeCell ref="K15:M15"/>
    <mergeCell ref="H20:J20"/>
    <mergeCell ref="E8:G8"/>
    <mergeCell ref="B18:D18"/>
    <mergeCell ref="E17:G17"/>
    <mergeCell ref="K21:M21"/>
    <mergeCell ref="B9:D10"/>
    <mergeCell ref="B21:D21"/>
    <mergeCell ref="N9:P10"/>
    <mergeCell ref="K20:M20"/>
    <mergeCell ref="B12:P12"/>
    <mergeCell ref="E20:G20"/>
  </mergeCells>
  <conditionalFormatting sqref="B12">
    <cfRule type="expression" priority="1" dxfId="16">
      <formula>$B$12="CHEAP"</formula>
    </cfRule>
    <cfRule type="expression" priority="2" dxfId="17">
      <formula>$B$12="RICH"</formula>
    </cfRule>
    <cfRule type="expression" priority="3" dxfId="18">
      <formula>$B$12="slightly cheap"</formula>
    </cfRule>
    <cfRule type="expression" priority="4" dxfId="19">
      <formula>$B$12="slightly rich"</formula>
    </cfRule>
    <cfRule type="expression" priority="5" dxfId="20">
      <formula>$B$12="fair"</formula>
    </cfRule>
  </conditionalFormatting>
  <dataValidations count="1">
    <dataValidation sqref="C6" showDropDown="0" showInputMessage="0" showErrorMessage="0" allowBlank="0" errorTitle="Invalid" error="Pick a sovereign from the list" type="list">
      <formula1>=Model!$B$15:$B$85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A85"/>
  <sheetViews>
    <sheetView showGridLines="0" zoomScale="100" workbookViewId="0">
      <pane xSplit="3" ySplit="14" topLeftCell="D1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159" min="1" max="1"/>
    <col width="22" customWidth="1" style="159" min="2" max="2"/>
    <col width="7" customWidth="1" style="159" min="3" max="3"/>
    <col width="9" customWidth="1" style="159" min="4" max="4"/>
    <col width="11" customWidth="1" style="159" min="5" max="5"/>
    <col width="10" customWidth="1" style="159" min="6" max="6"/>
    <col width="9" customWidth="1" style="159" min="7" max="7"/>
    <col width="9" customWidth="1" style="159" min="8" max="8"/>
    <col width="9" customWidth="1" style="159" min="9" max="9"/>
    <col width="9" customWidth="1" style="159" min="10" max="10"/>
    <col width="11" customWidth="1" style="159" min="11" max="11"/>
    <col width="7" customWidth="1" style="159" min="12" max="12"/>
    <col width="7" customWidth="1" style="159" min="13" max="13"/>
    <col width="7" customWidth="1" style="159" min="14" max="14"/>
    <col width="7" customWidth="1" style="159" min="15" max="15"/>
    <col width="7" customWidth="1" style="159" min="16" max="16"/>
    <col width="9" customWidth="1" style="159" min="17" max="17"/>
    <col width="9" customWidth="1" style="159" min="18" max="18"/>
    <col width="11" customWidth="1" style="159" min="19" max="19"/>
    <col width="11" customWidth="1" style="159" min="20" max="20"/>
    <col width="9" customWidth="1" style="159" min="21" max="21"/>
    <col width="9" customWidth="1" style="159" min="22" max="22"/>
    <col width="12" customWidth="1" style="159" min="23" max="23"/>
    <col width="10" customWidth="1" style="159" min="24" max="24"/>
    <col width="10" customWidth="1" style="159" min="25" max="25"/>
    <col width="10" customWidth="1" style="159" min="26" max="26"/>
    <col width="10" customWidth="1" style="159" min="27" max="27"/>
  </cols>
  <sheetData>
    <row r="2">
      <c r="B2" s="163" t="inlineStr">
        <is>
          <t>Cross-Section Fair Value Model</t>
        </is>
      </c>
    </row>
    <row r="3"/>
    <row r="4">
      <c r="B4" s="164" t="inlineStr">
        <is>
          <t>log(EMBI spread) = α + β · Composite Fundamental Score   ·   coefficients re-estimated every Bloomberg refresh   ·   no frozen anything</t>
        </is>
      </c>
    </row>
    <row r="6">
      <c r="B6" s="280" t="inlineStr">
        <is>
          <t>Factor weights  (editable, blue cells)</t>
        </is>
      </c>
      <c r="C6" s="258" t="n"/>
      <c r="D6" s="258" t="n"/>
      <c r="E6" s="258" t="n"/>
      <c r="F6" s="258" t="n"/>
      <c r="G6" s="258" t="n"/>
      <c r="I6" s="280" t="inlineStr">
        <is>
          <t>Live regression coefficients</t>
        </is>
      </c>
      <c r="J6" s="258" t="n"/>
      <c r="K6" s="258" t="n"/>
      <c r="L6" s="258" t="n"/>
      <c r="M6" s="258" t="n"/>
      <c r="N6" s="258" t="n"/>
    </row>
    <row r="7">
      <c r="B7" s="166" t="inlineStr">
        <is>
          <t>Rating</t>
        </is>
      </c>
      <c r="C7" s="167" t="inlineStr">
        <is>
          <t>w_R</t>
        </is>
      </c>
      <c r="D7" s="168" t="n">
        <v>0.35</v>
      </c>
      <c r="I7" s="166" t="inlineStr">
        <is>
          <t>Intercept (α)</t>
        </is>
      </c>
      <c r="N7" s="289">
        <f>IFERROR(INTERCEPT($Z$15:$Z$85,$AA$15:$AA$85),"")</f>
        <v/>
      </c>
    </row>
    <row r="8">
      <c r="B8" s="166" t="inlineStr">
        <is>
          <t>Govt debt</t>
        </is>
      </c>
      <c r="C8" s="167" t="inlineStr">
        <is>
          <t>w_D</t>
        </is>
      </c>
      <c r="D8" s="168" t="n">
        <v>0.2</v>
      </c>
      <c r="I8" s="166" t="inlineStr">
        <is>
          <t>Slope (β)</t>
        </is>
      </c>
      <c r="N8" s="289">
        <f>IFERROR(SLOPE($Z$15:$Z$85,$AA$15:$AA$85),"")</f>
        <v/>
      </c>
    </row>
    <row r="9">
      <c r="B9" s="166" t="inlineStr">
        <is>
          <t>Curr acct</t>
        </is>
      </c>
      <c r="C9" s="167" t="inlineStr">
        <is>
          <t>w_C</t>
        </is>
      </c>
      <c r="D9" s="168" t="n">
        <v>0.15</v>
      </c>
      <c r="I9" s="166" t="inlineStr">
        <is>
          <t>R²</t>
        </is>
      </c>
      <c r="N9" s="289">
        <f>IFERROR(RSQ($Z$15:$Z$85,$AA$15:$AA$85),"")</f>
        <v/>
      </c>
    </row>
    <row r="10">
      <c r="B10" s="166" t="inlineStr">
        <is>
          <t>FX reserves</t>
        </is>
      </c>
      <c r="C10" s="167" t="inlineStr">
        <is>
          <t>w_X</t>
        </is>
      </c>
      <c r="D10" s="168" t="n">
        <v>0.1</v>
      </c>
      <c r="I10" s="166" t="inlineStr">
        <is>
          <t># countries with full data</t>
        </is>
      </c>
      <c r="N10" s="290">
        <f>COUNT($AA$15:$AA$85)</f>
        <v/>
      </c>
    </row>
    <row r="11">
      <c r="B11" s="166" t="inlineStr">
        <is>
          <t>GDP growth</t>
        </is>
      </c>
      <c r="C11" s="167" t="inlineStr">
        <is>
          <t>w_g</t>
        </is>
      </c>
      <c r="D11" s="168" t="n">
        <v>0.12</v>
      </c>
      <c r="I11" s="166" t="inlineStr">
        <is>
          <t>Median spread (bps)</t>
        </is>
      </c>
      <c r="N11" s="171">
        <f>IFERROR(ROUND(MEDIAN($E$15:$E$85),0),"")</f>
        <v/>
      </c>
      <c r="P11" s="166" t="inlineStr">
        <is>
          <t>Min vars in regression</t>
        </is>
      </c>
      <c r="S11" s="291" t="n">
        <v>4</v>
      </c>
    </row>
    <row r="12">
      <c r="B12" s="166" t="inlineStr">
        <is>
          <t>Inflation</t>
        </is>
      </c>
      <c r="C12" s="167" t="inlineStr">
        <is>
          <t>w_p</t>
        </is>
      </c>
      <c r="D12" s="168" t="n">
        <v>0.08</v>
      </c>
      <c r="I12" s="166" t="inlineStr">
        <is>
          <t>Snapshot</t>
        </is>
      </c>
      <c r="N12" s="259">
        <f>TODAY()</f>
        <v/>
      </c>
    </row>
    <row r="13">
      <c r="B13" s="173" t="inlineStr">
        <is>
          <t>Sum</t>
        </is>
      </c>
      <c r="D13" s="174">
        <f>SUM(D7:D12)</f>
        <v/>
      </c>
    </row>
    <row r="14">
      <c r="B14" s="175" t="inlineStr">
        <is>
          <t>Country</t>
        </is>
      </c>
      <c r="C14" s="175" t="inlineStr">
        <is>
          <t>ISO</t>
        </is>
      </c>
      <c r="D14" s="175" t="inlineStr">
        <is>
          <t>Rating#</t>
        </is>
      </c>
      <c r="E14" s="175" t="inlineStr">
        <is>
          <t>Spread bps</t>
        </is>
      </c>
      <c r="F14" s="175" t="inlineStr">
        <is>
          <t>CDS bps</t>
        </is>
      </c>
      <c r="G14" s="175" t="inlineStr">
        <is>
          <t>GDP %</t>
        </is>
      </c>
      <c r="H14" s="175" t="inlineStr">
        <is>
          <t>CPI %</t>
        </is>
      </c>
      <c r="I14" s="175" t="inlineStr">
        <is>
          <t>Debt %GDP</t>
        </is>
      </c>
      <c r="J14" s="175" t="inlineStr">
        <is>
          <t>CA %GDP</t>
        </is>
      </c>
      <c r="K14" s="175" t="inlineStr">
        <is>
          <t>Reserves</t>
        </is>
      </c>
      <c r="L14" s="175" t="inlineStr">
        <is>
          <t>zR</t>
        </is>
      </c>
      <c r="M14" s="175" t="inlineStr">
        <is>
          <t>zD</t>
        </is>
      </c>
      <c r="N14" s="175" t="inlineStr">
        <is>
          <t>zC</t>
        </is>
      </c>
      <c r="O14" s="175" t="inlineStr">
        <is>
          <t>zX</t>
        </is>
      </c>
      <c r="P14" s="175" t="inlineStr">
        <is>
          <t>zg</t>
        </is>
      </c>
      <c r="Q14" s="175" t="inlineStr">
        <is>
          <t>zp</t>
        </is>
      </c>
      <c r="R14" s="175" t="inlineStr">
        <is>
          <t>Fund Score</t>
        </is>
      </c>
      <c r="S14" s="175" t="inlineStr">
        <is>
          <t>log(spread)</t>
        </is>
      </c>
      <c r="T14" s="175" t="inlineStr">
        <is>
          <t>Fitted log</t>
        </is>
      </c>
      <c r="U14" s="175" t="inlineStr">
        <is>
          <t>Resid</t>
        </is>
      </c>
      <c r="V14" s="175" t="inlineStr">
        <is>
          <t>Z resid</t>
        </is>
      </c>
      <c r="W14" s="175" t="inlineStr">
        <is>
          <t>Signal</t>
        </is>
      </c>
      <c r="X14" s="204" t="inlineStr">
        <is>
          <t>Coverage</t>
        </is>
      </c>
      <c r="Y14" s="204" t="inlineStr">
        <is>
          <t>Conf</t>
        </is>
      </c>
      <c r="Z14" s="204" t="inlineStr">
        <is>
          <t>flt_logS</t>
        </is>
      </c>
      <c r="AA14" s="204" t="inlineStr">
        <is>
          <t>flt_F</t>
        </is>
      </c>
    </row>
    <row r="15">
      <c r="B15" s="176">
        <f>Tickers!B7</f>
        <v/>
      </c>
      <c r="C15" s="177">
        <f>Tickers!C7</f>
        <v/>
      </c>
      <c r="D15" s="178">
        <f>Tickers!E7</f>
        <v/>
      </c>
      <c r="E15" s="260">
        <f>IFERROR(Tickers!G7,"")</f>
        <v/>
      </c>
      <c r="F15" s="260">
        <f>IFERROR(Tickers!I7,"")</f>
        <v/>
      </c>
      <c r="G15" s="261">
        <f>IFERROR(IF(ISNUMBER(Tickers!K7),Tickers!K7,IF(ISNUMBER(Haver!E7),Haver!E7,IF(ISNUMBER(Tickers!T7),Tickers!T7,""))),"")</f>
        <v/>
      </c>
      <c r="H15" s="261">
        <f>IFERROR(IF(ISNUMBER(Tickers!M7),Tickers!M7,IF(ISNUMBER(Haver!G7),Haver!G7,IF(ISNUMBER(Tickers!U7),Tickers!U7,""))),"")</f>
        <v/>
      </c>
      <c r="I15" s="261">
        <f>IFERROR(IF(ISNUMBER(Tickers!O7),Tickers!O7,IF(ISNUMBER(Haver!I7),Haver!I7,IF(ISNUMBER(Tickers!V7),Tickers!V7,""))),"")</f>
        <v/>
      </c>
      <c r="J15" s="261">
        <f>IFERROR(IF(ISNUMBER(Tickers!Q7),Tickers!Q7,IF(ISNUMBER(Haver!K7),Haver!K7,IF(ISNUMBER(Tickers!W7),Tickers!W7,""))),"")</f>
        <v/>
      </c>
      <c r="K15" s="260">
        <f>IFERROR(IF(ISNUMBER(Tickers!S7),Tickers!S7,IF(ISNUMBER(Haver!M7),Haver!M7,IF(ISNUMBER(Tickers!X7),Tickers!X7,""))),"")</f>
        <v/>
      </c>
      <c r="L15" s="262">
        <f>IFERROR(($D$15-AVERAGE($D$15:$D$85))/STDEV($D$15:$D$85),"")</f>
        <v/>
      </c>
      <c r="M15" s="262">
        <f>IFERROR(($I$15-AVERAGE($I$15:$I$85))/STDEV($I$15:$I$85),"")</f>
        <v/>
      </c>
      <c r="N15" s="262">
        <f>IFERROR(-($J$15-AVERAGE($J$15:$J$85))/STDEV($J$15:$J$85),"")</f>
        <v/>
      </c>
      <c r="O15" s="262">
        <f>IFERROR(-($K$15-AVERAGE($K$15:$K$85))/STDEV($K$15:$K$85),"")</f>
        <v/>
      </c>
      <c r="P15" s="262">
        <f>IFERROR(-($G$15-AVERAGE($G$15:$G$85))/STDEV($G$15:$G$85),"")</f>
        <v/>
      </c>
      <c r="Q15" s="262">
        <f>IFERROR(($H$15-AVERAGE($H$15:$H$85))/STDEV($H$15:$H$85),"")</f>
        <v/>
      </c>
      <c r="R15" s="262">
        <f>IFERROR((IF(ISNUMBER(L15),$D$7*L15,0)+IF(ISNUMBER(M15),$D$8*M15,0)+IF(ISNUMBER(N15),$D$9*N15,0)+IF(ISNUMBER(O15),$D$10*O15,0)+IF(ISNUMBER(P15),$D$11*P15,0)+IF(ISNUMBER(Q15),$D$12*Q15,0))/(IF(ISNUMBER(L15),$D$7,0)+IF(ISNUMBER(M15),$D$8,0)+IF(ISNUMBER(N15),$D$9,0)+IF(ISNUMBER(O15),$D$10,0)+IF(ISNUMBER(P15),$D$11,0)+IF(ISNUMBER(Q15),$D$12,0)),"")</f>
        <v/>
      </c>
      <c r="S15" s="182">
        <f>IFERROR(LN($E$15),"")</f>
        <v/>
      </c>
      <c r="T15" s="182">
        <f>IFERROR($N$7+$N$8*$R$15,"")</f>
        <v/>
      </c>
      <c r="U15" s="262">
        <f>IFERROR($S$15-$T$15,"")</f>
        <v/>
      </c>
      <c r="V15" s="262">
        <f>IFERROR(($U$15-AVERAGE($U$15:$U$85))/STDEV($U$15:$U$85),"")</f>
        <v/>
      </c>
      <c r="W15" s="183">
        <f>IF(ISNUMBER($V$15),IF($V$15&gt;=1.5,"CHEAP",IF($V$15&gt;=0.5,"slightly cheap",IF($V$15&lt;=-1.5,"RICH",IF($V$15&lt;=-0.5,"slightly rich","fair")))),"")</f>
        <v/>
      </c>
      <c r="X15" s="292">
        <f>SUMPRODUCT(--ISNUMBER((D15,G15,H15,I15,J15,K15)))</f>
        <v/>
      </c>
      <c r="Y15" s="293">
        <f>IF(X15&gt;=5,"HIGH",IF(X15&gt;=3,"MED","LOW"))</f>
        <v/>
      </c>
      <c r="Z15" s="294">
        <f>IF(AND(ISNUMBER(S15),X15&gt;=$S$11),S15,"")</f>
        <v/>
      </c>
      <c r="AA15" s="295">
        <f>IF(AND(ISNUMBER(R15),X15&gt;=$S$11),R15,"")</f>
        <v/>
      </c>
    </row>
    <row r="16">
      <c r="B16" s="184">
        <f>Tickers!B8</f>
        <v/>
      </c>
      <c r="C16" s="185">
        <f>Tickers!C8</f>
        <v/>
      </c>
      <c r="D16" s="186">
        <f>Tickers!E8</f>
        <v/>
      </c>
      <c r="E16" s="263">
        <f>IFERROR(Tickers!G8,"")</f>
        <v/>
      </c>
      <c r="F16" s="263">
        <f>IFERROR(Tickers!I8,"")</f>
        <v/>
      </c>
      <c r="G16" s="264">
        <f>IFERROR(IF(ISNUMBER(Tickers!K8),Tickers!K8,IF(ISNUMBER(Haver!E8),Haver!E8,IF(ISNUMBER(Tickers!T8),Tickers!T8,""))),"")</f>
        <v/>
      </c>
      <c r="H16" s="264">
        <f>IFERROR(IF(ISNUMBER(Tickers!M8),Tickers!M8,IF(ISNUMBER(Haver!G8),Haver!G8,IF(ISNUMBER(Tickers!U8),Tickers!U8,""))),"")</f>
        <v/>
      </c>
      <c r="I16" s="264">
        <f>IFERROR(IF(ISNUMBER(Tickers!O8),Tickers!O8,IF(ISNUMBER(Haver!I8),Haver!I8,IF(ISNUMBER(Tickers!V8),Tickers!V8,""))),"")</f>
        <v/>
      </c>
      <c r="J16" s="264">
        <f>IFERROR(IF(ISNUMBER(Tickers!Q8),Tickers!Q8,IF(ISNUMBER(Haver!K8),Haver!K8,IF(ISNUMBER(Tickers!W8),Tickers!W8,""))),"")</f>
        <v/>
      </c>
      <c r="K16" s="263">
        <f>IFERROR(IF(ISNUMBER(Tickers!S8),Tickers!S8,IF(ISNUMBER(Haver!M8),Haver!M8,IF(ISNUMBER(Tickers!X8),Tickers!X8,""))),"")</f>
        <v/>
      </c>
      <c r="L16" s="265">
        <f>IFERROR(($D$16-AVERAGE($D$15:$D$85))/STDEV($D$15:$D$85),"")</f>
        <v/>
      </c>
      <c r="M16" s="265">
        <f>IFERROR(($I$16-AVERAGE($I$15:$I$85))/STDEV($I$15:$I$85),"")</f>
        <v/>
      </c>
      <c r="N16" s="265">
        <f>IFERROR(-($J$16-AVERAGE($J$15:$J$85))/STDEV($J$15:$J$85),"")</f>
        <v/>
      </c>
      <c r="O16" s="265">
        <f>IFERROR(-($K$16-AVERAGE($K$15:$K$85))/STDEV($K$15:$K$85),"")</f>
        <v/>
      </c>
      <c r="P16" s="265">
        <f>IFERROR(-($G$16-AVERAGE($G$15:$G$85))/STDEV($G$15:$G$85),"")</f>
        <v/>
      </c>
      <c r="Q16" s="265">
        <f>IFERROR(($H$16-AVERAGE($H$15:$H$85))/STDEV($H$15:$H$85),"")</f>
        <v/>
      </c>
      <c r="R16" s="265">
        <f>IFERROR((IF(ISNUMBER(L16),$D$7*L16,0)+IF(ISNUMBER(M16),$D$8*M16,0)+IF(ISNUMBER(N16),$D$9*N16,0)+IF(ISNUMBER(O16),$D$10*O16,0)+IF(ISNUMBER(P16),$D$11*P16,0)+IF(ISNUMBER(Q16),$D$12*Q16,0))/(IF(ISNUMBER(L16),$D$7,0)+IF(ISNUMBER(M16),$D$8,0)+IF(ISNUMBER(N16),$D$9,0)+IF(ISNUMBER(O16),$D$10,0)+IF(ISNUMBER(P16),$D$11,0)+IF(ISNUMBER(Q16),$D$12,0)),"")</f>
        <v/>
      </c>
      <c r="S16" s="190">
        <f>IFERROR(LN($E$16),"")</f>
        <v/>
      </c>
      <c r="T16" s="190">
        <f>IFERROR($N$7+$N$8*$R$16,"")</f>
        <v/>
      </c>
      <c r="U16" s="265">
        <f>IFERROR($S$16-$T$16,"")</f>
        <v/>
      </c>
      <c r="V16" s="265">
        <f>IFERROR(($U$16-AVERAGE($U$15:$U$85))/STDEV($U$15:$U$85),"")</f>
        <v/>
      </c>
      <c r="W16" s="191">
        <f>IF(ISNUMBER($V$16),IF($V$16&gt;=1.5,"CHEAP",IF($V$16&gt;=0.5,"slightly cheap",IF($V$16&lt;=-1.5,"RICH",IF($V$16&lt;=-0.5,"slightly rich","fair")))),"")</f>
        <v/>
      </c>
      <c r="X16" s="296">
        <f>SUMPRODUCT(--ISNUMBER((D16,G16,H16,I16,J16,K16)))</f>
        <v/>
      </c>
      <c r="Y16" s="297">
        <f>IF(X16&gt;=5,"HIGH",IF(X16&gt;=3,"MED","LOW"))</f>
        <v/>
      </c>
      <c r="Z16" s="298">
        <f>IF(AND(ISNUMBER(S16),X16&gt;=$S$11),S16,"")</f>
        <v/>
      </c>
      <c r="AA16" s="299">
        <f>IF(AND(ISNUMBER(R16),X16&gt;=$S$11),R16,"")</f>
        <v/>
      </c>
    </row>
    <row r="17">
      <c r="B17" s="176">
        <f>Tickers!B9</f>
        <v/>
      </c>
      <c r="C17" s="177">
        <f>Tickers!C9</f>
        <v/>
      </c>
      <c r="D17" s="178">
        <f>Tickers!E9</f>
        <v/>
      </c>
      <c r="E17" s="260">
        <f>IFERROR(Tickers!G9,"")</f>
        <v/>
      </c>
      <c r="F17" s="260">
        <f>IFERROR(Tickers!I9,"")</f>
        <v/>
      </c>
      <c r="G17" s="261">
        <f>IFERROR(IF(ISNUMBER(Tickers!K9),Tickers!K9,IF(ISNUMBER(Haver!E9),Haver!E9,IF(ISNUMBER(Tickers!T9),Tickers!T9,""))),"")</f>
        <v/>
      </c>
      <c r="H17" s="261">
        <f>IFERROR(IF(ISNUMBER(Tickers!M9),Tickers!M9,IF(ISNUMBER(Haver!G9),Haver!G9,IF(ISNUMBER(Tickers!U9),Tickers!U9,""))),"")</f>
        <v/>
      </c>
      <c r="I17" s="261">
        <f>IFERROR(IF(ISNUMBER(Tickers!O9),Tickers!O9,IF(ISNUMBER(Haver!I9),Haver!I9,IF(ISNUMBER(Tickers!V9),Tickers!V9,""))),"")</f>
        <v/>
      </c>
      <c r="J17" s="261">
        <f>IFERROR(IF(ISNUMBER(Tickers!Q9),Tickers!Q9,IF(ISNUMBER(Haver!K9),Haver!K9,IF(ISNUMBER(Tickers!W9),Tickers!W9,""))),"")</f>
        <v/>
      </c>
      <c r="K17" s="260">
        <f>IFERROR(IF(ISNUMBER(Tickers!S9),Tickers!S9,IF(ISNUMBER(Haver!M9),Haver!M9,IF(ISNUMBER(Tickers!X9),Tickers!X9,""))),"")</f>
        <v/>
      </c>
      <c r="L17" s="262">
        <f>IFERROR(($D$17-AVERAGE($D$15:$D$85))/STDEV($D$15:$D$85),"")</f>
        <v/>
      </c>
      <c r="M17" s="262">
        <f>IFERROR(($I$17-AVERAGE($I$15:$I$85))/STDEV($I$15:$I$85),"")</f>
        <v/>
      </c>
      <c r="N17" s="262">
        <f>IFERROR(-($J$17-AVERAGE($J$15:$J$85))/STDEV($J$15:$J$85),"")</f>
        <v/>
      </c>
      <c r="O17" s="262">
        <f>IFERROR(-($K$17-AVERAGE($K$15:$K$85))/STDEV($K$15:$K$85),"")</f>
        <v/>
      </c>
      <c r="P17" s="262">
        <f>IFERROR(-($G$17-AVERAGE($G$15:$G$85))/STDEV($G$15:$G$85),"")</f>
        <v/>
      </c>
      <c r="Q17" s="262">
        <f>IFERROR(($H$17-AVERAGE($H$15:$H$85))/STDEV($H$15:$H$85),"")</f>
        <v/>
      </c>
      <c r="R17" s="262">
        <f>IFERROR((IF(ISNUMBER(L17),$D$7*L17,0)+IF(ISNUMBER(M17),$D$8*M17,0)+IF(ISNUMBER(N17),$D$9*N17,0)+IF(ISNUMBER(O17),$D$10*O17,0)+IF(ISNUMBER(P17),$D$11*P17,0)+IF(ISNUMBER(Q17),$D$12*Q17,0))/(IF(ISNUMBER(L17),$D$7,0)+IF(ISNUMBER(M17),$D$8,0)+IF(ISNUMBER(N17),$D$9,0)+IF(ISNUMBER(O17),$D$10,0)+IF(ISNUMBER(P17),$D$11,0)+IF(ISNUMBER(Q17),$D$12,0)),"")</f>
        <v/>
      </c>
      <c r="S17" s="182">
        <f>IFERROR(LN($E$17),"")</f>
        <v/>
      </c>
      <c r="T17" s="182">
        <f>IFERROR($N$7+$N$8*$R$17,"")</f>
        <v/>
      </c>
      <c r="U17" s="262">
        <f>IFERROR($S$17-$T$17,"")</f>
        <v/>
      </c>
      <c r="V17" s="262">
        <f>IFERROR(($U$17-AVERAGE($U$15:$U$85))/STDEV($U$15:$U$85),"")</f>
        <v/>
      </c>
      <c r="W17" s="183">
        <f>IF(ISNUMBER($V$17),IF($V$17&gt;=1.5,"CHEAP",IF($V$17&gt;=0.5,"slightly cheap",IF($V$17&lt;=-1.5,"RICH",IF($V$17&lt;=-0.5,"slightly rich","fair")))),"")</f>
        <v/>
      </c>
      <c r="X17" s="292">
        <f>SUMPRODUCT(--ISNUMBER((D17,G17,H17,I17,J17,K17)))</f>
        <v/>
      </c>
      <c r="Y17" s="293">
        <f>IF(X17&gt;=5,"HIGH",IF(X17&gt;=3,"MED","LOW"))</f>
        <v/>
      </c>
      <c r="Z17" s="294">
        <f>IF(AND(ISNUMBER(S17),X17&gt;=$S$11),S17,"")</f>
        <v/>
      </c>
      <c r="AA17" s="295">
        <f>IF(AND(ISNUMBER(R17),X17&gt;=$S$11),R17,"")</f>
        <v/>
      </c>
    </row>
    <row r="18">
      <c r="B18" s="184">
        <f>Tickers!B10</f>
        <v/>
      </c>
      <c r="C18" s="185">
        <f>Tickers!C10</f>
        <v/>
      </c>
      <c r="D18" s="186">
        <f>Tickers!E10</f>
        <v/>
      </c>
      <c r="E18" s="263">
        <f>IFERROR(Tickers!G10,"")</f>
        <v/>
      </c>
      <c r="F18" s="263">
        <f>IFERROR(Tickers!I10,"")</f>
        <v/>
      </c>
      <c r="G18" s="264">
        <f>IFERROR(IF(ISNUMBER(Tickers!K10),Tickers!K10,IF(ISNUMBER(Haver!E10),Haver!E10,IF(ISNUMBER(Tickers!T10),Tickers!T10,""))),"")</f>
        <v/>
      </c>
      <c r="H18" s="264">
        <f>IFERROR(IF(ISNUMBER(Tickers!M10),Tickers!M10,IF(ISNUMBER(Haver!G10),Haver!G10,IF(ISNUMBER(Tickers!U10),Tickers!U10,""))),"")</f>
        <v/>
      </c>
      <c r="I18" s="264">
        <f>IFERROR(IF(ISNUMBER(Tickers!O10),Tickers!O10,IF(ISNUMBER(Haver!I10),Haver!I10,IF(ISNUMBER(Tickers!V10),Tickers!V10,""))),"")</f>
        <v/>
      </c>
      <c r="J18" s="264">
        <f>IFERROR(IF(ISNUMBER(Tickers!Q10),Tickers!Q10,IF(ISNUMBER(Haver!K10),Haver!K10,IF(ISNUMBER(Tickers!W10),Tickers!W10,""))),"")</f>
        <v/>
      </c>
      <c r="K18" s="263">
        <f>IFERROR(IF(ISNUMBER(Tickers!S10),Tickers!S10,IF(ISNUMBER(Haver!M10),Haver!M10,IF(ISNUMBER(Tickers!X10),Tickers!X10,""))),"")</f>
        <v/>
      </c>
      <c r="L18" s="265">
        <f>IFERROR(($D$18-AVERAGE($D$15:$D$85))/STDEV($D$15:$D$85),"")</f>
        <v/>
      </c>
      <c r="M18" s="265">
        <f>IFERROR(($I$18-AVERAGE($I$15:$I$85))/STDEV($I$15:$I$85),"")</f>
        <v/>
      </c>
      <c r="N18" s="265">
        <f>IFERROR(-($J$18-AVERAGE($J$15:$J$85))/STDEV($J$15:$J$85),"")</f>
        <v/>
      </c>
      <c r="O18" s="265">
        <f>IFERROR(-($K$18-AVERAGE($K$15:$K$85))/STDEV($K$15:$K$85),"")</f>
        <v/>
      </c>
      <c r="P18" s="265">
        <f>IFERROR(-($G$18-AVERAGE($G$15:$G$85))/STDEV($G$15:$G$85),"")</f>
        <v/>
      </c>
      <c r="Q18" s="265">
        <f>IFERROR(($H$18-AVERAGE($H$15:$H$85))/STDEV($H$15:$H$85),"")</f>
        <v/>
      </c>
      <c r="R18" s="265">
        <f>IFERROR((IF(ISNUMBER(L18),$D$7*L18,0)+IF(ISNUMBER(M18),$D$8*M18,0)+IF(ISNUMBER(N18),$D$9*N18,0)+IF(ISNUMBER(O18),$D$10*O18,0)+IF(ISNUMBER(P18),$D$11*P18,0)+IF(ISNUMBER(Q18),$D$12*Q18,0))/(IF(ISNUMBER(L18),$D$7,0)+IF(ISNUMBER(M18),$D$8,0)+IF(ISNUMBER(N18),$D$9,0)+IF(ISNUMBER(O18),$D$10,0)+IF(ISNUMBER(P18),$D$11,0)+IF(ISNUMBER(Q18),$D$12,0)),"")</f>
        <v/>
      </c>
      <c r="S18" s="190">
        <f>IFERROR(LN($E$18),"")</f>
        <v/>
      </c>
      <c r="T18" s="190">
        <f>IFERROR($N$7+$N$8*$R$18,"")</f>
        <v/>
      </c>
      <c r="U18" s="265">
        <f>IFERROR($S$18-$T$18,"")</f>
        <v/>
      </c>
      <c r="V18" s="265">
        <f>IFERROR(($U$18-AVERAGE($U$15:$U$85))/STDEV($U$15:$U$85),"")</f>
        <v/>
      </c>
      <c r="W18" s="191">
        <f>IF(ISNUMBER($V$18),IF($V$18&gt;=1.5,"CHEAP",IF($V$18&gt;=0.5,"slightly cheap",IF($V$18&lt;=-1.5,"RICH",IF($V$18&lt;=-0.5,"slightly rich","fair")))),"")</f>
        <v/>
      </c>
      <c r="X18" s="296">
        <f>SUMPRODUCT(--ISNUMBER((D18,G18,H18,I18,J18,K18)))</f>
        <v/>
      </c>
      <c r="Y18" s="297">
        <f>IF(X18&gt;=5,"HIGH",IF(X18&gt;=3,"MED","LOW"))</f>
        <v/>
      </c>
      <c r="Z18" s="298">
        <f>IF(AND(ISNUMBER(S18),X18&gt;=$S$11),S18,"")</f>
        <v/>
      </c>
      <c r="AA18" s="299">
        <f>IF(AND(ISNUMBER(R18),X18&gt;=$S$11),R18,"")</f>
        <v/>
      </c>
    </row>
    <row r="19">
      <c r="B19" s="176">
        <f>Tickers!B11</f>
        <v/>
      </c>
      <c r="C19" s="177">
        <f>Tickers!C11</f>
        <v/>
      </c>
      <c r="D19" s="178">
        <f>Tickers!E11</f>
        <v/>
      </c>
      <c r="E19" s="260">
        <f>IFERROR(Tickers!G11,"")</f>
        <v/>
      </c>
      <c r="F19" s="260">
        <f>IFERROR(Tickers!I11,"")</f>
        <v/>
      </c>
      <c r="G19" s="261">
        <f>IFERROR(IF(ISNUMBER(Tickers!K11),Tickers!K11,IF(ISNUMBER(Haver!E11),Haver!E11,IF(ISNUMBER(Tickers!T11),Tickers!T11,""))),"")</f>
        <v/>
      </c>
      <c r="H19" s="261">
        <f>IFERROR(IF(ISNUMBER(Tickers!M11),Tickers!M11,IF(ISNUMBER(Haver!G11),Haver!G11,IF(ISNUMBER(Tickers!U11),Tickers!U11,""))),"")</f>
        <v/>
      </c>
      <c r="I19" s="261">
        <f>IFERROR(IF(ISNUMBER(Tickers!O11),Tickers!O11,IF(ISNUMBER(Haver!I11),Haver!I11,IF(ISNUMBER(Tickers!V11),Tickers!V11,""))),"")</f>
        <v/>
      </c>
      <c r="J19" s="261">
        <f>IFERROR(IF(ISNUMBER(Tickers!Q11),Tickers!Q11,IF(ISNUMBER(Haver!K11),Haver!K11,IF(ISNUMBER(Tickers!W11),Tickers!W11,""))),"")</f>
        <v/>
      </c>
      <c r="K19" s="260">
        <f>IFERROR(IF(ISNUMBER(Tickers!S11),Tickers!S11,IF(ISNUMBER(Haver!M11),Haver!M11,IF(ISNUMBER(Tickers!X11),Tickers!X11,""))),"")</f>
        <v/>
      </c>
      <c r="L19" s="262">
        <f>IFERROR(($D$19-AVERAGE($D$15:$D$85))/STDEV($D$15:$D$85),"")</f>
        <v/>
      </c>
      <c r="M19" s="262">
        <f>IFERROR(($I$19-AVERAGE($I$15:$I$85))/STDEV($I$15:$I$85),"")</f>
        <v/>
      </c>
      <c r="N19" s="262">
        <f>IFERROR(-($J$19-AVERAGE($J$15:$J$85))/STDEV($J$15:$J$85),"")</f>
        <v/>
      </c>
      <c r="O19" s="262">
        <f>IFERROR(-($K$19-AVERAGE($K$15:$K$85))/STDEV($K$15:$K$85),"")</f>
        <v/>
      </c>
      <c r="P19" s="262">
        <f>IFERROR(-($G$19-AVERAGE($G$15:$G$85))/STDEV($G$15:$G$85),"")</f>
        <v/>
      </c>
      <c r="Q19" s="262">
        <f>IFERROR(($H$19-AVERAGE($H$15:$H$85))/STDEV($H$15:$H$85),"")</f>
        <v/>
      </c>
      <c r="R19" s="262">
        <f>IFERROR((IF(ISNUMBER(L19),$D$7*L19,0)+IF(ISNUMBER(M19),$D$8*M19,0)+IF(ISNUMBER(N19),$D$9*N19,0)+IF(ISNUMBER(O19),$D$10*O19,0)+IF(ISNUMBER(P19),$D$11*P19,0)+IF(ISNUMBER(Q19),$D$12*Q19,0))/(IF(ISNUMBER(L19),$D$7,0)+IF(ISNUMBER(M19),$D$8,0)+IF(ISNUMBER(N19),$D$9,0)+IF(ISNUMBER(O19),$D$10,0)+IF(ISNUMBER(P19),$D$11,0)+IF(ISNUMBER(Q19),$D$12,0)),"")</f>
        <v/>
      </c>
      <c r="S19" s="182">
        <f>IFERROR(LN($E$19),"")</f>
        <v/>
      </c>
      <c r="T19" s="182">
        <f>IFERROR($N$7+$N$8*$R$19,"")</f>
        <v/>
      </c>
      <c r="U19" s="262">
        <f>IFERROR($S$19-$T$19,"")</f>
        <v/>
      </c>
      <c r="V19" s="262">
        <f>IFERROR(($U$19-AVERAGE($U$15:$U$85))/STDEV($U$15:$U$85),"")</f>
        <v/>
      </c>
      <c r="W19" s="183">
        <f>IF(ISNUMBER($V$19),IF($V$19&gt;=1.5,"CHEAP",IF($V$19&gt;=0.5,"slightly cheap",IF($V$19&lt;=-1.5,"RICH",IF($V$19&lt;=-0.5,"slightly rich","fair")))),"")</f>
        <v/>
      </c>
      <c r="X19" s="292">
        <f>SUMPRODUCT(--ISNUMBER((D19,G19,H19,I19,J19,K19)))</f>
        <v/>
      </c>
      <c r="Y19" s="293">
        <f>IF(X19&gt;=5,"HIGH",IF(X19&gt;=3,"MED","LOW"))</f>
        <v/>
      </c>
      <c r="Z19" s="294">
        <f>IF(AND(ISNUMBER(S19),X19&gt;=$S$11),S19,"")</f>
        <v/>
      </c>
      <c r="AA19" s="295">
        <f>IF(AND(ISNUMBER(R19),X19&gt;=$S$11),R19,"")</f>
        <v/>
      </c>
    </row>
    <row r="20">
      <c r="B20" s="184">
        <f>Tickers!B12</f>
        <v/>
      </c>
      <c r="C20" s="185">
        <f>Tickers!C12</f>
        <v/>
      </c>
      <c r="D20" s="186">
        <f>Tickers!E12</f>
        <v/>
      </c>
      <c r="E20" s="263">
        <f>IFERROR(Tickers!G12,"")</f>
        <v/>
      </c>
      <c r="F20" s="263">
        <f>IFERROR(Tickers!I12,"")</f>
        <v/>
      </c>
      <c r="G20" s="264">
        <f>IFERROR(IF(ISNUMBER(Tickers!K12),Tickers!K12,IF(ISNUMBER(Haver!E12),Haver!E12,IF(ISNUMBER(Tickers!T12),Tickers!T12,""))),"")</f>
        <v/>
      </c>
      <c r="H20" s="264">
        <f>IFERROR(IF(ISNUMBER(Tickers!M12),Tickers!M12,IF(ISNUMBER(Haver!G12),Haver!G12,IF(ISNUMBER(Tickers!U12),Tickers!U12,""))),"")</f>
        <v/>
      </c>
      <c r="I20" s="264">
        <f>IFERROR(IF(ISNUMBER(Tickers!O12),Tickers!O12,IF(ISNUMBER(Haver!I12),Haver!I12,IF(ISNUMBER(Tickers!V12),Tickers!V12,""))),"")</f>
        <v/>
      </c>
      <c r="J20" s="264">
        <f>IFERROR(IF(ISNUMBER(Tickers!Q12),Tickers!Q12,IF(ISNUMBER(Haver!K12),Haver!K12,IF(ISNUMBER(Tickers!W12),Tickers!W12,""))),"")</f>
        <v/>
      </c>
      <c r="K20" s="263">
        <f>IFERROR(IF(ISNUMBER(Tickers!S12),Tickers!S12,IF(ISNUMBER(Haver!M12),Haver!M12,IF(ISNUMBER(Tickers!X12),Tickers!X12,""))),"")</f>
        <v/>
      </c>
      <c r="L20" s="265">
        <f>IFERROR(($D$20-AVERAGE($D$15:$D$85))/STDEV($D$15:$D$85),"")</f>
        <v/>
      </c>
      <c r="M20" s="265">
        <f>IFERROR(($I$20-AVERAGE($I$15:$I$85))/STDEV($I$15:$I$85),"")</f>
        <v/>
      </c>
      <c r="N20" s="265">
        <f>IFERROR(-($J$20-AVERAGE($J$15:$J$85))/STDEV($J$15:$J$85),"")</f>
        <v/>
      </c>
      <c r="O20" s="265">
        <f>IFERROR(-($K$20-AVERAGE($K$15:$K$85))/STDEV($K$15:$K$85),"")</f>
        <v/>
      </c>
      <c r="P20" s="265">
        <f>IFERROR(-($G$20-AVERAGE($G$15:$G$85))/STDEV($G$15:$G$85),"")</f>
        <v/>
      </c>
      <c r="Q20" s="265">
        <f>IFERROR(($H$20-AVERAGE($H$15:$H$85))/STDEV($H$15:$H$85),"")</f>
        <v/>
      </c>
      <c r="R20" s="265">
        <f>IFERROR((IF(ISNUMBER(L20),$D$7*L20,0)+IF(ISNUMBER(M20),$D$8*M20,0)+IF(ISNUMBER(N20),$D$9*N20,0)+IF(ISNUMBER(O20),$D$10*O20,0)+IF(ISNUMBER(P20),$D$11*P20,0)+IF(ISNUMBER(Q20),$D$12*Q20,0))/(IF(ISNUMBER(L20),$D$7,0)+IF(ISNUMBER(M20),$D$8,0)+IF(ISNUMBER(N20),$D$9,0)+IF(ISNUMBER(O20),$D$10,0)+IF(ISNUMBER(P20),$D$11,0)+IF(ISNUMBER(Q20),$D$12,0)),"")</f>
        <v/>
      </c>
      <c r="S20" s="190">
        <f>IFERROR(LN($E$20),"")</f>
        <v/>
      </c>
      <c r="T20" s="190">
        <f>IFERROR($N$7+$N$8*$R$20,"")</f>
        <v/>
      </c>
      <c r="U20" s="265">
        <f>IFERROR($S$20-$T$20,"")</f>
        <v/>
      </c>
      <c r="V20" s="265">
        <f>IFERROR(($U$20-AVERAGE($U$15:$U$85))/STDEV($U$15:$U$85),"")</f>
        <v/>
      </c>
      <c r="W20" s="191">
        <f>IF(ISNUMBER($V$20),IF($V$20&gt;=1.5,"CHEAP",IF($V$20&gt;=0.5,"slightly cheap",IF($V$20&lt;=-1.5,"RICH",IF($V$20&lt;=-0.5,"slightly rich","fair")))),"")</f>
        <v/>
      </c>
      <c r="X20" s="296">
        <f>SUMPRODUCT(--ISNUMBER((D20,G20,H20,I20,J20,K20)))</f>
        <v/>
      </c>
      <c r="Y20" s="297">
        <f>IF(X20&gt;=5,"HIGH",IF(X20&gt;=3,"MED","LOW"))</f>
        <v/>
      </c>
      <c r="Z20" s="298">
        <f>IF(AND(ISNUMBER(S20),X20&gt;=$S$11),S20,"")</f>
        <v/>
      </c>
      <c r="AA20" s="299">
        <f>IF(AND(ISNUMBER(R20),X20&gt;=$S$11),R20,"")</f>
        <v/>
      </c>
    </row>
    <row r="21">
      <c r="B21" s="176">
        <f>Tickers!B13</f>
        <v/>
      </c>
      <c r="C21" s="177">
        <f>Tickers!C13</f>
        <v/>
      </c>
      <c r="D21" s="178">
        <f>Tickers!E13</f>
        <v/>
      </c>
      <c r="E21" s="260">
        <f>IFERROR(Tickers!G13,"")</f>
        <v/>
      </c>
      <c r="F21" s="260">
        <f>IFERROR(Tickers!I13,"")</f>
        <v/>
      </c>
      <c r="G21" s="261">
        <f>IFERROR(IF(ISNUMBER(Tickers!K13),Tickers!K13,IF(ISNUMBER(Haver!E13),Haver!E13,IF(ISNUMBER(Tickers!T13),Tickers!T13,""))),"")</f>
        <v/>
      </c>
      <c r="H21" s="261">
        <f>IFERROR(IF(ISNUMBER(Tickers!M13),Tickers!M13,IF(ISNUMBER(Haver!G13),Haver!G13,IF(ISNUMBER(Tickers!U13),Tickers!U13,""))),"")</f>
        <v/>
      </c>
      <c r="I21" s="261">
        <f>IFERROR(IF(ISNUMBER(Tickers!O13),Tickers!O13,IF(ISNUMBER(Haver!I13),Haver!I13,IF(ISNUMBER(Tickers!V13),Tickers!V13,""))),"")</f>
        <v/>
      </c>
      <c r="J21" s="261">
        <f>IFERROR(IF(ISNUMBER(Tickers!Q13),Tickers!Q13,IF(ISNUMBER(Haver!K13),Haver!K13,IF(ISNUMBER(Tickers!W13),Tickers!W13,""))),"")</f>
        <v/>
      </c>
      <c r="K21" s="260">
        <f>IFERROR(IF(ISNUMBER(Tickers!S13),Tickers!S13,IF(ISNUMBER(Haver!M13),Haver!M13,IF(ISNUMBER(Tickers!X13),Tickers!X13,""))),"")</f>
        <v/>
      </c>
      <c r="L21" s="262">
        <f>IFERROR(($D$21-AVERAGE($D$15:$D$85))/STDEV($D$15:$D$85),"")</f>
        <v/>
      </c>
      <c r="M21" s="262">
        <f>IFERROR(($I$21-AVERAGE($I$15:$I$85))/STDEV($I$15:$I$85),"")</f>
        <v/>
      </c>
      <c r="N21" s="262">
        <f>IFERROR(-($J$21-AVERAGE($J$15:$J$85))/STDEV($J$15:$J$85),"")</f>
        <v/>
      </c>
      <c r="O21" s="262">
        <f>IFERROR(-($K$21-AVERAGE($K$15:$K$85))/STDEV($K$15:$K$85),"")</f>
        <v/>
      </c>
      <c r="P21" s="262">
        <f>IFERROR(-($G$21-AVERAGE($G$15:$G$85))/STDEV($G$15:$G$85),"")</f>
        <v/>
      </c>
      <c r="Q21" s="262">
        <f>IFERROR(($H$21-AVERAGE($H$15:$H$85))/STDEV($H$15:$H$85),"")</f>
        <v/>
      </c>
      <c r="R21" s="262">
        <f>IFERROR((IF(ISNUMBER(L21),$D$7*L21,0)+IF(ISNUMBER(M21),$D$8*M21,0)+IF(ISNUMBER(N21),$D$9*N21,0)+IF(ISNUMBER(O21),$D$10*O21,0)+IF(ISNUMBER(P21),$D$11*P21,0)+IF(ISNUMBER(Q21),$D$12*Q21,0))/(IF(ISNUMBER(L21),$D$7,0)+IF(ISNUMBER(M21),$D$8,0)+IF(ISNUMBER(N21),$D$9,0)+IF(ISNUMBER(O21),$D$10,0)+IF(ISNUMBER(P21),$D$11,0)+IF(ISNUMBER(Q21),$D$12,0)),"")</f>
        <v/>
      </c>
      <c r="S21" s="182">
        <f>IFERROR(LN($E$21),"")</f>
        <v/>
      </c>
      <c r="T21" s="182">
        <f>IFERROR($N$7+$N$8*$R$21,"")</f>
        <v/>
      </c>
      <c r="U21" s="262">
        <f>IFERROR($S$21-$T$21,"")</f>
        <v/>
      </c>
      <c r="V21" s="262">
        <f>IFERROR(($U$21-AVERAGE($U$15:$U$85))/STDEV($U$15:$U$85),"")</f>
        <v/>
      </c>
      <c r="W21" s="183">
        <f>IF(ISNUMBER($V$21),IF($V$21&gt;=1.5,"CHEAP",IF($V$21&gt;=0.5,"slightly cheap",IF($V$21&lt;=-1.5,"RICH",IF($V$21&lt;=-0.5,"slightly rich","fair")))),"")</f>
        <v/>
      </c>
      <c r="X21" s="292">
        <f>SUMPRODUCT(--ISNUMBER((D21,G21,H21,I21,J21,K21)))</f>
        <v/>
      </c>
      <c r="Y21" s="293">
        <f>IF(X21&gt;=5,"HIGH",IF(X21&gt;=3,"MED","LOW"))</f>
        <v/>
      </c>
      <c r="Z21" s="294">
        <f>IF(AND(ISNUMBER(S21),X21&gt;=$S$11),S21,"")</f>
        <v/>
      </c>
      <c r="AA21" s="295">
        <f>IF(AND(ISNUMBER(R21),X21&gt;=$S$11),R21,"")</f>
        <v/>
      </c>
    </row>
    <row r="22">
      <c r="B22" s="184">
        <f>Tickers!B14</f>
        <v/>
      </c>
      <c r="C22" s="185">
        <f>Tickers!C14</f>
        <v/>
      </c>
      <c r="D22" s="186">
        <f>Tickers!E14</f>
        <v/>
      </c>
      <c r="E22" s="263">
        <f>IFERROR(Tickers!G14,"")</f>
        <v/>
      </c>
      <c r="F22" s="263">
        <f>IFERROR(Tickers!I14,"")</f>
        <v/>
      </c>
      <c r="G22" s="264">
        <f>IFERROR(IF(ISNUMBER(Tickers!K14),Tickers!K14,IF(ISNUMBER(Haver!E14),Haver!E14,IF(ISNUMBER(Tickers!T14),Tickers!T14,""))),"")</f>
        <v/>
      </c>
      <c r="H22" s="264">
        <f>IFERROR(IF(ISNUMBER(Tickers!M14),Tickers!M14,IF(ISNUMBER(Haver!G14),Haver!G14,IF(ISNUMBER(Tickers!U14),Tickers!U14,""))),"")</f>
        <v/>
      </c>
      <c r="I22" s="264">
        <f>IFERROR(IF(ISNUMBER(Tickers!O14),Tickers!O14,IF(ISNUMBER(Haver!I14),Haver!I14,IF(ISNUMBER(Tickers!V14),Tickers!V14,""))),"")</f>
        <v/>
      </c>
      <c r="J22" s="264">
        <f>IFERROR(IF(ISNUMBER(Tickers!Q14),Tickers!Q14,IF(ISNUMBER(Haver!K14),Haver!K14,IF(ISNUMBER(Tickers!W14),Tickers!W14,""))),"")</f>
        <v/>
      </c>
      <c r="K22" s="263">
        <f>IFERROR(IF(ISNUMBER(Tickers!S14),Tickers!S14,IF(ISNUMBER(Haver!M14),Haver!M14,IF(ISNUMBER(Tickers!X14),Tickers!X14,""))),"")</f>
        <v/>
      </c>
      <c r="L22" s="265">
        <f>IFERROR(($D$22-AVERAGE($D$15:$D$85))/STDEV($D$15:$D$85),"")</f>
        <v/>
      </c>
      <c r="M22" s="265">
        <f>IFERROR(($I$22-AVERAGE($I$15:$I$85))/STDEV($I$15:$I$85),"")</f>
        <v/>
      </c>
      <c r="N22" s="265">
        <f>IFERROR(-($J$22-AVERAGE($J$15:$J$85))/STDEV($J$15:$J$85),"")</f>
        <v/>
      </c>
      <c r="O22" s="265">
        <f>IFERROR(-($K$22-AVERAGE($K$15:$K$85))/STDEV($K$15:$K$85),"")</f>
        <v/>
      </c>
      <c r="P22" s="265">
        <f>IFERROR(-($G$22-AVERAGE($G$15:$G$85))/STDEV($G$15:$G$85),"")</f>
        <v/>
      </c>
      <c r="Q22" s="265">
        <f>IFERROR(($H$22-AVERAGE($H$15:$H$85))/STDEV($H$15:$H$85),"")</f>
        <v/>
      </c>
      <c r="R22" s="265">
        <f>IFERROR((IF(ISNUMBER(L22),$D$7*L22,0)+IF(ISNUMBER(M22),$D$8*M22,0)+IF(ISNUMBER(N22),$D$9*N22,0)+IF(ISNUMBER(O22),$D$10*O22,0)+IF(ISNUMBER(P22),$D$11*P22,0)+IF(ISNUMBER(Q22),$D$12*Q22,0))/(IF(ISNUMBER(L22),$D$7,0)+IF(ISNUMBER(M22),$D$8,0)+IF(ISNUMBER(N22),$D$9,0)+IF(ISNUMBER(O22),$D$10,0)+IF(ISNUMBER(P22),$D$11,0)+IF(ISNUMBER(Q22),$D$12,0)),"")</f>
        <v/>
      </c>
      <c r="S22" s="190">
        <f>IFERROR(LN($E$22),"")</f>
        <v/>
      </c>
      <c r="T22" s="190">
        <f>IFERROR($N$7+$N$8*$R$22,"")</f>
        <v/>
      </c>
      <c r="U22" s="265">
        <f>IFERROR($S$22-$T$22,"")</f>
        <v/>
      </c>
      <c r="V22" s="265">
        <f>IFERROR(($U$22-AVERAGE($U$15:$U$85))/STDEV($U$15:$U$85),"")</f>
        <v/>
      </c>
      <c r="W22" s="191">
        <f>IF(ISNUMBER($V$22),IF($V$22&gt;=1.5,"CHEAP",IF($V$22&gt;=0.5,"slightly cheap",IF($V$22&lt;=-1.5,"RICH",IF($V$22&lt;=-0.5,"slightly rich","fair")))),"")</f>
        <v/>
      </c>
      <c r="X22" s="296">
        <f>SUMPRODUCT(--ISNUMBER((D22,G22,H22,I22,J22,K22)))</f>
        <v/>
      </c>
      <c r="Y22" s="297">
        <f>IF(X22&gt;=5,"HIGH",IF(X22&gt;=3,"MED","LOW"))</f>
        <v/>
      </c>
      <c r="Z22" s="298">
        <f>IF(AND(ISNUMBER(S22),X22&gt;=$S$11),S22,"")</f>
        <v/>
      </c>
      <c r="AA22" s="299">
        <f>IF(AND(ISNUMBER(R22),X22&gt;=$S$11),R22,"")</f>
        <v/>
      </c>
    </row>
    <row r="23">
      <c r="B23" s="176">
        <f>Tickers!B15</f>
        <v/>
      </c>
      <c r="C23" s="177">
        <f>Tickers!C15</f>
        <v/>
      </c>
      <c r="D23" s="178">
        <f>Tickers!E15</f>
        <v/>
      </c>
      <c r="E23" s="260">
        <f>IFERROR(Tickers!G15,"")</f>
        <v/>
      </c>
      <c r="F23" s="260">
        <f>IFERROR(Tickers!I15,"")</f>
        <v/>
      </c>
      <c r="G23" s="261">
        <f>IFERROR(IF(ISNUMBER(Tickers!K15),Tickers!K15,IF(ISNUMBER(Haver!E15),Haver!E15,IF(ISNUMBER(Tickers!T15),Tickers!T15,""))),"")</f>
        <v/>
      </c>
      <c r="H23" s="261">
        <f>IFERROR(IF(ISNUMBER(Tickers!M15),Tickers!M15,IF(ISNUMBER(Haver!G15),Haver!G15,IF(ISNUMBER(Tickers!U15),Tickers!U15,""))),"")</f>
        <v/>
      </c>
      <c r="I23" s="261">
        <f>IFERROR(IF(ISNUMBER(Tickers!O15),Tickers!O15,IF(ISNUMBER(Haver!I15),Haver!I15,IF(ISNUMBER(Tickers!V15),Tickers!V15,""))),"")</f>
        <v/>
      </c>
      <c r="J23" s="261">
        <f>IFERROR(IF(ISNUMBER(Tickers!Q15),Tickers!Q15,IF(ISNUMBER(Haver!K15),Haver!K15,IF(ISNUMBER(Tickers!W15),Tickers!W15,""))),"")</f>
        <v/>
      </c>
      <c r="K23" s="260">
        <f>IFERROR(IF(ISNUMBER(Tickers!S15),Tickers!S15,IF(ISNUMBER(Haver!M15),Haver!M15,IF(ISNUMBER(Tickers!X15),Tickers!X15,""))),"")</f>
        <v/>
      </c>
      <c r="L23" s="262">
        <f>IFERROR(($D$23-AVERAGE($D$15:$D$85))/STDEV($D$15:$D$85),"")</f>
        <v/>
      </c>
      <c r="M23" s="262">
        <f>IFERROR(($I$23-AVERAGE($I$15:$I$85))/STDEV($I$15:$I$85),"")</f>
        <v/>
      </c>
      <c r="N23" s="262">
        <f>IFERROR(-($J$23-AVERAGE($J$15:$J$85))/STDEV($J$15:$J$85),"")</f>
        <v/>
      </c>
      <c r="O23" s="262">
        <f>IFERROR(-($K$23-AVERAGE($K$15:$K$85))/STDEV($K$15:$K$85),"")</f>
        <v/>
      </c>
      <c r="P23" s="262">
        <f>IFERROR(-($G$23-AVERAGE($G$15:$G$85))/STDEV($G$15:$G$85),"")</f>
        <v/>
      </c>
      <c r="Q23" s="262">
        <f>IFERROR(($H$23-AVERAGE($H$15:$H$85))/STDEV($H$15:$H$85),"")</f>
        <v/>
      </c>
      <c r="R23" s="262">
        <f>IFERROR((IF(ISNUMBER(L23),$D$7*L23,0)+IF(ISNUMBER(M23),$D$8*M23,0)+IF(ISNUMBER(N23),$D$9*N23,0)+IF(ISNUMBER(O23),$D$10*O23,0)+IF(ISNUMBER(P23),$D$11*P23,0)+IF(ISNUMBER(Q23),$D$12*Q23,0))/(IF(ISNUMBER(L23),$D$7,0)+IF(ISNUMBER(M23),$D$8,0)+IF(ISNUMBER(N23),$D$9,0)+IF(ISNUMBER(O23),$D$10,0)+IF(ISNUMBER(P23),$D$11,0)+IF(ISNUMBER(Q23),$D$12,0)),"")</f>
        <v/>
      </c>
      <c r="S23" s="182">
        <f>IFERROR(LN($E$23),"")</f>
        <v/>
      </c>
      <c r="T23" s="182">
        <f>IFERROR($N$7+$N$8*$R$23,"")</f>
        <v/>
      </c>
      <c r="U23" s="262">
        <f>IFERROR($S$23-$T$23,"")</f>
        <v/>
      </c>
      <c r="V23" s="262">
        <f>IFERROR(($U$23-AVERAGE($U$15:$U$85))/STDEV($U$15:$U$85),"")</f>
        <v/>
      </c>
      <c r="W23" s="183">
        <f>IF(ISNUMBER($V$23),IF($V$23&gt;=1.5,"CHEAP",IF($V$23&gt;=0.5,"slightly cheap",IF($V$23&lt;=-1.5,"RICH",IF($V$23&lt;=-0.5,"slightly rich","fair")))),"")</f>
        <v/>
      </c>
      <c r="X23" s="292">
        <f>SUMPRODUCT(--ISNUMBER((D23,G23,H23,I23,J23,K23)))</f>
        <v/>
      </c>
      <c r="Y23" s="293">
        <f>IF(X23&gt;=5,"HIGH",IF(X23&gt;=3,"MED","LOW"))</f>
        <v/>
      </c>
      <c r="Z23" s="294">
        <f>IF(AND(ISNUMBER(S23),X23&gt;=$S$11),S23,"")</f>
        <v/>
      </c>
      <c r="AA23" s="295">
        <f>IF(AND(ISNUMBER(R23),X23&gt;=$S$11),R23,"")</f>
        <v/>
      </c>
    </row>
    <row r="24">
      <c r="B24" s="184">
        <f>Tickers!B16</f>
        <v/>
      </c>
      <c r="C24" s="185">
        <f>Tickers!C16</f>
        <v/>
      </c>
      <c r="D24" s="186">
        <f>Tickers!E16</f>
        <v/>
      </c>
      <c r="E24" s="263">
        <f>IFERROR(Tickers!G16,"")</f>
        <v/>
      </c>
      <c r="F24" s="263">
        <f>IFERROR(Tickers!I16,"")</f>
        <v/>
      </c>
      <c r="G24" s="264">
        <f>IFERROR(IF(ISNUMBER(Tickers!K16),Tickers!K16,IF(ISNUMBER(Haver!E16),Haver!E16,IF(ISNUMBER(Tickers!T16),Tickers!T16,""))),"")</f>
        <v/>
      </c>
      <c r="H24" s="264">
        <f>IFERROR(IF(ISNUMBER(Tickers!M16),Tickers!M16,IF(ISNUMBER(Haver!G16),Haver!G16,IF(ISNUMBER(Tickers!U16),Tickers!U16,""))),"")</f>
        <v/>
      </c>
      <c r="I24" s="264">
        <f>IFERROR(IF(ISNUMBER(Tickers!O16),Tickers!O16,IF(ISNUMBER(Haver!I16),Haver!I16,IF(ISNUMBER(Tickers!V16),Tickers!V16,""))),"")</f>
        <v/>
      </c>
      <c r="J24" s="264">
        <f>IFERROR(IF(ISNUMBER(Tickers!Q16),Tickers!Q16,IF(ISNUMBER(Haver!K16),Haver!K16,IF(ISNUMBER(Tickers!W16),Tickers!W16,""))),"")</f>
        <v/>
      </c>
      <c r="K24" s="263">
        <f>IFERROR(IF(ISNUMBER(Tickers!S16),Tickers!S16,IF(ISNUMBER(Haver!M16),Haver!M16,IF(ISNUMBER(Tickers!X16),Tickers!X16,""))),"")</f>
        <v/>
      </c>
      <c r="L24" s="265">
        <f>IFERROR(($D$24-AVERAGE($D$15:$D$85))/STDEV($D$15:$D$85),"")</f>
        <v/>
      </c>
      <c r="M24" s="265">
        <f>IFERROR(($I$24-AVERAGE($I$15:$I$85))/STDEV($I$15:$I$85),"")</f>
        <v/>
      </c>
      <c r="N24" s="265">
        <f>IFERROR(-($J$24-AVERAGE($J$15:$J$85))/STDEV($J$15:$J$85),"")</f>
        <v/>
      </c>
      <c r="O24" s="265">
        <f>IFERROR(-($K$24-AVERAGE($K$15:$K$85))/STDEV($K$15:$K$85),"")</f>
        <v/>
      </c>
      <c r="P24" s="265">
        <f>IFERROR(-($G$24-AVERAGE($G$15:$G$85))/STDEV($G$15:$G$85),"")</f>
        <v/>
      </c>
      <c r="Q24" s="265">
        <f>IFERROR(($H$24-AVERAGE($H$15:$H$85))/STDEV($H$15:$H$85),"")</f>
        <v/>
      </c>
      <c r="R24" s="265">
        <f>IFERROR((IF(ISNUMBER(L24),$D$7*L24,0)+IF(ISNUMBER(M24),$D$8*M24,0)+IF(ISNUMBER(N24),$D$9*N24,0)+IF(ISNUMBER(O24),$D$10*O24,0)+IF(ISNUMBER(P24),$D$11*P24,0)+IF(ISNUMBER(Q24),$D$12*Q24,0))/(IF(ISNUMBER(L24),$D$7,0)+IF(ISNUMBER(M24),$D$8,0)+IF(ISNUMBER(N24),$D$9,0)+IF(ISNUMBER(O24),$D$10,0)+IF(ISNUMBER(P24),$D$11,0)+IF(ISNUMBER(Q24),$D$12,0)),"")</f>
        <v/>
      </c>
      <c r="S24" s="190">
        <f>IFERROR(LN($E$24),"")</f>
        <v/>
      </c>
      <c r="T24" s="190">
        <f>IFERROR($N$7+$N$8*$R$24,"")</f>
        <v/>
      </c>
      <c r="U24" s="265">
        <f>IFERROR($S$24-$T$24,"")</f>
        <v/>
      </c>
      <c r="V24" s="265">
        <f>IFERROR(($U$24-AVERAGE($U$15:$U$85))/STDEV($U$15:$U$85),"")</f>
        <v/>
      </c>
      <c r="W24" s="191">
        <f>IF(ISNUMBER($V$24),IF($V$24&gt;=1.5,"CHEAP",IF($V$24&gt;=0.5,"slightly cheap",IF($V$24&lt;=-1.5,"RICH",IF($V$24&lt;=-0.5,"slightly rich","fair")))),"")</f>
        <v/>
      </c>
      <c r="X24" s="296">
        <f>SUMPRODUCT(--ISNUMBER((D24,G24,H24,I24,J24,K24)))</f>
        <v/>
      </c>
      <c r="Y24" s="297">
        <f>IF(X24&gt;=5,"HIGH",IF(X24&gt;=3,"MED","LOW"))</f>
        <v/>
      </c>
      <c r="Z24" s="298">
        <f>IF(AND(ISNUMBER(S24),X24&gt;=$S$11),S24,"")</f>
        <v/>
      </c>
      <c r="AA24" s="299">
        <f>IF(AND(ISNUMBER(R24),X24&gt;=$S$11),R24,"")</f>
        <v/>
      </c>
    </row>
    <row r="25">
      <c r="B25" s="176">
        <f>Tickers!B17</f>
        <v/>
      </c>
      <c r="C25" s="177">
        <f>Tickers!C17</f>
        <v/>
      </c>
      <c r="D25" s="178">
        <f>Tickers!E17</f>
        <v/>
      </c>
      <c r="E25" s="260">
        <f>IFERROR(Tickers!G17,"")</f>
        <v/>
      </c>
      <c r="F25" s="260">
        <f>IFERROR(Tickers!I17,"")</f>
        <v/>
      </c>
      <c r="G25" s="261">
        <f>IFERROR(IF(ISNUMBER(Tickers!K17),Tickers!K17,IF(ISNUMBER(Haver!E17),Haver!E17,IF(ISNUMBER(Tickers!T17),Tickers!T17,""))),"")</f>
        <v/>
      </c>
      <c r="H25" s="261">
        <f>IFERROR(IF(ISNUMBER(Tickers!M17),Tickers!M17,IF(ISNUMBER(Haver!G17),Haver!G17,IF(ISNUMBER(Tickers!U17),Tickers!U17,""))),"")</f>
        <v/>
      </c>
      <c r="I25" s="261">
        <f>IFERROR(IF(ISNUMBER(Tickers!O17),Tickers!O17,IF(ISNUMBER(Haver!I17),Haver!I17,IF(ISNUMBER(Tickers!V17),Tickers!V17,""))),"")</f>
        <v/>
      </c>
      <c r="J25" s="261">
        <f>IFERROR(IF(ISNUMBER(Tickers!Q17),Tickers!Q17,IF(ISNUMBER(Haver!K17),Haver!K17,IF(ISNUMBER(Tickers!W17),Tickers!W17,""))),"")</f>
        <v/>
      </c>
      <c r="K25" s="260">
        <f>IFERROR(IF(ISNUMBER(Tickers!S17),Tickers!S17,IF(ISNUMBER(Haver!M17),Haver!M17,IF(ISNUMBER(Tickers!X17),Tickers!X17,""))),"")</f>
        <v/>
      </c>
      <c r="L25" s="262">
        <f>IFERROR(($D$25-AVERAGE($D$15:$D$85))/STDEV($D$15:$D$85),"")</f>
        <v/>
      </c>
      <c r="M25" s="262">
        <f>IFERROR(($I$25-AVERAGE($I$15:$I$85))/STDEV($I$15:$I$85),"")</f>
        <v/>
      </c>
      <c r="N25" s="262">
        <f>IFERROR(-($J$25-AVERAGE($J$15:$J$85))/STDEV($J$15:$J$85),"")</f>
        <v/>
      </c>
      <c r="O25" s="262">
        <f>IFERROR(-($K$25-AVERAGE($K$15:$K$85))/STDEV($K$15:$K$85),"")</f>
        <v/>
      </c>
      <c r="P25" s="262">
        <f>IFERROR(-($G$25-AVERAGE($G$15:$G$85))/STDEV($G$15:$G$85),"")</f>
        <v/>
      </c>
      <c r="Q25" s="262">
        <f>IFERROR(($H$25-AVERAGE($H$15:$H$85))/STDEV($H$15:$H$85),"")</f>
        <v/>
      </c>
      <c r="R25" s="262">
        <f>IFERROR((IF(ISNUMBER(L25),$D$7*L25,0)+IF(ISNUMBER(M25),$D$8*M25,0)+IF(ISNUMBER(N25),$D$9*N25,0)+IF(ISNUMBER(O25),$D$10*O25,0)+IF(ISNUMBER(P25),$D$11*P25,0)+IF(ISNUMBER(Q25),$D$12*Q25,0))/(IF(ISNUMBER(L25),$D$7,0)+IF(ISNUMBER(M25),$D$8,0)+IF(ISNUMBER(N25),$D$9,0)+IF(ISNUMBER(O25),$D$10,0)+IF(ISNUMBER(P25),$D$11,0)+IF(ISNUMBER(Q25),$D$12,0)),"")</f>
        <v/>
      </c>
      <c r="S25" s="182">
        <f>IFERROR(LN($E$25),"")</f>
        <v/>
      </c>
      <c r="T25" s="182">
        <f>IFERROR($N$7+$N$8*$R$25,"")</f>
        <v/>
      </c>
      <c r="U25" s="262">
        <f>IFERROR($S$25-$T$25,"")</f>
        <v/>
      </c>
      <c r="V25" s="262">
        <f>IFERROR(($U$25-AVERAGE($U$15:$U$85))/STDEV($U$15:$U$85),"")</f>
        <v/>
      </c>
      <c r="W25" s="183">
        <f>IF(ISNUMBER($V$25),IF($V$25&gt;=1.5,"CHEAP",IF($V$25&gt;=0.5,"slightly cheap",IF($V$25&lt;=-1.5,"RICH",IF($V$25&lt;=-0.5,"slightly rich","fair")))),"")</f>
        <v/>
      </c>
      <c r="X25" s="292">
        <f>SUMPRODUCT(--ISNUMBER((D25,G25,H25,I25,J25,K25)))</f>
        <v/>
      </c>
      <c r="Y25" s="293">
        <f>IF(X25&gt;=5,"HIGH",IF(X25&gt;=3,"MED","LOW"))</f>
        <v/>
      </c>
      <c r="Z25" s="294">
        <f>IF(AND(ISNUMBER(S25),X25&gt;=$S$11),S25,"")</f>
        <v/>
      </c>
      <c r="AA25" s="295">
        <f>IF(AND(ISNUMBER(R25),X25&gt;=$S$11),R25,"")</f>
        <v/>
      </c>
    </row>
    <row r="26">
      <c r="B26" s="184">
        <f>Tickers!B18</f>
        <v/>
      </c>
      <c r="C26" s="185">
        <f>Tickers!C18</f>
        <v/>
      </c>
      <c r="D26" s="186">
        <f>Tickers!E18</f>
        <v/>
      </c>
      <c r="E26" s="263">
        <f>IFERROR(Tickers!G18,"")</f>
        <v/>
      </c>
      <c r="F26" s="263">
        <f>IFERROR(Tickers!I18,"")</f>
        <v/>
      </c>
      <c r="G26" s="264">
        <f>IFERROR(IF(ISNUMBER(Tickers!K18),Tickers!K18,IF(ISNUMBER(Haver!E18),Haver!E18,IF(ISNUMBER(Tickers!T18),Tickers!T18,""))),"")</f>
        <v/>
      </c>
      <c r="H26" s="264">
        <f>IFERROR(IF(ISNUMBER(Tickers!M18),Tickers!M18,IF(ISNUMBER(Haver!G18),Haver!G18,IF(ISNUMBER(Tickers!U18),Tickers!U18,""))),"")</f>
        <v/>
      </c>
      <c r="I26" s="264">
        <f>IFERROR(IF(ISNUMBER(Tickers!O18),Tickers!O18,IF(ISNUMBER(Haver!I18),Haver!I18,IF(ISNUMBER(Tickers!V18),Tickers!V18,""))),"")</f>
        <v/>
      </c>
      <c r="J26" s="264">
        <f>IFERROR(IF(ISNUMBER(Tickers!Q18),Tickers!Q18,IF(ISNUMBER(Haver!K18),Haver!K18,IF(ISNUMBER(Tickers!W18),Tickers!W18,""))),"")</f>
        <v/>
      </c>
      <c r="K26" s="263">
        <f>IFERROR(IF(ISNUMBER(Tickers!S18),Tickers!S18,IF(ISNUMBER(Haver!M18),Haver!M18,IF(ISNUMBER(Tickers!X18),Tickers!X18,""))),"")</f>
        <v/>
      </c>
      <c r="L26" s="265">
        <f>IFERROR(($D$26-AVERAGE($D$15:$D$85))/STDEV($D$15:$D$85),"")</f>
        <v/>
      </c>
      <c r="M26" s="265">
        <f>IFERROR(($I$26-AVERAGE($I$15:$I$85))/STDEV($I$15:$I$85),"")</f>
        <v/>
      </c>
      <c r="N26" s="265">
        <f>IFERROR(-($J$26-AVERAGE($J$15:$J$85))/STDEV($J$15:$J$85),"")</f>
        <v/>
      </c>
      <c r="O26" s="265">
        <f>IFERROR(-($K$26-AVERAGE($K$15:$K$85))/STDEV($K$15:$K$85),"")</f>
        <v/>
      </c>
      <c r="P26" s="265">
        <f>IFERROR(-($G$26-AVERAGE($G$15:$G$85))/STDEV($G$15:$G$85),"")</f>
        <v/>
      </c>
      <c r="Q26" s="265">
        <f>IFERROR(($H$26-AVERAGE($H$15:$H$85))/STDEV($H$15:$H$85),"")</f>
        <v/>
      </c>
      <c r="R26" s="265">
        <f>IFERROR((IF(ISNUMBER(L26),$D$7*L26,0)+IF(ISNUMBER(M26),$D$8*M26,0)+IF(ISNUMBER(N26),$D$9*N26,0)+IF(ISNUMBER(O26),$D$10*O26,0)+IF(ISNUMBER(P26),$D$11*P26,0)+IF(ISNUMBER(Q26),$D$12*Q26,0))/(IF(ISNUMBER(L26),$D$7,0)+IF(ISNUMBER(M26),$D$8,0)+IF(ISNUMBER(N26),$D$9,0)+IF(ISNUMBER(O26),$D$10,0)+IF(ISNUMBER(P26),$D$11,0)+IF(ISNUMBER(Q26),$D$12,0)),"")</f>
        <v/>
      </c>
      <c r="S26" s="190">
        <f>IFERROR(LN($E$26),"")</f>
        <v/>
      </c>
      <c r="T26" s="190">
        <f>IFERROR($N$7+$N$8*$R$26,"")</f>
        <v/>
      </c>
      <c r="U26" s="265">
        <f>IFERROR($S$26-$T$26,"")</f>
        <v/>
      </c>
      <c r="V26" s="265">
        <f>IFERROR(($U$26-AVERAGE($U$15:$U$85))/STDEV($U$15:$U$85),"")</f>
        <v/>
      </c>
      <c r="W26" s="191">
        <f>IF(ISNUMBER($V$26),IF($V$26&gt;=1.5,"CHEAP",IF($V$26&gt;=0.5,"slightly cheap",IF($V$26&lt;=-1.5,"RICH",IF($V$26&lt;=-0.5,"slightly rich","fair")))),"")</f>
        <v/>
      </c>
      <c r="X26" s="296">
        <f>SUMPRODUCT(--ISNUMBER((D26,G26,H26,I26,J26,K26)))</f>
        <v/>
      </c>
      <c r="Y26" s="297">
        <f>IF(X26&gt;=5,"HIGH",IF(X26&gt;=3,"MED","LOW"))</f>
        <v/>
      </c>
      <c r="Z26" s="298">
        <f>IF(AND(ISNUMBER(S26),X26&gt;=$S$11),S26,"")</f>
        <v/>
      </c>
      <c r="AA26" s="299">
        <f>IF(AND(ISNUMBER(R26),X26&gt;=$S$11),R26,"")</f>
        <v/>
      </c>
    </row>
    <row r="27">
      <c r="B27" s="176">
        <f>Tickers!B19</f>
        <v/>
      </c>
      <c r="C27" s="177">
        <f>Tickers!C19</f>
        <v/>
      </c>
      <c r="D27" s="178">
        <f>Tickers!E19</f>
        <v/>
      </c>
      <c r="E27" s="260">
        <f>IFERROR(Tickers!G19,"")</f>
        <v/>
      </c>
      <c r="F27" s="260">
        <f>IFERROR(Tickers!I19,"")</f>
        <v/>
      </c>
      <c r="G27" s="261">
        <f>IFERROR(IF(ISNUMBER(Tickers!K19),Tickers!K19,IF(ISNUMBER(Haver!E19),Haver!E19,IF(ISNUMBER(Tickers!T19),Tickers!T19,""))),"")</f>
        <v/>
      </c>
      <c r="H27" s="261">
        <f>IFERROR(IF(ISNUMBER(Tickers!M19),Tickers!M19,IF(ISNUMBER(Haver!G19),Haver!G19,IF(ISNUMBER(Tickers!U19),Tickers!U19,""))),"")</f>
        <v/>
      </c>
      <c r="I27" s="261">
        <f>IFERROR(IF(ISNUMBER(Tickers!O19),Tickers!O19,IF(ISNUMBER(Haver!I19),Haver!I19,IF(ISNUMBER(Tickers!V19),Tickers!V19,""))),"")</f>
        <v/>
      </c>
      <c r="J27" s="261">
        <f>IFERROR(IF(ISNUMBER(Tickers!Q19),Tickers!Q19,IF(ISNUMBER(Haver!K19),Haver!K19,IF(ISNUMBER(Tickers!W19),Tickers!W19,""))),"")</f>
        <v/>
      </c>
      <c r="K27" s="260">
        <f>IFERROR(IF(ISNUMBER(Tickers!S19),Tickers!S19,IF(ISNUMBER(Haver!M19),Haver!M19,IF(ISNUMBER(Tickers!X19),Tickers!X19,""))),"")</f>
        <v/>
      </c>
      <c r="L27" s="262">
        <f>IFERROR(($D$27-AVERAGE($D$15:$D$85))/STDEV($D$15:$D$85),"")</f>
        <v/>
      </c>
      <c r="M27" s="262">
        <f>IFERROR(($I$27-AVERAGE($I$15:$I$85))/STDEV($I$15:$I$85),"")</f>
        <v/>
      </c>
      <c r="N27" s="262">
        <f>IFERROR(-($J$27-AVERAGE($J$15:$J$85))/STDEV($J$15:$J$85),"")</f>
        <v/>
      </c>
      <c r="O27" s="262">
        <f>IFERROR(-($K$27-AVERAGE($K$15:$K$85))/STDEV($K$15:$K$85),"")</f>
        <v/>
      </c>
      <c r="P27" s="262">
        <f>IFERROR(-($G$27-AVERAGE($G$15:$G$85))/STDEV($G$15:$G$85),"")</f>
        <v/>
      </c>
      <c r="Q27" s="262">
        <f>IFERROR(($H$27-AVERAGE($H$15:$H$85))/STDEV($H$15:$H$85),"")</f>
        <v/>
      </c>
      <c r="R27" s="262">
        <f>IFERROR((IF(ISNUMBER(L27),$D$7*L27,0)+IF(ISNUMBER(M27),$D$8*M27,0)+IF(ISNUMBER(N27),$D$9*N27,0)+IF(ISNUMBER(O27),$D$10*O27,0)+IF(ISNUMBER(P27),$D$11*P27,0)+IF(ISNUMBER(Q27),$D$12*Q27,0))/(IF(ISNUMBER(L27),$D$7,0)+IF(ISNUMBER(M27),$D$8,0)+IF(ISNUMBER(N27),$D$9,0)+IF(ISNUMBER(O27),$D$10,0)+IF(ISNUMBER(P27),$D$11,0)+IF(ISNUMBER(Q27),$D$12,0)),"")</f>
        <v/>
      </c>
      <c r="S27" s="182">
        <f>IFERROR(LN($E$27),"")</f>
        <v/>
      </c>
      <c r="T27" s="182">
        <f>IFERROR($N$7+$N$8*$R$27,"")</f>
        <v/>
      </c>
      <c r="U27" s="262">
        <f>IFERROR($S$27-$T$27,"")</f>
        <v/>
      </c>
      <c r="V27" s="262">
        <f>IFERROR(($U$27-AVERAGE($U$15:$U$85))/STDEV($U$15:$U$85),"")</f>
        <v/>
      </c>
      <c r="W27" s="183">
        <f>IF(ISNUMBER($V$27),IF($V$27&gt;=1.5,"CHEAP",IF($V$27&gt;=0.5,"slightly cheap",IF($V$27&lt;=-1.5,"RICH",IF($V$27&lt;=-0.5,"slightly rich","fair")))),"")</f>
        <v/>
      </c>
      <c r="X27" s="292">
        <f>SUMPRODUCT(--ISNUMBER((D27,G27,H27,I27,J27,K27)))</f>
        <v/>
      </c>
      <c r="Y27" s="293">
        <f>IF(X27&gt;=5,"HIGH",IF(X27&gt;=3,"MED","LOW"))</f>
        <v/>
      </c>
      <c r="Z27" s="294">
        <f>IF(AND(ISNUMBER(S27),X27&gt;=$S$11),S27,"")</f>
        <v/>
      </c>
      <c r="AA27" s="295">
        <f>IF(AND(ISNUMBER(R27),X27&gt;=$S$11),R27,"")</f>
        <v/>
      </c>
    </row>
    <row r="28">
      <c r="B28" s="184">
        <f>Tickers!B20</f>
        <v/>
      </c>
      <c r="C28" s="185">
        <f>Tickers!C20</f>
        <v/>
      </c>
      <c r="D28" s="186">
        <f>Tickers!E20</f>
        <v/>
      </c>
      <c r="E28" s="263">
        <f>IFERROR(Tickers!G20,"")</f>
        <v/>
      </c>
      <c r="F28" s="263">
        <f>IFERROR(Tickers!I20,"")</f>
        <v/>
      </c>
      <c r="G28" s="264">
        <f>IFERROR(IF(ISNUMBER(Tickers!K20),Tickers!K20,IF(ISNUMBER(Haver!E20),Haver!E20,IF(ISNUMBER(Tickers!T20),Tickers!T20,""))),"")</f>
        <v/>
      </c>
      <c r="H28" s="264">
        <f>IFERROR(IF(ISNUMBER(Tickers!M20),Tickers!M20,IF(ISNUMBER(Haver!G20),Haver!G20,IF(ISNUMBER(Tickers!U20),Tickers!U20,""))),"")</f>
        <v/>
      </c>
      <c r="I28" s="264">
        <f>IFERROR(IF(ISNUMBER(Tickers!O20),Tickers!O20,IF(ISNUMBER(Haver!I20),Haver!I20,IF(ISNUMBER(Tickers!V20),Tickers!V20,""))),"")</f>
        <v/>
      </c>
      <c r="J28" s="264">
        <f>IFERROR(IF(ISNUMBER(Tickers!Q20),Tickers!Q20,IF(ISNUMBER(Haver!K20),Haver!K20,IF(ISNUMBER(Tickers!W20),Tickers!W20,""))),"")</f>
        <v/>
      </c>
      <c r="K28" s="263">
        <f>IFERROR(IF(ISNUMBER(Tickers!S20),Tickers!S20,IF(ISNUMBER(Haver!M20),Haver!M20,IF(ISNUMBER(Tickers!X20),Tickers!X20,""))),"")</f>
        <v/>
      </c>
      <c r="L28" s="265">
        <f>IFERROR(($D$28-AVERAGE($D$15:$D$85))/STDEV($D$15:$D$85),"")</f>
        <v/>
      </c>
      <c r="M28" s="265">
        <f>IFERROR(($I$28-AVERAGE($I$15:$I$85))/STDEV($I$15:$I$85),"")</f>
        <v/>
      </c>
      <c r="N28" s="265">
        <f>IFERROR(-($J$28-AVERAGE($J$15:$J$85))/STDEV($J$15:$J$85),"")</f>
        <v/>
      </c>
      <c r="O28" s="265">
        <f>IFERROR(-($K$28-AVERAGE($K$15:$K$85))/STDEV($K$15:$K$85),"")</f>
        <v/>
      </c>
      <c r="P28" s="265">
        <f>IFERROR(-($G$28-AVERAGE($G$15:$G$85))/STDEV($G$15:$G$85),"")</f>
        <v/>
      </c>
      <c r="Q28" s="265">
        <f>IFERROR(($H$28-AVERAGE($H$15:$H$85))/STDEV($H$15:$H$85),"")</f>
        <v/>
      </c>
      <c r="R28" s="265">
        <f>IFERROR((IF(ISNUMBER(L28),$D$7*L28,0)+IF(ISNUMBER(M28),$D$8*M28,0)+IF(ISNUMBER(N28),$D$9*N28,0)+IF(ISNUMBER(O28),$D$10*O28,0)+IF(ISNUMBER(P28),$D$11*P28,0)+IF(ISNUMBER(Q28),$D$12*Q28,0))/(IF(ISNUMBER(L28),$D$7,0)+IF(ISNUMBER(M28),$D$8,0)+IF(ISNUMBER(N28),$D$9,0)+IF(ISNUMBER(O28),$D$10,0)+IF(ISNUMBER(P28),$D$11,0)+IF(ISNUMBER(Q28),$D$12,0)),"")</f>
        <v/>
      </c>
      <c r="S28" s="190">
        <f>IFERROR(LN($E$28),"")</f>
        <v/>
      </c>
      <c r="T28" s="190">
        <f>IFERROR($N$7+$N$8*$R$28,"")</f>
        <v/>
      </c>
      <c r="U28" s="265">
        <f>IFERROR($S$28-$T$28,"")</f>
        <v/>
      </c>
      <c r="V28" s="265">
        <f>IFERROR(($U$28-AVERAGE($U$15:$U$85))/STDEV($U$15:$U$85),"")</f>
        <v/>
      </c>
      <c r="W28" s="191">
        <f>IF(ISNUMBER($V$28),IF($V$28&gt;=1.5,"CHEAP",IF($V$28&gt;=0.5,"slightly cheap",IF($V$28&lt;=-1.5,"RICH",IF($V$28&lt;=-0.5,"slightly rich","fair")))),"")</f>
        <v/>
      </c>
      <c r="X28" s="296">
        <f>SUMPRODUCT(--ISNUMBER((D28,G28,H28,I28,J28,K28)))</f>
        <v/>
      </c>
      <c r="Y28" s="297">
        <f>IF(X28&gt;=5,"HIGH",IF(X28&gt;=3,"MED","LOW"))</f>
        <v/>
      </c>
      <c r="Z28" s="298">
        <f>IF(AND(ISNUMBER(S28),X28&gt;=$S$11),S28,"")</f>
        <v/>
      </c>
      <c r="AA28" s="299">
        <f>IF(AND(ISNUMBER(R28),X28&gt;=$S$11),R28,"")</f>
        <v/>
      </c>
    </row>
    <row r="29">
      <c r="B29" s="176">
        <f>Tickers!B21</f>
        <v/>
      </c>
      <c r="C29" s="177">
        <f>Tickers!C21</f>
        <v/>
      </c>
      <c r="D29" s="178">
        <f>Tickers!E21</f>
        <v/>
      </c>
      <c r="E29" s="260">
        <f>IFERROR(Tickers!G21,"")</f>
        <v/>
      </c>
      <c r="F29" s="260">
        <f>IFERROR(Tickers!I21,"")</f>
        <v/>
      </c>
      <c r="G29" s="261">
        <f>IFERROR(IF(ISNUMBER(Tickers!K21),Tickers!K21,IF(ISNUMBER(Haver!E21),Haver!E21,IF(ISNUMBER(Tickers!T21),Tickers!T21,""))),"")</f>
        <v/>
      </c>
      <c r="H29" s="261">
        <f>IFERROR(IF(ISNUMBER(Tickers!M21),Tickers!M21,IF(ISNUMBER(Haver!G21),Haver!G21,IF(ISNUMBER(Tickers!U21),Tickers!U21,""))),"")</f>
        <v/>
      </c>
      <c r="I29" s="261">
        <f>IFERROR(IF(ISNUMBER(Tickers!O21),Tickers!O21,IF(ISNUMBER(Haver!I21),Haver!I21,IF(ISNUMBER(Tickers!V21),Tickers!V21,""))),"")</f>
        <v/>
      </c>
      <c r="J29" s="261">
        <f>IFERROR(IF(ISNUMBER(Tickers!Q21),Tickers!Q21,IF(ISNUMBER(Haver!K21),Haver!K21,IF(ISNUMBER(Tickers!W21),Tickers!W21,""))),"")</f>
        <v/>
      </c>
      <c r="K29" s="260">
        <f>IFERROR(IF(ISNUMBER(Tickers!S21),Tickers!S21,IF(ISNUMBER(Haver!M21),Haver!M21,IF(ISNUMBER(Tickers!X21),Tickers!X21,""))),"")</f>
        <v/>
      </c>
      <c r="L29" s="262">
        <f>IFERROR(($D$29-AVERAGE($D$15:$D$85))/STDEV($D$15:$D$85),"")</f>
        <v/>
      </c>
      <c r="M29" s="262">
        <f>IFERROR(($I$29-AVERAGE($I$15:$I$85))/STDEV($I$15:$I$85),"")</f>
        <v/>
      </c>
      <c r="N29" s="262">
        <f>IFERROR(-($J$29-AVERAGE($J$15:$J$85))/STDEV($J$15:$J$85),"")</f>
        <v/>
      </c>
      <c r="O29" s="262">
        <f>IFERROR(-($K$29-AVERAGE($K$15:$K$85))/STDEV($K$15:$K$85),"")</f>
        <v/>
      </c>
      <c r="P29" s="262">
        <f>IFERROR(-($G$29-AVERAGE($G$15:$G$85))/STDEV($G$15:$G$85),"")</f>
        <v/>
      </c>
      <c r="Q29" s="262">
        <f>IFERROR(($H$29-AVERAGE($H$15:$H$85))/STDEV($H$15:$H$85),"")</f>
        <v/>
      </c>
      <c r="R29" s="262">
        <f>IFERROR((IF(ISNUMBER(L29),$D$7*L29,0)+IF(ISNUMBER(M29),$D$8*M29,0)+IF(ISNUMBER(N29),$D$9*N29,0)+IF(ISNUMBER(O29),$D$10*O29,0)+IF(ISNUMBER(P29),$D$11*P29,0)+IF(ISNUMBER(Q29),$D$12*Q29,0))/(IF(ISNUMBER(L29),$D$7,0)+IF(ISNUMBER(M29),$D$8,0)+IF(ISNUMBER(N29),$D$9,0)+IF(ISNUMBER(O29),$D$10,0)+IF(ISNUMBER(P29),$D$11,0)+IF(ISNUMBER(Q29),$D$12,0)),"")</f>
        <v/>
      </c>
      <c r="S29" s="182">
        <f>IFERROR(LN($E$29),"")</f>
        <v/>
      </c>
      <c r="T29" s="182">
        <f>IFERROR($N$7+$N$8*$R$29,"")</f>
        <v/>
      </c>
      <c r="U29" s="262">
        <f>IFERROR($S$29-$T$29,"")</f>
        <v/>
      </c>
      <c r="V29" s="262">
        <f>IFERROR(($U$29-AVERAGE($U$15:$U$85))/STDEV($U$15:$U$85),"")</f>
        <v/>
      </c>
      <c r="W29" s="183">
        <f>IF(ISNUMBER($V$29),IF($V$29&gt;=1.5,"CHEAP",IF($V$29&gt;=0.5,"slightly cheap",IF($V$29&lt;=-1.5,"RICH",IF($V$29&lt;=-0.5,"slightly rich","fair")))),"")</f>
        <v/>
      </c>
      <c r="X29" s="292">
        <f>SUMPRODUCT(--ISNUMBER((D29,G29,H29,I29,J29,K29)))</f>
        <v/>
      </c>
      <c r="Y29" s="293">
        <f>IF(X29&gt;=5,"HIGH",IF(X29&gt;=3,"MED","LOW"))</f>
        <v/>
      </c>
      <c r="Z29" s="294">
        <f>IF(AND(ISNUMBER(S29),X29&gt;=$S$11),S29,"")</f>
        <v/>
      </c>
      <c r="AA29" s="295">
        <f>IF(AND(ISNUMBER(R29),X29&gt;=$S$11),R29,"")</f>
        <v/>
      </c>
    </row>
    <row r="30">
      <c r="B30" s="184">
        <f>Tickers!B22</f>
        <v/>
      </c>
      <c r="C30" s="185">
        <f>Tickers!C22</f>
        <v/>
      </c>
      <c r="D30" s="186">
        <f>Tickers!E22</f>
        <v/>
      </c>
      <c r="E30" s="263">
        <f>IFERROR(Tickers!G22,"")</f>
        <v/>
      </c>
      <c r="F30" s="263">
        <f>IFERROR(Tickers!I22,"")</f>
        <v/>
      </c>
      <c r="G30" s="264">
        <f>IFERROR(IF(ISNUMBER(Tickers!K22),Tickers!K22,IF(ISNUMBER(Haver!E22),Haver!E22,IF(ISNUMBER(Tickers!T22),Tickers!T22,""))),"")</f>
        <v/>
      </c>
      <c r="H30" s="264">
        <f>IFERROR(IF(ISNUMBER(Tickers!M22),Tickers!M22,IF(ISNUMBER(Haver!G22),Haver!G22,IF(ISNUMBER(Tickers!U22),Tickers!U22,""))),"")</f>
        <v/>
      </c>
      <c r="I30" s="264">
        <f>IFERROR(IF(ISNUMBER(Tickers!O22),Tickers!O22,IF(ISNUMBER(Haver!I22),Haver!I22,IF(ISNUMBER(Tickers!V22),Tickers!V22,""))),"")</f>
        <v/>
      </c>
      <c r="J30" s="264">
        <f>IFERROR(IF(ISNUMBER(Tickers!Q22),Tickers!Q22,IF(ISNUMBER(Haver!K22),Haver!K22,IF(ISNUMBER(Tickers!W22),Tickers!W22,""))),"")</f>
        <v/>
      </c>
      <c r="K30" s="263">
        <f>IFERROR(IF(ISNUMBER(Tickers!S22),Tickers!S22,IF(ISNUMBER(Haver!M22),Haver!M22,IF(ISNUMBER(Tickers!X22),Tickers!X22,""))),"")</f>
        <v/>
      </c>
      <c r="L30" s="265">
        <f>IFERROR(($D$30-AVERAGE($D$15:$D$85))/STDEV($D$15:$D$85),"")</f>
        <v/>
      </c>
      <c r="M30" s="265">
        <f>IFERROR(($I$30-AVERAGE($I$15:$I$85))/STDEV($I$15:$I$85),"")</f>
        <v/>
      </c>
      <c r="N30" s="265">
        <f>IFERROR(-($J$30-AVERAGE($J$15:$J$85))/STDEV($J$15:$J$85),"")</f>
        <v/>
      </c>
      <c r="O30" s="265">
        <f>IFERROR(-($K$30-AVERAGE($K$15:$K$85))/STDEV($K$15:$K$85),"")</f>
        <v/>
      </c>
      <c r="P30" s="265">
        <f>IFERROR(-($G$30-AVERAGE($G$15:$G$85))/STDEV($G$15:$G$85),"")</f>
        <v/>
      </c>
      <c r="Q30" s="265">
        <f>IFERROR(($H$30-AVERAGE($H$15:$H$85))/STDEV($H$15:$H$85),"")</f>
        <v/>
      </c>
      <c r="R30" s="265">
        <f>IFERROR((IF(ISNUMBER(L30),$D$7*L30,0)+IF(ISNUMBER(M30),$D$8*M30,0)+IF(ISNUMBER(N30),$D$9*N30,0)+IF(ISNUMBER(O30),$D$10*O30,0)+IF(ISNUMBER(P30),$D$11*P30,0)+IF(ISNUMBER(Q30),$D$12*Q30,0))/(IF(ISNUMBER(L30),$D$7,0)+IF(ISNUMBER(M30),$D$8,0)+IF(ISNUMBER(N30),$D$9,0)+IF(ISNUMBER(O30),$D$10,0)+IF(ISNUMBER(P30),$D$11,0)+IF(ISNUMBER(Q30),$D$12,0)),"")</f>
        <v/>
      </c>
      <c r="S30" s="190">
        <f>IFERROR(LN($E$30),"")</f>
        <v/>
      </c>
      <c r="T30" s="190">
        <f>IFERROR($N$7+$N$8*$R$30,"")</f>
        <v/>
      </c>
      <c r="U30" s="265">
        <f>IFERROR($S$30-$T$30,"")</f>
        <v/>
      </c>
      <c r="V30" s="265">
        <f>IFERROR(($U$30-AVERAGE($U$15:$U$85))/STDEV($U$15:$U$85),"")</f>
        <v/>
      </c>
      <c r="W30" s="191">
        <f>IF(ISNUMBER($V$30),IF($V$30&gt;=1.5,"CHEAP",IF($V$30&gt;=0.5,"slightly cheap",IF($V$30&lt;=-1.5,"RICH",IF($V$30&lt;=-0.5,"slightly rich","fair")))),"")</f>
        <v/>
      </c>
      <c r="X30" s="296">
        <f>SUMPRODUCT(--ISNUMBER((D30,G30,H30,I30,J30,K30)))</f>
        <v/>
      </c>
      <c r="Y30" s="297">
        <f>IF(X30&gt;=5,"HIGH",IF(X30&gt;=3,"MED","LOW"))</f>
        <v/>
      </c>
      <c r="Z30" s="298">
        <f>IF(AND(ISNUMBER(S30),X30&gt;=$S$11),S30,"")</f>
        <v/>
      </c>
      <c r="AA30" s="299">
        <f>IF(AND(ISNUMBER(R30),X30&gt;=$S$11),R30,"")</f>
        <v/>
      </c>
    </row>
    <row r="31">
      <c r="B31" s="176">
        <f>Tickers!B23</f>
        <v/>
      </c>
      <c r="C31" s="177">
        <f>Tickers!C23</f>
        <v/>
      </c>
      <c r="D31" s="178">
        <f>Tickers!E23</f>
        <v/>
      </c>
      <c r="E31" s="260">
        <f>IFERROR(Tickers!G23,"")</f>
        <v/>
      </c>
      <c r="F31" s="260">
        <f>IFERROR(Tickers!I23,"")</f>
        <v/>
      </c>
      <c r="G31" s="261">
        <f>IFERROR(IF(ISNUMBER(Tickers!K23),Tickers!K23,IF(ISNUMBER(Haver!E23),Haver!E23,IF(ISNUMBER(Tickers!T23),Tickers!T23,""))),"")</f>
        <v/>
      </c>
      <c r="H31" s="261">
        <f>IFERROR(IF(ISNUMBER(Tickers!M23),Tickers!M23,IF(ISNUMBER(Haver!G23),Haver!G23,IF(ISNUMBER(Tickers!U23),Tickers!U23,""))),"")</f>
        <v/>
      </c>
      <c r="I31" s="261">
        <f>IFERROR(IF(ISNUMBER(Tickers!O23),Tickers!O23,IF(ISNUMBER(Haver!I23),Haver!I23,IF(ISNUMBER(Tickers!V23),Tickers!V23,""))),"")</f>
        <v/>
      </c>
      <c r="J31" s="261">
        <f>IFERROR(IF(ISNUMBER(Tickers!Q23),Tickers!Q23,IF(ISNUMBER(Haver!K23),Haver!K23,IF(ISNUMBER(Tickers!W23),Tickers!W23,""))),"")</f>
        <v/>
      </c>
      <c r="K31" s="260">
        <f>IFERROR(IF(ISNUMBER(Tickers!S23),Tickers!S23,IF(ISNUMBER(Haver!M23),Haver!M23,IF(ISNUMBER(Tickers!X23),Tickers!X23,""))),"")</f>
        <v/>
      </c>
      <c r="L31" s="262">
        <f>IFERROR(($D$31-AVERAGE($D$15:$D$85))/STDEV($D$15:$D$85),"")</f>
        <v/>
      </c>
      <c r="M31" s="262">
        <f>IFERROR(($I$31-AVERAGE($I$15:$I$85))/STDEV($I$15:$I$85),"")</f>
        <v/>
      </c>
      <c r="N31" s="262">
        <f>IFERROR(-($J$31-AVERAGE($J$15:$J$85))/STDEV($J$15:$J$85),"")</f>
        <v/>
      </c>
      <c r="O31" s="262">
        <f>IFERROR(-($K$31-AVERAGE($K$15:$K$85))/STDEV($K$15:$K$85),"")</f>
        <v/>
      </c>
      <c r="P31" s="262">
        <f>IFERROR(-($G$31-AVERAGE($G$15:$G$85))/STDEV($G$15:$G$85),"")</f>
        <v/>
      </c>
      <c r="Q31" s="262">
        <f>IFERROR(($H$31-AVERAGE($H$15:$H$85))/STDEV($H$15:$H$85),"")</f>
        <v/>
      </c>
      <c r="R31" s="262">
        <f>IFERROR((IF(ISNUMBER(L31),$D$7*L31,0)+IF(ISNUMBER(M31),$D$8*M31,0)+IF(ISNUMBER(N31),$D$9*N31,0)+IF(ISNUMBER(O31),$D$10*O31,0)+IF(ISNUMBER(P31),$D$11*P31,0)+IF(ISNUMBER(Q31),$D$12*Q31,0))/(IF(ISNUMBER(L31),$D$7,0)+IF(ISNUMBER(M31),$D$8,0)+IF(ISNUMBER(N31),$D$9,0)+IF(ISNUMBER(O31),$D$10,0)+IF(ISNUMBER(P31),$D$11,0)+IF(ISNUMBER(Q31),$D$12,0)),"")</f>
        <v/>
      </c>
      <c r="S31" s="182">
        <f>IFERROR(LN($E$31),"")</f>
        <v/>
      </c>
      <c r="T31" s="182">
        <f>IFERROR($N$7+$N$8*$R$31,"")</f>
        <v/>
      </c>
      <c r="U31" s="262">
        <f>IFERROR($S$31-$T$31,"")</f>
        <v/>
      </c>
      <c r="V31" s="262">
        <f>IFERROR(($U$31-AVERAGE($U$15:$U$85))/STDEV($U$15:$U$85),"")</f>
        <v/>
      </c>
      <c r="W31" s="183">
        <f>IF(ISNUMBER($V$31),IF($V$31&gt;=1.5,"CHEAP",IF($V$31&gt;=0.5,"slightly cheap",IF($V$31&lt;=-1.5,"RICH",IF($V$31&lt;=-0.5,"slightly rich","fair")))),"")</f>
        <v/>
      </c>
      <c r="X31" s="292">
        <f>SUMPRODUCT(--ISNUMBER((D31,G31,H31,I31,J31,K31)))</f>
        <v/>
      </c>
      <c r="Y31" s="293">
        <f>IF(X31&gt;=5,"HIGH",IF(X31&gt;=3,"MED","LOW"))</f>
        <v/>
      </c>
      <c r="Z31" s="294">
        <f>IF(AND(ISNUMBER(S31),X31&gt;=$S$11),S31,"")</f>
        <v/>
      </c>
      <c r="AA31" s="295">
        <f>IF(AND(ISNUMBER(R31),X31&gt;=$S$11),R31,"")</f>
        <v/>
      </c>
    </row>
    <row r="32">
      <c r="B32" s="184">
        <f>Tickers!B24</f>
        <v/>
      </c>
      <c r="C32" s="185">
        <f>Tickers!C24</f>
        <v/>
      </c>
      <c r="D32" s="186">
        <f>Tickers!E24</f>
        <v/>
      </c>
      <c r="E32" s="263">
        <f>IFERROR(Tickers!G24,"")</f>
        <v/>
      </c>
      <c r="F32" s="263">
        <f>IFERROR(Tickers!I24,"")</f>
        <v/>
      </c>
      <c r="G32" s="264">
        <f>IFERROR(IF(ISNUMBER(Tickers!K24),Tickers!K24,IF(ISNUMBER(Haver!E24),Haver!E24,IF(ISNUMBER(Tickers!T24),Tickers!T24,""))),"")</f>
        <v/>
      </c>
      <c r="H32" s="264">
        <f>IFERROR(IF(ISNUMBER(Tickers!M24),Tickers!M24,IF(ISNUMBER(Haver!G24),Haver!G24,IF(ISNUMBER(Tickers!U24),Tickers!U24,""))),"")</f>
        <v/>
      </c>
      <c r="I32" s="264">
        <f>IFERROR(IF(ISNUMBER(Tickers!O24),Tickers!O24,IF(ISNUMBER(Haver!I24),Haver!I24,IF(ISNUMBER(Tickers!V24),Tickers!V24,""))),"")</f>
        <v/>
      </c>
      <c r="J32" s="264">
        <f>IFERROR(IF(ISNUMBER(Tickers!Q24),Tickers!Q24,IF(ISNUMBER(Haver!K24),Haver!K24,IF(ISNUMBER(Tickers!W24),Tickers!W24,""))),"")</f>
        <v/>
      </c>
      <c r="K32" s="263">
        <f>IFERROR(IF(ISNUMBER(Tickers!S24),Tickers!S24,IF(ISNUMBER(Haver!M24),Haver!M24,IF(ISNUMBER(Tickers!X24),Tickers!X24,""))),"")</f>
        <v/>
      </c>
      <c r="L32" s="265">
        <f>IFERROR(($D$32-AVERAGE($D$15:$D$85))/STDEV($D$15:$D$85),"")</f>
        <v/>
      </c>
      <c r="M32" s="265">
        <f>IFERROR(($I$32-AVERAGE($I$15:$I$85))/STDEV($I$15:$I$85),"")</f>
        <v/>
      </c>
      <c r="N32" s="265">
        <f>IFERROR(-($J$32-AVERAGE($J$15:$J$85))/STDEV($J$15:$J$85),"")</f>
        <v/>
      </c>
      <c r="O32" s="265">
        <f>IFERROR(-($K$32-AVERAGE($K$15:$K$85))/STDEV($K$15:$K$85),"")</f>
        <v/>
      </c>
      <c r="P32" s="265">
        <f>IFERROR(-($G$32-AVERAGE($G$15:$G$85))/STDEV($G$15:$G$85),"")</f>
        <v/>
      </c>
      <c r="Q32" s="265">
        <f>IFERROR(($H$32-AVERAGE($H$15:$H$85))/STDEV($H$15:$H$85),"")</f>
        <v/>
      </c>
      <c r="R32" s="265">
        <f>IFERROR((IF(ISNUMBER(L32),$D$7*L32,0)+IF(ISNUMBER(M32),$D$8*M32,0)+IF(ISNUMBER(N32),$D$9*N32,0)+IF(ISNUMBER(O32),$D$10*O32,0)+IF(ISNUMBER(P32),$D$11*P32,0)+IF(ISNUMBER(Q32),$D$12*Q32,0))/(IF(ISNUMBER(L32),$D$7,0)+IF(ISNUMBER(M32),$D$8,0)+IF(ISNUMBER(N32),$D$9,0)+IF(ISNUMBER(O32),$D$10,0)+IF(ISNUMBER(P32),$D$11,0)+IF(ISNUMBER(Q32),$D$12,0)),"")</f>
        <v/>
      </c>
      <c r="S32" s="190">
        <f>IFERROR(LN($E$32),"")</f>
        <v/>
      </c>
      <c r="T32" s="190">
        <f>IFERROR($N$7+$N$8*$R$32,"")</f>
        <v/>
      </c>
      <c r="U32" s="265">
        <f>IFERROR($S$32-$T$32,"")</f>
        <v/>
      </c>
      <c r="V32" s="265">
        <f>IFERROR(($U$32-AVERAGE($U$15:$U$85))/STDEV($U$15:$U$85),"")</f>
        <v/>
      </c>
      <c r="W32" s="191">
        <f>IF(ISNUMBER($V$32),IF($V$32&gt;=1.5,"CHEAP",IF($V$32&gt;=0.5,"slightly cheap",IF($V$32&lt;=-1.5,"RICH",IF($V$32&lt;=-0.5,"slightly rich","fair")))),"")</f>
        <v/>
      </c>
      <c r="X32" s="296">
        <f>SUMPRODUCT(--ISNUMBER((D32,G32,H32,I32,J32,K32)))</f>
        <v/>
      </c>
      <c r="Y32" s="297">
        <f>IF(X32&gt;=5,"HIGH",IF(X32&gt;=3,"MED","LOW"))</f>
        <v/>
      </c>
      <c r="Z32" s="298">
        <f>IF(AND(ISNUMBER(S32),X32&gt;=$S$11),S32,"")</f>
        <v/>
      </c>
      <c r="AA32" s="299">
        <f>IF(AND(ISNUMBER(R32),X32&gt;=$S$11),R32,"")</f>
        <v/>
      </c>
    </row>
    <row r="33">
      <c r="B33" s="176">
        <f>Tickers!B25</f>
        <v/>
      </c>
      <c r="C33" s="177">
        <f>Tickers!C25</f>
        <v/>
      </c>
      <c r="D33" s="178">
        <f>Tickers!E25</f>
        <v/>
      </c>
      <c r="E33" s="260">
        <f>IFERROR(Tickers!G25,"")</f>
        <v/>
      </c>
      <c r="F33" s="260">
        <f>IFERROR(Tickers!I25,"")</f>
        <v/>
      </c>
      <c r="G33" s="261">
        <f>IFERROR(IF(ISNUMBER(Tickers!K25),Tickers!K25,IF(ISNUMBER(Haver!E25),Haver!E25,IF(ISNUMBER(Tickers!T25),Tickers!T25,""))),"")</f>
        <v/>
      </c>
      <c r="H33" s="261">
        <f>IFERROR(IF(ISNUMBER(Tickers!M25),Tickers!M25,IF(ISNUMBER(Haver!G25),Haver!G25,IF(ISNUMBER(Tickers!U25),Tickers!U25,""))),"")</f>
        <v/>
      </c>
      <c r="I33" s="261">
        <f>IFERROR(IF(ISNUMBER(Tickers!O25),Tickers!O25,IF(ISNUMBER(Haver!I25),Haver!I25,IF(ISNUMBER(Tickers!V25),Tickers!V25,""))),"")</f>
        <v/>
      </c>
      <c r="J33" s="261">
        <f>IFERROR(IF(ISNUMBER(Tickers!Q25),Tickers!Q25,IF(ISNUMBER(Haver!K25),Haver!K25,IF(ISNUMBER(Tickers!W25),Tickers!W25,""))),"")</f>
        <v/>
      </c>
      <c r="K33" s="260">
        <f>IFERROR(IF(ISNUMBER(Tickers!S25),Tickers!S25,IF(ISNUMBER(Haver!M25),Haver!M25,IF(ISNUMBER(Tickers!X25),Tickers!X25,""))),"")</f>
        <v/>
      </c>
      <c r="L33" s="262">
        <f>IFERROR(($D$33-AVERAGE($D$15:$D$85))/STDEV($D$15:$D$85),"")</f>
        <v/>
      </c>
      <c r="M33" s="262">
        <f>IFERROR(($I$33-AVERAGE($I$15:$I$85))/STDEV($I$15:$I$85),"")</f>
        <v/>
      </c>
      <c r="N33" s="262">
        <f>IFERROR(-($J$33-AVERAGE($J$15:$J$85))/STDEV($J$15:$J$85),"")</f>
        <v/>
      </c>
      <c r="O33" s="262">
        <f>IFERROR(-($K$33-AVERAGE($K$15:$K$85))/STDEV($K$15:$K$85),"")</f>
        <v/>
      </c>
      <c r="P33" s="262">
        <f>IFERROR(-($G$33-AVERAGE($G$15:$G$85))/STDEV($G$15:$G$85),"")</f>
        <v/>
      </c>
      <c r="Q33" s="262">
        <f>IFERROR(($H$33-AVERAGE($H$15:$H$85))/STDEV($H$15:$H$85),"")</f>
        <v/>
      </c>
      <c r="R33" s="262">
        <f>IFERROR((IF(ISNUMBER(L33),$D$7*L33,0)+IF(ISNUMBER(M33),$D$8*M33,0)+IF(ISNUMBER(N33),$D$9*N33,0)+IF(ISNUMBER(O33),$D$10*O33,0)+IF(ISNUMBER(P33),$D$11*P33,0)+IF(ISNUMBER(Q33),$D$12*Q33,0))/(IF(ISNUMBER(L33),$D$7,0)+IF(ISNUMBER(M33),$D$8,0)+IF(ISNUMBER(N33),$D$9,0)+IF(ISNUMBER(O33),$D$10,0)+IF(ISNUMBER(P33),$D$11,0)+IF(ISNUMBER(Q33),$D$12,0)),"")</f>
        <v/>
      </c>
      <c r="S33" s="182">
        <f>IFERROR(LN($E$33),"")</f>
        <v/>
      </c>
      <c r="T33" s="182">
        <f>IFERROR($N$7+$N$8*$R$33,"")</f>
        <v/>
      </c>
      <c r="U33" s="262">
        <f>IFERROR($S$33-$T$33,"")</f>
        <v/>
      </c>
      <c r="V33" s="262">
        <f>IFERROR(($U$33-AVERAGE($U$15:$U$85))/STDEV($U$15:$U$85),"")</f>
        <v/>
      </c>
      <c r="W33" s="183">
        <f>IF(ISNUMBER($V$33),IF($V$33&gt;=1.5,"CHEAP",IF($V$33&gt;=0.5,"slightly cheap",IF($V$33&lt;=-1.5,"RICH",IF($V$33&lt;=-0.5,"slightly rich","fair")))),"")</f>
        <v/>
      </c>
      <c r="X33" s="292">
        <f>SUMPRODUCT(--ISNUMBER((D33,G33,H33,I33,J33,K33)))</f>
        <v/>
      </c>
      <c r="Y33" s="293">
        <f>IF(X33&gt;=5,"HIGH",IF(X33&gt;=3,"MED","LOW"))</f>
        <v/>
      </c>
      <c r="Z33" s="294">
        <f>IF(AND(ISNUMBER(S33),X33&gt;=$S$11),S33,"")</f>
        <v/>
      </c>
      <c r="AA33" s="295">
        <f>IF(AND(ISNUMBER(R33),X33&gt;=$S$11),R33,"")</f>
        <v/>
      </c>
    </row>
    <row r="34">
      <c r="B34" s="184">
        <f>Tickers!B26</f>
        <v/>
      </c>
      <c r="C34" s="185">
        <f>Tickers!C26</f>
        <v/>
      </c>
      <c r="D34" s="186">
        <f>Tickers!E26</f>
        <v/>
      </c>
      <c r="E34" s="263">
        <f>IFERROR(Tickers!G26,"")</f>
        <v/>
      </c>
      <c r="F34" s="263">
        <f>IFERROR(Tickers!I26,"")</f>
        <v/>
      </c>
      <c r="G34" s="264">
        <f>IFERROR(IF(ISNUMBER(Tickers!K26),Tickers!K26,IF(ISNUMBER(Haver!E26),Haver!E26,IF(ISNUMBER(Tickers!T26),Tickers!T26,""))),"")</f>
        <v/>
      </c>
      <c r="H34" s="264">
        <f>IFERROR(IF(ISNUMBER(Tickers!M26),Tickers!M26,IF(ISNUMBER(Haver!G26),Haver!G26,IF(ISNUMBER(Tickers!U26),Tickers!U26,""))),"")</f>
        <v/>
      </c>
      <c r="I34" s="264">
        <f>IFERROR(IF(ISNUMBER(Tickers!O26),Tickers!O26,IF(ISNUMBER(Haver!I26),Haver!I26,IF(ISNUMBER(Tickers!V26),Tickers!V26,""))),"")</f>
        <v/>
      </c>
      <c r="J34" s="264">
        <f>IFERROR(IF(ISNUMBER(Tickers!Q26),Tickers!Q26,IF(ISNUMBER(Haver!K26),Haver!K26,IF(ISNUMBER(Tickers!W26),Tickers!W26,""))),"")</f>
        <v/>
      </c>
      <c r="K34" s="263">
        <f>IFERROR(IF(ISNUMBER(Tickers!S26),Tickers!S26,IF(ISNUMBER(Haver!M26),Haver!M26,IF(ISNUMBER(Tickers!X26),Tickers!X26,""))),"")</f>
        <v/>
      </c>
      <c r="L34" s="265">
        <f>IFERROR(($D$34-AVERAGE($D$15:$D$85))/STDEV($D$15:$D$85),"")</f>
        <v/>
      </c>
      <c r="M34" s="265">
        <f>IFERROR(($I$34-AVERAGE($I$15:$I$85))/STDEV($I$15:$I$85),"")</f>
        <v/>
      </c>
      <c r="N34" s="265">
        <f>IFERROR(-($J$34-AVERAGE($J$15:$J$85))/STDEV($J$15:$J$85),"")</f>
        <v/>
      </c>
      <c r="O34" s="265">
        <f>IFERROR(-($K$34-AVERAGE($K$15:$K$85))/STDEV($K$15:$K$85),"")</f>
        <v/>
      </c>
      <c r="P34" s="265">
        <f>IFERROR(-($G$34-AVERAGE($G$15:$G$85))/STDEV($G$15:$G$85),"")</f>
        <v/>
      </c>
      <c r="Q34" s="265">
        <f>IFERROR(($H$34-AVERAGE($H$15:$H$85))/STDEV($H$15:$H$85),"")</f>
        <v/>
      </c>
      <c r="R34" s="265">
        <f>IFERROR((IF(ISNUMBER(L34),$D$7*L34,0)+IF(ISNUMBER(M34),$D$8*M34,0)+IF(ISNUMBER(N34),$D$9*N34,0)+IF(ISNUMBER(O34),$D$10*O34,0)+IF(ISNUMBER(P34),$D$11*P34,0)+IF(ISNUMBER(Q34),$D$12*Q34,0))/(IF(ISNUMBER(L34),$D$7,0)+IF(ISNUMBER(M34),$D$8,0)+IF(ISNUMBER(N34),$D$9,0)+IF(ISNUMBER(O34),$D$10,0)+IF(ISNUMBER(P34),$D$11,0)+IF(ISNUMBER(Q34),$D$12,0)),"")</f>
        <v/>
      </c>
      <c r="S34" s="190">
        <f>IFERROR(LN($E$34),"")</f>
        <v/>
      </c>
      <c r="T34" s="190">
        <f>IFERROR($N$7+$N$8*$R$34,"")</f>
        <v/>
      </c>
      <c r="U34" s="265">
        <f>IFERROR($S$34-$T$34,"")</f>
        <v/>
      </c>
      <c r="V34" s="265">
        <f>IFERROR(($U$34-AVERAGE($U$15:$U$85))/STDEV($U$15:$U$85),"")</f>
        <v/>
      </c>
      <c r="W34" s="191">
        <f>IF(ISNUMBER($V$34),IF($V$34&gt;=1.5,"CHEAP",IF($V$34&gt;=0.5,"slightly cheap",IF($V$34&lt;=-1.5,"RICH",IF($V$34&lt;=-0.5,"slightly rich","fair")))),"")</f>
        <v/>
      </c>
      <c r="X34" s="296">
        <f>SUMPRODUCT(--ISNUMBER((D34,G34,H34,I34,J34,K34)))</f>
        <v/>
      </c>
      <c r="Y34" s="297">
        <f>IF(X34&gt;=5,"HIGH",IF(X34&gt;=3,"MED","LOW"))</f>
        <v/>
      </c>
      <c r="Z34" s="298">
        <f>IF(AND(ISNUMBER(S34),X34&gt;=$S$11),S34,"")</f>
        <v/>
      </c>
      <c r="AA34" s="299">
        <f>IF(AND(ISNUMBER(R34),X34&gt;=$S$11),R34,"")</f>
        <v/>
      </c>
    </row>
    <row r="35">
      <c r="B35" s="176">
        <f>Tickers!B27</f>
        <v/>
      </c>
      <c r="C35" s="177">
        <f>Tickers!C27</f>
        <v/>
      </c>
      <c r="D35" s="178">
        <f>Tickers!E27</f>
        <v/>
      </c>
      <c r="E35" s="260">
        <f>IFERROR(Tickers!G27,"")</f>
        <v/>
      </c>
      <c r="F35" s="260">
        <f>IFERROR(Tickers!I27,"")</f>
        <v/>
      </c>
      <c r="G35" s="261">
        <f>IFERROR(IF(ISNUMBER(Tickers!K27),Tickers!K27,IF(ISNUMBER(Haver!E27),Haver!E27,IF(ISNUMBER(Tickers!T27),Tickers!T27,""))),"")</f>
        <v/>
      </c>
      <c r="H35" s="261">
        <f>IFERROR(IF(ISNUMBER(Tickers!M27),Tickers!M27,IF(ISNUMBER(Haver!G27),Haver!G27,IF(ISNUMBER(Tickers!U27),Tickers!U27,""))),"")</f>
        <v/>
      </c>
      <c r="I35" s="261">
        <f>IFERROR(IF(ISNUMBER(Tickers!O27),Tickers!O27,IF(ISNUMBER(Haver!I27),Haver!I27,IF(ISNUMBER(Tickers!V27),Tickers!V27,""))),"")</f>
        <v/>
      </c>
      <c r="J35" s="261">
        <f>IFERROR(IF(ISNUMBER(Tickers!Q27),Tickers!Q27,IF(ISNUMBER(Haver!K27),Haver!K27,IF(ISNUMBER(Tickers!W27),Tickers!W27,""))),"")</f>
        <v/>
      </c>
      <c r="K35" s="260">
        <f>IFERROR(IF(ISNUMBER(Tickers!S27),Tickers!S27,IF(ISNUMBER(Haver!M27),Haver!M27,IF(ISNUMBER(Tickers!X27),Tickers!X27,""))),"")</f>
        <v/>
      </c>
      <c r="L35" s="262">
        <f>IFERROR(($D$35-AVERAGE($D$15:$D$85))/STDEV($D$15:$D$85),"")</f>
        <v/>
      </c>
      <c r="M35" s="262">
        <f>IFERROR(($I$35-AVERAGE($I$15:$I$85))/STDEV($I$15:$I$85),"")</f>
        <v/>
      </c>
      <c r="N35" s="262">
        <f>IFERROR(-($J$35-AVERAGE($J$15:$J$85))/STDEV($J$15:$J$85),"")</f>
        <v/>
      </c>
      <c r="O35" s="262">
        <f>IFERROR(-($K$35-AVERAGE($K$15:$K$85))/STDEV($K$15:$K$85),"")</f>
        <v/>
      </c>
      <c r="P35" s="262">
        <f>IFERROR(-($G$35-AVERAGE($G$15:$G$85))/STDEV($G$15:$G$85),"")</f>
        <v/>
      </c>
      <c r="Q35" s="262">
        <f>IFERROR(($H$35-AVERAGE($H$15:$H$85))/STDEV($H$15:$H$85),"")</f>
        <v/>
      </c>
      <c r="R35" s="262">
        <f>IFERROR((IF(ISNUMBER(L35),$D$7*L35,0)+IF(ISNUMBER(M35),$D$8*M35,0)+IF(ISNUMBER(N35),$D$9*N35,0)+IF(ISNUMBER(O35),$D$10*O35,0)+IF(ISNUMBER(P35),$D$11*P35,0)+IF(ISNUMBER(Q35),$D$12*Q35,0))/(IF(ISNUMBER(L35),$D$7,0)+IF(ISNUMBER(M35),$D$8,0)+IF(ISNUMBER(N35),$D$9,0)+IF(ISNUMBER(O35),$D$10,0)+IF(ISNUMBER(P35),$D$11,0)+IF(ISNUMBER(Q35),$D$12,0)),"")</f>
        <v/>
      </c>
      <c r="S35" s="182">
        <f>IFERROR(LN($E$35),"")</f>
        <v/>
      </c>
      <c r="T35" s="182">
        <f>IFERROR($N$7+$N$8*$R$35,"")</f>
        <v/>
      </c>
      <c r="U35" s="262">
        <f>IFERROR($S$35-$T$35,"")</f>
        <v/>
      </c>
      <c r="V35" s="262">
        <f>IFERROR(($U$35-AVERAGE($U$15:$U$85))/STDEV($U$15:$U$85),"")</f>
        <v/>
      </c>
      <c r="W35" s="183">
        <f>IF(ISNUMBER($V$35),IF($V$35&gt;=1.5,"CHEAP",IF($V$35&gt;=0.5,"slightly cheap",IF($V$35&lt;=-1.5,"RICH",IF($V$35&lt;=-0.5,"slightly rich","fair")))),"")</f>
        <v/>
      </c>
      <c r="X35" s="292">
        <f>SUMPRODUCT(--ISNUMBER((D35,G35,H35,I35,J35,K35)))</f>
        <v/>
      </c>
      <c r="Y35" s="293">
        <f>IF(X35&gt;=5,"HIGH",IF(X35&gt;=3,"MED","LOW"))</f>
        <v/>
      </c>
      <c r="Z35" s="294">
        <f>IF(AND(ISNUMBER(S35),X35&gt;=$S$11),S35,"")</f>
        <v/>
      </c>
      <c r="AA35" s="295">
        <f>IF(AND(ISNUMBER(R35),X35&gt;=$S$11),R35,"")</f>
        <v/>
      </c>
    </row>
    <row r="36">
      <c r="B36" s="184">
        <f>Tickers!B28</f>
        <v/>
      </c>
      <c r="C36" s="185">
        <f>Tickers!C28</f>
        <v/>
      </c>
      <c r="D36" s="186">
        <f>Tickers!E28</f>
        <v/>
      </c>
      <c r="E36" s="263">
        <f>IFERROR(Tickers!G28,"")</f>
        <v/>
      </c>
      <c r="F36" s="263">
        <f>IFERROR(Tickers!I28,"")</f>
        <v/>
      </c>
      <c r="G36" s="264">
        <f>IFERROR(IF(ISNUMBER(Tickers!K28),Tickers!K28,IF(ISNUMBER(Haver!E28),Haver!E28,IF(ISNUMBER(Tickers!T28),Tickers!T28,""))),"")</f>
        <v/>
      </c>
      <c r="H36" s="264">
        <f>IFERROR(IF(ISNUMBER(Tickers!M28),Tickers!M28,IF(ISNUMBER(Haver!G28),Haver!G28,IF(ISNUMBER(Tickers!U28),Tickers!U28,""))),"")</f>
        <v/>
      </c>
      <c r="I36" s="264">
        <f>IFERROR(IF(ISNUMBER(Tickers!O28),Tickers!O28,IF(ISNUMBER(Haver!I28),Haver!I28,IF(ISNUMBER(Tickers!V28),Tickers!V28,""))),"")</f>
        <v/>
      </c>
      <c r="J36" s="264">
        <f>IFERROR(IF(ISNUMBER(Tickers!Q28),Tickers!Q28,IF(ISNUMBER(Haver!K28),Haver!K28,IF(ISNUMBER(Tickers!W28),Tickers!W28,""))),"")</f>
        <v/>
      </c>
      <c r="K36" s="263">
        <f>IFERROR(IF(ISNUMBER(Tickers!S28),Tickers!S28,IF(ISNUMBER(Haver!M28),Haver!M28,IF(ISNUMBER(Tickers!X28),Tickers!X28,""))),"")</f>
        <v/>
      </c>
      <c r="L36" s="265">
        <f>IFERROR(($D$36-AVERAGE($D$15:$D$85))/STDEV($D$15:$D$85),"")</f>
        <v/>
      </c>
      <c r="M36" s="265">
        <f>IFERROR(($I$36-AVERAGE($I$15:$I$85))/STDEV($I$15:$I$85),"")</f>
        <v/>
      </c>
      <c r="N36" s="265">
        <f>IFERROR(-($J$36-AVERAGE($J$15:$J$85))/STDEV($J$15:$J$85),"")</f>
        <v/>
      </c>
      <c r="O36" s="265">
        <f>IFERROR(-($K$36-AVERAGE($K$15:$K$85))/STDEV($K$15:$K$85),"")</f>
        <v/>
      </c>
      <c r="P36" s="265">
        <f>IFERROR(-($G$36-AVERAGE($G$15:$G$85))/STDEV($G$15:$G$85),"")</f>
        <v/>
      </c>
      <c r="Q36" s="265">
        <f>IFERROR(($H$36-AVERAGE($H$15:$H$85))/STDEV($H$15:$H$85),"")</f>
        <v/>
      </c>
      <c r="R36" s="265">
        <f>IFERROR((IF(ISNUMBER(L36),$D$7*L36,0)+IF(ISNUMBER(M36),$D$8*M36,0)+IF(ISNUMBER(N36),$D$9*N36,0)+IF(ISNUMBER(O36),$D$10*O36,0)+IF(ISNUMBER(P36),$D$11*P36,0)+IF(ISNUMBER(Q36),$D$12*Q36,0))/(IF(ISNUMBER(L36),$D$7,0)+IF(ISNUMBER(M36),$D$8,0)+IF(ISNUMBER(N36),$D$9,0)+IF(ISNUMBER(O36),$D$10,0)+IF(ISNUMBER(P36),$D$11,0)+IF(ISNUMBER(Q36),$D$12,0)),"")</f>
        <v/>
      </c>
      <c r="S36" s="190">
        <f>IFERROR(LN($E$36),"")</f>
        <v/>
      </c>
      <c r="T36" s="190">
        <f>IFERROR($N$7+$N$8*$R$36,"")</f>
        <v/>
      </c>
      <c r="U36" s="265">
        <f>IFERROR($S$36-$T$36,"")</f>
        <v/>
      </c>
      <c r="V36" s="265">
        <f>IFERROR(($U$36-AVERAGE($U$15:$U$85))/STDEV($U$15:$U$85),"")</f>
        <v/>
      </c>
      <c r="W36" s="191">
        <f>IF(ISNUMBER($V$36),IF($V$36&gt;=1.5,"CHEAP",IF($V$36&gt;=0.5,"slightly cheap",IF($V$36&lt;=-1.5,"RICH",IF($V$36&lt;=-0.5,"slightly rich","fair")))),"")</f>
        <v/>
      </c>
      <c r="X36" s="296">
        <f>SUMPRODUCT(--ISNUMBER((D36,G36,H36,I36,J36,K36)))</f>
        <v/>
      </c>
      <c r="Y36" s="297">
        <f>IF(X36&gt;=5,"HIGH",IF(X36&gt;=3,"MED","LOW"))</f>
        <v/>
      </c>
      <c r="Z36" s="298">
        <f>IF(AND(ISNUMBER(S36),X36&gt;=$S$11),S36,"")</f>
        <v/>
      </c>
      <c r="AA36" s="299">
        <f>IF(AND(ISNUMBER(R36),X36&gt;=$S$11),R36,"")</f>
        <v/>
      </c>
    </row>
    <row r="37">
      <c r="B37" s="176">
        <f>Tickers!B29</f>
        <v/>
      </c>
      <c r="C37" s="177">
        <f>Tickers!C29</f>
        <v/>
      </c>
      <c r="D37" s="178">
        <f>Tickers!E29</f>
        <v/>
      </c>
      <c r="E37" s="260">
        <f>IFERROR(Tickers!G29,"")</f>
        <v/>
      </c>
      <c r="F37" s="260">
        <f>IFERROR(Tickers!I29,"")</f>
        <v/>
      </c>
      <c r="G37" s="261">
        <f>IFERROR(IF(ISNUMBER(Tickers!K29),Tickers!K29,IF(ISNUMBER(Haver!E29),Haver!E29,IF(ISNUMBER(Tickers!T29),Tickers!T29,""))),"")</f>
        <v/>
      </c>
      <c r="H37" s="261">
        <f>IFERROR(IF(ISNUMBER(Tickers!M29),Tickers!M29,IF(ISNUMBER(Haver!G29),Haver!G29,IF(ISNUMBER(Tickers!U29),Tickers!U29,""))),"")</f>
        <v/>
      </c>
      <c r="I37" s="261">
        <f>IFERROR(IF(ISNUMBER(Tickers!O29),Tickers!O29,IF(ISNUMBER(Haver!I29),Haver!I29,IF(ISNUMBER(Tickers!V29),Tickers!V29,""))),"")</f>
        <v/>
      </c>
      <c r="J37" s="261">
        <f>IFERROR(IF(ISNUMBER(Tickers!Q29),Tickers!Q29,IF(ISNUMBER(Haver!K29),Haver!K29,IF(ISNUMBER(Tickers!W29),Tickers!W29,""))),"")</f>
        <v/>
      </c>
      <c r="K37" s="260">
        <f>IFERROR(IF(ISNUMBER(Tickers!S29),Tickers!S29,IF(ISNUMBER(Haver!M29),Haver!M29,IF(ISNUMBER(Tickers!X29),Tickers!X29,""))),"")</f>
        <v/>
      </c>
      <c r="L37" s="262">
        <f>IFERROR(($D$37-AVERAGE($D$15:$D$85))/STDEV($D$15:$D$85),"")</f>
        <v/>
      </c>
      <c r="M37" s="262">
        <f>IFERROR(($I$37-AVERAGE($I$15:$I$85))/STDEV($I$15:$I$85),"")</f>
        <v/>
      </c>
      <c r="N37" s="262">
        <f>IFERROR(-($J$37-AVERAGE($J$15:$J$85))/STDEV($J$15:$J$85),"")</f>
        <v/>
      </c>
      <c r="O37" s="262">
        <f>IFERROR(-($K$37-AVERAGE($K$15:$K$85))/STDEV($K$15:$K$85),"")</f>
        <v/>
      </c>
      <c r="P37" s="262">
        <f>IFERROR(-($G$37-AVERAGE($G$15:$G$85))/STDEV($G$15:$G$85),"")</f>
        <v/>
      </c>
      <c r="Q37" s="262">
        <f>IFERROR(($H$37-AVERAGE($H$15:$H$85))/STDEV($H$15:$H$85),"")</f>
        <v/>
      </c>
      <c r="R37" s="262">
        <f>IFERROR((IF(ISNUMBER(L37),$D$7*L37,0)+IF(ISNUMBER(M37),$D$8*M37,0)+IF(ISNUMBER(N37),$D$9*N37,0)+IF(ISNUMBER(O37),$D$10*O37,0)+IF(ISNUMBER(P37),$D$11*P37,0)+IF(ISNUMBER(Q37),$D$12*Q37,0))/(IF(ISNUMBER(L37),$D$7,0)+IF(ISNUMBER(M37),$D$8,0)+IF(ISNUMBER(N37),$D$9,0)+IF(ISNUMBER(O37),$D$10,0)+IF(ISNUMBER(P37),$D$11,0)+IF(ISNUMBER(Q37),$D$12,0)),"")</f>
        <v/>
      </c>
      <c r="S37" s="182">
        <f>IFERROR(LN($E$37),"")</f>
        <v/>
      </c>
      <c r="T37" s="182">
        <f>IFERROR($N$7+$N$8*$R$37,"")</f>
        <v/>
      </c>
      <c r="U37" s="262">
        <f>IFERROR($S$37-$T$37,"")</f>
        <v/>
      </c>
      <c r="V37" s="262">
        <f>IFERROR(($U$37-AVERAGE($U$15:$U$85))/STDEV($U$15:$U$85),"")</f>
        <v/>
      </c>
      <c r="W37" s="183">
        <f>IF(ISNUMBER($V$37),IF($V$37&gt;=1.5,"CHEAP",IF($V$37&gt;=0.5,"slightly cheap",IF($V$37&lt;=-1.5,"RICH",IF($V$37&lt;=-0.5,"slightly rich","fair")))),"")</f>
        <v/>
      </c>
      <c r="X37" s="292">
        <f>SUMPRODUCT(--ISNUMBER((D37,G37,H37,I37,J37,K37)))</f>
        <v/>
      </c>
      <c r="Y37" s="293">
        <f>IF(X37&gt;=5,"HIGH",IF(X37&gt;=3,"MED","LOW"))</f>
        <v/>
      </c>
      <c r="Z37" s="294">
        <f>IF(AND(ISNUMBER(S37),X37&gt;=$S$11),S37,"")</f>
        <v/>
      </c>
      <c r="AA37" s="295">
        <f>IF(AND(ISNUMBER(R37),X37&gt;=$S$11),R37,"")</f>
        <v/>
      </c>
    </row>
    <row r="38">
      <c r="B38" s="184">
        <f>Tickers!B30</f>
        <v/>
      </c>
      <c r="C38" s="185">
        <f>Tickers!C30</f>
        <v/>
      </c>
      <c r="D38" s="186">
        <f>Tickers!E30</f>
        <v/>
      </c>
      <c r="E38" s="263">
        <f>IFERROR(Tickers!G30,"")</f>
        <v/>
      </c>
      <c r="F38" s="263">
        <f>IFERROR(Tickers!I30,"")</f>
        <v/>
      </c>
      <c r="G38" s="264">
        <f>IFERROR(IF(ISNUMBER(Tickers!K30),Tickers!K30,IF(ISNUMBER(Haver!E30),Haver!E30,IF(ISNUMBER(Tickers!T30),Tickers!T30,""))),"")</f>
        <v/>
      </c>
      <c r="H38" s="264">
        <f>IFERROR(IF(ISNUMBER(Tickers!M30),Tickers!M30,IF(ISNUMBER(Haver!G30),Haver!G30,IF(ISNUMBER(Tickers!U30),Tickers!U30,""))),"")</f>
        <v/>
      </c>
      <c r="I38" s="264">
        <f>IFERROR(IF(ISNUMBER(Tickers!O30),Tickers!O30,IF(ISNUMBER(Haver!I30),Haver!I30,IF(ISNUMBER(Tickers!V30),Tickers!V30,""))),"")</f>
        <v/>
      </c>
      <c r="J38" s="264">
        <f>IFERROR(IF(ISNUMBER(Tickers!Q30),Tickers!Q30,IF(ISNUMBER(Haver!K30),Haver!K30,IF(ISNUMBER(Tickers!W30),Tickers!W30,""))),"")</f>
        <v/>
      </c>
      <c r="K38" s="263">
        <f>IFERROR(IF(ISNUMBER(Tickers!S30),Tickers!S30,IF(ISNUMBER(Haver!M30),Haver!M30,IF(ISNUMBER(Tickers!X30),Tickers!X30,""))),"")</f>
        <v/>
      </c>
      <c r="L38" s="265">
        <f>IFERROR(($D$38-AVERAGE($D$15:$D$85))/STDEV($D$15:$D$85),"")</f>
        <v/>
      </c>
      <c r="M38" s="265">
        <f>IFERROR(($I$38-AVERAGE($I$15:$I$85))/STDEV($I$15:$I$85),"")</f>
        <v/>
      </c>
      <c r="N38" s="265">
        <f>IFERROR(-($J$38-AVERAGE($J$15:$J$85))/STDEV($J$15:$J$85),"")</f>
        <v/>
      </c>
      <c r="O38" s="265">
        <f>IFERROR(-($K$38-AVERAGE($K$15:$K$85))/STDEV($K$15:$K$85),"")</f>
        <v/>
      </c>
      <c r="P38" s="265">
        <f>IFERROR(-($G$38-AVERAGE($G$15:$G$85))/STDEV($G$15:$G$85),"")</f>
        <v/>
      </c>
      <c r="Q38" s="265">
        <f>IFERROR(($H$38-AVERAGE($H$15:$H$85))/STDEV($H$15:$H$85),"")</f>
        <v/>
      </c>
      <c r="R38" s="265">
        <f>IFERROR((IF(ISNUMBER(L38),$D$7*L38,0)+IF(ISNUMBER(M38),$D$8*M38,0)+IF(ISNUMBER(N38),$D$9*N38,0)+IF(ISNUMBER(O38),$D$10*O38,0)+IF(ISNUMBER(P38),$D$11*P38,0)+IF(ISNUMBER(Q38),$D$12*Q38,0))/(IF(ISNUMBER(L38),$D$7,0)+IF(ISNUMBER(M38),$D$8,0)+IF(ISNUMBER(N38),$D$9,0)+IF(ISNUMBER(O38),$D$10,0)+IF(ISNUMBER(P38),$D$11,0)+IF(ISNUMBER(Q38),$D$12,0)),"")</f>
        <v/>
      </c>
      <c r="S38" s="190">
        <f>IFERROR(LN($E$38),"")</f>
        <v/>
      </c>
      <c r="T38" s="190">
        <f>IFERROR($N$7+$N$8*$R$38,"")</f>
        <v/>
      </c>
      <c r="U38" s="265">
        <f>IFERROR($S$38-$T$38,"")</f>
        <v/>
      </c>
      <c r="V38" s="265">
        <f>IFERROR(($U$38-AVERAGE($U$15:$U$85))/STDEV($U$15:$U$85),"")</f>
        <v/>
      </c>
      <c r="W38" s="191">
        <f>IF(ISNUMBER($V$38),IF($V$38&gt;=1.5,"CHEAP",IF($V$38&gt;=0.5,"slightly cheap",IF($V$38&lt;=-1.5,"RICH",IF($V$38&lt;=-0.5,"slightly rich","fair")))),"")</f>
        <v/>
      </c>
      <c r="X38" s="296">
        <f>SUMPRODUCT(--ISNUMBER((D38,G38,H38,I38,J38,K38)))</f>
        <v/>
      </c>
      <c r="Y38" s="297">
        <f>IF(X38&gt;=5,"HIGH",IF(X38&gt;=3,"MED","LOW"))</f>
        <v/>
      </c>
      <c r="Z38" s="298">
        <f>IF(AND(ISNUMBER(S38),X38&gt;=$S$11),S38,"")</f>
        <v/>
      </c>
      <c r="AA38" s="299">
        <f>IF(AND(ISNUMBER(R38),X38&gt;=$S$11),R38,"")</f>
        <v/>
      </c>
    </row>
    <row r="39">
      <c r="B39" s="176">
        <f>Tickers!B31</f>
        <v/>
      </c>
      <c r="C39" s="177">
        <f>Tickers!C31</f>
        <v/>
      </c>
      <c r="D39" s="178">
        <f>Tickers!E31</f>
        <v/>
      </c>
      <c r="E39" s="260">
        <f>IFERROR(Tickers!G31,"")</f>
        <v/>
      </c>
      <c r="F39" s="260">
        <f>IFERROR(Tickers!I31,"")</f>
        <v/>
      </c>
      <c r="G39" s="261">
        <f>IFERROR(IF(ISNUMBER(Tickers!K31),Tickers!K31,IF(ISNUMBER(Haver!E31),Haver!E31,IF(ISNUMBER(Tickers!T31),Tickers!T31,""))),"")</f>
        <v/>
      </c>
      <c r="H39" s="261">
        <f>IFERROR(IF(ISNUMBER(Tickers!M31),Tickers!M31,IF(ISNUMBER(Haver!G31),Haver!G31,IF(ISNUMBER(Tickers!U31),Tickers!U31,""))),"")</f>
        <v/>
      </c>
      <c r="I39" s="261">
        <f>IFERROR(IF(ISNUMBER(Tickers!O31),Tickers!O31,IF(ISNUMBER(Haver!I31),Haver!I31,IF(ISNUMBER(Tickers!V31),Tickers!V31,""))),"")</f>
        <v/>
      </c>
      <c r="J39" s="261">
        <f>IFERROR(IF(ISNUMBER(Tickers!Q31),Tickers!Q31,IF(ISNUMBER(Haver!K31),Haver!K31,IF(ISNUMBER(Tickers!W31),Tickers!W31,""))),"")</f>
        <v/>
      </c>
      <c r="K39" s="260">
        <f>IFERROR(IF(ISNUMBER(Tickers!S31),Tickers!S31,IF(ISNUMBER(Haver!M31),Haver!M31,IF(ISNUMBER(Tickers!X31),Tickers!X31,""))),"")</f>
        <v/>
      </c>
      <c r="L39" s="262">
        <f>IFERROR(($D$39-AVERAGE($D$15:$D$85))/STDEV($D$15:$D$85),"")</f>
        <v/>
      </c>
      <c r="M39" s="262">
        <f>IFERROR(($I$39-AVERAGE($I$15:$I$85))/STDEV($I$15:$I$85),"")</f>
        <v/>
      </c>
      <c r="N39" s="262">
        <f>IFERROR(-($J$39-AVERAGE($J$15:$J$85))/STDEV($J$15:$J$85),"")</f>
        <v/>
      </c>
      <c r="O39" s="262">
        <f>IFERROR(-($K$39-AVERAGE($K$15:$K$85))/STDEV($K$15:$K$85),"")</f>
        <v/>
      </c>
      <c r="P39" s="262">
        <f>IFERROR(-($G$39-AVERAGE($G$15:$G$85))/STDEV($G$15:$G$85),"")</f>
        <v/>
      </c>
      <c r="Q39" s="262">
        <f>IFERROR(($H$39-AVERAGE($H$15:$H$85))/STDEV($H$15:$H$85),"")</f>
        <v/>
      </c>
      <c r="R39" s="262">
        <f>IFERROR((IF(ISNUMBER(L39),$D$7*L39,0)+IF(ISNUMBER(M39),$D$8*M39,0)+IF(ISNUMBER(N39),$D$9*N39,0)+IF(ISNUMBER(O39),$D$10*O39,0)+IF(ISNUMBER(P39),$D$11*P39,0)+IF(ISNUMBER(Q39),$D$12*Q39,0))/(IF(ISNUMBER(L39),$D$7,0)+IF(ISNUMBER(M39),$D$8,0)+IF(ISNUMBER(N39),$D$9,0)+IF(ISNUMBER(O39),$D$10,0)+IF(ISNUMBER(P39),$D$11,0)+IF(ISNUMBER(Q39),$D$12,0)),"")</f>
        <v/>
      </c>
      <c r="S39" s="182">
        <f>IFERROR(LN($E$39),"")</f>
        <v/>
      </c>
      <c r="T39" s="182">
        <f>IFERROR($N$7+$N$8*$R$39,"")</f>
        <v/>
      </c>
      <c r="U39" s="262">
        <f>IFERROR($S$39-$T$39,"")</f>
        <v/>
      </c>
      <c r="V39" s="262">
        <f>IFERROR(($U$39-AVERAGE($U$15:$U$85))/STDEV($U$15:$U$85),"")</f>
        <v/>
      </c>
      <c r="W39" s="183">
        <f>IF(ISNUMBER($V$39),IF($V$39&gt;=1.5,"CHEAP",IF($V$39&gt;=0.5,"slightly cheap",IF($V$39&lt;=-1.5,"RICH",IF($V$39&lt;=-0.5,"slightly rich","fair")))),"")</f>
        <v/>
      </c>
      <c r="X39" s="292">
        <f>SUMPRODUCT(--ISNUMBER((D39,G39,H39,I39,J39,K39)))</f>
        <v/>
      </c>
      <c r="Y39" s="293">
        <f>IF(X39&gt;=5,"HIGH",IF(X39&gt;=3,"MED","LOW"))</f>
        <v/>
      </c>
      <c r="Z39" s="294">
        <f>IF(AND(ISNUMBER(S39),X39&gt;=$S$11),S39,"")</f>
        <v/>
      </c>
      <c r="AA39" s="295">
        <f>IF(AND(ISNUMBER(R39),X39&gt;=$S$11),R39,"")</f>
        <v/>
      </c>
    </row>
    <row r="40">
      <c r="B40" s="184">
        <f>Tickers!B32</f>
        <v/>
      </c>
      <c r="C40" s="185">
        <f>Tickers!C32</f>
        <v/>
      </c>
      <c r="D40" s="186">
        <f>Tickers!E32</f>
        <v/>
      </c>
      <c r="E40" s="263">
        <f>IFERROR(Tickers!G32,"")</f>
        <v/>
      </c>
      <c r="F40" s="263">
        <f>IFERROR(Tickers!I32,"")</f>
        <v/>
      </c>
      <c r="G40" s="264">
        <f>IFERROR(IF(ISNUMBER(Tickers!K32),Tickers!K32,IF(ISNUMBER(Haver!E32),Haver!E32,IF(ISNUMBER(Tickers!T32),Tickers!T32,""))),"")</f>
        <v/>
      </c>
      <c r="H40" s="264">
        <f>IFERROR(IF(ISNUMBER(Tickers!M32),Tickers!M32,IF(ISNUMBER(Haver!G32),Haver!G32,IF(ISNUMBER(Tickers!U32),Tickers!U32,""))),"")</f>
        <v/>
      </c>
      <c r="I40" s="264">
        <f>IFERROR(IF(ISNUMBER(Tickers!O32),Tickers!O32,IF(ISNUMBER(Haver!I32),Haver!I32,IF(ISNUMBER(Tickers!V32),Tickers!V32,""))),"")</f>
        <v/>
      </c>
      <c r="J40" s="264">
        <f>IFERROR(IF(ISNUMBER(Tickers!Q32),Tickers!Q32,IF(ISNUMBER(Haver!K32),Haver!K32,IF(ISNUMBER(Tickers!W32),Tickers!W32,""))),"")</f>
        <v/>
      </c>
      <c r="K40" s="263">
        <f>IFERROR(IF(ISNUMBER(Tickers!S32),Tickers!S32,IF(ISNUMBER(Haver!M32),Haver!M32,IF(ISNUMBER(Tickers!X32),Tickers!X32,""))),"")</f>
        <v/>
      </c>
      <c r="L40" s="265">
        <f>IFERROR(($D$40-AVERAGE($D$15:$D$85))/STDEV($D$15:$D$85),"")</f>
        <v/>
      </c>
      <c r="M40" s="265">
        <f>IFERROR(($I$40-AVERAGE($I$15:$I$85))/STDEV($I$15:$I$85),"")</f>
        <v/>
      </c>
      <c r="N40" s="265">
        <f>IFERROR(-($J$40-AVERAGE($J$15:$J$85))/STDEV($J$15:$J$85),"")</f>
        <v/>
      </c>
      <c r="O40" s="265">
        <f>IFERROR(-($K$40-AVERAGE($K$15:$K$85))/STDEV($K$15:$K$85),"")</f>
        <v/>
      </c>
      <c r="P40" s="265">
        <f>IFERROR(-($G$40-AVERAGE($G$15:$G$85))/STDEV($G$15:$G$85),"")</f>
        <v/>
      </c>
      <c r="Q40" s="265">
        <f>IFERROR(($H$40-AVERAGE($H$15:$H$85))/STDEV($H$15:$H$85),"")</f>
        <v/>
      </c>
      <c r="R40" s="265">
        <f>IFERROR((IF(ISNUMBER(L40),$D$7*L40,0)+IF(ISNUMBER(M40),$D$8*M40,0)+IF(ISNUMBER(N40),$D$9*N40,0)+IF(ISNUMBER(O40),$D$10*O40,0)+IF(ISNUMBER(P40),$D$11*P40,0)+IF(ISNUMBER(Q40),$D$12*Q40,0))/(IF(ISNUMBER(L40),$D$7,0)+IF(ISNUMBER(M40),$D$8,0)+IF(ISNUMBER(N40),$D$9,0)+IF(ISNUMBER(O40),$D$10,0)+IF(ISNUMBER(P40),$D$11,0)+IF(ISNUMBER(Q40),$D$12,0)),"")</f>
        <v/>
      </c>
      <c r="S40" s="190">
        <f>IFERROR(LN($E$40),"")</f>
        <v/>
      </c>
      <c r="T40" s="190">
        <f>IFERROR($N$7+$N$8*$R$40,"")</f>
        <v/>
      </c>
      <c r="U40" s="265">
        <f>IFERROR($S$40-$T$40,"")</f>
        <v/>
      </c>
      <c r="V40" s="265">
        <f>IFERROR(($U$40-AVERAGE($U$15:$U$85))/STDEV($U$15:$U$85),"")</f>
        <v/>
      </c>
      <c r="W40" s="191">
        <f>IF(ISNUMBER($V$40),IF($V$40&gt;=1.5,"CHEAP",IF($V$40&gt;=0.5,"slightly cheap",IF($V$40&lt;=-1.5,"RICH",IF($V$40&lt;=-0.5,"slightly rich","fair")))),"")</f>
        <v/>
      </c>
      <c r="X40" s="296">
        <f>SUMPRODUCT(--ISNUMBER((D40,G40,H40,I40,J40,K40)))</f>
        <v/>
      </c>
      <c r="Y40" s="297">
        <f>IF(X40&gt;=5,"HIGH",IF(X40&gt;=3,"MED","LOW"))</f>
        <v/>
      </c>
      <c r="Z40" s="298">
        <f>IF(AND(ISNUMBER(S40),X40&gt;=$S$11),S40,"")</f>
        <v/>
      </c>
      <c r="AA40" s="299">
        <f>IF(AND(ISNUMBER(R40),X40&gt;=$S$11),R40,"")</f>
        <v/>
      </c>
    </row>
    <row r="41">
      <c r="B41" s="176">
        <f>Tickers!B33</f>
        <v/>
      </c>
      <c r="C41" s="177">
        <f>Tickers!C33</f>
        <v/>
      </c>
      <c r="D41" s="178">
        <f>Tickers!E33</f>
        <v/>
      </c>
      <c r="E41" s="260">
        <f>IFERROR(Tickers!G33,"")</f>
        <v/>
      </c>
      <c r="F41" s="260">
        <f>IFERROR(Tickers!I33,"")</f>
        <v/>
      </c>
      <c r="G41" s="261">
        <f>IFERROR(IF(ISNUMBER(Tickers!K33),Tickers!K33,IF(ISNUMBER(Haver!E33),Haver!E33,IF(ISNUMBER(Tickers!T33),Tickers!T33,""))),"")</f>
        <v/>
      </c>
      <c r="H41" s="261">
        <f>IFERROR(IF(ISNUMBER(Tickers!M33),Tickers!M33,IF(ISNUMBER(Haver!G33),Haver!G33,IF(ISNUMBER(Tickers!U33),Tickers!U33,""))),"")</f>
        <v/>
      </c>
      <c r="I41" s="261">
        <f>IFERROR(IF(ISNUMBER(Tickers!O33),Tickers!O33,IF(ISNUMBER(Haver!I33),Haver!I33,IF(ISNUMBER(Tickers!V33),Tickers!V33,""))),"")</f>
        <v/>
      </c>
      <c r="J41" s="261">
        <f>IFERROR(IF(ISNUMBER(Tickers!Q33),Tickers!Q33,IF(ISNUMBER(Haver!K33),Haver!K33,IF(ISNUMBER(Tickers!W33),Tickers!W33,""))),"")</f>
        <v/>
      </c>
      <c r="K41" s="260">
        <f>IFERROR(IF(ISNUMBER(Tickers!S33),Tickers!S33,IF(ISNUMBER(Haver!M33),Haver!M33,IF(ISNUMBER(Tickers!X33),Tickers!X33,""))),"")</f>
        <v/>
      </c>
      <c r="L41" s="262">
        <f>IFERROR(($D$41-AVERAGE($D$15:$D$85))/STDEV($D$15:$D$85),"")</f>
        <v/>
      </c>
      <c r="M41" s="262">
        <f>IFERROR(($I$41-AVERAGE($I$15:$I$85))/STDEV($I$15:$I$85),"")</f>
        <v/>
      </c>
      <c r="N41" s="262">
        <f>IFERROR(-($J$41-AVERAGE($J$15:$J$85))/STDEV($J$15:$J$85),"")</f>
        <v/>
      </c>
      <c r="O41" s="262">
        <f>IFERROR(-($K$41-AVERAGE($K$15:$K$85))/STDEV($K$15:$K$85),"")</f>
        <v/>
      </c>
      <c r="P41" s="262">
        <f>IFERROR(-($G$41-AVERAGE($G$15:$G$85))/STDEV($G$15:$G$85),"")</f>
        <v/>
      </c>
      <c r="Q41" s="262">
        <f>IFERROR(($H$41-AVERAGE($H$15:$H$85))/STDEV($H$15:$H$85),"")</f>
        <v/>
      </c>
      <c r="R41" s="262">
        <f>IFERROR((IF(ISNUMBER(L41),$D$7*L41,0)+IF(ISNUMBER(M41),$D$8*M41,0)+IF(ISNUMBER(N41),$D$9*N41,0)+IF(ISNUMBER(O41),$D$10*O41,0)+IF(ISNUMBER(P41),$D$11*P41,0)+IF(ISNUMBER(Q41),$D$12*Q41,0))/(IF(ISNUMBER(L41),$D$7,0)+IF(ISNUMBER(M41),$D$8,0)+IF(ISNUMBER(N41),$D$9,0)+IF(ISNUMBER(O41),$D$10,0)+IF(ISNUMBER(P41),$D$11,0)+IF(ISNUMBER(Q41),$D$12,0)),"")</f>
        <v/>
      </c>
      <c r="S41" s="182">
        <f>IFERROR(LN($E$41),"")</f>
        <v/>
      </c>
      <c r="T41" s="182">
        <f>IFERROR($N$7+$N$8*$R$41,"")</f>
        <v/>
      </c>
      <c r="U41" s="262">
        <f>IFERROR($S$41-$T$41,"")</f>
        <v/>
      </c>
      <c r="V41" s="262">
        <f>IFERROR(($U$41-AVERAGE($U$15:$U$85))/STDEV($U$15:$U$85),"")</f>
        <v/>
      </c>
      <c r="W41" s="183">
        <f>IF(ISNUMBER($V$41),IF($V$41&gt;=1.5,"CHEAP",IF($V$41&gt;=0.5,"slightly cheap",IF($V$41&lt;=-1.5,"RICH",IF($V$41&lt;=-0.5,"slightly rich","fair")))),"")</f>
        <v/>
      </c>
      <c r="X41" s="292">
        <f>SUMPRODUCT(--ISNUMBER((D41,G41,H41,I41,J41,K41)))</f>
        <v/>
      </c>
      <c r="Y41" s="293">
        <f>IF(X41&gt;=5,"HIGH",IF(X41&gt;=3,"MED","LOW"))</f>
        <v/>
      </c>
      <c r="Z41" s="294">
        <f>IF(AND(ISNUMBER(S41),X41&gt;=$S$11),S41,"")</f>
        <v/>
      </c>
      <c r="AA41" s="295">
        <f>IF(AND(ISNUMBER(R41),X41&gt;=$S$11),R41,"")</f>
        <v/>
      </c>
    </row>
    <row r="42">
      <c r="B42" s="184">
        <f>Tickers!B34</f>
        <v/>
      </c>
      <c r="C42" s="185">
        <f>Tickers!C34</f>
        <v/>
      </c>
      <c r="D42" s="186">
        <f>Tickers!E34</f>
        <v/>
      </c>
      <c r="E42" s="263">
        <f>IFERROR(Tickers!G34,"")</f>
        <v/>
      </c>
      <c r="F42" s="263">
        <f>IFERROR(Tickers!I34,"")</f>
        <v/>
      </c>
      <c r="G42" s="264">
        <f>IFERROR(IF(ISNUMBER(Tickers!K34),Tickers!K34,IF(ISNUMBER(Haver!E34),Haver!E34,IF(ISNUMBER(Tickers!T34),Tickers!T34,""))),"")</f>
        <v/>
      </c>
      <c r="H42" s="264">
        <f>IFERROR(IF(ISNUMBER(Tickers!M34),Tickers!M34,IF(ISNUMBER(Haver!G34),Haver!G34,IF(ISNUMBER(Tickers!U34),Tickers!U34,""))),"")</f>
        <v/>
      </c>
      <c r="I42" s="264">
        <f>IFERROR(IF(ISNUMBER(Tickers!O34),Tickers!O34,IF(ISNUMBER(Haver!I34),Haver!I34,IF(ISNUMBER(Tickers!V34),Tickers!V34,""))),"")</f>
        <v/>
      </c>
      <c r="J42" s="264">
        <f>IFERROR(IF(ISNUMBER(Tickers!Q34),Tickers!Q34,IF(ISNUMBER(Haver!K34),Haver!K34,IF(ISNUMBER(Tickers!W34),Tickers!W34,""))),"")</f>
        <v/>
      </c>
      <c r="K42" s="263">
        <f>IFERROR(IF(ISNUMBER(Tickers!S34),Tickers!S34,IF(ISNUMBER(Haver!M34),Haver!M34,IF(ISNUMBER(Tickers!X34),Tickers!X34,""))),"")</f>
        <v/>
      </c>
      <c r="L42" s="265">
        <f>IFERROR(($D$42-AVERAGE($D$15:$D$85))/STDEV($D$15:$D$85),"")</f>
        <v/>
      </c>
      <c r="M42" s="265">
        <f>IFERROR(($I$42-AVERAGE($I$15:$I$85))/STDEV($I$15:$I$85),"")</f>
        <v/>
      </c>
      <c r="N42" s="265">
        <f>IFERROR(-($J$42-AVERAGE($J$15:$J$85))/STDEV($J$15:$J$85),"")</f>
        <v/>
      </c>
      <c r="O42" s="265">
        <f>IFERROR(-($K$42-AVERAGE($K$15:$K$85))/STDEV($K$15:$K$85),"")</f>
        <v/>
      </c>
      <c r="P42" s="265">
        <f>IFERROR(-($G$42-AVERAGE($G$15:$G$85))/STDEV($G$15:$G$85),"")</f>
        <v/>
      </c>
      <c r="Q42" s="265">
        <f>IFERROR(($H$42-AVERAGE($H$15:$H$85))/STDEV($H$15:$H$85),"")</f>
        <v/>
      </c>
      <c r="R42" s="265">
        <f>IFERROR((IF(ISNUMBER(L42),$D$7*L42,0)+IF(ISNUMBER(M42),$D$8*M42,0)+IF(ISNUMBER(N42),$D$9*N42,0)+IF(ISNUMBER(O42),$D$10*O42,0)+IF(ISNUMBER(P42),$D$11*P42,0)+IF(ISNUMBER(Q42),$D$12*Q42,0))/(IF(ISNUMBER(L42),$D$7,0)+IF(ISNUMBER(M42),$D$8,0)+IF(ISNUMBER(N42),$D$9,0)+IF(ISNUMBER(O42),$D$10,0)+IF(ISNUMBER(P42),$D$11,0)+IF(ISNUMBER(Q42),$D$12,0)),"")</f>
        <v/>
      </c>
      <c r="S42" s="190">
        <f>IFERROR(LN($E$42),"")</f>
        <v/>
      </c>
      <c r="T42" s="190">
        <f>IFERROR($N$7+$N$8*$R$42,"")</f>
        <v/>
      </c>
      <c r="U42" s="265">
        <f>IFERROR($S$42-$T$42,"")</f>
        <v/>
      </c>
      <c r="V42" s="265">
        <f>IFERROR(($U$42-AVERAGE($U$15:$U$85))/STDEV($U$15:$U$85),"")</f>
        <v/>
      </c>
      <c r="W42" s="191">
        <f>IF(ISNUMBER($V$42),IF($V$42&gt;=1.5,"CHEAP",IF($V$42&gt;=0.5,"slightly cheap",IF($V$42&lt;=-1.5,"RICH",IF($V$42&lt;=-0.5,"slightly rich","fair")))),"")</f>
        <v/>
      </c>
      <c r="X42" s="296">
        <f>SUMPRODUCT(--ISNUMBER((D42,G42,H42,I42,J42,K42)))</f>
        <v/>
      </c>
      <c r="Y42" s="297">
        <f>IF(X42&gt;=5,"HIGH",IF(X42&gt;=3,"MED","LOW"))</f>
        <v/>
      </c>
      <c r="Z42" s="298">
        <f>IF(AND(ISNUMBER(S42),X42&gt;=$S$11),S42,"")</f>
        <v/>
      </c>
      <c r="AA42" s="299">
        <f>IF(AND(ISNUMBER(R42),X42&gt;=$S$11),R42,"")</f>
        <v/>
      </c>
    </row>
    <row r="43">
      <c r="B43" s="176">
        <f>Tickers!B35</f>
        <v/>
      </c>
      <c r="C43" s="177">
        <f>Tickers!C35</f>
        <v/>
      </c>
      <c r="D43" s="178">
        <f>Tickers!E35</f>
        <v/>
      </c>
      <c r="E43" s="260">
        <f>IFERROR(Tickers!G35,"")</f>
        <v/>
      </c>
      <c r="F43" s="260">
        <f>IFERROR(Tickers!I35,"")</f>
        <v/>
      </c>
      <c r="G43" s="261">
        <f>IFERROR(IF(ISNUMBER(Tickers!K35),Tickers!K35,IF(ISNUMBER(Haver!E35),Haver!E35,IF(ISNUMBER(Tickers!T35),Tickers!T35,""))),"")</f>
        <v/>
      </c>
      <c r="H43" s="261">
        <f>IFERROR(IF(ISNUMBER(Tickers!M35),Tickers!M35,IF(ISNUMBER(Haver!G35),Haver!G35,IF(ISNUMBER(Tickers!U35),Tickers!U35,""))),"")</f>
        <v/>
      </c>
      <c r="I43" s="261">
        <f>IFERROR(IF(ISNUMBER(Tickers!O35),Tickers!O35,IF(ISNUMBER(Haver!I35),Haver!I35,IF(ISNUMBER(Tickers!V35),Tickers!V35,""))),"")</f>
        <v/>
      </c>
      <c r="J43" s="261">
        <f>IFERROR(IF(ISNUMBER(Tickers!Q35),Tickers!Q35,IF(ISNUMBER(Haver!K35),Haver!K35,IF(ISNUMBER(Tickers!W35),Tickers!W35,""))),"")</f>
        <v/>
      </c>
      <c r="K43" s="260">
        <f>IFERROR(IF(ISNUMBER(Tickers!S35),Tickers!S35,IF(ISNUMBER(Haver!M35),Haver!M35,IF(ISNUMBER(Tickers!X35),Tickers!X35,""))),"")</f>
        <v/>
      </c>
      <c r="L43" s="262">
        <f>IFERROR(($D$43-AVERAGE($D$15:$D$85))/STDEV($D$15:$D$85),"")</f>
        <v/>
      </c>
      <c r="M43" s="262">
        <f>IFERROR(($I$43-AVERAGE($I$15:$I$85))/STDEV($I$15:$I$85),"")</f>
        <v/>
      </c>
      <c r="N43" s="262">
        <f>IFERROR(-($J$43-AVERAGE($J$15:$J$85))/STDEV($J$15:$J$85),"")</f>
        <v/>
      </c>
      <c r="O43" s="262">
        <f>IFERROR(-($K$43-AVERAGE($K$15:$K$85))/STDEV($K$15:$K$85),"")</f>
        <v/>
      </c>
      <c r="P43" s="262">
        <f>IFERROR(-($G$43-AVERAGE($G$15:$G$85))/STDEV($G$15:$G$85),"")</f>
        <v/>
      </c>
      <c r="Q43" s="262">
        <f>IFERROR(($H$43-AVERAGE($H$15:$H$85))/STDEV($H$15:$H$85),"")</f>
        <v/>
      </c>
      <c r="R43" s="262">
        <f>IFERROR((IF(ISNUMBER(L43),$D$7*L43,0)+IF(ISNUMBER(M43),$D$8*M43,0)+IF(ISNUMBER(N43),$D$9*N43,0)+IF(ISNUMBER(O43),$D$10*O43,0)+IF(ISNUMBER(P43),$D$11*P43,0)+IF(ISNUMBER(Q43),$D$12*Q43,0))/(IF(ISNUMBER(L43),$D$7,0)+IF(ISNUMBER(M43),$D$8,0)+IF(ISNUMBER(N43),$D$9,0)+IF(ISNUMBER(O43),$D$10,0)+IF(ISNUMBER(P43),$D$11,0)+IF(ISNUMBER(Q43),$D$12,0)),"")</f>
        <v/>
      </c>
      <c r="S43" s="182">
        <f>IFERROR(LN($E$43),"")</f>
        <v/>
      </c>
      <c r="T43" s="182">
        <f>IFERROR($N$7+$N$8*$R$43,"")</f>
        <v/>
      </c>
      <c r="U43" s="262">
        <f>IFERROR($S$43-$T$43,"")</f>
        <v/>
      </c>
      <c r="V43" s="262">
        <f>IFERROR(($U$43-AVERAGE($U$15:$U$85))/STDEV($U$15:$U$85),"")</f>
        <v/>
      </c>
      <c r="W43" s="183">
        <f>IF(ISNUMBER($V$43),IF($V$43&gt;=1.5,"CHEAP",IF($V$43&gt;=0.5,"slightly cheap",IF($V$43&lt;=-1.5,"RICH",IF($V$43&lt;=-0.5,"slightly rich","fair")))),"")</f>
        <v/>
      </c>
      <c r="X43" s="292">
        <f>SUMPRODUCT(--ISNUMBER((D43,G43,H43,I43,J43,K43)))</f>
        <v/>
      </c>
      <c r="Y43" s="293">
        <f>IF(X43&gt;=5,"HIGH",IF(X43&gt;=3,"MED","LOW"))</f>
        <v/>
      </c>
      <c r="Z43" s="294">
        <f>IF(AND(ISNUMBER(S43),X43&gt;=$S$11),S43,"")</f>
        <v/>
      </c>
      <c r="AA43" s="295">
        <f>IF(AND(ISNUMBER(R43),X43&gt;=$S$11),R43,"")</f>
        <v/>
      </c>
    </row>
    <row r="44">
      <c r="B44" s="184">
        <f>Tickers!B36</f>
        <v/>
      </c>
      <c r="C44" s="185">
        <f>Tickers!C36</f>
        <v/>
      </c>
      <c r="D44" s="186">
        <f>Tickers!E36</f>
        <v/>
      </c>
      <c r="E44" s="263">
        <f>IFERROR(Tickers!G36,"")</f>
        <v/>
      </c>
      <c r="F44" s="263">
        <f>IFERROR(Tickers!I36,"")</f>
        <v/>
      </c>
      <c r="G44" s="264">
        <f>IFERROR(IF(ISNUMBER(Tickers!K36),Tickers!K36,IF(ISNUMBER(Haver!E36),Haver!E36,IF(ISNUMBER(Tickers!T36),Tickers!T36,""))),"")</f>
        <v/>
      </c>
      <c r="H44" s="264">
        <f>IFERROR(IF(ISNUMBER(Tickers!M36),Tickers!M36,IF(ISNUMBER(Haver!G36),Haver!G36,IF(ISNUMBER(Tickers!U36),Tickers!U36,""))),"")</f>
        <v/>
      </c>
      <c r="I44" s="264">
        <f>IFERROR(IF(ISNUMBER(Tickers!O36),Tickers!O36,IF(ISNUMBER(Haver!I36),Haver!I36,IF(ISNUMBER(Tickers!V36),Tickers!V36,""))),"")</f>
        <v/>
      </c>
      <c r="J44" s="264">
        <f>IFERROR(IF(ISNUMBER(Tickers!Q36),Tickers!Q36,IF(ISNUMBER(Haver!K36),Haver!K36,IF(ISNUMBER(Tickers!W36),Tickers!W36,""))),"")</f>
        <v/>
      </c>
      <c r="K44" s="263">
        <f>IFERROR(IF(ISNUMBER(Tickers!S36),Tickers!S36,IF(ISNUMBER(Haver!M36),Haver!M36,IF(ISNUMBER(Tickers!X36),Tickers!X36,""))),"")</f>
        <v/>
      </c>
      <c r="L44" s="265">
        <f>IFERROR(($D$44-AVERAGE($D$15:$D$85))/STDEV($D$15:$D$85),"")</f>
        <v/>
      </c>
      <c r="M44" s="265">
        <f>IFERROR(($I$44-AVERAGE($I$15:$I$85))/STDEV($I$15:$I$85),"")</f>
        <v/>
      </c>
      <c r="N44" s="265">
        <f>IFERROR(-($J$44-AVERAGE($J$15:$J$85))/STDEV($J$15:$J$85),"")</f>
        <v/>
      </c>
      <c r="O44" s="265">
        <f>IFERROR(-($K$44-AVERAGE($K$15:$K$85))/STDEV($K$15:$K$85),"")</f>
        <v/>
      </c>
      <c r="P44" s="265">
        <f>IFERROR(-($G$44-AVERAGE($G$15:$G$85))/STDEV($G$15:$G$85),"")</f>
        <v/>
      </c>
      <c r="Q44" s="265">
        <f>IFERROR(($H$44-AVERAGE($H$15:$H$85))/STDEV($H$15:$H$85),"")</f>
        <v/>
      </c>
      <c r="R44" s="265">
        <f>IFERROR((IF(ISNUMBER(L44),$D$7*L44,0)+IF(ISNUMBER(M44),$D$8*M44,0)+IF(ISNUMBER(N44),$D$9*N44,0)+IF(ISNUMBER(O44),$D$10*O44,0)+IF(ISNUMBER(P44),$D$11*P44,0)+IF(ISNUMBER(Q44),$D$12*Q44,0))/(IF(ISNUMBER(L44),$D$7,0)+IF(ISNUMBER(M44),$D$8,0)+IF(ISNUMBER(N44),$D$9,0)+IF(ISNUMBER(O44),$D$10,0)+IF(ISNUMBER(P44),$D$11,0)+IF(ISNUMBER(Q44),$D$12,0)),"")</f>
        <v/>
      </c>
      <c r="S44" s="190">
        <f>IFERROR(LN($E$44),"")</f>
        <v/>
      </c>
      <c r="T44" s="190">
        <f>IFERROR($N$7+$N$8*$R$44,"")</f>
        <v/>
      </c>
      <c r="U44" s="265">
        <f>IFERROR($S$44-$T$44,"")</f>
        <v/>
      </c>
      <c r="V44" s="265">
        <f>IFERROR(($U$44-AVERAGE($U$15:$U$85))/STDEV($U$15:$U$85),"")</f>
        <v/>
      </c>
      <c r="W44" s="191">
        <f>IF(ISNUMBER($V$44),IF($V$44&gt;=1.5,"CHEAP",IF($V$44&gt;=0.5,"slightly cheap",IF($V$44&lt;=-1.5,"RICH",IF($V$44&lt;=-0.5,"slightly rich","fair")))),"")</f>
        <v/>
      </c>
      <c r="X44" s="296">
        <f>SUMPRODUCT(--ISNUMBER((D44,G44,H44,I44,J44,K44)))</f>
        <v/>
      </c>
      <c r="Y44" s="297">
        <f>IF(X44&gt;=5,"HIGH",IF(X44&gt;=3,"MED","LOW"))</f>
        <v/>
      </c>
      <c r="Z44" s="298">
        <f>IF(AND(ISNUMBER(S44),X44&gt;=$S$11),S44,"")</f>
        <v/>
      </c>
      <c r="AA44" s="299">
        <f>IF(AND(ISNUMBER(R44),X44&gt;=$S$11),R44,"")</f>
        <v/>
      </c>
    </row>
    <row r="45">
      <c r="B45" s="176">
        <f>Tickers!B37</f>
        <v/>
      </c>
      <c r="C45" s="177">
        <f>Tickers!C37</f>
        <v/>
      </c>
      <c r="D45" s="178">
        <f>Tickers!E37</f>
        <v/>
      </c>
      <c r="E45" s="260">
        <f>IFERROR(Tickers!G37,"")</f>
        <v/>
      </c>
      <c r="F45" s="260">
        <f>IFERROR(Tickers!I37,"")</f>
        <v/>
      </c>
      <c r="G45" s="261">
        <f>IFERROR(IF(ISNUMBER(Tickers!K37),Tickers!K37,IF(ISNUMBER(Haver!E37),Haver!E37,IF(ISNUMBER(Tickers!T37),Tickers!T37,""))),"")</f>
        <v/>
      </c>
      <c r="H45" s="261">
        <f>IFERROR(IF(ISNUMBER(Tickers!M37),Tickers!M37,IF(ISNUMBER(Haver!G37),Haver!G37,IF(ISNUMBER(Tickers!U37),Tickers!U37,""))),"")</f>
        <v/>
      </c>
      <c r="I45" s="261">
        <f>IFERROR(IF(ISNUMBER(Tickers!O37),Tickers!O37,IF(ISNUMBER(Haver!I37),Haver!I37,IF(ISNUMBER(Tickers!V37),Tickers!V37,""))),"")</f>
        <v/>
      </c>
      <c r="J45" s="261">
        <f>IFERROR(IF(ISNUMBER(Tickers!Q37),Tickers!Q37,IF(ISNUMBER(Haver!K37),Haver!K37,IF(ISNUMBER(Tickers!W37),Tickers!W37,""))),"")</f>
        <v/>
      </c>
      <c r="K45" s="260">
        <f>IFERROR(IF(ISNUMBER(Tickers!S37),Tickers!S37,IF(ISNUMBER(Haver!M37),Haver!M37,IF(ISNUMBER(Tickers!X37),Tickers!X37,""))),"")</f>
        <v/>
      </c>
      <c r="L45" s="262">
        <f>IFERROR(($D$45-AVERAGE($D$15:$D$85))/STDEV($D$15:$D$85),"")</f>
        <v/>
      </c>
      <c r="M45" s="262">
        <f>IFERROR(($I$45-AVERAGE($I$15:$I$85))/STDEV($I$15:$I$85),"")</f>
        <v/>
      </c>
      <c r="N45" s="262">
        <f>IFERROR(-($J$45-AVERAGE($J$15:$J$85))/STDEV($J$15:$J$85),"")</f>
        <v/>
      </c>
      <c r="O45" s="262">
        <f>IFERROR(-($K$45-AVERAGE($K$15:$K$85))/STDEV($K$15:$K$85),"")</f>
        <v/>
      </c>
      <c r="P45" s="262">
        <f>IFERROR(-($G$45-AVERAGE($G$15:$G$85))/STDEV($G$15:$G$85),"")</f>
        <v/>
      </c>
      <c r="Q45" s="262">
        <f>IFERROR(($H$45-AVERAGE($H$15:$H$85))/STDEV($H$15:$H$85),"")</f>
        <v/>
      </c>
      <c r="R45" s="262">
        <f>IFERROR((IF(ISNUMBER(L45),$D$7*L45,0)+IF(ISNUMBER(M45),$D$8*M45,0)+IF(ISNUMBER(N45),$D$9*N45,0)+IF(ISNUMBER(O45),$D$10*O45,0)+IF(ISNUMBER(P45),$D$11*P45,0)+IF(ISNUMBER(Q45),$D$12*Q45,0))/(IF(ISNUMBER(L45),$D$7,0)+IF(ISNUMBER(M45),$D$8,0)+IF(ISNUMBER(N45),$D$9,0)+IF(ISNUMBER(O45),$D$10,0)+IF(ISNUMBER(P45),$D$11,0)+IF(ISNUMBER(Q45),$D$12,0)),"")</f>
        <v/>
      </c>
      <c r="S45" s="182">
        <f>IFERROR(LN($E$45),"")</f>
        <v/>
      </c>
      <c r="T45" s="182">
        <f>IFERROR($N$7+$N$8*$R$45,"")</f>
        <v/>
      </c>
      <c r="U45" s="262">
        <f>IFERROR($S$45-$T$45,"")</f>
        <v/>
      </c>
      <c r="V45" s="262">
        <f>IFERROR(($U$45-AVERAGE($U$15:$U$85))/STDEV($U$15:$U$85),"")</f>
        <v/>
      </c>
      <c r="W45" s="183">
        <f>IF(ISNUMBER($V$45),IF($V$45&gt;=1.5,"CHEAP",IF($V$45&gt;=0.5,"slightly cheap",IF($V$45&lt;=-1.5,"RICH",IF($V$45&lt;=-0.5,"slightly rich","fair")))),"")</f>
        <v/>
      </c>
      <c r="X45" s="292">
        <f>SUMPRODUCT(--ISNUMBER((D45,G45,H45,I45,J45,K45)))</f>
        <v/>
      </c>
      <c r="Y45" s="293">
        <f>IF(X45&gt;=5,"HIGH",IF(X45&gt;=3,"MED","LOW"))</f>
        <v/>
      </c>
      <c r="Z45" s="294">
        <f>IF(AND(ISNUMBER(S45),X45&gt;=$S$11),S45,"")</f>
        <v/>
      </c>
      <c r="AA45" s="295">
        <f>IF(AND(ISNUMBER(R45),X45&gt;=$S$11),R45,"")</f>
        <v/>
      </c>
    </row>
    <row r="46">
      <c r="B46" s="184">
        <f>Tickers!B38</f>
        <v/>
      </c>
      <c r="C46" s="185">
        <f>Tickers!C38</f>
        <v/>
      </c>
      <c r="D46" s="186">
        <f>Tickers!E38</f>
        <v/>
      </c>
      <c r="E46" s="263">
        <f>IFERROR(Tickers!G38,"")</f>
        <v/>
      </c>
      <c r="F46" s="263">
        <f>IFERROR(Tickers!I38,"")</f>
        <v/>
      </c>
      <c r="G46" s="264">
        <f>IFERROR(IF(ISNUMBER(Tickers!K38),Tickers!K38,IF(ISNUMBER(Haver!E38),Haver!E38,IF(ISNUMBER(Tickers!T38),Tickers!T38,""))),"")</f>
        <v/>
      </c>
      <c r="H46" s="264">
        <f>IFERROR(IF(ISNUMBER(Tickers!M38),Tickers!M38,IF(ISNUMBER(Haver!G38),Haver!G38,IF(ISNUMBER(Tickers!U38),Tickers!U38,""))),"")</f>
        <v/>
      </c>
      <c r="I46" s="264">
        <f>IFERROR(IF(ISNUMBER(Tickers!O38),Tickers!O38,IF(ISNUMBER(Haver!I38),Haver!I38,IF(ISNUMBER(Tickers!V38),Tickers!V38,""))),"")</f>
        <v/>
      </c>
      <c r="J46" s="264">
        <f>IFERROR(IF(ISNUMBER(Tickers!Q38),Tickers!Q38,IF(ISNUMBER(Haver!K38),Haver!K38,IF(ISNUMBER(Tickers!W38),Tickers!W38,""))),"")</f>
        <v/>
      </c>
      <c r="K46" s="263">
        <f>IFERROR(IF(ISNUMBER(Tickers!S38),Tickers!S38,IF(ISNUMBER(Haver!M38),Haver!M38,IF(ISNUMBER(Tickers!X38),Tickers!X38,""))),"")</f>
        <v/>
      </c>
      <c r="L46" s="265">
        <f>IFERROR(($D$46-AVERAGE($D$15:$D$85))/STDEV($D$15:$D$85),"")</f>
        <v/>
      </c>
      <c r="M46" s="265">
        <f>IFERROR(($I$46-AVERAGE($I$15:$I$85))/STDEV($I$15:$I$85),"")</f>
        <v/>
      </c>
      <c r="N46" s="265">
        <f>IFERROR(-($J$46-AVERAGE($J$15:$J$85))/STDEV($J$15:$J$85),"")</f>
        <v/>
      </c>
      <c r="O46" s="265">
        <f>IFERROR(-($K$46-AVERAGE($K$15:$K$85))/STDEV($K$15:$K$85),"")</f>
        <v/>
      </c>
      <c r="P46" s="265">
        <f>IFERROR(-($G$46-AVERAGE($G$15:$G$85))/STDEV($G$15:$G$85),"")</f>
        <v/>
      </c>
      <c r="Q46" s="265">
        <f>IFERROR(($H$46-AVERAGE($H$15:$H$85))/STDEV($H$15:$H$85),"")</f>
        <v/>
      </c>
      <c r="R46" s="265">
        <f>IFERROR((IF(ISNUMBER(L46),$D$7*L46,0)+IF(ISNUMBER(M46),$D$8*M46,0)+IF(ISNUMBER(N46),$D$9*N46,0)+IF(ISNUMBER(O46),$D$10*O46,0)+IF(ISNUMBER(P46),$D$11*P46,0)+IF(ISNUMBER(Q46),$D$12*Q46,0))/(IF(ISNUMBER(L46),$D$7,0)+IF(ISNUMBER(M46),$D$8,0)+IF(ISNUMBER(N46),$D$9,0)+IF(ISNUMBER(O46),$D$10,0)+IF(ISNUMBER(P46),$D$11,0)+IF(ISNUMBER(Q46),$D$12,0)),"")</f>
        <v/>
      </c>
      <c r="S46" s="190">
        <f>IFERROR(LN($E$46),"")</f>
        <v/>
      </c>
      <c r="T46" s="190">
        <f>IFERROR($N$7+$N$8*$R$46,"")</f>
        <v/>
      </c>
      <c r="U46" s="265">
        <f>IFERROR($S$46-$T$46,"")</f>
        <v/>
      </c>
      <c r="V46" s="265">
        <f>IFERROR(($U$46-AVERAGE($U$15:$U$85))/STDEV($U$15:$U$85),"")</f>
        <v/>
      </c>
      <c r="W46" s="191">
        <f>IF(ISNUMBER($V$46),IF($V$46&gt;=1.5,"CHEAP",IF($V$46&gt;=0.5,"slightly cheap",IF($V$46&lt;=-1.5,"RICH",IF($V$46&lt;=-0.5,"slightly rich","fair")))),"")</f>
        <v/>
      </c>
      <c r="X46" s="296">
        <f>SUMPRODUCT(--ISNUMBER((D46,G46,H46,I46,J46,K46)))</f>
        <v/>
      </c>
      <c r="Y46" s="297">
        <f>IF(X46&gt;=5,"HIGH",IF(X46&gt;=3,"MED","LOW"))</f>
        <v/>
      </c>
      <c r="Z46" s="298">
        <f>IF(AND(ISNUMBER(S46),X46&gt;=$S$11),S46,"")</f>
        <v/>
      </c>
      <c r="AA46" s="299">
        <f>IF(AND(ISNUMBER(R46),X46&gt;=$S$11),R46,"")</f>
        <v/>
      </c>
    </row>
    <row r="47">
      <c r="B47" s="176">
        <f>Tickers!B39</f>
        <v/>
      </c>
      <c r="C47" s="177">
        <f>Tickers!C39</f>
        <v/>
      </c>
      <c r="D47" s="178">
        <f>Tickers!E39</f>
        <v/>
      </c>
      <c r="E47" s="260">
        <f>IFERROR(Tickers!G39,"")</f>
        <v/>
      </c>
      <c r="F47" s="260">
        <f>IFERROR(Tickers!I39,"")</f>
        <v/>
      </c>
      <c r="G47" s="261">
        <f>IFERROR(IF(ISNUMBER(Tickers!K39),Tickers!K39,IF(ISNUMBER(Haver!E39),Haver!E39,IF(ISNUMBER(Tickers!T39),Tickers!T39,""))),"")</f>
        <v/>
      </c>
      <c r="H47" s="261">
        <f>IFERROR(IF(ISNUMBER(Tickers!M39),Tickers!M39,IF(ISNUMBER(Haver!G39),Haver!G39,IF(ISNUMBER(Tickers!U39),Tickers!U39,""))),"")</f>
        <v/>
      </c>
      <c r="I47" s="261">
        <f>IFERROR(IF(ISNUMBER(Tickers!O39),Tickers!O39,IF(ISNUMBER(Haver!I39),Haver!I39,IF(ISNUMBER(Tickers!V39),Tickers!V39,""))),"")</f>
        <v/>
      </c>
      <c r="J47" s="261">
        <f>IFERROR(IF(ISNUMBER(Tickers!Q39),Tickers!Q39,IF(ISNUMBER(Haver!K39),Haver!K39,IF(ISNUMBER(Tickers!W39),Tickers!W39,""))),"")</f>
        <v/>
      </c>
      <c r="K47" s="260">
        <f>IFERROR(IF(ISNUMBER(Tickers!S39),Tickers!S39,IF(ISNUMBER(Haver!M39),Haver!M39,IF(ISNUMBER(Tickers!X39),Tickers!X39,""))),"")</f>
        <v/>
      </c>
      <c r="L47" s="262">
        <f>IFERROR(($D$47-AVERAGE($D$15:$D$85))/STDEV($D$15:$D$85),"")</f>
        <v/>
      </c>
      <c r="M47" s="262">
        <f>IFERROR(($I$47-AVERAGE($I$15:$I$85))/STDEV($I$15:$I$85),"")</f>
        <v/>
      </c>
      <c r="N47" s="262">
        <f>IFERROR(-($J$47-AVERAGE($J$15:$J$85))/STDEV($J$15:$J$85),"")</f>
        <v/>
      </c>
      <c r="O47" s="262">
        <f>IFERROR(-($K$47-AVERAGE($K$15:$K$85))/STDEV($K$15:$K$85),"")</f>
        <v/>
      </c>
      <c r="P47" s="262">
        <f>IFERROR(-($G$47-AVERAGE($G$15:$G$85))/STDEV($G$15:$G$85),"")</f>
        <v/>
      </c>
      <c r="Q47" s="262">
        <f>IFERROR(($H$47-AVERAGE($H$15:$H$85))/STDEV($H$15:$H$85),"")</f>
        <v/>
      </c>
      <c r="R47" s="262">
        <f>IFERROR((IF(ISNUMBER(L47),$D$7*L47,0)+IF(ISNUMBER(M47),$D$8*M47,0)+IF(ISNUMBER(N47),$D$9*N47,0)+IF(ISNUMBER(O47),$D$10*O47,0)+IF(ISNUMBER(P47),$D$11*P47,0)+IF(ISNUMBER(Q47),$D$12*Q47,0))/(IF(ISNUMBER(L47),$D$7,0)+IF(ISNUMBER(M47),$D$8,0)+IF(ISNUMBER(N47),$D$9,0)+IF(ISNUMBER(O47),$D$10,0)+IF(ISNUMBER(P47),$D$11,0)+IF(ISNUMBER(Q47),$D$12,0)),"")</f>
        <v/>
      </c>
      <c r="S47" s="182">
        <f>IFERROR(LN($E$47),"")</f>
        <v/>
      </c>
      <c r="T47" s="182">
        <f>IFERROR($N$7+$N$8*$R$47,"")</f>
        <v/>
      </c>
      <c r="U47" s="262">
        <f>IFERROR($S$47-$T$47,"")</f>
        <v/>
      </c>
      <c r="V47" s="262">
        <f>IFERROR(($U$47-AVERAGE($U$15:$U$85))/STDEV($U$15:$U$85),"")</f>
        <v/>
      </c>
      <c r="W47" s="183">
        <f>IF(ISNUMBER($V$47),IF($V$47&gt;=1.5,"CHEAP",IF($V$47&gt;=0.5,"slightly cheap",IF($V$47&lt;=-1.5,"RICH",IF($V$47&lt;=-0.5,"slightly rich","fair")))),"")</f>
        <v/>
      </c>
      <c r="X47" s="292">
        <f>SUMPRODUCT(--ISNUMBER((D47,G47,H47,I47,J47,K47)))</f>
        <v/>
      </c>
      <c r="Y47" s="293">
        <f>IF(X47&gt;=5,"HIGH",IF(X47&gt;=3,"MED","LOW"))</f>
        <v/>
      </c>
      <c r="Z47" s="294">
        <f>IF(AND(ISNUMBER(S47),X47&gt;=$S$11),S47,"")</f>
        <v/>
      </c>
      <c r="AA47" s="295">
        <f>IF(AND(ISNUMBER(R47),X47&gt;=$S$11),R47,"")</f>
        <v/>
      </c>
    </row>
    <row r="48">
      <c r="B48" s="184">
        <f>Tickers!B40</f>
        <v/>
      </c>
      <c r="C48" s="185">
        <f>Tickers!C40</f>
        <v/>
      </c>
      <c r="D48" s="186">
        <f>Tickers!E40</f>
        <v/>
      </c>
      <c r="E48" s="263">
        <f>IFERROR(Tickers!G40,"")</f>
        <v/>
      </c>
      <c r="F48" s="263">
        <f>IFERROR(Tickers!I40,"")</f>
        <v/>
      </c>
      <c r="G48" s="264">
        <f>IFERROR(IF(ISNUMBER(Tickers!K40),Tickers!K40,IF(ISNUMBER(Haver!E40),Haver!E40,IF(ISNUMBER(Tickers!T40),Tickers!T40,""))),"")</f>
        <v/>
      </c>
      <c r="H48" s="264">
        <f>IFERROR(IF(ISNUMBER(Tickers!M40),Tickers!M40,IF(ISNUMBER(Haver!G40),Haver!G40,IF(ISNUMBER(Tickers!U40),Tickers!U40,""))),"")</f>
        <v/>
      </c>
      <c r="I48" s="264">
        <f>IFERROR(IF(ISNUMBER(Tickers!O40),Tickers!O40,IF(ISNUMBER(Haver!I40),Haver!I40,IF(ISNUMBER(Tickers!V40),Tickers!V40,""))),"")</f>
        <v/>
      </c>
      <c r="J48" s="264">
        <f>IFERROR(IF(ISNUMBER(Tickers!Q40),Tickers!Q40,IF(ISNUMBER(Haver!K40),Haver!K40,IF(ISNUMBER(Tickers!W40),Tickers!W40,""))),"")</f>
        <v/>
      </c>
      <c r="K48" s="263">
        <f>IFERROR(IF(ISNUMBER(Tickers!S40),Tickers!S40,IF(ISNUMBER(Haver!M40),Haver!M40,IF(ISNUMBER(Tickers!X40),Tickers!X40,""))),"")</f>
        <v/>
      </c>
      <c r="L48" s="265">
        <f>IFERROR(($D$48-AVERAGE($D$15:$D$85))/STDEV($D$15:$D$85),"")</f>
        <v/>
      </c>
      <c r="M48" s="265">
        <f>IFERROR(($I$48-AVERAGE($I$15:$I$85))/STDEV($I$15:$I$85),"")</f>
        <v/>
      </c>
      <c r="N48" s="265">
        <f>IFERROR(-($J$48-AVERAGE($J$15:$J$85))/STDEV($J$15:$J$85),"")</f>
        <v/>
      </c>
      <c r="O48" s="265">
        <f>IFERROR(-($K$48-AVERAGE($K$15:$K$85))/STDEV($K$15:$K$85),"")</f>
        <v/>
      </c>
      <c r="P48" s="265">
        <f>IFERROR(-($G$48-AVERAGE($G$15:$G$85))/STDEV($G$15:$G$85),"")</f>
        <v/>
      </c>
      <c r="Q48" s="265">
        <f>IFERROR(($H$48-AVERAGE($H$15:$H$85))/STDEV($H$15:$H$85),"")</f>
        <v/>
      </c>
      <c r="R48" s="265">
        <f>IFERROR((IF(ISNUMBER(L48),$D$7*L48,0)+IF(ISNUMBER(M48),$D$8*M48,0)+IF(ISNUMBER(N48),$D$9*N48,0)+IF(ISNUMBER(O48),$D$10*O48,0)+IF(ISNUMBER(P48),$D$11*P48,0)+IF(ISNUMBER(Q48),$D$12*Q48,0))/(IF(ISNUMBER(L48),$D$7,0)+IF(ISNUMBER(M48),$D$8,0)+IF(ISNUMBER(N48),$D$9,0)+IF(ISNUMBER(O48),$D$10,0)+IF(ISNUMBER(P48),$D$11,0)+IF(ISNUMBER(Q48),$D$12,0)),"")</f>
        <v/>
      </c>
      <c r="S48" s="190">
        <f>IFERROR(LN($E$48),"")</f>
        <v/>
      </c>
      <c r="T48" s="190">
        <f>IFERROR($N$7+$N$8*$R$48,"")</f>
        <v/>
      </c>
      <c r="U48" s="265">
        <f>IFERROR($S$48-$T$48,"")</f>
        <v/>
      </c>
      <c r="V48" s="265">
        <f>IFERROR(($U$48-AVERAGE($U$15:$U$85))/STDEV($U$15:$U$85),"")</f>
        <v/>
      </c>
      <c r="W48" s="191">
        <f>IF(ISNUMBER($V$48),IF($V$48&gt;=1.5,"CHEAP",IF($V$48&gt;=0.5,"slightly cheap",IF($V$48&lt;=-1.5,"RICH",IF($V$48&lt;=-0.5,"slightly rich","fair")))),"")</f>
        <v/>
      </c>
      <c r="X48" s="296">
        <f>SUMPRODUCT(--ISNUMBER((D48,G48,H48,I48,J48,K48)))</f>
        <v/>
      </c>
      <c r="Y48" s="297">
        <f>IF(X48&gt;=5,"HIGH",IF(X48&gt;=3,"MED","LOW"))</f>
        <v/>
      </c>
      <c r="Z48" s="298">
        <f>IF(AND(ISNUMBER(S48),X48&gt;=$S$11),S48,"")</f>
        <v/>
      </c>
      <c r="AA48" s="299">
        <f>IF(AND(ISNUMBER(R48),X48&gt;=$S$11),R48,"")</f>
        <v/>
      </c>
    </row>
    <row r="49">
      <c r="B49" s="176">
        <f>Tickers!B41</f>
        <v/>
      </c>
      <c r="C49" s="177">
        <f>Tickers!C41</f>
        <v/>
      </c>
      <c r="D49" s="178">
        <f>Tickers!E41</f>
        <v/>
      </c>
      <c r="E49" s="260">
        <f>IFERROR(Tickers!G41,"")</f>
        <v/>
      </c>
      <c r="F49" s="260">
        <f>IFERROR(Tickers!I41,"")</f>
        <v/>
      </c>
      <c r="G49" s="261">
        <f>IFERROR(IF(ISNUMBER(Tickers!K41),Tickers!K41,IF(ISNUMBER(Haver!E41),Haver!E41,IF(ISNUMBER(Tickers!T41),Tickers!T41,""))),"")</f>
        <v/>
      </c>
      <c r="H49" s="261">
        <f>IFERROR(IF(ISNUMBER(Tickers!M41),Tickers!M41,IF(ISNUMBER(Haver!G41),Haver!G41,IF(ISNUMBER(Tickers!U41),Tickers!U41,""))),"")</f>
        <v/>
      </c>
      <c r="I49" s="261">
        <f>IFERROR(IF(ISNUMBER(Tickers!O41),Tickers!O41,IF(ISNUMBER(Haver!I41),Haver!I41,IF(ISNUMBER(Tickers!V41),Tickers!V41,""))),"")</f>
        <v/>
      </c>
      <c r="J49" s="261">
        <f>IFERROR(IF(ISNUMBER(Tickers!Q41),Tickers!Q41,IF(ISNUMBER(Haver!K41),Haver!K41,IF(ISNUMBER(Tickers!W41),Tickers!W41,""))),"")</f>
        <v/>
      </c>
      <c r="K49" s="260">
        <f>IFERROR(IF(ISNUMBER(Tickers!S41),Tickers!S41,IF(ISNUMBER(Haver!M41),Haver!M41,IF(ISNUMBER(Tickers!X41),Tickers!X41,""))),"")</f>
        <v/>
      </c>
      <c r="L49" s="262">
        <f>IFERROR(($D$49-AVERAGE($D$15:$D$85))/STDEV($D$15:$D$85),"")</f>
        <v/>
      </c>
      <c r="M49" s="262">
        <f>IFERROR(($I$49-AVERAGE($I$15:$I$85))/STDEV($I$15:$I$85),"")</f>
        <v/>
      </c>
      <c r="N49" s="262">
        <f>IFERROR(-($J$49-AVERAGE($J$15:$J$85))/STDEV($J$15:$J$85),"")</f>
        <v/>
      </c>
      <c r="O49" s="262">
        <f>IFERROR(-($K$49-AVERAGE($K$15:$K$85))/STDEV($K$15:$K$85),"")</f>
        <v/>
      </c>
      <c r="P49" s="262">
        <f>IFERROR(-($G$49-AVERAGE($G$15:$G$85))/STDEV($G$15:$G$85),"")</f>
        <v/>
      </c>
      <c r="Q49" s="262">
        <f>IFERROR(($H$49-AVERAGE($H$15:$H$85))/STDEV($H$15:$H$85),"")</f>
        <v/>
      </c>
      <c r="R49" s="262">
        <f>IFERROR((IF(ISNUMBER(L49),$D$7*L49,0)+IF(ISNUMBER(M49),$D$8*M49,0)+IF(ISNUMBER(N49),$D$9*N49,0)+IF(ISNUMBER(O49),$D$10*O49,0)+IF(ISNUMBER(P49),$D$11*P49,0)+IF(ISNUMBER(Q49),$D$12*Q49,0))/(IF(ISNUMBER(L49),$D$7,0)+IF(ISNUMBER(M49),$D$8,0)+IF(ISNUMBER(N49),$D$9,0)+IF(ISNUMBER(O49),$D$10,0)+IF(ISNUMBER(P49),$D$11,0)+IF(ISNUMBER(Q49),$D$12,0)),"")</f>
        <v/>
      </c>
      <c r="S49" s="182">
        <f>IFERROR(LN($E$49),"")</f>
        <v/>
      </c>
      <c r="T49" s="182">
        <f>IFERROR($N$7+$N$8*$R$49,"")</f>
        <v/>
      </c>
      <c r="U49" s="262">
        <f>IFERROR($S$49-$T$49,"")</f>
        <v/>
      </c>
      <c r="V49" s="262">
        <f>IFERROR(($U$49-AVERAGE($U$15:$U$85))/STDEV($U$15:$U$85),"")</f>
        <v/>
      </c>
      <c r="W49" s="183">
        <f>IF(ISNUMBER($V$49),IF($V$49&gt;=1.5,"CHEAP",IF($V$49&gt;=0.5,"slightly cheap",IF($V$49&lt;=-1.5,"RICH",IF($V$49&lt;=-0.5,"slightly rich","fair")))),"")</f>
        <v/>
      </c>
      <c r="X49" s="292">
        <f>SUMPRODUCT(--ISNUMBER((D49,G49,H49,I49,J49,K49)))</f>
        <v/>
      </c>
      <c r="Y49" s="293">
        <f>IF(X49&gt;=5,"HIGH",IF(X49&gt;=3,"MED","LOW"))</f>
        <v/>
      </c>
      <c r="Z49" s="294">
        <f>IF(AND(ISNUMBER(S49),X49&gt;=$S$11),S49,"")</f>
        <v/>
      </c>
      <c r="AA49" s="295">
        <f>IF(AND(ISNUMBER(R49),X49&gt;=$S$11),R49,"")</f>
        <v/>
      </c>
    </row>
    <row r="50">
      <c r="B50" s="184">
        <f>Tickers!B42</f>
        <v/>
      </c>
      <c r="C50" s="185">
        <f>Tickers!C42</f>
        <v/>
      </c>
      <c r="D50" s="186">
        <f>Tickers!E42</f>
        <v/>
      </c>
      <c r="E50" s="263">
        <f>IFERROR(Tickers!G42,"")</f>
        <v/>
      </c>
      <c r="F50" s="263">
        <f>IFERROR(Tickers!I42,"")</f>
        <v/>
      </c>
      <c r="G50" s="264">
        <f>IFERROR(IF(ISNUMBER(Tickers!K42),Tickers!K42,IF(ISNUMBER(Haver!E42),Haver!E42,IF(ISNUMBER(Tickers!T42),Tickers!T42,""))),"")</f>
        <v/>
      </c>
      <c r="H50" s="264">
        <f>IFERROR(IF(ISNUMBER(Tickers!M42),Tickers!M42,IF(ISNUMBER(Haver!G42),Haver!G42,IF(ISNUMBER(Tickers!U42),Tickers!U42,""))),"")</f>
        <v/>
      </c>
      <c r="I50" s="264">
        <f>IFERROR(IF(ISNUMBER(Tickers!O42),Tickers!O42,IF(ISNUMBER(Haver!I42),Haver!I42,IF(ISNUMBER(Tickers!V42),Tickers!V42,""))),"")</f>
        <v/>
      </c>
      <c r="J50" s="264">
        <f>IFERROR(IF(ISNUMBER(Tickers!Q42),Tickers!Q42,IF(ISNUMBER(Haver!K42),Haver!K42,IF(ISNUMBER(Tickers!W42),Tickers!W42,""))),"")</f>
        <v/>
      </c>
      <c r="K50" s="263">
        <f>IFERROR(IF(ISNUMBER(Tickers!S42),Tickers!S42,IF(ISNUMBER(Haver!M42),Haver!M42,IF(ISNUMBER(Tickers!X42),Tickers!X42,""))),"")</f>
        <v/>
      </c>
      <c r="L50" s="265">
        <f>IFERROR(($D$50-AVERAGE($D$15:$D$85))/STDEV($D$15:$D$85),"")</f>
        <v/>
      </c>
      <c r="M50" s="265">
        <f>IFERROR(($I$50-AVERAGE($I$15:$I$85))/STDEV($I$15:$I$85),"")</f>
        <v/>
      </c>
      <c r="N50" s="265">
        <f>IFERROR(-($J$50-AVERAGE($J$15:$J$85))/STDEV($J$15:$J$85),"")</f>
        <v/>
      </c>
      <c r="O50" s="265">
        <f>IFERROR(-($K$50-AVERAGE($K$15:$K$85))/STDEV($K$15:$K$85),"")</f>
        <v/>
      </c>
      <c r="P50" s="265">
        <f>IFERROR(-($G$50-AVERAGE($G$15:$G$85))/STDEV($G$15:$G$85),"")</f>
        <v/>
      </c>
      <c r="Q50" s="265">
        <f>IFERROR(($H$50-AVERAGE($H$15:$H$85))/STDEV($H$15:$H$85),"")</f>
        <v/>
      </c>
      <c r="R50" s="265">
        <f>IFERROR((IF(ISNUMBER(L50),$D$7*L50,0)+IF(ISNUMBER(M50),$D$8*M50,0)+IF(ISNUMBER(N50),$D$9*N50,0)+IF(ISNUMBER(O50),$D$10*O50,0)+IF(ISNUMBER(P50),$D$11*P50,0)+IF(ISNUMBER(Q50),$D$12*Q50,0))/(IF(ISNUMBER(L50),$D$7,0)+IF(ISNUMBER(M50),$D$8,0)+IF(ISNUMBER(N50),$D$9,0)+IF(ISNUMBER(O50),$D$10,0)+IF(ISNUMBER(P50),$D$11,0)+IF(ISNUMBER(Q50),$D$12,0)),"")</f>
        <v/>
      </c>
      <c r="S50" s="190">
        <f>IFERROR(LN($E$50),"")</f>
        <v/>
      </c>
      <c r="T50" s="190">
        <f>IFERROR($N$7+$N$8*$R$50,"")</f>
        <v/>
      </c>
      <c r="U50" s="265">
        <f>IFERROR($S$50-$T$50,"")</f>
        <v/>
      </c>
      <c r="V50" s="265">
        <f>IFERROR(($U$50-AVERAGE($U$15:$U$85))/STDEV($U$15:$U$85),"")</f>
        <v/>
      </c>
      <c r="W50" s="191">
        <f>IF(ISNUMBER($V$50),IF($V$50&gt;=1.5,"CHEAP",IF($V$50&gt;=0.5,"slightly cheap",IF($V$50&lt;=-1.5,"RICH",IF($V$50&lt;=-0.5,"slightly rich","fair")))),"")</f>
        <v/>
      </c>
      <c r="X50" s="296">
        <f>SUMPRODUCT(--ISNUMBER((D50,G50,H50,I50,J50,K50)))</f>
        <v/>
      </c>
      <c r="Y50" s="297">
        <f>IF(X50&gt;=5,"HIGH",IF(X50&gt;=3,"MED","LOW"))</f>
        <v/>
      </c>
      <c r="Z50" s="298">
        <f>IF(AND(ISNUMBER(S50),X50&gt;=$S$11),S50,"")</f>
        <v/>
      </c>
      <c r="AA50" s="299">
        <f>IF(AND(ISNUMBER(R50),X50&gt;=$S$11),R50,"")</f>
        <v/>
      </c>
    </row>
    <row r="51">
      <c r="B51" s="176">
        <f>Tickers!B43</f>
        <v/>
      </c>
      <c r="C51" s="177">
        <f>Tickers!C43</f>
        <v/>
      </c>
      <c r="D51" s="178">
        <f>Tickers!E43</f>
        <v/>
      </c>
      <c r="E51" s="260">
        <f>IFERROR(Tickers!G43,"")</f>
        <v/>
      </c>
      <c r="F51" s="260">
        <f>IFERROR(Tickers!I43,"")</f>
        <v/>
      </c>
      <c r="G51" s="261">
        <f>IFERROR(IF(ISNUMBER(Tickers!K43),Tickers!K43,IF(ISNUMBER(Haver!E43),Haver!E43,IF(ISNUMBER(Tickers!T43),Tickers!T43,""))),"")</f>
        <v/>
      </c>
      <c r="H51" s="261">
        <f>IFERROR(IF(ISNUMBER(Tickers!M43),Tickers!M43,IF(ISNUMBER(Haver!G43),Haver!G43,IF(ISNUMBER(Tickers!U43),Tickers!U43,""))),"")</f>
        <v/>
      </c>
      <c r="I51" s="261">
        <f>IFERROR(IF(ISNUMBER(Tickers!O43),Tickers!O43,IF(ISNUMBER(Haver!I43),Haver!I43,IF(ISNUMBER(Tickers!V43),Tickers!V43,""))),"")</f>
        <v/>
      </c>
      <c r="J51" s="261">
        <f>IFERROR(IF(ISNUMBER(Tickers!Q43),Tickers!Q43,IF(ISNUMBER(Haver!K43),Haver!K43,IF(ISNUMBER(Tickers!W43),Tickers!W43,""))),"")</f>
        <v/>
      </c>
      <c r="K51" s="260">
        <f>IFERROR(IF(ISNUMBER(Tickers!S43),Tickers!S43,IF(ISNUMBER(Haver!M43),Haver!M43,IF(ISNUMBER(Tickers!X43),Tickers!X43,""))),"")</f>
        <v/>
      </c>
      <c r="L51" s="262">
        <f>IFERROR(($D$51-AVERAGE($D$15:$D$85))/STDEV($D$15:$D$85),"")</f>
        <v/>
      </c>
      <c r="M51" s="262">
        <f>IFERROR(($I$51-AVERAGE($I$15:$I$85))/STDEV($I$15:$I$85),"")</f>
        <v/>
      </c>
      <c r="N51" s="262">
        <f>IFERROR(-($J$51-AVERAGE($J$15:$J$85))/STDEV($J$15:$J$85),"")</f>
        <v/>
      </c>
      <c r="O51" s="262">
        <f>IFERROR(-($K$51-AVERAGE($K$15:$K$85))/STDEV($K$15:$K$85),"")</f>
        <v/>
      </c>
      <c r="P51" s="262">
        <f>IFERROR(-($G$51-AVERAGE($G$15:$G$85))/STDEV($G$15:$G$85),"")</f>
        <v/>
      </c>
      <c r="Q51" s="262">
        <f>IFERROR(($H$51-AVERAGE($H$15:$H$85))/STDEV($H$15:$H$85),"")</f>
        <v/>
      </c>
      <c r="R51" s="262">
        <f>IFERROR((IF(ISNUMBER(L51),$D$7*L51,0)+IF(ISNUMBER(M51),$D$8*M51,0)+IF(ISNUMBER(N51),$D$9*N51,0)+IF(ISNUMBER(O51),$D$10*O51,0)+IF(ISNUMBER(P51),$D$11*P51,0)+IF(ISNUMBER(Q51),$D$12*Q51,0))/(IF(ISNUMBER(L51),$D$7,0)+IF(ISNUMBER(M51),$D$8,0)+IF(ISNUMBER(N51),$D$9,0)+IF(ISNUMBER(O51),$D$10,0)+IF(ISNUMBER(P51),$D$11,0)+IF(ISNUMBER(Q51),$D$12,0)),"")</f>
        <v/>
      </c>
      <c r="S51" s="182">
        <f>IFERROR(LN($E$51),"")</f>
        <v/>
      </c>
      <c r="T51" s="182">
        <f>IFERROR($N$7+$N$8*$R$51,"")</f>
        <v/>
      </c>
      <c r="U51" s="262">
        <f>IFERROR($S$51-$T$51,"")</f>
        <v/>
      </c>
      <c r="V51" s="262">
        <f>IFERROR(($U$51-AVERAGE($U$15:$U$85))/STDEV($U$15:$U$85),"")</f>
        <v/>
      </c>
      <c r="W51" s="183">
        <f>IF(ISNUMBER($V$51),IF($V$51&gt;=1.5,"CHEAP",IF($V$51&gt;=0.5,"slightly cheap",IF($V$51&lt;=-1.5,"RICH",IF($V$51&lt;=-0.5,"slightly rich","fair")))),"")</f>
        <v/>
      </c>
      <c r="X51" s="292">
        <f>SUMPRODUCT(--ISNUMBER((D51,G51,H51,I51,J51,K51)))</f>
        <v/>
      </c>
      <c r="Y51" s="293">
        <f>IF(X51&gt;=5,"HIGH",IF(X51&gt;=3,"MED","LOW"))</f>
        <v/>
      </c>
      <c r="Z51" s="294">
        <f>IF(AND(ISNUMBER(S51),X51&gt;=$S$11),S51,"")</f>
        <v/>
      </c>
      <c r="AA51" s="295">
        <f>IF(AND(ISNUMBER(R51),X51&gt;=$S$11),R51,"")</f>
        <v/>
      </c>
    </row>
    <row r="52">
      <c r="B52" s="184">
        <f>Tickers!B44</f>
        <v/>
      </c>
      <c r="C52" s="185">
        <f>Tickers!C44</f>
        <v/>
      </c>
      <c r="D52" s="186">
        <f>Tickers!E44</f>
        <v/>
      </c>
      <c r="E52" s="263">
        <f>IFERROR(Tickers!G44,"")</f>
        <v/>
      </c>
      <c r="F52" s="263">
        <f>IFERROR(Tickers!I44,"")</f>
        <v/>
      </c>
      <c r="G52" s="264">
        <f>IFERROR(IF(ISNUMBER(Tickers!K44),Tickers!K44,IF(ISNUMBER(Haver!E44),Haver!E44,IF(ISNUMBER(Tickers!T44),Tickers!T44,""))),"")</f>
        <v/>
      </c>
      <c r="H52" s="264">
        <f>IFERROR(IF(ISNUMBER(Tickers!M44),Tickers!M44,IF(ISNUMBER(Haver!G44),Haver!G44,IF(ISNUMBER(Tickers!U44),Tickers!U44,""))),"")</f>
        <v/>
      </c>
      <c r="I52" s="264">
        <f>IFERROR(IF(ISNUMBER(Tickers!O44),Tickers!O44,IF(ISNUMBER(Haver!I44),Haver!I44,IF(ISNUMBER(Tickers!V44),Tickers!V44,""))),"")</f>
        <v/>
      </c>
      <c r="J52" s="264">
        <f>IFERROR(IF(ISNUMBER(Tickers!Q44),Tickers!Q44,IF(ISNUMBER(Haver!K44),Haver!K44,IF(ISNUMBER(Tickers!W44),Tickers!W44,""))),"")</f>
        <v/>
      </c>
      <c r="K52" s="263">
        <f>IFERROR(IF(ISNUMBER(Tickers!S44),Tickers!S44,IF(ISNUMBER(Haver!M44),Haver!M44,IF(ISNUMBER(Tickers!X44),Tickers!X44,""))),"")</f>
        <v/>
      </c>
      <c r="L52" s="265">
        <f>IFERROR(($D$52-AVERAGE($D$15:$D$85))/STDEV($D$15:$D$85),"")</f>
        <v/>
      </c>
      <c r="M52" s="265">
        <f>IFERROR(($I$52-AVERAGE($I$15:$I$85))/STDEV($I$15:$I$85),"")</f>
        <v/>
      </c>
      <c r="N52" s="265">
        <f>IFERROR(-($J$52-AVERAGE($J$15:$J$85))/STDEV($J$15:$J$85),"")</f>
        <v/>
      </c>
      <c r="O52" s="265">
        <f>IFERROR(-($K$52-AVERAGE($K$15:$K$85))/STDEV($K$15:$K$85),"")</f>
        <v/>
      </c>
      <c r="P52" s="265">
        <f>IFERROR(-($G$52-AVERAGE($G$15:$G$85))/STDEV($G$15:$G$85),"")</f>
        <v/>
      </c>
      <c r="Q52" s="265">
        <f>IFERROR(($H$52-AVERAGE($H$15:$H$85))/STDEV($H$15:$H$85),"")</f>
        <v/>
      </c>
      <c r="R52" s="265">
        <f>IFERROR((IF(ISNUMBER(L52),$D$7*L52,0)+IF(ISNUMBER(M52),$D$8*M52,0)+IF(ISNUMBER(N52),$D$9*N52,0)+IF(ISNUMBER(O52),$D$10*O52,0)+IF(ISNUMBER(P52),$D$11*P52,0)+IF(ISNUMBER(Q52),$D$12*Q52,0))/(IF(ISNUMBER(L52),$D$7,0)+IF(ISNUMBER(M52),$D$8,0)+IF(ISNUMBER(N52),$D$9,0)+IF(ISNUMBER(O52),$D$10,0)+IF(ISNUMBER(P52),$D$11,0)+IF(ISNUMBER(Q52),$D$12,0)),"")</f>
        <v/>
      </c>
      <c r="S52" s="190">
        <f>IFERROR(LN($E$52),"")</f>
        <v/>
      </c>
      <c r="T52" s="190">
        <f>IFERROR($N$7+$N$8*$R$52,"")</f>
        <v/>
      </c>
      <c r="U52" s="265">
        <f>IFERROR($S$52-$T$52,"")</f>
        <v/>
      </c>
      <c r="V52" s="265">
        <f>IFERROR(($U$52-AVERAGE($U$15:$U$85))/STDEV($U$15:$U$85),"")</f>
        <v/>
      </c>
      <c r="W52" s="191">
        <f>IF(ISNUMBER($V$52),IF($V$52&gt;=1.5,"CHEAP",IF($V$52&gt;=0.5,"slightly cheap",IF($V$52&lt;=-1.5,"RICH",IF($V$52&lt;=-0.5,"slightly rich","fair")))),"")</f>
        <v/>
      </c>
      <c r="X52" s="296">
        <f>SUMPRODUCT(--ISNUMBER((D52,G52,H52,I52,J52,K52)))</f>
        <v/>
      </c>
      <c r="Y52" s="297">
        <f>IF(X52&gt;=5,"HIGH",IF(X52&gt;=3,"MED","LOW"))</f>
        <v/>
      </c>
      <c r="Z52" s="298">
        <f>IF(AND(ISNUMBER(S52),X52&gt;=$S$11),S52,"")</f>
        <v/>
      </c>
      <c r="AA52" s="299">
        <f>IF(AND(ISNUMBER(R52),X52&gt;=$S$11),R52,"")</f>
        <v/>
      </c>
    </row>
    <row r="53">
      <c r="B53" s="176">
        <f>Tickers!B45</f>
        <v/>
      </c>
      <c r="C53" s="177">
        <f>Tickers!C45</f>
        <v/>
      </c>
      <c r="D53" s="178">
        <f>Tickers!E45</f>
        <v/>
      </c>
      <c r="E53" s="260">
        <f>IFERROR(Tickers!G45,"")</f>
        <v/>
      </c>
      <c r="F53" s="260">
        <f>IFERROR(Tickers!I45,"")</f>
        <v/>
      </c>
      <c r="G53" s="261">
        <f>IFERROR(IF(ISNUMBER(Tickers!K45),Tickers!K45,IF(ISNUMBER(Haver!E45),Haver!E45,IF(ISNUMBER(Tickers!T45),Tickers!T45,""))),"")</f>
        <v/>
      </c>
      <c r="H53" s="261">
        <f>IFERROR(IF(ISNUMBER(Tickers!M45),Tickers!M45,IF(ISNUMBER(Haver!G45),Haver!G45,IF(ISNUMBER(Tickers!U45),Tickers!U45,""))),"")</f>
        <v/>
      </c>
      <c r="I53" s="261">
        <f>IFERROR(IF(ISNUMBER(Tickers!O45),Tickers!O45,IF(ISNUMBER(Haver!I45),Haver!I45,IF(ISNUMBER(Tickers!V45),Tickers!V45,""))),"")</f>
        <v/>
      </c>
      <c r="J53" s="261">
        <f>IFERROR(IF(ISNUMBER(Tickers!Q45),Tickers!Q45,IF(ISNUMBER(Haver!K45),Haver!K45,IF(ISNUMBER(Tickers!W45),Tickers!W45,""))),"")</f>
        <v/>
      </c>
      <c r="K53" s="260">
        <f>IFERROR(IF(ISNUMBER(Tickers!S45),Tickers!S45,IF(ISNUMBER(Haver!M45),Haver!M45,IF(ISNUMBER(Tickers!X45),Tickers!X45,""))),"")</f>
        <v/>
      </c>
      <c r="L53" s="262">
        <f>IFERROR(($D$53-AVERAGE($D$15:$D$85))/STDEV($D$15:$D$85),"")</f>
        <v/>
      </c>
      <c r="M53" s="262">
        <f>IFERROR(($I$53-AVERAGE($I$15:$I$85))/STDEV($I$15:$I$85),"")</f>
        <v/>
      </c>
      <c r="N53" s="262">
        <f>IFERROR(-($J$53-AVERAGE($J$15:$J$85))/STDEV($J$15:$J$85),"")</f>
        <v/>
      </c>
      <c r="O53" s="262">
        <f>IFERROR(-($K$53-AVERAGE($K$15:$K$85))/STDEV($K$15:$K$85),"")</f>
        <v/>
      </c>
      <c r="P53" s="262">
        <f>IFERROR(-($G$53-AVERAGE($G$15:$G$85))/STDEV($G$15:$G$85),"")</f>
        <v/>
      </c>
      <c r="Q53" s="262">
        <f>IFERROR(($H$53-AVERAGE($H$15:$H$85))/STDEV($H$15:$H$85),"")</f>
        <v/>
      </c>
      <c r="R53" s="262">
        <f>IFERROR((IF(ISNUMBER(L53),$D$7*L53,0)+IF(ISNUMBER(M53),$D$8*M53,0)+IF(ISNUMBER(N53),$D$9*N53,0)+IF(ISNUMBER(O53),$D$10*O53,0)+IF(ISNUMBER(P53),$D$11*P53,0)+IF(ISNUMBER(Q53),$D$12*Q53,0))/(IF(ISNUMBER(L53),$D$7,0)+IF(ISNUMBER(M53),$D$8,0)+IF(ISNUMBER(N53),$D$9,0)+IF(ISNUMBER(O53),$D$10,0)+IF(ISNUMBER(P53),$D$11,0)+IF(ISNUMBER(Q53),$D$12,0)),"")</f>
        <v/>
      </c>
      <c r="S53" s="182">
        <f>IFERROR(LN($E$53),"")</f>
        <v/>
      </c>
      <c r="T53" s="182">
        <f>IFERROR($N$7+$N$8*$R$53,"")</f>
        <v/>
      </c>
      <c r="U53" s="262">
        <f>IFERROR($S$53-$T$53,"")</f>
        <v/>
      </c>
      <c r="V53" s="262">
        <f>IFERROR(($U$53-AVERAGE($U$15:$U$85))/STDEV($U$15:$U$85),"")</f>
        <v/>
      </c>
      <c r="W53" s="183">
        <f>IF(ISNUMBER($V$53),IF($V$53&gt;=1.5,"CHEAP",IF($V$53&gt;=0.5,"slightly cheap",IF($V$53&lt;=-1.5,"RICH",IF($V$53&lt;=-0.5,"slightly rich","fair")))),"")</f>
        <v/>
      </c>
      <c r="X53" s="292">
        <f>SUMPRODUCT(--ISNUMBER((D53,G53,H53,I53,J53,K53)))</f>
        <v/>
      </c>
      <c r="Y53" s="293">
        <f>IF(X53&gt;=5,"HIGH",IF(X53&gt;=3,"MED","LOW"))</f>
        <v/>
      </c>
      <c r="Z53" s="294">
        <f>IF(AND(ISNUMBER(S53),X53&gt;=$S$11),S53,"")</f>
        <v/>
      </c>
      <c r="AA53" s="295">
        <f>IF(AND(ISNUMBER(R53),X53&gt;=$S$11),R53,"")</f>
        <v/>
      </c>
    </row>
    <row r="54">
      <c r="B54" s="184">
        <f>Tickers!B46</f>
        <v/>
      </c>
      <c r="C54" s="185">
        <f>Tickers!C46</f>
        <v/>
      </c>
      <c r="D54" s="186">
        <f>Tickers!E46</f>
        <v/>
      </c>
      <c r="E54" s="263">
        <f>IFERROR(Tickers!G46,"")</f>
        <v/>
      </c>
      <c r="F54" s="263">
        <f>IFERROR(Tickers!I46,"")</f>
        <v/>
      </c>
      <c r="G54" s="264">
        <f>IFERROR(IF(ISNUMBER(Tickers!K46),Tickers!K46,IF(ISNUMBER(Haver!E46),Haver!E46,IF(ISNUMBER(Tickers!T46),Tickers!T46,""))),"")</f>
        <v/>
      </c>
      <c r="H54" s="264">
        <f>IFERROR(IF(ISNUMBER(Tickers!M46),Tickers!M46,IF(ISNUMBER(Haver!G46),Haver!G46,IF(ISNUMBER(Tickers!U46),Tickers!U46,""))),"")</f>
        <v/>
      </c>
      <c r="I54" s="264">
        <f>IFERROR(IF(ISNUMBER(Tickers!O46),Tickers!O46,IF(ISNUMBER(Haver!I46),Haver!I46,IF(ISNUMBER(Tickers!V46),Tickers!V46,""))),"")</f>
        <v/>
      </c>
      <c r="J54" s="264">
        <f>IFERROR(IF(ISNUMBER(Tickers!Q46),Tickers!Q46,IF(ISNUMBER(Haver!K46),Haver!K46,IF(ISNUMBER(Tickers!W46),Tickers!W46,""))),"")</f>
        <v/>
      </c>
      <c r="K54" s="263">
        <f>IFERROR(IF(ISNUMBER(Tickers!S46),Tickers!S46,IF(ISNUMBER(Haver!M46),Haver!M46,IF(ISNUMBER(Tickers!X46),Tickers!X46,""))),"")</f>
        <v/>
      </c>
      <c r="L54" s="265">
        <f>IFERROR(($D$54-AVERAGE($D$15:$D$85))/STDEV($D$15:$D$85),"")</f>
        <v/>
      </c>
      <c r="M54" s="265">
        <f>IFERROR(($I$54-AVERAGE($I$15:$I$85))/STDEV($I$15:$I$85),"")</f>
        <v/>
      </c>
      <c r="N54" s="265">
        <f>IFERROR(-($J$54-AVERAGE($J$15:$J$85))/STDEV($J$15:$J$85),"")</f>
        <v/>
      </c>
      <c r="O54" s="265">
        <f>IFERROR(-($K$54-AVERAGE($K$15:$K$85))/STDEV($K$15:$K$85),"")</f>
        <v/>
      </c>
      <c r="P54" s="265">
        <f>IFERROR(-($G$54-AVERAGE($G$15:$G$85))/STDEV($G$15:$G$85),"")</f>
        <v/>
      </c>
      <c r="Q54" s="265">
        <f>IFERROR(($H$54-AVERAGE($H$15:$H$85))/STDEV($H$15:$H$85),"")</f>
        <v/>
      </c>
      <c r="R54" s="265">
        <f>IFERROR((IF(ISNUMBER(L54),$D$7*L54,0)+IF(ISNUMBER(M54),$D$8*M54,0)+IF(ISNUMBER(N54),$D$9*N54,0)+IF(ISNUMBER(O54),$D$10*O54,0)+IF(ISNUMBER(P54),$D$11*P54,0)+IF(ISNUMBER(Q54),$D$12*Q54,0))/(IF(ISNUMBER(L54),$D$7,0)+IF(ISNUMBER(M54),$D$8,0)+IF(ISNUMBER(N54),$D$9,0)+IF(ISNUMBER(O54),$D$10,0)+IF(ISNUMBER(P54),$D$11,0)+IF(ISNUMBER(Q54),$D$12,0)),"")</f>
        <v/>
      </c>
      <c r="S54" s="190">
        <f>IFERROR(LN($E$54),"")</f>
        <v/>
      </c>
      <c r="T54" s="190">
        <f>IFERROR($N$7+$N$8*$R$54,"")</f>
        <v/>
      </c>
      <c r="U54" s="265">
        <f>IFERROR($S$54-$T$54,"")</f>
        <v/>
      </c>
      <c r="V54" s="265">
        <f>IFERROR(($U$54-AVERAGE($U$15:$U$85))/STDEV($U$15:$U$85),"")</f>
        <v/>
      </c>
      <c r="W54" s="191">
        <f>IF(ISNUMBER($V$54),IF($V$54&gt;=1.5,"CHEAP",IF($V$54&gt;=0.5,"slightly cheap",IF($V$54&lt;=-1.5,"RICH",IF($V$54&lt;=-0.5,"slightly rich","fair")))),"")</f>
        <v/>
      </c>
      <c r="X54" s="296">
        <f>SUMPRODUCT(--ISNUMBER((D54,G54,H54,I54,J54,K54)))</f>
        <v/>
      </c>
      <c r="Y54" s="297">
        <f>IF(X54&gt;=5,"HIGH",IF(X54&gt;=3,"MED","LOW"))</f>
        <v/>
      </c>
      <c r="Z54" s="298">
        <f>IF(AND(ISNUMBER(S54),X54&gt;=$S$11),S54,"")</f>
        <v/>
      </c>
      <c r="AA54" s="299">
        <f>IF(AND(ISNUMBER(R54),X54&gt;=$S$11),R54,"")</f>
        <v/>
      </c>
    </row>
    <row r="55">
      <c r="B55" s="176">
        <f>Tickers!B47</f>
        <v/>
      </c>
      <c r="C55" s="177">
        <f>Tickers!C47</f>
        <v/>
      </c>
      <c r="D55" s="178">
        <f>Tickers!E47</f>
        <v/>
      </c>
      <c r="E55" s="260">
        <f>IFERROR(Tickers!G47,"")</f>
        <v/>
      </c>
      <c r="F55" s="260">
        <f>IFERROR(Tickers!I47,"")</f>
        <v/>
      </c>
      <c r="G55" s="261">
        <f>IFERROR(IF(ISNUMBER(Tickers!K47),Tickers!K47,IF(ISNUMBER(Haver!E47),Haver!E47,IF(ISNUMBER(Tickers!T47),Tickers!T47,""))),"")</f>
        <v/>
      </c>
      <c r="H55" s="261">
        <f>IFERROR(IF(ISNUMBER(Tickers!M47),Tickers!M47,IF(ISNUMBER(Haver!G47),Haver!G47,IF(ISNUMBER(Tickers!U47),Tickers!U47,""))),"")</f>
        <v/>
      </c>
      <c r="I55" s="261">
        <f>IFERROR(IF(ISNUMBER(Tickers!O47),Tickers!O47,IF(ISNUMBER(Haver!I47),Haver!I47,IF(ISNUMBER(Tickers!V47),Tickers!V47,""))),"")</f>
        <v/>
      </c>
      <c r="J55" s="261">
        <f>IFERROR(IF(ISNUMBER(Tickers!Q47),Tickers!Q47,IF(ISNUMBER(Haver!K47),Haver!K47,IF(ISNUMBER(Tickers!W47),Tickers!W47,""))),"")</f>
        <v/>
      </c>
      <c r="K55" s="260">
        <f>IFERROR(IF(ISNUMBER(Tickers!S47),Tickers!S47,IF(ISNUMBER(Haver!M47),Haver!M47,IF(ISNUMBER(Tickers!X47),Tickers!X47,""))),"")</f>
        <v/>
      </c>
      <c r="L55" s="262">
        <f>IFERROR(($D$55-AVERAGE($D$15:$D$85))/STDEV($D$15:$D$85),"")</f>
        <v/>
      </c>
      <c r="M55" s="262">
        <f>IFERROR(($I$55-AVERAGE($I$15:$I$85))/STDEV($I$15:$I$85),"")</f>
        <v/>
      </c>
      <c r="N55" s="262">
        <f>IFERROR(-($J$55-AVERAGE($J$15:$J$85))/STDEV($J$15:$J$85),"")</f>
        <v/>
      </c>
      <c r="O55" s="262">
        <f>IFERROR(-($K$55-AVERAGE($K$15:$K$85))/STDEV($K$15:$K$85),"")</f>
        <v/>
      </c>
      <c r="P55" s="262">
        <f>IFERROR(-($G$55-AVERAGE($G$15:$G$85))/STDEV($G$15:$G$85),"")</f>
        <v/>
      </c>
      <c r="Q55" s="262">
        <f>IFERROR(($H$55-AVERAGE($H$15:$H$85))/STDEV($H$15:$H$85),"")</f>
        <v/>
      </c>
      <c r="R55" s="262">
        <f>IFERROR((IF(ISNUMBER(L55),$D$7*L55,0)+IF(ISNUMBER(M55),$D$8*M55,0)+IF(ISNUMBER(N55),$D$9*N55,0)+IF(ISNUMBER(O55),$D$10*O55,0)+IF(ISNUMBER(P55),$D$11*P55,0)+IF(ISNUMBER(Q55),$D$12*Q55,0))/(IF(ISNUMBER(L55),$D$7,0)+IF(ISNUMBER(M55),$D$8,0)+IF(ISNUMBER(N55),$D$9,0)+IF(ISNUMBER(O55),$D$10,0)+IF(ISNUMBER(P55),$D$11,0)+IF(ISNUMBER(Q55),$D$12,0)),"")</f>
        <v/>
      </c>
      <c r="S55" s="182">
        <f>IFERROR(LN($E$55),"")</f>
        <v/>
      </c>
      <c r="T55" s="182">
        <f>IFERROR($N$7+$N$8*$R$55,"")</f>
        <v/>
      </c>
      <c r="U55" s="262">
        <f>IFERROR($S$55-$T$55,"")</f>
        <v/>
      </c>
      <c r="V55" s="262">
        <f>IFERROR(($U$55-AVERAGE($U$15:$U$85))/STDEV($U$15:$U$85),"")</f>
        <v/>
      </c>
      <c r="W55" s="183">
        <f>IF(ISNUMBER($V$55),IF($V$55&gt;=1.5,"CHEAP",IF($V$55&gt;=0.5,"slightly cheap",IF($V$55&lt;=-1.5,"RICH",IF($V$55&lt;=-0.5,"slightly rich","fair")))),"")</f>
        <v/>
      </c>
      <c r="X55" s="292">
        <f>SUMPRODUCT(--ISNUMBER((D55,G55,H55,I55,J55,K55)))</f>
        <v/>
      </c>
      <c r="Y55" s="293">
        <f>IF(X55&gt;=5,"HIGH",IF(X55&gt;=3,"MED","LOW"))</f>
        <v/>
      </c>
      <c r="Z55" s="294">
        <f>IF(AND(ISNUMBER(S55),X55&gt;=$S$11),S55,"")</f>
        <v/>
      </c>
      <c r="AA55" s="295">
        <f>IF(AND(ISNUMBER(R55),X55&gt;=$S$11),R55,"")</f>
        <v/>
      </c>
    </row>
    <row r="56">
      <c r="B56" s="184">
        <f>Tickers!B48</f>
        <v/>
      </c>
      <c r="C56" s="185">
        <f>Tickers!C48</f>
        <v/>
      </c>
      <c r="D56" s="186">
        <f>Tickers!E48</f>
        <v/>
      </c>
      <c r="E56" s="263">
        <f>IFERROR(Tickers!G48,"")</f>
        <v/>
      </c>
      <c r="F56" s="263">
        <f>IFERROR(Tickers!I48,"")</f>
        <v/>
      </c>
      <c r="G56" s="264">
        <f>IFERROR(IF(ISNUMBER(Tickers!K48),Tickers!K48,IF(ISNUMBER(Haver!E48),Haver!E48,IF(ISNUMBER(Tickers!T48),Tickers!T48,""))),"")</f>
        <v/>
      </c>
      <c r="H56" s="264">
        <f>IFERROR(IF(ISNUMBER(Tickers!M48),Tickers!M48,IF(ISNUMBER(Haver!G48),Haver!G48,IF(ISNUMBER(Tickers!U48),Tickers!U48,""))),"")</f>
        <v/>
      </c>
      <c r="I56" s="264">
        <f>IFERROR(IF(ISNUMBER(Tickers!O48),Tickers!O48,IF(ISNUMBER(Haver!I48),Haver!I48,IF(ISNUMBER(Tickers!V48),Tickers!V48,""))),"")</f>
        <v/>
      </c>
      <c r="J56" s="264">
        <f>IFERROR(IF(ISNUMBER(Tickers!Q48),Tickers!Q48,IF(ISNUMBER(Haver!K48),Haver!K48,IF(ISNUMBER(Tickers!W48),Tickers!W48,""))),"")</f>
        <v/>
      </c>
      <c r="K56" s="263">
        <f>IFERROR(IF(ISNUMBER(Tickers!S48),Tickers!S48,IF(ISNUMBER(Haver!M48),Haver!M48,IF(ISNUMBER(Tickers!X48),Tickers!X48,""))),"")</f>
        <v/>
      </c>
      <c r="L56" s="265">
        <f>IFERROR(($D$56-AVERAGE($D$15:$D$85))/STDEV($D$15:$D$85),"")</f>
        <v/>
      </c>
      <c r="M56" s="265">
        <f>IFERROR(($I$56-AVERAGE($I$15:$I$85))/STDEV($I$15:$I$85),"")</f>
        <v/>
      </c>
      <c r="N56" s="265">
        <f>IFERROR(-($J$56-AVERAGE($J$15:$J$85))/STDEV($J$15:$J$85),"")</f>
        <v/>
      </c>
      <c r="O56" s="265">
        <f>IFERROR(-($K$56-AVERAGE($K$15:$K$85))/STDEV($K$15:$K$85),"")</f>
        <v/>
      </c>
      <c r="P56" s="265">
        <f>IFERROR(-($G$56-AVERAGE($G$15:$G$85))/STDEV($G$15:$G$85),"")</f>
        <v/>
      </c>
      <c r="Q56" s="265">
        <f>IFERROR(($H$56-AVERAGE($H$15:$H$85))/STDEV($H$15:$H$85),"")</f>
        <v/>
      </c>
      <c r="R56" s="265">
        <f>IFERROR((IF(ISNUMBER(L56),$D$7*L56,0)+IF(ISNUMBER(M56),$D$8*M56,0)+IF(ISNUMBER(N56),$D$9*N56,0)+IF(ISNUMBER(O56),$D$10*O56,0)+IF(ISNUMBER(P56),$D$11*P56,0)+IF(ISNUMBER(Q56),$D$12*Q56,0))/(IF(ISNUMBER(L56),$D$7,0)+IF(ISNUMBER(M56),$D$8,0)+IF(ISNUMBER(N56),$D$9,0)+IF(ISNUMBER(O56),$D$10,0)+IF(ISNUMBER(P56),$D$11,0)+IF(ISNUMBER(Q56),$D$12,0)),"")</f>
        <v/>
      </c>
      <c r="S56" s="190">
        <f>IFERROR(LN($E$56),"")</f>
        <v/>
      </c>
      <c r="T56" s="190">
        <f>IFERROR($N$7+$N$8*$R$56,"")</f>
        <v/>
      </c>
      <c r="U56" s="265">
        <f>IFERROR($S$56-$T$56,"")</f>
        <v/>
      </c>
      <c r="V56" s="265">
        <f>IFERROR(($U$56-AVERAGE($U$15:$U$85))/STDEV($U$15:$U$85),"")</f>
        <v/>
      </c>
      <c r="W56" s="191">
        <f>IF(ISNUMBER($V$56),IF($V$56&gt;=1.5,"CHEAP",IF($V$56&gt;=0.5,"slightly cheap",IF($V$56&lt;=-1.5,"RICH",IF($V$56&lt;=-0.5,"slightly rich","fair")))),"")</f>
        <v/>
      </c>
      <c r="X56" s="296">
        <f>SUMPRODUCT(--ISNUMBER((D56,G56,H56,I56,J56,K56)))</f>
        <v/>
      </c>
      <c r="Y56" s="297">
        <f>IF(X56&gt;=5,"HIGH",IF(X56&gt;=3,"MED","LOW"))</f>
        <v/>
      </c>
      <c r="Z56" s="298">
        <f>IF(AND(ISNUMBER(S56),X56&gt;=$S$11),S56,"")</f>
        <v/>
      </c>
      <c r="AA56" s="299">
        <f>IF(AND(ISNUMBER(R56),X56&gt;=$S$11),R56,"")</f>
        <v/>
      </c>
    </row>
    <row r="57">
      <c r="B57" s="176">
        <f>Tickers!B49</f>
        <v/>
      </c>
      <c r="C57" s="177">
        <f>Tickers!C49</f>
        <v/>
      </c>
      <c r="D57" s="178">
        <f>Tickers!E49</f>
        <v/>
      </c>
      <c r="E57" s="260">
        <f>IFERROR(Tickers!G49,"")</f>
        <v/>
      </c>
      <c r="F57" s="260">
        <f>IFERROR(Tickers!I49,"")</f>
        <v/>
      </c>
      <c r="G57" s="261">
        <f>IFERROR(IF(ISNUMBER(Tickers!K49),Tickers!K49,IF(ISNUMBER(Haver!E49),Haver!E49,IF(ISNUMBER(Tickers!T49),Tickers!T49,""))),"")</f>
        <v/>
      </c>
      <c r="H57" s="261">
        <f>IFERROR(IF(ISNUMBER(Tickers!M49),Tickers!M49,IF(ISNUMBER(Haver!G49),Haver!G49,IF(ISNUMBER(Tickers!U49),Tickers!U49,""))),"")</f>
        <v/>
      </c>
      <c r="I57" s="261">
        <f>IFERROR(IF(ISNUMBER(Tickers!O49),Tickers!O49,IF(ISNUMBER(Haver!I49),Haver!I49,IF(ISNUMBER(Tickers!V49),Tickers!V49,""))),"")</f>
        <v/>
      </c>
      <c r="J57" s="261">
        <f>IFERROR(IF(ISNUMBER(Tickers!Q49),Tickers!Q49,IF(ISNUMBER(Haver!K49),Haver!K49,IF(ISNUMBER(Tickers!W49),Tickers!W49,""))),"")</f>
        <v/>
      </c>
      <c r="K57" s="260">
        <f>IFERROR(IF(ISNUMBER(Tickers!S49),Tickers!S49,IF(ISNUMBER(Haver!M49),Haver!M49,IF(ISNUMBER(Tickers!X49),Tickers!X49,""))),"")</f>
        <v/>
      </c>
      <c r="L57" s="262">
        <f>IFERROR(($D$57-AVERAGE($D$15:$D$85))/STDEV($D$15:$D$85),"")</f>
        <v/>
      </c>
      <c r="M57" s="262">
        <f>IFERROR(($I$57-AVERAGE($I$15:$I$85))/STDEV($I$15:$I$85),"")</f>
        <v/>
      </c>
      <c r="N57" s="262">
        <f>IFERROR(-($J$57-AVERAGE($J$15:$J$85))/STDEV($J$15:$J$85),"")</f>
        <v/>
      </c>
      <c r="O57" s="262">
        <f>IFERROR(-($K$57-AVERAGE($K$15:$K$85))/STDEV($K$15:$K$85),"")</f>
        <v/>
      </c>
      <c r="P57" s="262">
        <f>IFERROR(-($G$57-AVERAGE($G$15:$G$85))/STDEV($G$15:$G$85),"")</f>
        <v/>
      </c>
      <c r="Q57" s="262">
        <f>IFERROR(($H$57-AVERAGE($H$15:$H$85))/STDEV($H$15:$H$85),"")</f>
        <v/>
      </c>
      <c r="R57" s="262">
        <f>IFERROR((IF(ISNUMBER(L57),$D$7*L57,0)+IF(ISNUMBER(M57),$D$8*M57,0)+IF(ISNUMBER(N57),$D$9*N57,0)+IF(ISNUMBER(O57),$D$10*O57,0)+IF(ISNUMBER(P57),$D$11*P57,0)+IF(ISNUMBER(Q57),$D$12*Q57,0))/(IF(ISNUMBER(L57),$D$7,0)+IF(ISNUMBER(M57),$D$8,0)+IF(ISNUMBER(N57),$D$9,0)+IF(ISNUMBER(O57),$D$10,0)+IF(ISNUMBER(P57),$D$11,0)+IF(ISNUMBER(Q57),$D$12,0)),"")</f>
        <v/>
      </c>
      <c r="S57" s="182">
        <f>IFERROR(LN($E$57),"")</f>
        <v/>
      </c>
      <c r="T57" s="182">
        <f>IFERROR($N$7+$N$8*$R$57,"")</f>
        <v/>
      </c>
      <c r="U57" s="262">
        <f>IFERROR($S$57-$T$57,"")</f>
        <v/>
      </c>
      <c r="V57" s="262">
        <f>IFERROR(($U$57-AVERAGE($U$15:$U$85))/STDEV($U$15:$U$85),"")</f>
        <v/>
      </c>
      <c r="W57" s="183">
        <f>IF(ISNUMBER($V$57),IF($V$57&gt;=1.5,"CHEAP",IF($V$57&gt;=0.5,"slightly cheap",IF($V$57&lt;=-1.5,"RICH",IF($V$57&lt;=-0.5,"slightly rich","fair")))),"")</f>
        <v/>
      </c>
      <c r="X57" s="292">
        <f>SUMPRODUCT(--ISNUMBER((D57,G57,H57,I57,J57,K57)))</f>
        <v/>
      </c>
      <c r="Y57" s="293">
        <f>IF(X57&gt;=5,"HIGH",IF(X57&gt;=3,"MED","LOW"))</f>
        <v/>
      </c>
      <c r="Z57" s="294">
        <f>IF(AND(ISNUMBER(S57),X57&gt;=$S$11),S57,"")</f>
        <v/>
      </c>
      <c r="AA57" s="295">
        <f>IF(AND(ISNUMBER(R57),X57&gt;=$S$11),R57,"")</f>
        <v/>
      </c>
    </row>
    <row r="58">
      <c r="B58" s="184">
        <f>Tickers!B50</f>
        <v/>
      </c>
      <c r="C58" s="185">
        <f>Tickers!C50</f>
        <v/>
      </c>
      <c r="D58" s="186">
        <f>Tickers!E50</f>
        <v/>
      </c>
      <c r="E58" s="263">
        <f>IFERROR(Tickers!G50,"")</f>
        <v/>
      </c>
      <c r="F58" s="263">
        <f>IFERROR(Tickers!I50,"")</f>
        <v/>
      </c>
      <c r="G58" s="264">
        <f>IFERROR(IF(ISNUMBER(Tickers!K50),Tickers!K50,IF(ISNUMBER(Haver!E50),Haver!E50,IF(ISNUMBER(Tickers!T50),Tickers!T50,""))),"")</f>
        <v/>
      </c>
      <c r="H58" s="264">
        <f>IFERROR(IF(ISNUMBER(Tickers!M50),Tickers!M50,IF(ISNUMBER(Haver!G50),Haver!G50,IF(ISNUMBER(Tickers!U50),Tickers!U50,""))),"")</f>
        <v/>
      </c>
      <c r="I58" s="264">
        <f>IFERROR(IF(ISNUMBER(Tickers!O50),Tickers!O50,IF(ISNUMBER(Haver!I50),Haver!I50,IF(ISNUMBER(Tickers!V50),Tickers!V50,""))),"")</f>
        <v/>
      </c>
      <c r="J58" s="264">
        <f>IFERROR(IF(ISNUMBER(Tickers!Q50),Tickers!Q50,IF(ISNUMBER(Haver!K50),Haver!K50,IF(ISNUMBER(Tickers!W50),Tickers!W50,""))),"")</f>
        <v/>
      </c>
      <c r="K58" s="263">
        <f>IFERROR(IF(ISNUMBER(Tickers!S50),Tickers!S50,IF(ISNUMBER(Haver!M50),Haver!M50,IF(ISNUMBER(Tickers!X50),Tickers!X50,""))),"")</f>
        <v/>
      </c>
      <c r="L58" s="265">
        <f>IFERROR(($D$58-AVERAGE($D$15:$D$85))/STDEV($D$15:$D$85),"")</f>
        <v/>
      </c>
      <c r="M58" s="265">
        <f>IFERROR(($I$58-AVERAGE($I$15:$I$85))/STDEV($I$15:$I$85),"")</f>
        <v/>
      </c>
      <c r="N58" s="265">
        <f>IFERROR(-($J$58-AVERAGE($J$15:$J$85))/STDEV($J$15:$J$85),"")</f>
        <v/>
      </c>
      <c r="O58" s="265">
        <f>IFERROR(-($K$58-AVERAGE($K$15:$K$85))/STDEV($K$15:$K$85),"")</f>
        <v/>
      </c>
      <c r="P58" s="265">
        <f>IFERROR(-($G$58-AVERAGE($G$15:$G$85))/STDEV($G$15:$G$85),"")</f>
        <v/>
      </c>
      <c r="Q58" s="265">
        <f>IFERROR(($H$58-AVERAGE($H$15:$H$85))/STDEV($H$15:$H$85),"")</f>
        <v/>
      </c>
      <c r="R58" s="265">
        <f>IFERROR((IF(ISNUMBER(L58),$D$7*L58,0)+IF(ISNUMBER(M58),$D$8*M58,0)+IF(ISNUMBER(N58),$D$9*N58,0)+IF(ISNUMBER(O58),$D$10*O58,0)+IF(ISNUMBER(P58),$D$11*P58,0)+IF(ISNUMBER(Q58),$D$12*Q58,0))/(IF(ISNUMBER(L58),$D$7,0)+IF(ISNUMBER(M58),$D$8,0)+IF(ISNUMBER(N58),$D$9,0)+IF(ISNUMBER(O58),$D$10,0)+IF(ISNUMBER(P58),$D$11,0)+IF(ISNUMBER(Q58),$D$12,0)),"")</f>
        <v/>
      </c>
      <c r="S58" s="190">
        <f>IFERROR(LN($E$58),"")</f>
        <v/>
      </c>
      <c r="T58" s="190">
        <f>IFERROR($N$7+$N$8*$R$58,"")</f>
        <v/>
      </c>
      <c r="U58" s="265">
        <f>IFERROR($S$58-$T$58,"")</f>
        <v/>
      </c>
      <c r="V58" s="265">
        <f>IFERROR(($U$58-AVERAGE($U$15:$U$85))/STDEV($U$15:$U$85),"")</f>
        <v/>
      </c>
      <c r="W58" s="191">
        <f>IF(ISNUMBER($V$58),IF($V$58&gt;=1.5,"CHEAP",IF($V$58&gt;=0.5,"slightly cheap",IF($V$58&lt;=-1.5,"RICH",IF($V$58&lt;=-0.5,"slightly rich","fair")))),"")</f>
        <v/>
      </c>
      <c r="X58" s="296">
        <f>SUMPRODUCT(--ISNUMBER((D58,G58,H58,I58,J58,K58)))</f>
        <v/>
      </c>
      <c r="Y58" s="297">
        <f>IF(X58&gt;=5,"HIGH",IF(X58&gt;=3,"MED","LOW"))</f>
        <v/>
      </c>
      <c r="Z58" s="298">
        <f>IF(AND(ISNUMBER(S58),X58&gt;=$S$11),S58,"")</f>
        <v/>
      </c>
      <c r="AA58" s="299">
        <f>IF(AND(ISNUMBER(R58),X58&gt;=$S$11),R58,"")</f>
        <v/>
      </c>
    </row>
    <row r="59">
      <c r="B59" s="176">
        <f>Tickers!B51</f>
        <v/>
      </c>
      <c r="C59" s="177">
        <f>Tickers!C51</f>
        <v/>
      </c>
      <c r="D59" s="178">
        <f>Tickers!E51</f>
        <v/>
      </c>
      <c r="E59" s="260">
        <f>IFERROR(Tickers!G51,"")</f>
        <v/>
      </c>
      <c r="F59" s="260">
        <f>IFERROR(Tickers!I51,"")</f>
        <v/>
      </c>
      <c r="G59" s="261">
        <f>IFERROR(IF(ISNUMBER(Tickers!K51),Tickers!K51,IF(ISNUMBER(Haver!E51),Haver!E51,IF(ISNUMBER(Tickers!T51),Tickers!T51,""))),"")</f>
        <v/>
      </c>
      <c r="H59" s="261">
        <f>IFERROR(IF(ISNUMBER(Tickers!M51),Tickers!M51,IF(ISNUMBER(Haver!G51),Haver!G51,IF(ISNUMBER(Tickers!U51),Tickers!U51,""))),"")</f>
        <v/>
      </c>
      <c r="I59" s="261">
        <f>IFERROR(IF(ISNUMBER(Tickers!O51),Tickers!O51,IF(ISNUMBER(Haver!I51),Haver!I51,IF(ISNUMBER(Tickers!V51),Tickers!V51,""))),"")</f>
        <v/>
      </c>
      <c r="J59" s="261">
        <f>IFERROR(IF(ISNUMBER(Tickers!Q51),Tickers!Q51,IF(ISNUMBER(Haver!K51),Haver!K51,IF(ISNUMBER(Tickers!W51),Tickers!W51,""))),"")</f>
        <v/>
      </c>
      <c r="K59" s="260">
        <f>IFERROR(IF(ISNUMBER(Tickers!S51),Tickers!S51,IF(ISNUMBER(Haver!M51),Haver!M51,IF(ISNUMBER(Tickers!X51),Tickers!X51,""))),"")</f>
        <v/>
      </c>
      <c r="L59" s="262">
        <f>IFERROR(($D$59-AVERAGE($D$15:$D$85))/STDEV($D$15:$D$85),"")</f>
        <v/>
      </c>
      <c r="M59" s="262">
        <f>IFERROR(($I$59-AVERAGE($I$15:$I$85))/STDEV($I$15:$I$85),"")</f>
        <v/>
      </c>
      <c r="N59" s="262">
        <f>IFERROR(-($J$59-AVERAGE($J$15:$J$85))/STDEV($J$15:$J$85),"")</f>
        <v/>
      </c>
      <c r="O59" s="262">
        <f>IFERROR(-($K$59-AVERAGE($K$15:$K$85))/STDEV($K$15:$K$85),"")</f>
        <v/>
      </c>
      <c r="P59" s="262">
        <f>IFERROR(-($G$59-AVERAGE($G$15:$G$85))/STDEV($G$15:$G$85),"")</f>
        <v/>
      </c>
      <c r="Q59" s="262">
        <f>IFERROR(($H$59-AVERAGE($H$15:$H$85))/STDEV($H$15:$H$85),"")</f>
        <v/>
      </c>
      <c r="R59" s="262">
        <f>IFERROR((IF(ISNUMBER(L59),$D$7*L59,0)+IF(ISNUMBER(M59),$D$8*M59,0)+IF(ISNUMBER(N59),$D$9*N59,0)+IF(ISNUMBER(O59),$D$10*O59,0)+IF(ISNUMBER(P59),$D$11*P59,0)+IF(ISNUMBER(Q59),$D$12*Q59,0))/(IF(ISNUMBER(L59),$D$7,0)+IF(ISNUMBER(M59),$D$8,0)+IF(ISNUMBER(N59),$D$9,0)+IF(ISNUMBER(O59),$D$10,0)+IF(ISNUMBER(P59),$D$11,0)+IF(ISNUMBER(Q59),$D$12,0)),"")</f>
        <v/>
      </c>
      <c r="S59" s="182">
        <f>IFERROR(LN($E$59),"")</f>
        <v/>
      </c>
      <c r="T59" s="182">
        <f>IFERROR($N$7+$N$8*$R$59,"")</f>
        <v/>
      </c>
      <c r="U59" s="262">
        <f>IFERROR($S$59-$T$59,"")</f>
        <v/>
      </c>
      <c r="V59" s="262">
        <f>IFERROR(($U$59-AVERAGE($U$15:$U$85))/STDEV($U$15:$U$85),"")</f>
        <v/>
      </c>
      <c r="W59" s="183">
        <f>IF(ISNUMBER($V$59),IF($V$59&gt;=1.5,"CHEAP",IF($V$59&gt;=0.5,"slightly cheap",IF($V$59&lt;=-1.5,"RICH",IF($V$59&lt;=-0.5,"slightly rich","fair")))),"")</f>
        <v/>
      </c>
      <c r="X59" s="292">
        <f>SUMPRODUCT(--ISNUMBER((D59,G59,H59,I59,J59,K59)))</f>
        <v/>
      </c>
      <c r="Y59" s="293">
        <f>IF(X59&gt;=5,"HIGH",IF(X59&gt;=3,"MED","LOW"))</f>
        <v/>
      </c>
      <c r="Z59" s="294">
        <f>IF(AND(ISNUMBER(S59),X59&gt;=$S$11),S59,"")</f>
        <v/>
      </c>
      <c r="AA59" s="295">
        <f>IF(AND(ISNUMBER(R59),X59&gt;=$S$11),R59,"")</f>
        <v/>
      </c>
    </row>
    <row r="60">
      <c r="B60" s="184">
        <f>Tickers!B52</f>
        <v/>
      </c>
      <c r="C60" s="185">
        <f>Tickers!C52</f>
        <v/>
      </c>
      <c r="D60" s="186">
        <f>Tickers!E52</f>
        <v/>
      </c>
      <c r="E60" s="263">
        <f>IFERROR(Tickers!G52,"")</f>
        <v/>
      </c>
      <c r="F60" s="263">
        <f>IFERROR(Tickers!I52,"")</f>
        <v/>
      </c>
      <c r="G60" s="264">
        <f>IFERROR(IF(ISNUMBER(Tickers!K52),Tickers!K52,IF(ISNUMBER(Haver!E52),Haver!E52,IF(ISNUMBER(Tickers!T52),Tickers!T52,""))),"")</f>
        <v/>
      </c>
      <c r="H60" s="264">
        <f>IFERROR(IF(ISNUMBER(Tickers!M52),Tickers!M52,IF(ISNUMBER(Haver!G52),Haver!G52,IF(ISNUMBER(Tickers!U52),Tickers!U52,""))),"")</f>
        <v/>
      </c>
      <c r="I60" s="264">
        <f>IFERROR(IF(ISNUMBER(Tickers!O52),Tickers!O52,IF(ISNUMBER(Haver!I52),Haver!I52,IF(ISNUMBER(Tickers!V52),Tickers!V52,""))),"")</f>
        <v/>
      </c>
      <c r="J60" s="264">
        <f>IFERROR(IF(ISNUMBER(Tickers!Q52),Tickers!Q52,IF(ISNUMBER(Haver!K52),Haver!K52,IF(ISNUMBER(Tickers!W52),Tickers!W52,""))),"")</f>
        <v/>
      </c>
      <c r="K60" s="263">
        <f>IFERROR(IF(ISNUMBER(Tickers!S52),Tickers!S52,IF(ISNUMBER(Haver!M52),Haver!M52,IF(ISNUMBER(Tickers!X52),Tickers!X52,""))),"")</f>
        <v/>
      </c>
      <c r="L60" s="265">
        <f>IFERROR(($D$60-AVERAGE($D$15:$D$85))/STDEV($D$15:$D$85),"")</f>
        <v/>
      </c>
      <c r="M60" s="265">
        <f>IFERROR(($I$60-AVERAGE($I$15:$I$85))/STDEV($I$15:$I$85),"")</f>
        <v/>
      </c>
      <c r="N60" s="265">
        <f>IFERROR(-($J$60-AVERAGE($J$15:$J$85))/STDEV($J$15:$J$85),"")</f>
        <v/>
      </c>
      <c r="O60" s="265">
        <f>IFERROR(-($K$60-AVERAGE($K$15:$K$85))/STDEV($K$15:$K$85),"")</f>
        <v/>
      </c>
      <c r="P60" s="265">
        <f>IFERROR(-($G$60-AVERAGE($G$15:$G$85))/STDEV($G$15:$G$85),"")</f>
        <v/>
      </c>
      <c r="Q60" s="265">
        <f>IFERROR(($H$60-AVERAGE($H$15:$H$85))/STDEV($H$15:$H$85),"")</f>
        <v/>
      </c>
      <c r="R60" s="265">
        <f>IFERROR((IF(ISNUMBER(L60),$D$7*L60,0)+IF(ISNUMBER(M60),$D$8*M60,0)+IF(ISNUMBER(N60),$D$9*N60,0)+IF(ISNUMBER(O60),$D$10*O60,0)+IF(ISNUMBER(P60),$D$11*P60,0)+IF(ISNUMBER(Q60),$D$12*Q60,0))/(IF(ISNUMBER(L60),$D$7,0)+IF(ISNUMBER(M60),$D$8,0)+IF(ISNUMBER(N60),$D$9,0)+IF(ISNUMBER(O60),$D$10,0)+IF(ISNUMBER(P60),$D$11,0)+IF(ISNUMBER(Q60),$D$12,0)),"")</f>
        <v/>
      </c>
      <c r="S60" s="190">
        <f>IFERROR(LN($E$60),"")</f>
        <v/>
      </c>
      <c r="T60" s="190">
        <f>IFERROR($N$7+$N$8*$R$60,"")</f>
        <v/>
      </c>
      <c r="U60" s="265">
        <f>IFERROR($S$60-$T$60,"")</f>
        <v/>
      </c>
      <c r="V60" s="265">
        <f>IFERROR(($U$60-AVERAGE($U$15:$U$85))/STDEV($U$15:$U$85),"")</f>
        <v/>
      </c>
      <c r="W60" s="191">
        <f>IF(ISNUMBER($V$60),IF($V$60&gt;=1.5,"CHEAP",IF($V$60&gt;=0.5,"slightly cheap",IF($V$60&lt;=-1.5,"RICH",IF($V$60&lt;=-0.5,"slightly rich","fair")))),"")</f>
        <v/>
      </c>
      <c r="X60" s="296">
        <f>SUMPRODUCT(--ISNUMBER((D60,G60,H60,I60,J60,K60)))</f>
        <v/>
      </c>
      <c r="Y60" s="297">
        <f>IF(X60&gt;=5,"HIGH",IF(X60&gt;=3,"MED","LOW"))</f>
        <v/>
      </c>
      <c r="Z60" s="298">
        <f>IF(AND(ISNUMBER(S60),X60&gt;=$S$11),S60,"")</f>
        <v/>
      </c>
      <c r="AA60" s="299">
        <f>IF(AND(ISNUMBER(R60),X60&gt;=$S$11),R60,"")</f>
        <v/>
      </c>
    </row>
    <row r="61">
      <c r="B61" s="176">
        <f>Tickers!B53</f>
        <v/>
      </c>
      <c r="C61" s="177">
        <f>Tickers!C53</f>
        <v/>
      </c>
      <c r="D61" s="178">
        <f>Tickers!E53</f>
        <v/>
      </c>
      <c r="E61" s="260">
        <f>IFERROR(Tickers!G53,"")</f>
        <v/>
      </c>
      <c r="F61" s="260">
        <f>IFERROR(Tickers!I53,"")</f>
        <v/>
      </c>
      <c r="G61" s="261">
        <f>IFERROR(IF(ISNUMBER(Tickers!K53),Tickers!K53,IF(ISNUMBER(Haver!E53),Haver!E53,IF(ISNUMBER(Tickers!T53),Tickers!T53,""))),"")</f>
        <v/>
      </c>
      <c r="H61" s="261">
        <f>IFERROR(IF(ISNUMBER(Tickers!M53),Tickers!M53,IF(ISNUMBER(Haver!G53),Haver!G53,IF(ISNUMBER(Tickers!U53),Tickers!U53,""))),"")</f>
        <v/>
      </c>
      <c r="I61" s="261">
        <f>IFERROR(IF(ISNUMBER(Tickers!O53),Tickers!O53,IF(ISNUMBER(Haver!I53),Haver!I53,IF(ISNUMBER(Tickers!V53),Tickers!V53,""))),"")</f>
        <v/>
      </c>
      <c r="J61" s="261">
        <f>IFERROR(IF(ISNUMBER(Tickers!Q53),Tickers!Q53,IF(ISNUMBER(Haver!K53),Haver!K53,IF(ISNUMBER(Tickers!W53),Tickers!W53,""))),"")</f>
        <v/>
      </c>
      <c r="K61" s="260">
        <f>IFERROR(IF(ISNUMBER(Tickers!S53),Tickers!S53,IF(ISNUMBER(Haver!M53),Haver!M53,IF(ISNUMBER(Tickers!X53),Tickers!X53,""))),"")</f>
        <v/>
      </c>
      <c r="L61" s="262">
        <f>IFERROR(($D$61-AVERAGE($D$15:$D$85))/STDEV($D$15:$D$85),"")</f>
        <v/>
      </c>
      <c r="M61" s="262">
        <f>IFERROR(($I$61-AVERAGE($I$15:$I$85))/STDEV($I$15:$I$85),"")</f>
        <v/>
      </c>
      <c r="N61" s="262">
        <f>IFERROR(-($J$61-AVERAGE($J$15:$J$85))/STDEV($J$15:$J$85),"")</f>
        <v/>
      </c>
      <c r="O61" s="262">
        <f>IFERROR(-($K$61-AVERAGE($K$15:$K$85))/STDEV($K$15:$K$85),"")</f>
        <v/>
      </c>
      <c r="P61" s="262">
        <f>IFERROR(-($G$61-AVERAGE($G$15:$G$85))/STDEV($G$15:$G$85),"")</f>
        <v/>
      </c>
      <c r="Q61" s="262">
        <f>IFERROR(($H$61-AVERAGE($H$15:$H$85))/STDEV($H$15:$H$85),"")</f>
        <v/>
      </c>
      <c r="R61" s="262">
        <f>IFERROR((IF(ISNUMBER(L61),$D$7*L61,0)+IF(ISNUMBER(M61),$D$8*M61,0)+IF(ISNUMBER(N61),$D$9*N61,0)+IF(ISNUMBER(O61),$D$10*O61,0)+IF(ISNUMBER(P61),$D$11*P61,0)+IF(ISNUMBER(Q61),$D$12*Q61,0))/(IF(ISNUMBER(L61),$D$7,0)+IF(ISNUMBER(M61),$D$8,0)+IF(ISNUMBER(N61),$D$9,0)+IF(ISNUMBER(O61),$D$10,0)+IF(ISNUMBER(P61),$D$11,0)+IF(ISNUMBER(Q61),$D$12,0)),"")</f>
        <v/>
      </c>
      <c r="S61" s="182">
        <f>IFERROR(LN($E$61),"")</f>
        <v/>
      </c>
      <c r="T61" s="182">
        <f>IFERROR($N$7+$N$8*$R$61,"")</f>
        <v/>
      </c>
      <c r="U61" s="262">
        <f>IFERROR($S$61-$T$61,"")</f>
        <v/>
      </c>
      <c r="V61" s="262">
        <f>IFERROR(($U$61-AVERAGE($U$15:$U$85))/STDEV($U$15:$U$85),"")</f>
        <v/>
      </c>
      <c r="W61" s="183">
        <f>IF(ISNUMBER($V$61),IF($V$61&gt;=1.5,"CHEAP",IF($V$61&gt;=0.5,"slightly cheap",IF($V$61&lt;=-1.5,"RICH",IF($V$61&lt;=-0.5,"slightly rich","fair")))),"")</f>
        <v/>
      </c>
      <c r="X61" s="292">
        <f>SUMPRODUCT(--ISNUMBER((D61,G61,H61,I61,J61,K61)))</f>
        <v/>
      </c>
      <c r="Y61" s="293">
        <f>IF(X61&gt;=5,"HIGH",IF(X61&gt;=3,"MED","LOW"))</f>
        <v/>
      </c>
      <c r="Z61" s="294">
        <f>IF(AND(ISNUMBER(S61),X61&gt;=$S$11),S61,"")</f>
        <v/>
      </c>
      <c r="AA61" s="295">
        <f>IF(AND(ISNUMBER(R61),X61&gt;=$S$11),R61,"")</f>
        <v/>
      </c>
    </row>
    <row r="62">
      <c r="B62" s="184">
        <f>Tickers!B54</f>
        <v/>
      </c>
      <c r="C62" s="185">
        <f>Tickers!C54</f>
        <v/>
      </c>
      <c r="D62" s="186">
        <f>Tickers!E54</f>
        <v/>
      </c>
      <c r="E62" s="263">
        <f>IFERROR(Tickers!G54,"")</f>
        <v/>
      </c>
      <c r="F62" s="263">
        <f>IFERROR(Tickers!I54,"")</f>
        <v/>
      </c>
      <c r="G62" s="264">
        <f>IFERROR(IF(ISNUMBER(Tickers!K54),Tickers!K54,IF(ISNUMBER(Haver!E54),Haver!E54,IF(ISNUMBER(Tickers!T54),Tickers!T54,""))),"")</f>
        <v/>
      </c>
      <c r="H62" s="264">
        <f>IFERROR(IF(ISNUMBER(Tickers!M54),Tickers!M54,IF(ISNUMBER(Haver!G54),Haver!G54,IF(ISNUMBER(Tickers!U54),Tickers!U54,""))),"")</f>
        <v/>
      </c>
      <c r="I62" s="264">
        <f>IFERROR(IF(ISNUMBER(Tickers!O54),Tickers!O54,IF(ISNUMBER(Haver!I54),Haver!I54,IF(ISNUMBER(Tickers!V54),Tickers!V54,""))),"")</f>
        <v/>
      </c>
      <c r="J62" s="264">
        <f>IFERROR(IF(ISNUMBER(Tickers!Q54),Tickers!Q54,IF(ISNUMBER(Haver!K54),Haver!K54,IF(ISNUMBER(Tickers!W54),Tickers!W54,""))),"")</f>
        <v/>
      </c>
      <c r="K62" s="263">
        <f>IFERROR(IF(ISNUMBER(Tickers!S54),Tickers!S54,IF(ISNUMBER(Haver!M54),Haver!M54,IF(ISNUMBER(Tickers!X54),Tickers!X54,""))),"")</f>
        <v/>
      </c>
      <c r="L62" s="265">
        <f>IFERROR(($D$62-AVERAGE($D$15:$D$85))/STDEV($D$15:$D$85),"")</f>
        <v/>
      </c>
      <c r="M62" s="265">
        <f>IFERROR(($I$62-AVERAGE($I$15:$I$85))/STDEV($I$15:$I$85),"")</f>
        <v/>
      </c>
      <c r="N62" s="265">
        <f>IFERROR(-($J$62-AVERAGE($J$15:$J$85))/STDEV($J$15:$J$85),"")</f>
        <v/>
      </c>
      <c r="O62" s="265">
        <f>IFERROR(-($K$62-AVERAGE($K$15:$K$85))/STDEV($K$15:$K$85),"")</f>
        <v/>
      </c>
      <c r="P62" s="265">
        <f>IFERROR(-($G$62-AVERAGE($G$15:$G$85))/STDEV($G$15:$G$85),"")</f>
        <v/>
      </c>
      <c r="Q62" s="265">
        <f>IFERROR(($H$62-AVERAGE($H$15:$H$85))/STDEV($H$15:$H$85),"")</f>
        <v/>
      </c>
      <c r="R62" s="265">
        <f>IFERROR((IF(ISNUMBER(L62),$D$7*L62,0)+IF(ISNUMBER(M62),$D$8*M62,0)+IF(ISNUMBER(N62),$D$9*N62,0)+IF(ISNUMBER(O62),$D$10*O62,0)+IF(ISNUMBER(P62),$D$11*P62,0)+IF(ISNUMBER(Q62),$D$12*Q62,0))/(IF(ISNUMBER(L62),$D$7,0)+IF(ISNUMBER(M62),$D$8,0)+IF(ISNUMBER(N62),$D$9,0)+IF(ISNUMBER(O62),$D$10,0)+IF(ISNUMBER(P62),$D$11,0)+IF(ISNUMBER(Q62),$D$12,0)),"")</f>
        <v/>
      </c>
      <c r="S62" s="190">
        <f>IFERROR(LN($E$62),"")</f>
        <v/>
      </c>
      <c r="T62" s="190">
        <f>IFERROR($N$7+$N$8*$R$62,"")</f>
        <v/>
      </c>
      <c r="U62" s="265">
        <f>IFERROR($S$62-$T$62,"")</f>
        <v/>
      </c>
      <c r="V62" s="265">
        <f>IFERROR(($U$62-AVERAGE($U$15:$U$85))/STDEV($U$15:$U$85),"")</f>
        <v/>
      </c>
      <c r="W62" s="191">
        <f>IF(ISNUMBER($V$62),IF($V$62&gt;=1.5,"CHEAP",IF($V$62&gt;=0.5,"slightly cheap",IF($V$62&lt;=-1.5,"RICH",IF($V$62&lt;=-0.5,"slightly rich","fair")))),"")</f>
        <v/>
      </c>
      <c r="X62" s="296">
        <f>SUMPRODUCT(--ISNUMBER((D62,G62,H62,I62,J62,K62)))</f>
        <v/>
      </c>
      <c r="Y62" s="297">
        <f>IF(X62&gt;=5,"HIGH",IF(X62&gt;=3,"MED","LOW"))</f>
        <v/>
      </c>
      <c r="Z62" s="298">
        <f>IF(AND(ISNUMBER(S62),X62&gt;=$S$11),S62,"")</f>
        <v/>
      </c>
      <c r="AA62" s="299">
        <f>IF(AND(ISNUMBER(R62),X62&gt;=$S$11),R62,"")</f>
        <v/>
      </c>
    </row>
    <row r="63">
      <c r="B63" s="176">
        <f>Tickers!B55</f>
        <v/>
      </c>
      <c r="C63" s="177">
        <f>Tickers!C55</f>
        <v/>
      </c>
      <c r="D63" s="178">
        <f>Tickers!E55</f>
        <v/>
      </c>
      <c r="E63" s="260">
        <f>IFERROR(Tickers!G55,"")</f>
        <v/>
      </c>
      <c r="F63" s="260">
        <f>IFERROR(Tickers!I55,"")</f>
        <v/>
      </c>
      <c r="G63" s="261">
        <f>IFERROR(IF(ISNUMBER(Tickers!K55),Tickers!K55,IF(ISNUMBER(Haver!E55),Haver!E55,IF(ISNUMBER(Tickers!T55),Tickers!T55,""))),"")</f>
        <v/>
      </c>
      <c r="H63" s="261">
        <f>IFERROR(IF(ISNUMBER(Tickers!M55),Tickers!M55,IF(ISNUMBER(Haver!G55),Haver!G55,IF(ISNUMBER(Tickers!U55),Tickers!U55,""))),"")</f>
        <v/>
      </c>
      <c r="I63" s="261">
        <f>IFERROR(IF(ISNUMBER(Tickers!O55),Tickers!O55,IF(ISNUMBER(Haver!I55),Haver!I55,IF(ISNUMBER(Tickers!V55),Tickers!V55,""))),"")</f>
        <v/>
      </c>
      <c r="J63" s="261">
        <f>IFERROR(IF(ISNUMBER(Tickers!Q55),Tickers!Q55,IF(ISNUMBER(Haver!K55),Haver!K55,IF(ISNUMBER(Tickers!W55),Tickers!W55,""))),"")</f>
        <v/>
      </c>
      <c r="K63" s="260">
        <f>IFERROR(IF(ISNUMBER(Tickers!S55),Tickers!S55,IF(ISNUMBER(Haver!M55),Haver!M55,IF(ISNUMBER(Tickers!X55),Tickers!X55,""))),"")</f>
        <v/>
      </c>
      <c r="L63" s="262">
        <f>IFERROR(($D$63-AVERAGE($D$15:$D$85))/STDEV($D$15:$D$85),"")</f>
        <v/>
      </c>
      <c r="M63" s="262">
        <f>IFERROR(($I$63-AVERAGE($I$15:$I$85))/STDEV($I$15:$I$85),"")</f>
        <v/>
      </c>
      <c r="N63" s="262">
        <f>IFERROR(-($J$63-AVERAGE($J$15:$J$85))/STDEV($J$15:$J$85),"")</f>
        <v/>
      </c>
      <c r="O63" s="262">
        <f>IFERROR(-($K$63-AVERAGE($K$15:$K$85))/STDEV($K$15:$K$85),"")</f>
        <v/>
      </c>
      <c r="P63" s="262">
        <f>IFERROR(-($G$63-AVERAGE($G$15:$G$85))/STDEV($G$15:$G$85),"")</f>
        <v/>
      </c>
      <c r="Q63" s="262">
        <f>IFERROR(($H$63-AVERAGE($H$15:$H$85))/STDEV($H$15:$H$85),"")</f>
        <v/>
      </c>
      <c r="R63" s="262">
        <f>IFERROR((IF(ISNUMBER(L63),$D$7*L63,0)+IF(ISNUMBER(M63),$D$8*M63,0)+IF(ISNUMBER(N63),$D$9*N63,0)+IF(ISNUMBER(O63),$D$10*O63,0)+IF(ISNUMBER(P63),$D$11*P63,0)+IF(ISNUMBER(Q63),$D$12*Q63,0))/(IF(ISNUMBER(L63),$D$7,0)+IF(ISNUMBER(M63),$D$8,0)+IF(ISNUMBER(N63),$D$9,0)+IF(ISNUMBER(O63),$D$10,0)+IF(ISNUMBER(P63),$D$11,0)+IF(ISNUMBER(Q63),$D$12,0)),"")</f>
        <v/>
      </c>
      <c r="S63" s="182">
        <f>IFERROR(LN($E$63),"")</f>
        <v/>
      </c>
      <c r="T63" s="182">
        <f>IFERROR($N$7+$N$8*$R$63,"")</f>
        <v/>
      </c>
      <c r="U63" s="262">
        <f>IFERROR($S$63-$T$63,"")</f>
        <v/>
      </c>
      <c r="V63" s="262">
        <f>IFERROR(($U$63-AVERAGE($U$15:$U$85))/STDEV($U$15:$U$85),"")</f>
        <v/>
      </c>
      <c r="W63" s="183">
        <f>IF(ISNUMBER($V$63),IF($V$63&gt;=1.5,"CHEAP",IF($V$63&gt;=0.5,"slightly cheap",IF($V$63&lt;=-1.5,"RICH",IF($V$63&lt;=-0.5,"slightly rich","fair")))),"")</f>
        <v/>
      </c>
      <c r="X63" s="292">
        <f>SUMPRODUCT(--ISNUMBER((D63,G63,H63,I63,J63,K63)))</f>
        <v/>
      </c>
      <c r="Y63" s="293">
        <f>IF(X63&gt;=5,"HIGH",IF(X63&gt;=3,"MED","LOW"))</f>
        <v/>
      </c>
      <c r="Z63" s="294">
        <f>IF(AND(ISNUMBER(S63),X63&gt;=$S$11),S63,"")</f>
        <v/>
      </c>
      <c r="AA63" s="295">
        <f>IF(AND(ISNUMBER(R63),X63&gt;=$S$11),R63,"")</f>
        <v/>
      </c>
    </row>
    <row r="64">
      <c r="B64" s="184">
        <f>Tickers!B56</f>
        <v/>
      </c>
      <c r="C64" s="185">
        <f>Tickers!C56</f>
        <v/>
      </c>
      <c r="D64" s="186">
        <f>Tickers!E56</f>
        <v/>
      </c>
      <c r="E64" s="263">
        <f>IFERROR(Tickers!G56,"")</f>
        <v/>
      </c>
      <c r="F64" s="263">
        <f>IFERROR(Tickers!I56,"")</f>
        <v/>
      </c>
      <c r="G64" s="264">
        <f>IFERROR(IF(ISNUMBER(Tickers!K56),Tickers!K56,IF(ISNUMBER(Haver!E56),Haver!E56,IF(ISNUMBER(Tickers!T56),Tickers!T56,""))),"")</f>
        <v/>
      </c>
      <c r="H64" s="264">
        <f>IFERROR(IF(ISNUMBER(Tickers!M56),Tickers!M56,IF(ISNUMBER(Haver!G56),Haver!G56,IF(ISNUMBER(Tickers!U56),Tickers!U56,""))),"")</f>
        <v/>
      </c>
      <c r="I64" s="264">
        <f>IFERROR(IF(ISNUMBER(Tickers!O56),Tickers!O56,IF(ISNUMBER(Haver!I56),Haver!I56,IF(ISNUMBER(Tickers!V56),Tickers!V56,""))),"")</f>
        <v/>
      </c>
      <c r="J64" s="264">
        <f>IFERROR(IF(ISNUMBER(Tickers!Q56),Tickers!Q56,IF(ISNUMBER(Haver!K56),Haver!K56,IF(ISNUMBER(Tickers!W56),Tickers!W56,""))),"")</f>
        <v/>
      </c>
      <c r="K64" s="263">
        <f>IFERROR(IF(ISNUMBER(Tickers!S56),Tickers!S56,IF(ISNUMBER(Haver!M56),Haver!M56,IF(ISNUMBER(Tickers!X56),Tickers!X56,""))),"")</f>
        <v/>
      </c>
      <c r="L64" s="265">
        <f>IFERROR(($D$64-AVERAGE($D$15:$D$85))/STDEV($D$15:$D$85),"")</f>
        <v/>
      </c>
      <c r="M64" s="265">
        <f>IFERROR(($I$64-AVERAGE($I$15:$I$85))/STDEV($I$15:$I$85),"")</f>
        <v/>
      </c>
      <c r="N64" s="265">
        <f>IFERROR(-($J$64-AVERAGE($J$15:$J$85))/STDEV($J$15:$J$85),"")</f>
        <v/>
      </c>
      <c r="O64" s="265">
        <f>IFERROR(-($K$64-AVERAGE($K$15:$K$85))/STDEV($K$15:$K$85),"")</f>
        <v/>
      </c>
      <c r="P64" s="265">
        <f>IFERROR(-($G$64-AVERAGE($G$15:$G$85))/STDEV($G$15:$G$85),"")</f>
        <v/>
      </c>
      <c r="Q64" s="265">
        <f>IFERROR(($H$64-AVERAGE($H$15:$H$85))/STDEV($H$15:$H$85),"")</f>
        <v/>
      </c>
      <c r="R64" s="265">
        <f>IFERROR((IF(ISNUMBER(L64),$D$7*L64,0)+IF(ISNUMBER(M64),$D$8*M64,0)+IF(ISNUMBER(N64),$D$9*N64,0)+IF(ISNUMBER(O64),$D$10*O64,0)+IF(ISNUMBER(P64),$D$11*P64,0)+IF(ISNUMBER(Q64),$D$12*Q64,0))/(IF(ISNUMBER(L64),$D$7,0)+IF(ISNUMBER(M64),$D$8,0)+IF(ISNUMBER(N64),$D$9,0)+IF(ISNUMBER(O64),$D$10,0)+IF(ISNUMBER(P64),$D$11,0)+IF(ISNUMBER(Q64),$D$12,0)),"")</f>
        <v/>
      </c>
      <c r="S64" s="190">
        <f>IFERROR(LN($E$64),"")</f>
        <v/>
      </c>
      <c r="T64" s="190">
        <f>IFERROR($N$7+$N$8*$R$64,"")</f>
        <v/>
      </c>
      <c r="U64" s="265">
        <f>IFERROR($S$64-$T$64,"")</f>
        <v/>
      </c>
      <c r="V64" s="265">
        <f>IFERROR(($U$64-AVERAGE($U$15:$U$85))/STDEV($U$15:$U$85),"")</f>
        <v/>
      </c>
      <c r="W64" s="191">
        <f>IF(ISNUMBER($V$64),IF($V$64&gt;=1.5,"CHEAP",IF($V$64&gt;=0.5,"slightly cheap",IF($V$64&lt;=-1.5,"RICH",IF($V$64&lt;=-0.5,"slightly rich","fair")))),"")</f>
        <v/>
      </c>
      <c r="X64" s="296">
        <f>SUMPRODUCT(--ISNUMBER((D64,G64,H64,I64,J64,K64)))</f>
        <v/>
      </c>
      <c r="Y64" s="297">
        <f>IF(X64&gt;=5,"HIGH",IF(X64&gt;=3,"MED","LOW"))</f>
        <v/>
      </c>
      <c r="Z64" s="298">
        <f>IF(AND(ISNUMBER(S64),X64&gt;=$S$11),S64,"")</f>
        <v/>
      </c>
      <c r="AA64" s="299">
        <f>IF(AND(ISNUMBER(R64),X64&gt;=$S$11),R64,"")</f>
        <v/>
      </c>
    </row>
    <row r="65">
      <c r="B65" s="176">
        <f>Tickers!B57</f>
        <v/>
      </c>
      <c r="C65" s="177">
        <f>Tickers!C57</f>
        <v/>
      </c>
      <c r="D65" s="178">
        <f>Tickers!E57</f>
        <v/>
      </c>
      <c r="E65" s="260">
        <f>IFERROR(Tickers!G57,"")</f>
        <v/>
      </c>
      <c r="F65" s="260">
        <f>IFERROR(Tickers!I57,"")</f>
        <v/>
      </c>
      <c r="G65" s="261">
        <f>IFERROR(IF(ISNUMBER(Tickers!K57),Tickers!K57,IF(ISNUMBER(Haver!E57),Haver!E57,IF(ISNUMBER(Tickers!T57),Tickers!T57,""))),"")</f>
        <v/>
      </c>
      <c r="H65" s="261">
        <f>IFERROR(IF(ISNUMBER(Tickers!M57),Tickers!M57,IF(ISNUMBER(Haver!G57),Haver!G57,IF(ISNUMBER(Tickers!U57),Tickers!U57,""))),"")</f>
        <v/>
      </c>
      <c r="I65" s="261">
        <f>IFERROR(IF(ISNUMBER(Tickers!O57),Tickers!O57,IF(ISNUMBER(Haver!I57),Haver!I57,IF(ISNUMBER(Tickers!V57),Tickers!V57,""))),"")</f>
        <v/>
      </c>
      <c r="J65" s="261">
        <f>IFERROR(IF(ISNUMBER(Tickers!Q57),Tickers!Q57,IF(ISNUMBER(Haver!K57),Haver!K57,IF(ISNUMBER(Tickers!W57),Tickers!W57,""))),"")</f>
        <v/>
      </c>
      <c r="K65" s="260">
        <f>IFERROR(IF(ISNUMBER(Tickers!S57),Tickers!S57,IF(ISNUMBER(Haver!M57),Haver!M57,IF(ISNUMBER(Tickers!X57),Tickers!X57,""))),"")</f>
        <v/>
      </c>
      <c r="L65" s="262">
        <f>IFERROR(($D$65-AVERAGE($D$15:$D$85))/STDEV($D$15:$D$85),"")</f>
        <v/>
      </c>
      <c r="M65" s="262">
        <f>IFERROR(($I$65-AVERAGE($I$15:$I$85))/STDEV($I$15:$I$85),"")</f>
        <v/>
      </c>
      <c r="N65" s="262">
        <f>IFERROR(-($J$65-AVERAGE($J$15:$J$85))/STDEV($J$15:$J$85),"")</f>
        <v/>
      </c>
      <c r="O65" s="262">
        <f>IFERROR(-($K$65-AVERAGE($K$15:$K$85))/STDEV($K$15:$K$85),"")</f>
        <v/>
      </c>
      <c r="P65" s="262">
        <f>IFERROR(-($G$65-AVERAGE($G$15:$G$85))/STDEV($G$15:$G$85),"")</f>
        <v/>
      </c>
      <c r="Q65" s="262">
        <f>IFERROR(($H$65-AVERAGE($H$15:$H$85))/STDEV($H$15:$H$85),"")</f>
        <v/>
      </c>
      <c r="R65" s="262">
        <f>IFERROR((IF(ISNUMBER(L65),$D$7*L65,0)+IF(ISNUMBER(M65),$D$8*M65,0)+IF(ISNUMBER(N65),$D$9*N65,0)+IF(ISNUMBER(O65),$D$10*O65,0)+IF(ISNUMBER(P65),$D$11*P65,0)+IF(ISNUMBER(Q65),$D$12*Q65,0))/(IF(ISNUMBER(L65),$D$7,0)+IF(ISNUMBER(M65),$D$8,0)+IF(ISNUMBER(N65),$D$9,0)+IF(ISNUMBER(O65),$D$10,0)+IF(ISNUMBER(P65),$D$11,0)+IF(ISNUMBER(Q65),$D$12,0)),"")</f>
        <v/>
      </c>
      <c r="S65" s="182">
        <f>IFERROR(LN($E$65),"")</f>
        <v/>
      </c>
      <c r="T65" s="182">
        <f>IFERROR($N$7+$N$8*$R$65,"")</f>
        <v/>
      </c>
      <c r="U65" s="262">
        <f>IFERROR($S$65-$T$65,"")</f>
        <v/>
      </c>
      <c r="V65" s="262">
        <f>IFERROR(($U$65-AVERAGE($U$15:$U$85))/STDEV($U$15:$U$85),"")</f>
        <v/>
      </c>
      <c r="W65" s="183">
        <f>IF(ISNUMBER($V$65),IF($V$65&gt;=1.5,"CHEAP",IF($V$65&gt;=0.5,"slightly cheap",IF($V$65&lt;=-1.5,"RICH",IF($V$65&lt;=-0.5,"slightly rich","fair")))),"")</f>
        <v/>
      </c>
      <c r="X65" s="292">
        <f>SUMPRODUCT(--ISNUMBER((D65,G65,H65,I65,J65,K65)))</f>
        <v/>
      </c>
      <c r="Y65" s="293">
        <f>IF(X65&gt;=5,"HIGH",IF(X65&gt;=3,"MED","LOW"))</f>
        <v/>
      </c>
      <c r="Z65" s="294">
        <f>IF(AND(ISNUMBER(S65),X65&gt;=$S$11),S65,"")</f>
        <v/>
      </c>
      <c r="AA65" s="295">
        <f>IF(AND(ISNUMBER(R65),X65&gt;=$S$11),R65,"")</f>
        <v/>
      </c>
    </row>
    <row r="66">
      <c r="B66" s="184">
        <f>Tickers!B58</f>
        <v/>
      </c>
      <c r="C66" s="185">
        <f>Tickers!C58</f>
        <v/>
      </c>
      <c r="D66" s="186">
        <f>Tickers!E58</f>
        <v/>
      </c>
      <c r="E66" s="263">
        <f>IFERROR(Tickers!G58,"")</f>
        <v/>
      </c>
      <c r="F66" s="263">
        <f>IFERROR(Tickers!I58,"")</f>
        <v/>
      </c>
      <c r="G66" s="264">
        <f>IFERROR(IF(ISNUMBER(Tickers!K58),Tickers!K58,IF(ISNUMBER(Haver!E58),Haver!E58,IF(ISNUMBER(Tickers!T58),Tickers!T58,""))),"")</f>
        <v/>
      </c>
      <c r="H66" s="264">
        <f>IFERROR(IF(ISNUMBER(Tickers!M58),Tickers!M58,IF(ISNUMBER(Haver!G58),Haver!G58,IF(ISNUMBER(Tickers!U58),Tickers!U58,""))),"")</f>
        <v/>
      </c>
      <c r="I66" s="264">
        <f>IFERROR(IF(ISNUMBER(Tickers!O58),Tickers!O58,IF(ISNUMBER(Haver!I58),Haver!I58,IF(ISNUMBER(Tickers!V58),Tickers!V58,""))),"")</f>
        <v/>
      </c>
      <c r="J66" s="264">
        <f>IFERROR(IF(ISNUMBER(Tickers!Q58),Tickers!Q58,IF(ISNUMBER(Haver!K58),Haver!K58,IF(ISNUMBER(Tickers!W58),Tickers!W58,""))),"")</f>
        <v/>
      </c>
      <c r="K66" s="263">
        <f>IFERROR(IF(ISNUMBER(Tickers!S58),Tickers!S58,IF(ISNUMBER(Haver!M58),Haver!M58,IF(ISNUMBER(Tickers!X58),Tickers!X58,""))),"")</f>
        <v/>
      </c>
      <c r="L66" s="265">
        <f>IFERROR(($D$66-AVERAGE($D$15:$D$85))/STDEV($D$15:$D$85),"")</f>
        <v/>
      </c>
      <c r="M66" s="265">
        <f>IFERROR(($I$66-AVERAGE($I$15:$I$85))/STDEV($I$15:$I$85),"")</f>
        <v/>
      </c>
      <c r="N66" s="265">
        <f>IFERROR(-($J$66-AVERAGE($J$15:$J$85))/STDEV($J$15:$J$85),"")</f>
        <v/>
      </c>
      <c r="O66" s="265">
        <f>IFERROR(-($K$66-AVERAGE($K$15:$K$85))/STDEV($K$15:$K$85),"")</f>
        <v/>
      </c>
      <c r="P66" s="265">
        <f>IFERROR(-($G$66-AVERAGE($G$15:$G$85))/STDEV($G$15:$G$85),"")</f>
        <v/>
      </c>
      <c r="Q66" s="265">
        <f>IFERROR(($H$66-AVERAGE($H$15:$H$85))/STDEV($H$15:$H$85),"")</f>
        <v/>
      </c>
      <c r="R66" s="265">
        <f>IFERROR((IF(ISNUMBER(L66),$D$7*L66,0)+IF(ISNUMBER(M66),$D$8*M66,0)+IF(ISNUMBER(N66),$D$9*N66,0)+IF(ISNUMBER(O66),$D$10*O66,0)+IF(ISNUMBER(P66),$D$11*P66,0)+IF(ISNUMBER(Q66),$D$12*Q66,0))/(IF(ISNUMBER(L66),$D$7,0)+IF(ISNUMBER(M66),$D$8,0)+IF(ISNUMBER(N66),$D$9,0)+IF(ISNUMBER(O66),$D$10,0)+IF(ISNUMBER(P66),$D$11,0)+IF(ISNUMBER(Q66),$D$12,0)),"")</f>
        <v/>
      </c>
      <c r="S66" s="190">
        <f>IFERROR(LN($E$66),"")</f>
        <v/>
      </c>
      <c r="T66" s="190">
        <f>IFERROR($N$7+$N$8*$R$66,"")</f>
        <v/>
      </c>
      <c r="U66" s="265">
        <f>IFERROR($S$66-$T$66,"")</f>
        <v/>
      </c>
      <c r="V66" s="265">
        <f>IFERROR(($U$66-AVERAGE($U$15:$U$85))/STDEV($U$15:$U$85),"")</f>
        <v/>
      </c>
      <c r="W66" s="191">
        <f>IF(ISNUMBER($V$66),IF($V$66&gt;=1.5,"CHEAP",IF($V$66&gt;=0.5,"slightly cheap",IF($V$66&lt;=-1.5,"RICH",IF($V$66&lt;=-0.5,"slightly rich","fair")))),"")</f>
        <v/>
      </c>
      <c r="X66" s="296">
        <f>SUMPRODUCT(--ISNUMBER((D66,G66,H66,I66,J66,K66)))</f>
        <v/>
      </c>
      <c r="Y66" s="297">
        <f>IF(X66&gt;=5,"HIGH",IF(X66&gt;=3,"MED","LOW"))</f>
        <v/>
      </c>
      <c r="Z66" s="298">
        <f>IF(AND(ISNUMBER(S66),X66&gt;=$S$11),S66,"")</f>
        <v/>
      </c>
      <c r="AA66" s="299">
        <f>IF(AND(ISNUMBER(R66),X66&gt;=$S$11),R66,"")</f>
        <v/>
      </c>
    </row>
    <row r="67">
      <c r="B67" s="176">
        <f>Tickers!B59</f>
        <v/>
      </c>
      <c r="C67" s="177">
        <f>Tickers!C59</f>
        <v/>
      </c>
      <c r="D67" s="178">
        <f>Tickers!E59</f>
        <v/>
      </c>
      <c r="E67" s="260">
        <f>IFERROR(Tickers!G59,"")</f>
        <v/>
      </c>
      <c r="F67" s="260">
        <f>IFERROR(Tickers!I59,"")</f>
        <v/>
      </c>
      <c r="G67" s="261">
        <f>IFERROR(IF(ISNUMBER(Tickers!K59),Tickers!K59,IF(ISNUMBER(Haver!E59),Haver!E59,IF(ISNUMBER(Tickers!T59),Tickers!T59,""))),"")</f>
        <v/>
      </c>
      <c r="H67" s="261">
        <f>IFERROR(IF(ISNUMBER(Tickers!M59),Tickers!M59,IF(ISNUMBER(Haver!G59),Haver!G59,IF(ISNUMBER(Tickers!U59),Tickers!U59,""))),"")</f>
        <v/>
      </c>
      <c r="I67" s="261">
        <f>IFERROR(IF(ISNUMBER(Tickers!O59),Tickers!O59,IF(ISNUMBER(Haver!I59),Haver!I59,IF(ISNUMBER(Tickers!V59),Tickers!V59,""))),"")</f>
        <v/>
      </c>
      <c r="J67" s="261">
        <f>IFERROR(IF(ISNUMBER(Tickers!Q59),Tickers!Q59,IF(ISNUMBER(Haver!K59),Haver!K59,IF(ISNUMBER(Tickers!W59),Tickers!W59,""))),"")</f>
        <v/>
      </c>
      <c r="K67" s="260">
        <f>IFERROR(IF(ISNUMBER(Tickers!S59),Tickers!S59,IF(ISNUMBER(Haver!M59),Haver!M59,IF(ISNUMBER(Tickers!X59),Tickers!X59,""))),"")</f>
        <v/>
      </c>
      <c r="L67" s="262">
        <f>IFERROR(($D$67-AVERAGE($D$15:$D$85))/STDEV($D$15:$D$85),"")</f>
        <v/>
      </c>
      <c r="M67" s="262">
        <f>IFERROR(($I$67-AVERAGE($I$15:$I$85))/STDEV($I$15:$I$85),"")</f>
        <v/>
      </c>
      <c r="N67" s="262">
        <f>IFERROR(-($J$67-AVERAGE($J$15:$J$85))/STDEV($J$15:$J$85),"")</f>
        <v/>
      </c>
      <c r="O67" s="262">
        <f>IFERROR(-($K$67-AVERAGE($K$15:$K$85))/STDEV($K$15:$K$85),"")</f>
        <v/>
      </c>
      <c r="P67" s="262">
        <f>IFERROR(-($G$67-AVERAGE($G$15:$G$85))/STDEV($G$15:$G$85),"")</f>
        <v/>
      </c>
      <c r="Q67" s="262">
        <f>IFERROR(($H$67-AVERAGE($H$15:$H$85))/STDEV($H$15:$H$85),"")</f>
        <v/>
      </c>
      <c r="R67" s="262">
        <f>IFERROR((IF(ISNUMBER(L67),$D$7*L67,0)+IF(ISNUMBER(M67),$D$8*M67,0)+IF(ISNUMBER(N67),$D$9*N67,0)+IF(ISNUMBER(O67),$D$10*O67,0)+IF(ISNUMBER(P67),$D$11*P67,0)+IF(ISNUMBER(Q67),$D$12*Q67,0))/(IF(ISNUMBER(L67),$D$7,0)+IF(ISNUMBER(M67),$D$8,0)+IF(ISNUMBER(N67),$D$9,0)+IF(ISNUMBER(O67),$D$10,0)+IF(ISNUMBER(P67),$D$11,0)+IF(ISNUMBER(Q67),$D$12,0)),"")</f>
        <v/>
      </c>
      <c r="S67" s="182">
        <f>IFERROR(LN($E$67),"")</f>
        <v/>
      </c>
      <c r="T67" s="182">
        <f>IFERROR($N$7+$N$8*$R$67,"")</f>
        <v/>
      </c>
      <c r="U67" s="262">
        <f>IFERROR($S$67-$T$67,"")</f>
        <v/>
      </c>
      <c r="V67" s="262">
        <f>IFERROR(($U$67-AVERAGE($U$15:$U$85))/STDEV($U$15:$U$85),"")</f>
        <v/>
      </c>
      <c r="W67" s="183">
        <f>IF(ISNUMBER($V$67),IF($V$67&gt;=1.5,"CHEAP",IF($V$67&gt;=0.5,"slightly cheap",IF($V$67&lt;=-1.5,"RICH",IF($V$67&lt;=-0.5,"slightly rich","fair")))),"")</f>
        <v/>
      </c>
      <c r="X67" s="292">
        <f>SUMPRODUCT(--ISNUMBER((D67,G67,H67,I67,J67,K67)))</f>
        <v/>
      </c>
      <c r="Y67" s="293">
        <f>IF(X67&gt;=5,"HIGH",IF(X67&gt;=3,"MED","LOW"))</f>
        <v/>
      </c>
      <c r="Z67" s="294">
        <f>IF(AND(ISNUMBER(S67),X67&gt;=$S$11),S67,"")</f>
        <v/>
      </c>
      <c r="AA67" s="295">
        <f>IF(AND(ISNUMBER(R67),X67&gt;=$S$11),R67,"")</f>
        <v/>
      </c>
    </row>
    <row r="68">
      <c r="B68" s="184">
        <f>Tickers!B60</f>
        <v/>
      </c>
      <c r="C68" s="185">
        <f>Tickers!C60</f>
        <v/>
      </c>
      <c r="D68" s="186">
        <f>Tickers!E60</f>
        <v/>
      </c>
      <c r="E68" s="263">
        <f>IFERROR(Tickers!G60,"")</f>
        <v/>
      </c>
      <c r="F68" s="263">
        <f>IFERROR(Tickers!I60,"")</f>
        <v/>
      </c>
      <c r="G68" s="264">
        <f>IFERROR(IF(ISNUMBER(Tickers!K60),Tickers!K60,IF(ISNUMBER(Haver!E60),Haver!E60,IF(ISNUMBER(Tickers!T60),Tickers!T60,""))),"")</f>
        <v/>
      </c>
      <c r="H68" s="264">
        <f>IFERROR(IF(ISNUMBER(Tickers!M60),Tickers!M60,IF(ISNUMBER(Haver!G60),Haver!G60,IF(ISNUMBER(Tickers!U60),Tickers!U60,""))),"")</f>
        <v/>
      </c>
      <c r="I68" s="264">
        <f>IFERROR(IF(ISNUMBER(Tickers!O60),Tickers!O60,IF(ISNUMBER(Haver!I60),Haver!I60,IF(ISNUMBER(Tickers!V60),Tickers!V60,""))),"")</f>
        <v/>
      </c>
      <c r="J68" s="264">
        <f>IFERROR(IF(ISNUMBER(Tickers!Q60),Tickers!Q60,IF(ISNUMBER(Haver!K60),Haver!K60,IF(ISNUMBER(Tickers!W60),Tickers!W60,""))),"")</f>
        <v/>
      </c>
      <c r="K68" s="263">
        <f>IFERROR(IF(ISNUMBER(Tickers!S60),Tickers!S60,IF(ISNUMBER(Haver!M60),Haver!M60,IF(ISNUMBER(Tickers!X60),Tickers!X60,""))),"")</f>
        <v/>
      </c>
      <c r="L68" s="265">
        <f>IFERROR(($D$68-AVERAGE($D$15:$D$85))/STDEV($D$15:$D$85),"")</f>
        <v/>
      </c>
      <c r="M68" s="265">
        <f>IFERROR(($I$68-AVERAGE($I$15:$I$85))/STDEV($I$15:$I$85),"")</f>
        <v/>
      </c>
      <c r="N68" s="265">
        <f>IFERROR(-($J$68-AVERAGE($J$15:$J$85))/STDEV($J$15:$J$85),"")</f>
        <v/>
      </c>
      <c r="O68" s="265">
        <f>IFERROR(-($K$68-AVERAGE($K$15:$K$85))/STDEV($K$15:$K$85),"")</f>
        <v/>
      </c>
      <c r="P68" s="265">
        <f>IFERROR(-($G$68-AVERAGE($G$15:$G$85))/STDEV($G$15:$G$85),"")</f>
        <v/>
      </c>
      <c r="Q68" s="265">
        <f>IFERROR(($H$68-AVERAGE($H$15:$H$85))/STDEV($H$15:$H$85),"")</f>
        <v/>
      </c>
      <c r="R68" s="265">
        <f>IFERROR((IF(ISNUMBER(L68),$D$7*L68,0)+IF(ISNUMBER(M68),$D$8*M68,0)+IF(ISNUMBER(N68),$D$9*N68,0)+IF(ISNUMBER(O68),$D$10*O68,0)+IF(ISNUMBER(P68),$D$11*P68,0)+IF(ISNUMBER(Q68),$D$12*Q68,0))/(IF(ISNUMBER(L68),$D$7,0)+IF(ISNUMBER(M68),$D$8,0)+IF(ISNUMBER(N68),$D$9,0)+IF(ISNUMBER(O68),$D$10,0)+IF(ISNUMBER(P68),$D$11,0)+IF(ISNUMBER(Q68),$D$12,0)),"")</f>
        <v/>
      </c>
      <c r="S68" s="190">
        <f>IFERROR(LN($E$68),"")</f>
        <v/>
      </c>
      <c r="T68" s="190">
        <f>IFERROR($N$7+$N$8*$R$68,"")</f>
        <v/>
      </c>
      <c r="U68" s="265">
        <f>IFERROR($S$68-$T$68,"")</f>
        <v/>
      </c>
      <c r="V68" s="265">
        <f>IFERROR(($U$68-AVERAGE($U$15:$U$85))/STDEV($U$15:$U$85),"")</f>
        <v/>
      </c>
      <c r="W68" s="191">
        <f>IF(ISNUMBER($V$68),IF($V$68&gt;=1.5,"CHEAP",IF($V$68&gt;=0.5,"slightly cheap",IF($V$68&lt;=-1.5,"RICH",IF($V$68&lt;=-0.5,"slightly rich","fair")))),"")</f>
        <v/>
      </c>
      <c r="X68" s="296">
        <f>SUMPRODUCT(--ISNUMBER((D68,G68,H68,I68,J68,K68)))</f>
        <v/>
      </c>
      <c r="Y68" s="297">
        <f>IF(X68&gt;=5,"HIGH",IF(X68&gt;=3,"MED","LOW"))</f>
        <v/>
      </c>
      <c r="Z68" s="298">
        <f>IF(AND(ISNUMBER(S68),X68&gt;=$S$11),S68,"")</f>
        <v/>
      </c>
      <c r="AA68" s="299">
        <f>IF(AND(ISNUMBER(R68),X68&gt;=$S$11),R68,"")</f>
        <v/>
      </c>
    </row>
    <row r="69">
      <c r="B69" s="176">
        <f>Tickers!B61</f>
        <v/>
      </c>
      <c r="C69" s="177">
        <f>Tickers!C61</f>
        <v/>
      </c>
      <c r="D69" s="178">
        <f>Tickers!E61</f>
        <v/>
      </c>
      <c r="E69" s="260">
        <f>IFERROR(Tickers!G61,"")</f>
        <v/>
      </c>
      <c r="F69" s="260">
        <f>IFERROR(Tickers!I61,"")</f>
        <v/>
      </c>
      <c r="G69" s="261">
        <f>IFERROR(IF(ISNUMBER(Tickers!K61),Tickers!K61,IF(ISNUMBER(Haver!E61),Haver!E61,IF(ISNUMBER(Tickers!T61),Tickers!T61,""))),"")</f>
        <v/>
      </c>
      <c r="H69" s="261">
        <f>IFERROR(IF(ISNUMBER(Tickers!M61),Tickers!M61,IF(ISNUMBER(Haver!G61),Haver!G61,IF(ISNUMBER(Tickers!U61),Tickers!U61,""))),"")</f>
        <v/>
      </c>
      <c r="I69" s="261">
        <f>IFERROR(IF(ISNUMBER(Tickers!O61),Tickers!O61,IF(ISNUMBER(Haver!I61),Haver!I61,IF(ISNUMBER(Tickers!V61),Tickers!V61,""))),"")</f>
        <v/>
      </c>
      <c r="J69" s="261">
        <f>IFERROR(IF(ISNUMBER(Tickers!Q61),Tickers!Q61,IF(ISNUMBER(Haver!K61),Haver!K61,IF(ISNUMBER(Tickers!W61),Tickers!W61,""))),"")</f>
        <v/>
      </c>
      <c r="K69" s="260">
        <f>IFERROR(IF(ISNUMBER(Tickers!S61),Tickers!S61,IF(ISNUMBER(Haver!M61),Haver!M61,IF(ISNUMBER(Tickers!X61),Tickers!X61,""))),"")</f>
        <v/>
      </c>
      <c r="L69" s="262">
        <f>IFERROR(($D$69-AVERAGE($D$15:$D$85))/STDEV($D$15:$D$85),"")</f>
        <v/>
      </c>
      <c r="M69" s="262">
        <f>IFERROR(($I$69-AVERAGE($I$15:$I$85))/STDEV($I$15:$I$85),"")</f>
        <v/>
      </c>
      <c r="N69" s="262">
        <f>IFERROR(-($J$69-AVERAGE($J$15:$J$85))/STDEV($J$15:$J$85),"")</f>
        <v/>
      </c>
      <c r="O69" s="262">
        <f>IFERROR(-($K$69-AVERAGE($K$15:$K$85))/STDEV($K$15:$K$85),"")</f>
        <v/>
      </c>
      <c r="P69" s="262">
        <f>IFERROR(-($G$69-AVERAGE($G$15:$G$85))/STDEV($G$15:$G$85),"")</f>
        <v/>
      </c>
      <c r="Q69" s="262">
        <f>IFERROR(($H$69-AVERAGE($H$15:$H$85))/STDEV($H$15:$H$85),"")</f>
        <v/>
      </c>
      <c r="R69" s="262">
        <f>IFERROR((IF(ISNUMBER(L69),$D$7*L69,0)+IF(ISNUMBER(M69),$D$8*M69,0)+IF(ISNUMBER(N69),$D$9*N69,0)+IF(ISNUMBER(O69),$D$10*O69,0)+IF(ISNUMBER(P69),$D$11*P69,0)+IF(ISNUMBER(Q69),$D$12*Q69,0))/(IF(ISNUMBER(L69),$D$7,0)+IF(ISNUMBER(M69),$D$8,0)+IF(ISNUMBER(N69),$D$9,0)+IF(ISNUMBER(O69),$D$10,0)+IF(ISNUMBER(P69),$D$11,0)+IF(ISNUMBER(Q69),$D$12,0)),"")</f>
        <v/>
      </c>
      <c r="S69" s="182">
        <f>IFERROR(LN($E$69),"")</f>
        <v/>
      </c>
      <c r="T69" s="182">
        <f>IFERROR($N$7+$N$8*$R$69,"")</f>
        <v/>
      </c>
      <c r="U69" s="262">
        <f>IFERROR($S$69-$T$69,"")</f>
        <v/>
      </c>
      <c r="V69" s="262">
        <f>IFERROR(($U$69-AVERAGE($U$15:$U$85))/STDEV($U$15:$U$85),"")</f>
        <v/>
      </c>
      <c r="W69" s="183">
        <f>IF(ISNUMBER($V$69),IF($V$69&gt;=1.5,"CHEAP",IF($V$69&gt;=0.5,"slightly cheap",IF($V$69&lt;=-1.5,"RICH",IF($V$69&lt;=-0.5,"slightly rich","fair")))),"")</f>
        <v/>
      </c>
      <c r="X69" s="292">
        <f>SUMPRODUCT(--ISNUMBER((D69,G69,H69,I69,J69,K69)))</f>
        <v/>
      </c>
      <c r="Y69" s="293">
        <f>IF(X69&gt;=5,"HIGH",IF(X69&gt;=3,"MED","LOW"))</f>
        <v/>
      </c>
      <c r="Z69" s="294">
        <f>IF(AND(ISNUMBER(S69),X69&gt;=$S$11),S69,"")</f>
        <v/>
      </c>
      <c r="AA69" s="295">
        <f>IF(AND(ISNUMBER(R69),X69&gt;=$S$11),R69,"")</f>
        <v/>
      </c>
    </row>
    <row r="70">
      <c r="B70" s="184">
        <f>Tickers!B62</f>
        <v/>
      </c>
      <c r="C70" s="185">
        <f>Tickers!C62</f>
        <v/>
      </c>
      <c r="D70" s="186">
        <f>Tickers!E62</f>
        <v/>
      </c>
      <c r="E70" s="263">
        <f>IFERROR(Tickers!G62,"")</f>
        <v/>
      </c>
      <c r="F70" s="263">
        <f>IFERROR(Tickers!I62,"")</f>
        <v/>
      </c>
      <c r="G70" s="264">
        <f>IFERROR(IF(ISNUMBER(Tickers!K62),Tickers!K62,IF(ISNUMBER(Haver!E62),Haver!E62,IF(ISNUMBER(Tickers!T62),Tickers!T62,""))),"")</f>
        <v/>
      </c>
      <c r="H70" s="264">
        <f>IFERROR(IF(ISNUMBER(Tickers!M62),Tickers!M62,IF(ISNUMBER(Haver!G62),Haver!G62,IF(ISNUMBER(Tickers!U62),Tickers!U62,""))),"")</f>
        <v/>
      </c>
      <c r="I70" s="264">
        <f>IFERROR(IF(ISNUMBER(Tickers!O62),Tickers!O62,IF(ISNUMBER(Haver!I62),Haver!I62,IF(ISNUMBER(Tickers!V62),Tickers!V62,""))),"")</f>
        <v/>
      </c>
      <c r="J70" s="264">
        <f>IFERROR(IF(ISNUMBER(Tickers!Q62),Tickers!Q62,IF(ISNUMBER(Haver!K62),Haver!K62,IF(ISNUMBER(Tickers!W62),Tickers!W62,""))),"")</f>
        <v/>
      </c>
      <c r="K70" s="263">
        <f>IFERROR(IF(ISNUMBER(Tickers!S62),Tickers!S62,IF(ISNUMBER(Haver!M62),Haver!M62,IF(ISNUMBER(Tickers!X62),Tickers!X62,""))),"")</f>
        <v/>
      </c>
      <c r="L70" s="265">
        <f>IFERROR(($D$70-AVERAGE($D$15:$D$85))/STDEV($D$15:$D$85),"")</f>
        <v/>
      </c>
      <c r="M70" s="265">
        <f>IFERROR(($I$70-AVERAGE($I$15:$I$85))/STDEV($I$15:$I$85),"")</f>
        <v/>
      </c>
      <c r="N70" s="265">
        <f>IFERROR(-($J$70-AVERAGE($J$15:$J$85))/STDEV($J$15:$J$85),"")</f>
        <v/>
      </c>
      <c r="O70" s="265">
        <f>IFERROR(-($K$70-AVERAGE($K$15:$K$85))/STDEV($K$15:$K$85),"")</f>
        <v/>
      </c>
      <c r="P70" s="265">
        <f>IFERROR(-($G$70-AVERAGE($G$15:$G$85))/STDEV($G$15:$G$85),"")</f>
        <v/>
      </c>
      <c r="Q70" s="265">
        <f>IFERROR(($H$70-AVERAGE($H$15:$H$85))/STDEV($H$15:$H$85),"")</f>
        <v/>
      </c>
      <c r="R70" s="265">
        <f>IFERROR((IF(ISNUMBER(L70),$D$7*L70,0)+IF(ISNUMBER(M70),$D$8*M70,0)+IF(ISNUMBER(N70),$D$9*N70,0)+IF(ISNUMBER(O70),$D$10*O70,0)+IF(ISNUMBER(P70),$D$11*P70,0)+IF(ISNUMBER(Q70),$D$12*Q70,0))/(IF(ISNUMBER(L70),$D$7,0)+IF(ISNUMBER(M70),$D$8,0)+IF(ISNUMBER(N70),$D$9,0)+IF(ISNUMBER(O70),$D$10,0)+IF(ISNUMBER(P70),$D$11,0)+IF(ISNUMBER(Q70),$D$12,0)),"")</f>
        <v/>
      </c>
      <c r="S70" s="190">
        <f>IFERROR(LN($E$70),"")</f>
        <v/>
      </c>
      <c r="T70" s="190">
        <f>IFERROR($N$7+$N$8*$R$70,"")</f>
        <v/>
      </c>
      <c r="U70" s="265">
        <f>IFERROR($S$70-$T$70,"")</f>
        <v/>
      </c>
      <c r="V70" s="265">
        <f>IFERROR(($U$70-AVERAGE($U$15:$U$85))/STDEV($U$15:$U$85),"")</f>
        <v/>
      </c>
      <c r="W70" s="191">
        <f>IF(ISNUMBER($V$70),IF($V$70&gt;=1.5,"CHEAP",IF($V$70&gt;=0.5,"slightly cheap",IF($V$70&lt;=-1.5,"RICH",IF($V$70&lt;=-0.5,"slightly rich","fair")))),"")</f>
        <v/>
      </c>
      <c r="X70" s="296">
        <f>SUMPRODUCT(--ISNUMBER((D70,G70,H70,I70,J70,K70)))</f>
        <v/>
      </c>
      <c r="Y70" s="297">
        <f>IF(X70&gt;=5,"HIGH",IF(X70&gt;=3,"MED","LOW"))</f>
        <v/>
      </c>
      <c r="Z70" s="298">
        <f>IF(AND(ISNUMBER(S70),X70&gt;=$S$11),S70,"")</f>
        <v/>
      </c>
      <c r="AA70" s="299">
        <f>IF(AND(ISNUMBER(R70),X70&gt;=$S$11),R70,"")</f>
        <v/>
      </c>
    </row>
    <row r="71">
      <c r="B71" s="176">
        <f>Tickers!B63</f>
        <v/>
      </c>
      <c r="C71" s="177">
        <f>Tickers!C63</f>
        <v/>
      </c>
      <c r="D71" s="178">
        <f>Tickers!E63</f>
        <v/>
      </c>
      <c r="E71" s="260">
        <f>IFERROR(Tickers!G63,"")</f>
        <v/>
      </c>
      <c r="F71" s="260">
        <f>IFERROR(Tickers!I63,"")</f>
        <v/>
      </c>
      <c r="G71" s="261">
        <f>IFERROR(IF(ISNUMBER(Tickers!K63),Tickers!K63,IF(ISNUMBER(Haver!E63),Haver!E63,IF(ISNUMBER(Tickers!T63),Tickers!T63,""))),"")</f>
        <v/>
      </c>
      <c r="H71" s="261">
        <f>IFERROR(IF(ISNUMBER(Tickers!M63),Tickers!M63,IF(ISNUMBER(Haver!G63),Haver!G63,IF(ISNUMBER(Tickers!U63),Tickers!U63,""))),"")</f>
        <v/>
      </c>
      <c r="I71" s="261">
        <f>IFERROR(IF(ISNUMBER(Tickers!O63),Tickers!O63,IF(ISNUMBER(Haver!I63),Haver!I63,IF(ISNUMBER(Tickers!V63),Tickers!V63,""))),"")</f>
        <v/>
      </c>
      <c r="J71" s="261">
        <f>IFERROR(IF(ISNUMBER(Tickers!Q63),Tickers!Q63,IF(ISNUMBER(Haver!K63),Haver!K63,IF(ISNUMBER(Tickers!W63),Tickers!W63,""))),"")</f>
        <v/>
      </c>
      <c r="K71" s="260">
        <f>IFERROR(IF(ISNUMBER(Tickers!S63),Tickers!S63,IF(ISNUMBER(Haver!M63),Haver!M63,IF(ISNUMBER(Tickers!X63),Tickers!X63,""))),"")</f>
        <v/>
      </c>
      <c r="L71" s="262">
        <f>IFERROR(($D$71-AVERAGE($D$15:$D$85))/STDEV($D$15:$D$85),"")</f>
        <v/>
      </c>
      <c r="M71" s="262">
        <f>IFERROR(($I$71-AVERAGE($I$15:$I$85))/STDEV($I$15:$I$85),"")</f>
        <v/>
      </c>
      <c r="N71" s="262">
        <f>IFERROR(-($J$71-AVERAGE($J$15:$J$85))/STDEV($J$15:$J$85),"")</f>
        <v/>
      </c>
      <c r="O71" s="262">
        <f>IFERROR(-($K$71-AVERAGE($K$15:$K$85))/STDEV($K$15:$K$85),"")</f>
        <v/>
      </c>
      <c r="P71" s="262">
        <f>IFERROR(-($G$71-AVERAGE($G$15:$G$85))/STDEV($G$15:$G$85),"")</f>
        <v/>
      </c>
      <c r="Q71" s="262">
        <f>IFERROR(($H$71-AVERAGE($H$15:$H$85))/STDEV($H$15:$H$85),"")</f>
        <v/>
      </c>
      <c r="R71" s="262">
        <f>IFERROR((IF(ISNUMBER(L71),$D$7*L71,0)+IF(ISNUMBER(M71),$D$8*M71,0)+IF(ISNUMBER(N71),$D$9*N71,0)+IF(ISNUMBER(O71),$D$10*O71,0)+IF(ISNUMBER(P71),$D$11*P71,0)+IF(ISNUMBER(Q71),$D$12*Q71,0))/(IF(ISNUMBER(L71),$D$7,0)+IF(ISNUMBER(M71),$D$8,0)+IF(ISNUMBER(N71),$D$9,0)+IF(ISNUMBER(O71),$D$10,0)+IF(ISNUMBER(P71),$D$11,0)+IF(ISNUMBER(Q71),$D$12,0)),"")</f>
        <v/>
      </c>
      <c r="S71" s="182">
        <f>IFERROR(LN($E$71),"")</f>
        <v/>
      </c>
      <c r="T71" s="182">
        <f>IFERROR($N$7+$N$8*$R$71,"")</f>
        <v/>
      </c>
      <c r="U71" s="262">
        <f>IFERROR($S$71-$T$71,"")</f>
        <v/>
      </c>
      <c r="V71" s="262">
        <f>IFERROR(($U$71-AVERAGE($U$15:$U$85))/STDEV($U$15:$U$85),"")</f>
        <v/>
      </c>
      <c r="W71" s="183">
        <f>IF(ISNUMBER($V$71),IF($V$71&gt;=1.5,"CHEAP",IF($V$71&gt;=0.5,"slightly cheap",IF($V$71&lt;=-1.5,"RICH",IF($V$71&lt;=-0.5,"slightly rich","fair")))),"")</f>
        <v/>
      </c>
      <c r="X71" s="292">
        <f>SUMPRODUCT(--ISNUMBER((D71,G71,H71,I71,J71,K71)))</f>
        <v/>
      </c>
      <c r="Y71" s="293">
        <f>IF(X71&gt;=5,"HIGH",IF(X71&gt;=3,"MED","LOW"))</f>
        <v/>
      </c>
      <c r="Z71" s="294">
        <f>IF(AND(ISNUMBER(S71),X71&gt;=$S$11),S71,"")</f>
        <v/>
      </c>
      <c r="AA71" s="295">
        <f>IF(AND(ISNUMBER(R71),X71&gt;=$S$11),R71,"")</f>
        <v/>
      </c>
    </row>
    <row r="72">
      <c r="B72" s="184">
        <f>Tickers!B64</f>
        <v/>
      </c>
      <c r="C72" s="185">
        <f>Tickers!C64</f>
        <v/>
      </c>
      <c r="D72" s="186">
        <f>Tickers!E64</f>
        <v/>
      </c>
      <c r="E72" s="263">
        <f>IFERROR(Tickers!G64,"")</f>
        <v/>
      </c>
      <c r="F72" s="263">
        <f>IFERROR(Tickers!I64,"")</f>
        <v/>
      </c>
      <c r="G72" s="264">
        <f>IFERROR(IF(ISNUMBER(Tickers!K64),Tickers!K64,IF(ISNUMBER(Haver!E64),Haver!E64,IF(ISNUMBER(Tickers!T64),Tickers!T64,""))),"")</f>
        <v/>
      </c>
      <c r="H72" s="264">
        <f>IFERROR(IF(ISNUMBER(Tickers!M64),Tickers!M64,IF(ISNUMBER(Haver!G64),Haver!G64,IF(ISNUMBER(Tickers!U64),Tickers!U64,""))),"")</f>
        <v/>
      </c>
      <c r="I72" s="264">
        <f>IFERROR(IF(ISNUMBER(Tickers!O64),Tickers!O64,IF(ISNUMBER(Haver!I64),Haver!I64,IF(ISNUMBER(Tickers!V64),Tickers!V64,""))),"")</f>
        <v/>
      </c>
      <c r="J72" s="264">
        <f>IFERROR(IF(ISNUMBER(Tickers!Q64),Tickers!Q64,IF(ISNUMBER(Haver!K64),Haver!K64,IF(ISNUMBER(Tickers!W64),Tickers!W64,""))),"")</f>
        <v/>
      </c>
      <c r="K72" s="263">
        <f>IFERROR(IF(ISNUMBER(Tickers!S64),Tickers!S64,IF(ISNUMBER(Haver!M64),Haver!M64,IF(ISNUMBER(Tickers!X64),Tickers!X64,""))),"")</f>
        <v/>
      </c>
      <c r="L72" s="265">
        <f>IFERROR(($D$72-AVERAGE($D$15:$D$85))/STDEV($D$15:$D$85),"")</f>
        <v/>
      </c>
      <c r="M72" s="265">
        <f>IFERROR(($I$72-AVERAGE($I$15:$I$85))/STDEV($I$15:$I$85),"")</f>
        <v/>
      </c>
      <c r="N72" s="265">
        <f>IFERROR(-($J$72-AVERAGE($J$15:$J$85))/STDEV($J$15:$J$85),"")</f>
        <v/>
      </c>
      <c r="O72" s="265">
        <f>IFERROR(-($K$72-AVERAGE($K$15:$K$85))/STDEV($K$15:$K$85),"")</f>
        <v/>
      </c>
      <c r="P72" s="265">
        <f>IFERROR(-($G$72-AVERAGE($G$15:$G$85))/STDEV($G$15:$G$85),"")</f>
        <v/>
      </c>
      <c r="Q72" s="265">
        <f>IFERROR(($H$72-AVERAGE($H$15:$H$85))/STDEV($H$15:$H$85),"")</f>
        <v/>
      </c>
      <c r="R72" s="265">
        <f>IFERROR((IF(ISNUMBER(L72),$D$7*L72,0)+IF(ISNUMBER(M72),$D$8*M72,0)+IF(ISNUMBER(N72),$D$9*N72,0)+IF(ISNUMBER(O72),$D$10*O72,0)+IF(ISNUMBER(P72),$D$11*P72,0)+IF(ISNUMBER(Q72),$D$12*Q72,0))/(IF(ISNUMBER(L72),$D$7,0)+IF(ISNUMBER(M72),$D$8,0)+IF(ISNUMBER(N72),$D$9,0)+IF(ISNUMBER(O72),$D$10,0)+IF(ISNUMBER(P72),$D$11,0)+IF(ISNUMBER(Q72),$D$12,0)),"")</f>
        <v/>
      </c>
      <c r="S72" s="190">
        <f>IFERROR(LN($E$72),"")</f>
        <v/>
      </c>
      <c r="T72" s="190">
        <f>IFERROR($N$7+$N$8*$R$72,"")</f>
        <v/>
      </c>
      <c r="U72" s="265">
        <f>IFERROR($S$72-$T$72,"")</f>
        <v/>
      </c>
      <c r="V72" s="265">
        <f>IFERROR(($U$72-AVERAGE($U$15:$U$85))/STDEV($U$15:$U$85),"")</f>
        <v/>
      </c>
      <c r="W72" s="191">
        <f>IF(ISNUMBER($V$72),IF($V$72&gt;=1.5,"CHEAP",IF($V$72&gt;=0.5,"slightly cheap",IF($V$72&lt;=-1.5,"RICH",IF($V$72&lt;=-0.5,"slightly rich","fair")))),"")</f>
        <v/>
      </c>
      <c r="X72" s="296">
        <f>SUMPRODUCT(--ISNUMBER((D72,G72,H72,I72,J72,K72)))</f>
        <v/>
      </c>
      <c r="Y72" s="297">
        <f>IF(X72&gt;=5,"HIGH",IF(X72&gt;=3,"MED","LOW"))</f>
        <v/>
      </c>
      <c r="Z72" s="298">
        <f>IF(AND(ISNUMBER(S72),X72&gt;=$S$11),S72,"")</f>
        <v/>
      </c>
      <c r="AA72" s="299">
        <f>IF(AND(ISNUMBER(R72),X72&gt;=$S$11),R72,"")</f>
        <v/>
      </c>
    </row>
    <row r="73">
      <c r="B73" s="176">
        <f>Tickers!B65</f>
        <v/>
      </c>
      <c r="C73" s="177">
        <f>Tickers!C65</f>
        <v/>
      </c>
      <c r="D73" s="178">
        <f>Tickers!E65</f>
        <v/>
      </c>
      <c r="E73" s="260">
        <f>IFERROR(Tickers!G65,"")</f>
        <v/>
      </c>
      <c r="F73" s="260">
        <f>IFERROR(Tickers!I65,"")</f>
        <v/>
      </c>
      <c r="G73" s="261">
        <f>IFERROR(IF(ISNUMBER(Tickers!K65),Tickers!K65,IF(ISNUMBER(Haver!E65),Haver!E65,IF(ISNUMBER(Tickers!T65),Tickers!T65,""))),"")</f>
        <v/>
      </c>
      <c r="H73" s="261">
        <f>IFERROR(IF(ISNUMBER(Tickers!M65),Tickers!M65,IF(ISNUMBER(Haver!G65),Haver!G65,IF(ISNUMBER(Tickers!U65),Tickers!U65,""))),"")</f>
        <v/>
      </c>
      <c r="I73" s="261">
        <f>IFERROR(IF(ISNUMBER(Tickers!O65),Tickers!O65,IF(ISNUMBER(Haver!I65),Haver!I65,IF(ISNUMBER(Tickers!V65),Tickers!V65,""))),"")</f>
        <v/>
      </c>
      <c r="J73" s="261">
        <f>IFERROR(IF(ISNUMBER(Tickers!Q65),Tickers!Q65,IF(ISNUMBER(Haver!K65),Haver!K65,IF(ISNUMBER(Tickers!W65),Tickers!W65,""))),"")</f>
        <v/>
      </c>
      <c r="K73" s="260">
        <f>IFERROR(IF(ISNUMBER(Tickers!S65),Tickers!S65,IF(ISNUMBER(Haver!M65),Haver!M65,IF(ISNUMBER(Tickers!X65),Tickers!X65,""))),"")</f>
        <v/>
      </c>
      <c r="L73" s="262">
        <f>IFERROR(($D$73-AVERAGE($D$15:$D$85))/STDEV($D$15:$D$85),"")</f>
        <v/>
      </c>
      <c r="M73" s="262">
        <f>IFERROR(($I$73-AVERAGE($I$15:$I$85))/STDEV($I$15:$I$85),"")</f>
        <v/>
      </c>
      <c r="N73" s="262">
        <f>IFERROR(-($J$73-AVERAGE($J$15:$J$85))/STDEV($J$15:$J$85),"")</f>
        <v/>
      </c>
      <c r="O73" s="262">
        <f>IFERROR(-($K$73-AVERAGE($K$15:$K$85))/STDEV($K$15:$K$85),"")</f>
        <v/>
      </c>
      <c r="P73" s="262">
        <f>IFERROR(-($G$73-AVERAGE($G$15:$G$85))/STDEV($G$15:$G$85),"")</f>
        <v/>
      </c>
      <c r="Q73" s="262">
        <f>IFERROR(($H$73-AVERAGE($H$15:$H$85))/STDEV($H$15:$H$85),"")</f>
        <v/>
      </c>
      <c r="R73" s="262">
        <f>IFERROR((IF(ISNUMBER(L73),$D$7*L73,0)+IF(ISNUMBER(M73),$D$8*M73,0)+IF(ISNUMBER(N73),$D$9*N73,0)+IF(ISNUMBER(O73),$D$10*O73,0)+IF(ISNUMBER(P73),$D$11*P73,0)+IF(ISNUMBER(Q73),$D$12*Q73,0))/(IF(ISNUMBER(L73),$D$7,0)+IF(ISNUMBER(M73),$D$8,0)+IF(ISNUMBER(N73),$D$9,0)+IF(ISNUMBER(O73),$D$10,0)+IF(ISNUMBER(P73),$D$11,0)+IF(ISNUMBER(Q73),$D$12,0)),"")</f>
        <v/>
      </c>
      <c r="S73" s="182">
        <f>IFERROR(LN($E$73),"")</f>
        <v/>
      </c>
      <c r="T73" s="182">
        <f>IFERROR($N$7+$N$8*$R$73,"")</f>
        <v/>
      </c>
      <c r="U73" s="262">
        <f>IFERROR($S$73-$T$73,"")</f>
        <v/>
      </c>
      <c r="V73" s="262">
        <f>IFERROR(($U$73-AVERAGE($U$15:$U$85))/STDEV($U$15:$U$85),"")</f>
        <v/>
      </c>
      <c r="W73" s="183">
        <f>IF(ISNUMBER($V$73),IF($V$73&gt;=1.5,"CHEAP",IF($V$73&gt;=0.5,"slightly cheap",IF($V$73&lt;=-1.5,"RICH",IF($V$73&lt;=-0.5,"slightly rich","fair")))),"")</f>
        <v/>
      </c>
      <c r="X73" s="292">
        <f>SUMPRODUCT(--ISNUMBER((D73,G73,H73,I73,J73,K73)))</f>
        <v/>
      </c>
      <c r="Y73" s="293">
        <f>IF(X73&gt;=5,"HIGH",IF(X73&gt;=3,"MED","LOW"))</f>
        <v/>
      </c>
      <c r="Z73" s="294">
        <f>IF(AND(ISNUMBER(S73),X73&gt;=$S$11),S73,"")</f>
        <v/>
      </c>
      <c r="AA73" s="295">
        <f>IF(AND(ISNUMBER(R73),X73&gt;=$S$11),R73,"")</f>
        <v/>
      </c>
    </row>
    <row r="74">
      <c r="B74" s="184">
        <f>Tickers!B66</f>
        <v/>
      </c>
      <c r="C74" s="185">
        <f>Tickers!C66</f>
        <v/>
      </c>
      <c r="D74" s="186">
        <f>Tickers!E66</f>
        <v/>
      </c>
      <c r="E74" s="263">
        <f>IFERROR(Tickers!G66,"")</f>
        <v/>
      </c>
      <c r="F74" s="263">
        <f>IFERROR(Tickers!I66,"")</f>
        <v/>
      </c>
      <c r="G74" s="264">
        <f>IFERROR(IF(ISNUMBER(Tickers!K66),Tickers!K66,IF(ISNUMBER(Haver!E66),Haver!E66,IF(ISNUMBER(Tickers!T66),Tickers!T66,""))),"")</f>
        <v/>
      </c>
      <c r="H74" s="264">
        <f>IFERROR(IF(ISNUMBER(Tickers!M66),Tickers!M66,IF(ISNUMBER(Haver!G66),Haver!G66,IF(ISNUMBER(Tickers!U66),Tickers!U66,""))),"")</f>
        <v/>
      </c>
      <c r="I74" s="264">
        <f>IFERROR(IF(ISNUMBER(Tickers!O66),Tickers!O66,IF(ISNUMBER(Haver!I66),Haver!I66,IF(ISNUMBER(Tickers!V66),Tickers!V66,""))),"")</f>
        <v/>
      </c>
      <c r="J74" s="264">
        <f>IFERROR(IF(ISNUMBER(Tickers!Q66),Tickers!Q66,IF(ISNUMBER(Haver!K66),Haver!K66,IF(ISNUMBER(Tickers!W66),Tickers!W66,""))),"")</f>
        <v/>
      </c>
      <c r="K74" s="263">
        <f>IFERROR(IF(ISNUMBER(Tickers!S66),Tickers!S66,IF(ISNUMBER(Haver!M66),Haver!M66,IF(ISNUMBER(Tickers!X66),Tickers!X66,""))),"")</f>
        <v/>
      </c>
      <c r="L74" s="265">
        <f>IFERROR(($D$74-AVERAGE($D$15:$D$85))/STDEV($D$15:$D$85),"")</f>
        <v/>
      </c>
      <c r="M74" s="265">
        <f>IFERROR(($I$74-AVERAGE($I$15:$I$85))/STDEV($I$15:$I$85),"")</f>
        <v/>
      </c>
      <c r="N74" s="265">
        <f>IFERROR(-($J$74-AVERAGE($J$15:$J$85))/STDEV($J$15:$J$85),"")</f>
        <v/>
      </c>
      <c r="O74" s="265">
        <f>IFERROR(-($K$74-AVERAGE($K$15:$K$85))/STDEV($K$15:$K$85),"")</f>
        <v/>
      </c>
      <c r="P74" s="265">
        <f>IFERROR(-($G$74-AVERAGE($G$15:$G$85))/STDEV($G$15:$G$85),"")</f>
        <v/>
      </c>
      <c r="Q74" s="265">
        <f>IFERROR(($H$74-AVERAGE($H$15:$H$85))/STDEV($H$15:$H$85),"")</f>
        <v/>
      </c>
      <c r="R74" s="265">
        <f>IFERROR((IF(ISNUMBER(L74),$D$7*L74,0)+IF(ISNUMBER(M74),$D$8*M74,0)+IF(ISNUMBER(N74),$D$9*N74,0)+IF(ISNUMBER(O74),$D$10*O74,0)+IF(ISNUMBER(P74),$D$11*P74,0)+IF(ISNUMBER(Q74),$D$12*Q74,0))/(IF(ISNUMBER(L74),$D$7,0)+IF(ISNUMBER(M74),$D$8,0)+IF(ISNUMBER(N74),$D$9,0)+IF(ISNUMBER(O74),$D$10,0)+IF(ISNUMBER(P74),$D$11,0)+IF(ISNUMBER(Q74),$D$12,0)),"")</f>
        <v/>
      </c>
      <c r="S74" s="190">
        <f>IFERROR(LN($E$74),"")</f>
        <v/>
      </c>
      <c r="T74" s="190">
        <f>IFERROR($N$7+$N$8*$R$74,"")</f>
        <v/>
      </c>
      <c r="U74" s="265">
        <f>IFERROR($S$74-$T$74,"")</f>
        <v/>
      </c>
      <c r="V74" s="265">
        <f>IFERROR(($U$74-AVERAGE($U$15:$U$85))/STDEV($U$15:$U$85),"")</f>
        <v/>
      </c>
      <c r="W74" s="191">
        <f>IF(ISNUMBER($V$74),IF($V$74&gt;=1.5,"CHEAP",IF($V$74&gt;=0.5,"slightly cheap",IF($V$74&lt;=-1.5,"RICH",IF($V$74&lt;=-0.5,"slightly rich","fair")))),"")</f>
        <v/>
      </c>
      <c r="X74" s="296">
        <f>SUMPRODUCT(--ISNUMBER((D74,G74,H74,I74,J74,K74)))</f>
        <v/>
      </c>
      <c r="Y74" s="297">
        <f>IF(X74&gt;=5,"HIGH",IF(X74&gt;=3,"MED","LOW"))</f>
        <v/>
      </c>
      <c r="Z74" s="298">
        <f>IF(AND(ISNUMBER(S74),X74&gt;=$S$11),S74,"")</f>
        <v/>
      </c>
      <c r="AA74" s="299">
        <f>IF(AND(ISNUMBER(R74),X74&gt;=$S$11),R74,"")</f>
        <v/>
      </c>
    </row>
    <row r="75">
      <c r="B75" s="176">
        <f>Tickers!B67</f>
        <v/>
      </c>
      <c r="C75" s="177">
        <f>Tickers!C67</f>
        <v/>
      </c>
      <c r="D75" s="178">
        <f>Tickers!E67</f>
        <v/>
      </c>
      <c r="E75" s="260">
        <f>IFERROR(Tickers!G67,"")</f>
        <v/>
      </c>
      <c r="F75" s="260">
        <f>IFERROR(Tickers!I67,"")</f>
        <v/>
      </c>
      <c r="G75" s="261">
        <f>IFERROR(IF(ISNUMBER(Tickers!K67),Tickers!K67,IF(ISNUMBER(Haver!E67),Haver!E67,IF(ISNUMBER(Tickers!T67),Tickers!T67,""))),"")</f>
        <v/>
      </c>
      <c r="H75" s="261">
        <f>IFERROR(IF(ISNUMBER(Tickers!M67),Tickers!M67,IF(ISNUMBER(Haver!G67),Haver!G67,IF(ISNUMBER(Tickers!U67),Tickers!U67,""))),"")</f>
        <v/>
      </c>
      <c r="I75" s="261">
        <f>IFERROR(IF(ISNUMBER(Tickers!O67),Tickers!O67,IF(ISNUMBER(Haver!I67),Haver!I67,IF(ISNUMBER(Tickers!V67),Tickers!V67,""))),"")</f>
        <v/>
      </c>
      <c r="J75" s="261">
        <f>IFERROR(IF(ISNUMBER(Tickers!Q67),Tickers!Q67,IF(ISNUMBER(Haver!K67),Haver!K67,IF(ISNUMBER(Tickers!W67),Tickers!W67,""))),"")</f>
        <v/>
      </c>
      <c r="K75" s="260">
        <f>IFERROR(IF(ISNUMBER(Tickers!S67),Tickers!S67,IF(ISNUMBER(Haver!M67),Haver!M67,IF(ISNUMBER(Tickers!X67),Tickers!X67,""))),"")</f>
        <v/>
      </c>
      <c r="L75" s="262">
        <f>IFERROR(($D$75-AVERAGE($D$15:$D$85))/STDEV($D$15:$D$85),"")</f>
        <v/>
      </c>
      <c r="M75" s="262">
        <f>IFERROR(($I$75-AVERAGE($I$15:$I$85))/STDEV($I$15:$I$85),"")</f>
        <v/>
      </c>
      <c r="N75" s="262">
        <f>IFERROR(-($J$75-AVERAGE($J$15:$J$85))/STDEV($J$15:$J$85),"")</f>
        <v/>
      </c>
      <c r="O75" s="262">
        <f>IFERROR(-($K$75-AVERAGE($K$15:$K$85))/STDEV($K$15:$K$85),"")</f>
        <v/>
      </c>
      <c r="P75" s="262">
        <f>IFERROR(-($G$75-AVERAGE($G$15:$G$85))/STDEV($G$15:$G$85),"")</f>
        <v/>
      </c>
      <c r="Q75" s="262">
        <f>IFERROR(($H$75-AVERAGE($H$15:$H$85))/STDEV($H$15:$H$85),"")</f>
        <v/>
      </c>
      <c r="R75" s="262">
        <f>IFERROR((IF(ISNUMBER(L75),$D$7*L75,0)+IF(ISNUMBER(M75),$D$8*M75,0)+IF(ISNUMBER(N75),$D$9*N75,0)+IF(ISNUMBER(O75),$D$10*O75,0)+IF(ISNUMBER(P75),$D$11*P75,0)+IF(ISNUMBER(Q75),$D$12*Q75,0))/(IF(ISNUMBER(L75),$D$7,0)+IF(ISNUMBER(M75),$D$8,0)+IF(ISNUMBER(N75),$D$9,0)+IF(ISNUMBER(O75),$D$10,0)+IF(ISNUMBER(P75),$D$11,0)+IF(ISNUMBER(Q75),$D$12,0)),"")</f>
        <v/>
      </c>
      <c r="S75" s="182">
        <f>IFERROR(LN($E$75),"")</f>
        <v/>
      </c>
      <c r="T75" s="182">
        <f>IFERROR($N$7+$N$8*$R$75,"")</f>
        <v/>
      </c>
      <c r="U75" s="262">
        <f>IFERROR($S$75-$T$75,"")</f>
        <v/>
      </c>
      <c r="V75" s="262">
        <f>IFERROR(($U$75-AVERAGE($U$15:$U$85))/STDEV($U$15:$U$85),"")</f>
        <v/>
      </c>
      <c r="W75" s="183">
        <f>IF(ISNUMBER($V$75),IF($V$75&gt;=1.5,"CHEAP",IF($V$75&gt;=0.5,"slightly cheap",IF($V$75&lt;=-1.5,"RICH",IF($V$75&lt;=-0.5,"slightly rich","fair")))),"")</f>
        <v/>
      </c>
      <c r="X75" s="292">
        <f>SUMPRODUCT(--ISNUMBER((D75,G75,H75,I75,J75,K75)))</f>
        <v/>
      </c>
      <c r="Y75" s="293">
        <f>IF(X75&gt;=5,"HIGH",IF(X75&gt;=3,"MED","LOW"))</f>
        <v/>
      </c>
      <c r="Z75" s="294">
        <f>IF(AND(ISNUMBER(S75),X75&gt;=$S$11),S75,"")</f>
        <v/>
      </c>
      <c r="AA75" s="295">
        <f>IF(AND(ISNUMBER(R75),X75&gt;=$S$11),R75,"")</f>
        <v/>
      </c>
    </row>
    <row r="76">
      <c r="B76" s="184">
        <f>Tickers!B68</f>
        <v/>
      </c>
      <c r="C76" s="185">
        <f>Tickers!C68</f>
        <v/>
      </c>
      <c r="D76" s="186">
        <f>Tickers!E68</f>
        <v/>
      </c>
      <c r="E76" s="263">
        <f>IFERROR(Tickers!G68,"")</f>
        <v/>
      </c>
      <c r="F76" s="263">
        <f>IFERROR(Tickers!I68,"")</f>
        <v/>
      </c>
      <c r="G76" s="264">
        <f>IFERROR(IF(ISNUMBER(Tickers!K68),Tickers!K68,IF(ISNUMBER(Haver!E68),Haver!E68,IF(ISNUMBER(Tickers!T68),Tickers!T68,""))),"")</f>
        <v/>
      </c>
      <c r="H76" s="264">
        <f>IFERROR(IF(ISNUMBER(Tickers!M68),Tickers!M68,IF(ISNUMBER(Haver!G68),Haver!G68,IF(ISNUMBER(Tickers!U68),Tickers!U68,""))),"")</f>
        <v/>
      </c>
      <c r="I76" s="264">
        <f>IFERROR(IF(ISNUMBER(Tickers!O68),Tickers!O68,IF(ISNUMBER(Haver!I68),Haver!I68,IF(ISNUMBER(Tickers!V68),Tickers!V68,""))),"")</f>
        <v/>
      </c>
      <c r="J76" s="264">
        <f>IFERROR(IF(ISNUMBER(Tickers!Q68),Tickers!Q68,IF(ISNUMBER(Haver!K68),Haver!K68,IF(ISNUMBER(Tickers!W68),Tickers!W68,""))),"")</f>
        <v/>
      </c>
      <c r="K76" s="263">
        <f>IFERROR(IF(ISNUMBER(Tickers!S68),Tickers!S68,IF(ISNUMBER(Haver!M68),Haver!M68,IF(ISNUMBER(Tickers!X68),Tickers!X68,""))),"")</f>
        <v/>
      </c>
      <c r="L76" s="265">
        <f>IFERROR(($D$76-AVERAGE($D$15:$D$85))/STDEV($D$15:$D$85),"")</f>
        <v/>
      </c>
      <c r="M76" s="265">
        <f>IFERROR(($I$76-AVERAGE($I$15:$I$85))/STDEV($I$15:$I$85),"")</f>
        <v/>
      </c>
      <c r="N76" s="265">
        <f>IFERROR(-($J$76-AVERAGE($J$15:$J$85))/STDEV($J$15:$J$85),"")</f>
        <v/>
      </c>
      <c r="O76" s="265">
        <f>IFERROR(-($K$76-AVERAGE($K$15:$K$85))/STDEV($K$15:$K$85),"")</f>
        <v/>
      </c>
      <c r="P76" s="265">
        <f>IFERROR(-($G$76-AVERAGE($G$15:$G$85))/STDEV($G$15:$G$85),"")</f>
        <v/>
      </c>
      <c r="Q76" s="265">
        <f>IFERROR(($H$76-AVERAGE($H$15:$H$85))/STDEV($H$15:$H$85),"")</f>
        <v/>
      </c>
      <c r="R76" s="265">
        <f>IFERROR((IF(ISNUMBER(L76),$D$7*L76,0)+IF(ISNUMBER(M76),$D$8*M76,0)+IF(ISNUMBER(N76),$D$9*N76,0)+IF(ISNUMBER(O76),$D$10*O76,0)+IF(ISNUMBER(P76),$D$11*P76,0)+IF(ISNUMBER(Q76),$D$12*Q76,0))/(IF(ISNUMBER(L76),$D$7,0)+IF(ISNUMBER(M76),$D$8,0)+IF(ISNUMBER(N76),$D$9,0)+IF(ISNUMBER(O76),$D$10,0)+IF(ISNUMBER(P76),$D$11,0)+IF(ISNUMBER(Q76),$D$12,0)),"")</f>
        <v/>
      </c>
      <c r="S76" s="190">
        <f>IFERROR(LN($E$76),"")</f>
        <v/>
      </c>
      <c r="T76" s="190">
        <f>IFERROR($N$7+$N$8*$R$76,"")</f>
        <v/>
      </c>
      <c r="U76" s="265">
        <f>IFERROR($S$76-$T$76,"")</f>
        <v/>
      </c>
      <c r="V76" s="265">
        <f>IFERROR(($U$76-AVERAGE($U$15:$U$85))/STDEV($U$15:$U$85),"")</f>
        <v/>
      </c>
      <c r="W76" s="191">
        <f>IF(ISNUMBER($V$76),IF($V$76&gt;=1.5,"CHEAP",IF($V$76&gt;=0.5,"slightly cheap",IF($V$76&lt;=-1.5,"RICH",IF($V$76&lt;=-0.5,"slightly rich","fair")))),"")</f>
        <v/>
      </c>
      <c r="X76" s="296">
        <f>SUMPRODUCT(--ISNUMBER((D76,G76,H76,I76,J76,K76)))</f>
        <v/>
      </c>
      <c r="Y76" s="297">
        <f>IF(X76&gt;=5,"HIGH",IF(X76&gt;=3,"MED","LOW"))</f>
        <v/>
      </c>
      <c r="Z76" s="298">
        <f>IF(AND(ISNUMBER(S76),X76&gt;=$S$11),S76,"")</f>
        <v/>
      </c>
      <c r="AA76" s="299">
        <f>IF(AND(ISNUMBER(R76),X76&gt;=$S$11),R76,"")</f>
        <v/>
      </c>
    </row>
    <row r="77">
      <c r="B77" s="176">
        <f>Tickers!B69</f>
        <v/>
      </c>
      <c r="C77" s="177">
        <f>Tickers!C69</f>
        <v/>
      </c>
      <c r="D77" s="178">
        <f>Tickers!E69</f>
        <v/>
      </c>
      <c r="E77" s="260">
        <f>IFERROR(Tickers!G69,"")</f>
        <v/>
      </c>
      <c r="F77" s="260">
        <f>IFERROR(Tickers!I69,"")</f>
        <v/>
      </c>
      <c r="G77" s="261">
        <f>IFERROR(IF(ISNUMBER(Tickers!K69),Tickers!K69,IF(ISNUMBER(Haver!E69),Haver!E69,IF(ISNUMBER(Tickers!T69),Tickers!T69,""))),"")</f>
        <v/>
      </c>
      <c r="H77" s="261">
        <f>IFERROR(IF(ISNUMBER(Tickers!M69),Tickers!M69,IF(ISNUMBER(Haver!G69),Haver!G69,IF(ISNUMBER(Tickers!U69),Tickers!U69,""))),"")</f>
        <v/>
      </c>
      <c r="I77" s="261">
        <f>IFERROR(IF(ISNUMBER(Tickers!O69),Tickers!O69,IF(ISNUMBER(Haver!I69),Haver!I69,IF(ISNUMBER(Tickers!V69),Tickers!V69,""))),"")</f>
        <v/>
      </c>
      <c r="J77" s="261">
        <f>IFERROR(IF(ISNUMBER(Tickers!Q69),Tickers!Q69,IF(ISNUMBER(Haver!K69),Haver!K69,IF(ISNUMBER(Tickers!W69),Tickers!W69,""))),"")</f>
        <v/>
      </c>
      <c r="K77" s="260">
        <f>IFERROR(IF(ISNUMBER(Tickers!S69),Tickers!S69,IF(ISNUMBER(Haver!M69),Haver!M69,IF(ISNUMBER(Tickers!X69),Tickers!X69,""))),"")</f>
        <v/>
      </c>
      <c r="L77" s="262">
        <f>IFERROR(($D$77-AVERAGE($D$15:$D$85))/STDEV($D$15:$D$85),"")</f>
        <v/>
      </c>
      <c r="M77" s="262">
        <f>IFERROR(($I$77-AVERAGE($I$15:$I$85))/STDEV($I$15:$I$85),"")</f>
        <v/>
      </c>
      <c r="N77" s="262">
        <f>IFERROR(-($J$77-AVERAGE($J$15:$J$85))/STDEV($J$15:$J$85),"")</f>
        <v/>
      </c>
      <c r="O77" s="262">
        <f>IFERROR(-($K$77-AVERAGE($K$15:$K$85))/STDEV($K$15:$K$85),"")</f>
        <v/>
      </c>
      <c r="P77" s="262">
        <f>IFERROR(-($G$77-AVERAGE($G$15:$G$85))/STDEV($G$15:$G$85),"")</f>
        <v/>
      </c>
      <c r="Q77" s="262">
        <f>IFERROR(($H$77-AVERAGE($H$15:$H$85))/STDEV($H$15:$H$85),"")</f>
        <v/>
      </c>
      <c r="R77" s="262">
        <f>IFERROR((IF(ISNUMBER(L77),$D$7*L77,0)+IF(ISNUMBER(M77),$D$8*M77,0)+IF(ISNUMBER(N77),$D$9*N77,0)+IF(ISNUMBER(O77),$D$10*O77,0)+IF(ISNUMBER(P77),$D$11*P77,0)+IF(ISNUMBER(Q77),$D$12*Q77,0))/(IF(ISNUMBER(L77),$D$7,0)+IF(ISNUMBER(M77),$D$8,0)+IF(ISNUMBER(N77),$D$9,0)+IF(ISNUMBER(O77),$D$10,0)+IF(ISNUMBER(P77),$D$11,0)+IF(ISNUMBER(Q77),$D$12,0)),"")</f>
        <v/>
      </c>
      <c r="S77" s="182">
        <f>IFERROR(LN($E$77),"")</f>
        <v/>
      </c>
      <c r="T77" s="182">
        <f>IFERROR($N$7+$N$8*$R$77,"")</f>
        <v/>
      </c>
      <c r="U77" s="262">
        <f>IFERROR($S$77-$T$77,"")</f>
        <v/>
      </c>
      <c r="V77" s="262">
        <f>IFERROR(($U$77-AVERAGE($U$15:$U$85))/STDEV($U$15:$U$85),"")</f>
        <v/>
      </c>
      <c r="W77" s="183">
        <f>IF(ISNUMBER($V$77),IF($V$77&gt;=1.5,"CHEAP",IF($V$77&gt;=0.5,"slightly cheap",IF($V$77&lt;=-1.5,"RICH",IF($V$77&lt;=-0.5,"slightly rich","fair")))),"")</f>
        <v/>
      </c>
      <c r="X77" s="292">
        <f>SUMPRODUCT(--ISNUMBER((D77,G77,H77,I77,J77,K77)))</f>
        <v/>
      </c>
      <c r="Y77" s="293">
        <f>IF(X77&gt;=5,"HIGH",IF(X77&gt;=3,"MED","LOW"))</f>
        <v/>
      </c>
      <c r="Z77" s="294">
        <f>IF(AND(ISNUMBER(S77),X77&gt;=$S$11),S77,"")</f>
        <v/>
      </c>
      <c r="AA77" s="295">
        <f>IF(AND(ISNUMBER(R77),X77&gt;=$S$11),R77,"")</f>
        <v/>
      </c>
    </row>
    <row r="78">
      <c r="B78" s="184">
        <f>Tickers!B70</f>
        <v/>
      </c>
      <c r="C78" s="185">
        <f>Tickers!C70</f>
        <v/>
      </c>
      <c r="D78" s="186">
        <f>Tickers!E70</f>
        <v/>
      </c>
      <c r="E78" s="263">
        <f>IFERROR(Tickers!G70,"")</f>
        <v/>
      </c>
      <c r="F78" s="263">
        <f>IFERROR(Tickers!I70,"")</f>
        <v/>
      </c>
      <c r="G78" s="264">
        <f>IFERROR(IF(ISNUMBER(Tickers!K70),Tickers!K70,IF(ISNUMBER(Haver!E70),Haver!E70,IF(ISNUMBER(Tickers!T70),Tickers!T70,""))),"")</f>
        <v/>
      </c>
      <c r="H78" s="264">
        <f>IFERROR(IF(ISNUMBER(Tickers!M70),Tickers!M70,IF(ISNUMBER(Haver!G70),Haver!G70,IF(ISNUMBER(Tickers!U70),Tickers!U70,""))),"")</f>
        <v/>
      </c>
      <c r="I78" s="264">
        <f>IFERROR(IF(ISNUMBER(Tickers!O70),Tickers!O70,IF(ISNUMBER(Haver!I70),Haver!I70,IF(ISNUMBER(Tickers!V70),Tickers!V70,""))),"")</f>
        <v/>
      </c>
      <c r="J78" s="264">
        <f>IFERROR(IF(ISNUMBER(Tickers!Q70),Tickers!Q70,IF(ISNUMBER(Haver!K70),Haver!K70,IF(ISNUMBER(Tickers!W70),Tickers!W70,""))),"")</f>
        <v/>
      </c>
      <c r="K78" s="263">
        <f>IFERROR(IF(ISNUMBER(Tickers!S70),Tickers!S70,IF(ISNUMBER(Haver!M70),Haver!M70,IF(ISNUMBER(Tickers!X70),Tickers!X70,""))),"")</f>
        <v/>
      </c>
      <c r="L78" s="265">
        <f>IFERROR(($D$78-AVERAGE($D$15:$D$85))/STDEV($D$15:$D$85),"")</f>
        <v/>
      </c>
      <c r="M78" s="265">
        <f>IFERROR(($I$78-AVERAGE($I$15:$I$85))/STDEV($I$15:$I$85),"")</f>
        <v/>
      </c>
      <c r="N78" s="265">
        <f>IFERROR(-($J$78-AVERAGE($J$15:$J$85))/STDEV($J$15:$J$85),"")</f>
        <v/>
      </c>
      <c r="O78" s="265">
        <f>IFERROR(-($K$78-AVERAGE($K$15:$K$85))/STDEV($K$15:$K$85),"")</f>
        <v/>
      </c>
      <c r="P78" s="265">
        <f>IFERROR(-($G$78-AVERAGE($G$15:$G$85))/STDEV($G$15:$G$85),"")</f>
        <v/>
      </c>
      <c r="Q78" s="265">
        <f>IFERROR(($H$78-AVERAGE($H$15:$H$85))/STDEV($H$15:$H$85),"")</f>
        <v/>
      </c>
      <c r="R78" s="265">
        <f>IFERROR((IF(ISNUMBER(L78),$D$7*L78,0)+IF(ISNUMBER(M78),$D$8*M78,0)+IF(ISNUMBER(N78),$D$9*N78,0)+IF(ISNUMBER(O78),$D$10*O78,0)+IF(ISNUMBER(P78),$D$11*P78,0)+IF(ISNUMBER(Q78),$D$12*Q78,0))/(IF(ISNUMBER(L78),$D$7,0)+IF(ISNUMBER(M78),$D$8,0)+IF(ISNUMBER(N78),$D$9,0)+IF(ISNUMBER(O78),$D$10,0)+IF(ISNUMBER(P78),$D$11,0)+IF(ISNUMBER(Q78),$D$12,0)),"")</f>
        <v/>
      </c>
      <c r="S78" s="190">
        <f>IFERROR(LN($E$78),"")</f>
        <v/>
      </c>
      <c r="T78" s="190">
        <f>IFERROR($N$7+$N$8*$R$78,"")</f>
        <v/>
      </c>
      <c r="U78" s="265">
        <f>IFERROR($S$78-$T$78,"")</f>
        <v/>
      </c>
      <c r="V78" s="265">
        <f>IFERROR(($U$78-AVERAGE($U$15:$U$85))/STDEV($U$15:$U$85),"")</f>
        <v/>
      </c>
      <c r="W78" s="191">
        <f>IF(ISNUMBER($V$78),IF($V$78&gt;=1.5,"CHEAP",IF($V$78&gt;=0.5,"slightly cheap",IF($V$78&lt;=-1.5,"RICH",IF($V$78&lt;=-0.5,"slightly rich","fair")))),"")</f>
        <v/>
      </c>
      <c r="X78" s="296">
        <f>SUMPRODUCT(--ISNUMBER((D78,G78,H78,I78,J78,K78)))</f>
        <v/>
      </c>
      <c r="Y78" s="297">
        <f>IF(X78&gt;=5,"HIGH",IF(X78&gt;=3,"MED","LOW"))</f>
        <v/>
      </c>
      <c r="Z78" s="298">
        <f>IF(AND(ISNUMBER(S78),X78&gt;=$S$11),S78,"")</f>
        <v/>
      </c>
      <c r="AA78" s="299">
        <f>IF(AND(ISNUMBER(R78),X78&gt;=$S$11),R78,"")</f>
        <v/>
      </c>
    </row>
    <row r="79">
      <c r="B79" s="176">
        <f>Tickers!B71</f>
        <v/>
      </c>
      <c r="C79" s="177">
        <f>Tickers!C71</f>
        <v/>
      </c>
      <c r="D79" s="178">
        <f>Tickers!E71</f>
        <v/>
      </c>
      <c r="E79" s="260">
        <f>IFERROR(Tickers!G71,"")</f>
        <v/>
      </c>
      <c r="F79" s="260">
        <f>IFERROR(Tickers!I71,"")</f>
        <v/>
      </c>
      <c r="G79" s="261">
        <f>IFERROR(IF(ISNUMBER(Tickers!K71),Tickers!K71,IF(ISNUMBER(Haver!E71),Haver!E71,IF(ISNUMBER(Tickers!T71),Tickers!T71,""))),"")</f>
        <v/>
      </c>
      <c r="H79" s="261">
        <f>IFERROR(IF(ISNUMBER(Tickers!M71),Tickers!M71,IF(ISNUMBER(Haver!G71),Haver!G71,IF(ISNUMBER(Tickers!U71),Tickers!U71,""))),"")</f>
        <v/>
      </c>
      <c r="I79" s="261">
        <f>IFERROR(IF(ISNUMBER(Tickers!O71),Tickers!O71,IF(ISNUMBER(Haver!I71),Haver!I71,IF(ISNUMBER(Tickers!V71),Tickers!V71,""))),"")</f>
        <v/>
      </c>
      <c r="J79" s="261">
        <f>IFERROR(IF(ISNUMBER(Tickers!Q71),Tickers!Q71,IF(ISNUMBER(Haver!K71),Haver!K71,IF(ISNUMBER(Tickers!W71),Tickers!W71,""))),"")</f>
        <v/>
      </c>
      <c r="K79" s="260">
        <f>IFERROR(IF(ISNUMBER(Tickers!S71),Tickers!S71,IF(ISNUMBER(Haver!M71),Haver!M71,IF(ISNUMBER(Tickers!X71),Tickers!X71,""))),"")</f>
        <v/>
      </c>
      <c r="L79" s="262">
        <f>IFERROR(($D$79-AVERAGE($D$15:$D$85))/STDEV($D$15:$D$85),"")</f>
        <v/>
      </c>
      <c r="M79" s="262">
        <f>IFERROR(($I$79-AVERAGE($I$15:$I$85))/STDEV($I$15:$I$85),"")</f>
        <v/>
      </c>
      <c r="N79" s="262">
        <f>IFERROR(-($J$79-AVERAGE($J$15:$J$85))/STDEV($J$15:$J$85),"")</f>
        <v/>
      </c>
      <c r="O79" s="262">
        <f>IFERROR(-($K$79-AVERAGE($K$15:$K$85))/STDEV($K$15:$K$85),"")</f>
        <v/>
      </c>
      <c r="P79" s="262">
        <f>IFERROR(-($G$79-AVERAGE($G$15:$G$85))/STDEV($G$15:$G$85),"")</f>
        <v/>
      </c>
      <c r="Q79" s="262">
        <f>IFERROR(($H$79-AVERAGE($H$15:$H$85))/STDEV($H$15:$H$85),"")</f>
        <v/>
      </c>
      <c r="R79" s="262">
        <f>IFERROR((IF(ISNUMBER(L79),$D$7*L79,0)+IF(ISNUMBER(M79),$D$8*M79,0)+IF(ISNUMBER(N79),$D$9*N79,0)+IF(ISNUMBER(O79),$D$10*O79,0)+IF(ISNUMBER(P79),$D$11*P79,0)+IF(ISNUMBER(Q79),$D$12*Q79,0))/(IF(ISNUMBER(L79),$D$7,0)+IF(ISNUMBER(M79),$D$8,0)+IF(ISNUMBER(N79),$D$9,0)+IF(ISNUMBER(O79),$D$10,0)+IF(ISNUMBER(P79),$D$11,0)+IF(ISNUMBER(Q79),$D$12,0)),"")</f>
        <v/>
      </c>
      <c r="S79" s="182">
        <f>IFERROR(LN($E$79),"")</f>
        <v/>
      </c>
      <c r="T79" s="182">
        <f>IFERROR($N$7+$N$8*$R$79,"")</f>
        <v/>
      </c>
      <c r="U79" s="262">
        <f>IFERROR($S$79-$T$79,"")</f>
        <v/>
      </c>
      <c r="V79" s="262">
        <f>IFERROR(($U$79-AVERAGE($U$15:$U$85))/STDEV($U$15:$U$85),"")</f>
        <v/>
      </c>
      <c r="W79" s="183">
        <f>IF(ISNUMBER($V$79),IF($V$79&gt;=1.5,"CHEAP",IF($V$79&gt;=0.5,"slightly cheap",IF($V$79&lt;=-1.5,"RICH",IF($V$79&lt;=-0.5,"slightly rich","fair")))),"")</f>
        <v/>
      </c>
      <c r="X79" s="292">
        <f>SUMPRODUCT(--ISNUMBER((D79,G79,H79,I79,J79,K79)))</f>
        <v/>
      </c>
      <c r="Y79" s="293">
        <f>IF(X79&gt;=5,"HIGH",IF(X79&gt;=3,"MED","LOW"))</f>
        <v/>
      </c>
      <c r="Z79" s="294">
        <f>IF(AND(ISNUMBER(S79),X79&gt;=$S$11),S79,"")</f>
        <v/>
      </c>
      <c r="AA79" s="295">
        <f>IF(AND(ISNUMBER(R79),X79&gt;=$S$11),R79,"")</f>
        <v/>
      </c>
    </row>
    <row r="80">
      <c r="B80" s="184">
        <f>Tickers!B72</f>
        <v/>
      </c>
      <c r="C80" s="185">
        <f>Tickers!C72</f>
        <v/>
      </c>
      <c r="D80" s="186">
        <f>Tickers!E72</f>
        <v/>
      </c>
      <c r="E80" s="263">
        <f>IFERROR(Tickers!G72,"")</f>
        <v/>
      </c>
      <c r="F80" s="263">
        <f>IFERROR(Tickers!I72,"")</f>
        <v/>
      </c>
      <c r="G80" s="264">
        <f>IFERROR(IF(ISNUMBER(Tickers!K72),Tickers!K72,IF(ISNUMBER(Haver!E72),Haver!E72,IF(ISNUMBER(Tickers!T72),Tickers!T72,""))),"")</f>
        <v/>
      </c>
      <c r="H80" s="264">
        <f>IFERROR(IF(ISNUMBER(Tickers!M72),Tickers!M72,IF(ISNUMBER(Haver!G72),Haver!G72,IF(ISNUMBER(Tickers!U72),Tickers!U72,""))),"")</f>
        <v/>
      </c>
      <c r="I80" s="264">
        <f>IFERROR(IF(ISNUMBER(Tickers!O72),Tickers!O72,IF(ISNUMBER(Haver!I72),Haver!I72,IF(ISNUMBER(Tickers!V72),Tickers!V72,""))),"")</f>
        <v/>
      </c>
      <c r="J80" s="264">
        <f>IFERROR(IF(ISNUMBER(Tickers!Q72),Tickers!Q72,IF(ISNUMBER(Haver!K72),Haver!K72,IF(ISNUMBER(Tickers!W72),Tickers!W72,""))),"")</f>
        <v/>
      </c>
      <c r="K80" s="263">
        <f>IFERROR(IF(ISNUMBER(Tickers!S72),Tickers!S72,IF(ISNUMBER(Haver!M72),Haver!M72,IF(ISNUMBER(Tickers!X72),Tickers!X72,""))),"")</f>
        <v/>
      </c>
      <c r="L80" s="265">
        <f>IFERROR(($D$80-AVERAGE($D$15:$D$85))/STDEV($D$15:$D$85),"")</f>
        <v/>
      </c>
      <c r="M80" s="265">
        <f>IFERROR(($I$80-AVERAGE($I$15:$I$85))/STDEV($I$15:$I$85),"")</f>
        <v/>
      </c>
      <c r="N80" s="265">
        <f>IFERROR(-($J$80-AVERAGE($J$15:$J$85))/STDEV($J$15:$J$85),"")</f>
        <v/>
      </c>
      <c r="O80" s="265">
        <f>IFERROR(-($K$80-AVERAGE($K$15:$K$85))/STDEV($K$15:$K$85),"")</f>
        <v/>
      </c>
      <c r="P80" s="265">
        <f>IFERROR(-($G$80-AVERAGE($G$15:$G$85))/STDEV($G$15:$G$85),"")</f>
        <v/>
      </c>
      <c r="Q80" s="265">
        <f>IFERROR(($H$80-AVERAGE($H$15:$H$85))/STDEV($H$15:$H$85),"")</f>
        <v/>
      </c>
      <c r="R80" s="265">
        <f>IFERROR((IF(ISNUMBER(L80),$D$7*L80,0)+IF(ISNUMBER(M80),$D$8*M80,0)+IF(ISNUMBER(N80),$D$9*N80,0)+IF(ISNUMBER(O80),$D$10*O80,0)+IF(ISNUMBER(P80),$D$11*P80,0)+IF(ISNUMBER(Q80),$D$12*Q80,0))/(IF(ISNUMBER(L80),$D$7,0)+IF(ISNUMBER(M80),$D$8,0)+IF(ISNUMBER(N80),$D$9,0)+IF(ISNUMBER(O80),$D$10,0)+IF(ISNUMBER(P80),$D$11,0)+IF(ISNUMBER(Q80),$D$12,0)),"")</f>
        <v/>
      </c>
      <c r="S80" s="190">
        <f>IFERROR(LN($E$80),"")</f>
        <v/>
      </c>
      <c r="T80" s="190">
        <f>IFERROR($N$7+$N$8*$R$80,"")</f>
        <v/>
      </c>
      <c r="U80" s="265">
        <f>IFERROR($S$80-$T$80,"")</f>
        <v/>
      </c>
      <c r="V80" s="265">
        <f>IFERROR(($U$80-AVERAGE($U$15:$U$85))/STDEV($U$15:$U$85),"")</f>
        <v/>
      </c>
      <c r="W80" s="191">
        <f>IF(ISNUMBER($V$80),IF($V$80&gt;=1.5,"CHEAP",IF($V$80&gt;=0.5,"slightly cheap",IF($V$80&lt;=-1.5,"RICH",IF($V$80&lt;=-0.5,"slightly rich","fair")))),"")</f>
        <v/>
      </c>
      <c r="X80" s="296">
        <f>SUMPRODUCT(--ISNUMBER((D80,G80,H80,I80,J80,K80)))</f>
        <v/>
      </c>
      <c r="Y80" s="297">
        <f>IF(X80&gt;=5,"HIGH",IF(X80&gt;=3,"MED","LOW"))</f>
        <v/>
      </c>
      <c r="Z80" s="298">
        <f>IF(AND(ISNUMBER(S80),X80&gt;=$S$11),S80,"")</f>
        <v/>
      </c>
      <c r="AA80" s="299">
        <f>IF(AND(ISNUMBER(R80),X80&gt;=$S$11),R80,"")</f>
        <v/>
      </c>
    </row>
    <row r="81">
      <c r="B81" s="176">
        <f>Tickers!B73</f>
        <v/>
      </c>
      <c r="C81" s="177">
        <f>Tickers!C73</f>
        <v/>
      </c>
      <c r="D81" s="178">
        <f>Tickers!E73</f>
        <v/>
      </c>
      <c r="E81" s="260">
        <f>IFERROR(Tickers!G73,"")</f>
        <v/>
      </c>
      <c r="F81" s="260">
        <f>IFERROR(Tickers!I73,"")</f>
        <v/>
      </c>
      <c r="G81" s="261">
        <f>IFERROR(IF(ISNUMBER(Tickers!K73),Tickers!K73,IF(ISNUMBER(Haver!E73),Haver!E73,IF(ISNUMBER(Tickers!T73),Tickers!T73,""))),"")</f>
        <v/>
      </c>
      <c r="H81" s="261">
        <f>IFERROR(IF(ISNUMBER(Tickers!M73),Tickers!M73,IF(ISNUMBER(Haver!G73),Haver!G73,IF(ISNUMBER(Tickers!U73),Tickers!U73,""))),"")</f>
        <v/>
      </c>
      <c r="I81" s="261">
        <f>IFERROR(IF(ISNUMBER(Tickers!O73),Tickers!O73,IF(ISNUMBER(Haver!I73),Haver!I73,IF(ISNUMBER(Tickers!V73),Tickers!V73,""))),"")</f>
        <v/>
      </c>
      <c r="J81" s="261">
        <f>IFERROR(IF(ISNUMBER(Tickers!Q73),Tickers!Q73,IF(ISNUMBER(Haver!K73),Haver!K73,IF(ISNUMBER(Tickers!W73),Tickers!W73,""))),"")</f>
        <v/>
      </c>
      <c r="K81" s="260">
        <f>IFERROR(IF(ISNUMBER(Tickers!S73),Tickers!S73,IF(ISNUMBER(Haver!M73),Haver!M73,IF(ISNUMBER(Tickers!X73),Tickers!X73,""))),"")</f>
        <v/>
      </c>
      <c r="L81" s="262">
        <f>IFERROR(($D$81-AVERAGE($D$15:$D$85))/STDEV($D$15:$D$85),"")</f>
        <v/>
      </c>
      <c r="M81" s="262">
        <f>IFERROR(($I$81-AVERAGE($I$15:$I$85))/STDEV($I$15:$I$85),"")</f>
        <v/>
      </c>
      <c r="N81" s="262">
        <f>IFERROR(-($J$81-AVERAGE($J$15:$J$85))/STDEV($J$15:$J$85),"")</f>
        <v/>
      </c>
      <c r="O81" s="262">
        <f>IFERROR(-($K$81-AVERAGE($K$15:$K$85))/STDEV($K$15:$K$85),"")</f>
        <v/>
      </c>
      <c r="P81" s="262">
        <f>IFERROR(-($G$81-AVERAGE($G$15:$G$85))/STDEV($G$15:$G$85),"")</f>
        <v/>
      </c>
      <c r="Q81" s="262">
        <f>IFERROR(($H$81-AVERAGE($H$15:$H$85))/STDEV($H$15:$H$85),"")</f>
        <v/>
      </c>
      <c r="R81" s="262">
        <f>IFERROR((IF(ISNUMBER(L81),$D$7*L81,0)+IF(ISNUMBER(M81),$D$8*M81,0)+IF(ISNUMBER(N81),$D$9*N81,0)+IF(ISNUMBER(O81),$D$10*O81,0)+IF(ISNUMBER(P81),$D$11*P81,0)+IF(ISNUMBER(Q81),$D$12*Q81,0))/(IF(ISNUMBER(L81),$D$7,0)+IF(ISNUMBER(M81),$D$8,0)+IF(ISNUMBER(N81),$D$9,0)+IF(ISNUMBER(O81),$D$10,0)+IF(ISNUMBER(P81),$D$11,0)+IF(ISNUMBER(Q81),$D$12,0)),"")</f>
        <v/>
      </c>
      <c r="S81" s="182">
        <f>IFERROR(LN($E$81),"")</f>
        <v/>
      </c>
      <c r="T81" s="182">
        <f>IFERROR($N$7+$N$8*$R$81,"")</f>
        <v/>
      </c>
      <c r="U81" s="262">
        <f>IFERROR($S$81-$T$81,"")</f>
        <v/>
      </c>
      <c r="V81" s="262">
        <f>IFERROR(($U$81-AVERAGE($U$15:$U$85))/STDEV($U$15:$U$85),"")</f>
        <v/>
      </c>
      <c r="W81" s="183">
        <f>IF(ISNUMBER($V$81),IF($V$81&gt;=1.5,"CHEAP",IF($V$81&gt;=0.5,"slightly cheap",IF($V$81&lt;=-1.5,"RICH",IF($V$81&lt;=-0.5,"slightly rich","fair")))),"")</f>
        <v/>
      </c>
      <c r="X81" s="292">
        <f>SUMPRODUCT(--ISNUMBER((D81,G81,H81,I81,J81,K81)))</f>
        <v/>
      </c>
      <c r="Y81" s="293">
        <f>IF(X81&gt;=5,"HIGH",IF(X81&gt;=3,"MED","LOW"))</f>
        <v/>
      </c>
      <c r="Z81" s="294">
        <f>IF(AND(ISNUMBER(S81),X81&gt;=$S$11),S81,"")</f>
        <v/>
      </c>
      <c r="AA81" s="295">
        <f>IF(AND(ISNUMBER(R81),X81&gt;=$S$11),R81,"")</f>
        <v/>
      </c>
    </row>
    <row r="82">
      <c r="B82" s="184">
        <f>Tickers!B74</f>
        <v/>
      </c>
      <c r="C82" s="185">
        <f>Tickers!C74</f>
        <v/>
      </c>
      <c r="D82" s="186">
        <f>Tickers!E74</f>
        <v/>
      </c>
      <c r="E82" s="263">
        <f>IFERROR(Tickers!G74,"")</f>
        <v/>
      </c>
      <c r="F82" s="263">
        <f>IFERROR(Tickers!I74,"")</f>
        <v/>
      </c>
      <c r="G82" s="264">
        <f>IFERROR(IF(ISNUMBER(Tickers!K74),Tickers!K74,IF(ISNUMBER(Haver!E74),Haver!E74,IF(ISNUMBER(Tickers!T74),Tickers!T74,""))),"")</f>
        <v/>
      </c>
      <c r="H82" s="264">
        <f>IFERROR(IF(ISNUMBER(Tickers!M74),Tickers!M74,IF(ISNUMBER(Haver!G74),Haver!G74,IF(ISNUMBER(Tickers!U74),Tickers!U74,""))),"")</f>
        <v/>
      </c>
      <c r="I82" s="264">
        <f>IFERROR(IF(ISNUMBER(Tickers!O74),Tickers!O74,IF(ISNUMBER(Haver!I74),Haver!I74,IF(ISNUMBER(Tickers!V74),Tickers!V74,""))),"")</f>
        <v/>
      </c>
      <c r="J82" s="264">
        <f>IFERROR(IF(ISNUMBER(Tickers!Q74),Tickers!Q74,IF(ISNUMBER(Haver!K74),Haver!K74,IF(ISNUMBER(Tickers!W74),Tickers!W74,""))),"")</f>
        <v/>
      </c>
      <c r="K82" s="263">
        <f>IFERROR(IF(ISNUMBER(Tickers!S74),Tickers!S74,IF(ISNUMBER(Haver!M74),Haver!M74,IF(ISNUMBER(Tickers!X74),Tickers!X74,""))),"")</f>
        <v/>
      </c>
      <c r="L82" s="265">
        <f>IFERROR(($D$82-AVERAGE($D$15:$D$85))/STDEV($D$15:$D$85),"")</f>
        <v/>
      </c>
      <c r="M82" s="265">
        <f>IFERROR(($I$82-AVERAGE($I$15:$I$85))/STDEV($I$15:$I$85),"")</f>
        <v/>
      </c>
      <c r="N82" s="265">
        <f>IFERROR(-($J$82-AVERAGE($J$15:$J$85))/STDEV($J$15:$J$85),"")</f>
        <v/>
      </c>
      <c r="O82" s="265">
        <f>IFERROR(-($K$82-AVERAGE($K$15:$K$85))/STDEV($K$15:$K$85),"")</f>
        <v/>
      </c>
      <c r="P82" s="265">
        <f>IFERROR(-($G$82-AVERAGE($G$15:$G$85))/STDEV($G$15:$G$85),"")</f>
        <v/>
      </c>
      <c r="Q82" s="265">
        <f>IFERROR(($H$82-AVERAGE($H$15:$H$85))/STDEV($H$15:$H$85),"")</f>
        <v/>
      </c>
      <c r="R82" s="265">
        <f>IFERROR((IF(ISNUMBER(L82),$D$7*L82,0)+IF(ISNUMBER(M82),$D$8*M82,0)+IF(ISNUMBER(N82),$D$9*N82,0)+IF(ISNUMBER(O82),$D$10*O82,0)+IF(ISNUMBER(P82),$D$11*P82,0)+IF(ISNUMBER(Q82),$D$12*Q82,0))/(IF(ISNUMBER(L82),$D$7,0)+IF(ISNUMBER(M82),$D$8,0)+IF(ISNUMBER(N82),$D$9,0)+IF(ISNUMBER(O82),$D$10,0)+IF(ISNUMBER(P82),$D$11,0)+IF(ISNUMBER(Q82),$D$12,0)),"")</f>
        <v/>
      </c>
      <c r="S82" s="190">
        <f>IFERROR(LN($E$82),"")</f>
        <v/>
      </c>
      <c r="T82" s="190">
        <f>IFERROR($N$7+$N$8*$R$82,"")</f>
        <v/>
      </c>
      <c r="U82" s="265">
        <f>IFERROR($S$82-$T$82,"")</f>
        <v/>
      </c>
      <c r="V82" s="265">
        <f>IFERROR(($U$82-AVERAGE($U$15:$U$85))/STDEV($U$15:$U$85),"")</f>
        <v/>
      </c>
      <c r="W82" s="191">
        <f>IF(ISNUMBER($V$82),IF($V$82&gt;=1.5,"CHEAP",IF($V$82&gt;=0.5,"slightly cheap",IF($V$82&lt;=-1.5,"RICH",IF($V$82&lt;=-0.5,"slightly rich","fair")))),"")</f>
        <v/>
      </c>
      <c r="X82" s="296">
        <f>SUMPRODUCT(--ISNUMBER((D82,G82,H82,I82,J82,K82)))</f>
        <v/>
      </c>
      <c r="Y82" s="297">
        <f>IF(X82&gt;=5,"HIGH",IF(X82&gt;=3,"MED","LOW"))</f>
        <v/>
      </c>
      <c r="Z82" s="298">
        <f>IF(AND(ISNUMBER(S82),X82&gt;=$S$11),S82,"")</f>
        <v/>
      </c>
      <c r="AA82" s="299">
        <f>IF(AND(ISNUMBER(R82),X82&gt;=$S$11),R82,"")</f>
        <v/>
      </c>
    </row>
    <row r="83">
      <c r="B83" s="176">
        <f>Tickers!B75</f>
        <v/>
      </c>
      <c r="C83" s="177">
        <f>Tickers!C75</f>
        <v/>
      </c>
      <c r="D83" s="178">
        <f>Tickers!E75</f>
        <v/>
      </c>
      <c r="E83" s="260">
        <f>IFERROR(Tickers!G75,"")</f>
        <v/>
      </c>
      <c r="F83" s="260">
        <f>IFERROR(Tickers!I75,"")</f>
        <v/>
      </c>
      <c r="G83" s="261">
        <f>IFERROR(IF(ISNUMBER(Tickers!K75),Tickers!K75,IF(ISNUMBER(Haver!E75),Haver!E75,IF(ISNUMBER(Tickers!T75),Tickers!T75,""))),"")</f>
        <v/>
      </c>
      <c r="H83" s="261">
        <f>IFERROR(IF(ISNUMBER(Tickers!M75),Tickers!M75,IF(ISNUMBER(Haver!G75),Haver!G75,IF(ISNUMBER(Tickers!U75),Tickers!U75,""))),"")</f>
        <v/>
      </c>
      <c r="I83" s="261">
        <f>IFERROR(IF(ISNUMBER(Tickers!O75),Tickers!O75,IF(ISNUMBER(Haver!I75),Haver!I75,IF(ISNUMBER(Tickers!V75),Tickers!V75,""))),"")</f>
        <v/>
      </c>
      <c r="J83" s="261">
        <f>IFERROR(IF(ISNUMBER(Tickers!Q75),Tickers!Q75,IF(ISNUMBER(Haver!K75),Haver!K75,IF(ISNUMBER(Tickers!W75),Tickers!W75,""))),"")</f>
        <v/>
      </c>
      <c r="K83" s="260">
        <f>IFERROR(IF(ISNUMBER(Tickers!S75),Tickers!S75,IF(ISNUMBER(Haver!M75),Haver!M75,IF(ISNUMBER(Tickers!X75),Tickers!X75,""))),"")</f>
        <v/>
      </c>
      <c r="L83" s="262">
        <f>IFERROR(($D$83-AVERAGE($D$15:$D$85))/STDEV($D$15:$D$85),"")</f>
        <v/>
      </c>
      <c r="M83" s="262">
        <f>IFERROR(($I$83-AVERAGE($I$15:$I$85))/STDEV($I$15:$I$85),"")</f>
        <v/>
      </c>
      <c r="N83" s="262">
        <f>IFERROR(-($J$83-AVERAGE($J$15:$J$85))/STDEV($J$15:$J$85),"")</f>
        <v/>
      </c>
      <c r="O83" s="262">
        <f>IFERROR(-($K$83-AVERAGE($K$15:$K$85))/STDEV($K$15:$K$85),"")</f>
        <v/>
      </c>
      <c r="P83" s="262">
        <f>IFERROR(-($G$83-AVERAGE($G$15:$G$85))/STDEV($G$15:$G$85),"")</f>
        <v/>
      </c>
      <c r="Q83" s="262">
        <f>IFERROR(($H$83-AVERAGE($H$15:$H$85))/STDEV($H$15:$H$85),"")</f>
        <v/>
      </c>
      <c r="R83" s="262">
        <f>IFERROR((IF(ISNUMBER(L83),$D$7*L83,0)+IF(ISNUMBER(M83),$D$8*M83,0)+IF(ISNUMBER(N83),$D$9*N83,0)+IF(ISNUMBER(O83),$D$10*O83,0)+IF(ISNUMBER(P83),$D$11*P83,0)+IF(ISNUMBER(Q83),$D$12*Q83,0))/(IF(ISNUMBER(L83),$D$7,0)+IF(ISNUMBER(M83),$D$8,0)+IF(ISNUMBER(N83),$D$9,0)+IF(ISNUMBER(O83),$D$10,0)+IF(ISNUMBER(P83),$D$11,0)+IF(ISNUMBER(Q83),$D$12,0)),"")</f>
        <v/>
      </c>
      <c r="S83" s="182">
        <f>IFERROR(LN($E$83),"")</f>
        <v/>
      </c>
      <c r="T83" s="182">
        <f>IFERROR($N$7+$N$8*$R$83,"")</f>
        <v/>
      </c>
      <c r="U83" s="262">
        <f>IFERROR($S$83-$T$83,"")</f>
        <v/>
      </c>
      <c r="V83" s="262">
        <f>IFERROR(($U$83-AVERAGE($U$15:$U$85))/STDEV($U$15:$U$85),"")</f>
        <v/>
      </c>
      <c r="W83" s="183">
        <f>IF(ISNUMBER($V$83),IF($V$83&gt;=1.5,"CHEAP",IF($V$83&gt;=0.5,"slightly cheap",IF($V$83&lt;=-1.5,"RICH",IF($V$83&lt;=-0.5,"slightly rich","fair")))),"")</f>
        <v/>
      </c>
      <c r="X83" s="292">
        <f>SUMPRODUCT(--ISNUMBER((D83,G83,H83,I83,J83,K83)))</f>
        <v/>
      </c>
      <c r="Y83" s="293">
        <f>IF(X83&gt;=5,"HIGH",IF(X83&gt;=3,"MED","LOW"))</f>
        <v/>
      </c>
      <c r="Z83" s="294">
        <f>IF(AND(ISNUMBER(S83),X83&gt;=$S$11),S83,"")</f>
        <v/>
      </c>
      <c r="AA83" s="295">
        <f>IF(AND(ISNUMBER(R83),X83&gt;=$S$11),R83,"")</f>
        <v/>
      </c>
    </row>
    <row r="84">
      <c r="B84" s="184">
        <f>Tickers!B76</f>
        <v/>
      </c>
      <c r="C84" s="185">
        <f>Tickers!C76</f>
        <v/>
      </c>
      <c r="D84" s="186">
        <f>Tickers!E76</f>
        <v/>
      </c>
      <c r="E84" s="263">
        <f>IFERROR(Tickers!G76,"")</f>
        <v/>
      </c>
      <c r="F84" s="263">
        <f>IFERROR(Tickers!I76,"")</f>
        <v/>
      </c>
      <c r="G84" s="264">
        <f>IFERROR(IF(ISNUMBER(Tickers!K76),Tickers!K76,IF(ISNUMBER(Haver!E76),Haver!E76,IF(ISNUMBER(Tickers!T76),Tickers!T76,""))),"")</f>
        <v/>
      </c>
      <c r="H84" s="264">
        <f>IFERROR(IF(ISNUMBER(Tickers!M76),Tickers!M76,IF(ISNUMBER(Haver!G76),Haver!G76,IF(ISNUMBER(Tickers!U76),Tickers!U76,""))),"")</f>
        <v/>
      </c>
      <c r="I84" s="264">
        <f>IFERROR(IF(ISNUMBER(Tickers!O76),Tickers!O76,IF(ISNUMBER(Haver!I76),Haver!I76,IF(ISNUMBER(Tickers!V76),Tickers!V76,""))),"")</f>
        <v/>
      </c>
      <c r="J84" s="264">
        <f>IFERROR(IF(ISNUMBER(Tickers!Q76),Tickers!Q76,IF(ISNUMBER(Haver!K76),Haver!K76,IF(ISNUMBER(Tickers!W76),Tickers!W76,""))),"")</f>
        <v/>
      </c>
      <c r="K84" s="263">
        <f>IFERROR(IF(ISNUMBER(Tickers!S76),Tickers!S76,IF(ISNUMBER(Haver!M76),Haver!M76,IF(ISNUMBER(Tickers!X76),Tickers!X76,""))),"")</f>
        <v/>
      </c>
      <c r="L84" s="265">
        <f>IFERROR(($D$84-AVERAGE($D$15:$D$85))/STDEV($D$15:$D$85),"")</f>
        <v/>
      </c>
      <c r="M84" s="265">
        <f>IFERROR(($I$84-AVERAGE($I$15:$I$85))/STDEV($I$15:$I$85),"")</f>
        <v/>
      </c>
      <c r="N84" s="265">
        <f>IFERROR(-($J$84-AVERAGE($J$15:$J$85))/STDEV($J$15:$J$85),"")</f>
        <v/>
      </c>
      <c r="O84" s="265">
        <f>IFERROR(-($K$84-AVERAGE($K$15:$K$85))/STDEV($K$15:$K$85),"")</f>
        <v/>
      </c>
      <c r="P84" s="265">
        <f>IFERROR(-($G$84-AVERAGE($G$15:$G$85))/STDEV($G$15:$G$85),"")</f>
        <v/>
      </c>
      <c r="Q84" s="265">
        <f>IFERROR(($H$84-AVERAGE($H$15:$H$85))/STDEV($H$15:$H$85),"")</f>
        <v/>
      </c>
      <c r="R84" s="265">
        <f>IFERROR((IF(ISNUMBER(L84),$D$7*L84,0)+IF(ISNUMBER(M84),$D$8*M84,0)+IF(ISNUMBER(N84),$D$9*N84,0)+IF(ISNUMBER(O84),$D$10*O84,0)+IF(ISNUMBER(P84),$D$11*P84,0)+IF(ISNUMBER(Q84),$D$12*Q84,0))/(IF(ISNUMBER(L84),$D$7,0)+IF(ISNUMBER(M84),$D$8,0)+IF(ISNUMBER(N84),$D$9,0)+IF(ISNUMBER(O84),$D$10,0)+IF(ISNUMBER(P84),$D$11,0)+IF(ISNUMBER(Q84),$D$12,0)),"")</f>
        <v/>
      </c>
      <c r="S84" s="190">
        <f>IFERROR(LN($E$84),"")</f>
        <v/>
      </c>
      <c r="T84" s="190">
        <f>IFERROR($N$7+$N$8*$R$84,"")</f>
        <v/>
      </c>
      <c r="U84" s="265">
        <f>IFERROR($S$84-$T$84,"")</f>
        <v/>
      </c>
      <c r="V84" s="265">
        <f>IFERROR(($U$84-AVERAGE($U$15:$U$85))/STDEV($U$15:$U$85),"")</f>
        <v/>
      </c>
      <c r="W84" s="191">
        <f>IF(ISNUMBER($V$84),IF($V$84&gt;=1.5,"CHEAP",IF($V$84&gt;=0.5,"slightly cheap",IF($V$84&lt;=-1.5,"RICH",IF($V$84&lt;=-0.5,"slightly rich","fair")))),"")</f>
        <v/>
      </c>
      <c r="X84" s="296">
        <f>SUMPRODUCT(--ISNUMBER((D84,G84,H84,I84,J84,K84)))</f>
        <v/>
      </c>
      <c r="Y84" s="297">
        <f>IF(X84&gt;=5,"HIGH",IF(X84&gt;=3,"MED","LOW"))</f>
        <v/>
      </c>
      <c r="Z84" s="298">
        <f>IF(AND(ISNUMBER(S84),X84&gt;=$S$11),S84,"")</f>
        <v/>
      </c>
      <c r="AA84" s="299">
        <f>IF(AND(ISNUMBER(R84),X84&gt;=$S$11),R84,"")</f>
        <v/>
      </c>
    </row>
    <row r="85">
      <c r="B85" s="176">
        <f>Tickers!B77</f>
        <v/>
      </c>
      <c r="C85" s="177">
        <f>Tickers!C77</f>
        <v/>
      </c>
      <c r="D85" s="178">
        <f>Tickers!E77</f>
        <v/>
      </c>
      <c r="E85" s="260">
        <f>IFERROR(Tickers!G77,"")</f>
        <v/>
      </c>
      <c r="F85" s="260">
        <f>IFERROR(Tickers!I77,"")</f>
        <v/>
      </c>
      <c r="G85" s="261">
        <f>IFERROR(IF(ISNUMBER(Tickers!K77),Tickers!K77,IF(ISNUMBER(Haver!E77),Haver!E77,IF(ISNUMBER(Tickers!T77),Tickers!T77,""))),"")</f>
        <v/>
      </c>
      <c r="H85" s="261">
        <f>IFERROR(IF(ISNUMBER(Tickers!M77),Tickers!M77,IF(ISNUMBER(Haver!G77),Haver!G77,IF(ISNUMBER(Tickers!U77),Tickers!U77,""))),"")</f>
        <v/>
      </c>
      <c r="I85" s="261">
        <f>IFERROR(IF(ISNUMBER(Tickers!O77),Tickers!O77,IF(ISNUMBER(Haver!I77),Haver!I77,IF(ISNUMBER(Tickers!V77),Tickers!V77,""))),"")</f>
        <v/>
      </c>
      <c r="J85" s="261">
        <f>IFERROR(IF(ISNUMBER(Tickers!Q77),Tickers!Q77,IF(ISNUMBER(Haver!K77),Haver!K77,IF(ISNUMBER(Tickers!W77),Tickers!W77,""))),"")</f>
        <v/>
      </c>
      <c r="K85" s="260">
        <f>IFERROR(IF(ISNUMBER(Tickers!S77),Tickers!S77,IF(ISNUMBER(Haver!M77),Haver!M77,IF(ISNUMBER(Tickers!X77),Tickers!X77,""))),"")</f>
        <v/>
      </c>
      <c r="L85" s="262">
        <f>IFERROR(($D$85-AVERAGE($D$15:$D$85))/STDEV($D$15:$D$85),"")</f>
        <v/>
      </c>
      <c r="M85" s="262">
        <f>IFERROR(($I$85-AVERAGE($I$15:$I$85))/STDEV($I$15:$I$85),"")</f>
        <v/>
      </c>
      <c r="N85" s="262">
        <f>IFERROR(-($J$85-AVERAGE($J$15:$J$85))/STDEV($J$15:$J$85),"")</f>
        <v/>
      </c>
      <c r="O85" s="262">
        <f>IFERROR(-($K$85-AVERAGE($K$15:$K$85))/STDEV($K$15:$K$85),"")</f>
        <v/>
      </c>
      <c r="P85" s="262">
        <f>IFERROR(-($G$85-AVERAGE($G$15:$G$85))/STDEV($G$15:$G$85),"")</f>
        <v/>
      </c>
      <c r="Q85" s="262">
        <f>IFERROR(($H$85-AVERAGE($H$15:$H$85))/STDEV($H$15:$H$85),"")</f>
        <v/>
      </c>
      <c r="R85" s="262">
        <f>IFERROR((IF(ISNUMBER(L85),$D$7*L85,0)+IF(ISNUMBER(M85),$D$8*M85,0)+IF(ISNUMBER(N85),$D$9*N85,0)+IF(ISNUMBER(O85),$D$10*O85,0)+IF(ISNUMBER(P85),$D$11*P85,0)+IF(ISNUMBER(Q85),$D$12*Q85,0))/(IF(ISNUMBER(L85),$D$7,0)+IF(ISNUMBER(M85),$D$8,0)+IF(ISNUMBER(N85),$D$9,0)+IF(ISNUMBER(O85),$D$10,0)+IF(ISNUMBER(P85),$D$11,0)+IF(ISNUMBER(Q85),$D$12,0)),"")</f>
        <v/>
      </c>
      <c r="S85" s="182">
        <f>IFERROR(LN($E$85),"")</f>
        <v/>
      </c>
      <c r="T85" s="182">
        <f>IFERROR($N$7+$N$8*$R$85,"")</f>
        <v/>
      </c>
      <c r="U85" s="262">
        <f>IFERROR($S$85-$T$85,"")</f>
        <v/>
      </c>
      <c r="V85" s="262">
        <f>IFERROR(($U$85-AVERAGE($U$15:$U$85))/STDEV($U$15:$U$85),"")</f>
        <v/>
      </c>
      <c r="W85" s="183">
        <f>IF(ISNUMBER($V$85),IF($V$85&gt;=1.5,"CHEAP",IF($V$85&gt;=0.5,"slightly cheap",IF($V$85&lt;=-1.5,"RICH",IF($V$85&lt;=-0.5,"slightly rich","fair")))),"")</f>
        <v/>
      </c>
      <c r="X85" s="292">
        <f>SUMPRODUCT(--ISNUMBER((D85,G85,H85,I85,J85,K85)))</f>
        <v/>
      </c>
      <c r="Y85" s="293">
        <f>IF(X85&gt;=5,"HIGH",IF(X85&gt;=3,"MED","LOW"))</f>
        <v/>
      </c>
      <c r="Z85" s="294">
        <f>IF(AND(ISNUMBER(S85),X85&gt;=$S$11),S85,"")</f>
        <v/>
      </c>
      <c r="AA85" s="295">
        <f>IF(AND(ISNUMBER(R85),X85&gt;=$S$11),R85,"")</f>
        <v/>
      </c>
    </row>
  </sheetData>
  <mergeCells count="4">
    <mergeCell ref="B6:G6"/>
    <mergeCell ref="B2:V3"/>
    <mergeCell ref="I6:N6"/>
    <mergeCell ref="B4:V4"/>
  </mergeCells>
  <conditionalFormatting sqref="L15:L85">
    <cfRule type="colorScale" priority="1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M15:M85">
    <cfRule type="colorScale" priority="2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N15:N85">
    <cfRule type="colorScale" priority="3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O15:O85">
    <cfRule type="colorScale" priority="4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P15:P85">
    <cfRule type="colorScale" priority="5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Q15:Q85">
    <cfRule type="colorScale" priority="6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R15:R85">
    <cfRule type="colorScale" priority="7">
      <colorScale>
        <cfvo type="num" val="-1.5"/>
        <cfvo type="num" val="0"/>
        <cfvo type="num" val="1.5"/>
        <color rgb="005B8C5A"/>
        <color rgb="00FFFFFF"/>
        <color rgb="00C44536"/>
      </colorScale>
    </cfRule>
  </conditionalFormatting>
  <conditionalFormatting sqref="U15:U85">
    <cfRule type="colorScale" priority="8">
      <colorScale>
        <cfvo type="num" val="-1"/>
        <cfvo type="num" val="0"/>
        <cfvo type="num" val="1"/>
        <color rgb="005B8C5A"/>
        <color rgb="00FFFFFF"/>
        <color rgb="00C44536"/>
      </colorScale>
    </cfRule>
  </conditionalFormatting>
  <conditionalFormatting sqref="V15:V85">
    <cfRule type="colorScale" priority="9">
      <colorScale>
        <cfvo type="num" val="-2"/>
        <cfvo type="num" val="0"/>
        <cfvo type="num" val="2"/>
        <color rgb="005B8C5A"/>
        <color rgb="00FFFFFF"/>
        <color rgb="00C44536"/>
      </colorScale>
    </cfRule>
  </conditionalFormatting>
  <conditionalFormatting sqref="W15:W85">
    <cfRule type="expression" priority="10" dxfId="12">
      <formula>$W15="CHEAP"</formula>
    </cfRule>
    <cfRule type="expression" priority="11" dxfId="13">
      <formula>$W15="RICH"</formula>
    </cfRule>
    <cfRule type="expression" priority="12" dxfId="14">
      <formula>$W15="slightly cheap"</formula>
    </cfRule>
    <cfRule type="expression" priority="13" dxfId="15">
      <formula>$W15="slightly rich"</formula>
    </cfRule>
  </conditionalFormatting>
  <conditionalFormatting sqref="X15:X85">
    <cfRule type="colorScale" priority="14">
      <colorScale>
        <cfvo type="num" val="0"/>
        <cfvo type="num" val="3"/>
        <cfvo type="num" val="6"/>
        <color rgb="00C44536"/>
        <color rgb="00FAF3DD"/>
        <color rgb="005B8C5A"/>
      </colorScale>
    </cfRule>
  </conditionalFormatting>
  <conditionalFormatting sqref="Y15:Y85">
    <cfRule type="expression" priority="15" dxfId="21">
      <formula>$Y15="HIGH"</formula>
    </cfRule>
    <cfRule type="expression" priority="16" dxfId="22">
      <formula>$Y15="MED"</formula>
    </cfRule>
    <cfRule type="expression" priority="17" dxfId="23">
      <formula>$Y15="LOW"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X77"/>
  <sheetViews>
    <sheetView showGridLines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159" min="1" max="1"/>
    <col width="22" customWidth="1" style="159" min="2" max="2"/>
    <col width="7" customWidth="1" style="159" min="3" max="3"/>
    <col width="8" customWidth="1" style="159" min="4" max="4"/>
    <col width="9" customWidth="1" style="159" min="5" max="5"/>
    <col width="19" customWidth="1" style="159" min="6" max="6"/>
    <col width="11" customWidth="1" style="159" min="7" max="7"/>
    <col width="28" customWidth="1" style="159" min="8" max="8"/>
    <col width="10" customWidth="1" style="159" min="9" max="9"/>
    <col width="17" customWidth="1" style="159" min="10" max="10"/>
    <col width="9" customWidth="1" style="159" min="11" max="11"/>
    <col width="17" customWidth="1" style="159" min="12" max="12"/>
    <col width="9" customWidth="1" style="159" min="13" max="13"/>
    <col width="17" customWidth="1" style="159" min="14" max="14"/>
    <col width="9" customWidth="1" style="159" min="15" max="15"/>
    <col width="17" customWidth="1" style="159" min="16" max="16"/>
    <col width="9" customWidth="1" style="159" min="17" max="17"/>
    <col width="17" customWidth="1" style="159" min="18" max="18"/>
    <col width="11" customWidth="1" style="159" min="19" max="19"/>
    <col width="11" customWidth="1" style="159" min="20" max="20"/>
    <col width="11" customWidth="1" style="159" min="21" max="21"/>
    <col width="11" customWidth="1" style="159" min="22" max="22"/>
    <col width="11" customWidth="1" style="159" min="23" max="23"/>
    <col width="11" customWidth="1" style="159" min="24" max="24"/>
  </cols>
  <sheetData>
    <row r="2">
      <c r="B2" s="192" t="inlineStr">
        <is>
          <t>Bloomberg Tickers — single source of truth</t>
        </is>
      </c>
    </row>
    <row r="3"/>
    <row r="4">
      <c r="B4" s="164" t="inlineStr">
        <is>
          <t>One row per sovereign. Yellow cells = ticker not yet supplied — fill in from Bloomberg ECON. Composite ratings update manually.</t>
        </is>
      </c>
    </row>
    <row r="6">
      <c r="B6" s="175" t="inlineStr">
        <is>
          <t>Country</t>
        </is>
      </c>
      <c r="C6" s="175" t="inlineStr">
        <is>
          <t>ISO</t>
        </is>
      </c>
      <c r="D6" s="175" t="inlineStr">
        <is>
          <t>BBG_CC</t>
        </is>
      </c>
      <c r="E6" s="175" t="inlineStr">
        <is>
          <t>Rating#</t>
        </is>
      </c>
      <c r="F6" s="175" t="inlineStr">
        <is>
          <t>EMBI ticker</t>
        </is>
      </c>
      <c r="G6" s="175" t="inlineStr">
        <is>
          <t>EMBI bps</t>
        </is>
      </c>
      <c r="H6" s="175" t="inlineStr">
        <is>
          <t>CDS ticker</t>
        </is>
      </c>
      <c r="I6" s="175" t="inlineStr">
        <is>
          <t>CDS bps</t>
        </is>
      </c>
      <c r="J6" s="175" t="inlineStr">
        <is>
          <t>GDP ticker</t>
        </is>
      </c>
      <c r="K6" s="175" t="inlineStr">
        <is>
          <t>GDP %</t>
        </is>
      </c>
      <c r="L6" s="175" t="inlineStr">
        <is>
          <t>CPI ticker</t>
        </is>
      </c>
      <c r="M6" s="175" t="inlineStr">
        <is>
          <t>CPI %</t>
        </is>
      </c>
      <c r="N6" s="175" t="inlineStr">
        <is>
          <t>Govt debt ticker</t>
        </is>
      </c>
      <c r="O6" s="175" t="inlineStr">
        <is>
          <t>Debt %GDP</t>
        </is>
      </c>
      <c r="P6" s="175" t="inlineStr">
        <is>
          <t>CurAcc ticker</t>
        </is>
      </c>
      <c r="Q6" s="175" t="inlineStr">
        <is>
          <t>CA %GDP</t>
        </is>
      </c>
      <c r="R6" s="175" t="inlineStr">
        <is>
          <t>FXRes ticker</t>
        </is>
      </c>
      <c r="S6" s="175" t="inlineStr">
        <is>
          <t>Reserves</t>
        </is>
      </c>
      <c r="T6" s="300" t="inlineStr">
        <is>
          <t>Manual GDP</t>
        </is>
      </c>
      <c r="U6" s="300" t="inlineStr">
        <is>
          <t>Manual CPI</t>
        </is>
      </c>
      <c r="V6" s="300" t="inlineStr">
        <is>
          <t>Manual Debt</t>
        </is>
      </c>
      <c r="W6" s="300" t="inlineStr">
        <is>
          <t>Manual CA</t>
        </is>
      </c>
      <c r="X6" s="300" t="inlineStr">
        <is>
          <t>Manual FXRes</t>
        </is>
      </c>
    </row>
    <row r="7">
      <c r="B7" s="176" t="inlineStr">
        <is>
          <t>ARGENTINA</t>
        </is>
      </c>
      <c r="C7" s="177" t="inlineStr">
        <is>
          <t>ARG</t>
        </is>
      </c>
      <c r="D7" s="177" t="inlineStr">
        <is>
          <t>AR</t>
        </is>
      </c>
      <c r="E7" s="193" t="n">
        <v>19</v>
      </c>
      <c r="F7" s="194" t="inlineStr">
        <is>
          <t>JPSYARZW Index</t>
        </is>
      </c>
      <c r="G7" s="266">
        <f>IFERROR(IF(F7="",NA(),BDP(F7,"PX_LAST")),NA())</f>
        <v/>
      </c>
      <c r="H7" s="194" t="inlineStr">
        <is>
          <t>CARGEN CDS USD SR 5Y D14 Corp</t>
        </is>
      </c>
      <c r="I7" s="266">
        <f>IFERROR(IF(H7="",NA(),BDP(H7,"PX_LAST")),NA())</f>
        <v/>
      </c>
      <c r="J7" s="194" t="inlineStr">
        <is>
          <t>ARGDPYY Index</t>
        </is>
      </c>
      <c r="K7" s="267">
        <f>IFERROR(IF(J7="",NA(),BDP(J7,"PX_LAST")),NA())</f>
        <v/>
      </c>
      <c r="L7" s="194" t="inlineStr">
        <is>
          <t>ARCPIYOY Index</t>
        </is>
      </c>
      <c r="M7" s="267">
        <f>IFERROR(IF(L7="",NA(),BDP(L7,"PX_LAST")),NA())</f>
        <v/>
      </c>
      <c r="N7" s="197" t="inlineStr"/>
      <c r="O7" s="267">
        <f>IFERROR(IF(N7="",NA(),BDP(N7,"PX_LAST")),NA())</f>
        <v/>
      </c>
      <c r="P7" s="197" t="inlineStr"/>
      <c r="Q7" s="267">
        <f>IFERROR(IF(P7="",NA(),BDP(P7,"PX_LAST")),NA())</f>
        <v/>
      </c>
      <c r="R7" s="194" t="inlineStr">
        <is>
          <t>ARIRESV Index</t>
        </is>
      </c>
      <c r="S7" s="266">
        <f>IFERROR(IF(R7="",NA(),BDP(R7,"PX_LAST")),NA())</f>
        <v/>
      </c>
      <c r="T7" s="301" t="inlineStr"/>
      <c r="U7" s="301" t="inlineStr"/>
      <c r="V7" s="301" t="inlineStr"/>
      <c r="W7" s="301" t="inlineStr"/>
      <c r="X7" s="302" t="inlineStr"/>
    </row>
    <row r="8">
      <c r="B8" s="184" t="inlineStr">
        <is>
          <t>BOLIVIA</t>
        </is>
      </c>
      <c r="C8" s="185" t="inlineStr">
        <is>
          <t>BOL</t>
        </is>
      </c>
      <c r="D8" s="185" t="inlineStr">
        <is>
          <t>BO</t>
        </is>
      </c>
      <c r="E8" s="198" t="n">
        <v>17</v>
      </c>
      <c r="F8" s="199" t="inlineStr">
        <is>
          <t>JPSYBVZW Index</t>
        </is>
      </c>
      <c r="G8" s="268">
        <f>IFERROR(IF(F8="",NA(),BDP(F8,"PX_LAST")),NA())</f>
        <v/>
      </c>
      <c r="H8" s="197" t="inlineStr"/>
      <c r="I8" s="268">
        <f>IFERROR(IF(H8="",NA(),BDP(H8,"PX_LAST")),NA())</f>
        <v/>
      </c>
      <c r="J8" s="197" t="inlineStr"/>
      <c r="K8" s="269">
        <f>IFERROR(IF(J8="",NA(),BDP(J8,"PX_LAST")),NA())</f>
        <v/>
      </c>
      <c r="L8" s="199" t="inlineStr">
        <is>
          <t>BOCPIYOY Index</t>
        </is>
      </c>
      <c r="M8" s="269">
        <f>IFERROR(IF(L8="",NA(),BDP(L8,"PX_LAST")),NA())</f>
        <v/>
      </c>
      <c r="N8" s="197" t="inlineStr"/>
      <c r="O8" s="269">
        <f>IFERROR(IF(N8="",NA(),BDP(N8,"PX_LAST")),NA())</f>
        <v/>
      </c>
      <c r="P8" s="197" t="inlineStr"/>
      <c r="Q8" s="269">
        <f>IFERROR(IF(P8="",NA(),BDP(P8,"PX_LAST")),NA())</f>
        <v/>
      </c>
      <c r="R8" s="197" t="inlineStr"/>
      <c r="S8" s="268">
        <f>IFERROR(IF(R8="",NA(),BDP(R8,"PX_LAST")),NA())</f>
        <v/>
      </c>
      <c r="T8" s="301" t="inlineStr"/>
      <c r="U8" s="301" t="inlineStr"/>
      <c r="V8" s="301" t="inlineStr"/>
      <c r="W8" s="301" t="inlineStr"/>
      <c r="X8" s="302" t="inlineStr"/>
    </row>
    <row r="9">
      <c r="B9" s="176" t="inlineStr">
        <is>
          <t>BRAZIL</t>
        </is>
      </c>
      <c r="C9" s="177" t="inlineStr">
        <is>
          <t>BRA</t>
        </is>
      </c>
      <c r="D9" s="177" t="inlineStr">
        <is>
          <t>BZ</t>
        </is>
      </c>
      <c r="E9" s="193" t="n">
        <v>12</v>
      </c>
      <c r="F9" s="194" t="inlineStr">
        <is>
          <t>JPSYBRZW Index</t>
        </is>
      </c>
      <c r="G9" s="266">
        <f>IFERROR(IF(F9="",NA(),BDP(F9,"PX_LAST")),NA())</f>
        <v/>
      </c>
      <c r="H9" s="194" t="inlineStr">
        <is>
          <t>CBRAZL CDS USD SR 5Y D14 Corp</t>
        </is>
      </c>
      <c r="I9" s="266">
        <f>IFERROR(IF(H9="",NA(),BDP(H9,"PX_LAST")),NA())</f>
        <v/>
      </c>
      <c r="J9" s="194" t="inlineStr">
        <is>
          <t>BZGDPYOY Index</t>
        </is>
      </c>
      <c r="K9" s="267">
        <f>IFERROR(IF(J9="",NA(),BDP(J9,"PX_LAST")),NA())</f>
        <v/>
      </c>
      <c r="L9" s="194" t="inlineStr">
        <is>
          <t>BZPIIPCY Index</t>
        </is>
      </c>
      <c r="M9" s="267">
        <f>IFERROR(IF(L9="",NA(),BDP(L9,"PX_LAST")),NA())</f>
        <v/>
      </c>
      <c r="N9" s="197" t="inlineStr"/>
      <c r="O9" s="267">
        <f>IFERROR(IF(N9="",NA(),BDP(N9,"PX_LAST")),NA())</f>
        <v/>
      </c>
      <c r="P9" s="194" t="inlineStr">
        <is>
          <t>BZCAR%G Index</t>
        </is>
      </c>
      <c r="Q9" s="267">
        <f>IFERROR(IF(P9="",NA(),BDP(P9,"PX_LAST")),NA())</f>
        <v/>
      </c>
      <c r="R9" s="194" t="inlineStr">
        <is>
          <t>BZRSTOTL Index</t>
        </is>
      </c>
      <c r="S9" s="266">
        <f>IFERROR(IF(R9="",NA(),BDP(R9,"PX_LAST")),NA())</f>
        <v/>
      </c>
      <c r="T9" s="301" t="inlineStr"/>
      <c r="U9" s="301" t="inlineStr"/>
      <c r="V9" s="301" t="inlineStr"/>
      <c r="W9" s="301" t="inlineStr"/>
      <c r="X9" s="302" t="inlineStr"/>
    </row>
    <row r="10">
      <c r="B10" s="184" t="inlineStr">
        <is>
          <t>CHILE</t>
        </is>
      </c>
      <c r="C10" s="185" t="inlineStr">
        <is>
          <t>CHL</t>
        </is>
      </c>
      <c r="D10" s="185" t="inlineStr">
        <is>
          <t>CH</t>
        </is>
      </c>
      <c r="E10" s="198" t="n">
        <v>6</v>
      </c>
      <c r="F10" s="199" t="inlineStr">
        <is>
          <t>JPSYCHZW Index</t>
        </is>
      </c>
      <c r="G10" s="268">
        <f>IFERROR(IF(F10="",NA(),BDP(F10,"PX_LAST")),NA())</f>
        <v/>
      </c>
      <c r="H10" s="199" t="inlineStr">
        <is>
          <t>CCHILE CDS USD SR 5Y D14 Corp</t>
        </is>
      </c>
      <c r="I10" s="268">
        <f>IFERROR(IF(H10="",NA(),BDP(H10,"PX_LAST")),NA())</f>
        <v/>
      </c>
      <c r="J10" s="199" t="inlineStr">
        <is>
          <t>CHGDPNYR Index</t>
        </is>
      </c>
      <c r="K10" s="269">
        <f>IFERROR(IF(J10="",NA(),BDP(J10,"PX_LAST")),NA())</f>
        <v/>
      </c>
      <c r="L10" s="199" t="inlineStr">
        <is>
          <t>CNPINSYO Index</t>
        </is>
      </c>
      <c r="M10" s="269">
        <f>IFERROR(IF(L10="",NA(),BDP(L10,"PX_LAST")),NA())</f>
        <v/>
      </c>
      <c r="N10" s="197" t="inlineStr"/>
      <c r="O10" s="269">
        <f>IFERROR(IF(N10="",NA(),BDP(N10,"PX_LAST")),NA())</f>
        <v/>
      </c>
      <c r="P10" s="199" t="inlineStr">
        <is>
          <t>CHCABAL$ Index</t>
        </is>
      </c>
      <c r="Q10" s="269">
        <f>IFERROR(IF(P10="",NA(),BDP(P10,"PX_LAST")),NA())</f>
        <v/>
      </c>
      <c r="R10" s="199" t="inlineStr">
        <is>
          <t>CHIRTOTL Index</t>
        </is>
      </c>
      <c r="S10" s="268">
        <f>IFERROR(IF(R10="",NA(),BDP(R10,"PX_LAST")),NA())</f>
        <v/>
      </c>
      <c r="T10" s="301" t="inlineStr"/>
      <c r="U10" s="301" t="inlineStr"/>
      <c r="V10" s="301" t="inlineStr"/>
      <c r="W10" s="301" t="inlineStr"/>
      <c r="X10" s="302" t="inlineStr"/>
    </row>
    <row r="11">
      <c r="B11" s="176" t="inlineStr">
        <is>
          <t>COLOMBIA</t>
        </is>
      </c>
      <c r="C11" s="177" t="inlineStr">
        <is>
          <t>COL</t>
        </is>
      </c>
      <c r="D11" s="177" t="inlineStr">
        <is>
          <t>CB</t>
        </is>
      </c>
      <c r="E11" s="193" t="n">
        <v>11</v>
      </c>
      <c r="F11" s="194" t="inlineStr">
        <is>
          <t>JPSYCLZW Index</t>
        </is>
      </c>
      <c r="G11" s="266">
        <f>IFERROR(IF(F11="",NA(),BDP(F11,"PX_LAST")),NA())</f>
        <v/>
      </c>
      <c r="H11" s="194" t="inlineStr">
        <is>
          <t>CCOLOM CDS USD SR 5Y D14 Corp</t>
        </is>
      </c>
      <c r="I11" s="266">
        <f>IFERROR(IF(H11="",NA(),BDP(H11,"PX_LAST")),NA())</f>
        <v/>
      </c>
      <c r="J11" s="194" t="inlineStr">
        <is>
          <t>COGDPYOY Index</t>
        </is>
      </c>
      <c r="K11" s="267">
        <f>IFERROR(IF(J11="",NA(),BDP(J11,"PX_LAST")),NA())</f>
        <v/>
      </c>
      <c r="L11" s="194" t="inlineStr">
        <is>
          <t>COCPIYOY Index</t>
        </is>
      </c>
      <c r="M11" s="267">
        <f>IFERROR(IF(L11="",NA(),BDP(L11,"PX_LAST")),NA())</f>
        <v/>
      </c>
      <c r="N11" s="197" t="inlineStr"/>
      <c r="O11" s="267">
        <f>IFERROR(IF(N11="",NA(),BDP(N11,"PX_LAST")),NA())</f>
        <v/>
      </c>
      <c r="P11" s="194" t="inlineStr">
        <is>
          <t>COCABAL$ Index</t>
        </is>
      </c>
      <c r="Q11" s="267">
        <f>IFERROR(IF(P11="",NA(),BDP(P11,"PX_LAST")),NA())</f>
        <v/>
      </c>
      <c r="R11" s="194" t="inlineStr">
        <is>
          <t>COIRTOTL Index</t>
        </is>
      </c>
      <c r="S11" s="266">
        <f>IFERROR(IF(R11="",NA(),BDP(R11,"PX_LAST")),NA())</f>
        <v/>
      </c>
      <c r="T11" s="301" t="inlineStr"/>
      <c r="U11" s="301" t="inlineStr"/>
      <c r="V11" s="301" t="inlineStr"/>
      <c r="W11" s="301" t="inlineStr"/>
      <c r="X11" s="302" t="inlineStr"/>
    </row>
    <row r="12">
      <c r="B12" s="184" t="inlineStr">
        <is>
          <t>COSTA RICA</t>
        </is>
      </c>
      <c r="C12" s="185" t="inlineStr">
        <is>
          <t>CRI</t>
        </is>
      </c>
      <c r="D12" s="185" t="inlineStr">
        <is>
          <t>CR</t>
        </is>
      </c>
      <c r="E12" s="198" t="n">
        <v>13</v>
      </c>
      <c r="F12" s="199" t="inlineStr">
        <is>
          <t>JPSYCRZW Index</t>
        </is>
      </c>
      <c r="G12" s="268">
        <f>IFERROR(IF(F12="",NA(),BDP(F12,"PX_LAST")),NA())</f>
        <v/>
      </c>
      <c r="H12" s="199" t="inlineStr">
        <is>
          <t>CCOSTA CDS USD SR 5Y D14 Corp</t>
        </is>
      </c>
      <c r="I12" s="268">
        <f>IFERROR(IF(H12="",NA(),BDP(H12,"PX_LAST")),NA())</f>
        <v/>
      </c>
      <c r="J12" s="199" t="inlineStr">
        <is>
          <t>CRGDPYOY Index</t>
        </is>
      </c>
      <c r="K12" s="269">
        <f>IFERROR(IF(J12="",NA(),BDP(J12,"PX_LAST")),NA())</f>
        <v/>
      </c>
      <c r="L12" s="199" t="inlineStr">
        <is>
          <t>CRCPIYOY Index</t>
        </is>
      </c>
      <c r="M12" s="269">
        <f>IFERROR(IF(L12="",NA(),BDP(L12,"PX_LAST")),NA())</f>
        <v/>
      </c>
      <c r="N12" s="197" t="inlineStr"/>
      <c r="O12" s="269">
        <f>IFERROR(IF(N12="",NA(),BDP(N12,"PX_LAST")),NA())</f>
        <v/>
      </c>
      <c r="P12" s="197" t="inlineStr"/>
      <c r="Q12" s="269">
        <f>IFERROR(IF(P12="",NA(),BDP(P12,"PX_LAST")),NA())</f>
        <v/>
      </c>
      <c r="R12" s="197" t="inlineStr"/>
      <c r="S12" s="268">
        <f>IFERROR(IF(R12="",NA(),BDP(R12,"PX_LAST")),NA())</f>
        <v/>
      </c>
      <c r="T12" s="301" t="inlineStr"/>
      <c r="U12" s="301" t="inlineStr"/>
      <c r="V12" s="301" t="inlineStr"/>
      <c r="W12" s="301" t="inlineStr"/>
      <c r="X12" s="302" t="inlineStr"/>
    </row>
    <row r="13">
      <c r="B13" s="176" t="inlineStr">
        <is>
          <t>DOMINICAN REPUBLIC</t>
        </is>
      </c>
      <c r="C13" s="177" t="inlineStr">
        <is>
          <t>DOM</t>
        </is>
      </c>
      <c r="D13" s="177" t="inlineStr">
        <is>
          <t>DR</t>
        </is>
      </c>
      <c r="E13" s="193" t="n">
        <v>13</v>
      </c>
      <c r="F13" s="194" t="inlineStr">
        <is>
          <t>JPSYDRZW Index</t>
        </is>
      </c>
      <c r="G13" s="266">
        <f>IFERROR(IF(F13="",NA(),BDP(F13,"PX_LAST")),NA())</f>
        <v/>
      </c>
      <c r="H13" s="194" t="inlineStr">
        <is>
          <t>CDOMRP CDS USD SR 5Y D14 Corp</t>
        </is>
      </c>
      <c r="I13" s="266">
        <f>IFERROR(IF(H13="",NA(),BDP(H13,"PX_LAST")),NA())</f>
        <v/>
      </c>
      <c r="J13" s="194" t="inlineStr">
        <is>
          <t>DRGDPYOY Index</t>
        </is>
      </c>
      <c r="K13" s="267">
        <f>IFERROR(IF(J13="",NA(),BDP(J13,"PX_LAST")),NA())</f>
        <v/>
      </c>
      <c r="L13" s="194" t="inlineStr">
        <is>
          <t>DRCPIYOY Index</t>
        </is>
      </c>
      <c r="M13" s="267">
        <f>IFERROR(IF(L13="",NA(),BDP(L13,"PX_LAST")),NA())</f>
        <v/>
      </c>
      <c r="N13" s="197" t="inlineStr"/>
      <c r="O13" s="267">
        <f>IFERROR(IF(N13="",NA(),BDP(N13,"PX_LAST")),NA())</f>
        <v/>
      </c>
      <c r="P13" s="197" t="inlineStr"/>
      <c r="Q13" s="267">
        <f>IFERROR(IF(P13="",NA(),BDP(P13,"PX_LAST")),NA())</f>
        <v/>
      </c>
      <c r="R13" s="197" t="inlineStr"/>
      <c r="S13" s="266">
        <f>IFERROR(IF(R13="",NA(),BDP(R13,"PX_LAST")),NA())</f>
        <v/>
      </c>
      <c r="T13" s="301" t="inlineStr"/>
      <c r="U13" s="301" t="inlineStr"/>
      <c r="V13" s="301" t="inlineStr"/>
      <c r="W13" s="301" t="inlineStr"/>
      <c r="X13" s="302" t="inlineStr"/>
    </row>
    <row r="14">
      <c r="B14" s="184" t="inlineStr">
        <is>
          <t>ECUADOR</t>
        </is>
      </c>
      <c r="C14" s="185" t="inlineStr">
        <is>
          <t>ECU</t>
        </is>
      </c>
      <c r="D14" s="185" t="inlineStr">
        <is>
          <t>EC</t>
        </is>
      </c>
      <c r="E14" s="198" t="n">
        <v>18</v>
      </c>
      <c r="F14" s="199" t="inlineStr">
        <is>
          <t>JPSYECZW Index</t>
        </is>
      </c>
      <c r="G14" s="268">
        <f>IFERROR(IF(F14="",NA(),BDP(F14,"PX_LAST")),NA())</f>
        <v/>
      </c>
      <c r="H14" s="199" t="inlineStr">
        <is>
          <t>CECUA CDS USD SR 5Y D14 Corp</t>
        </is>
      </c>
      <c r="I14" s="268">
        <f>IFERROR(IF(H14="",NA(),BDP(H14,"PX_LAST")),NA())</f>
        <v/>
      </c>
      <c r="J14" s="199" t="inlineStr">
        <is>
          <t>ECGDPYOY Index</t>
        </is>
      </c>
      <c r="K14" s="269">
        <f>IFERROR(IF(J14="",NA(),BDP(J14,"PX_LAST")),NA())</f>
        <v/>
      </c>
      <c r="L14" s="199" t="inlineStr">
        <is>
          <t>ECCPIYOY Index</t>
        </is>
      </c>
      <c r="M14" s="269">
        <f>IFERROR(IF(L14="",NA(),BDP(L14,"PX_LAST")),NA())</f>
        <v/>
      </c>
      <c r="N14" s="197" t="inlineStr"/>
      <c r="O14" s="269">
        <f>IFERROR(IF(N14="",NA(),BDP(N14,"PX_LAST")),NA())</f>
        <v/>
      </c>
      <c r="P14" s="197" t="inlineStr"/>
      <c r="Q14" s="269">
        <f>IFERROR(IF(P14="",NA(),BDP(P14,"PX_LAST")),NA())</f>
        <v/>
      </c>
      <c r="R14" s="197" t="inlineStr"/>
      <c r="S14" s="268">
        <f>IFERROR(IF(R14="",NA(),BDP(R14,"PX_LAST")),NA())</f>
        <v/>
      </c>
      <c r="T14" s="301" t="inlineStr"/>
      <c r="U14" s="301" t="inlineStr"/>
      <c r="V14" s="301" t="inlineStr"/>
      <c r="W14" s="301" t="inlineStr"/>
      <c r="X14" s="302" t="inlineStr"/>
    </row>
    <row r="15">
      <c r="B15" s="176" t="inlineStr">
        <is>
          <t>EL SALVADOR</t>
        </is>
      </c>
      <c r="C15" s="177" t="inlineStr">
        <is>
          <t>SLV</t>
        </is>
      </c>
      <c r="D15" s="177" t="inlineStr">
        <is>
          <t>ES</t>
        </is>
      </c>
      <c r="E15" s="193" t="n">
        <v>18</v>
      </c>
      <c r="F15" s="194" t="inlineStr">
        <is>
          <t>JPSYESZW Index</t>
        </is>
      </c>
      <c r="G15" s="266">
        <f>IFERROR(IF(F15="",NA(),BDP(F15,"PX_LAST")),NA())</f>
        <v/>
      </c>
      <c r="H15" s="194" t="inlineStr">
        <is>
          <t>CELSAL CDS USD SR 5Y D14 Corp</t>
        </is>
      </c>
      <c r="I15" s="266">
        <f>IFERROR(IF(H15="",NA(),BDP(H15,"PX_LAST")),NA())</f>
        <v/>
      </c>
      <c r="J15" s="197" t="inlineStr"/>
      <c r="K15" s="267">
        <f>IFERROR(IF(J15="",NA(),BDP(J15,"PX_LAST")),NA())</f>
        <v/>
      </c>
      <c r="L15" s="194" t="inlineStr">
        <is>
          <t>ESCPIYOY Index</t>
        </is>
      </c>
      <c r="M15" s="267">
        <f>IFERROR(IF(L15="",NA(),BDP(L15,"PX_LAST")),NA())</f>
        <v/>
      </c>
      <c r="N15" s="197" t="inlineStr"/>
      <c r="O15" s="267">
        <f>IFERROR(IF(N15="",NA(),BDP(N15,"PX_LAST")),NA())</f>
        <v/>
      </c>
      <c r="P15" s="197" t="inlineStr"/>
      <c r="Q15" s="267">
        <f>IFERROR(IF(P15="",NA(),BDP(P15,"PX_LAST")),NA())</f>
        <v/>
      </c>
      <c r="R15" s="197" t="inlineStr"/>
      <c r="S15" s="266">
        <f>IFERROR(IF(R15="",NA(),BDP(R15,"PX_LAST")),NA())</f>
        <v/>
      </c>
      <c r="T15" s="301" t="inlineStr"/>
      <c r="U15" s="301" t="inlineStr"/>
      <c r="V15" s="301" t="inlineStr"/>
      <c r="W15" s="301" t="inlineStr"/>
      <c r="X15" s="302" t="inlineStr"/>
    </row>
    <row r="16">
      <c r="B16" s="184" t="inlineStr">
        <is>
          <t>GUATEMALA</t>
        </is>
      </c>
      <c r="C16" s="185" t="inlineStr">
        <is>
          <t>GTM</t>
        </is>
      </c>
      <c r="D16" s="185" t="inlineStr">
        <is>
          <t>GT</t>
        </is>
      </c>
      <c r="E16" s="198" t="n">
        <v>11</v>
      </c>
      <c r="F16" s="199" t="inlineStr">
        <is>
          <t>JPSYGTZW Index</t>
        </is>
      </c>
      <c r="G16" s="268">
        <f>IFERROR(IF(F16="",NA(),BDP(F16,"PX_LAST")),NA())</f>
        <v/>
      </c>
      <c r="H16" s="197" t="inlineStr"/>
      <c r="I16" s="268">
        <f>IFERROR(IF(H16="",NA(),BDP(H16,"PX_LAST")),NA())</f>
        <v/>
      </c>
      <c r="J16" s="197" t="inlineStr"/>
      <c r="K16" s="269">
        <f>IFERROR(IF(J16="",NA(),BDP(J16,"PX_LAST")),NA())</f>
        <v/>
      </c>
      <c r="L16" s="199" t="inlineStr">
        <is>
          <t>GTCPIYOY Index</t>
        </is>
      </c>
      <c r="M16" s="269">
        <f>IFERROR(IF(L16="",NA(),BDP(L16,"PX_LAST")),NA())</f>
        <v/>
      </c>
      <c r="N16" s="197" t="inlineStr"/>
      <c r="O16" s="269">
        <f>IFERROR(IF(N16="",NA(),BDP(N16,"PX_LAST")),NA())</f>
        <v/>
      </c>
      <c r="P16" s="197" t="inlineStr"/>
      <c r="Q16" s="269">
        <f>IFERROR(IF(P16="",NA(),BDP(P16,"PX_LAST")),NA())</f>
        <v/>
      </c>
      <c r="R16" s="197" t="inlineStr"/>
      <c r="S16" s="268">
        <f>IFERROR(IF(R16="",NA(),BDP(R16,"PX_LAST")),NA())</f>
        <v/>
      </c>
      <c r="T16" s="301" t="inlineStr"/>
      <c r="U16" s="301" t="inlineStr"/>
      <c r="V16" s="301" t="inlineStr"/>
      <c r="W16" s="301" t="inlineStr"/>
      <c r="X16" s="302" t="inlineStr"/>
    </row>
    <row r="17">
      <c r="B17" s="176" t="inlineStr">
        <is>
          <t>JAMAICA</t>
        </is>
      </c>
      <c r="C17" s="177" t="inlineStr">
        <is>
          <t>JAM</t>
        </is>
      </c>
      <c r="D17" s="177" t="inlineStr">
        <is>
          <t>JM</t>
        </is>
      </c>
      <c r="E17" s="193" t="n">
        <v>14</v>
      </c>
      <c r="F17" s="194" t="inlineStr">
        <is>
          <t>JPSYJMZW Index</t>
        </is>
      </c>
      <c r="G17" s="266">
        <f>IFERROR(IF(F17="",NA(),BDP(F17,"PX_LAST")),NA())</f>
        <v/>
      </c>
      <c r="H17" s="197" t="inlineStr"/>
      <c r="I17" s="266">
        <f>IFERROR(IF(H17="",NA(),BDP(H17,"PX_LAST")),NA())</f>
        <v/>
      </c>
      <c r="J17" s="197" t="inlineStr"/>
      <c r="K17" s="267">
        <f>IFERROR(IF(J17="",NA(),BDP(J17,"PX_LAST")),NA())</f>
        <v/>
      </c>
      <c r="L17" s="194" t="inlineStr">
        <is>
          <t>JAMCPIY Index</t>
        </is>
      </c>
      <c r="M17" s="267">
        <f>IFERROR(IF(L17="",NA(),BDP(L17,"PX_LAST")),NA())</f>
        <v/>
      </c>
      <c r="N17" s="197" t="inlineStr"/>
      <c r="O17" s="267">
        <f>IFERROR(IF(N17="",NA(),BDP(N17,"PX_LAST")),NA())</f>
        <v/>
      </c>
      <c r="P17" s="197" t="inlineStr"/>
      <c r="Q17" s="267">
        <f>IFERROR(IF(P17="",NA(),BDP(P17,"PX_LAST")),NA())</f>
        <v/>
      </c>
      <c r="R17" s="197" t="inlineStr"/>
      <c r="S17" s="266">
        <f>IFERROR(IF(R17="",NA(),BDP(R17,"PX_LAST")),NA())</f>
        <v/>
      </c>
      <c r="T17" s="301" t="inlineStr"/>
      <c r="U17" s="301" t="inlineStr"/>
      <c r="V17" s="301" t="inlineStr"/>
      <c r="W17" s="301" t="inlineStr"/>
      <c r="X17" s="302" t="inlineStr"/>
    </row>
    <row r="18">
      <c r="B18" s="184" t="inlineStr">
        <is>
          <t>MEXICO</t>
        </is>
      </c>
      <c r="C18" s="185" t="inlineStr">
        <is>
          <t>MEX</t>
        </is>
      </c>
      <c r="D18" s="185" t="inlineStr">
        <is>
          <t>MX</t>
        </is>
      </c>
      <c r="E18" s="198" t="n">
        <v>10</v>
      </c>
      <c r="F18" s="199" t="inlineStr">
        <is>
          <t>JPSYMXZW Index</t>
        </is>
      </c>
      <c r="G18" s="268">
        <f>IFERROR(IF(F18="",NA(),BDP(F18,"PX_LAST")),NA())</f>
        <v/>
      </c>
      <c r="H18" s="199" t="inlineStr">
        <is>
          <t>CMEX CDS USD SR 5Y D14 Corp</t>
        </is>
      </c>
      <c r="I18" s="268">
        <f>IFERROR(IF(H18="",NA(),BDP(H18,"PX_LAST")),NA())</f>
        <v/>
      </c>
      <c r="J18" s="199" t="inlineStr">
        <is>
          <t>MXGDPYOY Index</t>
        </is>
      </c>
      <c r="K18" s="269">
        <f>IFERROR(IF(J18="",NA(),BDP(J18,"PX_LAST")),NA())</f>
        <v/>
      </c>
      <c r="L18" s="199" t="inlineStr">
        <is>
          <t>MXCPYOY% Index</t>
        </is>
      </c>
      <c r="M18" s="269">
        <f>IFERROR(IF(L18="",NA(),BDP(L18,"PX_LAST")),NA())</f>
        <v/>
      </c>
      <c r="N18" s="197" t="inlineStr"/>
      <c r="O18" s="269">
        <f>IFERROR(IF(N18="",NA(),BDP(N18,"PX_LAST")),NA())</f>
        <v/>
      </c>
      <c r="P18" s="199" t="inlineStr">
        <is>
          <t>MXCABAL$ Index</t>
        </is>
      </c>
      <c r="Q18" s="269">
        <f>IFERROR(IF(P18="",NA(),BDP(P18,"PX_LAST")),NA())</f>
        <v/>
      </c>
      <c r="R18" s="199" t="inlineStr">
        <is>
          <t>MXIRTOTL Index</t>
        </is>
      </c>
      <c r="S18" s="268">
        <f>IFERROR(IF(R18="",NA(),BDP(R18,"PX_LAST")),NA())</f>
        <v/>
      </c>
      <c r="T18" s="301" t="inlineStr"/>
      <c r="U18" s="301" t="inlineStr"/>
      <c r="V18" s="301" t="inlineStr"/>
      <c r="W18" s="301" t="inlineStr"/>
      <c r="X18" s="302" t="inlineStr"/>
    </row>
    <row r="19">
      <c r="B19" s="176" t="inlineStr">
        <is>
          <t>PANAMA</t>
        </is>
      </c>
      <c r="C19" s="177" t="inlineStr">
        <is>
          <t>PAN</t>
        </is>
      </c>
      <c r="D19" s="177" t="inlineStr">
        <is>
          <t>PA</t>
        </is>
      </c>
      <c r="E19" s="193" t="n">
        <v>10</v>
      </c>
      <c r="F19" s="194" t="inlineStr">
        <is>
          <t>JPSYPNZW Index</t>
        </is>
      </c>
      <c r="G19" s="266">
        <f>IFERROR(IF(F19="",NA(),BDP(F19,"PX_LAST")),NA())</f>
        <v/>
      </c>
      <c r="H19" s="194" t="inlineStr">
        <is>
          <t>CPANAM CDS USD SR 5Y D14 Corp</t>
        </is>
      </c>
      <c r="I19" s="266">
        <f>IFERROR(IF(H19="",NA(),BDP(H19,"PX_LAST")),NA())</f>
        <v/>
      </c>
      <c r="J19" s="197" t="inlineStr"/>
      <c r="K19" s="267">
        <f>IFERROR(IF(J19="",NA(),BDP(J19,"PX_LAST")),NA())</f>
        <v/>
      </c>
      <c r="L19" s="194" t="inlineStr">
        <is>
          <t>PNCPYOY Index</t>
        </is>
      </c>
      <c r="M19" s="267">
        <f>IFERROR(IF(L19="",NA(),BDP(L19,"PX_LAST")),NA())</f>
        <v/>
      </c>
      <c r="N19" s="197" t="inlineStr"/>
      <c r="O19" s="267">
        <f>IFERROR(IF(N19="",NA(),BDP(N19,"PX_LAST")),NA())</f>
        <v/>
      </c>
      <c r="P19" s="197" t="inlineStr"/>
      <c r="Q19" s="267">
        <f>IFERROR(IF(P19="",NA(),BDP(P19,"PX_LAST")),NA())</f>
        <v/>
      </c>
      <c r="R19" s="197" t="inlineStr"/>
      <c r="S19" s="266">
        <f>IFERROR(IF(R19="",NA(),BDP(R19,"PX_LAST")),NA())</f>
        <v/>
      </c>
      <c r="T19" s="301" t="inlineStr"/>
      <c r="U19" s="301" t="inlineStr"/>
      <c r="V19" s="301" t="inlineStr"/>
      <c r="W19" s="301" t="inlineStr"/>
      <c r="X19" s="302" t="inlineStr"/>
    </row>
    <row r="20">
      <c r="B20" s="184" t="inlineStr">
        <is>
          <t>PARAGUAY</t>
        </is>
      </c>
      <c r="C20" s="185" t="inlineStr">
        <is>
          <t>PRY</t>
        </is>
      </c>
      <c r="D20" s="185" t="inlineStr">
        <is>
          <t>PY</t>
        </is>
      </c>
      <c r="E20" s="198" t="n">
        <v>10</v>
      </c>
      <c r="F20" s="199" t="inlineStr">
        <is>
          <t>JPSYPGZW Index</t>
        </is>
      </c>
      <c r="G20" s="268">
        <f>IFERROR(IF(F20="",NA(),BDP(F20,"PX_LAST")),NA())</f>
        <v/>
      </c>
      <c r="H20" s="197" t="inlineStr"/>
      <c r="I20" s="268">
        <f>IFERROR(IF(H20="",NA(),BDP(H20,"PX_LAST")),NA())</f>
        <v/>
      </c>
      <c r="J20" s="199" t="inlineStr">
        <is>
          <t>PYGDPYOY Index</t>
        </is>
      </c>
      <c r="K20" s="269">
        <f>IFERROR(IF(J20="",NA(),BDP(J20,"PX_LAST")),NA())</f>
        <v/>
      </c>
      <c r="L20" s="199" t="inlineStr">
        <is>
          <t>PYCPIYOY Index</t>
        </is>
      </c>
      <c r="M20" s="269">
        <f>IFERROR(IF(L20="",NA(),BDP(L20,"PX_LAST")),NA())</f>
        <v/>
      </c>
      <c r="N20" s="197" t="inlineStr"/>
      <c r="O20" s="269">
        <f>IFERROR(IF(N20="",NA(),BDP(N20,"PX_LAST")),NA())</f>
        <v/>
      </c>
      <c r="P20" s="197" t="inlineStr"/>
      <c r="Q20" s="269">
        <f>IFERROR(IF(P20="",NA(),BDP(P20,"PX_LAST")),NA())</f>
        <v/>
      </c>
      <c r="R20" s="197" t="inlineStr"/>
      <c r="S20" s="268">
        <f>IFERROR(IF(R20="",NA(),BDP(R20,"PX_LAST")),NA())</f>
        <v/>
      </c>
      <c r="T20" s="301" t="inlineStr"/>
      <c r="U20" s="301" t="inlineStr"/>
      <c r="V20" s="301" t="inlineStr"/>
      <c r="W20" s="301" t="inlineStr"/>
      <c r="X20" s="302" t="inlineStr"/>
    </row>
    <row r="21">
      <c r="B21" s="176" t="inlineStr">
        <is>
          <t>PERU</t>
        </is>
      </c>
      <c r="C21" s="177" t="inlineStr">
        <is>
          <t>PER</t>
        </is>
      </c>
      <c r="D21" s="177" t="inlineStr">
        <is>
          <t>PE</t>
        </is>
      </c>
      <c r="E21" s="193" t="n">
        <v>9</v>
      </c>
      <c r="F21" s="194" t="inlineStr">
        <is>
          <t>JPSYPEZW Index</t>
        </is>
      </c>
      <c r="G21" s="266">
        <f>IFERROR(IF(F21="",NA(),BDP(F21,"PX_LAST")),NA())</f>
        <v/>
      </c>
      <c r="H21" s="194" t="inlineStr">
        <is>
          <t>CPERU CDS USD SR 5Y D14 Corp</t>
        </is>
      </c>
      <c r="I21" s="266">
        <f>IFERROR(IF(H21="",NA(),BDP(H21,"PX_LAST")),NA())</f>
        <v/>
      </c>
      <c r="J21" s="194" t="inlineStr">
        <is>
          <t>PEGDPYOY Index</t>
        </is>
      </c>
      <c r="K21" s="267">
        <f>IFERROR(IF(J21="",NA(),BDP(J21,"PX_LAST")),NA())</f>
        <v/>
      </c>
      <c r="L21" s="194" t="inlineStr">
        <is>
          <t>PRCPIYOY Index</t>
        </is>
      </c>
      <c r="M21" s="267">
        <f>IFERROR(IF(L21="",NA(),BDP(L21,"PX_LAST")),NA())</f>
        <v/>
      </c>
      <c r="N21" s="197" t="inlineStr"/>
      <c r="O21" s="267">
        <f>IFERROR(IF(N21="",NA(),BDP(N21,"PX_LAST")),NA())</f>
        <v/>
      </c>
      <c r="P21" s="194" t="inlineStr">
        <is>
          <t>PEBPCAB% Index</t>
        </is>
      </c>
      <c r="Q21" s="267">
        <f>IFERROR(IF(P21="",NA(),BDP(P21,"PX_LAST")),NA())</f>
        <v/>
      </c>
      <c r="R21" s="194" t="inlineStr">
        <is>
          <t>PEIRTOTL Index</t>
        </is>
      </c>
      <c r="S21" s="266">
        <f>IFERROR(IF(R21="",NA(),BDP(R21,"PX_LAST")),NA())</f>
        <v/>
      </c>
      <c r="T21" s="301" t="inlineStr"/>
      <c r="U21" s="301" t="inlineStr"/>
      <c r="V21" s="301" t="inlineStr"/>
      <c r="W21" s="301" t="inlineStr"/>
      <c r="X21" s="302" t="inlineStr"/>
    </row>
    <row r="22">
      <c r="B22" s="184" t="inlineStr">
        <is>
          <t>URUGUAY</t>
        </is>
      </c>
      <c r="C22" s="185" t="inlineStr">
        <is>
          <t>URY</t>
        </is>
      </c>
      <c r="D22" s="185" t="inlineStr">
        <is>
          <t>UY</t>
        </is>
      </c>
      <c r="E22" s="198" t="n">
        <v>9</v>
      </c>
      <c r="F22" s="199" t="inlineStr">
        <is>
          <t>JPSYUYZW Index</t>
        </is>
      </c>
      <c r="G22" s="268">
        <f>IFERROR(IF(F22="",NA(),BDP(F22,"PX_LAST")),NA())</f>
        <v/>
      </c>
      <c r="H22" s="199" t="inlineStr">
        <is>
          <t>CURUGY CDS USD SR 5Y D14 Corp</t>
        </is>
      </c>
      <c r="I22" s="268">
        <f>IFERROR(IF(H22="",NA(),BDP(H22,"PX_LAST")),NA())</f>
        <v/>
      </c>
      <c r="J22" s="199" t="inlineStr">
        <is>
          <t>URGDPYOY Index</t>
        </is>
      </c>
      <c r="K22" s="269">
        <f>IFERROR(IF(J22="",NA(),BDP(J22,"PX_LAST")),NA())</f>
        <v/>
      </c>
      <c r="L22" s="199" t="inlineStr">
        <is>
          <t>UYCPIYOY Index</t>
        </is>
      </c>
      <c r="M22" s="269">
        <f>IFERROR(IF(L22="",NA(),BDP(L22,"PX_LAST")),NA())</f>
        <v/>
      </c>
      <c r="N22" s="197" t="inlineStr"/>
      <c r="O22" s="269">
        <f>IFERROR(IF(N22="",NA(),BDP(N22,"PX_LAST")),NA())</f>
        <v/>
      </c>
      <c r="P22" s="197" t="inlineStr"/>
      <c r="Q22" s="269">
        <f>IFERROR(IF(P22="",NA(),BDP(P22,"PX_LAST")),NA())</f>
        <v/>
      </c>
      <c r="R22" s="199" t="inlineStr">
        <is>
          <t>URIRTOTL Index</t>
        </is>
      </c>
      <c r="S22" s="268">
        <f>IFERROR(IF(R22="",NA(),BDP(R22,"PX_LAST")),NA())</f>
        <v/>
      </c>
      <c r="T22" s="301" t="inlineStr"/>
      <c r="U22" s="301" t="inlineStr"/>
      <c r="V22" s="301" t="inlineStr"/>
      <c r="W22" s="301" t="inlineStr"/>
      <c r="X22" s="302" t="inlineStr"/>
    </row>
    <row r="23">
      <c r="B23" s="176" t="inlineStr">
        <is>
          <t>TRINIDAD &amp; TOBAGO</t>
        </is>
      </c>
      <c r="C23" s="177" t="inlineStr">
        <is>
          <t>TTO</t>
        </is>
      </c>
      <c r="D23" s="177" t="inlineStr">
        <is>
          <t>TT</t>
        </is>
      </c>
      <c r="E23" s="193" t="n">
        <v>13</v>
      </c>
      <c r="F23" s="194" t="inlineStr">
        <is>
          <t>JPSYTTZW Index</t>
        </is>
      </c>
      <c r="G23" s="266">
        <f>IFERROR(IF(F23="",NA(),BDP(F23,"PX_LAST")),NA())</f>
        <v/>
      </c>
      <c r="H23" s="197" t="inlineStr"/>
      <c r="I23" s="266">
        <f>IFERROR(IF(H23="",NA(),BDP(H23,"PX_LAST")),NA())</f>
        <v/>
      </c>
      <c r="J23" s="197" t="inlineStr"/>
      <c r="K23" s="267">
        <f>IFERROR(IF(J23="",NA(),BDP(J23,"PX_LAST")),NA())</f>
        <v/>
      </c>
      <c r="L23" s="194" t="inlineStr">
        <is>
          <t>TTCPIYOY Index</t>
        </is>
      </c>
      <c r="M23" s="267">
        <f>IFERROR(IF(L23="",NA(),BDP(L23,"PX_LAST")),NA())</f>
        <v/>
      </c>
      <c r="N23" s="197" t="inlineStr"/>
      <c r="O23" s="267">
        <f>IFERROR(IF(N23="",NA(),BDP(N23,"PX_LAST")),NA())</f>
        <v/>
      </c>
      <c r="P23" s="197" t="inlineStr"/>
      <c r="Q23" s="267">
        <f>IFERROR(IF(P23="",NA(),BDP(P23,"PX_LAST")),NA())</f>
        <v/>
      </c>
      <c r="R23" s="197" t="inlineStr"/>
      <c r="S23" s="266">
        <f>IFERROR(IF(R23="",NA(),BDP(R23,"PX_LAST")),NA())</f>
        <v/>
      </c>
      <c r="T23" s="301" t="inlineStr"/>
      <c r="U23" s="301" t="inlineStr"/>
      <c r="V23" s="301" t="inlineStr"/>
      <c r="W23" s="301" t="inlineStr"/>
      <c r="X23" s="302" t="inlineStr"/>
    </row>
    <row r="24">
      <c r="B24" s="184" t="inlineStr">
        <is>
          <t>ARMENIA</t>
        </is>
      </c>
      <c r="C24" s="185" t="inlineStr">
        <is>
          <t>ARM</t>
        </is>
      </c>
      <c r="D24" s="185" t="inlineStr">
        <is>
          <t>AM</t>
        </is>
      </c>
      <c r="E24" s="198" t="n">
        <v>13</v>
      </c>
      <c r="F24" s="199" t="inlineStr">
        <is>
          <t>JPSYAMZW Index</t>
        </is>
      </c>
      <c r="G24" s="268">
        <f>IFERROR(IF(F24="",NA(),BDP(F24,"PX_LAST")),NA())</f>
        <v/>
      </c>
      <c r="H24" s="197" t="inlineStr"/>
      <c r="I24" s="268">
        <f>IFERROR(IF(H24="",NA(),BDP(H24,"PX_LAST")),NA())</f>
        <v/>
      </c>
      <c r="J24" s="197" t="inlineStr"/>
      <c r="K24" s="269">
        <f>IFERROR(IF(J24="",NA(),BDP(J24,"PX_LAST")),NA())</f>
        <v/>
      </c>
      <c r="L24" s="197" t="inlineStr"/>
      <c r="M24" s="269">
        <f>IFERROR(IF(L24="",NA(),BDP(L24,"PX_LAST")),NA())</f>
        <v/>
      </c>
      <c r="N24" s="197" t="inlineStr"/>
      <c r="O24" s="269">
        <f>IFERROR(IF(N24="",NA(),BDP(N24,"PX_LAST")),NA())</f>
        <v/>
      </c>
      <c r="P24" s="197" t="inlineStr"/>
      <c r="Q24" s="269">
        <f>IFERROR(IF(P24="",NA(),BDP(P24,"PX_LAST")),NA())</f>
        <v/>
      </c>
      <c r="R24" s="197" t="inlineStr"/>
      <c r="S24" s="268">
        <f>IFERROR(IF(R24="",NA(),BDP(R24,"PX_LAST")),NA())</f>
        <v/>
      </c>
      <c r="T24" s="301" t="inlineStr"/>
      <c r="U24" s="301" t="inlineStr"/>
      <c r="V24" s="301" t="inlineStr"/>
      <c r="W24" s="301" t="inlineStr"/>
      <c r="X24" s="302" t="inlineStr"/>
    </row>
    <row r="25">
      <c r="B25" s="176" t="inlineStr">
        <is>
          <t>AZERBAIJAN</t>
        </is>
      </c>
      <c r="C25" s="177" t="inlineStr">
        <is>
          <t>AZE</t>
        </is>
      </c>
      <c r="D25" s="177" t="inlineStr">
        <is>
          <t>AZ</t>
        </is>
      </c>
      <c r="E25" s="193" t="n">
        <v>11</v>
      </c>
      <c r="F25" s="194" t="inlineStr">
        <is>
          <t>JPSYAZZW Index</t>
        </is>
      </c>
      <c r="G25" s="266">
        <f>IFERROR(IF(F25="",NA(),BDP(F25,"PX_LAST")),NA())</f>
        <v/>
      </c>
      <c r="H25" s="197" t="inlineStr"/>
      <c r="I25" s="266">
        <f>IFERROR(IF(H25="",NA(),BDP(H25,"PX_LAST")),NA())</f>
        <v/>
      </c>
      <c r="J25" s="197" t="inlineStr"/>
      <c r="K25" s="267">
        <f>IFERROR(IF(J25="",NA(),BDP(J25,"PX_LAST")),NA())</f>
        <v/>
      </c>
      <c r="L25" s="197" t="inlineStr"/>
      <c r="M25" s="267">
        <f>IFERROR(IF(L25="",NA(),BDP(L25,"PX_LAST")),NA())</f>
        <v/>
      </c>
      <c r="N25" s="197" t="inlineStr"/>
      <c r="O25" s="267">
        <f>IFERROR(IF(N25="",NA(),BDP(N25,"PX_LAST")),NA())</f>
        <v/>
      </c>
      <c r="P25" s="197" t="inlineStr"/>
      <c r="Q25" s="267">
        <f>IFERROR(IF(P25="",NA(),BDP(P25,"PX_LAST")),NA())</f>
        <v/>
      </c>
      <c r="R25" s="197" t="inlineStr"/>
      <c r="S25" s="266">
        <f>IFERROR(IF(R25="",NA(),BDP(R25,"PX_LAST")),NA())</f>
        <v/>
      </c>
      <c r="T25" s="301" t="inlineStr"/>
      <c r="U25" s="301" t="inlineStr"/>
      <c r="V25" s="301" t="inlineStr"/>
      <c r="W25" s="301" t="inlineStr"/>
      <c r="X25" s="302" t="inlineStr"/>
    </row>
    <row r="26">
      <c r="B26" s="184" t="inlineStr">
        <is>
          <t>BELARUS</t>
        </is>
      </c>
      <c r="C26" s="185" t="inlineStr">
        <is>
          <t>BLR</t>
        </is>
      </c>
      <c r="D26" s="185" t="inlineStr">
        <is>
          <t>BY</t>
        </is>
      </c>
      <c r="E26" s="198" t="n">
        <v>22</v>
      </c>
      <c r="F26" s="199" t="inlineStr">
        <is>
          <t>JPSYBYZW Index</t>
        </is>
      </c>
      <c r="G26" s="268">
        <f>IFERROR(IF(F26="",NA(),BDP(F26,"PX_LAST")),NA())</f>
        <v/>
      </c>
      <c r="H26" s="197" t="inlineStr"/>
      <c r="I26" s="268">
        <f>IFERROR(IF(H26="",NA(),BDP(H26,"PX_LAST")),NA())</f>
        <v/>
      </c>
      <c r="J26" s="199" t="inlineStr">
        <is>
          <t>BYGDPYOY Index</t>
        </is>
      </c>
      <c r="K26" s="269">
        <f>IFERROR(IF(J26="",NA(),BDP(J26,"PX_LAST")),NA())</f>
        <v/>
      </c>
      <c r="L26" s="199" t="inlineStr">
        <is>
          <t>BYCPIYOY Index</t>
        </is>
      </c>
      <c r="M26" s="269">
        <f>IFERROR(IF(L26="",NA(),BDP(L26,"PX_LAST")),NA())</f>
        <v/>
      </c>
      <c r="N26" s="197" t="inlineStr"/>
      <c r="O26" s="269">
        <f>IFERROR(IF(N26="",NA(),BDP(N26,"PX_LAST")),NA())</f>
        <v/>
      </c>
      <c r="P26" s="197" t="inlineStr"/>
      <c r="Q26" s="269">
        <f>IFERROR(IF(P26="",NA(),BDP(P26,"PX_LAST")),NA())</f>
        <v/>
      </c>
      <c r="R26" s="197" t="inlineStr"/>
      <c r="S26" s="268">
        <f>IFERROR(IF(R26="",NA(),BDP(R26,"PX_LAST")),NA())</f>
        <v/>
      </c>
      <c r="T26" s="301" t="inlineStr"/>
      <c r="U26" s="301" t="inlineStr"/>
      <c r="V26" s="301" t="inlineStr"/>
      <c r="W26" s="301" t="inlineStr"/>
      <c r="X26" s="302" t="inlineStr"/>
    </row>
    <row r="27">
      <c r="B27" s="176" t="inlineStr">
        <is>
          <t>CROATIA</t>
        </is>
      </c>
      <c r="C27" s="177" t="inlineStr">
        <is>
          <t>HRV</t>
        </is>
      </c>
      <c r="D27" s="177" t="inlineStr">
        <is>
          <t>CR</t>
        </is>
      </c>
      <c r="E27" s="193" t="n">
        <v>9</v>
      </c>
      <c r="F27" s="194" t="inlineStr">
        <is>
          <t>JPSYCRSW Index</t>
        </is>
      </c>
      <c r="G27" s="266">
        <f>IFERROR(IF(F27="",NA(),BDP(F27,"PX_LAST")),NA())</f>
        <v/>
      </c>
      <c r="H27" s="194" t="inlineStr">
        <is>
          <t>CCROAT CDS USD SR 5Y D14 Corp</t>
        </is>
      </c>
      <c r="I27" s="266">
        <f>IFERROR(IF(H27="",NA(),BDP(H27,"PX_LAST")),NA())</f>
        <v/>
      </c>
      <c r="J27" s="194" t="inlineStr">
        <is>
          <t>CRGDPYOY Index</t>
        </is>
      </c>
      <c r="K27" s="267">
        <f>IFERROR(IF(J27="",NA(),BDP(J27,"PX_LAST")),NA())</f>
        <v/>
      </c>
      <c r="L27" s="194" t="inlineStr">
        <is>
          <t>CRCPIYOY Index</t>
        </is>
      </c>
      <c r="M27" s="267">
        <f>IFERROR(IF(L27="",NA(),BDP(L27,"PX_LAST")),NA())</f>
        <v/>
      </c>
      <c r="N27" s="197" t="inlineStr"/>
      <c r="O27" s="267">
        <f>IFERROR(IF(N27="",NA(),BDP(N27,"PX_LAST")),NA())</f>
        <v/>
      </c>
      <c r="P27" s="197" t="inlineStr"/>
      <c r="Q27" s="267">
        <f>IFERROR(IF(P27="",NA(),BDP(P27,"PX_LAST")),NA())</f>
        <v/>
      </c>
      <c r="R27" s="197" t="inlineStr"/>
      <c r="S27" s="266">
        <f>IFERROR(IF(R27="",NA(),BDP(R27,"PX_LAST")),NA())</f>
        <v/>
      </c>
      <c r="T27" s="301" t="inlineStr"/>
      <c r="U27" s="301" t="inlineStr"/>
      <c r="V27" s="301" t="inlineStr"/>
      <c r="W27" s="301" t="inlineStr"/>
      <c r="X27" s="302" t="inlineStr"/>
    </row>
    <row r="28">
      <c r="B28" s="184" t="inlineStr">
        <is>
          <t>GEORGIA</t>
        </is>
      </c>
      <c r="C28" s="185" t="inlineStr">
        <is>
          <t>GEO</t>
        </is>
      </c>
      <c r="D28" s="185" t="inlineStr">
        <is>
          <t>GE</t>
        </is>
      </c>
      <c r="E28" s="198" t="n">
        <v>12</v>
      </c>
      <c r="F28" s="199" t="inlineStr">
        <is>
          <t>JPSYGEZW Index</t>
        </is>
      </c>
      <c r="G28" s="268">
        <f>IFERROR(IF(F28="",NA(),BDP(F28,"PX_LAST")),NA())</f>
        <v/>
      </c>
      <c r="H28" s="197" t="inlineStr"/>
      <c r="I28" s="268">
        <f>IFERROR(IF(H28="",NA(),BDP(H28,"PX_LAST")),NA())</f>
        <v/>
      </c>
      <c r="J28" s="199" t="inlineStr">
        <is>
          <t>GEGDPYOY Index</t>
        </is>
      </c>
      <c r="K28" s="269">
        <f>IFERROR(IF(J28="",NA(),BDP(J28,"PX_LAST")),NA())</f>
        <v/>
      </c>
      <c r="L28" s="199" t="inlineStr">
        <is>
          <t>GECPIYOY Index</t>
        </is>
      </c>
      <c r="M28" s="269">
        <f>IFERROR(IF(L28="",NA(),BDP(L28,"PX_LAST")),NA())</f>
        <v/>
      </c>
      <c r="N28" s="197" t="inlineStr"/>
      <c r="O28" s="269">
        <f>IFERROR(IF(N28="",NA(),BDP(N28,"PX_LAST")),NA())</f>
        <v/>
      </c>
      <c r="P28" s="197" t="inlineStr"/>
      <c r="Q28" s="269">
        <f>IFERROR(IF(P28="",NA(),BDP(P28,"PX_LAST")),NA())</f>
        <v/>
      </c>
      <c r="R28" s="197" t="inlineStr"/>
      <c r="S28" s="268">
        <f>IFERROR(IF(R28="",NA(),BDP(R28,"PX_LAST")),NA())</f>
        <v/>
      </c>
      <c r="T28" s="301" t="inlineStr"/>
      <c r="U28" s="301" t="inlineStr"/>
      <c r="V28" s="301" t="inlineStr"/>
      <c r="W28" s="301" t="inlineStr"/>
      <c r="X28" s="302" t="inlineStr"/>
    </row>
    <row r="29">
      <c r="B29" s="176" t="inlineStr">
        <is>
          <t>HUNGARY</t>
        </is>
      </c>
      <c r="C29" s="177" t="inlineStr">
        <is>
          <t>HUN</t>
        </is>
      </c>
      <c r="D29" s="177" t="inlineStr">
        <is>
          <t>HU</t>
        </is>
      </c>
      <c r="E29" s="193" t="n">
        <v>10</v>
      </c>
      <c r="F29" s="194" t="inlineStr">
        <is>
          <t>JPSYHNZW Index</t>
        </is>
      </c>
      <c r="G29" s="266">
        <f>IFERROR(IF(F29="",NA(),BDP(F29,"PX_LAST")),NA())</f>
        <v/>
      </c>
      <c r="H29" s="194" t="inlineStr">
        <is>
          <t>CHUN CDS USD SR 5Y D14 Corp</t>
        </is>
      </c>
      <c r="I29" s="266">
        <f>IFERROR(IF(H29="",NA(),BDP(H29,"PX_LAST")),NA())</f>
        <v/>
      </c>
      <c r="J29" s="194" t="inlineStr">
        <is>
          <t>HUGDPYOY Index</t>
        </is>
      </c>
      <c r="K29" s="267">
        <f>IFERROR(IF(J29="",NA(),BDP(J29,"PX_LAST")),NA())</f>
        <v/>
      </c>
      <c r="L29" s="194" t="inlineStr">
        <is>
          <t>HUCPIYOY Index</t>
        </is>
      </c>
      <c r="M29" s="267">
        <f>IFERROR(IF(L29="",NA(),BDP(L29,"PX_LAST")),NA())</f>
        <v/>
      </c>
      <c r="N29" s="197" t="inlineStr"/>
      <c r="O29" s="267">
        <f>IFERROR(IF(N29="",NA(),BDP(N29,"PX_LAST")),NA())</f>
        <v/>
      </c>
      <c r="P29" s="194" t="inlineStr">
        <is>
          <t>HUCAR%G Index</t>
        </is>
      </c>
      <c r="Q29" s="267">
        <f>IFERROR(IF(P29="",NA(),BDP(P29,"PX_LAST")),NA())</f>
        <v/>
      </c>
      <c r="R29" s="194" t="inlineStr">
        <is>
          <t>HUIRTOTL Index</t>
        </is>
      </c>
      <c r="S29" s="266">
        <f>IFERROR(IF(R29="",NA(),BDP(R29,"PX_LAST")),NA())</f>
        <v/>
      </c>
      <c r="T29" s="301" t="inlineStr"/>
      <c r="U29" s="301" t="inlineStr"/>
      <c r="V29" s="301" t="inlineStr"/>
      <c r="W29" s="301" t="inlineStr"/>
      <c r="X29" s="302" t="inlineStr"/>
    </row>
    <row r="30">
      <c r="B30" s="184" t="inlineStr">
        <is>
          <t>KAZAKHSTAN</t>
        </is>
      </c>
      <c r="C30" s="185" t="inlineStr">
        <is>
          <t>KAZ</t>
        </is>
      </c>
      <c r="D30" s="185" t="inlineStr">
        <is>
          <t>KZ</t>
        </is>
      </c>
      <c r="E30" s="198" t="n">
        <v>10</v>
      </c>
      <c r="F30" s="199" t="inlineStr">
        <is>
          <t>JPSYKZZW Index</t>
        </is>
      </c>
      <c r="G30" s="268">
        <f>IFERROR(IF(F30="",NA(),BDP(F30,"PX_LAST")),NA())</f>
        <v/>
      </c>
      <c r="H30" s="199" t="inlineStr">
        <is>
          <t>CKAZAKH CDS USD SR 5Y D14 Corp</t>
        </is>
      </c>
      <c r="I30" s="268">
        <f>IFERROR(IF(H30="",NA(),BDP(H30,"PX_LAST")),NA())</f>
        <v/>
      </c>
      <c r="J30" s="199" t="inlineStr">
        <is>
          <t>KZGDPYOY Index</t>
        </is>
      </c>
      <c r="K30" s="269">
        <f>IFERROR(IF(J30="",NA(),BDP(J30,"PX_LAST")),NA())</f>
        <v/>
      </c>
      <c r="L30" s="199" t="inlineStr">
        <is>
          <t>KZCPIYOY Index</t>
        </is>
      </c>
      <c r="M30" s="269">
        <f>IFERROR(IF(L30="",NA(),BDP(L30,"PX_LAST")),NA())</f>
        <v/>
      </c>
      <c r="N30" s="197" t="inlineStr"/>
      <c r="O30" s="269">
        <f>IFERROR(IF(N30="",NA(),BDP(N30,"PX_LAST")),NA())</f>
        <v/>
      </c>
      <c r="P30" s="197" t="inlineStr"/>
      <c r="Q30" s="269">
        <f>IFERROR(IF(P30="",NA(),BDP(P30,"PX_LAST")),NA())</f>
        <v/>
      </c>
      <c r="R30" s="199" t="inlineStr">
        <is>
          <t>KZIRTOTL Index</t>
        </is>
      </c>
      <c r="S30" s="268">
        <f>IFERROR(IF(R30="",NA(),BDP(R30,"PX_LAST")),NA())</f>
        <v/>
      </c>
      <c r="T30" s="301" t="inlineStr"/>
      <c r="U30" s="301" t="inlineStr"/>
      <c r="V30" s="301" t="inlineStr"/>
      <c r="W30" s="301" t="inlineStr"/>
      <c r="X30" s="302" t="inlineStr"/>
    </row>
    <row r="31">
      <c r="B31" s="176" t="inlineStr">
        <is>
          <t>LATVIA</t>
        </is>
      </c>
      <c r="C31" s="177" t="inlineStr">
        <is>
          <t>LVA</t>
        </is>
      </c>
      <c r="D31" s="177" t="inlineStr">
        <is>
          <t>LV</t>
        </is>
      </c>
      <c r="E31" s="193" t="n">
        <v>7</v>
      </c>
      <c r="F31" s="194" t="inlineStr">
        <is>
          <t>JPSYLVZW Index</t>
        </is>
      </c>
      <c r="G31" s="266">
        <f>IFERROR(IF(F31="",NA(),BDP(F31,"PX_LAST")),NA())</f>
        <v/>
      </c>
      <c r="H31" s="194" t="inlineStr">
        <is>
          <t>CLATVIA CDS USD SR 5Y D14 Corp</t>
        </is>
      </c>
      <c r="I31" s="266">
        <f>IFERROR(IF(H31="",NA(),BDP(H31,"PX_LAST")),NA())</f>
        <v/>
      </c>
      <c r="J31" s="194" t="inlineStr">
        <is>
          <t>LVGDPYOY Index</t>
        </is>
      </c>
      <c r="K31" s="267">
        <f>IFERROR(IF(J31="",NA(),BDP(J31,"PX_LAST")),NA())</f>
        <v/>
      </c>
      <c r="L31" s="194" t="inlineStr">
        <is>
          <t>LVCPIYOY Index</t>
        </is>
      </c>
      <c r="M31" s="267">
        <f>IFERROR(IF(L31="",NA(),BDP(L31,"PX_LAST")),NA())</f>
        <v/>
      </c>
      <c r="N31" s="197" t="inlineStr"/>
      <c r="O31" s="267">
        <f>IFERROR(IF(N31="",NA(),BDP(N31,"PX_LAST")),NA())</f>
        <v/>
      </c>
      <c r="P31" s="197" t="inlineStr"/>
      <c r="Q31" s="267">
        <f>IFERROR(IF(P31="",NA(),BDP(P31,"PX_LAST")),NA())</f>
        <v/>
      </c>
      <c r="R31" s="197" t="inlineStr"/>
      <c r="S31" s="266">
        <f>IFERROR(IF(R31="",NA(),BDP(R31,"PX_LAST")),NA())</f>
        <v/>
      </c>
      <c r="T31" s="301" t="inlineStr"/>
      <c r="U31" s="301" t="inlineStr"/>
      <c r="V31" s="301" t="inlineStr"/>
      <c r="W31" s="301" t="inlineStr"/>
      <c r="X31" s="302" t="inlineStr"/>
    </row>
    <row r="32">
      <c r="B32" s="184" t="inlineStr">
        <is>
          <t>LITHUANIA</t>
        </is>
      </c>
      <c r="C32" s="185" t="inlineStr">
        <is>
          <t>LTU</t>
        </is>
      </c>
      <c r="D32" s="185" t="inlineStr">
        <is>
          <t>LT</t>
        </is>
      </c>
      <c r="E32" s="198" t="n">
        <v>6</v>
      </c>
      <c r="F32" s="199" t="inlineStr">
        <is>
          <t>JPSYLIZW Index</t>
        </is>
      </c>
      <c r="G32" s="268">
        <f>IFERROR(IF(F32="",NA(),BDP(F32,"PX_LAST")),NA())</f>
        <v/>
      </c>
      <c r="H32" s="199" t="inlineStr">
        <is>
          <t>CLITHUN CDS USD SR 5Y D14 Corp</t>
        </is>
      </c>
      <c r="I32" s="268">
        <f>IFERROR(IF(H32="",NA(),BDP(H32,"PX_LAST")),NA())</f>
        <v/>
      </c>
      <c r="J32" s="199" t="inlineStr">
        <is>
          <t>LTGDPYOY Index</t>
        </is>
      </c>
      <c r="K32" s="269">
        <f>IFERROR(IF(J32="",NA(),BDP(J32,"PX_LAST")),NA())</f>
        <v/>
      </c>
      <c r="L32" s="199" t="inlineStr">
        <is>
          <t>LTCPIYOY Index</t>
        </is>
      </c>
      <c r="M32" s="269">
        <f>IFERROR(IF(L32="",NA(),BDP(L32,"PX_LAST")),NA())</f>
        <v/>
      </c>
      <c r="N32" s="197" t="inlineStr"/>
      <c r="O32" s="269">
        <f>IFERROR(IF(N32="",NA(),BDP(N32,"PX_LAST")),NA())</f>
        <v/>
      </c>
      <c r="P32" s="197" t="inlineStr"/>
      <c r="Q32" s="269">
        <f>IFERROR(IF(P32="",NA(),BDP(P32,"PX_LAST")),NA())</f>
        <v/>
      </c>
      <c r="R32" s="197" t="inlineStr"/>
      <c r="S32" s="268">
        <f>IFERROR(IF(R32="",NA(),BDP(R32,"PX_LAST")),NA())</f>
        <v/>
      </c>
      <c r="T32" s="301" t="inlineStr"/>
      <c r="U32" s="301" t="inlineStr"/>
      <c r="V32" s="301" t="inlineStr"/>
      <c r="W32" s="301" t="inlineStr"/>
      <c r="X32" s="302" t="inlineStr"/>
    </row>
    <row r="33">
      <c r="B33" s="176" t="inlineStr">
        <is>
          <t>NORTH MACEDONIA</t>
        </is>
      </c>
      <c r="C33" s="177" t="inlineStr">
        <is>
          <t>MKD</t>
        </is>
      </c>
      <c r="D33" s="177" t="inlineStr">
        <is>
          <t>MK</t>
        </is>
      </c>
      <c r="E33" s="193" t="n">
        <v>13</v>
      </c>
      <c r="F33" s="194" t="inlineStr">
        <is>
          <t>JPSYMKZW Index</t>
        </is>
      </c>
      <c r="G33" s="266">
        <f>IFERROR(IF(F33="",NA(),BDP(F33,"PX_LAST")),NA())</f>
        <v/>
      </c>
      <c r="H33" s="197" t="inlineStr"/>
      <c r="I33" s="266">
        <f>IFERROR(IF(H33="",NA(),BDP(H33,"PX_LAST")),NA())</f>
        <v/>
      </c>
      <c r="J33" s="197" t="inlineStr"/>
      <c r="K33" s="267">
        <f>IFERROR(IF(J33="",NA(),BDP(J33,"PX_LAST")),NA())</f>
        <v/>
      </c>
      <c r="L33" s="197" t="inlineStr"/>
      <c r="M33" s="267">
        <f>IFERROR(IF(L33="",NA(),BDP(L33,"PX_LAST")),NA())</f>
        <v/>
      </c>
      <c r="N33" s="197" t="inlineStr"/>
      <c r="O33" s="267">
        <f>IFERROR(IF(N33="",NA(),BDP(N33,"PX_LAST")),NA())</f>
        <v/>
      </c>
      <c r="P33" s="197" t="inlineStr"/>
      <c r="Q33" s="267">
        <f>IFERROR(IF(P33="",NA(),BDP(P33,"PX_LAST")),NA())</f>
        <v/>
      </c>
      <c r="R33" s="197" t="inlineStr"/>
      <c r="S33" s="266">
        <f>IFERROR(IF(R33="",NA(),BDP(R33,"PX_LAST")),NA())</f>
        <v/>
      </c>
      <c r="T33" s="301" t="inlineStr"/>
      <c r="U33" s="301" t="inlineStr"/>
      <c r="V33" s="301" t="inlineStr"/>
      <c r="W33" s="301" t="inlineStr"/>
      <c r="X33" s="302" t="inlineStr"/>
    </row>
    <row r="34">
      <c r="B34" s="184" t="inlineStr">
        <is>
          <t>POLAND</t>
        </is>
      </c>
      <c r="C34" s="185" t="inlineStr">
        <is>
          <t>POL</t>
        </is>
      </c>
      <c r="D34" s="185" t="inlineStr">
        <is>
          <t>PL</t>
        </is>
      </c>
      <c r="E34" s="198" t="n">
        <v>7</v>
      </c>
      <c r="F34" s="199" t="inlineStr">
        <is>
          <t>JPSYPOSW Index</t>
        </is>
      </c>
      <c r="G34" s="268">
        <f>IFERROR(IF(F34="",NA(),BDP(F34,"PX_LAST")),NA())</f>
        <v/>
      </c>
      <c r="H34" s="199" t="inlineStr">
        <is>
          <t>CPOLAND CDS USD SR 5Y D14 Corp</t>
        </is>
      </c>
      <c r="I34" s="268">
        <f>IFERROR(IF(H34="",NA(),BDP(H34,"PX_LAST")),NA())</f>
        <v/>
      </c>
      <c r="J34" s="199" t="inlineStr">
        <is>
          <t>POGDPYOY Index</t>
        </is>
      </c>
      <c r="K34" s="269">
        <f>IFERROR(IF(J34="",NA(),BDP(J34,"PX_LAST")),NA())</f>
        <v/>
      </c>
      <c r="L34" s="199" t="inlineStr">
        <is>
          <t>POCPIYOY Index</t>
        </is>
      </c>
      <c r="M34" s="269">
        <f>IFERROR(IF(L34="",NA(),BDP(L34,"PX_LAST")),NA())</f>
        <v/>
      </c>
      <c r="N34" s="197" t="inlineStr"/>
      <c r="O34" s="269">
        <f>IFERROR(IF(N34="",NA(),BDP(N34,"PX_LAST")),NA())</f>
        <v/>
      </c>
      <c r="P34" s="199" t="inlineStr">
        <is>
          <t>POCAR%G Index</t>
        </is>
      </c>
      <c r="Q34" s="269">
        <f>IFERROR(IF(P34="",NA(),BDP(P34,"PX_LAST")),NA())</f>
        <v/>
      </c>
      <c r="R34" s="199" t="inlineStr">
        <is>
          <t>POIRTOTL Index</t>
        </is>
      </c>
      <c r="S34" s="268">
        <f>IFERROR(IF(R34="",NA(),BDP(R34,"PX_LAST")),NA())</f>
        <v/>
      </c>
      <c r="T34" s="301" t="inlineStr"/>
      <c r="U34" s="301" t="inlineStr"/>
      <c r="V34" s="301" t="inlineStr"/>
      <c r="W34" s="301" t="inlineStr"/>
      <c r="X34" s="302" t="inlineStr"/>
    </row>
    <row r="35">
      <c r="B35" s="176" t="inlineStr">
        <is>
          <t>ROMANIA</t>
        </is>
      </c>
      <c r="C35" s="177" t="inlineStr">
        <is>
          <t>ROU</t>
        </is>
      </c>
      <c r="D35" s="177" t="inlineStr">
        <is>
          <t>RM</t>
        </is>
      </c>
      <c r="E35" s="193" t="n">
        <v>10</v>
      </c>
      <c r="F35" s="194" t="inlineStr">
        <is>
          <t>JPSYROZW Index</t>
        </is>
      </c>
      <c r="G35" s="266">
        <f>IFERROR(IF(F35="",NA(),BDP(F35,"PX_LAST")),NA())</f>
        <v/>
      </c>
      <c r="H35" s="194" t="inlineStr">
        <is>
          <t>CROMAN CDS USD SR 5Y D14 Corp</t>
        </is>
      </c>
      <c r="I35" s="266">
        <f>IFERROR(IF(H35="",NA(),BDP(H35,"PX_LAST")),NA())</f>
        <v/>
      </c>
      <c r="J35" s="194" t="inlineStr">
        <is>
          <t>RMGDPYOY Index</t>
        </is>
      </c>
      <c r="K35" s="267">
        <f>IFERROR(IF(J35="",NA(),BDP(J35,"PX_LAST")),NA())</f>
        <v/>
      </c>
      <c r="L35" s="194" t="inlineStr">
        <is>
          <t>RMCPIYOY Index</t>
        </is>
      </c>
      <c r="M35" s="267">
        <f>IFERROR(IF(L35="",NA(),BDP(L35,"PX_LAST")),NA())</f>
        <v/>
      </c>
      <c r="N35" s="197" t="inlineStr"/>
      <c r="O35" s="267">
        <f>IFERROR(IF(N35="",NA(),BDP(N35,"PX_LAST")),NA())</f>
        <v/>
      </c>
      <c r="P35" s="194" t="inlineStr">
        <is>
          <t>RMCAR%G Index</t>
        </is>
      </c>
      <c r="Q35" s="267">
        <f>IFERROR(IF(P35="",NA(),BDP(P35,"PX_LAST")),NA())</f>
        <v/>
      </c>
      <c r="R35" s="194" t="inlineStr">
        <is>
          <t>RMIRTOTL Index</t>
        </is>
      </c>
      <c r="S35" s="266">
        <f>IFERROR(IF(R35="",NA(),BDP(R35,"PX_LAST")),NA())</f>
        <v/>
      </c>
      <c r="T35" s="301" t="inlineStr"/>
      <c r="U35" s="301" t="inlineStr"/>
      <c r="V35" s="301" t="inlineStr"/>
      <c r="W35" s="301" t="inlineStr"/>
      <c r="X35" s="302" t="inlineStr"/>
    </row>
    <row r="36">
      <c r="B36" s="184" t="inlineStr">
        <is>
          <t>RUSSIAN FEDERATION</t>
        </is>
      </c>
      <c r="C36" s="185" t="inlineStr">
        <is>
          <t>RUS</t>
        </is>
      </c>
      <c r="D36" s="185" t="inlineStr">
        <is>
          <t>RU</t>
        </is>
      </c>
      <c r="E36" s="198" t="n">
        <v>22</v>
      </c>
      <c r="F36" s="199" t="inlineStr">
        <is>
          <t>JPSYRUZW Index</t>
        </is>
      </c>
      <c r="G36" s="268">
        <f>IFERROR(IF(F36="",NA(),BDP(F36,"PX_LAST")),NA())</f>
        <v/>
      </c>
      <c r="H36" s="199" t="inlineStr">
        <is>
          <t>CRUSS CDS USD SR 5Y D14 Corp</t>
        </is>
      </c>
      <c r="I36" s="268">
        <f>IFERROR(IF(H36="",NA(),BDP(H36,"PX_LAST")),NA())</f>
        <v/>
      </c>
      <c r="J36" s="199" t="inlineStr">
        <is>
          <t>RUGDPYOY Index</t>
        </is>
      </c>
      <c r="K36" s="269">
        <f>IFERROR(IF(J36="",NA(),BDP(J36,"PX_LAST")),NA())</f>
        <v/>
      </c>
      <c r="L36" s="199" t="inlineStr">
        <is>
          <t>RUCPIYOY Index</t>
        </is>
      </c>
      <c r="M36" s="269">
        <f>IFERROR(IF(L36="",NA(),BDP(L36,"PX_LAST")),NA())</f>
        <v/>
      </c>
      <c r="N36" s="197" t="inlineStr"/>
      <c r="O36" s="269">
        <f>IFERROR(IF(N36="",NA(),BDP(N36,"PX_LAST")),NA())</f>
        <v/>
      </c>
      <c r="P36" s="197" t="inlineStr"/>
      <c r="Q36" s="269">
        <f>IFERROR(IF(P36="",NA(),BDP(P36,"PX_LAST")),NA())</f>
        <v/>
      </c>
      <c r="R36" s="199" t="inlineStr">
        <is>
          <t>RUIRTOTL Index</t>
        </is>
      </c>
      <c r="S36" s="268">
        <f>IFERROR(IF(R36="",NA(),BDP(R36,"PX_LAST")),NA())</f>
        <v/>
      </c>
      <c r="T36" s="301" t="inlineStr"/>
      <c r="U36" s="301" t="inlineStr"/>
      <c r="V36" s="301" t="inlineStr"/>
      <c r="W36" s="301" t="inlineStr"/>
      <c r="X36" s="302" t="inlineStr"/>
    </row>
    <row r="37">
      <c r="B37" s="176" t="inlineStr">
        <is>
          <t>SERBIA</t>
        </is>
      </c>
      <c r="C37" s="177" t="inlineStr">
        <is>
          <t>SRB</t>
        </is>
      </c>
      <c r="D37" s="177" t="inlineStr">
        <is>
          <t>CS</t>
        </is>
      </c>
      <c r="E37" s="193" t="n">
        <v>11</v>
      </c>
      <c r="F37" s="194" t="inlineStr">
        <is>
          <t>JPSYCSZW Index</t>
        </is>
      </c>
      <c r="G37" s="266">
        <f>IFERROR(IF(F37="",NA(),BDP(F37,"PX_LAST")),NA())</f>
        <v/>
      </c>
      <c r="H37" s="194" t="inlineStr">
        <is>
          <t>CSERB CDS USD SR 5Y D14 Corp</t>
        </is>
      </c>
      <c r="I37" s="266">
        <f>IFERROR(IF(H37="",NA(),BDP(H37,"PX_LAST")),NA())</f>
        <v/>
      </c>
      <c r="J37" s="194" t="inlineStr">
        <is>
          <t>CSGDPYOY Index</t>
        </is>
      </c>
      <c r="K37" s="267">
        <f>IFERROR(IF(J37="",NA(),BDP(J37,"PX_LAST")),NA())</f>
        <v/>
      </c>
      <c r="L37" s="194" t="inlineStr">
        <is>
          <t>CSCPIYOY Index</t>
        </is>
      </c>
      <c r="M37" s="267">
        <f>IFERROR(IF(L37="",NA(),BDP(L37,"PX_LAST")),NA())</f>
        <v/>
      </c>
      <c r="N37" s="197" t="inlineStr"/>
      <c r="O37" s="267">
        <f>IFERROR(IF(N37="",NA(),BDP(N37,"PX_LAST")),NA())</f>
        <v/>
      </c>
      <c r="P37" s="197" t="inlineStr"/>
      <c r="Q37" s="267">
        <f>IFERROR(IF(P37="",NA(),BDP(P37,"PX_LAST")),NA())</f>
        <v/>
      </c>
      <c r="R37" s="197" t="inlineStr"/>
      <c r="S37" s="266">
        <f>IFERROR(IF(R37="",NA(),BDP(R37,"PX_LAST")),NA())</f>
        <v/>
      </c>
      <c r="T37" s="301" t="inlineStr"/>
      <c r="U37" s="301" t="inlineStr"/>
      <c r="V37" s="301" t="inlineStr"/>
      <c r="W37" s="301" t="inlineStr"/>
      <c r="X37" s="302" t="inlineStr"/>
    </row>
    <row r="38">
      <c r="B38" s="184" t="inlineStr">
        <is>
          <t>SLOVAKIA</t>
        </is>
      </c>
      <c r="C38" s="185" t="inlineStr">
        <is>
          <t>SVK</t>
        </is>
      </c>
      <c r="D38" s="185" t="inlineStr">
        <is>
          <t>SK</t>
        </is>
      </c>
      <c r="E38" s="198" t="n">
        <v>7</v>
      </c>
      <c r="F38" s="199" t="inlineStr">
        <is>
          <t>JPSYSKZW Index</t>
        </is>
      </c>
      <c r="G38" s="268">
        <f>IFERROR(IF(F38="",NA(),BDP(F38,"PX_LAST")),NA())</f>
        <v/>
      </c>
      <c r="H38" s="199" t="inlineStr">
        <is>
          <t>CSLOVAK CDS USD SR 5Y D14 Corp</t>
        </is>
      </c>
      <c r="I38" s="268">
        <f>IFERROR(IF(H38="",NA(),BDP(H38,"PX_LAST")),NA())</f>
        <v/>
      </c>
      <c r="J38" s="199" t="inlineStr">
        <is>
          <t>SXGDPYOY Index</t>
        </is>
      </c>
      <c r="K38" s="269">
        <f>IFERROR(IF(J38="",NA(),BDP(J38,"PX_LAST")),NA())</f>
        <v/>
      </c>
      <c r="L38" s="199" t="inlineStr">
        <is>
          <t>SXCPIYOY Index</t>
        </is>
      </c>
      <c r="M38" s="269">
        <f>IFERROR(IF(L38="",NA(),BDP(L38,"PX_LAST")),NA())</f>
        <v/>
      </c>
      <c r="N38" s="197" t="inlineStr"/>
      <c r="O38" s="269">
        <f>IFERROR(IF(N38="",NA(),BDP(N38,"PX_LAST")),NA())</f>
        <v/>
      </c>
      <c r="P38" s="197" t="inlineStr"/>
      <c r="Q38" s="269">
        <f>IFERROR(IF(P38="",NA(),BDP(P38,"PX_LAST")),NA())</f>
        <v/>
      </c>
      <c r="R38" s="197" t="inlineStr"/>
      <c r="S38" s="268">
        <f>IFERROR(IF(R38="",NA(),BDP(R38,"PX_LAST")),NA())</f>
        <v/>
      </c>
      <c r="T38" s="301" t="inlineStr"/>
      <c r="U38" s="301" t="inlineStr"/>
      <c r="V38" s="301" t="inlineStr"/>
      <c r="W38" s="301" t="inlineStr"/>
      <c r="X38" s="302" t="inlineStr"/>
    </row>
    <row r="39">
      <c r="B39" s="176" t="inlineStr">
        <is>
          <t>SLOVENIA</t>
        </is>
      </c>
      <c r="C39" s="177" t="inlineStr">
        <is>
          <t>SVN</t>
        </is>
      </c>
      <c r="D39" s="177" t="inlineStr">
        <is>
          <t>SJ</t>
        </is>
      </c>
      <c r="E39" s="193" t="n">
        <v>6</v>
      </c>
      <c r="F39" s="194" t="inlineStr">
        <is>
          <t>JPSYSJZW Index</t>
        </is>
      </c>
      <c r="G39" s="266">
        <f>IFERROR(IF(F39="",NA(),BDP(F39,"PX_LAST")),NA())</f>
        <v/>
      </c>
      <c r="H39" s="194" t="inlineStr">
        <is>
          <t>CSLOVEN CDS USD SR 5Y D14 Corp</t>
        </is>
      </c>
      <c r="I39" s="266">
        <f>IFERROR(IF(H39="",NA(),BDP(H39,"PX_LAST")),NA())</f>
        <v/>
      </c>
      <c r="J39" s="194" t="inlineStr">
        <is>
          <t>SJGDPYOY Index</t>
        </is>
      </c>
      <c r="K39" s="267">
        <f>IFERROR(IF(J39="",NA(),BDP(J39,"PX_LAST")),NA())</f>
        <v/>
      </c>
      <c r="L39" s="194" t="inlineStr">
        <is>
          <t>SJCPIYOY Index</t>
        </is>
      </c>
      <c r="M39" s="267">
        <f>IFERROR(IF(L39="",NA(),BDP(L39,"PX_LAST")),NA())</f>
        <v/>
      </c>
      <c r="N39" s="197" t="inlineStr"/>
      <c r="O39" s="267">
        <f>IFERROR(IF(N39="",NA(),BDP(N39,"PX_LAST")),NA())</f>
        <v/>
      </c>
      <c r="P39" s="197" t="inlineStr"/>
      <c r="Q39" s="267">
        <f>IFERROR(IF(P39="",NA(),BDP(P39,"PX_LAST")),NA())</f>
        <v/>
      </c>
      <c r="R39" s="197" t="inlineStr"/>
      <c r="S39" s="266">
        <f>IFERROR(IF(R39="",NA(),BDP(R39,"PX_LAST")),NA())</f>
        <v/>
      </c>
      <c r="T39" s="301" t="inlineStr"/>
      <c r="U39" s="301" t="inlineStr"/>
      <c r="V39" s="301" t="inlineStr"/>
      <c r="W39" s="301" t="inlineStr"/>
      <c r="X39" s="302" t="inlineStr"/>
    </row>
    <row r="40">
      <c r="B40" s="184" t="inlineStr">
        <is>
          <t>TURKEY</t>
        </is>
      </c>
      <c r="C40" s="185" t="inlineStr">
        <is>
          <t>TUR</t>
        </is>
      </c>
      <c r="D40" s="185" t="inlineStr">
        <is>
          <t>TU</t>
        </is>
      </c>
      <c r="E40" s="198" t="n">
        <v>15</v>
      </c>
      <c r="F40" s="199" t="inlineStr">
        <is>
          <t>JPSYTRZW Index</t>
        </is>
      </c>
      <c r="G40" s="268">
        <f>IFERROR(IF(F40="",NA(),BDP(F40,"PX_LAST")),NA())</f>
        <v/>
      </c>
      <c r="H40" s="199" t="inlineStr">
        <is>
          <t>CTURK CDS USD SR 5Y D14 Corp</t>
        </is>
      </c>
      <c r="I40" s="268">
        <f>IFERROR(IF(H40="",NA(),BDP(H40,"PX_LAST")),NA())</f>
        <v/>
      </c>
      <c r="J40" s="199" t="inlineStr">
        <is>
          <t>TUGDPYOY Index</t>
        </is>
      </c>
      <c r="K40" s="269">
        <f>IFERROR(IF(J40="",NA(),BDP(J40,"PX_LAST")),NA())</f>
        <v/>
      </c>
      <c r="L40" s="199" t="inlineStr">
        <is>
          <t>TUCPIYOY Index</t>
        </is>
      </c>
      <c r="M40" s="269">
        <f>IFERROR(IF(L40="",NA(),BDP(L40,"PX_LAST")),NA())</f>
        <v/>
      </c>
      <c r="N40" s="197" t="inlineStr"/>
      <c r="O40" s="269">
        <f>IFERROR(IF(N40="",NA(),BDP(N40,"PX_LAST")),NA())</f>
        <v/>
      </c>
      <c r="P40" s="199" t="inlineStr">
        <is>
          <t>TUCAR%G Index</t>
        </is>
      </c>
      <c r="Q40" s="269">
        <f>IFERROR(IF(P40="",NA(),BDP(P40,"PX_LAST")),NA())</f>
        <v/>
      </c>
      <c r="R40" s="199" t="inlineStr">
        <is>
          <t>TUIRTOTL Index</t>
        </is>
      </c>
      <c r="S40" s="268">
        <f>IFERROR(IF(R40="",NA(),BDP(R40,"PX_LAST")),NA())</f>
        <v/>
      </c>
      <c r="T40" s="301" t="inlineStr"/>
      <c r="U40" s="301" t="inlineStr"/>
      <c r="V40" s="301" t="inlineStr"/>
      <c r="W40" s="301" t="inlineStr"/>
      <c r="X40" s="302" t="inlineStr"/>
    </row>
    <row r="41">
      <c r="B41" s="176" t="inlineStr">
        <is>
          <t>UKRAINE</t>
        </is>
      </c>
      <c r="C41" s="177" t="inlineStr">
        <is>
          <t>UKR</t>
        </is>
      </c>
      <c r="D41" s="177" t="inlineStr">
        <is>
          <t>UK</t>
        </is>
      </c>
      <c r="E41" s="193" t="n">
        <v>19</v>
      </c>
      <c r="F41" s="194" t="inlineStr">
        <is>
          <t>JPSYUKZW Index</t>
        </is>
      </c>
      <c r="G41" s="266">
        <f>IFERROR(IF(F41="",NA(),BDP(F41,"PX_LAST")),NA())</f>
        <v/>
      </c>
      <c r="H41" s="194" t="inlineStr">
        <is>
          <t>CUKRAIN CDS USD SR 5Y D14 Corp</t>
        </is>
      </c>
      <c r="I41" s="266">
        <f>IFERROR(IF(H41="",NA(),BDP(H41,"PX_LAST")),NA())</f>
        <v/>
      </c>
      <c r="J41" s="194" t="inlineStr">
        <is>
          <t>UKGDPYOY Index</t>
        </is>
      </c>
      <c r="K41" s="267">
        <f>IFERROR(IF(J41="",NA(),BDP(J41,"PX_LAST")),NA())</f>
        <v/>
      </c>
      <c r="L41" s="194" t="inlineStr">
        <is>
          <t>UKCPIYOY Index</t>
        </is>
      </c>
      <c r="M41" s="267">
        <f>IFERROR(IF(L41="",NA(),BDP(L41,"PX_LAST")),NA())</f>
        <v/>
      </c>
      <c r="N41" s="197" t="inlineStr"/>
      <c r="O41" s="267">
        <f>IFERROR(IF(N41="",NA(),BDP(N41,"PX_LAST")),NA())</f>
        <v/>
      </c>
      <c r="P41" s="197" t="inlineStr"/>
      <c r="Q41" s="267">
        <f>IFERROR(IF(P41="",NA(),BDP(P41,"PX_LAST")),NA())</f>
        <v/>
      </c>
      <c r="R41" s="194" t="inlineStr">
        <is>
          <t>UKIRTOTL Index</t>
        </is>
      </c>
      <c r="S41" s="266">
        <f>IFERROR(IF(R41="",NA(),BDP(R41,"PX_LAST")),NA())</f>
        <v/>
      </c>
      <c r="T41" s="301" t="inlineStr"/>
      <c r="U41" s="301" t="inlineStr"/>
      <c r="V41" s="301" t="inlineStr"/>
      <c r="W41" s="301" t="inlineStr"/>
      <c r="X41" s="302" t="inlineStr"/>
    </row>
    <row r="42">
      <c r="B42" s="184" t="inlineStr">
        <is>
          <t>UZBEKISTAN</t>
        </is>
      </c>
      <c r="C42" s="185" t="inlineStr">
        <is>
          <t>UZB</t>
        </is>
      </c>
      <c r="D42" s="185" t="inlineStr">
        <is>
          <t>UZ</t>
        </is>
      </c>
      <c r="E42" s="198" t="n">
        <v>13</v>
      </c>
      <c r="F42" s="199" t="inlineStr">
        <is>
          <t>JPSYUZZW Index</t>
        </is>
      </c>
      <c r="G42" s="268">
        <f>IFERROR(IF(F42="",NA(),BDP(F42,"PX_LAST")),NA())</f>
        <v/>
      </c>
      <c r="H42" s="197" t="inlineStr"/>
      <c r="I42" s="268">
        <f>IFERROR(IF(H42="",NA(),BDP(H42,"PX_LAST")),NA())</f>
        <v/>
      </c>
      <c r="J42" s="197" t="inlineStr"/>
      <c r="K42" s="269">
        <f>IFERROR(IF(J42="",NA(),BDP(J42,"PX_LAST")),NA())</f>
        <v/>
      </c>
      <c r="L42" s="197" t="inlineStr"/>
      <c r="M42" s="269">
        <f>IFERROR(IF(L42="",NA(),BDP(L42,"PX_LAST")),NA())</f>
        <v/>
      </c>
      <c r="N42" s="197" t="inlineStr"/>
      <c r="O42" s="269">
        <f>IFERROR(IF(N42="",NA(),BDP(N42,"PX_LAST")),NA())</f>
        <v/>
      </c>
      <c r="P42" s="197" t="inlineStr"/>
      <c r="Q42" s="269">
        <f>IFERROR(IF(P42="",NA(),BDP(P42,"PX_LAST")),NA())</f>
        <v/>
      </c>
      <c r="R42" s="197" t="inlineStr"/>
      <c r="S42" s="268">
        <f>IFERROR(IF(R42="",NA(),BDP(R42,"PX_LAST")),NA())</f>
        <v/>
      </c>
      <c r="T42" s="301" t="inlineStr"/>
      <c r="U42" s="301" t="inlineStr"/>
      <c r="V42" s="301" t="inlineStr"/>
      <c r="W42" s="301" t="inlineStr"/>
      <c r="X42" s="302" t="inlineStr"/>
    </row>
    <row r="43">
      <c r="B43" s="176" t="inlineStr">
        <is>
          <t>BAHRAIN</t>
        </is>
      </c>
      <c r="C43" s="177" t="inlineStr">
        <is>
          <t>BHR</t>
        </is>
      </c>
      <c r="D43" s="177" t="inlineStr">
        <is>
          <t>BH</t>
        </is>
      </c>
      <c r="E43" s="193" t="n">
        <v>14</v>
      </c>
      <c r="F43" s="194" t="inlineStr">
        <is>
          <t>JPEGBHZW Index</t>
        </is>
      </c>
      <c r="G43" s="266">
        <f>IFERROR(IF(F43="",NA(),BDP(F43,"PX_LAST")),NA())</f>
        <v/>
      </c>
      <c r="H43" s="194" t="inlineStr">
        <is>
          <t>CBHRAIN CDS USD SR 5Y D14 Corp</t>
        </is>
      </c>
      <c r="I43" s="266">
        <f>IFERROR(IF(H43="",NA(),BDP(H43,"PX_LAST")),NA())</f>
        <v/>
      </c>
      <c r="J43" s="197" t="inlineStr"/>
      <c r="K43" s="267">
        <f>IFERROR(IF(J43="",NA(),BDP(J43,"PX_LAST")),NA())</f>
        <v/>
      </c>
      <c r="L43" s="194" t="inlineStr">
        <is>
          <t>BHCPIYOY Index</t>
        </is>
      </c>
      <c r="M43" s="267">
        <f>IFERROR(IF(L43="",NA(),BDP(L43,"PX_LAST")),NA())</f>
        <v/>
      </c>
      <c r="N43" s="197" t="inlineStr"/>
      <c r="O43" s="267">
        <f>IFERROR(IF(N43="",NA(),BDP(N43,"PX_LAST")),NA())</f>
        <v/>
      </c>
      <c r="P43" s="197" t="inlineStr"/>
      <c r="Q43" s="267">
        <f>IFERROR(IF(P43="",NA(),BDP(P43,"PX_LAST")),NA())</f>
        <v/>
      </c>
      <c r="R43" s="197" t="inlineStr"/>
      <c r="S43" s="266">
        <f>IFERROR(IF(R43="",NA(),BDP(R43,"PX_LAST")),NA())</f>
        <v/>
      </c>
      <c r="T43" s="301" t="inlineStr"/>
      <c r="U43" s="301" t="inlineStr"/>
      <c r="V43" s="301" t="inlineStr"/>
      <c r="W43" s="301" t="inlineStr"/>
      <c r="X43" s="302" t="inlineStr"/>
    </row>
    <row r="44">
      <c r="B44" s="184" t="inlineStr">
        <is>
          <t>EGYPT</t>
        </is>
      </c>
      <c r="C44" s="185" t="inlineStr">
        <is>
          <t>EGY</t>
        </is>
      </c>
      <c r="D44" s="185" t="inlineStr">
        <is>
          <t>EG</t>
        </is>
      </c>
      <c r="E44" s="198" t="n">
        <v>17</v>
      </c>
      <c r="F44" s="199" t="inlineStr">
        <is>
          <t>JPSYEGZW Index</t>
        </is>
      </c>
      <c r="G44" s="268">
        <f>IFERROR(IF(F44="",NA(),BDP(F44,"PX_LAST")),NA())</f>
        <v/>
      </c>
      <c r="H44" s="199" t="inlineStr">
        <is>
          <t>CEGYPT CDS USD SR 5Y D14 Corp</t>
        </is>
      </c>
      <c r="I44" s="268">
        <f>IFERROR(IF(H44="",NA(),BDP(H44,"PX_LAST")),NA())</f>
        <v/>
      </c>
      <c r="J44" s="199" t="inlineStr">
        <is>
          <t>EGGDPYOY Index</t>
        </is>
      </c>
      <c r="K44" s="269">
        <f>IFERROR(IF(J44="",NA(),BDP(J44,"PX_LAST")),NA())</f>
        <v/>
      </c>
      <c r="L44" s="199" t="inlineStr">
        <is>
          <t>EGCPIYOY Index</t>
        </is>
      </c>
      <c r="M44" s="269">
        <f>IFERROR(IF(L44="",NA(),BDP(L44,"PX_LAST")),NA())</f>
        <v/>
      </c>
      <c r="N44" s="197" t="inlineStr"/>
      <c r="O44" s="269">
        <f>IFERROR(IF(N44="",NA(),BDP(N44,"PX_LAST")),NA())</f>
        <v/>
      </c>
      <c r="P44" s="197" t="inlineStr"/>
      <c r="Q44" s="269">
        <f>IFERROR(IF(P44="",NA(),BDP(P44,"PX_LAST")),NA())</f>
        <v/>
      </c>
      <c r="R44" s="199" t="inlineStr">
        <is>
          <t>EGIRTOTL Index</t>
        </is>
      </c>
      <c r="S44" s="268">
        <f>IFERROR(IF(R44="",NA(),BDP(R44,"PX_LAST")),NA())</f>
        <v/>
      </c>
      <c r="T44" s="301" t="inlineStr"/>
      <c r="U44" s="301" t="inlineStr"/>
      <c r="V44" s="301" t="inlineStr"/>
      <c r="W44" s="301" t="inlineStr"/>
      <c r="X44" s="302" t="inlineStr"/>
    </row>
    <row r="45">
      <c r="B45" s="176" t="inlineStr">
        <is>
          <t>IRAQ</t>
        </is>
      </c>
      <c r="C45" s="177" t="inlineStr">
        <is>
          <t>IRQ</t>
        </is>
      </c>
      <c r="D45" s="177" t="inlineStr">
        <is>
          <t>IQ</t>
        </is>
      </c>
      <c r="E45" s="193" t="n">
        <v>17</v>
      </c>
      <c r="F45" s="194" t="inlineStr">
        <is>
          <t>JPSYIQZW Index</t>
        </is>
      </c>
      <c r="G45" s="266">
        <f>IFERROR(IF(F45="",NA(),BDP(F45,"PX_LAST")),NA())</f>
        <v/>
      </c>
      <c r="H45" s="197" t="inlineStr"/>
      <c r="I45" s="266">
        <f>IFERROR(IF(H45="",NA(),BDP(H45,"PX_LAST")),NA())</f>
        <v/>
      </c>
      <c r="J45" s="197" t="inlineStr"/>
      <c r="K45" s="267">
        <f>IFERROR(IF(J45="",NA(),BDP(J45,"PX_LAST")),NA())</f>
        <v/>
      </c>
      <c r="L45" s="197" t="inlineStr"/>
      <c r="M45" s="267">
        <f>IFERROR(IF(L45="",NA(),BDP(L45,"PX_LAST")),NA())</f>
        <v/>
      </c>
      <c r="N45" s="197" t="inlineStr"/>
      <c r="O45" s="267">
        <f>IFERROR(IF(N45="",NA(),BDP(N45,"PX_LAST")),NA())</f>
        <v/>
      </c>
      <c r="P45" s="197" t="inlineStr"/>
      <c r="Q45" s="267">
        <f>IFERROR(IF(P45="",NA(),BDP(P45,"PX_LAST")),NA())</f>
        <v/>
      </c>
      <c r="R45" s="197" t="inlineStr"/>
      <c r="S45" s="266">
        <f>IFERROR(IF(R45="",NA(),BDP(R45,"PX_LAST")),NA())</f>
        <v/>
      </c>
      <c r="T45" s="301" t="inlineStr"/>
      <c r="U45" s="301" t="inlineStr"/>
      <c r="V45" s="301" t="inlineStr"/>
      <c r="W45" s="301" t="inlineStr"/>
      <c r="X45" s="302" t="inlineStr"/>
    </row>
    <row r="46">
      <c r="B46" s="184" t="inlineStr">
        <is>
          <t>ISRAEL</t>
        </is>
      </c>
      <c r="C46" s="185" t="inlineStr">
        <is>
          <t>ISR</t>
        </is>
      </c>
      <c r="D46" s="185" t="inlineStr">
        <is>
          <t>IL</t>
        </is>
      </c>
      <c r="E46" s="198" t="n">
        <v>6</v>
      </c>
      <c r="F46" s="199" t="inlineStr">
        <is>
          <t>JPSYISZW Index</t>
        </is>
      </c>
      <c r="G46" s="268">
        <f>IFERROR(IF(F46="",NA(),BDP(F46,"PX_LAST")),NA())</f>
        <v/>
      </c>
      <c r="H46" s="199" t="inlineStr">
        <is>
          <t>CISRAEL CDS USD SR 5Y D14 Corp</t>
        </is>
      </c>
      <c r="I46" s="268">
        <f>IFERROR(IF(H46="",NA(),BDP(H46,"PX_LAST")),NA())</f>
        <v/>
      </c>
      <c r="J46" s="199" t="inlineStr">
        <is>
          <t>ISGDPYOY Index</t>
        </is>
      </c>
      <c r="K46" s="269">
        <f>IFERROR(IF(J46="",NA(),BDP(J46,"PX_LAST")),NA())</f>
        <v/>
      </c>
      <c r="L46" s="199" t="inlineStr">
        <is>
          <t>ISCPIYOY Index</t>
        </is>
      </c>
      <c r="M46" s="269">
        <f>IFERROR(IF(L46="",NA(),BDP(L46,"PX_LAST")),NA())</f>
        <v/>
      </c>
      <c r="N46" s="197" t="inlineStr"/>
      <c r="O46" s="269">
        <f>IFERROR(IF(N46="",NA(),BDP(N46,"PX_LAST")),NA())</f>
        <v/>
      </c>
      <c r="P46" s="197" t="inlineStr"/>
      <c r="Q46" s="269">
        <f>IFERROR(IF(P46="",NA(),BDP(P46,"PX_LAST")),NA())</f>
        <v/>
      </c>
      <c r="R46" s="199" t="inlineStr">
        <is>
          <t>ISIRTOTL Index</t>
        </is>
      </c>
      <c r="S46" s="268">
        <f>IFERROR(IF(R46="",NA(),BDP(R46,"PX_LAST")),NA())</f>
        <v/>
      </c>
      <c r="T46" s="301" t="inlineStr"/>
      <c r="U46" s="301" t="inlineStr"/>
      <c r="V46" s="301" t="inlineStr"/>
      <c r="W46" s="301" t="inlineStr"/>
      <c r="X46" s="302" t="inlineStr"/>
    </row>
    <row r="47">
      <c r="B47" s="176" t="inlineStr">
        <is>
          <t>JORDAN</t>
        </is>
      </c>
      <c r="C47" s="177" t="inlineStr">
        <is>
          <t>JOR</t>
        </is>
      </c>
      <c r="D47" s="177" t="inlineStr">
        <is>
          <t>JO</t>
        </is>
      </c>
      <c r="E47" s="193" t="n">
        <v>14</v>
      </c>
      <c r="F47" s="194" t="inlineStr">
        <is>
          <t>JPSYJOZW Index</t>
        </is>
      </c>
      <c r="G47" s="266">
        <f>IFERROR(IF(F47="",NA(),BDP(F47,"PX_LAST")),NA())</f>
        <v/>
      </c>
      <c r="H47" s="194" t="inlineStr">
        <is>
          <t>CJORDAN CDS USD SR 5Y D14 Corp</t>
        </is>
      </c>
      <c r="I47" s="266">
        <f>IFERROR(IF(H47="",NA(),BDP(H47,"PX_LAST")),NA())</f>
        <v/>
      </c>
      <c r="J47" s="197" t="inlineStr"/>
      <c r="K47" s="267">
        <f>IFERROR(IF(J47="",NA(),BDP(J47,"PX_LAST")),NA())</f>
        <v/>
      </c>
      <c r="L47" s="194" t="inlineStr">
        <is>
          <t>JOCPIYOY Index</t>
        </is>
      </c>
      <c r="M47" s="267">
        <f>IFERROR(IF(L47="",NA(),BDP(L47,"PX_LAST")),NA())</f>
        <v/>
      </c>
      <c r="N47" s="197" t="inlineStr"/>
      <c r="O47" s="267">
        <f>IFERROR(IF(N47="",NA(),BDP(N47,"PX_LAST")),NA())</f>
        <v/>
      </c>
      <c r="P47" s="197" t="inlineStr"/>
      <c r="Q47" s="267">
        <f>IFERROR(IF(P47="",NA(),BDP(P47,"PX_LAST")),NA())</f>
        <v/>
      </c>
      <c r="R47" s="197" t="inlineStr"/>
      <c r="S47" s="266">
        <f>IFERROR(IF(R47="",NA(),BDP(R47,"PX_LAST")),NA())</f>
        <v/>
      </c>
      <c r="T47" s="301" t="inlineStr"/>
      <c r="U47" s="301" t="inlineStr"/>
      <c r="V47" s="301" t="inlineStr"/>
      <c r="W47" s="301" t="inlineStr"/>
      <c r="X47" s="302" t="inlineStr"/>
    </row>
    <row r="48">
      <c r="B48" s="184" t="inlineStr">
        <is>
          <t>KUWAIT</t>
        </is>
      </c>
      <c r="C48" s="185" t="inlineStr">
        <is>
          <t>KWT</t>
        </is>
      </c>
      <c r="D48" s="185" t="inlineStr">
        <is>
          <t>KU</t>
        </is>
      </c>
      <c r="E48" s="198" t="n">
        <v>5</v>
      </c>
      <c r="F48" s="199" t="inlineStr">
        <is>
          <t>JPSYKWZW Index</t>
        </is>
      </c>
      <c r="G48" s="268">
        <f>IFERROR(IF(F48="",NA(),BDP(F48,"PX_LAST")),NA())</f>
        <v/>
      </c>
      <c r="H48" s="197" t="inlineStr"/>
      <c r="I48" s="268">
        <f>IFERROR(IF(H48="",NA(),BDP(H48,"PX_LAST")),NA())</f>
        <v/>
      </c>
      <c r="J48" s="197" t="inlineStr"/>
      <c r="K48" s="269">
        <f>IFERROR(IF(J48="",NA(),BDP(J48,"PX_LAST")),NA())</f>
        <v/>
      </c>
      <c r="L48" s="199" t="inlineStr">
        <is>
          <t>KWCPIYOY Index</t>
        </is>
      </c>
      <c r="M48" s="269">
        <f>IFERROR(IF(L48="",NA(),BDP(L48,"PX_LAST")),NA())</f>
        <v/>
      </c>
      <c r="N48" s="197" t="inlineStr"/>
      <c r="O48" s="269">
        <f>IFERROR(IF(N48="",NA(),BDP(N48,"PX_LAST")),NA())</f>
        <v/>
      </c>
      <c r="P48" s="197" t="inlineStr"/>
      <c r="Q48" s="269">
        <f>IFERROR(IF(P48="",NA(),BDP(P48,"PX_LAST")),NA())</f>
        <v/>
      </c>
      <c r="R48" s="197" t="inlineStr"/>
      <c r="S48" s="268">
        <f>IFERROR(IF(R48="",NA(),BDP(R48,"PX_LAST")),NA())</f>
        <v/>
      </c>
      <c r="T48" s="301" t="inlineStr"/>
      <c r="U48" s="301" t="inlineStr"/>
      <c r="V48" s="301" t="inlineStr"/>
      <c r="W48" s="301" t="inlineStr"/>
      <c r="X48" s="302" t="inlineStr"/>
    </row>
    <row r="49">
      <c r="B49" s="176" t="inlineStr">
        <is>
          <t>LEBANON</t>
        </is>
      </c>
      <c r="C49" s="177" t="inlineStr">
        <is>
          <t>LBN</t>
        </is>
      </c>
      <c r="D49" s="177" t="inlineStr">
        <is>
          <t>LB</t>
        </is>
      </c>
      <c r="E49" s="193" t="n">
        <v>22</v>
      </c>
      <c r="F49" s="194" t="inlineStr">
        <is>
          <t>JPSYLEZW Index</t>
        </is>
      </c>
      <c r="G49" s="266">
        <f>IFERROR(IF(F49="",NA(),BDP(F49,"PX_LAST")),NA())</f>
        <v/>
      </c>
      <c r="H49" s="197" t="inlineStr"/>
      <c r="I49" s="266">
        <f>IFERROR(IF(H49="",NA(),BDP(H49,"PX_LAST")),NA())</f>
        <v/>
      </c>
      <c r="J49" s="197" t="inlineStr"/>
      <c r="K49" s="267">
        <f>IFERROR(IF(J49="",NA(),BDP(J49,"PX_LAST")),NA())</f>
        <v/>
      </c>
      <c r="L49" s="194" t="inlineStr">
        <is>
          <t>LECPIYOY Index</t>
        </is>
      </c>
      <c r="M49" s="267">
        <f>IFERROR(IF(L49="",NA(),BDP(L49,"PX_LAST")),NA())</f>
        <v/>
      </c>
      <c r="N49" s="197" t="inlineStr"/>
      <c r="O49" s="267">
        <f>IFERROR(IF(N49="",NA(),BDP(N49,"PX_LAST")),NA())</f>
        <v/>
      </c>
      <c r="P49" s="197" t="inlineStr"/>
      <c r="Q49" s="267">
        <f>IFERROR(IF(P49="",NA(),BDP(P49,"PX_LAST")),NA())</f>
        <v/>
      </c>
      <c r="R49" s="197" t="inlineStr"/>
      <c r="S49" s="266">
        <f>IFERROR(IF(R49="",NA(),BDP(R49,"PX_LAST")),NA())</f>
        <v/>
      </c>
      <c r="T49" s="301" t="inlineStr"/>
      <c r="U49" s="301" t="inlineStr"/>
      <c r="V49" s="301" t="inlineStr"/>
      <c r="W49" s="301" t="inlineStr"/>
      <c r="X49" s="302" t="inlineStr"/>
    </row>
    <row r="50">
      <c r="B50" s="184" t="inlineStr">
        <is>
          <t>MOROCCO</t>
        </is>
      </c>
      <c r="C50" s="185" t="inlineStr">
        <is>
          <t>MAR</t>
        </is>
      </c>
      <c r="D50" s="185" t="inlineStr">
        <is>
          <t>MO</t>
        </is>
      </c>
      <c r="E50" s="198" t="n">
        <v>11</v>
      </c>
      <c r="F50" s="199" t="inlineStr">
        <is>
          <t>JPSYMOZW Index</t>
        </is>
      </c>
      <c r="G50" s="268">
        <f>IFERROR(IF(F50="",NA(),BDP(F50,"PX_LAST")),NA())</f>
        <v/>
      </c>
      <c r="H50" s="199" t="inlineStr">
        <is>
          <t>CMOROC CDS USD SR 5Y D14 Corp</t>
        </is>
      </c>
      <c r="I50" s="268">
        <f>IFERROR(IF(H50="",NA(),BDP(H50,"PX_LAST")),NA())</f>
        <v/>
      </c>
      <c r="J50" s="199" t="inlineStr">
        <is>
          <t>MOGDPYOY Index</t>
        </is>
      </c>
      <c r="K50" s="269">
        <f>IFERROR(IF(J50="",NA(),BDP(J50,"PX_LAST")),NA())</f>
        <v/>
      </c>
      <c r="L50" s="199" t="inlineStr">
        <is>
          <t>MOCPIYOY Index</t>
        </is>
      </c>
      <c r="M50" s="269">
        <f>IFERROR(IF(L50="",NA(),BDP(L50,"PX_LAST")),NA())</f>
        <v/>
      </c>
      <c r="N50" s="197" t="inlineStr"/>
      <c r="O50" s="269">
        <f>IFERROR(IF(N50="",NA(),BDP(N50,"PX_LAST")),NA())</f>
        <v/>
      </c>
      <c r="P50" s="197" t="inlineStr"/>
      <c r="Q50" s="269">
        <f>IFERROR(IF(P50="",NA(),BDP(P50,"PX_LAST")),NA())</f>
        <v/>
      </c>
      <c r="R50" s="199" t="inlineStr">
        <is>
          <t>MOIRTOTL Index</t>
        </is>
      </c>
      <c r="S50" s="268">
        <f>IFERROR(IF(R50="",NA(),BDP(R50,"PX_LAST")),NA())</f>
        <v/>
      </c>
      <c r="T50" s="301" t="inlineStr"/>
      <c r="U50" s="301" t="inlineStr"/>
      <c r="V50" s="301" t="inlineStr"/>
      <c r="W50" s="301" t="inlineStr"/>
      <c r="X50" s="302" t="inlineStr"/>
    </row>
    <row r="51">
      <c r="B51" s="176" t="inlineStr">
        <is>
          <t>OMAN</t>
        </is>
      </c>
      <c r="C51" s="177" t="inlineStr">
        <is>
          <t>OMN</t>
        </is>
      </c>
      <c r="D51" s="177" t="inlineStr">
        <is>
          <t>OM</t>
        </is>
      </c>
      <c r="E51" s="193" t="n">
        <v>11</v>
      </c>
      <c r="F51" s="194" t="inlineStr">
        <is>
          <t>JPSYOMZW Index</t>
        </is>
      </c>
      <c r="G51" s="266">
        <f>IFERROR(IF(F51="",NA(),BDP(F51,"PX_LAST")),NA())</f>
        <v/>
      </c>
      <c r="H51" s="194" t="inlineStr">
        <is>
          <t>COMAN CDS USD SR 5Y D14 Corp</t>
        </is>
      </c>
      <c r="I51" s="266">
        <f>IFERROR(IF(H51="",NA(),BDP(H51,"PX_LAST")),NA())</f>
        <v/>
      </c>
      <c r="J51" s="197" t="inlineStr"/>
      <c r="K51" s="267">
        <f>IFERROR(IF(J51="",NA(),BDP(J51,"PX_LAST")),NA())</f>
        <v/>
      </c>
      <c r="L51" s="194" t="inlineStr">
        <is>
          <t>OMCPIYOY Index</t>
        </is>
      </c>
      <c r="M51" s="267">
        <f>IFERROR(IF(L51="",NA(),BDP(L51,"PX_LAST")),NA())</f>
        <v/>
      </c>
      <c r="N51" s="197" t="inlineStr"/>
      <c r="O51" s="267">
        <f>IFERROR(IF(N51="",NA(),BDP(N51,"PX_LAST")),NA())</f>
        <v/>
      </c>
      <c r="P51" s="197" t="inlineStr"/>
      <c r="Q51" s="267">
        <f>IFERROR(IF(P51="",NA(),BDP(P51,"PX_LAST")),NA())</f>
        <v/>
      </c>
      <c r="R51" s="197" t="inlineStr"/>
      <c r="S51" s="266">
        <f>IFERROR(IF(R51="",NA(),BDP(R51,"PX_LAST")),NA())</f>
        <v/>
      </c>
      <c r="T51" s="301" t="inlineStr"/>
      <c r="U51" s="301" t="inlineStr"/>
      <c r="V51" s="301" t="inlineStr"/>
      <c r="W51" s="301" t="inlineStr"/>
      <c r="X51" s="302" t="inlineStr"/>
    </row>
    <row r="52">
      <c r="B52" s="184" t="inlineStr">
        <is>
          <t>QATAR</t>
        </is>
      </c>
      <c r="C52" s="185" t="inlineStr">
        <is>
          <t>QAT</t>
        </is>
      </c>
      <c r="D52" s="185" t="inlineStr">
        <is>
          <t>QA</t>
        </is>
      </c>
      <c r="E52" s="198" t="n">
        <v>3</v>
      </c>
      <c r="F52" s="199" t="inlineStr">
        <is>
          <t>JPSYQAZW Index</t>
        </is>
      </c>
      <c r="G52" s="268">
        <f>IFERROR(IF(F52="",NA(),BDP(F52,"PX_LAST")),NA())</f>
        <v/>
      </c>
      <c r="H52" s="199" t="inlineStr">
        <is>
          <t>CQATAR CDS USD SR 5Y D14 Corp</t>
        </is>
      </c>
      <c r="I52" s="268">
        <f>IFERROR(IF(H52="",NA(),BDP(H52,"PX_LAST")),NA())</f>
        <v/>
      </c>
      <c r="J52" s="199" t="inlineStr">
        <is>
          <t>QAGDPYOY Index</t>
        </is>
      </c>
      <c r="K52" s="269">
        <f>IFERROR(IF(J52="",NA(),BDP(J52,"PX_LAST")),NA())</f>
        <v/>
      </c>
      <c r="L52" s="199" t="inlineStr">
        <is>
          <t>QACPIYOY Index</t>
        </is>
      </c>
      <c r="M52" s="269">
        <f>IFERROR(IF(L52="",NA(),BDP(L52,"PX_LAST")),NA())</f>
        <v/>
      </c>
      <c r="N52" s="197" t="inlineStr"/>
      <c r="O52" s="269">
        <f>IFERROR(IF(N52="",NA(),BDP(N52,"PX_LAST")),NA())</f>
        <v/>
      </c>
      <c r="P52" s="197" t="inlineStr"/>
      <c r="Q52" s="269">
        <f>IFERROR(IF(P52="",NA(),BDP(P52,"PX_LAST")),NA())</f>
        <v/>
      </c>
      <c r="R52" s="199" t="inlineStr">
        <is>
          <t>QAIRTOTL Index</t>
        </is>
      </c>
      <c r="S52" s="268">
        <f>IFERROR(IF(R52="",NA(),BDP(R52,"PX_LAST")),NA())</f>
        <v/>
      </c>
      <c r="T52" s="301" t="inlineStr"/>
      <c r="U52" s="301" t="inlineStr"/>
      <c r="V52" s="301" t="inlineStr"/>
      <c r="W52" s="301" t="inlineStr"/>
      <c r="X52" s="302" t="inlineStr"/>
    </row>
    <row r="53">
      <c r="B53" s="176" t="inlineStr">
        <is>
          <t>SAUDI ARABIA</t>
        </is>
      </c>
      <c r="C53" s="177" t="inlineStr">
        <is>
          <t>SAU</t>
        </is>
      </c>
      <c r="D53" s="177" t="inlineStr">
        <is>
          <t>AB</t>
        </is>
      </c>
      <c r="E53" s="193" t="n">
        <v>5</v>
      </c>
      <c r="F53" s="194" t="inlineStr">
        <is>
          <t>JPSYSAZW Index</t>
        </is>
      </c>
      <c r="G53" s="266">
        <f>IFERROR(IF(F53="",NA(),BDP(F53,"PX_LAST")),NA())</f>
        <v/>
      </c>
      <c r="H53" s="194" t="inlineStr">
        <is>
          <t>CSAUDI CDS USD SR 5Y D14 Corp</t>
        </is>
      </c>
      <c r="I53" s="266">
        <f>IFERROR(IF(H53="",NA(),BDP(H53,"PX_LAST")),NA())</f>
        <v/>
      </c>
      <c r="J53" s="194" t="inlineStr">
        <is>
          <t>SAGDP_Y Index</t>
        </is>
      </c>
      <c r="K53" s="267">
        <f>IFERROR(IF(J53="",NA(),BDP(J53,"PX_LAST")),NA())</f>
        <v/>
      </c>
      <c r="L53" s="194" t="inlineStr">
        <is>
          <t>SACPIYOY Index</t>
        </is>
      </c>
      <c r="M53" s="267">
        <f>IFERROR(IF(L53="",NA(),BDP(L53,"PX_LAST")),NA())</f>
        <v/>
      </c>
      <c r="N53" s="197" t="inlineStr"/>
      <c r="O53" s="267">
        <f>IFERROR(IF(N53="",NA(),BDP(N53,"PX_LAST")),NA())</f>
        <v/>
      </c>
      <c r="P53" s="197" t="inlineStr"/>
      <c r="Q53" s="267">
        <f>IFERROR(IF(P53="",NA(),BDP(P53,"PX_LAST")),NA())</f>
        <v/>
      </c>
      <c r="R53" s="194" t="inlineStr">
        <is>
          <t>SAINETRS Index</t>
        </is>
      </c>
      <c r="S53" s="266">
        <f>IFERROR(IF(R53="",NA(),BDP(R53,"PX_LAST")),NA())</f>
        <v/>
      </c>
      <c r="T53" s="301" t="inlineStr"/>
      <c r="U53" s="301" t="inlineStr"/>
      <c r="V53" s="301" t="inlineStr"/>
      <c r="W53" s="301" t="inlineStr"/>
      <c r="X53" s="302" t="inlineStr"/>
    </row>
    <row r="54">
      <c r="B54" s="184" t="inlineStr">
        <is>
          <t>TUNISIA</t>
        </is>
      </c>
      <c r="C54" s="185" t="inlineStr">
        <is>
          <t>TUN</t>
        </is>
      </c>
      <c r="D54" s="185" t="inlineStr">
        <is>
          <t>TN</t>
        </is>
      </c>
      <c r="E54" s="198" t="n">
        <v>18</v>
      </c>
      <c r="F54" s="199" t="inlineStr">
        <is>
          <t>JPEGTNZW Index</t>
        </is>
      </c>
      <c r="G54" s="268">
        <f>IFERROR(IF(F54="",NA(),BDP(F54,"PX_LAST")),NA())</f>
        <v/>
      </c>
      <c r="H54" s="197" t="inlineStr"/>
      <c r="I54" s="268">
        <f>IFERROR(IF(H54="",NA(),BDP(H54,"PX_LAST")),NA())</f>
        <v/>
      </c>
      <c r="J54" s="199" t="inlineStr">
        <is>
          <t>TNGDPYOY Index</t>
        </is>
      </c>
      <c r="K54" s="269">
        <f>IFERROR(IF(J54="",NA(),BDP(J54,"PX_LAST")),NA())</f>
        <v/>
      </c>
      <c r="L54" s="199" t="inlineStr">
        <is>
          <t>TNCPIYOY Index</t>
        </is>
      </c>
      <c r="M54" s="269">
        <f>IFERROR(IF(L54="",NA(),BDP(L54,"PX_LAST")),NA())</f>
        <v/>
      </c>
      <c r="N54" s="197" t="inlineStr"/>
      <c r="O54" s="269">
        <f>IFERROR(IF(N54="",NA(),BDP(N54,"PX_LAST")),NA())</f>
        <v/>
      </c>
      <c r="P54" s="197" t="inlineStr"/>
      <c r="Q54" s="269">
        <f>IFERROR(IF(P54="",NA(),BDP(P54,"PX_LAST")),NA())</f>
        <v/>
      </c>
      <c r="R54" s="197" t="inlineStr"/>
      <c r="S54" s="268">
        <f>IFERROR(IF(R54="",NA(),BDP(R54,"PX_LAST")),NA())</f>
        <v/>
      </c>
      <c r="T54" s="301" t="inlineStr"/>
      <c r="U54" s="301" t="inlineStr"/>
      <c r="V54" s="301" t="inlineStr"/>
      <c r="W54" s="301" t="inlineStr"/>
      <c r="X54" s="302" t="inlineStr"/>
    </row>
    <row r="55">
      <c r="B55" s="176" t="inlineStr">
        <is>
          <t>UNITED ARAB EMIRATES</t>
        </is>
      </c>
      <c r="C55" s="177" t="inlineStr">
        <is>
          <t>ARE</t>
        </is>
      </c>
      <c r="D55" s="177" t="inlineStr">
        <is>
          <t>AE</t>
        </is>
      </c>
      <c r="E55" s="193" t="n">
        <v>3</v>
      </c>
      <c r="F55" s="194" t="inlineStr">
        <is>
          <t>JPSYAEZW Index</t>
        </is>
      </c>
      <c r="G55" s="266">
        <f>IFERROR(IF(F55="",NA(),BDP(F55,"PX_LAST")),NA())</f>
        <v/>
      </c>
      <c r="H55" s="194" t="inlineStr">
        <is>
          <t>CABUDH CDS USD SR 5Y D14 Corp</t>
        </is>
      </c>
      <c r="I55" s="266">
        <f>IFERROR(IF(H55="",NA(),BDP(H55,"PX_LAST")),NA())</f>
        <v/>
      </c>
      <c r="J55" s="197" t="inlineStr"/>
      <c r="K55" s="267">
        <f>IFERROR(IF(J55="",NA(),BDP(J55,"PX_LAST")),NA())</f>
        <v/>
      </c>
      <c r="L55" s="194" t="inlineStr">
        <is>
          <t>UACPIYOY Index</t>
        </is>
      </c>
      <c r="M55" s="267">
        <f>IFERROR(IF(L55="",NA(),BDP(L55,"PX_LAST")),NA())</f>
        <v/>
      </c>
      <c r="N55" s="197" t="inlineStr"/>
      <c r="O55" s="267">
        <f>IFERROR(IF(N55="",NA(),BDP(N55,"PX_LAST")),NA())</f>
        <v/>
      </c>
      <c r="P55" s="197" t="inlineStr"/>
      <c r="Q55" s="267">
        <f>IFERROR(IF(P55="",NA(),BDP(P55,"PX_LAST")),NA())</f>
        <v/>
      </c>
      <c r="R55" s="197" t="inlineStr"/>
      <c r="S55" s="266">
        <f>IFERROR(IF(R55="",NA(),BDP(R55,"PX_LAST")),NA())</f>
        <v/>
      </c>
      <c r="T55" s="301" t="inlineStr"/>
      <c r="U55" s="301" t="inlineStr"/>
      <c r="V55" s="301" t="inlineStr"/>
      <c r="W55" s="301" t="inlineStr"/>
      <c r="X55" s="302" t="inlineStr"/>
    </row>
    <row r="56">
      <c r="B56" s="184" t="inlineStr">
        <is>
          <t>ANGOLA</t>
        </is>
      </c>
      <c r="C56" s="185" t="inlineStr">
        <is>
          <t>AGO</t>
        </is>
      </c>
      <c r="D56" s="185" t="inlineStr">
        <is>
          <t>AO</t>
        </is>
      </c>
      <c r="E56" s="198" t="n">
        <v>16</v>
      </c>
      <c r="F56" s="199" t="inlineStr">
        <is>
          <t>JPSYAOZW Index</t>
        </is>
      </c>
      <c r="G56" s="268">
        <f>IFERROR(IF(F56="",NA(),BDP(F56,"PX_LAST")),NA())</f>
        <v/>
      </c>
      <c r="H56" s="197" t="inlineStr"/>
      <c r="I56" s="268">
        <f>IFERROR(IF(H56="",NA(),BDP(H56,"PX_LAST")),NA())</f>
        <v/>
      </c>
      <c r="J56" s="197" t="inlineStr"/>
      <c r="K56" s="269">
        <f>IFERROR(IF(J56="",NA(),BDP(J56,"PX_LAST")),NA())</f>
        <v/>
      </c>
      <c r="L56" s="197" t="inlineStr"/>
      <c r="M56" s="269">
        <f>IFERROR(IF(L56="",NA(),BDP(L56,"PX_LAST")),NA())</f>
        <v/>
      </c>
      <c r="N56" s="197" t="inlineStr"/>
      <c r="O56" s="269">
        <f>IFERROR(IF(N56="",NA(),BDP(N56,"PX_LAST")),NA())</f>
        <v/>
      </c>
      <c r="P56" s="197" t="inlineStr"/>
      <c r="Q56" s="269">
        <f>IFERROR(IF(P56="",NA(),BDP(P56,"PX_LAST")),NA())</f>
        <v/>
      </c>
      <c r="R56" s="197" t="inlineStr"/>
      <c r="S56" s="268">
        <f>IFERROR(IF(R56="",NA(),BDP(R56,"PX_LAST")),NA())</f>
        <v/>
      </c>
      <c r="T56" s="301" t="inlineStr"/>
      <c r="U56" s="301" t="inlineStr"/>
      <c r="V56" s="301" t="inlineStr"/>
      <c r="W56" s="301" t="inlineStr"/>
      <c r="X56" s="302" t="inlineStr"/>
    </row>
    <row r="57">
      <c r="B57" s="176" t="inlineStr">
        <is>
          <t>CAMEROON</t>
        </is>
      </c>
      <c r="C57" s="177" t="inlineStr">
        <is>
          <t>CMR</t>
        </is>
      </c>
      <c r="D57" s="177" t="inlineStr">
        <is>
          <t>CM</t>
        </is>
      </c>
      <c r="E57" s="193" t="n">
        <v>16</v>
      </c>
      <c r="F57" s="194" t="inlineStr">
        <is>
          <t>JPEGCMZW Index</t>
        </is>
      </c>
      <c r="G57" s="266">
        <f>IFERROR(IF(F57="",NA(),BDP(F57,"PX_LAST")),NA())</f>
        <v/>
      </c>
      <c r="H57" s="197" t="inlineStr"/>
      <c r="I57" s="266">
        <f>IFERROR(IF(H57="",NA(),BDP(H57,"PX_LAST")),NA())</f>
        <v/>
      </c>
      <c r="J57" s="197" t="inlineStr"/>
      <c r="K57" s="267">
        <f>IFERROR(IF(J57="",NA(),BDP(J57,"PX_LAST")),NA())</f>
        <v/>
      </c>
      <c r="L57" s="197" t="inlineStr"/>
      <c r="M57" s="267">
        <f>IFERROR(IF(L57="",NA(),BDP(L57,"PX_LAST")),NA())</f>
        <v/>
      </c>
      <c r="N57" s="197" t="inlineStr"/>
      <c r="O57" s="267">
        <f>IFERROR(IF(N57="",NA(),BDP(N57,"PX_LAST")),NA())</f>
        <v/>
      </c>
      <c r="P57" s="197" t="inlineStr"/>
      <c r="Q57" s="267">
        <f>IFERROR(IF(P57="",NA(),BDP(P57,"PX_LAST")),NA())</f>
        <v/>
      </c>
      <c r="R57" s="197" t="inlineStr"/>
      <c r="S57" s="266">
        <f>IFERROR(IF(R57="",NA(),BDP(R57,"PX_LAST")),NA())</f>
        <v/>
      </c>
      <c r="T57" s="301" t="inlineStr"/>
      <c r="U57" s="301" t="inlineStr"/>
      <c r="V57" s="301" t="inlineStr"/>
      <c r="W57" s="301" t="inlineStr"/>
      <c r="X57" s="302" t="inlineStr"/>
    </row>
    <row r="58">
      <c r="B58" s="184" t="inlineStr">
        <is>
          <t>COTE D'IVOIRE</t>
        </is>
      </c>
      <c r="C58" s="185" t="inlineStr">
        <is>
          <t>CIV</t>
        </is>
      </c>
      <c r="D58" s="185" t="inlineStr">
        <is>
          <t>CD</t>
        </is>
      </c>
      <c r="E58" s="198" t="n">
        <v>13</v>
      </c>
      <c r="F58" s="199" t="inlineStr">
        <is>
          <t>JPSYCDZW Index</t>
        </is>
      </c>
      <c r="G58" s="268">
        <f>IFERROR(IF(F58="",NA(),BDP(F58,"PX_LAST")),NA())</f>
        <v/>
      </c>
      <c r="H58" s="197" t="inlineStr"/>
      <c r="I58" s="268">
        <f>IFERROR(IF(H58="",NA(),BDP(H58,"PX_LAST")),NA())</f>
        <v/>
      </c>
      <c r="J58" s="197" t="inlineStr"/>
      <c r="K58" s="269">
        <f>IFERROR(IF(J58="",NA(),BDP(J58,"PX_LAST")),NA())</f>
        <v/>
      </c>
      <c r="L58" s="197" t="inlineStr"/>
      <c r="M58" s="269">
        <f>IFERROR(IF(L58="",NA(),BDP(L58,"PX_LAST")),NA())</f>
        <v/>
      </c>
      <c r="N58" s="197" t="inlineStr"/>
      <c r="O58" s="269">
        <f>IFERROR(IF(N58="",NA(),BDP(N58,"PX_LAST")),NA())</f>
        <v/>
      </c>
      <c r="P58" s="197" t="inlineStr"/>
      <c r="Q58" s="269">
        <f>IFERROR(IF(P58="",NA(),BDP(P58,"PX_LAST")),NA())</f>
        <v/>
      </c>
      <c r="R58" s="197" t="inlineStr"/>
      <c r="S58" s="268">
        <f>IFERROR(IF(R58="",NA(),BDP(R58,"PX_LAST")),NA())</f>
        <v/>
      </c>
      <c r="T58" s="301" t="inlineStr"/>
      <c r="U58" s="301" t="inlineStr"/>
      <c r="V58" s="301" t="inlineStr"/>
      <c r="W58" s="301" t="inlineStr"/>
      <c r="X58" s="302" t="inlineStr"/>
    </row>
    <row r="59">
      <c r="B59" s="176" t="inlineStr">
        <is>
          <t>ETHIOPIA</t>
        </is>
      </c>
      <c r="C59" s="177" t="inlineStr">
        <is>
          <t>ETH</t>
        </is>
      </c>
      <c r="D59" s="177" t="inlineStr">
        <is>
          <t>ET</t>
        </is>
      </c>
      <c r="E59" s="193" t="n">
        <v>21</v>
      </c>
      <c r="F59" s="194" t="inlineStr">
        <is>
          <t>JPEGETZW Index</t>
        </is>
      </c>
      <c r="G59" s="266">
        <f>IFERROR(IF(F59="",NA(),BDP(F59,"PX_LAST")),NA())</f>
        <v/>
      </c>
      <c r="H59" s="197" t="inlineStr"/>
      <c r="I59" s="266">
        <f>IFERROR(IF(H59="",NA(),BDP(H59,"PX_LAST")),NA())</f>
        <v/>
      </c>
      <c r="J59" s="197" t="inlineStr"/>
      <c r="K59" s="267">
        <f>IFERROR(IF(J59="",NA(),BDP(J59,"PX_LAST")),NA())</f>
        <v/>
      </c>
      <c r="L59" s="197" t="inlineStr"/>
      <c r="M59" s="267">
        <f>IFERROR(IF(L59="",NA(),BDP(L59,"PX_LAST")),NA())</f>
        <v/>
      </c>
      <c r="N59" s="197" t="inlineStr"/>
      <c r="O59" s="267">
        <f>IFERROR(IF(N59="",NA(),BDP(N59,"PX_LAST")),NA())</f>
        <v/>
      </c>
      <c r="P59" s="197" t="inlineStr"/>
      <c r="Q59" s="267">
        <f>IFERROR(IF(P59="",NA(),BDP(P59,"PX_LAST")),NA())</f>
        <v/>
      </c>
      <c r="R59" s="197" t="inlineStr"/>
      <c r="S59" s="266">
        <f>IFERROR(IF(R59="",NA(),BDP(R59,"PX_LAST")),NA())</f>
        <v/>
      </c>
      <c r="T59" s="301" t="inlineStr"/>
      <c r="U59" s="301" t="inlineStr"/>
      <c r="V59" s="301" t="inlineStr"/>
      <c r="W59" s="301" t="inlineStr"/>
      <c r="X59" s="302" t="inlineStr"/>
    </row>
    <row r="60">
      <c r="B60" s="184" t="inlineStr">
        <is>
          <t>GABON</t>
        </is>
      </c>
      <c r="C60" s="185" t="inlineStr">
        <is>
          <t>GAB</t>
        </is>
      </c>
      <c r="D60" s="185" t="inlineStr">
        <is>
          <t>GA</t>
        </is>
      </c>
      <c r="E60" s="198" t="n">
        <v>17</v>
      </c>
      <c r="F60" s="199" t="inlineStr">
        <is>
          <t>JPSYGAZW Index</t>
        </is>
      </c>
      <c r="G60" s="268">
        <f>IFERROR(IF(F60="",NA(),BDP(F60,"PX_LAST")),NA())</f>
        <v/>
      </c>
      <c r="H60" s="197" t="inlineStr"/>
      <c r="I60" s="268">
        <f>IFERROR(IF(H60="",NA(),BDP(H60,"PX_LAST")),NA())</f>
        <v/>
      </c>
      <c r="J60" s="197" t="inlineStr"/>
      <c r="K60" s="269">
        <f>IFERROR(IF(J60="",NA(),BDP(J60,"PX_LAST")),NA())</f>
        <v/>
      </c>
      <c r="L60" s="197" t="inlineStr"/>
      <c r="M60" s="269">
        <f>IFERROR(IF(L60="",NA(),BDP(L60,"PX_LAST")),NA())</f>
        <v/>
      </c>
      <c r="N60" s="197" t="inlineStr"/>
      <c r="O60" s="269">
        <f>IFERROR(IF(N60="",NA(),BDP(N60,"PX_LAST")),NA())</f>
        <v/>
      </c>
      <c r="P60" s="197" t="inlineStr"/>
      <c r="Q60" s="269">
        <f>IFERROR(IF(P60="",NA(),BDP(P60,"PX_LAST")),NA())</f>
        <v/>
      </c>
      <c r="R60" s="197" t="inlineStr"/>
      <c r="S60" s="268">
        <f>IFERROR(IF(R60="",NA(),BDP(R60,"PX_LAST")),NA())</f>
        <v/>
      </c>
      <c r="T60" s="301" t="inlineStr"/>
      <c r="U60" s="301" t="inlineStr"/>
      <c r="V60" s="301" t="inlineStr"/>
      <c r="W60" s="301" t="inlineStr"/>
      <c r="X60" s="302" t="inlineStr"/>
    </row>
    <row r="61">
      <c r="B61" s="176" t="inlineStr">
        <is>
          <t>GHANA</t>
        </is>
      </c>
      <c r="C61" s="177" t="inlineStr">
        <is>
          <t>GHA</t>
        </is>
      </c>
      <c r="D61" s="177" t="inlineStr">
        <is>
          <t>GH</t>
        </is>
      </c>
      <c r="E61" s="193" t="n">
        <v>21</v>
      </c>
      <c r="F61" s="194" t="inlineStr">
        <is>
          <t>JPSYGHZW Index</t>
        </is>
      </c>
      <c r="G61" s="266">
        <f>IFERROR(IF(F61="",NA(),BDP(F61,"PX_LAST")),NA())</f>
        <v/>
      </c>
      <c r="H61" s="197" t="inlineStr"/>
      <c r="I61" s="266">
        <f>IFERROR(IF(H61="",NA(),BDP(H61,"PX_LAST")),NA())</f>
        <v/>
      </c>
      <c r="J61" s="194" t="inlineStr">
        <is>
          <t>GHGDPYOY Index</t>
        </is>
      </c>
      <c r="K61" s="267">
        <f>IFERROR(IF(J61="",NA(),BDP(J61,"PX_LAST")),NA())</f>
        <v/>
      </c>
      <c r="L61" s="194" t="inlineStr">
        <is>
          <t>GHCPIYOY Index</t>
        </is>
      </c>
      <c r="M61" s="267">
        <f>IFERROR(IF(L61="",NA(),BDP(L61,"PX_LAST")),NA())</f>
        <v/>
      </c>
      <c r="N61" s="197" t="inlineStr"/>
      <c r="O61" s="267">
        <f>IFERROR(IF(N61="",NA(),BDP(N61,"PX_LAST")),NA())</f>
        <v/>
      </c>
      <c r="P61" s="197" t="inlineStr"/>
      <c r="Q61" s="267">
        <f>IFERROR(IF(P61="",NA(),BDP(P61,"PX_LAST")),NA())</f>
        <v/>
      </c>
      <c r="R61" s="197" t="inlineStr"/>
      <c r="S61" s="266">
        <f>IFERROR(IF(R61="",NA(),BDP(R61,"PX_LAST")),NA())</f>
        <v/>
      </c>
      <c r="T61" s="301" t="inlineStr"/>
      <c r="U61" s="301" t="inlineStr"/>
      <c r="V61" s="301" t="inlineStr"/>
      <c r="W61" s="301" t="inlineStr"/>
      <c r="X61" s="302" t="inlineStr"/>
    </row>
    <row r="62">
      <c r="B62" s="184" t="inlineStr">
        <is>
          <t>KENYA</t>
        </is>
      </c>
      <c r="C62" s="185" t="inlineStr">
        <is>
          <t>KEN</t>
        </is>
      </c>
      <c r="D62" s="185" t="inlineStr">
        <is>
          <t>KE</t>
        </is>
      </c>
      <c r="E62" s="198" t="n">
        <v>16</v>
      </c>
      <c r="F62" s="199" t="inlineStr">
        <is>
          <t>JPEGKEZW Index</t>
        </is>
      </c>
      <c r="G62" s="268">
        <f>IFERROR(IF(F62="",NA(),BDP(F62,"PX_LAST")),NA())</f>
        <v/>
      </c>
      <c r="H62" s="197" t="inlineStr"/>
      <c r="I62" s="268">
        <f>IFERROR(IF(H62="",NA(),BDP(H62,"PX_LAST")),NA())</f>
        <v/>
      </c>
      <c r="J62" s="199" t="inlineStr">
        <is>
          <t>KEGDPYOY Index</t>
        </is>
      </c>
      <c r="K62" s="269">
        <f>IFERROR(IF(J62="",NA(),BDP(J62,"PX_LAST")),NA())</f>
        <v/>
      </c>
      <c r="L62" s="199" t="inlineStr">
        <is>
          <t>KECPIYOY Index</t>
        </is>
      </c>
      <c r="M62" s="269">
        <f>IFERROR(IF(L62="",NA(),BDP(L62,"PX_LAST")),NA())</f>
        <v/>
      </c>
      <c r="N62" s="197" t="inlineStr"/>
      <c r="O62" s="269">
        <f>IFERROR(IF(N62="",NA(),BDP(N62,"PX_LAST")),NA())</f>
        <v/>
      </c>
      <c r="P62" s="197" t="inlineStr"/>
      <c r="Q62" s="269">
        <f>IFERROR(IF(P62="",NA(),BDP(P62,"PX_LAST")),NA())</f>
        <v/>
      </c>
      <c r="R62" s="197" t="inlineStr"/>
      <c r="S62" s="268">
        <f>IFERROR(IF(R62="",NA(),BDP(R62,"PX_LAST")),NA())</f>
        <v/>
      </c>
      <c r="T62" s="301" t="inlineStr"/>
      <c r="U62" s="301" t="inlineStr"/>
      <c r="V62" s="301" t="inlineStr"/>
      <c r="W62" s="301" t="inlineStr"/>
      <c r="X62" s="302" t="inlineStr"/>
    </row>
    <row r="63">
      <c r="B63" s="176" t="inlineStr">
        <is>
          <t>MOZAMBIQUE</t>
        </is>
      </c>
      <c r="C63" s="177" t="inlineStr">
        <is>
          <t>MOZ</t>
        </is>
      </c>
      <c r="D63" s="177" t="inlineStr">
        <is>
          <t>MZ</t>
        </is>
      </c>
      <c r="E63" s="193" t="n">
        <v>18</v>
      </c>
      <c r="F63" s="194" t="inlineStr">
        <is>
          <t>JPSYMZZW Index</t>
        </is>
      </c>
      <c r="G63" s="266">
        <f>IFERROR(IF(F63="",NA(),BDP(F63,"PX_LAST")),NA())</f>
        <v/>
      </c>
      <c r="H63" s="197" t="inlineStr"/>
      <c r="I63" s="266">
        <f>IFERROR(IF(H63="",NA(),BDP(H63,"PX_LAST")),NA())</f>
        <v/>
      </c>
      <c r="J63" s="197" t="inlineStr"/>
      <c r="K63" s="267">
        <f>IFERROR(IF(J63="",NA(),BDP(J63,"PX_LAST")),NA())</f>
        <v/>
      </c>
      <c r="L63" s="197" t="inlineStr"/>
      <c r="M63" s="267">
        <f>IFERROR(IF(L63="",NA(),BDP(L63,"PX_LAST")),NA())</f>
        <v/>
      </c>
      <c r="N63" s="197" t="inlineStr"/>
      <c r="O63" s="267">
        <f>IFERROR(IF(N63="",NA(),BDP(N63,"PX_LAST")),NA())</f>
        <v/>
      </c>
      <c r="P63" s="197" t="inlineStr"/>
      <c r="Q63" s="267">
        <f>IFERROR(IF(P63="",NA(),BDP(P63,"PX_LAST")),NA())</f>
        <v/>
      </c>
      <c r="R63" s="197" t="inlineStr"/>
      <c r="S63" s="266">
        <f>IFERROR(IF(R63="",NA(),BDP(R63,"PX_LAST")),NA())</f>
        <v/>
      </c>
      <c r="T63" s="301" t="inlineStr"/>
      <c r="U63" s="301" t="inlineStr"/>
      <c r="V63" s="301" t="inlineStr"/>
      <c r="W63" s="301" t="inlineStr"/>
      <c r="X63" s="302" t="inlineStr"/>
    </row>
    <row r="64">
      <c r="B64" s="184" t="inlineStr">
        <is>
          <t>NAMIBIA</t>
        </is>
      </c>
      <c r="C64" s="185" t="inlineStr">
        <is>
          <t>NAM</t>
        </is>
      </c>
      <c r="D64" s="185" t="inlineStr">
        <is>
          <t>NB</t>
        </is>
      </c>
      <c r="E64" s="198" t="n">
        <v>13</v>
      </c>
      <c r="F64" s="199" t="inlineStr">
        <is>
          <t>JPSYNBZW Index</t>
        </is>
      </c>
      <c r="G64" s="268">
        <f>IFERROR(IF(F64="",NA(),BDP(F64,"PX_LAST")),NA())</f>
        <v/>
      </c>
      <c r="H64" s="197" t="inlineStr"/>
      <c r="I64" s="268">
        <f>IFERROR(IF(H64="",NA(),BDP(H64,"PX_LAST")),NA())</f>
        <v/>
      </c>
      <c r="J64" s="197" t="inlineStr"/>
      <c r="K64" s="269">
        <f>IFERROR(IF(J64="",NA(),BDP(J64,"PX_LAST")),NA())</f>
        <v/>
      </c>
      <c r="L64" s="197" t="inlineStr"/>
      <c r="M64" s="269">
        <f>IFERROR(IF(L64="",NA(),BDP(L64,"PX_LAST")),NA())</f>
        <v/>
      </c>
      <c r="N64" s="197" t="inlineStr"/>
      <c r="O64" s="269">
        <f>IFERROR(IF(N64="",NA(),BDP(N64,"PX_LAST")),NA())</f>
        <v/>
      </c>
      <c r="P64" s="197" t="inlineStr"/>
      <c r="Q64" s="269">
        <f>IFERROR(IF(P64="",NA(),BDP(P64,"PX_LAST")),NA())</f>
        <v/>
      </c>
      <c r="R64" s="197" t="inlineStr"/>
      <c r="S64" s="268">
        <f>IFERROR(IF(R64="",NA(),BDP(R64,"PX_LAST")),NA())</f>
        <v/>
      </c>
      <c r="T64" s="301" t="inlineStr"/>
      <c r="U64" s="301" t="inlineStr"/>
      <c r="V64" s="301" t="inlineStr"/>
      <c r="W64" s="301" t="inlineStr"/>
      <c r="X64" s="302" t="inlineStr"/>
    </row>
    <row r="65">
      <c r="B65" s="176" t="inlineStr">
        <is>
          <t>NIGERIA</t>
        </is>
      </c>
      <c r="C65" s="177" t="inlineStr">
        <is>
          <t>NGA</t>
        </is>
      </c>
      <c r="D65" s="177" t="inlineStr">
        <is>
          <t>NG</t>
        </is>
      </c>
      <c r="E65" s="193" t="n">
        <v>17</v>
      </c>
      <c r="F65" s="194" t="inlineStr">
        <is>
          <t>JPSYNIZW Index</t>
        </is>
      </c>
      <c r="G65" s="266">
        <f>IFERROR(IF(F65="",NA(),BDP(F65,"PX_LAST")),NA())</f>
        <v/>
      </c>
      <c r="H65" s="197" t="inlineStr"/>
      <c r="I65" s="266">
        <f>IFERROR(IF(H65="",NA(),BDP(H65,"PX_LAST")),NA())</f>
        <v/>
      </c>
      <c r="J65" s="194" t="inlineStr">
        <is>
          <t>NGGDPYOY Index</t>
        </is>
      </c>
      <c r="K65" s="267">
        <f>IFERROR(IF(J65="",NA(),BDP(J65,"PX_LAST")),NA())</f>
        <v/>
      </c>
      <c r="L65" s="194" t="inlineStr">
        <is>
          <t>NGCPIYOY Index</t>
        </is>
      </c>
      <c r="M65" s="267">
        <f>IFERROR(IF(L65="",NA(),BDP(L65,"PX_LAST")),NA())</f>
        <v/>
      </c>
      <c r="N65" s="197" t="inlineStr"/>
      <c r="O65" s="267">
        <f>IFERROR(IF(N65="",NA(),BDP(N65,"PX_LAST")),NA())</f>
        <v/>
      </c>
      <c r="P65" s="197" t="inlineStr"/>
      <c r="Q65" s="267">
        <f>IFERROR(IF(P65="",NA(),BDP(P65,"PX_LAST")),NA())</f>
        <v/>
      </c>
      <c r="R65" s="194" t="inlineStr">
        <is>
          <t>NGIRTOTL Index</t>
        </is>
      </c>
      <c r="S65" s="266">
        <f>IFERROR(IF(R65="",NA(),BDP(R65,"PX_LAST")),NA())</f>
        <v/>
      </c>
      <c r="T65" s="301" t="inlineStr"/>
      <c r="U65" s="301" t="inlineStr"/>
      <c r="V65" s="301" t="inlineStr"/>
      <c r="W65" s="301" t="inlineStr"/>
      <c r="X65" s="302" t="inlineStr"/>
    </row>
    <row r="66">
      <c r="B66" s="184" t="inlineStr">
        <is>
          <t>RWANDA</t>
        </is>
      </c>
      <c r="C66" s="185" t="inlineStr">
        <is>
          <t>RWA</t>
        </is>
      </c>
      <c r="D66" s="185" t="inlineStr">
        <is>
          <t>RW</t>
        </is>
      </c>
      <c r="E66" s="198" t="n">
        <v>15</v>
      </c>
      <c r="F66" s="199" t="inlineStr">
        <is>
          <t>JPSYRWZW Index</t>
        </is>
      </c>
      <c r="G66" s="268">
        <f>IFERROR(IF(F66="",NA(),BDP(F66,"PX_LAST")),NA())</f>
        <v/>
      </c>
      <c r="H66" s="197" t="inlineStr"/>
      <c r="I66" s="268">
        <f>IFERROR(IF(H66="",NA(),BDP(H66,"PX_LAST")),NA())</f>
        <v/>
      </c>
      <c r="J66" s="197" t="inlineStr"/>
      <c r="K66" s="269">
        <f>IFERROR(IF(J66="",NA(),BDP(J66,"PX_LAST")),NA())</f>
        <v/>
      </c>
      <c r="L66" s="197" t="inlineStr"/>
      <c r="M66" s="269">
        <f>IFERROR(IF(L66="",NA(),BDP(L66,"PX_LAST")),NA())</f>
        <v/>
      </c>
      <c r="N66" s="197" t="inlineStr"/>
      <c r="O66" s="269">
        <f>IFERROR(IF(N66="",NA(),BDP(N66,"PX_LAST")),NA())</f>
        <v/>
      </c>
      <c r="P66" s="197" t="inlineStr"/>
      <c r="Q66" s="269">
        <f>IFERROR(IF(P66="",NA(),BDP(P66,"PX_LAST")),NA())</f>
        <v/>
      </c>
      <c r="R66" s="197" t="inlineStr"/>
      <c r="S66" s="268">
        <f>IFERROR(IF(R66="",NA(),BDP(R66,"PX_LAST")),NA())</f>
        <v/>
      </c>
      <c r="T66" s="301" t="inlineStr"/>
      <c r="U66" s="301" t="inlineStr"/>
      <c r="V66" s="301" t="inlineStr"/>
      <c r="W66" s="301" t="inlineStr"/>
      <c r="X66" s="302" t="inlineStr"/>
    </row>
    <row r="67">
      <c r="B67" s="176" t="inlineStr">
        <is>
          <t>SENEGAL</t>
        </is>
      </c>
      <c r="C67" s="177" t="inlineStr">
        <is>
          <t>SEN</t>
        </is>
      </c>
      <c r="D67" s="177" t="inlineStr">
        <is>
          <t>SN</t>
        </is>
      </c>
      <c r="E67" s="193" t="n">
        <v>14</v>
      </c>
      <c r="F67" s="194" t="inlineStr">
        <is>
          <t>JPSYSNZW Index</t>
        </is>
      </c>
      <c r="G67" s="266">
        <f>IFERROR(IF(F67="",NA(),BDP(F67,"PX_LAST")),NA())</f>
        <v/>
      </c>
      <c r="H67" s="197" t="inlineStr"/>
      <c r="I67" s="266">
        <f>IFERROR(IF(H67="",NA(),BDP(H67,"PX_LAST")),NA())</f>
        <v/>
      </c>
      <c r="J67" s="197" t="inlineStr"/>
      <c r="K67" s="267">
        <f>IFERROR(IF(J67="",NA(),BDP(J67,"PX_LAST")),NA())</f>
        <v/>
      </c>
      <c r="L67" s="197" t="inlineStr"/>
      <c r="M67" s="267">
        <f>IFERROR(IF(L67="",NA(),BDP(L67,"PX_LAST")),NA())</f>
        <v/>
      </c>
      <c r="N67" s="197" t="inlineStr"/>
      <c r="O67" s="267">
        <f>IFERROR(IF(N67="",NA(),BDP(N67,"PX_LAST")),NA())</f>
        <v/>
      </c>
      <c r="P67" s="197" t="inlineStr"/>
      <c r="Q67" s="267">
        <f>IFERROR(IF(P67="",NA(),BDP(P67,"PX_LAST")),NA())</f>
        <v/>
      </c>
      <c r="R67" s="197" t="inlineStr"/>
      <c r="S67" s="266">
        <f>IFERROR(IF(R67="",NA(),BDP(R67,"PX_LAST")),NA())</f>
        <v/>
      </c>
      <c r="T67" s="301" t="inlineStr"/>
      <c r="U67" s="301" t="inlineStr"/>
      <c r="V67" s="301" t="inlineStr"/>
      <c r="W67" s="301" t="inlineStr"/>
      <c r="X67" s="302" t="inlineStr"/>
    </row>
    <row r="68">
      <c r="B68" s="184" t="inlineStr">
        <is>
          <t>SOUTH AFRICA</t>
        </is>
      </c>
      <c r="C68" s="185" t="inlineStr">
        <is>
          <t>ZAF</t>
        </is>
      </c>
      <c r="D68" s="185" t="inlineStr">
        <is>
          <t>SA</t>
        </is>
      </c>
      <c r="E68" s="198" t="n">
        <v>13</v>
      </c>
      <c r="F68" s="199" t="inlineStr">
        <is>
          <t>JPSYSAZW Index</t>
        </is>
      </c>
      <c r="G68" s="268">
        <f>IFERROR(IF(F68="",NA(),BDP(F68,"PX_LAST")),NA())</f>
        <v/>
      </c>
      <c r="H68" s="199" t="inlineStr">
        <is>
          <t>CSOAF CDS USD SR 5Y D14 Corp</t>
        </is>
      </c>
      <c r="I68" s="268">
        <f>IFERROR(IF(H68="",NA(),BDP(H68,"PX_LAST")),NA())</f>
        <v/>
      </c>
      <c r="J68" s="199" t="inlineStr">
        <is>
          <t>SAGDPYOY Index</t>
        </is>
      </c>
      <c r="K68" s="269">
        <f>IFERROR(IF(J68="",NA(),BDP(J68,"PX_LAST")),NA())</f>
        <v/>
      </c>
      <c r="L68" s="199" t="inlineStr">
        <is>
          <t>SACPIYOY Index</t>
        </is>
      </c>
      <c r="M68" s="269">
        <f>IFERROR(IF(L68="",NA(),BDP(L68,"PX_LAST")),NA())</f>
        <v/>
      </c>
      <c r="N68" s="197" t="inlineStr"/>
      <c r="O68" s="269">
        <f>IFERROR(IF(N68="",NA(),BDP(N68,"PX_LAST")),NA())</f>
        <v/>
      </c>
      <c r="P68" s="199" t="inlineStr">
        <is>
          <t>SACAR%G Index</t>
        </is>
      </c>
      <c r="Q68" s="269">
        <f>IFERROR(IF(P68="",NA(),BDP(P68,"PX_LAST")),NA())</f>
        <v/>
      </c>
      <c r="R68" s="199" t="inlineStr">
        <is>
          <t>SAIRTOTL Index</t>
        </is>
      </c>
      <c r="S68" s="268">
        <f>IFERROR(IF(R68="",NA(),BDP(R68,"PX_LAST")),NA())</f>
        <v/>
      </c>
      <c r="T68" s="301" t="inlineStr"/>
      <c r="U68" s="301" t="inlineStr"/>
      <c r="V68" s="301" t="inlineStr"/>
      <c r="W68" s="301" t="inlineStr"/>
      <c r="X68" s="302" t="inlineStr"/>
    </row>
    <row r="69">
      <c r="B69" s="176" t="inlineStr">
        <is>
          <t>ZAMBIA</t>
        </is>
      </c>
      <c r="C69" s="177" t="inlineStr">
        <is>
          <t>ZMB</t>
        </is>
      </c>
      <c r="D69" s="177" t="inlineStr">
        <is>
          <t>ZM</t>
        </is>
      </c>
      <c r="E69" s="193" t="n">
        <v>19</v>
      </c>
      <c r="F69" s="194" t="inlineStr">
        <is>
          <t>JPSYZMZW Index</t>
        </is>
      </c>
      <c r="G69" s="266">
        <f>IFERROR(IF(F69="",NA(),BDP(F69,"PX_LAST")),NA())</f>
        <v/>
      </c>
      <c r="H69" s="197" t="inlineStr"/>
      <c r="I69" s="266">
        <f>IFERROR(IF(H69="",NA(),BDP(H69,"PX_LAST")),NA())</f>
        <v/>
      </c>
      <c r="J69" s="197" t="inlineStr"/>
      <c r="K69" s="267">
        <f>IFERROR(IF(J69="",NA(),BDP(J69,"PX_LAST")),NA())</f>
        <v/>
      </c>
      <c r="L69" s="197" t="inlineStr"/>
      <c r="M69" s="267">
        <f>IFERROR(IF(L69="",NA(),BDP(L69,"PX_LAST")),NA())</f>
        <v/>
      </c>
      <c r="N69" s="197" t="inlineStr"/>
      <c r="O69" s="267">
        <f>IFERROR(IF(N69="",NA(),BDP(N69,"PX_LAST")),NA())</f>
        <v/>
      </c>
      <c r="P69" s="197" t="inlineStr"/>
      <c r="Q69" s="267">
        <f>IFERROR(IF(P69="",NA(),BDP(P69,"PX_LAST")),NA())</f>
        <v/>
      </c>
      <c r="R69" s="197" t="inlineStr"/>
      <c r="S69" s="266">
        <f>IFERROR(IF(R69="",NA(),BDP(R69,"PX_LAST")),NA())</f>
        <v/>
      </c>
      <c r="T69" s="301" t="inlineStr"/>
      <c r="U69" s="301" t="inlineStr"/>
      <c r="V69" s="301" t="inlineStr"/>
      <c r="W69" s="301" t="inlineStr"/>
      <c r="X69" s="302" t="inlineStr"/>
    </row>
    <row r="70">
      <c r="B70" s="184" t="inlineStr">
        <is>
          <t>CHINA</t>
        </is>
      </c>
      <c r="C70" s="185" t="inlineStr">
        <is>
          <t>CHN</t>
        </is>
      </c>
      <c r="D70" s="185" t="inlineStr">
        <is>
          <t>CN</t>
        </is>
      </c>
      <c r="E70" s="198" t="n">
        <v>5</v>
      </c>
      <c r="F70" s="199" t="inlineStr">
        <is>
          <t>JPSYCNZW Index</t>
        </is>
      </c>
      <c r="G70" s="268">
        <f>IFERROR(IF(F70="",NA(),BDP(F70,"PX_LAST")),NA())</f>
        <v/>
      </c>
      <c r="H70" s="199" t="inlineStr">
        <is>
          <t>CCHINA CDS USD SR 5Y D14 Corp</t>
        </is>
      </c>
      <c r="I70" s="268">
        <f>IFERROR(IF(H70="",NA(),BDP(H70,"PX_LAST")),NA())</f>
        <v/>
      </c>
      <c r="J70" s="199" t="inlineStr">
        <is>
          <t>CNGDPYOY Index</t>
        </is>
      </c>
      <c r="K70" s="269">
        <f>IFERROR(IF(J70="",NA(),BDP(J70,"PX_LAST")),NA())</f>
        <v/>
      </c>
      <c r="L70" s="199" t="inlineStr">
        <is>
          <t>CNCPIYOY Index</t>
        </is>
      </c>
      <c r="M70" s="269">
        <f>IFERROR(IF(L70="",NA(),BDP(L70,"PX_LAST")),NA())</f>
        <v/>
      </c>
      <c r="N70" s="197" t="inlineStr"/>
      <c r="O70" s="269">
        <f>IFERROR(IF(N70="",NA(),BDP(N70,"PX_LAST")),NA())</f>
        <v/>
      </c>
      <c r="P70" s="199" t="inlineStr">
        <is>
          <t>CHBPCAB Index</t>
        </is>
      </c>
      <c r="Q70" s="269">
        <f>IFERROR(IF(P70="",NA(),BDP(P70,"PX_LAST")),NA())</f>
        <v/>
      </c>
      <c r="R70" s="199" t="inlineStr">
        <is>
          <t>CHIRTOTL Index</t>
        </is>
      </c>
      <c r="S70" s="268">
        <f>IFERROR(IF(R70="",NA(),BDP(R70,"PX_LAST")),NA())</f>
        <v/>
      </c>
      <c r="T70" s="301" t="inlineStr"/>
      <c r="U70" s="301" t="inlineStr"/>
      <c r="V70" s="301" t="inlineStr"/>
      <c r="W70" s="301" t="inlineStr"/>
      <c r="X70" s="302" t="inlineStr"/>
    </row>
    <row r="71">
      <c r="B71" s="176" t="inlineStr">
        <is>
          <t>INDONESIA</t>
        </is>
      </c>
      <c r="C71" s="177" t="inlineStr">
        <is>
          <t>IDN</t>
        </is>
      </c>
      <c r="D71" s="177" t="inlineStr">
        <is>
          <t>ID</t>
        </is>
      </c>
      <c r="E71" s="193" t="n">
        <v>10</v>
      </c>
      <c r="F71" s="194" t="inlineStr">
        <is>
          <t>JPSYIDZW Index</t>
        </is>
      </c>
      <c r="G71" s="266">
        <f>IFERROR(IF(F71="",NA(),BDP(F71,"PX_LAST")),NA())</f>
        <v/>
      </c>
      <c r="H71" s="194" t="inlineStr">
        <is>
          <t>CINDON CDS USD SR 5Y D14 Corp</t>
        </is>
      </c>
      <c r="I71" s="266">
        <f>IFERROR(IF(H71="",NA(),BDP(H71,"PX_LAST")),NA())</f>
        <v/>
      </c>
      <c r="J71" s="194" t="inlineStr">
        <is>
          <t>IDGDPYOY Index</t>
        </is>
      </c>
      <c r="K71" s="267">
        <f>IFERROR(IF(J71="",NA(),BDP(J71,"PX_LAST")),NA())</f>
        <v/>
      </c>
      <c r="L71" s="194" t="inlineStr">
        <is>
          <t>IDCPIY Index</t>
        </is>
      </c>
      <c r="M71" s="267">
        <f>IFERROR(IF(L71="",NA(),BDP(L71,"PX_LAST")),NA())</f>
        <v/>
      </c>
      <c r="N71" s="197" t="inlineStr"/>
      <c r="O71" s="267">
        <f>IFERROR(IF(N71="",NA(),BDP(N71,"PX_LAST")),NA())</f>
        <v/>
      </c>
      <c r="P71" s="194" t="inlineStr">
        <is>
          <t>IDCAR%G Index</t>
        </is>
      </c>
      <c r="Q71" s="267">
        <f>IFERROR(IF(P71="",NA(),BDP(P71,"PX_LAST")),NA())</f>
        <v/>
      </c>
      <c r="R71" s="194" t="inlineStr">
        <is>
          <t>IDIRTOTL Index</t>
        </is>
      </c>
      <c r="S71" s="266">
        <f>IFERROR(IF(R71="",NA(),BDP(R71,"PX_LAST")),NA())</f>
        <v/>
      </c>
      <c r="T71" s="301" t="inlineStr"/>
      <c r="U71" s="301" t="inlineStr"/>
      <c r="V71" s="301" t="inlineStr"/>
      <c r="W71" s="301" t="inlineStr"/>
      <c r="X71" s="302" t="inlineStr"/>
    </row>
    <row r="72">
      <c r="B72" s="184" t="inlineStr">
        <is>
          <t>KOREA</t>
        </is>
      </c>
      <c r="C72" s="185" t="inlineStr">
        <is>
          <t>KOR</t>
        </is>
      </c>
      <c r="D72" s="185" t="inlineStr">
        <is>
          <t>KO</t>
        </is>
      </c>
      <c r="E72" s="198" t="n">
        <v>3</v>
      </c>
      <c r="F72" s="199" t="inlineStr">
        <is>
          <t>JPSYKOZW Index</t>
        </is>
      </c>
      <c r="G72" s="268">
        <f>IFERROR(IF(F72="",NA(),BDP(F72,"PX_LAST")),NA())</f>
        <v/>
      </c>
      <c r="H72" s="199" t="inlineStr">
        <is>
          <t>CKOREA CDS USD SR 5Y D14 Corp</t>
        </is>
      </c>
      <c r="I72" s="268">
        <f>IFERROR(IF(H72="",NA(),BDP(H72,"PX_LAST")),NA())</f>
        <v/>
      </c>
      <c r="J72" s="199" t="inlineStr">
        <is>
          <t>KOGDPYOY Index</t>
        </is>
      </c>
      <c r="K72" s="269">
        <f>IFERROR(IF(J72="",NA(),BDP(J72,"PX_LAST")),NA())</f>
        <v/>
      </c>
      <c r="L72" s="199" t="inlineStr">
        <is>
          <t>KOCPIYOY Index</t>
        </is>
      </c>
      <c r="M72" s="269">
        <f>IFERROR(IF(L72="",NA(),BDP(L72,"PX_LAST")),NA())</f>
        <v/>
      </c>
      <c r="N72" s="197" t="inlineStr"/>
      <c r="O72" s="269">
        <f>IFERROR(IF(N72="",NA(),BDP(N72,"PX_LAST")),NA())</f>
        <v/>
      </c>
      <c r="P72" s="199" t="inlineStr">
        <is>
          <t>KOCAR%G Index</t>
        </is>
      </c>
      <c r="Q72" s="269">
        <f>IFERROR(IF(P72="",NA(),BDP(P72,"PX_LAST")),NA())</f>
        <v/>
      </c>
      <c r="R72" s="199" t="inlineStr">
        <is>
          <t>KOIRTOTL Index</t>
        </is>
      </c>
      <c r="S72" s="268">
        <f>IFERROR(IF(R72="",NA(),BDP(R72,"PX_LAST")),NA())</f>
        <v/>
      </c>
      <c r="T72" s="301" t="inlineStr"/>
      <c r="U72" s="301" t="inlineStr"/>
      <c r="V72" s="301" t="inlineStr"/>
      <c r="W72" s="301" t="inlineStr"/>
      <c r="X72" s="302" t="inlineStr"/>
    </row>
    <row r="73">
      <c r="B73" s="176" t="inlineStr">
        <is>
          <t>MONGOLIA</t>
        </is>
      </c>
      <c r="C73" s="177" t="inlineStr">
        <is>
          <t>MNG</t>
        </is>
      </c>
      <c r="D73" s="177" t="inlineStr">
        <is>
          <t>MN</t>
        </is>
      </c>
      <c r="E73" s="193" t="n">
        <v>15</v>
      </c>
      <c r="F73" s="194" t="inlineStr">
        <is>
          <t>JPSYMNZW Index</t>
        </is>
      </c>
      <c r="G73" s="266">
        <f>IFERROR(IF(F73="",NA(),BDP(F73,"PX_LAST")),NA())</f>
        <v/>
      </c>
      <c r="H73" s="197" t="inlineStr"/>
      <c r="I73" s="266">
        <f>IFERROR(IF(H73="",NA(),BDP(H73,"PX_LAST")),NA())</f>
        <v/>
      </c>
      <c r="J73" s="197" t="inlineStr"/>
      <c r="K73" s="267">
        <f>IFERROR(IF(J73="",NA(),BDP(J73,"PX_LAST")),NA())</f>
        <v/>
      </c>
      <c r="L73" s="194" t="inlineStr">
        <is>
          <t>MNCPIYOY Index</t>
        </is>
      </c>
      <c r="M73" s="267">
        <f>IFERROR(IF(L73="",NA(),BDP(L73,"PX_LAST")),NA())</f>
        <v/>
      </c>
      <c r="N73" s="197" t="inlineStr"/>
      <c r="O73" s="267">
        <f>IFERROR(IF(N73="",NA(),BDP(N73,"PX_LAST")),NA())</f>
        <v/>
      </c>
      <c r="P73" s="197" t="inlineStr"/>
      <c r="Q73" s="267">
        <f>IFERROR(IF(P73="",NA(),BDP(P73,"PX_LAST")),NA())</f>
        <v/>
      </c>
      <c r="R73" s="197" t="inlineStr"/>
      <c r="S73" s="266">
        <f>IFERROR(IF(R73="",NA(),BDP(R73,"PX_LAST")),NA())</f>
        <v/>
      </c>
      <c r="T73" s="301" t="inlineStr"/>
      <c r="U73" s="301" t="inlineStr"/>
      <c r="V73" s="301" t="inlineStr"/>
      <c r="W73" s="301" t="inlineStr"/>
      <c r="X73" s="302" t="inlineStr"/>
    </row>
    <row r="74">
      <c r="B74" s="184" t="inlineStr">
        <is>
          <t>PAKISTAN</t>
        </is>
      </c>
      <c r="C74" s="185" t="inlineStr">
        <is>
          <t>PAK</t>
        </is>
      </c>
      <c r="D74" s="185" t="inlineStr">
        <is>
          <t>PK</t>
        </is>
      </c>
      <c r="E74" s="198" t="n">
        <v>18</v>
      </c>
      <c r="F74" s="199" t="inlineStr">
        <is>
          <t>JPSYPKZW Index</t>
        </is>
      </c>
      <c r="G74" s="268">
        <f>IFERROR(IF(F74="",NA(),BDP(F74,"PX_LAST")),NA())</f>
        <v/>
      </c>
      <c r="H74" s="199" t="inlineStr">
        <is>
          <t>CPAKIST CDS USD SR 5Y D14 Corp</t>
        </is>
      </c>
      <c r="I74" s="268">
        <f>IFERROR(IF(H74="",NA(),BDP(H74,"PX_LAST")),NA())</f>
        <v/>
      </c>
      <c r="J74" s="199" t="inlineStr">
        <is>
          <t>PKGDPYOY Index</t>
        </is>
      </c>
      <c r="K74" s="269">
        <f>IFERROR(IF(J74="",NA(),BDP(J74,"PX_LAST")),NA())</f>
        <v/>
      </c>
      <c r="L74" s="199" t="inlineStr">
        <is>
          <t>PACPIYOY Index</t>
        </is>
      </c>
      <c r="M74" s="269">
        <f>IFERROR(IF(L74="",NA(),BDP(L74,"PX_LAST")),NA())</f>
        <v/>
      </c>
      <c r="N74" s="197" t="inlineStr"/>
      <c r="O74" s="269">
        <f>IFERROR(IF(N74="",NA(),BDP(N74,"PX_LAST")),NA())</f>
        <v/>
      </c>
      <c r="P74" s="197" t="inlineStr"/>
      <c r="Q74" s="269">
        <f>IFERROR(IF(P74="",NA(),BDP(P74,"PX_LAST")),NA())</f>
        <v/>
      </c>
      <c r="R74" s="199" t="inlineStr">
        <is>
          <t>PAIRTOTL Index</t>
        </is>
      </c>
      <c r="S74" s="268">
        <f>IFERROR(IF(R74="",NA(),BDP(R74,"PX_LAST")),NA())</f>
        <v/>
      </c>
      <c r="T74" s="301" t="inlineStr"/>
      <c r="U74" s="301" t="inlineStr"/>
      <c r="V74" s="301" t="inlineStr"/>
      <c r="W74" s="301" t="inlineStr"/>
      <c r="X74" s="302" t="inlineStr"/>
    </row>
    <row r="75">
      <c r="B75" s="176" t="inlineStr">
        <is>
          <t>PHILIPPINES</t>
        </is>
      </c>
      <c r="C75" s="177" t="inlineStr">
        <is>
          <t>PHL</t>
        </is>
      </c>
      <c r="D75" s="177" t="inlineStr">
        <is>
          <t>PH</t>
        </is>
      </c>
      <c r="E75" s="193" t="n">
        <v>9</v>
      </c>
      <c r="F75" s="194" t="inlineStr">
        <is>
          <t>JPSYPHZW Index</t>
        </is>
      </c>
      <c r="G75" s="266">
        <f>IFERROR(IF(F75="",NA(),BDP(F75,"PX_LAST")),NA())</f>
        <v/>
      </c>
      <c r="H75" s="194" t="inlineStr">
        <is>
          <t>CPHILIP CDS USD SR 5Y D14 Corp</t>
        </is>
      </c>
      <c r="I75" s="266">
        <f>IFERROR(IF(H75="",NA(),BDP(H75,"PX_LAST")),NA())</f>
        <v/>
      </c>
      <c r="J75" s="194" t="inlineStr">
        <is>
          <t>PHGDPYOY Index</t>
        </is>
      </c>
      <c r="K75" s="267">
        <f>IFERROR(IF(J75="",NA(),BDP(J75,"PX_LAST")),NA())</f>
        <v/>
      </c>
      <c r="L75" s="194" t="inlineStr">
        <is>
          <t>PHCPIYOY Index</t>
        </is>
      </c>
      <c r="M75" s="267">
        <f>IFERROR(IF(L75="",NA(),BDP(L75,"PX_LAST")),NA())</f>
        <v/>
      </c>
      <c r="N75" s="197" t="inlineStr"/>
      <c r="O75" s="267">
        <f>IFERROR(IF(N75="",NA(),BDP(N75,"PX_LAST")),NA())</f>
        <v/>
      </c>
      <c r="P75" s="194" t="inlineStr">
        <is>
          <t>PHCAR%G Index</t>
        </is>
      </c>
      <c r="Q75" s="267">
        <f>IFERROR(IF(P75="",NA(),BDP(P75,"PX_LAST")),NA())</f>
        <v/>
      </c>
      <c r="R75" s="194" t="inlineStr">
        <is>
          <t>PHIRTOTL Index</t>
        </is>
      </c>
      <c r="S75" s="266">
        <f>IFERROR(IF(R75="",NA(),BDP(R75,"PX_LAST")),NA())</f>
        <v/>
      </c>
      <c r="T75" s="301" t="inlineStr"/>
      <c r="U75" s="301" t="inlineStr"/>
      <c r="V75" s="301" t="inlineStr"/>
      <c r="W75" s="301" t="inlineStr"/>
      <c r="X75" s="302" t="inlineStr"/>
    </row>
    <row r="76">
      <c r="B76" s="184" t="inlineStr">
        <is>
          <t>SRI LANKA</t>
        </is>
      </c>
      <c r="C76" s="185" t="inlineStr">
        <is>
          <t>LKA</t>
        </is>
      </c>
      <c r="D76" s="185" t="inlineStr">
        <is>
          <t>SR</t>
        </is>
      </c>
      <c r="E76" s="198" t="n">
        <v>19</v>
      </c>
      <c r="F76" s="199" t="inlineStr">
        <is>
          <t>JPSYLKZW Index</t>
        </is>
      </c>
      <c r="G76" s="268">
        <f>IFERROR(IF(F76="",NA(),BDP(F76,"PX_LAST")),NA())</f>
        <v/>
      </c>
      <c r="H76" s="199" t="inlineStr">
        <is>
          <t>CSRILAN CDS USD SR 5Y D14 Corp</t>
        </is>
      </c>
      <c r="I76" s="268">
        <f>IFERROR(IF(H76="",NA(),BDP(H76,"PX_LAST")),NA())</f>
        <v/>
      </c>
      <c r="J76" s="199" t="inlineStr">
        <is>
          <t>SLGDPYOY Index</t>
        </is>
      </c>
      <c r="K76" s="269">
        <f>IFERROR(IF(J76="",NA(),BDP(J76,"PX_LAST")),NA())</f>
        <v/>
      </c>
      <c r="L76" s="199" t="inlineStr">
        <is>
          <t>SRCPIYOY Index</t>
        </is>
      </c>
      <c r="M76" s="269">
        <f>IFERROR(IF(L76="",NA(),BDP(L76,"PX_LAST")),NA())</f>
        <v/>
      </c>
      <c r="N76" s="197" t="inlineStr"/>
      <c r="O76" s="269">
        <f>IFERROR(IF(N76="",NA(),BDP(N76,"PX_LAST")),NA())</f>
        <v/>
      </c>
      <c r="P76" s="197" t="inlineStr"/>
      <c r="Q76" s="269">
        <f>IFERROR(IF(P76="",NA(),BDP(P76,"PX_LAST")),NA())</f>
        <v/>
      </c>
      <c r="R76" s="199" t="inlineStr">
        <is>
          <t>SLIRTOTL Index</t>
        </is>
      </c>
      <c r="S76" s="268">
        <f>IFERROR(IF(R76="",NA(),BDP(R76,"PX_LAST")),NA())</f>
        <v/>
      </c>
      <c r="T76" s="301" t="inlineStr"/>
      <c r="U76" s="301" t="inlineStr"/>
      <c r="V76" s="301" t="inlineStr"/>
      <c r="W76" s="301" t="inlineStr"/>
      <c r="X76" s="302" t="inlineStr"/>
    </row>
    <row r="77">
      <c r="B77" s="176" t="inlineStr">
        <is>
          <t>VIETNAM</t>
        </is>
      </c>
      <c r="C77" s="177" t="inlineStr">
        <is>
          <t>VNM</t>
        </is>
      </c>
      <c r="D77" s="177" t="inlineStr">
        <is>
          <t>VN</t>
        </is>
      </c>
      <c r="E77" s="193" t="n">
        <v>11</v>
      </c>
      <c r="F77" s="194" t="inlineStr">
        <is>
          <t>JPSYVNZW Index</t>
        </is>
      </c>
      <c r="G77" s="266">
        <f>IFERROR(IF(F77="",NA(),BDP(F77,"PX_LAST")),NA())</f>
        <v/>
      </c>
      <c r="H77" s="194" t="inlineStr">
        <is>
          <t>CVIETN CDS USD SR 5Y D14 Corp</t>
        </is>
      </c>
      <c r="I77" s="266">
        <f>IFERROR(IF(H77="",NA(),BDP(H77,"PX_LAST")),NA())</f>
        <v/>
      </c>
      <c r="J77" s="194" t="inlineStr">
        <is>
          <t>VNGDPYOY Index</t>
        </is>
      </c>
      <c r="K77" s="267">
        <f>IFERROR(IF(J77="",NA(),BDP(J77,"PX_LAST")),NA())</f>
        <v/>
      </c>
      <c r="L77" s="194" t="inlineStr">
        <is>
          <t>VNCPIYOY Index</t>
        </is>
      </c>
      <c r="M77" s="267">
        <f>IFERROR(IF(L77="",NA(),BDP(L77,"PX_LAST")),NA())</f>
        <v/>
      </c>
      <c r="N77" s="197" t="inlineStr"/>
      <c r="O77" s="267">
        <f>IFERROR(IF(N77="",NA(),BDP(N77,"PX_LAST")),NA())</f>
        <v/>
      </c>
      <c r="P77" s="197" t="inlineStr"/>
      <c r="Q77" s="267">
        <f>IFERROR(IF(P77="",NA(),BDP(P77,"PX_LAST")),NA())</f>
        <v/>
      </c>
      <c r="R77" s="197" t="inlineStr"/>
      <c r="S77" s="266">
        <f>IFERROR(IF(R77="",NA(),BDP(R77,"PX_LAST")),NA())</f>
        <v/>
      </c>
      <c r="T77" s="301" t="inlineStr"/>
      <c r="U77" s="301" t="inlineStr"/>
      <c r="V77" s="301" t="inlineStr"/>
      <c r="W77" s="301" t="inlineStr"/>
      <c r="X77" s="302" t="inlineStr"/>
    </row>
  </sheetData>
  <mergeCells count="2">
    <mergeCell ref="B4:S4"/>
    <mergeCell ref="B2:S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84"/>
  <sheetViews>
    <sheetView showGridLines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style="159" min="1" max="1"/>
    <col width="22" customWidth="1" style="159" min="2" max="2"/>
    <col width="7" customWidth="1" style="159" min="3" max="3"/>
    <col width="22" customWidth="1" style="159" min="4" max="4"/>
    <col width="9" customWidth="1" style="159" min="5" max="5"/>
    <col width="22" customWidth="1" style="159" min="6" max="6"/>
    <col width="9" customWidth="1" style="159" min="7" max="7"/>
    <col width="22" customWidth="1" style="159" min="8" max="8"/>
    <col width="9" customWidth="1" style="159" min="9" max="9"/>
    <col width="22" customWidth="1" style="159" min="10" max="10"/>
    <col width="9" customWidth="1" style="159" min="11" max="11"/>
    <col width="22" customWidth="1" style="159" min="12" max="12"/>
    <col width="11" customWidth="1" style="159" min="13" max="13"/>
  </cols>
  <sheetData>
    <row r="2">
      <c r="B2" s="192" t="inlineStr">
        <is>
          <t>Haver Macro Codes (IMF / WEO fallback)</t>
        </is>
      </c>
    </row>
    <row r="3"/>
    <row r="4" ht="28" customHeight="1" s="159">
      <c r="B4" s="304" t="inlineStr">
        <is>
          <t>Used when Bloomberg ticker returns N/A. Default function: HAVER(code). If your Haver add-in uses a different name (e.g. h() or Haver.HVR()), Find &amp; Replace HAVER( to your version.</t>
        </is>
      </c>
    </row>
    <row r="6" ht="28" customHeight="1" s="159">
      <c r="B6" s="300" t="inlineStr">
        <is>
          <t>Country</t>
        </is>
      </c>
      <c r="C6" s="300" t="inlineStr">
        <is>
          <t>ISO</t>
        </is>
      </c>
      <c r="D6" s="300" t="inlineStr">
        <is>
          <t>GDP code (Haver)</t>
        </is>
      </c>
      <c r="E6" s="300" t="inlineStr">
        <is>
          <t>GDP %</t>
        </is>
      </c>
      <c r="F6" s="300" t="inlineStr">
        <is>
          <t>CPI code (Haver)</t>
        </is>
      </c>
      <c r="G6" s="300" t="inlineStr">
        <is>
          <t>CPI %</t>
        </is>
      </c>
      <c r="H6" s="300" t="inlineStr">
        <is>
          <t>Govt debt code (Haver)</t>
        </is>
      </c>
      <c r="I6" s="300" t="inlineStr">
        <is>
          <t>Debt %GDP</t>
        </is>
      </c>
      <c r="J6" s="300" t="inlineStr">
        <is>
          <t>CurAcc code (Haver)</t>
        </is>
      </c>
      <c r="K6" s="300" t="inlineStr">
        <is>
          <t>CA %GDP</t>
        </is>
      </c>
      <c r="L6" s="300" t="inlineStr">
        <is>
          <t>FXRes code (Haver)</t>
        </is>
      </c>
      <c r="M6" s="300" t="inlineStr">
        <is>
          <t>Reserves</t>
        </is>
      </c>
    </row>
    <row r="7">
      <c r="B7" s="241" t="inlineStr">
        <is>
          <t>ARGENTINA</t>
        </is>
      </c>
      <c r="C7" s="305" t="inlineStr">
        <is>
          <t>ARG</t>
        </is>
      </c>
      <c r="D7" s="306" t="inlineStr">
        <is>
          <t>ARG.NGDP_RPCH@WEO</t>
        </is>
      </c>
      <c r="E7" s="307">
        <f>IFERROR(IF(D7="",NA(),HAVER(D7)),NA())</f>
        <v/>
      </c>
      <c r="F7" s="306" t="inlineStr">
        <is>
          <t>ARG.PCPIPCH@WEO</t>
        </is>
      </c>
      <c r="G7" s="307">
        <f>IFERROR(IF(F7="",NA(),HAVER(F7)),NA())</f>
        <v/>
      </c>
      <c r="H7" s="306" t="inlineStr">
        <is>
          <t>ARG.GGXWDG_NGDP@WEO</t>
        </is>
      </c>
      <c r="I7" s="307">
        <f>IFERROR(IF(H7="",NA(),HAVER(H7)),NA())</f>
        <v/>
      </c>
      <c r="J7" s="306" t="inlineStr">
        <is>
          <t>ARG.BCA_NGDPD@WEO</t>
        </is>
      </c>
      <c r="K7" s="307">
        <f>IFERROR(IF(J7="",NA(),HAVER(J7)),NA())</f>
        <v/>
      </c>
      <c r="L7" s="306" t="inlineStr">
        <is>
          <t>ARG.AINF_AE@IFS</t>
        </is>
      </c>
      <c r="M7" s="308">
        <f>IFERROR(IF(L7="",NA(),HAVER(L7)),NA())</f>
        <v/>
      </c>
    </row>
    <row r="8">
      <c r="B8" s="246" t="inlineStr">
        <is>
          <t>BOLIVIA</t>
        </is>
      </c>
      <c r="C8" s="309" t="inlineStr">
        <is>
          <t>BOL</t>
        </is>
      </c>
      <c r="D8" s="310" t="inlineStr">
        <is>
          <t>BOL.NGDP_RPCH@WEO</t>
        </is>
      </c>
      <c r="E8" s="311">
        <f>IFERROR(IF(D8="",NA(),HAVER(D8)),NA())</f>
        <v/>
      </c>
      <c r="F8" s="310" t="inlineStr">
        <is>
          <t>BOL.PCPIPCH@WEO</t>
        </is>
      </c>
      <c r="G8" s="311">
        <f>IFERROR(IF(F8="",NA(),HAVER(F8)),NA())</f>
        <v/>
      </c>
      <c r="H8" s="310" t="inlineStr">
        <is>
          <t>BOL.GGXWDG_NGDP@WEO</t>
        </is>
      </c>
      <c r="I8" s="311">
        <f>IFERROR(IF(H8="",NA(),HAVER(H8)),NA())</f>
        <v/>
      </c>
      <c r="J8" s="310" t="inlineStr">
        <is>
          <t>BOL.BCA_NGDPD@WEO</t>
        </is>
      </c>
      <c r="K8" s="311">
        <f>IFERROR(IF(J8="",NA(),HAVER(J8)),NA())</f>
        <v/>
      </c>
      <c r="L8" s="310" t="inlineStr">
        <is>
          <t>BOL.AINF_AE@IFS</t>
        </is>
      </c>
      <c r="M8" s="312">
        <f>IFERROR(IF(L8="",NA(),HAVER(L8)),NA())</f>
        <v/>
      </c>
    </row>
    <row r="9">
      <c r="B9" s="241" t="inlineStr">
        <is>
          <t>BRAZIL</t>
        </is>
      </c>
      <c r="C9" s="305" t="inlineStr">
        <is>
          <t>BRA</t>
        </is>
      </c>
      <c r="D9" s="306" t="inlineStr">
        <is>
          <t>BRA.NGDP_RPCH@WEO</t>
        </is>
      </c>
      <c r="E9" s="307">
        <f>IFERROR(IF(D9="",NA(),HAVER(D9)),NA())</f>
        <v/>
      </c>
      <c r="F9" s="306" t="inlineStr">
        <is>
          <t>BRA.PCPIPCH@WEO</t>
        </is>
      </c>
      <c r="G9" s="307">
        <f>IFERROR(IF(F9="",NA(),HAVER(F9)),NA())</f>
        <v/>
      </c>
      <c r="H9" s="306" t="inlineStr">
        <is>
          <t>BRA.GGXWDG_NGDP@WEO</t>
        </is>
      </c>
      <c r="I9" s="307">
        <f>IFERROR(IF(H9="",NA(),HAVER(H9)),NA())</f>
        <v/>
      </c>
      <c r="J9" s="306" t="inlineStr">
        <is>
          <t>BRA.BCA_NGDPD@WEO</t>
        </is>
      </c>
      <c r="K9" s="307">
        <f>IFERROR(IF(J9="",NA(),HAVER(J9)),NA())</f>
        <v/>
      </c>
      <c r="L9" s="306" t="inlineStr">
        <is>
          <t>BRA.AINF_AE@IFS</t>
        </is>
      </c>
      <c r="M9" s="308">
        <f>IFERROR(IF(L9="",NA(),HAVER(L9)),NA())</f>
        <v/>
      </c>
    </row>
    <row r="10">
      <c r="B10" s="246" t="inlineStr">
        <is>
          <t>CHILE</t>
        </is>
      </c>
      <c r="C10" s="309" t="inlineStr">
        <is>
          <t>CHL</t>
        </is>
      </c>
      <c r="D10" s="310" t="inlineStr">
        <is>
          <t>CHL.NGDP_RPCH@WEO</t>
        </is>
      </c>
      <c r="E10" s="311">
        <f>IFERROR(IF(D10="",NA(),HAVER(D10)),NA())</f>
        <v/>
      </c>
      <c r="F10" s="310" t="inlineStr">
        <is>
          <t>CHL.PCPIPCH@WEO</t>
        </is>
      </c>
      <c r="G10" s="311">
        <f>IFERROR(IF(F10="",NA(),HAVER(F10)),NA())</f>
        <v/>
      </c>
      <c r="H10" s="310" t="inlineStr">
        <is>
          <t>CHL.GGXWDG_NGDP@WEO</t>
        </is>
      </c>
      <c r="I10" s="311">
        <f>IFERROR(IF(H10="",NA(),HAVER(H10)),NA())</f>
        <v/>
      </c>
      <c r="J10" s="310" t="inlineStr">
        <is>
          <t>CHL.BCA_NGDPD@WEO</t>
        </is>
      </c>
      <c r="K10" s="311">
        <f>IFERROR(IF(J10="",NA(),HAVER(J10)),NA())</f>
        <v/>
      </c>
      <c r="L10" s="310" t="inlineStr">
        <is>
          <t>CHL.AINF_AE@IFS</t>
        </is>
      </c>
      <c r="M10" s="312">
        <f>IFERROR(IF(L10="",NA(),HAVER(L10)),NA())</f>
        <v/>
      </c>
    </row>
    <row r="11">
      <c r="B11" s="241" t="inlineStr">
        <is>
          <t>COLOMBIA</t>
        </is>
      </c>
      <c r="C11" s="305" t="inlineStr">
        <is>
          <t>COL</t>
        </is>
      </c>
      <c r="D11" s="306" t="inlineStr">
        <is>
          <t>COL.NGDP_RPCH@WEO</t>
        </is>
      </c>
      <c r="E11" s="307">
        <f>IFERROR(IF(D11="",NA(),HAVER(D11)),NA())</f>
        <v/>
      </c>
      <c r="F11" s="306" t="inlineStr">
        <is>
          <t>COL.PCPIPCH@WEO</t>
        </is>
      </c>
      <c r="G11" s="307">
        <f>IFERROR(IF(F11="",NA(),HAVER(F11)),NA())</f>
        <v/>
      </c>
      <c r="H11" s="306" t="inlineStr">
        <is>
          <t>COL.GGXWDG_NGDP@WEO</t>
        </is>
      </c>
      <c r="I11" s="307">
        <f>IFERROR(IF(H11="",NA(),HAVER(H11)),NA())</f>
        <v/>
      </c>
      <c r="J11" s="306" t="inlineStr">
        <is>
          <t>COL.BCA_NGDPD@WEO</t>
        </is>
      </c>
      <c r="K11" s="307">
        <f>IFERROR(IF(J11="",NA(),HAVER(J11)),NA())</f>
        <v/>
      </c>
      <c r="L11" s="306" t="inlineStr">
        <is>
          <t>COL.AINF_AE@IFS</t>
        </is>
      </c>
      <c r="M11" s="308">
        <f>IFERROR(IF(L11="",NA(),HAVER(L11)),NA())</f>
        <v/>
      </c>
    </row>
    <row r="12">
      <c r="B12" s="246" t="inlineStr">
        <is>
          <t>COSTA RICA</t>
        </is>
      </c>
      <c r="C12" s="309" t="inlineStr">
        <is>
          <t>CRI</t>
        </is>
      </c>
      <c r="D12" s="310" t="inlineStr">
        <is>
          <t>CRI.NGDP_RPCH@WEO</t>
        </is>
      </c>
      <c r="E12" s="311">
        <f>IFERROR(IF(D12="",NA(),HAVER(D12)),NA())</f>
        <v/>
      </c>
      <c r="F12" s="310" t="inlineStr">
        <is>
          <t>CRI.PCPIPCH@WEO</t>
        </is>
      </c>
      <c r="G12" s="311">
        <f>IFERROR(IF(F12="",NA(),HAVER(F12)),NA())</f>
        <v/>
      </c>
      <c r="H12" s="310" t="inlineStr">
        <is>
          <t>CRI.GGXWDG_NGDP@WEO</t>
        </is>
      </c>
      <c r="I12" s="311">
        <f>IFERROR(IF(H12="",NA(),HAVER(H12)),NA())</f>
        <v/>
      </c>
      <c r="J12" s="310" t="inlineStr">
        <is>
          <t>CRI.BCA_NGDPD@WEO</t>
        </is>
      </c>
      <c r="K12" s="311">
        <f>IFERROR(IF(J12="",NA(),HAVER(J12)),NA())</f>
        <v/>
      </c>
      <c r="L12" s="310" t="inlineStr">
        <is>
          <t>CRI.AINF_AE@IFS</t>
        </is>
      </c>
      <c r="M12" s="312">
        <f>IFERROR(IF(L12="",NA(),HAVER(L12)),NA())</f>
        <v/>
      </c>
    </row>
    <row r="13">
      <c r="B13" s="241" t="inlineStr">
        <is>
          <t>DOMINICAN REPUBLIC</t>
        </is>
      </c>
      <c r="C13" s="305" t="inlineStr">
        <is>
          <t>DOM</t>
        </is>
      </c>
      <c r="D13" s="306" t="inlineStr">
        <is>
          <t>DOM.NGDP_RPCH@WEO</t>
        </is>
      </c>
      <c r="E13" s="307">
        <f>IFERROR(IF(D13="",NA(),HAVER(D13)),NA())</f>
        <v/>
      </c>
      <c r="F13" s="306" t="inlineStr">
        <is>
          <t>DOM.PCPIPCH@WEO</t>
        </is>
      </c>
      <c r="G13" s="307">
        <f>IFERROR(IF(F13="",NA(),HAVER(F13)),NA())</f>
        <v/>
      </c>
      <c r="H13" s="306" t="inlineStr">
        <is>
          <t>DOM.GGXWDG_NGDP@WEO</t>
        </is>
      </c>
      <c r="I13" s="307">
        <f>IFERROR(IF(H13="",NA(),HAVER(H13)),NA())</f>
        <v/>
      </c>
      <c r="J13" s="306" t="inlineStr">
        <is>
          <t>DOM.BCA_NGDPD@WEO</t>
        </is>
      </c>
      <c r="K13" s="307">
        <f>IFERROR(IF(J13="",NA(),HAVER(J13)),NA())</f>
        <v/>
      </c>
      <c r="L13" s="306" t="inlineStr">
        <is>
          <t>DOM.AINF_AE@IFS</t>
        </is>
      </c>
      <c r="M13" s="308">
        <f>IFERROR(IF(L13="",NA(),HAVER(L13)),NA())</f>
        <v/>
      </c>
    </row>
    <row r="14">
      <c r="B14" s="246" t="inlineStr">
        <is>
          <t>ECUADOR</t>
        </is>
      </c>
      <c r="C14" s="309" t="inlineStr">
        <is>
          <t>ECU</t>
        </is>
      </c>
      <c r="D14" s="310" t="inlineStr">
        <is>
          <t>ECU.NGDP_RPCH@WEO</t>
        </is>
      </c>
      <c r="E14" s="311">
        <f>IFERROR(IF(D14="",NA(),HAVER(D14)),NA())</f>
        <v/>
      </c>
      <c r="F14" s="310" t="inlineStr">
        <is>
          <t>ECU.PCPIPCH@WEO</t>
        </is>
      </c>
      <c r="G14" s="311">
        <f>IFERROR(IF(F14="",NA(),HAVER(F14)),NA())</f>
        <v/>
      </c>
      <c r="H14" s="310" t="inlineStr">
        <is>
          <t>ECU.GGXWDG_NGDP@WEO</t>
        </is>
      </c>
      <c r="I14" s="311">
        <f>IFERROR(IF(H14="",NA(),HAVER(H14)),NA())</f>
        <v/>
      </c>
      <c r="J14" s="310" t="inlineStr">
        <is>
          <t>ECU.BCA_NGDPD@WEO</t>
        </is>
      </c>
      <c r="K14" s="311">
        <f>IFERROR(IF(J14="",NA(),HAVER(J14)),NA())</f>
        <v/>
      </c>
      <c r="L14" s="310" t="inlineStr">
        <is>
          <t>ECU.AINF_AE@IFS</t>
        </is>
      </c>
      <c r="M14" s="312">
        <f>IFERROR(IF(L14="",NA(),HAVER(L14)),NA())</f>
        <v/>
      </c>
    </row>
    <row r="15">
      <c r="B15" s="241" t="inlineStr">
        <is>
          <t>EL SALVADOR</t>
        </is>
      </c>
      <c r="C15" s="305" t="inlineStr">
        <is>
          <t>SLV</t>
        </is>
      </c>
      <c r="D15" s="306" t="inlineStr">
        <is>
          <t>SLV.NGDP_RPCH@WEO</t>
        </is>
      </c>
      <c r="E15" s="307">
        <f>IFERROR(IF(D15="",NA(),HAVER(D15)),NA())</f>
        <v/>
      </c>
      <c r="F15" s="306" t="inlineStr">
        <is>
          <t>SLV.PCPIPCH@WEO</t>
        </is>
      </c>
      <c r="G15" s="307">
        <f>IFERROR(IF(F15="",NA(),HAVER(F15)),NA())</f>
        <v/>
      </c>
      <c r="H15" s="306" t="inlineStr">
        <is>
          <t>SLV.GGXWDG_NGDP@WEO</t>
        </is>
      </c>
      <c r="I15" s="307">
        <f>IFERROR(IF(H15="",NA(),HAVER(H15)),NA())</f>
        <v/>
      </c>
      <c r="J15" s="306" t="inlineStr">
        <is>
          <t>SLV.BCA_NGDPD@WEO</t>
        </is>
      </c>
      <c r="K15" s="307">
        <f>IFERROR(IF(J15="",NA(),HAVER(J15)),NA())</f>
        <v/>
      </c>
      <c r="L15" s="306" t="inlineStr">
        <is>
          <t>SLV.AINF_AE@IFS</t>
        </is>
      </c>
      <c r="M15" s="308">
        <f>IFERROR(IF(L15="",NA(),HAVER(L15)),NA())</f>
        <v/>
      </c>
    </row>
    <row r="16">
      <c r="B16" s="246" t="inlineStr">
        <is>
          <t>GUATEMALA</t>
        </is>
      </c>
      <c r="C16" s="309" t="inlineStr">
        <is>
          <t>GTM</t>
        </is>
      </c>
      <c r="D16" s="310" t="inlineStr">
        <is>
          <t>GTM.NGDP_RPCH@WEO</t>
        </is>
      </c>
      <c r="E16" s="311">
        <f>IFERROR(IF(D16="",NA(),HAVER(D16)),NA())</f>
        <v/>
      </c>
      <c r="F16" s="310" t="inlineStr">
        <is>
          <t>GTM.PCPIPCH@WEO</t>
        </is>
      </c>
      <c r="G16" s="311">
        <f>IFERROR(IF(F16="",NA(),HAVER(F16)),NA())</f>
        <v/>
      </c>
      <c r="H16" s="310" t="inlineStr">
        <is>
          <t>GTM.GGXWDG_NGDP@WEO</t>
        </is>
      </c>
      <c r="I16" s="311">
        <f>IFERROR(IF(H16="",NA(),HAVER(H16)),NA())</f>
        <v/>
      </c>
      <c r="J16" s="310" t="inlineStr">
        <is>
          <t>GTM.BCA_NGDPD@WEO</t>
        </is>
      </c>
      <c r="K16" s="311">
        <f>IFERROR(IF(J16="",NA(),HAVER(J16)),NA())</f>
        <v/>
      </c>
      <c r="L16" s="310" t="inlineStr">
        <is>
          <t>GTM.AINF_AE@IFS</t>
        </is>
      </c>
      <c r="M16" s="312">
        <f>IFERROR(IF(L16="",NA(),HAVER(L16)),NA())</f>
        <v/>
      </c>
    </row>
    <row r="17">
      <c r="B17" s="241" t="inlineStr">
        <is>
          <t>JAMAICA</t>
        </is>
      </c>
      <c r="C17" s="305" t="inlineStr">
        <is>
          <t>JAM</t>
        </is>
      </c>
      <c r="D17" s="306" t="inlineStr">
        <is>
          <t>JAM.NGDP_RPCH@WEO</t>
        </is>
      </c>
      <c r="E17" s="307">
        <f>IFERROR(IF(D17="",NA(),HAVER(D17)),NA())</f>
        <v/>
      </c>
      <c r="F17" s="306" t="inlineStr">
        <is>
          <t>JAM.PCPIPCH@WEO</t>
        </is>
      </c>
      <c r="G17" s="307">
        <f>IFERROR(IF(F17="",NA(),HAVER(F17)),NA())</f>
        <v/>
      </c>
      <c r="H17" s="306" t="inlineStr">
        <is>
          <t>JAM.GGXWDG_NGDP@WEO</t>
        </is>
      </c>
      <c r="I17" s="307">
        <f>IFERROR(IF(H17="",NA(),HAVER(H17)),NA())</f>
        <v/>
      </c>
      <c r="J17" s="306" t="inlineStr">
        <is>
          <t>JAM.BCA_NGDPD@WEO</t>
        </is>
      </c>
      <c r="K17" s="307">
        <f>IFERROR(IF(J17="",NA(),HAVER(J17)),NA())</f>
        <v/>
      </c>
      <c r="L17" s="306" t="inlineStr">
        <is>
          <t>JAM.AINF_AE@IFS</t>
        </is>
      </c>
      <c r="M17" s="308">
        <f>IFERROR(IF(L17="",NA(),HAVER(L17)),NA())</f>
        <v/>
      </c>
    </row>
    <row r="18">
      <c r="B18" s="246" t="inlineStr">
        <is>
          <t>MEXICO</t>
        </is>
      </c>
      <c r="C18" s="309" t="inlineStr">
        <is>
          <t>MEX</t>
        </is>
      </c>
      <c r="D18" s="310" t="inlineStr">
        <is>
          <t>MEX.NGDP_RPCH@WEO</t>
        </is>
      </c>
      <c r="E18" s="311">
        <f>IFERROR(IF(D18="",NA(),HAVER(D18)),NA())</f>
        <v/>
      </c>
      <c r="F18" s="310" t="inlineStr">
        <is>
          <t>MEX.PCPIPCH@WEO</t>
        </is>
      </c>
      <c r="G18" s="311">
        <f>IFERROR(IF(F18="",NA(),HAVER(F18)),NA())</f>
        <v/>
      </c>
      <c r="H18" s="310" t="inlineStr">
        <is>
          <t>MEX.GGXWDG_NGDP@WEO</t>
        </is>
      </c>
      <c r="I18" s="311">
        <f>IFERROR(IF(H18="",NA(),HAVER(H18)),NA())</f>
        <v/>
      </c>
      <c r="J18" s="310" t="inlineStr">
        <is>
          <t>MEX.BCA_NGDPD@WEO</t>
        </is>
      </c>
      <c r="K18" s="311">
        <f>IFERROR(IF(J18="",NA(),HAVER(J18)),NA())</f>
        <v/>
      </c>
      <c r="L18" s="310" t="inlineStr">
        <is>
          <t>MEX.AINF_AE@IFS</t>
        </is>
      </c>
      <c r="M18" s="312">
        <f>IFERROR(IF(L18="",NA(),HAVER(L18)),NA())</f>
        <v/>
      </c>
    </row>
    <row r="19">
      <c r="B19" s="241" t="inlineStr">
        <is>
          <t>PANAMA</t>
        </is>
      </c>
      <c r="C19" s="305" t="inlineStr">
        <is>
          <t>PAN</t>
        </is>
      </c>
      <c r="D19" s="306" t="inlineStr">
        <is>
          <t>PAN.NGDP_RPCH@WEO</t>
        </is>
      </c>
      <c r="E19" s="307">
        <f>IFERROR(IF(D19="",NA(),HAVER(D19)),NA())</f>
        <v/>
      </c>
      <c r="F19" s="306" t="inlineStr">
        <is>
          <t>PAN.PCPIPCH@WEO</t>
        </is>
      </c>
      <c r="G19" s="307">
        <f>IFERROR(IF(F19="",NA(),HAVER(F19)),NA())</f>
        <v/>
      </c>
      <c r="H19" s="306" t="inlineStr">
        <is>
          <t>PAN.GGXWDG_NGDP@WEO</t>
        </is>
      </c>
      <c r="I19" s="307">
        <f>IFERROR(IF(H19="",NA(),HAVER(H19)),NA())</f>
        <v/>
      </c>
      <c r="J19" s="306" t="inlineStr">
        <is>
          <t>PAN.BCA_NGDPD@WEO</t>
        </is>
      </c>
      <c r="K19" s="307">
        <f>IFERROR(IF(J19="",NA(),HAVER(J19)),NA())</f>
        <v/>
      </c>
      <c r="L19" s="306" t="inlineStr">
        <is>
          <t>PAN.AINF_AE@IFS</t>
        </is>
      </c>
      <c r="M19" s="308">
        <f>IFERROR(IF(L19="",NA(),HAVER(L19)),NA())</f>
        <v/>
      </c>
    </row>
    <row r="20">
      <c r="B20" s="246" t="inlineStr">
        <is>
          <t>PARAGUAY</t>
        </is>
      </c>
      <c r="C20" s="309" t="inlineStr">
        <is>
          <t>PRY</t>
        </is>
      </c>
      <c r="D20" s="310" t="inlineStr">
        <is>
          <t>PRY.NGDP_RPCH@WEO</t>
        </is>
      </c>
      <c r="E20" s="311">
        <f>IFERROR(IF(D20="",NA(),HAVER(D20)),NA())</f>
        <v/>
      </c>
      <c r="F20" s="310" t="inlineStr">
        <is>
          <t>PRY.PCPIPCH@WEO</t>
        </is>
      </c>
      <c r="G20" s="311">
        <f>IFERROR(IF(F20="",NA(),HAVER(F20)),NA())</f>
        <v/>
      </c>
      <c r="H20" s="310" t="inlineStr">
        <is>
          <t>PRY.GGXWDG_NGDP@WEO</t>
        </is>
      </c>
      <c r="I20" s="311">
        <f>IFERROR(IF(H20="",NA(),HAVER(H20)),NA())</f>
        <v/>
      </c>
      <c r="J20" s="310" t="inlineStr">
        <is>
          <t>PRY.BCA_NGDPD@WEO</t>
        </is>
      </c>
      <c r="K20" s="311">
        <f>IFERROR(IF(J20="",NA(),HAVER(J20)),NA())</f>
        <v/>
      </c>
      <c r="L20" s="310" t="inlineStr">
        <is>
          <t>PRY.AINF_AE@IFS</t>
        </is>
      </c>
      <c r="M20" s="312">
        <f>IFERROR(IF(L20="",NA(),HAVER(L20)),NA())</f>
        <v/>
      </c>
    </row>
    <row r="21">
      <c r="B21" s="241" t="inlineStr">
        <is>
          <t>PERU</t>
        </is>
      </c>
      <c r="C21" s="305" t="inlineStr">
        <is>
          <t>PER</t>
        </is>
      </c>
      <c r="D21" s="306" t="inlineStr">
        <is>
          <t>PER.NGDP_RPCH@WEO</t>
        </is>
      </c>
      <c r="E21" s="307">
        <f>IFERROR(IF(D21="",NA(),HAVER(D21)),NA())</f>
        <v/>
      </c>
      <c r="F21" s="306" t="inlineStr">
        <is>
          <t>PER.PCPIPCH@WEO</t>
        </is>
      </c>
      <c r="G21" s="307">
        <f>IFERROR(IF(F21="",NA(),HAVER(F21)),NA())</f>
        <v/>
      </c>
      <c r="H21" s="306" t="inlineStr">
        <is>
          <t>PER.GGXWDG_NGDP@WEO</t>
        </is>
      </c>
      <c r="I21" s="307">
        <f>IFERROR(IF(H21="",NA(),HAVER(H21)),NA())</f>
        <v/>
      </c>
      <c r="J21" s="306" t="inlineStr">
        <is>
          <t>PER.BCA_NGDPD@WEO</t>
        </is>
      </c>
      <c r="K21" s="307">
        <f>IFERROR(IF(J21="",NA(),HAVER(J21)),NA())</f>
        <v/>
      </c>
      <c r="L21" s="306" t="inlineStr">
        <is>
          <t>PER.AINF_AE@IFS</t>
        </is>
      </c>
      <c r="M21" s="308">
        <f>IFERROR(IF(L21="",NA(),HAVER(L21)),NA())</f>
        <v/>
      </c>
    </row>
    <row r="22">
      <c r="B22" s="246" t="inlineStr">
        <is>
          <t>URUGUAY</t>
        </is>
      </c>
      <c r="C22" s="309" t="inlineStr">
        <is>
          <t>URY</t>
        </is>
      </c>
      <c r="D22" s="310" t="inlineStr">
        <is>
          <t>URY.NGDP_RPCH@WEO</t>
        </is>
      </c>
      <c r="E22" s="311">
        <f>IFERROR(IF(D22="",NA(),HAVER(D22)),NA())</f>
        <v/>
      </c>
      <c r="F22" s="310" t="inlineStr">
        <is>
          <t>URY.PCPIPCH@WEO</t>
        </is>
      </c>
      <c r="G22" s="311">
        <f>IFERROR(IF(F22="",NA(),HAVER(F22)),NA())</f>
        <v/>
      </c>
      <c r="H22" s="310" t="inlineStr">
        <is>
          <t>URY.GGXWDG_NGDP@WEO</t>
        </is>
      </c>
      <c r="I22" s="311">
        <f>IFERROR(IF(H22="",NA(),HAVER(H22)),NA())</f>
        <v/>
      </c>
      <c r="J22" s="310" t="inlineStr">
        <is>
          <t>URY.BCA_NGDPD@WEO</t>
        </is>
      </c>
      <c r="K22" s="311">
        <f>IFERROR(IF(J22="",NA(),HAVER(J22)),NA())</f>
        <v/>
      </c>
      <c r="L22" s="310" t="inlineStr">
        <is>
          <t>URY.AINF_AE@IFS</t>
        </is>
      </c>
      <c r="M22" s="312">
        <f>IFERROR(IF(L22="",NA(),HAVER(L22)),NA())</f>
        <v/>
      </c>
    </row>
    <row r="23">
      <c r="B23" s="241" t="inlineStr">
        <is>
          <t>TRINIDAD &amp; TOBAGO</t>
        </is>
      </c>
      <c r="C23" s="305" t="inlineStr">
        <is>
          <t>TTO</t>
        </is>
      </c>
      <c r="D23" s="306" t="inlineStr">
        <is>
          <t>TTO.NGDP_RPCH@WEO</t>
        </is>
      </c>
      <c r="E23" s="307">
        <f>IFERROR(IF(D23="",NA(),HAVER(D23)),NA())</f>
        <v/>
      </c>
      <c r="F23" s="306" t="inlineStr">
        <is>
          <t>TTO.PCPIPCH@WEO</t>
        </is>
      </c>
      <c r="G23" s="307">
        <f>IFERROR(IF(F23="",NA(),HAVER(F23)),NA())</f>
        <v/>
      </c>
      <c r="H23" s="306" t="inlineStr">
        <is>
          <t>TTO.GGXWDG_NGDP@WEO</t>
        </is>
      </c>
      <c r="I23" s="307">
        <f>IFERROR(IF(H23="",NA(),HAVER(H23)),NA())</f>
        <v/>
      </c>
      <c r="J23" s="306" t="inlineStr">
        <is>
          <t>TTO.BCA_NGDPD@WEO</t>
        </is>
      </c>
      <c r="K23" s="307">
        <f>IFERROR(IF(J23="",NA(),HAVER(J23)),NA())</f>
        <v/>
      </c>
      <c r="L23" s="306" t="inlineStr">
        <is>
          <t>TTO.AINF_AE@IFS</t>
        </is>
      </c>
      <c r="M23" s="308">
        <f>IFERROR(IF(L23="",NA(),HAVER(L23)),NA())</f>
        <v/>
      </c>
    </row>
    <row r="24">
      <c r="B24" s="246" t="inlineStr">
        <is>
          <t>ARMENIA</t>
        </is>
      </c>
      <c r="C24" s="309" t="inlineStr">
        <is>
          <t>ARM</t>
        </is>
      </c>
      <c r="D24" s="310" t="inlineStr">
        <is>
          <t>ARM.NGDP_RPCH@WEO</t>
        </is>
      </c>
      <c r="E24" s="311">
        <f>IFERROR(IF(D24="",NA(),HAVER(D24)),NA())</f>
        <v/>
      </c>
      <c r="F24" s="310" t="inlineStr">
        <is>
          <t>ARM.PCPIPCH@WEO</t>
        </is>
      </c>
      <c r="G24" s="311">
        <f>IFERROR(IF(F24="",NA(),HAVER(F24)),NA())</f>
        <v/>
      </c>
      <c r="H24" s="310" t="inlineStr">
        <is>
          <t>ARM.GGXWDG_NGDP@WEO</t>
        </is>
      </c>
      <c r="I24" s="311">
        <f>IFERROR(IF(H24="",NA(),HAVER(H24)),NA())</f>
        <v/>
      </c>
      <c r="J24" s="310" t="inlineStr">
        <is>
          <t>ARM.BCA_NGDPD@WEO</t>
        </is>
      </c>
      <c r="K24" s="311">
        <f>IFERROR(IF(J24="",NA(),HAVER(J24)),NA())</f>
        <v/>
      </c>
      <c r="L24" s="310" t="inlineStr">
        <is>
          <t>ARM.AINF_AE@IFS</t>
        </is>
      </c>
      <c r="M24" s="312">
        <f>IFERROR(IF(L24="",NA(),HAVER(L24)),NA())</f>
        <v/>
      </c>
    </row>
    <row r="25">
      <c r="B25" s="241" t="inlineStr">
        <is>
          <t>AZERBAIJAN</t>
        </is>
      </c>
      <c r="C25" s="305" t="inlineStr">
        <is>
          <t>AZE</t>
        </is>
      </c>
      <c r="D25" s="306" t="inlineStr">
        <is>
          <t>AZE.NGDP_RPCH@WEO</t>
        </is>
      </c>
      <c r="E25" s="307">
        <f>IFERROR(IF(D25="",NA(),HAVER(D25)),NA())</f>
        <v/>
      </c>
      <c r="F25" s="306" t="inlineStr">
        <is>
          <t>AZE.PCPIPCH@WEO</t>
        </is>
      </c>
      <c r="G25" s="307">
        <f>IFERROR(IF(F25="",NA(),HAVER(F25)),NA())</f>
        <v/>
      </c>
      <c r="H25" s="306" t="inlineStr">
        <is>
          <t>AZE.GGXWDG_NGDP@WEO</t>
        </is>
      </c>
      <c r="I25" s="307">
        <f>IFERROR(IF(H25="",NA(),HAVER(H25)),NA())</f>
        <v/>
      </c>
      <c r="J25" s="306" t="inlineStr">
        <is>
          <t>AZE.BCA_NGDPD@WEO</t>
        </is>
      </c>
      <c r="K25" s="307">
        <f>IFERROR(IF(J25="",NA(),HAVER(J25)),NA())</f>
        <v/>
      </c>
      <c r="L25" s="306" t="inlineStr">
        <is>
          <t>AZE.AINF_AE@IFS</t>
        </is>
      </c>
      <c r="M25" s="308">
        <f>IFERROR(IF(L25="",NA(),HAVER(L25)),NA())</f>
        <v/>
      </c>
    </row>
    <row r="26">
      <c r="B26" s="246" t="inlineStr">
        <is>
          <t>BELARUS</t>
        </is>
      </c>
      <c r="C26" s="309" t="inlineStr">
        <is>
          <t>BLR</t>
        </is>
      </c>
      <c r="D26" s="310" t="inlineStr">
        <is>
          <t>BLR.NGDP_RPCH@WEO</t>
        </is>
      </c>
      <c r="E26" s="311">
        <f>IFERROR(IF(D26="",NA(),HAVER(D26)),NA())</f>
        <v/>
      </c>
      <c r="F26" s="310" t="inlineStr">
        <is>
          <t>BLR.PCPIPCH@WEO</t>
        </is>
      </c>
      <c r="G26" s="311">
        <f>IFERROR(IF(F26="",NA(),HAVER(F26)),NA())</f>
        <v/>
      </c>
      <c r="H26" s="310" t="inlineStr">
        <is>
          <t>BLR.GGXWDG_NGDP@WEO</t>
        </is>
      </c>
      <c r="I26" s="311">
        <f>IFERROR(IF(H26="",NA(),HAVER(H26)),NA())</f>
        <v/>
      </c>
      <c r="J26" s="310" t="inlineStr">
        <is>
          <t>BLR.BCA_NGDPD@WEO</t>
        </is>
      </c>
      <c r="K26" s="311">
        <f>IFERROR(IF(J26="",NA(),HAVER(J26)),NA())</f>
        <v/>
      </c>
      <c r="L26" s="310" t="inlineStr">
        <is>
          <t>BLR.AINF_AE@IFS</t>
        </is>
      </c>
      <c r="M26" s="312">
        <f>IFERROR(IF(L26="",NA(),HAVER(L26)),NA())</f>
        <v/>
      </c>
    </row>
    <row r="27">
      <c r="B27" s="241" t="inlineStr">
        <is>
          <t>CROATIA</t>
        </is>
      </c>
      <c r="C27" s="305" t="inlineStr">
        <is>
          <t>HRV</t>
        </is>
      </c>
      <c r="D27" s="306" t="inlineStr">
        <is>
          <t>HRV.NGDP_RPCH@WEO</t>
        </is>
      </c>
      <c r="E27" s="307">
        <f>IFERROR(IF(D27="",NA(),HAVER(D27)),NA())</f>
        <v/>
      </c>
      <c r="F27" s="306" t="inlineStr">
        <is>
          <t>HRV.PCPIPCH@WEO</t>
        </is>
      </c>
      <c r="G27" s="307">
        <f>IFERROR(IF(F27="",NA(),HAVER(F27)),NA())</f>
        <v/>
      </c>
      <c r="H27" s="306" t="inlineStr">
        <is>
          <t>HRV.GGXWDG_NGDP@WEO</t>
        </is>
      </c>
      <c r="I27" s="307">
        <f>IFERROR(IF(H27="",NA(),HAVER(H27)),NA())</f>
        <v/>
      </c>
      <c r="J27" s="306" t="inlineStr">
        <is>
          <t>HRV.BCA_NGDPD@WEO</t>
        </is>
      </c>
      <c r="K27" s="307">
        <f>IFERROR(IF(J27="",NA(),HAVER(J27)),NA())</f>
        <v/>
      </c>
      <c r="L27" s="306" t="inlineStr">
        <is>
          <t>HRV.AINF_AE@IFS</t>
        </is>
      </c>
      <c r="M27" s="308">
        <f>IFERROR(IF(L27="",NA(),HAVER(L27)),NA())</f>
        <v/>
      </c>
    </row>
    <row r="28">
      <c r="B28" s="246" t="inlineStr">
        <is>
          <t>GEORGIA</t>
        </is>
      </c>
      <c r="C28" s="309" t="inlineStr">
        <is>
          <t>GEO</t>
        </is>
      </c>
      <c r="D28" s="310" t="inlineStr">
        <is>
          <t>GEO.NGDP_RPCH@WEO</t>
        </is>
      </c>
      <c r="E28" s="311">
        <f>IFERROR(IF(D28="",NA(),HAVER(D28)),NA())</f>
        <v/>
      </c>
      <c r="F28" s="310" t="inlineStr">
        <is>
          <t>GEO.PCPIPCH@WEO</t>
        </is>
      </c>
      <c r="G28" s="311">
        <f>IFERROR(IF(F28="",NA(),HAVER(F28)),NA())</f>
        <v/>
      </c>
      <c r="H28" s="310" t="inlineStr">
        <is>
          <t>GEO.GGXWDG_NGDP@WEO</t>
        </is>
      </c>
      <c r="I28" s="311">
        <f>IFERROR(IF(H28="",NA(),HAVER(H28)),NA())</f>
        <v/>
      </c>
      <c r="J28" s="310" t="inlineStr">
        <is>
          <t>GEO.BCA_NGDPD@WEO</t>
        </is>
      </c>
      <c r="K28" s="311">
        <f>IFERROR(IF(J28="",NA(),HAVER(J28)),NA())</f>
        <v/>
      </c>
      <c r="L28" s="310" t="inlineStr">
        <is>
          <t>GEO.AINF_AE@IFS</t>
        </is>
      </c>
      <c r="M28" s="312">
        <f>IFERROR(IF(L28="",NA(),HAVER(L28)),NA())</f>
        <v/>
      </c>
    </row>
    <row r="29">
      <c r="B29" s="241" t="inlineStr">
        <is>
          <t>HUNGARY</t>
        </is>
      </c>
      <c r="C29" s="305" t="inlineStr">
        <is>
          <t>HUN</t>
        </is>
      </c>
      <c r="D29" s="306" t="inlineStr">
        <is>
          <t>HUN.NGDP_RPCH@WEO</t>
        </is>
      </c>
      <c r="E29" s="307">
        <f>IFERROR(IF(D29="",NA(),HAVER(D29)),NA())</f>
        <v/>
      </c>
      <c r="F29" s="306" t="inlineStr">
        <is>
          <t>HUN.PCPIPCH@WEO</t>
        </is>
      </c>
      <c r="G29" s="307">
        <f>IFERROR(IF(F29="",NA(),HAVER(F29)),NA())</f>
        <v/>
      </c>
      <c r="H29" s="306" t="inlineStr">
        <is>
          <t>HUN.GGXWDG_NGDP@WEO</t>
        </is>
      </c>
      <c r="I29" s="307">
        <f>IFERROR(IF(H29="",NA(),HAVER(H29)),NA())</f>
        <v/>
      </c>
      <c r="J29" s="306" t="inlineStr">
        <is>
          <t>HUN.BCA_NGDPD@WEO</t>
        </is>
      </c>
      <c r="K29" s="307">
        <f>IFERROR(IF(J29="",NA(),HAVER(J29)),NA())</f>
        <v/>
      </c>
      <c r="L29" s="306" t="inlineStr">
        <is>
          <t>HUN.AINF_AE@IFS</t>
        </is>
      </c>
      <c r="M29" s="308">
        <f>IFERROR(IF(L29="",NA(),HAVER(L29)),NA())</f>
        <v/>
      </c>
    </row>
    <row r="30">
      <c r="B30" s="246" t="inlineStr">
        <is>
          <t>KAZAKHSTAN</t>
        </is>
      </c>
      <c r="C30" s="309" t="inlineStr">
        <is>
          <t>KAZ</t>
        </is>
      </c>
      <c r="D30" s="310" t="inlineStr">
        <is>
          <t>KAZ.NGDP_RPCH@WEO</t>
        </is>
      </c>
      <c r="E30" s="311">
        <f>IFERROR(IF(D30="",NA(),HAVER(D30)),NA())</f>
        <v/>
      </c>
      <c r="F30" s="310" t="inlineStr">
        <is>
          <t>KAZ.PCPIPCH@WEO</t>
        </is>
      </c>
      <c r="G30" s="311">
        <f>IFERROR(IF(F30="",NA(),HAVER(F30)),NA())</f>
        <v/>
      </c>
      <c r="H30" s="310" t="inlineStr">
        <is>
          <t>KAZ.GGXWDG_NGDP@WEO</t>
        </is>
      </c>
      <c r="I30" s="311">
        <f>IFERROR(IF(H30="",NA(),HAVER(H30)),NA())</f>
        <v/>
      </c>
      <c r="J30" s="310" t="inlineStr">
        <is>
          <t>KAZ.BCA_NGDPD@WEO</t>
        </is>
      </c>
      <c r="K30" s="311">
        <f>IFERROR(IF(J30="",NA(),HAVER(J30)),NA())</f>
        <v/>
      </c>
      <c r="L30" s="310" t="inlineStr">
        <is>
          <t>KAZ.AINF_AE@IFS</t>
        </is>
      </c>
      <c r="M30" s="312">
        <f>IFERROR(IF(L30="",NA(),HAVER(L30)),NA())</f>
        <v/>
      </c>
    </row>
    <row r="31">
      <c r="B31" s="241" t="inlineStr">
        <is>
          <t>LATVIA</t>
        </is>
      </c>
      <c r="C31" s="305" t="inlineStr">
        <is>
          <t>LVA</t>
        </is>
      </c>
      <c r="D31" s="306" t="inlineStr">
        <is>
          <t>LVA.NGDP_RPCH@WEO</t>
        </is>
      </c>
      <c r="E31" s="307">
        <f>IFERROR(IF(D31="",NA(),HAVER(D31)),NA())</f>
        <v/>
      </c>
      <c r="F31" s="306" t="inlineStr">
        <is>
          <t>LVA.PCPIPCH@WEO</t>
        </is>
      </c>
      <c r="G31" s="307">
        <f>IFERROR(IF(F31="",NA(),HAVER(F31)),NA())</f>
        <v/>
      </c>
      <c r="H31" s="306" t="inlineStr">
        <is>
          <t>LVA.GGXWDG_NGDP@WEO</t>
        </is>
      </c>
      <c r="I31" s="307">
        <f>IFERROR(IF(H31="",NA(),HAVER(H31)),NA())</f>
        <v/>
      </c>
      <c r="J31" s="306" t="inlineStr">
        <is>
          <t>LVA.BCA_NGDPD@WEO</t>
        </is>
      </c>
      <c r="K31" s="307">
        <f>IFERROR(IF(J31="",NA(),HAVER(J31)),NA())</f>
        <v/>
      </c>
      <c r="L31" s="306" t="inlineStr">
        <is>
          <t>LVA.AINF_AE@IFS</t>
        </is>
      </c>
      <c r="M31" s="308">
        <f>IFERROR(IF(L31="",NA(),HAVER(L31)),NA())</f>
        <v/>
      </c>
    </row>
    <row r="32">
      <c r="B32" s="246" t="inlineStr">
        <is>
          <t>LITHUANIA</t>
        </is>
      </c>
      <c r="C32" s="309" t="inlineStr">
        <is>
          <t>LTU</t>
        </is>
      </c>
      <c r="D32" s="310" t="inlineStr">
        <is>
          <t>LTU.NGDP_RPCH@WEO</t>
        </is>
      </c>
      <c r="E32" s="311">
        <f>IFERROR(IF(D32="",NA(),HAVER(D32)),NA())</f>
        <v/>
      </c>
      <c r="F32" s="310" t="inlineStr">
        <is>
          <t>LTU.PCPIPCH@WEO</t>
        </is>
      </c>
      <c r="G32" s="311">
        <f>IFERROR(IF(F32="",NA(),HAVER(F32)),NA())</f>
        <v/>
      </c>
      <c r="H32" s="310" t="inlineStr">
        <is>
          <t>LTU.GGXWDG_NGDP@WEO</t>
        </is>
      </c>
      <c r="I32" s="311">
        <f>IFERROR(IF(H32="",NA(),HAVER(H32)),NA())</f>
        <v/>
      </c>
      <c r="J32" s="310" t="inlineStr">
        <is>
          <t>LTU.BCA_NGDPD@WEO</t>
        </is>
      </c>
      <c r="K32" s="311">
        <f>IFERROR(IF(J32="",NA(),HAVER(J32)),NA())</f>
        <v/>
      </c>
      <c r="L32" s="310" t="inlineStr">
        <is>
          <t>LTU.AINF_AE@IFS</t>
        </is>
      </c>
      <c r="M32" s="312">
        <f>IFERROR(IF(L32="",NA(),HAVER(L32)),NA())</f>
        <v/>
      </c>
    </row>
    <row r="33">
      <c r="B33" s="241" t="inlineStr">
        <is>
          <t>NORTH MACEDONIA</t>
        </is>
      </c>
      <c r="C33" s="305" t="inlineStr">
        <is>
          <t>MKD</t>
        </is>
      </c>
      <c r="D33" s="306" t="inlineStr">
        <is>
          <t>MKD.NGDP_RPCH@WEO</t>
        </is>
      </c>
      <c r="E33" s="307">
        <f>IFERROR(IF(D33="",NA(),HAVER(D33)),NA())</f>
        <v/>
      </c>
      <c r="F33" s="306" t="inlineStr">
        <is>
          <t>MKD.PCPIPCH@WEO</t>
        </is>
      </c>
      <c r="G33" s="307">
        <f>IFERROR(IF(F33="",NA(),HAVER(F33)),NA())</f>
        <v/>
      </c>
      <c r="H33" s="306" t="inlineStr">
        <is>
          <t>MKD.GGXWDG_NGDP@WEO</t>
        </is>
      </c>
      <c r="I33" s="307">
        <f>IFERROR(IF(H33="",NA(),HAVER(H33)),NA())</f>
        <v/>
      </c>
      <c r="J33" s="306" t="inlineStr">
        <is>
          <t>MKD.BCA_NGDPD@WEO</t>
        </is>
      </c>
      <c r="K33" s="307">
        <f>IFERROR(IF(J33="",NA(),HAVER(J33)),NA())</f>
        <v/>
      </c>
      <c r="L33" s="306" t="inlineStr">
        <is>
          <t>MKD.AINF_AE@IFS</t>
        </is>
      </c>
      <c r="M33" s="308">
        <f>IFERROR(IF(L33="",NA(),HAVER(L33)),NA())</f>
        <v/>
      </c>
    </row>
    <row r="34">
      <c r="B34" s="246" t="inlineStr">
        <is>
          <t>POLAND</t>
        </is>
      </c>
      <c r="C34" s="309" t="inlineStr">
        <is>
          <t>POL</t>
        </is>
      </c>
      <c r="D34" s="310" t="inlineStr">
        <is>
          <t>POL.NGDP_RPCH@WEO</t>
        </is>
      </c>
      <c r="E34" s="311">
        <f>IFERROR(IF(D34="",NA(),HAVER(D34)),NA())</f>
        <v/>
      </c>
      <c r="F34" s="310" t="inlineStr">
        <is>
          <t>POL.PCPIPCH@WEO</t>
        </is>
      </c>
      <c r="G34" s="311">
        <f>IFERROR(IF(F34="",NA(),HAVER(F34)),NA())</f>
        <v/>
      </c>
      <c r="H34" s="310" t="inlineStr">
        <is>
          <t>POL.GGXWDG_NGDP@WEO</t>
        </is>
      </c>
      <c r="I34" s="311">
        <f>IFERROR(IF(H34="",NA(),HAVER(H34)),NA())</f>
        <v/>
      </c>
      <c r="J34" s="310" t="inlineStr">
        <is>
          <t>POL.BCA_NGDPD@WEO</t>
        </is>
      </c>
      <c r="K34" s="311">
        <f>IFERROR(IF(J34="",NA(),HAVER(J34)),NA())</f>
        <v/>
      </c>
      <c r="L34" s="310" t="inlineStr">
        <is>
          <t>POL.AINF_AE@IFS</t>
        </is>
      </c>
      <c r="M34" s="312">
        <f>IFERROR(IF(L34="",NA(),HAVER(L34)),NA())</f>
        <v/>
      </c>
    </row>
    <row r="35">
      <c r="B35" s="241" t="inlineStr">
        <is>
          <t>ROMANIA</t>
        </is>
      </c>
      <c r="C35" s="305" t="inlineStr">
        <is>
          <t>ROU</t>
        </is>
      </c>
      <c r="D35" s="306" t="inlineStr">
        <is>
          <t>ROU.NGDP_RPCH@WEO</t>
        </is>
      </c>
      <c r="E35" s="307">
        <f>IFERROR(IF(D35="",NA(),HAVER(D35)),NA())</f>
        <v/>
      </c>
      <c r="F35" s="306" t="inlineStr">
        <is>
          <t>ROU.PCPIPCH@WEO</t>
        </is>
      </c>
      <c r="G35" s="307">
        <f>IFERROR(IF(F35="",NA(),HAVER(F35)),NA())</f>
        <v/>
      </c>
      <c r="H35" s="306" t="inlineStr">
        <is>
          <t>ROU.GGXWDG_NGDP@WEO</t>
        </is>
      </c>
      <c r="I35" s="307">
        <f>IFERROR(IF(H35="",NA(),HAVER(H35)),NA())</f>
        <v/>
      </c>
      <c r="J35" s="306" t="inlineStr">
        <is>
          <t>ROU.BCA_NGDPD@WEO</t>
        </is>
      </c>
      <c r="K35" s="307">
        <f>IFERROR(IF(J35="",NA(),HAVER(J35)),NA())</f>
        <v/>
      </c>
      <c r="L35" s="306" t="inlineStr">
        <is>
          <t>ROU.AINF_AE@IFS</t>
        </is>
      </c>
      <c r="M35" s="308">
        <f>IFERROR(IF(L35="",NA(),HAVER(L35)),NA())</f>
        <v/>
      </c>
    </row>
    <row r="36">
      <c r="B36" s="246" t="inlineStr">
        <is>
          <t>RUSSIAN FEDERATION</t>
        </is>
      </c>
      <c r="C36" s="309" t="inlineStr">
        <is>
          <t>RUS</t>
        </is>
      </c>
      <c r="D36" s="310" t="inlineStr">
        <is>
          <t>RUS.NGDP_RPCH@WEO</t>
        </is>
      </c>
      <c r="E36" s="311">
        <f>IFERROR(IF(D36="",NA(),HAVER(D36)),NA())</f>
        <v/>
      </c>
      <c r="F36" s="310" t="inlineStr">
        <is>
          <t>RUS.PCPIPCH@WEO</t>
        </is>
      </c>
      <c r="G36" s="311">
        <f>IFERROR(IF(F36="",NA(),HAVER(F36)),NA())</f>
        <v/>
      </c>
      <c r="H36" s="310" t="inlineStr">
        <is>
          <t>RUS.GGXWDG_NGDP@WEO</t>
        </is>
      </c>
      <c r="I36" s="311">
        <f>IFERROR(IF(H36="",NA(),HAVER(H36)),NA())</f>
        <v/>
      </c>
      <c r="J36" s="310" t="inlineStr">
        <is>
          <t>RUS.BCA_NGDPD@WEO</t>
        </is>
      </c>
      <c r="K36" s="311">
        <f>IFERROR(IF(J36="",NA(),HAVER(J36)),NA())</f>
        <v/>
      </c>
      <c r="L36" s="310" t="inlineStr">
        <is>
          <t>RUS.AINF_AE@IFS</t>
        </is>
      </c>
      <c r="M36" s="312">
        <f>IFERROR(IF(L36="",NA(),HAVER(L36)),NA())</f>
        <v/>
      </c>
    </row>
    <row r="37">
      <c r="B37" s="241" t="inlineStr">
        <is>
          <t>SERBIA</t>
        </is>
      </c>
      <c r="C37" s="305" t="inlineStr">
        <is>
          <t>SRB</t>
        </is>
      </c>
      <c r="D37" s="306" t="inlineStr">
        <is>
          <t>SRB.NGDP_RPCH@WEO</t>
        </is>
      </c>
      <c r="E37" s="307">
        <f>IFERROR(IF(D37="",NA(),HAVER(D37)),NA())</f>
        <v/>
      </c>
      <c r="F37" s="306" t="inlineStr">
        <is>
          <t>SRB.PCPIPCH@WEO</t>
        </is>
      </c>
      <c r="G37" s="307">
        <f>IFERROR(IF(F37="",NA(),HAVER(F37)),NA())</f>
        <v/>
      </c>
      <c r="H37" s="306" t="inlineStr">
        <is>
          <t>SRB.GGXWDG_NGDP@WEO</t>
        </is>
      </c>
      <c r="I37" s="307">
        <f>IFERROR(IF(H37="",NA(),HAVER(H37)),NA())</f>
        <v/>
      </c>
      <c r="J37" s="306" t="inlineStr">
        <is>
          <t>SRB.BCA_NGDPD@WEO</t>
        </is>
      </c>
      <c r="K37" s="307">
        <f>IFERROR(IF(J37="",NA(),HAVER(J37)),NA())</f>
        <v/>
      </c>
      <c r="L37" s="306" t="inlineStr">
        <is>
          <t>SRB.AINF_AE@IFS</t>
        </is>
      </c>
      <c r="M37" s="308">
        <f>IFERROR(IF(L37="",NA(),HAVER(L37)),NA())</f>
        <v/>
      </c>
    </row>
    <row r="38">
      <c r="B38" s="246" t="inlineStr">
        <is>
          <t>SLOVAKIA</t>
        </is>
      </c>
      <c r="C38" s="309" t="inlineStr">
        <is>
          <t>SVK</t>
        </is>
      </c>
      <c r="D38" s="310" t="inlineStr">
        <is>
          <t>SVK.NGDP_RPCH@WEO</t>
        </is>
      </c>
      <c r="E38" s="311">
        <f>IFERROR(IF(D38="",NA(),HAVER(D38)),NA())</f>
        <v/>
      </c>
      <c r="F38" s="310" t="inlineStr">
        <is>
          <t>SVK.PCPIPCH@WEO</t>
        </is>
      </c>
      <c r="G38" s="311">
        <f>IFERROR(IF(F38="",NA(),HAVER(F38)),NA())</f>
        <v/>
      </c>
      <c r="H38" s="310" t="inlineStr">
        <is>
          <t>SVK.GGXWDG_NGDP@WEO</t>
        </is>
      </c>
      <c r="I38" s="311">
        <f>IFERROR(IF(H38="",NA(),HAVER(H38)),NA())</f>
        <v/>
      </c>
      <c r="J38" s="310" t="inlineStr">
        <is>
          <t>SVK.BCA_NGDPD@WEO</t>
        </is>
      </c>
      <c r="K38" s="311">
        <f>IFERROR(IF(J38="",NA(),HAVER(J38)),NA())</f>
        <v/>
      </c>
      <c r="L38" s="310" t="inlineStr">
        <is>
          <t>SVK.AINF_AE@IFS</t>
        </is>
      </c>
      <c r="M38" s="312">
        <f>IFERROR(IF(L38="",NA(),HAVER(L38)),NA())</f>
        <v/>
      </c>
    </row>
    <row r="39">
      <c r="B39" s="241" t="inlineStr">
        <is>
          <t>SLOVENIA</t>
        </is>
      </c>
      <c r="C39" s="305" t="inlineStr">
        <is>
          <t>SVN</t>
        </is>
      </c>
      <c r="D39" s="306" t="inlineStr">
        <is>
          <t>SVN.NGDP_RPCH@WEO</t>
        </is>
      </c>
      <c r="E39" s="307">
        <f>IFERROR(IF(D39="",NA(),HAVER(D39)),NA())</f>
        <v/>
      </c>
      <c r="F39" s="306" t="inlineStr">
        <is>
          <t>SVN.PCPIPCH@WEO</t>
        </is>
      </c>
      <c r="G39" s="307">
        <f>IFERROR(IF(F39="",NA(),HAVER(F39)),NA())</f>
        <v/>
      </c>
      <c r="H39" s="306" t="inlineStr">
        <is>
          <t>SVN.GGXWDG_NGDP@WEO</t>
        </is>
      </c>
      <c r="I39" s="307">
        <f>IFERROR(IF(H39="",NA(),HAVER(H39)),NA())</f>
        <v/>
      </c>
      <c r="J39" s="306" t="inlineStr">
        <is>
          <t>SVN.BCA_NGDPD@WEO</t>
        </is>
      </c>
      <c r="K39" s="307">
        <f>IFERROR(IF(J39="",NA(),HAVER(J39)),NA())</f>
        <v/>
      </c>
      <c r="L39" s="306" t="inlineStr">
        <is>
          <t>SVN.AINF_AE@IFS</t>
        </is>
      </c>
      <c r="M39" s="308">
        <f>IFERROR(IF(L39="",NA(),HAVER(L39)),NA())</f>
        <v/>
      </c>
    </row>
    <row r="40">
      <c r="B40" s="246" t="inlineStr">
        <is>
          <t>TURKEY</t>
        </is>
      </c>
      <c r="C40" s="309" t="inlineStr">
        <is>
          <t>TUR</t>
        </is>
      </c>
      <c r="D40" s="310" t="inlineStr">
        <is>
          <t>TUR.NGDP_RPCH@WEO</t>
        </is>
      </c>
      <c r="E40" s="311">
        <f>IFERROR(IF(D40="",NA(),HAVER(D40)),NA())</f>
        <v/>
      </c>
      <c r="F40" s="310" t="inlineStr">
        <is>
          <t>TUR.PCPIPCH@WEO</t>
        </is>
      </c>
      <c r="G40" s="311">
        <f>IFERROR(IF(F40="",NA(),HAVER(F40)),NA())</f>
        <v/>
      </c>
      <c r="H40" s="310" t="inlineStr">
        <is>
          <t>TUR.GGXWDG_NGDP@WEO</t>
        </is>
      </c>
      <c r="I40" s="311">
        <f>IFERROR(IF(H40="",NA(),HAVER(H40)),NA())</f>
        <v/>
      </c>
      <c r="J40" s="310" t="inlineStr">
        <is>
          <t>TUR.BCA_NGDPD@WEO</t>
        </is>
      </c>
      <c r="K40" s="311">
        <f>IFERROR(IF(J40="",NA(),HAVER(J40)),NA())</f>
        <v/>
      </c>
      <c r="L40" s="310" t="inlineStr">
        <is>
          <t>TUR.AINF_AE@IFS</t>
        </is>
      </c>
      <c r="M40" s="312">
        <f>IFERROR(IF(L40="",NA(),HAVER(L40)),NA())</f>
        <v/>
      </c>
    </row>
    <row r="41">
      <c r="B41" s="241" t="inlineStr">
        <is>
          <t>UKRAINE</t>
        </is>
      </c>
      <c r="C41" s="305" t="inlineStr">
        <is>
          <t>UKR</t>
        </is>
      </c>
      <c r="D41" s="306" t="inlineStr">
        <is>
          <t>UKR.NGDP_RPCH@WEO</t>
        </is>
      </c>
      <c r="E41" s="307">
        <f>IFERROR(IF(D41="",NA(),HAVER(D41)),NA())</f>
        <v/>
      </c>
      <c r="F41" s="306" t="inlineStr">
        <is>
          <t>UKR.PCPIPCH@WEO</t>
        </is>
      </c>
      <c r="G41" s="307">
        <f>IFERROR(IF(F41="",NA(),HAVER(F41)),NA())</f>
        <v/>
      </c>
      <c r="H41" s="306" t="inlineStr">
        <is>
          <t>UKR.GGXWDG_NGDP@WEO</t>
        </is>
      </c>
      <c r="I41" s="307">
        <f>IFERROR(IF(H41="",NA(),HAVER(H41)),NA())</f>
        <v/>
      </c>
      <c r="J41" s="306" t="inlineStr">
        <is>
          <t>UKR.BCA_NGDPD@WEO</t>
        </is>
      </c>
      <c r="K41" s="307">
        <f>IFERROR(IF(J41="",NA(),HAVER(J41)),NA())</f>
        <v/>
      </c>
      <c r="L41" s="306" t="inlineStr">
        <is>
          <t>UKR.AINF_AE@IFS</t>
        </is>
      </c>
      <c r="M41" s="308">
        <f>IFERROR(IF(L41="",NA(),HAVER(L41)),NA())</f>
        <v/>
      </c>
    </row>
    <row r="42">
      <c r="B42" s="246" t="inlineStr">
        <is>
          <t>UZBEKISTAN</t>
        </is>
      </c>
      <c r="C42" s="309" t="inlineStr">
        <is>
          <t>UZB</t>
        </is>
      </c>
      <c r="D42" s="310" t="inlineStr">
        <is>
          <t>UZB.NGDP_RPCH@WEO</t>
        </is>
      </c>
      <c r="E42" s="311">
        <f>IFERROR(IF(D42="",NA(),HAVER(D42)),NA())</f>
        <v/>
      </c>
      <c r="F42" s="310" t="inlineStr">
        <is>
          <t>UZB.PCPIPCH@WEO</t>
        </is>
      </c>
      <c r="G42" s="311">
        <f>IFERROR(IF(F42="",NA(),HAVER(F42)),NA())</f>
        <v/>
      </c>
      <c r="H42" s="310" t="inlineStr">
        <is>
          <t>UZB.GGXWDG_NGDP@WEO</t>
        </is>
      </c>
      <c r="I42" s="311">
        <f>IFERROR(IF(H42="",NA(),HAVER(H42)),NA())</f>
        <v/>
      </c>
      <c r="J42" s="310" t="inlineStr">
        <is>
          <t>UZB.BCA_NGDPD@WEO</t>
        </is>
      </c>
      <c r="K42" s="311">
        <f>IFERROR(IF(J42="",NA(),HAVER(J42)),NA())</f>
        <v/>
      </c>
      <c r="L42" s="310" t="inlineStr">
        <is>
          <t>UZB.AINF_AE@IFS</t>
        </is>
      </c>
      <c r="M42" s="312">
        <f>IFERROR(IF(L42="",NA(),HAVER(L42)),NA())</f>
        <v/>
      </c>
    </row>
    <row r="43">
      <c r="B43" s="241" t="inlineStr">
        <is>
          <t>BAHRAIN</t>
        </is>
      </c>
      <c r="C43" s="305" t="inlineStr">
        <is>
          <t>BHR</t>
        </is>
      </c>
      <c r="D43" s="306" t="inlineStr">
        <is>
          <t>BHR.NGDP_RPCH@WEO</t>
        </is>
      </c>
      <c r="E43" s="307">
        <f>IFERROR(IF(D43="",NA(),HAVER(D43)),NA())</f>
        <v/>
      </c>
      <c r="F43" s="306" t="inlineStr">
        <is>
          <t>BHR.PCPIPCH@WEO</t>
        </is>
      </c>
      <c r="G43" s="307">
        <f>IFERROR(IF(F43="",NA(),HAVER(F43)),NA())</f>
        <v/>
      </c>
      <c r="H43" s="306" t="inlineStr">
        <is>
          <t>BHR.GGXWDG_NGDP@WEO</t>
        </is>
      </c>
      <c r="I43" s="307">
        <f>IFERROR(IF(H43="",NA(),HAVER(H43)),NA())</f>
        <v/>
      </c>
      <c r="J43" s="306" t="inlineStr">
        <is>
          <t>BHR.BCA_NGDPD@WEO</t>
        </is>
      </c>
      <c r="K43" s="307">
        <f>IFERROR(IF(J43="",NA(),HAVER(J43)),NA())</f>
        <v/>
      </c>
      <c r="L43" s="306" t="inlineStr">
        <is>
          <t>BHR.AINF_AE@IFS</t>
        </is>
      </c>
      <c r="M43" s="308">
        <f>IFERROR(IF(L43="",NA(),HAVER(L43)),NA())</f>
        <v/>
      </c>
    </row>
    <row r="44">
      <c r="B44" s="246" t="inlineStr">
        <is>
          <t>EGYPT</t>
        </is>
      </c>
      <c r="C44" s="309" t="inlineStr">
        <is>
          <t>EGY</t>
        </is>
      </c>
      <c r="D44" s="310" t="inlineStr">
        <is>
          <t>EGY.NGDP_RPCH@WEO</t>
        </is>
      </c>
      <c r="E44" s="311">
        <f>IFERROR(IF(D44="",NA(),HAVER(D44)),NA())</f>
        <v/>
      </c>
      <c r="F44" s="310" t="inlineStr">
        <is>
          <t>EGY.PCPIPCH@WEO</t>
        </is>
      </c>
      <c r="G44" s="311">
        <f>IFERROR(IF(F44="",NA(),HAVER(F44)),NA())</f>
        <v/>
      </c>
      <c r="H44" s="310" t="inlineStr">
        <is>
          <t>EGY.GGXWDG_NGDP@WEO</t>
        </is>
      </c>
      <c r="I44" s="311">
        <f>IFERROR(IF(H44="",NA(),HAVER(H44)),NA())</f>
        <v/>
      </c>
      <c r="J44" s="310" t="inlineStr">
        <is>
          <t>EGY.BCA_NGDPD@WEO</t>
        </is>
      </c>
      <c r="K44" s="311">
        <f>IFERROR(IF(J44="",NA(),HAVER(J44)),NA())</f>
        <v/>
      </c>
      <c r="L44" s="310" t="inlineStr">
        <is>
          <t>EGY.AINF_AE@IFS</t>
        </is>
      </c>
      <c r="M44" s="312">
        <f>IFERROR(IF(L44="",NA(),HAVER(L44)),NA())</f>
        <v/>
      </c>
    </row>
    <row r="45">
      <c r="B45" s="241" t="inlineStr">
        <is>
          <t>IRAQ</t>
        </is>
      </c>
      <c r="C45" s="305" t="inlineStr">
        <is>
          <t>IRQ</t>
        </is>
      </c>
      <c r="D45" s="306" t="inlineStr">
        <is>
          <t>IRQ.NGDP_RPCH@WEO</t>
        </is>
      </c>
      <c r="E45" s="307">
        <f>IFERROR(IF(D45="",NA(),HAVER(D45)),NA())</f>
        <v/>
      </c>
      <c r="F45" s="306" t="inlineStr">
        <is>
          <t>IRQ.PCPIPCH@WEO</t>
        </is>
      </c>
      <c r="G45" s="307">
        <f>IFERROR(IF(F45="",NA(),HAVER(F45)),NA())</f>
        <v/>
      </c>
      <c r="H45" s="306" t="inlineStr">
        <is>
          <t>IRQ.GGXWDG_NGDP@WEO</t>
        </is>
      </c>
      <c r="I45" s="307">
        <f>IFERROR(IF(H45="",NA(),HAVER(H45)),NA())</f>
        <v/>
      </c>
      <c r="J45" s="306" t="inlineStr">
        <is>
          <t>IRQ.BCA_NGDPD@WEO</t>
        </is>
      </c>
      <c r="K45" s="307">
        <f>IFERROR(IF(J45="",NA(),HAVER(J45)),NA())</f>
        <v/>
      </c>
      <c r="L45" s="306" t="inlineStr">
        <is>
          <t>IRQ.AINF_AE@IFS</t>
        </is>
      </c>
      <c r="M45" s="308">
        <f>IFERROR(IF(L45="",NA(),HAVER(L45)),NA())</f>
        <v/>
      </c>
    </row>
    <row r="46">
      <c r="B46" s="246" t="inlineStr">
        <is>
          <t>ISRAEL</t>
        </is>
      </c>
      <c r="C46" s="309" t="inlineStr">
        <is>
          <t>ISR</t>
        </is>
      </c>
      <c r="D46" s="310" t="inlineStr">
        <is>
          <t>ISR.NGDP_RPCH@WEO</t>
        </is>
      </c>
      <c r="E46" s="311">
        <f>IFERROR(IF(D46="",NA(),HAVER(D46)),NA())</f>
        <v/>
      </c>
      <c r="F46" s="310" t="inlineStr">
        <is>
          <t>ISR.PCPIPCH@WEO</t>
        </is>
      </c>
      <c r="G46" s="311">
        <f>IFERROR(IF(F46="",NA(),HAVER(F46)),NA())</f>
        <v/>
      </c>
      <c r="H46" s="310" t="inlineStr">
        <is>
          <t>ISR.GGXWDG_NGDP@WEO</t>
        </is>
      </c>
      <c r="I46" s="311">
        <f>IFERROR(IF(H46="",NA(),HAVER(H46)),NA())</f>
        <v/>
      </c>
      <c r="J46" s="310" t="inlineStr">
        <is>
          <t>ISR.BCA_NGDPD@WEO</t>
        </is>
      </c>
      <c r="K46" s="311">
        <f>IFERROR(IF(J46="",NA(),HAVER(J46)),NA())</f>
        <v/>
      </c>
      <c r="L46" s="310" t="inlineStr">
        <is>
          <t>ISR.AINF_AE@IFS</t>
        </is>
      </c>
      <c r="M46" s="312">
        <f>IFERROR(IF(L46="",NA(),HAVER(L46)),NA())</f>
        <v/>
      </c>
    </row>
    <row r="47">
      <c r="B47" s="241" t="inlineStr">
        <is>
          <t>JORDAN</t>
        </is>
      </c>
      <c r="C47" s="305" t="inlineStr">
        <is>
          <t>JOR</t>
        </is>
      </c>
      <c r="D47" s="306" t="inlineStr">
        <is>
          <t>JOR.NGDP_RPCH@WEO</t>
        </is>
      </c>
      <c r="E47" s="307">
        <f>IFERROR(IF(D47="",NA(),HAVER(D47)),NA())</f>
        <v/>
      </c>
      <c r="F47" s="306" t="inlineStr">
        <is>
          <t>JOR.PCPIPCH@WEO</t>
        </is>
      </c>
      <c r="G47" s="307">
        <f>IFERROR(IF(F47="",NA(),HAVER(F47)),NA())</f>
        <v/>
      </c>
      <c r="H47" s="306" t="inlineStr">
        <is>
          <t>JOR.GGXWDG_NGDP@WEO</t>
        </is>
      </c>
      <c r="I47" s="307">
        <f>IFERROR(IF(H47="",NA(),HAVER(H47)),NA())</f>
        <v/>
      </c>
      <c r="J47" s="306" t="inlineStr">
        <is>
          <t>JOR.BCA_NGDPD@WEO</t>
        </is>
      </c>
      <c r="K47" s="307">
        <f>IFERROR(IF(J47="",NA(),HAVER(J47)),NA())</f>
        <v/>
      </c>
      <c r="L47" s="306" t="inlineStr">
        <is>
          <t>JOR.AINF_AE@IFS</t>
        </is>
      </c>
      <c r="M47" s="308">
        <f>IFERROR(IF(L47="",NA(),HAVER(L47)),NA())</f>
        <v/>
      </c>
    </row>
    <row r="48">
      <c r="B48" s="246" t="inlineStr">
        <is>
          <t>KUWAIT</t>
        </is>
      </c>
      <c r="C48" s="309" t="inlineStr">
        <is>
          <t>KWT</t>
        </is>
      </c>
      <c r="D48" s="310" t="inlineStr">
        <is>
          <t>KWT.NGDP_RPCH@WEO</t>
        </is>
      </c>
      <c r="E48" s="311">
        <f>IFERROR(IF(D48="",NA(),HAVER(D48)),NA())</f>
        <v/>
      </c>
      <c r="F48" s="310" t="inlineStr">
        <is>
          <t>KWT.PCPIPCH@WEO</t>
        </is>
      </c>
      <c r="G48" s="311">
        <f>IFERROR(IF(F48="",NA(),HAVER(F48)),NA())</f>
        <v/>
      </c>
      <c r="H48" s="310" t="inlineStr">
        <is>
          <t>KWT.GGXWDG_NGDP@WEO</t>
        </is>
      </c>
      <c r="I48" s="311">
        <f>IFERROR(IF(H48="",NA(),HAVER(H48)),NA())</f>
        <v/>
      </c>
      <c r="J48" s="310" t="inlineStr">
        <is>
          <t>KWT.BCA_NGDPD@WEO</t>
        </is>
      </c>
      <c r="K48" s="311">
        <f>IFERROR(IF(J48="",NA(),HAVER(J48)),NA())</f>
        <v/>
      </c>
      <c r="L48" s="310" t="inlineStr">
        <is>
          <t>KWT.AINF_AE@IFS</t>
        </is>
      </c>
      <c r="M48" s="312">
        <f>IFERROR(IF(L48="",NA(),HAVER(L48)),NA())</f>
        <v/>
      </c>
    </row>
    <row r="49">
      <c r="B49" s="241" t="inlineStr">
        <is>
          <t>LEBANON</t>
        </is>
      </c>
      <c r="C49" s="305" t="inlineStr">
        <is>
          <t>LBN</t>
        </is>
      </c>
      <c r="D49" s="306" t="inlineStr">
        <is>
          <t>LBN.NGDP_RPCH@WEO</t>
        </is>
      </c>
      <c r="E49" s="307">
        <f>IFERROR(IF(D49="",NA(),HAVER(D49)),NA())</f>
        <v/>
      </c>
      <c r="F49" s="306" t="inlineStr">
        <is>
          <t>LBN.PCPIPCH@WEO</t>
        </is>
      </c>
      <c r="G49" s="307">
        <f>IFERROR(IF(F49="",NA(),HAVER(F49)),NA())</f>
        <v/>
      </c>
      <c r="H49" s="306" t="inlineStr">
        <is>
          <t>LBN.GGXWDG_NGDP@WEO</t>
        </is>
      </c>
      <c r="I49" s="307">
        <f>IFERROR(IF(H49="",NA(),HAVER(H49)),NA())</f>
        <v/>
      </c>
      <c r="J49" s="306" t="inlineStr">
        <is>
          <t>LBN.BCA_NGDPD@WEO</t>
        </is>
      </c>
      <c r="K49" s="307">
        <f>IFERROR(IF(J49="",NA(),HAVER(J49)),NA())</f>
        <v/>
      </c>
      <c r="L49" s="306" t="inlineStr">
        <is>
          <t>LBN.AINF_AE@IFS</t>
        </is>
      </c>
      <c r="M49" s="308">
        <f>IFERROR(IF(L49="",NA(),HAVER(L49)),NA())</f>
        <v/>
      </c>
    </row>
    <row r="50">
      <c r="B50" s="246" t="inlineStr">
        <is>
          <t>MOROCCO</t>
        </is>
      </c>
      <c r="C50" s="309" t="inlineStr">
        <is>
          <t>MAR</t>
        </is>
      </c>
      <c r="D50" s="310" t="inlineStr">
        <is>
          <t>MAR.NGDP_RPCH@WEO</t>
        </is>
      </c>
      <c r="E50" s="311">
        <f>IFERROR(IF(D50="",NA(),HAVER(D50)),NA())</f>
        <v/>
      </c>
      <c r="F50" s="310" t="inlineStr">
        <is>
          <t>MAR.PCPIPCH@WEO</t>
        </is>
      </c>
      <c r="G50" s="311">
        <f>IFERROR(IF(F50="",NA(),HAVER(F50)),NA())</f>
        <v/>
      </c>
      <c r="H50" s="310" t="inlineStr">
        <is>
          <t>MAR.GGXWDG_NGDP@WEO</t>
        </is>
      </c>
      <c r="I50" s="311">
        <f>IFERROR(IF(H50="",NA(),HAVER(H50)),NA())</f>
        <v/>
      </c>
      <c r="J50" s="310" t="inlineStr">
        <is>
          <t>MAR.BCA_NGDPD@WEO</t>
        </is>
      </c>
      <c r="K50" s="311">
        <f>IFERROR(IF(J50="",NA(),HAVER(J50)),NA())</f>
        <v/>
      </c>
      <c r="L50" s="310" t="inlineStr">
        <is>
          <t>MAR.AINF_AE@IFS</t>
        </is>
      </c>
      <c r="M50" s="312">
        <f>IFERROR(IF(L50="",NA(),HAVER(L50)),NA())</f>
        <v/>
      </c>
    </row>
    <row r="51">
      <c r="B51" s="241" t="inlineStr">
        <is>
          <t>OMAN</t>
        </is>
      </c>
      <c r="C51" s="305" t="inlineStr">
        <is>
          <t>OMN</t>
        </is>
      </c>
      <c r="D51" s="306" t="inlineStr">
        <is>
          <t>OMN.NGDP_RPCH@WEO</t>
        </is>
      </c>
      <c r="E51" s="307">
        <f>IFERROR(IF(D51="",NA(),HAVER(D51)),NA())</f>
        <v/>
      </c>
      <c r="F51" s="306" t="inlineStr">
        <is>
          <t>OMN.PCPIPCH@WEO</t>
        </is>
      </c>
      <c r="G51" s="307">
        <f>IFERROR(IF(F51="",NA(),HAVER(F51)),NA())</f>
        <v/>
      </c>
      <c r="H51" s="306" t="inlineStr">
        <is>
          <t>OMN.GGXWDG_NGDP@WEO</t>
        </is>
      </c>
      <c r="I51" s="307">
        <f>IFERROR(IF(H51="",NA(),HAVER(H51)),NA())</f>
        <v/>
      </c>
      <c r="J51" s="306" t="inlineStr">
        <is>
          <t>OMN.BCA_NGDPD@WEO</t>
        </is>
      </c>
      <c r="K51" s="307">
        <f>IFERROR(IF(J51="",NA(),HAVER(J51)),NA())</f>
        <v/>
      </c>
      <c r="L51" s="306" t="inlineStr">
        <is>
          <t>OMN.AINF_AE@IFS</t>
        </is>
      </c>
      <c r="M51" s="308">
        <f>IFERROR(IF(L51="",NA(),HAVER(L51)),NA())</f>
        <v/>
      </c>
    </row>
    <row r="52">
      <c r="B52" s="246" t="inlineStr">
        <is>
          <t>QATAR</t>
        </is>
      </c>
      <c r="C52" s="309" t="inlineStr">
        <is>
          <t>QAT</t>
        </is>
      </c>
      <c r="D52" s="310" t="inlineStr">
        <is>
          <t>QAT.NGDP_RPCH@WEO</t>
        </is>
      </c>
      <c r="E52" s="311">
        <f>IFERROR(IF(D52="",NA(),HAVER(D52)),NA())</f>
        <v/>
      </c>
      <c r="F52" s="310" t="inlineStr">
        <is>
          <t>QAT.PCPIPCH@WEO</t>
        </is>
      </c>
      <c r="G52" s="311">
        <f>IFERROR(IF(F52="",NA(),HAVER(F52)),NA())</f>
        <v/>
      </c>
      <c r="H52" s="310" t="inlineStr">
        <is>
          <t>QAT.GGXWDG_NGDP@WEO</t>
        </is>
      </c>
      <c r="I52" s="311">
        <f>IFERROR(IF(H52="",NA(),HAVER(H52)),NA())</f>
        <v/>
      </c>
      <c r="J52" s="310" t="inlineStr">
        <is>
          <t>QAT.BCA_NGDPD@WEO</t>
        </is>
      </c>
      <c r="K52" s="311">
        <f>IFERROR(IF(J52="",NA(),HAVER(J52)),NA())</f>
        <v/>
      </c>
      <c r="L52" s="310" t="inlineStr">
        <is>
          <t>QAT.AINF_AE@IFS</t>
        </is>
      </c>
      <c r="M52" s="312">
        <f>IFERROR(IF(L52="",NA(),HAVER(L52)),NA())</f>
        <v/>
      </c>
    </row>
    <row r="53">
      <c r="B53" s="241" t="inlineStr">
        <is>
          <t>SAUDI ARABIA</t>
        </is>
      </c>
      <c r="C53" s="305" t="inlineStr">
        <is>
          <t>SAU</t>
        </is>
      </c>
      <c r="D53" s="306" t="inlineStr">
        <is>
          <t>SAU.NGDP_RPCH@WEO</t>
        </is>
      </c>
      <c r="E53" s="307">
        <f>IFERROR(IF(D53="",NA(),HAVER(D53)),NA())</f>
        <v/>
      </c>
      <c r="F53" s="306" t="inlineStr">
        <is>
          <t>SAU.PCPIPCH@WEO</t>
        </is>
      </c>
      <c r="G53" s="307">
        <f>IFERROR(IF(F53="",NA(),HAVER(F53)),NA())</f>
        <v/>
      </c>
      <c r="H53" s="306" t="inlineStr">
        <is>
          <t>SAU.GGXWDG_NGDP@WEO</t>
        </is>
      </c>
      <c r="I53" s="307">
        <f>IFERROR(IF(H53="",NA(),HAVER(H53)),NA())</f>
        <v/>
      </c>
      <c r="J53" s="306" t="inlineStr">
        <is>
          <t>SAU.BCA_NGDPD@WEO</t>
        </is>
      </c>
      <c r="K53" s="307">
        <f>IFERROR(IF(J53="",NA(),HAVER(J53)),NA())</f>
        <v/>
      </c>
      <c r="L53" s="306" t="inlineStr">
        <is>
          <t>SAU.AINF_AE@IFS</t>
        </is>
      </c>
      <c r="M53" s="308">
        <f>IFERROR(IF(L53="",NA(),HAVER(L53)),NA())</f>
        <v/>
      </c>
    </row>
    <row r="54">
      <c r="B54" s="246" t="inlineStr">
        <is>
          <t>TUNISIA</t>
        </is>
      </c>
      <c r="C54" s="309" t="inlineStr">
        <is>
          <t>TUN</t>
        </is>
      </c>
      <c r="D54" s="310" t="inlineStr">
        <is>
          <t>TUN.NGDP_RPCH@WEO</t>
        </is>
      </c>
      <c r="E54" s="311">
        <f>IFERROR(IF(D54="",NA(),HAVER(D54)),NA())</f>
        <v/>
      </c>
      <c r="F54" s="310" t="inlineStr">
        <is>
          <t>TUN.PCPIPCH@WEO</t>
        </is>
      </c>
      <c r="G54" s="311">
        <f>IFERROR(IF(F54="",NA(),HAVER(F54)),NA())</f>
        <v/>
      </c>
      <c r="H54" s="310" t="inlineStr">
        <is>
          <t>TUN.GGXWDG_NGDP@WEO</t>
        </is>
      </c>
      <c r="I54" s="311">
        <f>IFERROR(IF(H54="",NA(),HAVER(H54)),NA())</f>
        <v/>
      </c>
      <c r="J54" s="310" t="inlineStr">
        <is>
          <t>TUN.BCA_NGDPD@WEO</t>
        </is>
      </c>
      <c r="K54" s="311">
        <f>IFERROR(IF(J54="",NA(),HAVER(J54)),NA())</f>
        <v/>
      </c>
      <c r="L54" s="310" t="inlineStr">
        <is>
          <t>TUN.AINF_AE@IFS</t>
        </is>
      </c>
      <c r="M54" s="312">
        <f>IFERROR(IF(L54="",NA(),HAVER(L54)),NA())</f>
        <v/>
      </c>
    </row>
    <row r="55">
      <c r="B55" s="241" t="inlineStr">
        <is>
          <t>UNITED ARAB EMIRATES</t>
        </is>
      </c>
      <c r="C55" s="305" t="inlineStr">
        <is>
          <t>ARE</t>
        </is>
      </c>
      <c r="D55" s="306" t="inlineStr">
        <is>
          <t>ARE.NGDP_RPCH@WEO</t>
        </is>
      </c>
      <c r="E55" s="307">
        <f>IFERROR(IF(D55="",NA(),HAVER(D55)),NA())</f>
        <v/>
      </c>
      <c r="F55" s="306" t="inlineStr">
        <is>
          <t>ARE.PCPIPCH@WEO</t>
        </is>
      </c>
      <c r="G55" s="307">
        <f>IFERROR(IF(F55="",NA(),HAVER(F55)),NA())</f>
        <v/>
      </c>
      <c r="H55" s="306" t="inlineStr">
        <is>
          <t>ARE.GGXWDG_NGDP@WEO</t>
        </is>
      </c>
      <c r="I55" s="307">
        <f>IFERROR(IF(H55="",NA(),HAVER(H55)),NA())</f>
        <v/>
      </c>
      <c r="J55" s="306" t="inlineStr">
        <is>
          <t>ARE.BCA_NGDPD@WEO</t>
        </is>
      </c>
      <c r="K55" s="307">
        <f>IFERROR(IF(J55="",NA(),HAVER(J55)),NA())</f>
        <v/>
      </c>
      <c r="L55" s="306" t="inlineStr">
        <is>
          <t>ARE.AINF_AE@IFS</t>
        </is>
      </c>
      <c r="M55" s="308">
        <f>IFERROR(IF(L55="",NA(),HAVER(L55)),NA())</f>
        <v/>
      </c>
    </row>
    <row r="56">
      <c r="B56" s="246" t="inlineStr">
        <is>
          <t>ANGOLA</t>
        </is>
      </c>
      <c r="C56" s="309" t="inlineStr">
        <is>
          <t>AGO</t>
        </is>
      </c>
      <c r="D56" s="310" t="inlineStr">
        <is>
          <t>AGO.NGDP_RPCH@WEO</t>
        </is>
      </c>
      <c r="E56" s="311">
        <f>IFERROR(IF(D56="",NA(),HAVER(D56)),NA())</f>
        <v/>
      </c>
      <c r="F56" s="310" t="inlineStr">
        <is>
          <t>AGO.PCPIPCH@WEO</t>
        </is>
      </c>
      <c r="G56" s="311">
        <f>IFERROR(IF(F56="",NA(),HAVER(F56)),NA())</f>
        <v/>
      </c>
      <c r="H56" s="310" t="inlineStr">
        <is>
          <t>AGO.GGXWDG_NGDP@WEO</t>
        </is>
      </c>
      <c r="I56" s="311">
        <f>IFERROR(IF(H56="",NA(),HAVER(H56)),NA())</f>
        <v/>
      </c>
      <c r="J56" s="310" t="inlineStr">
        <is>
          <t>AGO.BCA_NGDPD@WEO</t>
        </is>
      </c>
      <c r="K56" s="311">
        <f>IFERROR(IF(J56="",NA(),HAVER(J56)),NA())</f>
        <v/>
      </c>
      <c r="L56" s="310" t="inlineStr">
        <is>
          <t>AGO.AINF_AE@IFS</t>
        </is>
      </c>
      <c r="M56" s="312">
        <f>IFERROR(IF(L56="",NA(),HAVER(L56)),NA())</f>
        <v/>
      </c>
    </row>
    <row r="57">
      <c r="B57" s="241" t="inlineStr">
        <is>
          <t>CAMEROON</t>
        </is>
      </c>
      <c r="C57" s="305" t="inlineStr">
        <is>
          <t>CMR</t>
        </is>
      </c>
      <c r="D57" s="306" t="inlineStr">
        <is>
          <t>CMR.NGDP_RPCH@WEO</t>
        </is>
      </c>
      <c r="E57" s="307">
        <f>IFERROR(IF(D57="",NA(),HAVER(D57)),NA())</f>
        <v/>
      </c>
      <c r="F57" s="306" t="inlineStr">
        <is>
          <t>CMR.PCPIPCH@WEO</t>
        </is>
      </c>
      <c r="G57" s="307">
        <f>IFERROR(IF(F57="",NA(),HAVER(F57)),NA())</f>
        <v/>
      </c>
      <c r="H57" s="306" t="inlineStr">
        <is>
          <t>CMR.GGXWDG_NGDP@WEO</t>
        </is>
      </c>
      <c r="I57" s="307">
        <f>IFERROR(IF(H57="",NA(),HAVER(H57)),NA())</f>
        <v/>
      </c>
      <c r="J57" s="306" t="inlineStr">
        <is>
          <t>CMR.BCA_NGDPD@WEO</t>
        </is>
      </c>
      <c r="K57" s="307">
        <f>IFERROR(IF(J57="",NA(),HAVER(J57)),NA())</f>
        <v/>
      </c>
      <c r="L57" s="306" t="inlineStr">
        <is>
          <t>CMR.AINF_AE@IFS</t>
        </is>
      </c>
      <c r="M57" s="308">
        <f>IFERROR(IF(L57="",NA(),HAVER(L57)),NA())</f>
        <v/>
      </c>
    </row>
    <row r="58">
      <c r="B58" s="246" t="inlineStr">
        <is>
          <t>COTE D'IVOIRE</t>
        </is>
      </c>
      <c r="C58" s="309" t="inlineStr">
        <is>
          <t>CIV</t>
        </is>
      </c>
      <c r="D58" s="310" t="inlineStr">
        <is>
          <t>CIV.NGDP_RPCH@WEO</t>
        </is>
      </c>
      <c r="E58" s="311">
        <f>IFERROR(IF(D58="",NA(),HAVER(D58)),NA())</f>
        <v/>
      </c>
      <c r="F58" s="310" t="inlineStr">
        <is>
          <t>CIV.PCPIPCH@WEO</t>
        </is>
      </c>
      <c r="G58" s="311">
        <f>IFERROR(IF(F58="",NA(),HAVER(F58)),NA())</f>
        <v/>
      </c>
      <c r="H58" s="310" t="inlineStr">
        <is>
          <t>CIV.GGXWDG_NGDP@WEO</t>
        </is>
      </c>
      <c r="I58" s="311">
        <f>IFERROR(IF(H58="",NA(),HAVER(H58)),NA())</f>
        <v/>
      </c>
      <c r="J58" s="310" t="inlineStr">
        <is>
          <t>CIV.BCA_NGDPD@WEO</t>
        </is>
      </c>
      <c r="K58" s="311">
        <f>IFERROR(IF(J58="",NA(),HAVER(J58)),NA())</f>
        <v/>
      </c>
      <c r="L58" s="310" t="inlineStr">
        <is>
          <t>CIV.AINF_AE@IFS</t>
        </is>
      </c>
      <c r="M58" s="312">
        <f>IFERROR(IF(L58="",NA(),HAVER(L58)),NA())</f>
        <v/>
      </c>
    </row>
    <row r="59">
      <c r="B59" s="241" t="inlineStr">
        <is>
          <t>ETHIOPIA</t>
        </is>
      </c>
      <c r="C59" s="305" t="inlineStr">
        <is>
          <t>ETH</t>
        </is>
      </c>
      <c r="D59" s="306" t="inlineStr">
        <is>
          <t>ETH.NGDP_RPCH@WEO</t>
        </is>
      </c>
      <c r="E59" s="307">
        <f>IFERROR(IF(D59="",NA(),HAVER(D59)),NA())</f>
        <v/>
      </c>
      <c r="F59" s="306" t="inlineStr">
        <is>
          <t>ETH.PCPIPCH@WEO</t>
        </is>
      </c>
      <c r="G59" s="307">
        <f>IFERROR(IF(F59="",NA(),HAVER(F59)),NA())</f>
        <v/>
      </c>
      <c r="H59" s="306" t="inlineStr">
        <is>
          <t>ETH.GGXWDG_NGDP@WEO</t>
        </is>
      </c>
      <c r="I59" s="307">
        <f>IFERROR(IF(H59="",NA(),HAVER(H59)),NA())</f>
        <v/>
      </c>
      <c r="J59" s="306" t="inlineStr">
        <is>
          <t>ETH.BCA_NGDPD@WEO</t>
        </is>
      </c>
      <c r="K59" s="307">
        <f>IFERROR(IF(J59="",NA(),HAVER(J59)),NA())</f>
        <v/>
      </c>
      <c r="L59" s="306" t="inlineStr">
        <is>
          <t>ETH.AINF_AE@IFS</t>
        </is>
      </c>
      <c r="M59" s="308">
        <f>IFERROR(IF(L59="",NA(),HAVER(L59)),NA())</f>
        <v/>
      </c>
    </row>
    <row r="60">
      <c r="B60" s="246" t="inlineStr">
        <is>
          <t>GABON</t>
        </is>
      </c>
      <c r="C60" s="309" t="inlineStr">
        <is>
          <t>GAB</t>
        </is>
      </c>
      <c r="D60" s="310" t="inlineStr">
        <is>
          <t>GAB.NGDP_RPCH@WEO</t>
        </is>
      </c>
      <c r="E60" s="311">
        <f>IFERROR(IF(D60="",NA(),HAVER(D60)),NA())</f>
        <v/>
      </c>
      <c r="F60" s="310" t="inlineStr">
        <is>
          <t>GAB.PCPIPCH@WEO</t>
        </is>
      </c>
      <c r="G60" s="311">
        <f>IFERROR(IF(F60="",NA(),HAVER(F60)),NA())</f>
        <v/>
      </c>
      <c r="H60" s="310" t="inlineStr">
        <is>
          <t>GAB.GGXWDG_NGDP@WEO</t>
        </is>
      </c>
      <c r="I60" s="311">
        <f>IFERROR(IF(H60="",NA(),HAVER(H60)),NA())</f>
        <v/>
      </c>
      <c r="J60" s="310" t="inlineStr">
        <is>
          <t>GAB.BCA_NGDPD@WEO</t>
        </is>
      </c>
      <c r="K60" s="311">
        <f>IFERROR(IF(J60="",NA(),HAVER(J60)),NA())</f>
        <v/>
      </c>
      <c r="L60" s="310" t="inlineStr">
        <is>
          <t>GAB.AINF_AE@IFS</t>
        </is>
      </c>
      <c r="M60" s="312">
        <f>IFERROR(IF(L60="",NA(),HAVER(L60)),NA())</f>
        <v/>
      </c>
    </row>
    <row r="61">
      <c r="B61" s="241" t="inlineStr">
        <is>
          <t>GHANA</t>
        </is>
      </c>
      <c r="C61" s="305" t="inlineStr">
        <is>
          <t>GHA</t>
        </is>
      </c>
      <c r="D61" s="306" t="inlineStr">
        <is>
          <t>GHA.NGDP_RPCH@WEO</t>
        </is>
      </c>
      <c r="E61" s="307">
        <f>IFERROR(IF(D61="",NA(),HAVER(D61)),NA())</f>
        <v/>
      </c>
      <c r="F61" s="306" t="inlineStr">
        <is>
          <t>GHA.PCPIPCH@WEO</t>
        </is>
      </c>
      <c r="G61" s="307">
        <f>IFERROR(IF(F61="",NA(),HAVER(F61)),NA())</f>
        <v/>
      </c>
      <c r="H61" s="306" t="inlineStr">
        <is>
          <t>GHA.GGXWDG_NGDP@WEO</t>
        </is>
      </c>
      <c r="I61" s="307">
        <f>IFERROR(IF(H61="",NA(),HAVER(H61)),NA())</f>
        <v/>
      </c>
      <c r="J61" s="306" t="inlineStr">
        <is>
          <t>GHA.BCA_NGDPD@WEO</t>
        </is>
      </c>
      <c r="K61" s="307">
        <f>IFERROR(IF(J61="",NA(),HAVER(J61)),NA())</f>
        <v/>
      </c>
      <c r="L61" s="306" t="inlineStr">
        <is>
          <t>GHA.AINF_AE@IFS</t>
        </is>
      </c>
      <c r="M61" s="308">
        <f>IFERROR(IF(L61="",NA(),HAVER(L61)),NA())</f>
        <v/>
      </c>
    </row>
    <row r="62">
      <c r="B62" s="246" t="inlineStr">
        <is>
          <t>KENYA</t>
        </is>
      </c>
      <c r="C62" s="309" t="inlineStr">
        <is>
          <t>KEN</t>
        </is>
      </c>
      <c r="D62" s="310" t="inlineStr">
        <is>
          <t>KEN.NGDP_RPCH@WEO</t>
        </is>
      </c>
      <c r="E62" s="311">
        <f>IFERROR(IF(D62="",NA(),HAVER(D62)),NA())</f>
        <v/>
      </c>
      <c r="F62" s="310" t="inlineStr">
        <is>
          <t>KEN.PCPIPCH@WEO</t>
        </is>
      </c>
      <c r="G62" s="311">
        <f>IFERROR(IF(F62="",NA(),HAVER(F62)),NA())</f>
        <v/>
      </c>
      <c r="H62" s="310" t="inlineStr">
        <is>
          <t>KEN.GGXWDG_NGDP@WEO</t>
        </is>
      </c>
      <c r="I62" s="311">
        <f>IFERROR(IF(H62="",NA(),HAVER(H62)),NA())</f>
        <v/>
      </c>
      <c r="J62" s="310" t="inlineStr">
        <is>
          <t>KEN.BCA_NGDPD@WEO</t>
        </is>
      </c>
      <c r="K62" s="311">
        <f>IFERROR(IF(J62="",NA(),HAVER(J62)),NA())</f>
        <v/>
      </c>
      <c r="L62" s="310" t="inlineStr">
        <is>
          <t>KEN.AINF_AE@IFS</t>
        </is>
      </c>
      <c r="M62" s="312">
        <f>IFERROR(IF(L62="",NA(),HAVER(L62)),NA())</f>
        <v/>
      </c>
    </row>
    <row r="63">
      <c r="B63" s="241" t="inlineStr">
        <is>
          <t>MOZAMBIQUE</t>
        </is>
      </c>
      <c r="C63" s="305" t="inlineStr">
        <is>
          <t>MOZ</t>
        </is>
      </c>
      <c r="D63" s="306" t="inlineStr">
        <is>
          <t>MOZ.NGDP_RPCH@WEO</t>
        </is>
      </c>
      <c r="E63" s="307">
        <f>IFERROR(IF(D63="",NA(),HAVER(D63)),NA())</f>
        <v/>
      </c>
      <c r="F63" s="306" t="inlineStr">
        <is>
          <t>MOZ.PCPIPCH@WEO</t>
        </is>
      </c>
      <c r="G63" s="307">
        <f>IFERROR(IF(F63="",NA(),HAVER(F63)),NA())</f>
        <v/>
      </c>
      <c r="H63" s="306" t="inlineStr">
        <is>
          <t>MOZ.GGXWDG_NGDP@WEO</t>
        </is>
      </c>
      <c r="I63" s="307">
        <f>IFERROR(IF(H63="",NA(),HAVER(H63)),NA())</f>
        <v/>
      </c>
      <c r="J63" s="306" t="inlineStr">
        <is>
          <t>MOZ.BCA_NGDPD@WEO</t>
        </is>
      </c>
      <c r="K63" s="307">
        <f>IFERROR(IF(J63="",NA(),HAVER(J63)),NA())</f>
        <v/>
      </c>
      <c r="L63" s="306" t="inlineStr">
        <is>
          <t>MOZ.AINF_AE@IFS</t>
        </is>
      </c>
      <c r="M63" s="308">
        <f>IFERROR(IF(L63="",NA(),HAVER(L63)),NA())</f>
        <v/>
      </c>
    </row>
    <row r="64">
      <c r="B64" s="246" t="inlineStr">
        <is>
          <t>NAMIBIA</t>
        </is>
      </c>
      <c r="C64" s="309" t="inlineStr">
        <is>
          <t>NAM</t>
        </is>
      </c>
      <c r="D64" s="310" t="inlineStr">
        <is>
          <t>NAM.NGDP_RPCH@WEO</t>
        </is>
      </c>
      <c r="E64" s="311">
        <f>IFERROR(IF(D64="",NA(),HAVER(D64)),NA())</f>
        <v/>
      </c>
      <c r="F64" s="310" t="inlineStr">
        <is>
          <t>NAM.PCPIPCH@WEO</t>
        </is>
      </c>
      <c r="G64" s="311">
        <f>IFERROR(IF(F64="",NA(),HAVER(F64)),NA())</f>
        <v/>
      </c>
      <c r="H64" s="310" t="inlineStr">
        <is>
          <t>NAM.GGXWDG_NGDP@WEO</t>
        </is>
      </c>
      <c r="I64" s="311">
        <f>IFERROR(IF(H64="",NA(),HAVER(H64)),NA())</f>
        <v/>
      </c>
      <c r="J64" s="310" t="inlineStr">
        <is>
          <t>NAM.BCA_NGDPD@WEO</t>
        </is>
      </c>
      <c r="K64" s="311">
        <f>IFERROR(IF(J64="",NA(),HAVER(J64)),NA())</f>
        <v/>
      </c>
      <c r="L64" s="310" t="inlineStr">
        <is>
          <t>NAM.AINF_AE@IFS</t>
        </is>
      </c>
      <c r="M64" s="312">
        <f>IFERROR(IF(L64="",NA(),HAVER(L64)),NA())</f>
        <v/>
      </c>
    </row>
    <row r="65">
      <c r="B65" s="241" t="inlineStr">
        <is>
          <t>NIGERIA</t>
        </is>
      </c>
      <c r="C65" s="305" t="inlineStr">
        <is>
          <t>NGA</t>
        </is>
      </c>
      <c r="D65" s="306" t="inlineStr">
        <is>
          <t>NGA.NGDP_RPCH@WEO</t>
        </is>
      </c>
      <c r="E65" s="307">
        <f>IFERROR(IF(D65="",NA(),HAVER(D65)),NA())</f>
        <v/>
      </c>
      <c r="F65" s="306" t="inlineStr">
        <is>
          <t>NGA.PCPIPCH@WEO</t>
        </is>
      </c>
      <c r="G65" s="307">
        <f>IFERROR(IF(F65="",NA(),HAVER(F65)),NA())</f>
        <v/>
      </c>
      <c r="H65" s="306" t="inlineStr">
        <is>
          <t>NGA.GGXWDG_NGDP@WEO</t>
        </is>
      </c>
      <c r="I65" s="307">
        <f>IFERROR(IF(H65="",NA(),HAVER(H65)),NA())</f>
        <v/>
      </c>
      <c r="J65" s="306" t="inlineStr">
        <is>
          <t>NGA.BCA_NGDPD@WEO</t>
        </is>
      </c>
      <c r="K65" s="307">
        <f>IFERROR(IF(J65="",NA(),HAVER(J65)),NA())</f>
        <v/>
      </c>
      <c r="L65" s="306" t="inlineStr">
        <is>
          <t>NGA.AINF_AE@IFS</t>
        </is>
      </c>
      <c r="M65" s="308">
        <f>IFERROR(IF(L65="",NA(),HAVER(L65)),NA())</f>
        <v/>
      </c>
    </row>
    <row r="66">
      <c r="B66" s="246" t="inlineStr">
        <is>
          <t>RWANDA</t>
        </is>
      </c>
      <c r="C66" s="309" t="inlineStr">
        <is>
          <t>RWA</t>
        </is>
      </c>
      <c r="D66" s="310" t="inlineStr">
        <is>
          <t>RWA.NGDP_RPCH@WEO</t>
        </is>
      </c>
      <c r="E66" s="311">
        <f>IFERROR(IF(D66="",NA(),HAVER(D66)),NA())</f>
        <v/>
      </c>
      <c r="F66" s="310" t="inlineStr">
        <is>
          <t>RWA.PCPIPCH@WEO</t>
        </is>
      </c>
      <c r="G66" s="311">
        <f>IFERROR(IF(F66="",NA(),HAVER(F66)),NA())</f>
        <v/>
      </c>
      <c r="H66" s="310" t="inlineStr">
        <is>
          <t>RWA.GGXWDG_NGDP@WEO</t>
        </is>
      </c>
      <c r="I66" s="311">
        <f>IFERROR(IF(H66="",NA(),HAVER(H66)),NA())</f>
        <v/>
      </c>
      <c r="J66" s="310" t="inlineStr">
        <is>
          <t>RWA.BCA_NGDPD@WEO</t>
        </is>
      </c>
      <c r="K66" s="311">
        <f>IFERROR(IF(J66="",NA(),HAVER(J66)),NA())</f>
        <v/>
      </c>
      <c r="L66" s="310" t="inlineStr">
        <is>
          <t>RWA.AINF_AE@IFS</t>
        </is>
      </c>
      <c r="M66" s="312">
        <f>IFERROR(IF(L66="",NA(),HAVER(L66)),NA())</f>
        <v/>
      </c>
    </row>
    <row r="67">
      <c r="B67" s="241" t="inlineStr">
        <is>
          <t>SENEGAL</t>
        </is>
      </c>
      <c r="C67" s="305" t="inlineStr">
        <is>
          <t>SEN</t>
        </is>
      </c>
      <c r="D67" s="306" t="inlineStr">
        <is>
          <t>SEN.NGDP_RPCH@WEO</t>
        </is>
      </c>
      <c r="E67" s="307">
        <f>IFERROR(IF(D67="",NA(),HAVER(D67)),NA())</f>
        <v/>
      </c>
      <c r="F67" s="306" t="inlineStr">
        <is>
          <t>SEN.PCPIPCH@WEO</t>
        </is>
      </c>
      <c r="G67" s="307">
        <f>IFERROR(IF(F67="",NA(),HAVER(F67)),NA())</f>
        <v/>
      </c>
      <c r="H67" s="306" t="inlineStr">
        <is>
          <t>SEN.GGXWDG_NGDP@WEO</t>
        </is>
      </c>
      <c r="I67" s="307">
        <f>IFERROR(IF(H67="",NA(),HAVER(H67)),NA())</f>
        <v/>
      </c>
      <c r="J67" s="306" t="inlineStr">
        <is>
          <t>SEN.BCA_NGDPD@WEO</t>
        </is>
      </c>
      <c r="K67" s="307">
        <f>IFERROR(IF(J67="",NA(),HAVER(J67)),NA())</f>
        <v/>
      </c>
      <c r="L67" s="306" t="inlineStr">
        <is>
          <t>SEN.AINF_AE@IFS</t>
        </is>
      </c>
      <c r="M67" s="308">
        <f>IFERROR(IF(L67="",NA(),HAVER(L67)),NA())</f>
        <v/>
      </c>
    </row>
    <row r="68">
      <c r="B68" s="246" t="inlineStr">
        <is>
          <t>SOUTH AFRICA</t>
        </is>
      </c>
      <c r="C68" s="309" t="inlineStr">
        <is>
          <t>ZAF</t>
        </is>
      </c>
      <c r="D68" s="310" t="inlineStr">
        <is>
          <t>ZAF.NGDP_RPCH@WEO</t>
        </is>
      </c>
      <c r="E68" s="311">
        <f>IFERROR(IF(D68="",NA(),HAVER(D68)),NA())</f>
        <v/>
      </c>
      <c r="F68" s="310" t="inlineStr">
        <is>
          <t>ZAF.PCPIPCH@WEO</t>
        </is>
      </c>
      <c r="G68" s="311">
        <f>IFERROR(IF(F68="",NA(),HAVER(F68)),NA())</f>
        <v/>
      </c>
      <c r="H68" s="310" t="inlineStr">
        <is>
          <t>ZAF.GGXWDG_NGDP@WEO</t>
        </is>
      </c>
      <c r="I68" s="311">
        <f>IFERROR(IF(H68="",NA(),HAVER(H68)),NA())</f>
        <v/>
      </c>
      <c r="J68" s="310" t="inlineStr">
        <is>
          <t>ZAF.BCA_NGDPD@WEO</t>
        </is>
      </c>
      <c r="K68" s="311">
        <f>IFERROR(IF(J68="",NA(),HAVER(J68)),NA())</f>
        <v/>
      </c>
      <c r="L68" s="310" t="inlineStr">
        <is>
          <t>ZAF.AINF_AE@IFS</t>
        </is>
      </c>
      <c r="M68" s="312">
        <f>IFERROR(IF(L68="",NA(),HAVER(L68)),NA())</f>
        <v/>
      </c>
    </row>
    <row r="69">
      <c r="B69" s="241" t="inlineStr">
        <is>
          <t>ZAMBIA</t>
        </is>
      </c>
      <c r="C69" s="305" t="inlineStr">
        <is>
          <t>ZMB</t>
        </is>
      </c>
      <c r="D69" s="306" t="inlineStr">
        <is>
          <t>ZMB.NGDP_RPCH@WEO</t>
        </is>
      </c>
      <c r="E69" s="307">
        <f>IFERROR(IF(D69="",NA(),HAVER(D69)),NA())</f>
        <v/>
      </c>
      <c r="F69" s="306" t="inlineStr">
        <is>
          <t>ZMB.PCPIPCH@WEO</t>
        </is>
      </c>
      <c r="G69" s="307">
        <f>IFERROR(IF(F69="",NA(),HAVER(F69)),NA())</f>
        <v/>
      </c>
      <c r="H69" s="306" t="inlineStr">
        <is>
          <t>ZMB.GGXWDG_NGDP@WEO</t>
        </is>
      </c>
      <c r="I69" s="307">
        <f>IFERROR(IF(H69="",NA(),HAVER(H69)),NA())</f>
        <v/>
      </c>
      <c r="J69" s="306" t="inlineStr">
        <is>
          <t>ZMB.BCA_NGDPD@WEO</t>
        </is>
      </c>
      <c r="K69" s="307">
        <f>IFERROR(IF(J69="",NA(),HAVER(J69)),NA())</f>
        <v/>
      </c>
      <c r="L69" s="306" t="inlineStr">
        <is>
          <t>ZMB.AINF_AE@IFS</t>
        </is>
      </c>
      <c r="M69" s="308">
        <f>IFERROR(IF(L69="",NA(),HAVER(L69)),NA())</f>
        <v/>
      </c>
    </row>
    <row r="70">
      <c r="B70" s="246" t="inlineStr">
        <is>
          <t>CHINA</t>
        </is>
      </c>
      <c r="C70" s="309" t="inlineStr">
        <is>
          <t>CHN</t>
        </is>
      </c>
      <c r="D70" s="310" t="inlineStr">
        <is>
          <t>CHN.NGDP_RPCH@WEO</t>
        </is>
      </c>
      <c r="E70" s="311">
        <f>IFERROR(IF(D70="",NA(),HAVER(D70)),NA())</f>
        <v/>
      </c>
      <c r="F70" s="310" t="inlineStr">
        <is>
          <t>CHN.PCPIPCH@WEO</t>
        </is>
      </c>
      <c r="G70" s="311">
        <f>IFERROR(IF(F70="",NA(),HAVER(F70)),NA())</f>
        <v/>
      </c>
      <c r="H70" s="310" t="inlineStr">
        <is>
          <t>CHN.GGXWDG_NGDP@WEO</t>
        </is>
      </c>
      <c r="I70" s="311">
        <f>IFERROR(IF(H70="",NA(),HAVER(H70)),NA())</f>
        <v/>
      </c>
      <c r="J70" s="310" t="inlineStr">
        <is>
          <t>CHN.BCA_NGDPD@WEO</t>
        </is>
      </c>
      <c r="K70" s="311">
        <f>IFERROR(IF(J70="",NA(),HAVER(J70)),NA())</f>
        <v/>
      </c>
      <c r="L70" s="310" t="inlineStr">
        <is>
          <t>CHN.AINF_AE@IFS</t>
        </is>
      </c>
      <c r="M70" s="312">
        <f>IFERROR(IF(L70="",NA(),HAVER(L70)),NA())</f>
        <v/>
      </c>
    </row>
    <row r="71">
      <c r="B71" s="241" t="inlineStr">
        <is>
          <t>INDONESIA</t>
        </is>
      </c>
      <c r="C71" s="305" t="inlineStr">
        <is>
          <t>IDN</t>
        </is>
      </c>
      <c r="D71" s="306" t="inlineStr">
        <is>
          <t>IDN.NGDP_RPCH@WEO</t>
        </is>
      </c>
      <c r="E71" s="307">
        <f>IFERROR(IF(D71="",NA(),HAVER(D71)),NA())</f>
        <v/>
      </c>
      <c r="F71" s="306" t="inlineStr">
        <is>
          <t>IDN.PCPIPCH@WEO</t>
        </is>
      </c>
      <c r="G71" s="307">
        <f>IFERROR(IF(F71="",NA(),HAVER(F71)),NA())</f>
        <v/>
      </c>
      <c r="H71" s="306" t="inlineStr">
        <is>
          <t>IDN.GGXWDG_NGDP@WEO</t>
        </is>
      </c>
      <c r="I71" s="307">
        <f>IFERROR(IF(H71="",NA(),HAVER(H71)),NA())</f>
        <v/>
      </c>
      <c r="J71" s="306" t="inlineStr">
        <is>
          <t>IDN.BCA_NGDPD@WEO</t>
        </is>
      </c>
      <c r="K71" s="307">
        <f>IFERROR(IF(J71="",NA(),HAVER(J71)),NA())</f>
        <v/>
      </c>
      <c r="L71" s="306" t="inlineStr">
        <is>
          <t>IDN.AINF_AE@IFS</t>
        </is>
      </c>
      <c r="M71" s="308">
        <f>IFERROR(IF(L71="",NA(),HAVER(L71)),NA())</f>
        <v/>
      </c>
    </row>
    <row r="72">
      <c r="B72" s="246" t="inlineStr">
        <is>
          <t>KOREA</t>
        </is>
      </c>
      <c r="C72" s="309" t="inlineStr">
        <is>
          <t>KOR</t>
        </is>
      </c>
      <c r="D72" s="310" t="inlineStr">
        <is>
          <t>KOR.NGDP_RPCH@WEO</t>
        </is>
      </c>
      <c r="E72" s="311">
        <f>IFERROR(IF(D72="",NA(),HAVER(D72)),NA())</f>
        <v/>
      </c>
      <c r="F72" s="310" t="inlineStr">
        <is>
          <t>KOR.PCPIPCH@WEO</t>
        </is>
      </c>
      <c r="G72" s="311">
        <f>IFERROR(IF(F72="",NA(),HAVER(F72)),NA())</f>
        <v/>
      </c>
      <c r="H72" s="310" t="inlineStr">
        <is>
          <t>KOR.GGXWDG_NGDP@WEO</t>
        </is>
      </c>
      <c r="I72" s="311">
        <f>IFERROR(IF(H72="",NA(),HAVER(H72)),NA())</f>
        <v/>
      </c>
      <c r="J72" s="310" t="inlineStr">
        <is>
          <t>KOR.BCA_NGDPD@WEO</t>
        </is>
      </c>
      <c r="K72" s="311">
        <f>IFERROR(IF(J72="",NA(),HAVER(J72)),NA())</f>
        <v/>
      </c>
      <c r="L72" s="310" t="inlineStr">
        <is>
          <t>KOR.AINF_AE@IFS</t>
        </is>
      </c>
      <c r="M72" s="312">
        <f>IFERROR(IF(L72="",NA(),HAVER(L72)),NA())</f>
        <v/>
      </c>
    </row>
    <row r="73">
      <c r="B73" s="241" t="inlineStr">
        <is>
          <t>MONGOLIA</t>
        </is>
      </c>
      <c r="C73" s="305" t="inlineStr">
        <is>
          <t>MNG</t>
        </is>
      </c>
      <c r="D73" s="306" t="inlineStr">
        <is>
          <t>MNG.NGDP_RPCH@WEO</t>
        </is>
      </c>
      <c r="E73" s="307">
        <f>IFERROR(IF(D73="",NA(),HAVER(D73)),NA())</f>
        <v/>
      </c>
      <c r="F73" s="306" t="inlineStr">
        <is>
          <t>MNG.PCPIPCH@WEO</t>
        </is>
      </c>
      <c r="G73" s="307">
        <f>IFERROR(IF(F73="",NA(),HAVER(F73)),NA())</f>
        <v/>
      </c>
      <c r="H73" s="306" t="inlineStr">
        <is>
          <t>MNG.GGXWDG_NGDP@WEO</t>
        </is>
      </c>
      <c r="I73" s="307">
        <f>IFERROR(IF(H73="",NA(),HAVER(H73)),NA())</f>
        <v/>
      </c>
      <c r="J73" s="306" t="inlineStr">
        <is>
          <t>MNG.BCA_NGDPD@WEO</t>
        </is>
      </c>
      <c r="K73" s="307">
        <f>IFERROR(IF(J73="",NA(),HAVER(J73)),NA())</f>
        <v/>
      </c>
      <c r="L73" s="306" t="inlineStr">
        <is>
          <t>MNG.AINF_AE@IFS</t>
        </is>
      </c>
      <c r="M73" s="308">
        <f>IFERROR(IF(L73="",NA(),HAVER(L73)),NA())</f>
        <v/>
      </c>
    </row>
    <row r="74">
      <c r="B74" s="246" t="inlineStr">
        <is>
          <t>PAKISTAN</t>
        </is>
      </c>
      <c r="C74" s="309" t="inlineStr">
        <is>
          <t>PAK</t>
        </is>
      </c>
      <c r="D74" s="310" t="inlineStr">
        <is>
          <t>PAK.NGDP_RPCH@WEO</t>
        </is>
      </c>
      <c r="E74" s="311">
        <f>IFERROR(IF(D74="",NA(),HAVER(D74)),NA())</f>
        <v/>
      </c>
      <c r="F74" s="310" t="inlineStr">
        <is>
          <t>PAK.PCPIPCH@WEO</t>
        </is>
      </c>
      <c r="G74" s="311">
        <f>IFERROR(IF(F74="",NA(),HAVER(F74)),NA())</f>
        <v/>
      </c>
      <c r="H74" s="310" t="inlineStr">
        <is>
          <t>PAK.GGXWDG_NGDP@WEO</t>
        </is>
      </c>
      <c r="I74" s="311">
        <f>IFERROR(IF(H74="",NA(),HAVER(H74)),NA())</f>
        <v/>
      </c>
      <c r="J74" s="310" t="inlineStr">
        <is>
          <t>PAK.BCA_NGDPD@WEO</t>
        </is>
      </c>
      <c r="K74" s="311">
        <f>IFERROR(IF(J74="",NA(),HAVER(J74)),NA())</f>
        <v/>
      </c>
      <c r="L74" s="310" t="inlineStr">
        <is>
          <t>PAK.AINF_AE@IFS</t>
        </is>
      </c>
      <c r="M74" s="312">
        <f>IFERROR(IF(L74="",NA(),HAVER(L74)),NA())</f>
        <v/>
      </c>
    </row>
    <row r="75">
      <c r="B75" s="241" t="inlineStr">
        <is>
          <t>PHILIPPINES</t>
        </is>
      </c>
      <c r="C75" s="305" t="inlineStr">
        <is>
          <t>PHL</t>
        </is>
      </c>
      <c r="D75" s="306" t="inlineStr">
        <is>
          <t>PHL.NGDP_RPCH@WEO</t>
        </is>
      </c>
      <c r="E75" s="307">
        <f>IFERROR(IF(D75="",NA(),HAVER(D75)),NA())</f>
        <v/>
      </c>
      <c r="F75" s="306" t="inlineStr">
        <is>
          <t>PHL.PCPIPCH@WEO</t>
        </is>
      </c>
      <c r="G75" s="307">
        <f>IFERROR(IF(F75="",NA(),HAVER(F75)),NA())</f>
        <v/>
      </c>
      <c r="H75" s="306" t="inlineStr">
        <is>
          <t>PHL.GGXWDG_NGDP@WEO</t>
        </is>
      </c>
      <c r="I75" s="307">
        <f>IFERROR(IF(H75="",NA(),HAVER(H75)),NA())</f>
        <v/>
      </c>
      <c r="J75" s="306" t="inlineStr">
        <is>
          <t>PHL.BCA_NGDPD@WEO</t>
        </is>
      </c>
      <c r="K75" s="307">
        <f>IFERROR(IF(J75="",NA(),HAVER(J75)),NA())</f>
        <v/>
      </c>
      <c r="L75" s="306" t="inlineStr">
        <is>
          <t>PHL.AINF_AE@IFS</t>
        </is>
      </c>
      <c r="M75" s="308">
        <f>IFERROR(IF(L75="",NA(),HAVER(L75)),NA())</f>
        <v/>
      </c>
    </row>
    <row r="76">
      <c r="B76" s="246" t="inlineStr">
        <is>
          <t>SRI LANKA</t>
        </is>
      </c>
      <c r="C76" s="309" t="inlineStr">
        <is>
          <t>LKA</t>
        </is>
      </c>
      <c r="D76" s="310" t="inlineStr">
        <is>
          <t>LKA.NGDP_RPCH@WEO</t>
        </is>
      </c>
      <c r="E76" s="311">
        <f>IFERROR(IF(D76="",NA(),HAVER(D76)),NA())</f>
        <v/>
      </c>
      <c r="F76" s="310" t="inlineStr">
        <is>
          <t>LKA.PCPIPCH@WEO</t>
        </is>
      </c>
      <c r="G76" s="311">
        <f>IFERROR(IF(F76="",NA(),HAVER(F76)),NA())</f>
        <v/>
      </c>
      <c r="H76" s="310" t="inlineStr">
        <is>
          <t>LKA.GGXWDG_NGDP@WEO</t>
        </is>
      </c>
      <c r="I76" s="311">
        <f>IFERROR(IF(H76="",NA(),HAVER(H76)),NA())</f>
        <v/>
      </c>
      <c r="J76" s="310" t="inlineStr">
        <is>
          <t>LKA.BCA_NGDPD@WEO</t>
        </is>
      </c>
      <c r="K76" s="311">
        <f>IFERROR(IF(J76="",NA(),HAVER(J76)),NA())</f>
        <v/>
      </c>
      <c r="L76" s="310" t="inlineStr">
        <is>
          <t>LKA.AINF_AE@IFS</t>
        </is>
      </c>
      <c r="M76" s="312">
        <f>IFERROR(IF(L76="",NA(),HAVER(L76)),NA())</f>
        <v/>
      </c>
    </row>
    <row r="77">
      <c r="B77" s="241" t="inlineStr">
        <is>
          <t>VIETNAM</t>
        </is>
      </c>
      <c r="C77" s="305" t="inlineStr">
        <is>
          <t>VNM</t>
        </is>
      </c>
      <c r="D77" s="306" t="inlineStr">
        <is>
          <t>VNM.NGDP_RPCH@WEO</t>
        </is>
      </c>
      <c r="E77" s="307">
        <f>IFERROR(IF(D77="",NA(),HAVER(D77)),NA())</f>
        <v/>
      </c>
      <c r="F77" s="306" t="inlineStr">
        <is>
          <t>VNM.PCPIPCH@WEO</t>
        </is>
      </c>
      <c r="G77" s="307">
        <f>IFERROR(IF(F77="",NA(),HAVER(F77)),NA())</f>
        <v/>
      </c>
      <c r="H77" s="306" t="inlineStr">
        <is>
          <t>VNM.GGXWDG_NGDP@WEO</t>
        </is>
      </c>
      <c r="I77" s="307">
        <f>IFERROR(IF(H77="",NA(),HAVER(H77)),NA())</f>
        <v/>
      </c>
      <c r="J77" s="306" t="inlineStr">
        <is>
          <t>VNM.BCA_NGDPD@WEO</t>
        </is>
      </c>
      <c r="K77" s="307">
        <f>IFERROR(IF(J77="",NA(),HAVER(J77)),NA())</f>
        <v/>
      </c>
      <c r="L77" s="306" t="inlineStr">
        <is>
          <t>VNM.AINF_AE@IFS</t>
        </is>
      </c>
      <c r="M77" s="308">
        <f>IFERROR(IF(L77="",NA(),HAVER(L77)),NA())</f>
        <v/>
      </c>
    </row>
    <row r="79">
      <c r="B79" s="165" t="inlineStr">
        <is>
          <t>How to adapt to your Haver add-in version</t>
        </is>
      </c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  <c r="L79" s="258" t="n"/>
      <c r="M79" s="258" t="n"/>
    </row>
    <row r="80" ht="32" customHeight="1" s="159">
      <c r="B80" s="282" t="inlineStr">
        <is>
          <t>•   Pre-filled codes use IMF WEO mnemonics with country prefix (e.g. BRA.NGDP_RPCH@WEO = Brazil real GDP growth from WEO). Most Haver subscriptions include WEO at no extra cost.</t>
        </is>
      </c>
    </row>
    <row r="81" ht="32" customHeight="1" s="159">
      <c r="B81" s="282" t="inlineStr">
        <is>
          <t>•   The formulas use HAVER(code) as a generic syntax. If your Excel add-in uses h(), Haver.HVR(), or =hvr(), do Find &amp; Replace on this tab: replace "HAVER(" with your function name.</t>
        </is>
      </c>
    </row>
    <row r="82" ht="32" customHeight="1" s="159">
      <c r="B82" s="282" t="inlineStr">
        <is>
          <t>•   For FX reserves, WEO doesn't carry a clean series. Replace the placeholder (AINF_AE@IFS) with a country-specific IFS code like BRA.RAFA@IFS (Brazil reserves) or your house preferred series.</t>
        </is>
      </c>
    </row>
    <row r="83" ht="32" customHeight="1" s="159">
      <c r="B83" s="282" t="inlineStr">
        <is>
          <t>•   Country codes that aren't in WEO (e.g. some frontier names): the cell returns N/A and the model falls through to Manual override on the Tickers tab.</t>
        </is>
      </c>
    </row>
    <row r="84" ht="32" customHeight="1" s="159">
      <c r="B84" s="282" t="inlineStr">
        <is>
          <t>•   IMF WEO is annual (April / October vintage). For higher frequency, switch GDP/CPI codes to IFS or country statistics-office series in Haver (e.g. BRA.GDPY%@IBGE for Brazil GDP YoY).</t>
        </is>
      </c>
    </row>
  </sheetData>
  <mergeCells count="8">
    <mergeCell ref="B81:M81"/>
    <mergeCell ref="B80:M80"/>
    <mergeCell ref="B4:N4"/>
    <mergeCell ref="B84:M84"/>
    <mergeCell ref="B79:M79"/>
    <mergeCell ref="B82:M82"/>
    <mergeCell ref="B83:M83"/>
    <mergeCell ref="B2:N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47"/>
  <sheetViews>
    <sheetView showGridLines="0" zoomScale="110" workbookViewId="0">
      <selection activeCell="A1" sqref="A1"/>
    </sheetView>
  </sheetViews>
  <sheetFormatPr baseColWidth="8" defaultRowHeight="15"/>
  <cols>
    <col width="2" customWidth="1" style="159" min="1" max="1"/>
    <col width="12" customWidth="1" style="159" min="2" max="2"/>
    <col width="12" customWidth="1" style="159" min="3" max="3"/>
    <col width="12" customWidth="1" style="159" min="4" max="4"/>
    <col width="12" customWidth="1" style="159" min="5" max="5"/>
    <col width="12" customWidth="1" style="159" min="6" max="6"/>
    <col width="12" customWidth="1" style="159" min="7" max="7"/>
    <col width="12" customWidth="1" style="159" min="8" max="8"/>
    <col width="12" customWidth="1" style="159" min="9" max="9"/>
    <col width="12" customWidth="1" style="159" min="10" max="10"/>
    <col width="12" customWidth="1" style="159" min="11" max="11"/>
  </cols>
  <sheetData>
    <row r="2">
      <c r="B2" s="163" t="inlineStr">
        <is>
          <t>Methodology &amp; References</t>
        </is>
      </c>
    </row>
    <row r="3"/>
    <row r="6" ht="22" customHeight="1" s="159">
      <c r="B6" s="313" t="inlineStr">
        <is>
          <t>The model in one paragraph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</row>
    <row r="7" ht="80" customHeight="1" s="159">
      <c r="B7" s="282" t="inlineStr">
        <is>
          <t>Every sovereign in the universe gets a fundamental score and a market score. The fundamental score combines six z-scored macro and rating variables (sign-adjusted so higher = worse credit). The market score is log of the EMBI spread. We run a cross-sectional OLS regression of log(spread) on the fundamental score across the universe each refresh. The residual — observed minus fitted — is the rich/cheap signal. We then z-score the residuals to make the signal scale-invariant.</t>
        </is>
      </c>
    </row>
    <row r="10" ht="22" customHeight="1" s="159">
      <c r="B10" s="313" t="inlineStr">
        <is>
          <t>The math, step by step</t>
        </is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</row>
    <row r="11" ht="32" customHeight="1" s="159">
      <c r="B11" s="283" t="inlineStr">
        <is>
          <t>1. Pull from Bloomberg</t>
        </is>
      </c>
      <c r="D11" s="282" t="inlineStr">
        <is>
          <t>For each sovereign: composite numerical rating R, EMBI spread S (bps), 5Y CDS, real GDP growth, CPI YoY, govt debt %GDP, current account %GDP, FX reserves USD. All via BDP on Tickers tab.</t>
        </is>
      </c>
    </row>
    <row r="12" ht="32" customHeight="1" s="159">
      <c r="B12" s="283" t="inlineStr">
        <is>
          <t>2. Cross-sectional z-scores</t>
        </is>
      </c>
      <c r="D12" s="282" t="inlineStr">
        <is>
          <t>For each variable v across all N sovereigns:  z(v_i) = (v_i − mean(v)) / sd(v).  Sign-adjusted so positive z = worse credit (rating # high, debt high, CA in deficit, reserves low, growth low, inflation high).</t>
        </is>
      </c>
    </row>
    <row r="13" ht="32" customHeight="1" s="159">
      <c r="B13" s="283" t="inlineStr">
        <is>
          <t>3. Composite fundamental score</t>
        </is>
      </c>
      <c r="D13" s="282" t="inlineStr">
        <is>
          <t>F_i = Σ w_k · z_k(i)   where weights w_k are editable on the Model tab (default: rating 0.35, debt 0.20, CA 0.15, reserves 0.10, GDP 0.12, CPI 0.08).  Missing variables drop out — weight renormalizes over what's available.</t>
        </is>
      </c>
    </row>
    <row r="14" ht="32" customHeight="1" s="159">
      <c r="B14" s="283" t="inlineStr">
        <is>
          <t>4. Cross-sectional regression</t>
        </is>
      </c>
      <c r="D14" s="282" t="inlineStr">
        <is>
          <t>log(S_i) = α + β · F_i  estimated live via Excel SLOPE / INTERCEPT on the cross-section. R² shown on Dashboard. Re-fits every refresh.</t>
        </is>
      </c>
    </row>
    <row r="15" ht="32" customHeight="1" s="159">
      <c r="B15" s="283" t="inlineStr">
        <is>
          <t>5. Residual = signal</t>
        </is>
      </c>
      <c r="D15" s="282" t="inlineStr">
        <is>
          <t>r_i = log(S_i) − [α + β · F_i].  Z-score the residuals: Z_i = (r_i − mean(r)) / sd(r).  Positive Z = spread wider than fundamentals justify (CHEAP). Negative Z = tighter (RICH).</t>
        </is>
      </c>
    </row>
    <row r="16" ht="32" customHeight="1" s="159">
      <c r="B16" s="283" t="inlineStr">
        <is>
          <t>6. Signal buckets</t>
        </is>
      </c>
      <c r="D16" s="282" t="inlineStr">
        <is>
          <t>Z ≥ +1.5 → CHEAP   ·   +0.5 ≤ Z &lt; +1.5 → slightly cheap   ·   −0.5 &lt; Z &lt; +0.5 → fair   ·   −1.5 &lt; Z ≤ −0.5 → slightly rich   ·   Z ≤ −1.5 → RICH</t>
        </is>
      </c>
    </row>
    <row r="19" ht="22" customHeight="1" s="159">
      <c r="B19" s="313" t="inlineStr">
        <is>
          <t>Why this approach (not the old OLS panel)</t>
        </is>
      </c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 ht="80" customHeight="1" s="159">
      <c r="B20" s="282" t="inlineStr">
        <is>
          <t>The original 2021 panel regression had frozen coefficients estimated on 2014-2019 data. It treated coefficients as eternal truths. They aren't. EM credit relationships shift through cycles — global liquidity, rates regime, China growth, oil. A model that re-fits every refresh adapts. A frozen model gives stale answers with high confidence — the worst combination.</t>
        </is>
      </c>
    </row>
    <row r="21" ht="60" customHeight="1" s="159">
      <c r="B21" s="282" t="inlineStr">
        <is>
          <t>Cross-section z-scores are also intuitive: every signal is comparable across countries because it's standardized to the universe. There's no need to interpret raw spread differences (Lebanon at 6000 bps vs. Korea at 30 bps) — the z-score normalizes everything.</t>
        </is>
      </c>
    </row>
    <row r="24" ht="22" customHeight="1" s="159">
      <c r="B24" s="313" t="inlineStr">
        <is>
          <t>Literature anchors</t>
        </is>
      </c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 ht="36" customHeight="1" s="159">
      <c r="B25" s="283" t="inlineStr">
        <is>
          <t>Cantor &amp; Packer (1996)</t>
        </is>
      </c>
      <c r="D25" s="282" t="inlineStr">
        <is>
          <t>FRBNY Economic Policy Review.  'Determinants and Impact of Sovereign Credit Ratings.'  Eight macro variables explain &gt;85% of S&amp;P/Moody's ratings.</t>
        </is>
      </c>
    </row>
    <row r="26" ht="36" customHeight="1" s="159">
      <c r="B26" s="283" t="inlineStr">
        <is>
          <t>Eichengreen &amp; Mody (1998)</t>
        </is>
      </c>
      <c r="D26" s="282" t="inlineStr">
        <is>
          <t>NBER WP 6408.  'What Explains Changing Spreads on Emerging Market Debt: Fundamentals or Market Sentiment?'  Rating + global financial conditions.</t>
        </is>
      </c>
    </row>
    <row r="27" ht="36" customHeight="1" s="159">
      <c r="B27" s="283" t="inlineStr">
        <is>
          <t>Hilscher &amp; Nosbusch (2010)</t>
        </is>
      </c>
      <c r="D27" s="282" t="inlineStr">
        <is>
          <t>Review of Finance, 14(2).  'Determinants and Implications of Sovereign Default Risk in the Markets for Sovereign Debt.'  Domestic fundamentals + global risk factor.</t>
        </is>
      </c>
    </row>
    <row r="28" ht="36" customHeight="1" s="159">
      <c r="B28" s="283" t="inlineStr">
        <is>
          <t>Csonto &amp; Ivaschenko (2013)</t>
        </is>
      </c>
      <c r="D28" s="282" t="inlineStr">
        <is>
          <t>IMF Working Paper 13/164.  'Determinants of Sovereign Bond Spreads in Emerging Markets: Local Fundamentals and Global Factors vs. Ever-Changing Misalignments.'  ~50/50 split between fundamentals and global factors.</t>
        </is>
      </c>
    </row>
    <row r="29" ht="36" customHeight="1" s="159">
      <c r="B29" s="283" t="inlineStr">
        <is>
          <t>Aizenman, Hutchison &amp; Jinjarak (2013)</t>
        </is>
      </c>
      <c r="D29" s="282" t="inlineStr">
        <is>
          <t>International Review of Economics &amp; Finance, 28.  'What is the risk of European sovereign debt defaults?'  Cross-section approach.</t>
        </is>
      </c>
    </row>
    <row r="30" ht="36" customHeight="1" s="159">
      <c r="B30" s="283" t="inlineStr">
        <is>
          <t>Comelli (2012)</t>
        </is>
      </c>
      <c r="D30" s="282" t="inlineStr">
        <is>
          <t>IMF WP 12/212.  'Emerging Market Sovereign Bond Spreads: Estimation and Back-testing.'  Z-score composite framework.</t>
        </is>
      </c>
    </row>
    <row r="31" ht="36" customHeight="1" s="159">
      <c r="B31" s="283" t="inlineStr">
        <is>
          <t>Practitioner</t>
        </is>
      </c>
      <c r="D31" s="282" t="inlineStr">
        <is>
          <t>JPM 'EM Bond Strategy', Morgan Stanley 'EM Credit Strategy', Goldman 'EM Macro Markets' — all use cross-section ranking + macro-residual frameworks for their fair value scorecards.</t>
        </is>
      </c>
    </row>
    <row r="34" ht="22" customHeight="1" s="159">
      <c r="B34" s="313" t="inlineStr">
        <is>
          <t>Caveats</t>
        </is>
      </c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 ht="36" customHeight="1" s="159">
      <c r="B35" s="282" t="inlineStr">
        <is>
          <t>•   Cross-section z-scores are sensitive to the universe — extreme outliers (e.g. Lebanon, Sri Lanka mid-default) compress everyone else. Consider trimming or running on rated-investment-grade subset.</t>
        </is>
      </c>
    </row>
    <row r="36" ht="36" customHeight="1" s="159">
      <c r="B36" s="282" t="inlineStr">
        <is>
          <t>•   Single-equation regression on one composite score is intentionally simple. Adds some explanatory power vs. rating-only; less than a multi-factor specification. Trade-off is interpretability and refresh stability.</t>
        </is>
      </c>
    </row>
    <row r="37" ht="36" customHeight="1" s="159">
      <c r="B37" s="282" t="inlineStr">
        <is>
          <t>•   Bloomberg ECON ticker coverage for smaller frontier sovereigns (Mongolia, Ethiopia, Senegal, Côte d'Ivoire, etc.) is uneven. Expect those countries to have partial macros — the model uses what's available and re-weights.</t>
        </is>
      </c>
    </row>
    <row r="38" ht="36" customHeight="1" s="159">
      <c r="B38" s="282" t="inlineStr">
        <is>
          <t>•   Composite ratings on Tickers tab are MANUAL. Update them after rating actions — they drive a major chunk of the fundamental score. (Set 22 = SD/D, 19 = CCC range, 13 = BB range, 10 = BBB range, 6 = A range, 3 = AA range, 1 = AAA.)</t>
        </is>
      </c>
    </row>
    <row r="39" ht="36" customHeight="1" s="159">
      <c r="B39" s="282" t="inlineStr">
        <is>
          <t>•   log(spread) breaks down for extremely tight spreads (negative log if spread &lt; 1 bp). Doesn't matter in EM — every sovereign trades at &gt;20 bps.</t>
        </is>
      </c>
    </row>
    <row r="42" ht="22" customHeight="1" s="159">
      <c r="B42" s="314" t="inlineStr">
        <is>
          <t>Refresh flow</t>
        </is>
      </c>
      <c r="C42" s="303" t="n"/>
      <c r="D42" s="303" t="n"/>
      <c r="E42" s="303" t="n"/>
      <c r="F42" s="303" t="n"/>
      <c r="G42" s="303" t="n"/>
      <c r="H42" s="303" t="n"/>
      <c r="I42" s="303" t="n"/>
      <c r="J42" s="303" t="n"/>
      <c r="K42" s="303" t="n"/>
    </row>
    <row r="43" ht="22" customHeight="1" s="159">
      <c r="B43" s="282" t="inlineStr">
        <is>
          <t>1.  Open in Excel with Bloomberg add-in (BBComm) loaded.</t>
        </is>
      </c>
    </row>
    <row r="44" ht="22" customHeight="1" s="159">
      <c r="B44" s="282" t="inlineStr">
        <is>
          <t>2.  Press the Bloomberg refresh button (Add-in tab → Refresh, or Ctrl+Alt+F9).</t>
        </is>
      </c>
    </row>
    <row r="45" ht="22" customHeight="1" s="159">
      <c r="B45" s="282" t="inlineStr">
        <is>
          <t>3.  Tickers tab fetches all values via BDP. Model tab recomputes z-scores and OLS on fresh data. Dashboard and Country update automatically.</t>
        </is>
      </c>
    </row>
    <row r="46" ht="22" customHeight="1" s="159">
      <c r="B46" s="282" t="inlineStr">
        <is>
          <t>4.  Yellow cells on Tickers = ticker not yet supplied. Type one in — value populates immediately.</t>
        </is>
      </c>
    </row>
    <row r="47" ht="22" customHeight="1" s="159">
      <c r="B47" s="282" t="inlineStr">
        <is>
          <t>5.  Numerical ratings (column E on Tickers) are manual. Update after rating actions.</t>
        </is>
      </c>
    </row>
  </sheetData>
  <mergeCells count="33">
    <mergeCell ref="D26:K26"/>
    <mergeCell ref="B6:K6"/>
    <mergeCell ref="B24:K24"/>
    <mergeCell ref="B20:K20"/>
    <mergeCell ref="D31:K31"/>
    <mergeCell ref="B2:K3"/>
    <mergeCell ref="B36:K36"/>
    <mergeCell ref="B45:K45"/>
    <mergeCell ref="D11:K11"/>
    <mergeCell ref="B35:K35"/>
    <mergeCell ref="B7:K7"/>
    <mergeCell ref="D13:K13"/>
    <mergeCell ref="D27:K27"/>
    <mergeCell ref="B47:K47"/>
    <mergeCell ref="B46:K46"/>
    <mergeCell ref="D16:K16"/>
    <mergeCell ref="B21:K21"/>
    <mergeCell ref="B43:K43"/>
    <mergeCell ref="D28:K28"/>
    <mergeCell ref="B39:K39"/>
    <mergeCell ref="B42:K42"/>
    <mergeCell ref="D12:K12"/>
    <mergeCell ref="D30:K30"/>
    <mergeCell ref="D25:K25"/>
    <mergeCell ref="D15:K15"/>
    <mergeCell ref="B44:K44"/>
    <mergeCell ref="D14:K14"/>
    <mergeCell ref="D29:K29"/>
    <mergeCell ref="B38:K38"/>
    <mergeCell ref="B34:K34"/>
    <mergeCell ref="B10:K10"/>
    <mergeCell ref="B19:K19"/>
    <mergeCell ref="B37:K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9">
    <outlinePr summaryBelow="1" summaryRight="1"/>
    <pageSetUpPr autoPageBreaks="0"/>
  </sheetPr>
  <dimension ref="B2:I90"/>
  <sheetViews>
    <sheetView showGridLines="0" topLeftCell="A52" zoomScale="70" zoomScaleNormal="70" workbookViewId="0">
      <selection activeCell="AO8" sqref="AO8"/>
    </sheetView>
  </sheetViews>
  <sheetFormatPr baseColWidth="10" defaultColWidth="9.140625" defaultRowHeight="15"/>
  <sheetData>
    <row r="2">
      <c r="B2" s="121" t="inlineStr">
        <is>
          <t>S&amp;P</t>
        </is>
      </c>
      <c r="C2" s="130" t="inlineStr">
        <is>
          <t>sp</t>
        </is>
      </c>
      <c r="D2" s="121" t="n"/>
      <c r="E2" s="121" t="inlineStr">
        <is>
          <t>Moodys</t>
        </is>
      </c>
      <c r="F2" s="130" t="inlineStr">
        <is>
          <t>mdy</t>
        </is>
      </c>
      <c r="G2" s="121" t="n"/>
      <c r="H2" s="121" t="inlineStr">
        <is>
          <t>Fitch</t>
        </is>
      </c>
      <c r="I2" s="121" t="inlineStr">
        <is>
          <t>fitch</t>
        </is>
      </c>
    </row>
    <row r="3">
      <c r="B3" s="126" t="inlineStr">
        <is>
          <t>D</t>
        </is>
      </c>
      <c r="C3" s="123" t="n">
        <v>22</v>
      </c>
      <c r="E3" s="126" t="inlineStr">
        <is>
          <t>/</t>
        </is>
      </c>
      <c r="F3" s="123" t="n">
        <v>22</v>
      </c>
      <c r="H3" s="126" t="inlineStr">
        <is>
          <t>WD</t>
        </is>
      </c>
      <c r="I3" s="123" t="n">
        <v>22</v>
      </c>
    </row>
    <row r="4">
      <c r="B4" s="127" t="inlineStr">
        <is>
          <t>C</t>
        </is>
      </c>
      <c r="C4" s="124" t="n">
        <v>21</v>
      </c>
      <c r="E4" s="127" t="inlineStr">
        <is>
          <t>C</t>
        </is>
      </c>
      <c r="F4" s="124" t="n">
        <v>21</v>
      </c>
      <c r="H4" s="127" t="inlineStr">
        <is>
          <t>C</t>
        </is>
      </c>
      <c r="I4" s="124" t="n">
        <v>21</v>
      </c>
    </row>
    <row r="5">
      <c r="B5" s="127" t="inlineStr">
        <is>
          <t>CC</t>
        </is>
      </c>
      <c r="C5" s="123" t="n">
        <v>20</v>
      </c>
      <c r="E5" s="127" t="inlineStr">
        <is>
          <t>Ca</t>
        </is>
      </c>
      <c r="F5" s="123" t="n">
        <v>20</v>
      </c>
      <c r="H5" s="127" t="inlineStr">
        <is>
          <t>CC</t>
        </is>
      </c>
      <c r="I5" s="123" t="n">
        <v>20</v>
      </c>
    </row>
    <row r="6">
      <c r="B6" s="127" t="inlineStr">
        <is>
          <t>CCC-</t>
        </is>
      </c>
      <c r="C6" s="124" t="n">
        <v>19</v>
      </c>
      <c r="E6" s="127" t="inlineStr">
        <is>
          <t>Caa3</t>
        </is>
      </c>
      <c r="F6" s="124" t="n">
        <v>19</v>
      </c>
      <c r="H6" s="127" t="inlineStr">
        <is>
          <t>CCC-</t>
        </is>
      </c>
      <c r="I6" s="124" t="n">
        <v>19</v>
      </c>
    </row>
    <row r="7">
      <c r="B7" s="127" t="inlineStr">
        <is>
          <t>CCC</t>
        </is>
      </c>
      <c r="C7" s="123" t="n">
        <v>18</v>
      </c>
      <c r="E7" s="127" t="inlineStr">
        <is>
          <t>Caa2</t>
        </is>
      </c>
      <c r="F7" s="123" t="n">
        <v>18</v>
      </c>
      <c r="H7" s="127" t="inlineStr">
        <is>
          <t>CCC</t>
        </is>
      </c>
      <c r="I7" s="123" t="n">
        <v>18</v>
      </c>
    </row>
    <row r="8">
      <c r="B8" s="127" t="inlineStr">
        <is>
          <t>CCC+</t>
        </is>
      </c>
      <c r="C8" s="124" t="n">
        <v>17</v>
      </c>
      <c r="E8" s="127" t="inlineStr">
        <is>
          <t>Caa1</t>
        </is>
      </c>
      <c r="F8" s="124" t="n">
        <v>17</v>
      </c>
      <c r="H8" s="127" t="inlineStr">
        <is>
          <t>CCC+</t>
        </is>
      </c>
      <c r="I8" s="124" t="n">
        <v>17</v>
      </c>
    </row>
    <row r="9">
      <c r="B9" s="127" t="inlineStr">
        <is>
          <t>B-</t>
        </is>
      </c>
      <c r="C9" s="123" t="n">
        <v>16</v>
      </c>
      <c r="E9" s="127" t="inlineStr">
        <is>
          <t>B3</t>
        </is>
      </c>
      <c r="F9" s="123" t="n">
        <v>16</v>
      </c>
      <c r="H9" s="127" t="inlineStr">
        <is>
          <t>B-</t>
        </is>
      </c>
      <c r="I9" s="123" t="n">
        <v>16</v>
      </c>
    </row>
    <row r="10">
      <c r="B10" s="127" t="inlineStr">
        <is>
          <t>B</t>
        </is>
      </c>
      <c r="C10" s="124" t="n">
        <v>15</v>
      </c>
      <c r="E10" s="127" t="inlineStr">
        <is>
          <t>B2</t>
        </is>
      </c>
      <c r="F10" s="124" t="n">
        <v>15</v>
      </c>
      <c r="H10" s="127" t="inlineStr">
        <is>
          <t>B</t>
        </is>
      </c>
      <c r="I10" s="124" t="n">
        <v>15</v>
      </c>
    </row>
    <row r="11">
      <c r="B11" s="127" t="inlineStr">
        <is>
          <t>B+</t>
        </is>
      </c>
      <c r="C11" s="123" t="n">
        <v>14</v>
      </c>
      <c r="E11" s="127" t="inlineStr">
        <is>
          <t>B1</t>
        </is>
      </c>
      <c r="F11" s="123" t="n">
        <v>14</v>
      </c>
      <c r="H11" s="127" t="inlineStr">
        <is>
          <t>B+</t>
        </is>
      </c>
      <c r="I11" s="123" t="n">
        <v>14</v>
      </c>
    </row>
    <row r="12">
      <c r="B12" s="127" t="inlineStr">
        <is>
          <t>BB-</t>
        </is>
      </c>
      <c r="C12" s="124" t="n">
        <v>13</v>
      </c>
      <c r="E12" s="127" t="inlineStr">
        <is>
          <t>Ba3</t>
        </is>
      </c>
      <c r="F12" s="124" t="n">
        <v>13</v>
      </c>
      <c r="H12" s="127" t="inlineStr">
        <is>
          <t>BB-</t>
        </is>
      </c>
      <c r="I12" s="124" t="n">
        <v>13</v>
      </c>
    </row>
    <row r="13">
      <c r="B13" s="127" t="inlineStr">
        <is>
          <t>BB</t>
        </is>
      </c>
      <c r="C13" s="123" t="n">
        <v>12</v>
      </c>
      <c r="E13" s="127" t="inlineStr">
        <is>
          <t>Ba2</t>
        </is>
      </c>
      <c r="F13" s="123" t="n">
        <v>12</v>
      </c>
      <c r="H13" s="127" t="inlineStr">
        <is>
          <t>BB</t>
        </is>
      </c>
      <c r="I13" s="123" t="n">
        <v>12</v>
      </c>
    </row>
    <row r="14">
      <c r="B14" s="127" t="inlineStr">
        <is>
          <t>BB+</t>
        </is>
      </c>
      <c r="C14" s="124" t="n">
        <v>11</v>
      </c>
      <c r="E14" s="127" t="inlineStr">
        <is>
          <t>Ba1</t>
        </is>
      </c>
      <c r="F14" s="124" t="n">
        <v>11</v>
      </c>
      <c r="H14" s="127" t="inlineStr">
        <is>
          <t>BB+</t>
        </is>
      </c>
      <c r="I14" s="124" t="n">
        <v>11</v>
      </c>
    </row>
    <row r="15">
      <c r="B15" s="128" t="inlineStr">
        <is>
          <t>BBB-</t>
        </is>
      </c>
      <c r="C15" s="123" t="n">
        <v>10</v>
      </c>
      <c r="E15" s="128" t="inlineStr">
        <is>
          <t>Baa3</t>
        </is>
      </c>
      <c r="F15" s="123" t="n">
        <v>10</v>
      </c>
      <c r="H15" s="128" t="inlineStr">
        <is>
          <t>BBB-</t>
        </is>
      </c>
      <c r="I15" s="123" t="n">
        <v>10</v>
      </c>
    </row>
    <row r="16">
      <c r="B16" s="128" t="inlineStr">
        <is>
          <t>BBB</t>
        </is>
      </c>
      <c r="C16" s="124" t="n">
        <v>9</v>
      </c>
      <c r="E16" s="128" t="inlineStr">
        <is>
          <t>Baa2</t>
        </is>
      </c>
      <c r="F16" s="124" t="n">
        <v>9</v>
      </c>
      <c r="H16" s="128" t="inlineStr">
        <is>
          <t>BBB</t>
        </is>
      </c>
      <c r="I16" s="124" t="n">
        <v>9</v>
      </c>
    </row>
    <row r="17">
      <c r="B17" s="128" t="inlineStr">
        <is>
          <t>BBB+</t>
        </is>
      </c>
      <c r="C17" s="123" t="n">
        <v>8</v>
      </c>
      <c r="E17" s="128" t="inlineStr">
        <is>
          <t>Baa1</t>
        </is>
      </c>
      <c r="F17" s="123" t="n">
        <v>8</v>
      </c>
      <c r="H17" s="128" t="inlineStr">
        <is>
          <t>BBB+</t>
        </is>
      </c>
      <c r="I17" s="123" t="n">
        <v>8</v>
      </c>
    </row>
    <row r="18">
      <c r="B18" s="128" t="inlineStr">
        <is>
          <t>A-</t>
        </is>
      </c>
      <c r="C18" s="124" t="n">
        <v>7</v>
      </c>
      <c r="E18" s="128" t="inlineStr">
        <is>
          <t>A3</t>
        </is>
      </c>
      <c r="F18" s="124" t="n">
        <v>7</v>
      </c>
      <c r="H18" s="128" t="inlineStr">
        <is>
          <t>A-</t>
        </is>
      </c>
      <c r="I18" s="124" t="n">
        <v>7</v>
      </c>
    </row>
    <row r="19">
      <c r="B19" s="128" t="inlineStr">
        <is>
          <t>A</t>
        </is>
      </c>
      <c r="C19" s="123" t="n">
        <v>6</v>
      </c>
      <c r="E19" s="128" t="inlineStr">
        <is>
          <t>A2</t>
        </is>
      </c>
      <c r="F19" s="123" t="n">
        <v>6</v>
      </c>
      <c r="H19" s="128" t="inlineStr">
        <is>
          <t>A</t>
        </is>
      </c>
      <c r="I19" s="123" t="n">
        <v>6</v>
      </c>
    </row>
    <row r="20">
      <c r="B20" s="128" t="inlineStr">
        <is>
          <t>A+</t>
        </is>
      </c>
      <c r="C20" s="124" t="n">
        <v>5</v>
      </c>
      <c r="E20" s="128" t="inlineStr">
        <is>
          <t>A1</t>
        </is>
      </c>
      <c r="F20" s="124" t="n">
        <v>5</v>
      </c>
      <c r="H20" s="128" t="inlineStr">
        <is>
          <t>A+</t>
        </is>
      </c>
      <c r="I20" s="124" t="n">
        <v>5</v>
      </c>
    </row>
    <row r="21">
      <c r="B21" s="128" t="inlineStr">
        <is>
          <t>AA-</t>
        </is>
      </c>
      <c r="C21" s="123" t="n">
        <v>4</v>
      </c>
      <c r="E21" s="128" t="inlineStr">
        <is>
          <t>Aa3</t>
        </is>
      </c>
      <c r="F21" s="123" t="n">
        <v>4</v>
      </c>
      <c r="H21" s="128" t="inlineStr">
        <is>
          <t>AA-</t>
        </is>
      </c>
      <c r="I21" s="123" t="n">
        <v>4</v>
      </c>
    </row>
    <row r="22">
      <c r="B22" s="128" t="inlineStr">
        <is>
          <t>AA</t>
        </is>
      </c>
      <c r="C22" s="124" t="n">
        <v>3</v>
      </c>
      <c r="E22" s="128" t="inlineStr">
        <is>
          <t>Aa2</t>
        </is>
      </c>
      <c r="F22" s="124" t="n">
        <v>3</v>
      </c>
      <c r="H22" s="128" t="inlineStr">
        <is>
          <t>AA</t>
        </is>
      </c>
      <c r="I22" s="124" t="n">
        <v>3</v>
      </c>
    </row>
    <row r="23">
      <c r="B23" s="128" t="inlineStr">
        <is>
          <t>AA+</t>
        </is>
      </c>
      <c r="C23" s="123" t="n">
        <v>2</v>
      </c>
      <c r="E23" s="128" t="inlineStr">
        <is>
          <t>Aa1</t>
        </is>
      </c>
      <c r="F23" s="123" t="n">
        <v>2</v>
      </c>
      <c r="H23" s="128" t="inlineStr">
        <is>
          <t>AA+</t>
        </is>
      </c>
      <c r="I23" s="123" t="n">
        <v>2</v>
      </c>
    </row>
    <row r="24">
      <c r="B24" s="129" t="inlineStr">
        <is>
          <t>AAA</t>
        </is>
      </c>
      <c r="C24" s="125" t="n">
        <v>1</v>
      </c>
      <c r="E24" s="129" t="inlineStr">
        <is>
          <t>Aaa</t>
        </is>
      </c>
      <c r="F24" s="125" t="n">
        <v>1</v>
      </c>
      <c r="H24" s="129" t="inlineStr">
        <is>
          <t>AAA</t>
        </is>
      </c>
      <c r="I24" s="125" t="n">
        <v>1</v>
      </c>
    </row>
    <row r="25">
      <c r="B25" s="126" t="inlineStr">
        <is>
          <t>Du</t>
        </is>
      </c>
      <c r="C25" s="123" t="n">
        <v>22</v>
      </c>
      <c r="E25" s="126" t="inlineStr">
        <is>
          <t>/u</t>
        </is>
      </c>
      <c r="F25" s="123" t="n">
        <v>22</v>
      </c>
      <c r="H25" s="126" t="inlineStr">
        <is>
          <t>WDu</t>
        </is>
      </c>
      <c r="I25" s="123" t="n">
        <v>22</v>
      </c>
    </row>
    <row r="26">
      <c r="B26" s="127" t="inlineStr">
        <is>
          <t>Cu</t>
        </is>
      </c>
      <c r="C26" s="124" t="n">
        <v>21</v>
      </c>
      <c r="E26" s="127" t="inlineStr">
        <is>
          <t>Cu</t>
        </is>
      </c>
      <c r="F26" s="124" t="n">
        <v>21</v>
      </c>
      <c r="H26" s="127" t="inlineStr">
        <is>
          <t>Cu</t>
        </is>
      </c>
      <c r="I26" s="124" t="n">
        <v>21</v>
      </c>
    </row>
    <row r="27">
      <c r="B27" s="127" t="inlineStr">
        <is>
          <t>CCu</t>
        </is>
      </c>
      <c r="C27" s="123" t="n">
        <v>20</v>
      </c>
      <c r="E27" s="127" t="inlineStr">
        <is>
          <t>Cau</t>
        </is>
      </c>
      <c r="F27" s="123" t="n">
        <v>20</v>
      </c>
      <c r="H27" s="127" t="inlineStr">
        <is>
          <t>CCu</t>
        </is>
      </c>
      <c r="I27" s="123" t="n">
        <v>20</v>
      </c>
    </row>
    <row r="28">
      <c r="B28" s="127" t="inlineStr">
        <is>
          <t>CCC-u</t>
        </is>
      </c>
      <c r="C28" s="124" t="n">
        <v>19</v>
      </c>
      <c r="E28" s="127" t="inlineStr">
        <is>
          <t>Caa3u</t>
        </is>
      </c>
      <c r="F28" s="124" t="n">
        <v>19</v>
      </c>
      <c r="H28" s="127" t="inlineStr">
        <is>
          <t>CCC-u</t>
        </is>
      </c>
      <c r="I28" s="124" t="n">
        <v>19</v>
      </c>
    </row>
    <row r="29">
      <c r="B29" s="127" t="inlineStr">
        <is>
          <t>CCCu</t>
        </is>
      </c>
      <c r="C29" s="123" t="n">
        <v>18</v>
      </c>
      <c r="E29" s="127" t="inlineStr">
        <is>
          <t>Caa2u</t>
        </is>
      </c>
      <c r="F29" s="123" t="n">
        <v>18</v>
      </c>
      <c r="H29" s="127" t="inlineStr">
        <is>
          <t>CCCu</t>
        </is>
      </c>
      <c r="I29" s="123" t="n">
        <v>18</v>
      </c>
    </row>
    <row r="30">
      <c r="B30" s="127" t="inlineStr">
        <is>
          <t>CCC+u</t>
        </is>
      </c>
      <c r="C30" s="124" t="n">
        <v>17</v>
      </c>
      <c r="E30" s="127" t="inlineStr">
        <is>
          <t>Caa1u</t>
        </is>
      </c>
      <c r="F30" s="124" t="n">
        <v>17</v>
      </c>
      <c r="H30" s="127" t="inlineStr">
        <is>
          <t>CCC+u</t>
        </is>
      </c>
      <c r="I30" s="124" t="n">
        <v>17</v>
      </c>
    </row>
    <row r="31">
      <c r="B31" s="127" t="inlineStr">
        <is>
          <t>B-u</t>
        </is>
      </c>
      <c r="C31" s="123" t="n">
        <v>16</v>
      </c>
      <c r="E31" s="127" t="inlineStr">
        <is>
          <t>B3u</t>
        </is>
      </c>
      <c r="F31" s="123" t="n">
        <v>16</v>
      </c>
      <c r="H31" s="127" t="inlineStr">
        <is>
          <t>B-u</t>
        </is>
      </c>
      <c r="I31" s="123" t="n">
        <v>16</v>
      </c>
    </row>
    <row r="32">
      <c r="B32" s="127" t="inlineStr">
        <is>
          <t>Bu</t>
        </is>
      </c>
      <c r="C32" s="124" t="n">
        <v>15</v>
      </c>
      <c r="E32" s="127" t="inlineStr">
        <is>
          <t>B2u</t>
        </is>
      </c>
      <c r="F32" s="124" t="n">
        <v>15</v>
      </c>
      <c r="H32" s="127" t="inlineStr">
        <is>
          <t>Bu</t>
        </is>
      </c>
      <c r="I32" s="124" t="n">
        <v>15</v>
      </c>
    </row>
    <row r="33">
      <c r="B33" s="127" t="inlineStr">
        <is>
          <t>B+u</t>
        </is>
      </c>
      <c r="C33" s="123" t="n">
        <v>14</v>
      </c>
      <c r="E33" s="127" t="inlineStr">
        <is>
          <t>B1u</t>
        </is>
      </c>
      <c r="F33" s="123" t="n">
        <v>14</v>
      </c>
      <c r="H33" s="127" t="inlineStr">
        <is>
          <t>B+u</t>
        </is>
      </c>
      <c r="I33" s="123" t="n">
        <v>14</v>
      </c>
    </row>
    <row r="34">
      <c r="B34" s="127" t="inlineStr">
        <is>
          <t>BB-u</t>
        </is>
      </c>
      <c r="C34" s="124" t="n">
        <v>13</v>
      </c>
      <c r="E34" s="127" t="inlineStr">
        <is>
          <t>Ba3u</t>
        </is>
      </c>
      <c r="F34" s="124" t="n">
        <v>13</v>
      </c>
      <c r="H34" s="127" t="inlineStr">
        <is>
          <t>BB-u</t>
        </is>
      </c>
      <c r="I34" s="124" t="n">
        <v>13</v>
      </c>
    </row>
    <row r="35">
      <c r="B35" s="127" t="inlineStr">
        <is>
          <t>BBu</t>
        </is>
      </c>
      <c r="C35" s="123" t="n">
        <v>12</v>
      </c>
      <c r="E35" s="127" t="inlineStr">
        <is>
          <t>Ba2u</t>
        </is>
      </c>
      <c r="F35" s="123" t="n">
        <v>12</v>
      </c>
      <c r="H35" s="127" t="inlineStr">
        <is>
          <t>BBu</t>
        </is>
      </c>
      <c r="I35" s="123" t="n">
        <v>12</v>
      </c>
    </row>
    <row r="36">
      <c r="B36" s="127" t="inlineStr">
        <is>
          <t>BB+u</t>
        </is>
      </c>
      <c r="C36" s="124" t="n">
        <v>11</v>
      </c>
      <c r="E36" s="127" t="inlineStr">
        <is>
          <t>Ba1u</t>
        </is>
      </c>
      <c r="F36" s="124" t="n">
        <v>11</v>
      </c>
      <c r="H36" s="127" t="inlineStr">
        <is>
          <t>BB+u</t>
        </is>
      </c>
      <c r="I36" s="124" t="n">
        <v>11</v>
      </c>
    </row>
    <row r="37">
      <c r="B37" s="128" t="inlineStr">
        <is>
          <t>BBB-u</t>
        </is>
      </c>
      <c r="C37" s="123" t="n">
        <v>10</v>
      </c>
      <c r="E37" s="128" t="inlineStr">
        <is>
          <t>Baa3u</t>
        </is>
      </c>
      <c r="F37" s="123" t="n">
        <v>10</v>
      </c>
      <c r="H37" s="128" t="inlineStr">
        <is>
          <t>BBB-u</t>
        </is>
      </c>
      <c r="I37" s="123" t="n">
        <v>10</v>
      </c>
    </row>
    <row r="38">
      <c r="B38" s="128" t="inlineStr">
        <is>
          <t>BBBu</t>
        </is>
      </c>
      <c r="C38" s="124" t="n">
        <v>9</v>
      </c>
      <c r="E38" s="128" t="inlineStr">
        <is>
          <t>Baa2u</t>
        </is>
      </c>
      <c r="F38" s="124" t="n">
        <v>9</v>
      </c>
      <c r="H38" s="128" t="inlineStr">
        <is>
          <t>BBBu</t>
        </is>
      </c>
      <c r="I38" s="124" t="n">
        <v>9</v>
      </c>
    </row>
    <row r="39">
      <c r="B39" s="128" t="inlineStr">
        <is>
          <t>BBB+u</t>
        </is>
      </c>
      <c r="C39" s="123" t="n">
        <v>8</v>
      </c>
      <c r="E39" s="128" t="inlineStr">
        <is>
          <t>Baa1u</t>
        </is>
      </c>
      <c r="F39" s="123" t="n">
        <v>8</v>
      </c>
      <c r="H39" s="128" t="inlineStr">
        <is>
          <t>BBB+u</t>
        </is>
      </c>
      <c r="I39" s="123" t="n">
        <v>8</v>
      </c>
    </row>
    <row r="40">
      <c r="B40" s="128" t="inlineStr">
        <is>
          <t>A-u</t>
        </is>
      </c>
      <c r="C40" s="124" t="n">
        <v>7</v>
      </c>
      <c r="E40" s="128" t="inlineStr">
        <is>
          <t>A3u</t>
        </is>
      </c>
      <c r="F40" s="124" t="n">
        <v>7</v>
      </c>
      <c r="H40" s="128" t="inlineStr">
        <is>
          <t>A-u</t>
        </is>
      </c>
      <c r="I40" s="124" t="n">
        <v>7</v>
      </c>
    </row>
    <row r="41">
      <c r="B41" s="128" t="inlineStr">
        <is>
          <t>Au</t>
        </is>
      </c>
      <c r="C41" s="123" t="n">
        <v>6</v>
      </c>
      <c r="E41" s="128" t="inlineStr">
        <is>
          <t>A2u</t>
        </is>
      </c>
      <c r="F41" s="123" t="n">
        <v>6</v>
      </c>
      <c r="H41" s="128" t="inlineStr">
        <is>
          <t>Au</t>
        </is>
      </c>
      <c r="I41" s="123" t="n">
        <v>6</v>
      </c>
    </row>
    <row r="42">
      <c r="B42" s="128" t="inlineStr">
        <is>
          <t>A+u</t>
        </is>
      </c>
      <c r="C42" s="124" t="n">
        <v>5</v>
      </c>
      <c r="E42" s="128" t="inlineStr">
        <is>
          <t>A1u</t>
        </is>
      </c>
      <c r="F42" s="124" t="n">
        <v>5</v>
      </c>
      <c r="H42" s="128" t="inlineStr">
        <is>
          <t>A+u</t>
        </is>
      </c>
      <c r="I42" s="124" t="n">
        <v>5</v>
      </c>
    </row>
    <row r="43">
      <c r="B43" s="128" t="inlineStr">
        <is>
          <t>AA-u</t>
        </is>
      </c>
      <c r="C43" s="123" t="n">
        <v>4</v>
      </c>
      <c r="E43" s="128" t="inlineStr">
        <is>
          <t>Aa3u</t>
        </is>
      </c>
      <c r="F43" s="123" t="n">
        <v>4</v>
      </c>
      <c r="H43" s="128" t="inlineStr">
        <is>
          <t>AA-u</t>
        </is>
      </c>
      <c r="I43" s="123" t="n">
        <v>4</v>
      </c>
    </row>
    <row r="44">
      <c r="B44" s="128" t="inlineStr">
        <is>
          <t>AAu</t>
        </is>
      </c>
      <c r="C44" s="124" t="n">
        <v>3</v>
      </c>
      <c r="E44" s="128" t="inlineStr">
        <is>
          <t>Aa2u</t>
        </is>
      </c>
      <c r="F44" s="124" t="n">
        <v>3</v>
      </c>
      <c r="H44" s="128" t="inlineStr">
        <is>
          <t>AAu</t>
        </is>
      </c>
      <c r="I44" s="124" t="n">
        <v>3</v>
      </c>
    </row>
    <row r="45">
      <c r="B45" s="128" t="inlineStr">
        <is>
          <t>AA+u</t>
        </is>
      </c>
      <c r="C45" s="123" t="n">
        <v>2</v>
      </c>
      <c r="E45" s="128" t="inlineStr">
        <is>
          <t>Aa1u</t>
        </is>
      </c>
      <c r="F45" s="123" t="n">
        <v>2</v>
      </c>
      <c r="H45" s="128" t="inlineStr">
        <is>
          <t>AA+u</t>
        </is>
      </c>
      <c r="I45" s="123" t="n">
        <v>2</v>
      </c>
    </row>
    <row r="46">
      <c r="B46" s="129" t="inlineStr">
        <is>
          <t>AAAu</t>
        </is>
      </c>
      <c r="C46" s="125" t="n">
        <v>1</v>
      </c>
      <c r="E46" s="129" t="inlineStr">
        <is>
          <t>Aaau</t>
        </is>
      </c>
      <c r="F46" s="125" t="n">
        <v>1</v>
      </c>
      <c r="H46" s="129" t="inlineStr">
        <is>
          <t>AAAu</t>
        </is>
      </c>
      <c r="I46" s="125" t="n">
        <v>1</v>
      </c>
    </row>
    <row r="47">
      <c r="B47" s="126" t="inlineStr">
        <is>
          <t>D *-</t>
        </is>
      </c>
      <c r="C47" s="123" t="n">
        <v>22</v>
      </c>
      <c r="E47" s="126" t="inlineStr">
        <is>
          <t>/ *-</t>
        </is>
      </c>
      <c r="F47" s="123" t="n">
        <v>22</v>
      </c>
      <c r="H47" s="126" t="inlineStr">
        <is>
          <t>WD *-</t>
        </is>
      </c>
      <c r="I47" s="123" t="n">
        <v>22</v>
      </c>
    </row>
    <row r="48">
      <c r="B48" s="127" t="inlineStr">
        <is>
          <t>C *-</t>
        </is>
      </c>
      <c r="C48" s="124" t="n">
        <v>21</v>
      </c>
      <c r="E48" s="127" t="inlineStr">
        <is>
          <t>C *-</t>
        </is>
      </c>
      <c r="F48" s="124" t="n">
        <v>21</v>
      </c>
      <c r="H48" s="127" t="inlineStr">
        <is>
          <t>C *-</t>
        </is>
      </c>
      <c r="I48" s="124" t="n">
        <v>21</v>
      </c>
    </row>
    <row r="49">
      <c r="B49" s="127" t="inlineStr">
        <is>
          <t>CC *-</t>
        </is>
      </c>
      <c r="C49" s="123" t="n">
        <v>20</v>
      </c>
      <c r="E49" s="127" t="inlineStr">
        <is>
          <t>Ca *-</t>
        </is>
      </c>
      <c r="F49" s="123" t="n">
        <v>20</v>
      </c>
      <c r="H49" s="127" t="inlineStr">
        <is>
          <t>CC *-</t>
        </is>
      </c>
      <c r="I49" s="123" t="n">
        <v>20</v>
      </c>
    </row>
    <row r="50">
      <c r="B50" s="127" t="inlineStr">
        <is>
          <t>CCC- *-</t>
        </is>
      </c>
      <c r="C50" s="124" t="n">
        <v>19</v>
      </c>
      <c r="E50" s="127" t="inlineStr">
        <is>
          <t>Caa3 *-</t>
        </is>
      </c>
      <c r="F50" s="124" t="n">
        <v>19</v>
      </c>
      <c r="H50" s="127" t="inlineStr">
        <is>
          <t>CCC- *-</t>
        </is>
      </c>
      <c r="I50" s="124" t="n">
        <v>19</v>
      </c>
    </row>
    <row r="51">
      <c r="B51" s="127" t="inlineStr">
        <is>
          <t>CCC *-</t>
        </is>
      </c>
      <c r="C51" s="123" t="n">
        <v>18</v>
      </c>
      <c r="E51" s="127" t="inlineStr">
        <is>
          <t>Caa2 *-</t>
        </is>
      </c>
      <c r="F51" s="123" t="n">
        <v>18</v>
      </c>
      <c r="H51" s="127" t="inlineStr">
        <is>
          <t>CCC *-</t>
        </is>
      </c>
      <c r="I51" s="123" t="n">
        <v>18</v>
      </c>
    </row>
    <row r="52">
      <c r="B52" s="127" t="inlineStr">
        <is>
          <t>CCC+ *-</t>
        </is>
      </c>
      <c r="C52" s="124" t="n">
        <v>17</v>
      </c>
      <c r="E52" s="127" t="inlineStr">
        <is>
          <t>Caa1 *-</t>
        </is>
      </c>
      <c r="F52" s="124" t="n">
        <v>17</v>
      </c>
      <c r="H52" s="127" t="inlineStr">
        <is>
          <t>CCC+ *-</t>
        </is>
      </c>
      <c r="I52" s="124" t="n">
        <v>17</v>
      </c>
    </row>
    <row r="53">
      <c r="B53" s="127" t="inlineStr">
        <is>
          <t>B- *-</t>
        </is>
      </c>
      <c r="C53" s="123" t="n">
        <v>16</v>
      </c>
      <c r="E53" s="127" t="inlineStr">
        <is>
          <t>B3 *-</t>
        </is>
      </c>
      <c r="F53" s="123" t="n">
        <v>16</v>
      </c>
      <c r="H53" s="127" t="inlineStr">
        <is>
          <t>B- *-</t>
        </is>
      </c>
      <c r="I53" s="123" t="n">
        <v>16</v>
      </c>
    </row>
    <row r="54">
      <c r="B54" s="127" t="inlineStr">
        <is>
          <t>B *-</t>
        </is>
      </c>
      <c r="C54" s="124" t="n">
        <v>15</v>
      </c>
      <c r="E54" s="127" t="inlineStr">
        <is>
          <t>B2 *-</t>
        </is>
      </c>
      <c r="F54" s="124" t="n">
        <v>15</v>
      </c>
      <c r="H54" s="127" t="inlineStr">
        <is>
          <t>B *-</t>
        </is>
      </c>
      <c r="I54" s="124" t="n">
        <v>15</v>
      </c>
    </row>
    <row r="55">
      <c r="B55" s="127" t="inlineStr">
        <is>
          <t>B+ *-</t>
        </is>
      </c>
      <c r="C55" s="123" t="n">
        <v>14</v>
      </c>
      <c r="E55" s="127" t="inlineStr">
        <is>
          <t>B1 *-</t>
        </is>
      </c>
      <c r="F55" s="123" t="n">
        <v>14</v>
      </c>
      <c r="H55" s="127" t="inlineStr">
        <is>
          <t>B+ *-</t>
        </is>
      </c>
      <c r="I55" s="123" t="n">
        <v>14</v>
      </c>
    </row>
    <row r="56">
      <c r="B56" s="127" t="inlineStr">
        <is>
          <t>BB- *-</t>
        </is>
      </c>
      <c r="C56" s="124" t="n">
        <v>13</v>
      </c>
      <c r="E56" s="127" t="inlineStr">
        <is>
          <t>Ba3 *-</t>
        </is>
      </c>
      <c r="F56" s="124" t="n">
        <v>13</v>
      </c>
      <c r="H56" s="127" t="inlineStr">
        <is>
          <t>BB- *-</t>
        </is>
      </c>
      <c r="I56" s="124" t="n">
        <v>13</v>
      </c>
    </row>
    <row r="57">
      <c r="B57" s="127" t="inlineStr">
        <is>
          <t>BB *-</t>
        </is>
      </c>
      <c r="C57" s="123" t="n">
        <v>12</v>
      </c>
      <c r="E57" s="127" t="inlineStr">
        <is>
          <t>Ba2 *-</t>
        </is>
      </c>
      <c r="F57" s="123" t="n">
        <v>12</v>
      </c>
      <c r="H57" s="127" t="inlineStr">
        <is>
          <t>BB *-</t>
        </is>
      </c>
      <c r="I57" s="123" t="n">
        <v>12</v>
      </c>
    </row>
    <row r="58">
      <c r="B58" s="127" t="inlineStr">
        <is>
          <t>BB+ *-</t>
        </is>
      </c>
      <c r="C58" s="124" t="n">
        <v>11</v>
      </c>
      <c r="E58" s="127" t="inlineStr">
        <is>
          <t>Ba1 *-</t>
        </is>
      </c>
      <c r="F58" s="124" t="n">
        <v>11</v>
      </c>
      <c r="H58" s="127" t="inlineStr">
        <is>
          <t>BB+ *-</t>
        </is>
      </c>
      <c r="I58" s="124" t="n">
        <v>11</v>
      </c>
    </row>
    <row r="59">
      <c r="B59" s="128" t="inlineStr">
        <is>
          <t>BBB- *-</t>
        </is>
      </c>
      <c r="C59" s="123" t="n">
        <v>10</v>
      </c>
      <c r="E59" s="128" t="inlineStr">
        <is>
          <t>Baa3 *-</t>
        </is>
      </c>
      <c r="F59" s="123" t="n">
        <v>10</v>
      </c>
      <c r="H59" s="128" t="inlineStr">
        <is>
          <t>BBB- *-</t>
        </is>
      </c>
      <c r="I59" s="123" t="n">
        <v>10</v>
      </c>
    </row>
    <row r="60">
      <c r="B60" s="128" t="inlineStr">
        <is>
          <t>BBB *-</t>
        </is>
      </c>
      <c r="C60" s="124" t="n">
        <v>9</v>
      </c>
      <c r="E60" s="128" t="inlineStr">
        <is>
          <t>Baa2 *-</t>
        </is>
      </c>
      <c r="F60" s="124" t="n">
        <v>9</v>
      </c>
      <c r="H60" s="128" t="inlineStr">
        <is>
          <t>BBB *-</t>
        </is>
      </c>
      <c r="I60" s="124" t="n">
        <v>9</v>
      </c>
    </row>
    <row r="61">
      <c r="B61" s="128" t="inlineStr">
        <is>
          <t>BBB+ *-</t>
        </is>
      </c>
      <c r="C61" s="123" t="n">
        <v>8</v>
      </c>
      <c r="E61" s="128" t="inlineStr">
        <is>
          <t>Baa1 *-</t>
        </is>
      </c>
      <c r="F61" s="123" t="n">
        <v>8</v>
      </c>
      <c r="H61" s="128" t="inlineStr">
        <is>
          <t>BBB+ *-</t>
        </is>
      </c>
      <c r="I61" s="123" t="n">
        <v>8</v>
      </c>
    </row>
    <row r="62">
      <c r="B62" s="128" t="inlineStr">
        <is>
          <t>A- *-</t>
        </is>
      </c>
      <c r="C62" s="124" t="n">
        <v>7</v>
      </c>
      <c r="E62" s="128" t="inlineStr">
        <is>
          <t>A3 *-</t>
        </is>
      </c>
      <c r="F62" s="124" t="n">
        <v>7</v>
      </c>
      <c r="H62" s="128" t="inlineStr">
        <is>
          <t>A- *-</t>
        </is>
      </c>
      <c r="I62" s="124" t="n">
        <v>7</v>
      </c>
    </row>
    <row r="63">
      <c r="B63" s="128" t="inlineStr">
        <is>
          <t>A *-</t>
        </is>
      </c>
      <c r="C63" s="123" t="n">
        <v>6</v>
      </c>
      <c r="E63" s="128" t="inlineStr">
        <is>
          <t>A2 *-</t>
        </is>
      </c>
      <c r="F63" s="123" t="n">
        <v>6</v>
      </c>
      <c r="H63" s="128" t="inlineStr">
        <is>
          <t>A *-</t>
        </is>
      </c>
      <c r="I63" s="123" t="n">
        <v>6</v>
      </c>
    </row>
    <row r="64">
      <c r="B64" s="128" t="inlineStr">
        <is>
          <t>A+ *-</t>
        </is>
      </c>
      <c r="C64" s="124" t="n">
        <v>5</v>
      </c>
      <c r="E64" s="128" t="inlineStr">
        <is>
          <t>A1 *-</t>
        </is>
      </c>
      <c r="F64" s="124" t="n">
        <v>5</v>
      </c>
      <c r="H64" s="128" t="inlineStr">
        <is>
          <t>A+ *-</t>
        </is>
      </c>
      <c r="I64" s="124" t="n">
        <v>5</v>
      </c>
    </row>
    <row r="65">
      <c r="B65" s="128" t="inlineStr">
        <is>
          <t>AA- *-</t>
        </is>
      </c>
      <c r="C65" s="123" t="n">
        <v>4</v>
      </c>
      <c r="E65" s="128" t="inlineStr">
        <is>
          <t>Aa3 *-</t>
        </is>
      </c>
      <c r="F65" s="123" t="n">
        <v>4</v>
      </c>
      <c r="H65" s="128" t="inlineStr">
        <is>
          <t>AA- *-</t>
        </is>
      </c>
      <c r="I65" s="123" t="n">
        <v>4</v>
      </c>
    </row>
    <row r="66">
      <c r="B66" s="128" t="inlineStr">
        <is>
          <t>AA *-</t>
        </is>
      </c>
      <c r="C66" s="124" t="n">
        <v>3</v>
      </c>
      <c r="E66" s="128" t="inlineStr">
        <is>
          <t>Aa2 *-</t>
        </is>
      </c>
      <c r="F66" s="124" t="n">
        <v>3</v>
      </c>
      <c r="H66" s="128" t="inlineStr">
        <is>
          <t>AA *-</t>
        </is>
      </c>
      <c r="I66" s="124" t="n">
        <v>3</v>
      </c>
    </row>
    <row r="67">
      <c r="B67" s="128" t="inlineStr">
        <is>
          <t>AA+ *-</t>
        </is>
      </c>
      <c r="C67" s="123" t="n">
        <v>2</v>
      </c>
      <c r="E67" s="128" t="inlineStr">
        <is>
          <t>Aa1 *-</t>
        </is>
      </c>
      <c r="F67" s="123" t="n">
        <v>2</v>
      </c>
      <c r="H67" s="128" t="inlineStr">
        <is>
          <t>AA+ *-</t>
        </is>
      </c>
      <c r="I67" s="123" t="n">
        <v>2</v>
      </c>
    </row>
    <row r="68">
      <c r="B68" s="129" t="inlineStr">
        <is>
          <t>AAA *-</t>
        </is>
      </c>
      <c r="C68" s="125" t="n">
        <v>1</v>
      </c>
      <c r="E68" s="129" t="inlineStr">
        <is>
          <t>Aaa *-</t>
        </is>
      </c>
      <c r="F68" s="125" t="n">
        <v>1</v>
      </c>
      <c r="H68" s="129" t="inlineStr">
        <is>
          <t>AAA *-</t>
        </is>
      </c>
      <c r="I68" s="125" t="n">
        <v>1</v>
      </c>
    </row>
    <row r="69">
      <c r="B69" s="126" t="inlineStr">
        <is>
          <t>Du *-</t>
        </is>
      </c>
      <c r="C69" s="123" t="n">
        <v>22</v>
      </c>
      <c r="E69" s="126" t="inlineStr">
        <is>
          <t>/u *-</t>
        </is>
      </c>
      <c r="F69" s="123" t="n">
        <v>22</v>
      </c>
      <c r="H69" s="126" t="inlineStr">
        <is>
          <t>WDu *-</t>
        </is>
      </c>
      <c r="I69" s="123" t="n">
        <v>22</v>
      </c>
    </row>
    <row r="70">
      <c r="B70" s="127" t="inlineStr">
        <is>
          <t>Cu *-</t>
        </is>
      </c>
      <c r="C70" s="124" t="n">
        <v>21</v>
      </c>
      <c r="E70" s="127" t="inlineStr">
        <is>
          <t>Cu *-</t>
        </is>
      </c>
      <c r="F70" s="124" t="n">
        <v>21</v>
      </c>
      <c r="H70" s="127" t="inlineStr">
        <is>
          <t>Cu *-</t>
        </is>
      </c>
      <c r="I70" s="124" t="n">
        <v>21</v>
      </c>
    </row>
    <row r="71">
      <c r="B71" s="127" t="inlineStr">
        <is>
          <t>CCu *-</t>
        </is>
      </c>
      <c r="C71" s="123" t="n">
        <v>20</v>
      </c>
      <c r="E71" s="127" t="inlineStr">
        <is>
          <t>Cau *-</t>
        </is>
      </c>
      <c r="F71" s="123" t="n">
        <v>20</v>
      </c>
      <c r="H71" s="127" t="inlineStr">
        <is>
          <t>CCu *-</t>
        </is>
      </c>
      <c r="I71" s="123" t="n">
        <v>20</v>
      </c>
    </row>
    <row r="72">
      <c r="B72" s="127" t="inlineStr">
        <is>
          <t>CCC-u *-</t>
        </is>
      </c>
      <c r="C72" s="124" t="n">
        <v>19</v>
      </c>
      <c r="E72" s="127" t="inlineStr">
        <is>
          <t>Caa3u *-</t>
        </is>
      </c>
      <c r="F72" s="124" t="n">
        <v>19</v>
      </c>
      <c r="H72" s="127" t="inlineStr">
        <is>
          <t>CCC-u *-</t>
        </is>
      </c>
      <c r="I72" s="124" t="n">
        <v>19</v>
      </c>
    </row>
    <row r="73">
      <c r="B73" s="127" t="inlineStr">
        <is>
          <t>CCCu *-</t>
        </is>
      </c>
      <c r="C73" s="123" t="n">
        <v>18</v>
      </c>
      <c r="E73" s="127" t="inlineStr">
        <is>
          <t>Caa2u *-</t>
        </is>
      </c>
      <c r="F73" s="123" t="n">
        <v>18</v>
      </c>
      <c r="H73" s="127" t="inlineStr">
        <is>
          <t>CCCu *-</t>
        </is>
      </c>
      <c r="I73" s="123" t="n">
        <v>18</v>
      </c>
    </row>
    <row r="74">
      <c r="B74" s="127" t="inlineStr">
        <is>
          <t>CCC+u *-</t>
        </is>
      </c>
      <c r="C74" s="124" t="n">
        <v>17</v>
      </c>
      <c r="E74" s="127" t="inlineStr">
        <is>
          <t>Caa1u *-</t>
        </is>
      </c>
      <c r="F74" s="124" t="n">
        <v>17</v>
      </c>
      <c r="H74" s="127" t="inlineStr">
        <is>
          <t>CCC+u *-</t>
        </is>
      </c>
      <c r="I74" s="124" t="n">
        <v>17</v>
      </c>
    </row>
    <row r="75">
      <c r="B75" s="127" t="inlineStr">
        <is>
          <t>B-u *-</t>
        </is>
      </c>
      <c r="C75" s="123" t="n">
        <v>16</v>
      </c>
      <c r="E75" s="127" t="inlineStr">
        <is>
          <t>B3u *-</t>
        </is>
      </c>
      <c r="F75" s="123" t="n">
        <v>16</v>
      </c>
      <c r="H75" s="127" t="inlineStr">
        <is>
          <t>B-u *-</t>
        </is>
      </c>
      <c r="I75" s="123" t="n">
        <v>16</v>
      </c>
    </row>
    <row r="76">
      <c r="B76" s="127" t="inlineStr">
        <is>
          <t>Bu *-</t>
        </is>
      </c>
      <c r="C76" s="124" t="n">
        <v>15</v>
      </c>
      <c r="E76" s="127" t="inlineStr">
        <is>
          <t>B2u *-</t>
        </is>
      </c>
      <c r="F76" s="124" t="n">
        <v>15</v>
      </c>
      <c r="H76" s="127" t="inlineStr">
        <is>
          <t>Bu *-</t>
        </is>
      </c>
      <c r="I76" s="124" t="n">
        <v>15</v>
      </c>
    </row>
    <row r="77">
      <c r="B77" s="127" t="inlineStr">
        <is>
          <t>B+u *-</t>
        </is>
      </c>
      <c r="C77" s="123" t="n">
        <v>14</v>
      </c>
      <c r="E77" s="127" t="inlineStr">
        <is>
          <t>B1u *-</t>
        </is>
      </c>
      <c r="F77" s="123" t="n">
        <v>14</v>
      </c>
      <c r="H77" s="127" t="inlineStr">
        <is>
          <t>B+u *-</t>
        </is>
      </c>
      <c r="I77" s="123" t="n">
        <v>14</v>
      </c>
    </row>
    <row r="78">
      <c r="B78" s="127" t="inlineStr">
        <is>
          <t>BB-u *-</t>
        </is>
      </c>
      <c r="C78" s="124" t="n">
        <v>13</v>
      </c>
      <c r="E78" s="127" t="inlineStr">
        <is>
          <t>Ba3u *-</t>
        </is>
      </c>
      <c r="F78" s="124" t="n">
        <v>13</v>
      </c>
      <c r="H78" s="127" t="inlineStr">
        <is>
          <t>BB-u *-</t>
        </is>
      </c>
      <c r="I78" s="124" t="n">
        <v>13</v>
      </c>
    </row>
    <row r="79">
      <c r="B79" s="127" t="inlineStr">
        <is>
          <t>BBu *-</t>
        </is>
      </c>
      <c r="C79" s="123" t="n">
        <v>12</v>
      </c>
      <c r="E79" s="127" t="inlineStr">
        <is>
          <t>Ba2u *-</t>
        </is>
      </c>
      <c r="F79" s="123" t="n">
        <v>12</v>
      </c>
      <c r="H79" s="127" t="inlineStr">
        <is>
          <t>BBu *-</t>
        </is>
      </c>
      <c r="I79" s="123" t="n">
        <v>12</v>
      </c>
    </row>
    <row r="80">
      <c r="B80" s="127" t="inlineStr">
        <is>
          <t>BB+u *-</t>
        </is>
      </c>
      <c r="C80" s="124" t="n">
        <v>11</v>
      </c>
      <c r="E80" s="127" t="inlineStr">
        <is>
          <t>Ba1u *-</t>
        </is>
      </c>
      <c r="F80" s="124" t="n">
        <v>11</v>
      </c>
      <c r="H80" s="127" t="inlineStr">
        <is>
          <t>BB+u *-</t>
        </is>
      </c>
      <c r="I80" s="124" t="n">
        <v>11</v>
      </c>
    </row>
    <row r="81">
      <c r="B81" s="128" t="inlineStr">
        <is>
          <t>BBB-u *-</t>
        </is>
      </c>
      <c r="C81" s="123" t="n">
        <v>10</v>
      </c>
      <c r="E81" s="128" t="inlineStr">
        <is>
          <t>Baa3u *-</t>
        </is>
      </c>
      <c r="F81" s="123" t="n">
        <v>10</v>
      </c>
      <c r="H81" s="128" t="inlineStr">
        <is>
          <t>BBB-u *-</t>
        </is>
      </c>
      <c r="I81" s="123" t="n">
        <v>10</v>
      </c>
    </row>
    <row r="82">
      <c r="B82" s="128" t="inlineStr">
        <is>
          <t>BBBu *-</t>
        </is>
      </c>
      <c r="C82" s="124" t="n">
        <v>9</v>
      </c>
      <c r="E82" s="128" t="inlineStr">
        <is>
          <t>Baa2u *-</t>
        </is>
      </c>
      <c r="F82" s="124" t="n">
        <v>9</v>
      </c>
      <c r="H82" s="128" t="inlineStr">
        <is>
          <t>BBBu *-</t>
        </is>
      </c>
      <c r="I82" s="124" t="n">
        <v>9</v>
      </c>
    </row>
    <row r="83">
      <c r="B83" s="128" t="inlineStr">
        <is>
          <t>BBB+u *-</t>
        </is>
      </c>
      <c r="C83" s="123" t="n">
        <v>8</v>
      </c>
      <c r="E83" s="128" t="inlineStr">
        <is>
          <t>Baa1u *-</t>
        </is>
      </c>
      <c r="F83" s="123" t="n">
        <v>8</v>
      </c>
      <c r="H83" s="128" t="inlineStr">
        <is>
          <t>BBB+u *-</t>
        </is>
      </c>
      <c r="I83" s="123" t="n">
        <v>8</v>
      </c>
    </row>
    <row r="84">
      <c r="B84" s="128" t="inlineStr">
        <is>
          <t>A-u *-</t>
        </is>
      </c>
      <c r="C84" s="124" t="n">
        <v>7</v>
      </c>
      <c r="E84" s="128" t="inlineStr">
        <is>
          <t>A3u *-</t>
        </is>
      </c>
      <c r="F84" s="124" t="n">
        <v>7</v>
      </c>
      <c r="H84" s="128" t="inlineStr">
        <is>
          <t>A-u *-</t>
        </is>
      </c>
      <c r="I84" s="124" t="n">
        <v>7</v>
      </c>
    </row>
    <row r="85">
      <c r="B85" s="128" t="inlineStr">
        <is>
          <t>Au *-</t>
        </is>
      </c>
      <c r="C85" s="123" t="n">
        <v>6</v>
      </c>
      <c r="E85" s="128" t="inlineStr">
        <is>
          <t>A2u *-</t>
        </is>
      </c>
      <c r="F85" s="123" t="n">
        <v>6</v>
      </c>
      <c r="H85" s="128" t="inlineStr">
        <is>
          <t>Au *-</t>
        </is>
      </c>
      <c r="I85" s="123" t="n">
        <v>6</v>
      </c>
    </row>
    <row r="86">
      <c r="B86" s="128" t="inlineStr">
        <is>
          <t>A+u *-</t>
        </is>
      </c>
      <c r="C86" s="124" t="n">
        <v>5</v>
      </c>
      <c r="E86" s="128" t="inlineStr">
        <is>
          <t>A1u *-</t>
        </is>
      </c>
      <c r="F86" s="124" t="n">
        <v>5</v>
      </c>
      <c r="H86" s="128" t="inlineStr">
        <is>
          <t>A+u *-</t>
        </is>
      </c>
      <c r="I86" s="124" t="n">
        <v>5</v>
      </c>
    </row>
    <row r="87">
      <c r="B87" s="128" t="inlineStr">
        <is>
          <t>AA-u *-</t>
        </is>
      </c>
      <c r="C87" s="123" t="n">
        <v>4</v>
      </c>
      <c r="E87" s="128" t="inlineStr">
        <is>
          <t>Aa3u *-</t>
        </is>
      </c>
      <c r="F87" s="123" t="n">
        <v>4</v>
      </c>
      <c r="H87" s="128" t="inlineStr">
        <is>
          <t>AA-u *-</t>
        </is>
      </c>
      <c r="I87" s="123" t="n">
        <v>4</v>
      </c>
    </row>
    <row r="88">
      <c r="B88" s="128" t="inlineStr">
        <is>
          <t>AAu *-</t>
        </is>
      </c>
      <c r="C88" s="124" t="n">
        <v>3</v>
      </c>
      <c r="E88" s="128" t="inlineStr">
        <is>
          <t>Aa2u *-</t>
        </is>
      </c>
      <c r="F88" s="124" t="n">
        <v>3</v>
      </c>
      <c r="H88" s="128" t="inlineStr">
        <is>
          <t>AAu *-</t>
        </is>
      </c>
      <c r="I88" s="124" t="n">
        <v>3</v>
      </c>
    </row>
    <row r="89">
      <c r="B89" s="128" t="inlineStr">
        <is>
          <t>AA+u *-</t>
        </is>
      </c>
      <c r="C89" s="123" t="n">
        <v>2</v>
      </c>
      <c r="E89" s="128" t="inlineStr">
        <is>
          <t>Aa1u *-</t>
        </is>
      </c>
      <c r="F89" s="123" t="n">
        <v>2</v>
      </c>
      <c r="H89" s="128" t="inlineStr">
        <is>
          <t>AA+u *-</t>
        </is>
      </c>
      <c r="I89" s="123" t="n">
        <v>2</v>
      </c>
    </row>
    <row r="90">
      <c r="B90" s="129" t="inlineStr">
        <is>
          <t>AAAu *-</t>
        </is>
      </c>
      <c r="C90" s="125" t="n">
        <v>1</v>
      </c>
      <c r="E90" s="129" t="inlineStr">
        <is>
          <t>Aaau *-</t>
        </is>
      </c>
      <c r="F90" s="125" t="n">
        <v>1</v>
      </c>
      <c r="H90" s="129" t="inlineStr">
        <is>
          <t>AAAu *-</t>
        </is>
      </c>
      <c r="I90" s="125" t="n">
        <v>1</v>
      </c>
    </row>
  </sheetData>
  <pageMargins left="0.7" right="0.7" top="0.75" bottom="0.75" header="0.3" footer="0.3"/>
  <pageSetup orientation="portrait" paperSize="9"/>
  <headerFooter>
    <oddHeader/>
    <oddFooter>&amp;C&amp;"Calibri"&amp;10 &amp;K000000#AXA IM - RESTRICTED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MAKONGA Emmanuel</dc:creator>
  <dc:title xmlns:dc="http://purl.org/dc/elements/1.1/">Thomson Reuters Datastrem - DFO - Request Table Template</dc:title>
  <dcterms:created xmlns:dcterms="http://purl.org/dc/terms/" xmlns:xsi="http://www.w3.org/2001/XMLSchema-instance" xsi:type="dcterms:W3CDTF">2011-08-01T12:44:02Z</dcterms:created>
  <dcterms:modified xmlns:dcterms="http://purl.org/dc/terms/" xmlns:xsi="http://www.w3.org/2001/XMLSchema-instance" xsi:type="dcterms:W3CDTF">2026-05-10T21:45:39Z</dcterms:modified>
  <cp:lastModifiedBy>TOPA-SERRY Irina</cp:lastModifiedBy>
</cp:coreProperties>
</file>

<file path=docProps/custom.xml><?xml version="1.0" encoding="utf-8"?>
<Properties xmlns="http://schemas.openxmlformats.org/officeDocument/2006/custom-properties">
  <property name="SpreadsheetBuilder_1" fmtid="{D5CDD505-2E9C-101B-9397-08002B2CF9AE}" pid="2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2" fmtid="{D5CDD505-2E9C-101B-9397-08002B2CF9AE}" pid="3">
    <vt:lpwstr xmlns:vt="http://schemas.openxmlformats.org/officeDocument/2006/docPropsVTypes">eyIwIjoiSGlzdG9yeSIsIjEiOjAsIjIiOjEsIjMiOjEsIjQiOjEsIjUiOjEsIjYiOjEsIjciOjEsIjgiOjAsIjkiOjEsIjEwIjoxLCIxMSI6MCwiMTIiOjB9</vt:lpwstr>
  </property>
  <property name="SpreadsheetBuilder_3" fmtid="{D5CDD505-2E9C-101B-9397-08002B2CF9AE}" pid="4">
    <vt:lpwstr xmlns:vt="http://schemas.openxmlformats.org/officeDocument/2006/docPropsVTypes">eyIwIjoiSGlzdG9yeSIsIjEiOjAsIjIiOjEsIjMiOjEsIjQiOjEsIjUiOjEsIjYiOjEsIjciOjEsIjgiOjAsIjkiOjEsIjEwIjoxLCIxMSI6MCwiMTIiOjB9</vt:lpwstr>
  </property>
  <property name="MSIP_Label_f3b89073-f537-4fe2-a4ef-71907f8c184f_Enabled" fmtid="{D5CDD505-2E9C-101B-9397-08002B2CF9AE}" pid="5">
    <vt:lpwstr xmlns:vt="http://schemas.openxmlformats.org/officeDocument/2006/docPropsVTypes">true</vt:lpwstr>
  </property>
  <property name="MSIP_Label_f3b89073-f537-4fe2-a4ef-71907f8c184f_SetDate" fmtid="{D5CDD505-2E9C-101B-9397-08002B2CF9AE}" pid="6">
    <vt:lpwstr xmlns:vt="http://schemas.openxmlformats.org/officeDocument/2006/docPropsVTypes">2023-03-06T11:36:38Z</vt:lpwstr>
  </property>
  <property name="MSIP_Label_f3b89073-f537-4fe2-a4ef-71907f8c184f_Method" fmtid="{D5CDD505-2E9C-101B-9397-08002B2CF9AE}" pid="7">
    <vt:lpwstr xmlns:vt="http://schemas.openxmlformats.org/officeDocument/2006/docPropsVTypes">Standard</vt:lpwstr>
  </property>
  <property name="MSIP_Label_f3b89073-f537-4fe2-a4ef-71907f8c184f_Name" fmtid="{D5CDD505-2E9C-101B-9397-08002B2CF9AE}" pid="8">
    <vt:lpwstr xmlns:vt="http://schemas.openxmlformats.org/officeDocument/2006/docPropsVTypes">INTERNAL</vt:lpwstr>
  </property>
  <property name="MSIP_Label_f3b89073-f537-4fe2-a4ef-71907f8c184f_SiteId" fmtid="{D5CDD505-2E9C-101B-9397-08002B2CF9AE}" pid="9">
    <vt:lpwstr xmlns:vt="http://schemas.openxmlformats.org/officeDocument/2006/docPropsVTypes">85f3dce2-9de5-43ba-8d73-76ef63954d34</vt:lpwstr>
  </property>
  <property name="MSIP_Label_f3b89073-f537-4fe2-a4ef-71907f8c184f_ActionId" fmtid="{D5CDD505-2E9C-101B-9397-08002B2CF9AE}" pid="10">
    <vt:lpwstr xmlns:vt="http://schemas.openxmlformats.org/officeDocument/2006/docPropsVTypes">b3d58c4f-2016-462c-9d51-6501517bb9be</vt:lpwstr>
  </property>
  <property name="MSIP_Label_f3b89073-f537-4fe2-a4ef-71907f8c184f_ContentBits" fmtid="{D5CDD505-2E9C-101B-9397-08002B2CF9AE}" pid="11">
    <vt:lpwstr xmlns:vt="http://schemas.openxmlformats.org/officeDocument/2006/docPropsVTypes">2</vt:lpwstr>
  </property>
</Properties>
</file>