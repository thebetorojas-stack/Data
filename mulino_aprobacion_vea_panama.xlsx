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albertorojas/Downloads/"/>
    </mc:Choice>
  </mc:AlternateContent>
  <xr:revisionPtr revIDLastSave="0" documentId="11_E90056977269809692A2CCE17A75AC79D5AE3F37" xr6:coauthVersionLast="47" xr6:coauthVersionMax="47" xr10:uidLastSave="{00000000-0000-0000-0000-000000000000}"/>
  <bookViews>
    <workbookView xWindow="0" yWindow="660" windowWidth="30240" windowHeight="17860" xr2:uid="{00000000-000D-0000-FFFF-FFFF00000000}"/>
  </bookViews>
  <sheets>
    <sheet name="Read me" sheetId="1" r:id="rId1"/>
    <sheet name="Serie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2" l="1"/>
  <c r="H12" i="2"/>
  <c r="H11" i="2"/>
  <c r="H10" i="2"/>
  <c r="H9" i="2"/>
  <c r="H8" i="2"/>
  <c r="H7" i="2"/>
  <c r="H6" i="2"/>
</calcChain>
</file>

<file path=xl/sharedStrings.xml><?xml version="1.0" encoding="utf-8"?>
<sst xmlns="http://schemas.openxmlformats.org/spreadsheetml/2006/main" count="49" uniqueCount="49">
  <si>
    <t>Jose Raul Mulino - evaluacion de gestion</t>
  </si>
  <si>
    <t>Serie Vea Panama (Prodigious Consulting / La Estrella de Panama), oct-2024 a jul-2026.</t>
  </si>
  <si>
    <t>Que mide la serie</t>
  </si>
  <si>
    <t>Evaluacion de la gestion presidencial ('buena/muy buena' vs 'mala/muy mala'), no 'aprobacion' en el sentido clasico Gallup. Es el unico tracker con continuidad en Panama. Ocho olas, ~1,500 entrevistas cara a cara por ola, ocho provincias (excluye Bocas del Toro, Darien y comarcas), seleccion aleatoria en hogar, margen de error 2.5%, confianza 95%.</t>
  </si>
  <si>
    <t>ADVERTENCIA de comparabilidad</t>
  </si>
  <si>
    <t>La agrupacion de categorias cambio a lo largo de la serie. Las olas de oct-24 a mar-25 incluian 'regular buena'/'regular mala' en los titulares; desde jun-25 el titular es mala+muy mala vs buena+muy buena. El desplome oct-24 a jun-25 es real pero su magnitud exacta esta contaminada por el cambio de agrupacion. La sub-serie limpia y plenamente comparable es jun-25 a jul-26. Las notas por ola documentan cada caso.</t>
  </si>
  <si>
    <t>Sesgo de cobertura</t>
  </si>
  <si>
    <t>La muestra excluye Bocas del Toro y las comarcas: precisamente el epicentro de las huelgas bananeras de 2025 y las zonas de mayor conflictividad. El rechazo nacional real es probablemente algo MAYOR al medido.</t>
  </si>
  <si>
    <t>Cifras alternativas</t>
  </si>
  <si>
    <t>Donde la prensa reporta cifras distintas para la misma ola (ej. sep-25: 16.3 vs 17.7), la celda usa la cifra de La Estrella (dueno de la serie) y la nota registra la alternativa.</t>
  </si>
  <si>
    <t>Otras encuestadoras - NO empalmadas</t>
  </si>
  <si>
    <t>Gallup (mar-26), Ipsos/Grupo Epasa (abr-may-26) y CIEPS (ene-26) miden constructos distintos (esperanza economica, conferencias, problemas del pais) y no son empalmables con esta serie. Empalmar encuestadoras distintas en una sola linea es un error metodologico.</t>
  </si>
  <si>
    <t>Convencion</t>
  </si>
  <si>
    <t>Azul = dato de fuente. Negro = formula. Neto = positivo menos negativo.</t>
  </si>
  <si>
    <t>Fuentes: La Estrella de Panama (retrospectiva 6-oct-2025; olas ene-25, mar-25, jun-25, ene-26, abr-26, jul-26) y Centroamerica360. Compilado 20-ago-2026.</t>
  </si>
  <si>
    <t>Evaluacion de la gestion de Mulino, % de encuestados</t>
  </si>
  <si>
    <t>Positivo = buena/muy buena. Negativo = mala/muy mala. Ver Read me por cambios de agrupacion.</t>
  </si>
  <si>
    <t>Ola</t>
  </si>
  <si>
    <t>Trabajo de campo</t>
  </si>
  <si>
    <t>n</t>
  </si>
  <si>
    <t>Positivo</t>
  </si>
  <si>
    <t>Negativo</t>
  </si>
  <si>
    <t>'Muy mala'</t>
  </si>
  <si>
    <t>NETO</t>
  </si>
  <si>
    <t>Desconfianza</t>
  </si>
  <si>
    <t>Mal camino</t>
  </si>
  <si>
    <t>Notas de la ola</t>
  </si>
  <si>
    <t>oct-24</t>
  </si>
  <si>
    <t>oct-2024 (100 dias)</t>
  </si>
  <si>
    <t>Agrupacion antigua: el positivo incluye 'regular buena'. No comparable con olas post-jun-25.</t>
  </si>
  <si>
    <t>ene-25</t>
  </si>
  <si>
    <t>ene-2025</t>
  </si>
  <si>
    <t>Misma agrupacion antigua. Alt.: 57.2% citado por Centroamerica360.</t>
  </si>
  <si>
    <t>mar-25</t>
  </si>
  <si>
    <t>fines mar-2025</t>
  </si>
  <si>
    <t>Neg incluye 'regular mala'. Alt. pos: 31.0 (retrospectiva ene-26).</t>
  </si>
  <si>
    <t>jun-25</t>
  </si>
  <si>
    <t>22-25 jun-2025</t>
  </si>
  <si>
    <t>Pos: retrospectiva La Estrella (alt. 10.4). Neg mala+muy mala; 89.0 si se incluye 'regular mala'.</t>
  </si>
  <si>
    <t>sep-25</t>
  </si>
  <si>
    <t>fines sep-2025</t>
  </si>
  <si>
    <t>Alt. pos: 17.7% 'aprueba' (Centroamerica360 citando la misma ola).</t>
  </si>
  <si>
    <t>ene-26</t>
  </si>
  <si>
    <t>ppios ene-2026</t>
  </si>
  <si>
    <t>abr-26</t>
  </si>
  <si>
    <t>12-16 abr-2026</t>
  </si>
  <si>
    <t>jul-26</t>
  </si>
  <si>
    <t>12-16 jul-2026</t>
  </si>
  <si>
    <t>La linea vertical analitica esta entre mar-25 y jun-25: reformas CSS (Ley 462, 18-mar-25), huelga docente de mas de un mes, bloqueos en Bocas del Toro. El neto cae de +58.8 (oct-24) a -63.8 (jun-25) y se estabiliza en torno a -60 desde entonces: piso, no recuperacion.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</si>
</sst>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;\-"/>
    <numFmt numFmtId="165" formatCode="0.0%"/>
  </numFmts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i/>
      <sz val="9"/>
      <color rgb="FF6B6B6B"/>
      <name val="Arial"/>
      <family val="2"/>
    </font>
    <font>
      <b/>
      <sz val="11"/>
      <color rgb="FF1F3B63"/>
      <name val="Arial"/>
      <family val="2"/>
    </font>
    <font>
      <sz val="9"/>
      <color rgb="FF1A1A1A"/>
      <name val="Arial"/>
      <family val="2"/>
    </font>
    <font>
      <i/>
      <sz val="8"/>
      <color rgb="FF6B6B6B"/>
      <name val="Arial"/>
      <family val="2"/>
    </font>
    <font>
      <b/>
      <sz val="9"/>
      <color rgb="FF1A1A1A"/>
      <name val="Arial"/>
      <family val="2"/>
    </font>
    <font>
      <sz val="8"/>
      <color rgb="FF6B6B6B"/>
      <name val="Arial"/>
      <family val="2"/>
    </font>
    <font>
      <sz val="9"/>
      <color rgb="FF0000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B63"/>
      </patternFill>
    </fill>
    <fill>
      <patternFill patternType="solid">
        <fgColor rgb="FFF2F4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1F3B6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6" fillId="3" borderId="1" xfId="0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0" xfId="0" applyFont="1"/>
    <xf numFmtId="164" fontId="8" fillId="0" borderId="0" xfId="0" applyNumberFormat="1" applyFont="1"/>
    <xf numFmtId="165" fontId="8" fillId="0" borderId="0" xfId="0" applyNumberFormat="1" applyFont="1"/>
    <xf numFmtId="165" fontId="6" fillId="0" borderId="0" xfId="0" applyNumberFormat="1" applyFont="1"/>
    <xf numFmtId="0" fontId="7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Gestion de Mulino: positivo vs negativo, %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Positivo (buena/muy buena)</c:v>
          </c:tx>
          <c:spPr>
            <a:ln w="26000">
              <a:solidFill>
                <a:srgbClr val="4F9D69"/>
              </a:solidFill>
              <a:prstDash val="solid"/>
            </a:ln>
          </c:spPr>
          <c:marker>
            <c:symbol val="none"/>
          </c:marker>
          <c:cat>
            <c:strRef>
              <c:f>Serie!$B$6:$B$13</c:f>
              <c:strCache>
                <c:ptCount val="8"/>
                <c:pt idx="0">
                  <c:v>oct-24</c:v>
                </c:pt>
                <c:pt idx="1">
                  <c:v>ene-25</c:v>
                </c:pt>
                <c:pt idx="2">
                  <c:v>mar-25</c:v>
                </c:pt>
                <c:pt idx="3">
                  <c:v>jun-25</c:v>
                </c:pt>
                <c:pt idx="4">
                  <c:v>sep-25</c:v>
                </c:pt>
                <c:pt idx="5">
                  <c:v>ene-26</c:v>
                </c:pt>
                <c:pt idx="6">
                  <c:v>abr-26</c:v>
                </c:pt>
                <c:pt idx="7">
                  <c:v>jul-26</c:v>
                </c:pt>
              </c:strCache>
            </c:strRef>
          </c:cat>
          <c:val>
            <c:numRef>
              <c:f>Serie!$E$6:$E$13</c:f>
              <c:numCache>
                <c:formatCode>0.0%</c:formatCode>
                <c:ptCount val="8"/>
                <c:pt idx="0">
                  <c:v>0.748</c:v>
                </c:pt>
                <c:pt idx="1">
                  <c:v>0.55600000000000005</c:v>
                </c:pt>
                <c:pt idx="2">
                  <c:v>0.30399999999999999</c:v>
                </c:pt>
                <c:pt idx="3">
                  <c:v>0.10100000000000001</c:v>
                </c:pt>
                <c:pt idx="4">
                  <c:v>0.16300000000000001</c:v>
                </c:pt>
                <c:pt idx="5">
                  <c:v>0.19500000000000001</c:v>
                </c:pt>
                <c:pt idx="6">
                  <c:v>0.184</c:v>
                </c:pt>
                <c:pt idx="7">
                  <c:v>0.17899999999999999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89-F842-9EB0-AA19828DED92}"/>
            </c:ext>
          </c:extLst>
        </c:ser>
        <c:ser>
          <c:idx val="1"/>
          <c:order val="1"/>
          <c:tx>
            <c:v>Negativo (mala/muy mala)</c:v>
          </c:tx>
          <c:spPr>
            <a:ln w="26000">
              <a:solidFill>
                <a:srgbClr val="D1495B"/>
              </a:solidFill>
              <a:prstDash val="solid"/>
            </a:ln>
          </c:spPr>
          <c:marker>
            <c:symbol val="none"/>
          </c:marker>
          <c:cat>
            <c:strRef>
              <c:f>Serie!$B$6:$B$13</c:f>
              <c:strCache>
                <c:ptCount val="8"/>
                <c:pt idx="0">
                  <c:v>oct-24</c:v>
                </c:pt>
                <c:pt idx="1">
                  <c:v>ene-25</c:v>
                </c:pt>
                <c:pt idx="2">
                  <c:v>mar-25</c:v>
                </c:pt>
                <c:pt idx="3">
                  <c:v>jun-25</c:v>
                </c:pt>
                <c:pt idx="4">
                  <c:v>sep-25</c:v>
                </c:pt>
                <c:pt idx="5">
                  <c:v>ene-26</c:v>
                </c:pt>
                <c:pt idx="6">
                  <c:v>abr-26</c:v>
                </c:pt>
                <c:pt idx="7">
                  <c:v>jul-26</c:v>
                </c:pt>
              </c:strCache>
            </c:strRef>
          </c:cat>
          <c:val>
            <c:numRef>
              <c:f>Serie!$F$6:$F$13</c:f>
              <c:numCache>
                <c:formatCode>0.0%</c:formatCode>
                <c:ptCount val="8"/>
                <c:pt idx="0">
                  <c:v>0.16</c:v>
                </c:pt>
                <c:pt idx="1">
                  <c:v>0.39500000000000002</c:v>
                </c:pt>
                <c:pt idx="2">
                  <c:v>0.67900000000000005</c:v>
                </c:pt>
                <c:pt idx="3">
                  <c:v>0.73899999999999999</c:v>
                </c:pt>
                <c:pt idx="4">
                  <c:v>0.76300000000000001</c:v>
                </c:pt>
                <c:pt idx="5">
                  <c:v>0.76300000000000001</c:v>
                </c:pt>
                <c:pt idx="6">
                  <c:v>0.80800000000000005</c:v>
                </c:pt>
                <c:pt idx="7">
                  <c:v>0.77600000000000002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89-F842-9EB0-AA19828DED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Neto (positivo menos negativo), pp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Neto</c:v>
          </c:tx>
          <c:spPr>
            <a:ln w="26000">
              <a:solidFill>
                <a:srgbClr val="2F5C8F"/>
              </a:solidFill>
              <a:prstDash val="solid"/>
            </a:ln>
          </c:spPr>
          <c:marker>
            <c:symbol val="none"/>
          </c:marker>
          <c:cat>
            <c:strRef>
              <c:f>Serie!$B$6:$B$13</c:f>
              <c:strCache>
                <c:ptCount val="8"/>
                <c:pt idx="0">
                  <c:v>oct-24</c:v>
                </c:pt>
                <c:pt idx="1">
                  <c:v>ene-25</c:v>
                </c:pt>
                <c:pt idx="2">
                  <c:v>mar-25</c:v>
                </c:pt>
                <c:pt idx="3">
                  <c:v>jun-25</c:v>
                </c:pt>
                <c:pt idx="4">
                  <c:v>sep-25</c:v>
                </c:pt>
                <c:pt idx="5">
                  <c:v>ene-26</c:v>
                </c:pt>
                <c:pt idx="6">
                  <c:v>abr-26</c:v>
                </c:pt>
                <c:pt idx="7">
                  <c:v>jul-26</c:v>
                </c:pt>
              </c:strCache>
            </c:strRef>
          </c:cat>
          <c:val>
            <c:numRef>
              <c:f>Serie!$H$6:$H$13</c:f>
              <c:numCache>
                <c:formatCode>0.0%</c:formatCode>
                <c:ptCount val="8"/>
                <c:pt idx="0">
                  <c:v>0.58799999999999997</c:v>
                </c:pt>
                <c:pt idx="1">
                  <c:v>0.16100000000000003</c:v>
                </c:pt>
                <c:pt idx="2">
                  <c:v>-0.37500000000000006</c:v>
                </c:pt>
                <c:pt idx="3">
                  <c:v>-0.63800000000000001</c:v>
                </c:pt>
                <c:pt idx="4">
                  <c:v>-0.6</c:v>
                </c:pt>
                <c:pt idx="5">
                  <c:v>-0.56800000000000006</c:v>
                </c:pt>
                <c:pt idx="6">
                  <c:v>-0.62400000000000011</c:v>
                </c:pt>
                <c:pt idx="7">
                  <c:v>-0.59699999999999998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91-9D46-A2F2-9AA52A3E48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15</xdr:row>
      <xdr:rowOff>0</xdr:rowOff>
    </xdr:from>
    <xdr:ext cx="9360000" cy="46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</xdr:col>
      <xdr:colOff>0</xdr:colOff>
      <xdr:row>42</xdr:row>
      <xdr:rowOff>0</xdr:rowOff>
    </xdr:from>
    <xdr:ext cx="936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B63"/>
  </sheetPr>
  <dimension ref="B2:C18"/>
  <sheetViews>
    <sheetView showGridLines="0" tabSelected="1" workbookViewId="0"/>
  </sheetViews>
  <sheetFormatPr baseColWidth="10" defaultColWidth="8.83203125" defaultRowHeight="15" x14ac:dyDescent="0.2"/>
  <cols>
    <col min="1" max="1" width="2" customWidth="1"/>
    <col min="2" max="2" width="30" customWidth="1"/>
    <col min="3" max="3" width="104" customWidth="1"/>
  </cols>
  <sheetData>
    <row r="2" spans="2:3" ht="26" customHeight="1" x14ac:dyDescent="0.2">
      <c r="B2" s="1" t="s">
        <v>0</v>
      </c>
    </row>
    <row r="3" spans="2:3" x14ac:dyDescent="0.2">
      <c r="B3" s="2" t="s">
        <v>1</v>
      </c>
    </row>
    <row r="5" spans="2:3" ht="52" customHeight="1" x14ac:dyDescent="0.2">
      <c r="B5" s="3" t="s">
        <v>2</v>
      </c>
      <c r="C5" s="4" t="s">
        <v>3</v>
      </c>
    </row>
    <row r="7" spans="2:3" ht="65" customHeight="1" x14ac:dyDescent="0.2">
      <c r="B7" s="3" t="s">
        <v>4</v>
      </c>
      <c r="C7" s="4" t="s">
        <v>5</v>
      </c>
    </row>
    <row r="9" spans="2:3" ht="39" customHeight="1" x14ac:dyDescent="0.2">
      <c r="B9" s="3" t="s">
        <v>6</v>
      </c>
      <c r="C9" s="4" t="s">
        <v>7</v>
      </c>
    </row>
    <row r="11" spans="2:3" ht="26" customHeight="1" x14ac:dyDescent="0.2">
      <c r="B11" s="3" t="s">
        <v>8</v>
      </c>
      <c r="C11" s="4" t="s">
        <v>9</v>
      </c>
    </row>
    <row r="13" spans="2:3" ht="39" customHeight="1" x14ac:dyDescent="0.2">
      <c r="B13" s="3" t="s">
        <v>10</v>
      </c>
      <c r="C13" s="4" t="s">
        <v>11</v>
      </c>
    </row>
    <row r="15" spans="2:3" ht="13" customHeight="1" x14ac:dyDescent="0.2">
      <c r="B15" s="3" t="s">
        <v>12</v>
      </c>
      <c r="C15" s="4" t="s">
        <v>13</v>
      </c>
    </row>
    <row r="18" spans="2:2" x14ac:dyDescent="0.2">
      <c r="B18" s="5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B63"/>
  </sheetPr>
  <dimension ref="B2:K14"/>
  <sheetViews>
    <sheetView showGridLines="0" workbookViewId="0"/>
  </sheetViews>
  <sheetFormatPr baseColWidth="10" defaultColWidth="8.83203125" defaultRowHeight="15" x14ac:dyDescent="0.2"/>
  <cols>
    <col min="1" max="1" width="2" customWidth="1"/>
    <col min="2" max="2" width="10" customWidth="1"/>
    <col min="3" max="3" width="20" customWidth="1"/>
    <col min="4" max="4" width="8" customWidth="1"/>
    <col min="5" max="8" width="10" customWidth="1"/>
    <col min="9" max="9" width="12" customWidth="1"/>
    <col min="10" max="10" width="11" customWidth="1"/>
    <col min="11" max="11" width="58" customWidth="1"/>
  </cols>
  <sheetData>
    <row r="2" spans="2:11" ht="26" customHeight="1" x14ac:dyDescent="0.2">
      <c r="B2" s="1" t="s">
        <v>15</v>
      </c>
    </row>
    <row r="3" spans="2:11" x14ac:dyDescent="0.2">
      <c r="B3" s="2" t="s">
        <v>16</v>
      </c>
    </row>
    <row r="5" spans="2:11" ht="26" customHeight="1" x14ac:dyDescent="0.2">
      <c r="B5" s="6" t="s">
        <v>17</v>
      </c>
      <c r="C5" s="6" t="s">
        <v>18</v>
      </c>
      <c r="D5" s="6" t="s">
        <v>19</v>
      </c>
      <c r="E5" s="6" t="s">
        <v>20</v>
      </c>
      <c r="F5" s="6" t="s">
        <v>21</v>
      </c>
      <c r="G5" s="6" t="s">
        <v>22</v>
      </c>
      <c r="H5" s="6" t="s">
        <v>23</v>
      </c>
      <c r="I5" s="6" t="s">
        <v>24</v>
      </c>
      <c r="J5" s="6" t="s">
        <v>25</v>
      </c>
      <c r="K5" s="6" t="s">
        <v>26</v>
      </c>
    </row>
    <row r="6" spans="2:11" ht="24" customHeight="1" x14ac:dyDescent="0.2">
      <c r="B6" s="7" t="s">
        <v>27</v>
      </c>
      <c r="C6" s="8" t="s">
        <v>28</v>
      </c>
      <c r="D6" s="9">
        <v>1521</v>
      </c>
      <c r="E6" s="10">
        <v>0.748</v>
      </c>
      <c r="F6" s="10">
        <v>0.16</v>
      </c>
      <c r="H6" s="11">
        <f t="shared" ref="H6:H13" si="0">E6-F6</f>
        <v>0.58799999999999997</v>
      </c>
      <c r="K6" s="12" t="s">
        <v>29</v>
      </c>
    </row>
    <row r="7" spans="2:11" ht="24" customHeight="1" x14ac:dyDescent="0.2">
      <c r="B7" s="7" t="s">
        <v>30</v>
      </c>
      <c r="C7" s="8" t="s">
        <v>31</v>
      </c>
      <c r="D7" s="9">
        <v>1521</v>
      </c>
      <c r="E7" s="10">
        <v>0.55600000000000005</v>
      </c>
      <c r="F7" s="10">
        <v>0.39500000000000002</v>
      </c>
      <c r="H7" s="11">
        <f t="shared" si="0"/>
        <v>0.16100000000000003</v>
      </c>
      <c r="K7" s="12" t="s">
        <v>32</v>
      </c>
    </row>
    <row r="8" spans="2:11" ht="24" customHeight="1" x14ac:dyDescent="0.2">
      <c r="B8" s="7" t="s">
        <v>33</v>
      </c>
      <c r="C8" s="8" t="s">
        <v>34</v>
      </c>
      <c r="D8" s="9">
        <v>1514</v>
      </c>
      <c r="E8" s="10">
        <v>0.30399999999999999</v>
      </c>
      <c r="F8" s="10">
        <v>0.67900000000000005</v>
      </c>
      <c r="H8" s="11">
        <f t="shared" si="0"/>
        <v>-0.37500000000000006</v>
      </c>
      <c r="J8" s="10">
        <v>0.64700000000000002</v>
      </c>
      <c r="K8" s="12" t="s">
        <v>35</v>
      </c>
    </row>
    <row r="9" spans="2:11" ht="24" customHeight="1" x14ac:dyDescent="0.2">
      <c r="B9" s="7" t="s">
        <v>36</v>
      </c>
      <c r="C9" s="8" t="s">
        <v>37</v>
      </c>
      <c r="D9" s="9">
        <v>1512</v>
      </c>
      <c r="E9" s="10">
        <v>0.10100000000000001</v>
      </c>
      <c r="F9" s="10">
        <v>0.73899999999999999</v>
      </c>
      <c r="G9" s="10">
        <v>0.48499999999999999</v>
      </c>
      <c r="H9" s="11">
        <f t="shared" si="0"/>
        <v>-0.63800000000000001</v>
      </c>
      <c r="I9" s="10">
        <v>0.73499999999999999</v>
      </c>
      <c r="J9" s="10">
        <v>0.82499999999999996</v>
      </c>
      <c r="K9" s="12" t="s">
        <v>38</v>
      </c>
    </row>
    <row r="10" spans="2:11" ht="24" customHeight="1" x14ac:dyDescent="0.2">
      <c r="B10" s="7" t="s">
        <v>39</v>
      </c>
      <c r="C10" s="8" t="s">
        <v>40</v>
      </c>
      <c r="D10" s="9">
        <v>1503</v>
      </c>
      <c r="E10" s="10">
        <v>0.16300000000000001</v>
      </c>
      <c r="F10" s="10">
        <v>0.76300000000000001</v>
      </c>
      <c r="H10" s="11">
        <f t="shared" si="0"/>
        <v>-0.6</v>
      </c>
      <c r="I10" s="10">
        <v>0.621</v>
      </c>
      <c r="J10" s="10">
        <v>0.77</v>
      </c>
      <c r="K10" s="12" t="s">
        <v>41</v>
      </c>
    </row>
    <row r="11" spans="2:11" ht="24" customHeight="1" x14ac:dyDescent="0.2">
      <c r="B11" s="7" t="s">
        <v>42</v>
      </c>
      <c r="C11" s="8" t="s">
        <v>43</v>
      </c>
      <c r="D11" s="9">
        <v>1510</v>
      </c>
      <c r="E11" s="10">
        <v>0.19500000000000001</v>
      </c>
      <c r="F11" s="10">
        <v>0.76300000000000001</v>
      </c>
      <c r="G11" s="10">
        <v>0.33800000000000002</v>
      </c>
      <c r="H11" s="11">
        <f t="shared" si="0"/>
        <v>-0.56800000000000006</v>
      </c>
      <c r="I11" s="10">
        <v>0.66700000000000004</v>
      </c>
      <c r="K11" s="12"/>
    </row>
    <row r="12" spans="2:11" ht="24" customHeight="1" x14ac:dyDescent="0.2">
      <c r="B12" s="7" t="s">
        <v>44</v>
      </c>
      <c r="C12" s="8" t="s">
        <v>45</v>
      </c>
      <c r="D12" s="9">
        <v>1506</v>
      </c>
      <c r="E12" s="10">
        <v>0.184</v>
      </c>
      <c r="F12" s="10">
        <v>0.80800000000000005</v>
      </c>
      <c r="G12" s="10">
        <v>0.248</v>
      </c>
      <c r="H12" s="11">
        <f t="shared" si="0"/>
        <v>-0.62400000000000011</v>
      </c>
      <c r="J12" s="10">
        <v>0.79300000000000004</v>
      </c>
      <c r="K12" s="12"/>
    </row>
    <row r="13" spans="2:11" ht="24" customHeight="1" x14ac:dyDescent="0.2">
      <c r="B13" s="7" t="s">
        <v>46</v>
      </c>
      <c r="C13" s="8" t="s">
        <v>47</v>
      </c>
      <c r="D13" s="9">
        <v>1508</v>
      </c>
      <c r="E13" s="10">
        <v>0.17899999999999999</v>
      </c>
      <c r="F13" s="10">
        <v>0.77600000000000002</v>
      </c>
      <c r="G13" s="10">
        <v>0.26100000000000001</v>
      </c>
      <c r="H13" s="11">
        <f t="shared" si="0"/>
        <v>-0.59699999999999998</v>
      </c>
      <c r="I13" s="10">
        <v>0.69399999999999995</v>
      </c>
      <c r="J13" s="10">
        <v>0.79500000000000004</v>
      </c>
      <c r="K13" s="12"/>
    </row>
    <row r="14" spans="2:11" x14ac:dyDescent="0.2">
      <c r="B14" s="5" t="s">
        <v>48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me</vt:lpstr>
      <vt:lpstr>Serie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Alberto Rojas</cp:lastModifiedBy>
  <dcterms:created xsi:type="dcterms:W3CDTF">2026-08-20T18:31:23Z</dcterms:created>
  <dcterms:modified xsi:type="dcterms:W3CDTF">2026-08-20T18:31:45Z</dcterms:modified>
</cp:coreProperties>
</file>