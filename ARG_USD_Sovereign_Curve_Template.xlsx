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Bonds_Static" sheetId="3" state="visible" r:id="rId3"/>
    <sheet xmlns:r="http://schemas.openxmlformats.org/officeDocument/2006/relationships" name="Bonds_Live" sheetId="4" state="visible" r:id="rId4"/>
    <sheet xmlns:r="http://schemas.openxmlformats.org/officeDocument/2006/relationships" name="UST_Curve" sheetId="5" state="visible" r:id="rId5"/>
    <sheet xmlns:r="http://schemas.openxmlformats.org/officeDocument/2006/relationships" name="Curve_Fit" sheetId="6" state="visible" r:id="rId6"/>
    <sheet xmlns:r="http://schemas.openxmlformats.org/officeDocument/2006/relationships" name="Liquidity_Gate" sheetId="7" state="visible" r:id="rId7"/>
    <sheet xmlns:r="http://schemas.openxmlformats.org/officeDocument/2006/relationships" name="Carry_Roll" sheetId="8" state="visible" r:id="rId8"/>
    <sheet xmlns:r="http://schemas.openxmlformats.org/officeDocument/2006/relationships" name="DTS_Carry" sheetId="9" state="visible" r:id="rId9"/>
    <sheet xmlns:r="http://schemas.openxmlformats.org/officeDocument/2006/relationships" name="Spread_History" sheetId="10" state="visible" r:id="rId10"/>
    <sheet xmlns:r="http://schemas.openxmlformats.org/officeDocument/2006/relationships" name="Implied_PD" sheetId="11" state="visible" r:id="rId11"/>
    <sheet xmlns:r="http://schemas.openxmlformats.org/officeDocument/2006/relationships" name="TR_Scenarios" sheetId="12" state="visible" r:id="rId12"/>
    <sheet xmlns:r="http://schemas.openxmlformats.org/officeDocument/2006/relationships" name="TR_Matrix" sheetId="13" state="visible" r:id="rId13"/>
    <sheet xmlns:r="http://schemas.openxmlformats.org/officeDocument/2006/relationships" name="Peer_EMBI_Bench" sheetId="14" state="visible" r:id="rId14"/>
    <sheet xmlns:r="http://schemas.openxmlformats.org/officeDocument/2006/relationships" name="Bonares_Globales" sheetId="15" state="visible" r:id="rId15"/>
    <sheet xmlns:r="http://schemas.openxmlformats.org/officeDocument/2006/relationships" name="CDS_Basis" sheetId="16" state="visible" r:id="rId16"/>
    <sheet xmlns:r="http://schemas.openxmlformats.org/officeDocument/2006/relationships" name="Rich_Cheap_Rank" sheetId="17" state="visible" r:id="rId17"/>
    <sheet xmlns:r="http://schemas.openxmlformats.org/officeDocument/2006/relationships" name="Trade_Reco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#,##0.00;(#,##0.00);-"/>
    <numFmt numFmtId="166" formatCode="0.0%"/>
    <numFmt numFmtId="167" formatCode="0.00&quot; y&quot;"/>
    <numFmt numFmtId="168" formatCode="#,##0;(#,##0);-"/>
    <numFmt numFmtId="169" formatCode="0.000"/>
    <numFmt numFmtId="170" formatCode="0&quot; bp&quot;"/>
  </numFmts>
  <fonts count="18">
    <font>
      <name val="Calibri"/>
      <family val="2"/>
      <color theme="1"/>
      <sz val="11"/>
      <scheme val="minor"/>
    </font>
    <font>
      <name val="Arial"/>
      <b val="1"/>
      <color rgb="001F4E78"/>
      <sz val="18"/>
    </font>
    <font>
      <name val="Arial"/>
      <b val="1"/>
      <color rgb="001F4E78"/>
      <sz val="12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i val="1"/>
      <sz val="10"/>
    </font>
    <font>
      <name val="Arial"/>
      <b val="1"/>
      <sz val="10"/>
    </font>
    <font>
      <name val="Arial"/>
      <b val="1"/>
      <i val="1"/>
    </font>
    <font>
      <name val="Arial"/>
      <b val="1"/>
      <color rgb="00FFFFFF"/>
      <sz val="10"/>
    </font>
    <font>
      <name val="Arial"/>
      <i val="1"/>
      <color rgb="000000FF"/>
      <sz val="9"/>
    </font>
    <font>
      <name val="Arial"/>
      <color rgb="00008000"/>
      <sz val="10"/>
    </font>
    <font>
      <name val="Arial"/>
      <b val="1"/>
    </font>
    <font>
      <name val="Arial"/>
      <i val="1"/>
      <color rgb="00666666"/>
      <sz val="9"/>
    </font>
    <font>
      <name val="Arial"/>
      <b val="1"/>
      <sz val="12"/>
    </font>
    <font>
      <name val="Arial"/>
      <i val="1"/>
      <color rgb="00666666"/>
      <sz val="10"/>
    </font>
  </fonts>
  <fills count="7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3" fillId="0" borderId="0" pivotButton="0" quotePrefix="0" xfId="0"/>
    <xf numFmtId="165" fontId="6" fillId="3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9" fillId="0" borderId="0" pivotButton="0" quotePrefix="0" xfId="0"/>
    <xf numFmtId="165" fontId="7" fillId="0" borderId="1" applyAlignment="1" pivotButton="0" quotePrefix="0" xfId="0">
      <alignment horizontal="center"/>
    </xf>
    <xf numFmtId="1" fontId="6" fillId="3" borderId="1" applyAlignment="1" pivotButton="0" quotePrefix="0" xfId="0">
      <alignment horizontal="center"/>
    </xf>
    <xf numFmtId="166" fontId="6" fillId="3" borderId="1" applyAlignment="1" pivotButton="0" quotePrefix="0" xfId="0">
      <alignment horizontal="center"/>
    </xf>
    <xf numFmtId="0" fontId="10" fillId="0" borderId="0" pivotButton="0" quotePrefix="0" xfId="0"/>
    <xf numFmtId="166" fontId="7" fillId="0" borderId="1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/>
    </xf>
    <xf numFmtId="167" fontId="7" fillId="0" borderId="1" applyAlignment="1" pivotButton="0" quotePrefix="0" xfId="0">
      <alignment horizontal="center"/>
    </xf>
    <xf numFmtId="168" fontId="7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169" fontId="7" fillId="0" borderId="1" applyAlignment="1" pivotButton="0" quotePrefix="0" xfId="0">
      <alignment horizontal="center"/>
    </xf>
    <xf numFmtId="0" fontId="14" fillId="0" borderId="0" pivotButton="0" quotePrefix="0" xfId="0"/>
    <xf numFmtId="170" fontId="7" fillId="0" borderId="1" applyAlignment="1" pivotButton="0" quotePrefix="0" xfId="0">
      <alignment horizontal="center"/>
    </xf>
    <xf numFmtId="0" fontId="0" fillId="6" borderId="1" pivotButton="0" quotePrefix="0" xfId="0"/>
    <xf numFmtId="10" fontId="13" fillId="0" borderId="1" applyAlignment="1" pivotButton="0" quotePrefix="0" xfId="0">
      <alignment horizontal="center"/>
    </xf>
    <xf numFmtId="10" fontId="7" fillId="0" borderId="1" applyAlignment="1" pivotButton="0" quotePrefix="0" xfId="0">
      <alignment horizontal="center"/>
    </xf>
    <xf numFmtId="0" fontId="15" fillId="0" borderId="0" pivotButton="0" quotePrefix="0" xfId="0"/>
    <xf numFmtId="168" fontId="13" fillId="0" borderId="1" applyAlignment="1" pivotButton="0" quotePrefix="0" xfId="0">
      <alignment horizontal="center"/>
    </xf>
    <xf numFmtId="169" fontId="13" fillId="0" borderId="1" applyAlignment="1" pivotButton="0" quotePrefix="0" xfId="0">
      <alignment horizontal="center"/>
    </xf>
    <xf numFmtId="165" fontId="13" fillId="0" borderId="1" applyAlignment="1" pivotButton="0" quotePrefix="0" xfId="0">
      <alignment horizontal="center"/>
    </xf>
    <xf numFmtId="0" fontId="16" fillId="0" borderId="0" applyAlignment="1" pivotButton="0" quotePrefix="0" xfId="0">
      <alignment horizontal="left" vertical="top" wrapText="1"/>
    </xf>
    <xf numFmtId="166" fontId="13" fillId="0" borderId="1" applyAlignment="1" pivotButton="0" quotePrefix="0" xfId="0">
      <alignment horizontal="center"/>
    </xf>
    <xf numFmtId="0" fontId="17" fillId="0" borderId="0" pivotButton="0" quotePrefix="0" xfId="0"/>
    <xf numFmtId="2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2">
      <c r="B2" s="1" t="inlineStr">
        <is>
          <t>ARG USD Sovereign Curve — Credit Analyst Toolkit</t>
        </is>
      </c>
    </row>
    <row r="4">
      <c r="B4" s="2" t="inlineStr">
        <is>
          <t>How to use</t>
        </is>
      </c>
    </row>
    <row r="5" ht="30" customHeight="1">
      <c r="B5" s="3" t="inlineStr">
        <is>
          <t>1. Paste your ISINs into Bonds_Static column A, rows 3 onward (one ISIN per row, plain text — no prefix). Every other column auto-pulls via Bloomberg BDP.</t>
        </is>
      </c>
    </row>
    <row r="6" ht="30" customHeight="1">
      <c r="B6" s="3" t="inlineStr">
        <is>
          <t>2. Bloomberg syntax used everywhere: =IFERROR(BDP(A3&amp;" ISIN", B$2), ""). Row 1 = display header. Row 2 = the BBG field name as an EDITABLE input cell (yellow fill, italics, blue text). Row 3+ = formula-driven data.</t>
        </is>
      </c>
    </row>
    <row r="7" ht="30" customHeight="1">
      <c r="B7" s="3" t="inlineStr">
        <is>
          <t>3. To swap any field across an entire column (e.g. PX_LAST → PX_MID) — just edit the single row-2 cell. All bond rows recalculate. You never have to fix more than one cell at a time.</t>
        </is>
      </c>
    </row>
    <row r="8" ht="30" customHeight="1">
      <c r="B8" s="3" t="inlineStr">
        <is>
          <t>4. Open this file on a machine with Bloomberg Excel Add-in enabled. F9 to refresh.</t>
        </is>
      </c>
    </row>
    <row r="9" ht="30" customHeight="1">
      <c r="B9" s="3" t="inlineStr">
        <is>
          <t>5. UST_Curve has the risk-free benchmark + MOVE Index regime tag. Curve_Fit residuals are your rich/cheap signal. Liquidity_Gate gates which bonds feed into Rich_Cheap_Rank.</t>
        </is>
      </c>
    </row>
    <row r="10" ht="30" customHeight="1">
      <c r="B10" s="3" t="inlineStr">
        <is>
          <t>6. Carry_Roll = 3M/6M/12M carry + roll-down. DTS_Carry = risk-adjusted carry and breakeven widening. Spread_History = 1Y percentile (BDH-driven). Implied_PD = default-prob decomposition.</t>
        </is>
      </c>
    </row>
    <row r="11" ht="30" customHeight="1">
      <c r="B11" s="3" t="inlineStr">
        <is>
          <t>7. TR_Scenarios = bonds × 25 (ΔUST × Δspread) shocks at 12M. TR_Matrix = pick one bond, see full 5×7 heatmap at 3M/6M/12M.</t>
        </is>
      </c>
    </row>
    <row r="12" ht="30" customHeight="1">
      <c r="B12" s="3" t="inlineStr">
        <is>
          <t>8. Peer_EMBI_Bench compares each bond vs your peer basket (paste peer ISINs in column A) and vs the EMBI rating bucket.</t>
        </is>
      </c>
    </row>
    <row r="13" ht="30" customHeight="1">
      <c r="B13" s="3" t="inlineStr">
        <is>
          <t>9a. (ARG) Bonares_Globales — paste pairs of (Bonar ISIN, Globale ISIN) to track local-law vs NY-law basis.</t>
        </is>
      </c>
    </row>
    <row r="14" ht="30" customHeight="1">
      <c r="B14" s="3" t="inlineStr">
        <is>
          <t>9b. (ARG / BRA) CDS_Basis — 5 CDS tenors vs fitted bond curve. CARG1U… (ARG) or CBRA1U… (BRA) pre-loaded; edit the PX_LAST field cell only if your firm uses a different one.</t>
        </is>
      </c>
    </row>
    <row r="15" ht="30" customHeight="1">
      <c r="B15" s="3" t="inlineStr">
        <is>
          <t>9c. (BRA) BR_vs_MEX — paste pairs of (BR ISIN, MEX ISIN with similar maturity) to track Brazil-Mexico cross-sov basis, 1Y z-score, and a long-BR / short-MEX signal.</t>
        </is>
      </c>
    </row>
    <row r="16" ht="30" customHeight="1">
      <c r="B16" s="3" t="inlineStr">
        <is>
          <t>9d. (CHL) Greenium — paste pairs of (green ISIN, conventional twin ISIN) to track the greenium dynamics.</t>
        </is>
      </c>
    </row>
    <row r="17" ht="30" customHeight="1">
      <c r="B17" s="3" t="inlineStr">
        <is>
          <t>10. Rich_Cheap_Rank — 5-signal composite z-score (curve residual + 12M C+R + DTS-adj carry + YTM + liquidity). Weights editable on Settings!C42:C46. Missing-data robust: any signal that errors out is dropped from BOTH numerator and denominator, so the composite always returns a real number based on whatever signals are available. Peer/EMBI/percentile tabs still exist as standalone diagnostics — they just don't feed the headline score.</t>
        </is>
      </c>
    </row>
    <row r="18" ht="30" customHeight="1">
      <c r="B18" s="3" t="inlineStr">
        <is>
          <t>11. Trade_Recos — top 3 longs / shorts / RV pairs with quantified 12M expected TR, scaled by MOVE regime (UST_Curve!C27).</t>
        </is>
      </c>
    </row>
    <row r="19" ht="30" customHeight="1">
      <c r="B19" s="3" t="inlineStr"/>
    </row>
    <row r="20">
      <c r="B20" s="2" t="inlineStr">
        <is>
          <t>Editable field-name rows (row 2 of each BDP sheet)</t>
        </is>
      </c>
    </row>
    <row r="21" ht="30" customHeight="1">
      <c r="B21" s="3" t="inlineStr">
        <is>
          <t>Bonds_Static row 2: TICKER, SECURITY_DES, CPN, MATURITY, ISSUE_DT, AMT_OUTSTANDING, CRNCY, CNTRY_OF_RISK, RTG_SP_LT_FC, RTG_MDY_LONG_TERM, RTG_FITCH_LT_LC_DEBT, BB_COMPOSITE, DAY_CNT_DES, CPN_FREQ, CALLABLE.</t>
        </is>
      </c>
    </row>
    <row r="22" ht="30" customHeight="1">
      <c r="B22" s="3" t="inlineStr">
        <is>
          <t>Bonds_Live row 2: PX_BID, PX_ASK, PX_MID, PX_LAST, YLD_YTM_BID, YLD_YTM_ASK, YLD_YTM_MID, YAS_ZSPREAD, YAS_BOND_SPRD, YAS_ISPREAD, YAS_OAS, YAS_ASW_SPREAD, DUR_ADJ_MID, DUR_SPRD_MID, CONVEXITY_MID, RISK_MID, PX_CHG_PCT_1D, PX_CHG_PCT_5D, PX_CHG_PCT_1MO.</t>
        </is>
      </c>
    </row>
    <row r="23" ht="30" customHeight="1">
      <c r="B23" s="3" t="inlineStr">
        <is>
          <t>Liquidity_Gate row 2: TRACE_AVG_DAILY_VOL, LIQUIDITY_SCORE_BB. Spread_History row 2: YAS_ZSPREAD (field used for both 1Y and 1M history).</t>
        </is>
      </c>
    </row>
    <row r="24" ht="30" customHeight="1">
      <c r="B24" s="3" t="inlineStr">
        <is>
          <t>Peer_EMBI_Bench row 2: SECURITY_DES, CNTRY_OF_RISK, RTG_SP_LT_FC, MATURITY, YLD_YTM_MID, YAS_ZSPREAD, DUR_ADJ_MID, YAS_OAS. Bonares_Globales / Greenium row 2: YLD_YTM_MID, YAS_ZSPREAD, DUR_ADJ_MID.</t>
        </is>
      </c>
    </row>
    <row r="25" ht="30" customHeight="1">
      <c r="B25" s="3" t="inlineStr">
        <is>
          <t>If your firm uses a different field name for any of these (e.g. some shops have YAS_Z_SPRD instead of YAS_ZSPREAD), just type it into the row-2 cell.</t>
        </is>
      </c>
    </row>
    <row r="26" ht="30" customHeight="1">
      <c r="B26" s="3" t="inlineStr"/>
    </row>
    <row r="27">
      <c r="B27" s="2" t="inlineStr">
        <is>
          <t>Curve-fit (NSS) — how to refit</t>
        </is>
      </c>
    </row>
    <row r="28" ht="30" customHeight="1">
      <c r="B28" s="3" t="inlineStr">
        <is>
          <t>ARG uses Nelson-Siegel-Svensson. The 6 parameters (β0, β1, β2, β3, λ1, λ2) sit on Settings!C12:C17.</t>
        </is>
      </c>
    </row>
    <row r="29" ht="30" customHeight="1">
      <c r="B29" s="3" t="inlineStr">
        <is>
          <t>Refit procedure: Data ▸ Solver. (If not visible: File ▸ Options ▸ Add-ins ▸ Manage Excel Add-ins ▸ tick 'Solver Add-in'.)</t>
        </is>
      </c>
    </row>
    <row r="30" ht="30" customHeight="1">
      <c r="B30" s="3" t="inlineStr">
        <is>
          <t>Set Objective: Settings!$C$20 (SSR cell)  ▸  To: Min  ▸  By Changing: Settings!$C$12:$C$17  ▸  Method: GRG Nonlinear  ▸  Solve.</t>
        </is>
      </c>
    </row>
    <row r="31" ht="30" customHeight="1">
      <c r="B31" s="3" t="inlineStr"/>
    </row>
    <row r="32">
      <c r="B32" s="2" t="inlineStr">
        <is>
          <t>Colour conventions</t>
        </is>
      </c>
    </row>
    <row r="33" ht="30" customHeight="1">
      <c r="B33" s="3" t="inlineStr">
        <is>
          <t>Yellow fill + blue text = hardcoded user input (ISINs, field names, manual flags, scenario shifts).</t>
        </is>
      </c>
    </row>
    <row r="34" ht="30" customHeight="1">
      <c r="B34" s="3" t="inlineStr">
        <is>
          <t>Pale yellow + italic + blue text = BBG field-name row (editable, row 2 of every BDP sheet).</t>
        </is>
      </c>
    </row>
    <row r="35" ht="30" customHeight="1">
      <c r="B35" s="3" t="inlineStr">
        <is>
          <t>Black text = formulas. Green text = cross-sheet link.</t>
        </is>
      </c>
    </row>
    <row r="36" ht="30" customHeight="1">
      <c r="B36" s="3" t="inlineStr"/>
    </row>
    <row r="37">
      <c r="B37" s="2" t="inlineStr">
        <is>
          <t>Caveats</t>
        </is>
      </c>
    </row>
    <row r="38" ht="30" customHeight="1">
      <c r="B38" s="3" t="inlineStr">
        <is>
          <t>Total return is first-order: TR = Carry + Roll − MDur·Δy + ½·Conv·Δy². No cashflow timing modelling, no FX (bonds are USD).</t>
        </is>
      </c>
    </row>
    <row r="39" ht="30" customHeight="1">
      <c r="B39" s="3" t="inlineStr">
        <is>
          <t>ARG step-up coupons (GD29/GD30/GD35/GD38/GD41) have step schedules — CPN field returns current, not weighted-average. Flag manually in Bonds_Static column R if it matters for your trade thesis.</t>
        </is>
      </c>
    </row>
    <row r="40" ht="30" customHeight="1">
      <c r="B40" s="3" t="inlineStr">
        <is>
          <t>BDH calls can be slow on first refresh; they cache once loaded. If a bond returns blank, double-check the ISIN is valid and the field-row name matches BBG's exact alias.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5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18" customWidth="1" min="4" max="4"/>
    <col width="60" customWidth="1" min="5" max="5"/>
  </cols>
  <sheetData>
    <row r="2">
      <c r="B2" s="4" t="inlineStr">
        <is>
          <t>Settings &amp; Assumptions</t>
        </is>
      </c>
    </row>
    <row r="4">
      <c r="B4" s="5" t="inlineStr">
        <is>
          <t>Workbook</t>
        </is>
      </c>
      <c r="C4" s="6" t="n"/>
      <c r="D4" s="6" t="n"/>
      <c r="E4" s="7" t="n"/>
    </row>
    <row r="5">
      <c r="B5" t="inlineStr">
        <is>
          <t>Country</t>
        </is>
      </c>
      <c r="C5" s="8" t="inlineStr">
        <is>
          <t>ARG</t>
        </is>
      </c>
    </row>
    <row r="6">
      <c r="B6" t="inlineStr">
        <is>
          <t>As-of date</t>
        </is>
      </c>
      <c r="C6" s="9">
        <f>TODAY()</f>
        <v/>
      </c>
    </row>
    <row r="7">
      <c r="B7" t="inlineStr">
        <is>
          <t>Curve-fit method</t>
        </is>
      </c>
      <c r="C7" s="10" t="inlineStr">
        <is>
          <t>NSS</t>
        </is>
      </c>
    </row>
    <row r="8">
      <c r="B8" t="inlineStr">
        <is>
          <t>Number of bond slots</t>
        </is>
      </c>
      <c r="C8" s="8" t="n">
        <v>25</v>
      </c>
    </row>
    <row r="9">
      <c r="B9" t="inlineStr">
        <is>
          <t>Number of peer slots</t>
        </is>
      </c>
      <c r="C9" s="8" t="n">
        <v>15</v>
      </c>
    </row>
    <row r="11">
      <c r="B11" s="5" t="inlineStr">
        <is>
          <t>Curve-Fit Parameters — Nelson-Siegel-Svensson</t>
        </is>
      </c>
      <c r="C11" s="6" t="n"/>
      <c r="D11" s="6" t="n"/>
      <c r="E11" s="7" t="n"/>
    </row>
    <row r="12">
      <c r="B12" s="11" t="inlineStr">
        <is>
          <t>β0  (long-rate level, %)</t>
        </is>
      </c>
      <c r="C12" s="12" t="n">
        <v>12</v>
      </c>
      <c r="E12" s="13" t="inlineStr">
        <is>
          <t>Defaults are starting values for a B-/CCC sovereign. Run Solver (see README) to optimise.</t>
        </is>
      </c>
    </row>
    <row r="13">
      <c r="B13" s="11" t="inlineStr">
        <is>
          <t>β1  (short-end slope)</t>
        </is>
      </c>
      <c r="C13" s="12" t="n">
        <v>-3</v>
      </c>
    </row>
    <row r="14">
      <c r="B14" s="11" t="inlineStr">
        <is>
          <t>β2  (medium-term curvature)</t>
        </is>
      </c>
      <c r="C14" s="12" t="n">
        <v>0</v>
      </c>
    </row>
    <row r="15">
      <c r="B15" s="11" t="inlineStr">
        <is>
          <t>β3  (second curvature)</t>
        </is>
      </c>
      <c r="C15" s="12" t="n">
        <v>0</v>
      </c>
    </row>
    <row r="16">
      <c r="B16" s="11" t="inlineStr">
        <is>
          <t>λ1  (first decay, years)</t>
        </is>
      </c>
      <c r="C16" s="12" t="n">
        <v>2</v>
      </c>
    </row>
    <row r="17">
      <c r="B17" s="11" t="inlineStr">
        <is>
          <t>λ2  (second decay, years)</t>
        </is>
      </c>
      <c r="C17" s="12" t="n">
        <v>5</v>
      </c>
    </row>
    <row r="19">
      <c r="B19" s="14" t="inlineStr">
        <is>
          <t>Solver target</t>
        </is>
      </c>
    </row>
    <row r="20">
      <c r="B20" s="15" t="inlineStr">
        <is>
          <t>Sum of squared residuals (SSR)</t>
        </is>
      </c>
      <c r="C20" s="16">
        <f>SUMSQ(Curve_Fit!F3:F27)</f>
        <v/>
      </c>
    </row>
    <row r="22">
      <c r="B22" s="5" t="inlineStr">
        <is>
          <t>Scenario Grid — ΔUST and Δspread shocks (bp)</t>
        </is>
      </c>
      <c r="C22" s="6" t="n"/>
      <c r="D22" s="6" t="n"/>
      <c r="E22" s="7" t="n"/>
    </row>
    <row r="23">
      <c r="B23" s="15" t="inlineStr">
        <is>
          <t>ΔUST shocks (bp)</t>
        </is>
      </c>
      <c r="C23" s="17" t="n">
        <v>-100</v>
      </c>
      <c r="D23" s="17" t="n">
        <v>-50</v>
      </c>
      <c r="E23" s="17" t="n">
        <v>-25</v>
      </c>
      <c r="F23" s="17" t="n">
        <v>0</v>
      </c>
      <c r="G23" s="17" t="n">
        <v>25</v>
      </c>
      <c r="H23" s="17" t="n">
        <v>50</v>
      </c>
      <c r="I23" s="17" t="n">
        <v>100</v>
      </c>
    </row>
    <row r="24">
      <c r="B24" s="15" t="inlineStr">
        <is>
          <t>Δspread shocks (bp)</t>
        </is>
      </c>
      <c r="C24" s="17" t="n">
        <v>-100</v>
      </c>
      <c r="D24" s="17" t="n">
        <v>-50</v>
      </c>
      <c r="E24" s="17" t="n">
        <v>0</v>
      </c>
      <c r="F24" s="17" t="n">
        <v>50</v>
      </c>
      <c r="G24" s="17" t="n">
        <v>100</v>
      </c>
    </row>
    <row r="25">
      <c r="B25" s="15" t="inlineStr">
        <is>
          <t>Horizons (months)</t>
        </is>
      </c>
      <c r="C25" s="8" t="n">
        <v>3</v>
      </c>
      <c r="D25" s="8" t="n">
        <v>6</v>
      </c>
      <c r="E25" s="8" t="n">
        <v>12</v>
      </c>
    </row>
    <row r="27">
      <c r="B27" s="5" t="inlineStr">
        <is>
          <t>Central View (drives Trade_Recos quantified TR)</t>
        </is>
      </c>
      <c r="C27" s="6" t="n"/>
      <c r="D27" s="6" t="n"/>
      <c r="E27" s="7" t="n"/>
    </row>
    <row r="28">
      <c r="B28" t="inlineStr">
        <is>
          <t>EMBI benchmark ticker</t>
        </is>
      </c>
      <c r="C28" s="8" t="inlineStr">
        <is>
          <t>JPEIDIVR Index</t>
        </is>
      </c>
      <c r="E28" s="13" t="inlineStr">
        <is>
          <t>These two cells drive the 'Central-view 12M TR' column on Trade_Recos.</t>
        </is>
      </c>
    </row>
    <row r="29">
      <c r="B29" t="inlineStr">
        <is>
          <t>EMBI rating bucket ticker (override)</t>
        </is>
      </c>
      <c r="C29" s="8" t="inlineStr">
        <is>
          <t>JBCDCOMP Index</t>
        </is>
      </c>
    </row>
    <row r="30">
      <c r="B30" t="inlineStr">
        <is>
          <t>Central-view ΔUST 12M (bp)</t>
        </is>
      </c>
      <c r="C30" s="17" t="n">
        <v>-25</v>
      </c>
    </row>
    <row r="31">
      <c r="B31" t="inlineStr">
        <is>
          <t>Central-view Δspread 12M (bp)</t>
        </is>
      </c>
      <c r="C31" s="17" t="n">
        <v>-100</v>
      </c>
    </row>
    <row r="33">
      <c r="B33" s="5" t="inlineStr">
        <is>
          <t>Liquidity Gate Thresholds</t>
        </is>
      </c>
      <c r="C33" s="6" t="n"/>
      <c r="D33" s="6" t="n"/>
      <c r="E33" s="7" t="n"/>
    </row>
    <row r="34">
      <c r="B34" s="11" t="inlineStr">
        <is>
          <t>Min amount outstanding ($mm)</t>
        </is>
      </c>
      <c r="C34" s="17" t="n">
        <v>500</v>
      </c>
    </row>
    <row r="35">
      <c r="B35" s="11" t="inlineStr">
        <is>
          <t>Max bid-ask spread (pts)</t>
        </is>
      </c>
      <c r="C35" s="12" t="n">
        <v>0.75</v>
      </c>
    </row>
    <row r="36">
      <c r="B36" s="11" t="inlineStr">
        <is>
          <t>Min TRACE avg daily volume ($mm)</t>
        </is>
      </c>
      <c r="C36" s="17" t="n">
        <v>5</v>
      </c>
    </row>
    <row r="37">
      <c r="B37" s="11" t="inlineStr">
        <is>
          <t>Min Bloomberg LQA score (0-100)</t>
        </is>
      </c>
      <c r="C37" s="17" t="n">
        <v>60</v>
      </c>
    </row>
    <row r="38">
      <c r="B38" s="11" t="inlineStr">
        <is>
          <t>Min years to maturity</t>
        </is>
      </c>
      <c r="C38" s="12" t="n">
        <v>0.5</v>
      </c>
    </row>
    <row r="39">
      <c r="B39" s="11" t="inlineStr">
        <is>
          <t>Bonds must pass at least N criteria</t>
        </is>
      </c>
      <c r="C39" s="17" t="n">
        <v>3</v>
      </c>
    </row>
    <row r="41">
      <c r="B41" s="5" t="inlineStr">
        <is>
          <t>Rich/Cheap Composite — Z-Score Weights (sum to 1)</t>
        </is>
      </c>
      <c r="C41" s="6" t="n"/>
      <c r="D41" s="6" t="n"/>
      <c r="E41" s="7" t="n"/>
    </row>
    <row r="42">
      <c r="B42" s="11" t="inlineStr">
        <is>
          <t>Curve residual (cheap = +)</t>
        </is>
      </c>
      <c r="C42" s="18" t="n">
        <v>0.4</v>
      </c>
      <c r="E42" s="13" t="inlineStr">
        <is>
          <t>Composite uses 5 intrinsic signals only. Peer / EMBI / 1Y-percentile tabs remain as standalone diagnostics. If a bond is missing data on a signal, that signal's weight is automatically removed from BOTH numerator and denominator — you always get a composite z, just based on whichever signals are available.</t>
        </is>
      </c>
    </row>
    <row r="43">
      <c r="B43" s="11" t="inlineStr">
        <is>
          <t>12M carry+roll</t>
        </is>
      </c>
      <c r="C43" s="18" t="n">
        <v>0.2</v>
      </c>
    </row>
    <row r="44">
      <c r="B44" s="11" t="inlineStr">
        <is>
          <t>DTS-adjusted carry</t>
        </is>
      </c>
      <c r="C44" s="18" t="n">
        <v>0.2</v>
      </c>
    </row>
    <row r="45">
      <c r="B45" s="11" t="inlineStr">
        <is>
          <t>YTM (absolute level)</t>
        </is>
      </c>
      <c r="C45" s="18" t="n">
        <v>0.1</v>
      </c>
    </row>
    <row r="46">
      <c r="B46" s="11" t="inlineStr">
        <is>
          <t>Liquidity score (boost)</t>
        </is>
      </c>
      <c r="C46" s="18" t="n">
        <v>0.1</v>
      </c>
    </row>
    <row r="47">
      <c r="B47" s="19" t="inlineStr">
        <is>
          <t>Sum (should = 100%)</t>
        </is>
      </c>
      <c r="C47" s="20">
        <f>SUM(C42:C46)</f>
        <v/>
      </c>
    </row>
    <row r="52">
      <c r="B52" s="5" t="inlineStr">
        <is>
          <t>Risk Overlays</t>
        </is>
      </c>
      <c r="C52" s="6" t="n"/>
      <c r="D52" s="6" t="n"/>
      <c r="E52" s="7" t="n"/>
    </row>
    <row r="53">
      <c r="B53" s="11" t="inlineStr">
        <is>
          <t>Recovery assumption (sov)</t>
        </is>
      </c>
      <c r="C53" s="18" t="n">
        <v>0.25</v>
      </c>
      <c r="E53" s="13" t="inlineStr">
        <is>
          <t>Recovery feeds Implied_PD. MOVE thresholds drive Trade_Recos sizing.</t>
        </is>
      </c>
    </row>
    <row r="54">
      <c r="B54" s="11" t="inlineStr">
        <is>
          <t>MOVE: percentile threshold for half-sizing</t>
        </is>
      </c>
      <c r="C54" s="17" t="n">
        <v>75</v>
      </c>
    </row>
    <row r="55">
      <c r="B55" s="11" t="inlineStr">
        <is>
          <t>MOVE: percentile threshold for quarter-sizing</t>
        </is>
      </c>
      <c r="C55" s="17" t="n">
        <v>90</v>
      </c>
    </row>
    <row r="56">
      <c r="B56" s="11" t="inlineStr">
        <is>
          <t>MOVE size scalar at 'high' regime</t>
        </is>
      </c>
      <c r="C56" s="18" t="n">
        <v>0.5</v>
      </c>
    </row>
    <row r="57">
      <c r="B57" s="11" t="inlineStr">
        <is>
          <t>MOVE size scalar at 'extreme' regime</t>
        </is>
      </c>
      <c r="C57" s="18" t="n">
        <v>0.25</v>
      </c>
    </row>
  </sheetData>
  <mergeCells count="11">
    <mergeCell ref="B27:E27"/>
    <mergeCell ref="B41:E41"/>
    <mergeCell ref="E12:E17"/>
    <mergeCell ref="B4:E4"/>
    <mergeCell ref="B52:E52"/>
    <mergeCell ref="E28:E31"/>
    <mergeCell ref="B33:E33"/>
    <mergeCell ref="B11:E11"/>
    <mergeCell ref="E42:E46"/>
    <mergeCell ref="B22:E22"/>
    <mergeCell ref="E53:E5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32" customWidth="1" min="3" max="3"/>
    <col width="11" customWidth="1" min="4" max="4"/>
    <col width="13" customWidth="1" min="5" max="5"/>
    <col width="13" customWidth="1" min="6" max="6"/>
    <col width="12" customWidth="1" min="7" max="7"/>
    <col width="15" customWidth="1" min="8" max="8"/>
    <col width="10" customWidth="1" min="9" max="9"/>
    <col width="11" customWidth="1" min="10" max="10"/>
    <col width="9" customWidth="1" min="11" max="11"/>
    <col width="10" customWidth="1" min="12" max="12"/>
    <col width="9" customWidth="1" min="13" max="13"/>
    <col width="11" customWidth="1" min="14" max="14"/>
    <col width="12" customWidth="1" min="15" max="15"/>
    <col width="10" customWidth="1" min="16" max="16"/>
    <col width="10" customWidth="1" min="17" max="17"/>
    <col width="14" customWidth="1" min="18" max="18"/>
  </cols>
  <sheetData>
    <row r="1" ht="30" customHeight="1">
      <c r="A1" s="21" t="inlineStr">
        <is>
          <t>ISIN</t>
        </is>
      </c>
      <c r="B1" s="21" t="inlineStr">
        <is>
          <t>Ticker</t>
        </is>
      </c>
      <c r="C1" s="21" t="inlineStr">
        <is>
          <t>Description</t>
        </is>
      </c>
      <c r="D1" s="21" t="inlineStr">
        <is>
          <t>Coupon (%)</t>
        </is>
      </c>
      <c r="E1" s="21" t="inlineStr">
        <is>
          <t>Maturity</t>
        </is>
      </c>
      <c r="F1" s="21" t="inlineStr">
        <is>
          <t>Issue Date</t>
        </is>
      </c>
      <c r="G1" s="21" t="inlineStr">
        <is>
          <t>Yrs to Maty</t>
        </is>
      </c>
      <c r="H1" s="21" t="inlineStr">
        <is>
          <t>Amt Out ($mm)</t>
        </is>
      </c>
      <c r="I1" s="21" t="inlineStr">
        <is>
          <t>Currency</t>
        </is>
      </c>
      <c r="J1" s="21" t="inlineStr">
        <is>
          <t>Country</t>
        </is>
      </c>
      <c r="K1" s="21" t="inlineStr">
        <is>
          <t>S&amp;P</t>
        </is>
      </c>
      <c r="L1" s="21" t="inlineStr">
        <is>
          <t>Moody's</t>
        </is>
      </c>
      <c r="M1" s="21" t="inlineStr">
        <is>
          <t>Fitch</t>
        </is>
      </c>
      <c r="N1" s="21" t="inlineStr">
        <is>
          <t>Composite</t>
        </is>
      </c>
      <c r="O1" s="21" t="inlineStr">
        <is>
          <t>Day Count</t>
        </is>
      </c>
      <c r="P1" s="21" t="inlineStr">
        <is>
          <t>Cpn Freq</t>
        </is>
      </c>
      <c r="Q1" s="21" t="inlineStr">
        <is>
          <t>Callable</t>
        </is>
      </c>
      <c r="R1" s="21" t="inlineStr">
        <is>
          <t>Manual flag</t>
        </is>
      </c>
    </row>
    <row r="2" ht="18" customHeight="1">
      <c r="A2" s="5" t="inlineStr"/>
      <c r="B2" s="22" t="inlineStr">
        <is>
          <t>TICKER</t>
        </is>
      </c>
      <c r="C2" s="22" t="inlineStr">
        <is>
          <t>SECURITY_DES</t>
        </is>
      </c>
      <c r="D2" s="22" t="inlineStr">
        <is>
          <t>CPN</t>
        </is>
      </c>
      <c r="E2" s="22" t="inlineStr">
        <is>
          <t>MATURITY</t>
        </is>
      </c>
      <c r="F2" s="22" t="inlineStr">
        <is>
          <t>ISSUE_DT</t>
        </is>
      </c>
      <c r="G2" s="5" t="inlineStr"/>
      <c r="H2" s="22" t="inlineStr">
        <is>
          <t>AMT_OUTSTANDING</t>
        </is>
      </c>
      <c r="I2" s="22" t="inlineStr">
        <is>
          <t>CRNCY</t>
        </is>
      </c>
      <c r="J2" s="22" t="inlineStr">
        <is>
          <t>CNTRY_OF_RISK</t>
        </is>
      </c>
      <c r="K2" s="22" t="inlineStr">
        <is>
          <t>RTG_SP_LT_FC</t>
        </is>
      </c>
      <c r="L2" s="22" t="inlineStr">
        <is>
          <t>RTG_MDY_LONG_TERM</t>
        </is>
      </c>
      <c r="M2" s="22" t="inlineStr">
        <is>
          <t>RTG_FITCH_LT_LC_DEBT</t>
        </is>
      </c>
      <c r="N2" s="22" t="inlineStr">
        <is>
          <t>BB_COMPOSITE</t>
        </is>
      </c>
      <c r="O2" s="22" t="inlineStr">
        <is>
          <t>DAY_CNT_DES</t>
        </is>
      </c>
      <c r="P2" s="22" t="inlineStr">
        <is>
          <t>CPN_FREQ</t>
        </is>
      </c>
      <c r="Q2" s="22" t="inlineStr">
        <is>
          <t>CALLABLE</t>
        </is>
      </c>
      <c r="R2" s="5" t="inlineStr"/>
    </row>
    <row r="3">
      <c r="A3" s="8" t="n"/>
      <c r="B3" s="10">
        <f>IFERROR(BDP($A3&amp;" ISIN",B$2),"")</f>
        <v/>
      </c>
      <c r="C3" s="10">
        <f>IFERROR(BDP($A3&amp;" ISIN",C$2),"")</f>
        <v/>
      </c>
      <c r="D3" s="16">
        <f>IFERROR(BDP($A3&amp;" ISIN",D$2),"")</f>
        <v/>
      </c>
      <c r="E3" s="9">
        <f>IFERROR(BDP($A3&amp;" ISIN",E$2),"")</f>
        <v/>
      </c>
      <c r="F3" s="9">
        <f>IFERROR(BDP($A3&amp;" ISIN",F$2),"")</f>
        <v/>
      </c>
      <c r="G3" s="23">
        <f>IFERROR(IF(E3="","",(E3-TODAY())/365.25),"")</f>
        <v/>
      </c>
      <c r="H3" s="24">
        <f>IFERROR(BDP($A3&amp;" ISIN",H$2)/1000000,"")</f>
        <v/>
      </c>
      <c r="I3" s="10">
        <f>IFERROR(BDP($A3&amp;" ISIN",I$2),"")</f>
        <v/>
      </c>
      <c r="J3" s="10">
        <f>IFERROR(BDP($A3&amp;" ISIN",J$2),"")</f>
        <v/>
      </c>
      <c r="K3" s="10">
        <f>IFERROR(BDP($A3&amp;" ISIN",K$2),"")</f>
        <v/>
      </c>
      <c r="L3" s="10">
        <f>IFERROR(BDP($A3&amp;" ISIN",L$2),"")</f>
        <v/>
      </c>
      <c r="M3" s="10">
        <f>IFERROR(BDP($A3&amp;" ISIN",M$2),"")</f>
        <v/>
      </c>
      <c r="N3" s="10">
        <f>IFERROR(BDP($A3&amp;" ISIN",N$2),"")</f>
        <v/>
      </c>
      <c r="O3" s="10">
        <f>IFERROR(BDP($A3&amp;" ISIN",O$2),"")</f>
        <v/>
      </c>
      <c r="P3" s="16">
        <f>IFERROR(BDP($A3&amp;" ISIN",P$2),"")</f>
        <v/>
      </c>
      <c r="Q3" s="10">
        <f>IFERROR(BDP($A3&amp;" ISIN",Q$2),"")</f>
        <v/>
      </c>
      <c r="R3" s="8" t="n"/>
    </row>
    <row r="4">
      <c r="A4" s="8" t="n"/>
      <c r="B4" s="10">
        <f>IFERROR(BDP($A4&amp;" ISIN",B$2),"")</f>
        <v/>
      </c>
      <c r="C4" s="10">
        <f>IFERROR(BDP($A4&amp;" ISIN",C$2),"")</f>
        <v/>
      </c>
      <c r="D4" s="16">
        <f>IFERROR(BDP($A4&amp;" ISIN",D$2),"")</f>
        <v/>
      </c>
      <c r="E4" s="9">
        <f>IFERROR(BDP($A4&amp;" ISIN",E$2),"")</f>
        <v/>
      </c>
      <c r="F4" s="9">
        <f>IFERROR(BDP($A4&amp;" ISIN",F$2),"")</f>
        <v/>
      </c>
      <c r="G4" s="23">
        <f>IFERROR(IF(E4="","",(E4-TODAY())/365.25),"")</f>
        <v/>
      </c>
      <c r="H4" s="24">
        <f>IFERROR(BDP($A4&amp;" ISIN",H$2)/1000000,"")</f>
        <v/>
      </c>
      <c r="I4" s="10">
        <f>IFERROR(BDP($A4&amp;" ISIN",I$2),"")</f>
        <v/>
      </c>
      <c r="J4" s="10">
        <f>IFERROR(BDP($A4&amp;" ISIN",J$2),"")</f>
        <v/>
      </c>
      <c r="K4" s="10">
        <f>IFERROR(BDP($A4&amp;" ISIN",K$2),"")</f>
        <v/>
      </c>
      <c r="L4" s="10">
        <f>IFERROR(BDP($A4&amp;" ISIN",L$2),"")</f>
        <v/>
      </c>
      <c r="M4" s="10">
        <f>IFERROR(BDP($A4&amp;" ISIN",M$2),"")</f>
        <v/>
      </c>
      <c r="N4" s="10">
        <f>IFERROR(BDP($A4&amp;" ISIN",N$2),"")</f>
        <v/>
      </c>
      <c r="O4" s="10">
        <f>IFERROR(BDP($A4&amp;" ISIN",O$2),"")</f>
        <v/>
      </c>
      <c r="P4" s="16">
        <f>IFERROR(BDP($A4&amp;" ISIN",P$2),"")</f>
        <v/>
      </c>
      <c r="Q4" s="10">
        <f>IFERROR(BDP($A4&amp;" ISIN",Q$2),"")</f>
        <v/>
      </c>
      <c r="R4" s="8" t="n"/>
    </row>
    <row r="5">
      <c r="A5" s="8" t="n"/>
      <c r="B5" s="10">
        <f>IFERROR(BDP($A5&amp;" ISIN",B$2),"")</f>
        <v/>
      </c>
      <c r="C5" s="10">
        <f>IFERROR(BDP($A5&amp;" ISIN",C$2),"")</f>
        <v/>
      </c>
      <c r="D5" s="16">
        <f>IFERROR(BDP($A5&amp;" ISIN",D$2),"")</f>
        <v/>
      </c>
      <c r="E5" s="9">
        <f>IFERROR(BDP($A5&amp;" ISIN",E$2),"")</f>
        <v/>
      </c>
      <c r="F5" s="9">
        <f>IFERROR(BDP($A5&amp;" ISIN",F$2),"")</f>
        <v/>
      </c>
      <c r="G5" s="23">
        <f>IFERROR(IF(E5="","",(E5-TODAY())/365.25),"")</f>
        <v/>
      </c>
      <c r="H5" s="24">
        <f>IFERROR(BDP($A5&amp;" ISIN",H$2)/1000000,"")</f>
        <v/>
      </c>
      <c r="I5" s="10">
        <f>IFERROR(BDP($A5&amp;" ISIN",I$2),"")</f>
        <v/>
      </c>
      <c r="J5" s="10">
        <f>IFERROR(BDP($A5&amp;" ISIN",J$2),"")</f>
        <v/>
      </c>
      <c r="K5" s="10">
        <f>IFERROR(BDP($A5&amp;" ISIN",K$2),"")</f>
        <v/>
      </c>
      <c r="L5" s="10">
        <f>IFERROR(BDP($A5&amp;" ISIN",L$2),"")</f>
        <v/>
      </c>
      <c r="M5" s="10">
        <f>IFERROR(BDP($A5&amp;" ISIN",M$2),"")</f>
        <v/>
      </c>
      <c r="N5" s="10">
        <f>IFERROR(BDP($A5&amp;" ISIN",N$2),"")</f>
        <v/>
      </c>
      <c r="O5" s="10">
        <f>IFERROR(BDP($A5&amp;" ISIN",O$2),"")</f>
        <v/>
      </c>
      <c r="P5" s="16">
        <f>IFERROR(BDP($A5&amp;" ISIN",P$2),"")</f>
        <v/>
      </c>
      <c r="Q5" s="10">
        <f>IFERROR(BDP($A5&amp;" ISIN",Q$2),"")</f>
        <v/>
      </c>
      <c r="R5" s="8" t="n"/>
    </row>
    <row r="6">
      <c r="A6" s="8" t="n"/>
      <c r="B6" s="10">
        <f>IFERROR(BDP($A6&amp;" ISIN",B$2),"")</f>
        <v/>
      </c>
      <c r="C6" s="10">
        <f>IFERROR(BDP($A6&amp;" ISIN",C$2),"")</f>
        <v/>
      </c>
      <c r="D6" s="16">
        <f>IFERROR(BDP($A6&amp;" ISIN",D$2),"")</f>
        <v/>
      </c>
      <c r="E6" s="9">
        <f>IFERROR(BDP($A6&amp;" ISIN",E$2),"")</f>
        <v/>
      </c>
      <c r="F6" s="9">
        <f>IFERROR(BDP($A6&amp;" ISIN",F$2),"")</f>
        <v/>
      </c>
      <c r="G6" s="23">
        <f>IFERROR(IF(E6="","",(E6-TODAY())/365.25),"")</f>
        <v/>
      </c>
      <c r="H6" s="24">
        <f>IFERROR(BDP($A6&amp;" ISIN",H$2)/1000000,"")</f>
        <v/>
      </c>
      <c r="I6" s="10">
        <f>IFERROR(BDP($A6&amp;" ISIN",I$2),"")</f>
        <v/>
      </c>
      <c r="J6" s="10">
        <f>IFERROR(BDP($A6&amp;" ISIN",J$2),"")</f>
        <v/>
      </c>
      <c r="K6" s="10">
        <f>IFERROR(BDP($A6&amp;" ISIN",K$2),"")</f>
        <v/>
      </c>
      <c r="L6" s="10">
        <f>IFERROR(BDP($A6&amp;" ISIN",L$2),"")</f>
        <v/>
      </c>
      <c r="M6" s="10">
        <f>IFERROR(BDP($A6&amp;" ISIN",M$2),"")</f>
        <v/>
      </c>
      <c r="N6" s="10">
        <f>IFERROR(BDP($A6&amp;" ISIN",N$2),"")</f>
        <v/>
      </c>
      <c r="O6" s="10">
        <f>IFERROR(BDP($A6&amp;" ISIN",O$2),"")</f>
        <v/>
      </c>
      <c r="P6" s="16">
        <f>IFERROR(BDP($A6&amp;" ISIN",P$2),"")</f>
        <v/>
      </c>
      <c r="Q6" s="10">
        <f>IFERROR(BDP($A6&amp;" ISIN",Q$2),"")</f>
        <v/>
      </c>
      <c r="R6" s="8" t="n"/>
    </row>
    <row r="7">
      <c r="A7" s="8" t="n"/>
      <c r="B7" s="10">
        <f>IFERROR(BDP($A7&amp;" ISIN",B$2),"")</f>
        <v/>
      </c>
      <c r="C7" s="10">
        <f>IFERROR(BDP($A7&amp;" ISIN",C$2),"")</f>
        <v/>
      </c>
      <c r="D7" s="16">
        <f>IFERROR(BDP($A7&amp;" ISIN",D$2),"")</f>
        <v/>
      </c>
      <c r="E7" s="9">
        <f>IFERROR(BDP($A7&amp;" ISIN",E$2),"")</f>
        <v/>
      </c>
      <c r="F7" s="9">
        <f>IFERROR(BDP($A7&amp;" ISIN",F$2),"")</f>
        <v/>
      </c>
      <c r="G7" s="23">
        <f>IFERROR(IF(E7="","",(E7-TODAY())/365.25),"")</f>
        <v/>
      </c>
      <c r="H7" s="24">
        <f>IFERROR(BDP($A7&amp;" ISIN",H$2)/1000000,"")</f>
        <v/>
      </c>
      <c r="I7" s="10">
        <f>IFERROR(BDP($A7&amp;" ISIN",I$2),"")</f>
        <v/>
      </c>
      <c r="J7" s="10">
        <f>IFERROR(BDP($A7&amp;" ISIN",J$2),"")</f>
        <v/>
      </c>
      <c r="K7" s="10">
        <f>IFERROR(BDP($A7&amp;" ISIN",K$2),"")</f>
        <v/>
      </c>
      <c r="L7" s="10">
        <f>IFERROR(BDP($A7&amp;" ISIN",L$2),"")</f>
        <v/>
      </c>
      <c r="M7" s="10">
        <f>IFERROR(BDP($A7&amp;" ISIN",M$2),"")</f>
        <v/>
      </c>
      <c r="N7" s="10">
        <f>IFERROR(BDP($A7&amp;" ISIN",N$2),"")</f>
        <v/>
      </c>
      <c r="O7" s="10">
        <f>IFERROR(BDP($A7&amp;" ISIN",O$2),"")</f>
        <v/>
      </c>
      <c r="P7" s="16">
        <f>IFERROR(BDP($A7&amp;" ISIN",P$2),"")</f>
        <v/>
      </c>
      <c r="Q7" s="10">
        <f>IFERROR(BDP($A7&amp;" ISIN",Q$2),"")</f>
        <v/>
      </c>
      <c r="R7" s="8" t="n"/>
    </row>
    <row r="8">
      <c r="A8" s="8" t="n"/>
      <c r="B8" s="10">
        <f>IFERROR(BDP($A8&amp;" ISIN",B$2),"")</f>
        <v/>
      </c>
      <c r="C8" s="10">
        <f>IFERROR(BDP($A8&amp;" ISIN",C$2),"")</f>
        <v/>
      </c>
      <c r="D8" s="16">
        <f>IFERROR(BDP($A8&amp;" ISIN",D$2),"")</f>
        <v/>
      </c>
      <c r="E8" s="9">
        <f>IFERROR(BDP($A8&amp;" ISIN",E$2),"")</f>
        <v/>
      </c>
      <c r="F8" s="9">
        <f>IFERROR(BDP($A8&amp;" ISIN",F$2),"")</f>
        <v/>
      </c>
      <c r="G8" s="23">
        <f>IFERROR(IF(E8="","",(E8-TODAY())/365.25),"")</f>
        <v/>
      </c>
      <c r="H8" s="24">
        <f>IFERROR(BDP($A8&amp;" ISIN",H$2)/1000000,"")</f>
        <v/>
      </c>
      <c r="I8" s="10">
        <f>IFERROR(BDP($A8&amp;" ISIN",I$2),"")</f>
        <v/>
      </c>
      <c r="J8" s="10">
        <f>IFERROR(BDP($A8&amp;" ISIN",J$2),"")</f>
        <v/>
      </c>
      <c r="K8" s="10">
        <f>IFERROR(BDP($A8&amp;" ISIN",K$2),"")</f>
        <v/>
      </c>
      <c r="L8" s="10">
        <f>IFERROR(BDP($A8&amp;" ISIN",L$2),"")</f>
        <v/>
      </c>
      <c r="M8" s="10">
        <f>IFERROR(BDP($A8&amp;" ISIN",M$2),"")</f>
        <v/>
      </c>
      <c r="N8" s="10">
        <f>IFERROR(BDP($A8&amp;" ISIN",N$2),"")</f>
        <v/>
      </c>
      <c r="O8" s="10">
        <f>IFERROR(BDP($A8&amp;" ISIN",O$2),"")</f>
        <v/>
      </c>
      <c r="P8" s="16">
        <f>IFERROR(BDP($A8&amp;" ISIN",P$2),"")</f>
        <v/>
      </c>
      <c r="Q8" s="10">
        <f>IFERROR(BDP($A8&amp;" ISIN",Q$2),"")</f>
        <v/>
      </c>
      <c r="R8" s="8" t="n"/>
    </row>
    <row r="9">
      <c r="A9" s="8" t="n"/>
      <c r="B9" s="10">
        <f>IFERROR(BDP($A9&amp;" ISIN",B$2),"")</f>
        <v/>
      </c>
      <c r="C9" s="10">
        <f>IFERROR(BDP($A9&amp;" ISIN",C$2),"")</f>
        <v/>
      </c>
      <c r="D9" s="16">
        <f>IFERROR(BDP($A9&amp;" ISIN",D$2),"")</f>
        <v/>
      </c>
      <c r="E9" s="9">
        <f>IFERROR(BDP($A9&amp;" ISIN",E$2),"")</f>
        <v/>
      </c>
      <c r="F9" s="9">
        <f>IFERROR(BDP($A9&amp;" ISIN",F$2),"")</f>
        <v/>
      </c>
      <c r="G9" s="23">
        <f>IFERROR(IF(E9="","",(E9-TODAY())/365.25),"")</f>
        <v/>
      </c>
      <c r="H9" s="24">
        <f>IFERROR(BDP($A9&amp;" ISIN",H$2)/1000000,"")</f>
        <v/>
      </c>
      <c r="I9" s="10">
        <f>IFERROR(BDP($A9&amp;" ISIN",I$2),"")</f>
        <v/>
      </c>
      <c r="J9" s="10">
        <f>IFERROR(BDP($A9&amp;" ISIN",J$2),"")</f>
        <v/>
      </c>
      <c r="K9" s="10">
        <f>IFERROR(BDP($A9&amp;" ISIN",K$2),"")</f>
        <v/>
      </c>
      <c r="L9" s="10">
        <f>IFERROR(BDP($A9&amp;" ISIN",L$2),"")</f>
        <v/>
      </c>
      <c r="M9" s="10">
        <f>IFERROR(BDP($A9&amp;" ISIN",M$2),"")</f>
        <v/>
      </c>
      <c r="N9" s="10">
        <f>IFERROR(BDP($A9&amp;" ISIN",N$2),"")</f>
        <v/>
      </c>
      <c r="O9" s="10">
        <f>IFERROR(BDP($A9&amp;" ISIN",O$2),"")</f>
        <v/>
      </c>
      <c r="P9" s="16">
        <f>IFERROR(BDP($A9&amp;" ISIN",P$2),"")</f>
        <v/>
      </c>
      <c r="Q9" s="10">
        <f>IFERROR(BDP($A9&amp;" ISIN",Q$2),"")</f>
        <v/>
      </c>
      <c r="R9" s="8" t="n"/>
    </row>
    <row r="10">
      <c r="A10" s="8" t="n"/>
      <c r="B10" s="10">
        <f>IFERROR(BDP($A10&amp;" ISIN",B$2),"")</f>
        <v/>
      </c>
      <c r="C10" s="10">
        <f>IFERROR(BDP($A10&amp;" ISIN",C$2),"")</f>
        <v/>
      </c>
      <c r="D10" s="16">
        <f>IFERROR(BDP($A10&amp;" ISIN",D$2),"")</f>
        <v/>
      </c>
      <c r="E10" s="9">
        <f>IFERROR(BDP($A10&amp;" ISIN",E$2),"")</f>
        <v/>
      </c>
      <c r="F10" s="9">
        <f>IFERROR(BDP($A10&amp;" ISIN",F$2),"")</f>
        <v/>
      </c>
      <c r="G10" s="23">
        <f>IFERROR(IF(E10="","",(E10-TODAY())/365.25),"")</f>
        <v/>
      </c>
      <c r="H10" s="24">
        <f>IFERROR(BDP($A10&amp;" ISIN",H$2)/1000000,"")</f>
        <v/>
      </c>
      <c r="I10" s="10">
        <f>IFERROR(BDP($A10&amp;" ISIN",I$2),"")</f>
        <v/>
      </c>
      <c r="J10" s="10">
        <f>IFERROR(BDP($A10&amp;" ISIN",J$2),"")</f>
        <v/>
      </c>
      <c r="K10" s="10">
        <f>IFERROR(BDP($A10&amp;" ISIN",K$2),"")</f>
        <v/>
      </c>
      <c r="L10" s="10">
        <f>IFERROR(BDP($A10&amp;" ISIN",L$2),"")</f>
        <v/>
      </c>
      <c r="M10" s="10">
        <f>IFERROR(BDP($A10&amp;" ISIN",M$2),"")</f>
        <v/>
      </c>
      <c r="N10" s="10">
        <f>IFERROR(BDP($A10&amp;" ISIN",N$2),"")</f>
        <v/>
      </c>
      <c r="O10" s="10">
        <f>IFERROR(BDP($A10&amp;" ISIN",O$2),"")</f>
        <v/>
      </c>
      <c r="P10" s="16">
        <f>IFERROR(BDP($A10&amp;" ISIN",P$2),"")</f>
        <v/>
      </c>
      <c r="Q10" s="10">
        <f>IFERROR(BDP($A10&amp;" ISIN",Q$2),"")</f>
        <v/>
      </c>
      <c r="R10" s="8" t="n"/>
    </row>
    <row r="11">
      <c r="A11" s="8" t="n"/>
      <c r="B11" s="10">
        <f>IFERROR(BDP($A11&amp;" ISIN",B$2),"")</f>
        <v/>
      </c>
      <c r="C11" s="10">
        <f>IFERROR(BDP($A11&amp;" ISIN",C$2),"")</f>
        <v/>
      </c>
      <c r="D11" s="16">
        <f>IFERROR(BDP($A11&amp;" ISIN",D$2),"")</f>
        <v/>
      </c>
      <c r="E11" s="9">
        <f>IFERROR(BDP($A11&amp;" ISIN",E$2),"")</f>
        <v/>
      </c>
      <c r="F11" s="9">
        <f>IFERROR(BDP($A11&amp;" ISIN",F$2),"")</f>
        <v/>
      </c>
      <c r="G11" s="23">
        <f>IFERROR(IF(E11="","",(E11-TODAY())/365.25),"")</f>
        <v/>
      </c>
      <c r="H11" s="24">
        <f>IFERROR(BDP($A11&amp;" ISIN",H$2)/1000000,"")</f>
        <v/>
      </c>
      <c r="I11" s="10">
        <f>IFERROR(BDP($A11&amp;" ISIN",I$2),"")</f>
        <v/>
      </c>
      <c r="J11" s="10">
        <f>IFERROR(BDP($A11&amp;" ISIN",J$2),"")</f>
        <v/>
      </c>
      <c r="K11" s="10">
        <f>IFERROR(BDP($A11&amp;" ISIN",K$2),"")</f>
        <v/>
      </c>
      <c r="L11" s="10">
        <f>IFERROR(BDP($A11&amp;" ISIN",L$2),"")</f>
        <v/>
      </c>
      <c r="M11" s="10">
        <f>IFERROR(BDP($A11&amp;" ISIN",M$2),"")</f>
        <v/>
      </c>
      <c r="N11" s="10">
        <f>IFERROR(BDP($A11&amp;" ISIN",N$2),"")</f>
        <v/>
      </c>
      <c r="O11" s="10">
        <f>IFERROR(BDP($A11&amp;" ISIN",O$2),"")</f>
        <v/>
      </c>
      <c r="P11" s="16">
        <f>IFERROR(BDP($A11&amp;" ISIN",P$2),"")</f>
        <v/>
      </c>
      <c r="Q11" s="10">
        <f>IFERROR(BDP($A11&amp;" ISIN",Q$2),"")</f>
        <v/>
      </c>
      <c r="R11" s="8" t="n"/>
    </row>
    <row r="12">
      <c r="A12" s="8" t="n"/>
      <c r="B12" s="10">
        <f>IFERROR(BDP($A12&amp;" ISIN",B$2),"")</f>
        <v/>
      </c>
      <c r="C12" s="10">
        <f>IFERROR(BDP($A12&amp;" ISIN",C$2),"")</f>
        <v/>
      </c>
      <c r="D12" s="16">
        <f>IFERROR(BDP($A12&amp;" ISIN",D$2),"")</f>
        <v/>
      </c>
      <c r="E12" s="9">
        <f>IFERROR(BDP($A12&amp;" ISIN",E$2),"")</f>
        <v/>
      </c>
      <c r="F12" s="9">
        <f>IFERROR(BDP($A12&amp;" ISIN",F$2),"")</f>
        <v/>
      </c>
      <c r="G12" s="23">
        <f>IFERROR(IF(E12="","",(E12-TODAY())/365.25),"")</f>
        <v/>
      </c>
      <c r="H12" s="24">
        <f>IFERROR(BDP($A12&amp;" ISIN",H$2)/1000000,"")</f>
        <v/>
      </c>
      <c r="I12" s="10">
        <f>IFERROR(BDP($A12&amp;" ISIN",I$2),"")</f>
        <v/>
      </c>
      <c r="J12" s="10">
        <f>IFERROR(BDP($A12&amp;" ISIN",J$2),"")</f>
        <v/>
      </c>
      <c r="K12" s="10">
        <f>IFERROR(BDP($A12&amp;" ISIN",K$2),"")</f>
        <v/>
      </c>
      <c r="L12" s="10">
        <f>IFERROR(BDP($A12&amp;" ISIN",L$2),"")</f>
        <v/>
      </c>
      <c r="M12" s="10">
        <f>IFERROR(BDP($A12&amp;" ISIN",M$2),"")</f>
        <v/>
      </c>
      <c r="N12" s="10">
        <f>IFERROR(BDP($A12&amp;" ISIN",N$2),"")</f>
        <v/>
      </c>
      <c r="O12" s="10">
        <f>IFERROR(BDP($A12&amp;" ISIN",O$2),"")</f>
        <v/>
      </c>
      <c r="P12" s="16">
        <f>IFERROR(BDP($A12&amp;" ISIN",P$2),"")</f>
        <v/>
      </c>
      <c r="Q12" s="10">
        <f>IFERROR(BDP($A12&amp;" ISIN",Q$2),"")</f>
        <v/>
      </c>
      <c r="R12" s="8" t="n"/>
    </row>
    <row r="13">
      <c r="A13" s="8" t="n"/>
      <c r="B13" s="10">
        <f>IFERROR(BDP($A13&amp;" ISIN",B$2),"")</f>
        <v/>
      </c>
      <c r="C13" s="10">
        <f>IFERROR(BDP($A13&amp;" ISIN",C$2),"")</f>
        <v/>
      </c>
      <c r="D13" s="16">
        <f>IFERROR(BDP($A13&amp;" ISIN",D$2),"")</f>
        <v/>
      </c>
      <c r="E13" s="9">
        <f>IFERROR(BDP($A13&amp;" ISIN",E$2),"")</f>
        <v/>
      </c>
      <c r="F13" s="9">
        <f>IFERROR(BDP($A13&amp;" ISIN",F$2),"")</f>
        <v/>
      </c>
      <c r="G13" s="23">
        <f>IFERROR(IF(E13="","",(E13-TODAY())/365.25),"")</f>
        <v/>
      </c>
      <c r="H13" s="24">
        <f>IFERROR(BDP($A13&amp;" ISIN",H$2)/1000000,"")</f>
        <v/>
      </c>
      <c r="I13" s="10">
        <f>IFERROR(BDP($A13&amp;" ISIN",I$2),"")</f>
        <v/>
      </c>
      <c r="J13" s="10">
        <f>IFERROR(BDP($A13&amp;" ISIN",J$2),"")</f>
        <v/>
      </c>
      <c r="K13" s="10">
        <f>IFERROR(BDP($A13&amp;" ISIN",K$2),"")</f>
        <v/>
      </c>
      <c r="L13" s="10">
        <f>IFERROR(BDP($A13&amp;" ISIN",L$2),"")</f>
        <v/>
      </c>
      <c r="M13" s="10">
        <f>IFERROR(BDP($A13&amp;" ISIN",M$2),"")</f>
        <v/>
      </c>
      <c r="N13" s="10">
        <f>IFERROR(BDP($A13&amp;" ISIN",N$2),"")</f>
        <v/>
      </c>
      <c r="O13" s="10">
        <f>IFERROR(BDP($A13&amp;" ISIN",O$2),"")</f>
        <v/>
      </c>
      <c r="P13" s="16">
        <f>IFERROR(BDP($A13&amp;" ISIN",P$2),"")</f>
        <v/>
      </c>
      <c r="Q13" s="10">
        <f>IFERROR(BDP($A13&amp;" ISIN",Q$2),"")</f>
        <v/>
      </c>
      <c r="R13" s="8" t="n"/>
    </row>
    <row r="14">
      <c r="A14" s="8" t="n"/>
      <c r="B14" s="10">
        <f>IFERROR(BDP($A14&amp;" ISIN",B$2),"")</f>
        <v/>
      </c>
      <c r="C14" s="10">
        <f>IFERROR(BDP($A14&amp;" ISIN",C$2),"")</f>
        <v/>
      </c>
      <c r="D14" s="16">
        <f>IFERROR(BDP($A14&amp;" ISIN",D$2),"")</f>
        <v/>
      </c>
      <c r="E14" s="9">
        <f>IFERROR(BDP($A14&amp;" ISIN",E$2),"")</f>
        <v/>
      </c>
      <c r="F14" s="9">
        <f>IFERROR(BDP($A14&amp;" ISIN",F$2),"")</f>
        <v/>
      </c>
      <c r="G14" s="23">
        <f>IFERROR(IF(E14="","",(E14-TODAY())/365.25),"")</f>
        <v/>
      </c>
      <c r="H14" s="24">
        <f>IFERROR(BDP($A14&amp;" ISIN",H$2)/1000000,"")</f>
        <v/>
      </c>
      <c r="I14" s="10">
        <f>IFERROR(BDP($A14&amp;" ISIN",I$2),"")</f>
        <v/>
      </c>
      <c r="J14" s="10">
        <f>IFERROR(BDP($A14&amp;" ISIN",J$2),"")</f>
        <v/>
      </c>
      <c r="K14" s="10">
        <f>IFERROR(BDP($A14&amp;" ISIN",K$2),"")</f>
        <v/>
      </c>
      <c r="L14" s="10">
        <f>IFERROR(BDP($A14&amp;" ISIN",L$2),"")</f>
        <v/>
      </c>
      <c r="M14" s="10">
        <f>IFERROR(BDP($A14&amp;" ISIN",M$2),"")</f>
        <v/>
      </c>
      <c r="N14" s="10">
        <f>IFERROR(BDP($A14&amp;" ISIN",N$2),"")</f>
        <v/>
      </c>
      <c r="O14" s="10">
        <f>IFERROR(BDP($A14&amp;" ISIN",O$2),"")</f>
        <v/>
      </c>
      <c r="P14" s="16">
        <f>IFERROR(BDP($A14&amp;" ISIN",P$2),"")</f>
        <v/>
      </c>
      <c r="Q14" s="10">
        <f>IFERROR(BDP($A14&amp;" ISIN",Q$2),"")</f>
        <v/>
      </c>
      <c r="R14" s="8" t="n"/>
    </row>
    <row r="15">
      <c r="A15" s="8" t="n"/>
      <c r="B15" s="10">
        <f>IFERROR(BDP($A15&amp;" ISIN",B$2),"")</f>
        <v/>
      </c>
      <c r="C15" s="10">
        <f>IFERROR(BDP($A15&amp;" ISIN",C$2),"")</f>
        <v/>
      </c>
      <c r="D15" s="16">
        <f>IFERROR(BDP($A15&amp;" ISIN",D$2),"")</f>
        <v/>
      </c>
      <c r="E15" s="9">
        <f>IFERROR(BDP($A15&amp;" ISIN",E$2),"")</f>
        <v/>
      </c>
      <c r="F15" s="9">
        <f>IFERROR(BDP($A15&amp;" ISIN",F$2),"")</f>
        <v/>
      </c>
      <c r="G15" s="23">
        <f>IFERROR(IF(E15="","",(E15-TODAY())/365.25),"")</f>
        <v/>
      </c>
      <c r="H15" s="24">
        <f>IFERROR(BDP($A15&amp;" ISIN",H$2)/1000000,"")</f>
        <v/>
      </c>
      <c r="I15" s="10">
        <f>IFERROR(BDP($A15&amp;" ISIN",I$2),"")</f>
        <v/>
      </c>
      <c r="J15" s="10">
        <f>IFERROR(BDP($A15&amp;" ISIN",J$2),"")</f>
        <v/>
      </c>
      <c r="K15" s="10">
        <f>IFERROR(BDP($A15&amp;" ISIN",K$2),"")</f>
        <v/>
      </c>
      <c r="L15" s="10">
        <f>IFERROR(BDP($A15&amp;" ISIN",L$2),"")</f>
        <v/>
      </c>
      <c r="M15" s="10">
        <f>IFERROR(BDP($A15&amp;" ISIN",M$2),"")</f>
        <v/>
      </c>
      <c r="N15" s="10">
        <f>IFERROR(BDP($A15&amp;" ISIN",N$2),"")</f>
        <v/>
      </c>
      <c r="O15" s="10">
        <f>IFERROR(BDP($A15&amp;" ISIN",O$2),"")</f>
        <v/>
      </c>
      <c r="P15" s="16">
        <f>IFERROR(BDP($A15&amp;" ISIN",P$2),"")</f>
        <v/>
      </c>
      <c r="Q15" s="10">
        <f>IFERROR(BDP($A15&amp;" ISIN",Q$2),"")</f>
        <v/>
      </c>
      <c r="R15" s="8" t="n"/>
    </row>
    <row r="16">
      <c r="A16" s="8" t="n"/>
      <c r="B16" s="10">
        <f>IFERROR(BDP($A16&amp;" ISIN",B$2),"")</f>
        <v/>
      </c>
      <c r="C16" s="10">
        <f>IFERROR(BDP($A16&amp;" ISIN",C$2),"")</f>
        <v/>
      </c>
      <c r="D16" s="16">
        <f>IFERROR(BDP($A16&amp;" ISIN",D$2),"")</f>
        <v/>
      </c>
      <c r="E16" s="9">
        <f>IFERROR(BDP($A16&amp;" ISIN",E$2),"")</f>
        <v/>
      </c>
      <c r="F16" s="9">
        <f>IFERROR(BDP($A16&amp;" ISIN",F$2),"")</f>
        <v/>
      </c>
      <c r="G16" s="23">
        <f>IFERROR(IF(E16="","",(E16-TODAY())/365.25),"")</f>
        <v/>
      </c>
      <c r="H16" s="24">
        <f>IFERROR(BDP($A16&amp;" ISIN",H$2)/1000000,"")</f>
        <v/>
      </c>
      <c r="I16" s="10">
        <f>IFERROR(BDP($A16&amp;" ISIN",I$2),"")</f>
        <v/>
      </c>
      <c r="J16" s="10">
        <f>IFERROR(BDP($A16&amp;" ISIN",J$2),"")</f>
        <v/>
      </c>
      <c r="K16" s="10">
        <f>IFERROR(BDP($A16&amp;" ISIN",K$2),"")</f>
        <v/>
      </c>
      <c r="L16" s="10">
        <f>IFERROR(BDP($A16&amp;" ISIN",L$2),"")</f>
        <v/>
      </c>
      <c r="M16" s="10">
        <f>IFERROR(BDP($A16&amp;" ISIN",M$2),"")</f>
        <v/>
      </c>
      <c r="N16" s="10">
        <f>IFERROR(BDP($A16&amp;" ISIN",N$2),"")</f>
        <v/>
      </c>
      <c r="O16" s="10">
        <f>IFERROR(BDP($A16&amp;" ISIN",O$2),"")</f>
        <v/>
      </c>
      <c r="P16" s="16">
        <f>IFERROR(BDP($A16&amp;" ISIN",P$2),"")</f>
        <v/>
      </c>
      <c r="Q16" s="10">
        <f>IFERROR(BDP($A16&amp;" ISIN",Q$2),"")</f>
        <v/>
      </c>
      <c r="R16" s="8" t="n"/>
    </row>
    <row r="17">
      <c r="A17" s="8" t="n"/>
      <c r="B17" s="10">
        <f>IFERROR(BDP($A17&amp;" ISIN",B$2),"")</f>
        <v/>
      </c>
      <c r="C17" s="10">
        <f>IFERROR(BDP($A17&amp;" ISIN",C$2),"")</f>
        <v/>
      </c>
      <c r="D17" s="16">
        <f>IFERROR(BDP($A17&amp;" ISIN",D$2),"")</f>
        <v/>
      </c>
      <c r="E17" s="9">
        <f>IFERROR(BDP($A17&amp;" ISIN",E$2),"")</f>
        <v/>
      </c>
      <c r="F17" s="9">
        <f>IFERROR(BDP($A17&amp;" ISIN",F$2),"")</f>
        <v/>
      </c>
      <c r="G17" s="23">
        <f>IFERROR(IF(E17="","",(E17-TODAY())/365.25),"")</f>
        <v/>
      </c>
      <c r="H17" s="24">
        <f>IFERROR(BDP($A17&amp;" ISIN",H$2)/1000000,"")</f>
        <v/>
      </c>
      <c r="I17" s="10">
        <f>IFERROR(BDP($A17&amp;" ISIN",I$2),"")</f>
        <v/>
      </c>
      <c r="J17" s="10">
        <f>IFERROR(BDP($A17&amp;" ISIN",J$2),"")</f>
        <v/>
      </c>
      <c r="K17" s="10">
        <f>IFERROR(BDP($A17&amp;" ISIN",K$2),"")</f>
        <v/>
      </c>
      <c r="L17" s="10">
        <f>IFERROR(BDP($A17&amp;" ISIN",L$2),"")</f>
        <v/>
      </c>
      <c r="M17" s="10">
        <f>IFERROR(BDP($A17&amp;" ISIN",M$2),"")</f>
        <v/>
      </c>
      <c r="N17" s="10">
        <f>IFERROR(BDP($A17&amp;" ISIN",N$2),"")</f>
        <v/>
      </c>
      <c r="O17" s="10">
        <f>IFERROR(BDP($A17&amp;" ISIN",O$2),"")</f>
        <v/>
      </c>
      <c r="P17" s="16">
        <f>IFERROR(BDP($A17&amp;" ISIN",P$2),"")</f>
        <v/>
      </c>
      <c r="Q17" s="10">
        <f>IFERROR(BDP($A17&amp;" ISIN",Q$2),"")</f>
        <v/>
      </c>
      <c r="R17" s="8" t="n"/>
    </row>
    <row r="18">
      <c r="A18" s="8" t="n"/>
      <c r="B18" s="10">
        <f>IFERROR(BDP($A18&amp;" ISIN",B$2),"")</f>
        <v/>
      </c>
      <c r="C18" s="10">
        <f>IFERROR(BDP($A18&amp;" ISIN",C$2),"")</f>
        <v/>
      </c>
      <c r="D18" s="16">
        <f>IFERROR(BDP($A18&amp;" ISIN",D$2),"")</f>
        <v/>
      </c>
      <c r="E18" s="9">
        <f>IFERROR(BDP($A18&amp;" ISIN",E$2),"")</f>
        <v/>
      </c>
      <c r="F18" s="9">
        <f>IFERROR(BDP($A18&amp;" ISIN",F$2),"")</f>
        <v/>
      </c>
      <c r="G18" s="23">
        <f>IFERROR(IF(E18="","",(E18-TODAY())/365.25),"")</f>
        <v/>
      </c>
      <c r="H18" s="24">
        <f>IFERROR(BDP($A18&amp;" ISIN",H$2)/1000000,"")</f>
        <v/>
      </c>
      <c r="I18" s="10">
        <f>IFERROR(BDP($A18&amp;" ISIN",I$2),"")</f>
        <v/>
      </c>
      <c r="J18" s="10">
        <f>IFERROR(BDP($A18&amp;" ISIN",J$2),"")</f>
        <v/>
      </c>
      <c r="K18" s="10">
        <f>IFERROR(BDP($A18&amp;" ISIN",K$2),"")</f>
        <v/>
      </c>
      <c r="L18" s="10">
        <f>IFERROR(BDP($A18&amp;" ISIN",L$2),"")</f>
        <v/>
      </c>
      <c r="M18" s="10">
        <f>IFERROR(BDP($A18&amp;" ISIN",M$2),"")</f>
        <v/>
      </c>
      <c r="N18" s="10">
        <f>IFERROR(BDP($A18&amp;" ISIN",N$2),"")</f>
        <v/>
      </c>
      <c r="O18" s="10">
        <f>IFERROR(BDP($A18&amp;" ISIN",O$2),"")</f>
        <v/>
      </c>
      <c r="P18" s="16">
        <f>IFERROR(BDP($A18&amp;" ISIN",P$2),"")</f>
        <v/>
      </c>
      <c r="Q18" s="10">
        <f>IFERROR(BDP($A18&amp;" ISIN",Q$2),"")</f>
        <v/>
      </c>
      <c r="R18" s="8" t="n"/>
    </row>
    <row r="19">
      <c r="A19" s="8" t="n"/>
      <c r="B19" s="10">
        <f>IFERROR(BDP($A19&amp;" ISIN",B$2),"")</f>
        <v/>
      </c>
      <c r="C19" s="10">
        <f>IFERROR(BDP($A19&amp;" ISIN",C$2),"")</f>
        <v/>
      </c>
      <c r="D19" s="16">
        <f>IFERROR(BDP($A19&amp;" ISIN",D$2),"")</f>
        <v/>
      </c>
      <c r="E19" s="9">
        <f>IFERROR(BDP($A19&amp;" ISIN",E$2),"")</f>
        <v/>
      </c>
      <c r="F19" s="9">
        <f>IFERROR(BDP($A19&amp;" ISIN",F$2),"")</f>
        <v/>
      </c>
      <c r="G19" s="23">
        <f>IFERROR(IF(E19="","",(E19-TODAY())/365.25),"")</f>
        <v/>
      </c>
      <c r="H19" s="24">
        <f>IFERROR(BDP($A19&amp;" ISIN",H$2)/1000000,"")</f>
        <v/>
      </c>
      <c r="I19" s="10">
        <f>IFERROR(BDP($A19&amp;" ISIN",I$2),"")</f>
        <v/>
      </c>
      <c r="J19" s="10">
        <f>IFERROR(BDP($A19&amp;" ISIN",J$2),"")</f>
        <v/>
      </c>
      <c r="K19" s="10">
        <f>IFERROR(BDP($A19&amp;" ISIN",K$2),"")</f>
        <v/>
      </c>
      <c r="L19" s="10">
        <f>IFERROR(BDP($A19&amp;" ISIN",L$2),"")</f>
        <v/>
      </c>
      <c r="M19" s="10">
        <f>IFERROR(BDP($A19&amp;" ISIN",M$2),"")</f>
        <v/>
      </c>
      <c r="N19" s="10">
        <f>IFERROR(BDP($A19&amp;" ISIN",N$2),"")</f>
        <v/>
      </c>
      <c r="O19" s="10">
        <f>IFERROR(BDP($A19&amp;" ISIN",O$2),"")</f>
        <v/>
      </c>
      <c r="P19" s="16">
        <f>IFERROR(BDP($A19&amp;" ISIN",P$2),"")</f>
        <v/>
      </c>
      <c r="Q19" s="10">
        <f>IFERROR(BDP($A19&amp;" ISIN",Q$2),"")</f>
        <v/>
      </c>
      <c r="R19" s="8" t="n"/>
    </row>
    <row r="20">
      <c r="A20" s="8" t="n"/>
      <c r="B20" s="10">
        <f>IFERROR(BDP($A20&amp;" ISIN",B$2),"")</f>
        <v/>
      </c>
      <c r="C20" s="10">
        <f>IFERROR(BDP($A20&amp;" ISIN",C$2),"")</f>
        <v/>
      </c>
      <c r="D20" s="16">
        <f>IFERROR(BDP($A20&amp;" ISIN",D$2),"")</f>
        <v/>
      </c>
      <c r="E20" s="9">
        <f>IFERROR(BDP($A20&amp;" ISIN",E$2),"")</f>
        <v/>
      </c>
      <c r="F20" s="9">
        <f>IFERROR(BDP($A20&amp;" ISIN",F$2),"")</f>
        <v/>
      </c>
      <c r="G20" s="23">
        <f>IFERROR(IF(E20="","",(E20-TODAY())/365.25),"")</f>
        <v/>
      </c>
      <c r="H20" s="24">
        <f>IFERROR(BDP($A20&amp;" ISIN",H$2)/1000000,"")</f>
        <v/>
      </c>
      <c r="I20" s="10">
        <f>IFERROR(BDP($A20&amp;" ISIN",I$2),"")</f>
        <v/>
      </c>
      <c r="J20" s="10">
        <f>IFERROR(BDP($A20&amp;" ISIN",J$2),"")</f>
        <v/>
      </c>
      <c r="K20" s="10">
        <f>IFERROR(BDP($A20&amp;" ISIN",K$2),"")</f>
        <v/>
      </c>
      <c r="L20" s="10">
        <f>IFERROR(BDP($A20&amp;" ISIN",L$2),"")</f>
        <v/>
      </c>
      <c r="M20" s="10">
        <f>IFERROR(BDP($A20&amp;" ISIN",M$2),"")</f>
        <v/>
      </c>
      <c r="N20" s="10">
        <f>IFERROR(BDP($A20&amp;" ISIN",N$2),"")</f>
        <v/>
      </c>
      <c r="O20" s="10">
        <f>IFERROR(BDP($A20&amp;" ISIN",O$2),"")</f>
        <v/>
      </c>
      <c r="P20" s="16">
        <f>IFERROR(BDP($A20&amp;" ISIN",P$2),"")</f>
        <v/>
      </c>
      <c r="Q20" s="10">
        <f>IFERROR(BDP($A20&amp;" ISIN",Q$2),"")</f>
        <v/>
      </c>
      <c r="R20" s="8" t="n"/>
    </row>
    <row r="21">
      <c r="A21" s="8" t="n"/>
      <c r="B21" s="10">
        <f>IFERROR(BDP($A21&amp;" ISIN",B$2),"")</f>
        <v/>
      </c>
      <c r="C21" s="10">
        <f>IFERROR(BDP($A21&amp;" ISIN",C$2),"")</f>
        <v/>
      </c>
      <c r="D21" s="16">
        <f>IFERROR(BDP($A21&amp;" ISIN",D$2),"")</f>
        <v/>
      </c>
      <c r="E21" s="9">
        <f>IFERROR(BDP($A21&amp;" ISIN",E$2),"")</f>
        <v/>
      </c>
      <c r="F21" s="9">
        <f>IFERROR(BDP($A21&amp;" ISIN",F$2),"")</f>
        <v/>
      </c>
      <c r="G21" s="23">
        <f>IFERROR(IF(E21="","",(E21-TODAY())/365.25),"")</f>
        <v/>
      </c>
      <c r="H21" s="24">
        <f>IFERROR(BDP($A21&amp;" ISIN",H$2)/1000000,"")</f>
        <v/>
      </c>
      <c r="I21" s="10">
        <f>IFERROR(BDP($A21&amp;" ISIN",I$2),"")</f>
        <v/>
      </c>
      <c r="J21" s="10">
        <f>IFERROR(BDP($A21&amp;" ISIN",J$2),"")</f>
        <v/>
      </c>
      <c r="K21" s="10">
        <f>IFERROR(BDP($A21&amp;" ISIN",K$2),"")</f>
        <v/>
      </c>
      <c r="L21" s="10">
        <f>IFERROR(BDP($A21&amp;" ISIN",L$2),"")</f>
        <v/>
      </c>
      <c r="M21" s="10">
        <f>IFERROR(BDP($A21&amp;" ISIN",M$2),"")</f>
        <v/>
      </c>
      <c r="N21" s="10">
        <f>IFERROR(BDP($A21&amp;" ISIN",N$2),"")</f>
        <v/>
      </c>
      <c r="O21" s="10">
        <f>IFERROR(BDP($A21&amp;" ISIN",O$2),"")</f>
        <v/>
      </c>
      <c r="P21" s="16">
        <f>IFERROR(BDP($A21&amp;" ISIN",P$2),"")</f>
        <v/>
      </c>
      <c r="Q21" s="10">
        <f>IFERROR(BDP($A21&amp;" ISIN",Q$2),"")</f>
        <v/>
      </c>
      <c r="R21" s="8" t="n"/>
    </row>
    <row r="22">
      <c r="A22" s="8" t="n"/>
      <c r="B22" s="10">
        <f>IFERROR(BDP($A22&amp;" ISIN",B$2),"")</f>
        <v/>
      </c>
      <c r="C22" s="10">
        <f>IFERROR(BDP($A22&amp;" ISIN",C$2),"")</f>
        <v/>
      </c>
      <c r="D22" s="16">
        <f>IFERROR(BDP($A22&amp;" ISIN",D$2),"")</f>
        <v/>
      </c>
      <c r="E22" s="9">
        <f>IFERROR(BDP($A22&amp;" ISIN",E$2),"")</f>
        <v/>
      </c>
      <c r="F22" s="9">
        <f>IFERROR(BDP($A22&amp;" ISIN",F$2),"")</f>
        <v/>
      </c>
      <c r="G22" s="23">
        <f>IFERROR(IF(E22="","",(E22-TODAY())/365.25),"")</f>
        <v/>
      </c>
      <c r="H22" s="24">
        <f>IFERROR(BDP($A22&amp;" ISIN",H$2)/1000000,"")</f>
        <v/>
      </c>
      <c r="I22" s="10">
        <f>IFERROR(BDP($A22&amp;" ISIN",I$2),"")</f>
        <v/>
      </c>
      <c r="J22" s="10">
        <f>IFERROR(BDP($A22&amp;" ISIN",J$2),"")</f>
        <v/>
      </c>
      <c r="K22" s="10">
        <f>IFERROR(BDP($A22&amp;" ISIN",K$2),"")</f>
        <v/>
      </c>
      <c r="L22" s="10">
        <f>IFERROR(BDP($A22&amp;" ISIN",L$2),"")</f>
        <v/>
      </c>
      <c r="M22" s="10">
        <f>IFERROR(BDP($A22&amp;" ISIN",M$2),"")</f>
        <v/>
      </c>
      <c r="N22" s="10">
        <f>IFERROR(BDP($A22&amp;" ISIN",N$2),"")</f>
        <v/>
      </c>
      <c r="O22" s="10">
        <f>IFERROR(BDP($A22&amp;" ISIN",O$2),"")</f>
        <v/>
      </c>
      <c r="P22" s="16">
        <f>IFERROR(BDP($A22&amp;" ISIN",P$2),"")</f>
        <v/>
      </c>
      <c r="Q22" s="10">
        <f>IFERROR(BDP($A22&amp;" ISIN",Q$2),"")</f>
        <v/>
      </c>
      <c r="R22" s="8" t="n"/>
    </row>
    <row r="23">
      <c r="A23" s="8" t="n"/>
      <c r="B23" s="10">
        <f>IFERROR(BDP($A23&amp;" ISIN",B$2),"")</f>
        <v/>
      </c>
      <c r="C23" s="10">
        <f>IFERROR(BDP($A23&amp;" ISIN",C$2),"")</f>
        <v/>
      </c>
      <c r="D23" s="16">
        <f>IFERROR(BDP($A23&amp;" ISIN",D$2),"")</f>
        <v/>
      </c>
      <c r="E23" s="9">
        <f>IFERROR(BDP($A23&amp;" ISIN",E$2),"")</f>
        <v/>
      </c>
      <c r="F23" s="9">
        <f>IFERROR(BDP($A23&amp;" ISIN",F$2),"")</f>
        <v/>
      </c>
      <c r="G23" s="23">
        <f>IFERROR(IF(E23="","",(E23-TODAY())/365.25),"")</f>
        <v/>
      </c>
      <c r="H23" s="24">
        <f>IFERROR(BDP($A23&amp;" ISIN",H$2)/1000000,"")</f>
        <v/>
      </c>
      <c r="I23" s="10">
        <f>IFERROR(BDP($A23&amp;" ISIN",I$2),"")</f>
        <v/>
      </c>
      <c r="J23" s="10">
        <f>IFERROR(BDP($A23&amp;" ISIN",J$2),"")</f>
        <v/>
      </c>
      <c r="K23" s="10">
        <f>IFERROR(BDP($A23&amp;" ISIN",K$2),"")</f>
        <v/>
      </c>
      <c r="L23" s="10">
        <f>IFERROR(BDP($A23&amp;" ISIN",L$2),"")</f>
        <v/>
      </c>
      <c r="M23" s="10">
        <f>IFERROR(BDP($A23&amp;" ISIN",M$2),"")</f>
        <v/>
      </c>
      <c r="N23" s="10">
        <f>IFERROR(BDP($A23&amp;" ISIN",N$2),"")</f>
        <v/>
      </c>
      <c r="O23" s="10">
        <f>IFERROR(BDP($A23&amp;" ISIN",O$2),"")</f>
        <v/>
      </c>
      <c r="P23" s="16">
        <f>IFERROR(BDP($A23&amp;" ISIN",P$2),"")</f>
        <v/>
      </c>
      <c r="Q23" s="10">
        <f>IFERROR(BDP($A23&amp;" ISIN",Q$2),"")</f>
        <v/>
      </c>
      <c r="R23" s="8" t="n"/>
    </row>
    <row r="24">
      <c r="A24" s="8" t="n"/>
      <c r="B24" s="10">
        <f>IFERROR(BDP($A24&amp;" ISIN",B$2),"")</f>
        <v/>
      </c>
      <c r="C24" s="10">
        <f>IFERROR(BDP($A24&amp;" ISIN",C$2),"")</f>
        <v/>
      </c>
      <c r="D24" s="16">
        <f>IFERROR(BDP($A24&amp;" ISIN",D$2),"")</f>
        <v/>
      </c>
      <c r="E24" s="9">
        <f>IFERROR(BDP($A24&amp;" ISIN",E$2),"")</f>
        <v/>
      </c>
      <c r="F24" s="9">
        <f>IFERROR(BDP($A24&amp;" ISIN",F$2),"")</f>
        <v/>
      </c>
      <c r="G24" s="23">
        <f>IFERROR(IF(E24="","",(E24-TODAY())/365.25),"")</f>
        <v/>
      </c>
      <c r="H24" s="24">
        <f>IFERROR(BDP($A24&amp;" ISIN",H$2)/1000000,"")</f>
        <v/>
      </c>
      <c r="I24" s="10">
        <f>IFERROR(BDP($A24&amp;" ISIN",I$2),"")</f>
        <v/>
      </c>
      <c r="J24" s="10">
        <f>IFERROR(BDP($A24&amp;" ISIN",J$2),"")</f>
        <v/>
      </c>
      <c r="K24" s="10">
        <f>IFERROR(BDP($A24&amp;" ISIN",K$2),"")</f>
        <v/>
      </c>
      <c r="L24" s="10">
        <f>IFERROR(BDP($A24&amp;" ISIN",L$2),"")</f>
        <v/>
      </c>
      <c r="M24" s="10">
        <f>IFERROR(BDP($A24&amp;" ISIN",M$2),"")</f>
        <v/>
      </c>
      <c r="N24" s="10">
        <f>IFERROR(BDP($A24&amp;" ISIN",N$2),"")</f>
        <v/>
      </c>
      <c r="O24" s="10">
        <f>IFERROR(BDP($A24&amp;" ISIN",O$2),"")</f>
        <v/>
      </c>
      <c r="P24" s="16">
        <f>IFERROR(BDP($A24&amp;" ISIN",P$2),"")</f>
        <v/>
      </c>
      <c r="Q24" s="10">
        <f>IFERROR(BDP($A24&amp;" ISIN",Q$2),"")</f>
        <v/>
      </c>
      <c r="R24" s="8" t="n"/>
    </row>
    <row r="25">
      <c r="A25" s="8" t="n"/>
      <c r="B25" s="10">
        <f>IFERROR(BDP($A25&amp;" ISIN",B$2),"")</f>
        <v/>
      </c>
      <c r="C25" s="10">
        <f>IFERROR(BDP($A25&amp;" ISIN",C$2),"")</f>
        <v/>
      </c>
      <c r="D25" s="16">
        <f>IFERROR(BDP($A25&amp;" ISIN",D$2),"")</f>
        <v/>
      </c>
      <c r="E25" s="9">
        <f>IFERROR(BDP($A25&amp;" ISIN",E$2),"")</f>
        <v/>
      </c>
      <c r="F25" s="9">
        <f>IFERROR(BDP($A25&amp;" ISIN",F$2),"")</f>
        <v/>
      </c>
      <c r="G25" s="23">
        <f>IFERROR(IF(E25="","",(E25-TODAY())/365.25),"")</f>
        <v/>
      </c>
      <c r="H25" s="24">
        <f>IFERROR(BDP($A25&amp;" ISIN",H$2)/1000000,"")</f>
        <v/>
      </c>
      <c r="I25" s="10">
        <f>IFERROR(BDP($A25&amp;" ISIN",I$2),"")</f>
        <v/>
      </c>
      <c r="J25" s="10">
        <f>IFERROR(BDP($A25&amp;" ISIN",J$2),"")</f>
        <v/>
      </c>
      <c r="K25" s="10">
        <f>IFERROR(BDP($A25&amp;" ISIN",K$2),"")</f>
        <v/>
      </c>
      <c r="L25" s="10">
        <f>IFERROR(BDP($A25&amp;" ISIN",L$2),"")</f>
        <v/>
      </c>
      <c r="M25" s="10">
        <f>IFERROR(BDP($A25&amp;" ISIN",M$2),"")</f>
        <v/>
      </c>
      <c r="N25" s="10">
        <f>IFERROR(BDP($A25&amp;" ISIN",N$2),"")</f>
        <v/>
      </c>
      <c r="O25" s="10">
        <f>IFERROR(BDP($A25&amp;" ISIN",O$2),"")</f>
        <v/>
      </c>
      <c r="P25" s="16">
        <f>IFERROR(BDP($A25&amp;" ISIN",P$2),"")</f>
        <v/>
      </c>
      <c r="Q25" s="10">
        <f>IFERROR(BDP($A25&amp;" ISIN",Q$2),"")</f>
        <v/>
      </c>
      <c r="R25" s="8" t="n"/>
    </row>
    <row r="26">
      <c r="A26" s="8" t="n"/>
      <c r="B26" s="10">
        <f>IFERROR(BDP($A26&amp;" ISIN",B$2),"")</f>
        <v/>
      </c>
      <c r="C26" s="10">
        <f>IFERROR(BDP($A26&amp;" ISIN",C$2),"")</f>
        <v/>
      </c>
      <c r="D26" s="16">
        <f>IFERROR(BDP($A26&amp;" ISIN",D$2),"")</f>
        <v/>
      </c>
      <c r="E26" s="9">
        <f>IFERROR(BDP($A26&amp;" ISIN",E$2),"")</f>
        <v/>
      </c>
      <c r="F26" s="9">
        <f>IFERROR(BDP($A26&amp;" ISIN",F$2),"")</f>
        <v/>
      </c>
      <c r="G26" s="23">
        <f>IFERROR(IF(E26="","",(E26-TODAY())/365.25),"")</f>
        <v/>
      </c>
      <c r="H26" s="24">
        <f>IFERROR(BDP($A26&amp;" ISIN",H$2)/1000000,"")</f>
        <v/>
      </c>
      <c r="I26" s="10">
        <f>IFERROR(BDP($A26&amp;" ISIN",I$2),"")</f>
        <v/>
      </c>
      <c r="J26" s="10">
        <f>IFERROR(BDP($A26&amp;" ISIN",J$2),"")</f>
        <v/>
      </c>
      <c r="K26" s="10">
        <f>IFERROR(BDP($A26&amp;" ISIN",K$2),"")</f>
        <v/>
      </c>
      <c r="L26" s="10">
        <f>IFERROR(BDP($A26&amp;" ISIN",L$2),"")</f>
        <v/>
      </c>
      <c r="M26" s="10">
        <f>IFERROR(BDP($A26&amp;" ISIN",M$2),"")</f>
        <v/>
      </c>
      <c r="N26" s="10">
        <f>IFERROR(BDP($A26&amp;" ISIN",N$2),"")</f>
        <v/>
      </c>
      <c r="O26" s="10">
        <f>IFERROR(BDP($A26&amp;" ISIN",O$2),"")</f>
        <v/>
      </c>
      <c r="P26" s="16">
        <f>IFERROR(BDP($A26&amp;" ISIN",P$2),"")</f>
        <v/>
      </c>
      <c r="Q26" s="10">
        <f>IFERROR(BDP($A26&amp;" ISIN",Q$2),"")</f>
        <v/>
      </c>
      <c r="R26" s="8" t="n"/>
    </row>
    <row r="27">
      <c r="A27" s="8" t="n"/>
      <c r="B27" s="10">
        <f>IFERROR(BDP($A27&amp;" ISIN",B$2),"")</f>
        <v/>
      </c>
      <c r="C27" s="10">
        <f>IFERROR(BDP($A27&amp;" ISIN",C$2),"")</f>
        <v/>
      </c>
      <c r="D27" s="16">
        <f>IFERROR(BDP($A27&amp;" ISIN",D$2),"")</f>
        <v/>
      </c>
      <c r="E27" s="9">
        <f>IFERROR(BDP($A27&amp;" ISIN",E$2),"")</f>
        <v/>
      </c>
      <c r="F27" s="9">
        <f>IFERROR(BDP($A27&amp;" ISIN",F$2),"")</f>
        <v/>
      </c>
      <c r="G27" s="23">
        <f>IFERROR(IF(E27="","",(E27-TODAY())/365.25),"")</f>
        <v/>
      </c>
      <c r="H27" s="24">
        <f>IFERROR(BDP($A27&amp;" ISIN",H$2)/1000000,"")</f>
        <v/>
      </c>
      <c r="I27" s="10">
        <f>IFERROR(BDP($A27&amp;" ISIN",I$2),"")</f>
        <v/>
      </c>
      <c r="J27" s="10">
        <f>IFERROR(BDP($A27&amp;" ISIN",J$2),"")</f>
        <v/>
      </c>
      <c r="K27" s="10">
        <f>IFERROR(BDP($A27&amp;" ISIN",K$2),"")</f>
        <v/>
      </c>
      <c r="L27" s="10">
        <f>IFERROR(BDP($A27&amp;" ISIN",L$2),"")</f>
        <v/>
      </c>
      <c r="M27" s="10">
        <f>IFERROR(BDP($A27&amp;" ISIN",M$2),"")</f>
        <v/>
      </c>
      <c r="N27" s="10">
        <f>IFERROR(BDP($A27&amp;" ISIN",N$2),"")</f>
        <v/>
      </c>
      <c r="O27" s="10">
        <f>IFERROR(BDP($A27&amp;" ISIN",O$2),"")</f>
        <v/>
      </c>
      <c r="P27" s="16">
        <f>IFERROR(BDP($A27&amp;" ISIN",P$2),"")</f>
        <v/>
      </c>
      <c r="Q27" s="10">
        <f>IFERROR(BDP($A27&amp;" ISIN",Q$2),"")</f>
        <v/>
      </c>
      <c r="R27" s="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1" customWidth="1" min="9" max="9"/>
    <col width="11" customWidth="1" min="10" max="10"/>
    <col width="11" customWidth="1" min="11" max="11"/>
    <col width="12" customWidth="1" min="12" max="12"/>
    <col width="12" customWidth="1" min="13" max="13"/>
    <col width="12" customWidth="1" min="14" max="14"/>
    <col width="10" customWidth="1" min="15" max="15"/>
    <col width="10" customWidth="1" min="16" max="16"/>
    <col width="12" customWidth="1" min="17" max="17"/>
    <col width="13" customWidth="1" min="18" max="18"/>
    <col width="11" customWidth="1" min="19" max="19"/>
    <col width="12" customWidth="1" min="20" max="20"/>
    <col width="9" customWidth="1" min="21" max="21"/>
    <col width="9" customWidth="1" min="22" max="22"/>
    <col width="9" customWidth="1" min="23" max="23"/>
  </cols>
  <sheetData>
    <row r="1" ht="30" customHeight="1">
      <c r="A1" s="21" t="inlineStr">
        <is>
          <t>ISIN</t>
        </is>
      </c>
      <c r="B1" s="21" t="inlineStr">
        <is>
          <t>Description</t>
        </is>
      </c>
      <c r="C1" s="21" t="inlineStr">
        <is>
          <t>Yrs to Maty</t>
        </is>
      </c>
      <c r="D1" s="21" t="inlineStr">
        <is>
          <t>Px Bid</t>
        </is>
      </c>
      <c r="E1" s="21" t="inlineStr">
        <is>
          <t>Px Ask</t>
        </is>
      </c>
      <c r="F1" s="21" t="inlineStr">
        <is>
          <t>Px Mid</t>
        </is>
      </c>
      <c r="G1" s="21" t="inlineStr">
        <is>
          <t>Px Last</t>
        </is>
      </c>
      <c r="H1" s="21" t="inlineStr">
        <is>
          <t>Bid-Ask (pts)</t>
        </is>
      </c>
      <c r="I1" s="21" t="inlineStr">
        <is>
          <t>YTM Bid (%)</t>
        </is>
      </c>
      <c r="J1" s="21" t="inlineStr">
        <is>
          <t>YTM Ask (%)</t>
        </is>
      </c>
      <c r="K1" s="21" t="inlineStr">
        <is>
          <t>YTM Mid (%)</t>
        </is>
      </c>
      <c r="L1" s="21" t="inlineStr">
        <is>
          <t>Z-Spread (bp)</t>
        </is>
      </c>
      <c r="M1" s="21" t="inlineStr">
        <is>
          <t>G-Spread (bp)</t>
        </is>
      </c>
      <c r="N1" s="21" t="inlineStr">
        <is>
          <t>I-Spread (bp)</t>
        </is>
      </c>
      <c r="O1" s="21" t="inlineStr">
        <is>
          <t>OAS (bp)</t>
        </is>
      </c>
      <c r="P1" s="21" t="inlineStr">
        <is>
          <t>ASW (bp)</t>
        </is>
      </c>
      <c r="Q1" s="21" t="inlineStr">
        <is>
          <t>Mod Duration</t>
        </is>
      </c>
      <c r="R1" s="21" t="inlineStr">
        <is>
          <t>Spread Duration</t>
        </is>
      </c>
      <c r="S1" s="21" t="inlineStr">
        <is>
          <t>Convexity</t>
        </is>
      </c>
      <c r="T1" s="21" t="inlineStr">
        <is>
          <t>DV01 ($/mm)</t>
        </is>
      </c>
      <c r="U1" s="21" t="inlineStr">
        <is>
          <t>1D %</t>
        </is>
      </c>
      <c r="V1" s="21" t="inlineStr">
        <is>
          <t>5D %</t>
        </is>
      </c>
      <c r="W1" s="21" t="inlineStr">
        <is>
          <t>1M %</t>
        </is>
      </c>
    </row>
    <row r="2" ht="18" customHeight="1">
      <c r="A2" s="5" t="inlineStr"/>
      <c r="B2" s="5" t="inlineStr"/>
      <c r="C2" s="5" t="inlineStr"/>
      <c r="D2" s="22" t="inlineStr">
        <is>
          <t>PX_BID</t>
        </is>
      </c>
      <c r="E2" s="22" t="inlineStr">
        <is>
          <t>PX_ASK</t>
        </is>
      </c>
      <c r="F2" s="22" t="inlineStr">
        <is>
          <t>PX_MID</t>
        </is>
      </c>
      <c r="G2" s="22" t="inlineStr">
        <is>
          <t>PX_LAST</t>
        </is>
      </c>
      <c r="H2" s="5" t="inlineStr"/>
      <c r="I2" s="22" t="inlineStr">
        <is>
          <t>YLD_YTM_BID</t>
        </is>
      </c>
      <c r="J2" s="22" t="inlineStr">
        <is>
          <t>YLD_YTM_ASK</t>
        </is>
      </c>
      <c r="K2" s="22" t="inlineStr">
        <is>
          <t>YLD_YTM_MID</t>
        </is>
      </c>
      <c r="L2" s="22" t="inlineStr">
        <is>
          <t>YAS_ZSPREAD</t>
        </is>
      </c>
      <c r="M2" s="22" t="inlineStr">
        <is>
          <t>YAS_BOND_SPRD</t>
        </is>
      </c>
      <c r="N2" s="22" t="inlineStr">
        <is>
          <t>YAS_ISPREAD</t>
        </is>
      </c>
      <c r="O2" s="22" t="inlineStr">
        <is>
          <t>YAS_OAS</t>
        </is>
      </c>
      <c r="P2" s="22" t="inlineStr">
        <is>
          <t>YAS_ASW_SPREAD</t>
        </is>
      </c>
      <c r="Q2" s="22" t="inlineStr">
        <is>
          <t>DUR_ADJ_MID</t>
        </is>
      </c>
      <c r="R2" s="22" t="inlineStr">
        <is>
          <t>DUR_SPRD_MID</t>
        </is>
      </c>
      <c r="S2" s="22" t="inlineStr">
        <is>
          <t>CONVEXITY_MID</t>
        </is>
      </c>
      <c r="T2" s="22" t="inlineStr">
        <is>
          <t>RISK_MID</t>
        </is>
      </c>
      <c r="U2" s="22" t="inlineStr">
        <is>
          <t>PX_CHG_PCT_1D</t>
        </is>
      </c>
      <c r="V2" s="22" t="inlineStr">
        <is>
          <t>PX_CHG_PCT_5D</t>
        </is>
      </c>
      <c r="W2" s="22" t="inlineStr">
        <is>
          <t>PX_CHG_PCT_1MO</t>
        </is>
      </c>
    </row>
    <row r="3">
      <c r="A3" s="25">
        <f>IFERROR(IF(Bonds_Static!A3="","",Bonds_Static!A3),"")</f>
        <v/>
      </c>
      <c r="B3" s="25">
        <f>IFERROR(IF(Bonds_Static!C3="","",Bonds_Static!C3),"")</f>
        <v/>
      </c>
      <c r="C3" s="26">
        <f>IFERROR(Bonds_Static!G3,"")</f>
        <v/>
      </c>
      <c r="D3" s="16">
        <f>IFERROR(BDP($A3&amp;" ISIN",D$2),"")</f>
        <v/>
      </c>
      <c r="E3" s="16">
        <f>IFERROR(BDP($A3&amp;" ISIN",E$2),"")</f>
        <v/>
      </c>
      <c r="F3" s="16">
        <f>IFERROR(BDP($A3&amp;" ISIN",F$2),"")</f>
        <v/>
      </c>
      <c r="G3" s="16">
        <f>IFERROR(BDP($A3&amp;" ISIN",G$2),"")</f>
        <v/>
      </c>
      <c r="H3" s="27">
        <f>IFERROR(IF(OR(E3="",D3=""),"",E3-D3),"")</f>
        <v/>
      </c>
      <c r="I3" s="16">
        <f>IFERROR(BDP($A3&amp;" ISIN",I$2),"")</f>
        <v/>
      </c>
      <c r="J3" s="16">
        <f>IFERROR(BDP($A3&amp;" ISIN",J$2),"")</f>
        <v/>
      </c>
      <c r="K3" s="16">
        <f>IFERROR(BDP($A3&amp;" ISIN",K$2),"")</f>
        <v/>
      </c>
      <c r="L3" s="16">
        <f>IFERROR(BDP($A3&amp;" ISIN",L$2),"")</f>
        <v/>
      </c>
      <c r="M3" s="16">
        <f>IFERROR(BDP($A3&amp;" ISIN",M$2),"")</f>
        <v/>
      </c>
      <c r="N3" s="16">
        <f>IFERROR(BDP($A3&amp;" ISIN",N$2),"")</f>
        <v/>
      </c>
      <c r="O3" s="16">
        <f>IFERROR(BDP($A3&amp;" ISIN",O$2),"")</f>
        <v/>
      </c>
      <c r="P3" s="16">
        <f>IFERROR(BDP($A3&amp;" ISIN",P$2),"")</f>
        <v/>
      </c>
      <c r="Q3" s="16">
        <f>IFERROR(BDP($A3&amp;" ISIN",Q$2),"")</f>
        <v/>
      </c>
      <c r="R3" s="16">
        <f>IFERROR(BDP($A3&amp;" ISIN",R$2),"")</f>
        <v/>
      </c>
      <c r="S3" s="16">
        <f>IFERROR(BDP($A3&amp;" ISIN",S$2),"")</f>
        <v/>
      </c>
      <c r="T3" s="16">
        <f>IFERROR(BDP($A3&amp;" ISIN",T$2),"")</f>
        <v/>
      </c>
      <c r="U3" s="16">
        <f>IFERROR(BDP($A3&amp;" ISIN",U$2),"")</f>
        <v/>
      </c>
      <c r="V3" s="16">
        <f>IFERROR(BDP($A3&amp;" ISIN",V$2),"")</f>
        <v/>
      </c>
      <c r="W3" s="16">
        <f>IFERROR(BDP($A3&amp;" ISIN",W$2),"")</f>
        <v/>
      </c>
    </row>
    <row r="4">
      <c r="A4" s="25">
        <f>IFERROR(IF(Bonds_Static!A4="","",Bonds_Static!A4),"")</f>
        <v/>
      </c>
      <c r="B4" s="25">
        <f>IFERROR(IF(Bonds_Static!C4="","",Bonds_Static!C4),"")</f>
        <v/>
      </c>
      <c r="C4" s="26">
        <f>IFERROR(Bonds_Static!G4,"")</f>
        <v/>
      </c>
      <c r="D4" s="16">
        <f>IFERROR(BDP($A4&amp;" ISIN",D$2),"")</f>
        <v/>
      </c>
      <c r="E4" s="16">
        <f>IFERROR(BDP($A4&amp;" ISIN",E$2),"")</f>
        <v/>
      </c>
      <c r="F4" s="16">
        <f>IFERROR(BDP($A4&amp;" ISIN",F$2),"")</f>
        <v/>
      </c>
      <c r="G4" s="16">
        <f>IFERROR(BDP($A4&amp;" ISIN",G$2),"")</f>
        <v/>
      </c>
      <c r="H4" s="27">
        <f>IFERROR(IF(OR(E4="",D4=""),"",E4-D4),"")</f>
        <v/>
      </c>
      <c r="I4" s="16">
        <f>IFERROR(BDP($A4&amp;" ISIN",I$2),"")</f>
        <v/>
      </c>
      <c r="J4" s="16">
        <f>IFERROR(BDP($A4&amp;" ISIN",J$2),"")</f>
        <v/>
      </c>
      <c r="K4" s="16">
        <f>IFERROR(BDP($A4&amp;" ISIN",K$2),"")</f>
        <v/>
      </c>
      <c r="L4" s="16">
        <f>IFERROR(BDP($A4&amp;" ISIN",L$2),"")</f>
        <v/>
      </c>
      <c r="M4" s="16">
        <f>IFERROR(BDP($A4&amp;" ISIN",M$2),"")</f>
        <v/>
      </c>
      <c r="N4" s="16">
        <f>IFERROR(BDP($A4&amp;" ISIN",N$2),"")</f>
        <v/>
      </c>
      <c r="O4" s="16">
        <f>IFERROR(BDP($A4&amp;" ISIN",O$2),"")</f>
        <v/>
      </c>
      <c r="P4" s="16">
        <f>IFERROR(BDP($A4&amp;" ISIN",P$2),"")</f>
        <v/>
      </c>
      <c r="Q4" s="16">
        <f>IFERROR(BDP($A4&amp;" ISIN",Q$2),"")</f>
        <v/>
      </c>
      <c r="R4" s="16">
        <f>IFERROR(BDP($A4&amp;" ISIN",R$2),"")</f>
        <v/>
      </c>
      <c r="S4" s="16">
        <f>IFERROR(BDP($A4&amp;" ISIN",S$2),"")</f>
        <v/>
      </c>
      <c r="T4" s="16">
        <f>IFERROR(BDP($A4&amp;" ISIN",T$2),"")</f>
        <v/>
      </c>
      <c r="U4" s="16">
        <f>IFERROR(BDP($A4&amp;" ISIN",U$2),"")</f>
        <v/>
      </c>
      <c r="V4" s="16">
        <f>IFERROR(BDP($A4&amp;" ISIN",V$2),"")</f>
        <v/>
      </c>
      <c r="W4" s="16">
        <f>IFERROR(BDP($A4&amp;" ISIN",W$2),"")</f>
        <v/>
      </c>
    </row>
    <row r="5">
      <c r="A5" s="25">
        <f>IFERROR(IF(Bonds_Static!A5="","",Bonds_Static!A5),"")</f>
        <v/>
      </c>
      <c r="B5" s="25">
        <f>IFERROR(IF(Bonds_Static!C5="","",Bonds_Static!C5),"")</f>
        <v/>
      </c>
      <c r="C5" s="26">
        <f>IFERROR(Bonds_Static!G5,"")</f>
        <v/>
      </c>
      <c r="D5" s="16">
        <f>IFERROR(BDP($A5&amp;" ISIN",D$2),"")</f>
        <v/>
      </c>
      <c r="E5" s="16">
        <f>IFERROR(BDP($A5&amp;" ISIN",E$2),"")</f>
        <v/>
      </c>
      <c r="F5" s="16">
        <f>IFERROR(BDP($A5&amp;" ISIN",F$2),"")</f>
        <v/>
      </c>
      <c r="G5" s="16">
        <f>IFERROR(BDP($A5&amp;" ISIN",G$2),"")</f>
        <v/>
      </c>
      <c r="H5" s="27">
        <f>IFERROR(IF(OR(E5="",D5=""),"",E5-D5),"")</f>
        <v/>
      </c>
      <c r="I5" s="16">
        <f>IFERROR(BDP($A5&amp;" ISIN",I$2),"")</f>
        <v/>
      </c>
      <c r="J5" s="16">
        <f>IFERROR(BDP($A5&amp;" ISIN",J$2),"")</f>
        <v/>
      </c>
      <c r="K5" s="16">
        <f>IFERROR(BDP($A5&amp;" ISIN",K$2),"")</f>
        <v/>
      </c>
      <c r="L5" s="16">
        <f>IFERROR(BDP($A5&amp;" ISIN",L$2),"")</f>
        <v/>
      </c>
      <c r="M5" s="16">
        <f>IFERROR(BDP($A5&amp;" ISIN",M$2),"")</f>
        <v/>
      </c>
      <c r="N5" s="16">
        <f>IFERROR(BDP($A5&amp;" ISIN",N$2),"")</f>
        <v/>
      </c>
      <c r="O5" s="16">
        <f>IFERROR(BDP($A5&amp;" ISIN",O$2),"")</f>
        <v/>
      </c>
      <c r="P5" s="16">
        <f>IFERROR(BDP($A5&amp;" ISIN",P$2),"")</f>
        <v/>
      </c>
      <c r="Q5" s="16">
        <f>IFERROR(BDP($A5&amp;" ISIN",Q$2),"")</f>
        <v/>
      </c>
      <c r="R5" s="16">
        <f>IFERROR(BDP($A5&amp;" ISIN",R$2),"")</f>
        <v/>
      </c>
      <c r="S5" s="16">
        <f>IFERROR(BDP($A5&amp;" ISIN",S$2),"")</f>
        <v/>
      </c>
      <c r="T5" s="16">
        <f>IFERROR(BDP($A5&amp;" ISIN",T$2),"")</f>
        <v/>
      </c>
      <c r="U5" s="16">
        <f>IFERROR(BDP($A5&amp;" ISIN",U$2),"")</f>
        <v/>
      </c>
      <c r="V5" s="16">
        <f>IFERROR(BDP($A5&amp;" ISIN",V$2),"")</f>
        <v/>
      </c>
      <c r="W5" s="16">
        <f>IFERROR(BDP($A5&amp;" ISIN",W$2),"")</f>
        <v/>
      </c>
    </row>
    <row r="6">
      <c r="A6" s="25">
        <f>IFERROR(IF(Bonds_Static!A6="","",Bonds_Static!A6),"")</f>
        <v/>
      </c>
      <c r="B6" s="25">
        <f>IFERROR(IF(Bonds_Static!C6="","",Bonds_Static!C6),"")</f>
        <v/>
      </c>
      <c r="C6" s="26">
        <f>IFERROR(Bonds_Static!G6,"")</f>
        <v/>
      </c>
      <c r="D6" s="16">
        <f>IFERROR(BDP($A6&amp;" ISIN",D$2),"")</f>
        <v/>
      </c>
      <c r="E6" s="16">
        <f>IFERROR(BDP($A6&amp;" ISIN",E$2),"")</f>
        <v/>
      </c>
      <c r="F6" s="16">
        <f>IFERROR(BDP($A6&amp;" ISIN",F$2),"")</f>
        <v/>
      </c>
      <c r="G6" s="16">
        <f>IFERROR(BDP($A6&amp;" ISIN",G$2),"")</f>
        <v/>
      </c>
      <c r="H6" s="27">
        <f>IFERROR(IF(OR(E6="",D6=""),"",E6-D6),"")</f>
        <v/>
      </c>
      <c r="I6" s="16">
        <f>IFERROR(BDP($A6&amp;" ISIN",I$2),"")</f>
        <v/>
      </c>
      <c r="J6" s="16">
        <f>IFERROR(BDP($A6&amp;" ISIN",J$2),"")</f>
        <v/>
      </c>
      <c r="K6" s="16">
        <f>IFERROR(BDP($A6&amp;" ISIN",K$2),"")</f>
        <v/>
      </c>
      <c r="L6" s="16">
        <f>IFERROR(BDP($A6&amp;" ISIN",L$2),"")</f>
        <v/>
      </c>
      <c r="M6" s="16">
        <f>IFERROR(BDP($A6&amp;" ISIN",M$2),"")</f>
        <v/>
      </c>
      <c r="N6" s="16">
        <f>IFERROR(BDP($A6&amp;" ISIN",N$2),"")</f>
        <v/>
      </c>
      <c r="O6" s="16">
        <f>IFERROR(BDP($A6&amp;" ISIN",O$2),"")</f>
        <v/>
      </c>
      <c r="P6" s="16">
        <f>IFERROR(BDP($A6&amp;" ISIN",P$2),"")</f>
        <v/>
      </c>
      <c r="Q6" s="16">
        <f>IFERROR(BDP($A6&amp;" ISIN",Q$2),"")</f>
        <v/>
      </c>
      <c r="R6" s="16">
        <f>IFERROR(BDP($A6&amp;" ISIN",R$2),"")</f>
        <v/>
      </c>
      <c r="S6" s="16">
        <f>IFERROR(BDP($A6&amp;" ISIN",S$2),"")</f>
        <v/>
      </c>
      <c r="T6" s="16">
        <f>IFERROR(BDP($A6&amp;" ISIN",T$2),"")</f>
        <v/>
      </c>
      <c r="U6" s="16">
        <f>IFERROR(BDP($A6&amp;" ISIN",U$2),"")</f>
        <v/>
      </c>
      <c r="V6" s="16">
        <f>IFERROR(BDP($A6&amp;" ISIN",V$2),"")</f>
        <v/>
      </c>
      <c r="W6" s="16">
        <f>IFERROR(BDP($A6&amp;" ISIN",W$2),"")</f>
        <v/>
      </c>
    </row>
    <row r="7">
      <c r="A7" s="25">
        <f>IFERROR(IF(Bonds_Static!A7="","",Bonds_Static!A7),"")</f>
        <v/>
      </c>
      <c r="B7" s="25">
        <f>IFERROR(IF(Bonds_Static!C7="","",Bonds_Static!C7),"")</f>
        <v/>
      </c>
      <c r="C7" s="26">
        <f>IFERROR(Bonds_Static!G7,"")</f>
        <v/>
      </c>
      <c r="D7" s="16">
        <f>IFERROR(BDP($A7&amp;" ISIN",D$2),"")</f>
        <v/>
      </c>
      <c r="E7" s="16">
        <f>IFERROR(BDP($A7&amp;" ISIN",E$2),"")</f>
        <v/>
      </c>
      <c r="F7" s="16">
        <f>IFERROR(BDP($A7&amp;" ISIN",F$2),"")</f>
        <v/>
      </c>
      <c r="G7" s="16">
        <f>IFERROR(BDP($A7&amp;" ISIN",G$2),"")</f>
        <v/>
      </c>
      <c r="H7" s="27">
        <f>IFERROR(IF(OR(E7="",D7=""),"",E7-D7),"")</f>
        <v/>
      </c>
      <c r="I7" s="16">
        <f>IFERROR(BDP($A7&amp;" ISIN",I$2),"")</f>
        <v/>
      </c>
      <c r="J7" s="16">
        <f>IFERROR(BDP($A7&amp;" ISIN",J$2),"")</f>
        <v/>
      </c>
      <c r="K7" s="16">
        <f>IFERROR(BDP($A7&amp;" ISIN",K$2),"")</f>
        <v/>
      </c>
      <c r="L7" s="16">
        <f>IFERROR(BDP($A7&amp;" ISIN",L$2),"")</f>
        <v/>
      </c>
      <c r="M7" s="16">
        <f>IFERROR(BDP($A7&amp;" ISIN",M$2),"")</f>
        <v/>
      </c>
      <c r="N7" s="16">
        <f>IFERROR(BDP($A7&amp;" ISIN",N$2),"")</f>
        <v/>
      </c>
      <c r="O7" s="16">
        <f>IFERROR(BDP($A7&amp;" ISIN",O$2),"")</f>
        <v/>
      </c>
      <c r="P7" s="16">
        <f>IFERROR(BDP($A7&amp;" ISIN",P$2),"")</f>
        <v/>
      </c>
      <c r="Q7" s="16">
        <f>IFERROR(BDP($A7&amp;" ISIN",Q$2),"")</f>
        <v/>
      </c>
      <c r="R7" s="16">
        <f>IFERROR(BDP($A7&amp;" ISIN",R$2),"")</f>
        <v/>
      </c>
      <c r="S7" s="16">
        <f>IFERROR(BDP($A7&amp;" ISIN",S$2),"")</f>
        <v/>
      </c>
      <c r="T7" s="16">
        <f>IFERROR(BDP($A7&amp;" ISIN",T$2),"")</f>
        <v/>
      </c>
      <c r="U7" s="16">
        <f>IFERROR(BDP($A7&amp;" ISIN",U$2),"")</f>
        <v/>
      </c>
      <c r="V7" s="16">
        <f>IFERROR(BDP($A7&amp;" ISIN",V$2),"")</f>
        <v/>
      </c>
      <c r="W7" s="16">
        <f>IFERROR(BDP($A7&amp;" ISIN",W$2),"")</f>
        <v/>
      </c>
    </row>
    <row r="8">
      <c r="A8" s="25">
        <f>IFERROR(IF(Bonds_Static!A8="","",Bonds_Static!A8),"")</f>
        <v/>
      </c>
      <c r="B8" s="25">
        <f>IFERROR(IF(Bonds_Static!C8="","",Bonds_Static!C8),"")</f>
        <v/>
      </c>
      <c r="C8" s="26">
        <f>IFERROR(Bonds_Static!G8,"")</f>
        <v/>
      </c>
      <c r="D8" s="16">
        <f>IFERROR(BDP($A8&amp;" ISIN",D$2),"")</f>
        <v/>
      </c>
      <c r="E8" s="16">
        <f>IFERROR(BDP($A8&amp;" ISIN",E$2),"")</f>
        <v/>
      </c>
      <c r="F8" s="16">
        <f>IFERROR(BDP($A8&amp;" ISIN",F$2),"")</f>
        <v/>
      </c>
      <c r="G8" s="16">
        <f>IFERROR(BDP($A8&amp;" ISIN",G$2),"")</f>
        <v/>
      </c>
      <c r="H8" s="27">
        <f>IFERROR(IF(OR(E8="",D8=""),"",E8-D8),"")</f>
        <v/>
      </c>
      <c r="I8" s="16">
        <f>IFERROR(BDP($A8&amp;" ISIN",I$2),"")</f>
        <v/>
      </c>
      <c r="J8" s="16">
        <f>IFERROR(BDP($A8&amp;" ISIN",J$2),"")</f>
        <v/>
      </c>
      <c r="K8" s="16">
        <f>IFERROR(BDP($A8&amp;" ISIN",K$2),"")</f>
        <v/>
      </c>
      <c r="L8" s="16">
        <f>IFERROR(BDP($A8&amp;" ISIN",L$2),"")</f>
        <v/>
      </c>
      <c r="M8" s="16">
        <f>IFERROR(BDP($A8&amp;" ISIN",M$2),"")</f>
        <v/>
      </c>
      <c r="N8" s="16">
        <f>IFERROR(BDP($A8&amp;" ISIN",N$2),"")</f>
        <v/>
      </c>
      <c r="O8" s="16">
        <f>IFERROR(BDP($A8&amp;" ISIN",O$2),"")</f>
        <v/>
      </c>
      <c r="P8" s="16">
        <f>IFERROR(BDP($A8&amp;" ISIN",P$2),"")</f>
        <v/>
      </c>
      <c r="Q8" s="16">
        <f>IFERROR(BDP($A8&amp;" ISIN",Q$2),"")</f>
        <v/>
      </c>
      <c r="R8" s="16">
        <f>IFERROR(BDP($A8&amp;" ISIN",R$2),"")</f>
        <v/>
      </c>
      <c r="S8" s="16">
        <f>IFERROR(BDP($A8&amp;" ISIN",S$2),"")</f>
        <v/>
      </c>
      <c r="T8" s="16">
        <f>IFERROR(BDP($A8&amp;" ISIN",T$2),"")</f>
        <v/>
      </c>
      <c r="U8" s="16">
        <f>IFERROR(BDP($A8&amp;" ISIN",U$2),"")</f>
        <v/>
      </c>
      <c r="V8" s="16">
        <f>IFERROR(BDP($A8&amp;" ISIN",V$2),"")</f>
        <v/>
      </c>
      <c r="W8" s="16">
        <f>IFERROR(BDP($A8&amp;" ISIN",W$2),"")</f>
        <v/>
      </c>
    </row>
    <row r="9">
      <c r="A9" s="25">
        <f>IFERROR(IF(Bonds_Static!A9="","",Bonds_Static!A9),"")</f>
        <v/>
      </c>
      <c r="B9" s="25">
        <f>IFERROR(IF(Bonds_Static!C9="","",Bonds_Static!C9),"")</f>
        <v/>
      </c>
      <c r="C9" s="26">
        <f>IFERROR(Bonds_Static!G9,"")</f>
        <v/>
      </c>
      <c r="D9" s="16">
        <f>IFERROR(BDP($A9&amp;" ISIN",D$2),"")</f>
        <v/>
      </c>
      <c r="E9" s="16">
        <f>IFERROR(BDP($A9&amp;" ISIN",E$2),"")</f>
        <v/>
      </c>
      <c r="F9" s="16">
        <f>IFERROR(BDP($A9&amp;" ISIN",F$2),"")</f>
        <v/>
      </c>
      <c r="G9" s="16">
        <f>IFERROR(BDP($A9&amp;" ISIN",G$2),"")</f>
        <v/>
      </c>
      <c r="H9" s="27">
        <f>IFERROR(IF(OR(E9="",D9=""),"",E9-D9),"")</f>
        <v/>
      </c>
      <c r="I9" s="16">
        <f>IFERROR(BDP($A9&amp;" ISIN",I$2),"")</f>
        <v/>
      </c>
      <c r="J9" s="16">
        <f>IFERROR(BDP($A9&amp;" ISIN",J$2),"")</f>
        <v/>
      </c>
      <c r="K9" s="16">
        <f>IFERROR(BDP($A9&amp;" ISIN",K$2),"")</f>
        <v/>
      </c>
      <c r="L9" s="16">
        <f>IFERROR(BDP($A9&amp;" ISIN",L$2),"")</f>
        <v/>
      </c>
      <c r="M9" s="16">
        <f>IFERROR(BDP($A9&amp;" ISIN",M$2),"")</f>
        <v/>
      </c>
      <c r="N9" s="16">
        <f>IFERROR(BDP($A9&amp;" ISIN",N$2),"")</f>
        <v/>
      </c>
      <c r="O9" s="16">
        <f>IFERROR(BDP($A9&amp;" ISIN",O$2),"")</f>
        <v/>
      </c>
      <c r="P9" s="16">
        <f>IFERROR(BDP($A9&amp;" ISIN",P$2),"")</f>
        <v/>
      </c>
      <c r="Q9" s="16">
        <f>IFERROR(BDP($A9&amp;" ISIN",Q$2),"")</f>
        <v/>
      </c>
      <c r="R9" s="16">
        <f>IFERROR(BDP($A9&amp;" ISIN",R$2),"")</f>
        <v/>
      </c>
      <c r="S9" s="16">
        <f>IFERROR(BDP($A9&amp;" ISIN",S$2),"")</f>
        <v/>
      </c>
      <c r="T9" s="16">
        <f>IFERROR(BDP($A9&amp;" ISIN",T$2),"")</f>
        <v/>
      </c>
      <c r="U9" s="16">
        <f>IFERROR(BDP($A9&amp;" ISIN",U$2),"")</f>
        <v/>
      </c>
      <c r="V9" s="16">
        <f>IFERROR(BDP($A9&amp;" ISIN",V$2),"")</f>
        <v/>
      </c>
      <c r="W9" s="16">
        <f>IFERROR(BDP($A9&amp;" ISIN",W$2),"")</f>
        <v/>
      </c>
    </row>
    <row r="10">
      <c r="A10" s="25">
        <f>IFERROR(IF(Bonds_Static!A10="","",Bonds_Static!A10),"")</f>
        <v/>
      </c>
      <c r="B10" s="25">
        <f>IFERROR(IF(Bonds_Static!C10="","",Bonds_Static!C10),"")</f>
        <v/>
      </c>
      <c r="C10" s="26">
        <f>IFERROR(Bonds_Static!G10,"")</f>
        <v/>
      </c>
      <c r="D10" s="16">
        <f>IFERROR(BDP($A10&amp;" ISIN",D$2),"")</f>
        <v/>
      </c>
      <c r="E10" s="16">
        <f>IFERROR(BDP($A10&amp;" ISIN",E$2),"")</f>
        <v/>
      </c>
      <c r="F10" s="16">
        <f>IFERROR(BDP($A10&amp;" ISIN",F$2),"")</f>
        <v/>
      </c>
      <c r="G10" s="16">
        <f>IFERROR(BDP($A10&amp;" ISIN",G$2),"")</f>
        <v/>
      </c>
      <c r="H10" s="27">
        <f>IFERROR(IF(OR(E10="",D10=""),"",E10-D10),"")</f>
        <v/>
      </c>
      <c r="I10" s="16">
        <f>IFERROR(BDP($A10&amp;" ISIN",I$2),"")</f>
        <v/>
      </c>
      <c r="J10" s="16">
        <f>IFERROR(BDP($A10&amp;" ISIN",J$2),"")</f>
        <v/>
      </c>
      <c r="K10" s="16">
        <f>IFERROR(BDP($A10&amp;" ISIN",K$2),"")</f>
        <v/>
      </c>
      <c r="L10" s="16">
        <f>IFERROR(BDP($A10&amp;" ISIN",L$2),"")</f>
        <v/>
      </c>
      <c r="M10" s="16">
        <f>IFERROR(BDP($A10&amp;" ISIN",M$2),"")</f>
        <v/>
      </c>
      <c r="N10" s="16">
        <f>IFERROR(BDP($A10&amp;" ISIN",N$2),"")</f>
        <v/>
      </c>
      <c r="O10" s="16">
        <f>IFERROR(BDP($A10&amp;" ISIN",O$2),"")</f>
        <v/>
      </c>
      <c r="P10" s="16">
        <f>IFERROR(BDP($A10&amp;" ISIN",P$2),"")</f>
        <v/>
      </c>
      <c r="Q10" s="16">
        <f>IFERROR(BDP($A10&amp;" ISIN",Q$2),"")</f>
        <v/>
      </c>
      <c r="R10" s="16">
        <f>IFERROR(BDP($A10&amp;" ISIN",R$2),"")</f>
        <v/>
      </c>
      <c r="S10" s="16">
        <f>IFERROR(BDP($A10&amp;" ISIN",S$2),"")</f>
        <v/>
      </c>
      <c r="T10" s="16">
        <f>IFERROR(BDP($A10&amp;" ISIN",T$2),"")</f>
        <v/>
      </c>
      <c r="U10" s="16">
        <f>IFERROR(BDP($A10&amp;" ISIN",U$2),"")</f>
        <v/>
      </c>
      <c r="V10" s="16">
        <f>IFERROR(BDP($A10&amp;" ISIN",V$2),"")</f>
        <v/>
      </c>
      <c r="W10" s="16">
        <f>IFERROR(BDP($A10&amp;" ISIN",W$2),"")</f>
        <v/>
      </c>
    </row>
    <row r="11">
      <c r="A11" s="25">
        <f>IFERROR(IF(Bonds_Static!A11="","",Bonds_Static!A11),"")</f>
        <v/>
      </c>
      <c r="B11" s="25">
        <f>IFERROR(IF(Bonds_Static!C11="","",Bonds_Static!C11),"")</f>
        <v/>
      </c>
      <c r="C11" s="26">
        <f>IFERROR(Bonds_Static!G11,"")</f>
        <v/>
      </c>
      <c r="D11" s="16">
        <f>IFERROR(BDP($A11&amp;" ISIN",D$2),"")</f>
        <v/>
      </c>
      <c r="E11" s="16">
        <f>IFERROR(BDP($A11&amp;" ISIN",E$2),"")</f>
        <v/>
      </c>
      <c r="F11" s="16">
        <f>IFERROR(BDP($A11&amp;" ISIN",F$2),"")</f>
        <v/>
      </c>
      <c r="G11" s="16">
        <f>IFERROR(BDP($A11&amp;" ISIN",G$2),"")</f>
        <v/>
      </c>
      <c r="H11" s="27">
        <f>IFERROR(IF(OR(E11="",D11=""),"",E11-D11),"")</f>
        <v/>
      </c>
      <c r="I11" s="16">
        <f>IFERROR(BDP($A11&amp;" ISIN",I$2),"")</f>
        <v/>
      </c>
      <c r="J11" s="16">
        <f>IFERROR(BDP($A11&amp;" ISIN",J$2),"")</f>
        <v/>
      </c>
      <c r="K11" s="16">
        <f>IFERROR(BDP($A11&amp;" ISIN",K$2),"")</f>
        <v/>
      </c>
      <c r="L11" s="16">
        <f>IFERROR(BDP($A11&amp;" ISIN",L$2),"")</f>
        <v/>
      </c>
      <c r="M11" s="16">
        <f>IFERROR(BDP($A11&amp;" ISIN",M$2),"")</f>
        <v/>
      </c>
      <c r="N11" s="16">
        <f>IFERROR(BDP($A11&amp;" ISIN",N$2),"")</f>
        <v/>
      </c>
      <c r="O11" s="16">
        <f>IFERROR(BDP($A11&amp;" ISIN",O$2),"")</f>
        <v/>
      </c>
      <c r="P11" s="16">
        <f>IFERROR(BDP($A11&amp;" ISIN",P$2),"")</f>
        <v/>
      </c>
      <c r="Q11" s="16">
        <f>IFERROR(BDP($A11&amp;" ISIN",Q$2),"")</f>
        <v/>
      </c>
      <c r="R11" s="16">
        <f>IFERROR(BDP($A11&amp;" ISIN",R$2),"")</f>
        <v/>
      </c>
      <c r="S11" s="16">
        <f>IFERROR(BDP($A11&amp;" ISIN",S$2),"")</f>
        <v/>
      </c>
      <c r="T11" s="16">
        <f>IFERROR(BDP($A11&amp;" ISIN",T$2),"")</f>
        <v/>
      </c>
      <c r="U11" s="16">
        <f>IFERROR(BDP($A11&amp;" ISIN",U$2),"")</f>
        <v/>
      </c>
      <c r="V11" s="16">
        <f>IFERROR(BDP($A11&amp;" ISIN",V$2),"")</f>
        <v/>
      </c>
      <c r="W11" s="16">
        <f>IFERROR(BDP($A11&amp;" ISIN",W$2),"")</f>
        <v/>
      </c>
    </row>
    <row r="12">
      <c r="A12" s="25">
        <f>IFERROR(IF(Bonds_Static!A12="","",Bonds_Static!A12),"")</f>
        <v/>
      </c>
      <c r="B12" s="25">
        <f>IFERROR(IF(Bonds_Static!C12="","",Bonds_Static!C12),"")</f>
        <v/>
      </c>
      <c r="C12" s="26">
        <f>IFERROR(Bonds_Static!G12,"")</f>
        <v/>
      </c>
      <c r="D12" s="16">
        <f>IFERROR(BDP($A12&amp;" ISIN",D$2),"")</f>
        <v/>
      </c>
      <c r="E12" s="16">
        <f>IFERROR(BDP($A12&amp;" ISIN",E$2),"")</f>
        <v/>
      </c>
      <c r="F12" s="16">
        <f>IFERROR(BDP($A12&amp;" ISIN",F$2),"")</f>
        <v/>
      </c>
      <c r="G12" s="16">
        <f>IFERROR(BDP($A12&amp;" ISIN",G$2),"")</f>
        <v/>
      </c>
      <c r="H12" s="27">
        <f>IFERROR(IF(OR(E12="",D12=""),"",E12-D12),"")</f>
        <v/>
      </c>
      <c r="I12" s="16">
        <f>IFERROR(BDP($A12&amp;" ISIN",I$2),"")</f>
        <v/>
      </c>
      <c r="J12" s="16">
        <f>IFERROR(BDP($A12&amp;" ISIN",J$2),"")</f>
        <v/>
      </c>
      <c r="K12" s="16">
        <f>IFERROR(BDP($A12&amp;" ISIN",K$2),"")</f>
        <v/>
      </c>
      <c r="L12" s="16">
        <f>IFERROR(BDP($A12&amp;" ISIN",L$2),"")</f>
        <v/>
      </c>
      <c r="M12" s="16">
        <f>IFERROR(BDP($A12&amp;" ISIN",M$2),"")</f>
        <v/>
      </c>
      <c r="N12" s="16">
        <f>IFERROR(BDP($A12&amp;" ISIN",N$2),"")</f>
        <v/>
      </c>
      <c r="O12" s="16">
        <f>IFERROR(BDP($A12&amp;" ISIN",O$2),"")</f>
        <v/>
      </c>
      <c r="P12" s="16">
        <f>IFERROR(BDP($A12&amp;" ISIN",P$2),"")</f>
        <v/>
      </c>
      <c r="Q12" s="16">
        <f>IFERROR(BDP($A12&amp;" ISIN",Q$2),"")</f>
        <v/>
      </c>
      <c r="R12" s="16">
        <f>IFERROR(BDP($A12&amp;" ISIN",R$2),"")</f>
        <v/>
      </c>
      <c r="S12" s="16">
        <f>IFERROR(BDP($A12&amp;" ISIN",S$2),"")</f>
        <v/>
      </c>
      <c r="T12" s="16">
        <f>IFERROR(BDP($A12&amp;" ISIN",T$2),"")</f>
        <v/>
      </c>
      <c r="U12" s="16">
        <f>IFERROR(BDP($A12&amp;" ISIN",U$2),"")</f>
        <v/>
      </c>
      <c r="V12" s="16">
        <f>IFERROR(BDP($A12&amp;" ISIN",V$2),"")</f>
        <v/>
      </c>
      <c r="W12" s="16">
        <f>IFERROR(BDP($A12&amp;" ISIN",W$2),"")</f>
        <v/>
      </c>
    </row>
    <row r="13">
      <c r="A13" s="25">
        <f>IFERROR(IF(Bonds_Static!A13="","",Bonds_Static!A13),"")</f>
        <v/>
      </c>
      <c r="B13" s="25">
        <f>IFERROR(IF(Bonds_Static!C13="","",Bonds_Static!C13),"")</f>
        <v/>
      </c>
      <c r="C13" s="26">
        <f>IFERROR(Bonds_Static!G13,"")</f>
        <v/>
      </c>
      <c r="D13" s="16">
        <f>IFERROR(BDP($A13&amp;" ISIN",D$2),"")</f>
        <v/>
      </c>
      <c r="E13" s="16">
        <f>IFERROR(BDP($A13&amp;" ISIN",E$2),"")</f>
        <v/>
      </c>
      <c r="F13" s="16">
        <f>IFERROR(BDP($A13&amp;" ISIN",F$2),"")</f>
        <v/>
      </c>
      <c r="G13" s="16">
        <f>IFERROR(BDP($A13&amp;" ISIN",G$2),"")</f>
        <v/>
      </c>
      <c r="H13" s="27">
        <f>IFERROR(IF(OR(E13="",D13=""),"",E13-D13),"")</f>
        <v/>
      </c>
      <c r="I13" s="16">
        <f>IFERROR(BDP($A13&amp;" ISIN",I$2),"")</f>
        <v/>
      </c>
      <c r="J13" s="16">
        <f>IFERROR(BDP($A13&amp;" ISIN",J$2),"")</f>
        <v/>
      </c>
      <c r="K13" s="16">
        <f>IFERROR(BDP($A13&amp;" ISIN",K$2),"")</f>
        <v/>
      </c>
      <c r="L13" s="16">
        <f>IFERROR(BDP($A13&amp;" ISIN",L$2),"")</f>
        <v/>
      </c>
      <c r="M13" s="16">
        <f>IFERROR(BDP($A13&amp;" ISIN",M$2),"")</f>
        <v/>
      </c>
      <c r="N13" s="16">
        <f>IFERROR(BDP($A13&amp;" ISIN",N$2),"")</f>
        <v/>
      </c>
      <c r="O13" s="16">
        <f>IFERROR(BDP($A13&amp;" ISIN",O$2),"")</f>
        <v/>
      </c>
      <c r="P13" s="16">
        <f>IFERROR(BDP($A13&amp;" ISIN",P$2),"")</f>
        <v/>
      </c>
      <c r="Q13" s="16">
        <f>IFERROR(BDP($A13&amp;" ISIN",Q$2),"")</f>
        <v/>
      </c>
      <c r="R13" s="16">
        <f>IFERROR(BDP($A13&amp;" ISIN",R$2),"")</f>
        <v/>
      </c>
      <c r="S13" s="16">
        <f>IFERROR(BDP($A13&amp;" ISIN",S$2),"")</f>
        <v/>
      </c>
      <c r="T13" s="16">
        <f>IFERROR(BDP($A13&amp;" ISIN",T$2),"")</f>
        <v/>
      </c>
      <c r="U13" s="16">
        <f>IFERROR(BDP($A13&amp;" ISIN",U$2),"")</f>
        <v/>
      </c>
      <c r="V13" s="16">
        <f>IFERROR(BDP($A13&amp;" ISIN",V$2),"")</f>
        <v/>
      </c>
      <c r="W13" s="16">
        <f>IFERROR(BDP($A13&amp;" ISIN",W$2),"")</f>
        <v/>
      </c>
    </row>
    <row r="14">
      <c r="A14" s="25">
        <f>IFERROR(IF(Bonds_Static!A14="","",Bonds_Static!A14),"")</f>
        <v/>
      </c>
      <c r="B14" s="25">
        <f>IFERROR(IF(Bonds_Static!C14="","",Bonds_Static!C14),"")</f>
        <v/>
      </c>
      <c r="C14" s="26">
        <f>IFERROR(Bonds_Static!G14,"")</f>
        <v/>
      </c>
      <c r="D14" s="16">
        <f>IFERROR(BDP($A14&amp;" ISIN",D$2),"")</f>
        <v/>
      </c>
      <c r="E14" s="16">
        <f>IFERROR(BDP($A14&amp;" ISIN",E$2),"")</f>
        <v/>
      </c>
      <c r="F14" s="16">
        <f>IFERROR(BDP($A14&amp;" ISIN",F$2),"")</f>
        <v/>
      </c>
      <c r="G14" s="16">
        <f>IFERROR(BDP($A14&amp;" ISIN",G$2),"")</f>
        <v/>
      </c>
      <c r="H14" s="27">
        <f>IFERROR(IF(OR(E14="",D14=""),"",E14-D14),"")</f>
        <v/>
      </c>
      <c r="I14" s="16">
        <f>IFERROR(BDP($A14&amp;" ISIN",I$2),"")</f>
        <v/>
      </c>
      <c r="J14" s="16">
        <f>IFERROR(BDP($A14&amp;" ISIN",J$2),"")</f>
        <v/>
      </c>
      <c r="K14" s="16">
        <f>IFERROR(BDP($A14&amp;" ISIN",K$2),"")</f>
        <v/>
      </c>
      <c r="L14" s="16">
        <f>IFERROR(BDP($A14&amp;" ISIN",L$2),"")</f>
        <v/>
      </c>
      <c r="M14" s="16">
        <f>IFERROR(BDP($A14&amp;" ISIN",M$2),"")</f>
        <v/>
      </c>
      <c r="N14" s="16">
        <f>IFERROR(BDP($A14&amp;" ISIN",N$2),"")</f>
        <v/>
      </c>
      <c r="O14" s="16">
        <f>IFERROR(BDP($A14&amp;" ISIN",O$2),"")</f>
        <v/>
      </c>
      <c r="P14" s="16">
        <f>IFERROR(BDP($A14&amp;" ISIN",P$2),"")</f>
        <v/>
      </c>
      <c r="Q14" s="16">
        <f>IFERROR(BDP($A14&amp;" ISIN",Q$2),"")</f>
        <v/>
      </c>
      <c r="R14" s="16">
        <f>IFERROR(BDP($A14&amp;" ISIN",R$2),"")</f>
        <v/>
      </c>
      <c r="S14" s="16">
        <f>IFERROR(BDP($A14&amp;" ISIN",S$2),"")</f>
        <v/>
      </c>
      <c r="T14" s="16">
        <f>IFERROR(BDP($A14&amp;" ISIN",T$2),"")</f>
        <v/>
      </c>
      <c r="U14" s="16">
        <f>IFERROR(BDP($A14&amp;" ISIN",U$2),"")</f>
        <v/>
      </c>
      <c r="V14" s="16">
        <f>IFERROR(BDP($A14&amp;" ISIN",V$2),"")</f>
        <v/>
      </c>
      <c r="W14" s="16">
        <f>IFERROR(BDP($A14&amp;" ISIN",W$2),"")</f>
        <v/>
      </c>
    </row>
    <row r="15">
      <c r="A15" s="25">
        <f>IFERROR(IF(Bonds_Static!A15="","",Bonds_Static!A15),"")</f>
        <v/>
      </c>
      <c r="B15" s="25">
        <f>IFERROR(IF(Bonds_Static!C15="","",Bonds_Static!C15),"")</f>
        <v/>
      </c>
      <c r="C15" s="26">
        <f>IFERROR(Bonds_Static!G15,"")</f>
        <v/>
      </c>
      <c r="D15" s="16">
        <f>IFERROR(BDP($A15&amp;" ISIN",D$2),"")</f>
        <v/>
      </c>
      <c r="E15" s="16">
        <f>IFERROR(BDP($A15&amp;" ISIN",E$2),"")</f>
        <v/>
      </c>
      <c r="F15" s="16">
        <f>IFERROR(BDP($A15&amp;" ISIN",F$2),"")</f>
        <v/>
      </c>
      <c r="G15" s="16">
        <f>IFERROR(BDP($A15&amp;" ISIN",G$2),"")</f>
        <v/>
      </c>
      <c r="H15" s="27">
        <f>IFERROR(IF(OR(E15="",D15=""),"",E15-D15),"")</f>
        <v/>
      </c>
      <c r="I15" s="16">
        <f>IFERROR(BDP($A15&amp;" ISIN",I$2),"")</f>
        <v/>
      </c>
      <c r="J15" s="16">
        <f>IFERROR(BDP($A15&amp;" ISIN",J$2),"")</f>
        <v/>
      </c>
      <c r="K15" s="16">
        <f>IFERROR(BDP($A15&amp;" ISIN",K$2),"")</f>
        <v/>
      </c>
      <c r="L15" s="16">
        <f>IFERROR(BDP($A15&amp;" ISIN",L$2),"")</f>
        <v/>
      </c>
      <c r="M15" s="16">
        <f>IFERROR(BDP($A15&amp;" ISIN",M$2),"")</f>
        <v/>
      </c>
      <c r="N15" s="16">
        <f>IFERROR(BDP($A15&amp;" ISIN",N$2),"")</f>
        <v/>
      </c>
      <c r="O15" s="16">
        <f>IFERROR(BDP($A15&amp;" ISIN",O$2),"")</f>
        <v/>
      </c>
      <c r="P15" s="16">
        <f>IFERROR(BDP($A15&amp;" ISIN",P$2),"")</f>
        <v/>
      </c>
      <c r="Q15" s="16">
        <f>IFERROR(BDP($A15&amp;" ISIN",Q$2),"")</f>
        <v/>
      </c>
      <c r="R15" s="16">
        <f>IFERROR(BDP($A15&amp;" ISIN",R$2),"")</f>
        <v/>
      </c>
      <c r="S15" s="16">
        <f>IFERROR(BDP($A15&amp;" ISIN",S$2),"")</f>
        <v/>
      </c>
      <c r="T15" s="16">
        <f>IFERROR(BDP($A15&amp;" ISIN",T$2),"")</f>
        <v/>
      </c>
      <c r="U15" s="16">
        <f>IFERROR(BDP($A15&amp;" ISIN",U$2),"")</f>
        <v/>
      </c>
      <c r="V15" s="16">
        <f>IFERROR(BDP($A15&amp;" ISIN",V$2),"")</f>
        <v/>
      </c>
      <c r="W15" s="16">
        <f>IFERROR(BDP($A15&amp;" ISIN",W$2),"")</f>
        <v/>
      </c>
    </row>
    <row r="16">
      <c r="A16" s="25">
        <f>IFERROR(IF(Bonds_Static!A16="","",Bonds_Static!A16),"")</f>
        <v/>
      </c>
      <c r="B16" s="25">
        <f>IFERROR(IF(Bonds_Static!C16="","",Bonds_Static!C16),"")</f>
        <v/>
      </c>
      <c r="C16" s="26">
        <f>IFERROR(Bonds_Static!G16,"")</f>
        <v/>
      </c>
      <c r="D16" s="16">
        <f>IFERROR(BDP($A16&amp;" ISIN",D$2),"")</f>
        <v/>
      </c>
      <c r="E16" s="16">
        <f>IFERROR(BDP($A16&amp;" ISIN",E$2),"")</f>
        <v/>
      </c>
      <c r="F16" s="16">
        <f>IFERROR(BDP($A16&amp;" ISIN",F$2),"")</f>
        <v/>
      </c>
      <c r="G16" s="16">
        <f>IFERROR(BDP($A16&amp;" ISIN",G$2),"")</f>
        <v/>
      </c>
      <c r="H16" s="27">
        <f>IFERROR(IF(OR(E16="",D16=""),"",E16-D16),"")</f>
        <v/>
      </c>
      <c r="I16" s="16">
        <f>IFERROR(BDP($A16&amp;" ISIN",I$2),"")</f>
        <v/>
      </c>
      <c r="J16" s="16">
        <f>IFERROR(BDP($A16&amp;" ISIN",J$2),"")</f>
        <v/>
      </c>
      <c r="K16" s="16">
        <f>IFERROR(BDP($A16&amp;" ISIN",K$2),"")</f>
        <v/>
      </c>
      <c r="L16" s="16">
        <f>IFERROR(BDP($A16&amp;" ISIN",L$2),"")</f>
        <v/>
      </c>
      <c r="M16" s="16">
        <f>IFERROR(BDP($A16&amp;" ISIN",M$2),"")</f>
        <v/>
      </c>
      <c r="N16" s="16">
        <f>IFERROR(BDP($A16&amp;" ISIN",N$2),"")</f>
        <v/>
      </c>
      <c r="O16" s="16">
        <f>IFERROR(BDP($A16&amp;" ISIN",O$2),"")</f>
        <v/>
      </c>
      <c r="P16" s="16">
        <f>IFERROR(BDP($A16&amp;" ISIN",P$2),"")</f>
        <v/>
      </c>
      <c r="Q16" s="16">
        <f>IFERROR(BDP($A16&amp;" ISIN",Q$2),"")</f>
        <v/>
      </c>
      <c r="R16" s="16">
        <f>IFERROR(BDP($A16&amp;" ISIN",R$2),"")</f>
        <v/>
      </c>
      <c r="S16" s="16">
        <f>IFERROR(BDP($A16&amp;" ISIN",S$2),"")</f>
        <v/>
      </c>
      <c r="T16" s="16">
        <f>IFERROR(BDP($A16&amp;" ISIN",T$2),"")</f>
        <v/>
      </c>
      <c r="U16" s="16">
        <f>IFERROR(BDP($A16&amp;" ISIN",U$2),"")</f>
        <v/>
      </c>
      <c r="V16" s="16">
        <f>IFERROR(BDP($A16&amp;" ISIN",V$2),"")</f>
        <v/>
      </c>
      <c r="W16" s="16">
        <f>IFERROR(BDP($A16&amp;" ISIN",W$2),"")</f>
        <v/>
      </c>
    </row>
    <row r="17">
      <c r="A17" s="25">
        <f>IFERROR(IF(Bonds_Static!A17="","",Bonds_Static!A17),"")</f>
        <v/>
      </c>
      <c r="B17" s="25">
        <f>IFERROR(IF(Bonds_Static!C17="","",Bonds_Static!C17),"")</f>
        <v/>
      </c>
      <c r="C17" s="26">
        <f>IFERROR(Bonds_Static!G17,"")</f>
        <v/>
      </c>
      <c r="D17" s="16">
        <f>IFERROR(BDP($A17&amp;" ISIN",D$2),"")</f>
        <v/>
      </c>
      <c r="E17" s="16">
        <f>IFERROR(BDP($A17&amp;" ISIN",E$2),"")</f>
        <v/>
      </c>
      <c r="F17" s="16">
        <f>IFERROR(BDP($A17&amp;" ISIN",F$2),"")</f>
        <v/>
      </c>
      <c r="G17" s="16">
        <f>IFERROR(BDP($A17&amp;" ISIN",G$2),"")</f>
        <v/>
      </c>
      <c r="H17" s="27">
        <f>IFERROR(IF(OR(E17="",D17=""),"",E17-D17),"")</f>
        <v/>
      </c>
      <c r="I17" s="16">
        <f>IFERROR(BDP($A17&amp;" ISIN",I$2),"")</f>
        <v/>
      </c>
      <c r="J17" s="16">
        <f>IFERROR(BDP($A17&amp;" ISIN",J$2),"")</f>
        <v/>
      </c>
      <c r="K17" s="16">
        <f>IFERROR(BDP($A17&amp;" ISIN",K$2),"")</f>
        <v/>
      </c>
      <c r="L17" s="16">
        <f>IFERROR(BDP($A17&amp;" ISIN",L$2),"")</f>
        <v/>
      </c>
      <c r="M17" s="16">
        <f>IFERROR(BDP($A17&amp;" ISIN",M$2),"")</f>
        <v/>
      </c>
      <c r="N17" s="16">
        <f>IFERROR(BDP($A17&amp;" ISIN",N$2),"")</f>
        <v/>
      </c>
      <c r="O17" s="16">
        <f>IFERROR(BDP($A17&amp;" ISIN",O$2),"")</f>
        <v/>
      </c>
      <c r="P17" s="16">
        <f>IFERROR(BDP($A17&amp;" ISIN",P$2),"")</f>
        <v/>
      </c>
      <c r="Q17" s="16">
        <f>IFERROR(BDP($A17&amp;" ISIN",Q$2),"")</f>
        <v/>
      </c>
      <c r="R17" s="16">
        <f>IFERROR(BDP($A17&amp;" ISIN",R$2),"")</f>
        <v/>
      </c>
      <c r="S17" s="16">
        <f>IFERROR(BDP($A17&amp;" ISIN",S$2),"")</f>
        <v/>
      </c>
      <c r="T17" s="16">
        <f>IFERROR(BDP($A17&amp;" ISIN",T$2),"")</f>
        <v/>
      </c>
      <c r="U17" s="16">
        <f>IFERROR(BDP($A17&amp;" ISIN",U$2),"")</f>
        <v/>
      </c>
      <c r="V17" s="16">
        <f>IFERROR(BDP($A17&amp;" ISIN",V$2),"")</f>
        <v/>
      </c>
      <c r="W17" s="16">
        <f>IFERROR(BDP($A17&amp;" ISIN",W$2),"")</f>
        <v/>
      </c>
    </row>
    <row r="18">
      <c r="A18" s="25">
        <f>IFERROR(IF(Bonds_Static!A18="","",Bonds_Static!A18),"")</f>
        <v/>
      </c>
      <c r="B18" s="25">
        <f>IFERROR(IF(Bonds_Static!C18="","",Bonds_Static!C18),"")</f>
        <v/>
      </c>
      <c r="C18" s="26">
        <f>IFERROR(Bonds_Static!G18,"")</f>
        <v/>
      </c>
      <c r="D18" s="16">
        <f>IFERROR(BDP($A18&amp;" ISIN",D$2),"")</f>
        <v/>
      </c>
      <c r="E18" s="16">
        <f>IFERROR(BDP($A18&amp;" ISIN",E$2),"")</f>
        <v/>
      </c>
      <c r="F18" s="16">
        <f>IFERROR(BDP($A18&amp;" ISIN",F$2),"")</f>
        <v/>
      </c>
      <c r="G18" s="16">
        <f>IFERROR(BDP($A18&amp;" ISIN",G$2),"")</f>
        <v/>
      </c>
      <c r="H18" s="27">
        <f>IFERROR(IF(OR(E18="",D18=""),"",E18-D18),"")</f>
        <v/>
      </c>
      <c r="I18" s="16">
        <f>IFERROR(BDP($A18&amp;" ISIN",I$2),"")</f>
        <v/>
      </c>
      <c r="J18" s="16">
        <f>IFERROR(BDP($A18&amp;" ISIN",J$2),"")</f>
        <v/>
      </c>
      <c r="K18" s="16">
        <f>IFERROR(BDP($A18&amp;" ISIN",K$2),"")</f>
        <v/>
      </c>
      <c r="L18" s="16">
        <f>IFERROR(BDP($A18&amp;" ISIN",L$2),"")</f>
        <v/>
      </c>
      <c r="M18" s="16">
        <f>IFERROR(BDP($A18&amp;" ISIN",M$2),"")</f>
        <v/>
      </c>
      <c r="N18" s="16">
        <f>IFERROR(BDP($A18&amp;" ISIN",N$2),"")</f>
        <v/>
      </c>
      <c r="O18" s="16">
        <f>IFERROR(BDP($A18&amp;" ISIN",O$2),"")</f>
        <v/>
      </c>
      <c r="P18" s="16">
        <f>IFERROR(BDP($A18&amp;" ISIN",P$2),"")</f>
        <v/>
      </c>
      <c r="Q18" s="16">
        <f>IFERROR(BDP($A18&amp;" ISIN",Q$2),"")</f>
        <v/>
      </c>
      <c r="R18" s="16">
        <f>IFERROR(BDP($A18&amp;" ISIN",R$2),"")</f>
        <v/>
      </c>
      <c r="S18" s="16">
        <f>IFERROR(BDP($A18&amp;" ISIN",S$2),"")</f>
        <v/>
      </c>
      <c r="T18" s="16">
        <f>IFERROR(BDP($A18&amp;" ISIN",T$2),"")</f>
        <v/>
      </c>
      <c r="U18" s="16">
        <f>IFERROR(BDP($A18&amp;" ISIN",U$2),"")</f>
        <v/>
      </c>
      <c r="V18" s="16">
        <f>IFERROR(BDP($A18&amp;" ISIN",V$2),"")</f>
        <v/>
      </c>
      <c r="W18" s="16">
        <f>IFERROR(BDP($A18&amp;" ISIN",W$2),"")</f>
        <v/>
      </c>
    </row>
    <row r="19">
      <c r="A19" s="25">
        <f>IFERROR(IF(Bonds_Static!A19="","",Bonds_Static!A19),"")</f>
        <v/>
      </c>
      <c r="B19" s="25">
        <f>IFERROR(IF(Bonds_Static!C19="","",Bonds_Static!C19),"")</f>
        <v/>
      </c>
      <c r="C19" s="26">
        <f>IFERROR(Bonds_Static!G19,"")</f>
        <v/>
      </c>
      <c r="D19" s="16">
        <f>IFERROR(BDP($A19&amp;" ISIN",D$2),"")</f>
        <v/>
      </c>
      <c r="E19" s="16">
        <f>IFERROR(BDP($A19&amp;" ISIN",E$2),"")</f>
        <v/>
      </c>
      <c r="F19" s="16">
        <f>IFERROR(BDP($A19&amp;" ISIN",F$2),"")</f>
        <v/>
      </c>
      <c r="G19" s="16">
        <f>IFERROR(BDP($A19&amp;" ISIN",G$2),"")</f>
        <v/>
      </c>
      <c r="H19" s="27">
        <f>IFERROR(IF(OR(E19="",D19=""),"",E19-D19),"")</f>
        <v/>
      </c>
      <c r="I19" s="16">
        <f>IFERROR(BDP($A19&amp;" ISIN",I$2),"")</f>
        <v/>
      </c>
      <c r="J19" s="16">
        <f>IFERROR(BDP($A19&amp;" ISIN",J$2),"")</f>
        <v/>
      </c>
      <c r="K19" s="16">
        <f>IFERROR(BDP($A19&amp;" ISIN",K$2),"")</f>
        <v/>
      </c>
      <c r="L19" s="16">
        <f>IFERROR(BDP($A19&amp;" ISIN",L$2),"")</f>
        <v/>
      </c>
      <c r="M19" s="16">
        <f>IFERROR(BDP($A19&amp;" ISIN",M$2),"")</f>
        <v/>
      </c>
      <c r="N19" s="16">
        <f>IFERROR(BDP($A19&amp;" ISIN",N$2),"")</f>
        <v/>
      </c>
      <c r="O19" s="16">
        <f>IFERROR(BDP($A19&amp;" ISIN",O$2),"")</f>
        <v/>
      </c>
      <c r="P19" s="16">
        <f>IFERROR(BDP($A19&amp;" ISIN",P$2),"")</f>
        <v/>
      </c>
      <c r="Q19" s="16">
        <f>IFERROR(BDP($A19&amp;" ISIN",Q$2),"")</f>
        <v/>
      </c>
      <c r="R19" s="16">
        <f>IFERROR(BDP($A19&amp;" ISIN",R$2),"")</f>
        <v/>
      </c>
      <c r="S19" s="16">
        <f>IFERROR(BDP($A19&amp;" ISIN",S$2),"")</f>
        <v/>
      </c>
      <c r="T19" s="16">
        <f>IFERROR(BDP($A19&amp;" ISIN",T$2),"")</f>
        <v/>
      </c>
      <c r="U19" s="16">
        <f>IFERROR(BDP($A19&amp;" ISIN",U$2),"")</f>
        <v/>
      </c>
      <c r="V19" s="16">
        <f>IFERROR(BDP($A19&amp;" ISIN",V$2),"")</f>
        <v/>
      </c>
      <c r="W19" s="16">
        <f>IFERROR(BDP($A19&amp;" ISIN",W$2),"")</f>
        <v/>
      </c>
    </row>
    <row r="20">
      <c r="A20" s="25">
        <f>IFERROR(IF(Bonds_Static!A20="","",Bonds_Static!A20),"")</f>
        <v/>
      </c>
      <c r="B20" s="25">
        <f>IFERROR(IF(Bonds_Static!C20="","",Bonds_Static!C20),"")</f>
        <v/>
      </c>
      <c r="C20" s="26">
        <f>IFERROR(Bonds_Static!G20,"")</f>
        <v/>
      </c>
      <c r="D20" s="16">
        <f>IFERROR(BDP($A20&amp;" ISIN",D$2),"")</f>
        <v/>
      </c>
      <c r="E20" s="16">
        <f>IFERROR(BDP($A20&amp;" ISIN",E$2),"")</f>
        <v/>
      </c>
      <c r="F20" s="16">
        <f>IFERROR(BDP($A20&amp;" ISIN",F$2),"")</f>
        <v/>
      </c>
      <c r="G20" s="16">
        <f>IFERROR(BDP($A20&amp;" ISIN",G$2),"")</f>
        <v/>
      </c>
      <c r="H20" s="27">
        <f>IFERROR(IF(OR(E20="",D20=""),"",E20-D20),"")</f>
        <v/>
      </c>
      <c r="I20" s="16">
        <f>IFERROR(BDP($A20&amp;" ISIN",I$2),"")</f>
        <v/>
      </c>
      <c r="J20" s="16">
        <f>IFERROR(BDP($A20&amp;" ISIN",J$2),"")</f>
        <v/>
      </c>
      <c r="K20" s="16">
        <f>IFERROR(BDP($A20&amp;" ISIN",K$2),"")</f>
        <v/>
      </c>
      <c r="L20" s="16">
        <f>IFERROR(BDP($A20&amp;" ISIN",L$2),"")</f>
        <v/>
      </c>
      <c r="M20" s="16">
        <f>IFERROR(BDP($A20&amp;" ISIN",M$2),"")</f>
        <v/>
      </c>
      <c r="N20" s="16">
        <f>IFERROR(BDP($A20&amp;" ISIN",N$2),"")</f>
        <v/>
      </c>
      <c r="O20" s="16">
        <f>IFERROR(BDP($A20&amp;" ISIN",O$2),"")</f>
        <v/>
      </c>
      <c r="P20" s="16">
        <f>IFERROR(BDP($A20&amp;" ISIN",P$2),"")</f>
        <v/>
      </c>
      <c r="Q20" s="16">
        <f>IFERROR(BDP($A20&amp;" ISIN",Q$2),"")</f>
        <v/>
      </c>
      <c r="R20" s="16">
        <f>IFERROR(BDP($A20&amp;" ISIN",R$2),"")</f>
        <v/>
      </c>
      <c r="S20" s="16">
        <f>IFERROR(BDP($A20&amp;" ISIN",S$2),"")</f>
        <v/>
      </c>
      <c r="T20" s="16">
        <f>IFERROR(BDP($A20&amp;" ISIN",T$2),"")</f>
        <v/>
      </c>
      <c r="U20" s="16">
        <f>IFERROR(BDP($A20&amp;" ISIN",U$2),"")</f>
        <v/>
      </c>
      <c r="V20" s="16">
        <f>IFERROR(BDP($A20&amp;" ISIN",V$2),"")</f>
        <v/>
      </c>
      <c r="W20" s="16">
        <f>IFERROR(BDP($A20&amp;" ISIN",W$2),"")</f>
        <v/>
      </c>
    </row>
    <row r="21">
      <c r="A21" s="25">
        <f>IFERROR(IF(Bonds_Static!A21="","",Bonds_Static!A21),"")</f>
        <v/>
      </c>
      <c r="B21" s="25">
        <f>IFERROR(IF(Bonds_Static!C21="","",Bonds_Static!C21),"")</f>
        <v/>
      </c>
      <c r="C21" s="26">
        <f>IFERROR(Bonds_Static!G21,"")</f>
        <v/>
      </c>
      <c r="D21" s="16">
        <f>IFERROR(BDP($A21&amp;" ISIN",D$2),"")</f>
        <v/>
      </c>
      <c r="E21" s="16">
        <f>IFERROR(BDP($A21&amp;" ISIN",E$2),"")</f>
        <v/>
      </c>
      <c r="F21" s="16">
        <f>IFERROR(BDP($A21&amp;" ISIN",F$2),"")</f>
        <v/>
      </c>
      <c r="G21" s="16">
        <f>IFERROR(BDP($A21&amp;" ISIN",G$2),"")</f>
        <v/>
      </c>
      <c r="H21" s="27">
        <f>IFERROR(IF(OR(E21="",D21=""),"",E21-D21),"")</f>
        <v/>
      </c>
      <c r="I21" s="16">
        <f>IFERROR(BDP($A21&amp;" ISIN",I$2),"")</f>
        <v/>
      </c>
      <c r="J21" s="16">
        <f>IFERROR(BDP($A21&amp;" ISIN",J$2),"")</f>
        <v/>
      </c>
      <c r="K21" s="16">
        <f>IFERROR(BDP($A21&amp;" ISIN",K$2),"")</f>
        <v/>
      </c>
      <c r="L21" s="16">
        <f>IFERROR(BDP($A21&amp;" ISIN",L$2),"")</f>
        <v/>
      </c>
      <c r="M21" s="16">
        <f>IFERROR(BDP($A21&amp;" ISIN",M$2),"")</f>
        <v/>
      </c>
      <c r="N21" s="16">
        <f>IFERROR(BDP($A21&amp;" ISIN",N$2),"")</f>
        <v/>
      </c>
      <c r="O21" s="16">
        <f>IFERROR(BDP($A21&amp;" ISIN",O$2),"")</f>
        <v/>
      </c>
      <c r="P21" s="16">
        <f>IFERROR(BDP($A21&amp;" ISIN",P$2),"")</f>
        <v/>
      </c>
      <c r="Q21" s="16">
        <f>IFERROR(BDP($A21&amp;" ISIN",Q$2),"")</f>
        <v/>
      </c>
      <c r="R21" s="16">
        <f>IFERROR(BDP($A21&amp;" ISIN",R$2),"")</f>
        <v/>
      </c>
      <c r="S21" s="16">
        <f>IFERROR(BDP($A21&amp;" ISIN",S$2),"")</f>
        <v/>
      </c>
      <c r="T21" s="16">
        <f>IFERROR(BDP($A21&amp;" ISIN",T$2),"")</f>
        <v/>
      </c>
      <c r="U21" s="16">
        <f>IFERROR(BDP($A21&amp;" ISIN",U$2),"")</f>
        <v/>
      </c>
      <c r="V21" s="16">
        <f>IFERROR(BDP($A21&amp;" ISIN",V$2),"")</f>
        <v/>
      </c>
      <c r="W21" s="16">
        <f>IFERROR(BDP($A21&amp;" ISIN",W$2),"")</f>
        <v/>
      </c>
    </row>
    <row r="22">
      <c r="A22" s="25">
        <f>IFERROR(IF(Bonds_Static!A22="","",Bonds_Static!A22),"")</f>
        <v/>
      </c>
      <c r="B22" s="25">
        <f>IFERROR(IF(Bonds_Static!C22="","",Bonds_Static!C22),"")</f>
        <v/>
      </c>
      <c r="C22" s="26">
        <f>IFERROR(Bonds_Static!G22,"")</f>
        <v/>
      </c>
      <c r="D22" s="16">
        <f>IFERROR(BDP($A22&amp;" ISIN",D$2),"")</f>
        <v/>
      </c>
      <c r="E22" s="16">
        <f>IFERROR(BDP($A22&amp;" ISIN",E$2),"")</f>
        <v/>
      </c>
      <c r="F22" s="16">
        <f>IFERROR(BDP($A22&amp;" ISIN",F$2),"")</f>
        <v/>
      </c>
      <c r="G22" s="16">
        <f>IFERROR(BDP($A22&amp;" ISIN",G$2),"")</f>
        <v/>
      </c>
      <c r="H22" s="27">
        <f>IFERROR(IF(OR(E22="",D22=""),"",E22-D22),"")</f>
        <v/>
      </c>
      <c r="I22" s="16">
        <f>IFERROR(BDP($A22&amp;" ISIN",I$2),"")</f>
        <v/>
      </c>
      <c r="J22" s="16">
        <f>IFERROR(BDP($A22&amp;" ISIN",J$2),"")</f>
        <v/>
      </c>
      <c r="K22" s="16">
        <f>IFERROR(BDP($A22&amp;" ISIN",K$2),"")</f>
        <v/>
      </c>
      <c r="L22" s="16">
        <f>IFERROR(BDP($A22&amp;" ISIN",L$2),"")</f>
        <v/>
      </c>
      <c r="M22" s="16">
        <f>IFERROR(BDP($A22&amp;" ISIN",M$2),"")</f>
        <v/>
      </c>
      <c r="N22" s="16">
        <f>IFERROR(BDP($A22&amp;" ISIN",N$2),"")</f>
        <v/>
      </c>
      <c r="O22" s="16">
        <f>IFERROR(BDP($A22&amp;" ISIN",O$2),"")</f>
        <v/>
      </c>
      <c r="P22" s="16">
        <f>IFERROR(BDP($A22&amp;" ISIN",P$2),"")</f>
        <v/>
      </c>
      <c r="Q22" s="16">
        <f>IFERROR(BDP($A22&amp;" ISIN",Q$2),"")</f>
        <v/>
      </c>
      <c r="R22" s="16">
        <f>IFERROR(BDP($A22&amp;" ISIN",R$2),"")</f>
        <v/>
      </c>
      <c r="S22" s="16">
        <f>IFERROR(BDP($A22&amp;" ISIN",S$2),"")</f>
        <v/>
      </c>
      <c r="T22" s="16">
        <f>IFERROR(BDP($A22&amp;" ISIN",T$2),"")</f>
        <v/>
      </c>
      <c r="U22" s="16">
        <f>IFERROR(BDP($A22&amp;" ISIN",U$2),"")</f>
        <v/>
      </c>
      <c r="V22" s="16">
        <f>IFERROR(BDP($A22&amp;" ISIN",V$2),"")</f>
        <v/>
      </c>
      <c r="W22" s="16">
        <f>IFERROR(BDP($A22&amp;" ISIN",W$2),"")</f>
        <v/>
      </c>
    </row>
    <row r="23">
      <c r="A23" s="25">
        <f>IFERROR(IF(Bonds_Static!A23="","",Bonds_Static!A23),"")</f>
        <v/>
      </c>
      <c r="B23" s="25">
        <f>IFERROR(IF(Bonds_Static!C23="","",Bonds_Static!C23),"")</f>
        <v/>
      </c>
      <c r="C23" s="26">
        <f>IFERROR(Bonds_Static!G23,"")</f>
        <v/>
      </c>
      <c r="D23" s="16">
        <f>IFERROR(BDP($A23&amp;" ISIN",D$2),"")</f>
        <v/>
      </c>
      <c r="E23" s="16">
        <f>IFERROR(BDP($A23&amp;" ISIN",E$2),"")</f>
        <v/>
      </c>
      <c r="F23" s="16">
        <f>IFERROR(BDP($A23&amp;" ISIN",F$2),"")</f>
        <v/>
      </c>
      <c r="G23" s="16">
        <f>IFERROR(BDP($A23&amp;" ISIN",G$2),"")</f>
        <v/>
      </c>
      <c r="H23" s="27">
        <f>IFERROR(IF(OR(E23="",D23=""),"",E23-D23),"")</f>
        <v/>
      </c>
      <c r="I23" s="16">
        <f>IFERROR(BDP($A23&amp;" ISIN",I$2),"")</f>
        <v/>
      </c>
      <c r="J23" s="16">
        <f>IFERROR(BDP($A23&amp;" ISIN",J$2),"")</f>
        <v/>
      </c>
      <c r="K23" s="16">
        <f>IFERROR(BDP($A23&amp;" ISIN",K$2),"")</f>
        <v/>
      </c>
      <c r="L23" s="16">
        <f>IFERROR(BDP($A23&amp;" ISIN",L$2),"")</f>
        <v/>
      </c>
      <c r="M23" s="16">
        <f>IFERROR(BDP($A23&amp;" ISIN",M$2),"")</f>
        <v/>
      </c>
      <c r="N23" s="16">
        <f>IFERROR(BDP($A23&amp;" ISIN",N$2),"")</f>
        <v/>
      </c>
      <c r="O23" s="16">
        <f>IFERROR(BDP($A23&amp;" ISIN",O$2),"")</f>
        <v/>
      </c>
      <c r="P23" s="16">
        <f>IFERROR(BDP($A23&amp;" ISIN",P$2),"")</f>
        <v/>
      </c>
      <c r="Q23" s="16">
        <f>IFERROR(BDP($A23&amp;" ISIN",Q$2),"")</f>
        <v/>
      </c>
      <c r="R23" s="16">
        <f>IFERROR(BDP($A23&amp;" ISIN",R$2),"")</f>
        <v/>
      </c>
      <c r="S23" s="16">
        <f>IFERROR(BDP($A23&amp;" ISIN",S$2),"")</f>
        <v/>
      </c>
      <c r="T23" s="16">
        <f>IFERROR(BDP($A23&amp;" ISIN",T$2),"")</f>
        <v/>
      </c>
      <c r="U23" s="16">
        <f>IFERROR(BDP($A23&amp;" ISIN",U$2),"")</f>
        <v/>
      </c>
      <c r="V23" s="16">
        <f>IFERROR(BDP($A23&amp;" ISIN",V$2),"")</f>
        <v/>
      </c>
      <c r="W23" s="16">
        <f>IFERROR(BDP($A23&amp;" ISIN",W$2),"")</f>
        <v/>
      </c>
    </row>
    <row r="24">
      <c r="A24" s="25">
        <f>IFERROR(IF(Bonds_Static!A24="","",Bonds_Static!A24),"")</f>
        <v/>
      </c>
      <c r="B24" s="25">
        <f>IFERROR(IF(Bonds_Static!C24="","",Bonds_Static!C24),"")</f>
        <v/>
      </c>
      <c r="C24" s="26">
        <f>IFERROR(Bonds_Static!G24,"")</f>
        <v/>
      </c>
      <c r="D24" s="16">
        <f>IFERROR(BDP($A24&amp;" ISIN",D$2),"")</f>
        <v/>
      </c>
      <c r="E24" s="16">
        <f>IFERROR(BDP($A24&amp;" ISIN",E$2),"")</f>
        <v/>
      </c>
      <c r="F24" s="16">
        <f>IFERROR(BDP($A24&amp;" ISIN",F$2),"")</f>
        <v/>
      </c>
      <c r="G24" s="16">
        <f>IFERROR(BDP($A24&amp;" ISIN",G$2),"")</f>
        <v/>
      </c>
      <c r="H24" s="27">
        <f>IFERROR(IF(OR(E24="",D24=""),"",E24-D24),"")</f>
        <v/>
      </c>
      <c r="I24" s="16">
        <f>IFERROR(BDP($A24&amp;" ISIN",I$2),"")</f>
        <v/>
      </c>
      <c r="J24" s="16">
        <f>IFERROR(BDP($A24&amp;" ISIN",J$2),"")</f>
        <v/>
      </c>
      <c r="K24" s="16">
        <f>IFERROR(BDP($A24&amp;" ISIN",K$2),"")</f>
        <v/>
      </c>
      <c r="L24" s="16">
        <f>IFERROR(BDP($A24&amp;" ISIN",L$2),"")</f>
        <v/>
      </c>
      <c r="M24" s="16">
        <f>IFERROR(BDP($A24&amp;" ISIN",M$2),"")</f>
        <v/>
      </c>
      <c r="N24" s="16">
        <f>IFERROR(BDP($A24&amp;" ISIN",N$2),"")</f>
        <v/>
      </c>
      <c r="O24" s="16">
        <f>IFERROR(BDP($A24&amp;" ISIN",O$2),"")</f>
        <v/>
      </c>
      <c r="P24" s="16">
        <f>IFERROR(BDP($A24&amp;" ISIN",P$2),"")</f>
        <v/>
      </c>
      <c r="Q24" s="16">
        <f>IFERROR(BDP($A24&amp;" ISIN",Q$2),"")</f>
        <v/>
      </c>
      <c r="R24" s="16">
        <f>IFERROR(BDP($A24&amp;" ISIN",R$2),"")</f>
        <v/>
      </c>
      <c r="S24" s="16">
        <f>IFERROR(BDP($A24&amp;" ISIN",S$2),"")</f>
        <v/>
      </c>
      <c r="T24" s="16">
        <f>IFERROR(BDP($A24&amp;" ISIN",T$2),"")</f>
        <v/>
      </c>
      <c r="U24" s="16">
        <f>IFERROR(BDP($A24&amp;" ISIN",U$2),"")</f>
        <v/>
      </c>
      <c r="V24" s="16">
        <f>IFERROR(BDP($A24&amp;" ISIN",V$2),"")</f>
        <v/>
      </c>
      <c r="W24" s="16">
        <f>IFERROR(BDP($A24&amp;" ISIN",W$2),"")</f>
        <v/>
      </c>
    </row>
    <row r="25">
      <c r="A25" s="25">
        <f>IFERROR(IF(Bonds_Static!A25="","",Bonds_Static!A25),"")</f>
        <v/>
      </c>
      <c r="B25" s="25">
        <f>IFERROR(IF(Bonds_Static!C25="","",Bonds_Static!C25),"")</f>
        <v/>
      </c>
      <c r="C25" s="26">
        <f>IFERROR(Bonds_Static!G25,"")</f>
        <v/>
      </c>
      <c r="D25" s="16">
        <f>IFERROR(BDP($A25&amp;" ISIN",D$2),"")</f>
        <v/>
      </c>
      <c r="E25" s="16">
        <f>IFERROR(BDP($A25&amp;" ISIN",E$2),"")</f>
        <v/>
      </c>
      <c r="F25" s="16">
        <f>IFERROR(BDP($A25&amp;" ISIN",F$2),"")</f>
        <v/>
      </c>
      <c r="G25" s="16">
        <f>IFERROR(BDP($A25&amp;" ISIN",G$2),"")</f>
        <v/>
      </c>
      <c r="H25" s="27">
        <f>IFERROR(IF(OR(E25="",D25=""),"",E25-D25),"")</f>
        <v/>
      </c>
      <c r="I25" s="16">
        <f>IFERROR(BDP($A25&amp;" ISIN",I$2),"")</f>
        <v/>
      </c>
      <c r="J25" s="16">
        <f>IFERROR(BDP($A25&amp;" ISIN",J$2),"")</f>
        <v/>
      </c>
      <c r="K25" s="16">
        <f>IFERROR(BDP($A25&amp;" ISIN",K$2),"")</f>
        <v/>
      </c>
      <c r="L25" s="16">
        <f>IFERROR(BDP($A25&amp;" ISIN",L$2),"")</f>
        <v/>
      </c>
      <c r="M25" s="16">
        <f>IFERROR(BDP($A25&amp;" ISIN",M$2),"")</f>
        <v/>
      </c>
      <c r="N25" s="16">
        <f>IFERROR(BDP($A25&amp;" ISIN",N$2),"")</f>
        <v/>
      </c>
      <c r="O25" s="16">
        <f>IFERROR(BDP($A25&amp;" ISIN",O$2),"")</f>
        <v/>
      </c>
      <c r="P25" s="16">
        <f>IFERROR(BDP($A25&amp;" ISIN",P$2),"")</f>
        <v/>
      </c>
      <c r="Q25" s="16">
        <f>IFERROR(BDP($A25&amp;" ISIN",Q$2),"")</f>
        <v/>
      </c>
      <c r="R25" s="16">
        <f>IFERROR(BDP($A25&amp;" ISIN",R$2),"")</f>
        <v/>
      </c>
      <c r="S25" s="16">
        <f>IFERROR(BDP($A25&amp;" ISIN",S$2),"")</f>
        <v/>
      </c>
      <c r="T25" s="16">
        <f>IFERROR(BDP($A25&amp;" ISIN",T$2),"")</f>
        <v/>
      </c>
      <c r="U25" s="16">
        <f>IFERROR(BDP($A25&amp;" ISIN",U$2),"")</f>
        <v/>
      </c>
      <c r="V25" s="16">
        <f>IFERROR(BDP($A25&amp;" ISIN",V$2),"")</f>
        <v/>
      </c>
      <c r="W25" s="16">
        <f>IFERROR(BDP($A25&amp;" ISIN",W$2),"")</f>
        <v/>
      </c>
    </row>
    <row r="26">
      <c r="A26" s="25">
        <f>IFERROR(IF(Bonds_Static!A26="","",Bonds_Static!A26),"")</f>
        <v/>
      </c>
      <c r="B26" s="25">
        <f>IFERROR(IF(Bonds_Static!C26="","",Bonds_Static!C26),"")</f>
        <v/>
      </c>
      <c r="C26" s="26">
        <f>IFERROR(Bonds_Static!G26,"")</f>
        <v/>
      </c>
      <c r="D26" s="16">
        <f>IFERROR(BDP($A26&amp;" ISIN",D$2),"")</f>
        <v/>
      </c>
      <c r="E26" s="16">
        <f>IFERROR(BDP($A26&amp;" ISIN",E$2),"")</f>
        <v/>
      </c>
      <c r="F26" s="16">
        <f>IFERROR(BDP($A26&amp;" ISIN",F$2),"")</f>
        <v/>
      </c>
      <c r="G26" s="16">
        <f>IFERROR(BDP($A26&amp;" ISIN",G$2),"")</f>
        <v/>
      </c>
      <c r="H26" s="27">
        <f>IFERROR(IF(OR(E26="",D26=""),"",E26-D26),"")</f>
        <v/>
      </c>
      <c r="I26" s="16">
        <f>IFERROR(BDP($A26&amp;" ISIN",I$2),"")</f>
        <v/>
      </c>
      <c r="J26" s="16">
        <f>IFERROR(BDP($A26&amp;" ISIN",J$2),"")</f>
        <v/>
      </c>
      <c r="K26" s="16">
        <f>IFERROR(BDP($A26&amp;" ISIN",K$2),"")</f>
        <v/>
      </c>
      <c r="L26" s="16">
        <f>IFERROR(BDP($A26&amp;" ISIN",L$2),"")</f>
        <v/>
      </c>
      <c r="M26" s="16">
        <f>IFERROR(BDP($A26&amp;" ISIN",M$2),"")</f>
        <v/>
      </c>
      <c r="N26" s="16">
        <f>IFERROR(BDP($A26&amp;" ISIN",N$2),"")</f>
        <v/>
      </c>
      <c r="O26" s="16">
        <f>IFERROR(BDP($A26&amp;" ISIN",O$2),"")</f>
        <v/>
      </c>
      <c r="P26" s="16">
        <f>IFERROR(BDP($A26&amp;" ISIN",P$2),"")</f>
        <v/>
      </c>
      <c r="Q26" s="16">
        <f>IFERROR(BDP($A26&amp;" ISIN",Q$2),"")</f>
        <v/>
      </c>
      <c r="R26" s="16">
        <f>IFERROR(BDP($A26&amp;" ISIN",R$2),"")</f>
        <v/>
      </c>
      <c r="S26" s="16">
        <f>IFERROR(BDP($A26&amp;" ISIN",S$2),"")</f>
        <v/>
      </c>
      <c r="T26" s="16">
        <f>IFERROR(BDP($A26&amp;" ISIN",T$2),"")</f>
        <v/>
      </c>
      <c r="U26" s="16">
        <f>IFERROR(BDP($A26&amp;" ISIN",U$2),"")</f>
        <v/>
      </c>
      <c r="V26" s="16">
        <f>IFERROR(BDP($A26&amp;" ISIN",V$2),"")</f>
        <v/>
      </c>
      <c r="W26" s="16">
        <f>IFERROR(BDP($A26&amp;" ISIN",W$2),"")</f>
        <v/>
      </c>
    </row>
    <row r="27">
      <c r="A27" s="25">
        <f>IFERROR(IF(Bonds_Static!A27="","",Bonds_Static!A27),"")</f>
        <v/>
      </c>
      <c r="B27" s="25">
        <f>IFERROR(IF(Bonds_Static!C27="","",Bonds_Static!C27),"")</f>
        <v/>
      </c>
      <c r="C27" s="26">
        <f>IFERROR(Bonds_Static!G27,"")</f>
        <v/>
      </c>
      <c r="D27" s="16">
        <f>IFERROR(BDP($A27&amp;" ISIN",D$2),"")</f>
        <v/>
      </c>
      <c r="E27" s="16">
        <f>IFERROR(BDP($A27&amp;" ISIN",E$2),"")</f>
        <v/>
      </c>
      <c r="F27" s="16">
        <f>IFERROR(BDP($A27&amp;" ISIN",F$2),"")</f>
        <v/>
      </c>
      <c r="G27" s="16">
        <f>IFERROR(BDP($A27&amp;" ISIN",G$2),"")</f>
        <v/>
      </c>
      <c r="H27" s="27">
        <f>IFERROR(IF(OR(E27="",D27=""),"",E27-D27),"")</f>
        <v/>
      </c>
      <c r="I27" s="16">
        <f>IFERROR(BDP($A27&amp;" ISIN",I$2),"")</f>
        <v/>
      </c>
      <c r="J27" s="16">
        <f>IFERROR(BDP($A27&amp;" ISIN",J$2),"")</f>
        <v/>
      </c>
      <c r="K27" s="16">
        <f>IFERROR(BDP($A27&amp;" ISIN",K$2),"")</f>
        <v/>
      </c>
      <c r="L27" s="16">
        <f>IFERROR(BDP($A27&amp;" ISIN",L$2),"")</f>
        <v/>
      </c>
      <c r="M27" s="16">
        <f>IFERROR(BDP($A27&amp;" ISIN",M$2),"")</f>
        <v/>
      </c>
      <c r="N27" s="16">
        <f>IFERROR(BDP($A27&amp;" ISIN",N$2),"")</f>
        <v/>
      </c>
      <c r="O27" s="16">
        <f>IFERROR(BDP($A27&amp;" ISIN",O$2),"")</f>
        <v/>
      </c>
      <c r="P27" s="16">
        <f>IFERROR(BDP($A27&amp;" ISIN",P$2),"")</f>
        <v/>
      </c>
      <c r="Q27" s="16">
        <f>IFERROR(BDP($A27&amp;" ISIN",Q$2),"")</f>
        <v/>
      </c>
      <c r="R27" s="16">
        <f>IFERROR(BDP($A27&amp;" ISIN",R$2),"")</f>
        <v/>
      </c>
      <c r="S27" s="16">
        <f>IFERROR(BDP($A27&amp;" ISIN",S$2),"")</f>
        <v/>
      </c>
      <c r="T27" s="16">
        <f>IFERROR(BDP($A27&amp;" ISIN",T$2),"")</f>
        <v/>
      </c>
      <c r="U27" s="16">
        <f>IFERROR(BDP($A27&amp;" ISIN",U$2),"")</f>
        <v/>
      </c>
      <c r="V27" s="16">
        <f>IFERROR(BDP($A27&amp;" ISIN",V$2),"")</f>
        <v/>
      </c>
      <c r="W27" s="16">
        <f>IFERROR(BDP($A27&amp;" ISIN",W$2),"")</f>
        <v/>
      </c>
    </row>
  </sheetData>
  <conditionalFormatting sqref="L3:L2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4" customHeight="1">
      <c r="A1" s="21" t="inlineStr">
        <is>
          <t>Tenor</t>
        </is>
      </c>
      <c r="B1" s="21" t="inlineStr">
        <is>
          <t>BBG Ticker</t>
        </is>
      </c>
      <c r="C1" s="21" t="inlineStr">
        <is>
          <t>Yield (%)</t>
        </is>
      </c>
      <c r="D1" s="21" t="inlineStr">
        <is>
          <t>1D Δ (bp)</t>
        </is>
      </c>
      <c r="E1" s="21" t="inlineStr">
        <is>
          <t>5D Δ (bp)</t>
        </is>
      </c>
      <c r="F1" s="21" t="inlineStr">
        <is>
          <t>1M Δ (bp)</t>
        </is>
      </c>
    </row>
    <row r="2" ht="18" customHeight="1">
      <c r="A2" s="5" t="inlineStr"/>
      <c r="B2" s="5" t="inlineStr"/>
      <c r="C2" s="22" t="inlineStr">
        <is>
          <t>PX_LAST</t>
        </is>
      </c>
      <c r="D2" s="22" t="inlineStr">
        <is>
          <t>CHG_PCT_1D</t>
        </is>
      </c>
      <c r="E2" s="22" t="inlineStr">
        <is>
          <t>CHG_PCT_5D</t>
        </is>
      </c>
      <c r="F2" s="22" t="inlineStr">
        <is>
          <t>CHG_PCT_1M</t>
        </is>
      </c>
    </row>
    <row r="3">
      <c r="A3" s="28" t="inlineStr">
        <is>
          <t>3M</t>
        </is>
      </c>
      <c r="B3" s="8" t="inlineStr">
        <is>
          <t>USGG3M Index</t>
        </is>
      </c>
      <c r="C3" s="16">
        <f>IFERROR(BDP($B3,C$2),"")</f>
        <v/>
      </c>
      <c r="D3" s="16">
        <f>IFERROR(BDP($B3,D$2)*100,"")</f>
        <v/>
      </c>
      <c r="E3" s="16">
        <f>IFERROR(BDP($B3,E$2)*100,"")</f>
        <v/>
      </c>
      <c r="F3" s="16">
        <f>IFERROR(BDP($B3,F$2)*100,"")</f>
        <v/>
      </c>
    </row>
    <row r="4">
      <c r="A4" s="28" t="inlineStr">
        <is>
          <t>6M</t>
        </is>
      </c>
      <c r="B4" s="8" t="inlineStr">
        <is>
          <t>USGG6M Index</t>
        </is>
      </c>
      <c r="C4" s="16">
        <f>IFERROR(BDP($B4,C$2),"")</f>
        <v/>
      </c>
      <c r="D4" s="16">
        <f>IFERROR(BDP($B4,D$2)*100,"")</f>
        <v/>
      </c>
      <c r="E4" s="16">
        <f>IFERROR(BDP($B4,E$2)*100,"")</f>
        <v/>
      </c>
      <c r="F4" s="16">
        <f>IFERROR(BDP($B4,F$2)*100,"")</f>
        <v/>
      </c>
    </row>
    <row r="5">
      <c r="A5" s="28" t="inlineStr">
        <is>
          <t>1Y</t>
        </is>
      </c>
      <c r="B5" s="8" t="inlineStr">
        <is>
          <t>USGG12M Index</t>
        </is>
      </c>
      <c r="C5" s="16">
        <f>IFERROR(BDP($B5,C$2),"")</f>
        <v/>
      </c>
      <c r="D5" s="16">
        <f>IFERROR(BDP($B5,D$2)*100,"")</f>
        <v/>
      </c>
      <c r="E5" s="16">
        <f>IFERROR(BDP($B5,E$2)*100,"")</f>
        <v/>
      </c>
      <c r="F5" s="16">
        <f>IFERROR(BDP($B5,F$2)*100,"")</f>
        <v/>
      </c>
    </row>
    <row r="6">
      <c r="A6" s="28" t="inlineStr">
        <is>
          <t>2Y</t>
        </is>
      </c>
      <c r="B6" s="8" t="inlineStr">
        <is>
          <t>USGG2YR Index</t>
        </is>
      </c>
      <c r="C6" s="16">
        <f>IFERROR(BDP($B6,C$2),"")</f>
        <v/>
      </c>
      <c r="D6" s="16">
        <f>IFERROR(BDP($B6,D$2)*100,"")</f>
        <v/>
      </c>
      <c r="E6" s="16">
        <f>IFERROR(BDP($B6,E$2)*100,"")</f>
        <v/>
      </c>
      <c r="F6" s="16">
        <f>IFERROR(BDP($B6,F$2)*100,"")</f>
        <v/>
      </c>
    </row>
    <row r="7">
      <c r="A7" s="28" t="inlineStr">
        <is>
          <t>3Y</t>
        </is>
      </c>
      <c r="B7" s="8" t="inlineStr">
        <is>
          <t>USGG3YR Index</t>
        </is>
      </c>
      <c r="C7" s="16">
        <f>IFERROR(BDP($B7,C$2),"")</f>
        <v/>
      </c>
      <c r="D7" s="16">
        <f>IFERROR(BDP($B7,D$2)*100,"")</f>
        <v/>
      </c>
      <c r="E7" s="16">
        <f>IFERROR(BDP($B7,E$2)*100,"")</f>
        <v/>
      </c>
      <c r="F7" s="16">
        <f>IFERROR(BDP($B7,F$2)*100,"")</f>
        <v/>
      </c>
    </row>
    <row r="8">
      <c r="A8" s="28" t="inlineStr">
        <is>
          <t>5Y</t>
        </is>
      </c>
      <c r="B8" s="8" t="inlineStr">
        <is>
          <t>USGG5YR Index</t>
        </is>
      </c>
      <c r="C8" s="16">
        <f>IFERROR(BDP($B8,C$2),"")</f>
        <v/>
      </c>
      <c r="D8" s="16">
        <f>IFERROR(BDP($B8,D$2)*100,"")</f>
        <v/>
      </c>
      <c r="E8" s="16">
        <f>IFERROR(BDP($B8,E$2)*100,"")</f>
        <v/>
      </c>
      <c r="F8" s="16">
        <f>IFERROR(BDP($B8,F$2)*100,"")</f>
        <v/>
      </c>
    </row>
    <row r="9">
      <c r="A9" s="28" t="inlineStr">
        <is>
          <t>7Y</t>
        </is>
      </c>
      <c r="B9" s="8" t="inlineStr">
        <is>
          <t>USGG7YR Index</t>
        </is>
      </c>
      <c r="C9" s="16">
        <f>IFERROR(BDP($B9,C$2),"")</f>
        <v/>
      </c>
      <c r="D9" s="16">
        <f>IFERROR(BDP($B9,D$2)*100,"")</f>
        <v/>
      </c>
      <c r="E9" s="16">
        <f>IFERROR(BDP($B9,E$2)*100,"")</f>
        <v/>
      </c>
      <c r="F9" s="16">
        <f>IFERROR(BDP($B9,F$2)*100,"")</f>
        <v/>
      </c>
    </row>
    <row r="10">
      <c r="A10" s="28" t="inlineStr">
        <is>
          <t>10Y</t>
        </is>
      </c>
      <c r="B10" s="8" t="inlineStr">
        <is>
          <t>USGG10YR Index</t>
        </is>
      </c>
      <c r="C10" s="16">
        <f>IFERROR(BDP($B10,C$2),"")</f>
        <v/>
      </c>
      <c r="D10" s="16">
        <f>IFERROR(BDP($B10,D$2)*100,"")</f>
        <v/>
      </c>
      <c r="E10" s="16">
        <f>IFERROR(BDP($B10,E$2)*100,"")</f>
        <v/>
      </c>
      <c r="F10" s="16">
        <f>IFERROR(BDP($B10,F$2)*100,"")</f>
        <v/>
      </c>
    </row>
    <row r="11">
      <c r="A11" s="28" t="inlineStr">
        <is>
          <t>20Y</t>
        </is>
      </c>
      <c r="B11" s="8" t="inlineStr">
        <is>
          <t>USGG20YR Index</t>
        </is>
      </c>
      <c r="C11" s="16">
        <f>IFERROR(BDP($B11,C$2),"")</f>
        <v/>
      </c>
      <c r="D11" s="16">
        <f>IFERROR(BDP($B11,D$2)*100,"")</f>
        <v/>
      </c>
      <c r="E11" s="16">
        <f>IFERROR(BDP($B11,E$2)*100,"")</f>
        <v/>
      </c>
      <c r="F11" s="16">
        <f>IFERROR(BDP($B11,F$2)*100,"")</f>
        <v/>
      </c>
    </row>
    <row r="12">
      <c r="A12" s="28" t="inlineStr">
        <is>
          <t>30Y</t>
        </is>
      </c>
      <c r="B12" s="8" t="inlineStr">
        <is>
          <t>USGG30YR Index</t>
        </is>
      </c>
      <c r="C12" s="16">
        <f>IFERROR(BDP($B12,C$2),"")</f>
        <v/>
      </c>
      <c r="D12" s="16">
        <f>IFERROR(BDP($B12,D$2)*100,"")</f>
        <v/>
      </c>
      <c r="E12" s="16">
        <f>IFERROR(BDP($B12,E$2)*100,"")</f>
        <v/>
      </c>
      <c r="F12" s="16">
        <f>IFERROR(BDP($B12,F$2)*100,"")</f>
        <v/>
      </c>
    </row>
    <row r="14">
      <c r="A14" s="5" t="inlineStr">
        <is>
          <t>Curve slopes (bp)</t>
        </is>
      </c>
      <c r="B14" s="6" t="n"/>
      <c r="C14" s="6" t="n"/>
      <c r="D14" s="6" t="n"/>
      <c r="E14" s="6" t="n"/>
      <c r="F14" s="7" t="n"/>
    </row>
    <row r="15">
      <c r="A15" s="28" t="inlineStr">
        <is>
          <t>2s10s</t>
        </is>
      </c>
      <c r="C15" s="29">
        <f>IFERROR((C10-C6)*100,"")</f>
        <v/>
      </c>
    </row>
    <row r="16">
      <c r="A16" s="28" t="inlineStr">
        <is>
          <t>5s30s</t>
        </is>
      </c>
      <c r="C16" s="29">
        <f>IFERROR((C12-C8)*100,"")</f>
        <v/>
      </c>
    </row>
    <row r="17">
      <c r="A17" s="28" t="inlineStr">
        <is>
          <t>2s30s</t>
        </is>
      </c>
      <c r="C17" s="29">
        <f>IFERROR((C12-C6)*100,"")</f>
        <v/>
      </c>
    </row>
    <row r="18">
      <c r="A18" s="28" t="inlineStr">
        <is>
          <t>10s30s</t>
        </is>
      </c>
      <c r="C18" s="29">
        <f>IFERROR((C12-C10)*100,"")</f>
        <v/>
      </c>
    </row>
    <row r="20">
      <c r="A20" s="5" t="inlineStr">
        <is>
          <t>Rates Volatility Regime (MOVE Index)</t>
        </is>
      </c>
      <c r="B20" s="6" t="n"/>
      <c r="C20" s="6" t="n"/>
      <c r="D20" s="6" t="n"/>
      <c r="E20" s="6" t="n"/>
      <c r="F20" s="7" t="n"/>
    </row>
    <row r="21">
      <c r="A21" s="28" t="inlineStr">
        <is>
          <t>MOVE level</t>
        </is>
      </c>
      <c r="B21" s="8" t="inlineStr">
        <is>
          <t>MOVE Index</t>
        </is>
      </c>
      <c r="C21" s="16">
        <f>IFERROR(BDP(B21,"PX_LAST"),"")</f>
        <v/>
      </c>
    </row>
    <row r="22">
      <c r="A22" s="28" t="inlineStr">
        <is>
          <t>1Y avg</t>
        </is>
      </c>
      <c r="C22" s="16">
        <f>IFERROR(AVERAGE(INDEX(BDH(B21,"PX_LAST","-1Y","0D"),0,2)),"")</f>
        <v/>
      </c>
    </row>
    <row r="23">
      <c r="A23" s="28" t="inlineStr">
        <is>
          <t>1Y stdev</t>
        </is>
      </c>
      <c r="C23" s="16">
        <f>IFERROR(STDEV(INDEX(BDH(B21,"PX_LAST","-1Y","0D"),0,2)),"")</f>
        <v/>
      </c>
    </row>
    <row r="24">
      <c r="A24" s="28" t="inlineStr">
        <is>
          <t>1Y percentile (current)</t>
        </is>
      </c>
      <c r="C24" s="16">
        <f>IFERROR(PERCENTRANK.INC(INDEX(BDH(B21,"PX_LAST","-1Y","0D"),0,2),C21)*100,"")</f>
        <v/>
      </c>
    </row>
    <row r="25">
      <c r="A25" s="28" t="inlineStr">
        <is>
          <t>Regime</t>
        </is>
      </c>
      <c r="C25" s="10">
        <f>IFERROR(IF(C24="","",IF(C24&gt;=Settings!$C$55,"EXTREME",IF(C24&gt;=Settings!$C$54,"HIGH","NORMAL"))),"")</f>
        <v/>
      </c>
    </row>
    <row r="26">
      <c r="A26" s="28" t="inlineStr">
        <is>
          <t>Position size scalar</t>
        </is>
      </c>
      <c r="C26" s="20">
        <f>IFERROR(IF(C25="","",IF(C25="EXTREME",Settings!$C$57,IF(C25="HIGH",Settings!$C$56,1))),"")</f>
        <v/>
      </c>
    </row>
  </sheetData>
  <mergeCells count="2">
    <mergeCell ref="A20:F20"/>
    <mergeCell ref="A14:F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4" customWidth="1" min="7" max="7"/>
    <col width="18" customWidth="1" min="8" max="8"/>
    <col width="14" customWidth="1" min="9" max="9"/>
    <col width="30" customWidth="1" min="10" max="10"/>
  </cols>
  <sheetData>
    <row r="1" ht="30" customHeight="1">
      <c r="A1" s="21" t="inlineStr">
        <is>
          <t>ISIN</t>
        </is>
      </c>
      <c r="B1" s="21" t="inlineStr">
        <is>
          <t>Description</t>
        </is>
      </c>
      <c r="C1" s="21" t="inlineStr">
        <is>
          <t>τ (yrs)</t>
        </is>
      </c>
      <c r="D1" s="21" t="inlineStr">
        <is>
          <t>Actual YTM</t>
        </is>
      </c>
      <c r="E1" s="21" t="inlineStr">
        <is>
          <t>Modeled YTM</t>
        </is>
      </c>
      <c r="F1" s="21" t="inlineStr">
        <is>
          <t>Residual (bp)</t>
        </is>
      </c>
      <c r="H1" s="21" t="inlineStr">
        <is>
          <t>Solver block</t>
        </is>
      </c>
      <c r="I1" s="6" t="n"/>
      <c r="J1" s="7" t="n"/>
    </row>
    <row r="2">
      <c r="A2" s="30" t="inlineStr"/>
      <c r="B2" s="30" t="inlineStr"/>
      <c r="C2" s="30" t="inlineStr"/>
      <c r="D2" s="30" t="inlineStr"/>
      <c r="E2" s="30" t="inlineStr"/>
      <c r="F2" s="30" t="inlineStr"/>
      <c r="H2" s="13" t="inlineStr">
        <is>
          <t>Sum of sq residuals</t>
        </is>
      </c>
      <c r="I2" s="16">
        <f>SUMSQ(F3:F27)</f>
        <v/>
      </c>
    </row>
    <row r="3">
      <c r="A3" s="25">
        <f>Bonds_Static!A3</f>
        <v/>
      </c>
      <c r="B3" s="25">
        <f>Bonds_Static!C3</f>
        <v/>
      </c>
      <c r="C3" s="26">
        <f>IFERROR(Bonds_Static!G3,"")</f>
        <v/>
      </c>
      <c r="D3" s="31">
        <f>IFERROR(Bonds_Live!K3/100,"")</f>
        <v/>
      </c>
      <c r="E3" s="32">
        <f>IFERROR(IF(C3="","",(Settings!$C$12 + Settings!$C$13*((1-EXP(-C3/Settings!$C$16))/(C3/Settings!$C$16)) + Settings!$C$14*((1-EXP(-C3/Settings!$C$16))/(C3/Settings!$C$16) - EXP(-C3/Settings!$C$16)) + Settings!$C$15*((1-EXP(-C3/Settings!$C$17))/(C3/Settings!$C$17) - EXP(-C3/Settings!$C$17)))/100),"")</f>
        <v/>
      </c>
      <c r="F3" s="29">
        <f>IFERROR(IF(OR(D3="",E3=""),"",(D3-E3)*10000),"")</f>
        <v/>
      </c>
      <c r="H3" s="13" t="inlineStr">
        <is>
          <t>Avg |residual| (bp)</t>
        </is>
      </c>
      <c r="I3" s="29">
        <f>IFERROR(AVERAGEIF(F3:F27,"&lt;&gt;",F3:F27),"")</f>
        <v/>
      </c>
    </row>
    <row r="4">
      <c r="A4" s="25">
        <f>Bonds_Static!A4</f>
        <v/>
      </c>
      <c r="B4" s="25">
        <f>Bonds_Static!C4</f>
        <v/>
      </c>
      <c r="C4" s="26">
        <f>IFERROR(Bonds_Static!G4,"")</f>
        <v/>
      </c>
      <c r="D4" s="31">
        <f>IFERROR(Bonds_Live!K4/100,"")</f>
        <v/>
      </c>
      <c r="E4" s="32">
        <f>IFERROR(IF(C4="","",(Settings!$C$12 + Settings!$C$13*((1-EXP(-C4/Settings!$C$16))/(C4/Settings!$C$16)) + Settings!$C$14*((1-EXP(-C4/Settings!$C$16))/(C4/Settings!$C$16) - EXP(-C4/Settings!$C$16)) + Settings!$C$15*((1-EXP(-C4/Settings!$C$17))/(C4/Settings!$C$17) - EXP(-C4/Settings!$C$17)))/100),"")</f>
        <v/>
      </c>
      <c r="F4" s="29">
        <f>IFERROR(IF(OR(D4="",E4=""),"",(D4-E4)*10000),"")</f>
        <v/>
      </c>
      <c r="H4" s="13" t="inlineStr">
        <is>
          <t>Bonds in fit</t>
        </is>
      </c>
      <c r="I4" s="10">
        <f>COUNT(F3:F27)</f>
        <v/>
      </c>
    </row>
    <row r="5">
      <c r="A5" s="25">
        <f>Bonds_Static!A5</f>
        <v/>
      </c>
      <c r="B5" s="25">
        <f>Bonds_Static!C5</f>
        <v/>
      </c>
      <c r="C5" s="26">
        <f>IFERROR(Bonds_Static!G5,"")</f>
        <v/>
      </c>
      <c r="D5" s="31">
        <f>IFERROR(Bonds_Live!K5/100,"")</f>
        <v/>
      </c>
      <c r="E5" s="32">
        <f>IFERROR(IF(C5="","",(Settings!$C$12 + Settings!$C$13*((1-EXP(-C5/Settings!$C$16))/(C5/Settings!$C$16)) + Settings!$C$14*((1-EXP(-C5/Settings!$C$16))/(C5/Settings!$C$16) - EXP(-C5/Settings!$C$16)) + Settings!$C$15*((1-EXP(-C5/Settings!$C$17))/(C5/Settings!$C$17) - EXP(-C5/Settings!$C$17)))/100),"")</f>
        <v/>
      </c>
      <c r="F5" s="29">
        <f>IFERROR(IF(OR(D5="",E5=""),"",(D5-E5)*10000),"")</f>
        <v/>
      </c>
    </row>
    <row r="6">
      <c r="A6" s="25">
        <f>Bonds_Static!A6</f>
        <v/>
      </c>
      <c r="B6" s="25">
        <f>Bonds_Static!C6</f>
        <v/>
      </c>
      <c r="C6" s="26">
        <f>IFERROR(Bonds_Static!G6,"")</f>
        <v/>
      </c>
      <c r="D6" s="31">
        <f>IFERROR(Bonds_Live!K6/100,"")</f>
        <v/>
      </c>
      <c r="E6" s="32">
        <f>IFERROR(IF(C6="","",(Settings!$C$12 + Settings!$C$13*((1-EXP(-C6/Settings!$C$16))/(C6/Settings!$C$16)) + Settings!$C$14*((1-EXP(-C6/Settings!$C$16))/(C6/Settings!$C$16) - EXP(-C6/Settings!$C$16)) + Settings!$C$15*((1-EXP(-C6/Settings!$C$17))/(C6/Settings!$C$17) - EXP(-C6/Settings!$C$17)))/100),"")</f>
        <v/>
      </c>
      <c r="F6" s="29">
        <f>IFERROR(IF(OR(D6="",E6=""),"",(D6-E6)*10000),"")</f>
        <v/>
      </c>
      <c r="H6" s="33" t="inlineStr">
        <is>
          <t>Solver: Min SSR by changing Settings!$C$12:$C$17.</t>
        </is>
      </c>
    </row>
    <row r="7">
      <c r="A7" s="25">
        <f>Bonds_Static!A7</f>
        <v/>
      </c>
      <c r="B7" s="25">
        <f>Bonds_Static!C7</f>
        <v/>
      </c>
      <c r="C7" s="26">
        <f>IFERROR(Bonds_Static!G7,"")</f>
        <v/>
      </c>
      <c r="D7" s="31">
        <f>IFERROR(Bonds_Live!K7/100,"")</f>
        <v/>
      </c>
      <c r="E7" s="32">
        <f>IFERROR(IF(C7="","",(Settings!$C$12 + Settings!$C$13*((1-EXP(-C7/Settings!$C$16))/(C7/Settings!$C$16)) + Settings!$C$14*((1-EXP(-C7/Settings!$C$16))/(C7/Settings!$C$16) - EXP(-C7/Settings!$C$16)) + Settings!$C$15*((1-EXP(-C7/Settings!$C$17))/(C7/Settings!$C$17) - EXP(-C7/Settings!$C$17)))/100),"")</f>
        <v/>
      </c>
      <c r="F7" s="29">
        <f>IFERROR(IF(OR(D7="",E7=""),"",(D7-E7)*10000),"")</f>
        <v/>
      </c>
    </row>
    <row r="8">
      <c r="A8" s="25">
        <f>Bonds_Static!A8</f>
        <v/>
      </c>
      <c r="B8" s="25">
        <f>Bonds_Static!C8</f>
        <v/>
      </c>
      <c r="C8" s="26">
        <f>IFERROR(Bonds_Static!G8,"")</f>
        <v/>
      </c>
      <c r="D8" s="31">
        <f>IFERROR(Bonds_Live!K8/100,"")</f>
        <v/>
      </c>
      <c r="E8" s="32">
        <f>IFERROR(IF(C8="","",(Settings!$C$12 + Settings!$C$13*((1-EXP(-C8/Settings!$C$16))/(C8/Settings!$C$16)) + Settings!$C$14*((1-EXP(-C8/Settings!$C$16))/(C8/Settings!$C$16) - EXP(-C8/Settings!$C$16)) + Settings!$C$15*((1-EXP(-C8/Settings!$C$17))/(C8/Settings!$C$17) - EXP(-C8/Settings!$C$17)))/100),"")</f>
        <v/>
      </c>
      <c r="F8" s="29">
        <f>IFERROR(IF(OR(D8="",E8=""),"",(D8-E8)*10000),"")</f>
        <v/>
      </c>
    </row>
    <row r="9">
      <c r="A9" s="25">
        <f>Bonds_Static!A9</f>
        <v/>
      </c>
      <c r="B9" s="25">
        <f>Bonds_Static!C9</f>
        <v/>
      </c>
      <c r="C9" s="26">
        <f>IFERROR(Bonds_Static!G9,"")</f>
        <v/>
      </c>
      <c r="D9" s="31">
        <f>IFERROR(Bonds_Live!K9/100,"")</f>
        <v/>
      </c>
      <c r="E9" s="32">
        <f>IFERROR(IF(C9="","",(Settings!$C$12 + Settings!$C$13*((1-EXP(-C9/Settings!$C$16))/(C9/Settings!$C$16)) + Settings!$C$14*((1-EXP(-C9/Settings!$C$16))/(C9/Settings!$C$16) - EXP(-C9/Settings!$C$16)) + Settings!$C$15*((1-EXP(-C9/Settings!$C$17))/(C9/Settings!$C$17) - EXP(-C9/Settings!$C$17)))/100),"")</f>
        <v/>
      </c>
      <c r="F9" s="29">
        <f>IFERROR(IF(OR(D9="",E9=""),"",(D9-E9)*10000),"")</f>
        <v/>
      </c>
    </row>
    <row r="10">
      <c r="A10" s="25">
        <f>Bonds_Static!A10</f>
        <v/>
      </c>
      <c r="B10" s="25">
        <f>Bonds_Static!C10</f>
        <v/>
      </c>
      <c r="C10" s="26">
        <f>IFERROR(Bonds_Static!G10,"")</f>
        <v/>
      </c>
      <c r="D10" s="31">
        <f>IFERROR(Bonds_Live!K10/100,"")</f>
        <v/>
      </c>
      <c r="E10" s="32">
        <f>IFERROR(IF(C10="","",(Settings!$C$12 + Settings!$C$13*((1-EXP(-C10/Settings!$C$16))/(C10/Settings!$C$16)) + Settings!$C$14*((1-EXP(-C10/Settings!$C$16))/(C10/Settings!$C$16) - EXP(-C10/Settings!$C$16)) + Settings!$C$15*((1-EXP(-C10/Settings!$C$17))/(C10/Settings!$C$17) - EXP(-C10/Settings!$C$17)))/100),"")</f>
        <v/>
      </c>
      <c r="F10" s="29">
        <f>IFERROR(IF(OR(D10="",E10=""),"",(D10-E10)*10000),"")</f>
        <v/>
      </c>
    </row>
    <row r="11">
      <c r="A11" s="25">
        <f>Bonds_Static!A11</f>
        <v/>
      </c>
      <c r="B11" s="25">
        <f>Bonds_Static!C11</f>
        <v/>
      </c>
      <c r="C11" s="26">
        <f>IFERROR(Bonds_Static!G11,"")</f>
        <v/>
      </c>
      <c r="D11" s="31">
        <f>IFERROR(Bonds_Live!K11/100,"")</f>
        <v/>
      </c>
      <c r="E11" s="32">
        <f>IFERROR(IF(C11="","",(Settings!$C$12 + Settings!$C$13*((1-EXP(-C11/Settings!$C$16))/(C11/Settings!$C$16)) + Settings!$C$14*((1-EXP(-C11/Settings!$C$16))/(C11/Settings!$C$16) - EXP(-C11/Settings!$C$16)) + Settings!$C$15*((1-EXP(-C11/Settings!$C$17))/(C11/Settings!$C$17) - EXP(-C11/Settings!$C$17)))/100),"")</f>
        <v/>
      </c>
      <c r="F11" s="29">
        <f>IFERROR(IF(OR(D11="",E11=""),"",(D11-E11)*10000),"")</f>
        <v/>
      </c>
    </row>
    <row r="12">
      <c r="A12" s="25">
        <f>Bonds_Static!A12</f>
        <v/>
      </c>
      <c r="B12" s="25">
        <f>Bonds_Static!C12</f>
        <v/>
      </c>
      <c r="C12" s="26">
        <f>IFERROR(Bonds_Static!G12,"")</f>
        <v/>
      </c>
      <c r="D12" s="31">
        <f>IFERROR(Bonds_Live!K12/100,"")</f>
        <v/>
      </c>
      <c r="E12" s="32">
        <f>IFERROR(IF(C12="","",(Settings!$C$12 + Settings!$C$13*((1-EXP(-C12/Settings!$C$16))/(C12/Settings!$C$16)) + Settings!$C$14*((1-EXP(-C12/Settings!$C$16))/(C12/Settings!$C$16) - EXP(-C12/Settings!$C$16)) + Settings!$C$15*((1-EXP(-C12/Settings!$C$17))/(C12/Settings!$C$17) - EXP(-C12/Settings!$C$17)))/100),"")</f>
        <v/>
      </c>
      <c r="F12" s="29">
        <f>IFERROR(IF(OR(D12="",E12=""),"",(D12-E12)*10000),"")</f>
        <v/>
      </c>
    </row>
    <row r="13">
      <c r="A13" s="25">
        <f>Bonds_Static!A13</f>
        <v/>
      </c>
      <c r="B13" s="25">
        <f>Bonds_Static!C13</f>
        <v/>
      </c>
      <c r="C13" s="26">
        <f>IFERROR(Bonds_Static!G13,"")</f>
        <v/>
      </c>
      <c r="D13" s="31">
        <f>IFERROR(Bonds_Live!K13/100,"")</f>
        <v/>
      </c>
      <c r="E13" s="32">
        <f>IFERROR(IF(C13="","",(Settings!$C$12 + Settings!$C$13*((1-EXP(-C13/Settings!$C$16))/(C13/Settings!$C$16)) + Settings!$C$14*((1-EXP(-C13/Settings!$C$16))/(C13/Settings!$C$16) - EXP(-C13/Settings!$C$16)) + Settings!$C$15*((1-EXP(-C13/Settings!$C$17))/(C13/Settings!$C$17) - EXP(-C13/Settings!$C$17)))/100),"")</f>
        <v/>
      </c>
      <c r="F13" s="29">
        <f>IFERROR(IF(OR(D13="",E13=""),"",(D13-E13)*10000),"")</f>
        <v/>
      </c>
    </row>
    <row r="14">
      <c r="A14" s="25">
        <f>Bonds_Static!A14</f>
        <v/>
      </c>
      <c r="B14" s="25">
        <f>Bonds_Static!C14</f>
        <v/>
      </c>
      <c r="C14" s="26">
        <f>IFERROR(Bonds_Static!G14,"")</f>
        <v/>
      </c>
      <c r="D14" s="31">
        <f>IFERROR(Bonds_Live!K14/100,"")</f>
        <v/>
      </c>
      <c r="E14" s="32">
        <f>IFERROR(IF(C14="","",(Settings!$C$12 + Settings!$C$13*((1-EXP(-C14/Settings!$C$16))/(C14/Settings!$C$16)) + Settings!$C$14*((1-EXP(-C14/Settings!$C$16))/(C14/Settings!$C$16) - EXP(-C14/Settings!$C$16)) + Settings!$C$15*((1-EXP(-C14/Settings!$C$17))/(C14/Settings!$C$17) - EXP(-C14/Settings!$C$17)))/100),"")</f>
        <v/>
      </c>
      <c r="F14" s="29">
        <f>IFERROR(IF(OR(D14="",E14=""),"",(D14-E14)*10000),"")</f>
        <v/>
      </c>
    </row>
    <row r="15">
      <c r="A15" s="25">
        <f>Bonds_Static!A15</f>
        <v/>
      </c>
      <c r="B15" s="25">
        <f>Bonds_Static!C15</f>
        <v/>
      </c>
      <c r="C15" s="26">
        <f>IFERROR(Bonds_Static!G15,"")</f>
        <v/>
      </c>
      <c r="D15" s="31">
        <f>IFERROR(Bonds_Live!K15/100,"")</f>
        <v/>
      </c>
      <c r="E15" s="32">
        <f>IFERROR(IF(C15="","",(Settings!$C$12 + Settings!$C$13*((1-EXP(-C15/Settings!$C$16))/(C15/Settings!$C$16)) + Settings!$C$14*((1-EXP(-C15/Settings!$C$16))/(C15/Settings!$C$16) - EXP(-C15/Settings!$C$16)) + Settings!$C$15*((1-EXP(-C15/Settings!$C$17))/(C15/Settings!$C$17) - EXP(-C15/Settings!$C$17)))/100),"")</f>
        <v/>
      </c>
      <c r="F15" s="29">
        <f>IFERROR(IF(OR(D15="",E15=""),"",(D15-E15)*10000),"")</f>
        <v/>
      </c>
    </row>
    <row r="16">
      <c r="A16" s="25">
        <f>Bonds_Static!A16</f>
        <v/>
      </c>
      <c r="B16" s="25">
        <f>Bonds_Static!C16</f>
        <v/>
      </c>
      <c r="C16" s="26">
        <f>IFERROR(Bonds_Static!G16,"")</f>
        <v/>
      </c>
      <c r="D16" s="31">
        <f>IFERROR(Bonds_Live!K16/100,"")</f>
        <v/>
      </c>
      <c r="E16" s="32">
        <f>IFERROR(IF(C16="","",(Settings!$C$12 + Settings!$C$13*((1-EXP(-C16/Settings!$C$16))/(C16/Settings!$C$16)) + Settings!$C$14*((1-EXP(-C16/Settings!$C$16))/(C16/Settings!$C$16) - EXP(-C16/Settings!$C$16)) + Settings!$C$15*((1-EXP(-C16/Settings!$C$17))/(C16/Settings!$C$17) - EXP(-C16/Settings!$C$17)))/100),"")</f>
        <v/>
      </c>
      <c r="F16" s="29">
        <f>IFERROR(IF(OR(D16="",E16=""),"",(D16-E16)*10000),"")</f>
        <v/>
      </c>
    </row>
    <row r="17">
      <c r="A17" s="25">
        <f>Bonds_Static!A17</f>
        <v/>
      </c>
      <c r="B17" s="25">
        <f>Bonds_Static!C17</f>
        <v/>
      </c>
      <c r="C17" s="26">
        <f>IFERROR(Bonds_Static!G17,"")</f>
        <v/>
      </c>
      <c r="D17" s="31">
        <f>IFERROR(Bonds_Live!K17/100,"")</f>
        <v/>
      </c>
      <c r="E17" s="32">
        <f>IFERROR(IF(C17="","",(Settings!$C$12 + Settings!$C$13*((1-EXP(-C17/Settings!$C$16))/(C17/Settings!$C$16)) + Settings!$C$14*((1-EXP(-C17/Settings!$C$16))/(C17/Settings!$C$16) - EXP(-C17/Settings!$C$16)) + Settings!$C$15*((1-EXP(-C17/Settings!$C$17))/(C17/Settings!$C$17) - EXP(-C17/Settings!$C$17)))/100),"")</f>
        <v/>
      </c>
      <c r="F17" s="29">
        <f>IFERROR(IF(OR(D17="",E17=""),"",(D17-E17)*10000),"")</f>
        <v/>
      </c>
    </row>
    <row r="18">
      <c r="A18" s="25">
        <f>Bonds_Static!A18</f>
        <v/>
      </c>
      <c r="B18" s="25">
        <f>Bonds_Static!C18</f>
        <v/>
      </c>
      <c r="C18" s="26">
        <f>IFERROR(Bonds_Static!G18,"")</f>
        <v/>
      </c>
      <c r="D18" s="31">
        <f>IFERROR(Bonds_Live!K18/100,"")</f>
        <v/>
      </c>
      <c r="E18" s="32">
        <f>IFERROR(IF(C18="","",(Settings!$C$12 + Settings!$C$13*((1-EXP(-C18/Settings!$C$16))/(C18/Settings!$C$16)) + Settings!$C$14*((1-EXP(-C18/Settings!$C$16))/(C18/Settings!$C$16) - EXP(-C18/Settings!$C$16)) + Settings!$C$15*((1-EXP(-C18/Settings!$C$17))/(C18/Settings!$C$17) - EXP(-C18/Settings!$C$17)))/100),"")</f>
        <v/>
      </c>
      <c r="F18" s="29">
        <f>IFERROR(IF(OR(D18="",E18=""),"",(D18-E18)*10000),"")</f>
        <v/>
      </c>
    </row>
    <row r="19">
      <c r="A19" s="25">
        <f>Bonds_Static!A19</f>
        <v/>
      </c>
      <c r="B19" s="25">
        <f>Bonds_Static!C19</f>
        <v/>
      </c>
      <c r="C19" s="26">
        <f>IFERROR(Bonds_Static!G19,"")</f>
        <v/>
      </c>
      <c r="D19" s="31">
        <f>IFERROR(Bonds_Live!K19/100,"")</f>
        <v/>
      </c>
      <c r="E19" s="32">
        <f>IFERROR(IF(C19="","",(Settings!$C$12 + Settings!$C$13*((1-EXP(-C19/Settings!$C$16))/(C19/Settings!$C$16)) + Settings!$C$14*((1-EXP(-C19/Settings!$C$16))/(C19/Settings!$C$16) - EXP(-C19/Settings!$C$16)) + Settings!$C$15*((1-EXP(-C19/Settings!$C$17))/(C19/Settings!$C$17) - EXP(-C19/Settings!$C$17)))/100),"")</f>
        <v/>
      </c>
      <c r="F19" s="29">
        <f>IFERROR(IF(OR(D19="",E19=""),"",(D19-E19)*10000),"")</f>
        <v/>
      </c>
    </row>
    <row r="20">
      <c r="A20" s="25">
        <f>Bonds_Static!A20</f>
        <v/>
      </c>
      <c r="B20" s="25">
        <f>Bonds_Static!C20</f>
        <v/>
      </c>
      <c r="C20" s="26">
        <f>IFERROR(Bonds_Static!G20,"")</f>
        <v/>
      </c>
      <c r="D20" s="31">
        <f>IFERROR(Bonds_Live!K20/100,"")</f>
        <v/>
      </c>
      <c r="E20" s="32">
        <f>IFERROR(IF(C20="","",(Settings!$C$12 + Settings!$C$13*((1-EXP(-C20/Settings!$C$16))/(C20/Settings!$C$16)) + Settings!$C$14*((1-EXP(-C20/Settings!$C$16))/(C20/Settings!$C$16) - EXP(-C20/Settings!$C$16)) + Settings!$C$15*((1-EXP(-C20/Settings!$C$17))/(C20/Settings!$C$17) - EXP(-C20/Settings!$C$17)))/100),"")</f>
        <v/>
      </c>
      <c r="F20" s="29">
        <f>IFERROR(IF(OR(D20="",E20=""),"",(D20-E20)*10000),"")</f>
        <v/>
      </c>
    </row>
    <row r="21">
      <c r="A21" s="25">
        <f>Bonds_Static!A21</f>
        <v/>
      </c>
      <c r="B21" s="25">
        <f>Bonds_Static!C21</f>
        <v/>
      </c>
      <c r="C21" s="26">
        <f>IFERROR(Bonds_Static!G21,"")</f>
        <v/>
      </c>
      <c r="D21" s="31">
        <f>IFERROR(Bonds_Live!K21/100,"")</f>
        <v/>
      </c>
      <c r="E21" s="32">
        <f>IFERROR(IF(C21="","",(Settings!$C$12 + Settings!$C$13*((1-EXP(-C21/Settings!$C$16))/(C21/Settings!$C$16)) + Settings!$C$14*((1-EXP(-C21/Settings!$C$16))/(C21/Settings!$C$16) - EXP(-C21/Settings!$C$16)) + Settings!$C$15*((1-EXP(-C21/Settings!$C$17))/(C21/Settings!$C$17) - EXP(-C21/Settings!$C$17)))/100),"")</f>
        <v/>
      </c>
      <c r="F21" s="29">
        <f>IFERROR(IF(OR(D21="",E21=""),"",(D21-E21)*10000),"")</f>
        <v/>
      </c>
    </row>
    <row r="22">
      <c r="A22" s="25">
        <f>Bonds_Static!A22</f>
        <v/>
      </c>
      <c r="B22" s="25">
        <f>Bonds_Static!C22</f>
        <v/>
      </c>
      <c r="C22" s="26">
        <f>IFERROR(Bonds_Static!G22,"")</f>
        <v/>
      </c>
      <c r="D22" s="31">
        <f>IFERROR(Bonds_Live!K22/100,"")</f>
        <v/>
      </c>
      <c r="E22" s="32">
        <f>IFERROR(IF(C22="","",(Settings!$C$12 + Settings!$C$13*((1-EXP(-C22/Settings!$C$16))/(C22/Settings!$C$16)) + Settings!$C$14*((1-EXP(-C22/Settings!$C$16))/(C22/Settings!$C$16) - EXP(-C22/Settings!$C$16)) + Settings!$C$15*((1-EXP(-C22/Settings!$C$17))/(C22/Settings!$C$17) - EXP(-C22/Settings!$C$17)))/100),"")</f>
        <v/>
      </c>
      <c r="F22" s="29">
        <f>IFERROR(IF(OR(D22="",E22=""),"",(D22-E22)*10000),"")</f>
        <v/>
      </c>
    </row>
    <row r="23">
      <c r="A23" s="25">
        <f>Bonds_Static!A23</f>
        <v/>
      </c>
      <c r="B23" s="25">
        <f>Bonds_Static!C23</f>
        <v/>
      </c>
      <c r="C23" s="26">
        <f>IFERROR(Bonds_Static!G23,"")</f>
        <v/>
      </c>
      <c r="D23" s="31">
        <f>IFERROR(Bonds_Live!K23/100,"")</f>
        <v/>
      </c>
      <c r="E23" s="32">
        <f>IFERROR(IF(C23="","",(Settings!$C$12 + Settings!$C$13*((1-EXP(-C23/Settings!$C$16))/(C23/Settings!$C$16)) + Settings!$C$14*((1-EXP(-C23/Settings!$C$16))/(C23/Settings!$C$16) - EXP(-C23/Settings!$C$16)) + Settings!$C$15*((1-EXP(-C23/Settings!$C$17))/(C23/Settings!$C$17) - EXP(-C23/Settings!$C$17)))/100),"")</f>
        <v/>
      </c>
      <c r="F23" s="29">
        <f>IFERROR(IF(OR(D23="",E23=""),"",(D23-E23)*10000),"")</f>
        <v/>
      </c>
    </row>
    <row r="24">
      <c r="A24" s="25">
        <f>Bonds_Static!A24</f>
        <v/>
      </c>
      <c r="B24" s="25">
        <f>Bonds_Static!C24</f>
        <v/>
      </c>
      <c r="C24" s="26">
        <f>IFERROR(Bonds_Static!G24,"")</f>
        <v/>
      </c>
      <c r="D24" s="31">
        <f>IFERROR(Bonds_Live!K24/100,"")</f>
        <v/>
      </c>
      <c r="E24" s="32">
        <f>IFERROR(IF(C24="","",(Settings!$C$12 + Settings!$C$13*((1-EXP(-C24/Settings!$C$16))/(C24/Settings!$C$16)) + Settings!$C$14*((1-EXP(-C24/Settings!$C$16))/(C24/Settings!$C$16) - EXP(-C24/Settings!$C$16)) + Settings!$C$15*((1-EXP(-C24/Settings!$C$17))/(C24/Settings!$C$17) - EXP(-C24/Settings!$C$17)))/100),"")</f>
        <v/>
      </c>
      <c r="F24" s="29">
        <f>IFERROR(IF(OR(D24="",E24=""),"",(D24-E24)*10000),"")</f>
        <v/>
      </c>
    </row>
    <row r="25">
      <c r="A25" s="25">
        <f>Bonds_Static!A25</f>
        <v/>
      </c>
      <c r="B25" s="25">
        <f>Bonds_Static!C25</f>
        <v/>
      </c>
      <c r="C25" s="26">
        <f>IFERROR(Bonds_Static!G25,"")</f>
        <v/>
      </c>
      <c r="D25" s="31">
        <f>IFERROR(Bonds_Live!K25/100,"")</f>
        <v/>
      </c>
      <c r="E25" s="32">
        <f>IFERROR(IF(C25="","",(Settings!$C$12 + Settings!$C$13*((1-EXP(-C25/Settings!$C$16))/(C25/Settings!$C$16)) + Settings!$C$14*((1-EXP(-C25/Settings!$C$16))/(C25/Settings!$C$16) - EXP(-C25/Settings!$C$16)) + Settings!$C$15*((1-EXP(-C25/Settings!$C$17))/(C25/Settings!$C$17) - EXP(-C25/Settings!$C$17)))/100),"")</f>
        <v/>
      </c>
      <c r="F25" s="29">
        <f>IFERROR(IF(OR(D25="",E25=""),"",(D25-E25)*10000),"")</f>
        <v/>
      </c>
    </row>
    <row r="26">
      <c r="A26" s="25">
        <f>Bonds_Static!A26</f>
        <v/>
      </c>
      <c r="B26" s="25">
        <f>Bonds_Static!C26</f>
        <v/>
      </c>
      <c r="C26" s="26">
        <f>IFERROR(Bonds_Static!G26,"")</f>
        <v/>
      </c>
      <c r="D26" s="31">
        <f>IFERROR(Bonds_Live!K26/100,"")</f>
        <v/>
      </c>
      <c r="E26" s="32">
        <f>IFERROR(IF(C26="","",(Settings!$C$12 + Settings!$C$13*((1-EXP(-C26/Settings!$C$16))/(C26/Settings!$C$16)) + Settings!$C$14*((1-EXP(-C26/Settings!$C$16))/(C26/Settings!$C$16) - EXP(-C26/Settings!$C$16)) + Settings!$C$15*((1-EXP(-C26/Settings!$C$17))/(C26/Settings!$C$17) - EXP(-C26/Settings!$C$17)))/100),"")</f>
        <v/>
      </c>
      <c r="F26" s="29">
        <f>IFERROR(IF(OR(D26="",E26=""),"",(D26-E26)*10000),"")</f>
        <v/>
      </c>
    </row>
    <row r="27">
      <c r="A27" s="25">
        <f>Bonds_Static!A27</f>
        <v/>
      </c>
      <c r="B27" s="25">
        <f>Bonds_Static!C27</f>
        <v/>
      </c>
      <c r="C27" s="26">
        <f>IFERROR(Bonds_Static!G27,"")</f>
        <v/>
      </c>
      <c r="D27" s="31">
        <f>IFERROR(Bonds_Live!K27/100,"")</f>
        <v/>
      </c>
      <c r="E27" s="32">
        <f>IFERROR(IF(C27="","",(Settings!$C$12 + Settings!$C$13*((1-EXP(-C27/Settings!$C$16))/(C27/Settings!$C$16)) + Settings!$C$14*((1-EXP(-C27/Settings!$C$16))/(C27/Settings!$C$16) - EXP(-C27/Settings!$C$16)) + Settings!$C$15*((1-EXP(-C27/Settings!$C$17))/(C27/Settings!$C$17) - EXP(-C27/Settings!$C$17)))/100),"")</f>
        <v/>
      </c>
      <c r="F27" s="29">
        <f>IFERROR(IF(OR(D27="",E27=""),"",(D27-E27)*10000),"")</f>
        <v/>
      </c>
    </row>
  </sheetData>
  <mergeCells count="2">
    <mergeCell ref="H1:J1"/>
    <mergeCell ref="H6:J7"/>
  </mergeCells>
  <conditionalFormatting sqref="F3:F27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13" customWidth="1" min="4" max="4"/>
    <col width="18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</cols>
  <sheetData>
    <row r="1" ht="30" customHeight="1">
      <c r="A1" s="21" t="inlineStr">
        <is>
          <t>ISIN</t>
        </is>
      </c>
      <c r="B1" s="21" t="inlineStr">
        <is>
          <t>Description</t>
        </is>
      </c>
      <c r="C1" s="21" t="inlineStr">
        <is>
          <t>Amt Out ($mm)</t>
        </is>
      </c>
      <c r="D1" s="21" t="inlineStr">
        <is>
          <t>Bid-Ask (pts)</t>
        </is>
      </c>
      <c r="E1" s="21" t="inlineStr">
        <is>
          <t>TRACE Avg Vol ($mm)</t>
        </is>
      </c>
      <c r="F1" s="21" t="inlineStr">
        <is>
          <t>LQA Score</t>
        </is>
      </c>
      <c r="G1" s="21" t="inlineStr">
        <is>
          <t>Yrs to Maty</t>
        </is>
      </c>
      <c r="H1" s="21" t="inlineStr">
        <is>
          <t>Criteria Passed</t>
        </is>
      </c>
      <c r="I1" s="21" t="inlineStr">
        <is>
          <t>Liquidity Score</t>
        </is>
      </c>
      <c r="J1" s="21" t="inlineStr">
        <is>
          <t>Liquid?</t>
        </is>
      </c>
    </row>
    <row r="2" ht="18" customHeight="1">
      <c r="A2" s="5" t="inlineStr"/>
      <c r="B2" s="5" t="inlineStr"/>
      <c r="C2" s="5" t="inlineStr"/>
      <c r="D2" s="5" t="inlineStr"/>
      <c r="E2" s="22" t="inlineStr">
        <is>
          <t>TRACE_AVG_DAILY_VOL</t>
        </is>
      </c>
      <c r="F2" s="22" t="inlineStr">
        <is>
          <t>LIQUIDITY_SCORE_BB</t>
        </is>
      </c>
      <c r="G2" s="5" t="inlineStr"/>
      <c r="H2" s="5" t="inlineStr"/>
      <c r="I2" s="5" t="inlineStr"/>
      <c r="J2" s="5" t="inlineStr"/>
    </row>
    <row r="3">
      <c r="A3" s="25">
        <f>Bonds_Static!A3</f>
        <v/>
      </c>
      <c r="B3" s="25">
        <f>Bonds_Static!C3</f>
        <v/>
      </c>
      <c r="C3" s="34">
        <f>IFERROR(Bonds_Static!H3,"")</f>
        <v/>
      </c>
      <c r="D3" s="35">
        <f>IFERROR(Bonds_Live!H3,"")</f>
        <v/>
      </c>
      <c r="E3" s="16">
        <f>IFERROR(BDP($A3&amp;" ISIN",E$2)/1000000,"")</f>
        <v/>
      </c>
      <c r="F3" s="24">
        <f>IFERROR(BDP($A3&amp;" ISIN",F$2),"")</f>
        <v/>
      </c>
      <c r="G3" s="26">
        <f>IFERROR(Bonds_Static!G3,"")</f>
        <v/>
      </c>
      <c r="H3" s="10">
        <f>IFERROR((IF(ISNUMBER(C3),IF(C3&gt;=Settings!$C$34,1,0),0))+(IF(ISNUMBER(D3),IF(D3&lt;=Settings!$C$35,1,0),0))+(IF(ISNUMBER(E3),IF(E3&gt;=Settings!$C$36,1,0),0))+(IF(ISNUMBER(F3),IF(F3&gt;=Settings!$C$37,1,0),0))+(IF(ISNUMBER(G3),IF(G3&gt;=Settings!$C$38,1,0),0)),"")</f>
        <v/>
      </c>
      <c r="I3" s="24">
        <f>IFERROR(100*(0.40*MIN(IF(ISNUMBER(C3),C3/2000,0),1)+0.20*MAX(IF(ISNUMBER(D3),1-D3/1.5,0),0)+0.20*MIN(IF(ISNUMBER(E3),E3/20,0),1)+0.20*IF(ISNUMBER(F3),F3/100,0)),"")</f>
        <v/>
      </c>
      <c r="J3" s="10">
        <f>IFERROR(IF(H3="","",IF(H3&gt;=Settings!$C$39,"PASS","FAIL")),"")</f>
        <v/>
      </c>
    </row>
    <row r="4">
      <c r="A4" s="25">
        <f>Bonds_Static!A4</f>
        <v/>
      </c>
      <c r="B4" s="25">
        <f>Bonds_Static!C4</f>
        <v/>
      </c>
      <c r="C4" s="34">
        <f>IFERROR(Bonds_Static!H4,"")</f>
        <v/>
      </c>
      <c r="D4" s="35">
        <f>IFERROR(Bonds_Live!H4,"")</f>
        <v/>
      </c>
      <c r="E4" s="16">
        <f>IFERROR(BDP($A4&amp;" ISIN",E$2)/1000000,"")</f>
        <v/>
      </c>
      <c r="F4" s="24">
        <f>IFERROR(BDP($A4&amp;" ISIN",F$2),"")</f>
        <v/>
      </c>
      <c r="G4" s="26">
        <f>IFERROR(Bonds_Static!G4,"")</f>
        <v/>
      </c>
      <c r="H4" s="10">
        <f>IFERROR((IF(ISNUMBER(C4),IF(C4&gt;=Settings!$C$34,1,0),0))+(IF(ISNUMBER(D4),IF(D4&lt;=Settings!$C$35,1,0),0))+(IF(ISNUMBER(E4),IF(E4&gt;=Settings!$C$36,1,0),0))+(IF(ISNUMBER(F4),IF(F4&gt;=Settings!$C$37,1,0),0))+(IF(ISNUMBER(G4),IF(G4&gt;=Settings!$C$38,1,0),0)),"")</f>
        <v/>
      </c>
      <c r="I4" s="24">
        <f>IFERROR(100*(0.40*MIN(IF(ISNUMBER(C4),C4/2000,0),1)+0.20*MAX(IF(ISNUMBER(D4),1-D4/1.5,0),0)+0.20*MIN(IF(ISNUMBER(E4),E4/20,0),1)+0.20*IF(ISNUMBER(F4),F4/100,0)),"")</f>
        <v/>
      </c>
      <c r="J4" s="10">
        <f>IFERROR(IF(H4="","",IF(H4&gt;=Settings!$C$39,"PASS","FAIL")),"")</f>
        <v/>
      </c>
    </row>
    <row r="5">
      <c r="A5" s="25">
        <f>Bonds_Static!A5</f>
        <v/>
      </c>
      <c r="B5" s="25">
        <f>Bonds_Static!C5</f>
        <v/>
      </c>
      <c r="C5" s="34">
        <f>IFERROR(Bonds_Static!H5,"")</f>
        <v/>
      </c>
      <c r="D5" s="35">
        <f>IFERROR(Bonds_Live!H5,"")</f>
        <v/>
      </c>
      <c r="E5" s="16">
        <f>IFERROR(BDP($A5&amp;" ISIN",E$2)/1000000,"")</f>
        <v/>
      </c>
      <c r="F5" s="24">
        <f>IFERROR(BDP($A5&amp;" ISIN",F$2),"")</f>
        <v/>
      </c>
      <c r="G5" s="26">
        <f>IFERROR(Bonds_Static!G5,"")</f>
        <v/>
      </c>
      <c r="H5" s="10">
        <f>IFERROR((IF(ISNUMBER(C5),IF(C5&gt;=Settings!$C$34,1,0),0))+(IF(ISNUMBER(D5),IF(D5&lt;=Settings!$C$35,1,0),0))+(IF(ISNUMBER(E5),IF(E5&gt;=Settings!$C$36,1,0),0))+(IF(ISNUMBER(F5),IF(F5&gt;=Settings!$C$37,1,0),0))+(IF(ISNUMBER(G5),IF(G5&gt;=Settings!$C$38,1,0),0)),"")</f>
        <v/>
      </c>
      <c r="I5" s="24">
        <f>IFERROR(100*(0.40*MIN(IF(ISNUMBER(C5),C5/2000,0),1)+0.20*MAX(IF(ISNUMBER(D5),1-D5/1.5,0),0)+0.20*MIN(IF(ISNUMBER(E5),E5/20,0),1)+0.20*IF(ISNUMBER(F5),F5/100,0)),"")</f>
        <v/>
      </c>
      <c r="J5" s="10">
        <f>IFERROR(IF(H5="","",IF(H5&gt;=Settings!$C$39,"PASS","FAIL")),"")</f>
        <v/>
      </c>
    </row>
    <row r="6">
      <c r="A6" s="25">
        <f>Bonds_Static!A6</f>
        <v/>
      </c>
      <c r="B6" s="25">
        <f>Bonds_Static!C6</f>
        <v/>
      </c>
      <c r="C6" s="34">
        <f>IFERROR(Bonds_Static!H6,"")</f>
        <v/>
      </c>
      <c r="D6" s="35">
        <f>IFERROR(Bonds_Live!H6,"")</f>
        <v/>
      </c>
      <c r="E6" s="16">
        <f>IFERROR(BDP($A6&amp;" ISIN",E$2)/1000000,"")</f>
        <v/>
      </c>
      <c r="F6" s="24">
        <f>IFERROR(BDP($A6&amp;" ISIN",F$2),"")</f>
        <v/>
      </c>
      <c r="G6" s="26">
        <f>IFERROR(Bonds_Static!G6,"")</f>
        <v/>
      </c>
      <c r="H6" s="10">
        <f>IFERROR((IF(ISNUMBER(C6),IF(C6&gt;=Settings!$C$34,1,0),0))+(IF(ISNUMBER(D6),IF(D6&lt;=Settings!$C$35,1,0),0))+(IF(ISNUMBER(E6),IF(E6&gt;=Settings!$C$36,1,0),0))+(IF(ISNUMBER(F6),IF(F6&gt;=Settings!$C$37,1,0),0))+(IF(ISNUMBER(G6),IF(G6&gt;=Settings!$C$38,1,0),0)),"")</f>
        <v/>
      </c>
      <c r="I6" s="24">
        <f>IFERROR(100*(0.40*MIN(IF(ISNUMBER(C6),C6/2000,0),1)+0.20*MAX(IF(ISNUMBER(D6),1-D6/1.5,0),0)+0.20*MIN(IF(ISNUMBER(E6),E6/20,0),1)+0.20*IF(ISNUMBER(F6),F6/100,0)),"")</f>
        <v/>
      </c>
      <c r="J6" s="10">
        <f>IFERROR(IF(H6="","",IF(H6&gt;=Settings!$C$39,"PASS","FAIL")),"")</f>
        <v/>
      </c>
    </row>
    <row r="7">
      <c r="A7" s="25">
        <f>Bonds_Static!A7</f>
        <v/>
      </c>
      <c r="B7" s="25">
        <f>Bonds_Static!C7</f>
        <v/>
      </c>
      <c r="C7" s="34">
        <f>IFERROR(Bonds_Static!H7,"")</f>
        <v/>
      </c>
      <c r="D7" s="35">
        <f>IFERROR(Bonds_Live!H7,"")</f>
        <v/>
      </c>
      <c r="E7" s="16">
        <f>IFERROR(BDP($A7&amp;" ISIN",E$2)/1000000,"")</f>
        <v/>
      </c>
      <c r="F7" s="24">
        <f>IFERROR(BDP($A7&amp;" ISIN",F$2),"")</f>
        <v/>
      </c>
      <c r="G7" s="26">
        <f>IFERROR(Bonds_Static!G7,"")</f>
        <v/>
      </c>
      <c r="H7" s="10">
        <f>IFERROR((IF(ISNUMBER(C7),IF(C7&gt;=Settings!$C$34,1,0),0))+(IF(ISNUMBER(D7),IF(D7&lt;=Settings!$C$35,1,0),0))+(IF(ISNUMBER(E7),IF(E7&gt;=Settings!$C$36,1,0),0))+(IF(ISNUMBER(F7),IF(F7&gt;=Settings!$C$37,1,0),0))+(IF(ISNUMBER(G7),IF(G7&gt;=Settings!$C$38,1,0),0)),"")</f>
        <v/>
      </c>
      <c r="I7" s="24">
        <f>IFERROR(100*(0.40*MIN(IF(ISNUMBER(C7),C7/2000,0),1)+0.20*MAX(IF(ISNUMBER(D7),1-D7/1.5,0),0)+0.20*MIN(IF(ISNUMBER(E7),E7/20,0),1)+0.20*IF(ISNUMBER(F7),F7/100,0)),"")</f>
        <v/>
      </c>
      <c r="J7" s="10">
        <f>IFERROR(IF(H7="","",IF(H7&gt;=Settings!$C$39,"PASS","FAIL")),"")</f>
        <v/>
      </c>
    </row>
    <row r="8">
      <c r="A8" s="25">
        <f>Bonds_Static!A8</f>
        <v/>
      </c>
      <c r="B8" s="25">
        <f>Bonds_Static!C8</f>
        <v/>
      </c>
      <c r="C8" s="34">
        <f>IFERROR(Bonds_Static!H8,"")</f>
        <v/>
      </c>
      <c r="D8" s="35">
        <f>IFERROR(Bonds_Live!H8,"")</f>
        <v/>
      </c>
      <c r="E8" s="16">
        <f>IFERROR(BDP($A8&amp;" ISIN",E$2)/1000000,"")</f>
        <v/>
      </c>
      <c r="F8" s="24">
        <f>IFERROR(BDP($A8&amp;" ISIN",F$2),"")</f>
        <v/>
      </c>
      <c r="G8" s="26">
        <f>IFERROR(Bonds_Static!G8,"")</f>
        <v/>
      </c>
      <c r="H8" s="10">
        <f>IFERROR((IF(ISNUMBER(C8),IF(C8&gt;=Settings!$C$34,1,0),0))+(IF(ISNUMBER(D8),IF(D8&lt;=Settings!$C$35,1,0),0))+(IF(ISNUMBER(E8),IF(E8&gt;=Settings!$C$36,1,0),0))+(IF(ISNUMBER(F8),IF(F8&gt;=Settings!$C$37,1,0),0))+(IF(ISNUMBER(G8),IF(G8&gt;=Settings!$C$38,1,0),0)),"")</f>
        <v/>
      </c>
      <c r="I8" s="24">
        <f>IFERROR(100*(0.40*MIN(IF(ISNUMBER(C8),C8/2000,0),1)+0.20*MAX(IF(ISNUMBER(D8),1-D8/1.5,0),0)+0.20*MIN(IF(ISNUMBER(E8),E8/20,0),1)+0.20*IF(ISNUMBER(F8),F8/100,0)),"")</f>
        <v/>
      </c>
      <c r="J8" s="10">
        <f>IFERROR(IF(H8="","",IF(H8&gt;=Settings!$C$39,"PASS","FAIL")),"")</f>
        <v/>
      </c>
    </row>
    <row r="9">
      <c r="A9" s="25">
        <f>Bonds_Static!A9</f>
        <v/>
      </c>
      <c r="B9" s="25">
        <f>Bonds_Static!C9</f>
        <v/>
      </c>
      <c r="C9" s="34">
        <f>IFERROR(Bonds_Static!H9,"")</f>
        <v/>
      </c>
      <c r="D9" s="35">
        <f>IFERROR(Bonds_Live!H9,"")</f>
        <v/>
      </c>
      <c r="E9" s="16">
        <f>IFERROR(BDP($A9&amp;" ISIN",E$2)/1000000,"")</f>
        <v/>
      </c>
      <c r="F9" s="24">
        <f>IFERROR(BDP($A9&amp;" ISIN",F$2),"")</f>
        <v/>
      </c>
      <c r="G9" s="26">
        <f>IFERROR(Bonds_Static!G9,"")</f>
        <v/>
      </c>
      <c r="H9" s="10">
        <f>IFERROR((IF(ISNUMBER(C9),IF(C9&gt;=Settings!$C$34,1,0),0))+(IF(ISNUMBER(D9),IF(D9&lt;=Settings!$C$35,1,0),0))+(IF(ISNUMBER(E9),IF(E9&gt;=Settings!$C$36,1,0),0))+(IF(ISNUMBER(F9),IF(F9&gt;=Settings!$C$37,1,0),0))+(IF(ISNUMBER(G9),IF(G9&gt;=Settings!$C$38,1,0),0)),"")</f>
        <v/>
      </c>
      <c r="I9" s="24">
        <f>IFERROR(100*(0.40*MIN(IF(ISNUMBER(C9),C9/2000,0),1)+0.20*MAX(IF(ISNUMBER(D9),1-D9/1.5,0),0)+0.20*MIN(IF(ISNUMBER(E9),E9/20,0),1)+0.20*IF(ISNUMBER(F9),F9/100,0)),"")</f>
        <v/>
      </c>
      <c r="J9" s="10">
        <f>IFERROR(IF(H9="","",IF(H9&gt;=Settings!$C$39,"PASS","FAIL")),"")</f>
        <v/>
      </c>
    </row>
    <row r="10">
      <c r="A10" s="25">
        <f>Bonds_Static!A10</f>
        <v/>
      </c>
      <c r="B10" s="25">
        <f>Bonds_Static!C10</f>
        <v/>
      </c>
      <c r="C10" s="34">
        <f>IFERROR(Bonds_Static!H10,"")</f>
        <v/>
      </c>
      <c r="D10" s="35">
        <f>IFERROR(Bonds_Live!H10,"")</f>
        <v/>
      </c>
      <c r="E10" s="16">
        <f>IFERROR(BDP($A10&amp;" ISIN",E$2)/1000000,"")</f>
        <v/>
      </c>
      <c r="F10" s="24">
        <f>IFERROR(BDP($A10&amp;" ISIN",F$2),"")</f>
        <v/>
      </c>
      <c r="G10" s="26">
        <f>IFERROR(Bonds_Static!G10,"")</f>
        <v/>
      </c>
      <c r="H10" s="10">
        <f>IFERROR((IF(ISNUMBER(C10),IF(C10&gt;=Settings!$C$34,1,0),0))+(IF(ISNUMBER(D10),IF(D10&lt;=Settings!$C$35,1,0),0))+(IF(ISNUMBER(E10),IF(E10&gt;=Settings!$C$36,1,0),0))+(IF(ISNUMBER(F10),IF(F10&gt;=Settings!$C$37,1,0),0))+(IF(ISNUMBER(G10),IF(G10&gt;=Settings!$C$38,1,0),0)),"")</f>
        <v/>
      </c>
      <c r="I10" s="24">
        <f>IFERROR(100*(0.40*MIN(IF(ISNUMBER(C10),C10/2000,0),1)+0.20*MAX(IF(ISNUMBER(D10),1-D10/1.5,0),0)+0.20*MIN(IF(ISNUMBER(E10),E10/20,0),1)+0.20*IF(ISNUMBER(F10),F10/100,0)),"")</f>
        <v/>
      </c>
      <c r="J10" s="10">
        <f>IFERROR(IF(H10="","",IF(H10&gt;=Settings!$C$39,"PASS","FAIL")),"")</f>
        <v/>
      </c>
    </row>
    <row r="11">
      <c r="A11" s="25">
        <f>Bonds_Static!A11</f>
        <v/>
      </c>
      <c r="B11" s="25">
        <f>Bonds_Static!C11</f>
        <v/>
      </c>
      <c r="C11" s="34">
        <f>IFERROR(Bonds_Static!H11,"")</f>
        <v/>
      </c>
      <c r="D11" s="35">
        <f>IFERROR(Bonds_Live!H11,"")</f>
        <v/>
      </c>
      <c r="E11" s="16">
        <f>IFERROR(BDP($A11&amp;" ISIN",E$2)/1000000,"")</f>
        <v/>
      </c>
      <c r="F11" s="24">
        <f>IFERROR(BDP($A11&amp;" ISIN",F$2),"")</f>
        <v/>
      </c>
      <c r="G11" s="26">
        <f>IFERROR(Bonds_Static!G11,"")</f>
        <v/>
      </c>
      <c r="H11" s="10">
        <f>IFERROR((IF(ISNUMBER(C11),IF(C11&gt;=Settings!$C$34,1,0),0))+(IF(ISNUMBER(D11),IF(D11&lt;=Settings!$C$35,1,0),0))+(IF(ISNUMBER(E11),IF(E11&gt;=Settings!$C$36,1,0),0))+(IF(ISNUMBER(F11),IF(F11&gt;=Settings!$C$37,1,0),0))+(IF(ISNUMBER(G11),IF(G11&gt;=Settings!$C$38,1,0),0)),"")</f>
        <v/>
      </c>
      <c r="I11" s="24">
        <f>IFERROR(100*(0.40*MIN(IF(ISNUMBER(C11),C11/2000,0),1)+0.20*MAX(IF(ISNUMBER(D11),1-D11/1.5,0),0)+0.20*MIN(IF(ISNUMBER(E11),E11/20,0),1)+0.20*IF(ISNUMBER(F11),F11/100,0)),"")</f>
        <v/>
      </c>
      <c r="J11" s="10">
        <f>IFERROR(IF(H11="","",IF(H11&gt;=Settings!$C$39,"PASS","FAIL")),"")</f>
        <v/>
      </c>
    </row>
    <row r="12">
      <c r="A12" s="25">
        <f>Bonds_Static!A12</f>
        <v/>
      </c>
      <c r="B12" s="25">
        <f>Bonds_Static!C12</f>
        <v/>
      </c>
      <c r="C12" s="34">
        <f>IFERROR(Bonds_Static!H12,"")</f>
        <v/>
      </c>
      <c r="D12" s="35">
        <f>IFERROR(Bonds_Live!H12,"")</f>
        <v/>
      </c>
      <c r="E12" s="16">
        <f>IFERROR(BDP($A12&amp;" ISIN",E$2)/1000000,"")</f>
        <v/>
      </c>
      <c r="F12" s="24">
        <f>IFERROR(BDP($A12&amp;" ISIN",F$2),"")</f>
        <v/>
      </c>
      <c r="G12" s="26">
        <f>IFERROR(Bonds_Static!G12,"")</f>
        <v/>
      </c>
      <c r="H12" s="10">
        <f>IFERROR((IF(ISNUMBER(C12),IF(C12&gt;=Settings!$C$34,1,0),0))+(IF(ISNUMBER(D12),IF(D12&lt;=Settings!$C$35,1,0),0))+(IF(ISNUMBER(E12),IF(E12&gt;=Settings!$C$36,1,0),0))+(IF(ISNUMBER(F12),IF(F12&gt;=Settings!$C$37,1,0),0))+(IF(ISNUMBER(G12),IF(G12&gt;=Settings!$C$38,1,0),0)),"")</f>
        <v/>
      </c>
      <c r="I12" s="24">
        <f>IFERROR(100*(0.40*MIN(IF(ISNUMBER(C12),C12/2000,0),1)+0.20*MAX(IF(ISNUMBER(D12),1-D12/1.5,0),0)+0.20*MIN(IF(ISNUMBER(E12),E12/20,0),1)+0.20*IF(ISNUMBER(F12),F12/100,0)),"")</f>
        <v/>
      </c>
      <c r="J12" s="10">
        <f>IFERROR(IF(H12="","",IF(H12&gt;=Settings!$C$39,"PASS","FAIL")),"")</f>
        <v/>
      </c>
    </row>
    <row r="13">
      <c r="A13" s="25">
        <f>Bonds_Static!A13</f>
        <v/>
      </c>
      <c r="B13" s="25">
        <f>Bonds_Static!C13</f>
        <v/>
      </c>
      <c r="C13" s="34">
        <f>IFERROR(Bonds_Static!H13,"")</f>
        <v/>
      </c>
      <c r="D13" s="35">
        <f>IFERROR(Bonds_Live!H13,"")</f>
        <v/>
      </c>
      <c r="E13" s="16">
        <f>IFERROR(BDP($A13&amp;" ISIN",E$2)/1000000,"")</f>
        <v/>
      </c>
      <c r="F13" s="24">
        <f>IFERROR(BDP($A13&amp;" ISIN",F$2),"")</f>
        <v/>
      </c>
      <c r="G13" s="26">
        <f>IFERROR(Bonds_Static!G13,"")</f>
        <v/>
      </c>
      <c r="H13" s="10">
        <f>IFERROR((IF(ISNUMBER(C13),IF(C13&gt;=Settings!$C$34,1,0),0))+(IF(ISNUMBER(D13),IF(D13&lt;=Settings!$C$35,1,0),0))+(IF(ISNUMBER(E13),IF(E13&gt;=Settings!$C$36,1,0),0))+(IF(ISNUMBER(F13),IF(F13&gt;=Settings!$C$37,1,0),0))+(IF(ISNUMBER(G13),IF(G13&gt;=Settings!$C$38,1,0),0)),"")</f>
        <v/>
      </c>
      <c r="I13" s="24">
        <f>IFERROR(100*(0.40*MIN(IF(ISNUMBER(C13),C13/2000,0),1)+0.20*MAX(IF(ISNUMBER(D13),1-D13/1.5,0),0)+0.20*MIN(IF(ISNUMBER(E13),E13/20,0),1)+0.20*IF(ISNUMBER(F13),F13/100,0)),"")</f>
        <v/>
      </c>
      <c r="J13" s="10">
        <f>IFERROR(IF(H13="","",IF(H13&gt;=Settings!$C$39,"PASS","FAIL")),"")</f>
        <v/>
      </c>
    </row>
    <row r="14">
      <c r="A14" s="25">
        <f>Bonds_Static!A14</f>
        <v/>
      </c>
      <c r="B14" s="25">
        <f>Bonds_Static!C14</f>
        <v/>
      </c>
      <c r="C14" s="34">
        <f>IFERROR(Bonds_Static!H14,"")</f>
        <v/>
      </c>
      <c r="D14" s="35">
        <f>IFERROR(Bonds_Live!H14,"")</f>
        <v/>
      </c>
      <c r="E14" s="16">
        <f>IFERROR(BDP($A14&amp;" ISIN",E$2)/1000000,"")</f>
        <v/>
      </c>
      <c r="F14" s="24">
        <f>IFERROR(BDP($A14&amp;" ISIN",F$2),"")</f>
        <v/>
      </c>
      <c r="G14" s="26">
        <f>IFERROR(Bonds_Static!G14,"")</f>
        <v/>
      </c>
      <c r="H14" s="10">
        <f>IFERROR((IF(ISNUMBER(C14),IF(C14&gt;=Settings!$C$34,1,0),0))+(IF(ISNUMBER(D14),IF(D14&lt;=Settings!$C$35,1,0),0))+(IF(ISNUMBER(E14),IF(E14&gt;=Settings!$C$36,1,0),0))+(IF(ISNUMBER(F14),IF(F14&gt;=Settings!$C$37,1,0),0))+(IF(ISNUMBER(G14),IF(G14&gt;=Settings!$C$38,1,0),0)),"")</f>
        <v/>
      </c>
      <c r="I14" s="24">
        <f>IFERROR(100*(0.40*MIN(IF(ISNUMBER(C14),C14/2000,0),1)+0.20*MAX(IF(ISNUMBER(D14),1-D14/1.5,0),0)+0.20*MIN(IF(ISNUMBER(E14),E14/20,0),1)+0.20*IF(ISNUMBER(F14),F14/100,0)),"")</f>
        <v/>
      </c>
      <c r="J14" s="10">
        <f>IFERROR(IF(H14="","",IF(H14&gt;=Settings!$C$39,"PASS","FAIL")),"")</f>
        <v/>
      </c>
    </row>
    <row r="15">
      <c r="A15" s="25">
        <f>Bonds_Static!A15</f>
        <v/>
      </c>
      <c r="B15" s="25">
        <f>Bonds_Static!C15</f>
        <v/>
      </c>
      <c r="C15" s="34">
        <f>IFERROR(Bonds_Static!H15,"")</f>
        <v/>
      </c>
      <c r="D15" s="35">
        <f>IFERROR(Bonds_Live!H15,"")</f>
        <v/>
      </c>
      <c r="E15" s="16">
        <f>IFERROR(BDP($A15&amp;" ISIN",E$2)/1000000,"")</f>
        <v/>
      </c>
      <c r="F15" s="24">
        <f>IFERROR(BDP($A15&amp;" ISIN",F$2),"")</f>
        <v/>
      </c>
      <c r="G15" s="26">
        <f>IFERROR(Bonds_Static!G15,"")</f>
        <v/>
      </c>
      <c r="H15" s="10">
        <f>IFERROR((IF(ISNUMBER(C15),IF(C15&gt;=Settings!$C$34,1,0),0))+(IF(ISNUMBER(D15),IF(D15&lt;=Settings!$C$35,1,0),0))+(IF(ISNUMBER(E15),IF(E15&gt;=Settings!$C$36,1,0),0))+(IF(ISNUMBER(F15),IF(F15&gt;=Settings!$C$37,1,0),0))+(IF(ISNUMBER(G15),IF(G15&gt;=Settings!$C$38,1,0),0)),"")</f>
        <v/>
      </c>
      <c r="I15" s="24">
        <f>IFERROR(100*(0.40*MIN(IF(ISNUMBER(C15),C15/2000,0),1)+0.20*MAX(IF(ISNUMBER(D15),1-D15/1.5,0),0)+0.20*MIN(IF(ISNUMBER(E15),E15/20,0),1)+0.20*IF(ISNUMBER(F15),F15/100,0)),"")</f>
        <v/>
      </c>
      <c r="J15" s="10">
        <f>IFERROR(IF(H15="","",IF(H15&gt;=Settings!$C$39,"PASS","FAIL")),"")</f>
        <v/>
      </c>
    </row>
    <row r="16">
      <c r="A16" s="25">
        <f>Bonds_Static!A16</f>
        <v/>
      </c>
      <c r="B16" s="25">
        <f>Bonds_Static!C16</f>
        <v/>
      </c>
      <c r="C16" s="34">
        <f>IFERROR(Bonds_Static!H16,"")</f>
        <v/>
      </c>
      <c r="D16" s="35">
        <f>IFERROR(Bonds_Live!H16,"")</f>
        <v/>
      </c>
      <c r="E16" s="16">
        <f>IFERROR(BDP($A16&amp;" ISIN",E$2)/1000000,"")</f>
        <v/>
      </c>
      <c r="F16" s="24">
        <f>IFERROR(BDP($A16&amp;" ISIN",F$2),"")</f>
        <v/>
      </c>
      <c r="G16" s="26">
        <f>IFERROR(Bonds_Static!G16,"")</f>
        <v/>
      </c>
      <c r="H16" s="10">
        <f>IFERROR((IF(ISNUMBER(C16),IF(C16&gt;=Settings!$C$34,1,0),0))+(IF(ISNUMBER(D16),IF(D16&lt;=Settings!$C$35,1,0),0))+(IF(ISNUMBER(E16),IF(E16&gt;=Settings!$C$36,1,0),0))+(IF(ISNUMBER(F16),IF(F16&gt;=Settings!$C$37,1,0),0))+(IF(ISNUMBER(G16),IF(G16&gt;=Settings!$C$38,1,0),0)),"")</f>
        <v/>
      </c>
      <c r="I16" s="24">
        <f>IFERROR(100*(0.40*MIN(IF(ISNUMBER(C16),C16/2000,0),1)+0.20*MAX(IF(ISNUMBER(D16),1-D16/1.5,0),0)+0.20*MIN(IF(ISNUMBER(E16),E16/20,0),1)+0.20*IF(ISNUMBER(F16),F16/100,0)),"")</f>
        <v/>
      </c>
      <c r="J16" s="10">
        <f>IFERROR(IF(H16="","",IF(H16&gt;=Settings!$C$39,"PASS","FAIL")),"")</f>
        <v/>
      </c>
    </row>
    <row r="17">
      <c r="A17" s="25">
        <f>Bonds_Static!A17</f>
        <v/>
      </c>
      <c r="B17" s="25">
        <f>Bonds_Static!C17</f>
        <v/>
      </c>
      <c r="C17" s="34">
        <f>IFERROR(Bonds_Static!H17,"")</f>
        <v/>
      </c>
      <c r="D17" s="35">
        <f>IFERROR(Bonds_Live!H17,"")</f>
        <v/>
      </c>
      <c r="E17" s="16">
        <f>IFERROR(BDP($A17&amp;" ISIN",E$2)/1000000,"")</f>
        <v/>
      </c>
      <c r="F17" s="24">
        <f>IFERROR(BDP($A17&amp;" ISIN",F$2),"")</f>
        <v/>
      </c>
      <c r="G17" s="26">
        <f>IFERROR(Bonds_Static!G17,"")</f>
        <v/>
      </c>
      <c r="H17" s="10">
        <f>IFERROR((IF(ISNUMBER(C17),IF(C17&gt;=Settings!$C$34,1,0),0))+(IF(ISNUMBER(D17),IF(D17&lt;=Settings!$C$35,1,0),0))+(IF(ISNUMBER(E17),IF(E17&gt;=Settings!$C$36,1,0),0))+(IF(ISNUMBER(F17),IF(F17&gt;=Settings!$C$37,1,0),0))+(IF(ISNUMBER(G17),IF(G17&gt;=Settings!$C$38,1,0),0)),"")</f>
        <v/>
      </c>
      <c r="I17" s="24">
        <f>IFERROR(100*(0.40*MIN(IF(ISNUMBER(C17),C17/2000,0),1)+0.20*MAX(IF(ISNUMBER(D17),1-D17/1.5,0),0)+0.20*MIN(IF(ISNUMBER(E17),E17/20,0),1)+0.20*IF(ISNUMBER(F17),F17/100,0)),"")</f>
        <v/>
      </c>
      <c r="J17" s="10">
        <f>IFERROR(IF(H17="","",IF(H17&gt;=Settings!$C$39,"PASS","FAIL")),"")</f>
        <v/>
      </c>
    </row>
    <row r="18">
      <c r="A18" s="25">
        <f>Bonds_Static!A18</f>
        <v/>
      </c>
      <c r="B18" s="25">
        <f>Bonds_Static!C18</f>
        <v/>
      </c>
      <c r="C18" s="34">
        <f>IFERROR(Bonds_Static!H18,"")</f>
        <v/>
      </c>
      <c r="D18" s="35">
        <f>IFERROR(Bonds_Live!H18,"")</f>
        <v/>
      </c>
      <c r="E18" s="16">
        <f>IFERROR(BDP($A18&amp;" ISIN",E$2)/1000000,"")</f>
        <v/>
      </c>
      <c r="F18" s="24">
        <f>IFERROR(BDP($A18&amp;" ISIN",F$2),"")</f>
        <v/>
      </c>
      <c r="G18" s="26">
        <f>IFERROR(Bonds_Static!G18,"")</f>
        <v/>
      </c>
      <c r="H18" s="10">
        <f>IFERROR((IF(ISNUMBER(C18),IF(C18&gt;=Settings!$C$34,1,0),0))+(IF(ISNUMBER(D18),IF(D18&lt;=Settings!$C$35,1,0),0))+(IF(ISNUMBER(E18),IF(E18&gt;=Settings!$C$36,1,0),0))+(IF(ISNUMBER(F18),IF(F18&gt;=Settings!$C$37,1,0),0))+(IF(ISNUMBER(G18),IF(G18&gt;=Settings!$C$38,1,0),0)),"")</f>
        <v/>
      </c>
      <c r="I18" s="24">
        <f>IFERROR(100*(0.40*MIN(IF(ISNUMBER(C18),C18/2000,0),1)+0.20*MAX(IF(ISNUMBER(D18),1-D18/1.5,0),0)+0.20*MIN(IF(ISNUMBER(E18),E18/20,0),1)+0.20*IF(ISNUMBER(F18),F18/100,0)),"")</f>
        <v/>
      </c>
      <c r="J18" s="10">
        <f>IFERROR(IF(H18="","",IF(H18&gt;=Settings!$C$39,"PASS","FAIL")),"")</f>
        <v/>
      </c>
    </row>
    <row r="19">
      <c r="A19" s="25">
        <f>Bonds_Static!A19</f>
        <v/>
      </c>
      <c r="B19" s="25">
        <f>Bonds_Static!C19</f>
        <v/>
      </c>
      <c r="C19" s="34">
        <f>IFERROR(Bonds_Static!H19,"")</f>
        <v/>
      </c>
      <c r="D19" s="35">
        <f>IFERROR(Bonds_Live!H19,"")</f>
        <v/>
      </c>
      <c r="E19" s="16">
        <f>IFERROR(BDP($A19&amp;" ISIN",E$2)/1000000,"")</f>
        <v/>
      </c>
      <c r="F19" s="24">
        <f>IFERROR(BDP($A19&amp;" ISIN",F$2),"")</f>
        <v/>
      </c>
      <c r="G19" s="26">
        <f>IFERROR(Bonds_Static!G19,"")</f>
        <v/>
      </c>
      <c r="H19" s="10">
        <f>IFERROR((IF(ISNUMBER(C19),IF(C19&gt;=Settings!$C$34,1,0),0))+(IF(ISNUMBER(D19),IF(D19&lt;=Settings!$C$35,1,0),0))+(IF(ISNUMBER(E19),IF(E19&gt;=Settings!$C$36,1,0),0))+(IF(ISNUMBER(F19),IF(F19&gt;=Settings!$C$37,1,0),0))+(IF(ISNUMBER(G19),IF(G19&gt;=Settings!$C$38,1,0),0)),"")</f>
        <v/>
      </c>
      <c r="I19" s="24">
        <f>IFERROR(100*(0.40*MIN(IF(ISNUMBER(C19),C19/2000,0),1)+0.20*MAX(IF(ISNUMBER(D19),1-D19/1.5,0),0)+0.20*MIN(IF(ISNUMBER(E19),E19/20,0),1)+0.20*IF(ISNUMBER(F19),F19/100,0)),"")</f>
        <v/>
      </c>
      <c r="J19" s="10">
        <f>IFERROR(IF(H19="","",IF(H19&gt;=Settings!$C$39,"PASS","FAIL")),"")</f>
        <v/>
      </c>
    </row>
    <row r="20">
      <c r="A20" s="25">
        <f>Bonds_Static!A20</f>
        <v/>
      </c>
      <c r="B20" s="25">
        <f>Bonds_Static!C20</f>
        <v/>
      </c>
      <c r="C20" s="34">
        <f>IFERROR(Bonds_Static!H20,"")</f>
        <v/>
      </c>
      <c r="D20" s="35">
        <f>IFERROR(Bonds_Live!H20,"")</f>
        <v/>
      </c>
      <c r="E20" s="16">
        <f>IFERROR(BDP($A20&amp;" ISIN",E$2)/1000000,"")</f>
        <v/>
      </c>
      <c r="F20" s="24">
        <f>IFERROR(BDP($A20&amp;" ISIN",F$2),"")</f>
        <v/>
      </c>
      <c r="G20" s="26">
        <f>IFERROR(Bonds_Static!G20,"")</f>
        <v/>
      </c>
      <c r="H20" s="10">
        <f>IFERROR((IF(ISNUMBER(C20),IF(C20&gt;=Settings!$C$34,1,0),0))+(IF(ISNUMBER(D20),IF(D20&lt;=Settings!$C$35,1,0),0))+(IF(ISNUMBER(E20),IF(E20&gt;=Settings!$C$36,1,0),0))+(IF(ISNUMBER(F20),IF(F20&gt;=Settings!$C$37,1,0),0))+(IF(ISNUMBER(G20),IF(G20&gt;=Settings!$C$38,1,0),0)),"")</f>
        <v/>
      </c>
      <c r="I20" s="24">
        <f>IFERROR(100*(0.40*MIN(IF(ISNUMBER(C20),C20/2000,0),1)+0.20*MAX(IF(ISNUMBER(D20),1-D20/1.5,0),0)+0.20*MIN(IF(ISNUMBER(E20),E20/20,0),1)+0.20*IF(ISNUMBER(F20),F20/100,0)),"")</f>
        <v/>
      </c>
      <c r="J20" s="10">
        <f>IFERROR(IF(H20="","",IF(H20&gt;=Settings!$C$39,"PASS","FAIL")),"")</f>
        <v/>
      </c>
    </row>
    <row r="21">
      <c r="A21" s="25">
        <f>Bonds_Static!A21</f>
        <v/>
      </c>
      <c r="B21" s="25">
        <f>Bonds_Static!C21</f>
        <v/>
      </c>
      <c r="C21" s="34">
        <f>IFERROR(Bonds_Static!H21,"")</f>
        <v/>
      </c>
      <c r="D21" s="35">
        <f>IFERROR(Bonds_Live!H21,"")</f>
        <v/>
      </c>
      <c r="E21" s="16">
        <f>IFERROR(BDP($A21&amp;" ISIN",E$2)/1000000,"")</f>
        <v/>
      </c>
      <c r="F21" s="24">
        <f>IFERROR(BDP($A21&amp;" ISIN",F$2),"")</f>
        <v/>
      </c>
      <c r="G21" s="26">
        <f>IFERROR(Bonds_Static!G21,"")</f>
        <v/>
      </c>
      <c r="H21" s="10">
        <f>IFERROR((IF(ISNUMBER(C21),IF(C21&gt;=Settings!$C$34,1,0),0))+(IF(ISNUMBER(D21),IF(D21&lt;=Settings!$C$35,1,0),0))+(IF(ISNUMBER(E21),IF(E21&gt;=Settings!$C$36,1,0),0))+(IF(ISNUMBER(F21),IF(F21&gt;=Settings!$C$37,1,0),0))+(IF(ISNUMBER(G21),IF(G21&gt;=Settings!$C$38,1,0),0)),"")</f>
        <v/>
      </c>
      <c r="I21" s="24">
        <f>IFERROR(100*(0.40*MIN(IF(ISNUMBER(C21),C21/2000,0),1)+0.20*MAX(IF(ISNUMBER(D21),1-D21/1.5,0),0)+0.20*MIN(IF(ISNUMBER(E21),E21/20,0),1)+0.20*IF(ISNUMBER(F21),F21/100,0)),"")</f>
        <v/>
      </c>
      <c r="J21" s="10">
        <f>IFERROR(IF(H21="","",IF(H21&gt;=Settings!$C$39,"PASS","FAIL")),"")</f>
        <v/>
      </c>
    </row>
    <row r="22">
      <c r="A22" s="25">
        <f>Bonds_Static!A22</f>
        <v/>
      </c>
      <c r="B22" s="25">
        <f>Bonds_Static!C22</f>
        <v/>
      </c>
      <c r="C22" s="34">
        <f>IFERROR(Bonds_Static!H22,"")</f>
        <v/>
      </c>
      <c r="D22" s="35">
        <f>IFERROR(Bonds_Live!H22,"")</f>
        <v/>
      </c>
      <c r="E22" s="16">
        <f>IFERROR(BDP($A22&amp;" ISIN",E$2)/1000000,"")</f>
        <v/>
      </c>
      <c r="F22" s="24">
        <f>IFERROR(BDP($A22&amp;" ISIN",F$2),"")</f>
        <v/>
      </c>
      <c r="G22" s="26">
        <f>IFERROR(Bonds_Static!G22,"")</f>
        <v/>
      </c>
      <c r="H22" s="10">
        <f>IFERROR((IF(ISNUMBER(C22),IF(C22&gt;=Settings!$C$34,1,0),0))+(IF(ISNUMBER(D22),IF(D22&lt;=Settings!$C$35,1,0),0))+(IF(ISNUMBER(E22),IF(E22&gt;=Settings!$C$36,1,0),0))+(IF(ISNUMBER(F22),IF(F22&gt;=Settings!$C$37,1,0),0))+(IF(ISNUMBER(G22),IF(G22&gt;=Settings!$C$38,1,0),0)),"")</f>
        <v/>
      </c>
      <c r="I22" s="24">
        <f>IFERROR(100*(0.40*MIN(IF(ISNUMBER(C22),C22/2000,0),1)+0.20*MAX(IF(ISNUMBER(D22),1-D22/1.5,0),0)+0.20*MIN(IF(ISNUMBER(E22),E22/20,0),1)+0.20*IF(ISNUMBER(F22),F22/100,0)),"")</f>
        <v/>
      </c>
      <c r="J22" s="10">
        <f>IFERROR(IF(H22="","",IF(H22&gt;=Settings!$C$39,"PASS","FAIL")),"")</f>
        <v/>
      </c>
    </row>
    <row r="23">
      <c r="A23" s="25">
        <f>Bonds_Static!A23</f>
        <v/>
      </c>
      <c r="B23" s="25">
        <f>Bonds_Static!C23</f>
        <v/>
      </c>
      <c r="C23" s="34">
        <f>IFERROR(Bonds_Static!H23,"")</f>
        <v/>
      </c>
      <c r="D23" s="35">
        <f>IFERROR(Bonds_Live!H23,"")</f>
        <v/>
      </c>
      <c r="E23" s="16">
        <f>IFERROR(BDP($A23&amp;" ISIN",E$2)/1000000,"")</f>
        <v/>
      </c>
      <c r="F23" s="24">
        <f>IFERROR(BDP($A23&amp;" ISIN",F$2),"")</f>
        <v/>
      </c>
      <c r="G23" s="26">
        <f>IFERROR(Bonds_Static!G23,"")</f>
        <v/>
      </c>
      <c r="H23" s="10">
        <f>IFERROR((IF(ISNUMBER(C23),IF(C23&gt;=Settings!$C$34,1,0),0))+(IF(ISNUMBER(D23),IF(D23&lt;=Settings!$C$35,1,0),0))+(IF(ISNUMBER(E23),IF(E23&gt;=Settings!$C$36,1,0),0))+(IF(ISNUMBER(F23),IF(F23&gt;=Settings!$C$37,1,0),0))+(IF(ISNUMBER(G23),IF(G23&gt;=Settings!$C$38,1,0),0)),"")</f>
        <v/>
      </c>
      <c r="I23" s="24">
        <f>IFERROR(100*(0.40*MIN(IF(ISNUMBER(C23),C23/2000,0),1)+0.20*MAX(IF(ISNUMBER(D23),1-D23/1.5,0),0)+0.20*MIN(IF(ISNUMBER(E23),E23/20,0),1)+0.20*IF(ISNUMBER(F23),F23/100,0)),"")</f>
        <v/>
      </c>
      <c r="J23" s="10">
        <f>IFERROR(IF(H23="","",IF(H23&gt;=Settings!$C$39,"PASS","FAIL")),"")</f>
        <v/>
      </c>
    </row>
    <row r="24">
      <c r="A24" s="25">
        <f>Bonds_Static!A24</f>
        <v/>
      </c>
      <c r="B24" s="25">
        <f>Bonds_Static!C24</f>
        <v/>
      </c>
      <c r="C24" s="34">
        <f>IFERROR(Bonds_Static!H24,"")</f>
        <v/>
      </c>
      <c r="D24" s="35">
        <f>IFERROR(Bonds_Live!H24,"")</f>
        <v/>
      </c>
      <c r="E24" s="16">
        <f>IFERROR(BDP($A24&amp;" ISIN",E$2)/1000000,"")</f>
        <v/>
      </c>
      <c r="F24" s="24">
        <f>IFERROR(BDP($A24&amp;" ISIN",F$2),"")</f>
        <v/>
      </c>
      <c r="G24" s="26">
        <f>IFERROR(Bonds_Static!G24,"")</f>
        <v/>
      </c>
      <c r="H24" s="10">
        <f>IFERROR((IF(ISNUMBER(C24),IF(C24&gt;=Settings!$C$34,1,0),0))+(IF(ISNUMBER(D24),IF(D24&lt;=Settings!$C$35,1,0),0))+(IF(ISNUMBER(E24),IF(E24&gt;=Settings!$C$36,1,0),0))+(IF(ISNUMBER(F24),IF(F24&gt;=Settings!$C$37,1,0),0))+(IF(ISNUMBER(G24),IF(G24&gt;=Settings!$C$38,1,0),0)),"")</f>
        <v/>
      </c>
      <c r="I24" s="24">
        <f>IFERROR(100*(0.40*MIN(IF(ISNUMBER(C24),C24/2000,0),1)+0.20*MAX(IF(ISNUMBER(D24),1-D24/1.5,0),0)+0.20*MIN(IF(ISNUMBER(E24),E24/20,0),1)+0.20*IF(ISNUMBER(F24),F24/100,0)),"")</f>
        <v/>
      </c>
      <c r="J24" s="10">
        <f>IFERROR(IF(H24="","",IF(H24&gt;=Settings!$C$39,"PASS","FAIL")),"")</f>
        <v/>
      </c>
    </row>
    <row r="25">
      <c r="A25" s="25">
        <f>Bonds_Static!A25</f>
        <v/>
      </c>
      <c r="B25" s="25">
        <f>Bonds_Static!C25</f>
        <v/>
      </c>
      <c r="C25" s="34">
        <f>IFERROR(Bonds_Static!H25,"")</f>
        <v/>
      </c>
      <c r="D25" s="35">
        <f>IFERROR(Bonds_Live!H25,"")</f>
        <v/>
      </c>
      <c r="E25" s="16">
        <f>IFERROR(BDP($A25&amp;" ISIN",E$2)/1000000,"")</f>
        <v/>
      </c>
      <c r="F25" s="24">
        <f>IFERROR(BDP($A25&amp;" ISIN",F$2),"")</f>
        <v/>
      </c>
      <c r="G25" s="26">
        <f>IFERROR(Bonds_Static!G25,"")</f>
        <v/>
      </c>
      <c r="H25" s="10">
        <f>IFERROR((IF(ISNUMBER(C25),IF(C25&gt;=Settings!$C$34,1,0),0))+(IF(ISNUMBER(D25),IF(D25&lt;=Settings!$C$35,1,0),0))+(IF(ISNUMBER(E25),IF(E25&gt;=Settings!$C$36,1,0),0))+(IF(ISNUMBER(F25),IF(F25&gt;=Settings!$C$37,1,0),0))+(IF(ISNUMBER(G25),IF(G25&gt;=Settings!$C$38,1,0),0)),"")</f>
        <v/>
      </c>
      <c r="I25" s="24">
        <f>IFERROR(100*(0.40*MIN(IF(ISNUMBER(C25),C25/2000,0),1)+0.20*MAX(IF(ISNUMBER(D25),1-D25/1.5,0),0)+0.20*MIN(IF(ISNUMBER(E25),E25/20,0),1)+0.20*IF(ISNUMBER(F25),F25/100,0)),"")</f>
        <v/>
      </c>
      <c r="J25" s="10">
        <f>IFERROR(IF(H25="","",IF(H25&gt;=Settings!$C$39,"PASS","FAIL")),"")</f>
        <v/>
      </c>
    </row>
    <row r="26">
      <c r="A26" s="25">
        <f>Bonds_Static!A26</f>
        <v/>
      </c>
      <c r="B26" s="25">
        <f>Bonds_Static!C26</f>
        <v/>
      </c>
      <c r="C26" s="34">
        <f>IFERROR(Bonds_Static!H26,"")</f>
        <v/>
      </c>
      <c r="D26" s="35">
        <f>IFERROR(Bonds_Live!H26,"")</f>
        <v/>
      </c>
      <c r="E26" s="16">
        <f>IFERROR(BDP($A26&amp;" ISIN",E$2)/1000000,"")</f>
        <v/>
      </c>
      <c r="F26" s="24">
        <f>IFERROR(BDP($A26&amp;" ISIN",F$2),"")</f>
        <v/>
      </c>
      <c r="G26" s="26">
        <f>IFERROR(Bonds_Static!G26,"")</f>
        <v/>
      </c>
      <c r="H26" s="10">
        <f>IFERROR((IF(ISNUMBER(C26),IF(C26&gt;=Settings!$C$34,1,0),0))+(IF(ISNUMBER(D26),IF(D26&lt;=Settings!$C$35,1,0),0))+(IF(ISNUMBER(E26),IF(E26&gt;=Settings!$C$36,1,0),0))+(IF(ISNUMBER(F26),IF(F26&gt;=Settings!$C$37,1,0),0))+(IF(ISNUMBER(G26),IF(G26&gt;=Settings!$C$38,1,0),0)),"")</f>
        <v/>
      </c>
      <c r="I26" s="24">
        <f>IFERROR(100*(0.40*MIN(IF(ISNUMBER(C26),C26/2000,0),1)+0.20*MAX(IF(ISNUMBER(D26),1-D26/1.5,0),0)+0.20*MIN(IF(ISNUMBER(E26),E26/20,0),1)+0.20*IF(ISNUMBER(F26),F26/100,0)),"")</f>
        <v/>
      </c>
      <c r="J26" s="10">
        <f>IFERROR(IF(H26="","",IF(H26&gt;=Settings!$C$39,"PASS","FAIL")),"")</f>
        <v/>
      </c>
    </row>
    <row r="27">
      <c r="A27" s="25">
        <f>Bonds_Static!A27</f>
        <v/>
      </c>
      <c r="B27" s="25">
        <f>Bonds_Static!C27</f>
        <v/>
      </c>
      <c r="C27" s="34">
        <f>IFERROR(Bonds_Static!H27,"")</f>
        <v/>
      </c>
      <c r="D27" s="35">
        <f>IFERROR(Bonds_Live!H27,"")</f>
        <v/>
      </c>
      <c r="E27" s="16">
        <f>IFERROR(BDP($A27&amp;" ISIN",E$2)/1000000,"")</f>
        <v/>
      </c>
      <c r="F27" s="24">
        <f>IFERROR(BDP($A27&amp;" ISIN",F$2),"")</f>
        <v/>
      </c>
      <c r="G27" s="26">
        <f>IFERROR(Bonds_Static!G27,"")</f>
        <v/>
      </c>
      <c r="H27" s="10">
        <f>IFERROR((IF(ISNUMBER(C27),IF(C27&gt;=Settings!$C$34,1,0),0))+(IF(ISNUMBER(D27),IF(D27&lt;=Settings!$C$35,1,0),0))+(IF(ISNUMBER(E27),IF(E27&gt;=Settings!$C$36,1,0),0))+(IF(ISNUMBER(F27),IF(F27&gt;=Settings!$C$37,1,0),0))+(IF(ISNUMBER(G27),IF(G27&gt;=Settings!$C$38,1,0),0)),"")</f>
        <v/>
      </c>
      <c r="I27" s="24">
        <f>IFERROR(100*(0.40*MIN(IF(ISNUMBER(C27),C27/2000,0),1)+0.20*MAX(IF(ISNUMBER(D27),1-D27/1.5,0),0)+0.20*MIN(IF(ISNUMBER(E27),E27/20,0),1)+0.20*IF(ISNUMBER(F27),F27/100,0)),"")</f>
        <v/>
      </c>
      <c r="J27" s="10">
        <f>IFERROR(IF(H27="","",IF(H27&gt;=Settings!$C$39,"PASS","FAIL")),"")</f>
        <v/>
      </c>
    </row>
  </sheetData>
  <conditionalFormatting sqref="J3:J27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1" customWidth="1" min="3" max="3"/>
    <col width="12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21" t="inlineStr">
        <is>
          <t>ISIN</t>
        </is>
      </c>
      <c r="B1" s="21" t="inlineStr">
        <is>
          <t>Description</t>
        </is>
      </c>
      <c r="C1" s="21" t="inlineStr">
        <is>
          <t>τ (yrs)</t>
        </is>
      </c>
      <c r="D1" s="21" t="inlineStr">
        <is>
          <t>Mod Dur</t>
        </is>
      </c>
      <c r="E1" s="21" t="inlineStr">
        <is>
          <t>Coupon (%)</t>
        </is>
      </c>
      <c r="F1" s="21" t="inlineStr">
        <is>
          <t>YTM (%)</t>
        </is>
      </c>
      <c r="G1" s="21" t="inlineStr">
        <is>
          <t>Cpn Carry 3M</t>
        </is>
      </c>
      <c r="H1" s="21" t="inlineStr">
        <is>
          <t>Cpn Carry 6M</t>
        </is>
      </c>
      <c r="I1" s="21" t="inlineStr">
        <is>
          <t>Cpn Carry 12M</t>
        </is>
      </c>
      <c r="J1" s="21" t="inlineStr">
        <is>
          <t>Roll 3M</t>
        </is>
      </c>
      <c r="K1" s="21" t="inlineStr">
        <is>
          <t>Roll 6M</t>
        </is>
      </c>
      <c r="L1" s="21" t="inlineStr">
        <is>
          <t>Roll 12M</t>
        </is>
      </c>
      <c r="M1" s="21" t="inlineStr">
        <is>
          <t>C+R 12M</t>
        </is>
      </c>
    </row>
    <row r="2">
      <c r="A2" s="30" t="inlineStr"/>
      <c r="B2" s="30" t="inlineStr"/>
      <c r="C2" s="30" t="inlineStr"/>
      <c r="D2" s="30" t="inlineStr"/>
      <c r="E2" s="30" t="inlineStr"/>
      <c r="F2" s="30" t="inlineStr"/>
      <c r="G2" s="30" t="inlineStr"/>
      <c r="H2" s="30" t="inlineStr"/>
      <c r="I2" s="30" t="inlineStr"/>
      <c r="J2" s="30" t="inlineStr"/>
      <c r="K2" s="30" t="inlineStr"/>
      <c r="L2" s="30" t="inlineStr"/>
      <c r="M2" s="30" t="inlineStr"/>
    </row>
    <row r="3">
      <c r="A3" s="25">
        <f>Bonds_Static!A3</f>
        <v/>
      </c>
      <c r="B3" s="25">
        <f>Bonds_Static!C3</f>
        <v/>
      </c>
      <c r="C3" s="26">
        <f>IFERROR(Bonds_Static!G3,"")</f>
        <v/>
      </c>
      <c r="D3" s="36">
        <f>IFERROR(Bonds_Live!Q3,"")</f>
        <v/>
      </c>
      <c r="E3" s="36">
        <f>IFERROR(Bonds_Static!D3,"")</f>
        <v/>
      </c>
      <c r="F3" s="36">
        <f>IFERROR(Bonds_Live!K3,"")</f>
        <v/>
      </c>
      <c r="G3" s="16">
        <f>IFERROR(IF(E3="","",E3*100/Bonds_Live!F3*3/12),"")</f>
        <v/>
      </c>
      <c r="H3" s="16">
        <f>IFERROR(IF(E3="","",E3*100/Bonds_Live!F3*6/12),"")</f>
        <v/>
      </c>
      <c r="I3" s="16">
        <f>IFERROR(IF(E3="","",E3*100/Bonds_Live!F3*12/12),"")</f>
        <v/>
      </c>
      <c r="J3" s="16">
        <f>IFERROR(IF(OR(C3="",D3=""),"",-D3*((Settings!$C$12 + Settings!$C$13*((1-EXP(-MAX(C3-3/12,0.01)/Settings!$C$16))/(MAX(C3-3/12,0.01)/Settings!$C$16)) + Settings!$C$14*((1-EXP(-MAX(C3-3/12,0.01)/Settings!$C$16))/(MAX(C3-3/12,0.01)/Settings!$C$16) - EXP(-MAX(C3-3/12,0.01)/Settings!$C$16)) + Settings!$C$15*((1-EXP(-MAX(C3-3/12,0.01)/Settings!$C$17))/(MAX(C3-3/12,0.01)/Settings!$C$17) - EXP(-MAX(C3-3/12,0.01)/Settings!$C$17))) - (Settings!$C$12 + Settings!$C$13*((1-EXP(-C3/Settings!$C$16))/(C3/Settings!$C$16)) + Settings!$C$14*((1-EXP(-C3/Settings!$C$16))/(C3/Settings!$C$16) - EXP(-C3/Settings!$C$16)) + Settings!$C$15*((1-EXP(-C3/Settings!$C$17))/(C3/Settings!$C$17) - EXP(-C3/Settings!$C$17))))),"")</f>
        <v/>
      </c>
      <c r="K3" s="16">
        <f>IFERROR(IF(OR(C3="",D3=""),"",-D3*((Settings!$C$12 + Settings!$C$13*((1-EXP(-MAX(C3-6/12,0.01)/Settings!$C$16))/(MAX(C3-6/12,0.01)/Settings!$C$16)) + Settings!$C$14*((1-EXP(-MAX(C3-6/12,0.01)/Settings!$C$16))/(MAX(C3-6/12,0.01)/Settings!$C$16) - EXP(-MAX(C3-6/12,0.01)/Settings!$C$16)) + Settings!$C$15*((1-EXP(-MAX(C3-6/12,0.01)/Settings!$C$17))/(MAX(C3-6/12,0.01)/Settings!$C$17) - EXP(-MAX(C3-6/12,0.01)/Settings!$C$17))) - (Settings!$C$12 + Settings!$C$13*((1-EXP(-C3/Settings!$C$16))/(C3/Settings!$C$16)) + Settings!$C$14*((1-EXP(-C3/Settings!$C$16))/(C3/Settings!$C$16) - EXP(-C3/Settings!$C$16)) + Settings!$C$15*((1-EXP(-C3/Settings!$C$17))/(C3/Settings!$C$17) - EXP(-C3/Settings!$C$17))))),"")</f>
        <v/>
      </c>
      <c r="L3" s="16">
        <f>IFERROR(IF(OR(C3="",D3=""),"",-D3*((Settings!$C$12 + Settings!$C$13*((1-EXP(-MAX(C3-12/12,0.01)/Settings!$C$16))/(MAX(C3-12/12,0.01)/Settings!$C$16)) + Settings!$C$14*((1-EXP(-MAX(C3-12/12,0.01)/Settings!$C$16))/(MAX(C3-12/12,0.01)/Settings!$C$16) - EXP(-MAX(C3-12/12,0.01)/Settings!$C$16)) + Settings!$C$15*((1-EXP(-MAX(C3-12/12,0.01)/Settings!$C$17))/(MAX(C3-12/12,0.01)/Settings!$C$17) - EXP(-MAX(C3-12/12,0.01)/Settings!$C$17))) - (Settings!$C$12 + Settings!$C$13*((1-EXP(-C3/Settings!$C$16))/(C3/Settings!$C$16)) + Settings!$C$14*((1-EXP(-C3/Settings!$C$16))/(C3/Settings!$C$16) - EXP(-C3/Settings!$C$16)) + Settings!$C$15*((1-EXP(-C3/Settings!$C$17))/(C3/Settings!$C$17) - EXP(-C3/Settings!$C$17))))),"")</f>
        <v/>
      </c>
      <c r="M3" s="16">
        <f>IFERROR(IF(OR(I3="",L3=""),"",I3+L3),"")</f>
        <v/>
      </c>
    </row>
    <row r="4">
      <c r="A4" s="25">
        <f>Bonds_Static!A4</f>
        <v/>
      </c>
      <c r="B4" s="25">
        <f>Bonds_Static!C4</f>
        <v/>
      </c>
      <c r="C4" s="26">
        <f>IFERROR(Bonds_Static!G4,"")</f>
        <v/>
      </c>
      <c r="D4" s="36">
        <f>IFERROR(Bonds_Live!Q4,"")</f>
        <v/>
      </c>
      <c r="E4" s="36">
        <f>IFERROR(Bonds_Static!D4,"")</f>
        <v/>
      </c>
      <c r="F4" s="36">
        <f>IFERROR(Bonds_Live!K4,"")</f>
        <v/>
      </c>
      <c r="G4" s="16">
        <f>IFERROR(IF(E4="","",E4*100/Bonds_Live!F4*3/12),"")</f>
        <v/>
      </c>
      <c r="H4" s="16">
        <f>IFERROR(IF(E4="","",E4*100/Bonds_Live!F4*6/12),"")</f>
        <v/>
      </c>
      <c r="I4" s="16">
        <f>IFERROR(IF(E4="","",E4*100/Bonds_Live!F4*12/12),"")</f>
        <v/>
      </c>
      <c r="J4" s="16">
        <f>IFERROR(IF(OR(C4="",D4=""),"",-D4*((Settings!$C$12 + Settings!$C$13*((1-EXP(-MAX(C4-3/12,0.01)/Settings!$C$16))/(MAX(C4-3/12,0.01)/Settings!$C$16)) + Settings!$C$14*((1-EXP(-MAX(C4-3/12,0.01)/Settings!$C$16))/(MAX(C4-3/12,0.01)/Settings!$C$16) - EXP(-MAX(C4-3/12,0.01)/Settings!$C$16)) + Settings!$C$15*((1-EXP(-MAX(C4-3/12,0.01)/Settings!$C$17))/(MAX(C4-3/12,0.01)/Settings!$C$17) - EXP(-MAX(C4-3/12,0.01)/Settings!$C$17))) - (Settings!$C$12 + Settings!$C$13*((1-EXP(-C4/Settings!$C$16))/(C4/Settings!$C$16)) + Settings!$C$14*((1-EXP(-C4/Settings!$C$16))/(C4/Settings!$C$16) - EXP(-C4/Settings!$C$16)) + Settings!$C$15*((1-EXP(-C4/Settings!$C$17))/(C4/Settings!$C$17) - EXP(-C4/Settings!$C$17))))),"")</f>
        <v/>
      </c>
      <c r="K4" s="16">
        <f>IFERROR(IF(OR(C4="",D4=""),"",-D4*((Settings!$C$12 + Settings!$C$13*((1-EXP(-MAX(C4-6/12,0.01)/Settings!$C$16))/(MAX(C4-6/12,0.01)/Settings!$C$16)) + Settings!$C$14*((1-EXP(-MAX(C4-6/12,0.01)/Settings!$C$16))/(MAX(C4-6/12,0.01)/Settings!$C$16) - EXP(-MAX(C4-6/12,0.01)/Settings!$C$16)) + Settings!$C$15*((1-EXP(-MAX(C4-6/12,0.01)/Settings!$C$17))/(MAX(C4-6/12,0.01)/Settings!$C$17) - EXP(-MAX(C4-6/12,0.01)/Settings!$C$17))) - (Settings!$C$12 + Settings!$C$13*((1-EXP(-C4/Settings!$C$16))/(C4/Settings!$C$16)) + Settings!$C$14*((1-EXP(-C4/Settings!$C$16))/(C4/Settings!$C$16) - EXP(-C4/Settings!$C$16)) + Settings!$C$15*((1-EXP(-C4/Settings!$C$17))/(C4/Settings!$C$17) - EXP(-C4/Settings!$C$17))))),"")</f>
        <v/>
      </c>
      <c r="L4" s="16">
        <f>IFERROR(IF(OR(C4="",D4=""),"",-D4*((Settings!$C$12 + Settings!$C$13*((1-EXP(-MAX(C4-12/12,0.01)/Settings!$C$16))/(MAX(C4-12/12,0.01)/Settings!$C$16)) + Settings!$C$14*((1-EXP(-MAX(C4-12/12,0.01)/Settings!$C$16))/(MAX(C4-12/12,0.01)/Settings!$C$16) - EXP(-MAX(C4-12/12,0.01)/Settings!$C$16)) + Settings!$C$15*((1-EXP(-MAX(C4-12/12,0.01)/Settings!$C$17))/(MAX(C4-12/12,0.01)/Settings!$C$17) - EXP(-MAX(C4-12/12,0.01)/Settings!$C$17))) - (Settings!$C$12 + Settings!$C$13*((1-EXP(-C4/Settings!$C$16))/(C4/Settings!$C$16)) + Settings!$C$14*((1-EXP(-C4/Settings!$C$16))/(C4/Settings!$C$16) - EXP(-C4/Settings!$C$16)) + Settings!$C$15*((1-EXP(-C4/Settings!$C$17))/(C4/Settings!$C$17) - EXP(-C4/Settings!$C$17))))),"")</f>
        <v/>
      </c>
      <c r="M4" s="16">
        <f>IFERROR(IF(OR(I4="",L4=""),"",I4+L4),"")</f>
        <v/>
      </c>
    </row>
    <row r="5">
      <c r="A5" s="25">
        <f>Bonds_Static!A5</f>
        <v/>
      </c>
      <c r="B5" s="25">
        <f>Bonds_Static!C5</f>
        <v/>
      </c>
      <c r="C5" s="26">
        <f>IFERROR(Bonds_Static!G5,"")</f>
        <v/>
      </c>
      <c r="D5" s="36">
        <f>IFERROR(Bonds_Live!Q5,"")</f>
        <v/>
      </c>
      <c r="E5" s="36">
        <f>IFERROR(Bonds_Static!D5,"")</f>
        <v/>
      </c>
      <c r="F5" s="36">
        <f>IFERROR(Bonds_Live!K5,"")</f>
        <v/>
      </c>
      <c r="G5" s="16">
        <f>IFERROR(IF(E5="","",E5*100/Bonds_Live!F5*3/12),"")</f>
        <v/>
      </c>
      <c r="H5" s="16">
        <f>IFERROR(IF(E5="","",E5*100/Bonds_Live!F5*6/12),"")</f>
        <v/>
      </c>
      <c r="I5" s="16">
        <f>IFERROR(IF(E5="","",E5*100/Bonds_Live!F5*12/12),"")</f>
        <v/>
      </c>
      <c r="J5" s="16">
        <f>IFERROR(IF(OR(C5="",D5=""),"",-D5*((Settings!$C$12 + Settings!$C$13*((1-EXP(-MAX(C5-3/12,0.01)/Settings!$C$16))/(MAX(C5-3/12,0.01)/Settings!$C$16)) + Settings!$C$14*((1-EXP(-MAX(C5-3/12,0.01)/Settings!$C$16))/(MAX(C5-3/12,0.01)/Settings!$C$16) - EXP(-MAX(C5-3/12,0.01)/Settings!$C$16)) + Settings!$C$15*((1-EXP(-MAX(C5-3/12,0.01)/Settings!$C$17))/(MAX(C5-3/12,0.01)/Settings!$C$17) - EXP(-MAX(C5-3/12,0.01)/Settings!$C$17))) - (Settings!$C$12 + Settings!$C$13*((1-EXP(-C5/Settings!$C$16))/(C5/Settings!$C$16)) + Settings!$C$14*((1-EXP(-C5/Settings!$C$16))/(C5/Settings!$C$16) - EXP(-C5/Settings!$C$16)) + Settings!$C$15*((1-EXP(-C5/Settings!$C$17))/(C5/Settings!$C$17) - EXP(-C5/Settings!$C$17))))),"")</f>
        <v/>
      </c>
      <c r="K5" s="16">
        <f>IFERROR(IF(OR(C5="",D5=""),"",-D5*((Settings!$C$12 + Settings!$C$13*((1-EXP(-MAX(C5-6/12,0.01)/Settings!$C$16))/(MAX(C5-6/12,0.01)/Settings!$C$16)) + Settings!$C$14*((1-EXP(-MAX(C5-6/12,0.01)/Settings!$C$16))/(MAX(C5-6/12,0.01)/Settings!$C$16) - EXP(-MAX(C5-6/12,0.01)/Settings!$C$16)) + Settings!$C$15*((1-EXP(-MAX(C5-6/12,0.01)/Settings!$C$17))/(MAX(C5-6/12,0.01)/Settings!$C$17) - EXP(-MAX(C5-6/12,0.01)/Settings!$C$17))) - (Settings!$C$12 + Settings!$C$13*((1-EXP(-C5/Settings!$C$16))/(C5/Settings!$C$16)) + Settings!$C$14*((1-EXP(-C5/Settings!$C$16))/(C5/Settings!$C$16) - EXP(-C5/Settings!$C$16)) + Settings!$C$15*((1-EXP(-C5/Settings!$C$17))/(C5/Settings!$C$17) - EXP(-C5/Settings!$C$17))))),"")</f>
        <v/>
      </c>
      <c r="L5" s="16">
        <f>IFERROR(IF(OR(C5="",D5=""),"",-D5*((Settings!$C$12 + Settings!$C$13*((1-EXP(-MAX(C5-12/12,0.01)/Settings!$C$16))/(MAX(C5-12/12,0.01)/Settings!$C$16)) + Settings!$C$14*((1-EXP(-MAX(C5-12/12,0.01)/Settings!$C$16))/(MAX(C5-12/12,0.01)/Settings!$C$16) - EXP(-MAX(C5-12/12,0.01)/Settings!$C$16)) + Settings!$C$15*((1-EXP(-MAX(C5-12/12,0.01)/Settings!$C$17))/(MAX(C5-12/12,0.01)/Settings!$C$17) - EXP(-MAX(C5-12/12,0.01)/Settings!$C$17))) - (Settings!$C$12 + Settings!$C$13*((1-EXP(-C5/Settings!$C$16))/(C5/Settings!$C$16)) + Settings!$C$14*((1-EXP(-C5/Settings!$C$16))/(C5/Settings!$C$16) - EXP(-C5/Settings!$C$16)) + Settings!$C$15*((1-EXP(-C5/Settings!$C$17))/(C5/Settings!$C$17) - EXP(-C5/Settings!$C$17))))),"")</f>
        <v/>
      </c>
      <c r="M5" s="16">
        <f>IFERROR(IF(OR(I5="",L5=""),"",I5+L5),"")</f>
        <v/>
      </c>
    </row>
    <row r="6">
      <c r="A6" s="25">
        <f>Bonds_Static!A6</f>
        <v/>
      </c>
      <c r="B6" s="25">
        <f>Bonds_Static!C6</f>
        <v/>
      </c>
      <c r="C6" s="26">
        <f>IFERROR(Bonds_Static!G6,"")</f>
        <v/>
      </c>
      <c r="D6" s="36">
        <f>IFERROR(Bonds_Live!Q6,"")</f>
        <v/>
      </c>
      <c r="E6" s="36">
        <f>IFERROR(Bonds_Static!D6,"")</f>
        <v/>
      </c>
      <c r="F6" s="36">
        <f>IFERROR(Bonds_Live!K6,"")</f>
        <v/>
      </c>
      <c r="G6" s="16">
        <f>IFERROR(IF(E6="","",E6*100/Bonds_Live!F6*3/12),"")</f>
        <v/>
      </c>
      <c r="H6" s="16">
        <f>IFERROR(IF(E6="","",E6*100/Bonds_Live!F6*6/12),"")</f>
        <v/>
      </c>
      <c r="I6" s="16">
        <f>IFERROR(IF(E6="","",E6*100/Bonds_Live!F6*12/12),"")</f>
        <v/>
      </c>
      <c r="J6" s="16">
        <f>IFERROR(IF(OR(C6="",D6=""),"",-D6*((Settings!$C$12 + Settings!$C$13*((1-EXP(-MAX(C6-3/12,0.01)/Settings!$C$16))/(MAX(C6-3/12,0.01)/Settings!$C$16)) + Settings!$C$14*((1-EXP(-MAX(C6-3/12,0.01)/Settings!$C$16))/(MAX(C6-3/12,0.01)/Settings!$C$16) - EXP(-MAX(C6-3/12,0.01)/Settings!$C$16)) + Settings!$C$15*((1-EXP(-MAX(C6-3/12,0.01)/Settings!$C$17))/(MAX(C6-3/12,0.01)/Settings!$C$17) - EXP(-MAX(C6-3/12,0.01)/Settings!$C$17))) - (Settings!$C$12 + Settings!$C$13*((1-EXP(-C6/Settings!$C$16))/(C6/Settings!$C$16)) + Settings!$C$14*((1-EXP(-C6/Settings!$C$16))/(C6/Settings!$C$16) - EXP(-C6/Settings!$C$16)) + Settings!$C$15*((1-EXP(-C6/Settings!$C$17))/(C6/Settings!$C$17) - EXP(-C6/Settings!$C$17))))),"")</f>
        <v/>
      </c>
      <c r="K6" s="16">
        <f>IFERROR(IF(OR(C6="",D6=""),"",-D6*((Settings!$C$12 + Settings!$C$13*((1-EXP(-MAX(C6-6/12,0.01)/Settings!$C$16))/(MAX(C6-6/12,0.01)/Settings!$C$16)) + Settings!$C$14*((1-EXP(-MAX(C6-6/12,0.01)/Settings!$C$16))/(MAX(C6-6/12,0.01)/Settings!$C$16) - EXP(-MAX(C6-6/12,0.01)/Settings!$C$16)) + Settings!$C$15*((1-EXP(-MAX(C6-6/12,0.01)/Settings!$C$17))/(MAX(C6-6/12,0.01)/Settings!$C$17) - EXP(-MAX(C6-6/12,0.01)/Settings!$C$17))) - (Settings!$C$12 + Settings!$C$13*((1-EXP(-C6/Settings!$C$16))/(C6/Settings!$C$16)) + Settings!$C$14*((1-EXP(-C6/Settings!$C$16))/(C6/Settings!$C$16) - EXP(-C6/Settings!$C$16)) + Settings!$C$15*((1-EXP(-C6/Settings!$C$17))/(C6/Settings!$C$17) - EXP(-C6/Settings!$C$17))))),"")</f>
        <v/>
      </c>
      <c r="L6" s="16">
        <f>IFERROR(IF(OR(C6="",D6=""),"",-D6*((Settings!$C$12 + Settings!$C$13*((1-EXP(-MAX(C6-12/12,0.01)/Settings!$C$16))/(MAX(C6-12/12,0.01)/Settings!$C$16)) + Settings!$C$14*((1-EXP(-MAX(C6-12/12,0.01)/Settings!$C$16))/(MAX(C6-12/12,0.01)/Settings!$C$16) - EXP(-MAX(C6-12/12,0.01)/Settings!$C$16)) + Settings!$C$15*((1-EXP(-MAX(C6-12/12,0.01)/Settings!$C$17))/(MAX(C6-12/12,0.01)/Settings!$C$17) - EXP(-MAX(C6-12/12,0.01)/Settings!$C$17))) - (Settings!$C$12 + Settings!$C$13*((1-EXP(-C6/Settings!$C$16))/(C6/Settings!$C$16)) + Settings!$C$14*((1-EXP(-C6/Settings!$C$16))/(C6/Settings!$C$16) - EXP(-C6/Settings!$C$16)) + Settings!$C$15*((1-EXP(-C6/Settings!$C$17))/(C6/Settings!$C$17) - EXP(-C6/Settings!$C$17))))),"")</f>
        <v/>
      </c>
      <c r="M6" s="16">
        <f>IFERROR(IF(OR(I6="",L6=""),"",I6+L6),"")</f>
        <v/>
      </c>
    </row>
    <row r="7">
      <c r="A7" s="25">
        <f>Bonds_Static!A7</f>
        <v/>
      </c>
      <c r="B7" s="25">
        <f>Bonds_Static!C7</f>
        <v/>
      </c>
      <c r="C7" s="26">
        <f>IFERROR(Bonds_Static!G7,"")</f>
        <v/>
      </c>
      <c r="D7" s="36">
        <f>IFERROR(Bonds_Live!Q7,"")</f>
        <v/>
      </c>
      <c r="E7" s="36">
        <f>IFERROR(Bonds_Static!D7,"")</f>
        <v/>
      </c>
      <c r="F7" s="36">
        <f>IFERROR(Bonds_Live!K7,"")</f>
        <v/>
      </c>
      <c r="G7" s="16">
        <f>IFERROR(IF(E7="","",E7*100/Bonds_Live!F7*3/12),"")</f>
        <v/>
      </c>
      <c r="H7" s="16">
        <f>IFERROR(IF(E7="","",E7*100/Bonds_Live!F7*6/12),"")</f>
        <v/>
      </c>
      <c r="I7" s="16">
        <f>IFERROR(IF(E7="","",E7*100/Bonds_Live!F7*12/12),"")</f>
        <v/>
      </c>
      <c r="J7" s="16">
        <f>IFERROR(IF(OR(C7="",D7=""),"",-D7*((Settings!$C$12 + Settings!$C$13*((1-EXP(-MAX(C7-3/12,0.01)/Settings!$C$16))/(MAX(C7-3/12,0.01)/Settings!$C$16)) + Settings!$C$14*((1-EXP(-MAX(C7-3/12,0.01)/Settings!$C$16))/(MAX(C7-3/12,0.01)/Settings!$C$16) - EXP(-MAX(C7-3/12,0.01)/Settings!$C$16)) + Settings!$C$15*((1-EXP(-MAX(C7-3/12,0.01)/Settings!$C$17))/(MAX(C7-3/12,0.01)/Settings!$C$17) - EXP(-MAX(C7-3/12,0.01)/Settings!$C$17))) - (Settings!$C$12 + Settings!$C$13*((1-EXP(-C7/Settings!$C$16))/(C7/Settings!$C$16)) + Settings!$C$14*((1-EXP(-C7/Settings!$C$16))/(C7/Settings!$C$16) - EXP(-C7/Settings!$C$16)) + Settings!$C$15*((1-EXP(-C7/Settings!$C$17))/(C7/Settings!$C$17) - EXP(-C7/Settings!$C$17))))),"")</f>
        <v/>
      </c>
      <c r="K7" s="16">
        <f>IFERROR(IF(OR(C7="",D7=""),"",-D7*((Settings!$C$12 + Settings!$C$13*((1-EXP(-MAX(C7-6/12,0.01)/Settings!$C$16))/(MAX(C7-6/12,0.01)/Settings!$C$16)) + Settings!$C$14*((1-EXP(-MAX(C7-6/12,0.01)/Settings!$C$16))/(MAX(C7-6/12,0.01)/Settings!$C$16) - EXP(-MAX(C7-6/12,0.01)/Settings!$C$16)) + Settings!$C$15*((1-EXP(-MAX(C7-6/12,0.01)/Settings!$C$17))/(MAX(C7-6/12,0.01)/Settings!$C$17) - EXP(-MAX(C7-6/12,0.01)/Settings!$C$17))) - (Settings!$C$12 + Settings!$C$13*((1-EXP(-C7/Settings!$C$16))/(C7/Settings!$C$16)) + Settings!$C$14*((1-EXP(-C7/Settings!$C$16))/(C7/Settings!$C$16) - EXP(-C7/Settings!$C$16)) + Settings!$C$15*((1-EXP(-C7/Settings!$C$17))/(C7/Settings!$C$17) - EXP(-C7/Settings!$C$17))))),"")</f>
        <v/>
      </c>
      <c r="L7" s="16">
        <f>IFERROR(IF(OR(C7="",D7=""),"",-D7*((Settings!$C$12 + Settings!$C$13*((1-EXP(-MAX(C7-12/12,0.01)/Settings!$C$16))/(MAX(C7-12/12,0.01)/Settings!$C$16)) + Settings!$C$14*((1-EXP(-MAX(C7-12/12,0.01)/Settings!$C$16))/(MAX(C7-12/12,0.01)/Settings!$C$16) - EXP(-MAX(C7-12/12,0.01)/Settings!$C$16)) + Settings!$C$15*((1-EXP(-MAX(C7-12/12,0.01)/Settings!$C$17))/(MAX(C7-12/12,0.01)/Settings!$C$17) - EXP(-MAX(C7-12/12,0.01)/Settings!$C$17))) - (Settings!$C$12 + Settings!$C$13*((1-EXP(-C7/Settings!$C$16))/(C7/Settings!$C$16)) + Settings!$C$14*((1-EXP(-C7/Settings!$C$16))/(C7/Settings!$C$16) - EXP(-C7/Settings!$C$16)) + Settings!$C$15*((1-EXP(-C7/Settings!$C$17))/(C7/Settings!$C$17) - EXP(-C7/Settings!$C$17))))),"")</f>
        <v/>
      </c>
      <c r="M7" s="16">
        <f>IFERROR(IF(OR(I7="",L7=""),"",I7+L7),"")</f>
        <v/>
      </c>
    </row>
    <row r="8">
      <c r="A8" s="25">
        <f>Bonds_Static!A8</f>
        <v/>
      </c>
      <c r="B8" s="25">
        <f>Bonds_Static!C8</f>
        <v/>
      </c>
      <c r="C8" s="26">
        <f>IFERROR(Bonds_Static!G8,"")</f>
        <v/>
      </c>
      <c r="D8" s="36">
        <f>IFERROR(Bonds_Live!Q8,"")</f>
        <v/>
      </c>
      <c r="E8" s="36">
        <f>IFERROR(Bonds_Static!D8,"")</f>
        <v/>
      </c>
      <c r="F8" s="36">
        <f>IFERROR(Bonds_Live!K8,"")</f>
        <v/>
      </c>
      <c r="G8" s="16">
        <f>IFERROR(IF(E8="","",E8*100/Bonds_Live!F8*3/12),"")</f>
        <v/>
      </c>
      <c r="H8" s="16">
        <f>IFERROR(IF(E8="","",E8*100/Bonds_Live!F8*6/12),"")</f>
        <v/>
      </c>
      <c r="I8" s="16">
        <f>IFERROR(IF(E8="","",E8*100/Bonds_Live!F8*12/12),"")</f>
        <v/>
      </c>
      <c r="J8" s="16">
        <f>IFERROR(IF(OR(C8="",D8=""),"",-D8*((Settings!$C$12 + Settings!$C$13*((1-EXP(-MAX(C8-3/12,0.01)/Settings!$C$16))/(MAX(C8-3/12,0.01)/Settings!$C$16)) + Settings!$C$14*((1-EXP(-MAX(C8-3/12,0.01)/Settings!$C$16))/(MAX(C8-3/12,0.01)/Settings!$C$16) - EXP(-MAX(C8-3/12,0.01)/Settings!$C$16)) + Settings!$C$15*((1-EXP(-MAX(C8-3/12,0.01)/Settings!$C$17))/(MAX(C8-3/12,0.01)/Settings!$C$17) - EXP(-MAX(C8-3/12,0.01)/Settings!$C$17))) - (Settings!$C$12 + Settings!$C$13*((1-EXP(-C8/Settings!$C$16))/(C8/Settings!$C$16)) + Settings!$C$14*((1-EXP(-C8/Settings!$C$16))/(C8/Settings!$C$16) - EXP(-C8/Settings!$C$16)) + Settings!$C$15*((1-EXP(-C8/Settings!$C$17))/(C8/Settings!$C$17) - EXP(-C8/Settings!$C$17))))),"")</f>
        <v/>
      </c>
      <c r="K8" s="16">
        <f>IFERROR(IF(OR(C8="",D8=""),"",-D8*((Settings!$C$12 + Settings!$C$13*((1-EXP(-MAX(C8-6/12,0.01)/Settings!$C$16))/(MAX(C8-6/12,0.01)/Settings!$C$16)) + Settings!$C$14*((1-EXP(-MAX(C8-6/12,0.01)/Settings!$C$16))/(MAX(C8-6/12,0.01)/Settings!$C$16) - EXP(-MAX(C8-6/12,0.01)/Settings!$C$16)) + Settings!$C$15*((1-EXP(-MAX(C8-6/12,0.01)/Settings!$C$17))/(MAX(C8-6/12,0.01)/Settings!$C$17) - EXP(-MAX(C8-6/12,0.01)/Settings!$C$17))) - (Settings!$C$12 + Settings!$C$13*((1-EXP(-C8/Settings!$C$16))/(C8/Settings!$C$16)) + Settings!$C$14*((1-EXP(-C8/Settings!$C$16))/(C8/Settings!$C$16) - EXP(-C8/Settings!$C$16)) + Settings!$C$15*((1-EXP(-C8/Settings!$C$17))/(C8/Settings!$C$17) - EXP(-C8/Settings!$C$17))))),"")</f>
        <v/>
      </c>
      <c r="L8" s="16">
        <f>IFERROR(IF(OR(C8="",D8=""),"",-D8*((Settings!$C$12 + Settings!$C$13*((1-EXP(-MAX(C8-12/12,0.01)/Settings!$C$16))/(MAX(C8-12/12,0.01)/Settings!$C$16)) + Settings!$C$14*((1-EXP(-MAX(C8-12/12,0.01)/Settings!$C$16))/(MAX(C8-12/12,0.01)/Settings!$C$16) - EXP(-MAX(C8-12/12,0.01)/Settings!$C$16)) + Settings!$C$15*((1-EXP(-MAX(C8-12/12,0.01)/Settings!$C$17))/(MAX(C8-12/12,0.01)/Settings!$C$17) - EXP(-MAX(C8-12/12,0.01)/Settings!$C$17))) - (Settings!$C$12 + Settings!$C$13*((1-EXP(-C8/Settings!$C$16))/(C8/Settings!$C$16)) + Settings!$C$14*((1-EXP(-C8/Settings!$C$16))/(C8/Settings!$C$16) - EXP(-C8/Settings!$C$16)) + Settings!$C$15*((1-EXP(-C8/Settings!$C$17))/(C8/Settings!$C$17) - EXP(-C8/Settings!$C$17))))),"")</f>
        <v/>
      </c>
      <c r="M8" s="16">
        <f>IFERROR(IF(OR(I8="",L8=""),"",I8+L8),"")</f>
        <v/>
      </c>
    </row>
    <row r="9">
      <c r="A9" s="25">
        <f>Bonds_Static!A9</f>
        <v/>
      </c>
      <c r="B9" s="25">
        <f>Bonds_Static!C9</f>
        <v/>
      </c>
      <c r="C9" s="26">
        <f>IFERROR(Bonds_Static!G9,"")</f>
        <v/>
      </c>
      <c r="D9" s="36">
        <f>IFERROR(Bonds_Live!Q9,"")</f>
        <v/>
      </c>
      <c r="E9" s="36">
        <f>IFERROR(Bonds_Static!D9,"")</f>
        <v/>
      </c>
      <c r="F9" s="36">
        <f>IFERROR(Bonds_Live!K9,"")</f>
        <v/>
      </c>
      <c r="G9" s="16">
        <f>IFERROR(IF(E9="","",E9*100/Bonds_Live!F9*3/12),"")</f>
        <v/>
      </c>
      <c r="H9" s="16">
        <f>IFERROR(IF(E9="","",E9*100/Bonds_Live!F9*6/12),"")</f>
        <v/>
      </c>
      <c r="I9" s="16">
        <f>IFERROR(IF(E9="","",E9*100/Bonds_Live!F9*12/12),"")</f>
        <v/>
      </c>
      <c r="J9" s="16">
        <f>IFERROR(IF(OR(C9="",D9=""),"",-D9*((Settings!$C$12 + Settings!$C$13*((1-EXP(-MAX(C9-3/12,0.01)/Settings!$C$16))/(MAX(C9-3/12,0.01)/Settings!$C$16)) + Settings!$C$14*((1-EXP(-MAX(C9-3/12,0.01)/Settings!$C$16))/(MAX(C9-3/12,0.01)/Settings!$C$16) - EXP(-MAX(C9-3/12,0.01)/Settings!$C$16)) + Settings!$C$15*((1-EXP(-MAX(C9-3/12,0.01)/Settings!$C$17))/(MAX(C9-3/12,0.01)/Settings!$C$17) - EXP(-MAX(C9-3/12,0.01)/Settings!$C$17))) - (Settings!$C$12 + Settings!$C$13*((1-EXP(-C9/Settings!$C$16))/(C9/Settings!$C$16)) + Settings!$C$14*((1-EXP(-C9/Settings!$C$16))/(C9/Settings!$C$16) - EXP(-C9/Settings!$C$16)) + Settings!$C$15*((1-EXP(-C9/Settings!$C$17))/(C9/Settings!$C$17) - EXP(-C9/Settings!$C$17))))),"")</f>
        <v/>
      </c>
      <c r="K9" s="16">
        <f>IFERROR(IF(OR(C9="",D9=""),"",-D9*((Settings!$C$12 + Settings!$C$13*((1-EXP(-MAX(C9-6/12,0.01)/Settings!$C$16))/(MAX(C9-6/12,0.01)/Settings!$C$16)) + Settings!$C$14*((1-EXP(-MAX(C9-6/12,0.01)/Settings!$C$16))/(MAX(C9-6/12,0.01)/Settings!$C$16) - EXP(-MAX(C9-6/12,0.01)/Settings!$C$16)) + Settings!$C$15*((1-EXP(-MAX(C9-6/12,0.01)/Settings!$C$17))/(MAX(C9-6/12,0.01)/Settings!$C$17) - EXP(-MAX(C9-6/12,0.01)/Settings!$C$17))) - (Settings!$C$12 + Settings!$C$13*((1-EXP(-C9/Settings!$C$16))/(C9/Settings!$C$16)) + Settings!$C$14*((1-EXP(-C9/Settings!$C$16))/(C9/Settings!$C$16) - EXP(-C9/Settings!$C$16)) + Settings!$C$15*((1-EXP(-C9/Settings!$C$17))/(C9/Settings!$C$17) - EXP(-C9/Settings!$C$17))))),"")</f>
        <v/>
      </c>
      <c r="L9" s="16">
        <f>IFERROR(IF(OR(C9="",D9=""),"",-D9*((Settings!$C$12 + Settings!$C$13*((1-EXP(-MAX(C9-12/12,0.01)/Settings!$C$16))/(MAX(C9-12/12,0.01)/Settings!$C$16)) + Settings!$C$14*((1-EXP(-MAX(C9-12/12,0.01)/Settings!$C$16))/(MAX(C9-12/12,0.01)/Settings!$C$16) - EXP(-MAX(C9-12/12,0.01)/Settings!$C$16)) + Settings!$C$15*((1-EXP(-MAX(C9-12/12,0.01)/Settings!$C$17))/(MAX(C9-12/12,0.01)/Settings!$C$17) - EXP(-MAX(C9-12/12,0.01)/Settings!$C$17))) - (Settings!$C$12 + Settings!$C$13*((1-EXP(-C9/Settings!$C$16))/(C9/Settings!$C$16)) + Settings!$C$14*((1-EXP(-C9/Settings!$C$16))/(C9/Settings!$C$16) - EXP(-C9/Settings!$C$16)) + Settings!$C$15*((1-EXP(-C9/Settings!$C$17))/(C9/Settings!$C$17) - EXP(-C9/Settings!$C$17))))),"")</f>
        <v/>
      </c>
      <c r="M9" s="16">
        <f>IFERROR(IF(OR(I9="",L9=""),"",I9+L9),"")</f>
        <v/>
      </c>
    </row>
    <row r="10">
      <c r="A10" s="25">
        <f>Bonds_Static!A10</f>
        <v/>
      </c>
      <c r="B10" s="25">
        <f>Bonds_Static!C10</f>
        <v/>
      </c>
      <c r="C10" s="26">
        <f>IFERROR(Bonds_Static!G10,"")</f>
        <v/>
      </c>
      <c r="D10" s="36">
        <f>IFERROR(Bonds_Live!Q10,"")</f>
        <v/>
      </c>
      <c r="E10" s="36">
        <f>IFERROR(Bonds_Static!D10,"")</f>
        <v/>
      </c>
      <c r="F10" s="36">
        <f>IFERROR(Bonds_Live!K10,"")</f>
        <v/>
      </c>
      <c r="G10" s="16">
        <f>IFERROR(IF(E10="","",E10*100/Bonds_Live!F10*3/12),"")</f>
        <v/>
      </c>
      <c r="H10" s="16">
        <f>IFERROR(IF(E10="","",E10*100/Bonds_Live!F10*6/12),"")</f>
        <v/>
      </c>
      <c r="I10" s="16">
        <f>IFERROR(IF(E10="","",E10*100/Bonds_Live!F10*12/12),"")</f>
        <v/>
      </c>
      <c r="J10" s="16">
        <f>IFERROR(IF(OR(C10="",D10=""),"",-D10*((Settings!$C$12 + Settings!$C$13*((1-EXP(-MAX(C10-3/12,0.01)/Settings!$C$16))/(MAX(C10-3/12,0.01)/Settings!$C$16)) + Settings!$C$14*((1-EXP(-MAX(C10-3/12,0.01)/Settings!$C$16))/(MAX(C10-3/12,0.01)/Settings!$C$16) - EXP(-MAX(C10-3/12,0.01)/Settings!$C$16)) + Settings!$C$15*((1-EXP(-MAX(C10-3/12,0.01)/Settings!$C$17))/(MAX(C10-3/12,0.01)/Settings!$C$17) - EXP(-MAX(C10-3/12,0.01)/Settings!$C$17))) - (Settings!$C$12 + Settings!$C$13*((1-EXP(-C10/Settings!$C$16))/(C10/Settings!$C$16)) + Settings!$C$14*((1-EXP(-C10/Settings!$C$16))/(C10/Settings!$C$16) - EXP(-C10/Settings!$C$16)) + Settings!$C$15*((1-EXP(-C10/Settings!$C$17))/(C10/Settings!$C$17) - EXP(-C10/Settings!$C$17))))),"")</f>
        <v/>
      </c>
      <c r="K10" s="16">
        <f>IFERROR(IF(OR(C10="",D10=""),"",-D10*((Settings!$C$12 + Settings!$C$13*((1-EXP(-MAX(C10-6/12,0.01)/Settings!$C$16))/(MAX(C10-6/12,0.01)/Settings!$C$16)) + Settings!$C$14*((1-EXP(-MAX(C10-6/12,0.01)/Settings!$C$16))/(MAX(C10-6/12,0.01)/Settings!$C$16) - EXP(-MAX(C10-6/12,0.01)/Settings!$C$16)) + Settings!$C$15*((1-EXP(-MAX(C10-6/12,0.01)/Settings!$C$17))/(MAX(C10-6/12,0.01)/Settings!$C$17) - EXP(-MAX(C10-6/12,0.01)/Settings!$C$17))) - (Settings!$C$12 + Settings!$C$13*((1-EXP(-C10/Settings!$C$16))/(C10/Settings!$C$16)) + Settings!$C$14*((1-EXP(-C10/Settings!$C$16))/(C10/Settings!$C$16) - EXP(-C10/Settings!$C$16)) + Settings!$C$15*((1-EXP(-C10/Settings!$C$17))/(C10/Settings!$C$17) - EXP(-C10/Settings!$C$17))))),"")</f>
        <v/>
      </c>
      <c r="L10" s="16">
        <f>IFERROR(IF(OR(C10="",D10=""),"",-D10*((Settings!$C$12 + Settings!$C$13*((1-EXP(-MAX(C10-12/12,0.01)/Settings!$C$16))/(MAX(C10-12/12,0.01)/Settings!$C$16)) + Settings!$C$14*((1-EXP(-MAX(C10-12/12,0.01)/Settings!$C$16))/(MAX(C10-12/12,0.01)/Settings!$C$16) - EXP(-MAX(C10-12/12,0.01)/Settings!$C$16)) + Settings!$C$15*((1-EXP(-MAX(C10-12/12,0.01)/Settings!$C$17))/(MAX(C10-12/12,0.01)/Settings!$C$17) - EXP(-MAX(C10-12/12,0.01)/Settings!$C$17))) - (Settings!$C$12 + Settings!$C$13*((1-EXP(-C10/Settings!$C$16))/(C10/Settings!$C$16)) + Settings!$C$14*((1-EXP(-C10/Settings!$C$16))/(C10/Settings!$C$16) - EXP(-C10/Settings!$C$16)) + Settings!$C$15*((1-EXP(-C10/Settings!$C$17))/(C10/Settings!$C$17) - EXP(-C10/Settings!$C$17))))),"")</f>
        <v/>
      </c>
      <c r="M10" s="16">
        <f>IFERROR(IF(OR(I10="",L10=""),"",I10+L10),"")</f>
        <v/>
      </c>
    </row>
    <row r="11">
      <c r="A11" s="25">
        <f>Bonds_Static!A11</f>
        <v/>
      </c>
      <c r="B11" s="25">
        <f>Bonds_Static!C11</f>
        <v/>
      </c>
      <c r="C11" s="26">
        <f>IFERROR(Bonds_Static!G11,"")</f>
        <v/>
      </c>
      <c r="D11" s="36">
        <f>IFERROR(Bonds_Live!Q11,"")</f>
        <v/>
      </c>
      <c r="E11" s="36">
        <f>IFERROR(Bonds_Static!D11,"")</f>
        <v/>
      </c>
      <c r="F11" s="36">
        <f>IFERROR(Bonds_Live!K11,"")</f>
        <v/>
      </c>
      <c r="G11" s="16">
        <f>IFERROR(IF(E11="","",E11*100/Bonds_Live!F11*3/12),"")</f>
        <v/>
      </c>
      <c r="H11" s="16">
        <f>IFERROR(IF(E11="","",E11*100/Bonds_Live!F11*6/12),"")</f>
        <v/>
      </c>
      <c r="I11" s="16">
        <f>IFERROR(IF(E11="","",E11*100/Bonds_Live!F11*12/12),"")</f>
        <v/>
      </c>
      <c r="J11" s="16">
        <f>IFERROR(IF(OR(C11="",D11=""),"",-D11*((Settings!$C$12 + Settings!$C$13*((1-EXP(-MAX(C11-3/12,0.01)/Settings!$C$16))/(MAX(C11-3/12,0.01)/Settings!$C$16)) + Settings!$C$14*((1-EXP(-MAX(C11-3/12,0.01)/Settings!$C$16))/(MAX(C11-3/12,0.01)/Settings!$C$16) - EXP(-MAX(C11-3/12,0.01)/Settings!$C$16)) + Settings!$C$15*((1-EXP(-MAX(C11-3/12,0.01)/Settings!$C$17))/(MAX(C11-3/12,0.01)/Settings!$C$17) - EXP(-MAX(C11-3/12,0.01)/Settings!$C$17))) - (Settings!$C$12 + Settings!$C$13*((1-EXP(-C11/Settings!$C$16))/(C11/Settings!$C$16)) + Settings!$C$14*((1-EXP(-C11/Settings!$C$16))/(C11/Settings!$C$16) - EXP(-C11/Settings!$C$16)) + Settings!$C$15*((1-EXP(-C11/Settings!$C$17))/(C11/Settings!$C$17) - EXP(-C11/Settings!$C$17))))),"")</f>
        <v/>
      </c>
      <c r="K11" s="16">
        <f>IFERROR(IF(OR(C11="",D11=""),"",-D11*((Settings!$C$12 + Settings!$C$13*((1-EXP(-MAX(C11-6/12,0.01)/Settings!$C$16))/(MAX(C11-6/12,0.01)/Settings!$C$16)) + Settings!$C$14*((1-EXP(-MAX(C11-6/12,0.01)/Settings!$C$16))/(MAX(C11-6/12,0.01)/Settings!$C$16) - EXP(-MAX(C11-6/12,0.01)/Settings!$C$16)) + Settings!$C$15*((1-EXP(-MAX(C11-6/12,0.01)/Settings!$C$17))/(MAX(C11-6/12,0.01)/Settings!$C$17) - EXP(-MAX(C11-6/12,0.01)/Settings!$C$17))) - (Settings!$C$12 + Settings!$C$13*((1-EXP(-C11/Settings!$C$16))/(C11/Settings!$C$16)) + Settings!$C$14*((1-EXP(-C11/Settings!$C$16))/(C11/Settings!$C$16) - EXP(-C11/Settings!$C$16)) + Settings!$C$15*((1-EXP(-C11/Settings!$C$17))/(C11/Settings!$C$17) - EXP(-C11/Settings!$C$17))))),"")</f>
        <v/>
      </c>
      <c r="L11" s="16">
        <f>IFERROR(IF(OR(C11="",D11=""),"",-D11*((Settings!$C$12 + Settings!$C$13*((1-EXP(-MAX(C11-12/12,0.01)/Settings!$C$16))/(MAX(C11-12/12,0.01)/Settings!$C$16)) + Settings!$C$14*((1-EXP(-MAX(C11-12/12,0.01)/Settings!$C$16))/(MAX(C11-12/12,0.01)/Settings!$C$16) - EXP(-MAX(C11-12/12,0.01)/Settings!$C$16)) + Settings!$C$15*((1-EXP(-MAX(C11-12/12,0.01)/Settings!$C$17))/(MAX(C11-12/12,0.01)/Settings!$C$17) - EXP(-MAX(C11-12/12,0.01)/Settings!$C$17))) - (Settings!$C$12 + Settings!$C$13*((1-EXP(-C11/Settings!$C$16))/(C11/Settings!$C$16)) + Settings!$C$14*((1-EXP(-C11/Settings!$C$16))/(C11/Settings!$C$16) - EXP(-C11/Settings!$C$16)) + Settings!$C$15*((1-EXP(-C11/Settings!$C$17))/(C11/Settings!$C$17) - EXP(-C11/Settings!$C$17))))),"")</f>
        <v/>
      </c>
      <c r="M11" s="16">
        <f>IFERROR(IF(OR(I11="",L11=""),"",I11+L11),"")</f>
        <v/>
      </c>
    </row>
    <row r="12">
      <c r="A12" s="25">
        <f>Bonds_Static!A12</f>
        <v/>
      </c>
      <c r="B12" s="25">
        <f>Bonds_Static!C12</f>
        <v/>
      </c>
      <c r="C12" s="26">
        <f>IFERROR(Bonds_Static!G12,"")</f>
        <v/>
      </c>
      <c r="D12" s="36">
        <f>IFERROR(Bonds_Live!Q12,"")</f>
        <v/>
      </c>
      <c r="E12" s="36">
        <f>IFERROR(Bonds_Static!D12,"")</f>
        <v/>
      </c>
      <c r="F12" s="36">
        <f>IFERROR(Bonds_Live!K12,"")</f>
        <v/>
      </c>
      <c r="G12" s="16">
        <f>IFERROR(IF(E12="","",E12*100/Bonds_Live!F12*3/12),"")</f>
        <v/>
      </c>
      <c r="H12" s="16">
        <f>IFERROR(IF(E12="","",E12*100/Bonds_Live!F12*6/12),"")</f>
        <v/>
      </c>
      <c r="I12" s="16">
        <f>IFERROR(IF(E12="","",E12*100/Bonds_Live!F12*12/12),"")</f>
        <v/>
      </c>
      <c r="J12" s="16">
        <f>IFERROR(IF(OR(C12="",D12=""),"",-D12*((Settings!$C$12 + Settings!$C$13*((1-EXP(-MAX(C12-3/12,0.01)/Settings!$C$16))/(MAX(C12-3/12,0.01)/Settings!$C$16)) + Settings!$C$14*((1-EXP(-MAX(C12-3/12,0.01)/Settings!$C$16))/(MAX(C12-3/12,0.01)/Settings!$C$16) - EXP(-MAX(C12-3/12,0.01)/Settings!$C$16)) + Settings!$C$15*((1-EXP(-MAX(C12-3/12,0.01)/Settings!$C$17))/(MAX(C12-3/12,0.01)/Settings!$C$17) - EXP(-MAX(C12-3/12,0.01)/Settings!$C$17))) - (Settings!$C$12 + Settings!$C$13*((1-EXP(-C12/Settings!$C$16))/(C12/Settings!$C$16)) + Settings!$C$14*((1-EXP(-C12/Settings!$C$16))/(C12/Settings!$C$16) - EXP(-C12/Settings!$C$16)) + Settings!$C$15*((1-EXP(-C12/Settings!$C$17))/(C12/Settings!$C$17) - EXP(-C12/Settings!$C$17))))),"")</f>
        <v/>
      </c>
      <c r="K12" s="16">
        <f>IFERROR(IF(OR(C12="",D12=""),"",-D12*((Settings!$C$12 + Settings!$C$13*((1-EXP(-MAX(C12-6/12,0.01)/Settings!$C$16))/(MAX(C12-6/12,0.01)/Settings!$C$16)) + Settings!$C$14*((1-EXP(-MAX(C12-6/12,0.01)/Settings!$C$16))/(MAX(C12-6/12,0.01)/Settings!$C$16) - EXP(-MAX(C12-6/12,0.01)/Settings!$C$16)) + Settings!$C$15*((1-EXP(-MAX(C12-6/12,0.01)/Settings!$C$17))/(MAX(C12-6/12,0.01)/Settings!$C$17) - EXP(-MAX(C12-6/12,0.01)/Settings!$C$17))) - (Settings!$C$12 + Settings!$C$13*((1-EXP(-C12/Settings!$C$16))/(C12/Settings!$C$16)) + Settings!$C$14*((1-EXP(-C12/Settings!$C$16))/(C12/Settings!$C$16) - EXP(-C12/Settings!$C$16)) + Settings!$C$15*((1-EXP(-C12/Settings!$C$17))/(C12/Settings!$C$17) - EXP(-C12/Settings!$C$17))))),"")</f>
        <v/>
      </c>
      <c r="L12" s="16">
        <f>IFERROR(IF(OR(C12="",D12=""),"",-D12*((Settings!$C$12 + Settings!$C$13*((1-EXP(-MAX(C12-12/12,0.01)/Settings!$C$16))/(MAX(C12-12/12,0.01)/Settings!$C$16)) + Settings!$C$14*((1-EXP(-MAX(C12-12/12,0.01)/Settings!$C$16))/(MAX(C12-12/12,0.01)/Settings!$C$16) - EXP(-MAX(C12-12/12,0.01)/Settings!$C$16)) + Settings!$C$15*((1-EXP(-MAX(C12-12/12,0.01)/Settings!$C$17))/(MAX(C12-12/12,0.01)/Settings!$C$17) - EXP(-MAX(C12-12/12,0.01)/Settings!$C$17))) - (Settings!$C$12 + Settings!$C$13*((1-EXP(-C12/Settings!$C$16))/(C12/Settings!$C$16)) + Settings!$C$14*((1-EXP(-C12/Settings!$C$16))/(C12/Settings!$C$16) - EXP(-C12/Settings!$C$16)) + Settings!$C$15*((1-EXP(-C12/Settings!$C$17))/(C12/Settings!$C$17) - EXP(-C12/Settings!$C$17))))),"")</f>
        <v/>
      </c>
      <c r="M12" s="16">
        <f>IFERROR(IF(OR(I12="",L12=""),"",I12+L12),"")</f>
        <v/>
      </c>
    </row>
    <row r="13">
      <c r="A13" s="25">
        <f>Bonds_Static!A13</f>
        <v/>
      </c>
      <c r="B13" s="25">
        <f>Bonds_Static!C13</f>
        <v/>
      </c>
      <c r="C13" s="26">
        <f>IFERROR(Bonds_Static!G13,"")</f>
        <v/>
      </c>
      <c r="D13" s="36">
        <f>IFERROR(Bonds_Live!Q13,"")</f>
        <v/>
      </c>
      <c r="E13" s="36">
        <f>IFERROR(Bonds_Static!D13,"")</f>
        <v/>
      </c>
      <c r="F13" s="36">
        <f>IFERROR(Bonds_Live!K13,"")</f>
        <v/>
      </c>
      <c r="G13" s="16">
        <f>IFERROR(IF(E13="","",E13*100/Bonds_Live!F13*3/12),"")</f>
        <v/>
      </c>
      <c r="H13" s="16">
        <f>IFERROR(IF(E13="","",E13*100/Bonds_Live!F13*6/12),"")</f>
        <v/>
      </c>
      <c r="I13" s="16">
        <f>IFERROR(IF(E13="","",E13*100/Bonds_Live!F13*12/12),"")</f>
        <v/>
      </c>
      <c r="J13" s="16">
        <f>IFERROR(IF(OR(C13="",D13=""),"",-D13*((Settings!$C$12 + Settings!$C$13*((1-EXP(-MAX(C13-3/12,0.01)/Settings!$C$16))/(MAX(C13-3/12,0.01)/Settings!$C$16)) + Settings!$C$14*((1-EXP(-MAX(C13-3/12,0.01)/Settings!$C$16))/(MAX(C13-3/12,0.01)/Settings!$C$16) - EXP(-MAX(C13-3/12,0.01)/Settings!$C$16)) + Settings!$C$15*((1-EXP(-MAX(C13-3/12,0.01)/Settings!$C$17))/(MAX(C13-3/12,0.01)/Settings!$C$17) - EXP(-MAX(C13-3/12,0.01)/Settings!$C$17))) - (Settings!$C$12 + Settings!$C$13*((1-EXP(-C13/Settings!$C$16))/(C13/Settings!$C$16)) + Settings!$C$14*((1-EXP(-C13/Settings!$C$16))/(C13/Settings!$C$16) - EXP(-C13/Settings!$C$16)) + Settings!$C$15*((1-EXP(-C13/Settings!$C$17))/(C13/Settings!$C$17) - EXP(-C13/Settings!$C$17))))),"")</f>
        <v/>
      </c>
      <c r="K13" s="16">
        <f>IFERROR(IF(OR(C13="",D13=""),"",-D13*((Settings!$C$12 + Settings!$C$13*((1-EXP(-MAX(C13-6/12,0.01)/Settings!$C$16))/(MAX(C13-6/12,0.01)/Settings!$C$16)) + Settings!$C$14*((1-EXP(-MAX(C13-6/12,0.01)/Settings!$C$16))/(MAX(C13-6/12,0.01)/Settings!$C$16) - EXP(-MAX(C13-6/12,0.01)/Settings!$C$16)) + Settings!$C$15*((1-EXP(-MAX(C13-6/12,0.01)/Settings!$C$17))/(MAX(C13-6/12,0.01)/Settings!$C$17) - EXP(-MAX(C13-6/12,0.01)/Settings!$C$17))) - (Settings!$C$12 + Settings!$C$13*((1-EXP(-C13/Settings!$C$16))/(C13/Settings!$C$16)) + Settings!$C$14*((1-EXP(-C13/Settings!$C$16))/(C13/Settings!$C$16) - EXP(-C13/Settings!$C$16)) + Settings!$C$15*((1-EXP(-C13/Settings!$C$17))/(C13/Settings!$C$17) - EXP(-C13/Settings!$C$17))))),"")</f>
        <v/>
      </c>
      <c r="L13" s="16">
        <f>IFERROR(IF(OR(C13="",D13=""),"",-D13*((Settings!$C$12 + Settings!$C$13*((1-EXP(-MAX(C13-12/12,0.01)/Settings!$C$16))/(MAX(C13-12/12,0.01)/Settings!$C$16)) + Settings!$C$14*((1-EXP(-MAX(C13-12/12,0.01)/Settings!$C$16))/(MAX(C13-12/12,0.01)/Settings!$C$16) - EXP(-MAX(C13-12/12,0.01)/Settings!$C$16)) + Settings!$C$15*((1-EXP(-MAX(C13-12/12,0.01)/Settings!$C$17))/(MAX(C13-12/12,0.01)/Settings!$C$17) - EXP(-MAX(C13-12/12,0.01)/Settings!$C$17))) - (Settings!$C$12 + Settings!$C$13*((1-EXP(-C13/Settings!$C$16))/(C13/Settings!$C$16)) + Settings!$C$14*((1-EXP(-C13/Settings!$C$16))/(C13/Settings!$C$16) - EXP(-C13/Settings!$C$16)) + Settings!$C$15*((1-EXP(-C13/Settings!$C$17))/(C13/Settings!$C$17) - EXP(-C13/Settings!$C$17))))),"")</f>
        <v/>
      </c>
      <c r="M13" s="16">
        <f>IFERROR(IF(OR(I13="",L13=""),"",I13+L13),"")</f>
        <v/>
      </c>
    </row>
    <row r="14">
      <c r="A14" s="25">
        <f>Bonds_Static!A14</f>
        <v/>
      </c>
      <c r="B14" s="25">
        <f>Bonds_Static!C14</f>
        <v/>
      </c>
      <c r="C14" s="26">
        <f>IFERROR(Bonds_Static!G14,"")</f>
        <v/>
      </c>
      <c r="D14" s="36">
        <f>IFERROR(Bonds_Live!Q14,"")</f>
        <v/>
      </c>
      <c r="E14" s="36">
        <f>IFERROR(Bonds_Static!D14,"")</f>
        <v/>
      </c>
      <c r="F14" s="36">
        <f>IFERROR(Bonds_Live!K14,"")</f>
        <v/>
      </c>
      <c r="G14" s="16">
        <f>IFERROR(IF(E14="","",E14*100/Bonds_Live!F14*3/12),"")</f>
        <v/>
      </c>
      <c r="H14" s="16">
        <f>IFERROR(IF(E14="","",E14*100/Bonds_Live!F14*6/12),"")</f>
        <v/>
      </c>
      <c r="I14" s="16">
        <f>IFERROR(IF(E14="","",E14*100/Bonds_Live!F14*12/12),"")</f>
        <v/>
      </c>
      <c r="J14" s="16">
        <f>IFERROR(IF(OR(C14="",D14=""),"",-D14*((Settings!$C$12 + Settings!$C$13*((1-EXP(-MAX(C14-3/12,0.01)/Settings!$C$16))/(MAX(C14-3/12,0.01)/Settings!$C$16)) + Settings!$C$14*((1-EXP(-MAX(C14-3/12,0.01)/Settings!$C$16))/(MAX(C14-3/12,0.01)/Settings!$C$16) - EXP(-MAX(C14-3/12,0.01)/Settings!$C$16)) + Settings!$C$15*((1-EXP(-MAX(C14-3/12,0.01)/Settings!$C$17))/(MAX(C14-3/12,0.01)/Settings!$C$17) - EXP(-MAX(C14-3/12,0.01)/Settings!$C$17))) - (Settings!$C$12 + Settings!$C$13*((1-EXP(-C14/Settings!$C$16))/(C14/Settings!$C$16)) + Settings!$C$14*((1-EXP(-C14/Settings!$C$16))/(C14/Settings!$C$16) - EXP(-C14/Settings!$C$16)) + Settings!$C$15*((1-EXP(-C14/Settings!$C$17))/(C14/Settings!$C$17) - EXP(-C14/Settings!$C$17))))),"")</f>
        <v/>
      </c>
      <c r="K14" s="16">
        <f>IFERROR(IF(OR(C14="",D14=""),"",-D14*((Settings!$C$12 + Settings!$C$13*((1-EXP(-MAX(C14-6/12,0.01)/Settings!$C$16))/(MAX(C14-6/12,0.01)/Settings!$C$16)) + Settings!$C$14*((1-EXP(-MAX(C14-6/12,0.01)/Settings!$C$16))/(MAX(C14-6/12,0.01)/Settings!$C$16) - EXP(-MAX(C14-6/12,0.01)/Settings!$C$16)) + Settings!$C$15*((1-EXP(-MAX(C14-6/12,0.01)/Settings!$C$17))/(MAX(C14-6/12,0.01)/Settings!$C$17) - EXP(-MAX(C14-6/12,0.01)/Settings!$C$17))) - (Settings!$C$12 + Settings!$C$13*((1-EXP(-C14/Settings!$C$16))/(C14/Settings!$C$16)) + Settings!$C$14*((1-EXP(-C14/Settings!$C$16))/(C14/Settings!$C$16) - EXP(-C14/Settings!$C$16)) + Settings!$C$15*((1-EXP(-C14/Settings!$C$17))/(C14/Settings!$C$17) - EXP(-C14/Settings!$C$17))))),"")</f>
        <v/>
      </c>
      <c r="L14" s="16">
        <f>IFERROR(IF(OR(C14="",D14=""),"",-D14*((Settings!$C$12 + Settings!$C$13*((1-EXP(-MAX(C14-12/12,0.01)/Settings!$C$16))/(MAX(C14-12/12,0.01)/Settings!$C$16)) + Settings!$C$14*((1-EXP(-MAX(C14-12/12,0.01)/Settings!$C$16))/(MAX(C14-12/12,0.01)/Settings!$C$16) - EXP(-MAX(C14-12/12,0.01)/Settings!$C$16)) + Settings!$C$15*((1-EXP(-MAX(C14-12/12,0.01)/Settings!$C$17))/(MAX(C14-12/12,0.01)/Settings!$C$17) - EXP(-MAX(C14-12/12,0.01)/Settings!$C$17))) - (Settings!$C$12 + Settings!$C$13*((1-EXP(-C14/Settings!$C$16))/(C14/Settings!$C$16)) + Settings!$C$14*((1-EXP(-C14/Settings!$C$16))/(C14/Settings!$C$16) - EXP(-C14/Settings!$C$16)) + Settings!$C$15*((1-EXP(-C14/Settings!$C$17))/(C14/Settings!$C$17) - EXP(-C14/Settings!$C$17))))),"")</f>
        <v/>
      </c>
      <c r="M14" s="16">
        <f>IFERROR(IF(OR(I14="",L14=""),"",I14+L14),"")</f>
        <v/>
      </c>
    </row>
    <row r="15">
      <c r="A15" s="25">
        <f>Bonds_Static!A15</f>
        <v/>
      </c>
      <c r="B15" s="25">
        <f>Bonds_Static!C15</f>
        <v/>
      </c>
      <c r="C15" s="26">
        <f>IFERROR(Bonds_Static!G15,"")</f>
        <v/>
      </c>
      <c r="D15" s="36">
        <f>IFERROR(Bonds_Live!Q15,"")</f>
        <v/>
      </c>
      <c r="E15" s="36">
        <f>IFERROR(Bonds_Static!D15,"")</f>
        <v/>
      </c>
      <c r="F15" s="36">
        <f>IFERROR(Bonds_Live!K15,"")</f>
        <v/>
      </c>
      <c r="G15" s="16">
        <f>IFERROR(IF(E15="","",E15*100/Bonds_Live!F15*3/12),"")</f>
        <v/>
      </c>
      <c r="H15" s="16">
        <f>IFERROR(IF(E15="","",E15*100/Bonds_Live!F15*6/12),"")</f>
        <v/>
      </c>
      <c r="I15" s="16">
        <f>IFERROR(IF(E15="","",E15*100/Bonds_Live!F15*12/12),"")</f>
        <v/>
      </c>
      <c r="J15" s="16">
        <f>IFERROR(IF(OR(C15="",D15=""),"",-D15*((Settings!$C$12 + Settings!$C$13*((1-EXP(-MAX(C15-3/12,0.01)/Settings!$C$16))/(MAX(C15-3/12,0.01)/Settings!$C$16)) + Settings!$C$14*((1-EXP(-MAX(C15-3/12,0.01)/Settings!$C$16))/(MAX(C15-3/12,0.01)/Settings!$C$16) - EXP(-MAX(C15-3/12,0.01)/Settings!$C$16)) + Settings!$C$15*((1-EXP(-MAX(C15-3/12,0.01)/Settings!$C$17))/(MAX(C15-3/12,0.01)/Settings!$C$17) - EXP(-MAX(C15-3/12,0.01)/Settings!$C$17))) - (Settings!$C$12 + Settings!$C$13*((1-EXP(-C15/Settings!$C$16))/(C15/Settings!$C$16)) + Settings!$C$14*((1-EXP(-C15/Settings!$C$16))/(C15/Settings!$C$16) - EXP(-C15/Settings!$C$16)) + Settings!$C$15*((1-EXP(-C15/Settings!$C$17))/(C15/Settings!$C$17) - EXP(-C15/Settings!$C$17))))),"")</f>
        <v/>
      </c>
      <c r="K15" s="16">
        <f>IFERROR(IF(OR(C15="",D15=""),"",-D15*((Settings!$C$12 + Settings!$C$13*((1-EXP(-MAX(C15-6/12,0.01)/Settings!$C$16))/(MAX(C15-6/12,0.01)/Settings!$C$16)) + Settings!$C$14*((1-EXP(-MAX(C15-6/12,0.01)/Settings!$C$16))/(MAX(C15-6/12,0.01)/Settings!$C$16) - EXP(-MAX(C15-6/12,0.01)/Settings!$C$16)) + Settings!$C$15*((1-EXP(-MAX(C15-6/12,0.01)/Settings!$C$17))/(MAX(C15-6/12,0.01)/Settings!$C$17) - EXP(-MAX(C15-6/12,0.01)/Settings!$C$17))) - (Settings!$C$12 + Settings!$C$13*((1-EXP(-C15/Settings!$C$16))/(C15/Settings!$C$16)) + Settings!$C$14*((1-EXP(-C15/Settings!$C$16))/(C15/Settings!$C$16) - EXP(-C15/Settings!$C$16)) + Settings!$C$15*((1-EXP(-C15/Settings!$C$17))/(C15/Settings!$C$17) - EXP(-C15/Settings!$C$17))))),"")</f>
        <v/>
      </c>
      <c r="L15" s="16">
        <f>IFERROR(IF(OR(C15="",D15=""),"",-D15*((Settings!$C$12 + Settings!$C$13*((1-EXP(-MAX(C15-12/12,0.01)/Settings!$C$16))/(MAX(C15-12/12,0.01)/Settings!$C$16)) + Settings!$C$14*((1-EXP(-MAX(C15-12/12,0.01)/Settings!$C$16))/(MAX(C15-12/12,0.01)/Settings!$C$16) - EXP(-MAX(C15-12/12,0.01)/Settings!$C$16)) + Settings!$C$15*((1-EXP(-MAX(C15-12/12,0.01)/Settings!$C$17))/(MAX(C15-12/12,0.01)/Settings!$C$17) - EXP(-MAX(C15-12/12,0.01)/Settings!$C$17))) - (Settings!$C$12 + Settings!$C$13*((1-EXP(-C15/Settings!$C$16))/(C15/Settings!$C$16)) + Settings!$C$14*((1-EXP(-C15/Settings!$C$16))/(C15/Settings!$C$16) - EXP(-C15/Settings!$C$16)) + Settings!$C$15*((1-EXP(-C15/Settings!$C$17))/(C15/Settings!$C$17) - EXP(-C15/Settings!$C$17))))),"")</f>
        <v/>
      </c>
      <c r="M15" s="16">
        <f>IFERROR(IF(OR(I15="",L15=""),"",I15+L15),"")</f>
        <v/>
      </c>
    </row>
    <row r="16">
      <c r="A16" s="25">
        <f>Bonds_Static!A16</f>
        <v/>
      </c>
      <c r="B16" s="25">
        <f>Bonds_Static!C16</f>
        <v/>
      </c>
      <c r="C16" s="26">
        <f>IFERROR(Bonds_Static!G16,"")</f>
        <v/>
      </c>
      <c r="D16" s="36">
        <f>IFERROR(Bonds_Live!Q16,"")</f>
        <v/>
      </c>
      <c r="E16" s="36">
        <f>IFERROR(Bonds_Static!D16,"")</f>
        <v/>
      </c>
      <c r="F16" s="36">
        <f>IFERROR(Bonds_Live!K16,"")</f>
        <v/>
      </c>
      <c r="G16" s="16">
        <f>IFERROR(IF(E16="","",E16*100/Bonds_Live!F16*3/12),"")</f>
        <v/>
      </c>
      <c r="H16" s="16">
        <f>IFERROR(IF(E16="","",E16*100/Bonds_Live!F16*6/12),"")</f>
        <v/>
      </c>
      <c r="I16" s="16">
        <f>IFERROR(IF(E16="","",E16*100/Bonds_Live!F16*12/12),"")</f>
        <v/>
      </c>
      <c r="J16" s="16">
        <f>IFERROR(IF(OR(C16="",D16=""),"",-D16*((Settings!$C$12 + Settings!$C$13*((1-EXP(-MAX(C16-3/12,0.01)/Settings!$C$16))/(MAX(C16-3/12,0.01)/Settings!$C$16)) + Settings!$C$14*((1-EXP(-MAX(C16-3/12,0.01)/Settings!$C$16))/(MAX(C16-3/12,0.01)/Settings!$C$16) - EXP(-MAX(C16-3/12,0.01)/Settings!$C$16)) + Settings!$C$15*((1-EXP(-MAX(C16-3/12,0.01)/Settings!$C$17))/(MAX(C16-3/12,0.01)/Settings!$C$17) - EXP(-MAX(C16-3/12,0.01)/Settings!$C$17))) - (Settings!$C$12 + Settings!$C$13*((1-EXP(-C16/Settings!$C$16))/(C16/Settings!$C$16)) + Settings!$C$14*((1-EXP(-C16/Settings!$C$16))/(C16/Settings!$C$16) - EXP(-C16/Settings!$C$16)) + Settings!$C$15*((1-EXP(-C16/Settings!$C$17))/(C16/Settings!$C$17) - EXP(-C16/Settings!$C$17))))),"")</f>
        <v/>
      </c>
      <c r="K16" s="16">
        <f>IFERROR(IF(OR(C16="",D16=""),"",-D16*((Settings!$C$12 + Settings!$C$13*((1-EXP(-MAX(C16-6/12,0.01)/Settings!$C$16))/(MAX(C16-6/12,0.01)/Settings!$C$16)) + Settings!$C$14*((1-EXP(-MAX(C16-6/12,0.01)/Settings!$C$16))/(MAX(C16-6/12,0.01)/Settings!$C$16) - EXP(-MAX(C16-6/12,0.01)/Settings!$C$16)) + Settings!$C$15*((1-EXP(-MAX(C16-6/12,0.01)/Settings!$C$17))/(MAX(C16-6/12,0.01)/Settings!$C$17) - EXP(-MAX(C16-6/12,0.01)/Settings!$C$17))) - (Settings!$C$12 + Settings!$C$13*((1-EXP(-C16/Settings!$C$16))/(C16/Settings!$C$16)) + Settings!$C$14*((1-EXP(-C16/Settings!$C$16))/(C16/Settings!$C$16) - EXP(-C16/Settings!$C$16)) + Settings!$C$15*((1-EXP(-C16/Settings!$C$17))/(C16/Settings!$C$17) - EXP(-C16/Settings!$C$17))))),"")</f>
        <v/>
      </c>
      <c r="L16" s="16">
        <f>IFERROR(IF(OR(C16="",D16=""),"",-D16*((Settings!$C$12 + Settings!$C$13*((1-EXP(-MAX(C16-12/12,0.01)/Settings!$C$16))/(MAX(C16-12/12,0.01)/Settings!$C$16)) + Settings!$C$14*((1-EXP(-MAX(C16-12/12,0.01)/Settings!$C$16))/(MAX(C16-12/12,0.01)/Settings!$C$16) - EXP(-MAX(C16-12/12,0.01)/Settings!$C$16)) + Settings!$C$15*((1-EXP(-MAX(C16-12/12,0.01)/Settings!$C$17))/(MAX(C16-12/12,0.01)/Settings!$C$17) - EXP(-MAX(C16-12/12,0.01)/Settings!$C$17))) - (Settings!$C$12 + Settings!$C$13*((1-EXP(-C16/Settings!$C$16))/(C16/Settings!$C$16)) + Settings!$C$14*((1-EXP(-C16/Settings!$C$16))/(C16/Settings!$C$16) - EXP(-C16/Settings!$C$16)) + Settings!$C$15*((1-EXP(-C16/Settings!$C$17))/(C16/Settings!$C$17) - EXP(-C16/Settings!$C$17))))),"")</f>
        <v/>
      </c>
      <c r="M16" s="16">
        <f>IFERROR(IF(OR(I16="",L16=""),"",I16+L16),"")</f>
        <v/>
      </c>
    </row>
    <row r="17">
      <c r="A17" s="25">
        <f>Bonds_Static!A17</f>
        <v/>
      </c>
      <c r="B17" s="25">
        <f>Bonds_Static!C17</f>
        <v/>
      </c>
      <c r="C17" s="26">
        <f>IFERROR(Bonds_Static!G17,"")</f>
        <v/>
      </c>
      <c r="D17" s="36">
        <f>IFERROR(Bonds_Live!Q17,"")</f>
        <v/>
      </c>
      <c r="E17" s="36">
        <f>IFERROR(Bonds_Static!D17,"")</f>
        <v/>
      </c>
      <c r="F17" s="36">
        <f>IFERROR(Bonds_Live!K17,"")</f>
        <v/>
      </c>
      <c r="G17" s="16">
        <f>IFERROR(IF(E17="","",E17*100/Bonds_Live!F17*3/12),"")</f>
        <v/>
      </c>
      <c r="H17" s="16">
        <f>IFERROR(IF(E17="","",E17*100/Bonds_Live!F17*6/12),"")</f>
        <v/>
      </c>
      <c r="I17" s="16">
        <f>IFERROR(IF(E17="","",E17*100/Bonds_Live!F17*12/12),"")</f>
        <v/>
      </c>
      <c r="J17" s="16">
        <f>IFERROR(IF(OR(C17="",D17=""),"",-D17*((Settings!$C$12 + Settings!$C$13*((1-EXP(-MAX(C17-3/12,0.01)/Settings!$C$16))/(MAX(C17-3/12,0.01)/Settings!$C$16)) + Settings!$C$14*((1-EXP(-MAX(C17-3/12,0.01)/Settings!$C$16))/(MAX(C17-3/12,0.01)/Settings!$C$16) - EXP(-MAX(C17-3/12,0.01)/Settings!$C$16)) + Settings!$C$15*((1-EXP(-MAX(C17-3/12,0.01)/Settings!$C$17))/(MAX(C17-3/12,0.01)/Settings!$C$17) - EXP(-MAX(C17-3/12,0.01)/Settings!$C$17))) - (Settings!$C$12 + Settings!$C$13*((1-EXP(-C17/Settings!$C$16))/(C17/Settings!$C$16)) + Settings!$C$14*((1-EXP(-C17/Settings!$C$16))/(C17/Settings!$C$16) - EXP(-C17/Settings!$C$16)) + Settings!$C$15*((1-EXP(-C17/Settings!$C$17))/(C17/Settings!$C$17) - EXP(-C17/Settings!$C$17))))),"")</f>
        <v/>
      </c>
      <c r="K17" s="16">
        <f>IFERROR(IF(OR(C17="",D17=""),"",-D17*((Settings!$C$12 + Settings!$C$13*((1-EXP(-MAX(C17-6/12,0.01)/Settings!$C$16))/(MAX(C17-6/12,0.01)/Settings!$C$16)) + Settings!$C$14*((1-EXP(-MAX(C17-6/12,0.01)/Settings!$C$16))/(MAX(C17-6/12,0.01)/Settings!$C$16) - EXP(-MAX(C17-6/12,0.01)/Settings!$C$16)) + Settings!$C$15*((1-EXP(-MAX(C17-6/12,0.01)/Settings!$C$17))/(MAX(C17-6/12,0.01)/Settings!$C$17) - EXP(-MAX(C17-6/12,0.01)/Settings!$C$17))) - (Settings!$C$12 + Settings!$C$13*((1-EXP(-C17/Settings!$C$16))/(C17/Settings!$C$16)) + Settings!$C$14*((1-EXP(-C17/Settings!$C$16))/(C17/Settings!$C$16) - EXP(-C17/Settings!$C$16)) + Settings!$C$15*((1-EXP(-C17/Settings!$C$17))/(C17/Settings!$C$17) - EXP(-C17/Settings!$C$17))))),"")</f>
        <v/>
      </c>
      <c r="L17" s="16">
        <f>IFERROR(IF(OR(C17="",D17=""),"",-D17*((Settings!$C$12 + Settings!$C$13*((1-EXP(-MAX(C17-12/12,0.01)/Settings!$C$16))/(MAX(C17-12/12,0.01)/Settings!$C$16)) + Settings!$C$14*((1-EXP(-MAX(C17-12/12,0.01)/Settings!$C$16))/(MAX(C17-12/12,0.01)/Settings!$C$16) - EXP(-MAX(C17-12/12,0.01)/Settings!$C$16)) + Settings!$C$15*((1-EXP(-MAX(C17-12/12,0.01)/Settings!$C$17))/(MAX(C17-12/12,0.01)/Settings!$C$17) - EXP(-MAX(C17-12/12,0.01)/Settings!$C$17))) - (Settings!$C$12 + Settings!$C$13*((1-EXP(-C17/Settings!$C$16))/(C17/Settings!$C$16)) + Settings!$C$14*((1-EXP(-C17/Settings!$C$16))/(C17/Settings!$C$16) - EXP(-C17/Settings!$C$16)) + Settings!$C$15*((1-EXP(-C17/Settings!$C$17))/(C17/Settings!$C$17) - EXP(-C17/Settings!$C$17))))),"")</f>
        <v/>
      </c>
      <c r="M17" s="16">
        <f>IFERROR(IF(OR(I17="",L17=""),"",I17+L17),"")</f>
        <v/>
      </c>
    </row>
    <row r="18">
      <c r="A18" s="25">
        <f>Bonds_Static!A18</f>
        <v/>
      </c>
      <c r="B18" s="25">
        <f>Bonds_Static!C18</f>
        <v/>
      </c>
      <c r="C18" s="26">
        <f>IFERROR(Bonds_Static!G18,"")</f>
        <v/>
      </c>
      <c r="D18" s="36">
        <f>IFERROR(Bonds_Live!Q18,"")</f>
        <v/>
      </c>
      <c r="E18" s="36">
        <f>IFERROR(Bonds_Static!D18,"")</f>
        <v/>
      </c>
      <c r="F18" s="36">
        <f>IFERROR(Bonds_Live!K18,"")</f>
        <v/>
      </c>
      <c r="G18" s="16">
        <f>IFERROR(IF(E18="","",E18*100/Bonds_Live!F18*3/12),"")</f>
        <v/>
      </c>
      <c r="H18" s="16">
        <f>IFERROR(IF(E18="","",E18*100/Bonds_Live!F18*6/12),"")</f>
        <v/>
      </c>
      <c r="I18" s="16">
        <f>IFERROR(IF(E18="","",E18*100/Bonds_Live!F18*12/12),"")</f>
        <v/>
      </c>
      <c r="J18" s="16">
        <f>IFERROR(IF(OR(C18="",D18=""),"",-D18*((Settings!$C$12 + Settings!$C$13*((1-EXP(-MAX(C18-3/12,0.01)/Settings!$C$16))/(MAX(C18-3/12,0.01)/Settings!$C$16)) + Settings!$C$14*((1-EXP(-MAX(C18-3/12,0.01)/Settings!$C$16))/(MAX(C18-3/12,0.01)/Settings!$C$16) - EXP(-MAX(C18-3/12,0.01)/Settings!$C$16)) + Settings!$C$15*((1-EXP(-MAX(C18-3/12,0.01)/Settings!$C$17))/(MAX(C18-3/12,0.01)/Settings!$C$17) - EXP(-MAX(C18-3/12,0.01)/Settings!$C$17))) - (Settings!$C$12 + Settings!$C$13*((1-EXP(-C18/Settings!$C$16))/(C18/Settings!$C$16)) + Settings!$C$14*((1-EXP(-C18/Settings!$C$16))/(C18/Settings!$C$16) - EXP(-C18/Settings!$C$16)) + Settings!$C$15*((1-EXP(-C18/Settings!$C$17))/(C18/Settings!$C$17) - EXP(-C18/Settings!$C$17))))),"")</f>
        <v/>
      </c>
      <c r="K18" s="16">
        <f>IFERROR(IF(OR(C18="",D18=""),"",-D18*((Settings!$C$12 + Settings!$C$13*((1-EXP(-MAX(C18-6/12,0.01)/Settings!$C$16))/(MAX(C18-6/12,0.01)/Settings!$C$16)) + Settings!$C$14*((1-EXP(-MAX(C18-6/12,0.01)/Settings!$C$16))/(MAX(C18-6/12,0.01)/Settings!$C$16) - EXP(-MAX(C18-6/12,0.01)/Settings!$C$16)) + Settings!$C$15*((1-EXP(-MAX(C18-6/12,0.01)/Settings!$C$17))/(MAX(C18-6/12,0.01)/Settings!$C$17) - EXP(-MAX(C18-6/12,0.01)/Settings!$C$17))) - (Settings!$C$12 + Settings!$C$13*((1-EXP(-C18/Settings!$C$16))/(C18/Settings!$C$16)) + Settings!$C$14*((1-EXP(-C18/Settings!$C$16))/(C18/Settings!$C$16) - EXP(-C18/Settings!$C$16)) + Settings!$C$15*((1-EXP(-C18/Settings!$C$17))/(C18/Settings!$C$17) - EXP(-C18/Settings!$C$17))))),"")</f>
        <v/>
      </c>
      <c r="L18" s="16">
        <f>IFERROR(IF(OR(C18="",D18=""),"",-D18*((Settings!$C$12 + Settings!$C$13*((1-EXP(-MAX(C18-12/12,0.01)/Settings!$C$16))/(MAX(C18-12/12,0.01)/Settings!$C$16)) + Settings!$C$14*((1-EXP(-MAX(C18-12/12,0.01)/Settings!$C$16))/(MAX(C18-12/12,0.01)/Settings!$C$16) - EXP(-MAX(C18-12/12,0.01)/Settings!$C$16)) + Settings!$C$15*((1-EXP(-MAX(C18-12/12,0.01)/Settings!$C$17))/(MAX(C18-12/12,0.01)/Settings!$C$17) - EXP(-MAX(C18-12/12,0.01)/Settings!$C$17))) - (Settings!$C$12 + Settings!$C$13*((1-EXP(-C18/Settings!$C$16))/(C18/Settings!$C$16)) + Settings!$C$14*((1-EXP(-C18/Settings!$C$16))/(C18/Settings!$C$16) - EXP(-C18/Settings!$C$16)) + Settings!$C$15*((1-EXP(-C18/Settings!$C$17))/(C18/Settings!$C$17) - EXP(-C18/Settings!$C$17))))),"")</f>
        <v/>
      </c>
      <c r="M18" s="16">
        <f>IFERROR(IF(OR(I18="",L18=""),"",I18+L18),"")</f>
        <v/>
      </c>
    </row>
    <row r="19">
      <c r="A19" s="25">
        <f>Bonds_Static!A19</f>
        <v/>
      </c>
      <c r="B19" s="25">
        <f>Bonds_Static!C19</f>
        <v/>
      </c>
      <c r="C19" s="26">
        <f>IFERROR(Bonds_Static!G19,"")</f>
        <v/>
      </c>
      <c r="D19" s="36">
        <f>IFERROR(Bonds_Live!Q19,"")</f>
        <v/>
      </c>
      <c r="E19" s="36">
        <f>IFERROR(Bonds_Static!D19,"")</f>
        <v/>
      </c>
      <c r="F19" s="36">
        <f>IFERROR(Bonds_Live!K19,"")</f>
        <v/>
      </c>
      <c r="G19" s="16">
        <f>IFERROR(IF(E19="","",E19*100/Bonds_Live!F19*3/12),"")</f>
        <v/>
      </c>
      <c r="H19" s="16">
        <f>IFERROR(IF(E19="","",E19*100/Bonds_Live!F19*6/12),"")</f>
        <v/>
      </c>
      <c r="I19" s="16">
        <f>IFERROR(IF(E19="","",E19*100/Bonds_Live!F19*12/12),"")</f>
        <v/>
      </c>
      <c r="J19" s="16">
        <f>IFERROR(IF(OR(C19="",D19=""),"",-D19*((Settings!$C$12 + Settings!$C$13*((1-EXP(-MAX(C19-3/12,0.01)/Settings!$C$16))/(MAX(C19-3/12,0.01)/Settings!$C$16)) + Settings!$C$14*((1-EXP(-MAX(C19-3/12,0.01)/Settings!$C$16))/(MAX(C19-3/12,0.01)/Settings!$C$16) - EXP(-MAX(C19-3/12,0.01)/Settings!$C$16)) + Settings!$C$15*((1-EXP(-MAX(C19-3/12,0.01)/Settings!$C$17))/(MAX(C19-3/12,0.01)/Settings!$C$17) - EXP(-MAX(C19-3/12,0.01)/Settings!$C$17))) - (Settings!$C$12 + Settings!$C$13*((1-EXP(-C19/Settings!$C$16))/(C19/Settings!$C$16)) + Settings!$C$14*((1-EXP(-C19/Settings!$C$16))/(C19/Settings!$C$16) - EXP(-C19/Settings!$C$16)) + Settings!$C$15*((1-EXP(-C19/Settings!$C$17))/(C19/Settings!$C$17) - EXP(-C19/Settings!$C$17))))),"")</f>
        <v/>
      </c>
      <c r="K19" s="16">
        <f>IFERROR(IF(OR(C19="",D19=""),"",-D19*((Settings!$C$12 + Settings!$C$13*((1-EXP(-MAX(C19-6/12,0.01)/Settings!$C$16))/(MAX(C19-6/12,0.01)/Settings!$C$16)) + Settings!$C$14*((1-EXP(-MAX(C19-6/12,0.01)/Settings!$C$16))/(MAX(C19-6/12,0.01)/Settings!$C$16) - EXP(-MAX(C19-6/12,0.01)/Settings!$C$16)) + Settings!$C$15*((1-EXP(-MAX(C19-6/12,0.01)/Settings!$C$17))/(MAX(C19-6/12,0.01)/Settings!$C$17) - EXP(-MAX(C19-6/12,0.01)/Settings!$C$17))) - (Settings!$C$12 + Settings!$C$13*((1-EXP(-C19/Settings!$C$16))/(C19/Settings!$C$16)) + Settings!$C$14*((1-EXP(-C19/Settings!$C$16))/(C19/Settings!$C$16) - EXP(-C19/Settings!$C$16)) + Settings!$C$15*((1-EXP(-C19/Settings!$C$17))/(C19/Settings!$C$17) - EXP(-C19/Settings!$C$17))))),"")</f>
        <v/>
      </c>
      <c r="L19" s="16">
        <f>IFERROR(IF(OR(C19="",D19=""),"",-D19*((Settings!$C$12 + Settings!$C$13*((1-EXP(-MAX(C19-12/12,0.01)/Settings!$C$16))/(MAX(C19-12/12,0.01)/Settings!$C$16)) + Settings!$C$14*((1-EXP(-MAX(C19-12/12,0.01)/Settings!$C$16))/(MAX(C19-12/12,0.01)/Settings!$C$16) - EXP(-MAX(C19-12/12,0.01)/Settings!$C$16)) + Settings!$C$15*((1-EXP(-MAX(C19-12/12,0.01)/Settings!$C$17))/(MAX(C19-12/12,0.01)/Settings!$C$17) - EXP(-MAX(C19-12/12,0.01)/Settings!$C$17))) - (Settings!$C$12 + Settings!$C$13*((1-EXP(-C19/Settings!$C$16))/(C19/Settings!$C$16)) + Settings!$C$14*((1-EXP(-C19/Settings!$C$16))/(C19/Settings!$C$16) - EXP(-C19/Settings!$C$16)) + Settings!$C$15*((1-EXP(-C19/Settings!$C$17))/(C19/Settings!$C$17) - EXP(-C19/Settings!$C$17))))),"")</f>
        <v/>
      </c>
      <c r="M19" s="16">
        <f>IFERROR(IF(OR(I19="",L19=""),"",I19+L19),"")</f>
        <v/>
      </c>
    </row>
    <row r="20">
      <c r="A20" s="25">
        <f>Bonds_Static!A20</f>
        <v/>
      </c>
      <c r="B20" s="25">
        <f>Bonds_Static!C20</f>
        <v/>
      </c>
      <c r="C20" s="26">
        <f>IFERROR(Bonds_Static!G20,"")</f>
        <v/>
      </c>
      <c r="D20" s="36">
        <f>IFERROR(Bonds_Live!Q20,"")</f>
        <v/>
      </c>
      <c r="E20" s="36">
        <f>IFERROR(Bonds_Static!D20,"")</f>
        <v/>
      </c>
      <c r="F20" s="36">
        <f>IFERROR(Bonds_Live!K20,"")</f>
        <v/>
      </c>
      <c r="G20" s="16">
        <f>IFERROR(IF(E20="","",E20*100/Bonds_Live!F20*3/12),"")</f>
        <v/>
      </c>
      <c r="H20" s="16">
        <f>IFERROR(IF(E20="","",E20*100/Bonds_Live!F20*6/12),"")</f>
        <v/>
      </c>
      <c r="I20" s="16">
        <f>IFERROR(IF(E20="","",E20*100/Bonds_Live!F20*12/12),"")</f>
        <v/>
      </c>
      <c r="J20" s="16">
        <f>IFERROR(IF(OR(C20="",D20=""),"",-D20*((Settings!$C$12 + Settings!$C$13*((1-EXP(-MAX(C20-3/12,0.01)/Settings!$C$16))/(MAX(C20-3/12,0.01)/Settings!$C$16)) + Settings!$C$14*((1-EXP(-MAX(C20-3/12,0.01)/Settings!$C$16))/(MAX(C20-3/12,0.01)/Settings!$C$16) - EXP(-MAX(C20-3/12,0.01)/Settings!$C$16)) + Settings!$C$15*((1-EXP(-MAX(C20-3/12,0.01)/Settings!$C$17))/(MAX(C20-3/12,0.01)/Settings!$C$17) - EXP(-MAX(C20-3/12,0.01)/Settings!$C$17))) - (Settings!$C$12 + Settings!$C$13*((1-EXP(-C20/Settings!$C$16))/(C20/Settings!$C$16)) + Settings!$C$14*((1-EXP(-C20/Settings!$C$16))/(C20/Settings!$C$16) - EXP(-C20/Settings!$C$16)) + Settings!$C$15*((1-EXP(-C20/Settings!$C$17))/(C20/Settings!$C$17) - EXP(-C20/Settings!$C$17))))),"")</f>
        <v/>
      </c>
      <c r="K20" s="16">
        <f>IFERROR(IF(OR(C20="",D20=""),"",-D20*((Settings!$C$12 + Settings!$C$13*((1-EXP(-MAX(C20-6/12,0.01)/Settings!$C$16))/(MAX(C20-6/12,0.01)/Settings!$C$16)) + Settings!$C$14*((1-EXP(-MAX(C20-6/12,0.01)/Settings!$C$16))/(MAX(C20-6/12,0.01)/Settings!$C$16) - EXP(-MAX(C20-6/12,0.01)/Settings!$C$16)) + Settings!$C$15*((1-EXP(-MAX(C20-6/12,0.01)/Settings!$C$17))/(MAX(C20-6/12,0.01)/Settings!$C$17) - EXP(-MAX(C20-6/12,0.01)/Settings!$C$17))) - (Settings!$C$12 + Settings!$C$13*((1-EXP(-C20/Settings!$C$16))/(C20/Settings!$C$16)) + Settings!$C$14*((1-EXP(-C20/Settings!$C$16))/(C20/Settings!$C$16) - EXP(-C20/Settings!$C$16)) + Settings!$C$15*((1-EXP(-C20/Settings!$C$17))/(C20/Settings!$C$17) - EXP(-C20/Settings!$C$17))))),"")</f>
        <v/>
      </c>
      <c r="L20" s="16">
        <f>IFERROR(IF(OR(C20="",D20=""),"",-D20*((Settings!$C$12 + Settings!$C$13*((1-EXP(-MAX(C20-12/12,0.01)/Settings!$C$16))/(MAX(C20-12/12,0.01)/Settings!$C$16)) + Settings!$C$14*((1-EXP(-MAX(C20-12/12,0.01)/Settings!$C$16))/(MAX(C20-12/12,0.01)/Settings!$C$16) - EXP(-MAX(C20-12/12,0.01)/Settings!$C$16)) + Settings!$C$15*((1-EXP(-MAX(C20-12/12,0.01)/Settings!$C$17))/(MAX(C20-12/12,0.01)/Settings!$C$17) - EXP(-MAX(C20-12/12,0.01)/Settings!$C$17))) - (Settings!$C$12 + Settings!$C$13*((1-EXP(-C20/Settings!$C$16))/(C20/Settings!$C$16)) + Settings!$C$14*((1-EXP(-C20/Settings!$C$16))/(C20/Settings!$C$16) - EXP(-C20/Settings!$C$16)) + Settings!$C$15*((1-EXP(-C20/Settings!$C$17))/(C20/Settings!$C$17) - EXP(-C20/Settings!$C$17))))),"")</f>
        <v/>
      </c>
      <c r="M20" s="16">
        <f>IFERROR(IF(OR(I20="",L20=""),"",I20+L20),"")</f>
        <v/>
      </c>
    </row>
    <row r="21">
      <c r="A21" s="25">
        <f>Bonds_Static!A21</f>
        <v/>
      </c>
      <c r="B21" s="25">
        <f>Bonds_Static!C21</f>
        <v/>
      </c>
      <c r="C21" s="26">
        <f>IFERROR(Bonds_Static!G21,"")</f>
        <v/>
      </c>
      <c r="D21" s="36">
        <f>IFERROR(Bonds_Live!Q21,"")</f>
        <v/>
      </c>
      <c r="E21" s="36">
        <f>IFERROR(Bonds_Static!D21,"")</f>
        <v/>
      </c>
      <c r="F21" s="36">
        <f>IFERROR(Bonds_Live!K21,"")</f>
        <v/>
      </c>
      <c r="G21" s="16">
        <f>IFERROR(IF(E21="","",E21*100/Bonds_Live!F21*3/12),"")</f>
        <v/>
      </c>
      <c r="H21" s="16">
        <f>IFERROR(IF(E21="","",E21*100/Bonds_Live!F21*6/12),"")</f>
        <v/>
      </c>
      <c r="I21" s="16">
        <f>IFERROR(IF(E21="","",E21*100/Bonds_Live!F21*12/12),"")</f>
        <v/>
      </c>
      <c r="J21" s="16">
        <f>IFERROR(IF(OR(C21="",D21=""),"",-D21*((Settings!$C$12 + Settings!$C$13*((1-EXP(-MAX(C21-3/12,0.01)/Settings!$C$16))/(MAX(C21-3/12,0.01)/Settings!$C$16)) + Settings!$C$14*((1-EXP(-MAX(C21-3/12,0.01)/Settings!$C$16))/(MAX(C21-3/12,0.01)/Settings!$C$16) - EXP(-MAX(C21-3/12,0.01)/Settings!$C$16)) + Settings!$C$15*((1-EXP(-MAX(C21-3/12,0.01)/Settings!$C$17))/(MAX(C21-3/12,0.01)/Settings!$C$17) - EXP(-MAX(C21-3/12,0.01)/Settings!$C$17))) - (Settings!$C$12 + Settings!$C$13*((1-EXP(-C21/Settings!$C$16))/(C21/Settings!$C$16)) + Settings!$C$14*((1-EXP(-C21/Settings!$C$16))/(C21/Settings!$C$16) - EXP(-C21/Settings!$C$16)) + Settings!$C$15*((1-EXP(-C21/Settings!$C$17))/(C21/Settings!$C$17) - EXP(-C21/Settings!$C$17))))),"")</f>
        <v/>
      </c>
      <c r="K21" s="16">
        <f>IFERROR(IF(OR(C21="",D21=""),"",-D21*((Settings!$C$12 + Settings!$C$13*((1-EXP(-MAX(C21-6/12,0.01)/Settings!$C$16))/(MAX(C21-6/12,0.01)/Settings!$C$16)) + Settings!$C$14*((1-EXP(-MAX(C21-6/12,0.01)/Settings!$C$16))/(MAX(C21-6/12,0.01)/Settings!$C$16) - EXP(-MAX(C21-6/12,0.01)/Settings!$C$16)) + Settings!$C$15*((1-EXP(-MAX(C21-6/12,0.01)/Settings!$C$17))/(MAX(C21-6/12,0.01)/Settings!$C$17) - EXP(-MAX(C21-6/12,0.01)/Settings!$C$17))) - (Settings!$C$12 + Settings!$C$13*((1-EXP(-C21/Settings!$C$16))/(C21/Settings!$C$16)) + Settings!$C$14*((1-EXP(-C21/Settings!$C$16))/(C21/Settings!$C$16) - EXP(-C21/Settings!$C$16)) + Settings!$C$15*((1-EXP(-C21/Settings!$C$17))/(C21/Settings!$C$17) - EXP(-C21/Settings!$C$17))))),"")</f>
        <v/>
      </c>
      <c r="L21" s="16">
        <f>IFERROR(IF(OR(C21="",D21=""),"",-D21*((Settings!$C$12 + Settings!$C$13*((1-EXP(-MAX(C21-12/12,0.01)/Settings!$C$16))/(MAX(C21-12/12,0.01)/Settings!$C$16)) + Settings!$C$14*((1-EXP(-MAX(C21-12/12,0.01)/Settings!$C$16))/(MAX(C21-12/12,0.01)/Settings!$C$16) - EXP(-MAX(C21-12/12,0.01)/Settings!$C$16)) + Settings!$C$15*((1-EXP(-MAX(C21-12/12,0.01)/Settings!$C$17))/(MAX(C21-12/12,0.01)/Settings!$C$17) - EXP(-MAX(C21-12/12,0.01)/Settings!$C$17))) - (Settings!$C$12 + Settings!$C$13*((1-EXP(-C21/Settings!$C$16))/(C21/Settings!$C$16)) + Settings!$C$14*((1-EXP(-C21/Settings!$C$16))/(C21/Settings!$C$16) - EXP(-C21/Settings!$C$16)) + Settings!$C$15*((1-EXP(-C21/Settings!$C$17))/(C21/Settings!$C$17) - EXP(-C21/Settings!$C$17))))),"")</f>
        <v/>
      </c>
      <c r="M21" s="16">
        <f>IFERROR(IF(OR(I21="",L21=""),"",I21+L21),"")</f>
        <v/>
      </c>
    </row>
    <row r="22">
      <c r="A22" s="25">
        <f>Bonds_Static!A22</f>
        <v/>
      </c>
      <c r="B22" s="25">
        <f>Bonds_Static!C22</f>
        <v/>
      </c>
      <c r="C22" s="26">
        <f>IFERROR(Bonds_Static!G22,"")</f>
        <v/>
      </c>
      <c r="D22" s="36">
        <f>IFERROR(Bonds_Live!Q22,"")</f>
        <v/>
      </c>
      <c r="E22" s="36">
        <f>IFERROR(Bonds_Static!D22,"")</f>
        <v/>
      </c>
      <c r="F22" s="36">
        <f>IFERROR(Bonds_Live!K22,"")</f>
        <v/>
      </c>
      <c r="G22" s="16">
        <f>IFERROR(IF(E22="","",E22*100/Bonds_Live!F22*3/12),"")</f>
        <v/>
      </c>
      <c r="H22" s="16">
        <f>IFERROR(IF(E22="","",E22*100/Bonds_Live!F22*6/12),"")</f>
        <v/>
      </c>
      <c r="I22" s="16">
        <f>IFERROR(IF(E22="","",E22*100/Bonds_Live!F22*12/12),"")</f>
        <v/>
      </c>
      <c r="J22" s="16">
        <f>IFERROR(IF(OR(C22="",D22=""),"",-D22*((Settings!$C$12 + Settings!$C$13*((1-EXP(-MAX(C22-3/12,0.01)/Settings!$C$16))/(MAX(C22-3/12,0.01)/Settings!$C$16)) + Settings!$C$14*((1-EXP(-MAX(C22-3/12,0.01)/Settings!$C$16))/(MAX(C22-3/12,0.01)/Settings!$C$16) - EXP(-MAX(C22-3/12,0.01)/Settings!$C$16)) + Settings!$C$15*((1-EXP(-MAX(C22-3/12,0.01)/Settings!$C$17))/(MAX(C22-3/12,0.01)/Settings!$C$17) - EXP(-MAX(C22-3/12,0.01)/Settings!$C$17))) - (Settings!$C$12 + Settings!$C$13*((1-EXP(-C22/Settings!$C$16))/(C22/Settings!$C$16)) + Settings!$C$14*((1-EXP(-C22/Settings!$C$16))/(C22/Settings!$C$16) - EXP(-C22/Settings!$C$16)) + Settings!$C$15*((1-EXP(-C22/Settings!$C$17))/(C22/Settings!$C$17) - EXP(-C22/Settings!$C$17))))),"")</f>
        <v/>
      </c>
      <c r="K22" s="16">
        <f>IFERROR(IF(OR(C22="",D22=""),"",-D22*((Settings!$C$12 + Settings!$C$13*((1-EXP(-MAX(C22-6/12,0.01)/Settings!$C$16))/(MAX(C22-6/12,0.01)/Settings!$C$16)) + Settings!$C$14*((1-EXP(-MAX(C22-6/12,0.01)/Settings!$C$16))/(MAX(C22-6/12,0.01)/Settings!$C$16) - EXP(-MAX(C22-6/12,0.01)/Settings!$C$16)) + Settings!$C$15*((1-EXP(-MAX(C22-6/12,0.01)/Settings!$C$17))/(MAX(C22-6/12,0.01)/Settings!$C$17) - EXP(-MAX(C22-6/12,0.01)/Settings!$C$17))) - (Settings!$C$12 + Settings!$C$13*((1-EXP(-C22/Settings!$C$16))/(C22/Settings!$C$16)) + Settings!$C$14*((1-EXP(-C22/Settings!$C$16))/(C22/Settings!$C$16) - EXP(-C22/Settings!$C$16)) + Settings!$C$15*((1-EXP(-C22/Settings!$C$17))/(C22/Settings!$C$17) - EXP(-C22/Settings!$C$17))))),"")</f>
        <v/>
      </c>
      <c r="L22" s="16">
        <f>IFERROR(IF(OR(C22="",D22=""),"",-D22*((Settings!$C$12 + Settings!$C$13*((1-EXP(-MAX(C22-12/12,0.01)/Settings!$C$16))/(MAX(C22-12/12,0.01)/Settings!$C$16)) + Settings!$C$14*((1-EXP(-MAX(C22-12/12,0.01)/Settings!$C$16))/(MAX(C22-12/12,0.01)/Settings!$C$16) - EXP(-MAX(C22-12/12,0.01)/Settings!$C$16)) + Settings!$C$15*((1-EXP(-MAX(C22-12/12,0.01)/Settings!$C$17))/(MAX(C22-12/12,0.01)/Settings!$C$17) - EXP(-MAX(C22-12/12,0.01)/Settings!$C$17))) - (Settings!$C$12 + Settings!$C$13*((1-EXP(-C22/Settings!$C$16))/(C22/Settings!$C$16)) + Settings!$C$14*((1-EXP(-C22/Settings!$C$16))/(C22/Settings!$C$16) - EXP(-C22/Settings!$C$16)) + Settings!$C$15*((1-EXP(-C22/Settings!$C$17))/(C22/Settings!$C$17) - EXP(-C22/Settings!$C$17))))),"")</f>
        <v/>
      </c>
      <c r="M22" s="16">
        <f>IFERROR(IF(OR(I22="",L22=""),"",I22+L22),"")</f>
        <v/>
      </c>
    </row>
    <row r="23">
      <c r="A23" s="25">
        <f>Bonds_Static!A23</f>
        <v/>
      </c>
      <c r="B23" s="25">
        <f>Bonds_Static!C23</f>
        <v/>
      </c>
      <c r="C23" s="26">
        <f>IFERROR(Bonds_Static!G23,"")</f>
        <v/>
      </c>
      <c r="D23" s="36">
        <f>IFERROR(Bonds_Live!Q23,"")</f>
        <v/>
      </c>
      <c r="E23" s="36">
        <f>IFERROR(Bonds_Static!D23,"")</f>
        <v/>
      </c>
      <c r="F23" s="36">
        <f>IFERROR(Bonds_Live!K23,"")</f>
        <v/>
      </c>
      <c r="G23" s="16">
        <f>IFERROR(IF(E23="","",E23*100/Bonds_Live!F23*3/12),"")</f>
        <v/>
      </c>
      <c r="H23" s="16">
        <f>IFERROR(IF(E23="","",E23*100/Bonds_Live!F23*6/12),"")</f>
        <v/>
      </c>
      <c r="I23" s="16">
        <f>IFERROR(IF(E23="","",E23*100/Bonds_Live!F23*12/12),"")</f>
        <v/>
      </c>
      <c r="J23" s="16">
        <f>IFERROR(IF(OR(C23="",D23=""),"",-D23*((Settings!$C$12 + Settings!$C$13*((1-EXP(-MAX(C23-3/12,0.01)/Settings!$C$16))/(MAX(C23-3/12,0.01)/Settings!$C$16)) + Settings!$C$14*((1-EXP(-MAX(C23-3/12,0.01)/Settings!$C$16))/(MAX(C23-3/12,0.01)/Settings!$C$16) - EXP(-MAX(C23-3/12,0.01)/Settings!$C$16)) + Settings!$C$15*((1-EXP(-MAX(C23-3/12,0.01)/Settings!$C$17))/(MAX(C23-3/12,0.01)/Settings!$C$17) - EXP(-MAX(C23-3/12,0.01)/Settings!$C$17))) - (Settings!$C$12 + Settings!$C$13*((1-EXP(-C23/Settings!$C$16))/(C23/Settings!$C$16)) + Settings!$C$14*((1-EXP(-C23/Settings!$C$16))/(C23/Settings!$C$16) - EXP(-C23/Settings!$C$16)) + Settings!$C$15*((1-EXP(-C23/Settings!$C$17))/(C23/Settings!$C$17) - EXP(-C23/Settings!$C$17))))),"")</f>
        <v/>
      </c>
      <c r="K23" s="16">
        <f>IFERROR(IF(OR(C23="",D23=""),"",-D23*((Settings!$C$12 + Settings!$C$13*((1-EXP(-MAX(C23-6/12,0.01)/Settings!$C$16))/(MAX(C23-6/12,0.01)/Settings!$C$16)) + Settings!$C$14*((1-EXP(-MAX(C23-6/12,0.01)/Settings!$C$16))/(MAX(C23-6/12,0.01)/Settings!$C$16) - EXP(-MAX(C23-6/12,0.01)/Settings!$C$16)) + Settings!$C$15*((1-EXP(-MAX(C23-6/12,0.01)/Settings!$C$17))/(MAX(C23-6/12,0.01)/Settings!$C$17) - EXP(-MAX(C23-6/12,0.01)/Settings!$C$17))) - (Settings!$C$12 + Settings!$C$13*((1-EXP(-C23/Settings!$C$16))/(C23/Settings!$C$16)) + Settings!$C$14*((1-EXP(-C23/Settings!$C$16))/(C23/Settings!$C$16) - EXP(-C23/Settings!$C$16)) + Settings!$C$15*((1-EXP(-C23/Settings!$C$17))/(C23/Settings!$C$17) - EXP(-C23/Settings!$C$17))))),"")</f>
        <v/>
      </c>
      <c r="L23" s="16">
        <f>IFERROR(IF(OR(C23="",D23=""),"",-D23*((Settings!$C$12 + Settings!$C$13*((1-EXP(-MAX(C23-12/12,0.01)/Settings!$C$16))/(MAX(C23-12/12,0.01)/Settings!$C$16)) + Settings!$C$14*((1-EXP(-MAX(C23-12/12,0.01)/Settings!$C$16))/(MAX(C23-12/12,0.01)/Settings!$C$16) - EXP(-MAX(C23-12/12,0.01)/Settings!$C$16)) + Settings!$C$15*((1-EXP(-MAX(C23-12/12,0.01)/Settings!$C$17))/(MAX(C23-12/12,0.01)/Settings!$C$17) - EXP(-MAX(C23-12/12,0.01)/Settings!$C$17))) - (Settings!$C$12 + Settings!$C$13*((1-EXP(-C23/Settings!$C$16))/(C23/Settings!$C$16)) + Settings!$C$14*((1-EXP(-C23/Settings!$C$16))/(C23/Settings!$C$16) - EXP(-C23/Settings!$C$16)) + Settings!$C$15*((1-EXP(-C23/Settings!$C$17))/(C23/Settings!$C$17) - EXP(-C23/Settings!$C$17))))),"")</f>
        <v/>
      </c>
      <c r="M23" s="16">
        <f>IFERROR(IF(OR(I23="",L23=""),"",I23+L23),"")</f>
        <v/>
      </c>
    </row>
    <row r="24">
      <c r="A24" s="25">
        <f>Bonds_Static!A24</f>
        <v/>
      </c>
      <c r="B24" s="25">
        <f>Bonds_Static!C24</f>
        <v/>
      </c>
      <c r="C24" s="26">
        <f>IFERROR(Bonds_Static!G24,"")</f>
        <v/>
      </c>
      <c r="D24" s="36">
        <f>IFERROR(Bonds_Live!Q24,"")</f>
        <v/>
      </c>
      <c r="E24" s="36">
        <f>IFERROR(Bonds_Static!D24,"")</f>
        <v/>
      </c>
      <c r="F24" s="36">
        <f>IFERROR(Bonds_Live!K24,"")</f>
        <v/>
      </c>
      <c r="G24" s="16">
        <f>IFERROR(IF(E24="","",E24*100/Bonds_Live!F24*3/12),"")</f>
        <v/>
      </c>
      <c r="H24" s="16">
        <f>IFERROR(IF(E24="","",E24*100/Bonds_Live!F24*6/12),"")</f>
        <v/>
      </c>
      <c r="I24" s="16">
        <f>IFERROR(IF(E24="","",E24*100/Bonds_Live!F24*12/12),"")</f>
        <v/>
      </c>
      <c r="J24" s="16">
        <f>IFERROR(IF(OR(C24="",D24=""),"",-D24*((Settings!$C$12 + Settings!$C$13*((1-EXP(-MAX(C24-3/12,0.01)/Settings!$C$16))/(MAX(C24-3/12,0.01)/Settings!$C$16)) + Settings!$C$14*((1-EXP(-MAX(C24-3/12,0.01)/Settings!$C$16))/(MAX(C24-3/12,0.01)/Settings!$C$16) - EXP(-MAX(C24-3/12,0.01)/Settings!$C$16)) + Settings!$C$15*((1-EXP(-MAX(C24-3/12,0.01)/Settings!$C$17))/(MAX(C24-3/12,0.01)/Settings!$C$17) - EXP(-MAX(C24-3/12,0.01)/Settings!$C$17))) - (Settings!$C$12 + Settings!$C$13*((1-EXP(-C24/Settings!$C$16))/(C24/Settings!$C$16)) + Settings!$C$14*((1-EXP(-C24/Settings!$C$16))/(C24/Settings!$C$16) - EXP(-C24/Settings!$C$16)) + Settings!$C$15*((1-EXP(-C24/Settings!$C$17))/(C24/Settings!$C$17) - EXP(-C24/Settings!$C$17))))),"")</f>
        <v/>
      </c>
      <c r="K24" s="16">
        <f>IFERROR(IF(OR(C24="",D24=""),"",-D24*((Settings!$C$12 + Settings!$C$13*((1-EXP(-MAX(C24-6/12,0.01)/Settings!$C$16))/(MAX(C24-6/12,0.01)/Settings!$C$16)) + Settings!$C$14*((1-EXP(-MAX(C24-6/12,0.01)/Settings!$C$16))/(MAX(C24-6/12,0.01)/Settings!$C$16) - EXP(-MAX(C24-6/12,0.01)/Settings!$C$16)) + Settings!$C$15*((1-EXP(-MAX(C24-6/12,0.01)/Settings!$C$17))/(MAX(C24-6/12,0.01)/Settings!$C$17) - EXP(-MAX(C24-6/12,0.01)/Settings!$C$17))) - (Settings!$C$12 + Settings!$C$13*((1-EXP(-C24/Settings!$C$16))/(C24/Settings!$C$16)) + Settings!$C$14*((1-EXP(-C24/Settings!$C$16))/(C24/Settings!$C$16) - EXP(-C24/Settings!$C$16)) + Settings!$C$15*((1-EXP(-C24/Settings!$C$17))/(C24/Settings!$C$17) - EXP(-C24/Settings!$C$17))))),"")</f>
        <v/>
      </c>
      <c r="L24" s="16">
        <f>IFERROR(IF(OR(C24="",D24=""),"",-D24*((Settings!$C$12 + Settings!$C$13*((1-EXP(-MAX(C24-12/12,0.01)/Settings!$C$16))/(MAX(C24-12/12,0.01)/Settings!$C$16)) + Settings!$C$14*((1-EXP(-MAX(C24-12/12,0.01)/Settings!$C$16))/(MAX(C24-12/12,0.01)/Settings!$C$16) - EXP(-MAX(C24-12/12,0.01)/Settings!$C$16)) + Settings!$C$15*((1-EXP(-MAX(C24-12/12,0.01)/Settings!$C$17))/(MAX(C24-12/12,0.01)/Settings!$C$17) - EXP(-MAX(C24-12/12,0.01)/Settings!$C$17))) - (Settings!$C$12 + Settings!$C$13*((1-EXP(-C24/Settings!$C$16))/(C24/Settings!$C$16)) + Settings!$C$14*((1-EXP(-C24/Settings!$C$16))/(C24/Settings!$C$16) - EXP(-C24/Settings!$C$16)) + Settings!$C$15*((1-EXP(-C24/Settings!$C$17))/(C24/Settings!$C$17) - EXP(-C24/Settings!$C$17))))),"")</f>
        <v/>
      </c>
      <c r="M24" s="16">
        <f>IFERROR(IF(OR(I24="",L24=""),"",I24+L24),"")</f>
        <v/>
      </c>
    </row>
    <row r="25">
      <c r="A25" s="25">
        <f>Bonds_Static!A25</f>
        <v/>
      </c>
      <c r="B25" s="25">
        <f>Bonds_Static!C25</f>
        <v/>
      </c>
      <c r="C25" s="26">
        <f>IFERROR(Bonds_Static!G25,"")</f>
        <v/>
      </c>
      <c r="D25" s="36">
        <f>IFERROR(Bonds_Live!Q25,"")</f>
        <v/>
      </c>
      <c r="E25" s="36">
        <f>IFERROR(Bonds_Static!D25,"")</f>
        <v/>
      </c>
      <c r="F25" s="36">
        <f>IFERROR(Bonds_Live!K25,"")</f>
        <v/>
      </c>
      <c r="G25" s="16">
        <f>IFERROR(IF(E25="","",E25*100/Bonds_Live!F25*3/12),"")</f>
        <v/>
      </c>
      <c r="H25" s="16">
        <f>IFERROR(IF(E25="","",E25*100/Bonds_Live!F25*6/12),"")</f>
        <v/>
      </c>
      <c r="I25" s="16">
        <f>IFERROR(IF(E25="","",E25*100/Bonds_Live!F25*12/12),"")</f>
        <v/>
      </c>
      <c r="J25" s="16">
        <f>IFERROR(IF(OR(C25="",D25=""),"",-D25*((Settings!$C$12 + Settings!$C$13*((1-EXP(-MAX(C25-3/12,0.01)/Settings!$C$16))/(MAX(C25-3/12,0.01)/Settings!$C$16)) + Settings!$C$14*((1-EXP(-MAX(C25-3/12,0.01)/Settings!$C$16))/(MAX(C25-3/12,0.01)/Settings!$C$16) - EXP(-MAX(C25-3/12,0.01)/Settings!$C$16)) + Settings!$C$15*((1-EXP(-MAX(C25-3/12,0.01)/Settings!$C$17))/(MAX(C25-3/12,0.01)/Settings!$C$17) - EXP(-MAX(C25-3/12,0.01)/Settings!$C$17))) - (Settings!$C$12 + Settings!$C$13*((1-EXP(-C25/Settings!$C$16))/(C25/Settings!$C$16)) + Settings!$C$14*((1-EXP(-C25/Settings!$C$16))/(C25/Settings!$C$16) - EXP(-C25/Settings!$C$16)) + Settings!$C$15*((1-EXP(-C25/Settings!$C$17))/(C25/Settings!$C$17) - EXP(-C25/Settings!$C$17))))),"")</f>
        <v/>
      </c>
      <c r="K25" s="16">
        <f>IFERROR(IF(OR(C25="",D25=""),"",-D25*((Settings!$C$12 + Settings!$C$13*((1-EXP(-MAX(C25-6/12,0.01)/Settings!$C$16))/(MAX(C25-6/12,0.01)/Settings!$C$16)) + Settings!$C$14*((1-EXP(-MAX(C25-6/12,0.01)/Settings!$C$16))/(MAX(C25-6/12,0.01)/Settings!$C$16) - EXP(-MAX(C25-6/12,0.01)/Settings!$C$16)) + Settings!$C$15*((1-EXP(-MAX(C25-6/12,0.01)/Settings!$C$17))/(MAX(C25-6/12,0.01)/Settings!$C$17) - EXP(-MAX(C25-6/12,0.01)/Settings!$C$17))) - (Settings!$C$12 + Settings!$C$13*((1-EXP(-C25/Settings!$C$16))/(C25/Settings!$C$16)) + Settings!$C$14*((1-EXP(-C25/Settings!$C$16))/(C25/Settings!$C$16) - EXP(-C25/Settings!$C$16)) + Settings!$C$15*((1-EXP(-C25/Settings!$C$17))/(C25/Settings!$C$17) - EXP(-C25/Settings!$C$17))))),"")</f>
        <v/>
      </c>
      <c r="L25" s="16">
        <f>IFERROR(IF(OR(C25="",D25=""),"",-D25*((Settings!$C$12 + Settings!$C$13*((1-EXP(-MAX(C25-12/12,0.01)/Settings!$C$16))/(MAX(C25-12/12,0.01)/Settings!$C$16)) + Settings!$C$14*((1-EXP(-MAX(C25-12/12,0.01)/Settings!$C$16))/(MAX(C25-12/12,0.01)/Settings!$C$16) - EXP(-MAX(C25-12/12,0.01)/Settings!$C$16)) + Settings!$C$15*((1-EXP(-MAX(C25-12/12,0.01)/Settings!$C$17))/(MAX(C25-12/12,0.01)/Settings!$C$17) - EXP(-MAX(C25-12/12,0.01)/Settings!$C$17))) - (Settings!$C$12 + Settings!$C$13*((1-EXP(-C25/Settings!$C$16))/(C25/Settings!$C$16)) + Settings!$C$14*((1-EXP(-C25/Settings!$C$16))/(C25/Settings!$C$16) - EXP(-C25/Settings!$C$16)) + Settings!$C$15*((1-EXP(-C25/Settings!$C$17))/(C25/Settings!$C$17) - EXP(-C25/Settings!$C$17))))),"")</f>
        <v/>
      </c>
      <c r="M25" s="16">
        <f>IFERROR(IF(OR(I25="",L25=""),"",I25+L25),"")</f>
        <v/>
      </c>
    </row>
    <row r="26">
      <c r="A26" s="25">
        <f>Bonds_Static!A26</f>
        <v/>
      </c>
      <c r="B26" s="25">
        <f>Bonds_Static!C26</f>
        <v/>
      </c>
      <c r="C26" s="26">
        <f>IFERROR(Bonds_Static!G26,"")</f>
        <v/>
      </c>
      <c r="D26" s="36">
        <f>IFERROR(Bonds_Live!Q26,"")</f>
        <v/>
      </c>
      <c r="E26" s="36">
        <f>IFERROR(Bonds_Static!D26,"")</f>
        <v/>
      </c>
      <c r="F26" s="36">
        <f>IFERROR(Bonds_Live!K26,"")</f>
        <v/>
      </c>
      <c r="G26" s="16">
        <f>IFERROR(IF(E26="","",E26*100/Bonds_Live!F26*3/12),"")</f>
        <v/>
      </c>
      <c r="H26" s="16">
        <f>IFERROR(IF(E26="","",E26*100/Bonds_Live!F26*6/12),"")</f>
        <v/>
      </c>
      <c r="I26" s="16">
        <f>IFERROR(IF(E26="","",E26*100/Bonds_Live!F26*12/12),"")</f>
        <v/>
      </c>
      <c r="J26" s="16">
        <f>IFERROR(IF(OR(C26="",D26=""),"",-D26*((Settings!$C$12 + Settings!$C$13*((1-EXP(-MAX(C26-3/12,0.01)/Settings!$C$16))/(MAX(C26-3/12,0.01)/Settings!$C$16)) + Settings!$C$14*((1-EXP(-MAX(C26-3/12,0.01)/Settings!$C$16))/(MAX(C26-3/12,0.01)/Settings!$C$16) - EXP(-MAX(C26-3/12,0.01)/Settings!$C$16)) + Settings!$C$15*((1-EXP(-MAX(C26-3/12,0.01)/Settings!$C$17))/(MAX(C26-3/12,0.01)/Settings!$C$17) - EXP(-MAX(C26-3/12,0.01)/Settings!$C$17))) - (Settings!$C$12 + Settings!$C$13*((1-EXP(-C26/Settings!$C$16))/(C26/Settings!$C$16)) + Settings!$C$14*((1-EXP(-C26/Settings!$C$16))/(C26/Settings!$C$16) - EXP(-C26/Settings!$C$16)) + Settings!$C$15*((1-EXP(-C26/Settings!$C$17))/(C26/Settings!$C$17) - EXP(-C26/Settings!$C$17))))),"")</f>
        <v/>
      </c>
      <c r="K26" s="16">
        <f>IFERROR(IF(OR(C26="",D26=""),"",-D26*((Settings!$C$12 + Settings!$C$13*((1-EXP(-MAX(C26-6/12,0.01)/Settings!$C$16))/(MAX(C26-6/12,0.01)/Settings!$C$16)) + Settings!$C$14*((1-EXP(-MAX(C26-6/12,0.01)/Settings!$C$16))/(MAX(C26-6/12,0.01)/Settings!$C$16) - EXP(-MAX(C26-6/12,0.01)/Settings!$C$16)) + Settings!$C$15*((1-EXP(-MAX(C26-6/12,0.01)/Settings!$C$17))/(MAX(C26-6/12,0.01)/Settings!$C$17) - EXP(-MAX(C26-6/12,0.01)/Settings!$C$17))) - (Settings!$C$12 + Settings!$C$13*((1-EXP(-C26/Settings!$C$16))/(C26/Settings!$C$16)) + Settings!$C$14*((1-EXP(-C26/Settings!$C$16))/(C26/Settings!$C$16) - EXP(-C26/Settings!$C$16)) + Settings!$C$15*((1-EXP(-C26/Settings!$C$17))/(C26/Settings!$C$17) - EXP(-C26/Settings!$C$17))))),"")</f>
        <v/>
      </c>
      <c r="L26" s="16">
        <f>IFERROR(IF(OR(C26="",D26=""),"",-D26*((Settings!$C$12 + Settings!$C$13*((1-EXP(-MAX(C26-12/12,0.01)/Settings!$C$16))/(MAX(C26-12/12,0.01)/Settings!$C$16)) + Settings!$C$14*((1-EXP(-MAX(C26-12/12,0.01)/Settings!$C$16))/(MAX(C26-12/12,0.01)/Settings!$C$16) - EXP(-MAX(C26-12/12,0.01)/Settings!$C$16)) + Settings!$C$15*((1-EXP(-MAX(C26-12/12,0.01)/Settings!$C$17))/(MAX(C26-12/12,0.01)/Settings!$C$17) - EXP(-MAX(C26-12/12,0.01)/Settings!$C$17))) - (Settings!$C$12 + Settings!$C$13*((1-EXP(-C26/Settings!$C$16))/(C26/Settings!$C$16)) + Settings!$C$14*((1-EXP(-C26/Settings!$C$16))/(C26/Settings!$C$16) - EXP(-C26/Settings!$C$16)) + Settings!$C$15*((1-EXP(-C26/Settings!$C$17))/(C26/Settings!$C$17) - EXP(-C26/Settings!$C$17))))),"")</f>
        <v/>
      </c>
      <c r="M26" s="16">
        <f>IFERROR(IF(OR(I26="",L26=""),"",I26+L26),"")</f>
        <v/>
      </c>
    </row>
    <row r="27">
      <c r="A27" s="25">
        <f>Bonds_Static!A27</f>
        <v/>
      </c>
      <c r="B27" s="25">
        <f>Bonds_Static!C27</f>
        <v/>
      </c>
      <c r="C27" s="26">
        <f>IFERROR(Bonds_Static!G27,"")</f>
        <v/>
      </c>
      <c r="D27" s="36">
        <f>IFERROR(Bonds_Live!Q27,"")</f>
        <v/>
      </c>
      <c r="E27" s="36">
        <f>IFERROR(Bonds_Static!D27,"")</f>
        <v/>
      </c>
      <c r="F27" s="36">
        <f>IFERROR(Bonds_Live!K27,"")</f>
        <v/>
      </c>
      <c r="G27" s="16">
        <f>IFERROR(IF(E27="","",E27*100/Bonds_Live!F27*3/12),"")</f>
        <v/>
      </c>
      <c r="H27" s="16">
        <f>IFERROR(IF(E27="","",E27*100/Bonds_Live!F27*6/12),"")</f>
        <v/>
      </c>
      <c r="I27" s="16">
        <f>IFERROR(IF(E27="","",E27*100/Bonds_Live!F27*12/12),"")</f>
        <v/>
      </c>
      <c r="J27" s="16">
        <f>IFERROR(IF(OR(C27="",D27=""),"",-D27*((Settings!$C$12 + Settings!$C$13*((1-EXP(-MAX(C27-3/12,0.01)/Settings!$C$16))/(MAX(C27-3/12,0.01)/Settings!$C$16)) + Settings!$C$14*((1-EXP(-MAX(C27-3/12,0.01)/Settings!$C$16))/(MAX(C27-3/12,0.01)/Settings!$C$16) - EXP(-MAX(C27-3/12,0.01)/Settings!$C$16)) + Settings!$C$15*((1-EXP(-MAX(C27-3/12,0.01)/Settings!$C$17))/(MAX(C27-3/12,0.01)/Settings!$C$17) - EXP(-MAX(C27-3/12,0.01)/Settings!$C$17))) - (Settings!$C$12 + Settings!$C$13*((1-EXP(-C27/Settings!$C$16))/(C27/Settings!$C$16)) + Settings!$C$14*((1-EXP(-C27/Settings!$C$16))/(C27/Settings!$C$16) - EXP(-C27/Settings!$C$16)) + Settings!$C$15*((1-EXP(-C27/Settings!$C$17))/(C27/Settings!$C$17) - EXP(-C27/Settings!$C$17))))),"")</f>
        <v/>
      </c>
      <c r="K27" s="16">
        <f>IFERROR(IF(OR(C27="",D27=""),"",-D27*((Settings!$C$12 + Settings!$C$13*((1-EXP(-MAX(C27-6/12,0.01)/Settings!$C$16))/(MAX(C27-6/12,0.01)/Settings!$C$16)) + Settings!$C$14*((1-EXP(-MAX(C27-6/12,0.01)/Settings!$C$16))/(MAX(C27-6/12,0.01)/Settings!$C$16) - EXP(-MAX(C27-6/12,0.01)/Settings!$C$16)) + Settings!$C$15*((1-EXP(-MAX(C27-6/12,0.01)/Settings!$C$17))/(MAX(C27-6/12,0.01)/Settings!$C$17) - EXP(-MAX(C27-6/12,0.01)/Settings!$C$17))) - (Settings!$C$12 + Settings!$C$13*((1-EXP(-C27/Settings!$C$16))/(C27/Settings!$C$16)) + Settings!$C$14*((1-EXP(-C27/Settings!$C$16))/(C27/Settings!$C$16) - EXP(-C27/Settings!$C$16)) + Settings!$C$15*((1-EXP(-C27/Settings!$C$17))/(C27/Settings!$C$17) - EXP(-C27/Settings!$C$17))))),"")</f>
        <v/>
      </c>
      <c r="L27" s="16">
        <f>IFERROR(IF(OR(C27="",D27=""),"",-D27*((Settings!$C$12 + Settings!$C$13*((1-EXP(-MAX(C27-12/12,0.01)/Settings!$C$16))/(MAX(C27-12/12,0.01)/Settings!$C$16)) + Settings!$C$14*((1-EXP(-MAX(C27-12/12,0.01)/Settings!$C$16))/(MAX(C27-12/12,0.01)/Settings!$C$16) - EXP(-MAX(C27-12/12,0.01)/Settings!$C$16)) + Settings!$C$15*((1-EXP(-MAX(C27-12/12,0.01)/Settings!$C$17))/(MAX(C27-12/12,0.01)/Settings!$C$17) - EXP(-MAX(C27-12/12,0.01)/Settings!$C$17))) - (Settings!$C$12 + Settings!$C$13*((1-EXP(-C27/Settings!$C$16))/(C27/Settings!$C$16)) + Settings!$C$14*((1-EXP(-C27/Settings!$C$16))/(C27/Settings!$C$16) - EXP(-C27/Settings!$C$16)) + Settings!$C$15*((1-EXP(-C27/Settings!$C$17))/(C27/Settings!$C$17) - EXP(-C27/Settings!$C$17))))),"")</f>
        <v/>
      </c>
      <c r="M27" s="16">
        <f>IFERROR(IF(OR(I27="",L27=""),"",I27+L27),"")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11" customWidth="1" min="4" max="4"/>
    <col width="13" customWidth="1" min="5" max="5"/>
    <col width="13" customWidth="1" min="6" max="6"/>
    <col width="14" customWidth="1" min="7" max="7"/>
    <col width="15" customWidth="1" min="8" max="8"/>
    <col width="13" customWidth="1" min="9" max="9"/>
    <col width="14" customWidth="1" min="10" max="10"/>
  </cols>
  <sheetData>
    <row r="1" ht="32" customHeight="1">
      <c r="A1" s="21" t="inlineStr">
        <is>
          <t>ISIN</t>
        </is>
      </c>
      <c r="B1" s="21" t="inlineStr">
        <is>
          <t>Description</t>
        </is>
      </c>
      <c r="C1" s="21" t="inlineStr">
        <is>
          <t>Z-Spr (bp)</t>
        </is>
      </c>
      <c r="D1" s="21" t="inlineStr">
        <is>
          <t>Spr Dur</t>
        </is>
      </c>
      <c r="E1" s="21" t="inlineStr">
        <is>
          <t>DTS (bp·yr)</t>
        </is>
      </c>
      <c r="F1" s="21" t="inlineStr">
        <is>
          <t>12M C+R (%)</t>
        </is>
      </c>
      <c r="G1" s="21" t="inlineStr">
        <is>
          <t>DTS-adj Carry (bp / DTS)</t>
        </is>
      </c>
      <c r="H1" s="21" t="inlineStr">
        <is>
          <t>Breakeven Widening (bp)</t>
        </is>
      </c>
      <c r="I1" s="21" t="inlineStr">
        <is>
          <t>Z-Spr Breakeven (bp)</t>
        </is>
      </c>
      <c r="J1" s="21" t="inlineStr">
        <is>
          <t>Risk/Reward Tag</t>
        </is>
      </c>
    </row>
    <row r="2">
      <c r="A2" s="30" t="inlineStr"/>
      <c r="B2" s="30" t="inlineStr"/>
      <c r="C2" s="30" t="inlineStr"/>
      <c r="D2" s="30" t="inlineStr"/>
      <c r="E2" s="30" t="inlineStr"/>
      <c r="F2" s="30" t="inlineStr"/>
      <c r="G2" s="30" t="inlineStr"/>
      <c r="H2" s="30" t="inlineStr"/>
      <c r="I2" s="30" t="inlineStr"/>
      <c r="J2" s="30" t="inlineStr"/>
    </row>
    <row r="3">
      <c r="A3" s="25">
        <f>Bonds_Static!A3</f>
        <v/>
      </c>
      <c r="B3" s="25">
        <f>Bonds_Static!C3</f>
        <v/>
      </c>
      <c r="C3" s="36">
        <f>IFERROR(Bonds_Live!L3,"")</f>
        <v/>
      </c>
      <c r="D3" s="36">
        <f>IFERROR(Bonds_Live!R3,"")</f>
        <v/>
      </c>
      <c r="E3" s="24">
        <f>IFERROR(C3*D3,"")</f>
        <v/>
      </c>
      <c r="F3" s="36">
        <f>IFERROR(Carry_Roll!M3,"")</f>
        <v/>
      </c>
      <c r="G3" s="16">
        <f>IFERROR(IF(E3=0,"",F3*100/E3),"")</f>
        <v/>
      </c>
      <c r="H3" s="24">
        <f>IFERROR(IF(D3=0,"",F3*100/D3),"")</f>
        <v/>
      </c>
      <c r="I3" s="24">
        <f>IFERROR(C3+H3,"")</f>
        <v/>
      </c>
      <c r="J3" s="10">
        <f>IFERROR(IF(G3="","",IF(G3&gt;5,"STRONG",IF(G3&gt;2,"ATTRACTIVE",IF(G3&gt;0,"OK","WEAK")))),"")</f>
        <v/>
      </c>
    </row>
    <row r="4">
      <c r="A4" s="25">
        <f>Bonds_Static!A4</f>
        <v/>
      </c>
      <c r="B4" s="25">
        <f>Bonds_Static!C4</f>
        <v/>
      </c>
      <c r="C4" s="36">
        <f>IFERROR(Bonds_Live!L4,"")</f>
        <v/>
      </c>
      <c r="D4" s="36">
        <f>IFERROR(Bonds_Live!R4,"")</f>
        <v/>
      </c>
      <c r="E4" s="24">
        <f>IFERROR(C4*D4,"")</f>
        <v/>
      </c>
      <c r="F4" s="36">
        <f>IFERROR(Carry_Roll!M4,"")</f>
        <v/>
      </c>
      <c r="G4" s="16">
        <f>IFERROR(IF(E4=0,"",F4*100/E4),"")</f>
        <v/>
      </c>
      <c r="H4" s="24">
        <f>IFERROR(IF(D4=0,"",F4*100/D4),"")</f>
        <v/>
      </c>
      <c r="I4" s="24">
        <f>IFERROR(C4+H4,"")</f>
        <v/>
      </c>
      <c r="J4" s="10">
        <f>IFERROR(IF(G4="","",IF(G4&gt;5,"STRONG",IF(G4&gt;2,"ATTRACTIVE",IF(G4&gt;0,"OK","WEAK")))),"")</f>
        <v/>
      </c>
    </row>
    <row r="5">
      <c r="A5" s="25">
        <f>Bonds_Static!A5</f>
        <v/>
      </c>
      <c r="B5" s="25">
        <f>Bonds_Static!C5</f>
        <v/>
      </c>
      <c r="C5" s="36">
        <f>IFERROR(Bonds_Live!L5,"")</f>
        <v/>
      </c>
      <c r="D5" s="36">
        <f>IFERROR(Bonds_Live!R5,"")</f>
        <v/>
      </c>
      <c r="E5" s="24">
        <f>IFERROR(C5*D5,"")</f>
        <v/>
      </c>
      <c r="F5" s="36">
        <f>IFERROR(Carry_Roll!M5,"")</f>
        <v/>
      </c>
      <c r="G5" s="16">
        <f>IFERROR(IF(E5=0,"",F5*100/E5),"")</f>
        <v/>
      </c>
      <c r="H5" s="24">
        <f>IFERROR(IF(D5=0,"",F5*100/D5),"")</f>
        <v/>
      </c>
      <c r="I5" s="24">
        <f>IFERROR(C5+H5,"")</f>
        <v/>
      </c>
      <c r="J5" s="10">
        <f>IFERROR(IF(G5="","",IF(G5&gt;5,"STRONG",IF(G5&gt;2,"ATTRACTIVE",IF(G5&gt;0,"OK","WEAK")))),"")</f>
        <v/>
      </c>
    </row>
    <row r="6">
      <c r="A6" s="25">
        <f>Bonds_Static!A6</f>
        <v/>
      </c>
      <c r="B6" s="25">
        <f>Bonds_Static!C6</f>
        <v/>
      </c>
      <c r="C6" s="36">
        <f>IFERROR(Bonds_Live!L6,"")</f>
        <v/>
      </c>
      <c r="D6" s="36">
        <f>IFERROR(Bonds_Live!R6,"")</f>
        <v/>
      </c>
      <c r="E6" s="24">
        <f>IFERROR(C6*D6,"")</f>
        <v/>
      </c>
      <c r="F6" s="36">
        <f>IFERROR(Carry_Roll!M6,"")</f>
        <v/>
      </c>
      <c r="G6" s="16">
        <f>IFERROR(IF(E6=0,"",F6*100/E6),"")</f>
        <v/>
      </c>
      <c r="H6" s="24">
        <f>IFERROR(IF(D6=0,"",F6*100/D6),"")</f>
        <v/>
      </c>
      <c r="I6" s="24">
        <f>IFERROR(C6+H6,"")</f>
        <v/>
      </c>
      <c r="J6" s="10">
        <f>IFERROR(IF(G6="","",IF(G6&gt;5,"STRONG",IF(G6&gt;2,"ATTRACTIVE",IF(G6&gt;0,"OK","WEAK")))),"")</f>
        <v/>
      </c>
    </row>
    <row r="7">
      <c r="A7" s="25">
        <f>Bonds_Static!A7</f>
        <v/>
      </c>
      <c r="B7" s="25">
        <f>Bonds_Static!C7</f>
        <v/>
      </c>
      <c r="C7" s="36">
        <f>IFERROR(Bonds_Live!L7,"")</f>
        <v/>
      </c>
      <c r="D7" s="36">
        <f>IFERROR(Bonds_Live!R7,"")</f>
        <v/>
      </c>
      <c r="E7" s="24">
        <f>IFERROR(C7*D7,"")</f>
        <v/>
      </c>
      <c r="F7" s="36">
        <f>IFERROR(Carry_Roll!M7,"")</f>
        <v/>
      </c>
      <c r="G7" s="16">
        <f>IFERROR(IF(E7=0,"",F7*100/E7),"")</f>
        <v/>
      </c>
      <c r="H7" s="24">
        <f>IFERROR(IF(D7=0,"",F7*100/D7),"")</f>
        <v/>
      </c>
      <c r="I7" s="24">
        <f>IFERROR(C7+H7,"")</f>
        <v/>
      </c>
      <c r="J7" s="10">
        <f>IFERROR(IF(G7="","",IF(G7&gt;5,"STRONG",IF(G7&gt;2,"ATTRACTIVE",IF(G7&gt;0,"OK","WEAK")))),"")</f>
        <v/>
      </c>
    </row>
    <row r="8">
      <c r="A8" s="25">
        <f>Bonds_Static!A8</f>
        <v/>
      </c>
      <c r="B8" s="25">
        <f>Bonds_Static!C8</f>
        <v/>
      </c>
      <c r="C8" s="36">
        <f>IFERROR(Bonds_Live!L8,"")</f>
        <v/>
      </c>
      <c r="D8" s="36">
        <f>IFERROR(Bonds_Live!R8,"")</f>
        <v/>
      </c>
      <c r="E8" s="24">
        <f>IFERROR(C8*D8,"")</f>
        <v/>
      </c>
      <c r="F8" s="36">
        <f>IFERROR(Carry_Roll!M8,"")</f>
        <v/>
      </c>
      <c r="G8" s="16">
        <f>IFERROR(IF(E8=0,"",F8*100/E8),"")</f>
        <v/>
      </c>
      <c r="H8" s="24">
        <f>IFERROR(IF(D8=0,"",F8*100/D8),"")</f>
        <v/>
      </c>
      <c r="I8" s="24">
        <f>IFERROR(C8+H8,"")</f>
        <v/>
      </c>
      <c r="J8" s="10">
        <f>IFERROR(IF(G8="","",IF(G8&gt;5,"STRONG",IF(G8&gt;2,"ATTRACTIVE",IF(G8&gt;0,"OK","WEAK")))),"")</f>
        <v/>
      </c>
    </row>
    <row r="9">
      <c r="A9" s="25">
        <f>Bonds_Static!A9</f>
        <v/>
      </c>
      <c r="B9" s="25">
        <f>Bonds_Static!C9</f>
        <v/>
      </c>
      <c r="C9" s="36">
        <f>IFERROR(Bonds_Live!L9,"")</f>
        <v/>
      </c>
      <c r="D9" s="36">
        <f>IFERROR(Bonds_Live!R9,"")</f>
        <v/>
      </c>
      <c r="E9" s="24">
        <f>IFERROR(C9*D9,"")</f>
        <v/>
      </c>
      <c r="F9" s="36">
        <f>IFERROR(Carry_Roll!M9,"")</f>
        <v/>
      </c>
      <c r="G9" s="16">
        <f>IFERROR(IF(E9=0,"",F9*100/E9),"")</f>
        <v/>
      </c>
      <c r="H9" s="24">
        <f>IFERROR(IF(D9=0,"",F9*100/D9),"")</f>
        <v/>
      </c>
      <c r="I9" s="24">
        <f>IFERROR(C9+H9,"")</f>
        <v/>
      </c>
      <c r="J9" s="10">
        <f>IFERROR(IF(G9="","",IF(G9&gt;5,"STRONG",IF(G9&gt;2,"ATTRACTIVE",IF(G9&gt;0,"OK","WEAK")))),"")</f>
        <v/>
      </c>
    </row>
    <row r="10">
      <c r="A10" s="25">
        <f>Bonds_Static!A10</f>
        <v/>
      </c>
      <c r="B10" s="25">
        <f>Bonds_Static!C10</f>
        <v/>
      </c>
      <c r="C10" s="36">
        <f>IFERROR(Bonds_Live!L10,"")</f>
        <v/>
      </c>
      <c r="D10" s="36">
        <f>IFERROR(Bonds_Live!R10,"")</f>
        <v/>
      </c>
      <c r="E10" s="24">
        <f>IFERROR(C10*D10,"")</f>
        <v/>
      </c>
      <c r="F10" s="36">
        <f>IFERROR(Carry_Roll!M10,"")</f>
        <v/>
      </c>
      <c r="G10" s="16">
        <f>IFERROR(IF(E10=0,"",F10*100/E10),"")</f>
        <v/>
      </c>
      <c r="H10" s="24">
        <f>IFERROR(IF(D10=0,"",F10*100/D10),"")</f>
        <v/>
      </c>
      <c r="I10" s="24">
        <f>IFERROR(C10+H10,"")</f>
        <v/>
      </c>
      <c r="J10" s="10">
        <f>IFERROR(IF(G10="","",IF(G10&gt;5,"STRONG",IF(G10&gt;2,"ATTRACTIVE",IF(G10&gt;0,"OK","WEAK")))),"")</f>
        <v/>
      </c>
    </row>
    <row r="11">
      <c r="A11" s="25">
        <f>Bonds_Static!A11</f>
        <v/>
      </c>
      <c r="B11" s="25">
        <f>Bonds_Static!C11</f>
        <v/>
      </c>
      <c r="C11" s="36">
        <f>IFERROR(Bonds_Live!L11,"")</f>
        <v/>
      </c>
      <c r="D11" s="36">
        <f>IFERROR(Bonds_Live!R11,"")</f>
        <v/>
      </c>
      <c r="E11" s="24">
        <f>IFERROR(C11*D11,"")</f>
        <v/>
      </c>
      <c r="F11" s="36">
        <f>IFERROR(Carry_Roll!M11,"")</f>
        <v/>
      </c>
      <c r="G11" s="16">
        <f>IFERROR(IF(E11=0,"",F11*100/E11),"")</f>
        <v/>
      </c>
      <c r="H11" s="24">
        <f>IFERROR(IF(D11=0,"",F11*100/D11),"")</f>
        <v/>
      </c>
      <c r="I11" s="24">
        <f>IFERROR(C11+H11,"")</f>
        <v/>
      </c>
      <c r="J11" s="10">
        <f>IFERROR(IF(G11="","",IF(G11&gt;5,"STRONG",IF(G11&gt;2,"ATTRACTIVE",IF(G11&gt;0,"OK","WEAK")))),"")</f>
        <v/>
      </c>
    </row>
    <row r="12">
      <c r="A12" s="25">
        <f>Bonds_Static!A12</f>
        <v/>
      </c>
      <c r="B12" s="25">
        <f>Bonds_Static!C12</f>
        <v/>
      </c>
      <c r="C12" s="36">
        <f>IFERROR(Bonds_Live!L12,"")</f>
        <v/>
      </c>
      <c r="D12" s="36">
        <f>IFERROR(Bonds_Live!R12,"")</f>
        <v/>
      </c>
      <c r="E12" s="24">
        <f>IFERROR(C12*D12,"")</f>
        <v/>
      </c>
      <c r="F12" s="36">
        <f>IFERROR(Carry_Roll!M12,"")</f>
        <v/>
      </c>
      <c r="G12" s="16">
        <f>IFERROR(IF(E12=0,"",F12*100/E12),"")</f>
        <v/>
      </c>
      <c r="H12" s="24">
        <f>IFERROR(IF(D12=0,"",F12*100/D12),"")</f>
        <v/>
      </c>
      <c r="I12" s="24">
        <f>IFERROR(C12+H12,"")</f>
        <v/>
      </c>
      <c r="J12" s="10">
        <f>IFERROR(IF(G12="","",IF(G12&gt;5,"STRONG",IF(G12&gt;2,"ATTRACTIVE",IF(G12&gt;0,"OK","WEAK")))),"")</f>
        <v/>
      </c>
    </row>
    <row r="13">
      <c r="A13" s="25">
        <f>Bonds_Static!A13</f>
        <v/>
      </c>
      <c r="B13" s="25">
        <f>Bonds_Static!C13</f>
        <v/>
      </c>
      <c r="C13" s="36">
        <f>IFERROR(Bonds_Live!L13,"")</f>
        <v/>
      </c>
      <c r="D13" s="36">
        <f>IFERROR(Bonds_Live!R13,"")</f>
        <v/>
      </c>
      <c r="E13" s="24">
        <f>IFERROR(C13*D13,"")</f>
        <v/>
      </c>
      <c r="F13" s="36">
        <f>IFERROR(Carry_Roll!M13,"")</f>
        <v/>
      </c>
      <c r="G13" s="16">
        <f>IFERROR(IF(E13=0,"",F13*100/E13),"")</f>
        <v/>
      </c>
      <c r="H13" s="24">
        <f>IFERROR(IF(D13=0,"",F13*100/D13),"")</f>
        <v/>
      </c>
      <c r="I13" s="24">
        <f>IFERROR(C13+H13,"")</f>
        <v/>
      </c>
      <c r="J13" s="10">
        <f>IFERROR(IF(G13="","",IF(G13&gt;5,"STRONG",IF(G13&gt;2,"ATTRACTIVE",IF(G13&gt;0,"OK","WEAK")))),"")</f>
        <v/>
      </c>
    </row>
    <row r="14">
      <c r="A14" s="25">
        <f>Bonds_Static!A14</f>
        <v/>
      </c>
      <c r="B14" s="25">
        <f>Bonds_Static!C14</f>
        <v/>
      </c>
      <c r="C14" s="36">
        <f>IFERROR(Bonds_Live!L14,"")</f>
        <v/>
      </c>
      <c r="D14" s="36">
        <f>IFERROR(Bonds_Live!R14,"")</f>
        <v/>
      </c>
      <c r="E14" s="24">
        <f>IFERROR(C14*D14,"")</f>
        <v/>
      </c>
      <c r="F14" s="36">
        <f>IFERROR(Carry_Roll!M14,"")</f>
        <v/>
      </c>
      <c r="G14" s="16">
        <f>IFERROR(IF(E14=0,"",F14*100/E14),"")</f>
        <v/>
      </c>
      <c r="H14" s="24">
        <f>IFERROR(IF(D14=0,"",F14*100/D14),"")</f>
        <v/>
      </c>
      <c r="I14" s="24">
        <f>IFERROR(C14+H14,"")</f>
        <v/>
      </c>
      <c r="J14" s="10">
        <f>IFERROR(IF(G14="","",IF(G14&gt;5,"STRONG",IF(G14&gt;2,"ATTRACTIVE",IF(G14&gt;0,"OK","WEAK")))),"")</f>
        <v/>
      </c>
    </row>
    <row r="15">
      <c r="A15" s="25">
        <f>Bonds_Static!A15</f>
        <v/>
      </c>
      <c r="B15" s="25">
        <f>Bonds_Static!C15</f>
        <v/>
      </c>
      <c r="C15" s="36">
        <f>IFERROR(Bonds_Live!L15,"")</f>
        <v/>
      </c>
      <c r="D15" s="36">
        <f>IFERROR(Bonds_Live!R15,"")</f>
        <v/>
      </c>
      <c r="E15" s="24">
        <f>IFERROR(C15*D15,"")</f>
        <v/>
      </c>
      <c r="F15" s="36">
        <f>IFERROR(Carry_Roll!M15,"")</f>
        <v/>
      </c>
      <c r="G15" s="16">
        <f>IFERROR(IF(E15=0,"",F15*100/E15),"")</f>
        <v/>
      </c>
      <c r="H15" s="24">
        <f>IFERROR(IF(D15=0,"",F15*100/D15),"")</f>
        <v/>
      </c>
      <c r="I15" s="24">
        <f>IFERROR(C15+H15,"")</f>
        <v/>
      </c>
      <c r="J15" s="10">
        <f>IFERROR(IF(G15="","",IF(G15&gt;5,"STRONG",IF(G15&gt;2,"ATTRACTIVE",IF(G15&gt;0,"OK","WEAK")))),"")</f>
        <v/>
      </c>
    </row>
    <row r="16">
      <c r="A16" s="25">
        <f>Bonds_Static!A16</f>
        <v/>
      </c>
      <c r="B16" s="25">
        <f>Bonds_Static!C16</f>
        <v/>
      </c>
      <c r="C16" s="36">
        <f>IFERROR(Bonds_Live!L16,"")</f>
        <v/>
      </c>
      <c r="D16" s="36">
        <f>IFERROR(Bonds_Live!R16,"")</f>
        <v/>
      </c>
      <c r="E16" s="24">
        <f>IFERROR(C16*D16,"")</f>
        <v/>
      </c>
      <c r="F16" s="36">
        <f>IFERROR(Carry_Roll!M16,"")</f>
        <v/>
      </c>
      <c r="G16" s="16">
        <f>IFERROR(IF(E16=0,"",F16*100/E16),"")</f>
        <v/>
      </c>
      <c r="H16" s="24">
        <f>IFERROR(IF(D16=0,"",F16*100/D16),"")</f>
        <v/>
      </c>
      <c r="I16" s="24">
        <f>IFERROR(C16+H16,"")</f>
        <v/>
      </c>
      <c r="J16" s="10">
        <f>IFERROR(IF(G16="","",IF(G16&gt;5,"STRONG",IF(G16&gt;2,"ATTRACTIVE",IF(G16&gt;0,"OK","WEAK")))),"")</f>
        <v/>
      </c>
    </row>
    <row r="17">
      <c r="A17" s="25">
        <f>Bonds_Static!A17</f>
        <v/>
      </c>
      <c r="B17" s="25">
        <f>Bonds_Static!C17</f>
        <v/>
      </c>
      <c r="C17" s="36">
        <f>IFERROR(Bonds_Live!L17,"")</f>
        <v/>
      </c>
      <c r="D17" s="36">
        <f>IFERROR(Bonds_Live!R17,"")</f>
        <v/>
      </c>
      <c r="E17" s="24">
        <f>IFERROR(C17*D17,"")</f>
        <v/>
      </c>
      <c r="F17" s="36">
        <f>IFERROR(Carry_Roll!M17,"")</f>
        <v/>
      </c>
      <c r="G17" s="16">
        <f>IFERROR(IF(E17=0,"",F17*100/E17),"")</f>
        <v/>
      </c>
      <c r="H17" s="24">
        <f>IFERROR(IF(D17=0,"",F17*100/D17),"")</f>
        <v/>
      </c>
      <c r="I17" s="24">
        <f>IFERROR(C17+H17,"")</f>
        <v/>
      </c>
      <c r="J17" s="10">
        <f>IFERROR(IF(G17="","",IF(G17&gt;5,"STRONG",IF(G17&gt;2,"ATTRACTIVE",IF(G17&gt;0,"OK","WEAK")))),"")</f>
        <v/>
      </c>
    </row>
    <row r="18">
      <c r="A18" s="25">
        <f>Bonds_Static!A18</f>
        <v/>
      </c>
      <c r="B18" s="25">
        <f>Bonds_Static!C18</f>
        <v/>
      </c>
      <c r="C18" s="36">
        <f>IFERROR(Bonds_Live!L18,"")</f>
        <v/>
      </c>
      <c r="D18" s="36">
        <f>IFERROR(Bonds_Live!R18,"")</f>
        <v/>
      </c>
      <c r="E18" s="24">
        <f>IFERROR(C18*D18,"")</f>
        <v/>
      </c>
      <c r="F18" s="36">
        <f>IFERROR(Carry_Roll!M18,"")</f>
        <v/>
      </c>
      <c r="G18" s="16">
        <f>IFERROR(IF(E18=0,"",F18*100/E18),"")</f>
        <v/>
      </c>
      <c r="H18" s="24">
        <f>IFERROR(IF(D18=0,"",F18*100/D18),"")</f>
        <v/>
      </c>
      <c r="I18" s="24">
        <f>IFERROR(C18+H18,"")</f>
        <v/>
      </c>
      <c r="J18" s="10">
        <f>IFERROR(IF(G18="","",IF(G18&gt;5,"STRONG",IF(G18&gt;2,"ATTRACTIVE",IF(G18&gt;0,"OK","WEAK")))),"")</f>
        <v/>
      </c>
    </row>
    <row r="19">
      <c r="A19" s="25">
        <f>Bonds_Static!A19</f>
        <v/>
      </c>
      <c r="B19" s="25">
        <f>Bonds_Static!C19</f>
        <v/>
      </c>
      <c r="C19" s="36">
        <f>IFERROR(Bonds_Live!L19,"")</f>
        <v/>
      </c>
      <c r="D19" s="36">
        <f>IFERROR(Bonds_Live!R19,"")</f>
        <v/>
      </c>
      <c r="E19" s="24">
        <f>IFERROR(C19*D19,"")</f>
        <v/>
      </c>
      <c r="F19" s="36">
        <f>IFERROR(Carry_Roll!M19,"")</f>
        <v/>
      </c>
      <c r="G19" s="16">
        <f>IFERROR(IF(E19=0,"",F19*100/E19),"")</f>
        <v/>
      </c>
      <c r="H19" s="24">
        <f>IFERROR(IF(D19=0,"",F19*100/D19),"")</f>
        <v/>
      </c>
      <c r="I19" s="24">
        <f>IFERROR(C19+H19,"")</f>
        <v/>
      </c>
      <c r="J19" s="10">
        <f>IFERROR(IF(G19="","",IF(G19&gt;5,"STRONG",IF(G19&gt;2,"ATTRACTIVE",IF(G19&gt;0,"OK","WEAK")))),"")</f>
        <v/>
      </c>
    </row>
    <row r="20">
      <c r="A20" s="25">
        <f>Bonds_Static!A20</f>
        <v/>
      </c>
      <c r="B20" s="25">
        <f>Bonds_Static!C20</f>
        <v/>
      </c>
      <c r="C20" s="36">
        <f>IFERROR(Bonds_Live!L20,"")</f>
        <v/>
      </c>
      <c r="D20" s="36">
        <f>IFERROR(Bonds_Live!R20,"")</f>
        <v/>
      </c>
      <c r="E20" s="24">
        <f>IFERROR(C20*D20,"")</f>
        <v/>
      </c>
      <c r="F20" s="36">
        <f>IFERROR(Carry_Roll!M20,"")</f>
        <v/>
      </c>
      <c r="G20" s="16">
        <f>IFERROR(IF(E20=0,"",F20*100/E20),"")</f>
        <v/>
      </c>
      <c r="H20" s="24">
        <f>IFERROR(IF(D20=0,"",F20*100/D20),"")</f>
        <v/>
      </c>
      <c r="I20" s="24">
        <f>IFERROR(C20+H20,"")</f>
        <v/>
      </c>
      <c r="J20" s="10">
        <f>IFERROR(IF(G20="","",IF(G20&gt;5,"STRONG",IF(G20&gt;2,"ATTRACTIVE",IF(G20&gt;0,"OK","WEAK")))),"")</f>
        <v/>
      </c>
    </row>
    <row r="21">
      <c r="A21" s="25">
        <f>Bonds_Static!A21</f>
        <v/>
      </c>
      <c r="B21" s="25">
        <f>Bonds_Static!C21</f>
        <v/>
      </c>
      <c r="C21" s="36">
        <f>IFERROR(Bonds_Live!L21,"")</f>
        <v/>
      </c>
      <c r="D21" s="36">
        <f>IFERROR(Bonds_Live!R21,"")</f>
        <v/>
      </c>
      <c r="E21" s="24">
        <f>IFERROR(C21*D21,"")</f>
        <v/>
      </c>
      <c r="F21" s="36">
        <f>IFERROR(Carry_Roll!M21,"")</f>
        <v/>
      </c>
      <c r="G21" s="16">
        <f>IFERROR(IF(E21=0,"",F21*100/E21),"")</f>
        <v/>
      </c>
      <c r="H21" s="24">
        <f>IFERROR(IF(D21=0,"",F21*100/D21),"")</f>
        <v/>
      </c>
      <c r="I21" s="24">
        <f>IFERROR(C21+H21,"")</f>
        <v/>
      </c>
      <c r="J21" s="10">
        <f>IFERROR(IF(G21="","",IF(G21&gt;5,"STRONG",IF(G21&gt;2,"ATTRACTIVE",IF(G21&gt;0,"OK","WEAK")))),"")</f>
        <v/>
      </c>
    </row>
    <row r="22">
      <c r="A22" s="25">
        <f>Bonds_Static!A22</f>
        <v/>
      </c>
      <c r="B22" s="25">
        <f>Bonds_Static!C22</f>
        <v/>
      </c>
      <c r="C22" s="36">
        <f>IFERROR(Bonds_Live!L22,"")</f>
        <v/>
      </c>
      <c r="D22" s="36">
        <f>IFERROR(Bonds_Live!R22,"")</f>
        <v/>
      </c>
      <c r="E22" s="24">
        <f>IFERROR(C22*D22,"")</f>
        <v/>
      </c>
      <c r="F22" s="36">
        <f>IFERROR(Carry_Roll!M22,"")</f>
        <v/>
      </c>
      <c r="G22" s="16">
        <f>IFERROR(IF(E22=0,"",F22*100/E22),"")</f>
        <v/>
      </c>
      <c r="H22" s="24">
        <f>IFERROR(IF(D22=0,"",F22*100/D22),"")</f>
        <v/>
      </c>
      <c r="I22" s="24">
        <f>IFERROR(C22+H22,"")</f>
        <v/>
      </c>
      <c r="J22" s="10">
        <f>IFERROR(IF(G22="","",IF(G22&gt;5,"STRONG",IF(G22&gt;2,"ATTRACTIVE",IF(G22&gt;0,"OK","WEAK")))),"")</f>
        <v/>
      </c>
    </row>
    <row r="23">
      <c r="A23" s="25">
        <f>Bonds_Static!A23</f>
        <v/>
      </c>
      <c r="B23" s="25">
        <f>Bonds_Static!C23</f>
        <v/>
      </c>
      <c r="C23" s="36">
        <f>IFERROR(Bonds_Live!L23,"")</f>
        <v/>
      </c>
      <c r="D23" s="36">
        <f>IFERROR(Bonds_Live!R23,"")</f>
        <v/>
      </c>
      <c r="E23" s="24">
        <f>IFERROR(C23*D23,"")</f>
        <v/>
      </c>
      <c r="F23" s="36">
        <f>IFERROR(Carry_Roll!M23,"")</f>
        <v/>
      </c>
      <c r="G23" s="16">
        <f>IFERROR(IF(E23=0,"",F23*100/E23),"")</f>
        <v/>
      </c>
      <c r="H23" s="24">
        <f>IFERROR(IF(D23=0,"",F23*100/D23),"")</f>
        <v/>
      </c>
      <c r="I23" s="24">
        <f>IFERROR(C23+H23,"")</f>
        <v/>
      </c>
      <c r="J23" s="10">
        <f>IFERROR(IF(G23="","",IF(G23&gt;5,"STRONG",IF(G23&gt;2,"ATTRACTIVE",IF(G23&gt;0,"OK","WEAK")))),"")</f>
        <v/>
      </c>
    </row>
    <row r="24">
      <c r="A24" s="25">
        <f>Bonds_Static!A24</f>
        <v/>
      </c>
      <c r="B24" s="25">
        <f>Bonds_Static!C24</f>
        <v/>
      </c>
      <c r="C24" s="36">
        <f>IFERROR(Bonds_Live!L24,"")</f>
        <v/>
      </c>
      <c r="D24" s="36">
        <f>IFERROR(Bonds_Live!R24,"")</f>
        <v/>
      </c>
      <c r="E24" s="24">
        <f>IFERROR(C24*D24,"")</f>
        <v/>
      </c>
      <c r="F24" s="36">
        <f>IFERROR(Carry_Roll!M24,"")</f>
        <v/>
      </c>
      <c r="G24" s="16">
        <f>IFERROR(IF(E24=0,"",F24*100/E24),"")</f>
        <v/>
      </c>
      <c r="H24" s="24">
        <f>IFERROR(IF(D24=0,"",F24*100/D24),"")</f>
        <v/>
      </c>
      <c r="I24" s="24">
        <f>IFERROR(C24+H24,"")</f>
        <v/>
      </c>
      <c r="J24" s="10">
        <f>IFERROR(IF(G24="","",IF(G24&gt;5,"STRONG",IF(G24&gt;2,"ATTRACTIVE",IF(G24&gt;0,"OK","WEAK")))),"")</f>
        <v/>
      </c>
    </row>
    <row r="25">
      <c r="A25" s="25">
        <f>Bonds_Static!A25</f>
        <v/>
      </c>
      <c r="B25" s="25">
        <f>Bonds_Static!C25</f>
        <v/>
      </c>
      <c r="C25" s="36">
        <f>IFERROR(Bonds_Live!L25,"")</f>
        <v/>
      </c>
      <c r="D25" s="36">
        <f>IFERROR(Bonds_Live!R25,"")</f>
        <v/>
      </c>
      <c r="E25" s="24">
        <f>IFERROR(C25*D25,"")</f>
        <v/>
      </c>
      <c r="F25" s="36">
        <f>IFERROR(Carry_Roll!M25,"")</f>
        <v/>
      </c>
      <c r="G25" s="16">
        <f>IFERROR(IF(E25=0,"",F25*100/E25),"")</f>
        <v/>
      </c>
      <c r="H25" s="24">
        <f>IFERROR(IF(D25=0,"",F25*100/D25),"")</f>
        <v/>
      </c>
      <c r="I25" s="24">
        <f>IFERROR(C25+H25,"")</f>
        <v/>
      </c>
      <c r="J25" s="10">
        <f>IFERROR(IF(G25="","",IF(G25&gt;5,"STRONG",IF(G25&gt;2,"ATTRACTIVE",IF(G25&gt;0,"OK","WEAK")))),"")</f>
        <v/>
      </c>
    </row>
    <row r="26">
      <c r="A26" s="25">
        <f>Bonds_Static!A26</f>
        <v/>
      </c>
      <c r="B26" s="25">
        <f>Bonds_Static!C26</f>
        <v/>
      </c>
      <c r="C26" s="36">
        <f>IFERROR(Bonds_Live!L26,"")</f>
        <v/>
      </c>
      <c r="D26" s="36">
        <f>IFERROR(Bonds_Live!R26,"")</f>
        <v/>
      </c>
      <c r="E26" s="24">
        <f>IFERROR(C26*D26,"")</f>
        <v/>
      </c>
      <c r="F26" s="36">
        <f>IFERROR(Carry_Roll!M26,"")</f>
        <v/>
      </c>
      <c r="G26" s="16">
        <f>IFERROR(IF(E26=0,"",F26*100/E26),"")</f>
        <v/>
      </c>
      <c r="H26" s="24">
        <f>IFERROR(IF(D26=0,"",F26*100/D26),"")</f>
        <v/>
      </c>
      <c r="I26" s="24">
        <f>IFERROR(C26+H26,"")</f>
        <v/>
      </c>
      <c r="J26" s="10">
        <f>IFERROR(IF(G26="","",IF(G26&gt;5,"STRONG",IF(G26&gt;2,"ATTRACTIVE",IF(G26&gt;0,"OK","WEAK")))),"")</f>
        <v/>
      </c>
    </row>
    <row r="27">
      <c r="A27" s="25">
        <f>Bonds_Static!A27</f>
        <v/>
      </c>
      <c r="B27" s="25">
        <f>Bonds_Static!C27</f>
        <v/>
      </c>
      <c r="C27" s="36">
        <f>IFERROR(Bonds_Live!L27,"")</f>
        <v/>
      </c>
      <c r="D27" s="36">
        <f>IFERROR(Bonds_Live!R27,"")</f>
        <v/>
      </c>
      <c r="E27" s="24">
        <f>IFERROR(C27*D27,"")</f>
        <v/>
      </c>
      <c r="F27" s="36">
        <f>IFERROR(Carry_Roll!M27,"")</f>
        <v/>
      </c>
      <c r="G27" s="16">
        <f>IFERROR(IF(E27=0,"",F27*100/E27),"")</f>
        <v/>
      </c>
      <c r="H27" s="24">
        <f>IFERROR(IF(D27=0,"",F27*100/D27),"")</f>
        <v/>
      </c>
      <c r="I27" s="24">
        <f>IFERROR(C27+H27,"")</f>
        <v/>
      </c>
      <c r="J27" s="10">
        <f>IFERROR(IF(G27="","",IF(G27&gt;5,"STRONG",IF(G27&gt;2,"ATTRACTIVE",IF(G27&gt;0,"OK","WEAK")))),"")</f>
        <v/>
      </c>
    </row>
  </sheetData>
  <conditionalFormatting sqref="G3:G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3:H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8" customWidth="1" min="11" max="11"/>
  </cols>
  <sheetData>
    <row r="1" ht="30" customHeight="1">
      <c r="A1" s="21" t="inlineStr">
        <is>
          <t>ISIN</t>
        </is>
      </c>
      <c r="B1" s="21" t="inlineStr">
        <is>
          <t>Description</t>
        </is>
      </c>
      <c r="C1" s="21" t="inlineStr">
        <is>
          <t>Z-Spr Now (bp)</t>
        </is>
      </c>
      <c r="D1" s="21" t="inlineStr">
        <is>
          <t>1Y Min</t>
        </is>
      </c>
      <c r="E1" s="21" t="inlineStr">
        <is>
          <t>1Y Max</t>
        </is>
      </c>
      <c r="F1" s="21" t="inlineStr">
        <is>
          <t>1Y Avg</t>
        </is>
      </c>
      <c r="G1" s="21" t="inlineStr">
        <is>
          <t>1Y Stdev</t>
        </is>
      </c>
      <c r="H1" s="21" t="inlineStr">
        <is>
          <t>1Y Percentile</t>
        </is>
      </c>
      <c r="I1" s="21" t="inlineStr">
        <is>
          <t>1Y Z-Score</t>
        </is>
      </c>
      <c r="J1" s="21" t="inlineStr">
        <is>
          <t>30D Avg</t>
        </is>
      </c>
      <c r="K1" s="21" t="inlineStr">
        <is>
          <t>Signal</t>
        </is>
      </c>
    </row>
    <row r="2" ht="18" customHeight="1">
      <c r="A2" s="5" t="inlineStr"/>
      <c r="B2" s="5" t="inlineStr"/>
      <c r="C2" s="5" t="inlineStr"/>
      <c r="D2" s="22" t="inlineStr">
        <is>
          <t>YAS_ZSPREAD</t>
        </is>
      </c>
      <c r="E2" s="22" t="inlineStr">
        <is>
          <t>YAS_ZSPREAD</t>
        </is>
      </c>
      <c r="F2" s="22" t="inlineStr">
        <is>
          <t>YAS_ZSPREAD</t>
        </is>
      </c>
      <c r="G2" s="22" t="inlineStr">
        <is>
          <t>YAS_ZSPREAD</t>
        </is>
      </c>
      <c r="H2" s="22" t="inlineStr">
        <is>
          <t>YAS_ZSPREAD</t>
        </is>
      </c>
      <c r="I2" s="5" t="inlineStr"/>
      <c r="J2" s="22" t="inlineStr">
        <is>
          <t>YAS_ZSPREAD</t>
        </is>
      </c>
      <c r="K2" s="5" t="inlineStr"/>
    </row>
    <row r="3">
      <c r="A3" s="25">
        <f>Bonds_Static!A3</f>
        <v/>
      </c>
      <c r="B3" s="25">
        <f>Bonds_Static!C3</f>
        <v/>
      </c>
      <c r="C3" s="36">
        <f>IFERROR(Bonds_Live!L3,"")</f>
        <v/>
      </c>
      <c r="D3" s="16">
        <f>IFERROR(MIN(INDEX(BDH($A3&amp;" ISIN",D$2,"-1Y","0D"),0,2)),"")</f>
        <v/>
      </c>
      <c r="E3" s="16">
        <f>IFERROR(MAX(INDEX(BDH($A3&amp;" ISIN",D$2,"-1Y","0D"),0,2)),"")</f>
        <v/>
      </c>
      <c r="F3" s="16">
        <f>IFERROR(AVERAGE(INDEX(BDH($A3&amp;" ISIN",D$2,"-1Y","0D"),0,2)),"")</f>
        <v/>
      </c>
      <c r="G3" s="16">
        <f>IFERROR(STDEV(INDEX(BDH($A3&amp;" ISIN",D$2,"-1Y","0D"),0,2)),"")</f>
        <v/>
      </c>
      <c r="H3" s="16">
        <f>IFERROR(PERCENTRANK.INC(INDEX(BDH($A3&amp;" ISIN",D$2,"-1Y","0D"),0,2),C3)*100,"")</f>
        <v/>
      </c>
      <c r="I3" s="16">
        <f>IFERROR(IF(G3=0,"",(C3-F3)/G3),"")</f>
        <v/>
      </c>
      <c r="J3" s="16">
        <f>IFERROR(AVERAGE(INDEX(BDH($A3&amp;" ISIN",J$2,"-1M","0D"),0,2)),"")</f>
        <v/>
      </c>
      <c r="K3" s="10">
        <f>IFERROR(IF(H3="","",IF(H3&gt;=80,"CHEAP — buy",IF(H3&gt;=60,"slightly cheap",IF(H3&gt;=40,"FAIR",IF(H3&gt;=20,"slightly rich","RICH — sell"))))),"")</f>
        <v/>
      </c>
    </row>
    <row r="4">
      <c r="A4" s="25">
        <f>Bonds_Static!A4</f>
        <v/>
      </c>
      <c r="B4" s="25">
        <f>Bonds_Static!C4</f>
        <v/>
      </c>
      <c r="C4" s="36">
        <f>IFERROR(Bonds_Live!L4,"")</f>
        <v/>
      </c>
      <c r="D4" s="16">
        <f>IFERROR(MIN(INDEX(BDH($A4&amp;" ISIN",D$2,"-1Y","0D"),0,2)),"")</f>
        <v/>
      </c>
      <c r="E4" s="16">
        <f>IFERROR(MAX(INDEX(BDH($A4&amp;" ISIN",D$2,"-1Y","0D"),0,2)),"")</f>
        <v/>
      </c>
      <c r="F4" s="16">
        <f>IFERROR(AVERAGE(INDEX(BDH($A4&amp;" ISIN",D$2,"-1Y","0D"),0,2)),"")</f>
        <v/>
      </c>
      <c r="G4" s="16">
        <f>IFERROR(STDEV(INDEX(BDH($A4&amp;" ISIN",D$2,"-1Y","0D"),0,2)),"")</f>
        <v/>
      </c>
      <c r="H4" s="16">
        <f>IFERROR(PERCENTRANK.INC(INDEX(BDH($A4&amp;" ISIN",D$2,"-1Y","0D"),0,2),C4)*100,"")</f>
        <v/>
      </c>
      <c r="I4" s="16">
        <f>IFERROR(IF(G4=0,"",(C4-F4)/G4),"")</f>
        <v/>
      </c>
      <c r="J4" s="16">
        <f>IFERROR(AVERAGE(INDEX(BDH($A4&amp;" ISIN",J$2,"-1M","0D"),0,2)),"")</f>
        <v/>
      </c>
      <c r="K4" s="10">
        <f>IFERROR(IF(H4="","",IF(H4&gt;=80,"CHEAP — buy",IF(H4&gt;=60,"slightly cheap",IF(H4&gt;=40,"FAIR",IF(H4&gt;=20,"slightly rich","RICH — sell"))))),"")</f>
        <v/>
      </c>
    </row>
    <row r="5">
      <c r="A5" s="25">
        <f>Bonds_Static!A5</f>
        <v/>
      </c>
      <c r="B5" s="25">
        <f>Bonds_Static!C5</f>
        <v/>
      </c>
      <c r="C5" s="36">
        <f>IFERROR(Bonds_Live!L5,"")</f>
        <v/>
      </c>
      <c r="D5" s="16">
        <f>IFERROR(MIN(INDEX(BDH($A5&amp;" ISIN",D$2,"-1Y","0D"),0,2)),"")</f>
        <v/>
      </c>
      <c r="E5" s="16">
        <f>IFERROR(MAX(INDEX(BDH($A5&amp;" ISIN",D$2,"-1Y","0D"),0,2)),"")</f>
        <v/>
      </c>
      <c r="F5" s="16">
        <f>IFERROR(AVERAGE(INDEX(BDH($A5&amp;" ISIN",D$2,"-1Y","0D"),0,2)),"")</f>
        <v/>
      </c>
      <c r="G5" s="16">
        <f>IFERROR(STDEV(INDEX(BDH($A5&amp;" ISIN",D$2,"-1Y","0D"),0,2)),"")</f>
        <v/>
      </c>
      <c r="H5" s="16">
        <f>IFERROR(PERCENTRANK.INC(INDEX(BDH($A5&amp;" ISIN",D$2,"-1Y","0D"),0,2),C5)*100,"")</f>
        <v/>
      </c>
      <c r="I5" s="16">
        <f>IFERROR(IF(G5=0,"",(C5-F5)/G5),"")</f>
        <v/>
      </c>
      <c r="J5" s="16">
        <f>IFERROR(AVERAGE(INDEX(BDH($A5&amp;" ISIN",J$2,"-1M","0D"),0,2)),"")</f>
        <v/>
      </c>
      <c r="K5" s="10">
        <f>IFERROR(IF(H5="","",IF(H5&gt;=80,"CHEAP — buy",IF(H5&gt;=60,"slightly cheap",IF(H5&gt;=40,"FAIR",IF(H5&gt;=20,"slightly rich","RICH — sell"))))),"")</f>
        <v/>
      </c>
    </row>
    <row r="6">
      <c r="A6" s="25">
        <f>Bonds_Static!A6</f>
        <v/>
      </c>
      <c r="B6" s="25">
        <f>Bonds_Static!C6</f>
        <v/>
      </c>
      <c r="C6" s="36">
        <f>IFERROR(Bonds_Live!L6,"")</f>
        <v/>
      </c>
      <c r="D6" s="16">
        <f>IFERROR(MIN(INDEX(BDH($A6&amp;" ISIN",D$2,"-1Y","0D"),0,2)),"")</f>
        <v/>
      </c>
      <c r="E6" s="16">
        <f>IFERROR(MAX(INDEX(BDH($A6&amp;" ISIN",D$2,"-1Y","0D"),0,2)),"")</f>
        <v/>
      </c>
      <c r="F6" s="16">
        <f>IFERROR(AVERAGE(INDEX(BDH($A6&amp;" ISIN",D$2,"-1Y","0D"),0,2)),"")</f>
        <v/>
      </c>
      <c r="G6" s="16">
        <f>IFERROR(STDEV(INDEX(BDH($A6&amp;" ISIN",D$2,"-1Y","0D"),0,2)),"")</f>
        <v/>
      </c>
      <c r="H6" s="16">
        <f>IFERROR(PERCENTRANK.INC(INDEX(BDH($A6&amp;" ISIN",D$2,"-1Y","0D"),0,2),C6)*100,"")</f>
        <v/>
      </c>
      <c r="I6" s="16">
        <f>IFERROR(IF(G6=0,"",(C6-F6)/G6),"")</f>
        <v/>
      </c>
      <c r="J6" s="16">
        <f>IFERROR(AVERAGE(INDEX(BDH($A6&amp;" ISIN",J$2,"-1M","0D"),0,2)),"")</f>
        <v/>
      </c>
      <c r="K6" s="10">
        <f>IFERROR(IF(H6="","",IF(H6&gt;=80,"CHEAP — buy",IF(H6&gt;=60,"slightly cheap",IF(H6&gt;=40,"FAIR",IF(H6&gt;=20,"slightly rich","RICH — sell"))))),"")</f>
        <v/>
      </c>
    </row>
    <row r="7">
      <c r="A7" s="25">
        <f>Bonds_Static!A7</f>
        <v/>
      </c>
      <c r="B7" s="25">
        <f>Bonds_Static!C7</f>
        <v/>
      </c>
      <c r="C7" s="36">
        <f>IFERROR(Bonds_Live!L7,"")</f>
        <v/>
      </c>
      <c r="D7" s="16">
        <f>IFERROR(MIN(INDEX(BDH($A7&amp;" ISIN",D$2,"-1Y","0D"),0,2)),"")</f>
        <v/>
      </c>
      <c r="E7" s="16">
        <f>IFERROR(MAX(INDEX(BDH($A7&amp;" ISIN",D$2,"-1Y","0D"),0,2)),"")</f>
        <v/>
      </c>
      <c r="F7" s="16">
        <f>IFERROR(AVERAGE(INDEX(BDH($A7&amp;" ISIN",D$2,"-1Y","0D"),0,2)),"")</f>
        <v/>
      </c>
      <c r="G7" s="16">
        <f>IFERROR(STDEV(INDEX(BDH($A7&amp;" ISIN",D$2,"-1Y","0D"),0,2)),"")</f>
        <v/>
      </c>
      <c r="H7" s="16">
        <f>IFERROR(PERCENTRANK.INC(INDEX(BDH($A7&amp;" ISIN",D$2,"-1Y","0D"),0,2),C7)*100,"")</f>
        <v/>
      </c>
      <c r="I7" s="16">
        <f>IFERROR(IF(G7=0,"",(C7-F7)/G7),"")</f>
        <v/>
      </c>
      <c r="J7" s="16">
        <f>IFERROR(AVERAGE(INDEX(BDH($A7&amp;" ISIN",J$2,"-1M","0D"),0,2)),"")</f>
        <v/>
      </c>
      <c r="K7" s="10">
        <f>IFERROR(IF(H7="","",IF(H7&gt;=80,"CHEAP — buy",IF(H7&gt;=60,"slightly cheap",IF(H7&gt;=40,"FAIR",IF(H7&gt;=20,"slightly rich","RICH — sell"))))),"")</f>
        <v/>
      </c>
    </row>
    <row r="8">
      <c r="A8" s="25">
        <f>Bonds_Static!A8</f>
        <v/>
      </c>
      <c r="B8" s="25">
        <f>Bonds_Static!C8</f>
        <v/>
      </c>
      <c r="C8" s="36">
        <f>IFERROR(Bonds_Live!L8,"")</f>
        <v/>
      </c>
      <c r="D8" s="16">
        <f>IFERROR(MIN(INDEX(BDH($A8&amp;" ISIN",D$2,"-1Y","0D"),0,2)),"")</f>
        <v/>
      </c>
      <c r="E8" s="16">
        <f>IFERROR(MAX(INDEX(BDH($A8&amp;" ISIN",D$2,"-1Y","0D"),0,2)),"")</f>
        <v/>
      </c>
      <c r="F8" s="16">
        <f>IFERROR(AVERAGE(INDEX(BDH($A8&amp;" ISIN",D$2,"-1Y","0D"),0,2)),"")</f>
        <v/>
      </c>
      <c r="G8" s="16">
        <f>IFERROR(STDEV(INDEX(BDH($A8&amp;" ISIN",D$2,"-1Y","0D"),0,2)),"")</f>
        <v/>
      </c>
      <c r="H8" s="16">
        <f>IFERROR(PERCENTRANK.INC(INDEX(BDH($A8&amp;" ISIN",D$2,"-1Y","0D"),0,2),C8)*100,"")</f>
        <v/>
      </c>
      <c r="I8" s="16">
        <f>IFERROR(IF(G8=0,"",(C8-F8)/G8),"")</f>
        <v/>
      </c>
      <c r="J8" s="16">
        <f>IFERROR(AVERAGE(INDEX(BDH($A8&amp;" ISIN",J$2,"-1M","0D"),0,2)),"")</f>
        <v/>
      </c>
      <c r="K8" s="10">
        <f>IFERROR(IF(H8="","",IF(H8&gt;=80,"CHEAP — buy",IF(H8&gt;=60,"slightly cheap",IF(H8&gt;=40,"FAIR",IF(H8&gt;=20,"slightly rich","RICH — sell"))))),"")</f>
        <v/>
      </c>
    </row>
    <row r="9">
      <c r="A9" s="25">
        <f>Bonds_Static!A9</f>
        <v/>
      </c>
      <c r="B9" s="25">
        <f>Bonds_Static!C9</f>
        <v/>
      </c>
      <c r="C9" s="36">
        <f>IFERROR(Bonds_Live!L9,"")</f>
        <v/>
      </c>
      <c r="D9" s="16">
        <f>IFERROR(MIN(INDEX(BDH($A9&amp;" ISIN",D$2,"-1Y","0D"),0,2)),"")</f>
        <v/>
      </c>
      <c r="E9" s="16">
        <f>IFERROR(MAX(INDEX(BDH($A9&amp;" ISIN",D$2,"-1Y","0D"),0,2)),"")</f>
        <v/>
      </c>
      <c r="F9" s="16">
        <f>IFERROR(AVERAGE(INDEX(BDH($A9&amp;" ISIN",D$2,"-1Y","0D"),0,2)),"")</f>
        <v/>
      </c>
      <c r="G9" s="16">
        <f>IFERROR(STDEV(INDEX(BDH($A9&amp;" ISIN",D$2,"-1Y","0D"),0,2)),"")</f>
        <v/>
      </c>
      <c r="H9" s="16">
        <f>IFERROR(PERCENTRANK.INC(INDEX(BDH($A9&amp;" ISIN",D$2,"-1Y","0D"),0,2),C9)*100,"")</f>
        <v/>
      </c>
      <c r="I9" s="16">
        <f>IFERROR(IF(G9=0,"",(C9-F9)/G9),"")</f>
        <v/>
      </c>
      <c r="J9" s="16">
        <f>IFERROR(AVERAGE(INDEX(BDH($A9&amp;" ISIN",J$2,"-1M","0D"),0,2)),"")</f>
        <v/>
      </c>
      <c r="K9" s="10">
        <f>IFERROR(IF(H9="","",IF(H9&gt;=80,"CHEAP — buy",IF(H9&gt;=60,"slightly cheap",IF(H9&gt;=40,"FAIR",IF(H9&gt;=20,"slightly rich","RICH — sell"))))),"")</f>
        <v/>
      </c>
    </row>
    <row r="10">
      <c r="A10" s="25">
        <f>Bonds_Static!A10</f>
        <v/>
      </c>
      <c r="B10" s="25">
        <f>Bonds_Static!C10</f>
        <v/>
      </c>
      <c r="C10" s="36">
        <f>IFERROR(Bonds_Live!L10,"")</f>
        <v/>
      </c>
      <c r="D10" s="16">
        <f>IFERROR(MIN(INDEX(BDH($A10&amp;" ISIN",D$2,"-1Y","0D"),0,2)),"")</f>
        <v/>
      </c>
      <c r="E10" s="16">
        <f>IFERROR(MAX(INDEX(BDH($A10&amp;" ISIN",D$2,"-1Y","0D"),0,2)),"")</f>
        <v/>
      </c>
      <c r="F10" s="16">
        <f>IFERROR(AVERAGE(INDEX(BDH($A10&amp;" ISIN",D$2,"-1Y","0D"),0,2)),"")</f>
        <v/>
      </c>
      <c r="G10" s="16">
        <f>IFERROR(STDEV(INDEX(BDH($A10&amp;" ISIN",D$2,"-1Y","0D"),0,2)),"")</f>
        <v/>
      </c>
      <c r="H10" s="16">
        <f>IFERROR(PERCENTRANK.INC(INDEX(BDH($A10&amp;" ISIN",D$2,"-1Y","0D"),0,2),C10)*100,"")</f>
        <v/>
      </c>
      <c r="I10" s="16">
        <f>IFERROR(IF(G10=0,"",(C10-F10)/G10),"")</f>
        <v/>
      </c>
      <c r="J10" s="16">
        <f>IFERROR(AVERAGE(INDEX(BDH($A10&amp;" ISIN",J$2,"-1M","0D"),0,2)),"")</f>
        <v/>
      </c>
      <c r="K10" s="10">
        <f>IFERROR(IF(H10="","",IF(H10&gt;=80,"CHEAP — buy",IF(H10&gt;=60,"slightly cheap",IF(H10&gt;=40,"FAIR",IF(H10&gt;=20,"slightly rich","RICH — sell"))))),"")</f>
        <v/>
      </c>
    </row>
    <row r="11">
      <c r="A11" s="25">
        <f>Bonds_Static!A11</f>
        <v/>
      </c>
      <c r="B11" s="25">
        <f>Bonds_Static!C11</f>
        <v/>
      </c>
      <c r="C11" s="36">
        <f>IFERROR(Bonds_Live!L11,"")</f>
        <v/>
      </c>
      <c r="D11" s="16">
        <f>IFERROR(MIN(INDEX(BDH($A11&amp;" ISIN",D$2,"-1Y","0D"),0,2)),"")</f>
        <v/>
      </c>
      <c r="E11" s="16">
        <f>IFERROR(MAX(INDEX(BDH($A11&amp;" ISIN",D$2,"-1Y","0D"),0,2)),"")</f>
        <v/>
      </c>
      <c r="F11" s="16">
        <f>IFERROR(AVERAGE(INDEX(BDH($A11&amp;" ISIN",D$2,"-1Y","0D"),0,2)),"")</f>
        <v/>
      </c>
      <c r="G11" s="16">
        <f>IFERROR(STDEV(INDEX(BDH($A11&amp;" ISIN",D$2,"-1Y","0D"),0,2)),"")</f>
        <v/>
      </c>
      <c r="H11" s="16">
        <f>IFERROR(PERCENTRANK.INC(INDEX(BDH($A11&amp;" ISIN",D$2,"-1Y","0D"),0,2),C11)*100,"")</f>
        <v/>
      </c>
      <c r="I11" s="16">
        <f>IFERROR(IF(G11=0,"",(C11-F11)/G11),"")</f>
        <v/>
      </c>
      <c r="J11" s="16">
        <f>IFERROR(AVERAGE(INDEX(BDH($A11&amp;" ISIN",J$2,"-1M","0D"),0,2)),"")</f>
        <v/>
      </c>
      <c r="K11" s="10">
        <f>IFERROR(IF(H11="","",IF(H11&gt;=80,"CHEAP — buy",IF(H11&gt;=60,"slightly cheap",IF(H11&gt;=40,"FAIR",IF(H11&gt;=20,"slightly rich","RICH — sell"))))),"")</f>
        <v/>
      </c>
    </row>
    <row r="12">
      <c r="A12" s="25">
        <f>Bonds_Static!A12</f>
        <v/>
      </c>
      <c r="B12" s="25">
        <f>Bonds_Static!C12</f>
        <v/>
      </c>
      <c r="C12" s="36">
        <f>IFERROR(Bonds_Live!L12,"")</f>
        <v/>
      </c>
      <c r="D12" s="16">
        <f>IFERROR(MIN(INDEX(BDH($A12&amp;" ISIN",D$2,"-1Y","0D"),0,2)),"")</f>
        <v/>
      </c>
      <c r="E12" s="16">
        <f>IFERROR(MAX(INDEX(BDH($A12&amp;" ISIN",D$2,"-1Y","0D"),0,2)),"")</f>
        <v/>
      </c>
      <c r="F12" s="16">
        <f>IFERROR(AVERAGE(INDEX(BDH($A12&amp;" ISIN",D$2,"-1Y","0D"),0,2)),"")</f>
        <v/>
      </c>
      <c r="G12" s="16">
        <f>IFERROR(STDEV(INDEX(BDH($A12&amp;" ISIN",D$2,"-1Y","0D"),0,2)),"")</f>
        <v/>
      </c>
      <c r="H12" s="16">
        <f>IFERROR(PERCENTRANK.INC(INDEX(BDH($A12&amp;" ISIN",D$2,"-1Y","0D"),0,2),C12)*100,"")</f>
        <v/>
      </c>
      <c r="I12" s="16">
        <f>IFERROR(IF(G12=0,"",(C12-F12)/G12),"")</f>
        <v/>
      </c>
      <c r="J12" s="16">
        <f>IFERROR(AVERAGE(INDEX(BDH($A12&amp;" ISIN",J$2,"-1M","0D"),0,2)),"")</f>
        <v/>
      </c>
      <c r="K12" s="10">
        <f>IFERROR(IF(H12="","",IF(H12&gt;=80,"CHEAP — buy",IF(H12&gt;=60,"slightly cheap",IF(H12&gt;=40,"FAIR",IF(H12&gt;=20,"slightly rich","RICH — sell"))))),"")</f>
        <v/>
      </c>
    </row>
    <row r="13">
      <c r="A13" s="25">
        <f>Bonds_Static!A13</f>
        <v/>
      </c>
      <c r="B13" s="25">
        <f>Bonds_Static!C13</f>
        <v/>
      </c>
      <c r="C13" s="36">
        <f>IFERROR(Bonds_Live!L13,"")</f>
        <v/>
      </c>
      <c r="D13" s="16">
        <f>IFERROR(MIN(INDEX(BDH($A13&amp;" ISIN",D$2,"-1Y","0D"),0,2)),"")</f>
        <v/>
      </c>
      <c r="E13" s="16">
        <f>IFERROR(MAX(INDEX(BDH($A13&amp;" ISIN",D$2,"-1Y","0D"),0,2)),"")</f>
        <v/>
      </c>
      <c r="F13" s="16">
        <f>IFERROR(AVERAGE(INDEX(BDH($A13&amp;" ISIN",D$2,"-1Y","0D"),0,2)),"")</f>
        <v/>
      </c>
      <c r="G13" s="16">
        <f>IFERROR(STDEV(INDEX(BDH($A13&amp;" ISIN",D$2,"-1Y","0D"),0,2)),"")</f>
        <v/>
      </c>
      <c r="H13" s="16">
        <f>IFERROR(PERCENTRANK.INC(INDEX(BDH($A13&amp;" ISIN",D$2,"-1Y","0D"),0,2),C13)*100,"")</f>
        <v/>
      </c>
      <c r="I13" s="16">
        <f>IFERROR(IF(G13=0,"",(C13-F13)/G13),"")</f>
        <v/>
      </c>
      <c r="J13" s="16">
        <f>IFERROR(AVERAGE(INDEX(BDH($A13&amp;" ISIN",J$2,"-1M","0D"),0,2)),"")</f>
        <v/>
      </c>
      <c r="K13" s="10">
        <f>IFERROR(IF(H13="","",IF(H13&gt;=80,"CHEAP — buy",IF(H13&gt;=60,"slightly cheap",IF(H13&gt;=40,"FAIR",IF(H13&gt;=20,"slightly rich","RICH — sell"))))),"")</f>
        <v/>
      </c>
    </row>
    <row r="14">
      <c r="A14" s="25">
        <f>Bonds_Static!A14</f>
        <v/>
      </c>
      <c r="B14" s="25">
        <f>Bonds_Static!C14</f>
        <v/>
      </c>
      <c r="C14" s="36">
        <f>IFERROR(Bonds_Live!L14,"")</f>
        <v/>
      </c>
      <c r="D14" s="16">
        <f>IFERROR(MIN(INDEX(BDH($A14&amp;" ISIN",D$2,"-1Y","0D"),0,2)),"")</f>
        <v/>
      </c>
      <c r="E14" s="16">
        <f>IFERROR(MAX(INDEX(BDH($A14&amp;" ISIN",D$2,"-1Y","0D"),0,2)),"")</f>
        <v/>
      </c>
      <c r="F14" s="16">
        <f>IFERROR(AVERAGE(INDEX(BDH($A14&amp;" ISIN",D$2,"-1Y","0D"),0,2)),"")</f>
        <v/>
      </c>
      <c r="G14" s="16">
        <f>IFERROR(STDEV(INDEX(BDH($A14&amp;" ISIN",D$2,"-1Y","0D"),0,2)),"")</f>
        <v/>
      </c>
      <c r="H14" s="16">
        <f>IFERROR(PERCENTRANK.INC(INDEX(BDH($A14&amp;" ISIN",D$2,"-1Y","0D"),0,2),C14)*100,"")</f>
        <v/>
      </c>
      <c r="I14" s="16">
        <f>IFERROR(IF(G14=0,"",(C14-F14)/G14),"")</f>
        <v/>
      </c>
      <c r="J14" s="16">
        <f>IFERROR(AVERAGE(INDEX(BDH($A14&amp;" ISIN",J$2,"-1M","0D"),0,2)),"")</f>
        <v/>
      </c>
      <c r="K14" s="10">
        <f>IFERROR(IF(H14="","",IF(H14&gt;=80,"CHEAP — buy",IF(H14&gt;=60,"slightly cheap",IF(H14&gt;=40,"FAIR",IF(H14&gt;=20,"slightly rich","RICH — sell"))))),"")</f>
        <v/>
      </c>
    </row>
    <row r="15">
      <c r="A15" s="25">
        <f>Bonds_Static!A15</f>
        <v/>
      </c>
      <c r="B15" s="25">
        <f>Bonds_Static!C15</f>
        <v/>
      </c>
      <c r="C15" s="36">
        <f>IFERROR(Bonds_Live!L15,"")</f>
        <v/>
      </c>
      <c r="D15" s="16">
        <f>IFERROR(MIN(INDEX(BDH($A15&amp;" ISIN",D$2,"-1Y","0D"),0,2)),"")</f>
        <v/>
      </c>
      <c r="E15" s="16">
        <f>IFERROR(MAX(INDEX(BDH($A15&amp;" ISIN",D$2,"-1Y","0D"),0,2)),"")</f>
        <v/>
      </c>
      <c r="F15" s="16">
        <f>IFERROR(AVERAGE(INDEX(BDH($A15&amp;" ISIN",D$2,"-1Y","0D"),0,2)),"")</f>
        <v/>
      </c>
      <c r="G15" s="16">
        <f>IFERROR(STDEV(INDEX(BDH($A15&amp;" ISIN",D$2,"-1Y","0D"),0,2)),"")</f>
        <v/>
      </c>
      <c r="H15" s="16">
        <f>IFERROR(PERCENTRANK.INC(INDEX(BDH($A15&amp;" ISIN",D$2,"-1Y","0D"),0,2),C15)*100,"")</f>
        <v/>
      </c>
      <c r="I15" s="16">
        <f>IFERROR(IF(G15=0,"",(C15-F15)/G15),"")</f>
        <v/>
      </c>
      <c r="J15" s="16">
        <f>IFERROR(AVERAGE(INDEX(BDH($A15&amp;" ISIN",J$2,"-1M","0D"),0,2)),"")</f>
        <v/>
      </c>
      <c r="K15" s="10">
        <f>IFERROR(IF(H15="","",IF(H15&gt;=80,"CHEAP — buy",IF(H15&gt;=60,"slightly cheap",IF(H15&gt;=40,"FAIR",IF(H15&gt;=20,"slightly rich","RICH — sell"))))),"")</f>
        <v/>
      </c>
    </row>
    <row r="16">
      <c r="A16" s="25">
        <f>Bonds_Static!A16</f>
        <v/>
      </c>
      <c r="B16" s="25">
        <f>Bonds_Static!C16</f>
        <v/>
      </c>
      <c r="C16" s="36">
        <f>IFERROR(Bonds_Live!L16,"")</f>
        <v/>
      </c>
      <c r="D16" s="16">
        <f>IFERROR(MIN(INDEX(BDH($A16&amp;" ISIN",D$2,"-1Y","0D"),0,2)),"")</f>
        <v/>
      </c>
      <c r="E16" s="16">
        <f>IFERROR(MAX(INDEX(BDH($A16&amp;" ISIN",D$2,"-1Y","0D"),0,2)),"")</f>
        <v/>
      </c>
      <c r="F16" s="16">
        <f>IFERROR(AVERAGE(INDEX(BDH($A16&amp;" ISIN",D$2,"-1Y","0D"),0,2)),"")</f>
        <v/>
      </c>
      <c r="G16" s="16">
        <f>IFERROR(STDEV(INDEX(BDH($A16&amp;" ISIN",D$2,"-1Y","0D"),0,2)),"")</f>
        <v/>
      </c>
      <c r="H16" s="16">
        <f>IFERROR(PERCENTRANK.INC(INDEX(BDH($A16&amp;" ISIN",D$2,"-1Y","0D"),0,2),C16)*100,"")</f>
        <v/>
      </c>
      <c r="I16" s="16">
        <f>IFERROR(IF(G16=0,"",(C16-F16)/G16),"")</f>
        <v/>
      </c>
      <c r="J16" s="16">
        <f>IFERROR(AVERAGE(INDEX(BDH($A16&amp;" ISIN",J$2,"-1M","0D"),0,2)),"")</f>
        <v/>
      </c>
      <c r="K16" s="10">
        <f>IFERROR(IF(H16="","",IF(H16&gt;=80,"CHEAP — buy",IF(H16&gt;=60,"slightly cheap",IF(H16&gt;=40,"FAIR",IF(H16&gt;=20,"slightly rich","RICH — sell"))))),"")</f>
        <v/>
      </c>
    </row>
    <row r="17">
      <c r="A17" s="25">
        <f>Bonds_Static!A17</f>
        <v/>
      </c>
      <c r="B17" s="25">
        <f>Bonds_Static!C17</f>
        <v/>
      </c>
      <c r="C17" s="36">
        <f>IFERROR(Bonds_Live!L17,"")</f>
        <v/>
      </c>
      <c r="D17" s="16">
        <f>IFERROR(MIN(INDEX(BDH($A17&amp;" ISIN",D$2,"-1Y","0D"),0,2)),"")</f>
        <v/>
      </c>
      <c r="E17" s="16">
        <f>IFERROR(MAX(INDEX(BDH($A17&amp;" ISIN",D$2,"-1Y","0D"),0,2)),"")</f>
        <v/>
      </c>
      <c r="F17" s="16">
        <f>IFERROR(AVERAGE(INDEX(BDH($A17&amp;" ISIN",D$2,"-1Y","0D"),0,2)),"")</f>
        <v/>
      </c>
      <c r="G17" s="16">
        <f>IFERROR(STDEV(INDEX(BDH($A17&amp;" ISIN",D$2,"-1Y","0D"),0,2)),"")</f>
        <v/>
      </c>
      <c r="H17" s="16">
        <f>IFERROR(PERCENTRANK.INC(INDEX(BDH($A17&amp;" ISIN",D$2,"-1Y","0D"),0,2),C17)*100,"")</f>
        <v/>
      </c>
      <c r="I17" s="16">
        <f>IFERROR(IF(G17=0,"",(C17-F17)/G17),"")</f>
        <v/>
      </c>
      <c r="J17" s="16">
        <f>IFERROR(AVERAGE(INDEX(BDH($A17&amp;" ISIN",J$2,"-1M","0D"),0,2)),"")</f>
        <v/>
      </c>
      <c r="K17" s="10">
        <f>IFERROR(IF(H17="","",IF(H17&gt;=80,"CHEAP — buy",IF(H17&gt;=60,"slightly cheap",IF(H17&gt;=40,"FAIR",IF(H17&gt;=20,"slightly rich","RICH — sell"))))),"")</f>
        <v/>
      </c>
    </row>
    <row r="18">
      <c r="A18" s="25">
        <f>Bonds_Static!A18</f>
        <v/>
      </c>
      <c r="B18" s="25">
        <f>Bonds_Static!C18</f>
        <v/>
      </c>
      <c r="C18" s="36">
        <f>IFERROR(Bonds_Live!L18,"")</f>
        <v/>
      </c>
      <c r="D18" s="16">
        <f>IFERROR(MIN(INDEX(BDH($A18&amp;" ISIN",D$2,"-1Y","0D"),0,2)),"")</f>
        <v/>
      </c>
      <c r="E18" s="16">
        <f>IFERROR(MAX(INDEX(BDH($A18&amp;" ISIN",D$2,"-1Y","0D"),0,2)),"")</f>
        <v/>
      </c>
      <c r="F18" s="16">
        <f>IFERROR(AVERAGE(INDEX(BDH($A18&amp;" ISIN",D$2,"-1Y","0D"),0,2)),"")</f>
        <v/>
      </c>
      <c r="G18" s="16">
        <f>IFERROR(STDEV(INDEX(BDH($A18&amp;" ISIN",D$2,"-1Y","0D"),0,2)),"")</f>
        <v/>
      </c>
      <c r="H18" s="16">
        <f>IFERROR(PERCENTRANK.INC(INDEX(BDH($A18&amp;" ISIN",D$2,"-1Y","0D"),0,2),C18)*100,"")</f>
        <v/>
      </c>
      <c r="I18" s="16">
        <f>IFERROR(IF(G18=0,"",(C18-F18)/G18),"")</f>
        <v/>
      </c>
      <c r="J18" s="16">
        <f>IFERROR(AVERAGE(INDEX(BDH($A18&amp;" ISIN",J$2,"-1M","0D"),0,2)),"")</f>
        <v/>
      </c>
      <c r="K18" s="10">
        <f>IFERROR(IF(H18="","",IF(H18&gt;=80,"CHEAP — buy",IF(H18&gt;=60,"slightly cheap",IF(H18&gt;=40,"FAIR",IF(H18&gt;=20,"slightly rich","RICH — sell"))))),"")</f>
        <v/>
      </c>
    </row>
    <row r="19">
      <c r="A19" s="25">
        <f>Bonds_Static!A19</f>
        <v/>
      </c>
      <c r="B19" s="25">
        <f>Bonds_Static!C19</f>
        <v/>
      </c>
      <c r="C19" s="36">
        <f>IFERROR(Bonds_Live!L19,"")</f>
        <v/>
      </c>
      <c r="D19" s="16">
        <f>IFERROR(MIN(INDEX(BDH($A19&amp;" ISIN",D$2,"-1Y","0D"),0,2)),"")</f>
        <v/>
      </c>
      <c r="E19" s="16">
        <f>IFERROR(MAX(INDEX(BDH($A19&amp;" ISIN",D$2,"-1Y","0D"),0,2)),"")</f>
        <v/>
      </c>
      <c r="F19" s="16">
        <f>IFERROR(AVERAGE(INDEX(BDH($A19&amp;" ISIN",D$2,"-1Y","0D"),0,2)),"")</f>
        <v/>
      </c>
      <c r="G19" s="16">
        <f>IFERROR(STDEV(INDEX(BDH($A19&amp;" ISIN",D$2,"-1Y","0D"),0,2)),"")</f>
        <v/>
      </c>
      <c r="H19" s="16">
        <f>IFERROR(PERCENTRANK.INC(INDEX(BDH($A19&amp;" ISIN",D$2,"-1Y","0D"),0,2),C19)*100,"")</f>
        <v/>
      </c>
      <c r="I19" s="16">
        <f>IFERROR(IF(G19=0,"",(C19-F19)/G19),"")</f>
        <v/>
      </c>
      <c r="J19" s="16">
        <f>IFERROR(AVERAGE(INDEX(BDH($A19&amp;" ISIN",J$2,"-1M","0D"),0,2)),"")</f>
        <v/>
      </c>
      <c r="K19" s="10">
        <f>IFERROR(IF(H19="","",IF(H19&gt;=80,"CHEAP — buy",IF(H19&gt;=60,"slightly cheap",IF(H19&gt;=40,"FAIR",IF(H19&gt;=20,"slightly rich","RICH — sell"))))),"")</f>
        <v/>
      </c>
    </row>
    <row r="20">
      <c r="A20" s="25">
        <f>Bonds_Static!A20</f>
        <v/>
      </c>
      <c r="B20" s="25">
        <f>Bonds_Static!C20</f>
        <v/>
      </c>
      <c r="C20" s="36">
        <f>IFERROR(Bonds_Live!L20,"")</f>
        <v/>
      </c>
      <c r="D20" s="16">
        <f>IFERROR(MIN(INDEX(BDH($A20&amp;" ISIN",D$2,"-1Y","0D"),0,2)),"")</f>
        <v/>
      </c>
      <c r="E20" s="16">
        <f>IFERROR(MAX(INDEX(BDH($A20&amp;" ISIN",D$2,"-1Y","0D"),0,2)),"")</f>
        <v/>
      </c>
      <c r="F20" s="16">
        <f>IFERROR(AVERAGE(INDEX(BDH($A20&amp;" ISIN",D$2,"-1Y","0D"),0,2)),"")</f>
        <v/>
      </c>
      <c r="G20" s="16">
        <f>IFERROR(STDEV(INDEX(BDH($A20&amp;" ISIN",D$2,"-1Y","0D"),0,2)),"")</f>
        <v/>
      </c>
      <c r="H20" s="16">
        <f>IFERROR(PERCENTRANK.INC(INDEX(BDH($A20&amp;" ISIN",D$2,"-1Y","0D"),0,2),C20)*100,"")</f>
        <v/>
      </c>
      <c r="I20" s="16">
        <f>IFERROR(IF(G20=0,"",(C20-F20)/G20),"")</f>
        <v/>
      </c>
      <c r="J20" s="16">
        <f>IFERROR(AVERAGE(INDEX(BDH($A20&amp;" ISIN",J$2,"-1M","0D"),0,2)),"")</f>
        <v/>
      </c>
      <c r="K20" s="10">
        <f>IFERROR(IF(H20="","",IF(H20&gt;=80,"CHEAP — buy",IF(H20&gt;=60,"slightly cheap",IF(H20&gt;=40,"FAIR",IF(H20&gt;=20,"slightly rich","RICH — sell"))))),"")</f>
        <v/>
      </c>
    </row>
    <row r="21">
      <c r="A21" s="25">
        <f>Bonds_Static!A21</f>
        <v/>
      </c>
      <c r="B21" s="25">
        <f>Bonds_Static!C21</f>
        <v/>
      </c>
      <c r="C21" s="36">
        <f>IFERROR(Bonds_Live!L21,"")</f>
        <v/>
      </c>
      <c r="D21" s="16">
        <f>IFERROR(MIN(INDEX(BDH($A21&amp;" ISIN",D$2,"-1Y","0D"),0,2)),"")</f>
        <v/>
      </c>
      <c r="E21" s="16">
        <f>IFERROR(MAX(INDEX(BDH($A21&amp;" ISIN",D$2,"-1Y","0D"),0,2)),"")</f>
        <v/>
      </c>
      <c r="F21" s="16">
        <f>IFERROR(AVERAGE(INDEX(BDH($A21&amp;" ISIN",D$2,"-1Y","0D"),0,2)),"")</f>
        <v/>
      </c>
      <c r="G21" s="16">
        <f>IFERROR(STDEV(INDEX(BDH($A21&amp;" ISIN",D$2,"-1Y","0D"),0,2)),"")</f>
        <v/>
      </c>
      <c r="H21" s="16">
        <f>IFERROR(PERCENTRANK.INC(INDEX(BDH($A21&amp;" ISIN",D$2,"-1Y","0D"),0,2),C21)*100,"")</f>
        <v/>
      </c>
      <c r="I21" s="16">
        <f>IFERROR(IF(G21=0,"",(C21-F21)/G21),"")</f>
        <v/>
      </c>
      <c r="J21" s="16">
        <f>IFERROR(AVERAGE(INDEX(BDH($A21&amp;" ISIN",J$2,"-1M","0D"),0,2)),"")</f>
        <v/>
      </c>
      <c r="K21" s="10">
        <f>IFERROR(IF(H21="","",IF(H21&gt;=80,"CHEAP — buy",IF(H21&gt;=60,"slightly cheap",IF(H21&gt;=40,"FAIR",IF(H21&gt;=20,"slightly rich","RICH — sell"))))),"")</f>
        <v/>
      </c>
    </row>
    <row r="22">
      <c r="A22" s="25">
        <f>Bonds_Static!A22</f>
        <v/>
      </c>
      <c r="B22" s="25">
        <f>Bonds_Static!C22</f>
        <v/>
      </c>
      <c r="C22" s="36">
        <f>IFERROR(Bonds_Live!L22,"")</f>
        <v/>
      </c>
      <c r="D22" s="16">
        <f>IFERROR(MIN(INDEX(BDH($A22&amp;" ISIN",D$2,"-1Y","0D"),0,2)),"")</f>
        <v/>
      </c>
      <c r="E22" s="16">
        <f>IFERROR(MAX(INDEX(BDH($A22&amp;" ISIN",D$2,"-1Y","0D"),0,2)),"")</f>
        <v/>
      </c>
      <c r="F22" s="16">
        <f>IFERROR(AVERAGE(INDEX(BDH($A22&amp;" ISIN",D$2,"-1Y","0D"),0,2)),"")</f>
        <v/>
      </c>
      <c r="G22" s="16">
        <f>IFERROR(STDEV(INDEX(BDH($A22&amp;" ISIN",D$2,"-1Y","0D"),0,2)),"")</f>
        <v/>
      </c>
      <c r="H22" s="16">
        <f>IFERROR(PERCENTRANK.INC(INDEX(BDH($A22&amp;" ISIN",D$2,"-1Y","0D"),0,2),C22)*100,"")</f>
        <v/>
      </c>
      <c r="I22" s="16">
        <f>IFERROR(IF(G22=0,"",(C22-F22)/G22),"")</f>
        <v/>
      </c>
      <c r="J22" s="16">
        <f>IFERROR(AVERAGE(INDEX(BDH($A22&amp;" ISIN",J$2,"-1M","0D"),0,2)),"")</f>
        <v/>
      </c>
      <c r="K22" s="10">
        <f>IFERROR(IF(H22="","",IF(H22&gt;=80,"CHEAP — buy",IF(H22&gt;=60,"slightly cheap",IF(H22&gt;=40,"FAIR",IF(H22&gt;=20,"slightly rich","RICH — sell"))))),"")</f>
        <v/>
      </c>
    </row>
    <row r="23">
      <c r="A23" s="25">
        <f>Bonds_Static!A23</f>
        <v/>
      </c>
      <c r="B23" s="25">
        <f>Bonds_Static!C23</f>
        <v/>
      </c>
      <c r="C23" s="36">
        <f>IFERROR(Bonds_Live!L23,"")</f>
        <v/>
      </c>
      <c r="D23" s="16">
        <f>IFERROR(MIN(INDEX(BDH($A23&amp;" ISIN",D$2,"-1Y","0D"),0,2)),"")</f>
        <v/>
      </c>
      <c r="E23" s="16">
        <f>IFERROR(MAX(INDEX(BDH($A23&amp;" ISIN",D$2,"-1Y","0D"),0,2)),"")</f>
        <v/>
      </c>
      <c r="F23" s="16">
        <f>IFERROR(AVERAGE(INDEX(BDH($A23&amp;" ISIN",D$2,"-1Y","0D"),0,2)),"")</f>
        <v/>
      </c>
      <c r="G23" s="16">
        <f>IFERROR(STDEV(INDEX(BDH($A23&amp;" ISIN",D$2,"-1Y","0D"),0,2)),"")</f>
        <v/>
      </c>
      <c r="H23" s="16">
        <f>IFERROR(PERCENTRANK.INC(INDEX(BDH($A23&amp;" ISIN",D$2,"-1Y","0D"),0,2),C23)*100,"")</f>
        <v/>
      </c>
      <c r="I23" s="16">
        <f>IFERROR(IF(G23=0,"",(C23-F23)/G23),"")</f>
        <v/>
      </c>
      <c r="J23" s="16">
        <f>IFERROR(AVERAGE(INDEX(BDH($A23&amp;" ISIN",J$2,"-1M","0D"),0,2)),"")</f>
        <v/>
      </c>
      <c r="K23" s="10">
        <f>IFERROR(IF(H23="","",IF(H23&gt;=80,"CHEAP — buy",IF(H23&gt;=60,"slightly cheap",IF(H23&gt;=40,"FAIR",IF(H23&gt;=20,"slightly rich","RICH — sell"))))),"")</f>
        <v/>
      </c>
    </row>
    <row r="24">
      <c r="A24" s="25">
        <f>Bonds_Static!A24</f>
        <v/>
      </c>
      <c r="B24" s="25">
        <f>Bonds_Static!C24</f>
        <v/>
      </c>
      <c r="C24" s="36">
        <f>IFERROR(Bonds_Live!L24,"")</f>
        <v/>
      </c>
      <c r="D24" s="16">
        <f>IFERROR(MIN(INDEX(BDH($A24&amp;" ISIN",D$2,"-1Y","0D"),0,2)),"")</f>
        <v/>
      </c>
      <c r="E24" s="16">
        <f>IFERROR(MAX(INDEX(BDH($A24&amp;" ISIN",D$2,"-1Y","0D"),0,2)),"")</f>
        <v/>
      </c>
      <c r="F24" s="16">
        <f>IFERROR(AVERAGE(INDEX(BDH($A24&amp;" ISIN",D$2,"-1Y","0D"),0,2)),"")</f>
        <v/>
      </c>
      <c r="G24" s="16">
        <f>IFERROR(STDEV(INDEX(BDH($A24&amp;" ISIN",D$2,"-1Y","0D"),0,2)),"")</f>
        <v/>
      </c>
      <c r="H24" s="16">
        <f>IFERROR(PERCENTRANK.INC(INDEX(BDH($A24&amp;" ISIN",D$2,"-1Y","0D"),0,2),C24)*100,"")</f>
        <v/>
      </c>
      <c r="I24" s="16">
        <f>IFERROR(IF(G24=0,"",(C24-F24)/G24),"")</f>
        <v/>
      </c>
      <c r="J24" s="16">
        <f>IFERROR(AVERAGE(INDEX(BDH($A24&amp;" ISIN",J$2,"-1M","0D"),0,2)),"")</f>
        <v/>
      </c>
      <c r="K24" s="10">
        <f>IFERROR(IF(H24="","",IF(H24&gt;=80,"CHEAP — buy",IF(H24&gt;=60,"slightly cheap",IF(H24&gt;=40,"FAIR",IF(H24&gt;=20,"slightly rich","RICH — sell"))))),"")</f>
        <v/>
      </c>
    </row>
    <row r="25">
      <c r="A25" s="25">
        <f>Bonds_Static!A25</f>
        <v/>
      </c>
      <c r="B25" s="25">
        <f>Bonds_Static!C25</f>
        <v/>
      </c>
      <c r="C25" s="36">
        <f>IFERROR(Bonds_Live!L25,"")</f>
        <v/>
      </c>
      <c r="D25" s="16">
        <f>IFERROR(MIN(INDEX(BDH($A25&amp;" ISIN",D$2,"-1Y","0D"),0,2)),"")</f>
        <v/>
      </c>
      <c r="E25" s="16">
        <f>IFERROR(MAX(INDEX(BDH($A25&amp;" ISIN",D$2,"-1Y","0D"),0,2)),"")</f>
        <v/>
      </c>
      <c r="F25" s="16">
        <f>IFERROR(AVERAGE(INDEX(BDH($A25&amp;" ISIN",D$2,"-1Y","0D"),0,2)),"")</f>
        <v/>
      </c>
      <c r="G25" s="16">
        <f>IFERROR(STDEV(INDEX(BDH($A25&amp;" ISIN",D$2,"-1Y","0D"),0,2)),"")</f>
        <v/>
      </c>
      <c r="H25" s="16">
        <f>IFERROR(PERCENTRANK.INC(INDEX(BDH($A25&amp;" ISIN",D$2,"-1Y","0D"),0,2),C25)*100,"")</f>
        <v/>
      </c>
      <c r="I25" s="16">
        <f>IFERROR(IF(G25=0,"",(C25-F25)/G25),"")</f>
        <v/>
      </c>
      <c r="J25" s="16">
        <f>IFERROR(AVERAGE(INDEX(BDH($A25&amp;" ISIN",J$2,"-1M","0D"),0,2)),"")</f>
        <v/>
      </c>
      <c r="K25" s="10">
        <f>IFERROR(IF(H25="","",IF(H25&gt;=80,"CHEAP — buy",IF(H25&gt;=60,"slightly cheap",IF(H25&gt;=40,"FAIR",IF(H25&gt;=20,"slightly rich","RICH — sell"))))),"")</f>
        <v/>
      </c>
    </row>
    <row r="26">
      <c r="A26" s="25">
        <f>Bonds_Static!A26</f>
        <v/>
      </c>
      <c r="B26" s="25">
        <f>Bonds_Static!C26</f>
        <v/>
      </c>
      <c r="C26" s="36">
        <f>IFERROR(Bonds_Live!L26,"")</f>
        <v/>
      </c>
      <c r="D26" s="16">
        <f>IFERROR(MIN(INDEX(BDH($A26&amp;" ISIN",D$2,"-1Y","0D"),0,2)),"")</f>
        <v/>
      </c>
      <c r="E26" s="16">
        <f>IFERROR(MAX(INDEX(BDH($A26&amp;" ISIN",D$2,"-1Y","0D"),0,2)),"")</f>
        <v/>
      </c>
      <c r="F26" s="16">
        <f>IFERROR(AVERAGE(INDEX(BDH($A26&amp;" ISIN",D$2,"-1Y","0D"),0,2)),"")</f>
        <v/>
      </c>
      <c r="G26" s="16">
        <f>IFERROR(STDEV(INDEX(BDH($A26&amp;" ISIN",D$2,"-1Y","0D"),0,2)),"")</f>
        <v/>
      </c>
      <c r="H26" s="16">
        <f>IFERROR(PERCENTRANK.INC(INDEX(BDH($A26&amp;" ISIN",D$2,"-1Y","0D"),0,2),C26)*100,"")</f>
        <v/>
      </c>
      <c r="I26" s="16">
        <f>IFERROR(IF(G26=0,"",(C26-F26)/G26),"")</f>
        <v/>
      </c>
      <c r="J26" s="16">
        <f>IFERROR(AVERAGE(INDEX(BDH($A26&amp;" ISIN",J$2,"-1M","0D"),0,2)),"")</f>
        <v/>
      </c>
      <c r="K26" s="10">
        <f>IFERROR(IF(H26="","",IF(H26&gt;=80,"CHEAP — buy",IF(H26&gt;=60,"slightly cheap",IF(H26&gt;=40,"FAIR",IF(H26&gt;=20,"slightly rich","RICH — sell"))))),"")</f>
        <v/>
      </c>
    </row>
    <row r="27">
      <c r="A27" s="25">
        <f>Bonds_Static!A27</f>
        <v/>
      </c>
      <c r="B27" s="25">
        <f>Bonds_Static!C27</f>
        <v/>
      </c>
      <c r="C27" s="36">
        <f>IFERROR(Bonds_Live!L27,"")</f>
        <v/>
      </c>
      <c r="D27" s="16">
        <f>IFERROR(MIN(INDEX(BDH($A27&amp;" ISIN",D$2,"-1Y","0D"),0,2)),"")</f>
        <v/>
      </c>
      <c r="E27" s="16">
        <f>IFERROR(MAX(INDEX(BDH($A27&amp;" ISIN",D$2,"-1Y","0D"),0,2)),"")</f>
        <v/>
      </c>
      <c r="F27" s="16">
        <f>IFERROR(AVERAGE(INDEX(BDH($A27&amp;" ISIN",D$2,"-1Y","0D"),0,2)),"")</f>
        <v/>
      </c>
      <c r="G27" s="16">
        <f>IFERROR(STDEV(INDEX(BDH($A27&amp;" ISIN",D$2,"-1Y","0D"),0,2)),"")</f>
        <v/>
      </c>
      <c r="H27" s="16">
        <f>IFERROR(PERCENTRANK.INC(INDEX(BDH($A27&amp;" ISIN",D$2,"-1Y","0D"),0,2),C27)*100,"")</f>
        <v/>
      </c>
      <c r="I27" s="16">
        <f>IFERROR(IF(G27=0,"",(C27-F27)/G27),"")</f>
        <v/>
      </c>
      <c r="J27" s="16">
        <f>IFERROR(AVERAGE(INDEX(BDH($A27&amp;" ISIN",J$2,"-1M","0D"),0,2)),"")</f>
        <v/>
      </c>
      <c r="K27" s="10">
        <f>IFERROR(IF(H27="","",IF(H27&gt;=80,"CHEAP — buy",IF(H27&gt;=60,"slightly cheap",IF(H27&gt;=40,"FAIR",IF(H27&gt;=20,"slightly rich","RICH — sell"))))),"")</f>
        <v/>
      </c>
    </row>
  </sheetData>
  <conditionalFormatting sqref="H3:H2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11" customWidth="1" min="4" max="4"/>
    <col width="13" customWidth="1" min="5" max="5"/>
    <col width="13" customWidth="1" min="6" max="6"/>
    <col width="15" customWidth="1" min="7" max="7"/>
    <col width="13" customWidth="1" min="8" max="8"/>
    <col width="14" customWidth="1" min="9" max="9"/>
  </cols>
  <sheetData>
    <row r="1">
      <c r="A1" s="37" t="inlineStr">
        <is>
          <t>Implied_PD — credit-risk decomposition</t>
        </is>
      </c>
    </row>
    <row r="2">
      <c r="A2" s="14" t="inlineStr">
        <is>
          <t>Recovery assumption (input on Settings!C53) →</t>
        </is>
      </c>
      <c r="C2" s="38">
        <f>Settings!C53</f>
        <v/>
      </c>
      <c r="D2" s="14" t="inlineStr">
        <is>
          <t xml:space="preserve">  LGD = 1 − Recovery →</t>
        </is>
      </c>
      <c r="G2" s="20">
        <f>1-C2</f>
        <v/>
      </c>
    </row>
    <row r="3" ht="32" customHeight="1">
      <c r="A3" s="21" t="inlineStr">
        <is>
          <t>ISIN</t>
        </is>
      </c>
      <c r="B3" s="21" t="inlineStr">
        <is>
          <t>Description</t>
        </is>
      </c>
      <c r="C3" s="21" t="inlineStr">
        <is>
          <t>Z-Spr (bp)</t>
        </is>
      </c>
      <c r="D3" s="21" t="inlineStr">
        <is>
          <t>Yrs</t>
        </is>
      </c>
      <c r="E3" s="21" t="inlineStr">
        <is>
          <t>Hazard rate (annual)</t>
        </is>
      </c>
      <c r="F3" s="21" t="inlineStr">
        <is>
          <t>Cum. PD over life</t>
        </is>
      </c>
      <c r="G3" s="21" t="inlineStr">
        <is>
          <t>Breakeven recovery (vs peers)</t>
        </is>
      </c>
      <c r="H3" s="21" t="inlineStr">
        <is>
          <t>Implied 5Y PD</t>
        </is>
      </c>
      <c r="I3" s="21" t="inlineStr">
        <is>
          <t>Tag</t>
        </is>
      </c>
    </row>
    <row r="4">
      <c r="A4" s="25">
        <f>Bonds_Static!A3</f>
        <v/>
      </c>
      <c r="B4" s="25">
        <f>Bonds_Static!C3</f>
        <v/>
      </c>
      <c r="C4" s="36">
        <f>IFERROR(Bonds_Live!L3,"")</f>
        <v/>
      </c>
      <c r="D4" s="26">
        <f>IFERROR(Bonds_Static!G3,"")</f>
        <v/>
      </c>
      <c r="E4" s="32">
        <f>IFERROR(IF(OR(C4="",$G$2=0),"",(C4/10000)/$G$2),"")</f>
        <v/>
      </c>
      <c r="F4" s="20">
        <f>IFERROR(IF(OR(E4="",D4=""),"",1-EXP(-E4*D4)),"")</f>
        <v/>
      </c>
      <c r="G4" s="20">
        <f>IFERROR(IF(C4="","",1-(C4/10000)/AVERAGE($E$4:$E$28)),"")</f>
        <v/>
      </c>
      <c r="H4" s="20">
        <f>IFERROR(IF(E4="","",1-EXP(-E4*5)),"")</f>
        <v/>
      </c>
      <c r="I4" s="10">
        <f>IFERROR(IF(G4="","",IF(G4&gt;$C$2+0.05,"RICHER than peers",IF(G4&lt;$C$2-0.05,"CHEAPER than peers","in line"))),"")</f>
        <v/>
      </c>
    </row>
    <row r="5">
      <c r="A5" s="25">
        <f>Bonds_Static!A4</f>
        <v/>
      </c>
      <c r="B5" s="25">
        <f>Bonds_Static!C4</f>
        <v/>
      </c>
      <c r="C5" s="36">
        <f>IFERROR(Bonds_Live!L4,"")</f>
        <v/>
      </c>
      <c r="D5" s="26">
        <f>IFERROR(Bonds_Static!G4,"")</f>
        <v/>
      </c>
      <c r="E5" s="32">
        <f>IFERROR(IF(OR(C5="",$G$2=0),"",(C5/10000)/$G$2),"")</f>
        <v/>
      </c>
      <c r="F5" s="20">
        <f>IFERROR(IF(OR(E5="",D5=""),"",1-EXP(-E5*D5)),"")</f>
        <v/>
      </c>
      <c r="G5" s="20">
        <f>IFERROR(IF(C5="","",1-(C5/10000)/AVERAGE($E$4:$E$28)),"")</f>
        <v/>
      </c>
      <c r="H5" s="20">
        <f>IFERROR(IF(E5="","",1-EXP(-E5*5)),"")</f>
        <v/>
      </c>
      <c r="I5" s="10">
        <f>IFERROR(IF(G5="","",IF(G5&gt;$C$2+0.05,"RICHER than peers",IF(G5&lt;$C$2-0.05,"CHEAPER than peers","in line"))),"")</f>
        <v/>
      </c>
    </row>
    <row r="6">
      <c r="A6" s="25">
        <f>Bonds_Static!A5</f>
        <v/>
      </c>
      <c r="B6" s="25">
        <f>Bonds_Static!C5</f>
        <v/>
      </c>
      <c r="C6" s="36">
        <f>IFERROR(Bonds_Live!L5,"")</f>
        <v/>
      </c>
      <c r="D6" s="26">
        <f>IFERROR(Bonds_Static!G5,"")</f>
        <v/>
      </c>
      <c r="E6" s="32">
        <f>IFERROR(IF(OR(C6="",$G$2=0),"",(C6/10000)/$G$2),"")</f>
        <v/>
      </c>
      <c r="F6" s="20">
        <f>IFERROR(IF(OR(E6="",D6=""),"",1-EXP(-E6*D6)),"")</f>
        <v/>
      </c>
      <c r="G6" s="20">
        <f>IFERROR(IF(C6="","",1-(C6/10000)/AVERAGE($E$4:$E$28)),"")</f>
        <v/>
      </c>
      <c r="H6" s="20">
        <f>IFERROR(IF(E6="","",1-EXP(-E6*5)),"")</f>
        <v/>
      </c>
      <c r="I6" s="10">
        <f>IFERROR(IF(G6="","",IF(G6&gt;$C$2+0.05,"RICHER than peers",IF(G6&lt;$C$2-0.05,"CHEAPER than peers","in line"))),"")</f>
        <v/>
      </c>
    </row>
    <row r="7">
      <c r="A7" s="25">
        <f>Bonds_Static!A6</f>
        <v/>
      </c>
      <c r="B7" s="25">
        <f>Bonds_Static!C6</f>
        <v/>
      </c>
      <c r="C7" s="36">
        <f>IFERROR(Bonds_Live!L6,"")</f>
        <v/>
      </c>
      <c r="D7" s="26">
        <f>IFERROR(Bonds_Static!G6,"")</f>
        <v/>
      </c>
      <c r="E7" s="32">
        <f>IFERROR(IF(OR(C7="",$G$2=0),"",(C7/10000)/$G$2),"")</f>
        <v/>
      </c>
      <c r="F7" s="20">
        <f>IFERROR(IF(OR(E7="",D7=""),"",1-EXP(-E7*D7)),"")</f>
        <v/>
      </c>
      <c r="G7" s="20">
        <f>IFERROR(IF(C7="","",1-(C7/10000)/AVERAGE($E$4:$E$28)),"")</f>
        <v/>
      </c>
      <c r="H7" s="20">
        <f>IFERROR(IF(E7="","",1-EXP(-E7*5)),"")</f>
        <v/>
      </c>
      <c r="I7" s="10">
        <f>IFERROR(IF(G7="","",IF(G7&gt;$C$2+0.05,"RICHER than peers",IF(G7&lt;$C$2-0.05,"CHEAPER than peers","in line"))),"")</f>
        <v/>
      </c>
    </row>
    <row r="8">
      <c r="A8" s="25">
        <f>Bonds_Static!A7</f>
        <v/>
      </c>
      <c r="B8" s="25">
        <f>Bonds_Static!C7</f>
        <v/>
      </c>
      <c r="C8" s="36">
        <f>IFERROR(Bonds_Live!L7,"")</f>
        <v/>
      </c>
      <c r="D8" s="26">
        <f>IFERROR(Bonds_Static!G7,"")</f>
        <v/>
      </c>
      <c r="E8" s="32">
        <f>IFERROR(IF(OR(C8="",$G$2=0),"",(C8/10000)/$G$2),"")</f>
        <v/>
      </c>
      <c r="F8" s="20">
        <f>IFERROR(IF(OR(E8="",D8=""),"",1-EXP(-E8*D8)),"")</f>
        <v/>
      </c>
      <c r="G8" s="20">
        <f>IFERROR(IF(C8="","",1-(C8/10000)/AVERAGE($E$4:$E$28)),"")</f>
        <v/>
      </c>
      <c r="H8" s="20">
        <f>IFERROR(IF(E8="","",1-EXP(-E8*5)),"")</f>
        <v/>
      </c>
      <c r="I8" s="10">
        <f>IFERROR(IF(G8="","",IF(G8&gt;$C$2+0.05,"RICHER than peers",IF(G8&lt;$C$2-0.05,"CHEAPER than peers","in line"))),"")</f>
        <v/>
      </c>
    </row>
    <row r="9">
      <c r="A9" s="25">
        <f>Bonds_Static!A8</f>
        <v/>
      </c>
      <c r="B9" s="25">
        <f>Bonds_Static!C8</f>
        <v/>
      </c>
      <c r="C9" s="36">
        <f>IFERROR(Bonds_Live!L8,"")</f>
        <v/>
      </c>
      <c r="D9" s="26">
        <f>IFERROR(Bonds_Static!G8,"")</f>
        <v/>
      </c>
      <c r="E9" s="32">
        <f>IFERROR(IF(OR(C9="",$G$2=0),"",(C9/10000)/$G$2),"")</f>
        <v/>
      </c>
      <c r="F9" s="20">
        <f>IFERROR(IF(OR(E9="",D9=""),"",1-EXP(-E9*D9)),"")</f>
        <v/>
      </c>
      <c r="G9" s="20">
        <f>IFERROR(IF(C9="","",1-(C9/10000)/AVERAGE($E$4:$E$28)),"")</f>
        <v/>
      </c>
      <c r="H9" s="20">
        <f>IFERROR(IF(E9="","",1-EXP(-E9*5)),"")</f>
        <v/>
      </c>
      <c r="I9" s="10">
        <f>IFERROR(IF(G9="","",IF(G9&gt;$C$2+0.05,"RICHER than peers",IF(G9&lt;$C$2-0.05,"CHEAPER than peers","in line"))),"")</f>
        <v/>
      </c>
    </row>
    <row r="10">
      <c r="A10" s="25">
        <f>Bonds_Static!A9</f>
        <v/>
      </c>
      <c r="B10" s="25">
        <f>Bonds_Static!C9</f>
        <v/>
      </c>
      <c r="C10" s="36">
        <f>IFERROR(Bonds_Live!L9,"")</f>
        <v/>
      </c>
      <c r="D10" s="26">
        <f>IFERROR(Bonds_Static!G9,"")</f>
        <v/>
      </c>
      <c r="E10" s="32">
        <f>IFERROR(IF(OR(C10="",$G$2=0),"",(C10/10000)/$G$2),"")</f>
        <v/>
      </c>
      <c r="F10" s="20">
        <f>IFERROR(IF(OR(E10="",D10=""),"",1-EXP(-E10*D10)),"")</f>
        <v/>
      </c>
      <c r="G10" s="20">
        <f>IFERROR(IF(C10="","",1-(C10/10000)/AVERAGE($E$4:$E$28)),"")</f>
        <v/>
      </c>
      <c r="H10" s="20">
        <f>IFERROR(IF(E10="","",1-EXP(-E10*5)),"")</f>
        <v/>
      </c>
      <c r="I10" s="10">
        <f>IFERROR(IF(G10="","",IF(G10&gt;$C$2+0.05,"RICHER than peers",IF(G10&lt;$C$2-0.05,"CHEAPER than peers","in line"))),"")</f>
        <v/>
      </c>
    </row>
    <row r="11">
      <c r="A11" s="25">
        <f>Bonds_Static!A10</f>
        <v/>
      </c>
      <c r="B11" s="25">
        <f>Bonds_Static!C10</f>
        <v/>
      </c>
      <c r="C11" s="36">
        <f>IFERROR(Bonds_Live!L10,"")</f>
        <v/>
      </c>
      <c r="D11" s="26">
        <f>IFERROR(Bonds_Static!G10,"")</f>
        <v/>
      </c>
      <c r="E11" s="32">
        <f>IFERROR(IF(OR(C11="",$G$2=0),"",(C11/10000)/$G$2),"")</f>
        <v/>
      </c>
      <c r="F11" s="20">
        <f>IFERROR(IF(OR(E11="",D11=""),"",1-EXP(-E11*D11)),"")</f>
        <v/>
      </c>
      <c r="G11" s="20">
        <f>IFERROR(IF(C11="","",1-(C11/10000)/AVERAGE($E$4:$E$28)),"")</f>
        <v/>
      </c>
      <c r="H11" s="20">
        <f>IFERROR(IF(E11="","",1-EXP(-E11*5)),"")</f>
        <v/>
      </c>
      <c r="I11" s="10">
        <f>IFERROR(IF(G11="","",IF(G11&gt;$C$2+0.05,"RICHER than peers",IF(G11&lt;$C$2-0.05,"CHEAPER than peers","in line"))),"")</f>
        <v/>
      </c>
    </row>
    <row r="12">
      <c r="A12" s="25">
        <f>Bonds_Static!A11</f>
        <v/>
      </c>
      <c r="B12" s="25">
        <f>Bonds_Static!C11</f>
        <v/>
      </c>
      <c r="C12" s="36">
        <f>IFERROR(Bonds_Live!L11,"")</f>
        <v/>
      </c>
      <c r="D12" s="26">
        <f>IFERROR(Bonds_Static!G11,"")</f>
        <v/>
      </c>
      <c r="E12" s="32">
        <f>IFERROR(IF(OR(C12="",$G$2=0),"",(C12/10000)/$G$2),"")</f>
        <v/>
      </c>
      <c r="F12" s="20">
        <f>IFERROR(IF(OR(E12="",D12=""),"",1-EXP(-E12*D12)),"")</f>
        <v/>
      </c>
      <c r="G12" s="20">
        <f>IFERROR(IF(C12="","",1-(C12/10000)/AVERAGE($E$4:$E$28)),"")</f>
        <v/>
      </c>
      <c r="H12" s="20">
        <f>IFERROR(IF(E12="","",1-EXP(-E12*5)),"")</f>
        <v/>
      </c>
      <c r="I12" s="10">
        <f>IFERROR(IF(G12="","",IF(G12&gt;$C$2+0.05,"RICHER than peers",IF(G12&lt;$C$2-0.05,"CHEAPER than peers","in line"))),"")</f>
        <v/>
      </c>
    </row>
    <row r="13">
      <c r="A13" s="25">
        <f>Bonds_Static!A12</f>
        <v/>
      </c>
      <c r="B13" s="25">
        <f>Bonds_Static!C12</f>
        <v/>
      </c>
      <c r="C13" s="36">
        <f>IFERROR(Bonds_Live!L12,"")</f>
        <v/>
      </c>
      <c r="D13" s="26">
        <f>IFERROR(Bonds_Static!G12,"")</f>
        <v/>
      </c>
      <c r="E13" s="32">
        <f>IFERROR(IF(OR(C13="",$G$2=0),"",(C13/10000)/$G$2),"")</f>
        <v/>
      </c>
      <c r="F13" s="20">
        <f>IFERROR(IF(OR(E13="",D13=""),"",1-EXP(-E13*D13)),"")</f>
        <v/>
      </c>
      <c r="G13" s="20">
        <f>IFERROR(IF(C13="","",1-(C13/10000)/AVERAGE($E$4:$E$28)),"")</f>
        <v/>
      </c>
      <c r="H13" s="20">
        <f>IFERROR(IF(E13="","",1-EXP(-E13*5)),"")</f>
        <v/>
      </c>
      <c r="I13" s="10">
        <f>IFERROR(IF(G13="","",IF(G13&gt;$C$2+0.05,"RICHER than peers",IF(G13&lt;$C$2-0.05,"CHEAPER than peers","in line"))),"")</f>
        <v/>
      </c>
    </row>
    <row r="14">
      <c r="A14" s="25">
        <f>Bonds_Static!A13</f>
        <v/>
      </c>
      <c r="B14" s="25">
        <f>Bonds_Static!C13</f>
        <v/>
      </c>
      <c r="C14" s="36">
        <f>IFERROR(Bonds_Live!L13,"")</f>
        <v/>
      </c>
      <c r="D14" s="26">
        <f>IFERROR(Bonds_Static!G13,"")</f>
        <v/>
      </c>
      <c r="E14" s="32">
        <f>IFERROR(IF(OR(C14="",$G$2=0),"",(C14/10000)/$G$2),"")</f>
        <v/>
      </c>
      <c r="F14" s="20">
        <f>IFERROR(IF(OR(E14="",D14=""),"",1-EXP(-E14*D14)),"")</f>
        <v/>
      </c>
      <c r="G14" s="20">
        <f>IFERROR(IF(C14="","",1-(C14/10000)/AVERAGE($E$4:$E$28)),"")</f>
        <v/>
      </c>
      <c r="H14" s="20">
        <f>IFERROR(IF(E14="","",1-EXP(-E14*5)),"")</f>
        <v/>
      </c>
      <c r="I14" s="10">
        <f>IFERROR(IF(G14="","",IF(G14&gt;$C$2+0.05,"RICHER than peers",IF(G14&lt;$C$2-0.05,"CHEAPER than peers","in line"))),"")</f>
        <v/>
      </c>
    </row>
    <row r="15">
      <c r="A15" s="25">
        <f>Bonds_Static!A14</f>
        <v/>
      </c>
      <c r="B15" s="25">
        <f>Bonds_Static!C14</f>
        <v/>
      </c>
      <c r="C15" s="36">
        <f>IFERROR(Bonds_Live!L14,"")</f>
        <v/>
      </c>
      <c r="D15" s="26">
        <f>IFERROR(Bonds_Static!G14,"")</f>
        <v/>
      </c>
      <c r="E15" s="32">
        <f>IFERROR(IF(OR(C15="",$G$2=0),"",(C15/10000)/$G$2),"")</f>
        <v/>
      </c>
      <c r="F15" s="20">
        <f>IFERROR(IF(OR(E15="",D15=""),"",1-EXP(-E15*D15)),"")</f>
        <v/>
      </c>
      <c r="G15" s="20">
        <f>IFERROR(IF(C15="","",1-(C15/10000)/AVERAGE($E$4:$E$28)),"")</f>
        <v/>
      </c>
      <c r="H15" s="20">
        <f>IFERROR(IF(E15="","",1-EXP(-E15*5)),"")</f>
        <v/>
      </c>
      <c r="I15" s="10">
        <f>IFERROR(IF(G15="","",IF(G15&gt;$C$2+0.05,"RICHER than peers",IF(G15&lt;$C$2-0.05,"CHEAPER than peers","in line"))),"")</f>
        <v/>
      </c>
    </row>
    <row r="16">
      <c r="A16" s="25">
        <f>Bonds_Static!A15</f>
        <v/>
      </c>
      <c r="B16" s="25">
        <f>Bonds_Static!C15</f>
        <v/>
      </c>
      <c r="C16" s="36">
        <f>IFERROR(Bonds_Live!L15,"")</f>
        <v/>
      </c>
      <c r="D16" s="26">
        <f>IFERROR(Bonds_Static!G15,"")</f>
        <v/>
      </c>
      <c r="E16" s="32">
        <f>IFERROR(IF(OR(C16="",$G$2=0),"",(C16/10000)/$G$2),"")</f>
        <v/>
      </c>
      <c r="F16" s="20">
        <f>IFERROR(IF(OR(E16="",D16=""),"",1-EXP(-E16*D16)),"")</f>
        <v/>
      </c>
      <c r="G16" s="20">
        <f>IFERROR(IF(C16="","",1-(C16/10000)/AVERAGE($E$4:$E$28)),"")</f>
        <v/>
      </c>
      <c r="H16" s="20">
        <f>IFERROR(IF(E16="","",1-EXP(-E16*5)),"")</f>
        <v/>
      </c>
      <c r="I16" s="10">
        <f>IFERROR(IF(G16="","",IF(G16&gt;$C$2+0.05,"RICHER than peers",IF(G16&lt;$C$2-0.05,"CHEAPER than peers","in line"))),"")</f>
        <v/>
      </c>
    </row>
    <row r="17">
      <c r="A17" s="25">
        <f>Bonds_Static!A16</f>
        <v/>
      </c>
      <c r="B17" s="25">
        <f>Bonds_Static!C16</f>
        <v/>
      </c>
      <c r="C17" s="36">
        <f>IFERROR(Bonds_Live!L16,"")</f>
        <v/>
      </c>
      <c r="D17" s="26">
        <f>IFERROR(Bonds_Static!G16,"")</f>
        <v/>
      </c>
      <c r="E17" s="32">
        <f>IFERROR(IF(OR(C17="",$G$2=0),"",(C17/10000)/$G$2),"")</f>
        <v/>
      </c>
      <c r="F17" s="20">
        <f>IFERROR(IF(OR(E17="",D17=""),"",1-EXP(-E17*D17)),"")</f>
        <v/>
      </c>
      <c r="G17" s="20">
        <f>IFERROR(IF(C17="","",1-(C17/10000)/AVERAGE($E$4:$E$28)),"")</f>
        <v/>
      </c>
      <c r="H17" s="20">
        <f>IFERROR(IF(E17="","",1-EXP(-E17*5)),"")</f>
        <v/>
      </c>
      <c r="I17" s="10">
        <f>IFERROR(IF(G17="","",IF(G17&gt;$C$2+0.05,"RICHER than peers",IF(G17&lt;$C$2-0.05,"CHEAPER than peers","in line"))),"")</f>
        <v/>
      </c>
    </row>
    <row r="18">
      <c r="A18" s="25">
        <f>Bonds_Static!A17</f>
        <v/>
      </c>
      <c r="B18" s="25">
        <f>Bonds_Static!C17</f>
        <v/>
      </c>
      <c r="C18" s="36">
        <f>IFERROR(Bonds_Live!L17,"")</f>
        <v/>
      </c>
      <c r="D18" s="26">
        <f>IFERROR(Bonds_Static!G17,"")</f>
        <v/>
      </c>
      <c r="E18" s="32">
        <f>IFERROR(IF(OR(C18="",$G$2=0),"",(C18/10000)/$G$2),"")</f>
        <v/>
      </c>
      <c r="F18" s="20">
        <f>IFERROR(IF(OR(E18="",D18=""),"",1-EXP(-E18*D18)),"")</f>
        <v/>
      </c>
      <c r="G18" s="20">
        <f>IFERROR(IF(C18="","",1-(C18/10000)/AVERAGE($E$4:$E$28)),"")</f>
        <v/>
      </c>
      <c r="H18" s="20">
        <f>IFERROR(IF(E18="","",1-EXP(-E18*5)),"")</f>
        <v/>
      </c>
      <c r="I18" s="10">
        <f>IFERROR(IF(G18="","",IF(G18&gt;$C$2+0.05,"RICHER than peers",IF(G18&lt;$C$2-0.05,"CHEAPER than peers","in line"))),"")</f>
        <v/>
      </c>
    </row>
    <row r="19">
      <c r="A19" s="25">
        <f>Bonds_Static!A18</f>
        <v/>
      </c>
      <c r="B19" s="25">
        <f>Bonds_Static!C18</f>
        <v/>
      </c>
      <c r="C19" s="36">
        <f>IFERROR(Bonds_Live!L18,"")</f>
        <v/>
      </c>
      <c r="D19" s="26">
        <f>IFERROR(Bonds_Static!G18,"")</f>
        <v/>
      </c>
      <c r="E19" s="32">
        <f>IFERROR(IF(OR(C19="",$G$2=0),"",(C19/10000)/$G$2),"")</f>
        <v/>
      </c>
      <c r="F19" s="20">
        <f>IFERROR(IF(OR(E19="",D19=""),"",1-EXP(-E19*D19)),"")</f>
        <v/>
      </c>
      <c r="G19" s="20">
        <f>IFERROR(IF(C19="","",1-(C19/10000)/AVERAGE($E$4:$E$28)),"")</f>
        <v/>
      </c>
      <c r="H19" s="20">
        <f>IFERROR(IF(E19="","",1-EXP(-E19*5)),"")</f>
        <v/>
      </c>
      <c r="I19" s="10">
        <f>IFERROR(IF(G19="","",IF(G19&gt;$C$2+0.05,"RICHER than peers",IF(G19&lt;$C$2-0.05,"CHEAPER than peers","in line"))),"")</f>
        <v/>
      </c>
    </row>
    <row r="20">
      <c r="A20" s="25">
        <f>Bonds_Static!A19</f>
        <v/>
      </c>
      <c r="B20" s="25">
        <f>Bonds_Static!C19</f>
        <v/>
      </c>
      <c r="C20" s="36">
        <f>IFERROR(Bonds_Live!L19,"")</f>
        <v/>
      </c>
      <c r="D20" s="26">
        <f>IFERROR(Bonds_Static!G19,"")</f>
        <v/>
      </c>
      <c r="E20" s="32">
        <f>IFERROR(IF(OR(C20="",$G$2=0),"",(C20/10000)/$G$2),"")</f>
        <v/>
      </c>
      <c r="F20" s="20">
        <f>IFERROR(IF(OR(E20="",D20=""),"",1-EXP(-E20*D20)),"")</f>
        <v/>
      </c>
      <c r="G20" s="20">
        <f>IFERROR(IF(C20="","",1-(C20/10000)/AVERAGE($E$4:$E$28)),"")</f>
        <v/>
      </c>
      <c r="H20" s="20">
        <f>IFERROR(IF(E20="","",1-EXP(-E20*5)),"")</f>
        <v/>
      </c>
      <c r="I20" s="10">
        <f>IFERROR(IF(G20="","",IF(G20&gt;$C$2+0.05,"RICHER than peers",IF(G20&lt;$C$2-0.05,"CHEAPER than peers","in line"))),"")</f>
        <v/>
      </c>
    </row>
    <row r="21">
      <c r="A21" s="25">
        <f>Bonds_Static!A20</f>
        <v/>
      </c>
      <c r="B21" s="25">
        <f>Bonds_Static!C20</f>
        <v/>
      </c>
      <c r="C21" s="36">
        <f>IFERROR(Bonds_Live!L20,"")</f>
        <v/>
      </c>
      <c r="D21" s="26">
        <f>IFERROR(Bonds_Static!G20,"")</f>
        <v/>
      </c>
      <c r="E21" s="32">
        <f>IFERROR(IF(OR(C21="",$G$2=0),"",(C21/10000)/$G$2),"")</f>
        <v/>
      </c>
      <c r="F21" s="20">
        <f>IFERROR(IF(OR(E21="",D21=""),"",1-EXP(-E21*D21)),"")</f>
        <v/>
      </c>
      <c r="G21" s="20">
        <f>IFERROR(IF(C21="","",1-(C21/10000)/AVERAGE($E$4:$E$28)),"")</f>
        <v/>
      </c>
      <c r="H21" s="20">
        <f>IFERROR(IF(E21="","",1-EXP(-E21*5)),"")</f>
        <v/>
      </c>
      <c r="I21" s="10">
        <f>IFERROR(IF(G21="","",IF(G21&gt;$C$2+0.05,"RICHER than peers",IF(G21&lt;$C$2-0.05,"CHEAPER than peers","in line"))),"")</f>
        <v/>
      </c>
    </row>
    <row r="22">
      <c r="A22" s="25">
        <f>Bonds_Static!A21</f>
        <v/>
      </c>
      <c r="B22" s="25">
        <f>Bonds_Static!C21</f>
        <v/>
      </c>
      <c r="C22" s="36">
        <f>IFERROR(Bonds_Live!L21,"")</f>
        <v/>
      </c>
      <c r="D22" s="26">
        <f>IFERROR(Bonds_Static!G21,"")</f>
        <v/>
      </c>
      <c r="E22" s="32">
        <f>IFERROR(IF(OR(C22="",$G$2=0),"",(C22/10000)/$G$2),"")</f>
        <v/>
      </c>
      <c r="F22" s="20">
        <f>IFERROR(IF(OR(E22="",D22=""),"",1-EXP(-E22*D22)),"")</f>
        <v/>
      </c>
      <c r="G22" s="20">
        <f>IFERROR(IF(C22="","",1-(C22/10000)/AVERAGE($E$4:$E$28)),"")</f>
        <v/>
      </c>
      <c r="H22" s="20">
        <f>IFERROR(IF(E22="","",1-EXP(-E22*5)),"")</f>
        <v/>
      </c>
      <c r="I22" s="10">
        <f>IFERROR(IF(G22="","",IF(G22&gt;$C$2+0.05,"RICHER than peers",IF(G22&lt;$C$2-0.05,"CHEAPER than peers","in line"))),"")</f>
        <v/>
      </c>
    </row>
    <row r="23">
      <c r="A23" s="25">
        <f>Bonds_Static!A22</f>
        <v/>
      </c>
      <c r="B23" s="25">
        <f>Bonds_Static!C22</f>
        <v/>
      </c>
      <c r="C23" s="36">
        <f>IFERROR(Bonds_Live!L22,"")</f>
        <v/>
      </c>
      <c r="D23" s="26">
        <f>IFERROR(Bonds_Static!G22,"")</f>
        <v/>
      </c>
      <c r="E23" s="32">
        <f>IFERROR(IF(OR(C23="",$G$2=0),"",(C23/10000)/$G$2),"")</f>
        <v/>
      </c>
      <c r="F23" s="20">
        <f>IFERROR(IF(OR(E23="",D23=""),"",1-EXP(-E23*D23)),"")</f>
        <v/>
      </c>
      <c r="G23" s="20">
        <f>IFERROR(IF(C23="","",1-(C23/10000)/AVERAGE($E$4:$E$28)),"")</f>
        <v/>
      </c>
      <c r="H23" s="20">
        <f>IFERROR(IF(E23="","",1-EXP(-E23*5)),"")</f>
        <v/>
      </c>
      <c r="I23" s="10">
        <f>IFERROR(IF(G23="","",IF(G23&gt;$C$2+0.05,"RICHER than peers",IF(G23&lt;$C$2-0.05,"CHEAPER than peers","in line"))),"")</f>
        <v/>
      </c>
    </row>
    <row r="24">
      <c r="A24" s="25">
        <f>Bonds_Static!A23</f>
        <v/>
      </c>
      <c r="B24" s="25">
        <f>Bonds_Static!C23</f>
        <v/>
      </c>
      <c r="C24" s="36">
        <f>IFERROR(Bonds_Live!L23,"")</f>
        <v/>
      </c>
      <c r="D24" s="26">
        <f>IFERROR(Bonds_Static!G23,"")</f>
        <v/>
      </c>
      <c r="E24" s="32">
        <f>IFERROR(IF(OR(C24="",$G$2=0),"",(C24/10000)/$G$2),"")</f>
        <v/>
      </c>
      <c r="F24" s="20">
        <f>IFERROR(IF(OR(E24="",D24=""),"",1-EXP(-E24*D24)),"")</f>
        <v/>
      </c>
      <c r="G24" s="20">
        <f>IFERROR(IF(C24="","",1-(C24/10000)/AVERAGE($E$4:$E$28)),"")</f>
        <v/>
      </c>
      <c r="H24" s="20">
        <f>IFERROR(IF(E24="","",1-EXP(-E24*5)),"")</f>
        <v/>
      </c>
      <c r="I24" s="10">
        <f>IFERROR(IF(G24="","",IF(G24&gt;$C$2+0.05,"RICHER than peers",IF(G24&lt;$C$2-0.05,"CHEAPER than peers","in line"))),"")</f>
        <v/>
      </c>
    </row>
    <row r="25">
      <c r="A25" s="25">
        <f>Bonds_Static!A24</f>
        <v/>
      </c>
      <c r="B25" s="25">
        <f>Bonds_Static!C24</f>
        <v/>
      </c>
      <c r="C25" s="36">
        <f>IFERROR(Bonds_Live!L24,"")</f>
        <v/>
      </c>
      <c r="D25" s="26">
        <f>IFERROR(Bonds_Static!G24,"")</f>
        <v/>
      </c>
      <c r="E25" s="32">
        <f>IFERROR(IF(OR(C25="",$G$2=0),"",(C25/10000)/$G$2),"")</f>
        <v/>
      </c>
      <c r="F25" s="20">
        <f>IFERROR(IF(OR(E25="",D25=""),"",1-EXP(-E25*D25)),"")</f>
        <v/>
      </c>
      <c r="G25" s="20">
        <f>IFERROR(IF(C25="","",1-(C25/10000)/AVERAGE($E$4:$E$28)),"")</f>
        <v/>
      </c>
      <c r="H25" s="20">
        <f>IFERROR(IF(E25="","",1-EXP(-E25*5)),"")</f>
        <v/>
      </c>
      <c r="I25" s="10">
        <f>IFERROR(IF(G25="","",IF(G25&gt;$C$2+0.05,"RICHER than peers",IF(G25&lt;$C$2-0.05,"CHEAPER than peers","in line"))),"")</f>
        <v/>
      </c>
    </row>
    <row r="26">
      <c r="A26" s="25">
        <f>Bonds_Static!A25</f>
        <v/>
      </c>
      <c r="B26" s="25">
        <f>Bonds_Static!C25</f>
        <v/>
      </c>
      <c r="C26" s="36">
        <f>IFERROR(Bonds_Live!L25,"")</f>
        <v/>
      </c>
      <c r="D26" s="26">
        <f>IFERROR(Bonds_Static!G25,"")</f>
        <v/>
      </c>
      <c r="E26" s="32">
        <f>IFERROR(IF(OR(C26="",$G$2=0),"",(C26/10000)/$G$2),"")</f>
        <v/>
      </c>
      <c r="F26" s="20">
        <f>IFERROR(IF(OR(E26="",D26=""),"",1-EXP(-E26*D26)),"")</f>
        <v/>
      </c>
      <c r="G26" s="20">
        <f>IFERROR(IF(C26="","",1-(C26/10000)/AVERAGE($E$4:$E$28)),"")</f>
        <v/>
      </c>
      <c r="H26" s="20">
        <f>IFERROR(IF(E26="","",1-EXP(-E26*5)),"")</f>
        <v/>
      </c>
      <c r="I26" s="10">
        <f>IFERROR(IF(G26="","",IF(G26&gt;$C$2+0.05,"RICHER than peers",IF(G26&lt;$C$2-0.05,"CHEAPER than peers","in line"))),"")</f>
        <v/>
      </c>
    </row>
    <row r="27">
      <c r="A27" s="25">
        <f>Bonds_Static!A26</f>
        <v/>
      </c>
      <c r="B27" s="25">
        <f>Bonds_Static!C26</f>
        <v/>
      </c>
      <c r="C27" s="36">
        <f>IFERROR(Bonds_Live!L26,"")</f>
        <v/>
      </c>
      <c r="D27" s="26">
        <f>IFERROR(Bonds_Static!G26,"")</f>
        <v/>
      </c>
      <c r="E27" s="32">
        <f>IFERROR(IF(OR(C27="",$G$2=0),"",(C27/10000)/$G$2),"")</f>
        <v/>
      </c>
      <c r="F27" s="20">
        <f>IFERROR(IF(OR(E27="",D27=""),"",1-EXP(-E27*D27)),"")</f>
        <v/>
      </c>
      <c r="G27" s="20">
        <f>IFERROR(IF(C27="","",1-(C27/10000)/AVERAGE($E$4:$E$28)),"")</f>
        <v/>
      </c>
      <c r="H27" s="20">
        <f>IFERROR(IF(E27="","",1-EXP(-E27*5)),"")</f>
        <v/>
      </c>
      <c r="I27" s="10">
        <f>IFERROR(IF(G27="","",IF(G27&gt;$C$2+0.05,"RICHER than peers",IF(G27&lt;$C$2-0.05,"CHEAPER than peers","in line"))),"")</f>
        <v/>
      </c>
    </row>
    <row r="28">
      <c r="A28" s="25">
        <f>Bonds_Static!A27</f>
        <v/>
      </c>
      <c r="B28" s="25">
        <f>Bonds_Static!C27</f>
        <v/>
      </c>
      <c r="C28" s="36">
        <f>IFERROR(Bonds_Live!L27,"")</f>
        <v/>
      </c>
      <c r="D28" s="26">
        <f>IFERROR(Bonds_Static!G27,"")</f>
        <v/>
      </c>
      <c r="E28" s="32">
        <f>IFERROR(IF(OR(C28="",$G$2=0),"",(C28/10000)/$G$2),"")</f>
        <v/>
      </c>
      <c r="F28" s="20">
        <f>IFERROR(IF(OR(E28="",D28=""),"",1-EXP(-E28*D28)),"")</f>
        <v/>
      </c>
      <c r="G28" s="20">
        <f>IFERROR(IF(C28="","",1-(C28/10000)/AVERAGE($E$4:$E$28)),"")</f>
        <v/>
      </c>
      <c r="H28" s="20">
        <f>IFERROR(IF(E28="","",1-EXP(-E28*5)),"")</f>
        <v/>
      </c>
      <c r="I28" s="10">
        <f>IFERROR(IF(G28="","",IF(G28&gt;$C$2+0.05,"RICHER than peers",IF(G28&lt;$C$2-0.05,"CHEAPER than peers","in line"))),"")</f>
        <v/>
      </c>
    </row>
  </sheetData>
  <mergeCells count="3">
    <mergeCell ref="A1:I1"/>
    <mergeCell ref="D2:F2"/>
    <mergeCell ref="A2:B2"/>
  </mergeCells>
  <conditionalFormatting sqref="G4:G28">
    <cfRule type="colorScale" priority="1">
      <colorScale>
        <cfvo type="min"/>
        <cfvo type="num" val="0.3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A1" s="5" t="inlineStr">
        <is>
          <t>Total-Return Scenarios — 12M horizon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7" t="n"/>
    </row>
    <row r="2" ht="36" customHeight="1">
      <c r="A2" s="21" t="inlineStr">
        <is>
          <t>ISIN</t>
        </is>
      </c>
      <c r="B2" s="21" t="inlineStr">
        <is>
          <t>Description</t>
        </is>
      </c>
      <c r="C2" s="21" t="inlineStr">
        <is>
          <t>τ (yrs)</t>
        </is>
      </c>
      <c r="D2" s="21" t="inlineStr">
        <is>
          <t>C+R 12M (%)</t>
        </is>
      </c>
      <c r="E2" s="21" t="inlineStr">
        <is>
          <t>ΔUST -100|Δspr -100</t>
        </is>
      </c>
      <c r="F2" s="21" t="inlineStr">
        <is>
          <t>ΔUST -100|Δspr -50</t>
        </is>
      </c>
      <c r="G2" s="21" t="inlineStr">
        <is>
          <t>ΔUST -100|Δspr +0</t>
        </is>
      </c>
      <c r="H2" s="21" t="inlineStr">
        <is>
          <t>ΔUST -100|Δspr +50</t>
        </is>
      </c>
      <c r="I2" s="21" t="inlineStr">
        <is>
          <t>ΔUST -100|Δspr +100</t>
        </is>
      </c>
      <c r="J2" s="21" t="inlineStr">
        <is>
          <t>ΔUST -50|Δspr -100</t>
        </is>
      </c>
      <c r="K2" s="21" t="inlineStr">
        <is>
          <t>ΔUST -50|Δspr -50</t>
        </is>
      </c>
      <c r="L2" s="21" t="inlineStr">
        <is>
          <t>ΔUST -50|Δspr +0</t>
        </is>
      </c>
      <c r="M2" s="21" t="inlineStr">
        <is>
          <t>ΔUST -50|Δspr +50</t>
        </is>
      </c>
      <c r="N2" s="21" t="inlineStr">
        <is>
          <t>ΔUST -50|Δspr +100</t>
        </is>
      </c>
      <c r="O2" s="21" t="inlineStr">
        <is>
          <t>ΔUST +0|Δspr -100</t>
        </is>
      </c>
      <c r="P2" s="21" t="inlineStr">
        <is>
          <t>ΔUST +0|Δspr -50</t>
        </is>
      </c>
      <c r="Q2" s="21" t="inlineStr">
        <is>
          <t>ΔUST +0|Δspr +0</t>
        </is>
      </c>
      <c r="R2" s="21" t="inlineStr">
        <is>
          <t>ΔUST +0|Δspr +50</t>
        </is>
      </c>
      <c r="S2" s="21" t="inlineStr">
        <is>
          <t>ΔUST +0|Δspr +100</t>
        </is>
      </c>
      <c r="T2" s="21" t="inlineStr">
        <is>
          <t>ΔUST +50|Δspr -100</t>
        </is>
      </c>
      <c r="U2" s="21" t="inlineStr">
        <is>
          <t>ΔUST +50|Δspr -50</t>
        </is>
      </c>
      <c r="V2" s="21" t="inlineStr">
        <is>
          <t>ΔUST +50|Δspr +0</t>
        </is>
      </c>
      <c r="W2" s="21" t="inlineStr">
        <is>
          <t>ΔUST +50|Δspr +50</t>
        </is>
      </c>
      <c r="X2" s="21" t="inlineStr">
        <is>
          <t>ΔUST +50|Δspr +100</t>
        </is>
      </c>
      <c r="Y2" s="21" t="inlineStr">
        <is>
          <t>ΔUST +100|Δspr -100</t>
        </is>
      </c>
      <c r="Z2" s="21" t="inlineStr">
        <is>
          <t>ΔUST +100|Δspr -50</t>
        </is>
      </c>
      <c r="AA2" s="21" t="inlineStr">
        <is>
          <t>ΔUST +100|Δspr +0</t>
        </is>
      </c>
      <c r="AB2" s="21" t="inlineStr">
        <is>
          <t>ΔUST +100|Δspr +50</t>
        </is>
      </c>
      <c r="AC2" s="21" t="inlineStr">
        <is>
          <t>ΔUST +100|Δspr +100</t>
        </is>
      </c>
    </row>
    <row r="3">
      <c r="A3" s="30" t="inlineStr"/>
      <c r="B3" s="30" t="inlineStr"/>
      <c r="C3" s="30" t="inlineStr"/>
      <c r="D3" s="30" t="inlineStr"/>
      <c r="E3" s="30" t="inlineStr"/>
      <c r="F3" s="30" t="inlineStr"/>
      <c r="G3" s="30" t="inlineStr"/>
      <c r="H3" s="30" t="inlineStr"/>
      <c r="I3" s="30" t="inlineStr"/>
      <c r="J3" s="30" t="inlineStr"/>
      <c r="K3" s="30" t="inlineStr"/>
      <c r="L3" s="30" t="inlineStr"/>
      <c r="M3" s="30" t="inlineStr"/>
      <c r="N3" s="30" t="inlineStr"/>
      <c r="O3" s="30" t="inlineStr"/>
      <c r="P3" s="30" t="inlineStr"/>
      <c r="Q3" s="30" t="inlineStr"/>
      <c r="R3" s="30" t="inlineStr"/>
      <c r="S3" s="30" t="inlineStr"/>
      <c r="T3" s="30" t="inlineStr"/>
      <c r="U3" s="30" t="inlineStr"/>
      <c r="V3" s="30" t="inlineStr"/>
      <c r="W3" s="30" t="inlineStr"/>
      <c r="X3" s="30" t="inlineStr"/>
      <c r="Y3" s="30" t="inlineStr"/>
      <c r="Z3" s="30" t="inlineStr"/>
      <c r="AA3" s="30" t="inlineStr"/>
      <c r="AB3" s="30" t="inlineStr"/>
      <c r="AC3" s="30" t="inlineStr"/>
    </row>
    <row r="4">
      <c r="A4" s="25">
        <f>Bonds_Static!A2</f>
        <v/>
      </c>
      <c r="B4" s="25">
        <f>Bonds_Static!C2</f>
        <v/>
      </c>
      <c r="C4" s="26">
        <f>IFERROR(Bonds_Static!G2,"")</f>
        <v/>
      </c>
      <c r="D4" s="36">
        <f>IFERROR(Carry_Roll!M2,"")</f>
        <v/>
      </c>
      <c r="E4" s="16">
        <f>IFERROR(IF(OR(D4="",Bonds_Live!Q2="",Bonds_Live!S2=""),"",D4 + (-Bonds_Live!Q2*(-200)/100 + Bonds_Live!S2*POWER(-200,2)/2000000)),"")</f>
        <v/>
      </c>
      <c r="F4" s="16">
        <f>IFERROR(IF(OR(D4="",Bonds_Live!Q2="",Bonds_Live!S2=""),"",D4 + (-Bonds_Live!Q2*(-150)/100 + Bonds_Live!S2*POWER(-150,2)/2000000)),"")</f>
        <v/>
      </c>
      <c r="G4" s="16">
        <f>IFERROR(IF(OR(D4="",Bonds_Live!Q2="",Bonds_Live!S2=""),"",D4 + (-Bonds_Live!Q2*(-100)/100 + Bonds_Live!S2*POWER(-100,2)/2000000)),"")</f>
        <v/>
      </c>
      <c r="H4" s="16">
        <f>IFERROR(IF(OR(D4="",Bonds_Live!Q2="",Bonds_Live!S2=""),"",D4 + (-Bonds_Live!Q2*(-50)/100 + Bonds_Live!S2*POWER(-50,2)/2000000)),"")</f>
        <v/>
      </c>
      <c r="I4" s="16">
        <f>IFERROR(IF(OR(D4="",Bonds_Live!Q2="",Bonds_Live!S2=""),"",D4 + (-Bonds_Live!Q2*(0)/100 + Bonds_Live!S2*POWER(0,2)/2000000)),"")</f>
        <v/>
      </c>
      <c r="J4" s="16">
        <f>IFERROR(IF(OR(D4="",Bonds_Live!Q2="",Bonds_Live!S2=""),"",D4 + (-Bonds_Live!Q2*(-150)/100 + Bonds_Live!S2*POWER(-150,2)/2000000)),"")</f>
        <v/>
      </c>
      <c r="K4" s="16">
        <f>IFERROR(IF(OR(D4="",Bonds_Live!Q2="",Bonds_Live!S2=""),"",D4 + (-Bonds_Live!Q2*(-100)/100 + Bonds_Live!S2*POWER(-100,2)/2000000)),"")</f>
        <v/>
      </c>
      <c r="L4" s="16">
        <f>IFERROR(IF(OR(D4="",Bonds_Live!Q2="",Bonds_Live!S2=""),"",D4 + (-Bonds_Live!Q2*(-50)/100 + Bonds_Live!S2*POWER(-50,2)/2000000)),"")</f>
        <v/>
      </c>
      <c r="M4" s="16">
        <f>IFERROR(IF(OR(D4="",Bonds_Live!Q2="",Bonds_Live!S2=""),"",D4 + (-Bonds_Live!Q2*(0)/100 + Bonds_Live!S2*POWER(0,2)/2000000)),"")</f>
        <v/>
      </c>
      <c r="N4" s="16">
        <f>IFERROR(IF(OR(D4="",Bonds_Live!Q2="",Bonds_Live!S2=""),"",D4 + (-Bonds_Live!Q2*(50)/100 + Bonds_Live!S2*POWER(50,2)/2000000)),"")</f>
        <v/>
      </c>
      <c r="O4" s="16">
        <f>IFERROR(IF(OR(D4="",Bonds_Live!Q2="",Bonds_Live!S2=""),"",D4 + (-Bonds_Live!Q2*(-100)/100 + Bonds_Live!S2*POWER(-100,2)/2000000)),"")</f>
        <v/>
      </c>
      <c r="P4" s="16">
        <f>IFERROR(IF(OR(D4="",Bonds_Live!Q2="",Bonds_Live!S2=""),"",D4 + (-Bonds_Live!Q2*(-50)/100 + Bonds_Live!S2*POWER(-50,2)/2000000)),"")</f>
        <v/>
      </c>
      <c r="Q4" s="16">
        <f>IFERROR(IF(OR(D4="",Bonds_Live!Q2="",Bonds_Live!S2=""),"",D4 + (-Bonds_Live!Q2*(0)/100 + Bonds_Live!S2*POWER(0,2)/2000000)),"")</f>
        <v/>
      </c>
      <c r="R4" s="16">
        <f>IFERROR(IF(OR(D4="",Bonds_Live!Q2="",Bonds_Live!S2=""),"",D4 + (-Bonds_Live!Q2*(50)/100 + Bonds_Live!S2*POWER(50,2)/2000000)),"")</f>
        <v/>
      </c>
      <c r="S4" s="16">
        <f>IFERROR(IF(OR(D4="",Bonds_Live!Q2="",Bonds_Live!S2=""),"",D4 + (-Bonds_Live!Q2*(100)/100 + Bonds_Live!S2*POWER(100,2)/2000000)),"")</f>
        <v/>
      </c>
      <c r="T4" s="16">
        <f>IFERROR(IF(OR(D4="",Bonds_Live!Q2="",Bonds_Live!S2=""),"",D4 + (-Bonds_Live!Q2*(-50)/100 + Bonds_Live!S2*POWER(-50,2)/2000000)),"")</f>
        <v/>
      </c>
      <c r="U4" s="16">
        <f>IFERROR(IF(OR(D4="",Bonds_Live!Q2="",Bonds_Live!S2=""),"",D4 + (-Bonds_Live!Q2*(0)/100 + Bonds_Live!S2*POWER(0,2)/2000000)),"")</f>
        <v/>
      </c>
      <c r="V4" s="16">
        <f>IFERROR(IF(OR(D4="",Bonds_Live!Q2="",Bonds_Live!S2=""),"",D4 + (-Bonds_Live!Q2*(50)/100 + Bonds_Live!S2*POWER(50,2)/2000000)),"")</f>
        <v/>
      </c>
      <c r="W4" s="16">
        <f>IFERROR(IF(OR(D4="",Bonds_Live!Q2="",Bonds_Live!S2=""),"",D4 + (-Bonds_Live!Q2*(100)/100 + Bonds_Live!S2*POWER(100,2)/2000000)),"")</f>
        <v/>
      </c>
      <c r="X4" s="16">
        <f>IFERROR(IF(OR(D4="",Bonds_Live!Q2="",Bonds_Live!S2=""),"",D4 + (-Bonds_Live!Q2*(150)/100 + Bonds_Live!S2*POWER(150,2)/2000000)),"")</f>
        <v/>
      </c>
      <c r="Y4" s="16">
        <f>IFERROR(IF(OR(D4="",Bonds_Live!Q2="",Bonds_Live!S2=""),"",D4 + (-Bonds_Live!Q2*(0)/100 + Bonds_Live!S2*POWER(0,2)/2000000)),"")</f>
        <v/>
      </c>
      <c r="Z4" s="16">
        <f>IFERROR(IF(OR(D4="",Bonds_Live!Q2="",Bonds_Live!S2=""),"",D4 + (-Bonds_Live!Q2*(50)/100 + Bonds_Live!S2*POWER(50,2)/2000000)),"")</f>
        <v/>
      </c>
      <c r="AA4" s="16">
        <f>IFERROR(IF(OR(D4="",Bonds_Live!Q2="",Bonds_Live!S2=""),"",D4 + (-Bonds_Live!Q2*(100)/100 + Bonds_Live!S2*POWER(100,2)/2000000)),"")</f>
        <v/>
      </c>
      <c r="AB4" s="16">
        <f>IFERROR(IF(OR(D4="",Bonds_Live!Q2="",Bonds_Live!S2=""),"",D4 + (-Bonds_Live!Q2*(150)/100 + Bonds_Live!S2*POWER(150,2)/2000000)),"")</f>
        <v/>
      </c>
      <c r="AC4" s="16">
        <f>IFERROR(IF(OR(D4="",Bonds_Live!Q2="",Bonds_Live!S2=""),"",D4 + (-Bonds_Live!Q2*(200)/100 + Bonds_Live!S2*POWER(200,2)/2000000)),"")</f>
        <v/>
      </c>
    </row>
    <row r="5">
      <c r="A5" s="25">
        <f>Bonds_Static!A3</f>
        <v/>
      </c>
      <c r="B5" s="25">
        <f>Bonds_Static!C3</f>
        <v/>
      </c>
      <c r="C5" s="26">
        <f>IFERROR(Bonds_Static!G3,"")</f>
        <v/>
      </c>
      <c r="D5" s="36">
        <f>IFERROR(Carry_Roll!M3,"")</f>
        <v/>
      </c>
      <c r="E5" s="16">
        <f>IFERROR(IF(OR(D5="",Bonds_Live!Q3="",Bonds_Live!S3=""),"",D5 + (-Bonds_Live!Q3*(-200)/100 + Bonds_Live!S3*POWER(-200,2)/2000000)),"")</f>
        <v/>
      </c>
      <c r="F5" s="16">
        <f>IFERROR(IF(OR(D5="",Bonds_Live!Q3="",Bonds_Live!S3=""),"",D5 + (-Bonds_Live!Q3*(-150)/100 + Bonds_Live!S3*POWER(-150,2)/2000000)),"")</f>
        <v/>
      </c>
      <c r="G5" s="16">
        <f>IFERROR(IF(OR(D5="",Bonds_Live!Q3="",Bonds_Live!S3=""),"",D5 + (-Bonds_Live!Q3*(-100)/100 + Bonds_Live!S3*POWER(-100,2)/2000000)),"")</f>
        <v/>
      </c>
      <c r="H5" s="16">
        <f>IFERROR(IF(OR(D5="",Bonds_Live!Q3="",Bonds_Live!S3=""),"",D5 + (-Bonds_Live!Q3*(-50)/100 + Bonds_Live!S3*POWER(-50,2)/2000000)),"")</f>
        <v/>
      </c>
      <c r="I5" s="16">
        <f>IFERROR(IF(OR(D5="",Bonds_Live!Q3="",Bonds_Live!S3=""),"",D5 + (-Bonds_Live!Q3*(0)/100 + Bonds_Live!S3*POWER(0,2)/2000000)),"")</f>
        <v/>
      </c>
      <c r="J5" s="16">
        <f>IFERROR(IF(OR(D5="",Bonds_Live!Q3="",Bonds_Live!S3=""),"",D5 + (-Bonds_Live!Q3*(-150)/100 + Bonds_Live!S3*POWER(-150,2)/2000000)),"")</f>
        <v/>
      </c>
      <c r="K5" s="16">
        <f>IFERROR(IF(OR(D5="",Bonds_Live!Q3="",Bonds_Live!S3=""),"",D5 + (-Bonds_Live!Q3*(-100)/100 + Bonds_Live!S3*POWER(-100,2)/2000000)),"")</f>
        <v/>
      </c>
      <c r="L5" s="16">
        <f>IFERROR(IF(OR(D5="",Bonds_Live!Q3="",Bonds_Live!S3=""),"",D5 + (-Bonds_Live!Q3*(-50)/100 + Bonds_Live!S3*POWER(-50,2)/2000000)),"")</f>
        <v/>
      </c>
      <c r="M5" s="16">
        <f>IFERROR(IF(OR(D5="",Bonds_Live!Q3="",Bonds_Live!S3=""),"",D5 + (-Bonds_Live!Q3*(0)/100 + Bonds_Live!S3*POWER(0,2)/2000000)),"")</f>
        <v/>
      </c>
      <c r="N5" s="16">
        <f>IFERROR(IF(OR(D5="",Bonds_Live!Q3="",Bonds_Live!S3=""),"",D5 + (-Bonds_Live!Q3*(50)/100 + Bonds_Live!S3*POWER(50,2)/2000000)),"")</f>
        <v/>
      </c>
      <c r="O5" s="16">
        <f>IFERROR(IF(OR(D5="",Bonds_Live!Q3="",Bonds_Live!S3=""),"",D5 + (-Bonds_Live!Q3*(-100)/100 + Bonds_Live!S3*POWER(-100,2)/2000000)),"")</f>
        <v/>
      </c>
      <c r="P5" s="16">
        <f>IFERROR(IF(OR(D5="",Bonds_Live!Q3="",Bonds_Live!S3=""),"",D5 + (-Bonds_Live!Q3*(-50)/100 + Bonds_Live!S3*POWER(-50,2)/2000000)),"")</f>
        <v/>
      </c>
      <c r="Q5" s="16">
        <f>IFERROR(IF(OR(D5="",Bonds_Live!Q3="",Bonds_Live!S3=""),"",D5 + (-Bonds_Live!Q3*(0)/100 + Bonds_Live!S3*POWER(0,2)/2000000)),"")</f>
        <v/>
      </c>
      <c r="R5" s="16">
        <f>IFERROR(IF(OR(D5="",Bonds_Live!Q3="",Bonds_Live!S3=""),"",D5 + (-Bonds_Live!Q3*(50)/100 + Bonds_Live!S3*POWER(50,2)/2000000)),"")</f>
        <v/>
      </c>
      <c r="S5" s="16">
        <f>IFERROR(IF(OR(D5="",Bonds_Live!Q3="",Bonds_Live!S3=""),"",D5 + (-Bonds_Live!Q3*(100)/100 + Bonds_Live!S3*POWER(100,2)/2000000)),"")</f>
        <v/>
      </c>
      <c r="T5" s="16">
        <f>IFERROR(IF(OR(D5="",Bonds_Live!Q3="",Bonds_Live!S3=""),"",D5 + (-Bonds_Live!Q3*(-50)/100 + Bonds_Live!S3*POWER(-50,2)/2000000)),"")</f>
        <v/>
      </c>
      <c r="U5" s="16">
        <f>IFERROR(IF(OR(D5="",Bonds_Live!Q3="",Bonds_Live!S3=""),"",D5 + (-Bonds_Live!Q3*(0)/100 + Bonds_Live!S3*POWER(0,2)/2000000)),"")</f>
        <v/>
      </c>
      <c r="V5" s="16">
        <f>IFERROR(IF(OR(D5="",Bonds_Live!Q3="",Bonds_Live!S3=""),"",D5 + (-Bonds_Live!Q3*(50)/100 + Bonds_Live!S3*POWER(50,2)/2000000)),"")</f>
        <v/>
      </c>
      <c r="W5" s="16">
        <f>IFERROR(IF(OR(D5="",Bonds_Live!Q3="",Bonds_Live!S3=""),"",D5 + (-Bonds_Live!Q3*(100)/100 + Bonds_Live!S3*POWER(100,2)/2000000)),"")</f>
        <v/>
      </c>
      <c r="X5" s="16">
        <f>IFERROR(IF(OR(D5="",Bonds_Live!Q3="",Bonds_Live!S3=""),"",D5 + (-Bonds_Live!Q3*(150)/100 + Bonds_Live!S3*POWER(150,2)/2000000)),"")</f>
        <v/>
      </c>
      <c r="Y5" s="16">
        <f>IFERROR(IF(OR(D5="",Bonds_Live!Q3="",Bonds_Live!S3=""),"",D5 + (-Bonds_Live!Q3*(0)/100 + Bonds_Live!S3*POWER(0,2)/2000000)),"")</f>
        <v/>
      </c>
      <c r="Z5" s="16">
        <f>IFERROR(IF(OR(D5="",Bonds_Live!Q3="",Bonds_Live!S3=""),"",D5 + (-Bonds_Live!Q3*(50)/100 + Bonds_Live!S3*POWER(50,2)/2000000)),"")</f>
        <v/>
      </c>
      <c r="AA5" s="16">
        <f>IFERROR(IF(OR(D5="",Bonds_Live!Q3="",Bonds_Live!S3=""),"",D5 + (-Bonds_Live!Q3*(100)/100 + Bonds_Live!S3*POWER(100,2)/2000000)),"")</f>
        <v/>
      </c>
      <c r="AB5" s="16">
        <f>IFERROR(IF(OR(D5="",Bonds_Live!Q3="",Bonds_Live!S3=""),"",D5 + (-Bonds_Live!Q3*(150)/100 + Bonds_Live!S3*POWER(150,2)/2000000)),"")</f>
        <v/>
      </c>
      <c r="AC5" s="16">
        <f>IFERROR(IF(OR(D5="",Bonds_Live!Q3="",Bonds_Live!S3=""),"",D5 + (-Bonds_Live!Q3*(200)/100 + Bonds_Live!S3*POWER(200,2)/2000000)),"")</f>
        <v/>
      </c>
    </row>
    <row r="6">
      <c r="A6" s="25">
        <f>Bonds_Static!A4</f>
        <v/>
      </c>
      <c r="B6" s="25">
        <f>Bonds_Static!C4</f>
        <v/>
      </c>
      <c r="C6" s="26">
        <f>IFERROR(Bonds_Static!G4,"")</f>
        <v/>
      </c>
      <c r="D6" s="36">
        <f>IFERROR(Carry_Roll!M4,"")</f>
        <v/>
      </c>
      <c r="E6" s="16">
        <f>IFERROR(IF(OR(D6="",Bonds_Live!Q4="",Bonds_Live!S4=""),"",D6 + (-Bonds_Live!Q4*(-200)/100 + Bonds_Live!S4*POWER(-200,2)/2000000)),"")</f>
        <v/>
      </c>
      <c r="F6" s="16">
        <f>IFERROR(IF(OR(D6="",Bonds_Live!Q4="",Bonds_Live!S4=""),"",D6 + (-Bonds_Live!Q4*(-150)/100 + Bonds_Live!S4*POWER(-150,2)/2000000)),"")</f>
        <v/>
      </c>
      <c r="G6" s="16">
        <f>IFERROR(IF(OR(D6="",Bonds_Live!Q4="",Bonds_Live!S4=""),"",D6 + (-Bonds_Live!Q4*(-100)/100 + Bonds_Live!S4*POWER(-100,2)/2000000)),"")</f>
        <v/>
      </c>
      <c r="H6" s="16">
        <f>IFERROR(IF(OR(D6="",Bonds_Live!Q4="",Bonds_Live!S4=""),"",D6 + (-Bonds_Live!Q4*(-50)/100 + Bonds_Live!S4*POWER(-50,2)/2000000)),"")</f>
        <v/>
      </c>
      <c r="I6" s="16">
        <f>IFERROR(IF(OR(D6="",Bonds_Live!Q4="",Bonds_Live!S4=""),"",D6 + (-Bonds_Live!Q4*(0)/100 + Bonds_Live!S4*POWER(0,2)/2000000)),"")</f>
        <v/>
      </c>
      <c r="J6" s="16">
        <f>IFERROR(IF(OR(D6="",Bonds_Live!Q4="",Bonds_Live!S4=""),"",D6 + (-Bonds_Live!Q4*(-150)/100 + Bonds_Live!S4*POWER(-150,2)/2000000)),"")</f>
        <v/>
      </c>
      <c r="K6" s="16">
        <f>IFERROR(IF(OR(D6="",Bonds_Live!Q4="",Bonds_Live!S4=""),"",D6 + (-Bonds_Live!Q4*(-100)/100 + Bonds_Live!S4*POWER(-100,2)/2000000)),"")</f>
        <v/>
      </c>
      <c r="L6" s="16">
        <f>IFERROR(IF(OR(D6="",Bonds_Live!Q4="",Bonds_Live!S4=""),"",D6 + (-Bonds_Live!Q4*(-50)/100 + Bonds_Live!S4*POWER(-50,2)/2000000)),"")</f>
        <v/>
      </c>
      <c r="M6" s="16">
        <f>IFERROR(IF(OR(D6="",Bonds_Live!Q4="",Bonds_Live!S4=""),"",D6 + (-Bonds_Live!Q4*(0)/100 + Bonds_Live!S4*POWER(0,2)/2000000)),"")</f>
        <v/>
      </c>
      <c r="N6" s="16">
        <f>IFERROR(IF(OR(D6="",Bonds_Live!Q4="",Bonds_Live!S4=""),"",D6 + (-Bonds_Live!Q4*(50)/100 + Bonds_Live!S4*POWER(50,2)/2000000)),"")</f>
        <v/>
      </c>
      <c r="O6" s="16">
        <f>IFERROR(IF(OR(D6="",Bonds_Live!Q4="",Bonds_Live!S4=""),"",D6 + (-Bonds_Live!Q4*(-100)/100 + Bonds_Live!S4*POWER(-100,2)/2000000)),"")</f>
        <v/>
      </c>
      <c r="P6" s="16">
        <f>IFERROR(IF(OR(D6="",Bonds_Live!Q4="",Bonds_Live!S4=""),"",D6 + (-Bonds_Live!Q4*(-50)/100 + Bonds_Live!S4*POWER(-50,2)/2000000)),"")</f>
        <v/>
      </c>
      <c r="Q6" s="16">
        <f>IFERROR(IF(OR(D6="",Bonds_Live!Q4="",Bonds_Live!S4=""),"",D6 + (-Bonds_Live!Q4*(0)/100 + Bonds_Live!S4*POWER(0,2)/2000000)),"")</f>
        <v/>
      </c>
      <c r="R6" s="16">
        <f>IFERROR(IF(OR(D6="",Bonds_Live!Q4="",Bonds_Live!S4=""),"",D6 + (-Bonds_Live!Q4*(50)/100 + Bonds_Live!S4*POWER(50,2)/2000000)),"")</f>
        <v/>
      </c>
      <c r="S6" s="16">
        <f>IFERROR(IF(OR(D6="",Bonds_Live!Q4="",Bonds_Live!S4=""),"",D6 + (-Bonds_Live!Q4*(100)/100 + Bonds_Live!S4*POWER(100,2)/2000000)),"")</f>
        <v/>
      </c>
      <c r="T6" s="16">
        <f>IFERROR(IF(OR(D6="",Bonds_Live!Q4="",Bonds_Live!S4=""),"",D6 + (-Bonds_Live!Q4*(-50)/100 + Bonds_Live!S4*POWER(-50,2)/2000000)),"")</f>
        <v/>
      </c>
      <c r="U6" s="16">
        <f>IFERROR(IF(OR(D6="",Bonds_Live!Q4="",Bonds_Live!S4=""),"",D6 + (-Bonds_Live!Q4*(0)/100 + Bonds_Live!S4*POWER(0,2)/2000000)),"")</f>
        <v/>
      </c>
      <c r="V6" s="16">
        <f>IFERROR(IF(OR(D6="",Bonds_Live!Q4="",Bonds_Live!S4=""),"",D6 + (-Bonds_Live!Q4*(50)/100 + Bonds_Live!S4*POWER(50,2)/2000000)),"")</f>
        <v/>
      </c>
      <c r="W6" s="16">
        <f>IFERROR(IF(OR(D6="",Bonds_Live!Q4="",Bonds_Live!S4=""),"",D6 + (-Bonds_Live!Q4*(100)/100 + Bonds_Live!S4*POWER(100,2)/2000000)),"")</f>
        <v/>
      </c>
      <c r="X6" s="16">
        <f>IFERROR(IF(OR(D6="",Bonds_Live!Q4="",Bonds_Live!S4=""),"",D6 + (-Bonds_Live!Q4*(150)/100 + Bonds_Live!S4*POWER(150,2)/2000000)),"")</f>
        <v/>
      </c>
      <c r="Y6" s="16">
        <f>IFERROR(IF(OR(D6="",Bonds_Live!Q4="",Bonds_Live!S4=""),"",D6 + (-Bonds_Live!Q4*(0)/100 + Bonds_Live!S4*POWER(0,2)/2000000)),"")</f>
        <v/>
      </c>
      <c r="Z6" s="16">
        <f>IFERROR(IF(OR(D6="",Bonds_Live!Q4="",Bonds_Live!S4=""),"",D6 + (-Bonds_Live!Q4*(50)/100 + Bonds_Live!S4*POWER(50,2)/2000000)),"")</f>
        <v/>
      </c>
      <c r="AA6" s="16">
        <f>IFERROR(IF(OR(D6="",Bonds_Live!Q4="",Bonds_Live!S4=""),"",D6 + (-Bonds_Live!Q4*(100)/100 + Bonds_Live!S4*POWER(100,2)/2000000)),"")</f>
        <v/>
      </c>
      <c r="AB6" s="16">
        <f>IFERROR(IF(OR(D6="",Bonds_Live!Q4="",Bonds_Live!S4=""),"",D6 + (-Bonds_Live!Q4*(150)/100 + Bonds_Live!S4*POWER(150,2)/2000000)),"")</f>
        <v/>
      </c>
      <c r="AC6" s="16">
        <f>IFERROR(IF(OR(D6="",Bonds_Live!Q4="",Bonds_Live!S4=""),"",D6 + (-Bonds_Live!Q4*(200)/100 + Bonds_Live!S4*POWER(200,2)/2000000)),"")</f>
        <v/>
      </c>
    </row>
    <row r="7">
      <c r="A7" s="25">
        <f>Bonds_Static!A5</f>
        <v/>
      </c>
      <c r="B7" s="25">
        <f>Bonds_Static!C5</f>
        <v/>
      </c>
      <c r="C7" s="26">
        <f>IFERROR(Bonds_Static!G5,"")</f>
        <v/>
      </c>
      <c r="D7" s="36">
        <f>IFERROR(Carry_Roll!M5,"")</f>
        <v/>
      </c>
      <c r="E7" s="16">
        <f>IFERROR(IF(OR(D7="",Bonds_Live!Q5="",Bonds_Live!S5=""),"",D7 + (-Bonds_Live!Q5*(-200)/100 + Bonds_Live!S5*POWER(-200,2)/2000000)),"")</f>
        <v/>
      </c>
      <c r="F7" s="16">
        <f>IFERROR(IF(OR(D7="",Bonds_Live!Q5="",Bonds_Live!S5=""),"",D7 + (-Bonds_Live!Q5*(-150)/100 + Bonds_Live!S5*POWER(-150,2)/2000000)),"")</f>
        <v/>
      </c>
      <c r="G7" s="16">
        <f>IFERROR(IF(OR(D7="",Bonds_Live!Q5="",Bonds_Live!S5=""),"",D7 + (-Bonds_Live!Q5*(-100)/100 + Bonds_Live!S5*POWER(-100,2)/2000000)),"")</f>
        <v/>
      </c>
      <c r="H7" s="16">
        <f>IFERROR(IF(OR(D7="",Bonds_Live!Q5="",Bonds_Live!S5=""),"",D7 + (-Bonds_Live!Q5*(-50)/100 + Bonds_Live!S5*POWER(-50,2)/2000000)),"")</f>
        <v/>
      </c>
      <c r="I7" s="16">
        <f>IFERROR(IF(OR(D7="",Bonds_Live!Q5="",Bonds_Live!S5=""),"",D7 + (-Bonds_Live!Q5*(0)/100 + Bonds_Live!S5*POWER(0,2)/2000000)),"")</f>
        <v/>
      </c>
      <c r="J7" s="16">
        <f>IFERROR(IF(OR(D7="",Bonds_Live!Q5="",Bonds_Live!S5=""),"",D7 + (-Bonds_Live!Q5*(-150)/100 + Bonds_Live!S5*POWER(-150,2)/2000000)),"")</f>
        <v/>
      </c>
      <c r="K7" s="16">
        <f>IFERROR(IF(OR(D7="",Bonds_Live!Q5="",Bonds_Live!S5=""),"",D7 + (-Bonds_Live!Q5*(-100)/100 + Bonds_Live!S5*POWER(-100,2)/2000000)),"")</f>
        <v/>
      </c>
      <c r="L7" s="16">
        <f>IFERROR(IF(OR(D7="",Bonds_Live!Q5="",Bonds_Live!S5=""),"",D7 + (-Bonds_Live!Q5*(-50)/100 + Bonds_Live!S5*POWER(-50,2)/2000000)),"")</f>
        <v/>
      </c>
      <c r="M7" s="16">
        <f>IFERROR(IF(OR(D7="",Bonds_Live!Q5="",Bonds_Live!S5=""),"",D7 + (-Bonds_Live!Q5*(0)/100 + Bonds_Live!S5*POWER(0,2)/2000000)),"")</f>
        <v/>
      </c>
      <c r="N7" s="16">
        <f>IFERROR(IF(OR(D7="",Bonds_Live!Q5="",Bonds_Live!S5=""),"",D7 + (-Bonds_Live!Q5*(50)/100 + Bonds_Live!S5*POWER(50,2)/2000000)),"")</f>
        <v/>
      </c>
      <c r="O7" s="16">
        <f>IFERROR(IF(OR(D7="",Bonds_Live!Q5="",Bonds_Live!S5=""),"",D7 + (-Bonds_Live!Q5*(-100)/100 + Bonds_Live!S5*POWER(-100,2)/2000000)),"")</f>
        <v/>
      </c>
      <c r="P7" s="16">
        <f>IFERROR(IF(OR(D7="",Bonds_Live!Q5="",Bonds_Live!S5=""),"",D7 + (-Bonds_Live!Q5*(-50)/100 + Bonds_Live!S5*POWER(-50,2)/2000000)),"")</f>
        <v/>
      </c>
      <c r="Q7" s="16">
        <f>IFERROR(IF(OR(D7="",Bonds_Live!Q5="",Bonds_Live!S5=""),"",D7 + (-Bonds_Live!Q5*(0)/100 + Bonds_Live!S5*POWER(0,2)/2000000)),"")</f>
        <v/>
      </c>
      <c r="R7" s="16">
        <f>IFERROR(IF(OR(D7="",Bonds_Live!Q5="",Bonds_Live!S5=""),"",D7 + (-Bonds_Live!Q5*(50)/100 + Bonds_Live!S5*POWER(50,2)/2000000)),"")</f>
        <v/>
      </c>
      <c r="S7" s="16">
        <f>IFERROR(IF(OR(D7="",Bonds_Live!Q5="",Bonds_Live!S5=""),"",D7 + (-Bonds_Live!Q5*(100)/100 + Bonds_Live!S5*POWER(100,2)/2000000)),"")</f>
        <v/>
      </c>
      <c r="T7" s="16">
        <f>IFERROR(IF(OR(D7="",Bonds_Live!Q5="",Bonds_Live!S5=""),"",D7 + (-Bonds_Live!Q5*(-50)/100 + Bonds_Live!S5*POWER(-50,2)/2000000)),"")</f>
        <v/>
      </c>
      <c r="U7" s="16">
        <f>IFERROR(IF(OR(D7="",Bonds_Live!Q5="",Bonds_Live!S5=""),"",D7 + (-Bonds_Live!Q5*(0)/100 + Bonds_Live!S5*POWER(0,2)/2000000)),"")</f>
        <v/>
      </c>
      <c r="V7" s="16">
        <f>IFERROR(IF(OR(D7="",Bonds_Live!Q5="",Bonds_Live!S5=""),"",D7 + (-Bonds_Live!Q5*(50)/100 + Bonds_Live!S5*POWER(50,2)/2000000)),"")</f>
        <v/>
      </c>
      <c r="W7" s="16">
        <f>IFERROR(IF(OR(D7="",Bonds_Live!Q5="",Bonds_Live!S5=""),"",D7 + (-Bonds_Live!Q5*(100)/100 + Bonds_Live!S5*POWER(100,2)/2000000)),"")</f>
        <v/>
      </c>
      <c r="X7" s="16">
        <f>IFERROR(IF(OR(D7="",Bonds_Live!Q5="",Bonds_Live!S5=""),"",D7 + (-Bonds_Live!Q5*(150)/100 + Bonds_Live!S5*POWER(150,2)/2000000)),"")</f>
        <v/>
      </c>
      <c r="Y7" s="16">
        <f>IFERROR(IF(OR(D7="",Bonds_Live!Q5="",Bonds_Live!S5=""),"",D7 + (-Bonds_Live!Q5*(0)/100 + Bonds_Live!S5*POWER(0,2)/2000000)),"")</f>
        <v/>
      </c>
      <c r="Z7" s="16">
        <f>IFERROR(IF(OR(D7="",Bonds_Live!Q5="",Bonds_Live!S5=""),"",D7 + (-Bonds_Live!Q5*(50)/100 + Bonds_Live!S5*POWER(50,2)/2000000)),"")</f>
        <v/>
      </c>
      <c r="AA7" s="16">
        <f>IFERROR(IF(OR(D7="",Bonds_Live!Q5="",Bonds_Live!S5=""),"",D7 + (-Bonds_Live!Q5*(100)/100 + Bonds_Live!S5*POWER(100,2)/2000000)),"")</f>
        <v/>
      </c>
      <c r="AB7" s="16">
        <f>IFERROR(IF(OR(D7="",Bonds_Live!Q5="",Bonds_Live!S5=""),"",D7 + (-Bonds_Live!Q5*(150)/100 + Bonds_Live!S5*POWER(150,2)/2000000)),"")</f>
        <v/>
      </c>
      <c r="AC7" s="16">
        <f>IFERROR(IF(OR(D7="",Bonds_Live!Q5="",Bonds_Live!S5=""),"",D7 + (-Bonds_Live!Q5*(200)/100 + Bonds_Live!S5*POWER(200,2)/2000000)),"")</f>
        <v/>
      </c>
    </row>
    <row r="8">
      <c r="A8" s="25">
        <f>Bonds_Static!A6</f>
        <v/>
      </c>
      <c r="B8" s="25">
        <f>Bonds_Static!C6</f>
        <v/>
      </c>
      <c r="C8" s="26">
        <f>IFERROR(Bonds_Static!G6,"")</f>
        <v/>
      </c>
      <c r="D8" s="36">
        <f>IFERROR(Carry_Roll!M6,"")</f>
        <v/>
      </c>
      <c r="E8" s="16">
        <f>IFERROR(IF(OR(D8="",Bonds_Live!Q6="",Bonds_Live!S6=""),"",D8 + (-Bonds_Live!Q6*(-200)/100 + Bonds_Live!S6*POWER(-200,2)/2000000)),"")</f>
        <v/>
      </c>
      <c r="F8" s="16">
        <f>IFERROR(IF(OR(D8="",Bonds_Live!Q6="",Bonds_Live!S6=""),"",D8 + (-Bonds_Live!Q6*(-150)/100 + Bonds_Live!S6*POWER(-150,2)/2000000)),"")</f>
        <v/>
      </c>
      <c r="G8" s="16">
        <f>IFERROR(IF(OR(D8="",Bonds_Live!Q6="",Bonds_Live!S6=""),"",D8 + (-Bonds_Live!Q6*(-100)/100 + Bonds_Live!S6*POWER(-100,2)/2000000)),"")</f>
        <v/>
      </c>
      <c r="H8" s="16">
        <f>IFERROR(IF(OR(D8="",Bonds_Live!Q6="",Bonds_Live!S6=""),"",D8 + (-Bonds_Live!Q6*(-50)/100 + Bonds_Live!S6*POWER(-50,2)/2000000)),"")</f>
        <v/>
      </c>
      <c r="I8" s="16">
        <f>IFERROR(IF(OR(D8="",Bonds_Live!Q6="",Bonds_Live!S6=""),"",D8 + (-Bonds_Live!Q6*(0)/100 + Bonds_Live!S6*POWER(0,2)/2000000)),"")</f>
        <v/>
      </c>
      <c r="J8" s="16">
        <f>IFERROR(IF(OR(D8="",Bonds_Live!Q6="",Bonds_Live!S6=""),"",D8 + (-Bonds_Live!Q6*(-150)/100 + Bonds_Live!S6*POWER(-150,2)/2000000)),"")</f>
        <v/>
      </c>
      <c r="K8" s="16">
        <f>IFERROR(IF(OR(D8="",Bonds_Live!Q6="",Bonds_Live!S6=""),"",D8 + (-Bonds_Live!Q6*(-100)/100 + Bonds_Live!S6*POWER(-100,2)/2000000)),"")</f>
        <v/>
      </c>
      <c r="L8" s="16">
        <f>IFERROR(IF(OR(D8="",Bonds_Live!Q6="",Bonds_Live!S6=""),"",D8 + (-Bonds_Live!Q6*(-50)/100 + Bonds_Live!S6*POWER(-50,2)/2000000)),"")</f>
        <v/>
      </c>
      <c r="M8" s="16">
        <f>IFERROR(IF(OR(D8="",Bonds_Live!Q6="",Bonds_Live!S6=""),"",D8 + (-Bonds_Live!Q6*(0)/100 + Bonds_Live!S6*POWER(0,2)/2000000)),"")</f>
        <v/>
      </c>
      <c r="N8" s="16">
        <f>IFERROR(IF(OR(D8="",Bonds_Live!Q6="",Bonds_Live!S6=""),"",D8 + (-Bonds_Live!Q6*(50)/100 + Bonds_Live!S6*POWER(50,2)/2000000)),"")</f>
        <v/>
      </c>
      <c r="O8" s="16">
        <f>IFERROR(IF(OR(D8="",Bonds_Live!Q6="",Bonds_Live!S6=""),"",D8 + (-Bonds_Live!Q6*(-100)/100 + Bonds_Live!S6*POWER(-100,2)/2000000)),"")</f>
        <v/>
      </c>
      <c r="P8" s="16">
        <f>IFERROR(IF(OR(D8="",Bonds_Live!Q6="",Bonds_Live!S6=""),"",D8 + (-Bonds_Live!Q6*(-50)/100 + Bonds_Live!S6*POWER(-50,2)/2000000)),"")</f>
        <v/>
      </c>
      <c r="Q8" s="16">
        <f>IFERROR(IF(OR(D8="",Bonds_Live!Q6="",Bonds_Live!S6=""),"",D8 + (-Bonds_Live!Q6*(0)/100 + Bonds_Live!S6*POWER(0,2)/2000000)),"")</f>
        <v/>
      </c>
      <c r="R8" s="16">
        <f>IFERROR(IF(OR(D8="",Bonds_Live!Q6="",Bonds_Live!S6=""),"",D8 + (-Bonds_Live!Q6*(50)/100 + Bonds_Live!S6*POWER(50,2)/2000000)),"")</f>
        <v/>
      </c>
      <c r="S8" s="16">
        <f>IFERROR(IF(OR(D8="",Bonds_Live!Q6="",Bonds_Live!S6=""),"",D8 + (-Bonds_Live!Q6*(100)/100 + Bonds_Live!S6*POWER(100,2)/2000000)),"")</f>
        <v/>
      </c>
      <c r="T8" s="16">
        <f>IFERROR(IF(OR(D8="",Bonds_Live!Q6="",Bonds_Live!S6=""),"",D8 + (-Bonds_Live!Q6*(-50)/100 + Bonds_Live!S6*POWER(-50,2)/2000000)),"")</f>
        <v/>
      </c>
      <c r="U8" s="16">
        <f>IFERROR(IF(OR(D8="",Bonds_Live!Q6="",Bonds_Live!S6=""),"",D8 + (-Bonds_Live!Q6*(0)/100 + Bonds_Live!S6*POWER(0,2)/2000000)),"")</f>
        <v/>
      </c>
      <c r="V8" s="16">
        <f>IFERROR(IF(OR(D8="",Bonds_Live!Q6="",Bonds_Live!S6=""),"",D8 + (-Bonds_Live!Q6*(50)/100 + Bonds_Live!S6*POWER(50,2)/2000000)),"")</f>
        <v/>
      </c>
      <c r="W8" s="16">
        <f>IFERROR(IF(OR(D8="",Bonds_Live!Q6="",Bonds_Live!S6=""),"",D8 + (-Bonds_Live!Q6*(100)/100 + Bonds_Live!S6*POWER(100,2)/2000000)),"")</f>
        <v/>
      </c>
      <c r="X8" s="16">
        <f>IFERROR(IF(OR(D8="",Bonds_Live!Q6="",Bonds_Live!S6=""),"",D8 + (-Bonds_Live!Q6*(150)/100 + Bonds_Live!S6*POWER(150,2)/2000000)),"")</f>
        <v/>
      </c>
      <c r="Y8" s="16">
        <f>IFERROR(IF(OR(D8="",Bonds_Live!Q6="",Bonds_Live!S6=""),"",D8 + (-Bonds_Live!Q6*(0)/100 + Bonds_Live!S6*POWER(0,2)/2000000)),"")</f>
        <v/>
      </c>
      <c r="Z8" s="16">
        <f>IFERROR(IF(OR(D8="",Bonds_Live!Q6="",Bonds_Live!S6=""),"",D8 + (-Bonds_Live!Q6*(50)/100 + Bonds_Live!S6*POWER(50,2)/2000000)),"")</f>
        <v/>
      </c>
      <c r="AA8" s="16">
        <f>IFERROR(IF(OR(D8="",Bonds_Live!Q6="",Bonds_Live!S6=""),"",D8 + (-Bonds_Live!Q6*(100)/100 + Bonds_Live!S6*POWER(100,2)/2000000)),"")</f>
        <v/>
      </c>
      <c r="AB8" s="16">
        <f>IFERROR(IF(OR(D8="",Bonds_Live!Q6="",Bonds_Live!S6=""),"",D8 + (-Bonds_Live!Q6*(150)/100 + Bonds_Live!S6*POWER(150,2)/2000000)),"")</f>
        <v/>
      </c>
      <c r="AC8" s="16">
        <f>IFERROR(IF(OR(D8="",Bonds_Live!Q6="",Bonds_Live!S6=""),"",D8 + (-Bonds_Live!Q6*(200)/100 + Bonds_Live!S6*POWER(200,2)/2000000)),"")</f>
        <v/>
      </c>
    </row>
    <row r="9">
      <c r="A9" s="25">
        <f>Bonds_Static!A7</f>
        <v/>
      </c>
      <c r="B9" s="25">
        <f>Bonds_Static!C7</f>
        <v/>
      </c>
      <c r="C9" s="26">
        <f>IFERROR(Bonds_Static!G7,"")</f>
        <v/>
      </c>
      <c r="D9" s="36">
        <f>IFERROR(Carry_Roll!M7,"")</f>
        <v/>
      </c>
      <c r="E9" s="16">
        <f>IFERROR(IF(OR(D9="",Bonds_Live!Q7="",Bonds_Live!S7=""),"",D9 + (-Bonds_Live!Q7*(-200)/100 + Bonds_Live!S7*POWER(-200,2)/2000000)),"")</f>
        <v/>
      </c>
      <c r="F9" s="16">
        <f>IFERROR(IF(OR(D9="",Bonds_Live!Q7="",Bonds_Live!S7=""),"",D9 + (-Bonds_Live!Q7*(-150)/100 + Bonds_Live!S7*POWER(-150,2)/2000000)),"")</f>
        <v/>
      </c>
      <c r="G9" s="16">
        <f>IFERROR(IF(OR(D9="",Bonds_Live!Q7="",Bonds_Live!S7=""),"",D9 + (-Bonds_Live!Q7*(-100)/100 + Bonds_Live!S7*POWER(-100,2)/2000000)),"")</f>
        <v/>
      </c>
      <c r="H9" s="16">
        <f>IFERROR(IF(OR(D9="",Bonds_Live!Q7="",Bonds_Live!S7=""),"",D9 + (-Bonds_Live!Q7*(-50)/100 + Bonds_Live!S7*POWER(-50,2)/2000000)),"")</f>
        <v/>
      </c>
      <c r="I9" s="16">
        <f>IFERROR(IF(OR(D9="",Bonds_Live!Q7="",Bonds_Live!S7=""),"",D9 + (-Bonds_Live!Q7*(0)/100 + Bonds_Live!S7*POWER(0,2)/2000000)),"")</f>
        <v/>
      </c>
      <c r="J9" s="16">
        <f>IFERROR(IF(OR(D9="",Bonds_Live!Q7="",Bonds_Live!S7=""),"",D9 + (-Bonds_Live!Q7*(-150)/100 + Bonds_Live!S7*POWER(-150,2)/2000000)),"")</f>
        <v/>
      </c>
      <c r="K9" s="16">
        <f>IFERROR(IF(OR(D9="",Bonds_Live!Q7="",Bonds_Live!S7=""),"",D9 + (-Bonds_Live!Q7*(-100)/100 + Bonds_Live!S7*POWER(-100,2)/2000000)),"")</f>
        <v/>
      </c>
      <c r="L9" s="16">
        <f>IFERROR(IF(OR(D9="",Bonds_Live!Q7="",Bonds_Live!S7=""),"",D9 + (-Bonds_Live!Q7*(-50)/100 + Bonds_Live!S7*POWER(-50,2)/2000000)),"")</f>
        <v/>
      </c>
      <c r="M9" s="16">
        <f>IFERROR(IF(OR(D9="",Bonds_Live!Q7="",Bonds_Live!S7=""),"",D9 + (-Bonds_Live!Q7*(0)/100 + Bonds_Live!S7*POWER(0,2)/2000000)),"")</f>
        <v/>
      </c>
      <c r="N9" s="16">
        <f>IFERROR(IF(OR(D9="",Bonds_Live!Q7="",Bonds_Live!S7=""),"",D9 + (-Bonds_Live!Q7*(50)/100 + Bonds_Live!S7*POWER(50,2)/2000000)),"")</f>
        <v/>
      </c>
      <c r="O9" s="16">
        <f>IFERROR(IF(OR(D9="",Bonds_Live!Q7="",Bonds_Live!S7=""),"",D9 + (-Bonds_Live!Q7*(-100)/100 + Bonds_Live!S7*POWER(-100,2)/2000000)),"")</f>
        <v/>
      </c>
      <c r="P9" s="16">
        <f>IFERROR(IF(OR(D9="",Bonds_Live!Q7="",Bonds_Live!S7=""),"",D9 + (-Bonds_Live!Q7*(-50)/100 + Bonds_Live!S7*POWER(-50,2)/2000000)),"")</f>
        <v/>
      </c>
      <c r="Q9" s="16">
        <f>IFERROR(IF(OR(D9="",Bonds_Live!Q7="",Bonds_Live!S7=""),"",D9 + (-Bonds_Live!Q7*(0)/100 + Bonds_Live!S7*POWER(0,2)/2000000)),"")</f>
        <v/>
      </c>
      <c r="R9" s="16">
        <f>IFERROR(IF(OR(D9="",Bonds_Live!Q7="",Bonds_Live!S7=""),"",D9 + (-Bonds_Live!Q7*(50)/100 + Bonds_Live!S7*POWER(50,2)/2000000)),"")</f>
        <v/>
      </c>
      <c r="S9" s="16">
        <f>IFERROR(IF(OR(D9="",Bonds_Live!Q7="",Bonds_Live!S7=""),"",D9 + (-Bonds_Live!Q7*(100)/100 + Bonds_Live!S7*POWER(100,2)/2000000)),"")</f>
        <v/>
      </c>
      <c r="T9" s="16">
        <f>IFERROR(IF(OR(D9="",Bonds_Live!Q7="",Bonds_Live!S7=""),"",D9 + (-Bonds_Live!Q7*(-50)/100 + Bonds_Live!S7*POWER(-50,2)/2000000)),"")</f>
        <v/>
      </c>
      <c r="U9" s="16">
        <f>IFERROR(IF(OR(D9="",Bonds_Live!Q7="",Bonds_Live!S7=""),"",D9 + (-Bonds_Live!Q7*(0)/100 + Bonds_Live!S7*POWER(0,2)/2000000)),"")</f>
        <v/>
      </c>
      <c r="V9" s="16">
        <f>IFERROR(IF(OR(D9="",Bonds_Live!Q7="",Bonds_Live!S7=""),"",D9 + (-Bonds_Live!Q7*(50)/100 + Bonds_Live!S7*POWER(50,2)/2000000)),"")</f>
        <v/>
      </c>
      <c r="W9" s="16">
        <f>IFERROR(IF(OR(D9="",Bonds_Live!Q7="",Bonds_Live!S7=""),"",D9 + (-Bonds_Live!Q7*(100)/100 + Bonds_Live!S7*POWER(100,2)/2000000)),"")</f>
        <v/>
      </c>
      <c r="X9" s="16">
        <f>IFERROR(IF(OR(D9="",Bonds_Live!Q7="",Bonds_Live!S7=""),"",D9 + (-Bonds_Live!Q7*(150)/100 + Bonds_Live!S7*POWER(150,2)/2000000)),"")</f>
        <v/>
      </c>
      <c r="Y9" s="16">
        <f>IFERROR(IF(OR(D9="",Bonds_Live!Q7="",Bonds_Live!S7=""),"",D9 + (-Bonds_Live!Q7*(0)/100 + Bonds_Live!S7*POWER(0,2)/2000000)),"")</f>
        <v/>
      </c>
      <c r="Z9" s="16">
        <f>IFERROR(IF(OR(D9="",Bonds_Live!Q7="",Bonds_Live!S7=""),"",D9 + (-Bonds_Live!Q7*(50)/100 + Bonds_Live!S7*POWER(50,2)/2000000)),"")</f>
        <v/>
      </c>
      <c r="AA9" s="16">
        <f>IFERROR(IF(OR(D9="",Bonds_Live!Q7="",Bonds_Live!S7=""),"",D9 + (-Bonds_Live!Q7*(100)/100 + Bonds_Live!S7*POWER(100,2)/2000000)),"")</f>
        <v/>
      </c>
      <c r="AB9" s="16">
        <f>IFERROR(IF(OR(D9="",Bonds_Live!Q7="",Bonds_Live!S7=""),"",D9 + (-Bonds_Live!Q7*(150)/100 + Bonds_Live!S7*POWER(150,2)/2000000)),"")</f>
        <v/>
      </c>
      <c r="AC9" s="16">
        <f>IFERROR(IF(OR(D9="",Bonds_Live!Q7="",Bonds_Live!S7=""),"",D9 + (-Bonds_Live!Q7*(200)/100 + Bonds_Live!S7*POWER(200,2)/2000000)),"")</f>
        <v/>
      </c>
    </row>
    <row r="10">
      <c r="A10" s="25">
        <f>Bonds_Static!A8</f>
        <v/>
      </c>
      <c r="B10" s="25">
        <f>Bonds_Static!C8</f>
        <v/>
      </c>
      <c r="C10" s="26">
        <f>IFERROR(Bonds_Static!G8,"")</f>
        <v/>
      </c>
      <c r="D10" s="36">
        <f>IFERROR(Carry_Roll!M8,"")</f>
        <v/>
      </c>
      <c r="E10" s="16">
        <f>IFERROR(IF(OR(D10="",Bonds_Live!Q8="",Bonds_Live!S8=""),"",D10 + (-Bonds_Live!Q8*(-200)/100 + Bonds_Live!S8*POWER(-200,2)/2000000)),"")</f>
        <v/>
      </c>
      <c r="F10" s="16">
        <f>IFERROR(IF(OR(D10="",Bonds_Live!Q8="",Bonds_Live!S8=""),"",D10 + (-Bonds_Live!Q8*(-150)/100 + Bonds_Live!S8*POWER(-150,2)/2000000)),"")</f>
        <v/>
      </c>
      <c r="G10" s="16">
        <f>IFERROR(IF(OR(D10="",Bonds_Live!Q8="",Bonds_Live!S8=""),"",D10 + (-Bonds_Live!Q8*(-100)/100 + Bonds_Live!S8*POWER(-100,2)/2000000)),"")</f>
        <v/>
      </c>
      <c r="H10" s="16">
        <f>IFERROR(IF(OR(D10="",Bonds_Live!Q8="",Bonds_Live!S8=""),"",D10 + (-Bonds_Live!Q8*(-50)/100 + Bonds_Live!S8*POWER(-50,2)/2000000)),"")</f>
        <v/>
      </c>
      <c r="I10" s="16">
        <f>IFERROR(IF(OR(D10="",Bonds_Live!Q8="",Bonds_Live!S8=""),"",D10 + (-Bonds_Live!Q8*(0)/100 + Bonds_Live!S8*POWER(0,2)/2000000)),"")</f>
        <v/>
      </c>
      <c r="J10" s="16">
        <f>IFERROR(IF(OR(D10="",Bonds_Live!Q8="",Bonds_Live!S8=""),"",D10 + (-Bonds_Live!Q8*(-150)/100 + Bonds_Live!S8*POWER(-150,2)/2000000)),"")</f>
        <v/>
      </c>
      <c r="K10" s="16">
        <f>IFERROR(IF(OR(D10="",Bonds_Live!Q8="",Bonds_Live!S8=""),"",D10 + (-Bonds_Live!Q8*(-100)/100 + Bonds_Live!S8*POWER(-100,2)/2000000)),"")</f>
        <v/>
      </c>
      <c r="L10" s="16">
        <f>IFERROR(IF(OR(D10="",Bonds_Live!Q8="",Bonds_Live!S8=""),"",D10 + (-Bonds_Live!Q8*(-50)/100 + Bonds_Live!S8*POWER(-50,2)/2000000)),"")</f>
        <v/>
      </c>
      <c r="M10" s="16">
        <f>IFERROR(IF(OR(D10="",Bonds_Live!Q8="",Bonds_Live!S8=""),"",D10 + (-Bonds_Live!Q8*(0)/100 + Bonds_Live!S8*POWER(0,2)/2000000)),"")</f>
        <v/>
      </c>
      <c r="N10" s="16">
        <f>IFERROR(IF(OR(D10="",Bonds_Live!Q8="",Bonds_Live!S8=""),"",D10 + (-Bonds_Live!Q8*(50)/100 + Bonds_Live!S8*POWER(50,2)/2000000)),"")</f>
        <v/>
      </c>
      <c r="O10" s="16">
        <f>IFERROR(IF(OR(D10="",Bonds_Live!Q8="",Bonds_Live!S8=""),"",D10 + (-Bonds_Live!Q8*(-100)/100 + Bonds_Live!S8*POWER(-100,2)/2000000)),"")</f>
        <v/>
      </c>
      <c r="P10" s="16">
        <f>IFERROR(IF(OR(D10="",Bonds_Live!Q8="",Bonds_Live!S8=""),"",D10 + (-Bonds_Live!Q8*(-50)/100 + Bonds_Live!S8*POWER(-50,2)/2000000)),"")</f>
        <v/>
      </c>
      <c r="Q10" s="16">
        <f>IFERROR(IF(OR(D10="",Bonds_Live!Q8="",Bonds_Live!S8=""),"",D10 + (-Bonds_Live!Q8*(0)/100 + Bonds_Live!S8*POWER(0,2)/2000000)),"")</f>
        <v/>
      </c>
      <c r="R10" s="16">
        <f>IFERROR(IF(OR(D10="",Bonds_Live!Q8="",Bonds_Live!S8=""),"",D10 + (-Bonds_Live!Q8*(50)/100 + Bonds_Live!S8*POWER(50,2)/2000000)),"")</f>
        <v/>
      </c>
      <c r="S10" s="16">
        <f>IFERROR(IF(OR(D10="",Bonds_Live!Q8="",Bonds_Live!S8=""),"",D10 + (-Bonds_Live!Q8*(100)/100 + Bonds_Live!S8*POWER(100,2)/2000000)),"")</f>
        <v/>
      </c>
      <c r="T10" s="16">
        <f>IFERROR(IF(OR(D10="",Bonds_Live!Q8="",Bonds_Live!S8=""),"",D10 + (-Bonds_Live!Q8*(-50)/100 + Bonds_Live!S8*POWER(-50,2)/2000000)),"")</f>
        <v/>
      </c>
      <c r="U10" s="16">
        <f>IFERROR(IF(OR(D10="",Bonds_Live!Q8="",Bonds_Live!S8=""),"",D10 + (-Bonds_Live!Q8*(0)/100 + Bonds_Live!S8*POWER(0,2)/2000000)),"")</f>
        <v/>
      </c>
      <c r="V10" s="16">
        <f>IFERROR(IF(OR(D10="",Bonds_Live!Q8="",Bonds_Live!S8=""),"",D10 + (-Bonds_Live!Q8*(50)/100 + Bonds_Live!S8*POWER(50,2)/2000000)),"")</f>
        <v/>
      </c>
      <c r="W10" s="16">
        <f>IFERROR(IF(OR(D10="",Bonds_Live!Q8="",Bonds_Live!S8=""),"",D10 + (-Bonds_Live!Q8*(100)/100 + Bonds_Live!S8*POWER(100,2)/2000000)),"")</f>
        <v/>
      </c>
      <c r="X10" s="16">
        <f>IFERROR(IF(OR(D10="",Bonds_Live!Q8="",Bonds_Live!S8=""),"",D10 + (-Bonds_Live!Q8*(150)/100 + Bonds_Live!S8*POWER(150,2)/2000000)),"")</f>
        <v/>
      </c>
      <c r="Y10" s="16">
        <f>IFERROR(IF(OR(D10="",Bonds_Live!Q8="",Bonds_Live!S8=""),"",D10 + (-Bonds_Live!Q8*(0)/100 + Bonds_Live!S8*POWER(0,2)/2000000)),"")</f>
        <v/>
      </c>
      <c r="Z10" s="16">
        <f>IFERROR(IF(OR(D10="",Bonds_Live!Q8="",Bonds_Live!S8=""),"",D10 + (-Bonds_Live!Q8*(50)/100 + Bonds_Live!S8*POWER(50,2)/2000000)),"")</f>
        <v/>
      </c>
      <c r="AA10" s="16">
        <f>IFERROR(IF(OR(D10="",Bonds_Live!Q8="",Bonds_Live!S8=""),"",D10 + (-Bonds_Live!Q8*(100)/100 + Bonds_Live!S8*POWER(100,2)/2000000)),"")</f>
        <v/>
      </c>
      <c r="AB10" s="16">
        <f>IFERROR(IF(OR(D10="",Bonds_Live!Q8="",Bonds_Live!S8=""),"",D10 + (-Bonds_Live!Q8*(150)/100 + Bonds_Live!S8*POWER(150,2)/2000000)),"")</f>
        <v/>
      </c>
      <c r="AC10" s="16">
        <f>IFERROR(IF(OR(D10="",Bonds_Live!Q8="",Bonds_Live!S8=""),"",D10 + (-Bonds_Live!Q8*(200)/100 + Bonds_Live!S8*POWER(200,2)/2000000)),"")</f>
        <v/>
      </c>
    </row>
    <row r="11">
      <c r="A11" s="25">
        <f>Bonds_Static!A9</f>
        <v/>
      </c>
      <c r="B11" s="25">
        <f>Bonds_Static!C9</f>
        <v/>
      </c>
      <c r="C11" s="26">
        <f>IFERROR(Bonds_Static!G9,"")</f>
        <v/>
      </c>
      <c r="D11" s="36">
        <f>IFERROR(Carry_Roll!M9,"")</f>
        <v/>
      </c>
      <c r="E11" s="16">
        <f>IFERROR(IF(OR(D11="",Bonds_Live!Q9="",Bonds_Live!S9=""),"",D11 + (-Bonds_Live!Q9*(-200)/100 + Bonds_Live!S9*POWER(-200,2)/2000000)),"")</f>
        <v/>
      </c>
      <c r="F11" s="16">
        <f>IFERROR(IF(OR(D11="",Bonds_Live!Q9="",Bonds_Live!S9=""),"",D11 + (-Bonds_Live!Q9*(-150)/100 + Bonds_Live!S9*POWER(-150,2)/2000000)),"")</f>
        <v/>
      </c>
      <c r="G11" s="16">
        <f>IFERROR(IF(OR(D11="",Bonds_Live!Q9="",Bonds_Live!S9=""),"",D11 + (-Bonds_Live!Q9*(-100)/100 + Bonds_Live!S9*POWER(-100,2)/2000000)),"")</f>
        <v/>
      </c>
      <c r="H11" s="16">
        <f>IFERROR(IF(OR(D11="",Bonds_Live!Q9="",Bonds_Live!S9=""),"",D11 + (-Bonds_Live!Q9*(-50)/100 + Bonds_Live!S9*POWER(-50,2)/2000000)),"")</f>
        <v/>
      </c>
      <c r="I11" s="16">
        <f>IFERROR(IF(OR(D11="",Bonds_Live!Q9="",Bonds_Live!S9=""),"",D11 + (-Bonds_Live!Q9*(0)/100 + Bonds_Live!S9*POWER(0,2)/2000000)),"")</f>
        <v/>
      </c>
      <c r="J11" s="16">
        <f>IFERROR(IF(OR(D11="",Bonds_Live!Q9="",Bonds_Live!S9=""),"",D11 + (-Bonds_Live!Q9*(-150)/100 + Bonds_Live!S9*POWER(-150,2)/2000000)),"")</f>
        <v/>
      </c>
      <c r="K11" s="16">
        <f>IFERROR(IF(OR(D11="",Bonds_Live!Q9="",Bonds_Live!S9=""),"",D11 + (-Bonds_Live!Q9*(-100)/100 + Bonds_Live!S9*POWER(-100,2)/2000000)),"")</f>
        <v/>
      </c>
      <c r="L11" s="16">
        <f>IFERROR(IF(OR(D11="",Bonds_Live!Q9="",Bonds_Live!S9=""),"",D11 + (-Bonds_Live!Q9*(-50)/100 + Bonds_Live!S9*POWER(-50,2)/2000000)),"")</f>
        <v/>
      </c>
      <c r="M11" s="16">
        <f>IFERROR(IF(OR(D11="",Bonds_Live!Q9="",Bonds_Live!S9=""),"",D11 + (-Bonds_Live!Q9*(0)/100 + Bonds_Live!S9*POWER(0,2)/2000000)),"")</f>
        <v/>
      </c>
      <c r="N11" s="16">
        <f>IFERROR(IF(OR(D11="",Bonds_Live!Q9="",Bonds_Live!S9=""),"",D11 + (-Bonds_Live!Q9*(50)/100 + Bonds_Live!S9*POWER(50,2)/2000000)),"")</f>
        <v/>
      </c>
      <c r="O11" s="16">
        <f>IFERROR(IF(OR(D11="",Bonds_Live!Q9="",Bonds_Live!S9=""),"",D11 + (-Bonds_Live!Q9*(-100)/100 + Bonds_Live!S9*POWER(-100,2)/2000000)),"")</f>
        <v/>
      </c>
      <c r="P11" s="16">
        <f>IFERROR(IF(OR(D11="",Bonds_Live!Q9="",Bonds_Live!S9=""),"",D11 + (-Bonds_Live!Q9*(-50)/100 + Bonds_Live!S9*POWER(-50,2)/2000000)),"")</f>
        <v/>
      </c>
      <c r="Q11" s="16">
        <f>IFERROR(IF(OR(D11="",Bonds_Live!Q9="",Bonds_Live!S9=""),"",D11 + (-Bonds_Live!Q9*(0)/100 + Bonds_Live!S9*POWER(0,2)/2000000)),"")</f>
        <v/>
      </c>
      <c r="R11" s="16">
        <f>IFERROR(IF(OR(D11="",Bonds_Live!Q9="",Bonds_Live!S9=""),"",D11 + (-Bonds_Live!Q9*(50)/100 + Bonds_Live!S9*POWER(50,2)/2000000)),"")</f>
        <v/>
      </c>
      <c r="S11" s="16">
        <f>IFERROR(IF(OR(D11="",Bonds_Live!Q9="",Bonds_Live!S9=""),"",D11 + (-Bonds_Live!Q9*(100)/100 + Bonds_Live!S9*POWER(100,2)/2000000)),"")</f>
        <v/>
      </c>
      <c r="T11" s="16">
        <f>IFERROR(IF(OR(D11="",Bonds_Live!Q9="",Bonds_Live!S9=""),"",D11 + (-Bonds_Live!Q9*(-50)/100 + Bonds_Live!S9*POWER(-50,2)/2000000)),"")</f>
        <v/>
      </c>
      <c r="U11" s="16">
        <f>IFERROR(IF(OR(D11="",Bonds_Live!Q9="",Bonds_Live!S9=""),"",D11 + (-Bonds_Live!Q9*(0)/100 + Bonds_Live!S9*POWER(0,2)/2000000)),"")</f>
        <v/>
      </c>
      <c r="V11" s="16">
        <f>IFERROR(IF(OR(D11="",Bonds_Live!Q9="",Bonds_Live!S9=""),"",D11 + (-Bonds_Live!Q9*(50)/100 + Bonds_Live!S9*POWER(50,2)/2000000)),"")</f>
        <v/>
      </c>
      <c r="W11" s="16">
        <f>IFERROR(IF(OR(D11="",Bonds_Live!Q9="",Bonds_Live!S9=""),"",D11 + (-Bonds_Live!Q9*(100)/100 + Bonds_Live!S9*POWER(100,2)/2000000)),"")</f>
        <v/>
      </c>
      <c r="X11" s="16">
        <f>IFERROR(IF(OR(D11="",Bonds_Live!Q9="",Bonds_Live!S9=""),"",D11 + (-Bonds_Live!Q9*(150)/100 + Bonds_Live!S9*POWER(150,2)/2000000)),"")</f>
        <v/>
      </c>
      <c r="Y11" s="16">
        <f>IFERROR(IF(OR(D11="",Bonds_Live!Q9="",Bonds_Live!S9=""),"",D11 + (-Bonds_Live!Q9*(0)/100 + Bonds_Live!S9*POWER(0,2)/2000000)),"")</f>
        <v/>
      </c>
      <c r="Z11" s="16">
        <f>IFERROR(IF(OR(D11="",Bonds_Live!Q9="",Bonds_Live!S9=""),"",D11 + (-Bonds_Live!Q9*(50)/100 + Bonds_Live!S9*POWER(50,2)/2000000)),"")</f>
        <v/>
      </c>
      <c r="AA11" s="16">
        <f>IFERROR(IF(OR(D11="",Bonds_Live!Q9="",Bonds_Live!S9=""),"",D11 + (-Bonds_Live!Q9*(100)/100 + Bonds_Live!S9*POWER(100,2)/2000000)),"")</f>
        <v/>
      </c>
      <c r="AB11" s="16">
        <f>IFERROR(IF(OR(D11="",Bonds_Live!Q9="",Bonds_Live!S9=""),"",D11 + (-Bonds_Live!Q9*(150)/100 + Bonds_Live!S9*POWER(150,2)/2000000)),"")</f>
        <v/>
      </c>
      <c r="AC11" s="16">
        <f>IFERROR(IF(OR(D11="",Bonds_Live!Q9="",Bonds_Live!S9=""),"",D11 + (-Bonds_Live!Q9*(200)/100 + Bonds_Live!S9*POWER(200,2)/2000000)),"")</f>
        <v/>
      </c>
    </row>
    <row r="12">
      <c r="A12" s="25">
        <f>Bonds_Static!A10</f>
        <v/>
      </c>
      <c r="B12" s="25">
        <f>Bonds_Static!C10</f>
        <v/>
      </c>
      <c r="C12" s="26">
        <f>IFERROR(Bonds_Static!G10,"")</f>
        <v/>
      </c>
      <c r="D12" s="36">
        <f>IFERROR(Carry_Roll!M10,"")</f>
        <v/>
      </c>
      <c r="E12" s="16">
        <f>IFERROR(IF(OR(D12="",Bonds_Live!Q10="",Bonds_Live!S10=""),"",D12 + (-Bonds_Live!Q10*(-200)/100 + Bonds_Live!S10*POWER(-200,2)/2000000)),"")</f>
        <v/>
      </c>
      <c r="F12" s="16">
        <f>IFERROR(IF(OR(D12="",Bonds_Live!Q10="",Bonds_Live!S10=""),"",D12 + (-Bonds_Live!Q10*(-150)/100 + Bonds_Live!S10*POWER(-150,2)/2000000)),"")</f>
        <v/>
      </c>
      <c r="G12" s="16">
        <f>IFERROR(IF(OR(D12="",Bonds_Live!Q10="",Bonds_Live!S10=""),"",D12 + (-Bonds_Live!Q10*(-100)/100 + Bonds_Live!S10*POWER(-100,2)/2000000)),"")</f>
        <v/>
      </c>
      <c r="H12" s="16">
        <f>IFERROR(IF(OR(D12="",Bonds_Live!Q10="",Bonds_Live!S10=""),"",D12 + (-Bonds_Live!Q10*(-50)/100 + Bonds_Live!S10*POWER(-50,2)/2000000)),"")</f>
        <v/>
      </c>
      <c r="I12" s="16">
        <f>IFERROR(IF(OR(D12="",Bonds_Live!Q10="",Bonds_Live!S10=""),"",D12 + (-Bonds_Live!Q10*(0)/100 + Bonds_Live!S10*POWER(0,2)/2000000)),"")</f>
        <v/>
      </c>
      <c r="J12" s="16">
        <f>IFERROR(IF(OR(D12="",Bonds_Live!Q10="",Bonds_Live!S10=""),"",D12 + (-Bonds_Live!Q10*(-150)/100 + Bonds_Live!S10*POWER(-150,2)/2000000)),"")</f>
        <v/>
      </c>
      <c r="K12" s="16">
        <f>IFERROR(IF(OR(D12="",Bonds_Live!Q10="",Bonds_Live!S10=""),"",D12 + (-Bonds_Live!Q10*(-100)/100 + Bonds_Live!S10*POWER(-100,2)/2000000)),"")</f>
        <v/>
      </c>
      <c r="L12" s="16">
        <f>IFERROR(IF(OR(D12="",Bonds_Live!Q10="",Bonds_Live!S10=""),"",D12 + (-Bonds_Live!Q10*(-50)/100 + Bonds_Live!S10*POWER(-50,2)/2000000)),"")</f>
        <v/>
      </c>
      <c r="M12" s="16">
        <f>IFERROR(IF(OR(D12="",Bonds_Live!Q10="",Bonds_Live!S10=""),"",D12 + (-Bonds_Live!Q10*(0)/100 + Bonds_Live!S10*POWER(0,2)/2000000)),"")</f>
        <v/>
      </c>
      <c r="N12" s="16">
        <f>IFERROR(IF(OR(D12="",Bonds_Live!Q10="",Bonds_Live!S10=""),"",D12 + (-Bonds_Live!Q10*(50)/100 + Bonds_Live!S10*POWER(50,2)/2000000)),"")</f>
        <v/>
      </c>
      <c r="O12" s="16">
        <f>IFERROR(IF(OR(D12="",Bonds_Live!Q10="",Bonds_Live!S10=""),"",D12 + (-Bonds_Live!Q10*(-100)/100 + Bonds_Live!S10*POWER(-100,2)/2000000)),"")</f>
        <v/>
      </c>
      <c r="P12" s="16">
        <f>IFERROR(IF(OR(D12="",Bonds_Live!Q10="",Bonds_Live!S10=""),"",D12 + (-Bonds_Live!Q10*(-50)/100 + Bonds_Live!S10*POWER(-50,2)/2000000)),"")</f>
        <v/>
      </c>
      <c r="Q12" s="16">
        <f>IFERROR(IF(OR(D12="",Bonds_Live!Q10="",Bonds_Live!S10=""),"",D12 + (-Bonds_Live!Q10*(0)/100 + Bonds_Live!S10*POWER(0,2)/2000000)),"")</f>
        <v/>
      </c>
      <c r="R12" s="16">
        <f>IFERROR(IF(OR(D12="",Bonds_Live!Q10="",Bonds_Live!S10=""),"",D12 + (-Bonds_Live!Q10*(50)/100 + Bonds_Live!S10*POWER(50,2)/2000000)),"")</f>
        <v/>
      </c>
      <c r="S12" s="16">
        <f>IFERROR(IF(OR(D12="",Bonds_Live!Q10="",Bonds_Live!S10=""),"",D12 + (-Bonds_Live!Q10*(100)/100 + Bonds_Live!S10*POWER(100,2)/2000000)),"")</f>
        <v/>
      </c>
      <c r="T12" s="16">
        <f>IFERROR(IF(OR(D12="",Bonds_Live!Q10="",Bonds_Live!S10=""),"",D12 + (-Bonds_Live!Q10*(-50)/100 + Bonds_Live!S10*POWER(-50,2)/2000000)),"")</f>
        <v/>
      </c>
      <c r="U12" s="16">
        <f>IFERROR(IF(OR(D12="",Bonds_Live!Q10="",Bonds_Live!S10=""),"",D12 + (-Bonds_Live!Q10*(0)/100 + Bonds_Live!S10*POWER(0,2)/2000000)),"")</f>
        <v/>
      </c>
      <c r="V12" s="16">
        <f>IFERROR(IF(OR(D12="",Bonds_Live!Q10="",Bonds_Live!S10=""),"",D12 + (-Bonds_Live!Q10*(50)/100 + Bonds_Live!S10*POWER(50,2)/2000000)),"")</f>
        <v/>
      </c>
      <c r="W12" s="16">
        <f>IFERROR(IF(OR(D12="",Bonds_Live!Q10="",Bonds_Live!S10=""),"",D12 + (-Bonds_Live!Q10*(100)/100 + Bonds_Live!S10*POWER(100,2)/2000000)),"")</f>
        <v/>
      </c>
      <c r="X12" s="16">
        <f>IFERROR(IF(OR(D12="",Bonds_Live!Q10="",Bonds_Live!S10=""),"",D12 + (-Bonds_Live!Q10*(150)/100 + Bonds_Live!S10*POWER(150,2)/2000000)),"")</f>
        <v/>
      </c>
      <c r="Y12" s="16">
        <f>IFERROR(IF(OR(D12="",Bonds_Live!Q10="",Bonds_Live!S10=""),"",D12 + (-Bonds_Live!Q10*(0)/100 + Bonds_Live!S10*POWER(0,2)/2000000)),"")</f>
        <v/>
      </c>
      <c r="Z12" s="16">
        <f>IFERROR(IF(OR(D12="",Bonds_Live!Q10="",Bonds_Live!S10=""),"",D12 + (-Bonds_Live!Q10*(50)/100 + Bonds_Live!S10*POWER(50,2)/2000000)),"")</f>
        <v/>
      </c>
      <c r="AA12" s="16">
        <f>IFERROR(IF(OR(D12="",Bonds_Live!Q10="",Bonds_Live!S10=""),"",D12 + (-Bonds_Live!Q10*(100)/100 + Bonds_Live!S10*POWER(100,2)/2000000)),"")</f>
        <v/>
      </c>
      <c r="AB12" s="16">
        <f>IFERROR(IF(OR(D12="",Bonds_Live!Q10="",Bonds_Live!S10=""),"",D12 + (-Bonds_Live!Q10*(150)/100 + Bonds_Live!S10*POWER(150,2)/2000000)),"")</f>
        <v/>
      </c>
      <c r="AC12" s="16">
        <f>IFERROR(IF(OR(D12="",Bonds_Live!Q10="",Bonds_Live!S10=""),"",D12 + (-Bonds_Live!Q10*(200)/100 + Bonds_Live!S10*POWER(200,2)/2000000)),"")</f>
        <v/>
      </c>
    </row>
    <row r="13">
      <c r="A13" s="25">
        <f>Bonds_Static!A11</f>
        <v/>
      </c>
      <c r="B13" s="25">
        <f>Bonds_Static!C11</f>
        <v/>
      </c>
      <c r="C13" s="26">
        <f>IFERROR(Bonds_Static!G11,"")</f>
        <v/>
      </c>
      <c r="D13" s="36">
        <f>IFERROR(Carry_Roll!M11,"")</f>
        <v/>
      </c>
      <c r="E13" s="16">
        <f>IFERROR(IF(OR(D13="",Bonds_Live!Q11="",Bonds_Live!S11=""),"",D13 + (-Bonds_Live!Q11*(-200)/100 + Bonds_Live!S11*POWER(-200,2)/2000000)),"")</f>
        <v/>
      </c>
      <c r="F13" s="16">
        <f>IFERROR(IF(OR(D13="",Bonds_Live!Q11="",Bonds_Live!S11=""),"",D13 + (-Bonds_Live!Q11*(-150)/100 + Bonds_Live!S11*POWER(-150,2)/2000000)),"")</f>
        <v/>
      </c>
      <c r="G13" s="16">
        <f>IFERROR(IF(OR(D13="",Bonds_Live!Q11="",Bonds_Live!S11=""),"",D13 + (-Bonds_Live!Q11*(-100)/100 + Bonds_Live!S11*POWER(-100,2)/2000000)),"")</f>
        <v/>
      </c>
      <c r="H13" s="16">
        <f>IFERROR(IF(OR(D13="",Bonds_Live!Q11="",Bonds_Live!S11=""),"",D13 + (-Bonds_Live!Q11*(-50)/100 + Bonds_Live!S11*POWER(-50,2)/2000000)),"")</f>
        <v/>
      </c>
      <c r="I13" s="16">
        <f>IFERROR(IF(OR(D13="",Bonds_Live!Q11="",Bonds_Live!S11=""),"",D13 + (-Bonds_Live!Q11*(0)/100 + Bonds_Live!S11*POWER(0,2)/2000000)),"")</f>
        <v/>
      </c>
      <c r="J13" s="16">
        <f>IFERROR(IF(OR(D13="",Bonds_Live!Q11="",Bonds_Live!S11=""),"",D13 + (-Bonds_Live!Q11*(-150)/100 + Bonds_Live!S11*POWER(-150,2)/2000000)),"")</f>
        <v/>
      </c>
      <c r="K13" s="16">
        <f>IFERROR(IF(OR(D13="",Bonds_Live!Q11="",Bonds_Live!S11=""),"",D13 + (-Bonds_Live!Q11*(-100)/100 + Bonds_Live!S11*POWER(-100,2)/2000000)),"")</f>
        <v/>
      </c>
      <c r="L13" s="16">
        <f>IFERROR(IF(OR(D13="",Bonds_Live!Q11="",Bonds_Live!S11=""),"",D13 + (-Bonds_Live!Q11*(-50)/100 + Bonds_Live!S11*POWER(-50,2)/2000000)),"")</f>
        <v/>
      </c>
      <c r="M13" s="16">
        <f>IFERROR(IF(OR(D13="",Bonds_Live!Q11="",Bonds_Live!S11=""),"",D13 + (-Bonds_Live!Q11*(0)/100 + Bonds_Live!S11*POWER(0,2)/2000000)),"")</f>
        <v/>
      </c>
      <c r="N13" s="16">
        <f>IFERROR(IF(OR(D13="",Bonds_Live!Q11="",Bonds_Live!S11=""),"",D13 + (-Bonds_Live!Q11*(50)/100 + Bonds_Live!S11*POWER(50,2)/2000000)),"")</f>
        <v/>
      </c>
      <c r="O13" s="16">
        <f>IFERROR(IF(OR(D13="",Bonds_Live!Q11="",Bonds_Live!S11=""),"",D13 + (-Bonds_Live!Q11*(-100)/100 + Bonds_Live!S11*POWER(-100,2)/2000000)),"")</f>
        <v/>
      </c>
      <c r="P13" s="16">
        <f>IFERROR(IF(OR(D13="",Bonds_Live!Q11="",Bonds_Live!S11=""),"",D13 + (-Bonds_Live!Q11*(-50)/100 + Bonds_Live!S11*POWER(-50,2)/2000000)),"")</f>
        <v/>
      </c>
      <c r="Q13" s="16">
        <f>IFERROR(IF(OR(D13="",Bonds_Live!Q11="",Bonds_Live!S11=""),"",D13 + (-Bonds_Live!Q11*(0)/100 + Bonds_Live!S11*POWER(0,2)/2000000)),"")</f>
        <v/>
      </c>
      <c r="R13" s="16">
        <f>IFERROR(IF(OR(D13="",Bonds_Live!Q11="",Bonds_Live!S11=""),"",D13 + (-Bonds_Live!Q11*(50)/100 + Bonds_Live!S11*POWER(50,2)/2000000)),"")</f>
        <v/>
      </c>
      <c r="S13" s="16">
        <f>IFERROR(IF(OR(D13="",Bonds_Live!Q11="",Bonds_Live!S11=""),"",D13 + (-Bonds_Live!Q11*(100)/100 + Bonds_Live!S11*POWER(100,2)/2000000)),"")</f>
        <v/>
      </c>
      <c r="T13" s="16">
        <f>IFERROR(IF(OR(D13="",Bonds_Live!Q11="",Bonds_Live!S11=""),"",D13 + (-Bonds_Live!Q11*(-50)/100 + Bonds_Live!S11*POWER(-50,2)/2000000)),"")</f>
        <v/>
      </c>
      <c r="U13" s="16">
        <f>IFERROR(IF(OR(D13="",Bonds_Live!Q11="",Bonds_Live!S11=""),"",D13 + (-Bonds_Live!Q11*(0)/100 + Bonds_Live!S11*POWER(0,2)/2000000)),"")</f>
        <v/>
      </c>
      <c r="V13" s="16">
        <f>IFERROR(IF(OR(D13="",Bonds_Live!Q11="",Bonds_Live!S11=""),"",D13 + (-Bonds_Live!Q11*(50)/100 + Bonds_Live!S11*POWER(50,2)/2000000)),"")</f>
        <v/>
      </c>
      <c r="W13" s="16">
        <f>IFERROR(IF(OR(D13="",Bonds_Live!Q11="",Bonds_Live!S11=""),"",D13 + (-Bonds_Live!Q11*(100)/100 + Bonds_Live!S11*POWER(100,2)/2000000)),"")</f>
        <v/>
      </c>
      <c r="X13" s="16">
        <f>IFERROR(IF(OR(D13="",Bonds_Live!Q11="",Bonds_Live!S11=""),"",D13 + (-Bonds_Live!Q11*(150)/100 + Bonds_Live!S11*POWER(150,2)/2000000)),"")</f>
        <v/>
      </c>
      <c r="Y13" s="16">
        <f>IFERROR(IF(OR(D13="",Bonds_Live!Q11="",Bonds_Live!S11=""),"",D13 + (-Bonds_Live!Q11*(0)/100 + Bonds_Live!S11*POWER(0,2)/2000000)),"")</f>
        <v/>
      </c>
      <c r="Z13" s="16">
        <f>IFERROR(IF(OR(D13="",Bonds_Live!Q11="",Bonds_Live!S11=""),"",D13 + (-Bonds_Live!Q11*(50)/100 + Bonds_Live!S11*POWER(50,2)/2000000)),"")</f>
        <v/>
      </c>
      <c r="AA13" s="16">
        <f>IFERROR(IF(OR(D13="",Bonds_Live!Q11="",Bonds_Live!S11=""),"",D13 + (-Bonds_Live!Q11*(100)/100 + Bonds_Live!S11*POWER(100,2)/2000000)),"")</f>
        <v/>
      </c>
      <c r="AB13" s="16">
        <f>IFERROR(IF(OR(D13="",Bonds_Live!Q11="",Bonds_Live!S11=""),"",D13 + (-Bonds_Live!Q11*(150)/100 + Bonds_Live!S11*POWER(150,2)/2000000)),"")</f>
        <v/>
      </c>
      <c r="AC13" s="16">
        <f>IFERROR(IF(OR(D13="",Bonds_Live!Q11="",Bonds_Live!S11=""),"",D13 + (-Bonds_Live!Q11*(200)/100 + Bonds_Live!S11*POWER(200,2)/2000000)),"")</f>
        <v/>
      </c>
    </row>
    <row r="14">
      <c r="A14" s="25">
        <f>Bonds_Static!A12</f>
        <v/>
      </c>
      <c r="B14" s="25">
        <f>Bonds_Static!C12</f>
        <v/>
      </c>
      <c r="C14" s="26">
        <f>IFERROR(Bonds_Static!G12,"")</f>
        <v/>
      </c>
      <c r="D14" s="36">
        <f>IFERROR(Carry_Roll!M12,"")</f>
        <v/>
      </c>
      <c r="E14" s="16">
        <f>IFERROR(IF(OR(D14="",Bonds_Live!Q12="",Bonds_Live!S12=""),"",D14 + (-Bonds_Live!Q12*(-200)/100 + Bonds_Live!S12*POWER(-200,2)/2000000)),"")</f>
        <v/>
      </c>
      <c r="F14" s="16">
        <f>IFERROR(IF(OR(D14="",Bonds_Live!Q12="",Bonds_Live!S12=""),"",D14 + (-Bonds_Live!Q12*(-150)/100 + Bonds_Live!S12*POWER(-150,2)/2000000)),"")</f>
        <v/>
      </c>
      <c r="G14" s="16">
        <f>IFERROR(IF(OR(D14="",Bonds_Live!Q12="",Bonds_Live!S12=""),"",D14 + (-Bonds_Live!Q12*(-100)/100 + Bonds_Live!S12*POWER(-100,2)/2000000)),"")</f>
        <v/>
      </c>
      <c r="H14" s="16">
        <f>IFERROR(IF(OR(D14="",Bonds_Live!Q12="",Bonds_Live!S12=""),"",D14 + (-Bonds_Live!Q12*(-50)/100 + Bonds_Live!S12*POWER(-50,2)/2000000)),"")</f>
        <v/>
      </c>
      <c r="I14" s="16">
        <f>IFERROR(IF(OR(D14="",Bonds_Live!Q12="",Bonds_Live!S12=""),"",D14 + (-Bonds_Live!Q12*(0)/100 + Bonds_Live!S12*POWER(0,2)/2000000)),"")</f>
        <v/>
      </c>
      <c r="J14" s="16">
        <f>IFERROR(IF(OR(D14="",Bonds_Live!Q12="",Bonds_Live!S12=""),"",D14 + (-Bonds_Live!Q12*(-150)/100 + Bonds_Live!S12*POWER(-150,2)/2000000)),"")</f>
        <v/>
      </c>
      <c r="K14" s="16">
        <f>IFERROR(IF(OR(D14="",Bonds_Live!Q12="",Bonds_Live!S12=""),"",D14 + (-Bonds_Live!Q12*(-100)/100 + Bonds_Live!S12*POWER(-100,2)/2000000)),"")</f>
        <v/>
      </c>
      <c r="L14" s="16">
        <f>IFERROR(IF(OR(D14="",Bonds_Live!Q12="",Bonds_Live!S12=""),"",D14 + (-Bonds_Live!Q12*(-50)/100 + Bonds_Live!S12*POWER(-50,2)/2000000)),"")</f>
        <v/>
      </c>
      <c r="M14" s="16">
        <f>IFERROR(IF(OR(D14="",Bonds_Live!Q12="",Bonds_Live!S12=""),"",D14 + (-Bonds_Live!Q12*(0)/100 + Bonds_Live!S12*POWER(0,2)/2000000)),"")</f>
        <v/>
      </c>
      <c r="N14" s="16">
        <f>IFERROR(IF(OR(D14="",Bonds_Live!Q12="",Bonds_Live!S12=""),"",D14 + (-Bonds_Live!Q12*(50)/100 + Bonds_Live!S12*POWER(50,2)/2000000)),"")</f>
        <v/>
      </c>
      <c r="O14" s="16">
        <f>IFERROR(IF(OR(D14="",Bonds_Live!Q12="",Bonds_Live!S12=""),"",D14 + (-Bonds_Live!Q12*(-100)/100 + Bonds_Live!S12*POWER(-100,2)/2000000)),"")</f>
        <v/>
      </c>
      <c r="P14" s="16">
        <f>IFERROR(IF(OR(D14="",Bonds_Live!Q12="",Bonds_Live!S12=""),"",D14 + (-Bonds_Live!Q12*(-50)/100 + Bonds_Live!S12*POWER(-50,2)/2000000)),"")</f>
        <v/>
      </c>
      <c r="Q14" s="16">
        <f>IFERROR(IF(OR(D14="",Bonds_Live!Q12="",Bonds_Live!S12=""),"",D14 + (-Bonds_Live!Q12*(0)/100 + Bonds_Live!S12*POWER(0,2)/2000000)),"")</f>
        <v/>
      </c>
      <c r="R14" s="16">
        <f>IFERROR(IF(OR(D14="",Bonds_Live!Q12="",Bonds_Live!S12=""),"",D14 + (-Bonds_Live!Q12*(50)/100 + Bonds_Live!S12*POWER(50,2)/2000000)),"")</f>
        <v/>
      </c>
      <c r="S14" s="16">
        <f>IFERROR(IF(OR(D14="",Bonds_Live!Q12="",Bonds_Live!S12=""),"",D14 + (-Bonds_Live!Q12*(100)/100 + Bonds_Live!S12*POWER(100,2)/2000000)),"")</f>
        <v/>
      </c>
      <c r="T14" s="16">
        <f>IFERROR(IF(OR(D14="",Bonds_Live!Q12="",Bonds_Live!S12=""),"",D14 + (-Bonds_Live!Q12*(-50)/100 + Bonds_Live!S12*POWER(-50,2)/2000000)),"")</f>
        <v/>
      </c>
      <c r="U14" s="16">
        <f>IFERROR(IF(OR(D14="",Bonds_Live!Q12="",Bonds_Live!S12=""),"",D14 + (-Bonds_Live!Q12*(0)/100 + Bonds_Live!S12*POWER(0,2)/2000000)),"")</f>
        <v/>
      </c>
      <c r="V14" s="16">
        <f>IFERROR(IF(OR(D14="",Bonds_Live!Q12="",Bonds_Live!S12=""),"",D14 + (-Bonds_Live!Q12*(50)/100 + Bonds_Live!S12*POWER(50,2)/2000000)),"")</f>
        <v/>
      </c>
      <c r="W14" s="16">
        <f>IFERROR(IF(OR(D14="",Bonds_Live!Q12="",Bonds_Live!S12=""),"",D14 + (-Bonds_Live!Q12*(100)/100 + Bonds_Live!S12*POWER(100,2)/2000000)),"")</f>
        <v/>
      </c>
      <c r="X14" s="16">
        <f>IFERROR(IF(OR(D14="",Bonds_Live!Q12="",Bonds_Live!S12=""),"",D14 + (-Bonds_Live!Q12*(150)/100 + Bonds_Live!S12*POWER(150,2)/2000000)),"")</f>
        <v/>
      </c>
      <c r="Y14" s="16">
        <f>IFERROR(IF(OR(D14="",Bonds_Live!Q12="",Bonds_Live!S12=""),"",D14 + (-Bonds_Live!Q12*(0)/100 + Bonds_Live!S12*POWER(0,2)/2000000)),"")</f>
        <v/>
      </c>
      <c r="Z14" s="16">
        <f>IFERROR(IF(OR(D14="",Bonds_Live!Q12="",Bonds_Live!S12=""),"",D14 + (-Bonds_Live!Q12*(50)/100 + Bonds_Live!S12*POWER(50,2)/2000000)),"")</f>
        <v/>
      </c>
      <c r="AA14" s="16">
        <f>IFERROR(IF(OR(D14="",Bonds_Live!Q12="",Bonds_Live!S12=""),"",D14 + (-Bonds_Live!Q12*(100)/100 + Bonds_Live!S12*POWER(100,2)/2000000)),"")</f>
        <v/>
      </c>
      <c r="AB14" s="16">
        <f>IFERROR(IF(OR(D14="",Bonds_Live!Q12="",Bonds_Live!S12=""),"",D14 + (-Bonds_Live!Q12*(150)/100 + Bonds_Live!S12*POWER(150,2)/2000000)),"")</f>
        <v/>
      </c>
      <c r="AC14" s="16">
        <f>IFERROR(IF(OR(D14="",Bonds_Live!Q12="",Bonds_Live!S12=""),"",D14 + (-Bonds_Live!Q12*(200)/100 + Bonds_Live!S12*POWER(200,2)/2000000)),"")</f>
        <v/>
      </c>
    </row>
    <row r="15">
      <c r="A15" s="25">
        <f>Bonds_Static!A13</f>
        <v/>
      </c>
      <c r="B15" s="25">
        <f>Bonds_Static!C13</f>
        <v/>
      </c>
      <c r="C15" s="26">
        <f>IFERROR(Bonds_Static!G13,"")</f>
        <v/>
      </c>
      <c r="D15" s="36">
        <f>IFERROR(Carry_Roll!M13,"")</f>
        <v/>
      </c>
      <c r="E15" s="16">
        <f>IFERROR(IF(OR(D15="",Bonds_Live!Q13="",Bonds_Live!S13=""),"",D15 + (-Bonds_Live!Q13*(-200)/100 + Bonds_Live!S13*POWER(-200,2)/2000000)),"")</f>
        <v/>
      </c>
      <c r="F15" s="16">
        <f>IFERROR(IF(OR(D15="",Bonds_Live!Q13="",Bonds_Live!S13=""),"",D15 + (-Bonds_Live!Q13*(-150)/100 + Bonds_Live!S13*POWER(-150,2)/2000000)),"")</f>
        <v/>
      </c>
      <c r="G15" s="16">
        <f>IFERROR(IF(OR(D15="",Bonds_Live!Q13="",Bonds_Live!S13=""),"",D15 + (-Bonds_Live!Q13*(-100)/100 + Bonds_Live!S13*POWER(-100,2)/2000000)),"")</f>
        <v/>
      </c>
      <c r="H15" s="16">
        <f>IFERROR(IF(OR(D15="",Bonds_Live!Q13="",Bonds_Live!S13=""),"",D15 + (-Bonds_Live!Q13*(-50)/100 + Bonds_Live!S13*POWER(-50,2)/2000000)),"")</f>
        <v/>
      </c>
      <c r="I15" s="16">
        <f>IFERROR(IF(OR(D15="",Bonds_Live!Q13="",Bonds_Live!S13=""),"",D15 + (-Bonds_Live!Q13*(0)/100 + Bonds_Live!S13*POWER(0,2)/2000000)),"")</f>
        <v/>
      </c>
      <c r="J15" s="16">
        <f>IFERROR(IF(OR(D15="",Bonds_Live!Q13="",Bonds_Live!S13=""),"",D15 + (-Bonds_Live!Q13*(-150)/100 + Bonds_Live!S13*POWER(-150,2)/2000000)),"")</f>
        <v/>
      </c>
      <c r="K15" s="16">
        <f>IFERROR(IF(OR(D15="",Bonds_Live!Q13="",Bonds_Live!S13=""),"",D15 + (-Bonds_Live!Q13*(-100)/100 + Bonds_Live!S13*POWER(-100,2)/2000000)),"")</f>
        <v/>
      </c>
      <c r="L15" s="16">
        <f>IFERROR(IF(OR(D15="",Bonds_Live!Q13="",Bonds_Live!S13=""),"",D15 + (-Bonds_Live!Q13*(-50)/100 + Bonds_Live!S13*POWER(-50,2)/2000000)),"")</f>
        <v/>
      </c>
      <c r="M15" s="16">
        <f>IFERROR(IF(OR(D15="",Bonds_Live!Q13="",Bonds_Live!S13=""),"",D15 + (-Bonds_Live!Q13*(0)/100 + Bonds_Live!S13*POWER(0,2)/2000000)),"")</f>
        <v/>
      </c>
      <c r="N15" s="16">
        <f>IFERROR(IF(OR(D15="",Bonds_Live!Q13="",Bonds_Live!S13=""),"",D15 + (-Bonds_Live!Q13*(50)/100 + Bonds_Live!S13*POWER(50,2)/2000000)),"")</f>
        <v/>
      </c>
      <c r="O15" s="16">
        <f>IFERROR(IF(OR(D15="",Bonds_Live!Q13="",Bonds_Live!S13=""),"",D15 + (-Bonds_Live!Q13*(-100)/100 + Bonds_Live!S13*POWER(-100,2)/2000000)),"")</f>
        <v/>
      </c>
      <c r="P15" s="16">
        <f>IFERROR(IF(OR(D15="",Bonds_Live!Q13="",Bonds_Live!S13=""),"",D15 + (-Bonds_Live!Q13*(-50)/100 + Bonds_Live!S13*POWER(-50,2)/2000000)),"")</f>
        <v/>
      </c>
      <c r="Q15" s="16">
        <f>IFERROR(IF(OR(D15="",Bonds_Live!Q13="",Bonds_Live!S13=""),"",D15 + (-Bonds_Live!Q13*(0)/100 + Bonds_Live!S13*POWER(0,2)/2000000)),"")</f>
        <v/>
      </c>
      <c r="R15" s="16">
        <f>IFERROR(IF(OR(D15="",Bonds_Live!Q13="",Bonds_Live!S13=""),"",D15 + (-Bonds_Live!Q13*(50)/100 + Bonds_Live!S13*POWER(50,2)/2000000)),"")</f>
        <v/>
      </c>
      <c r="S15" s="16">
        <f>IFERROR(IF(OR(D15="",Bonds_Live!Q13="",Bonds_Live!S13=""),"",D15 + (-Bonds_Live!Q13*(100)/100 + Bonds_Live!S13*POWER(100,2)/2000000)),"")</f>
        <v/>
      </c>
      <c r="T15" s="16">
        <f>IFERROR(IF(OR(D15="",Bonds_Live!Q13="",Bonds_Live!S13=""),"",D15 + (-Bonds_Live!Q13*(-50)/100 + Bonds_Live!S13*POWER(-50,2)/2000000)),"")</f>
        <v/>
      </c>
      <c r="U15" s="16">
        <f>IFERROR(IF(OR(D15="",Bonds_Live!Q13="",Bonds_Live!S13=""),"",D15 + (-Bonds_Live!Q13*(0)/100 + Bonds_Live!S13*POWER(0,2)/2000000)),"")</f>
        <v/>
      </c>
      <c r="V15" s="16">
        <f>IFERROR(IF(OR(D15="",Bonds_Live!Q13="",Bonds_Live!S13=""),"",D15 + (-Bonds_Live!Q13*(50)/100 + Bonds_Live!S13*POWER(50,2)/2000000)),"")</f>
        <v/>
      </c>
      <c r="W15" s="16">
        <f>IFERROR(IF(OR(D15="",Bonds_Live!Q13="",Bonds_Live!S13=""),"",D15 + (-Bonds_Live!Q13*(100)/100 + Bonds_Live!S13*POWER(100,2)/2000000)),"")</f>
        <v/>
      </c>
      <c r="X15" s="16">
        <f>IFERROR(IF(OR(D15="",Bonds_Live!Q13="",Bonds_Live!S13=""),"",D15 + (-Bonds_Live!Q13*(150)/100 + Bonds_Live!S13*POWER(150,2)/2000000)),"")</f>
        <v/>
      </c>
      <c r="Y15" s="16">
        <f>IFERROR(IF(OR(D15="",Bonds_Live!Q13="",Bonds_Live!S13=""),"",D15 + (-Bonds_Live!Q13*(0)/100 + Bonds_Live!S13*POWER(0,2)/2000000)),"")</f>
        <v/>
      </c>
      <c r="Z15" s="16">
        <f>IFERROR(IF(OR(D15="",Bonds_Live!Q13="",Bonds_Live!S13=""),"",D15 + (-Bonds_Live!Q13*(50)/100 + Bonds_Live!S13*POWER(50,2)/2000000)),"")</f>
        <v/>
      </c>
      <c r="AA15" s="16">
        <f>IFERROR(IF(OR(D15="",Bonds_Live!Q13="",Bonds_Live!S13=""),"",D15 + (-Bonds_Live!Q13*(100)/100 + Bonds_Live!S13*POWER(100,2)/2000000)),"")</f>
        <v/>
      </c>
      <c r="AB15" s="16">
        <f>IFERROR(IF(OR(D15="",Bonds_Live!Q13="",Bonds_Live!S13=""),"",D15 + (-Bonds_Live!Q13*(150)/100 + Bonds_Live!S13*POWER(150,2)/2000000)),"")</f>
        <v/>
      </c>
      <c r="AC15" s="16">
        <f>IFERROR(IF(OR(D15="",Bonds_Live!Q13="",Bonds_Live!S13=""),"",D15 + (-Bonds_Live!Q13*(200)/100 + Bonds_Live!S13*POWER(200,2)/2000000)),"")</f>
        <v/>
      </c>
    </row>
    <row r="16">
      <c r="A16" s="25">
        <f>Bonds_Static!A14</f>
        <v/>
      </c>
      <c r="B16" s="25">
        <f>Bonds_Static!C14</f>
        <v/>
      </c>
      <c r="C16" s="26">
        <f>IFERROR(Bonds_Static!G14,"")</f>
        <v/>
      </c>
      <c r="D16" s="36">
        <f>IFERROR(Carry_Roll!M14,"")</f>
        <v/>
      </c>
      <c r="E16" s="16">
        <f>IFERROR(IF(OR(D16="",Bonds_Live!Q14="",Bonds_Live!S14=""),"",D16 + (-Bonds_Live!Q14*(-200)/100 + Bonds_Live!S14*POWER(-200,2)/2000000)),"")</f>
        <v/>
      </c>
      <c r="F16" s="16">
        <f>IFERROR(IF(OR(D16="",Bonds_Live!Q14="",Bonds_Live!S14=""),"",D16 + (-Bonds_Live!Q14*(-150)/100 + Bonds_Live!S14*POWER(-150,2)/2000000)),"")</f>
        <v/>
      </c>
      <c r="G16" s="16">
        <f>IFERROR(IF(OR(D16="",Bonds_Live!Q14="",Bonds_Live!S14=""),"",D16 + (-Bonds_Live!Q14*(-100)/100 + Bonds_Live!S14*POWER(-100,2)/2000000)),"")</f>
        <v/>
      </c>
      <c r="H16" s="16">
        <f>IFERROR(IF(OR(D16="",Bonds_Live!Q14="",Bonds_Live!S14=""),"",D16 + (-Bonds_Live!Q14*(-50)/100 + Bonds_Live!S14*POWER(-50,2)/2000000)),"")</f>
        <v/>
      </c>
      <c r="I16" s="16">
        <f>IFERROR(IF(OR(D16="",Bonds_Live!Q14="",Bonds_Live!S14=""),"",D16 + (-Bonds_Live!Q14*(0)/100 + Bonds_Live!S14*POWER(0,2)/2000000)),"")</f>
        <v/>
      </c>
      <c r="J16" s="16">
        <f>IFERROR(IF(OR(D16="",Bonds_Live!Q14="",Bonds_Live!S14=""),"",D16 + (-Bonds_Live!Q14*(-150)/100 + Bonds_Live!S14*POWER(-150,2)/2000000)),"")</f>
        <v/>
      </c>
      <c r="K16" s="16">
        <f>IFERROR(IF(OR(D16="",Bonds_Live!Q14="",Bonds_Live!S14=""),"",D16 + (-Bonds_Live!Q14*(-100)/100 + Bonds_Live!S14*POWER(-100,2)/2000000)),"")</f>
        <v/>
      </c>
      <c r="L16" s="16">
        <f>IFERROR(IF(OR(D16="",Bonds_Live!Q14="",Bonds_Live!S14=""),"",D16 + (-Bonds_Live!Q14*(-50)/100 + Bonds_Live!S14*POWER(-50,2)/2000000)),"")</f>
        <v/>
      </c>
      <c r="M16" s="16">
        <f>IFERROR(IF(OR(D16="",Bonds_Live!Q14="",Bonds_Live!S14=""),"",D16 + (-Bonds_Live!Q14*(0)/100 + Bonds_Live!S14*POWER(0,2)/2000000)),"")</f>
        <v/>
      </c>
      <c r="N16" s="16">
        <f>IFERROR(IF(OR(D16="",Bonds_Live!Q14="",Bonds_Live!S14=""),"",D16 + (-Bonds_Live!Q14*(50)/100 + Bonds_Live!S14*POWER(50,2)/2000000)),"")</f>
        <v/>
      </c>
      <c r="O16" s="16">
        <f>IFERROR(IF(OR(D16="",Bonds_Live!Q14="",Bonds_Live!S14=""),"",D16 + (-Bonds_Live!Q14*(-100)/100 + Bonds_Live!S14*POWER(-100,2)/2000000)),"")</f>
        <v/>
      </c>
      <c r="P16" s="16">
        <f>IFERROR(IF(OR(D16="",Bonds_Live!Q14="",Bonds_Live!S14=""),"",D16 + (-Bonds_Live!Q14*(-50)/100 + Bonds_Live!S14*POWER(-50,2)/2000000)),"")</f>
        <v/>
      </c>
      <c r="Q16" s="16">
        <f>IFERROR(IF(OR(D16="",Bonds_Live!Q14="",Bonds_Live!S14=""),"",D16 + (-Bonds_Live!Q14*(0)/100 + Bonds_Live!S14*POWER(0,2)/2000000)),"")</f>
        <v/>
      </c>
      <c r="R16" s="16">
        <f>IFERROR(IF(OR(D16="",Bonds_Live!Q14="",Bonds_Live!S14=""),"",D16 + (-Bonds_Live!Q14*(50)/100 + Bonds_Live!S14*POWER(50,2)/2000000)),"")</f>
        <v/>
      </c>
      <c r="S16" s="16">
        <f>IFERROR(IF(OR(D16="",Bonds_Live!Q14="",Bonds_Live!S14=""),"",D16 + (-Bonds_Live!Q14*(100)/100 + Bonds_Live!S14*POWER(100,2)/2000000)),"")</f>
        <v/>
      </c>
      <c r="T16" s="16">
        <f>IFERROR(IF(OR(D16="",Bonds_Live!Q14="",Bonds_Live!S14=""),"",D16 + (-Bonds_Live!Q14*(-50)/100 + Bonds_Live!S14*POWER(-50,2)/2000000)),"")</f>
        <v/>
      </c>
      <c r="U16" s="16">
        <f>IFERROR(IF(OR(D16="",Bonds_Live!Q14="",Bonds_Live!S14=""),"",D16 + (-Bonds_Live!Q14*(0)/100 + Bonds_Live!S14*POWER(0,2)/2000000)),"")</f>
        <v/>
      </c>
      <c r="V16" s="16">
        <f>IFERROR(IF(OR(D16="",Bonds_Live!Q14="",Bonds_Live!S14=""),"",D16 + (-Bonds_Live!Q14*(50)/100 + Bonds_Live!S14*POWER(50,2)/2000000)),"")</f>
        <v/>
      </c>
      <c r="W16" s="16">
        <f>IFERROR(IF(OR(D16="",Bonds_Live!Q14="",Bonds_Live!S14=""),"",D16 + (-Bonds_Live!Q14*(100)/100 + Bonds_Live!S14*POWER(100,2)/2000000)),"")</f>
        <v/>
      </c>
      <c r="X16" s="16">
        <f>IFERROR(IF(OR(D16="",Bonds_Live!Q14="",Bonds_Live!S14=""),"",D16 + (-Bonds_Live!Q14*(150)/100 + Bonds_Live!S14*POWER(150,2)/2000000)),"")</f>
        <v/>
      </c>
      <c r="Y16" s="16">
        <f>IFERROR(IF(OR(D16="",Bonds_Live!Q14="",Bonds_Live!S14=""),"",D16 + (-Bonds_Live!Q14*(0)/100 + Bonds_Live!S14*POWER(0,2)/2000000)),"")</f>
        <v/>
      </c>
      <c r="Z16" s="16">
        <f>IFERROR(IF(OR(D16="",Bonds_Live!Q14="",Bonds_Live!S14=""),"",D16 + (-Bonds_Live!Q14*(50)/100 + Bonds_Live!S14*POWER(50,2)/2000000)),"")</f>
        <v/>
      </c>
      <c r="AA16" s="16">
        <f>IFERROR(IF(OR(D16="",Bonds_Live!Q14="",Bonds_Live!S14=""),"",D16 + (-Bonds_Live!Q14*(100)/100 + Bonds_Live!S14*POWER(100,2)/2000000)),"")</f>
        <v/>
      </c>
      <c r="AB16" s="16">
        <f>IFERROR(IF(OR(D16="",Bonds_Live!Q14="",Bonds_Live!S14=""),"",D16 + (-Bonds_Live!Q14*(150)/100 + Bonds_Live!S14*POWER(150,2)/2000000)),"")</f>
        <v/>
      </c>
      <c r="AC16" s="16">
        <f>IFERROR(IF(OR(D16="",Bonds_Live!Q14="",Bonds_Live!S14=""),"",D16 + (-Bonds_Live!Q14*(200)/100 + Bonds_Live!S14*POWER(200,2)/2000000)),"")</f>
        <v/>
      </c>
    </row>
    <row r="17">
      <c r="A17" s="25">
        <f>Bonds_Static!A15</f>
        <v/>
      </c>
      <c r="B17" s="25">
        <f>Bonds_Static!C15</f>
        <v/>
      </c>
      <c r="C17" s="26">
        <f>IFERROR(Bonds_Static!G15,"")</f>
        <v/>
      </c>
      <c r="D17" s="36">
        <f>IFERROR(Carry_Roll!M15,"")</f>
        <v/>
      </c>
      <c r="E17" s="16">
        <f>IFERROR(IF(OR(D17="",Bonds_Live!Q15="",Bonds_Live!S15=""),"",D17 + (-Bonds_Live!Q15*(-200)/100 + Bonds_Live!S15*POWER(-200,2)/2000000)),"")</f>
        <v/>
      </c>
      <c r="F17" s="16">
        <f>IFERROR(IF(OR(D17="",Bonds_Live!Q15="",Bonds_Live!S15=""),"",D17 + (-Bonds_Live!Q15*(-150)/100 + Bonds_Live!S15*POWER(-150,2)/2000000)),"")</f>
        <v/>
      </c>
      <c r="G17" s="16">
        <f>IFERROR(IF(OR(D17="",Bonds_Live!Q15="",Bonds_Live!S15=""),"",D17 + (-Bonds_Live!Q15*(-100)/100 + Bonds_Live!S15*POWER(-100,2)/2000000)),"")</f>
        <v/>
      </c>
      <c r="H17" s="16">
        <f>IFERROR(IF(OR(D17="",Bonds_Live!Q15="",Bonds_Live!S15=""),"",D17 + (-Bonds_Live!Q15*(-50)/100 + Bonds_Live!S15*POWER(-50,2)/2000000)),"")</f>
        <v/>
      </c>
      <c r="I17" s="16">
        <f>IFERROR(IF(OR(D17="",Bonds_Live!Q15="",Bonds_Live!S15=""),"",D17 + (-Bonds_Live!Q15*(0)/100 + Bonds_Live!S15*POWER(0,2)/2000000)),"")</f>
        <v/>
      </c>
      <c r="J17" s="16">
        <f>IFERROR(IF(OR(D17="",Bonds_Live!Q15="",Bonds_Live!S15=""),"",D17 + (-Bonds_Live!Q15*(-150)/100 + Bonds_Live!S15*POWER(-150,2)/2000000)),"")</f>
        <v/>
      </c>
      <c r="K17" s="16">
        <f>IFERROR(IF(OR(D17="",Bonds_Live!Q15="",Bonds_Live!S15=""),"",D17 + (-Bonds_Live!Q15*(-100)/100 + Bonds_Live!S15*POWER(-100,2)/2000000)),"")</f>
        <v/>
      </c>
      <c r="L17" s="16">
        <f>IFERROR(IF(OR(D17="",Bonds_Live!Q15="",Bonds_Live!S15=""),"",D17 + (-Bonds_Live!Q15*(-50)/100 + Bonds_Live!S15*POWER(-50,2)/2000000)),"")</f>
        <v/>
      </c>
      <c r="M17" s="16">
        <f>IFERROR(IF(OR(D17="",Bonds_Live!Q15="",Bonds_Live!S15=""),"",D17 + (-Bonds_Live!Q15*(0)/100 + Bonds_Live!S15*POWER(0,2)/2000000)),"")</f>
        <v/>
      </c>
      <c r="N17" s="16">
        <f>IFERROR(IF(OR(D17="",Bonds_Live!Q15="",Bonds_Live!S15=""),"",D17 + (-Bonds_Live!Q15*(50)/100 + Bonds_Live!S15*POWER(50,2)/2000000)),"")</f>
        <v/>
      </c>
      <c r="O17" s="16">
        <f>IFERROR(IF(OR(D17="",Bonds_Live!Q15="",Bonds_Live!S15=""),"",D17 + (-Bonds_Live!Q15*(-100)/100 + Bonds_Live!S15*POWER(-100,2)/2000000)),"")</f>
        <v/>
      </c>
      <c r="P17" s="16">
        <f>IFERROR(IF(OR(D17="",Bonds_Live!Q15="",Bonds_Live!S15=""),"",D17 + (-Bonds_Live!Q15*(-50)/100 + Bonds_Live!S15*POWER(-50,2)/2000000)),"")</f>
        <v/>
      </c>
      <c r="Q17" s="16">
        <f>IFERROR(IF(OR(D17="",Bonds_Live!Q15="",Bonds_Live!S15=""),"",D17 + (-Bonds_Live!Q15*(0)/100 + Bonds_Live!S15*POWER(0,2)/2000000)),"")</f>
        <v/>
      </c>
      <c r="R17" s="16">
        <f>IFERROR(IF(OR(D17="",Bonds_Live!Q15="",Bonds_Live!S15=""),"",D17 + (-Bonds_Live!Q15*(50)/100 + Bonds_Live!S15*POWER(50,2)/2000000)),"")</f>
        <v/>
      </c>
      <c r="S17" s="16">
        <f>IFERROR(IF(OR(D17="",Bonds_Live!Q15="",Bonds_Live!S15=""),"",D17 + (-Bonds_Live!Q15*(100)/100 + Bonds_Live!S15*POWER(100,2)/2000000)),"")</f>
        <v/>
      </c>
      <c r="T17" s="16">
        <f>IFERROR(IF(OR(D17="",Bonds_Live!Q15="",Bonds_Live!S15=""),"",D17 + (-Bonds_Live!Q15*(-50)/100 + Bonds_Live!S15*POWER(-50,2)/2000000)),"")</f>
        <v/>
      </c>
      <c r="U17" s="16">
        <f>IFERROR(IF(OR(D17="",Bonds_Live!Q15="",Bonds_Live!S15=""),"",D17 + (-Bonds_Live!Q15*(0)/100 + Bonds_Live!S15*POWER(0,2)/2000000)),"")</f>
        <v/>
      </c>
      <c r="V17" s="16">
        <f>IFERROR(IF(OR(D17="",Bonds_Live!Q15="",Bonds_Live!S15=""),"",D17 + (-Bonds_Live!Q15*(50)/100 + Bonds_Live!S15*POWER(50,2)/2000000)),"")</f>
        <v/>
      </c>
      <c r="W17" s="16">
        <f>IFERROR(IF(OR(D17="",Bonds_Live!Q15="",Bonds_Live!S15=""),"",D17 + (-Bonds_Live!Q15*(100)/100 + Bonds_Live!S15*POWER(100,2)/2000000)),"")</f>
        <v/>
      </c>
      <c r="X17" s="16">
        <f>IFERROR(IF(OR(D17="",Bonds_Live!Q15="",Bonds_Live!S15=""),"",D17 + (-Bonds_Live!Q15*(150)/100 + Bonds_Live!S15*POWER(150,2)/2000000)),"")</f>
        <v/>
      </c>
      <c r="Y17" s="16">
        <f>IFERROR(IF(OR(D17="",Bonds_Live!Q15="",Bonds_Live!S15=""),"",D17 + (-Bonds_Live!Q15*(0)/100 + Bonds_Live!S15*POWER(0,2)/2000000)),"")</f>
        <v/>
      </c>
      <c r="Z17" s="16">
        <f>IFERROR(IF(OR(D17="",Bonds_Live!Q15="",Bonds_Live!S15=""),"",D17 + (-Bonds_Live!Q15*(50)/100 + Bonds_Live!S15*POWER(50,2)/2000000)),"")</f>
        <v/>
      </c>
      <c r="AA17" s="16">
        <f>IFERROR(IF(OR(D17="",Bonds_Live!Q15="",Bonds_Live!S15=""),"",D17 + (-Bonds_Live!Q15*(100)/100 + Bonds_Live!S15*POWER(100,2)/2000000)),"")</f>
        <v/>
      </c>
      <c r="AB17" s="16">
        <f>IFERROR(IF(OR(D17="",Bonds_Live!Q15="",Bonds_Live!S15=""),"",D17 + (-Bonds_Live!Q15*(150)/100 + Bonds_Live!S15*POWER(150,2)/2000000)),"")</f>
        <v/>
      </c>
      <c r="AC17" s="16">
        <f>IFERROR(IF(OR(D17="",Bonds_Live!Q15="",Bonds_Live!S15=""),"",D17 + (-Bonds_Live!Q15*(200)/100 + Bonds_Live!S15*POWER(200,2)/2000000)),"")</f>
        <v/>
      </c>
    </row>
    <row r="18">
      <c r="A18" s="25">
        <f>Bonds_Static!A16</f>
        <v/>
      </c>
      <c r="B18" s="25">
        <f>Bonds_Static!C16</f>
        <v/>
      </c>
      <c r="C18" s="26">
        <f>IFERROR(Bonds_Static!G16,"")</f>
        <v/>
      </c>
      <c r="D18" s="36">
        <f>IFERROR(Carry_Roll!M16,"")</f>
        <v/>
      </c>
      <c r="E18" s="16">
        <f>IFERROR(IF(OR(D18="",Bonds_Live!Q16="",Bonds_Live!S16=""),"",D18 + (-Bonds_Live!Q16*(-200)/100 + Bonds_Live!S16*POWER(-200,2)/2000000)),"")</f>
        <v/>
      </c>
      <c r="F18" s="16">
        <f>IFERROR(IF(OR(D18="",Bonds_Live!Q16="",Bonds_Live!S16=""),"",D18 + (-Bonds_Live!Q16*(-150)/100 + Bonds_Live!S16*POWER(-150,2)/2000000)),"")</f>
        <v/>
      </c>
      <c r="G18" s="16">
        <f>IFERROR(IF(OR(D18="",Bonds_Live!Q16="",Bonds_Live!S16=""),"",D18 + (-Bonds_Live!Q16*(-100)/100 + Bonds_Live!S16*POWER(-100,2)/2000000)),"")</f>
        <v/>
      </c>
      <c r="H18" s="16">
        <f>IFERROR(IF(OR(D18="",Bonds_Live!Q16="",Bonds_Live!S16=""),"",D18 + (-Bonds_Live!Q16*(-50)/100 + Bonds_Live!S16*POWER(-50,2)/2000000)),"")</f>
        <v/>
      </c>
      <c r="I18" s="16">
        <f>IFERROR(IF(OR(D18="",Bonds_Live!Q16="",Bonds_Live!S16=""),"",D18 + (-Bonds_Live!Q16*(0)/100 + Bonds_Live!S16*POWER(0,2)/2000000)),"")</f>
        <v/>
      </c>
      <c r="J18" s="16">
        <f>IFERROR(IF(OR(D18="",Bonds_Live!Q16="",Bonds_Live!S16=""),"",D18 + (-Bonds_Live!Q16*(-150)/100 + Bonds_Live!S16*POWER(-150,2)/2000000)),"")</f>
        <v/>
      </c>
      <c r="K18" s="16">
        <f>IFERROR(IF(OR(D18="",Bonds_Live!Q16="",Bonds_Live!S16=""),"",D18 + (-Bonds_Live!Q16*(-100)/100 + Bonds_Live!S16*POWER(-100,2)/2000000)),"")</f>
        <v/>
      </c>
      <c r="L18" s="16">
        <f>IFERROR(IF(OR(D18="",Bonds_Live!Q16="",Bonds_Live!S16=""),"",D18 + (-Bonds_Live!Q16*(-50)/100 + Bonds_Live!S16*POWER(-50,2)/2000000)),"")</f>
        <v/>
      </c>
      <c r="M18" s="16">
        <f>IFERROR(IF(OR(D18="",Bonds_Live!Q16="",Bonds_Live!S16=""),"",D18 + (-Bonds_Live!Q16*(0)/100 + Bonds_Live!S16*POWER(0,2)/2000000)),"")</f>
        <v/>
      </c>
      <c r="N18" s="16">
        <f>IFERROR(IF(OR(D18="",Bonds_Live!Q16="",Bonds_Live!S16=""),"",D18 + (-Bonds_Live!Q16*(50)/100 + Bonds_Live!S16*POWER(50,2)/2000000)),"")</f>
        <v/>
      </c>
      <c r="O18" s="16">
        <f>IFERROR(IF(OR(D18="",Bonds_Live!Q16="",Bonds_Live!S16=""),"",D18 + (-Bonds_Live!Q16*(-100)/100 + Bonds_Live!S16*POWER(-100,2)/2000000)),"")</f>
        <v/>
      </c>
      <c r="P18" s="16">
        <f>IFERROR(IF(OR(D18="",Bonds_Live!Q16="",Bonds_Live!S16=""),"",D18 + (-Bonds_Live!Q16*(-50)/100 + Bonds_Live!S16*POWER(-50,2)/2000000)),"")</f>
        <v/>
      </c>
      <c r="Q18" s="16">
        <f>IFERROR(IF(OR(D18="",Bonds_Live!Q16="",Bonds_Live!S16=""),"",D18 + (-Bonds_Live!Q16*(0)/100 + Bonds_Live!S16*POWER(0,2)/2000000)),"")</f>
        <v/>
      </c>
      <c r="R18" s="16">
        <f>IFERROR(IF(OR(D18="",Bonds_Live!Q16="",Bonds_Live!S16=""),"",D18 + (-Bonds_Live!Q16*(50)/100 + Bonds_Live!S16*POWER(50,2)/2000000)),"")</f>
        <v/>
      </c>
      <c r="S18" s="16">
        <f>IFERROR(IF(OR(D18="",Bonds_Live!Q16="",Bonds_Live!S16=""),"",D18 + (-Bonds_Live!Q16*(100)/100 + Bonds_Live!S16*POWER(100,2)/2000000)),"")</f>
        <v/>
      </c>
      <c r="T18" s="16">
        <f>IFERROR(IF(OR(D18="",Bonds_Live!Q16="",Bonds_Live!S16=""),"",D18 + (-Bonds_Live!Q16*(-50)/100 + Bonds_Live!S16*POWER(-50,2)/2000000)),"")</f>
        <v/>
      </c>
      <c r="U18" s="16">
        <f>IFERROR(IF(OR(D18="",Bonds_Live!Q16="",Bonds_Live!S16=""),"",D18 + (-Bonds_Live!Q16*(0)/100 + Bonds_Live!S16*POWER(0,2)/2000000)),"")</f>
        <v/>
      </c>
      <c r="V18" s="16">
        <f>IFERROR(IF(OR(D18="",Bonds_Live!Q16="",Bonds_Live!S16=""),"",D18 + (-Bonds_Live!Q16*(50)/100 + Bonds_Live!S16*POWER(50,2)/2000000)),"")</f>
        <v/>
      </c>
      <c r="W18" s="16">
        <f>IFERROR(IF(OR(D18="",Bonds_Live!Q16="",Bonds_Live!S16=""),"",D18 + (-Bonds_Live!Q16*(100)/100 + Bonds_Live!S16*POWER(100,2)/2000000)),"")</f>
        <v/>
      </c>
      <c r="X18" s="16">
        <f>IFERROR(IF(OR(D18="",Bonds_Live!Q16="",Bonds_Live!S16=""),"",D18 + (-Bonds_Live!Q16*(150)/100 + Bonds_Live!S16*POWER(150,2)/2000000)),"")</f>
        <v/>
      </c>
      <c r="Y18" s="16">
        <f>IFERROR(IF(OR(D18="",Bonds_Live!Q16="",Bonds_Live!S16=""),"",D18 + (-Bonds_Live!Q16*(0)/100 + Bonds_Live!S16*POWER(0,2)/2000000)),"")</f>
        <v/>
      </c>
      <c r="Z18" s="16">
        <f>IFERROR(IF(OR(D18="",Bonds_Live!Q16="",Bonds_Live!S16=""),"",D18 + (-Bonds_Live!Q16*(50)/100 + Bonds_Live!S16*POWER(50,2)/2000000)),"")</f>
        <v/>
      </c>
      <c r="AA18" s="16">
        <f>IFERROR(IF(OR(D18="",Bonds_Live!Q16="",Bonds_Live!S16=""),"",D18 + (-Bonds_Live!Q16*(100)/100 + Bonds_Live!S16*POWER(100,2)/2000000)),"")</f>
        <v/>
      </c>
      <c r="AB18" s="16">
        <f>IFERROR(IF(OR(D18="",Bonds_Live!Q16="",Bonds_Live!S16=""),"",D18 + (-Bonds_Live!Q16*(150)/100 + Bonds_Live!S16*POWER(150,2)/2000000)),"")</f>
        <v/>
      </c>
      <c r="AC18" s="16">
        <f>IFERROR(IF(OR(D18="",Bonds_Live!Q16="",Bonds_Live!S16=""),"",D18 + (-Bonds_Live!Q16*(200)/100 + Bonds_Live!S16*POWER(200,2)/2000000)),"")</f>
        <v/>
      </c>
    </row>
    <row r="19">
      <c r="A19" s="25">
        <f>Bonds_Static!A17</f>
        <v/>
      </c>
      <c r="B19" s="25">
        <f>Bonds_Static!C17</f>
        <v/>
      </c>
      <c r="C19" s="26">
        <f>IFERROR(Bonds_Static!G17,"")</f>
        <v/>
      </c>
      <c r="D19" s="36">
        <f>IFERROR(Carry_Roll!M17,"")</f>
        <v/>
      </c>
      <c r="E19" s="16">
        <f>IFERROR(IF(OR(D19="",Bonds_Live!Q17="",Bonds_Live!S17=""),"",D19 + (-Bonds_Live!Q17*(-200)/100 + Bonds_Live!S17*POWER(-200,2)/2000000)),"")</f>
        <v/>
      </c>
      <c r="F19" s="16">
        <f>IFERROR(IF(OR(D19="",Bonds_Live!Q17="",Bonds_Live!S17=""),"",D19 + (-Bonds_Live!Q17*(-150)/100 + Bonds_Live!S17*POWER(-150,2)/2000000)),"")</f>
        <v/>
      </c>
      <c r="G19" s="16">
        <f>IFERROR(IF(OR(D19="",Bonds_Live!Q17="",Bonds_Live!S17=""),"",D19 + (-Bonds_Live!Q17*(-100)/100 + Bonds_Live!S17*POWER(-100,2)/2000000)),"")</f>
        <v/>
      </c>
      <c r="H19" s="16">
        <f>IFERROR(IF(OR(D19="",Bonds_Live!Q17="",Bonds_Live!S17=""),"",D19 + (-Bonds_Live!Q17*(-50)/100 + Bonds_Live!S17*POWER(-50,2)/2000000)),"")</f>
        <v/>
      </c>
      <c r="I19" s="16">
        <f>IFERROR(IF(OR(D19="",Bonds_Live!Q17="",Bonds_Live!S17=""),"",D19 + (-Bonds_Live!Q17*(0)/100 + Bonds_Live!S17*POWER(0,2)/2000000)),"")</f>
        <v/>
      </c>
      <c r="J19" s="16">
        <f>IFERROR(IF(OR(D19="",Bonds_Live!Q17="",Bonds_Live!S17=""),"",D19 + (-Bonds_Live!Q17*(-150)/100 + Bonds_Live!S17*POWER(-150,2)/2000000)),"")</f>
        <v/>
      </c>
      <c r="K19" s="16">
        <f>IFERROR(IF(OR(D19="",Bonds_Live!Q17="",Bonds_Live!S17=""),"",D19 + (-Bonds_Live!Q17*(-100)/100 + Bonds_Live!S17*POWER(-100,2)/2000000)),"")</f>
        <v/>
      </c>
      <c r="L19" s="16">
        <f>IFERROR(IF(OR(D19="",Bonds_Live!Q17="",Bonds_Live!S17=""),"",D19 + (-Bonds_Live!Q17*(-50)/100 + Bonds_Live!S17*POWER(-50,2)/2000000)),"")</f>
        <v/>
      </c>
      <c r="M19" s="16">
        <f>IFERROR(IF(OR(D19="",Bonds_Live!Q17="",Bonds_Live!S17=""),"",D19 + (-Bonds_Live!Q17*(0)/100 + Bonds_Live!S17*POWER(0,2)/2000000)),"")</f>
        <v/>
      </c>
      <c r="N19" s="16">
        <f>IFERROR(IF(OR(D19="",Bonds_Live!Q17="",Bonds_Live!S17=""),"",D19 + (-Bonds_Live!Q17*(50)/100 + Bonds_Live!S17*POWER(50,2)/2000000)),"")</f>
        <v/>
      </c>
      <c r="O19" s="16">
        <f>IFERROR(IF(OR(D19="",Bonds_Live!Q17="",Bonds_Live!S17=""),"",D19 + (-Bonds_Live!Q17*(-100)/100 + Bonds_Live!S17*POWER(-100,2)/2000000)),"")</f>
        <v/>
      </c>
      <c r="P19" s="16">
        <f>IFERROR(IF(OR(D19="",Bonds_Live!Q17="",Bonds_Live!S17=""),"",D19 + (-Bonds_Live!Q17*(-50)/100 + Bonds_Live!S17*POWER(-50,2)/2000000)),"")</f>
        <v/>
      </c>
      <c r="Q19" s="16">
        <f>IFERROR(IF(OR(D19="",Bonds_Live!Q17="",Bonds_Live!S17=""),"",D19 + (-Bonds_Live!Q17*(0)/100 + Bonds_Live!S17*POWER(0,2)/2000000)),"")</f>
        <v/>
      </c>
      <c r="R19" s="16">
        <f>IFERROR(IF(OR(D19="",Bonds_Live!Q17="",Bonds_Live!S17=""),"",D19 + (-Bonds_Live!Q17*(50)/100 + Bonds_Live!S17*POWER(50,2)/2000000)),"")</f>
        <v/>
      </c>
      <c r="S19" s="16">
        <f>IFERROR(IF(OR(D19="",Bonds_Live!Q17="",Bonds_Live!S17=""),"",D19 + (-Bonds_Live!Q17*(100)/100 + Bonds_Live!S17*POWER(100,2)/2000000)),"")</f>
        <v/>
      </c>
      <c r="T19" s="16">
        <f>IFERROR(IF(OR(D19="",Bonds_Live!Q17="",Bonds_Live!S17=""),"",D19 + (-Bonds_Live!Q17*(-50)/100 + Bonds_Live!S17*POWER(-50,2)/2000000)),"")</f>
        <v/>
      </c>
      <c r="U19" s="16">
        <f>IFERROR(IF(OR(D19="",Bonds_Live!Q17="",Bonds_Live!S17=""),"",D19 + (-Bonds_Live!Q17*(0)/100 + Bonds_Live!S17*POWER(0,2)/2000000)),"")</f>
        <v/>
      </c>
      <c r="V19" s="16">
        <f>IFERROR(IF(OR(D19="",Bonds_Live!Q17="",Bonds_Live!S17=""),"",D19 + (-Bonds_Live!Q17*(50)/100 + Bonds_Live!S17*POWER(50,2)/2000000)),"")</f>
        <v/>
      </c>
      <c r="W19" s="16">
        <f>IFERROR(IF(OR(D19="",Bonds_Live!Q17="",Bonds_Live!S17=""),"",D19 + (-Bonds_Live!Q17*(100)/100 + Bonds_Live!S17*POWER(100,2)/2000000)),"")</f>
        <v/>
      </c>
      <c r="X19" s="16">
        <f>IFERROR(IF(OR(D19="",Bonds_Live!Q17="",Bonds_Live!S17=""),"",D19 + (-Bonds_Live!Q17*(150)/100 + Bonds_Live!S17*POWER(150,2)/2000000)),"")</f>
        <v/>
      </c>
      <c r="Y19" s="16">
        <f>IFERROR(IF(OR(D19="",Bonds_Live!Q17="",Bonds_Live!S17=""),"",D19 + (-Bonds_Live!Q17*(0)/100 + Bonds_Live!S17*POWER(0,2)/2000000)),"")</f>
        <v/>
      </c>
      <c r="Z19" s="16">
        <f>IFERROR(IF(OR(D19="",Bonds_Live!Q17="",Bonds_Live!S17=""),"",D19 + (-Bonds_Live!Q17*(50)/100 + Bonds_Live!S17*POWER(50,2)/2000000)),"")</f>
        <v/>
      </c>
      <c r="AA19" s="16">
        <f>IFERROR(IF(OR(D19="",Bonds_Live!Q17="",Bonds_Live!S17=""),"",D19 + (-Bonds_Live!Q17*(100)/100 + Bonds_Live!S17*POWER(100,2)/2000000)),"")</f>
        <v/>
      </c>
      <c r="AB19" s="16">
        <f>IFERROR(IF(OR(D19="",Bonds_Live!Q17="",Bonds_Live!S17=""),"",D19 + (-Bonds_Live!Q17*(150)/100 + Bonds_Live!S17*POWER(150,2)/2000000)),"")</f>
        <v/>
      </c>
      <c r="AC19" s="16">
        <f>IFERROR(IF(OR(D19="",Bonds_Live!Q17="",Bonds_Live!S17=""),"",D19 + (-Bonds_Live!Q17*(200)/100 + Bonds_Live!S17*POWER(200,2)/2000000)),"")</f>
        <v/>
      </c>
    </row>
    <row r="20">
      <c r="A20" s="25">
        <f>Bonds_Static!A18</f>
        <v/>
      </c>
      <c r="B20" s="25">
        <f>Bonds_Static!C18</f>
        <v/>
      </c>
      <c r="C20" s="26">
        <f>IFERROR(Bonds_Static!G18,"")</f>
        <v/>
      </c>
      <c r="D20" s="36">
        <f>IFERROR(Carry_Roll!M18,"")</f>
        <v/>
      </c>
      <c r="E20" s="16">
        <f>IFERROR(IF(OR(D20="",Bonds_Live!Q18="",Bonds_Live!S18=""),"",D20 + (-Bonds_Live!Q18*(-200)/100 + Bonds_Live!S18*POWER(-200,2)/2000000)),"")</f>
        <v/>
      </c>
      <c r="F20" s="16">
        <f>IFERROR(IF(OR(D20="",Bonds_Live!Q18="",Bonds_Live!S18=""),"",D20 + (-Bonds_Live!Q18*(-150)/100 + Bonds_Live!S18*POWER(-150,2)/2000000)),"")</f>
        <v/>
      </c>
      <c r="G20" s="16">
        <f>IFERROR(IF(OR(D20="",Bonds_Live!Q18="",Bonds_Live!S18=""),"",D20 + (-Bonds_Live!Q18*(-100)/100 + Bonds_Live!S18*POWER(-100,2)/2000000)),"")</f>
        <v/>
      </c>
      <c r="H20" s="16">
        <f>IFERROR(IF(OR(D20="",Bonds_Live!Q18="",Bonds_Live!S18=""),"",D20 + (-Bonds_Live!Q18*(-50)/100 + Bonds_Live!S18*POWER(-50,2)/2000000)),"")</f>
        <v/>
      </c>
      <c r="I20" s="16">
        <f>IFERROR(IF(OR(D20="",Bonds_Live!Q18="",Bonds_Live!S18=""),"",D20 + (-Bonds_Live!Q18*(0)/100 + Bonds_Live!S18*POWER(0,2)/2000000)),"")</f>
        <v/>
      </c>
      <c r="J20" s="16">
        <f>IFERROR(IF(OR(D20="",Bonds_Live!Q18="",Bonds_Live!S18=""),"",D20 + (-Bonds_Live!Q18*(-150)/100 + Bonds_Live!S18*POWER(-150,2)/2000000)),"")</f>
        <v/>
      </c>
      <c r="K20" s="16">
        <f>IFERROR(IF(OR(D20="",Bonds_Live!Q18="",Bonds_Live!S18=""),"",D20 + (-Bonds_Live!Q18*(-100)/100 + Bonds_Live!S18*POWER(-100,2)/2000000)),"")</f>
        <v/>
      </c>
      <c r="L20" s="16">
        <f>IFERROR(IF(OR(D20="",Bonds_Live!Q18="",Bonds_Live!S18=""),"",D20 + (-Bonds_Live!Q18*(-50)/100 + Bonds_Live!S18*POWER(-50,2)/2000000)),"")</f>
        <v/>
      </c>
      <c r="M20" s="16">
        <f>IFERROR(IF(OR(D20="",Bonds_Live!Q18="",Bonds_Live!S18=""),"",D20 + (-Bonds_Live!Q18*(0)/100 + Bonds_Live!S18*POWER(0,2)/2000000)),"")</f>
        <v/>
      </c>
      <c r="N20" s="16">
        <f>IFERROR(IF(OR(D20="",Bonds_Live!Q18="",Bonds_Live!S18=""),"",D20 + (-Bonds_Live!Q18*(50)/100 + Bonds_Live!S18*POWER(50,2)/2000000)),"")</f>
        <v/>
      </c>
      <c r="O20" s="16">
        <f>IFERROR(IF(OR(D20="",Bonds_Live!Q18="",Bonds_Live!S18=""),"",D20 + (-Bonds_Live!Q18*(-100)/100 + Bonds_Live!S18*POWER(-100,2)/2000000)),"")</f>
        <v/>
      </c>
      <c r="P20" s="16">
        <f>IFERROR(IF(OR(D20="",Bonds_Live!Q18="",Bonds_Live!S18=""),"",D20 + (-Bonds_Live!Q18*(-50)/100 + Bonds_Live!S18*POWER(-50,2)/2000000)),"")</f>
        <v/>
      </c>
      <c r="Q20" s="16">
        <f>IFERROR(IF(OR(D20="",Bonds_Live!Q18="",Bonds_Live!S18=""),"",D20 + (-Bonds_Live!Q18*(0)/100 + Bonds_Live!S18*POWER(0,2)/2000000)),"")</f>
        <v/>
      </c>
      <c r="R20" s="16">
        <f>IFERROR(IF(OR(D20="",Bonds_Live!Q18="",Bonds_Live!S18=""),"",D20 + (-Bonds_Live!Q18*(50)/100 + Bonds_Live!S18*POWER(50,2)/2000000)),"")</f>
        <v/>
      </c>
      <c r="S20" s="16">
        <f>IFERROR(IF(OR(D20="",Bonds_Live!Q18="",Bonds_Live!S18=""),"",D20 + (-Bonds_Live!Q18*(100)/100 + Bonds_Live!S18*POWER(100,2)/2000000)),"")</f>
        <v/>
      </c>
      <c r="T20" s="16">
        <f>IFERROR(IF(OR(D20="",Bonds_Live!Q18="",Bonds_Live!S18=""),"",D20 + (-Bonds_Live!Q18*(-50)/100 + Bonds_Live!S18*POWER(-50,2)/2000000)),"")</f>
        <v/>
      </c>
      <c r="U20" s="16">
        <f>IFERROR(IF(OR(D20="",Bonds_Live!Q18="",Bonds_Live!S18=""),"",D20 + (-Bonds_Live!Q18*(0)/100 + Bonds_Live!S18*POWER(0,2)/2000000)),"")</f>
        <v/>
      </c>
      <c r="V20" s="16">
        <f>IFERROR(IF(OR(D20="",Bonds_Live!Q18="",Bonds_Live!S18=""),"",D20 + (-Bonds_Live!Q18*(50)/100 + Bonds_Live!S18*POWER(50,2)/2000000)),"")</f>
        <v/>
      </c>
      <c r="W20" s="16">
        <f>IFERROR(IF(OR(D20="",Bonds_Live!Q18="",Bonds_Live!S18=""),"",D20 + (-Bonds_Live!Q18*(100)/100 + Bonds_Live!S18*POWER(100,2)/2000000)),"")</f>
        <v/>
      </c>
      <c r="X20" s="16">
        <f>IFERROR(IF(OR(D20="",Bonds_Live!Q18="",Bonds_Live!S18=""),"",D20 + (-Bonds_Live!Q18*(150)/100 + Bonds_Live!S18*POWER(150,2)/2000000)),"")</f>
        <v/>
      </c>
      <c r="Y20" s="16">
        <f>IFERROR(IF(OR(D20="",Bonds_Live!Q18="",Bonds_Live!S18=""),"",D20 + (-Bonds_Live!Q18*(0)/100 + Bonds_Live!S18*POWER(0,2)/2000000)),"")</f>
        <v/>
      </c>
      <c r="Z20" s="16">
        <f>IFERROR(IF(OR(D20="",Bonds_Live!Q18="",Bonds_Live!S18=""),"",D20 + (-Bonds_Live!Q18*(50)/100 + Bonds_Live!S18*POWER(50,2)/2000000)),"")</f>
        <v/>
      </c>
      <c r="AA20" s="16">
        <f>IFERROR(IF(OR(D20="",Bonds_Live!Q18="",Bonds_Live!S18=""),"",D20 + (-Bonds_Live!Q18*(100)/100 + Bonds_Live!S18*POWER(100,2)/2000000)),"")</f>
        <v/>
      </c>
      <c r="AB20" s="16">
        <f>IFERROR(IF(OR(D20="",Bonds_Live!Q18="",Bonds_Live!S18=""),"",D20 + (-Bonds_Live!Q18*(150)/100 + Bonds_Live!S18*POWER(150,2)/2000000)),"")</f>
        <v/>
      </c>
      <c r="AC20" s="16">
        <f>IFERROR(IF(OR(D20="",Bonds_Live!Q18="",Bonds_Live!S18=""),"",D20 + (-Bonds_Live!Q18*(200)/100 + Bonds_Live!S18*POWER(200,2)/2000000)),"")</f>
        <v/>
      </c>
    </row>
    <row r="21">
      <c r="A21" s="25">
        <f>Bonds_Static!A19</f>
        <v/>
      </c>
      <c r="B21" s="25">
        <f>Bonds_Static!C19</f>
        <v/>
      </c>
      <c r="C21" s="26">
        <f>IFERROR(Bonds_Static!G19,"")</f>
        <v/>
      </c>
      <c r="D21" s="36">
        <f>IFERROR(Carry_Roll!M19,"")</f>
        <v/>
      </c>
      <c r="E21" s="16">
        <f>IFERROR(IF(OR(D21="",Bonds_Live!Q19="",Bonds_Live!S19=""),"",D21 + (-Bonds_Live!Q19*(-200)/100 + Bonds_Live!S19*POWER(-200,2)/2000000)),"")</f>
        <v/>
      </c>
      <c r="F21" s="16">
        <f>IFERROR(IF(OR(D21="",Bonds_Live!Q19="",Bonds_Live!S19=""),"",D21 + (-Bonds_Live!Q19*(-150)/100 + Bonds_Live!S19*POWER(-150,2)/2000000)),"")</f>
        <v/>
      </c>
      <c r="G21" s="16">
        <f>IFERROR(IF(OR(D21="",Bonds_Live!Q19="",Bonds_Live!S19=""),"",D21 + (-Bonds_Live!Q19*(-100)/100 + Bonds_Live!S19*POWER(-100,2)/2000000)),"")</f>
        <v/>
      </c>
      <c r="H21" s="16">
        <f>IFERROR(IF(OR(D21="",Bonds_Live!Q19="",Bonds_Live!S19=""),"",D21 + (-Bonds_Live!Q19*(-50)/100 + Bonds_Live!S19*POWER(-50,2)/2000000)),"")</f>
        <v/>
      </c>
      <c r="I21" s="16">
        <f>IFERROR(IF(OR(D21="",Bonds_Live!Q19="",Bonds_Live!S19=""),"",D21 + (-Bonds_Live!Q19*(0)/100 + Bonds_Live!S19*POWER(0,2)/2000000)),"")</f>
        <v/>
      </c>
      <c r="J21" s="16">
        <f>IFERROR(IF(OR(D21="",Bonds_Live!Q19="",Bonds_Live!S19=""),"",D21 + (-Bonds_Live!Q19*(-150)/100 + Bonds_Live!S19*POWER(-150,2)/2000000)),"")</f>
        <v/>
      </c>
      <c r="K21" s="16">
        <f>IFERROR(IF(OR(D21="",Bonds_Live!Q19="",Bonds_Live!S19=""),"",D21 + (-Bonds_Live!Q19*(-100)/100 + Bonds_Live!S19*POWER(-100,2)/2000000)),"")</f>
        <v/>
      </c>
      <c r="L21" s="16">
        <f>IFERROR(IF(OR(D21="",Bonds_Live!Q19="",Bonds_Live!S19=""),"",D21 + (-Bonds_Live!Q19*(-50)/100 + Bonds_Live!S19*POWER(-50,2)/2000000)),"")</f>
        <v/>
      </c>
      <c r="M21" s="16">
        <f>IFERROR(IF(OR(D21="",Bonds_Live!Q19="",Bonds_Live!S19=""),"",D21 + (-Bonds_Live!Q19*(0)/100 + Bonds_Live!S19*POWER(0,2)/2000000)),"")</f>
        <v/>
      </c>
      <c r="N21" s="16">
        <f>IFERROR(IF(OR(D21="",Bonds_Live!Q19="",Bonds_Live!S19=""),"",D21 + (-Bonds_Live!Q19*(50)/100 + Bonds_Live!S19*POWER(50,2)/2000000)),"")</f>
        <v/>
      </c>
      <c r="O21" s="16">
        <f>IFERROR(IF(OR(D21="",Bonds_Live!Q19="",Bonds_Live!S19=""),"",D21 + (-Bonds_Live!Q19*(-100)/100 + Bonds_Live!S19*POWER(-100,2)/2000000)),"")</f>
        <v/>
      </c>
      <c r="P21" s="16">
        <f>IFERROR(IF(OR(D21="",Bonds_Live!Q19="",Bonds_Live!S19=""),"",D21 + (-Bonds_Live!Q19*(-50)/100 + Bonds_Live!S19*POWER(-50,2)/2000000)),"")</f>
        <v/>
      </c>
      <c r="Q21" s="16">
        <f>IFERROR(IF(OR(D21="",Bonds_Live!Q19="",Bonds_Live!S19=""),"",D21 + (-Bonds_Live!Q19*(0)/100 + Bonds_Live!S19*POWER(0,2)/2000000)),"")</f>
        <v/>
      </c>
      <c r="R21" s="16">
        <f>IFERROR(IF(OR(D21="",Bonds_Live!Q19="",Bonds_Live!S19=""),"",D21 + (-Bonds_Live!Q19*(50)/100 + Bonds_Live!S19*POWER(50,2)/2000000)),"")</f>
        <v/>
      </c>
      <c r="S21" s="16">
        <f>IFERROR(IF(OR(D21="",Bonds_Live!Q19="",Bonds_Live!S19=""),"",D21 + (-Bonds_Live!Q19*(100)/100 + Bonds_Live!S19*POWER(100,2)/2000000)),"")</f>
        <v/>
      </c>
      <c r="T21" s="16">
        <f>IFERROR(IF(OR(D21="",Bonds_Live!Q19="",Bonds_Live!S19=""),"",D21 + (-Bonds_Live!Q19*(-50)/100 + Bonds_Live!S19*POWER(-50,2)/2000000)),"")</f>
        <v/>
      </c>
      <c r="U21" s="16">
        <f>IFERROR(IF(OR(D21="",Bonds_Live!Q19="",Bonds_Live!S19=""),"",D21 + (-Bonds_Live!Q19*(0)/100 + Bonds_Live!S19*POWER(0,2)/2000000)),"")</f>
        <v/>
      </c>
      <c r="V21" s="16">
        <f>IFERROR(IF(OR(D21="",Bonds_Live!Q19="",Bonds_Live!S19=""),"",D21 + (-Bonds_Live!Q19*(50)/100 + Bonds_Live!S19*POWER(50,2)/2000000)),"")</f>
        <v/>
      </c>
      <c r="W21" s="16">
        <f>IFERROR(IF(OR(D21="",Bonds_Live!Q19="",Bonds_Live!S19=""),"",D21 + (-Bonds_Live!Q19*(100)/100 + Bonds_Live!S19*POWER(100,2)/2000000)),"")</f>
        <v/>
      </c>
      <c r="X21" s="16">
        <f>IFERROR(IF(OR(D21="",Bonds_Live!Q19="",Bonds_Live!S19=""),"",D21 + (-Bonds_Live!Q19*(150)/100 + Bonds_Live!S19*POWER(150,2)/2000000)),"")</f>
        <v/>
      </c>
      <c r="Y21" s="16">
        <f>IFERROR(IF(OR(D21="",Bonds_Live!Q19="",Bonds_Live!S19=""),"",D21 + (-Bonds_Live!Q19*(0)/100 + Bonds_Live!S19*POWER(0,2)/2000000)),"")</f>
        <v/>
      </c>
      <c r="Z21" s="16">
        <f>IFERROR(IF(OR(D21="",Bonds_Live!Q19="",Bonds_Live!S19=""),"",D21 + (-Bonds_Live!Q19*(50)/100 + Bonds_Live!S19*POWER(50,2)/2000000)),"")</f>
        <v/>
      </c>
      <c r="AA21" s="16">
        <f>IFERROR(IF(OR(D21="",Bonds_Live!Q19="",Bonds_Live!S19=""),"",D21 + (-Bonds_Live!Q19*(100)/100 + Bonds_Live!S19*POWER(100,2)/2000000)),"")</f>
        <v/>
      </c>
      <c r="AB21" s="16">
        <f>IFERROR(IF(OR(D21="",Bonds_Live!Q19="",Bonds_Live!S19=""),"",D21 + (-Bonds_Live!Q19*(150)/100 + Bonds_Live!S19*POWER(150,2)/2000000)),"")</f>
        <v/>
      </c>
      <c r="AC21" s="16">
        <f>IFERROR(IF(OR(D21="",Bonds_Live!Q19="",Bonds_Live!S19=""),"",D21 + (-Bonds_Live!Q19*(200)/100 + Bonds_Live!S19*POWER(200,2)/2000000)),"")</f>
        <v/>
      </c>
    </row>
    <row r="22">
      <c r="A22" s="25">
        <f>Bonds_Static!A20</f>
        <v/>
      </c>
      <c r="B22" s="25">
        <f>Bonds_Static!C20</f>
        <v/>
      </c>
      <c r="C22" s="26">
        <f>IFERROR(Bonds_Static!G20,"")</f>
        <v/>
      </c>
      <c r="D22" s="36">
        <f>IFERROR(Carry_Roll!M20,"")</f>
        <v/>
      </c>
      <c r="E22" s="16">
        <f>IFERROR(IF(OR(D22="",Bonds_Live!Q20="",Bonds_Live!S20=""),"",D22 + (-Bonds_Live!Q20*(-200)/100 + Bonds_Live!S20*POWER(-200,2)/2000000)),"")</f>
        <v/>
      </c>
      <c r="F22" s="16">
        <f>IFERROR(IF(OR(D22="",Bonds_Live!Q20="",Bonds_Live!S20=""),"",D22 + (-Bonds_Live!Q20*(-150)/100 + Bonds_Live!S20*POWER(-150,2)/2000000)),"")</f>
        <v/>
      </c>
      <c r="G22" s="16">
        <f>IFERROR(IF(OR(D22="",Bonds_Live!Q20="",Bonds_Live!S20=""),"",D22 + (-Bonds_Live!Q20*(-100)/100 + Bonds_Live!S20*POWER(-100,2)/2000000)),"")</f>
        <v/>
      </c>
      <c r="H22" s="16">
        <f>IFERROR(IF(OR(D22="",Bonds_Live!Q20="",Bonds_Live!S20=""),"",D22 + (-Bonds_Live!Q20*(-50)/100 + Bonds_Live!S20*POWER(-50,2)/2000000)),"")</f>
        <v/>
      </c>
      <c r="I22" s="16">
        <f>IFERROR(IF(OR(D22="",Bonds_Live!Q20="",Bonds_Live!S20=""),"",D22 + (-Bonds_Live!Q20*(0)/100 + Bonds_Live!S20*POWER(0,2)/2000000)),"")</f>
        <v/>
      </c>
      <c r="J22" s="16">
        <f>IFERROR(IF(OR(D22="",Bonds_Live!Q20="",Bonds_Live!S20=""),"",D22 + (-Bonds_Live!Q20*(-150)/100 + Bonds_Live!S20*POWER(-150,2)/2000000)),"")</f>
        <v/>
      </c>
      <c r="K22" s="16">
        <f>IFERROR(IF(OR(D22="",Bonds_Live!Q20="",Bonds_Live!S20=""),"",D22 + (-Bonds_Live!Q20*(-100)/100 + Bonds_Live!S20*POWER(-100,2)/2000000)),"")</f>
        <v/>
      </c>
      <c r="L22" s="16">
        <f>IFERROR(IF(OR(D22="",Bonds_Live!Q20="",Bonds_Live!S20=""),"",D22 + (-Bonds_Live!Q20*(-50)/100 + Bonds_Live!S20*POWER(-50,2)/2000000)),"")</f>
        <v/>
      </c>
      <c r="M22" s="16">
        <f>IFERROR(IF(OR(D22="",Bonds_Live!Q20="",Bonds_Live!S20=""),"",D22 + (-Bonds_Live!Q20*(0)/100 + Bonds_Live!S20*POWER(0,2)/2000000)),"")</f>
        <v/>
      </c>
      <c r="N22" s="16">
        <f>IFERROR(IF(OR(D22="",Bonds_Live!Q20="",Bonds_Live!S20=""),"",D22 + (-Bonds_Live!Q20*(50)/100 + Bonds_Live!S20*POWER(50,2)/2000000)),"")</f>
        <v/>
      </c>
      <c r="O22" s="16">
        <f>IFERROR(IF(OR(D22="",Bonds_Live!Q20="",Bonds_Live!S20=""),"",D22 + (-Bonds_Live!Q20*(-100)/100 + Bonds_Live!S20*POWER(-100,2)/2000000)),"")</f>
        <v/>
      </c>
      <c r="P22" s="16">
        <f>IFERROR(IF(OR(D22="",Bonds_Live!Q20="",Bonds_Live!S20=""),"",D22 + (-Bonds_Live!Q20*(-50)/100 + Bonds_Live!S20*POWER(-50,2)/2000000)),"")</f>
        <v/>
      </c>
      <c r="Q22" s="16">
        <f>IFERROR(IF(OR(D22="",Bonds_Live!Q20="",Bonds_Live!S20=""),"",D22 + (-Bonds_Live!Q20*(0)/100 + Bonds_Live!S20*POWER(0,2)/2000000)),"")</f>
        <v/>
      </c>
      <c r="R22" s="16">
        <f>IFERROR(IF(OR(D22="",Bonds_Live!Q20="",Bonds_Live!S20=""),"",D22 + (-Bonds_Live!Q20*(50)/100 + Bonds_Live!S20*POWER(50,2)/2000000)),"")</f>
        <v/>
      </c>
      <c r="S22" s="16">
        <f>IFERROR(IF(OR(D22="",Bonds_Live!Q20="",Bonds_Live!S20=""),"",D22 + (-Bonds_Live!Q20*(100)/100 + Bonds_Live!S20*POWER(100,2)/2000000)),"")</f>
        <v/>
      </c>
      <c r="T22" s="16">
        <f>IFERROR(IF(OR(D22="",Bonds_Live!Q20="",Bonds_Live!S20=""),"",D22 + (-Bonds_Live!Q20*(-50)/100 + Bonds_Live!S20*POWER(-50,2)/2000000)),"")</f>
        <v/>
      </c>
      <c r="U22" s="16">
        <f>IFERROR(IF(OR(D22="",Bonds_Live!Q20="",Bonds_Live!S20=""),"",D22 + (-Bonds_Live!Q20*(0)/100 + Bonds_Live!S20*POWER(0,2)/2000000)),"")</f>
        <v/>
      </c>
      <c r="V22" s="16">
        <f>IFERROR(IF(OR(D22="",Bonds_Live!Q20="",Bonds_Live!S20=""),"",D22 + (-Bonds_Live!Q20*(50)/100 + Bonds_Live!S20*POWER(50,2)/2000000)),"")</f>
        <v/>
      </c>
      <c r="W22" s="16">
        <f>IFERROR(IF(OR(D22="",Bonds_Live!Q20="",Bonds_Live!S20=""),"",D22 + (-Bonds_Live!Q20*(100)/100 + Bonds_Live!S20*POWER(100,2)/2000000)),"")</f>
        <v/>
      </c>
      <c r="X22" s="16">
        <f>IFERROR(IF(OR(D22="",Bonds_Live!Q20="",Bonds_Live!S20=""),"",D22 + (-Bonds_Live!Q20*(150)/100 + Bonds_Live!S20*POWER(150,2)/2000000)),"")</f>
        <v/>
      </c>
      <c r="Y22" s="16">
        <f>IFERROR(IF(OR(D22="",Bonds_Live!Q20="",Bonds_Live!S20=""),"",D22 + (-Bonds_Live!Q20*(0)/100 + Bonds_Live!S20*POWER(0,2)/2000000)),"")</f>
        <v/>
      </c>
      <c r="Z22" s="16">
        <f>IFERROR(IF(OR(D22="",Bonds_Live!Q20="",Bonds_Live!S20=""),"",D22 + (-Bonds_Live!Q20*(50)/100 + Bonds_Live!S20*POWER(50,2)/2000000)),"")</f>
        <v/>
      </c>
      <c r="AA22" s="16">
        <f>IFERROR(IF(OR(D22="",Bonds_Live!Q20="",Bonds_Live!S20=""),"",D22 + (-Bonds_Live!Q20*(100)/100 + Bonds_Live!S20*POWER(100,2)/2000000)),"")</f>
        <v/>
      </c>
      <c r="AB22" s="16">
        <f>IFERROR(IF(OR(D22="",Bonds_Live!Q20="",Bonds_Live!S20=""),"",D22 + (-Bonds_Live!Q20*(150)/100 + Bonds_Live!S20*POWER(150,2)/2000000)),"")</f>
        <v/>
      </c>
      <c r="AC22" s="16">
        <f>IFERROR(IF(OR(D22="",Bonds_Live!Q20="",Bonds_Live!S20=""),"",D22 + (-Bonds_Live!Q20*(200)/100 + Bonds_Live!S20*POWER(200,2)/2000000)),"")</f>
        <v/>
      </c>
    </row>
    <row r="23">
      <c r="A23" s="25">
        <f>Bonds_Static!A21</f>
        <v/>
      </c>
      <c r="B23" s="25">
        <f>Bonds_Static!C21</f>
        <v/>
      </c>
      <c r="C23" s="26">
        <f>IFERROR(Bonds_Static!G21,"")</f>
        <v/>
      </c>
      <c r="D23" s="36">
        <f>IFERROR(Carry_Roll!M21,"")</f>
        <v/>
      </c>
      <c r="E23" s="16">
        <f>IFERROR(IF(OR(D23="",Bonds_Live!Q21="",Bonds_Live!S21=""),"",D23 + (-Bonds_Live!Q21*(-200)/100 + Bonds_Live!S21*POWER(-200,2)/2000000)),"")</f>
        <v/>
      </c>
      <c r="F23" s="16">
        <f>IFERROR(IF(OR(D23="",Bonds_Live!Q21="",Bonds_Live!S21=""),"",D23 + (-Bonds_Live!Q21*(-150)/100 + Bonds_Live!S21*POWER(-150,2)/2000000)),"")</f>
        <v/>
      </c>
      <c r="G23" s="16">
        <f>IFERROR(IF(OR(D23="",Bonds_Live!Q21="",Bonds_Live!S21=""),"",D23 + (-Bonds_Live!Q21*(-100)/100 + Bonds_Live!S21*POWER(-100,2)/2000000)),"")</f>
        <v/>
      </c>
      <c r="H23" s="16">
        <f>IFERROR(IF(OR(D23="",Bonds_Live!Q21="",Bonds_Live!S21=""),"",D23 + (-Bonds_Live!Q21*(-50)/100 + Bonds_Live!S21*POWER(-50,2)/2000000)),"")</f>
        <v/>
      </c>
      <c r="I23" s="16">
        <f>IFERROR(IF(OR(D23="",Bonds_Live!Q21="",Bonds_Live!S21=""),"",D23 + (-Bonds_Live!Q21*(0)/100 + Bonds_Live!S21*POWER(0,2)/2000000)),"")</f>
        <v/>
      </c>
      <c r="J23" s="16">
        <f>IFERROR(IF(OR(D23="",Bonds_Live!Q21="",Bonds_Live!S21=""),"",D23 + (-Bonds_Live!Q21*(-150)/100 + Bonds_Live!S21*POWER(-150,2)/2000000)),"")</f>
        <v/>
      </c>
      <c r="K23" s="16">
        <f>IFERROR(IF(OR(D23="",Bonds_Live!Q21="",Bonds_Live!S21=""),"",D23 + (-Bonds_Live!Q21*(-100)/100 + Bonds_Live!S21*POWER(-100,2)/2000000)),"")</f>
        <v/>
      </c>
      <c r="L23" s="16">
        <f>IFERROR(IF(OR(D23="",Bonds_Live!Q21="",Bonds_Live!S21=""),"",D23 + (-Bonds_Live!Q21*(-50)/100 + Bonds_Live!S21*POWER(-50,2)/2000000)),"")</f>
        <v/>
      </c>
      <c r="M23" s="16">
        <f>IFERROR(IF(OR(D23="",Bonds_Live!Q21="",Bonds_Live!S21=""),"",D23 + (-Bonds_Live!Q21*(0)/100 + Bonds_Live!S21*POWER(0,2)/2000000)),"")</f>
        <v/>
      </c>
      <c r="N23" s="16">
        <f>IFERROR(IF(OR(D23="",Bonds_Live!Q21="",Bonds_Live!S21=""),"",D23 + (-Bonds_Live!Q21*(50)/100 + Bonds_Live!S21*POWER(50,2)/2000000)),"")</f>
        <v/>
      </c>
      <c r="O23" s="16">
        <f>IFERROR(IF(OR(D23="",Bonds_Live!Q21="",Bonds_Live!S21=""),"",D23 + (-Bonds_Live!Q21*(-100)/100 + Bonds_Live!S21*POWER(-100,2)/2000000)),"")</f>
        <v/>
      </c>
      <c r="P23" s="16">
        <f>IFERROR(IF(OR(D23="",Bonds_Live!Q21="",Bonds_Live!S21=""),"",D23 + (-Bonds_Live!Q21*(-50)/100 + Bonds_Live!S21*POWER(-50,2)/2000000)),"")</f>
        <v/>
      </c>
      <c r="Q23" s="16">
        <f>IFERROR(IF(OR(D23="",Bonds_Live!Q21="",Bonds_Live!S21=""),"",D23 + (-Bonds_Live!Q21*(0)/100 + Bonds_Live!S21*POWER(0,2)/2000000)),"")</f>
        <v/>
      </c>
      <c r="R23" s="16">
        <f>IFERROR(IF(OR(D23="",Bonds_Live!Q21="",Bonds_Live!S21=""),"",D23 + (-Bonds_Live!Q21*(50)/100 + Bonds_Live!S21*POWER(50,2)/2000000)),"")</f>
        <v/>
      </c>
      <c r="S23" s="16">
        <f>IFERROR(IF(OR(D23="",Bonds_Live!Q21="",Bonds_Live!S21=""),"",D23 + (-Bonds_Live!Q21*(100)/100 + Bonds_Live!S21*POWER(100,2)/2000000)),"")</f>
        <v/>
      </c>
      <c r="T23" s="16">
        <f>IFERROR(IF(OR(D23="",Bonds_Live!Q21="",Bonds_Live!S21=""),"",D23 + (-Bonds_Live!Q21*(-50)/100 + Bonds_Live!S21*POWER(-50,2)/2000000)),"")</f>
        <v/>
      </c>
      <c r="U23" s="16">
        <f>IFERROR(IF(OR(D23="",Bonds_Live!Q21="",Bonds_Live!S21=""),"",D23 + (-Bonds_Live!Q21*(0)/100 + Bonds_Live!S21*POWER(0,2)/2000000)),"")</f>
        <v/>
      </c>
      <c r="V23" s="16">
        <f>IFERROR(IF(OR(D23="",Bonds_Live!Q21="",Bonds_Live!S21=""),"",D23 + (-Bonds_Live!Q21*(50)/100 + Bonds_Live!S21*POWER(50,2)/2000000)),"")</f>
        <v/>
      </c>
      <c r="W23" s="16">
        <f>IFERROR(IF(OR(D23="",Bonds_Live!Q21="",Bonds_Live!S21=""),"",D23 + (-Bonds_Live!Q21*(100)/100 + Bonds_Live!S21*POWER(100,2)/2000000)),"")</f>
        <v/>
      </c>
      <c r="X23" s="16">
        <f>IFERROR(IF(OR(D23="",Bonds_Live!Q21="",Bonds_Live!S21=""),"",D23 + (-Bonds_Live!Q21*(150)/100 + Bonds_Live!S21*POWER(150,2)/2000000)),"")</f>
        <v/>
      </c>
      <c r="Y23" s="16">
        <f>IFERROR(IF(OR(D23="",Bonds_Live!Q21="",Bonds_Live!S21=""),"",D23 + (-Bonds_Live!Q21*(0)/100 + Bonds_Live!S21*POWER(0,2)/2000000)),"")</f>
        <v/>
      </c>
      <c r="Z23" s="16">
        <f>IFERROR(IF(OR(D23="",Bonds_Live!Q21="",Bonds_Live!S21=""),"",D23 + (-Bonds_Live!Q21*(50)/100 + Bonds_Live!S21*POWER(50,2)/2000000)),"")</f>
        <v/>
      </c>
      <c r="AA23" s="16">
        <f>IFERROR(IF(OR(D23="",Bonds_Live!Q21="",Bonds_Live!S21=""),"",D23 + (-Bonds_Live!Q21*(100)/100 + Bonds_Live!S21*POWER(100,2)/2000000)),"")</f>
        <v/>
      </c>
      <c r="AB23" s="16">
        <f>IFERROR(IF(OR(D23="",Bonds_Live!Q21="",Bonds_Live!S21=""),"",D23 + (-Bonds_Live!Q21*(150)/100 + Bonds_Live!S21*POWER(150,2)/2000000)),"")</f>
        <v/>
      </c>
      <c r="AC23" s="16">
        <f>IFERROR(IF(OR(D23="",Bonds_Live!Q21="",Bonds_Live!S21=""),"",D23 + (-Bonds_Live!Q21*(200)/100 + Bonds_Live!S21*POWER(200,2)/2000000)),"")</f>
        <v/>
      </c>
    </row>
    <row r="24">
      <c r="A24" s="25">
        <f>Bonds_Static!A22</f>
        <v/>
      </c>
      <c r="B24" s="25">
        <f>Bonds_Static!C22</f>
        <v/>
      </c>
      <c r="C24" s="26">
        <f>IFERROR(Bonds_Static!G22,"")</f>
        <v/>
      </c>
      <c r="D24" s="36">
        <f>IFERROR(Carry_Roll!M22,"")</f>
        <v/>
      </c>
      <c r="E24" s="16">
        <f>IFERROR(IF(OR(D24="",Bonds_Live!Q22="",Bonds_Live!S22=""),"",D24 + (-Bonds_Live!Q22*(-200)/100 + Bonds_Live!S22*POWER(-200,2)/2000000)),"")</f>
        <v/>
      </c>
      <c r="F24" s="16">
        <f>IFERROR(IF(OR(D24="",Bonds_Live!Q22="",Bonds_Live!S22=""),"",D24 + (-Bonds_Live!Q22*(-150)/100 + Bonds_Live!S22*POWER(-150,2)/2000000)),"")</f>
        <v/>
      </c>
      <c r="G24" s="16">
        <f>IFERROR(IF(OR(D24="",Bonds_Live!Q22="",Bonds_Live!S22=""),"",D24 + (-Bonds_Live!Q22*(-100)/100 + Bonds_Live!S22*POWER(-100,2)/2000000)),"")</f>
        <v/>
      </c>
      <c r="H24" s="16">
        <f>IFERROR(IF(OR(D24="",Bonds_Live!Q22="",Bonds_Live!S22=""),"",D24 + (-Bonds_Live!Q22*(-50)/100 + Bonds_Live!S22*POWER(-50,2)/2000000)),"")</f>
        <v/>
      </c>
      <c r="I24" s="16">
        <f>IFERROR(IF(OR(D24="",Bonds_Live!Q22="",Bonds_Live!S22=""),"",D24 + (-Bonds_Live!Q22*(0)/100 + Bonds_Live!S22*POWER(0,2)/2000000)),"")</f>
        <v/>
      </c>
      <c r="J24" s="16">
        <f>IFERROR(IF(OR(D24="",Bonds_Live!Q22="",Bonds_Live!S22=""),"",D24 + (-Bonds_Live!Q22*(-150)/100 + Bonds_Live!S22*POWER(-150,2)/2000000)),"")</f>
        <v/>
      </c>
      <c r="K24" s="16">
        <f>IFERROR(IF(OR(D24="",Bonds_Live!Q22="",Bonds_Live!S22=""),"",D24 + (-Bonds_Live!Q22*(-100)/100 + Bonds_Live!S22*POWER(-100,2)/2000000)),"")</f>
        <v/>
      </c>
      <c r="L24" s="16">
        <f>IFERROR(IF(OR(D24="",Bonds_Live!Q22="",Bonds_Live!S22=""),"",D24 + (-Bonds_Live!Q22*(-50)/100 + Bonds_Live!S22*POWER(-50,2)/2000000)),"")</f>
        <v/>
      </c>
      <c r="M24" s="16">
        <f>IFERROR(IF(OR(D24="",Bonds_Live!Q22="",Bonds_Live!S22=""),"",D24 + (-Bonds_Live!Q22*(0)/100 + Bonds_Live!S22*POWER(0,2)/2000000)),"")</f>
        <v/>
      </c>
      <c r="N24" s="16">
        <f>IFERROR(IF(OR(D24="",Bonds_Live!Q22="",Bonds_Live!S22=""),"",D24 + (-Bonds_Live!Q22*(50)/100 + Bonds_Live!S22*POWER(50,2)/2000000)),"")</f>
        <v/>
      </c>
      <c r="O24" s="16">
        <f>IFERROR(IF(OR(D24="",Bonds_Live!Q22="",Bonds_Live!S22=""),"",D24 + (-Bonds_Live!Q22*(-100)/100 + Bonds_Live!S22*POWER(-100,2)/2000000)),"")</f>
        <v/>
      </c>
      <c r="P24" s="16">
        <f>IFERROR(IF(OR(D24="",Bonds_Live!Q22="",Bonds_Live!S22=""),"",D24 + (-Bonds_Live!Q22*(-50)/100 + Bonds_Live!S22*POWER(-50,2)/2000000)),"")</f>
        <v/>
      </c>
      <c r="Q24" s="16">
        <f>IFERROR(IF(OR(D24="",Bonds_Live!Q22="",Bonds_Live!S22=""),"",D24 + (-Bonds_Live!Q22*(0)/100 + Bonds_Live!S22*POWER(0,2)/2000000)),"")</f>
        <v/>
      </c>
      <c r="R24" s="16">
        <f>IFERROR(IF(OR(D24="",Bonds_Live!Q22="",Bonds_Live!S22=""),"",D24 + (-Bonds_Live!Q22*(50)/100 + Bonds_Live!S22*POWER(50,2)/2000000)),"")</f>
        <v/>
      </c>
      <c r="S24" s="16">
        <f>IFERROR(IF(OR(D24="",Bonds_Live!Q22="",Bonds_Live!S22=""),"",D24 + (-Bonds_Live!Q22*(100)/100 + Bonds_Live!S22*POWER(100,2)/2000000)),"")</f>
        <v/>
      </c>
      <c r="T24" s="16">
        <f>IFERROR(IF(OR(D24="",Bonds_Live!Q22="",Bonds_Live!S22=""),"",D24 + (-Bonds_Live!Q22*(-50)/100 + Bonds_Live!S22*POWER(-50,2)/2000000)),"")</f>
        <v/>
      </c>
      <c r="U24" s="16">
        <f>IFERROR(IF(OR(D24="",Bonds_Live!Q22="",Bonds_Live!S22=""),"",D24 + (-Bonds_Live!Q22*(0)/100 + Bonds_Live!S22*POWER(0,2)/2000000)),"")</f>
        <v/>
      </c>
      <c r="V24" s="16">
        <f>IFERROR(IF(OR(D24="",Bonds_Live!Q22="",Bonds_Live!S22=""),"",D24 + (-Bonds_Live!Q22*(50)/100 + Bonds_Live!S22*POWER(50,2)/2000000)),"")</f>
        <v/>
      </c>
      <c r="W24" s="16">
        <f>IFERROR(IF(OR(D24="",Bonds_Live!Q22="",Bonds_Live!S22=""),"",D24 + (-Bonds_Live!Q22*(100)/100 + Bonds_Live!S22*POWER(100,2)/2000000)),"")</f>
        <v/>
      </c>
      <c r="X24" s="16">
        <f>IFERROR(IF(OR(D24="",Bonds_Live!Q22="",Bonds_Live!S22=""),"",D24 + (-Bonds_Live!Q22*(150)/100 + Bonds_Live!S22*POWER(150,2)/2000000)),"")</f>
        <v/>
      </c>
      <c r="Y24" s="16">
        <f>IFERROR(IF(OR(D24="",Bonds_Live!Q22="",Bonds_Live!S22=""),"",D24 + (-Bonds_Live!Q22*(0)/100 + Bonds_Live!S22*POWER(0,2)/2000000)),"")</f>
        <v/>
      </c>
      <c r="Z24" s="16">
        <f>IFERROR(IF(OR(D24="",Bonds_Live!Q22="",Bonds_Live!S22=""),"",D24 + (-Bonds_Live!Q22*(50)/100 + Bonds_Live!S22*POWER(50,2)/2000000)),"")</f>
        <v/>
      </c>
      <c r="AA24" s="16">
        <f>IFERROR(IF(OR(D24="",Bonds_Live!Q22="",Bonds_Live!S22=""),"",D24 + (-Bonds_Live!Q22*(100)/100 + Bonds_Live!S22*POWER(100,2)/2000000)),"")</f>
        <v/>
      </c>
      <c r="AB24" s="16">
        <f>IFERROR(IF(OR(D24="",Bonds_Live!Q22="",Bonds_Live!S22=""),"",D24 + (-Bonds_Live!Q22*(150)/100 + Bonds_Live!S22*POWER(150,2)/2000000)),"")</f>
        <v/>
      </c>
      <c r="AC24" s="16">
        <f>IFERROR(IF(OR(D24="",Bonds_Live!Q22="",Bonds_Live!S22=""),"",D24 + (-Bonds_Live!Q22*(200)/100 + Bonds_Live!S22*POWER(200,2)/2000000)),"")</f>
        <v/>
      </c>
    </row>
    <row r="25">
      <c r="A25" s="25">
        <f>Bonds_Static!A23</f>
        <v/>
      </c>
      <c r="B25" s="25">
        <f>Bonds_Static!C23</f>
        <v/>
      </c>
      <c r="C25" s="26">
        <f>IFERROR(Bonds_Static!G23,"")</f>
        <v/>
      </c>
      <c r="D25" s="36">
        <f>IFERROR(Carry_Roll!M23,"")</f>
        <v/>
      </c>
      <c r="E25" s="16">
        <f>IFERROR(IF(OR(D25="",Bonds_Live!Q23="",Bonds_Live!S23=""),"",D25 + (-Bonds_Live!Q23*(-200)/100 + Bonds_Live!S23*POWER(-200,2)/2000000)),"")</f>
        <v/>
      </c>
      <c r="F25" s="16">
        <f>IFERROR(IF(OR(D25="",Bonds_Live!Q23="",Bonds_Live!S23=""),"",D25 + (-Bonds_Live!Q23*(-150)/100 + Bonds_Live!S23*POWER(-150,2)/2000000)),"")</f>
        <v/>
      </c>
      <c r="G25" s="16">
        <f>IFERROR(IF(OR(D25="",Bonds_Live!Q23="",Bonds_Live!S23=""),"",D25 + (-Bonds_Live!Q23*(-100)/100 + Bonds_Live!S23*POWER(-100,2)/2000000)),"")</f>
        <v/>
      </c>
      <c r="H25" s="16">
        <f>IFERROR(IF(OR(D25="",Bonds_Live!Q23="",Bonds_Live!S23=""),"",D25 + (-Bonds_Live!Q23*(-50)/100 + Bonds_Live!S23*POWER(-50,2)/2000000)),"")</f>
        <v/>
      </c>
      <c r="I25" s="16">
        <f>IFERROR(IF(OR(D25="",Bonds_Live!Q23="",Bonds_Live!S23=""),"",D25 + (-Bonds_Live!Q23*(0)/100 + Bonds_Live!S23*POWER(0,2)/2000000)),"")</f>
        <v/>
      </c>
      <c r="J25" s="16">
        <f>IFERROR(IF(OR(D25="",Bonds_Live!Q23="",Bonds_Live!S23=""),"",D25 + (-Bonds_Live!Q23*(-150)/100 + Bonds_Live!S23*POWER(-150,2)/2000000)),"")</f>
        <v/>
      </c>
      <c r="K25" s="16">
        <f>IFERROR(IF(OR(D25="",Bonds_Live!Q23="",Bonds_Live!S23=""),"",D25 + (-Bonds_Live!Q23*(-100)/100 + Bonds_Live!S23*POWER(-100,2)/2000000)),"")</f>
        <v/>
      </c>
      <c r="L25" s="16">
        <f>IFERROR(IF(OR(D25="",Bonds_Live!Q23="",Bonds_Live!S23=""),"",D25 + (-Bonds_Live!Q23*(-50)/100 + Bonds_Live!S23*POWER(-50,2)/2000000)),"")</f>
        <v/>
      </c>
      <c r="M25" s="16">
        <f>IFERROR(IF(OR(D25="",Bonds_Live!Q23="",Bonds_Live!S23=""),"",D25 + (-Bonds_Live!Q23*(0)/100 + Bonds_Live!S23*POWER(0,2)/2000000)),"")</f>
        <v/>
      </c>
      <c r="N25" s="16">
        <f>IFERROR(IF(OR(D25="",Bonds_Live!Q23="",Bonds_Live!S23=""),"",D25 + (-Bonds_Live!Q23*(50)/100 + Bonds_Live!S23*POWER(50,2)/2000000)),"")</f>
        <v/>
      </c>
      <c r="O25" s="16">
        <f>IFERROR(IF(OR(D25="",Bonds_Live!Q23="",Bonds_Live!S23=""),"",D25 + (-Bonds_Live!Q23*(-100)/100 + Bonds_Live!S23*POWER(-100,2)/2000000)),"")</f>
        <v/>
      </c>
      <c r="P25" s="16">
        <f>IFERROR(IF(OR(D25="",Bonds_Live!Q23="",Bonds_Live!S23=""),"",D25 + (-Bonds_Live!Q23*(-50)/100 + Bonds_Live!S23*POWER(-50,2)/2000000)),"")</f>
        <v/>
      </c>
      <c r="Q25" s="16">
        <f>IFERROR(IF(OR(D25="",Bonds_Live!Q23="",Bonds_Live!S23=""),"",D25 + (-Bonds_Live!Q23*(0)/100 + Bonds_Live!S23*POWER(0,2)/2000000)),"")</f>
        <v/>
      </c>
      <c r="R25" s="16">
        <f>IFERROR(IF(OR(D25="",Bonds_Live!Q23="",Bonds_Live!S23=""),"",D25 + (-Bonds_Live!Q23*(50)/100 + Bonds_Live!S23*POWER(50,2)/2000000)),"")</f>
        <v/>
      </c>
      <c r="S25" s="16">
        <f>IFERROR(IF(OR(D25="",Bonds_Live!Q23="",Bonds_Live!S23=""),"",D25 + (-Bonds_Live!Q23*(100)/100 + Bonds_Live!S23*POWER(100,2)/2000000)),"")</f>
        <v/>
      </c>
      <c r="T25" s="16">
        <f>IFERROR(IF(OR(D25="",Bonds_Live!Q23="",Bonds_Live!S23=""),"",D25 + (-Bonds_Live!Q23*(-50)/100 + Bonds_Live!S23*POWER(-50,2)/2000000)),"")</f>
        <v/>
      </c>
      <c r="U25" s="16">
        <f>IFERROR(IF(OR(D25="",Bonds_Live!Q23="",Bonds_Live!S23=""),"",D25 + (-Bonds_Live!Q23*(0)/100 + Bonds_Live!S23*POWER(0,2)/2000000)),"")</f>
        <v/>
      </c>
      <c r="V25" s="16">
        <f>IFERROR(IF(OR(D25="",Bonds_Live!Q23="",Bonds_Live!S23=""),"",D25 + (-Bonds_Live!Q23*(50)/100 + Bonds_Live!S23*POWER(50,2)/2000000)),"")</f>
        <v/>
      </c>
      <c r="W25" s="16">
        <f>IFERROR(IF(OR(D25="",Bonds_Live!Q23="",Bonds_Live!S23=""),"",D25 + (-Bonds_Live!Q23*(100)/100 + Bonds_Live!S23*POWER(100,2)/2000000)),"")</f>
        <v/>
      </c>
      <c r="X25" s="16">
        <f>IFERROR(IF(OR(D25="",Bonds_Live!Q23="",Bonds_Live!S23=""),"",D25 + (-Bonds_Live!Q23*(150)/100 + Bonds_Live!S23*POWER(150,2)/2000000)),"")</f>
        <v/>
      </c>
      <c r="Y25" s="16">
        <f>IFERROR(IF(OR(D25="",Bonds_Live!Q23="",Bonds_Live!S23=""),"",D25 + (-Bonds_Live!Q23*(0)/100 + Bonds_Live!S23*POWER(0,2)/2000000)),"")</f>
        <v/>
      </c>
      <c r="Z25" s="16">
        <f>IFERROR(IF(OR(D25="",Bonds_Live!Q23="",Bonds_Live!S23=""),"",D25 + (-Bonds_Live!Q23*(50)/100 + Bonds_Live!S23*POWER(50,2)/2000000)),"")</f>
        <v/>
      </c>
      <c r="AA25" s="16">
        <f>IFERROR(IF(OR(D25="",Bonds_Live!Q23="",Bonds_Live!S23=""),"",D25 + (-Bonds_Live!Q23*(100)/100 + Bonds_Live!S23*POWER(100,2)/2000000)),"")</f>
        <v/>
      </c>
      <c r="AB25" s="16">
        <f>IFERROR(IF(OR(D25="",Bonds_Live!Q23="",Bonds_Live!S23=""),"",D25 + (-Bonds_Live!Q23*(150)/100 + Bonds_Live!S23*POWER(150,2)/2000000)),"")</f>
        <v/>
      </c>
      <c r="AC25" s="16">
        <f>IFERROR(IF(OR(D25="",Bonds_Live!Q23="",Bonds_Live!S23=""),"",D25 + (-Bonds_Live!Q23*(200)/100 + Bonds_Live!S23*POWER(200,2)/2000000)),"")</f>
        <v/>
      </c>
    </row>
    <row r="26">
      <c r="A26" s="25">
        <f>Bonds_Static!A24</f>
        <v/>
      </c>
      <c r="B26" s="25">
        <f>Bonds_Static!C24</f>
        <v/>
      </c>
      <c r="C26" s="26">
        <f>IFERROR(Bonds_Static!G24,"")</f>
        <v/>
      </c>
      <c r="D26" s="36">
        <f>IFERROR(Carry_Roll!M24,"")</f>
        <v/>
      </c>
      <c r="E26" s="16">
        <f>IFERROR(IF(OR(D26="",Bonds_Live!Q24="",Bonds_Live!S24=""),"",D26 + (-Bonds_Live!Q24*(-200)/100 + Bonds_Live!S24*POWER(-200,2)/2000000)),"")</f>
        <v/>
      </c>
      <c r="F26" s="16">
        <f>IFERROR(IF(OR(D26="",Bonds_Live!Q24="",Bonds_Live!S24=""),"",D26 + (-Bonds_Live!Q24*(-150)/100 + Bonds_Live!S24*POWER(-150,2)/2000000)),"")</f>
        <v/>
      </c>
      <c r="G26" s="16">
        <f>IFERROR(IF(OR(D26="",Bonds_Live!Q24="",Bonds_Live!S24=""),"",D26 + (-Bonds_Live!Q24*(-100)/100 + Bonds_Live!S24*POWER(-100,2)/2000000)),"")</f>
        <v/>
      </c>
      <c r="H26" s="16">
        <f>IFERROR(IF(OR(D26="",Bonds_Live!Q24="",Bonds_Live!S24=""),"",D26 + (-Bonds_Live!Q24*(-50)/100 + Bonds_Live!S24*POWER(-50,2)/2000000)),"")</f>
        <v/>
      </c>
      <c r="I26" s="16">
        <f>IFERROR(IF(OR(D26="",Bonds_Live!Q24="",Bonds_Live!S24=""),"",D26 + (-Bonds_Live!Q24*(0)/100 + Bonds_Live!S24*POWER(0,2)/2000000)),"")</f>
        <v/>
      </c>
      <c r="J26" s="16">
        <f>IFERROR(IF(OR(D26="",Bonds_Live!Q24="",Bonds_Live!S24=""),"",D26 + (-Bonds_Live!Q24*(-150)/100 + Bonds_Live!S24*POWER(-150,2)/2000000)),"")</f>
        <v/>
      </c>
      <c r="K26" s="16">
        <f>IFERROR(IF(OR(D26="",Bonds_Live!Q24="",Bonds_Live!S24=""),"",D26 + (-Bonds_Live!Q24*(-100)/100 + Bonds_Live!S24*POWER(-100,2)/2000000)),"")</f>
        <v/>
      </c>
      <c r="L26" s="16">
        <f>IFERROR(IF(OR(D26="",Bonds_Live!Q24="",Bonds_Live!S24=""),"",D26 + (-Bonds_Live!Q24*(-50)/100 + Bonds_Live!S24*POWER(-50,2)/2000000)),"")</f>
        <v/>
      </c>
      <c r="M26" s="16">
        <f>IFERROR(IF(OR(D26="",Bonds_Live!Q24="",Bonds_Live!S24=""),"",D26 + (-Bonds_Live!Q24*(0)/100 + Bonds_Live!S24*POWER(0,2)/2000000)),"")</f>
        <v/>
      </c>
      <c r="N26" s="16">
        <f>IFERROR(IF(OR(D26="",Bonds_Live!Q24="",Bonds_Live!S24=""),"",D26 + (-Bonds_Live!Q24*(50)/100 + Bonds_Live!S24*POWER(50,2)/2000000)),"")</f>
        <v/>
      </c>
      <c r="O26" s="16">
        <f>IFERROR(IF(OR(D26="",Bonds_Live!Q24="",Bonds_Live!S24=""),"",D26 + (-Bonds_Live!Q24*(-100)/100 + Bonds_Live!S24*POWER(-100,2)/2000000)),"")</f>
        <v/>
      </c>
      <c r="P26" s="16">
        <f>IFERROR(IF(OR(D26="",Bonds_Live!Q24="",Bonds_Live!S24=""),"",D26 + (-Bonds_Live!Q24*(-50)/100 + Bonds_Live!S24*POWER(-50,2)/2000000)),"")</f>
        <v/>
      </c>
      <c r="Q26" s="16">
        <f>IFERROR(IF(OR(D26="",Bonds_Live!Q24="",Bonds_Live!S24=""),"",D26 + (-Bonds_Live!Q24*(0)/100 + Bonds_Live!S24*POWER(0,2)/2000000)),"")</f>
        <v/>
      </c>
      <c r="R26" s="16">
        <f>IFERROR(IF(OR(D26="",Bonds_Live!Q24="",Bonds_Live!S24=""),"",D26 + (-Bonds_Live!Q24*(50)/100 + Bonds_Live!S24*POWER(50,2)/2000000)),"")</f>
        <v/>
      </c>
      <c r="S26" s="16">
        <f>IFERROR(IF(OR(D26="",Bonds_Live!Q24="",Bonds_Live!S24=""),"",D26 + (-Bonds_Live!Q24*(100)/100 + Bonds_Live!S24*POWER(100,2)/2000000)),"")</f>
        <v/>
      </c>
      <c r="T26" s="16">
        <f>IFERROR(IF(OR(D26="",Bonds_Live!Q24="",Bonds_Live!S24=""),"",D26 + (-Bonds_Live!Q24*(-50)/100 + Bonds_Live!S24*POWER(-50,2)/2000000)),"")</f>
        <v/>
      </c>
      <c r="U26" s="16">
        <f>IFERROR(IF(OR(D26="",Bonds_Live!Q24="",Bonds_Live!S24=""),"",D26 + (-Bonds_Live!Q24*(0)/100 + Bonds_Live!S24*POWER(0,2)/2000000)),"")</f>
        <v/>
      </c>
      <c r="V26" s="16">
        <f>IFERROR(IF(OR(D26="",Bonds_Live!Q24="",Bonds_Live!S24=""),"",D26 + (-Bonds_Live!Q24*(50)/100 + Bonds_Live!S24*POWER(50,2)/2000000)),"")</f>
        <v/>
      </c>
      <c r="W26" s="16">
        <f>IFERROR(IF(OR(D26="",Bonds_Live!Q24="",Bonds_Live!S24=""),"",D26 + (-Bonds_Live!Q24*(100)/100 + Bonds_Live!S24*POWER(100,2)/2000000)),"")</f>
        <v/>
      </c>
      <c r="X26" s="16">
        <f>IFERROR(IF(OR(D26="",Bonds_Live!Q24="",Bonds_Live!S24=""),"",D26 + (-Bonds_Live!Q24*(150)/100 + Bonds_Live!S24*POWER(150,2)/2000000)),"")</f>
        <v/>
      </c>
      <c r="Y26" s="16">
        <f>IFERROR(IF(OR(D26="",Bonds_Live!Q24="",Bonds_Live!S24=""),"",D26 + (-Bonds_Live!Q24*(0)/100 + Bonds_Live!S24*POWER(0,2)/2000000)),"")</f>
        <v/>
      </c>
      <c r="Z26" s="16">
        <f>IFERROR(IF(OR(D26="",Bonds_Live!Q24="",Bonds_Live!S24=""),"",D26 + (-Bonds_Live!Q24*(50)/100 + Bonds_Live!S24*POWER(50,2)/2000000)),"")</f>
        <v/>
      </c>
      <c r="AA26" s="16">
        <f>IFERROR(IF(OR(D26="",Bonds_Live!Q24="",Bonds_Live!S24=""),"",D26 + (-Bonds_Live!Q24*(100)/100 + Bonds_Live!S24*POWER(100,2)/2000000)),"")</f>
        <v/>
      </c>
      <c r="AB26" s="16">
        <f>IFERROR(IF(OR(D26="",Bonds_Live!Q24="",Bonds_Live!S24=""),"",D26 + (-Bonds_Live!Q24*(150)/100 + Bonds_Live!S24*POWER(150,2)/2000000)),"")</f>
        <v/>
      </c>
      <c r="AC26" s="16">
        <f>IFERROR(IF(OR(D26="",Bonds_Live!Q24="",Bonds_Live!S24=""),"",D26 + (-Bonds_Live!Q24*(200)/100 + Bonds_Live!S24*POWER(200,2)/2000000)),"")</f>
        <v/>
      </c>
    </row>
    <row r="27">
      <c r="A27" s="25">
        <f>Bonds_Static!A25</f>
        <v/>
      </c>
      <c r="B27" s="25">
        <f>Bonds_Static!C25</f>
        <v/>
      </c>
      <c r="C27" s="26">
        <f>IFERROR(Bonds_Static!G25,"")</f>
        <v/>
      </c>
      <c r="D27" s="36">
        <f>IFERROR(Carry_Roll!M25,"")</f>
        <v/>
      </c>
      <c r="E27" s="16">
        <f>IFERROR(IF(OR(D27="",Bonds_Live!Q25="",Bonds_Live!S25=""),"",D27 + (-Bonds_Live!Q25*(-200)/100 + Bonds_Live!S25*POWER(-200,2)/2000000)),"")</f>
        <v/>
      </c>
      <c r="F27" s="16">
        <f>IFERROR(IF(OR(D27="",Bonds_Live!Q25="",Bonds_Live!S25=""),"",D27 + (-Bonds_Live!Q25*(-150)/100 + Bonds_Live!S25*POWER(-150,2)/2000000)),"")</f>
        <v/>
      </c>
      <c r="G27" s="16">
        <f>IFERROR(IF(OR(D27="",Bonds_Live!Q25="",Bonds_Live!S25=""),"",D27 + (-Bonds_Live!Q25*(-100)/100 + Bonds_Live!S25*POWER(-100,2)/2000000)),"")</f>
        <v/>
      </c>
      <c r="H27" s="16">
        <f>IFERROR(IF(OR(D27="",Bonds_Live!Q25="",Bonds_Live!S25=""),"",D27 + (-Bonds_Live!Q25*(-50)/100 + Bonds_Live!S25*POWER(-50,2)/2000000)),"")</f>
        <v/>
      </c>
      <c r="I27" s="16">
        <f>IFERROR(IF(OR(D27="",Bonds_Live!Q25="",Bonds_Live!S25=""),"",D27 + (-Bonds_Live!Q25*(0)/100 + Bonds_Live!S25*POWER(0,2)/2000000)),"")</f>
        <v/>
      </c>
      <c r="J27" s="16">
        <f>IFERROR(IF(OR(D27="",Bonds_Live!Q25="",Bonds_Live!S25=""),"",D27 + (-Bonds_Live!Q25*(-150)/100 + Bonds_Live!S25*POWER(-150,2)/2000000)),"")</f>
        <v/>
      </c>
      <c r="K27" s="16">
        <f>IFERROR(IF(OR(D27="",Bonds_Live!Q25="",Bonds_Live!S25=""),"",D27 + (-Bonds_Live!Q25*(-100)/100 + Bonds_Live!S25*POWER(-100,2)/2000000)),"")</f>
        <v/>
      </c>
      <c r="L27" s="16">
        <f>IFERROR(IF(OR(D27="",Bonds_Live!Q25="",Bonds_Live!S25=""),"",D27 + (-Bonds_Live!Q25*(-50)/100 + Bonds_Live!S25*POWER(-50,2)/2000000)),"")</f>
        <v/>
      </c>
      <c r="M27" s="16">
        <f>IFERROR(IF(OR(D27="",Bonds_Live!Q25="",Bonds_Live!S25=""),"",D27 + (-Bonds_Live!Q25*(0)/100 + Bonds_Live!S25*POWER(0,2)/2000000)),"")</f>
        <v/>
      </c>
      <c r="N27" s="16">
        <f>IFERROR(IF(OR(D27="",Bonds_Live!Q25="",Bonds_Live!S25=""),"",D27 + (-Bonds_Live!Q25*(50)/100 + Bonds_Live!S25*POWER(50,2)/2000000)),"")</f>
        <v/>
      </c>
      <c r="O27" s="16">
        <f>IFERROR(IF(OR(D27="",Bonds_Live!Q25="",Bonds_Live!S25=""),"",D27 + (-Bonds_Live!Q25*(-100)/100 + Bonds_Live!S25*POWER(-100,2)/2000000)),"")</f>
        <v/>
      </c>
      <c r="P27" s="16">
        <f>IFERROR(IF(OR(D27="",Bonds_Live!Q25="",Bonds_Live!S25=""),"",D27 + (-Bonds_Live!Q25*(-50)/100 + Bonds_Live!S25*POWER(-50,2)/2000000)),"")</f>
        <v/>
      </c>
      <c r="Q27" s="16">
        <f>IFERROR(IF(OR(D27="",Bonds_Live!Q25="",Bonds_Live!S25=""),"",D27 + (-Bonds_Live!Q25*(0)/100 + Bonds_Live!S25*POWER(0,2)/2000000)),"")</f>
        <v/>
      </c>
      <c r="R27" s="16">
        <f>IFERROR(IF(OR(D27="",Bonds_Live!Q25="",Bonds_Live!S25=""),"",D27 + (-Bonds_Live!Q25*(50)/100 + Bonds_Live!S25*POWER(50,2)/2000000)),"")</f>
        <v/>
      </c>
      <c r="S27" s="16">
        <f>IFERROR(IF(OR(D27="",Bonds_Live!Q25="",Bonds_Live!S25=""),"",D27 + (-Bonds_Live!Q25*(100)/100 + Bonds_Live!S25*POWER(100,2)/2000000)),"")</f>
        <v/>
      </c>
      <c r="T27" s="16">
        <f>IFERROR(IF(OR(D27="",Bonds_Live!Q25="",Bonds_Live!S25=""),"",D27 + (-Bonds_Live!Q25*(-50)/100 + Bonds_Live!S25*POWER(-50,2)/2000000)),"")</f>
        <v/>
      </c>
      <c r="U27" s="16">
        <f>IFERROR(IF(OR(D27="",Bonds_Live!Q25="",Bonds_Live!S25=""),"",D27 + (-Bonds_Live!Q25*(0)/100 + Bonds_Live!S25*POWER(0,2)/2000000)),"")</f>
        <v/>
      </c>
      <c r="V27" s="16">
        <f>IFERROR(IF(OR(D27="",Bonds_Live!Q25="",Bonds_Live!S25=""),"",D27 + (-Bonds_Live!Q25*(50)/100 + Bonds_Live!S25*POWER(50,2)/2000000)),"")</f>
        <v/>
      </c>
      <c r="W27" s="16">
        <f>IFERROR(IF(OR(D27="",Bonds_Live!Q25="",Bonds_Live!S25=""),"",D27 + (-Bonds_Live!Q25*(100)/100 + Bonds_Live!S25*POWER(100,2)/2000000)),"")</f>
        <v/>
      </c>
      <c r="X27" s="16">
        <f>IFERROR(IF(OR(D27="",Bonds_Live!Q25="",Bonds_Live!S25=""),"",D27 + (-Bonds_Live!Q25*(150)/100 + Bonds_Live!S25*POWER(150,2)/2000000)),"")</f>
        <v/>
      </c>
      <c r="Y27" s="16">
        <f>IFERROR(IF(OR(D27="",Bonds_Live!Q25="",Bonds_Live!S25=""),"",D27 + (-Bonds_Live!Q25*(0)/100 + Bonds_Live!S25*POWER(0,2)/2000000)),"")</f>
        <v/>
      </c>
      <c r="Z27" s="16">
        <f>IFERROR(IF(OR(D27="",Bonds_Live!Q25="",Bonds_Live!S25=""),"",D27 + (-Bonds_Live!Q25*(50)/100 + Bonds_Live!S25*POWER(50,2)/2000000)),"")</f>
        <v/>
      </c>
      <c r="AA27" s="16">
        <f>IFERROR(IF(OR(D27="",Bonds_Live!Q25="",Bonds_Live!S25=""),"",D27 + (-Bonds_Live!Q25*(100)/100 + Bonds_Live!S25*POWER(100,2)/2000000)),"")</f>
        <v/>
      </c>
      <c r="AB27" s="16">
        <f>IFERROR(IF(OR(D27="",Bonds_Live!Q25="",Bonds_Live!S25=""),"",D27 + (-Bonds_Live!Q25*(150)/100 + Bonds_Live!S25*POWER(150,2)/2000000)),"")</f>
        <v/>
      </c>
      <c r="AC27" s="16">
        <f>IFERROR(IF(OR(D27="",Bonds_Live!Q25="",Bonds_Live!S25=""),"",D27 + (-Bonds_Live!Q25*(200)/100 + Bonds_Live!S25*POWER(200,2)/2000000)),"")</f>
        <v/>
      </c>
    </row>
    <row r="28">
      <c r="A28" s="25">
        <f>Bonds_Static!A26</f>
        <v/>
      </c>
      <c r="B28" s="25">
        <f>Bonds_Static!C26</f>
        <v/>
      </c>
      <c r="C28" s="26">
        <f>IFERROR(Bonds_Static!G26,"")</f>
        <v/>
      </c>
      <c r="D28" s="36">
        <f>IFERROR(Carry_Roll!M26,"")</f>
        <v/>
      </c>
      <c r="E28" s="16">
        <f>IFERROR(IF(OR(D28="",Bonds_Live!Q26="",Bonds_Live!S26=""),"",D28 + (-Bonds_Live!Q26*(-200)/100 + Bonds_Live!S26*POWER(-200,2)/2000000)),"")</f>
        <v/>
      </c>
      <c r="F28" s="16">
        <f>IFERROR(IF(OR(D28="",Bonds_Live!Q26="",Bonds_Live!S26=""),"",D28 + (-Bonds_Live!Q26*(-150)/100 + Bonds_Live!S26*POWER(-150,2)/2000000)),"")</f>
        <v/>
      </c>
      <c r="G28" s="16">
        <f>IFERROR(IF(OR(D28="",Bonds_Live!Q26="",Bonds_Live!S26=""),"",D28 + (-Bonds_Live!Q26*(-100)/100 + Bonds_Live!S26*POWER(-100,2)/2000000)),"")</f>
        <v/>
      </c>
      <c r="H28" s="16">
        <f>IFERROR(IF(OR(D28="",Bonds_Live!Q26="",Bonds_Live!S26=""),"",D28 + (-Bonds_Live!Q26*(-50)/100 + Bonds_Live!S26*POWER(-50,2)/2000000)),"")</f>
        <v/>
      </c>
      <c r="I28" s="16">
        <f>IFERROR(IF(OR(D28="",Bonds_Live!Q26="",Bonds_Live!S26=""),"",D28 + (-Bonds_Live!Q26*(0)/100 + Bonds_Live!S26*POWER(0,2)/2000000)),"")</f>
        <v/>
      </c>
      <c r="J28" s="16">
        <f>IFERROR(IF(OR(D28="",Bonds_Live!Q26="",Bonds_Live!S26=""),"",D28 + (-Bonds_Live!Q26*(-150)/100 + Bonds_Live!S26*POWER(-150,2)/2000000)),"")</f>
        <v/>
      </c>
      <c r="K28" s="16">
        <f>IFERROR(IF(OR(D28="",Bonds_Live!Q26="",Bonds_Live!S26=""),"",D28 + (-Bonds_Live!Q26*(-100)/100 + Bonds_Live!S26*POWER(-100,2)/2000000)),"")</f>
        <v/>
      </c>
      <c r="L28" s="16">
        <f>IFERROR(IF(OR(D28="",Bonds_Live!Q26="",Bonds_Live!S26=""),"",D28 + (-Bonds_Live!Q26*(-50)/100 + Bonds_Live!S26*POWER(-50,2)/2000000)),"")</f>
        <v/>
      </c>
      <c r="M28" s="16">
        <f>IFERROR(IF(OR(D28="",Bonds_Live!Q26="",Bonds_Live!S26=""),"",D28 + (-Bonds_Live!Q26*(0)/100 + Bonds_Live!S26*POWER(0,2)/2000000)),"")</f>
        <v/>
      </c>
      <c r="N28" s="16">
        <f>IFERROR(IF(OR(D28="",Bonds_Live!Q26="",Bonds_Live!S26=""),"",D28 + (-Bonds_Live!Q26*(50)/100 + Bonds_Live!S26*POWER(50,2)/2000000)),"")</f>
        <v/>
      </c>
      <c r="O28" s="16">
        <f>IFERROR(IF(OR(D28="",Bonds_Live!Q26="",Bonds_Live!S26=""),"",D28 + (-Bonds_Live!Q26*(-100)/100 + Bonds_Live!S26*POWER(-100,2)/2000000)),"")</f>
        <v/>
      </c>
      <c r="P28" s="16">
        <f>IFERROR(IF(OR(D28="",Bonds_Live!Q26="",Bonds_Live!S26=""),"",D28 + (-Bonds_Live!Q26*(-50)/100 + Bonds_Live!S26*POWER(-50,2)/2000000)),"")</f>
        <v/>
      </c>
      <c r="Q28" s="16">
        <f>IFERROR(IF(OR(D28="",Bonds_Live!Q26="",Bonds_Live!S26=""),"",D28 + (-Bonds_Live!Q26*(0)/100 + Bonds_Live!S26*POWER(0,2)/2000000)),"")</f>
        <v/>
      </c>
      <c r="R28" s="16">
        <f>IFERROR(IF(OR(D28="",Bonds_Live!Q26="",Bonds_Live!S26=""),"",D28 + (-Bonds_Live!Q26*(50)/100 + Bonds_Live!S26*POWER(50,2)/2000000)),"")</f>
        <v/>
      </c>
      <c r="S28" s="16">
        <f>IFERROR(IF(OR(D28="",Bonds_Live!Q26="",Bonds_Live!S26=""),"",D28 + (-Bonds_Live!Q26*(100)/100 + Bonds_Live!S26*POWER(100,2)/2000000)),"")</f>
        <v/>
      </c>
      <c r="T28" s="16">
        <f>IFERROR(IF(OR(D28="",Bonds_Live!Q26="",Bonds_Live!S26=""),"",D28 + (-Bonds_Live!Q26*(-50)/100 + Bonds_Live!S26*POWER(-50,2)/2000000)),"")</f>
        <v/>
      </c>
      <c r="U28" s="16">
        <f>IFERROR(IF(OR(D28="",Bonds_Live!Q26="",Bonds_Live!S26=""),"",D28 + (-Bonds_Live!Q26*(0)/100 + Bonds_Live!S26*POWER(0,2)/2000000)),"")</f>
        <v/>
      </c>
      <c r="V28" s="16">
        <f>IFERROR(IF(OR(D28="",Bonds_Live!Q26="",Bonds_Live!S26=""),"",D28 + (-Bonds_Live!Q26*(50)/100 + Bonds_Live!S26*POWER(50,2)/2000000)),"")</f>
        <v/>
      </c>
      <c r="W28" s="16">
        <f>IFERROR(IF(OR(D28="",Bonds_Live!Q26="",Bonds_Live!S26=""),"",D28 + (-Bonds_Live!Q26*(100)/100 + Bonds_Live!S26*POWER(100,2)/2000000)),"")</f>
        <v/>
      </c>
      <c r="X28" s="16">
        <f>IFERROR(IF(OR(D28="",Bonds_Live!Q26="",Bonds_Live!S26=""),"",D28 + (-Bonds_Live!Q26*(150)/100 + Bonds_Live!S26*POWER(150,2)/2000000)),"")</f>
        <v/>
      </c>
      <c r="Y28" s="16">
        <f>IFERROR(IF(OR(D28="",Bonds_Live!Q26="",Bonds_Live!S26=""),"",D28 + (-Bonds_Live!Q26*(0)/100 + Bonds_Live!S26*POWER(0,2)/2000000)),"")</f>
        <v/>
      </c>
      <c r="Z28" s="16">
        <f>IFERROR(IF(OR(D28="",Bonds_Live!Q26="",Bonds_Live!S26=""),"",D28 + (-Bonds_Live!Q26*(50)/100 + Bonds_Live!S26*POWER(50,2)/2000000)),"")</f>
        <v/>
      </c>
      <c r="AA28" s="16">
        <f>IFERROR(IF(OR(D28="",Bonds_Live!Q26="",Bonds_Live!S26=""),"",D28 + (-Bonds_Live!Q26*(100)/100 + Bonds_Live!S26*POWER(100,2)/2000000)),"")</f>
        <v/>
      </c>
      <c r="AB28" s="16">
        <f>IFERROR(IF(OR(D28="",Bonds_Live!Q26="",Bonds_Live!S26=""),"",D28 + (-Bonds_Live!Q26*(150)/100 + Bonds_Live!S26*POWER(150,2)/2000000)),"")</f>
        <v/>
      </c>
      <c r="AC28" s="16">
        <f>IFERROR(IF(OR(D28="",Bonds_Live!Q26="",Bonds_Live!S26=""),"",D28 + (-Bonds_Live!Q26*(200)/100 + Bonds_Live!S26*POWER(200,2)/2000000)),"")</f>
        <v/>
      </c>
    </row>
  </sheetData>
  <mergeCells count="1">
    <mergeCell ref="A1:AE1"/>
  </mergeCells>
  <conditionalFormatting sqref="E4:AC2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H3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" customWidth="1" min="9" max="9"/>
    <col width="14" customWidth="1" min="10" max="10"/>
  </cols>
  <sheetData>
    <row r="2">
      <c r="B2" s="5" t="inlineStr">
        <is>
          <t>Bond Selector</t>
        </is>
      </c>
      <c r="C2" s="6" t="n"/>
      <c r="D2" s="6" t="n"/>
      <c r="E2" s="6" t="n"/>
      <c r="F2" s="6" t="n"/>
      <c r="G2" s="6" t="n"/>
      <c r="H2" s="7" t="n"/>
    </row>
    <row r="3">
      <c r="B3" s="15" t="inlineStr">
        <is>
          <t>Select bond (row #):</t>
        </is>
      </c>
      <c r="C3" s="8" t="n">
        <v>3</v>
      </c>
      <c r="D3" s="10">
        <f>IFERROR(INDEX(Bonds_Static!A3:A27,C3-2),"")</f>
        <v/>
      </c>
      <c r="E3" s="10">
        <f>IFERROR(INDEX(Bonds_Static!C3:C27,C3-2),"")</f>
        <v/>
      </c>
      <c r="F3" s="23">
        <f>IFERROR(INDEX(Bonds_Static!G3:G27,C3-2),"")</f>
        <v/>
      </c>
      <c r="G3" s="16">
        <f>IFERROR(INDEX(Bonds_Live!Q3:Q27,C3-2),"")</f>
        <v/>
      </c>
      <c r="H3" s="16">
        <f>IFERROR(INDEX(Bonds_Live!S3:S27,C3-2),"")</f>
        <v/>
      </c>
    </row>
    <row r="4">
      <c r="B4" s="33" t="inlineStr">
        <is>
          <t>(C3 = bond row # in Bonds_Static; 3 = first bond)</t>
        </is>
      </c>
    </row>
    <row r="6">
      <c r="B6" s="5" t="inlineStr">
        <is>
          <t>Horizon: 3 months — Total Return (%)</t>
        </is>
      </c>
      <c r="C6" s="6" t="n"/>
      <c r="D6" s="6" t="n"/>
      <c r="E6" s="6" t="n"/>
      <c r="F6" s="6" t="n"/>
      <c r="G6" s="7" t="n"/>
    </row>
    <row r="7">
      <c r="B7" s="21" t="inlineStr">
        <is>
          <t>ΔUST ↓ / Δspread →</t>
        </is>
      </c>
      <c r="C7" s="21" t="inlineStr">
        <is>
          <t>-100 bp</t>
        </is>
      </c>
      <c r="D7" s="21" t="inlineStr">
        <is>
          <t>-50 bp</t>
        </is>
      </c>
      <c r="E7" s="21" t="inlineStr">
        <is>
          <t>+0 bp</t>
        </is>
      </c>
      <c r="F7" s="21" t="inlineStr">
        <is>
          <t>+50 bp</t>
        </is>
      </c>
      <c r="G7" s="21" t="inlineStr">
        <is>
          <t>+100 bp</t>
        </is>
      </c>
    </row>
    <row r="8">
      <c r="B8" s="21" t="inlineStr">
        <is>
          <t>-100 bp</t>
        </is>
      </c>
      <c r="C8" s="16">
        <f>IFERROR((IFERROR(INDEX(Carry_Roll!G3:G27,C$3-2),0)+IFERROR(INDEX(Carry_Roll!J3:J27,C$3-2),0)) + (-G$3*(-100+-100)/100 + H$3*POWER(-100+-100,2)/2000000),"")</f>
        <v/>
      </c>
      <c r="D8" s="16">
        <f>IFERROR((IFERROR(INDEX(Carry_Roll!G3:G27,C$3-2),0)+IFERROR(INDEX(Carry_Roll!J3:J27,C$3-2),0)) + (-G$3*(-100+-50)/100 + H$3*POWER(-100+-50,2)/2000000),"")</f>
        <v/>
      </c>
      <c r="E8" s="16">
        <f>IFERROR((IFERROR(INDEX(Carry_Roll!G3:G27,C$3-2),0)+IFERROR(INDEX(Carry_Roll!J3:J27,C$3-2),0)) + (-G$3*(-100+0)/100 + H$3*POWER(-100+0,2)/2000000),"")</f>
        <v/>
      </c>
      <c r="F8" s="16">
        <f>IFERROR((IFERROR(INDEX(Carry_Roll!G3:G27,C$3-2),0)+IFERROR(INDEX(Carry_Roll!J3:J27,C$3-2),0)) + (-G$3*(-100+50)/100 + H$3*POWER(-100+50,2)/2000000),"")</f>
        <v/>
      </c>
      <c r="G8" s="16">
        <f>IFERROR((IFERROR(INDEX(Carry_Roll!G3:G27,C$3-2),0)+IFERROR(INDEX(Carry_Roll!J3:J27,C$3-2),0)) + (-G$3*(-100+100)/100 + H$3*POWER(-100+100,2)/2000000),"")</f>
        <v/>
      </c>
    </row>
    <row r="9">
      <c r="B9" s="21" t="inlineStr">
        <is>
          <t>-50 bp</t>
        </is>
      </c>
      <c r="C9" s="16">
        <f>IFERROR((IFERROR(INDEX(Carry_Roll!G3:G27,C$3-2),0)+IFERROR(INDEX(Carry_Roll!J3:J27,C$3-2),0)) + (-G$3*(-50+-100)/100 + H$3*POWER(-50+-100,2)/2000000),"")</f>
        <v/>
      </c>
      <c r="D9" s="16">
        <f>IFERROR((IFERROR(INDEX(Carry_Roll!G3:G27,C$3-2),0)+IFERROR(INDEX(Carry_Roll!J3:J27,C$3-2),0)) + (-G$3*(-50+-50)/100 + H$3*POWER(-50+-50,2)/2000000),"")</f>
        <v/>
      </c>
      <c r="E9" s="16">
        <f>IFERROR((IFERROR(INDEX(Carry_Roll!G3:G27,C$3-2),0)+IFERROR(INDEX(Carry_Roll!J3:J27,C$3-2),0)) + (-G$3*(-50+0)/100 + H$3*POWER(-50+0,2)/2000000),"")</f>
        <v/>
      </c>
      <c r="F9" s="16">
        <f>IFERROR((IFERROR(INDEX(Carry_Roll!G3:G27,C$3-2),0)+IFERROR(INDEX(Carry_Roll!J3:J27,C$3-2),0)) + (-G$3*(-50+50)/100 + H$3*POWER(-50+50,2)/2000000),"")</f>
        <v/>
      </c>
      <c r="G9" s="16">
        <f>IFERROR((IFERROR(INDEX(Carry_Roll!G3:G27,C$3-2),0)+IFERROR(INDEX(Carry_Roll!J3:J27,C$3-2),0)) + (-G$3*(-50+100)/100 + H$3*POWER(-50+100,2)/2000000),"")</f>
        <v/>
      </c>
    </row>
    <row r="10">
      <c r="B10" s="21" t="inlineStr">
        <is>
          <t>-25 bp</t>
        </is>
      </c>
      <c r="C10" s="16">
        <f>IFERROR((IFERROR(INDEX(Carry_Roll!G3:G27,C$3-2),0)+IFERROR(INDEX(Carry_Roll!J3:J27,C$3-2),0)) + (-G$3*(-25+-100)/100 + H$3*POWER(-25+-100,2)/2000000),"")</f>
        <v/>
      </c>
      <c r="D10" s="16">
        <f>IFERROR((IFERROR(INDEX(Carry_Roll!G3:G27,C$3-2),0)+IFERROR(INDEX(Carry_Roll!J3:J27,C$3-2),0)) + (-G$3*(-25+-50)/100 + H$3*POWER(-25+-50,2)/2000000),"")</f>
        <v/>
      </c>
      <c r="E10" s="16">
        <f>IFERROR((IFERROR(INDEX(Carry_Roll!G3:G27,C$3-2),0)+IFERROR(INDEX(Carry_Roll!J3:J27,C$3-2),0)) + (-G$3*(-25+0)/100 + H$3*POWER(-25+0,2)/2000000),"")</f>
        <v/>
      </c>
      <c r="F10" s="16">
        <f>IFERROR((IFERROR(INDEX(Carry_Roll!G3:G27,C$3-2),0)+IFERROR(INDEX(Carry_Roll!J3:J27,C$3-2),0)) + (-G$3*(-25+50)/100 + H$3*POWER(-25+50,2)/2000000),"")</f>
        <v/>
      </c>
      <c r="G10" s="16">
        <f>IFERROR((IFERROR(INDEX(Carry_Roll!G3:G27,C$3-2),0)+IFERROR(INDEX(Carry_Roll!J3:J27,C$3-2),0)) + (-G$3*(-25+100)/100 + H$3*POWER(-25+100,2)/2000000),"")</f>
        <v/>
      </c>
    </row>
    <row r="11">
      <c r="B11" s="21" t="inlineStr">
        <is>
          <t>+0 bp</t>
        </is>
      </c>
      <c r="C11" s="16">
        <f>IFERROR((IFERROR(INDEX(Carry_Roll!G3:G27,C$3-2),0)+IFERROR(INDEX(Carry_Roll!J3:J27,C$3-2),0)) + (-G$3*(0+-100)/100 + H$3*POWER(0+-100,2)/2000000),"")</f>
        <v/>
      </c>
      <c r="D11" s="16">
        <f>IFERROR((IFERROR(INDEX(Carry_Roll!G3:G27,C$3-2),0)+IFERROR(INDEX(Carry_Roll!J3:J27,C$3-2),0)) + (-G$3*(0+-50)/100 + H$3*POWER(0+-50,2)/2000000),"")</f>
        <v/>
      </c>
      <c r="E11" s="16">
        <f>IFERROR((IFERROR(INDEX(Carry_Roll!G3:G27,C$3-2),0)+IFERROR(INDEX(Carry_Roll!J3:J27,C$3-2),0)) + (-G$3*(0+0)/100 + H$3*POWER(0+0,2)/2000000),"")</f>
        <v/>
      </c>
      <c r="F11" s="16">
        <f>IFERROR((IFERROR(INDEX(Carry_Roll!G3:G27,C$3-2),0)+IFERROR(INDEX(Carry_Roll!J3:J27,C$3-2),0)) + (-G$3*(0+50)/100 + H$3*POWER(0+50,2)/2000000),"")</f>
        <v/>
      </c>
      <c r="G11" s="16">
        <f>IFERROR((IFERROR(INDEX(Carry_Roll!G3:G27,C$3-2),0)+IFERROR(INDEX(Carry_Roll!J3:J27,C$3-2),0)) + (-G$3*(0+100)/100 + H$3*POWER(0+100,2)/2000000),"")</f>
        <v/>
      </c>
    </row>
    <row r="12">
      <c r="B12" s="21" t="inlineStr">
        <is>
          <t>+25 bp</t>
        </is>
      </c>
      <c r="C12" s="16">
        <f>IFERROR((IFERROR(INDEX(Carry_Roll!G3:G27,C$3-2),0)+IFERROR(INDEX(Carry_Roll!J3:J27,C$3-2),0)) + (-G$3*(25+-100)/100 + H$3*POWER(25+-100,2)/2000000),"")</f>
        <v/>
      </c>
      <c r="D12" s="16">
        <f>IFERROR((IFERROR(INDEX(Carry_Roll!G3:G27,C$3-2),0)+IFERROR(INDEX(Carry_Roll!J3:J27,C$3-2),0)) + (-G$3*(25+-50)/100 + H$3*POWER(25+-50,2)/2000000),"")</f>
        <v/>
      </c>
      <c r="E12" s="16">
        <f>IFERROR((IFERROR(INDEX(Carry_Roll!G3:G27,C$3-2),0)+IFERROR(INDEX(Carry_Roll!J3:J27,C$3-2),0)) + (-G$3*(25+0)/100 + H$3*POWER(25+0,2)/2000000),"")</f>
        <v/>
      </c>
      <c r="F12" s="16">
        <f>IFERROR((IFERROR(INDEX(Carry_Roll!G3:G27,C$3-2),0)+IFERROR(INDEX(Carry_Roll!J3:J27,C$3-2),0)) + (-G$3*(25+50)/100 + H$3*POWER(25+50,2)/2000000),"")</f>
        <v/>
      </c>
      <c r="G12" s="16">
        <f>IFERROR((IFERROR(INDEX(Carry_Roll!G3:G27,C$3-2),0)+IFERROR(INDEX(Carry_Roll!J3:J27,C$3-2),0)) + (-G$3*(25+100)/100 + H$3*POWER(25+100,2)/2000000),"")</f>
        <v/>
      </c>
    </row>
    <row r="13">
      <c r="B13" s="21" t="inlineStr">
        <is>
          <t>+50 bp</t>
        </is>
      </c>
      <c r="C13" s="16">
        <f>IFERROR((IFERROR(INDEX(Carry_Roll!G3:G27,C$3-2),0)+IFERROR(INDEX(Carry_Roll!J3:J27,C$3-2),0)) + (-G$3*(50+-100)/100 + H$3*POWER(50+-100,2)/2000000),"")</f>
        <v/>
      </c>
      <c r="D13" s="16">
        <f>IFERROR((IFERROR(INDEX(Carry_Roll!G3:G27,C$3-2),0)+IFERROR(INDEX(Carry_Roll!J3:J27,C$3-2),0)) + (-G$3*(50+-50)/100 + H$3*POWER(50+-50,2)/2000000),"")</f>
        <v/>
      </c>
      <c r="E13" s="16">
        <f>IFERROR((IFERROR(INDEX(Carry_Roll!G3:G27,C$3-2),0)+IFERROR(INDEX(Carry_Roll!J3:J27,C$3-2),0)) + (-G$3*(50+0)/100 + H$3*POWER(50+0,2)/2000000),"")</f>
        <v/>
      </c>
      <c r="F13" s="16">
        <f>IFERROR((IFERROR(INDEX(Carry_Roll!G3:G27,C$3-2),0)+IFERROR(INDEX(Carry_Roll!J3:J27,C$3-2),0)) + (-G$3*(50+50)/100 + H$3*POWER(50+50,2)/2000000),"")</f>
        <v/>
      </c>
      <c r="G13" s="16">
        <f>IFERROR((IFERROR(INDEX(Carry_Roll!G3:G27,C$3-2),0)+IFERROR(INDEX(Carry_Roll!J3:J27,C$3-2),0)) + (-G$3*(50+100)/100 + H$3*POWER(50+100,2)/2000000),"")</f>
        <v/>
      </c>
    </row>
    <row r="14">
      <c r="B14" s="21" t="inlineStr">
        <is>
          <t>+100 bp</t>
        </is>
      </c>
      <c r="C14" s="16">
        <f>IFERROR((IFERROR(INDEX(Carry_Roll!G3:G27,C$3-2),0)+IFERROR(INDEX(Carry_Roll!J3:J27,C$3-2),0)) + (-G$3*(100+-100)/100 + H$3*POWER(100+-100,2)/2000000),"")</f>
        <v/>
      </c>
      <c r="D14" s="16">
        <f>IFERROR((IFERROR(INDEX(Carry_Roll!G3:G27,C$3-2),0)+IFERROR(INDEX(Carry_Roll!J3:J27,C$3-2),0)) + (-G$3*(100+-50)/100 + H$3*POWER(100+-50,2)/2000000),"")</f>
        <v/>
      </c>
      <c r="E14" s="16">
        <f>IFERROR((IFERROR(INDEX(Carry_Roll!G3:G27,C$3-2),0)+IFERROR(INDEX(Carry_Roll!J3:J27,C$3-2),0)) + (-G$3*(100+0)/100 + H$3*POWER(100+0,2)/2000000),"")</f>
        <v/>
      </c>
      <c r="F14" s="16">
        <f>IFERROR((IFERROR(INDEX(Carry_Roll!G3:G27,C$3-2),0)+IFERROR(INDEX(Carry_Roll!J3:J27,C$3-2),0)) + (-G$3*(100+50)/100 + H$3*POWER(100+50,2)/2000000),"")</f>
        <v/>
      </c>
      <c r="G14" s="16">
        <f>IFERROR((IFERROR(INDEX(Carry_Roll!G3:G27,C$3-2),0)+IFERROR(INDEX(Carry_Roll!J3:J27,C$3-2),0)) + (-G$3*(100+100)/100 + H$3*POWER(100+100,2)/2000000),"")</f>
        <v/>
      </c>
    </row>
    <row r="18">
      <c r="B18" s="5" t="inlineStr">
        <is>
          <t>Horizon: 6 months — Total Return (%)</t>
        </is>
      </c>
      <c r="C18" s="6" t="n"/>
      <c r="D18" s="6" t="n"/>
      <c r="E18" s="6" t="n"/>
      <c r="F18" s="6" t="n"/>
      <c r="G18" s="7" t="n"/>
    </row>
    <row r="19">
      <c r="B19" s="21" t="inlineStr">
        <is>
          <t>ΔUST ↓ / Δspread →</t>
        </is>
      </c>
      <c r="C19" s="21" t="inlineStr">
        <is>
          <t>-100 bp</t>
        </is>
      </c>
      <c r="D19" s="21" t="inlineStr">
        <is>
          <t>-50 bp</t>
        </is>
      </c>
      <c r="E19" s="21" t="inlineStr">
        <is>
          <t>+0 bp</t>
        </is>
      </c>
      <c r="F19" s="21" t="inlineStr">
        <is>
          <t>+50 bp</t>
        </is>
      </c>
      <c r="G19" s="21" t="inlineStr">
        <is>
          <t>+100 bp</t>
        </is>
      </c>
    </row>
    <row r="20">
      <c r="B20" s="21" t="inlineStr">
        <is>
          <t>-100 bp</t>
        </is>
      </c>
      <c r="C20" s="16">
        <f>IFERROR((IFERROR(INDEX(Carry_Roll!H3:H27,C$3-2),0)+IFERROR(INDEX(Carry_Roll!K3:K27,C$3-2),0)) + (-G$3*(-100+-100)/100 + H$3*POWER(-100+-100,2)/2000000),"")</f>
        <v/>
      </c>
      <c r="D20" s="16">
        <f>IFERROR((IFERROR(INDEX(Carry_Roll!H3:H27,C$3-2),0)+IFERROR(INDEX(Carry_Roll!K3:K27,C$3-2),0)) + (-G$3*(-100+-50)/100 + H$3*POWER(-100+-50,2)/2000000),"")</f>
        <v/>
      </c>
      <c r="E20" s="16">
        <f>IFERROR((IFERROR(INDEX(Carry_Roll!H3:H27,C$3-2),0)+IFERROR(INDEX(Carry_Roll!K3:K27,C$3-2),0)) + (-G$3*(-100+0)/100 + H$3*POWER(-100+0,2)/2000000),"")</f>
        <v/>
      </c>
      <c r="F20" s="16">
        <f>IFERROR((IFERROR(INDEX(Carry_Roll!H3:H27,C$3-2),0)+IFERROR(INDEX(Carry_Roll!K3:K27,C$3-2),0)) + (-G$3*(-100+50)/100 + H$3*POWER(-100+50,2)/2000000),"")</f>
        <v/>
      </c>
      <c r="G20" s="16">
        <f>IFERROR((IFERROR(INDEX(Carry_Roll!H3:H27,C$3-2),0)+IFERROR(INDEX(Carry_Roll!K3:K27,C$3-2),0)) + (-G$3*(-100+100)/100 + H$3*POWER(-100+100,2)/2000000),"")</f>
        <v/>
      </c>
    </row>
    <row r="21">
      <c r="B21" s="21" t="inlineStr">
        <is>
          <t>-50 bp</t>
        </is>
      </c>
      <c r="C21" s="16">
        <f>IFERROR((IFERROR(INDEX(Carry_Roll!H3:H27,C$3-2),0)+IFERROR(INDEX(Carry_Roll!K3:K27,C$3-2),0)) + (-G$3*(-50+-100)/100 + H$3*POWER(-50+-100,2)/2000000),"")</f>
        <v/>
      </c>
      <c r="D21" s="16">
        <f>IFERROR((IFERROR(INDEX(Carry_Roll!H3:H27,C$3-2),0)+IFERROR(INDEX(Carry_Roll!K3:K27,C$3-2),0)) + (-G$3*(-50+-50)/100 + H$3*POWER(-50+-50,2)/2000000),"")</f>
        <v/>
      </c>
      <c r="E21" s="16">
        <f>IFERROR((IFERROR(INDEX(Carry_Roll!H3:H27,C$3-2),0)+IFERROR(INDEX(Carry_Roll!K3:K27,C$3-2),0)) + (-G$3*(-50+0)/100 + H$3*POWER(-50+0,2)/2000000),"")</f>
        <v/>
      </c>
      <c r="F21" s="16">
        <f>IFERROR((IFERROR(INDEX(Carry_Roll!H3:H27,C$3-2),0)+IFERROR(INDEX(Carry_Roll!K3:K27,C$3-2),0)) + (-G$3*(-50+50)/100 + H$3*POWER(-50+50,2)/2000000),"")</f>
        <v/>
      </c>
      <c r="G21" s="16">
        <f>IFERROR((IFERROR(INDEX(Carry_Roll!H3:H27,C$3-2),0)+IFERROR(INDEX(Carry_Roll!K3:K27,C$3-2),0)) + (-G$3*(-50+100)/100 + H$3*POWER(-50+100,2)/2000000),"")</f>
        <v/>
      </c>
    </row>
    <row r="22">
      <c r="B22" s="21" t="inlineStr">
        <is>
          <t>-25 bp</t>
        </is>
      </c>
      <c r="C22" s="16">
        <f>IFERROR((IFERROR(INDEX(Carry_Roll!H3:H27,C$3-2),0)+IFERROR(INDEX(Carry_Roll!K3:K27,C$3-2),0)) + (-G$3*(-25+-100)/100 + H$3*POWER(-25+-100,2)/2000000),"")</f>
        <v/>
      </c>
      <c r="D22" s="16">
        <f>IFERROR((IFERROR(INDEX(Carry_Roll!H3:H27,C$3-2),0)+IFERROR(INDEX(Carry_Roll!K3:K27,C$3-2),0)) + (-G$3*(-25+-50)/100 + H$3*POWER(-25+-50,2)/2000000),"")</f>
        <v/>
      </c>
      <c r="E22" s="16">
        <f>IFERROR((IFERROR(INDEX(Carry_Roll!H3:H27,C$3-2),0)+IFERROR(INDEX(Carry_Roll!K3:K27,C$3-2),0)) + (-G$3*(-25+0)/100 + H$3*POWER(-25+0,2)/2000000),"")</f>
        <v/>
      </c>
      <c r="F22" s="16">
        <f>IFERROR((IFERROR(INDEX(Carry_Roll!H3:H27,C$3-2),0)+IFERROR(INDEX(Carry_Roll!K3:K27,C$3-2),0)) + (-G$3*(-25+50)/100 + H$3*POWER(-25+50,2)/2000000),"")</f>
        <v/>
      </c>
      <c r="G22" s="16">
        <f>IFERROR((IFERROR(INDEX(Carry_Roll!H3:H27,C$3-2),0)+IFERROR(INDEX(Carry_Roll!K3:K27,C$3-2),0)) + (-G$3*(-25+100)/100 + H$3*POWER(-25+100,2)/2000000),"")</f>
        <v/>
      </c>
    </row>
    <row r="23">
      <c r="B23" s="21" t="inlineStr">
        <is>
          <t>+0 bp</t>
        </is>
      </c>
      <c r="C23" s="16">
        <f>IFERROR((IFERROR(INDEX(Carry_Roll!H3:H27,C$3-2),0)+IFERROR(INDEX(Carry_Roll!K3:K27,C$3-2),0)) + (-G$3*(0+-100)/100 + H$3*POWER(0+-100,2)/2000000),"")</f>
        <v/>
      </c>
      <c r="D23" s="16">
        <f>IFERROR((IFERROR(INDEX(Carry_Roll!H3:H27,C$3-2),0)+IFERROR(INDEX(Carry_Roll!K3:K27,C$3-2),0)) + (-G$3*(0+-50)/100 + H$3*POWER(0+-50,2)/2000000),"")</f>
        <v/>
      </c>
      <c r="E23" s="16">
        <f>IFERROR((IFERROR(INDEX(Carry_Roll!H3:H27,C$3-2),0)+IFERROR(INDEX(Carry_Roll!K3:K27,C$3-2),0)) + (-G$3*(0+0)/100 + H$3*POWER(0+0,2)/2000000),"")</f>
        <v/>
      </c>
      <c r="F23" s="16">
        <f>IFERROR((IFERROR(INDEX(Carry_Roll!H3:H27,C$3-2),0)+IFERROR(INDEX(Carry_Roll!K3:K27,C$3-2),0)) + (-G$3*(0+50)/100 + H$3*POWER(0+50,2)/2000000),"")</f>
        <v/>
      </c>
      <c r="G23" s="16">
        <f>IFERROR((IFERROR(INDEX(Carry_Roll!H3:H27,C$3-2),0)+IFERROR(INDEX(Carry_Roll!K3:K27,C$3-2),0)) + (-G$3*(0+100)/100 + H$3*POWER(0+100,2)/2000000),"")</f>
        <v/>
      </c>
    </row>
    <row r="24">
      <c r="B24" s="21" t="inlineStr">
        <is>
          <t>+25 bp</t>
        </is>
      </c>
      <c r="C24" s="16">
        <f>IFERROR((IFERROR(INDEX(Carry_Roll!H3:H27,C$3-2),0)+IFERROR(INDEX(Carry_Roll!K3:K27,C$3-2),0)) + (-G$3*(25+-100)/100 + H$3*POWER(25+-100,2)/2000000),"")</f>
        <v/>
      </c>
      <c r="D24" s="16">
        <f>IFERROR((IFERROR(INDEX(Carry_Roll!H3:H27,C$3-2),0)+IFERROR(INDEX(Carry_Roll!K3:K27,C$3-2),0)) + (-G$3*(25+-50)/100 + H$3*POWER(25+-50,2)/2000000),"")</f>
        <v/>
      </c>
      <c r="E24" s="16">
        <f>IFERROR((IFERROR(INDEX(Carry_Roll!H3:H27,C$3-2),0)+IFERROR(INDEX(Carry_Roll!K3:K27,C$3-2),0)) + (-G$3*(25+0)/100 + H$3*POWER(25+0,2)/2000000),"")</f>
        <v/>
      </c>
      <c r="F24" s="16">
        <f>IFERROR((IFERROR(INDEX(Carry_Roll!H3:H27,C$3-2),0)+IFERROR(INDEX(Carry_Roll!K3:K27,C$3-2),0)) + (-G$3*(25+50)/100 + H$3*POWER(25+50,2)/2000000),"")</f>
        <v/>
      </c>
      <c r="G24" s="16">
        <f>IFERROR((IFERROR(INDEX(Carry_Roll!H3:H27,C$3-2),0)+IFERROR(INDEX(Carry_Roll!K3:K27,C$3-2),0)) + (-G$3*(25+100)/100 + H$3*POWER(25+100,2)/2000000),"")</f>
        <v/>
      </c>
    </row>
    <row r="25">
      <c r="B25" s="21" t="inlineStr">
        <is>
          <t>+50 bp</t>
        </is>
      </c>
      <c r="C25" s="16">
        <f>IFERROR((IFERROR(INDEX(Carry_Roll!H3:H27,C$3-2),0)+IFERROR(INDEX(Carry_Roll!K3:K27,C$3-2),0)) + (-G$3*(50+-100)/100 + H$3*POWER(50+-100,2)/2000000),"")</f>
        <v/>
      </c>
      <c r="D25" s="16">
        <f>IFERROR((IFERROR(INDEX(Carry_Roll!H3:H27,C$3-2),0)+IFERROR(INDEX(Carry_Roll!K3:K27,C$3-2),0)) + (-G$3*(50+-50)/100 + H$3*POWER(50+-50,2)/2000000),"")</f>
        <v/>
      </c>
      <c r="E25" s="16">
        <f>IFERROR((IFERROR(INDEX(Carry_Roll!H3:H27,C$3-2),0)+IFERROR(INDEX(Carry_Roll!K3:K27,C$3-2),0)) + (-G$3*(50+0)/100 + H$3*POWER(50+0,2)/2000000),"")</f>
        <v/>
      </c>
      <c r="F25" s="16">
        <f>IFERROR((IFERROR(INDEX(Carry_Roll!H3:H27,C$3-2),0)+IFERROR(INDEX(Carry_Roll!K3:K27,C$3-2),0)) + (-G$3*(50+50)/100 + H$3*POWER(50+50,2)/2000000),"")</f>
        <v/>
      </c>
      <c r="G25" s="16">
        <f>IFERROR((IFERROR(INDEX(Carry_Roll!H3:H27,C$3-2),0)+IFERROR(INDEX(Carry_Roll!K3:K27,C$3-2),0)) + (-G$3*(50+100)/100 + H$3*POWER(50+100,2)/2000000),"")</f>
        <v/>
      </c>
    </row>
    <row r="26">
      <c r="B26" s="21" t="inlineStr">
        <is>
          <t>+100 bp</t>
        </is>
      </c>
      <c r="C26" s="16">
        <f>IFERROR((IFERROR(INDEX(Carry_Roll!H3:H27,C$3-2),0)+IFERROR(INDEX(Carry_Roll!K3:K27,C$3-2),0)) + (-G$3*(100+-100)/100 + H$3*POWER(100+-100,2)/2000000),"")</f>
        <v/>
      </c>
      <c r="D26" s="16">
        <f>IFERROR((IFERROR(INDEX(Carry_Roll!H3:H27,C$3-2),0)+IFERROR(INDEX(Carry_Roll!K3:K27,C$3-2),0)) + (-G$3*(100+-50)/100 + H$3*POWER(100+-50,2)/2000000),"")</f>
        <v/>
      </c>
      <c r="E26" s="16">
        <f>IFERROR((IFERROR(INDEX(Carry_Roll!H3:H27,C$3-2),0)+IFERROR(INDEX(Carry_Roll!K3:K27,C$3-2),0)) + (-G$3*(100+0)/100 + H$3*POWER(100+0,2)/2000000),"")</f>
        <v/>
      </c>
      <c r="F26" s="16">
        <f>IFERROR((IFERROR(INDEX(Carry_Roll!H3:H27,C$3-2),0)+IFERROR(INDEX(Carry_Roll!K3:K27,C$3-2),0)) + (-G$3*(100+50)/100 + H$3*POWER(100+50,2)/2000000),"")</f>
        <v/>
      </c>
      <c r="G26" s="16">
        <f>IFERROR((IFERROR(INDEX(Carry_Roll!H3:H27,C$3-2),0)+IFERROR(INDEX(Carry_Roll!K3:K27,C$3-2),0)) + (-G$3*(100+100)/100 + H$3*POWER(100+100,2)/2000000),"")</f>
        <v/>
      </c>
    </row>
    <row r="30">
      <c r="B30" s="5" t="inlineStr">
        <is>
          <t>Horizon: 12 months — Total Return (%)</t>
        </is>
      </c>
      <c r="C30" s="6" t="n"/>
      <c r="D30" s="6" t="n"/>
      <c r="E30" s="6" t="n"/>
      <c r="F30" s="6" t="n"/>
      <c r="G30" s="7" t="n"/>
    </row>
    <row r="31">
      <c r="B31" s="21" t="inlineStr">
        <is>
          <t>ΔUST ↓ / Δspread →</t>
        </is>
      </c>
      <c r="C31" s="21" t="inlineStr">
        <is>
          <t>-100 bp</t>
        </is>
      </c>
      <c r="D31" s="21" t="inlineStr">
        <is>
          <t>-50 bp</t>
        </is>
      </c>
      <c r="E31" s="21" t="inlineStr">
        <is>
          <t>+0 bp</t>
        </is>
      </c>
      <c r="F31" s="21" t="inlineStr">
        <is>
          <t>+50 bp</t>
        </is>
      </c>
      <c r="G31" s="21" t="inlineStr">
        <is>
          <t>+100 bp</t>
        </is>
      </c>
    </row>
    <row r="32">
      <c r="B32" s="21" t="inlineStr">
        <is>
          <t>-100 bp</t>
        </is>
      </c>
      <c r="C32" s="16">
        <f>IFERROR((IFERROR(INDEX(Carry_Roll!I3:I27,C$3-2),0)+IFERROR(INDEX(Carry_Roll!L3:L27,C$3-2),0)) + (-G$3*(-100+-100)/100 + H$3*POWER(-100+-100,2)/2000000),"")</f>
        <v/>
      </c>
      <c r="D32" s="16">
        <f>IFERROR((IFERROR(INDEX(Carry_Roll!I3:I27,C$3-2),0)+IFERROR(INDEX(Carry_Roll!L3:L27,C$3-2),0)) + (-G$3*(-100+-50)/100 + H$3*POWER(-100+-50,2)/2000000),"")</f>
        <v/>
      </c>
      <c r="E32" s="16">
        <f>IFERROR((IFERROR(INDEX(Carry_Roll!I3:I27,C$3-2),0)+IFERROR(INDEX(Carry_Roll!L3:L27,C$3-2),0)) + (-G$3*(-100+0)/100 + H$3*POWER(-100+0,2)/2000000),"")</f>
        <v/>
      </c>
      <c r="F32" s="16">
        <f>IFERROR((IFERROR(INDEX(Carry_Roll!I3:I27,C$3-2),0)+IFERROR(INDEX(Carry_Roll!L3:L27,C$3-2),0)) + (-G$3*(-100+50)/100 + H$3*POWER(-100+50,2)/2000000),"")</f>
        <v/>
      </c>
      <c r="G32" s="16">
        <f>IFERROR((IFERROR(INDEX(Carry_Roll!I3:I27,C$3-2),0)+IFERROR(INDEX(Carry_Roll!L3:L27,C$3-2),0)) + (-G$3*(-100+100)/100 + H$3*POWER(-100+100,2)/2000000),"")</f>
        <v/>
      </c>
    </row>
    <row r="33">
      <c r="B33" s="21" t="inlineStr">
        <is>
          <t>-50 bp</t>
        </is>
      </c>
      <c r="C33" s="16">
        <f>IFERROR((IFERROR(INDEX(Carry_Roll!I3:I27,C$3-2),0)+IFERROR(INDEX(Carry_Roll!L3:L27,C$3-2),0)) + (-G$3*(-50+-100)/100 + H$3*POWER(-50+-100,2)/2000000),"")</f>
        <v/>
      </c>
      <c r="D33" s="16">
        <f>IFERROR((IFERROR(INDEX(Carry_Roll!I3:I27,C$3-2),0)+IFERROR(INDEX(Carry_Roll!L3:L27,C$3-2),0)) + (-G$3*(-50+-50)/100 + H$3*POWER(-50+-50,2)/2000000),"")</f>
        <v/>
      </c>
      <c r="E33" s="16">
        <f>IFERROR((IFERROR(INDEX(Carry_Roll!I3:I27,C$3-2),0)+IFERROR(INDEX(Carry_Roll!L3:L27,C$3-2),0)) + (-G$3*(-50+0)/100 + H$3*POWER(-50+0,2)/2000000),"")</f>
        <v/>
      </c>
      <c r="F33" s="16">
        <f>IFERROR((IFERROR(INDEX(Carry_Roll!I3:I27,C$3-2),0)+IFERROR(INDEX(Carry_Roll!L3:L27,C$3-2),0)) + (-G$3*(-50+50)/100 + H$3*POWER(-50+50,2)/2000000),"")</f>
        <v/>
      </c>
      <c r="G33" s="16">
        <f>IFERROR((IFERROR(INDEX(Carry_Roll!I3:I27,C$3-2),0)+IFERROR(INDEX(Carry_Roll!L3:L27,C$3-2),0)) + (-G$3*(-50+100)/100 + H$3*POWER(-50+100,2)/2000000),"")</f>
        <v/>
      </c>
    </row>
    <row r="34">
      <c r="B34" s="21" t="inlineStr">
        <is>
          <t>-25 bp</t>
        </is>
      </c>
      <c r="C34" s="16">
        <f>IFERROR((IFERROR(INDEX(Carry_Roll!I3:I27,C$3-2),0)+IFERROR(INDEX(Carry_Roll!L3:L27,C$3-2),0)) + (-G$3*(-25+-100)/100 + H$3*POWER(-25+-100,2)/2000000),"")</f>
        <v/>
      </c>
      <c r="D34" s="16">
        <f>IFERROR((IFERROR(INDEX(Carry_Roll!I3:I27,C$3-2),0)+IFERROR(INDEX(Carry_Roll!L3:L27,C$3-2),0)) + (-G$3*(-25+-50)/100 + H$3*POWER(-25+-50,2)/2000000),"")</f>
        <v/>
      </c>
      <c r="E34" s="16">
        <f>IFERROR((IFERROR(INDEX(Carry_Roll!I3:I27,C$3-2),0)+IFERROR(INDEX(Carry_Roll!L3:L27,C$3-2),0)) + (-G$3*(-25+0)/100 + H$3*POWER(-25+0,2)/2000000),"")</f>
        <v/>
      </c>
      <c r="F34" s="16">
        <f>IFERROR((IFERROR(INDEX(Carry_Roll!I3:I27,C$3-2),0)+IFERROR(INDEX(Carry_Roll!L3:L27,C$3-2),0)) + (-G$3*(-25+50)/100 + H$3*POWER(-25+50,2)/2000000),"")</f>
        <v/>
      </c>
      <c r="G34" s="16">
        <f>IFERROR((IFERROR(INDEX(Carry_Roll!I3:I27,C$3-2),0)+IFERROR(INDEX(Carry_Roll!L3:L27,C$3-2),0)) + (-G$3*(-25+100)/100 + H$3*POWER(-25+100,2)/2000000),"")</f>
        <v/>
      </c>
    </row>
    <row r="35">
      <c r="B35" s="21" t="inlineStr">
        <is>
          <t>+0 bp</t>
        </is>
      </c>
      <c r="C35" s="16">
        <f>IFERROR((IFERROR(INDEX(Carry_Roll!I3:I27,C$3-2),0)+IFERROR(INDEX(Carry_Roll!L3:L27,C$3-2),0)) + (-G$3*(0+-100)/100 + H$3*POWER(0+-100,2)/2000000),"")</f>
        <v/>
      </c>
      <c r="D35" s="16">
        <f>IFERROR((IFERROR(INDEX(Carry_Roll!I3:I27,C$3-2),0)+IFERROR(INDEX(Carry_Roll!L3:L27,C$3-2),0)) + (-G$3*(0+-50)/100 + H$3*POWER(0+-50,2)/2000000),"")</f>
        <v/>
      </c>
      <c r="E35" s="16">
        <f>IFERROR((IFERROR(INDEX(Carry_Roll!I3:I27,C$3-2),0)+IFERROR(INDEX(Carry_Roll!L3:L27,C$3-2),0)) + (-G$3*(0+0)/100 + H$3*POWER(0+0,2)/2000000),"")</f>
        <v/>
      </c>
      <c r="F35" s="16">
        <f>IFERROR((IFERROR(INDEX(Carry_Roll!I3:I27,C$3-2),0)+IFERROR(INDEX(Carry_Roll!L3:L27,C$3-2),0)) + (-G$3*(0+50)/100 + H$3*POWER(0+50,2)/2000000),"")</f>
        <v/>
      </c>
      <c r="G35" s="16">
        <f>IFERROR((IFERROR(INDEX(Carry_Roll!I3:I27,C$3-2),0)+IFERROR(INDEX(Carry_Roll!L3:L27,C$3-2),0)) + (-G$3*(0+100)/100 + H$3*POWER(0+100,2)/2000000),"")</f>
        <v/>
      </c>
    </row>
    <row r="36">
      <c r="B36" s="21" t="inlineStr">
        <is>
          <t>+25 bp</t>
        </is>
      </c>
      <c r="C36" s="16">
        <f>IFERROR((IFERROR(INDEX(Carry_Roll!I3:I27,C$3-2),0)+IFERROR(INDEX(Carry_Roll!L3:L27,C$3-2),0)) + (-G$3*(25+-100)/100 + H$3*POWER(25+-100,2)/2000000),"")</f>
        <v/>
      </c>
      <c r="D36" s="16">
        <f>IFERROR((IFERROR(INDEX(Carry_Roll!I3:I27,C$3-2),0)+IFERROR(INDEX(Carry_Roll!L3:L27,C$3-2),0)) + (-G$3*(25+-50)/100 + H$3*POWER(25+-50,2)/2000000),"")</f>
        <v/>
      </c>
      <c r="E36" s="16">
        <f>IFERROR((IFERROR(INDEX(Carry_Roll!I3:I27,C$3-2),0)+IFERROR(INDEX(Carry_Roll!L3:L27,C$3-2),0)) + (-G$3*(25+0)/100 + H$3*POWER(25+0,2)/2000000),"")</f>
        <v/>
      </c>
      <c r="F36" s="16">
        <f>IFERROR((IFERROR(INDEX(Carry_Roll!I3:I27,C$3-2),0)+IFERROR(INDEX(Carry_Roll!L3:L27,C$3-2),0)) + (-G$3*(25+50)/100 + H$3*POWER(25+50,2)/2000000),"")</f>
        <v/>
      </c>
      <c r="G36" s="16">
        <f>IFERROR((IFERROR(INDEX(Carry_Roll!I3:I27,C$3-2),0)+IFERROR(INDEX(Carry_Roll!L3:L27,C$3-2),0)) + (-G$3*(25+100)/100 + H$3*POWER(25+100,2)/2000000),"")</f>
        <v/>
      </c>
    </row>
    <row r="37">
      <c r="B37" s="21" t="inlineStr">
        <is>
          <t>+50 bp</t>
        </is>
      </c>
      <c r="C37" s="16">
        <f>IFERROR((IFERROR(INDEX(Carry_Roll!I3:I27,C$3-2),0)+IFERROR(INDEX(Carry_Roll!L3:L27,C$3-2),0)) + (-G$3*(50+-100)/100 + H$3*POWER(50+-100,2)/2000000),"")</f>
        <v/>
      </c>
      <c r="D37" s="16">
        <f>IFERROR((IFERROR(INDEX(Carry_Roll!I3:I27,C$3-2),0)+IFERROR(INDEX(Carry_Roll!L3:L27,C$3-2),0)) + (-G$3*(50+-50)/100 + H$3*POWER(50+-50,2)/2000000),"")</f>
        <v/>
      </c>
      <c r="E37" s="16">
        <f>IFERROR((IFERROR(INDEX(Carry_Roll!I3:I27,C$3-2),0)+IFERROR(INDEX(Carry_Roll!L3:L27,C$3-2),0)) + (-G$3*(50+0)/100 + H$3*POWER(50+0,2)/2000000),"")</f>
        <v/>
      </c>
      <c r="F37" s="16">
        <f>IFERROR((IFERROR(INDEX(Carry_Roll!I3:I27,C$3-2),0)+IFERROR(INDEX(Carry_Roll!L3:L27,C$3-2),0)) + (-G$3*(50+50)/100 + H$3*POWER(50+50,2)/2000000),"")</f>
        <v/>
      </c>
      <c r="G37" s="16">
        <f>IFERROR((IFERROR(INDEX(Carry_Roll!I3:I27,C$3-2),0)+IFERROR(INDEX(Carry_Roll!L3:L27,C$3-2),0)) + (-G$3*(50+100)/100 + H$3*POWER(50+100,2)/2000000),"")</f>
        <v/>
      </c>
    </row>
    <row r="38">
      <c r="B38" s="21" t="inlineStr">
        <is>
          <t>+100 bp</t>
        </is>
      </c>
      <c r="C38" s="16">
        <f>IFERROR((IFERROR(INDEX(Carry_Roll!I3:I27,C$3-2),0)+IFERROR(INDEX(Carry_Roll!L3:L27,C$3-2),0)) + (-G$3*(100+-100)/100 + H$3*POWER(100+-100,2)/2000000),"")</f>
        <v/>
      </c>
      <c r="D38" s="16">
        <f>IFERROR((IFERROR(INDEX(Carry_Roll!I3:I27,C$3-2),0)+IFERROR(INDEX(Carry_Roll!L3:L27,C$3-2),0)) + (-G$3*(100+-50)/100 + H$3*POWER(100+-50,2)/2000000),"")</f>
        <v/>
      </c>
      <c r="E38" s="16">
        <f>IFERROR((IFERROR(INDEX(Carry_Roll!I3:I27,C$3-2),0)+IFERROR(INDEX(Carry_Roll!L3:L27,C$3-2),0)) + (-G$3*(100+0)/100 + H$3*POWER(100+0,2)/2000000),"")</f>
        <v/>
      </c>
      <c r="F38" s="16">
        <f>IFERROR((IFERROR(INDEX(Carry_Roll!I3:I27,C$3-2),0)+IFERROR(INDEX(Carry_Roll!L3:L27,C$3-2),0)) + (-G$3*(100+50)/100 + H$3*POWER(100+50,2)/2000000),"")</f>
        <v/>
      </c>
      <c r="G38" s="16">
        <f>IFERROR((IFERROR(INDEX(Carry_Roll!I3:I27,C$3-2),0)+IFERROR(INDEX(Carry_Roll!L3:L27,C$3-2),0)) + (-G$3*(100+100)/100 + H$3*POWER(100+100,2)/2000000),"")</f>
        <v/>
      </c>
    </row>
  </sheetData>
  <mergeCells count="5">
    <mergeCell ref="B4:H4"/>
    <mergeCell ref="B2:H2"/>
    <mergeCell ref="B18:G18"/>
    <mergeCell ref="B30:G30"/>
    <mergeCell ref="B6:G6"/>
  </mergeCells>
  <conditionalFormatting sqref="C8:G14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20:G2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2:G3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5" t="inlineStr">
        <is>
          <t>Peer Basket — paste ISINs (col A); BBG fields editable in row 2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7" t="n"/>
    </row>
    <row r="2" ht="28" customHeight="1">
      <c r="A2" s="21" t="inlineStr">
        <is>
          <t>ISIN</t>
        </is>
      </c>
      <c r="B2" s="21" t="inlineStr">
        <is>
          <t>Description</t>
        </is>
      </c>
      <c r="C2" s="21" t="inlineStr">
        <is>
          <t>Country</t>
        </is>
      </c>
      <c r="D2" s="21" t="inlineStr">
        <is>
          <t>Rating SP</t>
        </is>
      </c>
      <c r="E2" s="21" t="inlineStr">
        <is>
          <t>Yrs</t>
        </is>
      </c>
      <c r="F2" s="21" t="inlineStr">
        <is>
          <t>YTM (%)</t>
        </is>
      </c>
      <c r="G2" s="21" t="inlineStr">
        <is>
          <t>Z-Spr (bp)</t>
        </is>
      </c>
      <c r="H2" s="21" t="inlineStr">
        <is>
          <t>MDur</t>
        </is>
      </c>
      <c r="I2" s="21" t="inlineStr">
        <is>
          <t>OAS (bp)</t>
        </is>
      </c>
      <c r="J2" s="21" t="inlineStr">
        <is>
          <t>Tag</t>
        </is>
      </c>
    </row>
    <row r="3" ht="18" customHeight="1">
      <c r="A3" s="5" t="inlineStr"/>
      <c r="B3" s="22" t="inlineStr">
        <is>
          <t>SECURITY_DES</t>
        </is>
      </c>
      <c r="C3" s="22" t="inlineStr">
        <is>
          <t>CNTRY_OF_RISK</t>
        </is>
      </c>
      <c r="D3" s="22" t="inlineStr">
        <is>
          <t>RTG_SP_LT_FC</t>
        </is>
      </c>
      <c r="E3" s="22" t="inlineStr">
        <is>
          <t>MATURITY</t>
        </is>
      </c>
      <c r="F3" s="22" t="inlineStr">
        <is>
          <t>YLD_YTM_MID</t>
        </is>
      </c>
      <c r="G3" s="22" t="inlineStr">
        <is>
          <t>YAS_ZSPREAD</t>
        </is>
      </c>
      <c r="H3" s="22" t="inlineStr">
        <is>
          <t>DUR_ADJ_MID</t>
        </is>
      </c>
      <c r="I3" s="22" t="inlineStr">
        <is>
          <t>YAS_OAS</t>
        </is>
      </c>
      <c r="J3" s="5" t="inlineStr"/>
    </row>
    <row r="4">
      <c r="A4" s="8" t="n"/>
      <c r="B4" s="10">
        <f>IFERROR(BDP($A4&amp;" ISIN",B$3),"")</f>
        <v/>
      </c>
      <c r="C4" s="10">
        <f>IFERROR(BDP($A4&amp;" ISIN",C$3),"")</f>
        <v/>
      </c>
      <c r="D4" s="10">
        <f>IFERROR(BDP($A4&amp;" ISIN",D$3),"")</f>
        <v/>
      </c>
      <c r="E4" s="23">
        <f>IFERROR((BDP($A4&amp;" ISIN",E$3)-TODAY())/365.25,"")</f>
        <v/>
      </c>
      <c r="F4" s="16">
        <f>IFERROR(BDP($A4&amp;" ISIN",F$3),"")</f>
        <v/>
      </c>
      <c r="G4" s="16">
        <f>IFERROR(BDP($A4&amp;" ISIN",G$3),"")</f>
        <v/>
      </c>
      <c r="H4" s="16">
        <f>IFERROR(BDP($A4&amp;" ISIN",H$3),"")</f>
        <v/>
      </c>
      <c r="I4" s="16">
        <f>IFERROR(BDP($A4&amp;" ISIN",I$3),"")</f>
        <v/>
      </c>
      <c r="J4" s="8" t="n"/>
    </row>
    <row r="5">
      <c r="A5" s="8" t="n"/>
      <c r="B5" s="10">
        <f>IFERROR(BDP($A5&amp;" ISIN",B$3),"")</f>
        <v/>
      </c>
      <c r="C5" s="10">
        <f>IFERROR(BDP($A5&amp;" ISIN",C$3),"")</f>
        <v/>
      </c>
      <c r="D5" s="10">
        <f>IFERROR(BDP($A5&amp;" ISIN",D$3),"")</f>
        <v/>
      </c>
      <c r="E5" s="23">
        <f>IFERROR((BDP($A5&amp;" ISIN",E$3)-TODAY())/365.25,"")</f>
        <v/>
      </c>
      <c r="F5" s="16">
        <f>IFERROR(BDP($A5&amp;" ISIN",F$3),"")</f>
        <v/>
      </c>
      <c r="G5" s="16">
        <f>IFERROR(BDP($A5&amp;" ISIN",G$3),"")</f>
        <v/>
      </c>
      <c r="H5" s="16">
        <f>IFERROR(BDP($A5&amp;" ISIN",H$3),"")</f>
        <v/>
      </c>
      <c r="I5" s="16">
        <f>IFERROR(BDP($A5&amp;" ISIN",I$3),"")</f>
        <v/>
      </c>
      <c r="J5" s="8" t="n"/>
    </row>
    <row r="6">
      <c r="A6" s="8" t="n"/>
      <c r="B6" s="10">
        <f>IFERROR(BDP($A6&amp;" ISIN",B$3),"")</f>
        <v/>
      </c>
      <c r="C6" s="10">
        <f>IFERROR(BDP($A6&amp;" ISIN",C$3),"")</f>
        <v/>
      </c>
      <c r="D6" s="10">
        <f>IFERROR(BDP($A6&amp;" ISIN",D$3),"")</f>
        <v/>
      </c>
      <c r="E6" s="23">
        <f>IFERROR((BDP($A6&amp;" ISIN",E$3)-TODAY())/365.25,"")</f>
        <v/>
      </c>
      <c r="F6" s="16">
        <f>IFERROR(BDP($A6&amp;" ISIN",F$3),"")</f>
        <v/>
      </c>
      <c r="G6" s="16">
        <f>IFERROR(BDP($A6&amp;" ISIN",G$3),"")</f>
        <v/>
      </c>
      <c r="H6" s="16">
        <f>IFERROR(BDP($A6&amp;" ISIN",H$3),"")</f>
        <v/>
      </c>
      <c r="I6" s="16">
        <f>IFERROR(BDP($A6&amp;" ISIN",I$3),"")</f>
        <v/>
      </c>
      <c r="J6" s="8" t="n"/>
    </row>
    <row r="7">
      <c r="A7" s="8" t="n"/>
      <c r="B7" s="10">
        <f>IFERROR(BDP($A7&amp;" ISIN",B$3),"")</f>
        <v/>
      </c>
      <c r="C7" s="10">
        <f>IFERROR(BDP($A7&amp;" ISIN",C$3),"")</f>
        <v/>
      </c>
      <c r="D7" s="10">
        <f>IFERROR(BDP($A7&amp;" ISIN",D$3),"")</f>
        <v/>
      </c>
      <c r="E7" s="23">
        <f>IFERROR((BDP($A7&amp;" ISIN",E$3)-TODAY())/365.25,"")</f>
        <v/>
      </c>
      <c r="F7" s="16">
        <f>IFERROR(BDP($A7&amp;" ISIN",F$3),"")</f>
        <v/>
      </c>
      <c r="G7" s="16">
        <f>IFERROR(BDP($A7&amp;" ISIN",G$3),"")</f>
        <v/>
      </c>
      <c r="H7" s="16">
        <f>IFERROR(BDP($A7&amp;" ISIN",H$3),"")</f>
        <v/>
      </c>
      <c r="I7" s="16">
        <f>IFERROR(BDP($A7&amp;" ISIN",I$3),"")</f>
        <v/>
      </c>
      <c r="J7" s="8" t="n"/>
    </row>
    <row r="8">
      <c r="A8" s="8" t="n"/>
      <c r="B8" s="10">
        <f>IFERROR(BDP($A8&amp;" ISIN",B$3),"")</f>
        <v/>
      </c>
      <c r="C8" s="10">
        <f>IFERROR(BDP($A8&amp;" ISIN",C$3),"")</f>
        <v/>
      </c>
      <c r="D8" s="10">
        <f>IFERROR(BDP($A8&amp;" ISIN",D$3),"")</f>
        <v/>
      </c>
      <c r="E8" s="23">
        <f>IFERROR((BDP($A8&amp;" ISIN",E$3)-TODAY())/365.25,"")</f>
        <v/>
      </c>
      <c r="F8" s="16">
        <f>IFERROR(BDP($A8&amp;" ISIN",F$3),"")</f>
        <v/>
      </c>
      <c r="G8" s="16">
        <f>IFERROR(BDP($A8&amp;" ISIN",G$3),"")</f>
        <v/>
      </c>
      <c r="H8" s="16">
        <f>IFERROR(BDP($A8&amp;" ISIN",H$3),"")</f>
        <v/>
      </c>
      <c r="I8" s="16">
        <f>IFERROR(BDP($A8&amp;" ISIN",I$3),"")</f>
        <v/>
      </c>
      <c r="J8" s="8" t="n"/>
    </row>
    <row r="9">
      <c r="A9" s="8" t="n"/>
      <c r="B9" s="10">
        <f>IFERROR(BDP($A9&amp;" ISIN",B$3),"")</f>
        <v/>
      </c>
      <c r="C9" s="10">
        <f>IFERROR(BDP($A9&amp;" ISIN",C$3),"")</f>
        <v/>
      </c>
      <c r="D9" s="10">
        <f>IFERROR(BDP($A9&amp;" ISIN",D$3),"")</f>
        <v/>
      </c>
      <c r="E9" s="23">
        <f>IFERROR((BDP($A9&amp;" ISIN",E$3)-TODAY())/365.25,"")</f>
        <v/>
      </c>
      <c r="F9" s="16">
        <f>IFERROR(BDP($A9&amp;" ISIN",F$3),"")</f>
        <v/>
      </c>
      <c r="G9" s="16">
        <f>IFERROR(BDP($A9&amp;" ISIN",G$3),"")</f>
        <v/>
      </c>
      <c r="H9" s="16">
        <f>IFERROR(BDP($A9&amp;" ISIN",H$3),"")</f>
        <v/>
      </c>
      <c r="I9" s="16">
        <f>IFERROR(BDP($A9&amp;" ISIN",I$3),"")</f>
        <v/>
      </c>
      <c r="J9" s="8" t="n"/>
    </row>
    <row r="10">
      <c r="A10" s="8" t="n"/>
      <c r="B10" s="10">
        <f>IFERROR(BDP($A10&amp;" ISIN",B$3),"")</f>
        <v/>
      </c>
      <c r="C10" s="10">
        <f>IFERROR(BDP($A10&amp;" ISIN",C$3),"")</f>
        <v/>
      </c>
      <c r="D10" s="10">
        <f>IFERROR(BDP($A10&amp;" ISIN",D$3),"")</f>
        <v/>
      </c>
      <c r="E10" s="23">
        <f>IFERROR((BDP($A10&amp;" ISIN",E$3)-TODAY())/365.25,"")</f>
        <v/>
      </c>
      <c r="F10" s="16">
        <f>IFERROR(BDP($A10&amp;" ISIN",F$3),"")</f>
        <v/>
      </c>
      <c r="G10" s="16">
        <f>IFERROR(BDP($A10&amp;" ISIN",G$3),"")</f>
        <v/>
      </c>
      <c r="H10" s="16">
        <f>IFERROR(BDP($A10&amp;" ISIN",H$3),"")</f>
        <v/>
      </c>
      <c r="I10" s="16">
        <f>IFERROR(BDP($A10&amp;" ISIN",I$3),"")</f>
        <v/>
      </c>
      <c r="J10" s="8" t="n"/>
    </row>
    <row r="11">
      <c r="A11" s="8" t="n"/>
      <c r="B11" s="10">
        <f>IFERROR(BDP($A11&amp;" ISIN",B$3),"")</f>
        <v/>
      </c>
      <c r="C11" s="10">
        <f>IFERROR(BDP($A11&amp;" ISIN",C$3),"")</f>
        <v/>
      </c>
      <c r="D11" s="10">
        <f>IFERROR(BDP($A11&amp;" ISIN",D$3),"")</f>
        <v/>
      </c>
      <c r="E11" s="23">
        <f>IFERROR((BDP($A11&amp;" ISIN",E$3)-TODAY())/365.25,"")</f>
        <v/>
      </c>
      <c r="F11" s="16">
        <f>IFERROR(BDP($A11&amp;" ISIN",F$3),"")</f>
        <v/>
      </c>
      <c r="G11" s="16">
        <f>IFERROR(BDP($A11&amp;" ISIN",G$3),"")</f>
        <v/>
      </c>
      <c r="H11" s="16">
        <f>IFERROR(BDP($A11&amp;" ISIN",H$3),"")</f>
        <v/>
      </c>
      <c r="I11" s="16">
        <f>IFERROR(BDP($A11&amp;" ISIN",I$3),"")</f>
        <v/>
      </c>
      <c r="J11" s="8" t="n"/>
    </row>
    <row r="12">
      <c r="A12" s="8" t="n"/>
      <c r="B12" s="10">
        <f>IFERROR(BDP($A12&amp;" ISIN",B$3),"")</f>
        <v/>
      </c>
      <c r="C12" s="10">
        <f>IFERROR(BDP($A12&amp;" ISIN",C$3),"")</f>
        <v/>
      </c>
      <c r="D12" s="10">
        <f>IFERROR(BDP($A12&amp;" ISIN",D$3),"")</f>
        <v/>
      </c>
      <c r="E12" s="23">
        <f>IFERROR((BDP($A12&amp;" ISIN",E$3)-TODAY())/365.25,"")</f>
        <v/>
      </c>
      <c r="F12" s="16">
        <f>IFERROR(BDP($A12&amp;" ISIN",F$3),"")</f>
        <v/>
      </c>
      <c r="G12" s="16">
        <f>IFERROR(BDP($A12&amp;" ISIN",G$3),"")</f>
        <v/>
      </c>
      <c r="H12" s="16">
        <f>IFERROR(BDP($A12&amp;" ISIN",H$3),"")</f>
        <v/>
      </c>
      <c r="I12" s="16">
        <f>IFERROR(BDP($A12&amp;" ISIN",I$3),"")</f>
        <v/>
      </c>
      <c r="J12" s="8" t="n"/>
    </row>
    <row r="13">
      <c r="A13" s="8" t="n"/>
      <c r="B13" s="10">
        <f>IFERROR(BDP($A13&amp;" ISIN",B$3),"")</f>
        <v/>
      </c>
      <c r="C13" s="10">
        <f>IFERROR(BDP($A13&amp;" ISIN",C$3),"")</f>
        <v/>
      </c>
      <c r="D13" s="10">
        <f>IFERROR(BDP($A13&amp;" ISIN",D$3),"")</f>
        <v/>
      </c>
      <c r="E13" s="23">
        <f>IFERROR((BDP($A13&amp;" ISIN",E$3)-TODAY())/365.25,"")</f>
        <v/>
      </c>
      <c r="F13" s="16">
        <f>IFERROR(BDP($A13&amp;" ISIN",F$3),"")</f>
        <v/>
      </c>
      <c r="G13" s="16">
        <f>IFERROR(BDP($A13&amp;" ISIN",G$3),"")</f>
        <v/>
      </c>
      <c r="H13" s="16">
        <f>IFERROR(BDP($A13&amp;" ISIN",H$3),"")</f>
        <v/>
      </c>
      <c r="I13" s="16">
        <f>IFERROR(BDP($A13&amp;" ISIN",I$3),"")</f>
        <v/>
      </c>
      <c r="J13" s="8" t="n"/>
    </row>
    <row r="14">
      <c r="A14" s="8" t="n"/>
      <c r="B14" s="10">
        <f>IFERROR(BDP($A14&amp;" ISIN",B$3),"")</f>
        <v/>
      </c>
      <c r="C14" s="10">
        <f>IFERROR(BDP($A14&amp;" ISIN",C$3),"")</f>
        <v/>
      </c>
      <c r="D14" s="10">
        <f>IFERROR(BDP($A14&amp;" ISIN",D$3),"")</f>
        <v/>
      </c>
      <c r="E14" s="23">
        <f>IFERROR((BDP($A14&amp;" ISIN",E$3)-TODAY())/365.25,"")</f>
        <v/>
      </c>
      <c r="F14" s="16">
        <f>IFERROR(BDP($A14&amp;" ISIN",F$3),"")</f>
        <v/>
      </c>
      <c r="G14" s="16">
        <f>IFERROR(BDP($A14&amp;" ISIN",G$3),"")</f>
        <v/>
      </c>
      <c r="H14" s="16">
        <f>IFERROR(BDP($A14&amp;" ISIN",H$3),"")</f>
        <v/>
      </c>
      <c r="I14" s="16">
        <f>IFERROR(BDP($A14&amp;" ISIN",I$3),"")</f>
        <v/>
      </c>
      <c r="J14" s="8" t="n"/>
    </row>
    <row r="15">
      <c r="A15" s="8" t="n"/>
      <c r="B15" s="10">
        <f>IFERROR(BDP($A15&amp;" ISIN",B$3),"")</f>
        <v/>
      </c>
      <c r="C15" s="10">
        <f>IFERROR(BDP($A15&amp;" ISIN",C$3),"")</f>
        <v/>
      </c>
      <c r="D15" s="10">
        <f>IFERROR(BDP($A15&amp;" ISIN",D$3),"")</f>
        <v/>
      </c>
      <c r="E15" s="23">
        <f>IFERROR((BDP($A15&amp;" ISIN",E$3)-TODAY())/365.25,"")</f>
        <v/>
      </c>
      <c r="F15" s="16">
        <f>IFERROR(BDP($A15&amp;" ISIN",F$3),"")</f>
        <v/>
      </c>
      <c r="G15" s="16">
        <f>IFERROR(BDP($A15&amp;" ISIN",G$3),"")</f>
        <v/>
      </c>
      <c r="H15" s="16">
        <f>IFERROR(BDP($A15&amp;" ISIN",H$3),"")</f>
        <v/>
      </c>
      <c r="I15" s="16">
        <f>IFERROR(BDP($A15&amp;" ISIN",I$3),"")</f>
        <v/>
      </c>
      <c r="J15" s="8" t="n"/>
    </row>
    <row r="16">
      <c r="A16" s="8" t="n"/>
      <c r="B16" s="10">
        <f>IFERROR(BDP($A16&amp;" ISIN",B$3),"")</f>
        <v/>
      </c>
      <c r="C16" s="10">
        <f>IFERROR(BDP($A16&amp;" ISIN",C$3),"")</f>
        <v/>
      </c>
      <c r="D16" s="10">
        <f>IFERROR(BDP($A16&amp;" ISIN",D$3),"")</f>
        <v/>
      </c>
      <c r="E16" s="23">
        <f>IFERROR((BDP($A16&amp;" ISIN",E$3)-TODAY())/365.25,"")</f>
        <v/>
      </c>
      <c r="F16" s="16">
        <f>IFERROR(BDP($A16&amp;" ISIN",F$3),"")</f>
        <v/>
      </c>
      <c r="G16" s="16">
        <f>IFERROR(BDP($A16&amp;" ISIN",G$3),"")</f>
        <v/>
      </c>
      <c r="H16" s="16">
        <f>IFERROR(BDP($A16&amp;" ISIN",H$3),"")</f>
        <v/>
      </c>
      <c r="I16" s="16">
        <f>IFERROR(BDP($A16&amp;" ISIN",I$3),"")</f>
        <v/>
      </c>
      <c r="J16" s="8" t="n"/>
    </row>
    <row r="17">
      <c r="A17" s="8" t="n"/>
      <c r="B17" s="10">
        <f>IFERROR(BDP($A17&amp;" ISIN",B$3),"")</f>
        <v/>
      </c>
      <c r="C17" s="10">
        <f>IFERROR(BDP($A17&amp;" ISIN",C$3),"")</f>
        <v/>
      </c>
      <c r="D17" s="10">
        <f>IFERROR(BDP($A17&amp;" ISIN",D$3),"")</f>
        <v/>
      </c>
      <c r="E17" s="23">
        <f>IFERROR((BDP($A17&amp;" ISIN",E$3)-TODAY())/365.25,"")</f>
        <v/>
      </c>
      <c r="F17" s="16">
        <f>IFERROR(BDP($A17&amp;" ISIN",F$3),"")</f>
        <v/>
      </c>
      <c r="G17" s="16">
        <f>IFERROR(BDP($A17&amp;" ISIN",G$3),"")</f>
        <v/>
      </c>
      <c r="H17" s="16">
        <f>IFERROR(BDP($A17&amp;" ISIN",H$3),"")</f>
        <v/>
      </c>
      <c r="I17" s="16">
        <f>IFERROR(BDP($A17&amp;" ISIN",I$3),"")</f>
        <v/>
      </c>
      <c r="J17" s="8" t="n"/>
    </row>
    <row r="18">
      <c r="A18" s="8" t="n"/>
      <c r="B18" s="10">
        <f>IFERROR(BDP($A18&amp;" ISIN",B$3),"")</f>
        <v/>
      </c>
      <c r="C18" s="10">
        <f>IFERROR(BDP($A18&amp;" ISIN",C$3),"")</f>
        <v/>
      </c>
      <c r="D18" s="10">
        <f>IFERROR(BDP($A18&amp;" ISIN",D$3),"")</f>
        <v/>
      </c>
      <c r="E18" s="23">
        <f>IFERROR((BDP($A18&amp;" ISIN",E$3)-TODAY())/365.25,"")</f>
        <v/>
      </c>
      <c r="F18" s="16">
        <f>IFERROR(BDP($A18&amp;" ISIN",F$3),"")</f>
        <v/>
      </c>
      <c r="G18" s="16">
        <f>IFERROR(BDP($A18&amp;" ISIN",G$3),"")</f>
        <v/>
      </c>
      <c r="H18" s="16">
        <f>IFERROR(BDP($A18&amp;" ISIN",H$3),"")</f>
        <v/>
      </c>
      <c r="I18" s="16">
        <f>IFERROR(BDP($A18&amp;" ISIN",I$3),"")</f>
        <v/>
      </c>
      <c r="J18" s="8" t="n"/>
    </row>
    <row r="20">
      <c r="A20" s="28" t="inlineStr">
        <is>
          <t>Peer averages:</t>
        </is>
      </c>
      <c r="F20" s="16">
        <f>IFERROR(AVERAGEIF(F4:F18,"&lt;&gt;",F4:F18),"")</f>
        <v/>
      </c>
      <c r="G20" s="16">
        <f>IFERROR(AVERAGEIF(G4:G18,"&lt;&gt;",G4:G18),"")</f>
        <v/>
      </c>
      <c r="H20" s="16">
        <f>IFERROR(AVERAGEIF(H4:H18,"&lt;&gt;",H4:H18),"")</f>
        <v/>
      </c>
      <c r="I20" s="16">
        <f>IFERROR(AVERAGEIF(I4:I18,"&lt;&gt;",I4:I18),"")</f>
        <v/>
      </c>
    </row>
    <row r="22">
      <c r="A22" s="5" t="inlineStr">
        <is>
          <t>EMBI bucket — pulled from index ticker on Settings</t>
        </is>
      </c>
      <c r="B22" s="6" t="n"/>
      <c r="C22" s="6" t="n"/>
      <c r="D22" s="7" t="n"/>
      <c r="E22" s="5" t="inlineStr">
        <is>
          <t>Per-bond comparisons</t>
        </is>
      </c>
      <c r="F22" s="6" t="n"/>
      <c r="G22" s="6" t="n"/>
      <c r="H22" s="6" t="n"/>
      <c r="I22" s="6" t="n"/>
      <c r="J22" s="7" t="n"/>
    </row>
    <row r="23">
      <c r="A23" t="inlineStr">
        <is>
          <t>EMBI Composite ticker</t>
        </is>
      </c>
      <c r="B23" s="25">
        <f>Settings!C28</f>
        <v/>
      </c>
      <c r="E23" s="21" t="inlineStr">
        <is>
          <t>ISIN</t>
        </is>
      </c>
      <c r="F23" s="21" t="inlineStr">
        <is>
          <t>Description</t>
        </is>
      </c>
      <c r="G23" s="21" t="inlineStr">
        <is>
          <t>Z-Spr (bp)</t>
        </is>
      </c>
      <c r="H23" s="21" t="inlineStr">
        <is>
          <t>Spread vs peer avg</t>
        </is>
      </c>
      <c r="I23" s="21" t="inlineStr">
        <is>
          <t>Spread vs EMBI bucket</t>
        </is>
      </c>
      <c r="J23" s="21" t="inlineStr">
        <is>
          <t>Implied 12M outperf vs EMBI (%)</t>
        </is>
      </c>
    </row>
    <row r="24">
      <c r="A24" t="inlineStr">
        <is>
          <t>EMBI Composite Yield (%)</t>
        </is>
      </c>
      <c r="B24" s="16">
        <f>IFERROR(BDP(Settings!C28,"INDEX_AVG_YLD"),IFERROR(BDP(Settings!C28,"PX_LAST"),""))</f>
        <v/>
      </c>
      <c r="E24" s="25">
        <f>Bonds_Static!A3</f>
        <v/>
      </c>
      <c r="F24" s="25">
        <f>Bonds_Static!C3</f>
        <v/>
      </c>
      <c r="G24" s="36">
        <f>IFERROR(Bonds_Live!L3,"")</f>
        <v/>
      </c>
      <c r="H24" s="16">
        <f>IFERROR(G24-G20,"")</f>
        <v/>
      </c>
      <c r="I24" s="16">
        <f>IFERROR(G24-B29,"")</f>
        <v/>
      </c>
      <c r="J24" s="16">
        <f>IFERROR(IF(OR(I24="",Bonds_Live!R3=""),"",I24/100*Bonds_Live!R3),"")</f>
        <v/>
      </c>
    </row>
    <row r="25">
      <c r="A25" t="inlineStr">
        <is>
          <t>EMBI Composite Spread (bp)</t>
        </is>
      </c>
      <c r="B25" s="16">
        <f>IFERROR(BDP(Settings!C28,"INDEX_AVG_SPREAD"),"")</f>
        <v/>
      </c>
      <c r="E25" s="25">
        <f>Bonds_Static!A4</f>
        <v/>
      </c>
      <c r="F25" s="25">
        <f>Bonds_Static!C4</f>
        <v/>
      </c>
      <c r="G25" s="36">
        <f>IFERROR(Bonds_Live!L4,"")</f>
        <v/>
      </c>
      <c r="H25" s="16">
        <f>IFERROR(G25-G20,"")</f>
        <v/>
      </c>
      <c r="I25" s="16">
        <f>IFERROR(G25-B29,"")</f>
        <v/>
      </c>
      <c r="J25" s="16">
        <f>IFERROR(IF(OR(I25="",Bonds_Live!R4=""),"",I25/100*Bonds_Live!R4),"")</f>
        <v/>
      </c>
    </row>
    <row r="26">
      <c r="A26" t="inlineStr">
        <is>
          <t>EMBI Composite Duration</t>
        </is>
      </c>
      <c r="B26" s="16">
        <f>IFERROR(BDP(Settings!C28,"INDEX_DURATION_MOD"),"")</f>
        <v/>
      </c>
      <c r="E26" s="25">
        <f>Bonds_Static!A5</f>
        <v/>
      </c>
      <c r="F26" s="25">
        <f>Bonds_Static!C5</f>
        <v/>
      </c>
      <c r="G26" s="36">
        <f>IFERROR(Bonds_Live!L5,"")</f>
        <v/>
      </c>
      <c r="H26" s="16">
        <f>IFERROR(G26-G20,"")</f>
        <v/>
      </c>
      <c r="I26" s="16">
        <f>IFERROR(G26-B29,"")</f>
        <v/>
      </c>
      <c r="J26" s="16">
        <f>IFERROR(IF(OR(I26="",Bonds_Live!R5=""),"",I26/100*Bonds_Live!R5),"")</f>
        <v/>
      </c>
    </row>
    <row r="27">
      <c r="E27" s="25">
        <f>Bonds_Static!A6</f>
        <v/>
      </c>
      <c r="F27" s="25">
        <f>Bonds_Static!C6</f>
        <v/>
      </c>
      <c r="G27" s="36">
        <f>IFERROR(Bonds_Live!L6,"")</f>
        <v/>
      </c>
      <c r="H27" s="16">
        <f>IFERROR(G27-G20,"")</f>
        <v/>
      </c>
      <c r="I27" s="16">
        <f>IFERROR(G27-B29,"")</f>
        <v/>
      </c>
      <c r="J27" s="16">
        <f>IFERROR(IF(OR(I27="",Bonds_Live!R6=""),"",I27/100*Bonds_Live!R6),"")</f>
        <v/>
      </c>
    </row>
    <row r="28">
      <c r="A28" t="inlineStr">
        <is>
          <t>EMBI rating-bucket ticker</t>
        </is>
      </c>
      <c r="B28" s="25">
        <f>Settings!C29</f>
        <v/>
      </c>
      <c r="E28" s="25">
        <f>Bonds_Static!A7</f>
        <v/>
      </c>
      <c r="F28" s="25">
        <f>Bonds_Static!C7</f>
        <v/>
      </c>
      <c r="G28" s="36">
        <f>IFERROR(Bonds_Live!L7,"")</f>
        <v/>
      </c>
      <c r="H28" s="16">
        <f>IFERROR(G28-G20,"")</f>
        <v/>
      </c>
      <c r="I28" s="16">
        <f>IFERROR(G28-B29,"")</f>
        <v/>
      </c>
      <c r="J28" s="16">
        <f>IFERROR(IF(OR(I28="",Bonds_Live!R7=""),"",I28/100*Bonds_Live!R7),"")</f>
        <v/>
      </c>
    </row>
    <row r="29">
      <c r="A29" t="inlineStr">
        <is>
          <t>Bucket spread (bp)</t>
        </is>
      </c>
      <c r="B29" s="16">
        <f>IFERROR(BDP(Settings!C29,"INDEX_AVG_SPREAD"),"")</f>
        <v/>
      </c>
      <c r="E29" s="25">
        <f>Bonds_Static!A8</f>
        <v/>
      </c>
      <c r="F29" s="25">
        <f>Bonds_Static!C8</f>
        <v/>
      </c>
      <c r="G29" s="36">
        <f>IFERROR(Bonds_Live!L8,"")</f>
        <v/>
      </c>
      <c r="H29" s="16">
        <f>IFERROR(G29-G20,"")</f>
        <v/>
      </c>
      <c r="I29" s="16">
        <f>IFERROR(G29-B29,"")</f>
        <v/>
      </c>
      <c r="J29" s="16">
        <f>IFERROR(IF(OR(I29="",Bonds_Live!R8=""),"",I29/100*Bonds_Live!R8),"")</f>
        <v/>
      </c>
    </row>
    <row r="30">
      <c r="E30" s="25">
        <f>Bonds_Static!A9</f>
        <v/>
      </c>
      <c r="F30" s="25">
        <f>Bonds_Static!C9</f>
        <v/>
      </c>
      <c r="G30" s="36">
        <f>IFERROR(Bonds_Live!L9,"")</f>
        <v/>
      </c>
      <c r="H30" s="16">
        <f>IFERROR(G30-G20,"")</f>
        <v/>
      </c>
      <c r="I30" s="16">
        <f>IFERROR(G30-B29,"")</f>
        <v/>
      </c>
      <c r="J30" s="16">
        <f>IFERROR(IF(OR(I30="",Bonds_Live!R9=""),"",I30/100*Bonds_Live!R9),"")</f>
        <v/>
      </c>
    </row>
    <row r="31">
      <c r="E31" s="25">
        <f>Bonds_Static!A10</f>
        <v/>
      </c>
      <c r="F31" s="25">
        <f>Bonds_Static!C10</f>
        <v/>
      </c>
      <c r="G31" s="36">
        <f>IFERROR(Bonds_Live!L10,"")</f>
        <v/>
      </c>
      <c r="H31" s="16">
        <f>IFERROR(G31-G20,"")</f>
        <v/>
      </c>
      <c r="I31" s="16">
        <f>IFERROR(G31-B29,"")</f>
        <v/>
      </c>
      <c r="J31" s="16">
        <f>IFERROR(IF(OR(I31="",Bonds_Live!R10=""),"",I31/100*Bonds_Live!R10),"")</f>
        <v/>
      </c>
    </row>
    <row r="32">
      <c r="E32" s="25">
        <f>Bonds_Static!A11</f>
        <v/>
      </c>
      <c r="F32" s="25">
        <f>Bonds_Static!C11</f>
        <v/>
      </c>
      <c r="G32" s="36">
        <f>IFERROR(Bonds_Live!L11,"")</f>
        <v/>
      </c>
      <c r="H32" s="16">
        <f>IFERROR(G32-G20,"")</f>
        <v/>
      </c>
      <c r="I32" s="16">
        <f>IFERROR(G32-B29,"")</f>
        <v/>
      </c>
      <c r="J32" s="16">
        <f>IFERROR(IF(OR(I32="",Bonds_Live!R11=""),"",I32/100*Bonds_Live!R11),"")</f>
        <v/>
      </c>
    </row>
    <row r="33">
      <c r="E33" s="25">
        <f>Bonds_Static!A12</f>
        <v/>
      </c>
      <c r="F33" s="25">
        <f>Bonds_Static!C12</f>
        <v/>
      </c>
      <c r="G33" s="36">
        <f>IFERROR(Bonds_Live!L12,"")</f>
        <v/>
      </c>
      <c r="H33" s="16">
        <f>IFERROR(G33-G20,"")</f>
        <v/>
      </c>
      <c r="I33" s="16">
        <f>IFERROR(G33-B29,"")</f>
        <v/>
      </c>
      <c r="J33" s="16">
        <f>IFERROR(IF(OR(I33="",Bonds_Live!R12=""),"",I33/100*Bonds_Live!R12),"")</f>
        <v/>
      </c>
    </row>
    <row r="34">
      <c r="E34" s="25">
        <f>Bonds_Static!A13</f>
        <v/>
      </c>
      <c r="F34" s="25">
        <f>Bonds_Static!C13</f>
        <v/>
      </c>
      <c r="G34" s="36">
        <f>IFERROR(Bonds_Live!L13,"")</f>
        <v/>
      </c>
      <c r="H34" s="16">
        <f>IFERROR(G34-G20,"")</f>
        <v/>
      </c>
      <c r="I34" s="16">
        <f>IFERROR(G34-B29,"")</f>
        <v/>
      </c>
      <c r="J34" s="16">
        <f>IFERROR(IF(OR(I34="",Bonds_Live!R13=""),"",I34/100*Bonds_Live!R13),"")</f>
        <v/>
      </c>
    </row>
    <row r="35">
      <c r="E35" s="25">
        <f>Bonds_Static!A14</f>
        <v/>
      </c>
      <c r="F35" s="25">
        <f>Bonds_Static!C14</f>
        <v/>
      </c>
      <c r="G35" s="36">
        <f>IFERROR(Bonds_Live!L14,"")</f>
        <v/>
      </c>
      <c r="H35" s="16">
        <f>IFERROR(G35-G20,"")</f>
        <v/>
      </c>
      <c r="I35" s="16">
        <f>IFERROR(G35-B29,"")</f>
        <v/>
      </c>
      <c r="J35" s="16">
        <f>IFERROR(IF(OR(I35="",Bonds_Live!R14=""),"",I35/100*Bonds_Live!R14),"")</f>
        <v/>
      </c>
    </row>
    <row r="36">
      <c r="E36" s="25">
        <f>Bonds_Static!A15</f>
        <v/>
      </c>
      <c r="F36" s="25">
        <f>Bonds_Static!C15</f>
        <v/>
      </c>
      <c r="G36" s="36">
        <f>IFERROR(Bonds_Live!L15,"")</f>
        <v/>
      </c>
      <c r="H36" s="16">
        <f>IFERROR(G36-G20,"")</f>
        <v/>
      </c>
      <c r="I36" s="16">
        <f>IFERROR(G36-B29,"")</f>
        <v/>
      </c>
      <c r="J36" s="16">
        <f>IFERROR(IF(OR(I36="",Bonds_Live!R15=""),"",I36/100*Bonds_Live!R15),"")</f>
        <v/>
      </c>
    </row>
    <row r="37">
      <c r="E37" s="25">
        <f>Bonds_Static!A16</f>
        <v/>
      </c>
      <c r="F37" s="25">
        <f>Bonds_Static!C16</f>
        <v/>
      </c>
      <c r="G37" s="36">
        <f>IFERROR(Bonds_Live!L16,"")</f>
        <v/>
      </c>
      <c r="H37" s="16">
        <f>IFERROR(G37-G20,"")</f>
        <v/>
      </c>
      <c r="I37" s="16">
        <f>IFERROR(G37-B29,"")</f>
        <v/>
      </c>
      <c r="J37" s="16">
        <f>IFERROR(IF(OR(I37="",Bonds_Live!R16=""),"",I37/100*Bonds_Live!R16),"")</f>
        <v/>
      </c>
    </row>
    <row r="38">
      <c r="E38" s="25">
        <f>Bonds_Static!A17</f>
        <v/>
      </c>
      <c r="F38" s="25">
        <f>Bonds_Static!C17</f>
        <v/>
      </c>
      <c r="G38" s="36">
        <f>IFERROR(Bonds_Live!L17,"")</f>
        <v/>
      </c>
      <c r="H38" s="16">
        <f>IFERROR(G38-G20,"")</f>
        <v/>
      </c>
      <c r="I38" s="16">
        <f>IFERROR(G38-B29,"")</f>
        <v/>
      </c>
      <c r="J38" s="16">
        <f>IFERROR(IF(OR(I38="",Bonds_Live!R17=""),"",I38/100*Bonds_Live!R17),"")</f>
        <v/>
      </c>
    </row>
    <row r="39">
      <c r="E39" s="25">
        <f>Bonds_Static!A18</f>
        <v/>
      </c>
      <c r="F39" s="25">
        <f>Bonds_Static!C18</f>
        <v/>
      </c>
      <c r="G39" s="36">
        <f>IFERROR(Bonds_Live!L18,"")</f>
        <v/>
      </c>
      <c r="H39" s="16">
        <f>IFERROR(G39-G20,"")</f>
        <v/>
      </c>
      <c r="I39" s="16">
        <f>IFERROR(G39-B29,"")</f>
        <v/>
      </c>
      <c r="J39" s="16">
        <f>IFERROR(IF(OR(I39="",Bonds_Live!R18=""),"",I39/100*Bonds_Live!R18),"")</f>
        <v/>
      </c>
    </row>
    <row r="40">
      <c r="E40" s="25">
        <f>Bonds_Static!A19</f>
        <v/>
      </c>
      <c r="F40" s="25">
        <f>Bonds_Static!C19</f>
        <v/>
      </c>
      <c r="G40" s="36">
        <f>IFERROR(Bonds_Live!L19,"")</f>
        <v/>
      </c>
      <c r="H40" s="16">
        <f>IFERROR(G40-G20,"")</f>
        <v/>
      </c>
      <c r="I40" s="16">
        <f>IFERROR(G40-B29,"")</f>
        <v/>
      </c>
      <c r="J40" s="16">
        <f>IFERROR(IF(OR(I40="",Bonds_Live!R19=""),"",I40/100*Bonds_Live!R19),"")</f>
        <v/>
      </c>
    </row>
    <row r="41">
      <c r="E41" s="25">
        <f>Bonds_Static!A20</f>
        <v/>
      </c>
      <c r="F41" s="25">
        <f>Bonds_Static!C20</f>
        <v/>
      </c>
      <c r="G41" s="36">
        <f>IFERROR(Bonds_Live!L20,"")</f>
        <v/>
      </c>
      <c r="H41" s="16">
        <f>IFERROR(G41-G20,"")</f>
        <v/>
      </c>
      <c r="I41" s="16">
        <f>IFERROR(G41-B29,"")</f>
        <v/>
      </c>
      <c r="J41" s="16">
        <f>IFERROR(IF(OR(I41="",Bonds_Live!R20=""),"",I41/100*Bonds_Live!R20),"")</f>
        <v/>
      </c>
    </row>
    <row r="42">
      <c r="E42" s="25">
        <f>Bonds_Static!A21</f>
        <v/>
      </c>
      <c r="F42" s="25">
        <f>Bonds_Static!C21</f>
        <v/>
      </c>
      <c r="G42" s="36">
        <f>IFERROR(Bonds_Live!L21,"")</f>
        <v/>
      </c>
      <c r="H42" s="16">
        <f>IFERROR(G42-G20,"")</f>
        <v/>
      </c>
      <c r="I42" s="16">
        <f>IFERROR(G42-B29,"")</f>
        <v/>
      </c>
      <c r="J42" s="16">
        <f>IFERROR(IF(OR(I42="",Bonds_Live!R21=""),"",I42/100*Bonds_Live!R21),"")</f>
        <v/>
      </c>
    </row>
    <row r="43">
      <c r="E43" s="25">
        <f>Bonds_Static!A22</f>
        <v/>
      </c>
      <c r="F43" s="25">
        <f>Bonds_Static!C22</f>
        <v/>
      </c>
      <c r="G43" s="36">
        <f>IFERROR(Bonds_Live!L22,"")</f>
        <v/>
      </c>
      <c r="H43" s="16">
        <f>IFERROR(G43-G20,"")</f>
        <v/>
      </c>
      <c r="I43" s="16">
        <f>IFERROR(G43-B29,"")</f>
        <v/>
      </c>
      <c r="J43" s="16">
        <f>IFERROR(IF(OR(I43="",Bonds_Live!R22=""),"",I43/100*Bonds_Live!R22),"")</f>
        <v/>
      </c>
    </row>
    <row r="44">
      <c r="E44" s="25">
        <f>Bonds_Static!A23</f>
        <v/>
      </c>
      <c r="F44" s="25">
        <f>Bonds_Static!C23</f>
        <v/>
      </c>
      <c r="G44" s="36">
        <f>IFERROR(Bonds_Live!L23,"")</f>
        <v/>
      </c>
      <c r="H44" s="16">
        <f>IFERROR(G44-G20,"")</f>
        <v/>
      </c>
      <c r="I44" s="16">
        <f>IFERROR(G44-B29,"")</f>
        <v/>
      </c>
      <c r="J44" s="16">
        <f>IFERROR(IF(OR(I44="",Bonds_Live!R23=""),"",I44/100*Bonds_Live!R23),"")</f>
        <v/>
      </c>
    </row>
    <row r="45">
      <c r="E45" s="25">
        <f>Bonds_Static!A24</f>
        <v/>
      </c>
      <c r="F45" s="25">
        <f>Bonds_Static!C24</f>
        <v/>
      </c>
      <c r="G45" s="36">
        <f>IFERROR(Bonds_Live!L24,"")</f>
        <v/>
      </c>
      <c r="H45" s="16">
        <f>IFERROR(G45-G20,"")</f>
        <v/>
      </c>
      <c r="I45" s="16">
        <f>IFERROR(G45-B29,"")</f>
        <v/>
      </c>
      <c r="J45" s="16">
        <f>IFERROR(IF(OR(I45="",Bonds_Live!R24=""),"",I45/100*Bonds_Live!R24),"")</f>
        <v/>
      </c>
    </row>
    <row r="46">
      <c r="E46" s="25">
        <f>Bonds_Static!A25</f>
        <v/>
      </c>
      <c r="F46" s="25">
        <f>Bonds_Static!C25</f>
        <v/>
      </c>
      <c r="G46" s="36">
        <f>IFERROR(Bonds_Live!L25,"")</f>
        <v/>
      </c>
      <c r="H46" s="16">
        <f>IFERROR(G46-G20,"")</f>
        <v/>
      </c>
      <c r="I46" s="16">
        <f>IFERROR(G46-B29,"")</f>
        <v/>
      </c>
      <c r="J46" s="16">
        <f>IFERROR(IF(OR(I46="",Bonds_Live!R25=""),"",I46/100*Bonds_Live!R25),"")</f>
        <v/>
      </c>
    </row>
    <row r="47">
      <c r="E47" s="25">
        <f>Bonds_Static!A26</f>
        <v/>
      </c>
      <c r="F47" s="25">
        <f>Bonds_Static!C26</f>
        <v/>
      </c>
      <c r="G47" s="36">
        <f>IFERROR(Bonds_Live!L26,"")</f>
        <v/>
      </c>
      <c r="H47" s="16">
        <f>IFERROR(G47-G20,"")</f>
        <v/>
      </c>
      <c r="I47" s="16">
        <f>IFERROR(G47-B29,"")</f>
        <v/>
      </c>
      <c r="J47" s="16">
        <f>IFERROR(IF(OR(I47="",Bonds_Live!R26=""),"",I47/100*Bonds_Live!R26),"")</f>
        <v/>
      </c>
    </row>
    <row r="48">
      <c r="E48" s="25">
        <f>Bonds_Static!A27</f>
        <v/>
      </c>
      <c r="F48" s="25">
        <f>Bonds_Static!C27</f>
        <v/>
      </c>
      <c r="G48" s="36">
        <f>IFERROR(Bonds_Live!L27,"")</f>
        <v/>
      </c>
      <c r="H48" s="16">
        <f>IFERROR(G48-G20,"")</f>
        <v/>
      </c>
      <c r="I48" s="16">
        <f>IFERROR(G48-B29,"")</f>
        <v/>
      </c>
      <c r="J48" s="16">
        <f>IFERROR(IF(OR(I48="",Bonds_Live!R27=""),"",I48/100*Bonds_Live!R27),"")</f>
        <v/>
      </c>
    </row>
  </sheetData>
  <mergeCells count="3">
    <mergeCell ref="A22:D22"/>
    <mergeCell ref="E22:J22"/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5" t="inlineStr">
        <is>
          <t>Bonares (local law) vs Globales (NY law) — Jurisdiction Basis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7" t="n"/>
    </row>
    <row r="2" ht="28" customHeight="1">
      <c r="A2" s="21" t="inlineStr">
        <is>
          <t>Bonar ISIN</t>
        </is>
      </c>
      <c r="B2" s="21" t="inlineStr">
        <is>
          <t>Globale ISIN</t>
        </is>
      </c>
      <c r="C2" s="21" t="inlineStr">
        <is>
          <t>Maturity</t>
        </is>
      </c>
      <c r="D2" s="21" t="inlineStr">
        <is>
          <t>Bonar YTM</t>
        </is>
      </c>
      <c r="E2" s="21" t="inlineStr">
        <is>
          <t>Bonar Z-Spr</t>
        </is>
      </c>
      <c r="F2" s="21" t="inlineStr">
        <is>
          <t>Bonar MDur</t>
        </is>
      </c>
      <c r="G2" s="21" t="inlineStr">
        <is>
          <t>Globale YTM</t>
        </is>
      </c>
      <c r="H2" s="21" t="inlineStr">
        <is>
          <t>Globale Z-Spr</t>
        </is>
      </c>
      <c r="I2" s="21" t="inlineStr">
        <is>
          <t>Globale MDur</t>
        </is>
      </c>
      <c r="J2" s="21" t="inlineStr">
        <is>
          <t>Basis (B−G, bp)</t>
        </is>
      </c>
      <c r="K2" s="21" t="inlineStr">
        <is>
          <t>1Y Avg Basis</t>
        </is>
      </c>
      <c r="L2" s="21" t="inlineStr">
        <is>
          <t>Z-score (current)</t>
        </is>
      </c>
      <c r="M2" s="21" t="inlineStr">
        <is>
          <t>Signal</t>
        </is>
      </c>
    </row>
    <row r="3" ht="18" customHeight="1">
      <c r="A3" s="5" t="inlineStr"/>
      <c r="B3" s="5" t="inlineStr"/>
      <c r="C3" s="22" t="inlineStr">
        <is>
          <t>MATURITY</t>
        </is>
      </c>
      <c r="D3" s="22" t="inlineStr">
        <is>
          <t>YLD_YTM_MID</t>
        </is>
      </c>
      <c r="E3" s="22" t="inlineStr">
        <is>
          <t>YAS_ZSPREAD</t>
        </is>
      </c>
      <c r="F3" s="22" t="inlineStr">
        <is>
          <t>DUR_ADJ_MID</t>
        </is>
      </c>
      <c r="G3" s="22" t="inlineStr">
        <is>
          <t>YLD_YTM_MID</t>
        </is>
      </c>
      <c r="H3" s="22" t="inlineStr">
        <is>
          <t>YAS_ZSPREAD</t>
        </is>
      </c>
      <c r="I3" s="22" t="inlineStr">
        <is>
          <t>DUR_ADJ_MID</t>
        </is>
      </c>
      <c r="J3" s="5" t="inlineStr"/>
      <c r="K3" s="5" t="inlineStr"/>
      <c r="L3" s="5" t="inlineStr"/>
      <c r="M3" s="5" t="inlineStr"/>
    </row>
    <row r="4">
      <c r="A4" s="8" t="n"/>
      <c r="B4" s="8" t="n"/>
      <c r="C4" s="23">
        <f>IFERROR((BDP($A4&amp;" ISIN",C$3)-TODAY())/365.25,"")</f>
        <v/>
      </c>
      <c r="D4" s="16">
        <f>IFERROR(BDP($A4&amp;" ISIN",D$3),"")</f>
        <v/>
      </c>
      <c r="E4" s="16">
        <f>IFERROR(BDP($A4&amp;" ISIN",E$3),"")</f>
        <v/>
      </c>
      <c r="F4" s="16">
        <f>IFERROR(BDP($A4&amp;" ISIN",F$3),"")</f>
        <v/>
      </c>
      <c r="G4" s="16">
        <f>IFERROR(BDP($B4&amp;" ISIN",D$3),"")</f>
        <v/>
      </c>
      <c r="H4" s="16">
        <f>IFERROR(BDP($B4&amp;" ISIN",E$3),"")</f>
        <v/>
      </c>
      <c r="I4" s="16">
        <f>IFERROR(BDP($B4&amp;" ISIN",F$3),"")</f>
        <v/>
      </c>
      <c r="J4" s="24">
        <f>IFERROR(IF(OR(E4="",H4=""),"",E4-H4),"")</f>
        <v/>
      </c>
      <c r="K4" s="24">
        <f>IFERROR(AVERAGE(INDEX(BDH($A4&amp;" ISIN",E$3,"-1Y","0D"),0,2))-AVERAGE(INDEX(BDH($B4&amp;" ISIN",E$3,"-1Y","0D"),0,2)),"")</f>
        <v/>
      </c>
      <c r="L4" s="16">
        <f>IFERROR((J4-K4)/SQRT(VAR(INDEX(BDH($A4&amp;" ISIN",E$3,"-1Y","0D"),0,2))+VAR(INDEX(BDH($B4&amp;" ISIN",E$3,"-1Y","0D"),0,2))),"")</f>
        <v/>
      </c>
      <c r="M4" s="10">
        <f>IFERROR(IF(L4="","",IF(L4&gt;1.5,"BONAR CHEAP — buy Bonar/short Globale",IF(L4&lt;-1.5,"BONAR RICH — buy Globale/short Bonar",IF(ABS(L4)&gt;0.7,"watch","fair")))),"")</f>
        <v/>
      </c>
    </row>
    <row r="5">
      <c r="A5" s="8" t="n"/>
      <c r="B5" s="8" t="n"/>
      <c r="C5" s="23">
        <f>IFERROR((BDP($A5&amp;" ISIN",C$3)-TODAY())/365.25,"")</f>
        <v/>
      </c>
      <c r="D5" s="16">
        <f>IFERROR(BDP($A5&amp;" ISIN",D$3),"")</f>
        <v/>
      </c>
      <c r="E5" s="16">
        <f>IFERROR(BDP($A5&amp;" ISIN",E$3),"")</f>
        <v/>
      </c>
      <c r="F5" s="16">
        <f>IFERROR(BDP($A5&amp;" ISIN",F$3),"")</f>
        <v/>
      </c>
      <c r="G5" s="16">
        <f>IFERROR(BDP($B5&amp;" ISIN",D$3),"")</f>
        <v/>
      </c>
      <c r="H5" s="16">
        <f>IFERROR(BDP($B5&amp;" ISIN",E$3),"")</f>
        <v/>
      </c>
      <c r="I5" s="16">
        <f>IFERROR(BDP($B5&amp;" ISIN",F$3),"")</f>
        <v/>
      </c>
      <c r="J5" s="24">
        <f>IFERROR(IF(OR(E5="",H5=""),"",E5-H5),"")</f>
        <v/>
      </c>
      <c r="K5" s="24">
        <f>IFERROR(AVERAGE(INDEX(BDH($A5&amp;" ISIN",E$3,"-1Y","0D"),0,2))-AVERAGE(INDEX(BDH($B5&amp;" ISIN",E$3,"-1Y","0D"),0,2)),"")</f>
        <v/>
      </c>
      <c r="L5" s="16">
        <f>IFERROR((J5-K5)/SQRT(VAR(INDEX(BDH($A5&amp;" ISIN",E$3,"-1Y","0D"),0,2))+VAR(INDEX(BDH($B5&amp;" ISIN",E$3,"-1Y","0D"),0,2))),"")</f>
        <v/>
      </c>
      <c r="M5" s="10">
        <f>IFERROR(IF(L5="","",IF(L5&gt;1.5,"BONAR CHEAP — buy Bonar/short Globale",IF(L5&lt;-1.5,"BONAR RICH — buy Globale/short Bonar",IF(ABS(L5)&gt;0.7,"watch","fair")))),"")</f>
        <v/>
      </c>
    </row>
    <row r="6">
      <c r="A6" s="8" t="n"/>
      <c r="B6" s="8" t="n"/>
      <c r="C6" s="23">
        <f>IFERROR((BDP($A6&amp;" ISIN",C$3)-TODAY())/365.25,"")</f>
        <v/>
      </c>
      <c r="D6" s="16">
        <f>IFERROR(BDP($A6&amp;" ISIN",D$3),"")</f>
        <v/>
      </c>
      <c r="E6" s="16">
        <f>IFERROR(BDP($A6&amp;" ISIN",E$3),"")</f>
        <v/>
      </c>
      <c r="F6" s="16">
        <f>IFERROR(BDP($A6&amp;" ISIN",F$3),"")</f>
        <v/>
      </c>
      <c r="G6" s="16">
        <f>IFERROR(BDP($B6&amp;" ISIN",D$3),"")</f>
        <v/>
      </c>
      <c r="H6" s="16">
        <f>IFERROR(BDP($B6&amp;" ISIN",E$3),"")</f>
        <v/>
      </c>
      <c r="I6" s="16">
        <f>IFERROR(BDP($B6&amp;" ISIN",F$3),"")</f>
        <v/>
      </c>
      <c r="J6" s="24">
        <f>IFERROR(IF(OR(E6="",H6=""),"",E6-H6),"")</f>
        <v/>
      </c>
      <c r="K6" s="24">
        <f>IFERROR(AVERAGE(INDEX(BDH($A6&amp;" ISIN",E$3,"-1Y","0D"),0,2))-AVERAGE(INDEX(BDH($B6&amp;" ISIN",E$3,"-1Y","0D"),0,2)),"")</f>
        <v/>
      </c>
      <c r="L6" s="16">
        <f>IFERROR((J6-K6)/SQRT(VAR(INDEX(BDH($A6&amp;" ISIN",E$3,"-1Y","0D"),0,2))+VAR(INDEX(BDH($B6&amp;" ISIN",E$3,"-1Y","0D"),0,2))),"")</f>
        <v/>
      </c>
      <c r="M6" s="10">
        <f>IFERROR(IF(L6="","",IF(L6&gt;1.5,"BONAR CHEAP — buy Bonar/short Globale",IF(L6&lt;-1.5,"BONAR RICH — buy Globale/short Bonar",IF(ABS(L6)&gt;0.7,"watch","fair")))),"")</f>
        <v/>
      </c>
    </row>
    <row r="7">
      <c r="A7" s="8" t="n"/>
      <c r="B7" s="8" t="n"/>
      <c r="C7" s="23">
        <f>IFERROR((BDP($A7&amp;" ISIN",C$3)-TODAY())/365.25,"")</f>
        <v/>
      </c>
      <c r="D7" s="16">
        <f>IFERROR(BDP($A7&amp;" ISIN",D$3),"")</f>
        <v/>
      </c>
      <c r="E7" s="16">
        <f>IFERROR(BDP($A7&amp;" ISIN",E$3),"")</f>
        <v/>
      </c>
      <c r="F7" s="16">
        <f>IFERROR(BDP($A7&amp;" ISIN",F$3),"")</f>
        <v/>
      </c>
      <c r="G7" s="16">
        <f>IFERROR(BDP($B7&amp;" ISIN",D$3),"")</f>
        <v/>
      </c>
      <c r="H7" s="16">
        <f>IFERROR(BDP($B7&amp;" ISIN",E$3),"")</f>
        <v/>
      </c>
      <c r="I7" s="16">
        <f>IFERROR(BDP($B7&amp;" ISIN",F$3),"")</f>
        <v/>
      </c>
      <c r="J7" s="24">
        <f>IFERROR(IF(OR(E7="",H7=""),"",E7-H7),"")</f>
        <v/>
      </c>
      <c r="K7" s="24">
        <f>IFERROR(AVERAGE(INDEX(BDH($A7&amp;" ISIN",E$3,"-1Y","0D"),0,2))-AVERAGE(INDEX(BDH($B7&amp;" ISIN",E$3,"-1Y","0D"),0,2)),"")</f>
        <v/>
      </c>
      <c r="L7" s="16">
        <f>IFERROR((J7-K7)/SQRT(VAR(INDEX(BDH($A7&amp;" ISIN",E$3,"-1Y","0D"),0,2))+VAR(INDEX(BDH($B7&amp;" ISIN",E$3,"-1Y","0D"),0,2))),"")</f>
        <v/>
      </c>
      <c r="M7" s="10">
        <f>IFERROR(IF(L7="","",IF(L7&gt;1.5,"BONAR CHEAP — buy Bonar/short Globale",IF(L7&lt;-1.5,"BONAR RICH — buy Globale/short Bonar",IF(ABS(L7)&gt;0.7,"watch","fair")))),"")</f>
        <v/>
      </c>
    </row>
    <row r="8">
      <c r="A8" s="8" t="n"/>
      <c r="B8" s="8" t="n"/>
      <c r="C8" s="23">
        <f>IFERROR((BDP($A8&amp;" ISIN",C$3)-TODAY())/365.25,"")</f>
        <v/>
      </c>
      <c r="D8" s="16">
        <f>IFERROR(BDP($A8&amp;" ISIN",D$3),"")</f>
        <v/>
      </c>
      <c r="E8" s="16">
        <f>IFERROR(BDP($A8&amp;" ISIN",E$3),"")</f>
        <v/>
      </c>
      <c r="F8" s="16">
        <f>IFERROR(BDP($A8&amp;" ISIN",F$3),"")</f>
        <v/>
      </c>
      <c r="G8" s="16">
        <f>IFERROR(BDP($B8&amp;" ISIN",D$3),"")</f>
        <v/>
      </c>
      <c r="H8" s="16">
        <f>IFERROR(BDP($B8&amp;" ISIN",E$3),"")</f>
        <v/>
      </c>
      <c r="I8" s="16">
        <f>IFERROR(BDP($B8&amp;" ISIN",F$3),"")</f>
        <v/>
      </c>
      <c r="J8" s="24">
        <f>IFERROR(IF(OR(E8="",H8=""),"",E8-H8),"")</f>
        <v/>
      </c>
      <c r="K8" s="24">
        <f>IFERROR(AVERAGE(INDEX(BDH($A8&amp;" ISIN",E$3,"-1Y","0D"),0,2))-AVERAGE(INDEX(BDH($B8&amp;" ISIN",E$3,"-1Y","0D"),0,2)),"")</f>
        <v/>
      </c>
      <c r="L8" s="16">
        <f>IFERROR((J8-K8)/SQRT(VAR(INDEX(BDH($A8&amp;" ISIN",E$3,"-1Y","0D"),0,2))+VAR(INDEX(BDH($B8&amp;" ISIN",E$3,"-1Y","0D"),0,2))),"")</f>
        <v/>
      </c>
      <c r="M8" s="10">
        <f>IFERROR(IF(L8="","",IF(L8&gt;1.5,"BONAR CHEAP — buy Bonar/short Globale",IF(L8&lt;-1.5,"BONAR RICH — buy Globale/short Bonar",IF(ABS(L8)&gt;0.7,"watch","fair")))),"")</f>
        <v/>
      </c>
    </row>
    <row r="9">
      <c r="A9" s="8" t="n"/>
      <c r="B9" s="8" t="n"/>
      <c r="C9" s="23">
        <f>IFERROR((BDP($A9&amp;" ISIN",C$3)-TODAY())/365.25,"")</f>
        <v/>
      </c>
      <c r="D9" s="16">
        <f>IFERROR(BDP($A9&amp;" ISIN",D$3),"")</f>
        <v/>
      </c>
      <c r="E9" s="16">
        <f>IFERROR(BDP($A9&amp;" ISIN",E$3),"")</f>
        <v/>
      </c>
      <c r="F9" s="16">
        <f>IFERROR(BDP($A9&amp;" ISIN",F$3),"")</f>
        <v/>
      </c>
      <c r="G9" s="16">
        <f>IFERROR(BDP($B9&amp;" ISIN",D$3),"")</f>
        <v/>
      </c>
      <c r="H9" s="16">
        <f>IFERROR(BDP($B9&amp;" ISIN",E$3),"")</f>
        <v/>
      </c>
      <c r="I9" s="16">
        <f>IFERROR(BDP($B9&amp;" ISIN",F$3),"")</f>
        <v/>
      </c>
      <c r="J9" s="24">
        <f>IFERROR(IF(OR(E9="",H9=""),"",E9-H9),"")</f>
        <v/>
      </c>
      <c r="K9" s="24">
        <f>IFERROR(AVERAGE(INDEX(BDH($A9&amp;" ISIN",E$3,"-1Y","0D"),0,2))-AVERAGE(INDEX(BDH($B9&amp;" ISIN",E$3,"-1Y","0D"),0,2)),"")</f>
        <v/>
      </c>
      <c r="L9" s="16">
        <f>IFERROR((J9-K9)/SQRT(VAR(INDEX(BDH($A9&amp;" ISIN",E$3,"-1Y","0D"),0,2))+VAR(INDEX(BDH($B9&amp;" ISIN",E$3,"-1Y","0D"),0,2))),"")</f>
        <v/>
      </c>
      <c r="M9" s="10">
        <f>IFERROR(IF(L9="","",IF(L9&gt;1.5,"BONAR CHEAP — buy Bonar/short Globale",IF(L9&lt;-1.5,"BONAR RICH — buy Globale/short Bonar",IF(ABS(L9)&gt;0.7,"watch","fair")))),"")</f>
        <v/>
      </c>
    </row>
    <row r="10">
      <c r="A10" s="8" t="n"/>
      <c r="B10" s="8" t="n"/>
      <c r="C10" s="23">
        <f>IFERROR((BDP($A10&amp;" ISIN",C$3)-TODAY())/365.25,"")</f>
        <v/>
      </c>
      <c r="D10" s="16">
        <f>IFERROR(BDP($A10&amp;" ISIN",D$3),"")</f>
        <v/>
      </c>
      <c r="E10" s="16">
        <f>IFERROR(BDP($A10&amp;" ISIN",E$3),"")</f>
        <v/>
      </c>
      <c r="F10" s="16">
        <f>IFERROR(BDP($A10&amp;" ISIN",F$3),"")</f>
        <v/>
      </c>
      <c r="G10" s="16">
        <f>IFERROR(BDP($B10&amp;" ISIN",D$3),"")</f>
        <v/>
      </c>
      <c r="H10" s="16">
        <f>IFERROR(BDP($B10&amp;" ISIN",E$3),"")</f>
        <v/>
      </c>
      <c r="I10" s="16">
        <f>IFERROR(BDP($B10&amp;" ISIN",F$3),"")</f>
        <v/>
      </c>
      <c r="J10" s="24">
        <f>IFERROR(IF(OR(E10="",H10=""),"",E10-H10),"")</f>
        <v/>
      </c>
      <c r="K10" s="24">
        <f>IFERROR(AVERAGE(INDEX(BDH($A10&amp;" ISIN",E$3,"-1Y","0D"),0,2))-AVERAGE(INDEX(BDH($B10&amp;" ISIN",E$3,"-1Y","0D"),0,2)),"")</f>
        <v/>
      </c>
      <c r="L10" s="16">
        <f>IFERROR((J10-K10)/SQRT(VAR(INDEX(BDH($A10&amp;" ISIN",E$3,"-1Y","0D"),0,2))+VAR(INDEX(BDH($B10&amp;" ISIN",E$3,"-1Y","0D"),0,2))),"")</f>
        <v/>
      </c>
      <c r="M10" s="10">
        <f>IFERROR(IF(L10="","",IF(L10&gt;1.5,"BONAR CHEAP — buy Bonar/short Globale",IF(L10&lt;-1.5,"BONAR RICH — buy Globale/short Bonar",IF(ABS(L10)&gt;0.7,"watch","fair")))),"")</f>
        <v/>
      </c>
    </row>
    <row r="11">
      <c r="A11" s="8" t="n"/>
      <c r="B11" s="8" t="n"/>
      <c r="C11" s="23">
        <f>IFERROR((BDP($A11&amp;" ISIN",C$3)-TODAY())/365.25,"")</f>
        <v/>
      </c>
      <c r="D11" s="16">
        <f>IFERROR(BDP($A11&amp;" ISIN",D$3),"")</f>
        <v/>
      </c>
      <c r="E11" s="16">
        <f>IFERROR(BDP($A11&amp;" ISIN",E$3),"")</f>
        <v/>
      </c>
      <c r="F11" s="16">
        <f>IFERROR(BDP($A11&amp;" ISIN",F$3),"")</f>
        <v/>
      </c>
      <c r="G11" s="16">
        <f>IFERROR(BDP($B11&amp;" ISIN",D$3),"")</f>
        <v/>
      </c>
      <c r="H11" s="16">
        <f>IFERROR(BDP($B11&amp;" ISIN",E$3),"")</f>
        <v/>
      </c>
      <c r="I11" s="16">
        <f>IFERROR(BDP($B11&amp;" ISIN",F$3),"")</f>
        <v/>
      </c>
      <c r="J11" s="24">
        <f>IFERROR(IF(OR(E11="",H11=""),"",E11-H11),"")</f>
        <v/>
      </c>
      <c r="K11" s="24">
        <f>IFERROR(AVERAGE(INDEX(BDH($A11&amp;" ISIN",E$3,"-1Y","0D"),0,2))-AVERAGE(INDEX(BDH($B11&amp;" ISIN",E$3,"-1Y","0D"),0,2)),"")</f>
        <v/>
      </c>
      <c r="L11" s="16">
        <f>IFERROR((J11-K11)/SQRT(VAR(INDEX(BDH($A11&amp;" ISIN",E$3,"-1Y","0D"),0,2))+VAR(INDEX(BDH($B11&amp;" ISIN",E$3,"-1Y","0D"),0,2))),"")</f>
        <v/>
      </c>
      <c r="M11" s="10">
        <f>IFERROR(IF(L11="","",IF(L11&gt;1.5,"BONAR CHEAP — buy Bonar/short Globale",IF(L11&lt;-1.5,"BONAR RICH — buy Globale/short Bonar",IF(ABS(L11)&gt;0.7,"watch","fair")))),"")</f>
        <v/>
      </c>
    </row>
    <row r="12">
      <c r="A12" s="8" t="n"/>
      <c r="B12" s="8" t="n"/>
      <c r="C12" s="23">
        <f>IFERROR((BDP($A12&amp;" ISIN",C$3)-TODAY())/365.25,"")</f>
        <v/>
      </c>
      <c r="D12" s="16">
        <f>IFERROR(BDP($A12&amp;" ISIN",D$3),"")</f>
        <v/>
      </c>
      <c r="E12" s="16">
        <f>IFERROR(BDP($A12&amp;" ISIN",E$3),"")</f>
        <v/>
      </c>
      <c r="F12" s="16">
        <f>IFERROR(BDP($A12&amp;" ISIN",F$3),"")</f>
        <v/>
      </c>
      <c r="G12" s="16">
        <f>IFERROR(BDP($B12&amp;" ISIN",D$3),"")</f>
        <v/>
      </c>
      <c r="H12" s="16">
        <f>IFERROR(BDP($B12&amp;" ISIN",E$3),"")</f>
        <v/>
      </c>
      <c r="I12" s="16">
        <f>IFERROR(BDP($B12&amp;" ISIN",F$3),"")</f>
        <v/>
      </c>
      <c r="J12" s="24">
        <f>IFERROR(IF(OR(E12="",H12=""),"",E12-H12),"")</f>
        <v/>
      </c>
      <c r="K12" s="24">
        <f>IFERROR(AVERAGE(INDEX(BDH($A12&amp;" ISIN",E$3,"-1Y","0D"),0,2))-AVERAGE(INDEX(BDH($B12&amp;" ISIN",E$3,"-1Y","0D"),0,2)),"")</f>
        <v/>
      </c>
      <c r="L12" s="16">
        <f>IFERROR((J12-K12)/SQRT(VAR(INDEX(BDH($A12&amp;" ISIN",E$3,"-1Y","0D"),0,2))+VAR(INDEX(BDH($B12&amp;" ISIN",E$3,"-1Y","0D"),0,2))),"")</f>
        <v/>
      </c>
      <c r="M12" s="10">
        <f>IFERROR(IF(L12="","",IF(L12&gt;1.5,"BONAR CHEAP — buy Bonar/short Globale",IF(L12&lt;-1.5,"BONAR RICH — buy Globale/short Bonar",IF(ABS(L12)&gt;0.7,"watch","fair")))),"")</f>
        <v/>
      </c>
    </row>
    <row r="13">
      <c r="A13" s="8" t="n"/>
      <c r="B13" s="8" t="n"/>
      <c r="C13" s="23">
        <f>IFERROR((BDP($A13&amp;" ISIN",C$3)-TODAY())/365.25,"")</f>
        <v/>
      </c>
      <c r="D13" s="16">
        <f>IFERROR(BDP($A13&amp;" ISIN",D$3),"")</f>
        <v/>
      </c>
      <c r="E13" s="16">
        <f>IFERROR(BDP($A13&amp;" ISIN",E$3),"")</f>
        <v/>
      </c>
      <c r="F13" s="16">
        <f>IFERROR(BDP($A13&amp;" ISIN",F$3),"")</f>
        <v/>
      </c>
      <c r="G13" s="16">
        <f>IFERROR(BDP($B13&amp;" ISIN",D$3),"")</f>
        <v/>
      </c>
      <c r="H13" s="16">
        <f>IFERROR(BDP($B13&amp;" ISIN",E$3),"")</f>
        <v/>
      </c>
      <c r="I13" s="16">
        <f>IFERROR(BDP($B13&amp;" ISIN",F$3),"")</f>
        <v/>
      </c>
      <c r="J13" s="24">
        <f>IFERROR(IF(OR(E13="",H13=""),"",E13-H13),"")</f>
        <v/>
      </c>
      <c r="K13" s="24">
        <f>IFERROR(AVERAGE(INDEX(BDH($A13&amp;" ISIN",E$3,"-1Y","0D"),0,2))-AVERAGE(INDEX(BDH($B13&amp;" ISIN",E$3,"-1Y","0D"),0,2)),"")</f>
        <v/>
      </c>
      <c r="L13" s="16">
        <f>IFERROR((J13-K13)/SQRT(VAR(INDEX(BDH($A13&amp;" ISIN",E$3,"-1Y","0D"),0,2))+VAR(INDEX(BDH($B13&amp;" ISIN",E$3,"-1Y","0D"),0,2))),"")</f>
        <v/>
      </c>
      <c r="M13" s="10">
        <f>IFERROR(IF(L13="","",IF(L13&gt;1.5,"BONAR CHEAP — buy Bonar/short Globale",IF(L13&lt;-1.5,"BONAR RICH — buy Globale/short Bonar",IF(ABS(L13)&gt;0.7,"watch","fair")))),"")</f>
        <v/>
      </c>
    </row>
    <row r="14">
      <c r="A14" s="8" t="n"/>
      <c r="B14" s="8" t="n"/>
      <c r="C14" s="23">
        <f>IFERROR((BDP($A14&amp;" ISIN",C$3)-TODAY())/365.25,"")</f>
        <v/>
      </c>
      <c r="D14" s="16">
        <f>IFERROR(BDP($A14&amp;" ISIN",D$3),"")</f>
        <v/>
      </c>
      <c r="E14" s="16">
        <f>IFERROR(BDP($A14&amp;" ISIN",E$3),"")</f>
        <v/>
      </c>
      <c r="F14" s="16">
        <f>IFERROR(BDP($A14&amp;" ISIN",F$3),"")</f>
        <v/>
      </c>
      <c r="G14" s="16">
        <f>IFERROR(BDP($B14&amp;" ISIN",D$3),"")</f>
        <v/>
      </c>
      <c r="H14" s="16">
        <f>IFERROR(BDP($B14&amp;" ISIN",E$3),"")</f>
        <v/>
      </c>
      <c r="I14" s="16">
        <f>IFERROR(BDP($B14&amp;" ISIN",F$3),"")</f>
        <v/>
      </c>
      <c r="J14" s="24">
        <f>IFERROR(IF(OR(E14="",H14=""),"",E14-H14),"")</f>
        <v/>
      </c>
      <c r="K14" s="24">
        <f>IFERROR(AVERAGE(INDEX(BDH($A14&amp;" ISIN",E$3,"-1Y","0D"),0,2))-AVERAGE(INDEX(BDH($B14&amp;" ISIN",E$3,"-1Y","0D"),0,2)),"")</f>
        <v/>
      </c>
      <c r="L14" s="16">
        <f>IFERROR((J14-K14)/SQRT(VAR(INDEX(BDH($A14&amp;" ISIN",E$3,"-1Y","0D"),0,2))+VAR(INDEX(BDH($B14&amp;" ISIN",E$3,"-1Y","0D"),0,2))),"")</f>
        <v/>
      </c>
      <c r="M14" s="10">
        <f>IFERROR(IF(L14="","",IF(L14&gt;1.5,"BONAR CHEAP — buy Bonar/short Globale",IF(L14&lt;-1.5,"BONAR RICH — buy Globale/short Bonar",IF(ABS(L14)&gt;0.7,"watch","fair")))),"")</f>
        <v/>
      </c>
    </row>
    <row r="15">
      <c r="A15" s="8" t="n"/>
      <c r="B15" s="8" t="n"/>
      <c r="C15" s="23">
        <f>IFERROR((BDP($A15&amp;" ISIN",C$3)-TODAY())/365.25,"")</f>
        <v/>
      </c>
      <c r="D15" s="16">
        <f>IFERROR(BDP($A15&amp;" ISIN",D$3),"")</f>
        <v/>
      </c>
      <c r="E15" s="16">
        <f>IFERROR(BDP($A15&amp;" ISIN",E$3),"")</f>
        <v/>
      </c>
      <c r="F15" s="16">
        <f>IFERROR(BDP($A15&amp;" ISIN",F$3),"")</f>
        <v/>
      </c>
      <c r="G15" s="16">
        <f>IFERROR(BDP($B15&amp;" ISIN",D$3),"")</f>
        <v/>
      </c>
      <c r="H15" s="16">
        <f>IFERROR(BDP($B15&amp;" ISIN",E$3),"")</f>
        <v/>
      </c>
      <c r="I15" s="16">
        <f>IFERROR(BDP($B15&amp;" ISIN",F$3),"")</f>
        <v/>
      </c>
      <c r="J15" s="24">
        <f>IFERROR(IF(OR(E15="",H15=""),"",E15-H15),"")</f>
        <v/>
      </c>
      <c r="K15" s="24">
        <f>IFERROR(AVERAGE(INDEX(BDH($A15&amp;" ISIN",E$3,"-1Y","0D"),0,2))-AVERAGE(INDEX(BDH($B15&amp;" ISIN",E$3,"-1Y","0D"),0,2)),"")</f>
        <v/>
      </c>
      <c r="L15" s="16">
        <f>IFERROR((J15-K15)/SQRT(VAR(INDEX(BDH($A15&amp;" ISIN",E$3,"-1Y","0D"),0,2))+VAR(INDEX(BDH($B15&amp;" ISIN",E$3,"-1Y","0D"),0,2))),"")</f>
        <v/>
      </c>
      <c r="M15" s="10">
        <f>IFERROR(IF(L15="","",IF(L15&gt;1.5,"BONAR CHEAP — buy Bonar/short Globale",IF(L15&lt;-1.5,"BONAR RICH — buy Globale/short Bonar",IF(ABS(L15)&gt;0.7,"watch","fair")))),"")</f>
        <v/>
      </c>
    </row>
    <row r="16">
      <c r="A16" s="8" t="n"/>
      <c r="B16" s="8" t="n"/>
      <c r="C16" s="23">
        <f>IFERROR((BDP($A16&amp;" ISIN",C$3)-TODAY())/365.25,"")</f>
        <v/>
      </c>
      <c r="D16" s="16">
        <f>IFERROR(BDP($A16&amp;" ISIN",D$3),"")</f>
        <v/>
      </c>
      <c r="E16" s="16">
        <f>IFERROR(BDP($A16&amp;" ISIN",E$3),"")</f>
        <v/>
      </c>
      <c r="F16" s="16">
        <f>IFERROR(BDP($A16&amp;" ISIN",F$3),"")</f>
        <v/>
      </c>
      <c r="G16" s="16">
        <f>IFERROR(BDP($B16&amp;" ISIN",D$3),"")</f>
        <v/>
      </c>
      <c r="H16" s="16">
        <f>IFERROR(BDP($B16&amp;" ISIN",E$3),"")</f>
        <v/>
      </c>
      <c r="I16" s="16">
        <f>IFERROR(BDP($B16&amp;" ISIN",F$3),"")</f>
        <v/>
      </c>
      <c r="J16" s="24">
        <f>IFERROR(IF(OR(E16="",H16=""),"",E16-H16),"")</f>
        <v/>
      </c>
      <c r="K16" s="24">
        <f>IFERROR(AVERAGE(INDEX(BDH($A16&amp;" ISIN",E$3,"-1Y","0D"),0,2))-AVERAGE(INDEX(BDH($B16&amp;" ISIN",E$3,"-1Y","0D"),0,2)),"")</f>
        <v/>
      </c>
      <c r="L16" s="16">
        <f>IFERROR((J16-K16)/SQRT(VAR(INDEX(BDH($A16&amp;" ISIN",E$3,"-1Y","0D"),0,2))+VAR(INDEX(BDH($B16&amp;" ISIN",E$3,"-1Y","0D"),0,2))),"")</f>
        <v/>
      </c>
      <c r="M16" s="10">
        <f>IFERROR(IF(L16="","",IF(L16&gt;1.5,"BONAR CHEAP — buy Bonar/short Globale",IF(L16&lt;-1.5,"BONAR RICH — buy Globale/short Bonar",IF(ABS(L16)&gt;0.7,"watch","fair")))),"")</f>
        <v/>
      </c>
    </row>
    <row r="17">
      <c r="A17" s="8" t="n"/>
      <c r="B17" s="8" t="n"/>
      <c r="C17" s="23">
        <f>IFERROR((BDP($A17&amp;" ISIN",C$3)-TODAY())/365.25,"")</f>
        <v/>
      </c>
      <c r="D17" s="16">
        <f>IFERROR(BDP($A17&amp;" ISIN",D$3),"")</f>
        <v/>
      </c>
      <c r="E17" s="16">
        <f>IFERROR(BDP($A17&amp;" ISIN",E$3),"")</f>
        <v/>
      </c>
      <c r="F17" s="16">
        <f>IFERROR(BDP($A17&amp;" ISIN",F$3),"")</f>
        <v/>
      </c>
      <c r="G17" s="16">
        <f>IFERROR(BDP($B17&amp;" ISIN",D$3),"")</f>
        <v/>
      </c>
      <c r="H17" s="16">
        <f>IFERROR(BDP($B17&amp;" ISIN",E$3),"")</f>
        <v/>
      </c>
      <c r="I17" s="16">
        <f>IFERROR(BDP($B17&amp;" ISIN",F$3),"")</f>
        <v/>
      </c>
      <c r="J17" s="24">
        <f>IFERROR(IF(OR(E17="",H17=""),"",E17-H17),"")</f>
        <v/>
      </c>
      <c r="K17" s="24">
        <f>IFERROR(AVERAGE(INDEX(BDH($A17&amp;" ISIN",E$3,"-1Y","0D"),0,2))-AVERAGE(INDEX(BDH($B17&amp;" ISIN",E$3,"-1Y","0D"),0,2)),"")</f>
        <v/>
      </c>
      <c r="L17" s="16">
        <f>IFERROR((J17-K17)/SQRT(VAR(INDEX(BDH($A17&amp;" ISIN",E$3,"-1Y","0D"),0,2))+VAR(INDEX(BDH($B17&amp;" ISIN",E$3,"-1Y","0D"),0,2))),"")</f>
        <v/>
      </c>
      <c r="M17" s="10">
        <f>IFERROR(IF(L17="","",IF(L17&gt;1.5,"BONAR CHEAP — buy Bonar/short Globale",IF(L17&lt;-1.5,"BONAR RICH — buy Globale/short Bonar",IF(ABS(L17)&gt;0.7,"watch","fair")))),"")</f>
        <v/>
      </c>
    </row>
    <row r="18">
      <c r="A18" s="8" t="n"/>
      <c r="B18" s="8" t="n"/>
      <c r="C18" s="23">
        <f>IFERROR((BDP($A18&amp;" ISIN",C$3)-TODAY())/365.25,"")</f>
        <v/>
      </c>
      <c r="D18" s="16">
        <f>IFERROR(BDP($A18&amp;" ISIN",D$3),"")</f>
        <v/>
      </c>
      <c r="E18" s="16">
        <f>IFERROR(BDP($A18&amp;" ISIN",E$3),"")</f>
        <v/>
      </c>
      <c r="F18" s="16">
        <f>IFERROR(BDP($A18&amp;" ISIN",F$3),"")</f>
        <v/>
      </c>
      <c r="G18" s="16">
        <f>IFERROR(BDP($B18&amp;" ISIN",D$3),"")</f>
        <v/>
      </c>
      <c r="H18" s="16">
        <f>IFERROR(BDP($B18&amp;" ISIN",E$3),"")</f>
        <v/>
      </c>
      <c r="I18" s="16">
        <f>IFERROR(BDP($B18&amp;" ISIN",F$3),"")</f>
        <v/>
      </c>
      <c r="J18" s="24">
        <f>IFERROR(IF(OR(E18="",H18=""),"",E18-H18),"")</f>
        <v/>
      </c>
      <c r="K18" s="24">
        <f>IFERROR(AVERAGE(INDEX(BDH($A18&amp;" ISIN",E$3,"-1Y","0D"),0,2))-AVERAGE(INDEX(BDH($B18&amp;" ISIN",E$3,"-1Y","0D"),0,2)),"")</f>
        <v/>
      </c>
      <c r="L18" s="16">
        <f>IFERROR((J18-K18)/SQRT(VAR(INDEX(BDH($A18&amp;" ISIN",E$3,"-1Y","0D"),0,2))+VAR(INDEX(BDH($B18&amp;" ISIN",E$3,"-1Y","0D"),0,2))),"")</f>
        <v/>
      </c>
      <c r="M18" s="10">
        <f>IFERROR(IF(L18="","",IF(L18&gt;1.5,"BONAR CHEAP — buy Bonar/short Globale",IF(L18&lt;-1.5,"BONAR RICH — buy Globale/short Bonar",IF(ABS(L18)&gt;0.7,"watch","fair")))),"")</f>
        <v/>
      </c>
    </row>
    <row r="20">
      <c r="A20" s="33" t="inlineStr">
        <is>
          <t>Paste Bonares ISIN in col A and the matched Globale ISIN in col B (canonical pairs: AL29↔GD29, AL30↔GD30, AL35↔GD35, AE38↔GD38, AL41↔GD41). Positive basis = local-law cheap. z &gt; 1.5 is a high-conviction dislocation.</t>
        </is>
      </c>
    </row>
    <row r="21"/>
  </sheetData>
  <mergeCells count="2">
    <mergeCell ref="A20:M21"/>
    <mergeCell ref="A1:M1"/>
  </mergeCells>
  <conditionalFormatting sqref="L4:L18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5" t="inlineStr">
        <is>
          <t>CDS-Bond Basis — ARG sovereign CDS curve vs fitted bond curve</t>
        </is>
      </c>
      <c r="B1" s="6" t="n"/>
      <c r="C1" s="6" t="n"/>
      <c r="D1" s="6" t="n"/>
      <c r="E1" s="6" t="n"/>
      <c r="F1" s="6" t="n"/>
      <c r="G1" s="6" t="n"/>
      <c r="H1" s="7" t="n"/>
    </row>
    <row r="2" ht="32" customHeight="1">
      <c r="A2" s="21" t="inlineStr">
        <is>
          <t>Tenor (y)</t>
        </is>
      </c>
      <c r="B2" s="21" t="inlineStr">
        <is>
          <t>CDS Ticker</t>
        </is>
      </c>
      <c r="C2" s="21" t="inlineStr">
        <is>
          <t>CDS Spread (bp)</t>
        </is>
      </c>
      <c r="D2" s="21" t="inlineStr">
        <is>
          <t>Fitted Bond Spread (bp)</t>
        </is>
      </c>
      <c r="E2" s="21" t="inlineStr">
        <is>
          <t>Basis (Bond − CDS, bp)</t>
        </is>
      </c>
      <c r="F2" s="21" t="inlineStr">
        <is>
          <t>1Y Avg Basis</t>
        </is>
      </c>
      <c r="G2" s="21" t="inlineStr">
        <is>
          <t>Z-score (current)</t>
        </is>
      </c>
      <c r="H2" s="21" t="inlineStr">
        <is>
          <t>Signal</t>
        </is>
      </c>
    </row>
    <row r="3">
      <c r="A3" s="5" t="inlineStr"/>
      <c r="B3" s="5" t="inlineStr"/>
      <c r="C3" s="22" t="inlineStr">
        <is>
          <t>PX_LAST</t>
        </is>
      </c>
      <c r="D3" s="5" t="inlineStr"/>
      <c r="E3" s="5" t="inlineStr"/>
      <c r="F3" s="5" t="inlineStr"/>
      <c r="G3" s="5" t="inlineStr"/>
      <c r="H3" s="5" t="inlineStr"/>
    </row>
    <row r="4">
      <c r="A4" s="28" t="n">
        <v>1</v>
      </c>
      <c r="B4" s="8" t="inlineStr">
        <is>
          <t>CARG1U1 Curncy</t>
        </is>
      </c>
      <c r="C4" s="16">
        <f>IFERROR(BDP($B4,C$3),"")</f>
        <v/>
      </c>
      <c r="D4" s="16">
        <f>IFERROR(((Settings!$C$12 + Settings!$C$13*((1-EXP(-A4/Settings!$C$16))/(A4/Settings!$C$16)) + Settings!$C$14*((1-EXP(-A4/Settings!$C$16))/(A4/Settings!$C$16) - EXP(-A4/Settings!$C$16)) + Settings!$C$15*((1-EXP(-A4/Settings!$C$17))/(A4/Settings!$C$17) - EXP(-A4/Settings!$C$17)))-UST_Curve!C5)*100,"")</f>
        <v/>
      </c>
      <c r="E4" s="24">
        <f>IFERROR(D4-C4,"")</f>
        <v/>
      </c>
      <c r="F4" s="16">
        <f>IFERROR(AVERAGE(INDEX(BDH($B4,C$3,"-1Y","0D"),0,2)),"")</f>
        <v/>
      </c>
      <c r="G4" s="16">
        <f>IFERROR((E4-(D4-F4))/STDEV(INDEX(BDH($B4,C$3,"-1Y","0D"),0,2)),"")</f>
        <v/>
      </c>
      <c r="H4" s="10">
        <f>IFERROR(IF(E4="","",IF(E4&gt;50,"CASH CHEAP — long bond / short CDS",IF(E4&lt;-50,"CASH RICH — short bond / long CDS","fair"))),"")</f>
        <v/>
      </c>
    </row>
    <row r="5">
      <c r="A5" s="28" t="n">
        <v>3</v>
      </c>
      <c r="B5" s="8" t="inlineStr">
        <is>
          <t>CARG1U3 Curncy</t>
        </is>
      </c>
      <c r="C5" s="16">
        <f>IFERROR(BDP($B5,C$3),"")</f>
        <v/>
      </c>
      <c r="D5" s="16">
        <f>IFERROR(((Settings!$C$12 + Settings!$C$13*((1-EXP(-A5/Settings!$C$16))/(A5/Settings!$C$16)) + Settings!$C$14*((1-EXP(-A5/Settings!$C$16))/(A5/Settings!$C$16) - EXP(-A5/Settings!$C$16)) + Settings!$C$15*((1-EXP(-A5/Settings!$C$17))/(A5/Settings!$C$17) - EXP(-A5/Settings!$C$17)))-UST_Curve!C7)*100,"")</f>
        <v/>
      </c>
      <c r="E5" s="24">
        <f>IFERROR(D5-C5,"")</f>
        <v/>
      </c>
      <c r="F5" s="16">
        <f>IFERROR(AVERAGE(INDEX(BDH($B5,C$3,"-1Y","0D"),0,2)),"")</f>
        <v/>
      </c>
      <c r="G5" s="16">
        <f>IFERROR((E5-(D5-F5))/STDEV(INDEX(BDH($B5,C$3,"-1Y","0D"),0,2)),"")</f>
        <v/>
      </c>
      <c r="H5" s="10">
        <f>IFERROR(IF(E5="","",IF(E5&gt;50,"CASH CHEAP — long bond / short CDS",IF(E5&lt;-50,"CASH RICH — short bond / long CDS","fair"))),"")</f>
        <v/>
      </c>
    </row>
    <row r="6">
      <c r="A6" s="28" t="n">
        <v>5</v>
      </c>
      <c r="B6" s="8" t="inlineStr">
        <is>
          <t>CARG1U5 Curncy</t>
        </is>
      </c>
      <c r="C6" s="16">
        <f>IFERROR(BDP($B6,C$3),"")</f>
        <v/>
      </c>
      <c r="D6" s="16">
        <f>IFERROR(((Settings!$C$12 + Settings!$C$13*((1-EXP(-A6/Settings!$C$16))/(A6/Settings!$C$16)) + Settings!$C$14*((1-EXP(-A6/Settings!$C$16))/(A6/Settings!$C$16) - EXP(-A6/Settings!$C$16)) + Settings!$C$15*((1-EXP(-A6/Settings!$C$17))/(A6/Settings!$C$17) - EXP(-A6/Settings!$C$17)))-UST_Curve!C8)*100,"")</f>
        <v/>
      </c>
      <c r="E6" s="24">
        <f>IFERROR(D6-C6,"")</f>
        <v/>
      </c>
      <c r="F6" s="16">
        <f>IFERROR(AVERAGE(INDEX(BDH($B6,C$3,"-1Y","0D"),0,2)),"")</f>
        <v/>
      </c>
      <c r="G6" s="16">
        <f>IFERROR((E6-(D6-F6))/STDEV(INDEX(BDH($B6,C$3,"-1Y","0D"),0,2)),"")</f>
        <v/>
      </c>
      <c r="H6" s="10">
        <f>IFERROR(IF(E6="","",IF(E6&gt;50,"CASH CHEAP — long bond / short CDS",IF(E6&lt;-50,"CASH RICH — short bond / long CDS","fair"))),"")</f>
        <v/>
      </c>
    </row>
    <row r="7">
      <c r="A7" s="28" t="n">
        <v>7</v>
      </c>
      <c r="B7" s="8" t="inlineStr">
        <is>
          <t>CARG1U7 Curncy</t>
        </is>
      </c>
      <c r="C7" s="16">
        <f>IFERROR(BDP($B7,C$3),"")</f>
        <v/>
      </c>
      <c r="D7" s="16">
        <f>IFERROR(((Settings!$C$12 + Settings!$C$13*((1-EXP(-A7/Settings!$C$16))/(A7/Settings!$C$16)) + Settings!$C$14*((1-EXP(-A7/Settings!$C$16))/(A7/Settings!$C$16) - EXP(-A7/Settings!$C$16)) + Settings!$C$15*((1-EXP(-A7/Settings!$C$17))/(A7/Settings!$C$17) - EXP(-A7/Settings!$C$17)))-UST_Curve!C9)*100,"")</f>
        <v/>
      </c>
      <c r="E7" s="24">
        <f>IFERROR(D7-C7,"")</f>
        <v/>
      </c>
      <c r="F7" s="16">
        <f>IFERROR(AVERAGE(INDEX(BDH($B7,C$3,"-1Y","0D"),0,2)),"")</f>
        <v/>
      </c>
      <c r="G7" s="16">
        <f>IFERROR((E7-(D7-F7))/STDEV(INDEX(BDH($B7,C$3,"-1Y","0D"),0,2)),"")</f>
        <v/>
      </c>
      <c r="H7" s="10">
        <f>IFERROR(IF(E7="","",IF(E7&gt;50,"CASH CHEAP — long bond / short CDS",IF(E7&lt;-50,"CASH RICH — short bond / long CDS","fair"))),"")</f>
        <v/>
      </c>
    </row>
    <row r="8">
      <c r="A8" s="28" t="n">
        <v>10</v>
      </c>
      <c r="B8" s="8" t="inlineStr">
        <is>
          <t>CARG1U10 Curncy</t>
        </is>
      </c>
      <c r="C8" s="16">
        <f>IFERROR(BDP($B8,C$3),"")</f>
        <v/>
      </c>
      <c r="D8" s="16">
        <f>IFERROR(((Settings!$C$12 + Settings!$C$13*((1-EXP(-A8/Settings!$C$16))/(A8/Settings!$C$16)) + Settings!$C$14*((1-EXP(-A8/Settings!$C$16))/(A8/Settings!$C$16) - EXP(-A8/Settings!$C$16)) + Settings!$C$15*((1-EXP(-A8/Settings!$C$17))/(A8/Settings!$C$17) - EXP(-A8/Settings!$C$17)))-UST_Curve!C10)*100,"")</f>
        <v/>
      </c>
      <c r="E8" s="24">
        <f>IFERROR(D8-C8,"")</f>
        <v/>
      </c>
      <c r="F8" s="16">
        <f>IFERROR(AVERAGE(INDEX(BDH($B8,C$3,"-1Y","0D"),0,2)),"")</f>
        <v/>
      </c>
      <c r="G8" s="16">
        <f>IFERROR((E8-(D8-F8))/STDEV(INDEX(BDH($B8,C$3,"-1Y","0D"),0,2)),"")</f>
        <v/>
      </c>
      <c r="H8" s="10">
        <f>IFERROR(IF(E8="","",IF(E8&gt;50,"CASH CHEAP — long bond / short CDS",IF(E8&lt;-50,"CASH RICH — short bond / long CDS","fair"))),"")</f>
        <v/>
      </c>
    </row>
    <row r="11">
      <c r="A11" s="33" t="inlineStr">
        <is>
          <t>5Y is the most-liquid CDS tenor. Fitted Bond Spread uses the NSS curve from Settings. Run Solver on Curve_Fit before relying on this tab.</t>
        </is>
      </c>
    </row>
    <row r="12"/>
    <row r="13"/>
  </sheetData>
  <mergeCells count="2">
    <mergeCell ref="A11:H13"/>
    <mergeCell ref="A1:H1"/>
  </mergeCells>
  <conditionalFormatting sqref="E4:E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8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1" customWidth="1" min="9" max="9"/>
    <col width="10" customWidth="1" min="10" max="10"/>
    <col width="13" customWidth="1" min="11" max="11"/>
    <col width="14" customWidth="1" min="12" max="12"/>
    <col width="16" customWidth="1" min="13" max="13"/>
  </cols>
  <sheetData>
    <row r="1" ht="32" customHeight="1">
      <c r="A1" s="21" t="inlineStr">
        <is>
          <t>Rank</t>
        </is>
      </c>
      <c r="B1" s="21" t="inlineStr">
        <is>
          <t>ISIN</t>
        </is>
      </c>
      <c r="C1" s="21" t="inlineStr">
        <is>
          <t>Description</t>
        </is>
      </c>
      <c r="D1" s="21" t="inlineStr">
        <is>
          <t>τ</t>
        </is>
      </c>
      <c r="E1" s="21" t="inlineStr">
        <is>
          <t>Residual (bp)</t>
        </is>
      </c>
      <c r="F1" s="21" t="inlineStr">
        <is>
          <t>12M C+R (%)</t>
        </is>
      </c>
      <c r="G1" s="21" t="inlineStr">
        <is>
          <t>DTS-adj Carry</t>
        </is>
      </c>
      <c r="H1" s="21" t="inlineStr">
        <is>
          <t>YTM (%)</t>
        </is>
      </c>
      <c r="I1" s="21" t="inlineStr">
        <is>
          <t>Liq score</t>
        </is>
      </c>
      <c r="J1" s="21" t="inlineStr">
        <is>
          <t>Liquid?</t>
        </is>
      </c>
      <c r="K1" s="21" t="inlineStr">
        <is>
          <t>Composite z</t>
        </is>
      </c>
      <c r="L1" s="21" t="inlineStr">
        <is>
          <t>Signal</t>
        </is>
      </c>
      <c r="M1" s="21" t="inlineStr">
        <is>
          <t>Action</t>
        </is>
      </c>
    </row>
    <row r="2">
      <c r="A2" s="30" t="inlineStr"/>
      <c r="B2" s="30" t="inlineStr"/>
      <c r="C2" s="30" t="inlineStr"/>
      <c r="D2" s="30" t="inlineStr"/>
      <c r="E2" s="30" t="inlineStr"/>
      <c r="F2" s="30" t="inlineStr"/>
      <c r="G2" s="30" t="inlineStr"/>
      <c r="H2" s="30" t="inlineStr"/>
      <c r="I2" s="30" t="inlineStr"/>
      <c r="J2" s="30" t="inlineStr"/>
      <c r="K2" s="30" t="inlineStr"/>
      <c r="L2" s="30" t="inlineStr"/>
      <c r="M2" s="30" t="inlineStr"/>
    </row>
    <row r="3">
      <c r="A3" s="10">
        <f>IF(K3="","",RANK(K3,$K$3:$K$27))</f>
        <v/>
      </c>
      <c r="B3" s="25">
        <f>Bonds_Static!A3</f>
        <v/>
      </c>
      <c r="C3" s="25">
        <f>Bonds_Static!C3</f>
        <v/>
      </c>
      <c r="D3" s="26">
        <f>IFERROR(Bonds_Static!G3,"")</f>
        <v/>
      </c>
      <c r="E3" s="36">
        <f>IFERROR(Curve_Fit!F3,"")</f>
        <v/>
      </c>
      <c r="F3" s="36">
        <f>IFERROR(Carry_Roll!M3,"")</f>
        <v/>
      </c>
      <c r="G3" s="36">
        <f>IFERROR(DTS_Carry!G3,"")</f>
        <v/>
      </c>
      <c r="H3" s="36">
        <f>IFERROR(Bonds_Live!K3,"")</f>
        <v/>
      </c>
      <c r="I3" s="34">
        <f>IFERROR(Liquidity_Gate!I3,"")</f>
        <v/>
      </c>
      <c r="J3" s="25">
        <f>IFERROR(Liquidity_Gate!J3,"")</f>
        <v/>
      </c>
      <c r="K3" s="16">
        <f>IFERROR(IF((IFERROR(IF(AND(ISNUMBER(E3),STDEV($E$3:$E$27)&gt;0),Settings!$C$42,0),0)+IFERROR(IF(AND(ISNUMBER(F3),STDEV($F$3:$F$27)&gt;0),Settings!$C$43,0),0)+IFERROR(IF(AND(ISNUMBER(G3),STDEV($G$3:$G$27)&gt;0),Settings!$C$44,0),0)+IFERROR(IF(AND(ISNUMBER(H3),STDEV($H$3:$H$27)&gt;0),Settings!$C$45,0),0)+IFERROR(IF(AND(ISNUMBER(I3),STDEV($I$3:$I$27)&gt;0),Settings!$C$46,0),0))=0,"",(IFERROR(Settings!$C$42*((E3-AVERAGE($E$3:$E$27))/STDEV($E$3:$E$27)),0)+IFERROR(Settings!$C$43*((F3-AVERAGE($F$3:$F$27))/STDEV($F$3:$F$27)),0)+IFERROR(Settings!$C$44*((G3-AVERAGE($G$3:$G$27))/STDEV($G$3:$G$27)),0)+IFERROR(Settings!$C$45*((H3-AVERAGE($H$3:$H$27))/STDEV($H$3:$H$27)),0)+IFERROR(Settings!$C$46*((I3-AVERAGE($I$3:$I$27))/STDEV($I$3:$I$27)),0))/(IFERROR(IF(AND(ISNUMBER(E3),STDEV($E$3:$E$27)&gt;0),Settings!$C$42,0),0)+IFERROR(IF(AND(ISNUMBER(F3),STDEV($F$3:$F$27)&gt;0),Settings!$C$43,0),0)+IFERROR(IF(AND(ISNUMBER(G3),STDEV($G$3:$G$27)&gt;0),Settings!$C$44,0),0)+IFERROR(IF(AND(ISNUMBER(H3),STDEV($H$3:$H$27)&gt;0),Settings!$C$45,0),0)+IFERROR(IF(AND(ISNUMBER(I3),STDEV($I$3:$I$27)&gt;0),Settings!$C$46,0),0))),"")</f>
        <v/>
      </c>
      <c r="L3" s="10">
        <f>IFERROR(IF(K3="","",IF(K3&gt;1,"STRONG BUY",IF(K3&gt;0.3,"BUY",IF(K3&gt;-0.3,"HOLD",IF(K3&gt;-1,"SELL","STRONG SELL"))))),"")</f>
        <v/>
      </c>
      <c r="M3" s="10">
        <f>IFERROR(IF(K3="","",IF(J3&lt;&gt;"PASS","SKIP — illiquid",L3)),"")</f>
        <v/>
      </c>
    </row>
    <row r="4">
      <c r="A4" s="10">
        <f>IF(K4="","",RANK(K4,$K$3:$K$27))</f>
        <v/>
      </c>
      <c r="B4" s="25">
        <f>Bonds_Static!A4</f>
        <v/>
      </c>
      <c r="C4" s="25">
        <f>Bonds_Static!C4</f>
        <v/>
      </c>
      <c r="D4" s="26">
        <f>IFERROR(Bonds_Static!G4,"")</f>
        <v/>
      </c>
      <c r="E4" s="36">
        <f>IFERROR(Curve_Fit!F4,"")</f>
        <v/>
      </c>
      <c r="F4" s="36">
        <f>IFERROR(Carry_Roll!M4,"")</f>
        <v/>
      </c>
      <c r="G4" s="36">
        <f>IFERROR(DTS_Carry!G4,"")</f>
        <v/>
      </c>
      <c r="H4" s="36">
        <f>IFERROR(Bonds_Live!K4,"")</f>
        <v/>
      </c>
      <c r="I4" s="34">
        <f>IFERROR(Liquidity_Gate!I4,"")</f>
        <v/>
      </c>
      <c r="J4" s="25">
        <f>IFERROR(Liquidity_Gate!J4,"")</f>
        <v/>
      </c>
      <c r="K4" s="16">
        <f>IFERROR(IF((IFERROR(IF(AND(ISNUMBER(E4),STDEV($E$3:$E$27)&gt;0),Settings!$C$42,0),0)+IFERROR(IF(AND(ISNUMBER(F4),STDEV($F$3:$F$27)&gt;0),Settings!$C$43,0),0)+IFERROR(IF(AND(ISNUMBER(G4),STDEV($G$3:$G$27)&gt;0),Settings!$C$44,0),0)+IFERROR(IF(AND(ISNUMBER(H4),STDEV($H$3:$H$27)&gt;0),Settings!$C$45,0),0)+IFERROR(IF(AND(ISNUMBER(I4),STDEV($I$3:$I$27)&gt;0),Settings!$C$46,0),0))=0,"",(IFERROR(Settings!$C$42*((E4-AVERAGE($E$3:$E$27))/STDEV($E$3:$E$27)),0)+IFERROR(Settings!$C$43*((F4-AVERAGE($F$3:$F$27))/STDEV($F$3:$F$27)),0)+IFERROR(Settings!$C$44*((G4-AVERAGE($G$3:$G$27))/STDEV($G$3:$G$27)),0)+IFERROR(Settings!$C$45*((H4-AVERAGE($H$3:$H$27))/STDEV($H$3:$H$27)),0)+IFERROR(Settings!$C$46*((I4-AVERAGE($I$3:$I$27))/STDEV($I$3:$I$27)),0))/(IFERROR(IF(AND(ISNUMBER(E4),STDEV($E$3:$E$27)&gt;0),Settings!$C$42,0),0)+IFERROR(IF(AND(ISNUMBER(F4),STDEV($F$3:$F$27)&gt;0),Settings!$C$43,0),0)+IFERROR(IF(AND(ISNUMBER(G4),STDEV($G$3:$G$27)&gt;0),Settings!$C$44,0),0)+IFERROR(IF(AND(ISNUMBER(H4),STDEV($H$3:$H$27)&gt;0),Settings!$C$45,0),0)+IFERROR(IF(AND(ISNUMBER(I4),STDEV($I$3:$I$27)&gt;0),Settings!$C$46,0),0))),"")</f>
        <v/>
      </c>
      <c r="L4" s="10">
        <f>IFERROR(IF(K4="","",IF(K4&gt;1,"STRONG BUY",IF(K4&gt;0.3,"BUY",IF(K4&gt;-0.3,"HOLD",IF(K4&gt;-1,"SELL","STRONG SELL"))))),"")</f>
        <v/>
      </c>
      <c r="M4" s="10">
        <f>IFERROR(IF(K4="","",IF(J4&lt;&gt;"PASS","SKIP — illiquid",L4)),"")</f>
        <v/>
      </c>
    </row>
    <row r="5">
      <c r="A5" s="10">
        <f>IF(K5="","",RANK(K5,$K$3:$K$27))</f>
        <v/>
      </c>
      <c r="B5" s="25">
        <f>Bonds_Static!A5</f>
        <v/>
      </c>
      <c r="C5" s="25">
        <f>Bonds_Static!C5</f>
        <v/>
      </c>
      <c r="D5" s="26">
        <f>IFERROR(Bonds_Static!G5,"")</f>
        <v/>
      </c>
      <c r="E5" s="36">
        <f>IFERROR(Curve_Fit!F5,"")</f>
        <v/>
      </c>
      <c r="F5" s="36">
        <f>IFERROR(Carry_Roll!M5,"")</f>
        <v/>
      </c>
      <c r="G5" s="36">
        <f>IFERROR(DTS_Carry!G5,"")</f>
        <v/>
      </c>
      <c r="H5" s="36">
        <f>IFERROR(Bonds_Live!K5,"")</f>
        <v/>
      </c>
      <c r="I5" s="34">
        <f>IFERROR(Liquidity_Gate!I5,"")</f>
        <v/>
      </c>
      <c r="J5" s="25">
        <f>IFERROR(Liquidity_Gate!J5,"")</f>
        <v/>
      </c>
      <c r="K5" s="16">
        <f>IFERROR(IF((IFERROR(IF(AND(ISNUMBER(E5),STDEV($E$3:$E$27)&gt;0),Settings!$C$42,0),0)+IFERROR(IF(AND(ISNUMBER(F5),STDEV($F$3:$F$27)&gt;0),Settings!$C$43,0),0)+IFERROR(IF(AND(ISNUMBER(G5),STDEV($G$3:$G$27)&gt;0),Settings!$C$44,0),0)+IFERROR(IF(AND(ISNUMBER(H5),STDEV($H$3:$H$27)&gt;0),Settings!$C$45,0),0)+IFERROR(IF(AND(ISNUMBER(I5),STDEV($I$3:$I$27)&gt;0),Settings!$C$46,0),0))=0,"",(IFERROR(Settings!$C$42*((E5-AVERAGE($E$3:$E$27))/STDEV($E$3:$E$27)),0)+IFERROR(Settings!$C$43*((F5-AVERAGE($F$3:$F$27))/STDEV($F$3:$F$27)),0)+IFERROR(Settings!$C$44*((G5-AVERAGE($G$3:$G$27))/STDEV($G$3:$G$27)),0)+IFERROR(Settings!$C$45*((H5-AVERAGE($H$3:$H$27))/STDEV($H$3:$H$27)),0)+IFERROR(Settings!$C$46*((I5-AVERAGE($I$3:$I$27))/STDEV($I$3:$I$27)),0))/(IFERROR(IF(AND(ISNUMBER(E5),STDEV($E$3:$E$27)&gt;0),Settings!$C$42,0),0)+IFERROR(IF(AND(ISNUMBER(F5),STDEV($F$3:$F$27)&gt;0),Settings!$C$43,0),0)+IFERROR(IF(AND(ISNUMBER(G5),STDEV($G$3:$G$27)&gt;0),Settings!$C$44,0),0)+IFERROR(IF(AND(ISNUMBER(H5),STDEV($H$3:$H$27)&gt;0),Settings!$C$45,0),0)+IFERROR(IF(AND(ISNUMBER(I5),STDEV($I$3:$I$27)&gt;0),Settings!$C$46,0),0))),"")</f>
        <v/>
      </c>
      <c r="L5" s="10">
        <f>IFERROR(IF(K5="","",IF(K5&gt;1,"STRONG BUY",IF(K5&gt;0.3,"BUY",IF(K5&gt;-0.3,"HOLD",IF(K5&gt;-1,"SELL","STRONG SELL"))))),"")</f>
        <v/>
      </c>
      <c r="M5" s="10">
        <f>IFERROR(IF(K5="","",IF(J5&lt;&gt;"PASS","SKIP — illiquid",L5)),"")</f>
        <v/>
      </c>
    </row>
    <row r="6">
      <c r="A6" s="10">
        <f>IF(K6="","",RANK(K6,$K$3:$K$27))</f>
        <v/>
      </c>
      <c r="B6" s="25">
        <f>Bonds_Static!A6</f>
        <v/>
      </c>
      <c r="C6" s="25">
        <f>Bonds_Static!C6</f>
        <v/>
      </c>
      <c r="D6" s="26">
        <f>IFERROR(Bonds_Static!G6,"")</f>
        <v/>
      </c>
      <c r="E6" s="36">
        <f>IFERROR(Curve_Fit!F6,"")</f>
        <v/>
      </c>
      <c r="F6" s="36">
        <f>IFERROR(Carry_Roll!M6,"")</f>
        <v/>
      </c>
      <c r="G6" s="36">
        <f>IFERROR(DTS_Carry!G6,"")</f>
        <v/>
      </c>
      <c r="H6" s="36">
        <f>IFERROR(Bonds_Live!K6,"")</f>
        <v/>
      </c>
      <c r="I6" s="34">
        <f>IFERROR(Liquidity_Gate!I6,"")</f>
        <v/>
      </c>
      <c r="J6" s="25">
        <f>IFERROR(Liquidity_Gate!J6,"")</f>
        <v/>
      </c>
      <c r="K6" s="16">
        <f>IFERROR(IF((IFERROR(IF(AND(ISNUMBER(E6),STDEV($E$3:$E$27)&gt;0),Settings!$C$42,0),0)+IFERROR(IF(AND(ISNUMBER(F6),STDEV($F$3:$F$27)&gt;0),Settings!$C$43,0),0)+IFERROR(IF(AND(ISNUMBER(G6),STDEV($G$3:$G$27)&gt;0),Settings!$C$44,0),0)+IFERROR(IF(AND(ISNUMBER(H6),STDEV($H$3:$H$27)&gt;0),Settings!$C$45,0),0)+IFERROR(IF(AND(ISNUMBER(I6),STDEV($I$3:$I$27)&gt;0),Settings!$C$46,0),0))=0,"",(IFERROR(Settings!$C$42*((E6-AVERAGE($E$3:$E$27))/STDEV($E$3:$E$27)),0)+IFERROR(Settings!$C$43*((F6-AVERAGE($F$3:$F$27))/STDEV($F$3:$F$27)),0)+IFERROR(Settings!$C$44*((G6-AVERAGE($G$3:$G$27))/STDEV($G$3:$G$27)),0)+IFERROR(Settings!$C$45*((H6-AVERAGE($H$3:$H$27))/STDEV($H$3:$H$27)),0)+IFERROR(Settings!$C$46*((I6-AVERAGE($I$3:$I$27))/STDEV($I$3:$I$27)),0))/(IFERROR(IF(AND(ISNUMBER(E6),STDEV($E$3:$E$27)&gt;0),Settings!$C$42,0),0)+IFERROR(IF(AND(ISNUMBER(F6),STDEV($F$3:$F$27)&gt;0),Settings!$C$43,0),0)+IFERROR(IF(AND(ISNUMBER(G6),STDEV($G$3:$G$27)&gt;0),Settings!$C$44,0),0)+IFERROR(IF(AND(ISNUMBER(H6),STDEV($H$3:$H$27)&gt;0),Settings!$C$45,0),0)+IFERROR(IF(AND(ISNUMBER(I6),STDEV($I$3:$I$27)&gt;0),Settings!$C$46,0),0))),"")</f>
        <v/>
      </c>
      <c r="L6" s="10">
        <f>IFERROR(IF(K6="","",IF(K6&gt;1,"STRONG BUY",IF(K6&gt;0.3,"BUY",IF(K6&gt;-0.3,"HOLD",IF(K6&gt;-1,"SELL","STRONG SELL"))))),"")</f>
        <v/>
      </c>
      <c r="M6" s="10">
        <f>IFERROR(IF(K6="","",IF(J6&lt;&gt;"PASS","SKIP — illiquid",L6)),"")</f>
        <v/>
      </c>
    </row>
    <row r="7">
      <c r="A7" s="10">
        <f>IF(K7="","",RANK(K7,$K$3:$K$27))</f>
        <v/>
      </c>
      <c r="B7" s="25">
        <f>Bonds_Static!A7</f>
        <v/>
      </c>
      <c r="C7" s="25">
        <f>Bonds_Static!C7</f>
        <v/>
      </c>
      <c r="D7" s="26">
        <f>IFERROR(Bonds_Static!G7,"")</f>
        <v/>
      </c>
      <c r="E7" s="36">
        <f>IFERROR(Curve_Fit!F7,"")</f>
        <v/>
      </c>
      <c r="F7" s="36">
        <f>IFERROR(Carry_Roll!M7,"")</f>
        <v/>
      </c>
      <c r="G7" s="36">
        <f>IFERROR(DTS_Carry!G7,"")</f>
        <v/>
      </c>
      <c r="H7" s="36">
        <f>IFERROR(Bonds_Live!K7,"")</f>
        <v/>
      </c>
      <c r="I7" s="34">
        <f>IFERROR(Liquidity_Gate!I7,"")</f>
        <v/>
      </c>
      <c r="J7" s="25">
        <f>IFERROR(Liquidity_Gate!J7,"")</f>
        <v/>
      </c>
      <c r="K7" s="16">
        <f>IFERROR(IF((IFERROR(IF(AND(ISNUMBER(E7),STDEV($E$3:$E$27)&gt;0),Settings!$C$42,0),0)+IFERROR(IF(AND(ISNUMBER(F7),STDEV($F$3:$F$27)&gt;0),Settings!$C$43,0),0)+IFERROR(IF(AND(ISNUMBER(G7),STDEV($G$3:$G$27)&gt;0),Settings!$C$44,0),0)+IFERROR(IF(AND(ISNUMBER(H7),STDEV($H$3:$H$27)&gt;0),Settings!$C$45,0),0)+IFERROR(IF(AND(ISNUMBER(I7),STDEV($I$3:$I$27)&gt;0),Settings!$C$46,0),0))=0,"",(IFERROR(Settings!$C$42*((E7-AVERAGE($E$3:$E$27))/STDEV($E$3:$E$27)),0)+IFERROR(Settings!$C$43*((F7-AVERAGE($F$3:$F$27))/STDEV($F$3:$F$27)),0)+IFERROR(Settings!$C$44*((G7-AVERAGE($G$3:$G$27))/STDEV($G$3:$G$27)),0)+IFERROR(Settings!$C$45*((H7-AVERAGE($H$3:$H$27))/STDEV($H$3:$H$27)),0)+IFERROR(Settings!$C$46*((I7-AVERAGE($I$3:$I$27))/STDEV($I$3:$I$27)),0))/(IFERROR(IF(AND(ISNUMBER(E7),STDEV($E$3:$E$27)&gt;0),Settings!$C$42,0),0)+IFERROR(IF(AND(ISNUMBER(F7),STDEV($F$3:$F$27)&gt;0),Settings!$C$43,0),0)+IFERROR(IF(AND(ISNUMBER(G7),STDEV($G$3:$G$27)&gt;0),Settings!$C$44,0),0)+IFERROR(IF(AND(ISNUMBER(H7),STDEV($H$3:$H$27)&gt;0),Settings!$C$45,0),0)+IFERROR(IF(AND(ISNUMBER(I7),STDEV($I$3:$I$27)&gt;0),Settings!$C$46,0),0))),"")</f>
        <v/>
      </c>
      <c r="L7" s="10">
        <f>IFERROR(IF(K7="","",IF(K7&gt;1,"STRONG BUY",IF(K7&gt;0.3,"BUY",IF(K7&gt;-0.3,"HOLD",IF(K7&gt;-1,"SELL","STRONG SELL"))))),"")</f>
        <v/>
      </c>
      <c r="M7" s="10">
        <f>IFERROR(IF(K7="","",IF(J7&lt;&gt;"PASS","SKIP — illiquid",L7)),"")</f>
        <v/>
      </c>
    </row>
    <row r="8">
      <c r="A8" s="10">
        <f>IF(K8="","",RANK(K8,$K$3:$K$27))</f>
        <v/>
      </c>
      <c r="B8" s="25">
        <f>Bonds_Static!A8</f>
        <v/>
      </c>
      <c r="C8" s="25">
        <f>Bonds_Static!C8</f>
        <v/>
      </c>
      <c r="D8" s="26">
        <f>IFERROR(Bonds_Static!G8,"")</f>
        <v/>
      </c>
      <c r="E8" s="36">
        <f>IFERROR(Curve_Fit!F8,"")</f>
        <v/>
      </c>
      <c r="F8" s="36">
        <f>IFERROR(Carry_Roll!M8,"")</f>
        <v/>
      </c>
      <c r="G8" s="36">
        <f>IFERROR(DTS_Carry!G8,"")</f>
        <v/>
      </c>
      <c r="H8" s="36">
        <f>IFERROR(Bonds_Live!K8,"")</f>
        <v/>
      </c>
      <c r="I8" s="34">
        <f>IFERROR(Liquidity_Gate!I8,"")</f>
        <v/>
      </c>
      <c r="J8" s="25">
        <f>IFERROR(Liquidity_Gate!J8,"")</f>
        <v/>
      </c>
      <c r="K8" s="16">
        <f>IFERROR(IF((IFERROR(IF(AND(ISNUMBER(E8),STDEV($E$3:$E$27)&gt;0),Settings!$C$42,0),0)+IFERROR(IF(AND(ISNUMBER(F8),STDEV($F$3:$F$27)&gt;0),Settings!$C$43,0),0)+IFERROR(IF(AND(ISNUMBER(G8),STDEV($G$3:$G$27)&gt;0),Settings!$C$44,0),0)+IFERROR(IF(AND(ISNUMBER(H8),STDEV($H$3:$H$27)&gt;0),Settings!$C$45,0),0)+IFERROR(IF(AND(ISNUMBER(I8),STDEV($I$3:$I$27)&gt;0),Settings!$C$46,0),0))=0,"",(IFERROR(Settings!$C$42*((E8-AVERAGE($E$3:$E$27))/STDEV($E$3:$E$27)),0)+IFERROR(Settings!$C$43*((F8-AVERAGE($F$3:$F$27))/STDEV($F$3:$F$27)),0)+IFERROR(Settings!$C$44*((G8-AVERAGE($G$3:$G$27))/STDEV($G$3:$G$27)),0)+IFERROR(Settings!$C$45*((H8-AVERAGE($H$3:$H$27))/STDEV($H$3:$H$27)),0)+IFERROR(Settings!$C$46*((I8-AVERAGE($I$3:$I$27))/STDEV($I$3:$I$27)),0))/(IFERROR(IF(AND(ISNUMBER(E8),STDEV($E$3:$E$27)&gt;0),Settings!$C$42,0),0)+IFERROR(IF(AND(ISNUMBER(F8),STDEV($F$3:$F$27)&gt;0),Settings!$C$43,0),0)+IFERROR(IF(AND(ISNUMBER(G8),STDEV($G$3:$G$27)&gt;0),Settings!$C$44,0),0)+IFERROR(IF(AND(ISNUMBER(H8),STDEV($H$3:$H$27)&gt;0),Settings!$C$45,0),0)+IFERROR(IF(AND(ISNUMBER(I8),STDEV($I$3:$I$27)&gt;0),Settings!$C$46,0),0))),"")</f>
        <v/>
      </c>
      <c r="L8" s="10">
        <f>IFERROR(IF(K8="","",IF(K8&gt;1,"STRONG BUY",IF(K8&gt;0.3,"BUY",IF(K8&gt;-0.3,"HOLD",IF(K8&gt;-1,"SELL","STRONG SELL"))))),"")</f>
        <v/>
      </c>
      <c r="M8" s="10">
        <f>IFERROR(IF(K8="","",IF(J8&lt;&gt;"PASS","SKIP — illiquid",L8)),"")</f>
        <v/>
      </c>
    </row>
    <row r="9">
      <c r="A9" s="10">
        <f>IF(K9="","",RANK(K9,$K$3:$K$27))</f>
        <v/>
      </c>
      <c r="B9" s="25">
        <f>Bonds_Static!A9</f>
        <v/>
      </c>
      <c r="C9" s="25">
        <f>Bonds_Static!C9</f>
        <v/>
      </c>
      <c r="D9" s="26">
        <f>IFERROR(Bonds_Static!G9,"")</f>
        <v/>
      </c>
      <c r="E9" s="36">
        <f>IFERROR(Curve_Fit!F9,"")</f>
        <v/>
      </c>
      <c r="F9" s="36">
        <f>IFERROR(Carry_Roll!M9,"")</f>
        <v/>
      </c>
      <c r="G9" s="36">
        <f>IFERROR(DTS_Carry!G9,"")</f>
        <v/>
      </c>
      <c r="H9" s="36">
        <f>IFERROR(Bonds_Live!K9,"")</f>
        <v/>
      </c>
      <c r="I9" s="34">
        <f>IFERROR(Liquidity_Gate!I9,"")</f>
        <v/>
      </c>
      <c r="J9" s="25">
        <f>IFERROR(Liquidity_Gate!J9,"")</f>
        <v/>
      </c>
      <c r="K9" s="16">
        <f>IFERROR(IF((IFERROR(IF(AND(ISNUMBER(E9),STDEV($E$3:$E$27)&gt;0),Settings!$C$42,0),0)+IFERROR(IF(AND(ISNUMBER(F9),STDEV($F$3:$F$27)&gt;0),Settings!$C$43,0),0)+IFERROR(IF(AND(ISNUMBER(G9),STDEV($G$3:$G$27)&gt;0),Settings!$C$44,0),0)+IFERROR(IF(AND(ISNUMBER(H9),STDEV($H$3:$H$27)&gt;0),Settings!$C$45,0),0)+IFERROR(IF(AND(ISNUMBER(I9),STDEV($I$3:$I$27)&gt;0),Settings!$C$46,0),0))=0,"",(IFERROR(Settings!$C$42*((E9-AVERAGE($E$3:$E$27))/STDEV($E$3:$E$27)),0)+IFERROR(Settings!$C$43*((F9-AVERAGE($F$3:$F$27))/STDEV($F$3:$F$27)),0)+IFERROR(Settings!$C$44*((G9-AVERAGE($G$3:$G$27))/STDEV($G$3:$G$27)),0)+IFERROR(Settings!$C$45*((H9-AVERAGE($H$3:$H$27))/STDEV($H$3:$H$27)),0)+IFERROR(Settings!$C$46*((I9-AVERAGE($I$3:$I$27))/STDEV($I$3:$I$27)),0))/(IFERROR(IF(AND(ISNUMBER(E9),STDEV($E$3:$E$27)&gt;0),Settings!$C$42,0),0)+IFERROR(IF(AND(ISNUMBER(F9),STDEV($F$3:$F$27)&gt;0),Settings!$C$43,0),0)+IFERROR(IF(AND(ISNUMBER(G9),STDEV($G$3:$G$27)&gt;0),Settings!$C$44,0),0)+IFERROR(IF(AND(ISNUMBER(H9),STDEV($H$3:$H$27)&gt;0),Settings!$C$45,0),0)+IFERROR(IF(AND(ISNUMBER(I9),STDEV($I$3:$I$27)&gt;0),Settings!$C$46,0),0))),"")</f>
        <v/>
      </c>
      <c r="L9" s="10">
        <f>IFERROR(IF(K9="","",IF(K9&gt;1,"STRONG BUY",IF(K9&gt;0.3,"BUY",IF(K9&gt;-0.3,"HOLD",IF(K9&gt;-1,"SELL","STRONG SELL"))))),"")</f>
        <v/>
      </c>
      <c r="M9" s="10">
        <f>IFERROR(IF(K9="","",IF(J9&lt;&gt;"PASS","SKIP — illiquid",L9)),"")</f>
        <v/>
      </c>
    </row>
    <row r="10">
      <c r="A10" s="10">
        <f>IF(K10="","",RANK(K10,$K$3:$K$27))</f>
        <v/>
      </c>
      <c r="B10" s="25">
        <f>Bonds_Static!A10</f>
        <v/>
      </c>
      <c r="C10" s="25">
        <f>Bonds_Static!C10</f>
        <v/>
      </c>
      <c r="D10" s="26">
        <f>IFERROR(Bonds_Static!G10,"")</f>
        <v/>
      </c>
      <c r="E10" s="36">
        <f>IFERROR(Curve_Fit!F10,"")</f>
        <v/>
      </c>
      <c r="F10" s="36">
        <f>IFERROR(Carry_Roll!M10,"")</f>
        <v/>
      </c>
      <c r="G10" s="36">
        <f>IFERROR(DTS_Carry!G10,"")</f>
        <v/>
      </c>
      <c r="H10" s="36">
        <f>IFERROR(Bonds_Live!K10,"")</f>
        <v/>
      </c>
      <c r="I10" s="34">
        <f>IFERROR(Liquidity_Gate!I10,"")</f>
        <v/>
      </c>
      <c r="J10" s="25">
        <f>IFERROR(Liquidity_Gate!J10,"")</f>
        <v/>
      </c>
      <c r="K10" s="16">
        <f>IFERROR(IF((IFERROR(IF(AND(ISNUMBER(E10),STDEV($E$3:$E$27)&gt;0),Settings!$C$42,0),0)+IFERROR(IF(AND(ISNUMBER(F10),STDEV($F$3:$F$27)&gt;0),Settings!$C$43,0),0)+IFERROR(IF(AND(ISNUMBER(G10),STDEV($G$3:$G$27)&gt;0),Settings!$C$44,0),0)+IFERROR(IF(AND(ISNUMBER(H10),STDEV($H$3:$H$27)&gt;0),Settings!$C$45,0),0)+IFERROR(IF(AND(ISNUMBER(I10),STDEV($I$3:$I$27)&gt;0),Settings!$C$46,0),0))=0,"",(IFERROR(Settings!$C$42*((E10-AVERAGE($E$3:$E$27))/STDEV($E$3:$E$27)),0)+IFERROR(Settings!$C$43*((F10-AVERAGE($F$3:$F$27))/STDEV($F$3:$F$27)),0)+IFERROR(Settings!$C$44*((G10-AVERAGE($G$3:$G$27))/STDEV($G$3:$G$27)),0)+IFERROR(Settings!$C$45*((H10-AVERAGE($H$3:$H$27))/STDEV($H$3:$H$27)),0)+IFERROR(Settings!$C$46*((I10-AVERAGE($I$3:$I$27))/STDEV($I$3:$I$27)),0))/(IFERROR(IF(AND(ISNUMBER(E10),STDEV($E$3:$E$27)&gt;0),Settings!$C$42,0),0)+IFERROR(IF(AND(ISNUMBER(F10),STDEV($F$3:$F$27)&gt;0),Settings!$C$43,0),0)+IFERROR(IF(AND(ISNUMBER(G10),STDEV($G$3:$G$27)&gt;0),Settings!$C$44,0),0)+IFERROR(IF(AND(ISNUMBER(H10),STDEV($H$3:$H$27)&gt;0),Settings!$C$45,0),0)+IFERROR(IF(AND(ISNUMBER(I10),STDEV($I$3:$I$27)&gt;0),Settings!$C$46,0),0))),"")</f>
        <v/>
      </c>
      <c r="L10" s="10">
        <f>IFERROR(IF(K10="","",IF(K10&gt;1,"STRONG BUY",IF(K10&gt;0.3,"BUY",IF(K10&gt;-0.3,"HOLD",IF(K10&gt;-1,"SELL","STRONG SELL"))))),"")</f>
        <v/>
      </c>
      <c r="M10" s="10">
        <f>IFERROR(IF(K10="","",IF(J10&lt;&gt;"PASS","SKIP — illiquid",L10)),"")</f>
        <v/>
      </c>
    </row>
    <row r="11">
      <c r="A11" s="10">
        <f>IF(K11="","",RANK(K11,$K$3:$K$27))</f>
        <v/>
      </c>
      <c r="B11" s="25">
        <f>Bonds_Static!A11</f>
        <v/>
      </c>
      <c r="C11" s="25">
        <f>Bonds_Static!C11</f>
        <v/>
      </c>
      <c r="D11" s="26">
        <f>IFERROR(Bonds_Static!G11,"")</f>
        <v/>
      </c>
      <c r="E11" s="36">
        <f>IFERROR(Curve_Fit!F11,"")</f>
        <v/>
      </c>
      <c r="F11" s="36">
        <f>IFERROR(Carry_Roll!M11,"")</f>
        <v/>
      </c>
      <c r="G11" s="36">
        <f>IFERROR(DTS_Carry!G11,"")</f>
        <v/>
      </c>
      <c r="H11" s="36">
        <f>IFERROR(Bonds_Live!K11,"")</f>
        <v/>
      </c>
      <c r="I11" s="34">
        <f>IFERROR(Liquidity_Gate!I11,"")</f>
        <v/>
      </c>
      <c r="J11" s="25">
        <f>IFERROR(Liquidity_Gate!J11,"")</f>
        <v/>
      </c>
      <c r="K11" s="16">
        <f>IFERROR(IF((IFERROR(IF(AND(ISNUMBER(E11),STDEV($E$3:$E$27)&gt;0),Settings!$C$42,0),0)+IFERROR(IF(AND(ISNUMBER(F11),STDEV($F$3:$F$27)&gt;0),Settings!$C$43,0),0)+IFERROR(IF(AND(ISNUMBER(G11),STDEV($G$3:$G$27)&gt;0),Settings!$C$44,0),0)+IFERROR(IF(AND(ISNUMBER(H11),STDEV($H$3:$H$27)&gt;0),Settings!$C$45,0),0)+IFERROR(IF(AND(ISNUMBER(I11),STDEV($I$3:$I$27)&gt;0),Settings!$C$46,0),0))=0,"",(IFERROR(Settings!$C$42*((E11-AVERAGE($E$3:$E$27))/STDEV($E$3:$E$27)),0)+IFERROR(Settings!$C$43*((F11-AVERAGE($F$3:$F$27))/STDEV($F$3:$F$27)),0)+IFERROR(Settings!$C$44*((G11-AVERAGE($G$3:$G$27))/STDEV($G$3:$G$27)),0)+IFERROR(Settings!$C$45*((H11-AVERAGE($H$3:$H$27))/STDEV($H$3:$H$27)),0)+IFERROR(Settings!$C$46*((I11-AVERAGE($I$3:$I$27))/STDEV($I$3:$I$27)),0))/(IFERROR(IF(AND(ISNUMBER(E11),STDEV($E$3:$E$27)&gt;0),Settings!$C$42,0),0)+IFERROR(IF(AND(ISNUMBER(F11),STDEV($F$3:$F$27)&gt;0),Settings!$C$43,0),0)+IFERROR(IF(AND(ISNUMBER(G11),STDEV($G$3:$G$27)&gt;0),Settings!$C$44,0),0)+IFERROR(IF(AND(ISNUMBER(H11),STDEV($H$3:$H$27)&gt;0),Settings!$C$45,0),0)+IFERROR(IF(AND(ISNUMBER(I11),STDEV($I$3:$I$27)&gt;0),Settings!$C$46,0),0))),"")</f>
        <v/>
      </c>
      <c r="L11" s="10">
        <f>IFERROR(IF(K11="","",IF(K11&gt;1,"STRONG BUY",IF(K11&gt;0.3,"BUY",IF(K11&gt;-0.3,"HOLD",IF(K11&gt;-1,"SELL","STRONG SELL"))))),"")</f>
        <v/>
      </c>
      <c r="M11" s="10">
        <f>IFERROR(IF(K11="","",IF(J11&lt;&gt;"PASS","SKIP — illiquid",L11)),"")</f>
        <v/>
      </c>
    </row>
    <row r="12">
      <c r="A12" s="10">
        <f>IF(K12="","",RANK(K12,$K$3:$K$27))</f>
        <v/>
      </c>
      <c r="B12" s="25">
        <f>Bonds_Static!A12</f>
        <v/>
      </c>
      <c r="C12" s="25">
        <f>Bonds_Static!C12</f>
        <v/>
      </c>
      <c r="D12" s="26">
        <f>IFERROR(Bonds_Static!G12,"")</f>
        <v/>
      </c>
      <c r="E12" s="36">
        <f>IFERROR(Curve_Fit!F12,"")</f>
        <v/>
      </c>
      <c r="F12" s="36">
        <f>IFERROR(Carry_Roll!M12,"")</f>
        <v/>
      </c>
      <c r="G12" s="36">
        <f>IFERROR(DTS_Carry!G12,"")</f>
        <v/>
      </c>
      <c r="H12" s="36">
        <f>IFERROR(Bonds_Live!K12,"")</f>
        <v/>
      </c>
      <c r="I12" s="34">
        <f>IFERROR(Liquidity_Gate!I12,"")</f>
        <v/>
      </c>
      <c r="J12" s="25">
        <f>IFERROR(Liquidity_Gate!J12,"")</f>
        <v/>
      </c>
      <c r="K12" s="16">
        <f>IFERROR(IF((IFERROR(IF(AND(ISNUMBER(E12),STDEV($E$3:$E$27)&gt;0),Settings!$C$42,0),0)+IFERROR(IF(AND(ISNUMBER(F12),STDEV($F$3:$F$27)&gt;0),Settings!$C$43,0),0)+IFERROR(IF(AND(ISNUMBER(G12),STDEV($G$3:$G$27)&gt;0),Settings!$C$44,0),0)+IFERROR(IF(AND(ISNUMBER(H12),STDEV($H$3:$H$27)&gt;0),Settings!$C$45,0),0)+IFERROR(IF(AND(ISNUMBER(I12),STDEV($I$3:$I$27)&gt;0),Settings!$C$46,0),0))=0,"",(IFERROR(Settings!$C$42*((E12-AVERAGE($E$3:$E$27))/STDEV($E$3:$E$27)),0)+IFERROR(Settings!$C$43*((F12-AVERAGE($F$3:$F$27))/STDEV($F$3:$F$27)),0)+IFERROR(Settings!$C$44*((G12-AVERAGE($G$3:$G$27))/STDEV($G$3:$G$27)),0)+IFERROR(Settings!$C$45*((H12-AVERAGE($H$3:$H$27))/STDEV($H$3:$H$27)),0)+IFERROR(Settings!$C$46*((I12-AVERAGE($I$3:$I$27))/STDEV($I$3:$I$27)),0))/(IFERROR(IF(AND(ISNUMBER(E12),STDEV($E$3:$E$27)&gt;0),Settings!$C$42,0),0)+IFERROR(IF(AND(ISNUMBER(F12),STDEV($F$3:$F$27)&gt;0),Settings!$C$43,0),0)+IFERROR(IF(AND(ISNUMBER(G12),STDEV($G$3:$G$27)&gt;0),Settings!$C$44,0),0)+IFERROR(IF(AND(ISNUMBER(H12),STDEV($H$3:$H$27)&gt;0),Settings!$C$45,0),0)+IFERROR(IF(AND(ISNUMBER(I12),STDEV($I$3:$I$27)&gt;0),Settings!$C$46,0),0))),"")</f>
        <v/>
      </c>
      <c r="L12" s="10">
        <f>IFERROR(IF(K12="","",IF(K12&gt;1,"STRONG BUY",IF(K12&gt;0.3,"BUY",IF(K12&gt;-0.3,"HOLD",IF(K12&gt;-1,"SELL","STRONG SELL"))))),"")</f>
        <v/>
      </c>
      <c r="M12" s="10">
        <f>IFERROR(IF(K12="","",IF(J12&lt;&gt;"PASS","SKIP — illiquid",L12)),"")</f>
        <v/>
      </c>
    </row>
    <row r="13">
      <c r="A13" s="10">
        <f>IF(K13="","",RANK(K13,$K$3:$K$27))</f>
        <v/>
      </c>
      <c r="B13" s="25">
        <f>Bonds_Static!A13</f>
        <v/>
      </c>
      <c r="C13" s="25">
        <f>Bonds_Static!C13</f>
        <v/>
      </c>
      <c r="D13" s="26">
        <f>IFERROR(Bonds_Static!G13,"")</f>
        <v/>
      </c>
      <c r="E13" s="36">
        <f>IFERROR(Curve_Fit!F13,"")</f>
        <v/>
      </c>
      <c r="F13" s="36">
        <f>IFERROR(Carry_Roll!M13,"")</f>
        <v/>
      </c>
      <c r="G13" s="36">
        <f>IFERROR(DTS_Carry!G13,"")</f>
        <v/>
      </c>
      <c r="H13" s="36">
        <f>IFERROR(Bonds_Live!K13,"")</f>
        <v/>
      </c>
      <c r="I13" s="34">
        <f>IFERROR(Liquidity_Gate!I13,"")</f>
        <v/>
      </c>
      <c r="J13" s="25">
        <f>IFERROR(Liquidity_Gate!J13,"")</f>
        <v/>
      </c>
      <c r="K13" s="16">
        <f>IFERROR(IF((IFERROR(IF(AND(ISNUMBER(E13),STDEV($E$3:$E$27)&gt;0),Settings!$C$42,0),0)+IFERROR(IF(AND(ISNUMBER(F13),STDEV($F$3:$F$27)&gt;0),Settings!$C$43,0),0)+IFERROR(IF(AND(ISNUMBER(G13),STDEV($G$3:$G$27)&gt;0),Settings!$C$44,0),0)+IFERROR(IF(AND(ISNUMBER(H13),STDEV($H$3:$H$27)&gt;0),Settings!$C$45,0),0)+IFERROR(IF(AND(ISNUMBER(I13),STDEV($I$3:$I$27)&gt;0),Settings!$C$46,0),0))=0,"",(IFERROR(Settings!$C$42*((E13-AVERAGE($E$3:$E$27))/STDEV($E$3:$E$27)),0)+IFERROR(Settings!$C$43*((F13-AVERAGE($F$3:$F$27))/STDEV($F$3:$F$27)),0)+IFERROR(Settings!$C$44*((G13-AVERAGE($G$3:$G$27))/STDEV($G$3:$G$27)),0)+IFERROR(Settings!$C$45*((H13-AVERAGE($H$3:$H$27))/STDEV($H$3:$H$27)),0)+IFERROR(Settings!$C$46*((I13-AVERAGE($I$3:$I$27))/STDEV($I$3:$I$27)),0))/(IFERROR(IF(AND(ISNUMBER(E13),STDEV($E$3:$E$27)&gt;0),Settings!$C$42,0),0)+IFERROR(IF(AND(ISNUMBER(F13),STDEV($F$3:$F$27)&gt;0),Settings!$C$43,0),0)+IFERROR(IF(AND(ISNUMBER(G13),STDEV($G$3:$G$27)&gt;0),Settings!$C$44,0),0)+IFERROR(IF(AND(ISNUMBER(H13),STDEV($H$3:$H$27)&gt;0),Settings!$C$45,0),0)+IFERROR(IF(AND(ISNUMBER(I13),STDEV($I$3:$I$27)&gt;0),Settings!$C$46,0),0))),"")</f>
        <v/>
      </c>
      <c r="L13" s="10">
        <f>IFERROR(IF(K13="","",IF(K13&gt;1,"STRONG BUY",IF(K13&gt;0.3,"BUY",IF(K13&gt;-0.3,"HOLD",IF(K13&gt;-1,"SELL","STRONG SELL"))))),"")</f>
        <v/>
      </c>
      <c r="M13" s="10">
        <f>IFERROR(IF(K13="","",IF(J13&lt;&gt;"PASS","SKIP — illiquid",L13)),"")</f>
        <v/>
      </c>
    </row>
    <row r="14">
      <c r="A14" s="10">
        <f>IF(K14="","",RANK(K14,$K$3:$K$27))</f>
        <v/>
      </c>
      <c r="B14" s="25">
        <f>Bonds_Static!A14</f>
        <v/>
      </c>
      <c r="C14" s="25">
        <f>Bonds_Static!C14</f>
        <v/>
      </c>
      <c r="D14" s="26">
        <f>IFERROR(Bonds_Static!G14,"")</f>
        <v/>
      </c>
      <c r="E14" s="36">
        <f>IFERROR(Curve_Fit!F14,"")</f>
        <v/>
      </c>
      <c r="F14" s="36">
        <f>IFERROR(Carry_Roll!M14,"")</f>
        <v/>
      </c>
      <c r="G14" s="36">
        <f>IFERROR(DTS_Carry!G14,"")</f>
        <v/>
      </c>
      <c r="H14" s="36">
        <f>IFERROR(Bonds_Live!K14,"")</f>
        <v/>
      </c>
      <c r="I14" s="34">
        <f>IFERROR(Liquidity_Gate!I14,"")</f>
        <v/>
      </c>
      <c r="J14" s="25">
        <f>IFERROR(Liquidity_Gate!J14,"")</f>
        <v/>
      </c>
      <c r="K14" s="16">
        <f>IFERROR(IF((IFERROR(IF(AND(ISNUMBER(E14),STDEV($E$3:$E$27)&gt;0),Settings!$C$42,0),0)+IFERROR(IF(AND(ISNUMBER(F14),STDEV($F$3:$F$27)&gt;0),Settings!$C$43,0),0)+IFERROR(IF(AND(ISNUMBER(G14),STDEV($G$3:$G$27)&gt;0),Settings!$C$44,0),0)+IFERROR(IF(AND(ISNUMBER(H14),STDEV($H$3:$H$27)&gt;0),Settings!$C$45,0),0)+IFERROR(IF(AND(ISNUMBER(I14),STDEV($I$3:$I$27)&gt;0),Settings!$C$46,0),0))=0,"",(IFERROR(Settings!$C$42*((E14-AVERAGE($E$3:$E$27))/STDEV($E$3:$E$27)),0)+IFERROR(Settings!$C$43*((F14-AVERAGE($F$3:$F$27))/STDEV($F$3:$F$27)),0)+IFERROR(Settings!$C$44*((G14-AVERAGE($G$3:$G$27))/STDEV($G$3:$G$27)),0)+IFERROR(Settings!$C$45*((H14-AVERAGE($H$3:$H$27))/STDEV($H$3:$H$27)),0)+IFERROR(Settings!$C$46*((I14-AVERAGE($I$3:$I$27))/STDEV($I$3:$I$27)),0))/(IFERROR(IF(AND(ISNUMBER(E14),STDEV($E$3:$E$27)&gt;0),Settings!$C$42,0),0)+IFERROR(IF(AND(ISNUMBER(F14),STDEV($F$3:$F$27)&gt;0),Settings!$C$43,0),0)+IFERROR(IF(AND(ISNUMBER(G14),STDEV($G$3:$G$27)&gt;0),Settings!$C$44,0),0)+IFERROR(IF(AND(ISNUMBER(H14),STDEV($H$3:$H$27)&gt;0),Settings!$C$45,0),0)+IFERROR(IF(AND(ISNUMBER(I14),STDEV($I$3:$I$27)&gt;0),Settings!$C$46,0),0))),"")</f>
        <v/>
      </c>
      <c r="L14" s="10">
        <f>IFERROR(IF(K14="","",IF(K14&gt;1,"STRONG BUY",IF(K14&gt;0.3,"BUY",IF(K14&gt;-0.3,"HOLD",IF(K14&gt;-1,"SELL","STRONG SELL"))))),"")</f>
        <v/>
      </c>
      <c r="M14" s="10">
        <f>IFERROR(IF(K14="","",IF(J14&lt;&gt;"PASS","SKIP — illiquid",L14)),"")</f>
        <v/>
      </c>
    </row>
    <row r="15">
      <c r="A15" s="10">
        <f>IF(K15="","",RANK(K15,$K$3:$K$27))</f>
        <v/>
      </c>
      <c r="B15" s="25">
        <f>Bonds_Static!A15</f>
        <v/>
      </c>
      <c r="C15" s="25">
        <f>Bonds_Static!C15</f>
        <v/>
      </c>
      <c r="D15" s="26">
        <f>IFERROR(Bonds_Static!G15,"")</f>
        <v/>
      </c>
      <c r="E15" s="36">
        <f>IFERROR(Curve_Fit!F15,"")</f>
        <v/>
      </c>
      <c r="F15" s="36">
        <f>IFERROR(Carry_Roll!M15,"")</f>
        <v/>
      </c>
      <c r="G15" s="36">
        <f>IFERROR(DTS_Carry!G15,"")</f>
        <v/>
      </c>
      <c r="H15" s="36">
        <f>IFERROR(Bonds_Live!K15,"")</f>
        <v/>
      </c>
      <c r="I15" s="34">
        <f>IFERROR(Liquidity_Gate!I15,"")</f>
        <v/>
      </c>
      <c r="J15" s="25">
        <f>IFERROR(Liquidity_Gate!J15,"")</f>
        <v/>
      </c>
      <c r="K15" s="16">
        <f>IFERROR(IF((IFERROR(IF(AND(ISNUMBER(E15),STDEV($E$3:$E$27)&gt;0),Settings!$C$42,0),0)+IFERROR(IF(AND(ISNUMBER(F15),STDEV($F$3:$F$27)&gt;0),Settings!$C$43,0),0)+IFERROR(IF(AND(ISNUMBER(G15),STDEV($G$3:$G$27)&gt;0),Settings!$C$44,0),0)+IFERROR(IF(AND(ISNUMBER(H15),STDEV($H$3:$H$27)&gt;0),Settings!$C$45,0),0)+IFERROR(IF(AND(ISNUMBER(I15),STDEV($I$3:$I$27)&gt;0),Settings!$C$46,0),0))=0,"",(IFERROR(Settings!$C$42*((E15-AVERAGE($E$3:$E$27))/STDEV($E$3:$E$27)),0)+IFERROR(Settings!$C$43*((F15-AVERAGE($F$3:$F$27))/STDEV($F$3:$F$27)),0)+IFERROR(Settings!$C$44*((G15-AVERAGE($G$3:$G$27))/STDEV($G$3:$G$27)),0)+IFERROR(Settings!$C$45*((H15-AVERAGE($H$3:$H$27))/STDEV($H$3:$H$27)),0)+IFERROR(Settings!$C$46*((I15-AVERAGE($I$3:$I$27))/STDEV($I$3:$I$27)),0))/(IFERROR(IF(AND(ISNUMBER(E15),STDEV($E$3:$E$27)&gt;0),Settings!$C$42,0),0)+IFERROR(IF(AND(ISNUMBER(F15),STDEV($F$3:$F$27)&gt;0),Settings!$C$43,0),0)+IFERROR(IF(AND(ISNUMBER(G15),STDEV($G$3:$G$27)&gt;0),Settings!$C$44,0),0)+IFERROR(IF(AND(ISNUMBER(H15),STDEV($H$3:$H$27)&gt;0),Settings!$C$45,0),0)+IFERROR(IF(AND(ISNUMBER(I15),STDEV($I$3:$I$27)&gt;0),Settings!$C$46,0),0))),"")</f>
        <v/>
      </c>
      <c r="L15" s="10">
        <f>IFERROR(IF(K15="","",IF(K15&gt;1,"STRONG BUY",IF(K15&gt;0.3,"BUY",IF(K15&gt;-0.3,"HOLD",IF(K15&gt;-1,"SELL","STRONG SELL"))))),"")</f>
        <v/>
      </c>
      <c r="M15" s="10">
        <f>IFERROR(IF(K15="","",IF(J15&lt;&gt;"PASS","SKIP — illiquid",L15)),"")</f>
        <v/>
      </c>
    </row>
    <row r="16">
      <c r="A16" s="10">
        <f>IF(K16="","",RANK(K16,$K$3:$K$27))</f>
        <v/>
      </c>
      <c r="B16" s="25">
        <f>Bonds_Static!A16</f>
        <v/>
      </c>
      <c r="C16" s="25">
        <f>Bonds_Static!C16</f>
        <v/>
      </c>
      <c r="D16" s="26">
        <f>IFERROR(Bonds_Static!G16,"")</f>
        <v/>
      </c>
      <c r="E16" s="36">
        <f>IFERROR(Curve_Fit!F16,"")</f>
        <v/>
      </c>
      <c r="F16" s="36">
        <f>IFERROR(Carry_Roll!M16,"")</f>
        <v/>
      </c>
      <c r="G16" s="36">
        <f>IFERROR(DTS_Carry!G16,"")</f>
        <v/>
      </c>
      <c r="H16" s="36">
        <f>IFERROR(Bonds_Live!K16,"")</f>
        <v/>
      </c>
      <c r="I16" s="34">
        <f>IFERROR(Liquidity_Gate!I16,"")</f>
        <v/>
      </c>
      <c r="J16" s="25">
        <f>IFERROR(Liquidity_Gate!J16,"")</f>
        <v/>
      </c>
      <c r="K16" s="16">
        <f>IFERROR(IF((IFERROR(IF(AND(ISNUMBER(E16),STDEV($E$3:$E$27)&gt;0),Settings!$C$42,0),0)+IFERROR(IF(AND(ISNUMBER(F16),STDEV($F$3:$F$27)&gt;0),Settings!$C$43,0),0)+IFERROR(IF(AND(ISNUMBER(G16),STDEV($G$3:$G$27)&gt;0),Settings!$C$44,0),0)+IFERROR(IF(AND(ISNUMBER(H16),STDEV($H$3:$H$27)&gt;0),Settings!$C$45,0),0)+IFERROR(IF(AND(ISNUMBER(I16),STDEV($I$3:$I$27)&gt;0),Settings!$C$46,0),0))=0,"",(IFERROR(Settings!$C$42*((E16-AVERAGE($E$3:$E$27))/STDEV($E$3:$E$27)),0)+IFERROR(Settings!$C$43*((F16-AVERAGE($F$3:$F$27))/STDEV($F$3:$F$27)),0)+IFERROR(Settings!$C$44*((G16-AVERAGE($G$3:$G$27))/STDEV($G$3:$G$27)),0)+IFERROR(Settings!$C$45*((H16-AVERAGE($H$3:$H$27))/STDEV($H$3:$H$27)),0)+IFERROR(Settings!$C$46*((I16-AVERAGE($I$3:$I$27))/STDEV($I$3:$I$27)),0))/(IFERROR(IF(AND(ISNUMBER(E16),STDEV($E$3:$E$27)&gt;0),Settings!$C$42,0),0)+IFERROR(IF(AND(ISNUMBER(F16),STDEV($F$3:$F$27)&gt;0),Settings!$C$43,0),0)+IFERROR(IF(AND(ISNUMBER(G16),STDEV($G$3:$G$27)&gt;0),Settings!$C$44,0),0)+IFERROR(IF(AND(ISNUMBER(H16),STDEV($H$3:$H$27)&gt;0),Settings!$C$45,0),0)+IFERROR(IF(AND(ISNUMBER(I16),STDEV($I$3:$I$27)&gt;0),Settings!$C$46,0),0))),"")</f>
        <v/>
      </c>
      <c r="L16" s="10">
        <f>IFERROR(IF(K16="","",IF(K16&gt;1,"STRONG BUY",IF(K16&gt;0.3,"BUY",IF(K16&gt;-0.3,"HOLD",IF(K16&gt;-1,"SELL","STRONG SELL"))))),"")</f>
        <v/>
      </c>
      <c r="M16" s="10">
        <f>IFERROR(IF(K16="","",IF(J16&lt;&gt;"PASS","SKIP — illiquid",L16)),"")</f>
        <v/>
      </c>
    </row>
    <row r="17">
      <c r="A17" s="10">
        <f>IF(K17="","",RANK(K17,$K$3:$K$27))</f>
        <v/>
      </c>
      <c r="B17" s="25">
        <f>Bonds_Static!A17</f>
        <v/>
      </c>
      <c r="C17" s="25">
        <f>Bonds_Static!C17</f>
        <v/>
      </c>
      <c r="D17" s="26">
        <f>IFERROR(Bonds_Static!G17,"")</f>
        <v/>
      </c>
      <c r="E17" s="36">
        <f>IFERROR(Curve_Fit!F17,"")</f>
        <v/>
      </c>
      <c r="F17" s="36">
        <f>IFERROR(Carry_Roll!M17,"")</f>
        <v/>
      </c>
      <c r="G17" s="36">
        <f>IFERROR(DTS_Carry!G17,"")</f>
        <v/>
      </c>
      <c r="H17" s="36">
        <f>IFERROR(Bonds_Live!K17,"")</f>
        <v/>
      </c>
      <c r="I17" s="34">
        <f>IFERROR(Liquidity_Gate!I17,"")</f>
        <v/>
      </c>
      <c r="J17" s="25">
        <f>IFERROR(Liquidity_Gate!J17,"")</f>
        <v/>
      </c>
      <c r="K17" s="16">
        <f>IFERROR(IF((IFERROR(IF(AND(ISNUMBER(E17),STDEV($E$3:$E$27)&gt;0),Settings!$C$42,0),0)+IFERROR(IF(AND(ISNUMBER(F17),STDEV($F$3:$F$27)&gt;0),Settings!$C$43,0),0)+IFERROR(IF(AND(ISNUMBER(G17),STDEV($G$3:$G$27)&gt;0),Settings!$C$44,0),0)+IFERROR(IF(AND(ISNUMBER(H17),STDEV($H$3:$H$27)&gt;0),Settings!$C$45,0),0)+IFERROR(IF(AND(ISNUMBER(I17),STDEV($I$3:$I$27)&gt;0),Settings!$C$46,0),0))=0,"",(IFERROR(Settings!$C$42*((E17-AVERAGE($E$3:$E$27))/STDEV($E$3:$E$27)),0)+IFERROR(Settings!$C$43*((F17-AVERAGE($F$3:$F$27))/STDEV($F$3:$F$27)),0)+IFERROR(Settings!$C$44*((G17-AVERAGE($G$3:$G$27))/STDEV($G$3:$G$27)),0)+IFERROR(Settings!$C$45*((H17-AVERAGE($H$3:$H$27))/STDEV($H$3:$H$27)),0)+IFERROR(Settings!$C$46*((I17-AVERAGE($I$3:$I$27))/STDEV($I$3:$I$27)),0))/(IFERROR(IF(AND(ISNUMBER(E17),STDEV($E$3:$E$27)&gt;0),Settings!$C$42,0),0)+IFERROR(IF(AND(ISNUMBER(F17),STDEV($F$3:$F$27)&gt;0),Settings!$C$43,0),0)+IFERROR(IF(AND(ISNUMBER(G17),STDEV($G$3:$G$27)&gt;0),Settings!$C$44,0),0)+IFERROR(IF(AND(ISNUMBER(H17),STDEV($H$3:$H$27)&gt;0),Settings!$C$45,0),0)+IFERROR(IF(AND(ISNUMBER(I17),STDEV($I$3:$I$27)&gt;0),Settings!$C$46,0),0))),"")</f>
        <v/>
      </c>
      <c r="L17" s="10">
        <f>IFERROR(IF(K17="","",IF(K17&gt;1,"STRONG BUY",IF(K17&gt;0.3,"BUY",IF(K17&gt;-0.3,"HOLD",IF(K17&gt;-1,"SELL","STRONG SELL"))))),"")</f>
        <v/>
      </c>
      <c r="M17" s="10">
        <f>IFERROR(IF(K17="","",IF(J17&lt;&gt;"PASS","SKIP — illiquid",L17)),"")</f>
        <v/>
      </c>
    </row>
    <row r="18">
      <c r="A18" s="10">
        <f>IF(K18="","",RANK(K18,$K$3:$K$27))</f>
        <v/>
      </c>
      <c r="B18" s="25">
        <f>Bonds_Static!A18</f>
        <v/>
      </c>
      <c r="C18" s="25">
        <f>Bonds_Static!C18</f>
        <v/>
      </c>
      <c r="D18" s="26">
        <f>IFERROR(Bonds_Static!G18,"")</f>
        <v/>
      </c>
      <c r="E18" s="36">
        <f>IFERROR(Curve_Fit!F18,"")</f>
        <v/>
      </c>
      <c r="F18" s="36">
        <f>IFERROR(Carry_Roll!M18,"")</f>
        <v/>
      </c>
      <c r="G18" s="36">
        <f>IFERROR(DTS_Carry!G18,"")</f>
        <v/>
      </c>
      <c r="H18" s="36">
        <f>IFERROR(Bonds_Live!K18,"")</f>
        <v/>
      </c>
      <c r="I18" s="34">
        <f>IFERROR(Liquidity_Gate!I18,"")</f>
        <v/>
      </c>
      <c r="J18" s="25">
        <f>IFERROR(Liquidity_Gate!J18,"")</f>
        <v/>
      </c>
      <c r="K18" s="16">
        <f>IFERROR(IF((IFERROR(IF(AND(ISNUMBER(E18),STDEV($E$3:$E$27)&gt;0),Settings!$C$42,0),0)+IFERROR(IF(AND(ISNUMBER(F18),STDEV($F$3:$F$27)&gt;0),Settings!$C$43,0),0)+IFERROR(IF(AND(ISNUMBER(G18),STDEV($G$3:$G$27)&gt;0),Settings!$C$44,0),0)+IFERROR(IF(AND(ISNUMBER(H18),STDEV($H$3:$H$27)&gt;0),Settings!$C$45,0),0)+IFERROR(IF(AND(ISNUMBER(I18),STDEV($I$3:$I$27)&gt;0),Settings!$C$46,0),0))=0,"",(IFERROR(Settings!$C$42*((E18-AVERAGE($E$3:$E$27))/STDEV($E$3:$E$27)),0)+IFERROR(Settings!$C$43*((F18-AVERAGE($F$3:$F$27))/STDEV($F$3:$F$27)),0)+IFERROR(Settings!$C$44*((G18-AVERAGE($G$3:$G$27))/STDEV($G$3:$G$27)),0)+IFERROR(Settings!$C$45*((H18-AVERAGE($H$3:$H$27))/STDEV($H$3:$H$27)),0)+IFERROR(Settings!$C$46*((I18-AVERAGE($I$3:$I$27))/STDEV($I$3:$I$27)),0))/(IFERROR(IF(AND(ISNUMBER(E18),STDEV($E$3:$E$27)&gt;0),Settings!$C$42,0),0)+IFERROR(IF(AND(ISNUMBER(F18),STDEV($F$3:$F$27)&gt;0),Settings!$C$43,0),0)+IFERROR(IF(AND(ISNUMBER(G18),STDEV($G$3:$G$27)&gt;0),Settings!$C$44,0),0)+IFERROR(IF(AND(ISNUMBER(H18),STDEV($H$3:$H$27)&gt;0),Settings!$C$45,0),0)+IFERROR(IF(AND(ISNUMBER(I18),STDEV($I$3:$I$27)&gt;0),Settings!$C$46,0),0))),"")</f>
        <v/>
      </c>
      <c r="L18" s="10">
        <f>IFERROR(IF(K18="","",IF(K18&gt;1,"STRONG BUY",IF(K18&gt;0.3,"BUY",IF(K18&gt;-0.3,"HOLD",IF(K18&gt;-1,"SELL","STRONG SELL"))))),"")</f>
        <v/>
      </c>
      <c r="M18" s="10">
        <f>IFERROR(IF(K18="","",IF(J18&lt;&gt;"PASS","SKIP — illiquid",L18)),"")</f>
        <v/>
      </c>
    </row>
    <row r="19">
      <c r="A19" s="10">
        <f>IF(K19="","",RANK(K19,$K$3:$K$27))</f>
        <v/>
      </c>
      <c r="B19" s="25">
        <f>Bonds_Static!A19</f>
        <v/>
      </c>
      <c r="C19" s="25">
        <f>Bonds_Static!C19</f>
        <v/>
      </c>
      <c r="D19" s="26">
        <f>IFERROR(Bonds_Static!G19,"")</f>
        <v/>
      </c>
      <c r="E19" s="36">
        <f>IFERROR(Curve_Fit!F19,"")</f>
        <v/>
      </c>
      <c r="F19" s="36">
        <f>IFERROR(Carry_Roll!M19,"")</f>
        <v/>
      </c>
      <c r="G19" s="36">
        <f>IFERROR(DTS_Carry!G19,"")</f>
        <v/>
      </c>
      <c r="H19" s="36">
        <f>IFERROR(Bonds_Live!K19,"")</f>
        <v/>
      </c>
      <c r="I19" s="34">
        <f>IFERROR(Liquidity_Gate!I19,"")</f>
        <v/>
      </c>
      <c r="J19" s="25">
        <f>IFERROR(Liquidity_Gate!J19,"")</f>
        <v/>
      </c>
      <c r="K19" s="16">
        <f>IFERROR(IF((IFERROR(IF(AND(ISNUMBER(E19),STDEV($E$3:$E$27)&gt;0),Settings!$C$42,0),0)+IFERROR(IF(AND(ISNUMBER(F19),STDEV($F$3:$F$27)&gt;0),Settings!$C$43,0),0)+IFERROR(IF(AND(ISNUMBER(G19),STDEV($G$3:$G$27)&gt;0),Settings!$C$44,0),0)+IFERROR(IF(AND(ISNUMBER(H19),STDEV($H$3:$H$27)&gt;0),Settings!$C$45,0),0)+IFERROR(IF(AND(ISNUMBER(I19),STDEV($I$3:$I$27)&gt;0),Settings!$C$46,0),0))=0,"",(IFERROR(Settings!$C$42*((E19-AVERAGE($E$3:$E$27))/STDEV($E$3:$E$27)),0)+IFERROR(Settings!$C$43*((F19-AVERAGE($F$3:$F$27))/STDEV($F$3:$F$27)),0)+IFERROR(Settings!$C$44*((G19-AVERAGE($G$3:$G$27))/STDEV($G$3:$G$27)),0)+IFERROR(Settings!$C$45*((H19-AVERAGE($H$3:$H$27))/STDEV($H$3:$H$27)),0)+IFERROR(Settings!$C$46*((I19-AVERAGE($I$3:$I$27))/STDEV($I$3:$I$27)),0))/(IFERROR(IF(AND(ISNUMBER(E19),STDEV($E$3:$E$27)&gt;0),Settings!$C$42,0),0)+IFERROR(IF(AND(ISNUMBER(F19),STDEV($F$3:$F$27)&gt;0),Settings!$C$43,0),0)+IFERROR(IF(AND(ISNUMBER(G19),STDEV($G$3:$G$27)&gt;0),Settings!$C$44,0),0)+IFERROR(IF(AND(ISNUMBER(H19),STDEV($H$3:$H$27)&gt;0),Settings!$C$45,0),0)+IFERROR(IF(AND(ISNUMBER(I19),STDEV($I$3:$I$27)&gt;0),Settings!$C$46,0),0))),"")</f>
        <v/>
      </c>
      <c r="L19" s="10">
        <f>IFERROR(IF(K19="","",IF(K19&gt;1,"STRONG BUY",IF(K19&gt;0.3,"BUY",IF(K19&gt;-0.3,"HOLD",IF(K19&gt;-1,"SELL","STRONG SELL"))))),"")</f>
        <v/>
      </c>
      <c r="M19" s="10">
        <f>IFERROR(IF(K19="","",IF(J19&lt;&gt;"PASS","SKIP — illiquid",L19)),"")</f>
        <v/>
      </c>
    </row>
    <row r="20">
      <c r="A20" s="10">
        <f>IF(K20="","",RANK(K20,$K$3:$K$27))</f>
        <v/>
      </c>
      <c r="B20" s="25">
        <f>Bonds_Static!A20</f>
        <v/>
      </c>
      <c r="C20" s="25">
        <f>Bonds_Static!C20</f>
        <v/>
      </c>
      <c r="D20" s="26">
        <f>IFERROR(Bonds_Static!G20,"")</f>
        <v/>
      </c>
      <c r="E20" s="36">
        <f>IFERROR(Curve_Fit!F20,"")</f>
        <v/>
      </c>
      <c r="F20" s="36">
        <f>IFERROR(Carry_Roll!M20,"")</f>
        <v/>
      </c>
      <c r="G20" s="36">
        <f>IFERROR(DTS_Carry!G20,"")</f>
        <v/>
      </c>
      <c r="H20" s="36">
        <f>IFERROR(Bonds_Live!K20,"")</f>
        <v/>
      </c>
      <c r="I20" s="34">
        <f>IFERROR(Liquidity_Gate!I20,"")</f>
        <v/>
      </c>
      <c r="J20" s="25">
        <f>IFERROR(Liquidity_Gate!J20,"")</f>
        <v/>
      </c>
      <c r="K20" s="16">
        <f>IFERROR(IF((IFERROR(IF(AND(ISNUMBER(E20),STDEV($E$3:$E$27)&gt;0),Settings!$C$42,0),0)+IFERROR(IF(AND(ISNUMBER(F20),STDEV($F$3:$F$27)&gt;0),Settings!$C$43,0),0)+IFERROR(IF(AND(ISNUMBER(G20),STDEV($G$3:$G$27)&gt;0),Settings!$C$44,0),0)+IFERROR(IF(AND(ISNUMBER(H20),STDEV($H$3:$H$27)&gt;0),Settings!$C$45,0),0)+IFERROR(IF(AND(ISNUMBER(I20),STDEV($I$3:$I$27)&gt;0),Settings!$C$46,0),0))=0,"",(IFERROR(Settings!$C$42*((E20-AVERAGE($E$3:$E$27))/STDEV($E$3:$E$27)),0)+IFERROR(Settings!$C$43*((F20-AVERAGE($F$3:$F$27))/STDEV($F$3:$F$27)),0)+IFERROR(Settings!$C$44*((G20-AVERAGE($G$3:$G$27))/STDEV($G$3:$G$27)),0)+IFERROR(Settings!$C$45*((H20-AVERAGE($H$3:$H$27))/STDEV($H$3:$H$27)),0)+IFERROR(Settings!$C$46*((I20-AVERAGE($I$3:$I$27))/STDEV($I$3:$I$27)),0))/(IFERROR(IF(AND(ISNUMBER(E20),STDEV($E$3:$E$27)&gt;0),Settings!$C$42,0),0)+IFERROR(IF(AND(ISNUMBER(F20),STDEV($F$3:$F$27)&gt;0),Settings!$C$43,0),0)+IFERROR(IF(AND(ISNUMBER(G20),STDEV($G$3:$G$27)&gt;0),Settings!$C$44,0),0)+IFERROR(IF(AND(ISNUMBER(H20),STDEV($H$3:$H$27)&gt;0),Settings!$C$45,0),0)+IFERROR(IF(AND(ISNUMBER(I20),STDEV($I$3:$I$27)&gt;0),Settings!$C$46,0),0))),"")</f>
        <v/>
      </c>
      <c r="L20" s="10">
        <f>IFERROR(IF(K20="","",IF(K20&gt;1,"STRONG BUY",IF(K20&gt;0.3,"BUY",IF(K20&gt;-0.3,"HOLD",IF(K20&gt;-1,"SELL","STRONG SELL"))))),"")</f>
        <v/>
      </c>
      <c r="M20" s="10">
        <f>IFERROR(IF(K20="","",IF(J20&lt;&gt;"PASS","SKIP — illiquid",L20)),"")</f>
        <v/>
      </c>
    </row>
    <row r="21">
      <c r="A21" s="10">
        <f>IF(K21="","",RANK(K21,$K$3:$K$27))</f>
        <v/>
      </c>
      <c r="B21" s="25">
        <f>Bonds_Static!A21</f>
        <v/>
      </c>
      <c r="C21" s="25">
        <f>Bonds_Static!C21</f>
        <v/>
      </c>
      <c r="D21" s="26">
        <f>IFERROR(Bonds_Static!G21,"")</f>
        <v/>
      </c>
      <c r="E21" s="36">
        <f>IFERROR(Curve_Fit!F21,"")</f>
        <v/>
      </c>
      <c r="F21" s="36">
        <f>IFERROR(Carry_Roll!M21,"")</f>
        <v/>
      </c>
      <c r="G21" s="36">
        <f>IFERROR(DTS_Carry!G21,"")</f>
        <v/>
      </c>
      <c r="H21" s="36">
        <f>IFERROR(Bonds_Live!K21,"")</f>
        <v/>
      </c>
      <c r="I21" s="34">
        <f>IFERROR(Liquidity_Gate!I21,"")</f>
        <v/>
      </c>
      <c r="J21" s="25">
        <f>IFERROR(Liquidity_Gate!J21,"")</f>
        <v/>
      </c>
      <c r="K21" s="16">
        <f>IFERROR(IF((IFERROR(IF(AND(ISNUMBER(E21),STDEV($E$3:$E$27)&gt;0),Settings!$C$42,0),0)+IFERROR(IF(AND(ISNUMBER(F21),STDEV($F$3:$F$27)&gt;0),Settings!$C$43,0),0)+IFERROR(IF(AND(ISNUMBER(G21),STDEV($G$3:$G$27)&gt;0),Settings!$C$44,0),0)+IFERROR(IF(AND(ISNUMBER(H21),STDEV($H$3:$H$27)&gt;0),Settings!$C$45,0),0)+IFERROR(IF(AND(ISNUMBER(I21),STDEV($I$3:$I$27)&gt;0),Settings!$C$46,0),0))=0,"",(IFERROR(Settings!$C$42*((E21-AVERAGE($E$3:$E$27))/STDEV($E$3:$E$27)),0)+IFERROR(Settings!$C$43*((F21-AVERAGE($F$3:$F$27))/STDEV($F$3:$F$27)),0)+IFERROR(Settings!$C$44*((G21-AVERAGE($G$3:$G$27))/STDEV($G$3:$G$27)),0)+IFERROR(Settings!$C$45*((H21-AVERAGE($H$3:$H$27))/STDEV($H$3:$H$27)),0)+IFERROR(Settings!$C$46*((I21-AVERAGE($I$3:$I$27))/STDEV($I$3:$I$27)),0))/(IFERROR(IF(AND(ISNUMBER(E21),STDEV($E$3:$E$27)&gt;0),Settings!$C$42,0),0)+IFERROR(IF(AND(ISNUMBER(F21),STDEV($F$3:$F$27)&gt;0),Settings!$C$43,0),0)+IFERROR(IF(AND(ISNUMBER(G21),STDEV($G$3:$G$27)&gt;0),Settings!$C$44,0),0)+IFERROR(IF(AND(ISNUMBER(H21),STDEV($H$3:$H$27)&gt;0),Settings!$C$45,0),0)+IFERROR(IF(AND(ISNUMBER(I21),STDEV($I$3:$I$27)&gt;0),Settings!$C$46,0),0))),"")</f>
        <v/>
      </c>
      <c r="L21" s="10">
        <f>IFERROR(IF(K21="","",IF(K21&gt;1,"STRONG BUY",IF(K21&gt;0.3,"BUY",IF(K21&gt;-0.3,"HOLD",IF(K21&gt;-1,"SELL","STRONG SELL"))))),"")</f>
        <v/>
      </c>
      <c r="M21" s="10">
        <f>IFERROR(IF(K21="","",IF(J21&lt;&gt;"PASS","SKIP — illiquid",L21)),"")</f>
        <v/>
      </c>
    </row>
    <row r="22">
      <c r="A22" s="10">
        <f>IF(K22="","",RANK(K22,$K$3:$K$27))</f>
        <v/>
      </c>
      <c r="B22" s="25">
        <f>Bonds_Static!A22</f>
        <v/>
      </c>
      <c r="C22" s="25">
        <f>Bonds_Static!C22</f>
        <v/>
      </c>
      <c r="D22" s="26">
        <f>IFERROR(Bonds_Static!G22,"")</f>
        <v/>
      </c>
      <c r="E22" s="36">
        <f>IFERROR(Curve_Fit!F22,"")</f>
        <v/>
      </c>
      <c r="F22" s="36">
        <f>IFERROR(Carry_Roll!M22,"")</f>
        <v/>
      </c>
      <c r="G22" s="36">
        <f>IFERROR(DTS_Carry!G22,"")</f>
        <v/>
      </c>
      <c r="H22" s="36">
        <f>IFERROR(Bonds_Live!K22,"")</f>
        <v/>
      </c>
      <c r="I22" s="34">
        <f>IFERROR(Liquidity_Gate!I22,"")</f>
        <v/>
      </c>
      <c r="J22" s="25">
        <f>IFERROR(Liquidity_Gate!J22,"")</f>
        <v/>
      </c>
      <c r="K22" s="16">
        <f>IFERROR(IF((IFERROR(IF(AND(ISNUMBER(E22),STDEV($E$3:$E$27)&gt;0),Settings!$C$42,0),0)+IFERROR(IF(AND(ISNUMBER(F22),STDEV($F$3:$F$27)&gt;0),Settings!$C$43,0),0)+IFERROR(IF(AND(ISNUMBER(G22),STDEV($G$3:$G$27)&gt;0),Settings!$C$44,0),0)+IFERROR(IF(AND(ISNUMBER(H22),STDEV($H$3:$H$27)&gt;0),Settings!$C$45,0),0)+IFERROR(IF(AND(ISNUMBER(I22),STDEV($I$3:$I$27)&gt;0),Settings!$C$46,0),0))=0,"",(IFERROR(Settings!$C$42*((E22-AVERAGE($E$3:$E$27))/STDEV($E$3:$E$27)),0)+IFERROR(Settings!$C$43*((F22-AVERAGE($F$3:$F$27))/STDEV($F$3:$F$27)),0)+IFERROR(Settings!$C$44*((G22-AVERAGE($G$3:$G$27))/STDEV($G$3:$G$27)),0)+IFERROR(Settings!$C$45*((H22-AVERAGE($H$3:$H$27))/STDEV($H$3:$H$27)),0)+IFERROR(Settings!$C$46*((I22-AVERAGE($I$3:$I$27))/STDEV($I$3:$I$27)),0))/(IFERROR(IF(AND(ISNUMBER(E22),STDEV($E$3:$E$27)&gt;0),Settings!$C$42,0),0)+IFERROR(IF(AND(ISNUMBER(F22),STDEV($F$3:$F$27)&gt;0),Settings!$C$43,0),0)+IFERROR(IF(AND(ISNUMBER(G22),STDEV($G$3:$G$27)&gt;0),Settings!$C$44,0),0)+IFERROR(IF(AND(ISNUMBER(H22),STDEV($H$3:$H$27)&gt;0),Settings!$C$45,0),0)+IFERROR(IF(AND(ISNUMBER(I22),STDEV($I$3:$I$27)&gt;0),Settings!$C$46,0),0))),"")</f>
        <v/>
      </c>
      <c r="L22" s="10">
        <f>IFERROR(IF(K22="","",IF(K22&gt;1,"STRONG BUY",IF(K22&gt;0.3,"BUY",IF(K22&gt;-0.3,"HOLD",IF(K22&gt;-1,"SELL","STRONG SELL"))))),"")</f>
        <v/>
      </c>
      <c r="M22" s="10">
        <f>IFERROR(IF(K22="","",IF(J22&lt;&gt;"PASS","SKIP — illiquid",L22)),"")</f>
        <v/>
      </c>
    </row>
    <row r="23">
      <c r="A23" s="10">
        <f>IF(K23="","",RANK(K23,$K$3:$K$27))</f>
        <v/>
      </c>
      <c r="B23" s="25">
        <f>Bonds_Static!A23</f>
        <v/>
      </c>
      <c r="C23" s="25">
        <f>Bonds_Static!C23</f>
        <v/>
      </c>
      <c r="D23" s="26">
        <f>IFERROR(Bonds_Static!G23,"")</f>
        <v/>
      </c>
      <c r="E23" s="36">
        <f>IFERROR(Curve_Fit!F23,"")</f>
        <v/>
      </c>
      <c r="F23" s="36">
        <f>IFERROR(Carry_Roll!M23,"")</f>
        <v/>
      </c>
      <c r="G23" s="36">
        <f>IFERROR(DTS_Carry!G23,"")</f>
        <v/>
      </c>
      <c r="H23" s="36">
        <f>IFERROR(Bonds_Live!K23,"")</f>
        <v/>
      </c>
      <c r="I23" s="34">
        <f>IFERROR(Liquidity_Gate!I23,"")</f>
        <v/>
      </c>
      <c r="J23" s="25">
        <f>IFERROR(Liquidity_Gate!J23,"")</f>
        <v/>
      </c>
      <c r="K23" s="16">
        <f>IFERROR(IF((IFERROR(IF(AND(ISNUMBER(E23),STDEV($E$3:$E$27)&gt;0),Settings!$C$42,0),0)+IFERROR(IF(AND(ISNUMBER(F23),STDEV($F$3:$F$27)&gt;0),Settings!$C$43,0),0)+IFERROR(IF(AND(ISNUMBER(G23),STDEV($G$3:$G$27)&gt;0),Settings!$C$44,0),0)+IFERROR(IF(AND(ISNUMBER(H23),STDEV($H$3:$H$27)&gt;0),Settings!$C$45,0),0)+IFERROR(IF(AND(ISNUMBER(I23),STDEV($I$3:$I$27)&gt;0),Settings!$C$46,0),0))=0,"",(IFERROR(Settings!$C$42*((E23-AVERAGE($E$3:$E$27))/STDEV($E$3:$E$27)),0)+IFERROR(Settings!$C$43*((F23-AVERAGE($F$3:$F$27))/STDEV($F$3:$F$27)),0)+IFERROR(Settings!$C$44*((G23-AVERAGE($G$3:$G$27))/STDEV($G$3:$G$27)),0)+IFERROR(Settings!$C$45*((H23-AVERAGE($H$3:$H$27))/STDEV($H$3:$H$27)),0)+IFERROR(Settings!$C$46*((I23-AVERAGE($I$3:$I$27))/STDEV($I$3:$I$27)),0))/(IFERROR(IF(AND(ISNUMBER(E23),STDEV($E$3:$E$27)&gt;0),Settings!$C$42,0),0)+IFERROR(IF(AND(ISNUMBER(F23),STDEV($F$3:$F$27)&gt;0),Settings!$C$43,0),0)+IFERROR(IF(AND(ISNUMBER(G23),STDEV($G$3:$G$27)&gt;0),Settings!$C$44,0),0)+IFERROR(IF(AND(ISNUMBER(H23),STDEV($H$3:$H$27)&gt;0),Settings!$C$45,0),0)+IFERROR(IF(AND(ISNUMBER(I23),STDEV($I$3:$I$27)&gt;0),Settings!$C$46,0),0))),"")</f>
        <v/>
      </c>
      <c r="L23" s="10">
        <f>IFERROR(IF(K23="","",IF(K23&gt;1,"STRONG BUY",IF(K23&gt;0.3,"BUY",IF(K23&gt;-0.3,"HOLD",IF(K23&gt;-1,"SELL","STRONG SELL"))))),"")</f>
        <v/>
      </c>
      <c r="M23" s="10">
        <f>IFERROR(IF(K23="","",IF(J23&lt;&gt;"PASS","SKIP — illiquid",L23)),"")</f>
        <v/>
      </c>
    </row>
    <row r="24">
      <c r="A24" s="10">
        <f>IF(K24="","",RANK(K24,$K$3:$K$27))</f>
        <v/>
      </c>
      <c r="B24" s="25">
        <f>Bonds_Static!A24</f>
        <v/>
      </c>
      <c r="C24" s="25">
        <f>Bonds_Static!C24</f>
        <v/>
      </c>
      <c r="D24" s="26">
        <f>IFERROR(Bonds_Static!G24,"")</f>
        <v/>
      </c>
      <c r="E24" s="36">
        <f>IFERROR(Curve_Fit!F24,"")</f>
        <v/>
      </c>
      <c r="F24" s="36">
        <f>IFERROR(Carry_Roll!M24,"")</f>
        <v/>
      </c>
      <c r="G24" s="36">
        <f>IFERROR(DTS_Carry!G24,"")</f>
        <v/>
      </c>
      <c r="H24" s="36">
        <f>IFERROR(Bonds_Live!K24,"")</f>
        <v/>
      </c>
      <c r="I24" s="34">
        <f>IFERROR(Liquidity_Gate!I24,"")</f>
        <v/>
      </c>
      <c r="J24" s="25">
        <f>IFERROR(Liquidity_Gate!J24,"")</f>
        <v/>
      </c>
      <c r="K24" s="16">
        <f>IFERROR(IF((IFERROR(IF(AND(ISNUMBER(E24),STDEV($E$3:$E$27)&gt;0),Settings!$C$42,0),0)+IFERROR(IF(AND(ISNUMBER(F24),STDEV($F$3:$F$27)&gt;0),Settings!$C$43,0),0)+IFERROR(IF(AND(ISNUMBER(G24),STDEV($G$3:$G$27)&gt;0),Settings!$C$44,0),0)+IFERROR(IF(AND(ISNUMBER(H24),STDEV($H$3:$H$27)&gt;0),Settings!$C$45,0),0)+IFERROR(IF(AND(ISNUMBER(I24),STDEV($I$3:$I$27)&gt;0),Settings!$C$46,0),0))=0,"",(IFERROR(Settings!$C$42*((E24-AVERAGE($E$3:$E$27))/STDEV($E$3:$E$27)),0)+IFERROR(Settings!$C$43*((F24-AVERAGE($F$3:$F$27))/STDEV($F$3:$F$27)),0)+IFERROR(Settings!$C$44*((G24-AVERAGE($G$3:$G$27))/STDEV($G$3:$G$27)),0)+IFERROR(Settings!$C$45*((H24-AVERAGE($H$3:$H$27))/STDEV($H$3:$H$27)),0)+IFERROR(Settings!$C$46*((I24-AVERAGE($I$3:$I$27))/STDEV($I$3:$I$27)),0))/(IFERROR(IF(AND(ISNUMBER(E24),STDEV($E$3:$E$27)&gt;0),Settings!$C$42,0),0)+IFERROR(IF(AND(ISNUMBER(F24),STDEV($F$3:$F$27)&gt;0),Settings!$C$43,0),0)+IFERROR(IF(AND(ISNUMBER(G24),STDEV($G$3:$G$27)&gt;0),Settings!$C$44,0),0)+IFERROR(IF(AND(ISNUMBER(H24),STDEV($H$3:$H$27)&gt;0),Settings!$C$45,0),0)+IFERROR(IF(AND(ISNUMBER(I24),STDEV($I$3:$I$27)&gt;0),Settings!$C$46,0),0))),"")</f>
        <v/>
      </c>
      <c r="L24" s="10">
        <f>IFERROR(IF(K24="","",IF(K24&gt;1,"STRONG BUY",IF(K24&gt;0.3,"BUY",IF(K24&gt;-0.3,"HOLD",IF(K24&gt;-1,"SELL","STRONG SELL"))))),"")</f>
        <v/>
      </c>
      <c r="M24" s="10">
        <f>IFERROR(IF(K24="","",IF(J24&lt;&gt;"PASS","SKIP — illiquid",L24)),"")</f>
        <v/>
      </c>
    </row>
    <row r="25">
      <c r="A25" s="10">
        <f>IF(K25="","",RANK(K25,$K$3:$K$27))</f>
        <v/>
      </c>
      <c r="B25" s="25">
        <f>Bonds_Static!A25</f>
        <v/>
      </c>
      <c r="C25" s="25">
        <f>Bonds_Static!C25</f>
        <v/>
      </c>
      <c r="D25" s="26">
        <f>IFERROR(Bonds_Static!G25,"")</f>
        <v/>
      </c>
      <c r="E25" s="36">
        <f>IFERROR(Curve_Fit!F25,"")</f>
        <v/>
      </c>
      <c r="F25" s="36">
        <f>IFERROR(Carry_Roll!M25,"")</f>
        <v/>
      </c>
      <c r="G25" s="36">
        <f>IFERROR(DTS_Carry!G25,"")</f>
        <v/>
      </c>
      <c r="H25" s="36">
        <f>IFERROR(Bonds_Live!K25,"")</f>
        <v/>
      </c>
      <c r="I25" s="34">
        <f>IFERROR(Liquidity_Gate!I25,"")</f>
        <v/>
      </c>
      <c r="J25" s="25">
        <f>IFERROR(Liquidity_Gate!J25,"")</f>
        <v/>
      </c>
      <c r="K25" s="16">
        <f>IFERROR(IF((IFERROR(IF(AND(ISNUMBER(E25),STDEV($E$3:$E$27)&gt;0),Settings!$C$42,0),0)+IFERROR(IF(AND(ISNUMBER(F25),STDEV($F$3:$F$27)&gt;0),Settings!$C$43,0),0)+IFERROR(IF(AND(ISNUMBER(G25),STDEV($G$3:$G$27)&gt;0),Settings!$C$44,0),0)+IFERROR(IF(AND(ISNUMBER(H25),STDEV($H$3:$H$27)&gt;0),Settings!$C$45,0),0)+IFERROR(IF(AND(ISNUMBER(I25),STDEV($I$3:$I$27)&gt;0),Settings!$C$46,0),0))=0,"",(IFERROR(Settings!$C$42*((E25-AVERAGE($E$3:$E$27))/STDEV($E$3:$E$27)),0)+IFERROR(Settings!$C$43*((F25-AVERAGE($F$3:$F$27))/STDEV($F$3:$F$27)),0)+IFERROR(Settings!$C$44*((G25-AVERAGE($G$3:$G$27))/STDEV($G$3:$G$27)),0)+IFERROR(Settings!$C$45*((H25-AVERAGE($H$3:$H$27))/STDEV($H$3:$H$27)),0)+IFERROR(Settings!$C$46*((I25-AVERAGE($I$3:$I$27))/STDEV($I$3:$I$27)),0))/(IFERROR(IF(AND(ISNUMBER(E25),STDEV($E$3:$E$27)&gt;0),Settings!$C$42,0),0)+IFERROR(IF(AND(ISNUMBER(F25),STDEV($F$3:$F$27)&gt;0),Settings!$C$43,0),0)+IFERROR(IF(AND(ISNUMBER(G25),STDEV($G$3:$G$27)&gt;0),Settings!$C$44,0),0)+IFERROR(IF(AND(ISNUMBER(H25),STDEV($H$3:$H$27)&gt;0),Settings!$C$45,0),0)+IFERROR(IF(AND(ISNUMBER(I25),STDEV($I$3:$I$27)&gt;0),Settings!$C$46,0),0))),"")</f>
        <v/>
      </c>
      <c r="L25" s="10">
        <f>IFERROR(IF(K25="","",IF(K25&gt;1,"STRONG BUY",IF(K25&gt;0.3,"BUY",IF(K25&gt;-0.3,"HOLD",IF(K25&gt;-1,"SELL","STRONG SELL"))))),"")</f>
        <v/>
      </c>
      <c r="M25" s="10">
        <f>IFERROR(IF(K25="","",IF(J25&lt;&gt;"PASS","SKIP — illiquid",L25)),"")</f>
        <v/>
      </c>
    </row>
    <row r="26">
      <c r="A26" s="10">
        <f>IF(K26="","",RANK(K26,$K$3:$K$27))</f>
        <v/>
      </c>
      <c r="B26" s="25">
        <f>Bonds_Static!A26</f>
        <v/>
      </c>
      <c r="C26" s="25">
        <f>Bonds_Static!C26</f>
        <v/>
      </c>
      <c r="D26" s="26">
        <f>IFERROR(Bonds_Static!G26,"")</f>
        <v/>
      </c>
      <c r="E26" s="36">
        <f>IFERROR(Curve_Fit!F26,"")</f>
        <v/>
      </c>
      <c r="F26" s="36">
        <f>IFERROR(Carry_Roll!M26,"")</f>
        <v/>
      </c>
      <c r="G26" s="36">
        <f>IFERROR(DTS_Carry!G26,"")</f>
        <v/>
      </c>
      <c r="H26" s="36">
        <f>IFERROR(Bonds_Live!K26,"")</f>
        <v/>
      </c>
      <c r="I26" s="34">
        <f>IFERROR(Liquidity_Gate!I26,"")</f>
        <v/>
      </c>
      <c r="J26" s="25">
        <f>IFERROR(Liquidity_Gate!J26,"")</f>
        <v/>
      </c>
      <c r="K26" s="16">
        <f>IFERROR(IF((IFERROR(IF(AND(ISNUMBER(E26),STDEV($E$3:$E$27)&gt;0),Settings!$C$42,0),0)+IFERROR(IF(AND(ISNUMBER(F26),STDEV($F$3:$F$27)&gt;0),Settings!$C$43,0),0)+IFERROR(IF(AND(ISNUMBER(G26),STDEV($G$3:$G$27)&gt;0),Settings!$C$44,0),0)+IFERROR(IF(AND(ISNUMBER(H26),STDEV($H$3:$H$27)&gt;0),Settings!$C$45,0),0)+IFERROR(IF(AND(ISNUMBER(I26),STDEV($I$3:$I$27)&gt;0),Settings!$C$46,0),0))=0,"",(IFERROR(Settings!$C$42*((E26-AVERAGE($E$3:$E$27))/STDEV($E$3:$E$27)),0)+IFERROR(Settings!$C$43*((F26-AVERAGE($F$3:$F$27))/STDEV($F$3:$F$27)),0)+IFERROR(Settings!$C$44*((G26-AVERAGE($G$3:$G$27))/STDEV($G$3:$G$27)),0)+IFERROR(Settings!$C$45*((H26-AVERAGE($H$3:$H$27))/STDEV($H$3:$H$27)),0)+IFERROR(Settings!$C$46*((I26-AVERAGE($I$3:$I$27))/STDEV($I$3:$I$27)),0))/(IFERROR(IF(AND(ISNUMBER(E26),STDEV($E$3:$E$27)&gt;0),Settings!$C$42,0),0)+IFERROR(IF(AND(ISNUMBER(F26),STDEV($F$3:$F$27)&gt;0),Settings!$C$43,0),0)+IFERROR(IF(AND(ISNUMBER(G26),STDEV($G$3:$G$27)&gt;0),Settings!$C$44,0),0)+IFERROR(IF(AND(ISNUMBER(H26),STDEV($H$3:$H$27)&gt;0),Settings!$C$45,0),0)+IFERROR(IF(AND(ISNUMBER(I26),STDEV($I$3:$I$27)&gt;0),Settings!$C$46,0),0))),"")</f>
        <v/>
      </c>
      <c r="L26" s="10">
        <f>IFERROR(IF(K26="","",IF(K26&gt;1,"STRONG BUY",IF(K26&gt;0.3,"BUY",IF(K26&gt;-0.3,"HOLD",IF(K26&gt;-1,"SELL","STRONG SELL"))))),"")</f>
        <v/>
      </c>
      <c r="M26" s="10">
        <f>IFERROR(IF(K26="","",IF(J26&lt;&gt;"PASS","SKIP — illiquid",L26)),"")</f>
        <v/>
      </c>
    </row>
    <row r="27">
      <c r="A27" s="10">
        <f>IF(K27="","",RANK(K27,$K$3:$K$27))</f>
        <v/>
      </c>
      <c r="B27" s="25">
        <f>Bonds_Static!A27</f>
        <v/>
      </c>
      <c r="C27" s="25">
        <f>Bonds_Static!C27</f>
        <v/>
      </c>
      <c r="D27" s="26">
        <f>IFERROR(Bonds_Static!G27,"")</f>
        <v/>
      </c>
      <c r="E27" s="36">
        <f>IFERROR(Curve_Fit!F27,"")</f>
        <v/>
      </c>
      <c r="F27" s="36">
        <f>IFERROR(Carry_Roll!M27,"")</f>
        <v/>
      </c>
      <c r="G27" s="36">
        <f>IFERROR(DTS_Carry!G27,"")</f>
        <v/>
      </c>
      <c r="H27" s="36">
        <f>IFERROR(Bonds_Live!K27,"")</f>
        <v/>
      </c>
      <c r="I27" s="34">
        <f>IFERROR(Liquidity_Gate!I27,"")</f>
        <v/>
      </c>
      <c r="J27" s="25">
        <f>IFERROR(Liquidity_Gate!J27,"")</f>
        <v/>
      </c>
      <c r="K27" s="16">
        <f>IFERROR(IF((IFERROR(IF(AND(ISNUMBER(E27),STDEV($E$3:$E$27)&gt;0),Settings!$C$42,0),0)+IFERROR(IF(AND(ISNUMBER(F27),STDEV($F$3:$F$27)&gt;0),Settings!$C$43,0),0)+IFERROR(IF(AND(ISNUMBER(G27),STDEV($G$3:$G$27)&gt;0),Settings!$C$44,0),0)+IFERROR(IF(AND(ISNUMBER(H27),STDEV($H$3:$H$27)&gt;0),Settings!$C$45,0),0)+IFERROR(IF(AND(ISNUMBER(I27),STDEV($I$3:$I$27)&gt;0),Settings!$C$46,0),0))=0,"",(IFERROR(Settings!$C$42*((E27-AVERAGE($E$3:$E$27))/STDEV($E$3:$E$27)),0)+IFERROR(Settings!$C$43*((F27-AVERAGE($F$3:$F$27))/STDEV($F$3:$F$27)),0)+IFERROR(Settings!$C$44*((G27-AVERAGE($G$3:$G$27))/STDEV($G$3:$G$27)),0)+IFERROR(Settings!$C$45*((H27-AVERAGE($H$3:$H$27))/STDEV($H$3:$H$27)),0)+IFERROR(Settings!$C$46*((I27-AVERAGE($I$3:$I$27))/STDEV($I$3:$I$27)),0))/(IFERROR(IF(AND(ISNUMBER(E27),STDEV($E$3:$E$27)&gt;0),Settings!$C$42,0),0)+IFERROR(IF(AND(ISNUMBER(F27),STDEV($F$3:$F$27)&gt;0),Settings!$C$43,0),0)+IFERROR(IF(AND(ISNUMBER(G27),STDEV($G$3:$G$27)&gt;0),Settings!$C$44,0),0)+IFERROR(IF(AND(ISNUMBER(H27),STDEV($H$3:$H$27)&gt;0),Settings!$C$45,0),0)+IFERROR(IF(AND(ISNUMBER(I27),STDEV($I$3:$I$27)&gt;0),Settings!$C$46,0),0))),"")</f>
        <v/>
      </c>
      <c r="L27" s="10">
        <f>IFERROR(IF(K27="","",IF(K27&gt;1,"STRONG BUY",IF(K27&gt;0.3,"BUY",IF(K27&gt;-0.3,"HOLD",IF(K27&gt;-1,"SELL","STRONG SELL"))))),"")</f>
        <v/>
      </c>
      <c r="M27" s="10">
        <f>IFERROR(IF(K27="","",IF(J27&lt;&gt;"PASS","SKIP — illiquid",L27)),"")</f>
        <v/>
      </c>
    </row>
  </sheetData>
  <conditionalFormatting sqref="K3:K2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2:O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7" customWidth="1" min="2" max="2"/>
    <col width="18" customWidth="1" min="3" max="3"/>
    <col width="30" customWidth="1" min="4" max="4"/>
    <col width="9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3" customWidth="1" min="11" max="11"/>
    <col width="11" customWidth="1" min="12" max="12"/>
    <col width="14" customWidth="1" min="13" max="13"/>
    <col width="11" customWidth="1" min="14" max="14"/>
    <col width="13" customWidth="1" min="15" max="15"/>
  </cols>
  <sheetData>
    <row r="2">
      <c r="B2" s="4" t="inlineStr">
        <is>
          <t>Trade Recommendations — quantified expected return</t>
        </is>
      </c>
    </row>
    <row r="4">
      <c r="B4" s="39" t="inlineStr">
        <is>
          <t>Longs / Shorts: top 3 composite-z (must PASS liquidity gate). Sized TR = central-view TR × MOVE regime size scalar.</t>
        </is>
      </c>
    </row>
    <row r="6">
      <c r="B6" s="5" t="inlineStr">
        <is>
          <t>TOP 3 LONG IDEAS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7" t="n"/>
    </row>
    <row r="7" ht="32" customHeight="1">
      <c r="B7" s="21" t="inlineStr">
        <is>
          <t>#</t>
        </is>
      </c>
      <c r="C7" s="21" t="inlineStr">
        <is>
          <t>ISIN</t>
        </is>
      </c>
      <c r="D7" s="21" t="inlineStr">
        <is>
          <t>Description</t>
        </is>
      </c>
      <c r="E7" s="21" t="inlineStr">
        <is>
          <t>τ</t>
        </is>
      </c>
      <c r="F7" s="21" t="inlineStr">
        <is>
          <t>Residual (bp)</t>
        </is>
      </c>
      <c r="G7" s="21" t="inlineStr">
        <is>
          <t>MDur</t>
        </is>
      </c>
      <c r="H7" s="21" t="inlineStr">
        <is>
          <t>12M C+R (%)</t>
        </is>
      </c>
      <c r="I7" s="21" t="inlineStr">
        <is>
          <t>12M TR base</t>
        </is>
      </c>
      <c r="J7" s="21" t="inlineStr">
        <is>
          <t>12M TR central view</t>
        </is>
      </c>
      <c r="K7" s="21" t="inlineStr">
        <is>
          <t>Outperf vs EMBI (%)</t>
        </is>
      </c>
      <c r="L7" s="21" t="inlineStr">
        <is>
          <t>Action</t>
        </is>
      </c>
      <c r="M7" s="21" t="inlineStr">
        <is>
          <t>Composite z</t>
        </is>
      </c>
      <c r="N7" s="21" t="inlineStr">
        <is>
          <t>Size scalar</t>
        </is>
      </c>
      <c r="O7" s="21" t="inlineStr">
        <is>
          <t>Sized 12M TR (%)</t>
        </is>
      </c>
    </row>
    <row r="8">
      <c r="B8" s="28" t="n">
        <v>1</v>
      </c>
      <c r="C8" s="10">
        <f>IFERROR(INDEX(Rich_Cheap_Rank!B$3:B$27,MATCH(M8,Rich_Cheap_Rank!K$3:K$27,0)),"")</f>
        <v/>
      </c>
      <c r="D8" s="10">
        <f>IFERROR(INDEX(Bonds_Static!C3:C27,MATCH($C8,Bonds_Static!A3:A27,0)),"")</f>
        <v/>
      </c>
      <c r="E8" s="23">
        <f>IFERROR(INDEX(Bonds_Static!G3:G27,MATCH($C8,Bonds_Static!A3:A27,0)),"")</f>
        <v/>
      </c>
      <c r="F8" s="16">
        <f>IFERROR(INDEX(Curve_Fit!F3:F27,MATCH($C8,Curve_Fit!A3:A27,0)),"")</f>
        <v/>
      </c>
      <c r="G8" s="16">
        <f>IFERROR(INDEX(Bonds_Live!Q3:Q27,MATCH($C8,Bonds_Live!A3:A27,0)),"")</f>
        <v/>
      </c>
      <c r="H8" s="16">
        <f>IFERROR(INDEX(Carry_Roll!M3:M27,MATCH($C8,Carry_Roll!A3:A27,0)),"")</f>
        <v/>
      </c>
      <c r="I8" s="16">
        <f>IFERROR(H8,"")</f>
        <v/>
      </c>
      <c r="J8" s="16">
        <f>IFERROR(H8+(-G8*(Settings!$C$30+Settings!$C$31)/100+IFERROR(INDEX(Bonds_Live!S3:S27,MATCH($C8,Bonds_Live!A3:A27,0)),0)*POWER(Settings!$C$30+Settings!$C$31,2)/2000000),"")</f>
        <v/>
      </c>
      <c r="K8" s="16">
        <f>IFERROR(INDEX(Peer_EMBI_Bench!J24:J48,MATCH($C8,Peer_EMBI_Bench!E24:E48,0)),"")</f>
        <v/>
      </c>
      <c r="L8" s="10">
        <f>IFERROR(INDEX(Rich_Cheap_Rank!M$3:M$27,MATCH($C8,Rich_Cheap_Rank!B$3:B$27,0)),"")</f>
        <v/>
      </c>
      <c r="M8" s="16">
        <f>IFERROR(LARGE(IF(Rich_Cheap_Rank!J$3:J$27="PASS",Rich_Cheap_Rank!K$3:K$27),1),"")</f>
        <v/>
      </c>
      <c r="N8" s="38">
        <f>IFERROR(UST_Curve!C26,1)</f>
        <v/>
      </c>
      <c r="O8" s="16">
        <f>IFERROR(J8*N8,"")</f>
        <v/>
      </c>
    </row>
    <row r="9">
      <c r="B9" s="28" t="n">
        <v>2</v>
      </c>
      <c r="C9" s="10">
        <f>IFERROR(INDEX(Rich_Cheap_Rank!B$3:B$27,MATCH(M9,Rich_Cheap_Rank!K$3:K$27,0)),"")</f>
        <v/>
      </c>
      <c r="D9" s="10">
        <f>IFERROR(INDEX(Bonds_Static!C3:C27,MATCH($C9,Bonds_Static!A3:A27,0)),"")</f>
        <v/>
      </c>
      <c r="E9" s="23">
        <f>IFERROR(INDEX(Bonds_Static!G3:G27,MATCH($C9,Bonds_Static!A3:A27,0)),"")</f>
        <v/>
      </c>
      <c r="F9" s="16">
        <f>IFERROR(INDEX(Curve_Fit!F3:F27,MATCH($C9,Curve_Fit!A3:A27,0)),"")</f>
        <v/>
      </c>
      <c r="G9" s="16">
        <f>IFERROR(INDEX(Bonds_Live!Q3:Q27,MATCH($C9,Bonds_Live!A3:A27,0)),"")</f>
        <v/>
      </c>
      <c r="H9" s="16">
        <f>IFERROR(INDEX(Carry_Roll!M3:M27,MATCH($C9,Carry_Roll!A3:A27,0)),"")</f>
        <v/>
      </c>
      <c r="I9" s="16">
        <f>IFERROR(H9,"")</f>
        <v/>
      </c>
      <c r="J9" s="16">
        <f>IFERROR(H9+(-G9*(Settings!$C$30+Settings!$C$31)/100+IFERROR(INDEX(Bonds_Live!S3:S27,MATCH($C9,Bonds_Live!A3:A27,0)),0)*POWER(Settings!$C$30+Settings!$C$31,2)/2000000),"")</f>
        <v/>
      </c>
      <c r="K9" s="16">
        <f>IFERROR(INDEX(Peer_EMBI_Bench!J24:J48,MATCH($C9,Peer_EMBI_Bench!E24:E48,0)),"")</f>
        <v/>
      </c>
      <c r="L9" s="10">
        <f>IFERROR(INDEX(Rich_Cheap_Rank!M$3:M$27,MATCH($C9,Rich_Cheap_Rank!B$3:B$27,0)),"")</f>
        <v/>
      </c>
      <c r="M9" s="16">
        <f>IFERROR(LARGE(IF(Rich_Cheap_Rank!J$3:J$27="PASS",Rich_Cheap_Rank!K$3:K$27),2),"")</f>
        <v/>
      </c>
      <c r="N9" s="38">
        <f>IFERROR(UST_Curve!C26,1)</f>
        <v/>
      </c>
      <c r="O9" s="16">
        <f>IFERROR(J9*N9,"")</f>
        <v/>
      </c>
    </row>
    <row r="10">
      <c r="B10" s="28" t="n">
        <v>3</v>
      </c>
      <c r="C10" s="10">
        <f>IFERROR(INDEX(Rich_Cheap_Rank!B$3:B$27,MATCH(M10,Rich_Cheap_Rank!K$3:K$27,0)),"")</f>
        <v/>
      </c>
      <c r="D10" s="10">
        <f>IFERROR(INDEX(Bonds_Static!C3:C27,MATCH($C10,Bonds_Static!A3:A27,0)),"")</f>
        <v/>
      </c>
      <c r="E10" s="23">
        <f>IFERROR(INDEX(Bonds_Static!G3:G27,MATCH($C10,Bonds_Static!A3:A27,0)),"")</f>
        <v/>
      </c>
      <c r="F10" s="16">
        <f>IFERROR(INDEX(Curve_Fit!F3:F27,MATCH($C10,Curve_Fit!A3:A27,0)),"")</f>
        <v/>
      </c>
      <c r="G10" s="16">
        <f>IFERROR(INDEX(Bonds_Live!Q3:Q27,MATCH($C10,Bonds_Live!A3:A27,0)),"")</f>
        <v/>
      </c>
      <c r="H10" s="16">
        <f>IFERROR(INDEX(Carry_Roll!M3:M27,MATCH($C10,Carry_Roll!A3:A27,0)),"")</f>
        <v/>
      </c>
      <c r="I10" s="16">
        <f>IFERROR(H10,"")</f>
        <v/>
      </c>
      <c r="J10" s="16">
        <f>IFERROR(H10+(-G10*(Settings!$C$30+Settings!$C$31)/100+IFERROR(INDEX(Bonds_Live!S3:S27,MATCH($C10,Bonds_Live!A3:A27,0)),0)*POWER(Settings!$C$30+Settings!$C$31,2)/2000000),"")</f>
        <v/>
      </c>
      <c r="K10" s="16">
        <f>IFERROR(INDEX(Peer_EMBI_Bench!J24:J48,MATCH($C10,Peer_EMBI_Bench!E24:E48,0)),"")</f>
        <v/>
      </c>
      <c r="L10" s="10">
        <f>IFERROR(INDEX(Rich_Cheap_Rank!M$3:M$27,MATCH($C10,Rich_Cheap_Rank!B$3:B$27,0)),"")</f>
        <v/>
      </c>
      <c r="M10" s="16">
        <f>IFERROR(LARGE(IF(Rich_Cheap_Rank!J$3:J$27="PASS",Rich_Cheap_Rank!K$3:K$27),3),"")</f>
        <v/>
      </c>
      <c r="N10" s="38">
        <f>IFERROR(UST_Curve!C26,1)</f>
        <v/>
      </c>
      <c r="O10" s="16">
        <f>IFERROR(J10*N10,"")</f>
        <v/>
      </c>
    </row>
    <row r="12">
      <c r="B12" s="5" t="inlineStr">
        <is>
          <t>TOP 3 SHORT IDEAS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</row>
    <row r="13" ht="32" customHeight="1">
      <c r="B13" s="21" t="inlineStr">
        <is>
          <t>#</t>
        </is>
      </c>
      <c r="C13" s="21" t="inlineStr">
        <is>
          <t>ISIN</t>
        </is>
      </c>
      <c r="D13" s="21" t="inlineStr">
        <is>
          <t>Description</t>
        </is>
      </c>
      <c r="E13" s="21" t="inlineStr">
        <is>
          <t>τ</t>
        </is>
      </c>
      <c r="F13" s="21" t="inlineStr">
        <is>
          <t>Residual (bp)</t>
        </is>
      </c>
      <c r="G13" s="21" t="inlineStr">
        <is>
          <t>MDur</t>
        </is>
      </c>
      <c r="H13" s="21" t="inlineStr">
        <is>
          <t>12M C+R (%)</t>
        </is>
      </c>
      <c r="I13" s="21" t="inlineStr">
        <is>
          <t>12M TR base</t>
        </is>
      </c>
      <c r="J13" s="21" t="inlineStr">
        <is>
          <t>12M TR central view</t>
        </is>
      </c>
      <c r="K13" s="21" t="inlineStr">
        <is>
          <t>Outperf vs EMBI (%)</t>
        </is>
      </c>
      <c r="L13" s="21" t="inlineStr">
        <is>
          <t>Action</t>
        </is>
      </c>
      <c r="M13" s="21" t="inlineStr">
        <is>
          <t>Composite z</t>
        </is>
      </c>
      <c r="N13" s="21" t="inlineStr">
        <is>
          <t>Size scalar</t>
        </is>
      </c>
      <c r="O13" s="21" t="inlineStr">
        <is>
          <t>Sized 12M TR (%)</t>
        </is>
      </c>
    </row>
    <row r="14">
      <c r="B14" s="28" t="n">
        <v>1</v>
      </c>
      <c r="C14" s="10">
        <f>IFERROR(INDEX(Rich_Cheap_Rank!B$3:B$27,MATCH(M14,Rich_Cheap_Rank!K$3:K$27,0)),"")</f>
        <v/>
      </c>
      <c r="D14" s="10">
        <f>IFERROR(INDEX(Bonds_Static!C3:C27,MATCH($C14,Bonds_Static!A3:A27,0)),"")</f>
        <v/>
      </c>
      <c r="E14" s="23">
        <f>IFERROR(INDEX(Bonds_Static!G3:G27,MATCH($C14,Bonds_Static!A3:A27,0)),"")</f>
        <v/>
      </c>
      <c r="F14" s="16">
        <f>IFERROR(INDEX(Curve_Fit!F3:F27,MATCH($C14,Curve_Fit!A3:A27,0)),"")</f>
        <v/>
      </c>
      <c r="G14" s="16">
        <f>IFERROR(INDEX(Bonds_Live!Q3:Q27,MATCH($C14,Bonds_Live!A3:A27,0)),"")</f>
        <v/>
      </c>
      <c r="H14" s="16">
        <f>IFERROR(INDEX(Carry_Roll!M3:M27,MATCH($C14,Carry_Roll!A3:A27,0)),"")</f>
        <v/>
      </c>
      <c r="I14" s="16">
        <f>IFERROR(-H14,"")</f>
        <v/>
      </c>
      <c r="J14" s="16">
        <f>IFERROR(-H14-(-G14*(Settings!$C$30+Settings!$C$31)/100+IFERROR(INDEX(Bonds_Live!S3:S27,MATCH($C14,Bonds_Live!A3:A27,0)),0)*POWER(Settings!$C$30+Settings!$C$31,2)/2000000),"")</f>
        <v/>
      </c>
      <c r="K14" s="16">
        <f>IFERROR(-INDEX(Peer_EMBI_Bench!J24:J48,MATCH($C14,Peer_EMBI_Bench!E24:E48,0)),"")</f>
        <v/>
      </c>
      <c r="L14" s="10">
        <f>IFERROR(INDEX(Rich_Cheap_Rank!M$3:M$27,MATCH($C14,Rich_Cheap_Rank!B$3:B$27,0)),"")</f>
        <v/>
      </c>
      <c r="M14" s="16">
        <f>IFERROR(SMALL(IF(Rich_Cheap_Rank!J$3:J$27="PASS",Rich_Cheap_Rank!K$3:K$27),1),"")</f>
        <v/>
      </c>
      <c r="N14" s="38">
        <f>IFERROR(UST_Curve!C26,1)</f>
        <v/>
      </c>
      <c r="O14" s="16">
        <f>IFERROR(J14*N14,"")</f>
        <v/>
      </c>
    </row>
    <row r="15">
      <c r="B15" s="28" t="n">
        <v>2</v>
      </c>
      <c r="C15" s="10">
        <f>IFERROR(INDEX(Rich_Cheap_Rank!B$3:B$27,MATCH(M15,Rich_Cheap_Rank!K$3:K$27,0)),"")</f>
        <v/>
      </c>
      <c r="D15" s="10">
        <f>IFERROR(INDEX(Bonds_Static!C3:C27,MATCH($C15,Bonds_Static!A3:A27,0)),"")</f>
        <v/>
      </c>
      <c r="E15" s="23">
        <f>IFERROR(INDEX(Bonds_Static!G3:G27,MATCH($C15,Bonds_Static!A3:A27,0)),"")</f>
        <v/>
      </c>
      <c r="F15" s="16">
        <f>IFERROR(INDEX(Curve_Fit!F3:F27,MATCH($C15,Curve_Fit!A3:A27,0)),"")</f>
        <v/>
      </c>
      <c r="G15" s="16">
        <f>IFERROR(INDEX(Bonds_Live!Q3:Q27,MATCH($C15,Bonds_Live!A3:A27,0)),"")</f>
        <v/>
      </c>
      <c r="H15" s="16">
        <f>IFERROR(INDEX(Carry_Roll!M3:M27,MATCH($C15,Carry_Roll!A3:A27,0)),"")</f>
        <v/>
      </c>
      <c r="I15" s="16">
        <f>IFERROR(-H15,"")</f>
        <v/>
      </c>
      <c r="J15" s="16">
        <f>IFERROR(-H15-(-G15*(Settings!$C$30+Settings!$C$31)/100+IFERROR(INDEX(Bonds_Live!S3:S27,MATCH($C15,Bonds_Live!A3:A27,0)),0)*POWER(Settings!$C$30+Settings!$C$31,2)/2000000),"")</f>
        <v/>
      </c>
      <c r="K15" s="16">
        <f>IFERROR(-INDEX(Peer_EMBI_Bench!J24:J48,MATCH($C15,Peer_EMBI_Bench!E24:E48,0)),"")</f>
        <v/>
      </c>
      <c r="L15" s="10">
        <f>IFERROR(INDEX(Rich_Cheap_Rank!M$3:M$27,MATCH($C15,Rich_Cheap_Rank!B$3:B$27,0)),"")</f>
        <v/>
      </c>
      <c r="M15" s="16">
        <f>IFERROR(SMALL(IF(Rich_Cheap_Rank!J$3:J$27="PASS",Rich_Cheap_Rank!K$3:K$27),2),"")</f>
        <v/>
      </c>
      <c r="N15" s="38">
        <f>IFERROR(UST_Curve!C26,1)</f>
        <v/>
      </c>
      <c r="O15" s="16">
        <f>IFERROR(J15*N15,"")</f>
        <v/>
      </c>
    </row>
    <row r="16">
      <c r="B16" s="28" t="n">
        <v>3</v>
      </c>
      <c r="C16" s="10">
        <f>IFERROR(INDEX(Rich_Cheap_Rank!B$3:B$27,MATCH(M16,Rich_Cheap_Rank!K$3:K$27,0)),"")</f>
        <v/>
      </c>
      <c r="D16" s="10">
        <f>IFERROR(INDEX(Bonds_Static!C3:C27,MATCH($C16,Bonds_Static!A3:A27,0)),"")</f>
        <v/>
      </c>
      <c r="E16" s="23">
        <f>IFERROR(INDEX(Bonds_Static!G3:G27,MATCH($C16,Bonds_Static!A3:A27,0)),"")</f>
        <v/>
      </c>
      <c r="F16" s="16">
        <f>IFERROR(INDEX(Curve_Fit!F3:F27,MATCH($C16,Curve_Fit!A3:A27,0)),"")</f>
        <v/>
      </c>
      <c r="G16" s="16">
        <f>IFERROR(INDEX(Bonds_Live!Q3:Q27,MATCH($C16,Bonds_Live!A3:A27,0)),"")</f>
        <v/>
      </c>
      <c r="H16" s="16">
        <f>IFERROR(INDEX(Carry_Roll!M3:M27,MATCH($C16,Carry_Roll!A3:A27,0)),"")</f>
        <v/>
      </c>
      <c r="I16" s="16">
        <f>IFERROR(-H16,"")</f>
        <v/>
      </c>
      <c r="J16" s="16">
        <f>IFERROR(-H16-(-G16*(Settings!$C$30+Settings!$C$31)/100+IFERROR(INDEX(Bonds_Live!S3:S27,MATCH($C16,Bonds_Live!A3:A27,0)),0)*POWER(Settings!$C$30+Settings!$C$31,2)/2000000),"")</f>
        <v/>
      </c>
      <c r="K16" s="16">
        <f>IFERROR(-INDEX(Peer_EMBI_Bench!J24:J48,MATCH($C16,Peer_EMBI_Bench!E24:E48,0)),"")</f>
        <v/>
      </c>
      <c r="L16" s="10">
        <f>IFERROR(INDEX(Rich_Cheap_Rank!M$3:M$27,MATCH($C16,Rich_Cheap_Rank!B$3:B$27,0)),"")</f>
        <v/>
      </c>
      <c r="M16" s="16">
        <f>IFERROR(SMALL(IF(Rich_Cheap_Rank!J$3:J$27="PASS",Rich_Cheap_Rank!K$3:K$27),3),"")</f>
        <v/>
      </c>
      <c r="N16" s="38">
        <f>IFERROR(UST_Curve!C26,1)</f>
        <v/>
      </c>
      <c r="O16" s="16">
        <f>IFERROR(J16*N16,"")</f>
        <v/>
      </c>
    </row>
    <row r="18">
      <c r="B18" s="5" t="inlineStr">
        <is>
          <t>TOP 3 RV PAIRS (Long cheap / Short rich, duration-matched)</t>
        </is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7" t="n"/>
    </row>
    <row r="19" ht="36" customHeight="1">
      <c r="B19" s="21" t="inlineStr">
        <is>
          <t>#</t>
        </is>
      </c>
      <c r="C19" s="21" t="inlineStr">
        <is>
          <t>Long ISIN</t>
        </is>
      </c>
      <c r="D19" s="21" t="inlineStr">
        <is>
          <t>Long Desc</t>
        </is>
      </c>
      <c r="E19" s="21" t="inlineStr">
        <is>
          <t>Short ISIN</t>
        </is>
      </c>
      <c r="F19" s="21" t="inlineStr">
        <is>
          <t>Short Desc</t>
        </is>
      </c>
      <c r="G19" s="21" t="inlineStr">
        <is>
          <t>Long τ</t>
        </is>
      </c>
      <c r="H19" s="21" t="inlineStr">
        <is>
          <t>Short τ</t>
        </is>
      </c>
      <c r="I19" s="21" t="inlineStr">
        <is>
          <t>Long MDur</t>
        </is>
      </c>
      <c r="J19" s="21" t="inlineStr">
        <is>
          <t>Short MDur</t>
        </is>
      </c>
      <c r="K19" s="21" t="inlineStr">
        <is>
          <t>Residual diff (bp, L-S)</t>
        </is>
      </c>
      <c r="L19" s="21" t="inlineStr">
        <is>
          <t>DV01-neutral hedge ratio</t>
        </is>
      </c>
      <c r="M19" s="21" t="inlineStr">
        <is>
          <t>Expected 12M PnL (% of long notional)</t>
        </is>
      </c>
    </row>
    <row r="20">
      <c r="B20" s="28" t="n">
        <v>1</v>
      </c>
      <c r="C20" s="25">
        <f>C8</f>
        <v/>
      </c>
      <c r="D20" s="25">
        <f>D8</f>
        <v/>
      </c>
      <c r="E20" s="25">
        <f>C14</f>
        <v/>
      </c>
      <c r="F20" s="25">
        <f>D14</f>
        <v/>
      </c>
      <c r="G20" s="26">
        <f>E8</f>
        <v/>
      </c>
      <c r="H20" s="26">
        <f>E14</f>
        <v/>
      </c>
      <c r="I20" s="36">
        <f>G8</f>
        <v/>
      </c>
      <c r="J20" s="36">
        <f>G14</f>
        <v/>
      </c>
      <c r="K20" s="16">
        <f>IFERROR(F8-F14,"")</f>
        <v/>
      </c>
      <c r="L20" s="40">
        <f>IFERROR(I20/J20,"")</f>
        <v/>
      </c>
      <c r="M20" s="16">
        <f>IFERROR(K20/2/100,"")</f>
        <v/>
      </c>
    </row>
    <row r="21">
      <c r="B21" s="28" t="n">
        <v>2</v>
      </c>
      <c r="C21" s="25">
        <f>C9</f>
        <v/>
      </c>
      <c r="D21" s="25">
        <f>D9</f>
        <v/>
      </c>
      <c r="E21" s="25">
        <f>C15</f>
        <v/>
      </c>
      <c r="F21" s="25">
        <f>D15</f>
        <v/>
      </c>
      <c r="G21" s="26">
        <f>E9</f>
        <v/>
      </c>
      <c r="H21" s="26">
        <f>E15</f>
        <v/>
      </c>
      <c r="I21" s="36">
        <f>G9</f>
        <v/>
      </c>
      <c r="J21" s="36">
        <f>G15</f>
        <v/>
      </c>
      <c r="K21" s="16">
        <f>IFERROR(F9-F15,"")</f>
        <v/>
      </c>
      <c r="L21" s="40">
        <f>IFERROR(I21/J21,"")</f>
        <v/>
      </c>
      <c r="M21" s="16">
        <f>IFERROR(K21/2/100,"")</f>
        <v/>
      </c>
    </row>
    <row r="22">
      <c r="B22" s="28" t="n">
        <v>3</v>
      </c>
      <c r="C22" s="25">
        <f>C10</f>
        <v/>
      </c>
      <c r="D22" s="25">
        <f>D10</f>
        <v/>
      </c>
      <c r="E22" s="25">
        <f>C16</f>
        <v/>
      </c>
      <c r="F22" s="25">
        <f>D16</f>
        <v/>
      </c>
      <c r="G22" s="26">
        <f>E10</f>
        <v/>
      </c>
      <c r="H22" s="26">
        <f>E16</f>
        <v/>
      </c>
      <c r="I22" s="36">
        <f>G10</f>
        <v/>
      </c>
      <c r="J22" s="36">
        <f>G16</f>
        <v/>
      </c>
      <c r="K22" s="16">
        <f>IFERROR(F10-F16,"")</f>
        <v/>
      </c>
      <c r="L22" s="40">
        <f>IFERROR(I22/J22,"")</f>
        <v/>
      </c>
      <c r="M22" s="16">
        <f>IFERROR(K22/2/100,"")</f>
        <v/>
      </c>
    </row>
    <row r="24">
      <c r="B24" s="33" t="inlineStr">
        <is>
          <t>TR ≈ Carry + Roll − MDur×Δy + ½·Conv·Δy². Δy = Settings!C30 + Settings!C31. Sized TR = central TR × MOVE scalar (UST_Curve).</t>
        </is>
      </c>
    </row>
    <row r="25"/>
  </sheetData>
  <mergeCells count="5">
    <mergeCell ref="B18:O18"/>
    <mergeCell ref="B4:O4"/>
    <mergeCell ref="B12:O12"/>
    <mergeCell ref="B6:O6"/>
    <mergeCell ref="B24:O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2026-05-11T17:28:17Z</dcterms:created>
  <dcterms:modified xmlns:dcterms="http://purl.org/dc/terms/" xmlns:xsi="http://www.w3.org/2001/XMLSchema-instance" xsi:type="dcterms:W3CDTF">2026-05-11T17:28:17Z</dcterms:modified>
</cp:coreProperties>
</file>