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ME" sheetId="1" state="visible" r:id="rId1"/>
    <sheet xmlns:r="http://schemas.openxmlformats.org/officeDocument/2006/relationships" name="01 SETTINGS" sheetId="2" state="visible" r:id="rId2"/>
    <sheet xmlns:r="http://schemas.openxmlformats.org/officeDocument/2006/relationships" name="02 MONITOR" sheetId="3" state="visible" r:id="rId3"/>
    <sheet xmlns:r="http://schemas.openxmlformats.org/officeDocument/2006/relationships" name="03 RANKINGS" sheetId="4" state="visible" r:id="rId4"/>
    <sheet xmlns:r="http://schemas.openxmlformats.org/officeDocument/2006/relationships" name="04 CROSS-ASSET" sheetId="5" state="visible" r:id="rId5"/>
    <sheet xmlns:r="http://schemas.openxmlformats.org/officeDocument/2006/relationships" name="05 PORTFOLIO" sheetId="6" state="visible" r:id="rId6"/>
    <sheet xmlns:r="http://schemas.openxmlformats.org/officeDocument/2006/relationships" name="06 TRADES" sheetId="7" state="visible" r:id="rId7"/>
    <sheet xmlns:r="http://schemas.openxmlformats.org/officeDocument/2006/relationships" name="07 RISK DASH" sheetId="8" state="visible" r:id="rId8"/>
    <sheet xmlns:r="http://schemas.openxmlformats.org/officeDocument/2006/relationships" name="08 METHOD" sheetId="9" state="visible" r:id="rId9"/>
  </sheets>
  <definedNames>
    <definedName name="SETTINGS_LOOK">'01 SETTINGS'!$C$5</definedName>
    <definedName name="SETTINGS_FREQ">'01 SETTINGS'!$C$6</definedName>
    <definedName name="SETTINGS_ZC">'01 SETTINGS'!$C$7</definedName>
    <definedName name="SETTINGS_ZR">'01 SETTINGS'!$C$8</definedName>
    <definedName name="SETTINGS_FXSRC">'01 SETTINGS'!$C$9</definedName>
    <definedName name="SETTINGS_CAP">'01 SETTINGS'!$C$10</definedName>
    <definedName name="SETTINGS_GROSS">'01 SETTINGS'!$C$11</definedName>
    <definedName name="SETTINGS_ZMIN">'01 SETTINGS'!$C$12</definedName>
    <definedName name="_xlnm._FilterDatabase" localSheetId="2" hidden="1">'02 MONITOR'!$B$6:$S$106</definedName>
  </definedNames>
  <calcPr calcId="124519" fullCalcOnLoad="1"/>
</workbook>
</file>

<file path=xl/styles.xml><?xml version="1.0" encoding="utf-8"?>
<styleSheet xmlns="http://schemas.openxmlformats.org/spreadsheetml/2006/main">
  <numFmts count="5">
    <numFmt numFmtId="164" formatCode="$#,##0;($#,##0);&quot;-&quot;"/>
    <numFmt numFmtId="165" formatCode="dd-mmm-yyyy"/>
    <numFmt numFmtId="166" formatCode="#,##0.000"/>
    <numFmt numFmtId="167" formatCode="0.00;(0.00);&quot;-&quot;"/>
    <numFmt numFmtId="168" formatCode="0.0%"/>
  </numFmts>
  <fonts count="11">
    <font>
      <name val="Calibri"/>
      <family val="2"/>
      <color theme="1"/>
      <sz val="11"/>
      <scheme val="minor"/>
    </font>
    <font>
      <name val="Arial"/>
      <b val="1"/>
      <color rgb="00FFFFFF"/>
      <sz val="15"/>
    </font>
    <font>
      <name val="Arial"/>
      <i val="1"/>
      <color rgb="00FFFFFF"/>
      <sz val="9"/>
    </font>
    <font>
      <name val="Arial"/>
      <b val="1"/>
      <color rgb="00FFFFFF"/>
      <sz val="11"/>
    </font>
    <font>
      <name val="Arial"/>
      <sz val="9"/>
    </font>
    <font>
      <name val="Arial"/>
      <b val="1"/>
      <color rgb="00FFFFFF"/>
      <sz val="8.5"/>
    </font>
    <font>
      <name val="Arial"/>
      <b val="1"/>
      <sz val="9"/>
    </font>
    <font>
      <name val="Arial"/>
      <i val="1"/>
      <color rgb="00595959"/>
      <sz val="8"/>
    </font>
    <font>
      <name val="Arial"/>
      <b val="1"/>
      <color rgb="000000FF"/>
      <sz val="9"/>
    </font>
    <font>
      <name val="Consolas"/>
      <color rgb="001F3864"/>
      <sz val="8"/>
    </font>
    <font>
      <name val="Arial"/>
      <b val="1"/>
      <color rgb="001F3864"/>
      <sz val="9.5"/>
    </font>
  </fonts>
  <fills count="12">
    <fill>
      <patternFill/>
    </fill>
    <fill>
      <patternFill patternType="gray125"/>
    </fill>
    <fill>
      <patternFill patternType="solid">
        <fgColor rgb="001F3864"/>
      </patternFill>
    </fill>
    <fill>
      <patternFill patternType="solid">
        <fgColor rgb="002E5C8A"/>
      </patternFill>
    </fill>
    <fill>
      <patternFill patternType="solid">
        <fgColor rgb="00FFF2CC"/>
      </patternFill>
    </fill>
    <fill>
      <patternFill patternType="solid">
        <fgColor rgb="00D9E2F3"/>
      </patternFill>
    </fill>
    <fill>
      <patternFill patternType="solid">
        <fgColor rgb="00EDF2FA"/>
      </patternFill>
    </fill>
    <fill>
      <patternFill patternType="solid">
        <fgColor rgb="00FFC7CE"/>
      </patternFill>
    </fill>
    <fill>
      <patternFill patternType="solid">
        <fgColor rgb="00F2F2F2"/>
      </patternFill>
    </fill>
    <fill>
      <patternFill patternType="solid">
        <fgColor rgb="00FCE4D6"/>
      </patternFill>
    </fill>
    <fill>
      <patternFill patternType="solid">
        <fgColor rgb="00C6EFCE"/>
      </patternFill>
    </fill>
    <fill>
      <patternFill patternType="solid">
        <fgColor rgb="00FDF4F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7" fillId="4" borderId="0" applyAlignment="1" pivotButton="0" quotePrefix="0" xfId="0">
      <alignment vertical="top" wrapText="1"/>
    </xf>
    <xf numFmtId="0" fontId="8" fillId="4" borderId="1" applyAlignment="1" pivotButton="0" quotePrefix="0" xfId="0">
      <alignment horizontal="center" vertical="center"/>
    </xf>
    <xf numFmtId="0" fontId="7" fillId="0" borderId="1" applyAlignment="1" pivotButton="0" quotePrefix="0" xfId="0">
      <alignment vertical="top" wrapText="1"/>
    </xf>
    <xf numFmtId="4" fontId="8" fillId="4" borderId="1" applyAlignment="1" pivotButton="0" quotePrefix="0" xfId="0">
      <alignment horizontal="center" vertical="center"/>
    </xf>
    <xf numFmtId="164" fontId="8" fillId="4" borderId="1" applyAlignment="1" pivotButton="0" quotePrefix="0" xfId="0">
      <alignment horizontal="center" vertical="center"/>
    </xf>
    <xf numFmtId="0" fontId="6" fillId="0" borderId="1" pivotButton="0" quotePrefix="0" xfId="0"/>
    <xf numFmtId="165" fontId="6" fillId="0" borderId="1" applyAlignment="1" pivotButton="0" quotePrefix="0" xfId="0">
      <alignment horizontal="center" vertical="center"/>
    </xf>
    <xf numFmtId="0" fontId="7" fillId="0" borderId="0" applyAlignment="1" pivotButton="0" quotePrefix="0" xfId="0">
      <alignment vertical="top" wrapText="1"/>
    </xf>
    <xf numFmtId="0" fontId="6" fillId="5" borderId="1" applyAlignment="1" pivotButton="0" quotePrefix="0" xfId="0">
      <alignment horizontal="center" vertical="center"/>
    </xf>
    <xf numFmtId="0" fontId="6" fillId="0" borderId="1" applyAlignment="1" pivotButton="0" quotePrefix="0" xfId="0">
      <alignment horizontal="left" vertical="center"/>
    </xf>
    <xf numFmtId="0" fontId="8" fillId="4" borderId="1" applyAlignment="1" pivotButton="0" quotePrefix="0" xfId="0">
      <alignment horizontal="left" vertical="center"/>
    </xf>
    <xf numFmtId="0" fontId="9" fillId="0" borderId="1" applyAlignment="1" pivotButton="0" quotePrefix="0" xfId="0">
      <alignment horizontal="left" vertical="center"/>
    </xf>
    <xf numFmtId="0" fontId="7" fillId="0" borderId="1" applyAlignment="1" pivotButton="0" quotePrefix="0" xfId="0">
      <alignment horizontal="center" vertical="center"/>
    </xf>
    <xf numFmtId="0" fontId="7" fillId="0" borderId="1" applyAlignment="1" pivotButton="0" quotePrefix="0" xfId="0">
      <alignment horizontal="left" vertical="center"/>
    </xf>
    <xf numFmtId="4" fontId="6" fillId="0" borderId="1" applyAlignment="1" pivotButton="0" quotePrefix="0" xfId="0">
      <alignment horizontal="right" vertical="center"/>
    </xf>
    <xf numFmtId="4" fontId="4" fillId="0" borderId="1" applyAlignment="1" pivotButton="0" quotePrefix="0" xfId="0">
      <alignment horizontal="right" vertical="center"/>
    </xf>
    <xf numFmtId="166" fontId="4" fillId="0" borderId="1" applyAlignment="1" pivotButton="0" quotePrefix="0" xfId="0">
      <alignment horizontal="right" vertical="center"/>
    </xf>
    <xf numFmtId="167" fontId="4" fillId="0" borderId="1" applyAlignment="1" pivotButton="0" quotePrefix="0" xfId="0">
      <alignment horizontal="right" vertical="center"/>
    </xf>
    <xf numFmtId="0" fontId="4" fillId="0" borderId="1" applyAlignment="1" pivotButton="0" quotePrefix="0" xfId="0">
      <alignment horizontal="center" vertical="center"/>
    </xf>
    <xf numFmtId="167" fontId="6" fillId="0" borderId="1" applyAlignment="1" pivotButton="0" quotePrefix="0" xfId="0">
      <alignment horizontal="right" vertical="center"/>
    </xf>
    <xf numFmtId="168" fontId="4" fillId="0" borderId="1" applyAlignment="1" pivotButton="0" quotePrefix="0" xfId="0">
      <alignment horizontal="right" vertical="center"/>
    </xf>
    <xf numFmtId="3" fontId="6" fillId="0" borderId="1" applyAlignment="1" pivotButton="0" quotePrefix="0" xfId="0">
      <alignment horizontal="center" vertical="center"/>
    </xf>
    <xf numFmtId="3" fontId="4" fillId="0" borderId="1" applyAlignment="1" pivotButton="0" quotePrefix="0" xfId="0">
      <alignment horizontal="center" vertical="center"/>
    </xf>
    <xf numFmtId="0" fontId="6" fillId="0" borderId="1" applyAlignment="1" pivotButton="0" quotePrefix="0" xfId="0">
      <alignment horizontal="center" vertical="center"/>
    </xf>
    <xf numFmtId="0" fontId="8" fillId="0" borderId="1" applyAlignment="1" pivotButton="0" quotePrefix="0" xfId="0">
      <alignment horizontal="left"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4" borderId="1" applyAlignment="1" pivotButton="0" quotePrefix="0" xfId="0">
      <alignment horizontal="center" vertical="center"/>
    </xf>
    <xf numFmtId="0" fontId="4" fillId="0" borderId="1" applyAlignment="1" pivotButton="0" quotePrefix="0" xfId="0">
      <alignment horizontal="left" vertical="center"/>
    </xf>
    <xf numFmtId="167" fontId="4" fillId="10" borderId="1" applyAlignment="1" pivotButton="0" quotePrefix="0" xfId="0">
      <alignment horizontal="right" vertical="center"/>
    </xf>
    <xf numFmtId="167" fontId="4" fillId="7" borderId="1" applyAlignment="1" pivotButton="0" quotePrefix="0" xfId="0">
      <alignment horizontal="right" vertical="center"/>
    </xf>
    <xf numFmtId="0" fontId="4" fillId="4" borderId="0" applyAlignment="1" pivotButton="0" quotePrefix="0" xfId="0">
      <alignment vertical="top" wrapText="1"/>
    </xf>
    <xf numFmtId="3" fontId="6" fillId="5" borderId="1" applyAlignment="1" pivotButton="0" quotePrefix="0" xfId="0">
      <alignment horizontal="center" vertical="center"/>
    </xf>
    <xf numFmtId="0" fontId="4" fillId="5" borderId="1" applyAlignment="1" pivotButton="0" quotePrefix="0" xfId="0">
      <alignment horizontal="center" vertical="center"/>
    </xf>
    <xf numFmtId="0" fontId="6" fillId="10" borderId="1" applyAlignment="1" pivotButton="0" quotePrefix="0" xfId="0">
      <alignment horizontal="center" vertical="center"/>
    </xf>
    <xf numFmtId="10" fontId="6" fillId="0" borderId="1" applyAlignment="1" pivotButton="0" quotePrefix="0" xfId="0">
      <alignment horizontal="right" vertical="center"/>
    </xf>
    <xf numFmtId="164" fontId="4" fillId="0" borderId="1" applyAlignment="1" pivotButton="0" quotePrefix="0" xfId="0">
      <alignment horizontal="right" vertical="center"/>
    </xf>
    <xf numFmtId="0" fontId="4" fillId="6"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4" borderId="1" applyAlignment="1" pivotButton="0" quotePrefix="0" xfId="0">
      <alignment horizontal="center" vertical="center"/>
    </xf>
    <xf numFmtId="164" fontId="6" fillId="5" borderId="1" applyAlignment="1" pivotButton="0" quotePrefix="0" xfId="0">
      <alignment horizontal="right" vertical="center"/>
    </xf>
    <xf numFmtId="3" fontId="6" fillId="5" borderId="1" applyAlignment="1" pivotButton="0" quotePrefix="0" xfId="0">
      <alignment horizontal="right" vertical="center"/>
    </xf>
    <xf numFmtId="167" fontId="6" fillId="5" borderId="1" applyAlignment="1" pivotButton="0" quotePrefix="0" xfId="0">
      <alignment horizontal="right" vertical="center"/>
    </xf>
    <xf numFmtId="0" fontId="6" fillId="10" borderId="1" applyAlignment="1" pivotButton="0" quotePrefix="0" xfId="0">
      <alignment horizontal="left" vertical="center"/>
    </xf>
    <xf numFmtId="0" fontId="6" fillId="7" borderId="1" applyAlignment="1" pivotButton="0" quotePrefix="0" xfId="0">
      <alignment horizontal="left" vertical="center"/>
    </xf>
    <xf numFmtId="167" fontId="6" fillId="4" borderId="1" applyAlignment="1" pivotButton="0" quotePrefix="0" xfId="0">
      <alignment horizontal="right" vertical="center"/>
    </xf>
    <xf numFmtId="0" fontId="6" fillId="5" borderId="1" applyAlignment="1" pivotButton="0" quotePrefix="0" xfId="0">
      <alignment vertical="top" wrapText="1"/>
    </xf>
    <xf numFmtId="0" fontId="4" fillId="11" borderId="1" applyAlignment="1" pivotButton="0" quotePrefix="0" xfId="0">
      <alignment vertical="top" wrapText="1"/>
    </xf>
    <xf numFmtId="0" fontId="6" fillId="6"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6" fillId="4" borderId="1" applyAlignment="1" pivotButton="0" quotePrefix="0" xfId="0">
      <alignment vertical="top" wrapText="1"/>
    </xf>
    <xf numFmtId="0" fontId="10"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J28"/>
  <sheetViews>
    <sheetView showGridLines="0" workbookViewId="0">
      <selection activeCell="A1" sqref="A1"/>
    </sheetView>
  </sheetViews>
  <sheetFormatPr baseColWidth="8" defaultRowHeight="15"/>
  <cols>
    <col width="3" customWidth="1" min="1" max="1"/>
    <col width="30" customWidth="1" min="2" max="2"/>
    <col width="74" customWidth="1" min="3" max="3"/>
    <col width="52" customWidth="1" min="4" max="4"/>
    <col width="16" customWidth="1" min="5" max="5"/>
    <col width="14" customWidth="1" min="6" max="6"/>
    <col width="14" customWidth="1" min="7" max="7"/>
    <col width="14" customWidth="1" min="8" max="8"/>
    <col width="14" customWidth="1" min="9" max="9"/>
    <col width="14" customWidth="1" min="10" max="10"/>
  </cols>
  <sheetData>
    <row r="1" ht="26" customHeight="1">
      <c r="A1" s="1" t="inlineStr">
        <is>
          <t>GLOBAL MACRO VALUE MONITOR — 100 ASSETS, LIVE FROM BLOOMBERG</t>
        </is>
      </c>
    </row>
    <row r="2" ht="16" customHeight="1">
      <c r="A2" s="2" t="inlineStr">
        <is>
          <t>Cross-sectional value screen with per-asset-class metrics, z-scores, a 50/50 long-short book and paired trades · built 10 October 2026</t>
        </is>
      </c>
    </row>
    <row r="4" ht="18" customHeight="1">
      <c r="A4" s="3" t="inlineStr">
        <is>
          <t>HOW THIS WORKS — READ THIS FIRST</t>
        </is>
      </c>
    </row>
    <row r="5" ht="76" customHeight="1">
      <c r="A5" s="4" t="inlineStr">
        <is>
          <t>Every number in this workbook is EMPTY until you open it on a machine with the Bloomberg Excel add-in. The cells contain live BDP and BDH formulas wrapped in IFERROR, so away from a terminal they show blanks rather than errors. On your terminal they populate and everything downstream — z-scores, rankings, the long-short book, the trade pairs — computes itself.
Open it, let the add-in finish pulling (the history calls take a minute or two), then press Ctrl+Alt+F9 to force a full recalculation. Do that again any morning you want a fresh read.</t>
        </is>
      </c>
    </row>
    <row r="7" ht="18" customHeight="1">
      <c r="A7" s="3" t="inlineStr">
        <is>
          <t>THE FOUR-STEP WORKFLOW</t>
        </is>
      </c>
    </row>
    <row r="8" ht="30" customHeight="1">
      <c r="A8" s="5" t="inlineStr"/>
      <c r="B8" s="5" t="inlineStr">
        <is>
          <t>Step</t>
        </is>
      </c>
      <c r="C8" s="5" t="inlineStr">
        <is>
          <t>What to do</t>
        </is>
      </c>
      <c r="D8" s="5" t="inlineStr">
        <is>
          <t>Why</t>
        </is>
      </c>
      <c r="E8" s="5" t="inlineStr"/>
    </row>
    <row r="9" ht="46" customHeight="1">
      <c r="B9" s="6" t="inlineStr">
        <is>
          <t>1 · Open on Bloomberg</t>
        </is>
      </c>
      <c r="C9" s="7" t="inlineStr">
        <is>
          <t>Open the file, wait for the add-in, then Ctrl+Alt+F9.</t>
        </is>
      </c>
      <c r="D9" s="7" t="inlineStr">
        <is>
          <t>Two BDH history calls per instrument. 100 instruments. Give it a minute.</t>
        </is>
      </c>
      <c r="E9" s="8" t="n"/>
      <c r="F9" s="8" t="n"/>
      <c r="G9" s="8" t="n"/>
      <c r="H9" s="8" t="n"/>
      <c r="I9" s="8" t="n"/>
      <c r="J9" s="9" t="n"/>
    </row>
    <row r="10" ht="46" customHeight="1">
      <c r="B10" s="6" t="inlineStr">
        <is>
          <t>2 · Fix the tickers</t>
        </is>
      </c>
      <c r="C10" s="7" t="inlineStr">
        <is>
          <t>Go to tab 02 MONITOR, column G. Any row showing CHECK has a ticker Bloomberg did not recognise — overwrite column D with the right one.</t>
        </is>
      </c>
      <c r="D10" s="7" t="inlineStr">
        <is>
          <t>I built this without terminal access, so roughly a third of the tickers are flagged VERIFY — mostly EM govvies, credit indices and a few commodity contracts. Column G turns that into a five-minute job instead of a hidden flaw.</t>
        </is>
      </c>
      <c r="E10" s="8" t="n"/>
      <c r="F10" s="8" t="n"/>
      <c r="G10" s="8" t="n"/>
      <c r="H10" s="8" t="n"/>
      <c r="I10" s="8" t="n"/>
      <c r="J10" s="9" t="n"/>
    </row>
    <row r="11" ht="46" customHeight="1">
      <c r="B11" s="6" t="inlineStr">
        <is>
          <t>3 · Set your lookback</t>
        </is>
      </c>
      <c r="C11" s="7" t="inlineStr">
        <is>
          <t>Tab 01 SETTINGS. Default is 10 years of weekly data.</t>
        </is>
      </c>
      <c r="D11" s="7" t="inlineStr">
        <is>
          <t>A z-score is meaningless without its window. 10y spans a full cycle; 5y is more responsive and more regime-contaminated. Run both.</t>
        </is>
      </c>
      <c r="E11" s="8" t="n"/>
      <c r="F11" s="8" t="n"/>
      <c r="G11" s="8" t="n"/>
      <c r="H11" s="8" t="n"/>
      <c r="I11" s="8" t="n"/>
      <c r="J11" s="9" t="n"/>
    </row>
    <row r="12" ht="46" customHeight="1">
      <c r="B12" s="6" t="inlineStr">
        <is>
          <t>4 · Read in this order</t>
        </is>
      </c>
      <c r="C12" s="7" t="inlineStr">
        <is>
          <t>03 RANKINGS first (within asset class), then 04 CROSS-ASSET, then 05 PORTFOLIO, then 06 TRADES.</t>
        </is>
      </c>
      <c r="D12" s="7" t="inlineStr">
        <is>
          <t>Within-class ranking is the statistically defensible comparison. Cross-asset is interesting and much weaker — the workbook says so where it matters.</t>
        </is>
      </c>
      <c r="E12" s="8" t="n"/>
      <c r="F12" s="8" t="n"/>
      <c r="G12" s="8" t="n"/>
      <c r="H12" s="8" t="n"/>
      <c r="I12" s="8" t="n"/>
      <c r="J12" s="9" t="n"/>
    </row>
    <row r="14" ht="18" customHeight="1">
      <c r="A14" s="3" t="inlineStr">
        <is>
          <t>TAB MAP</t>
        </is>
      </c>
    </row>
    <row r="15" ht="30" customHeight="1">
      <c r="A15" s="5" t="inlineStr"/>
      <c r="B15" s="5" t="inlineStr">
        <is>
          <t>Tab</t>
        </is>
      </c>
      <c r="C15" s="5" t="inlineStr">
        <is>
          <t>What it gives you</t>
        </is>
      </c>
      <c r="D15" s="5" t="inlineStr"/>
      <c r="E15" s="5" t="inlineStr"/>
    </row>
    <row r="16" ht="40" customHeight="1">
      <c r="B16" s="6" t="inlineStr">
        <is>
          <t>01 SETTINGS</t>
        </is>
      </c>
      <c r="C16" s="7" t="inlineStr">
        <is>
          <t>Lookback window, z thresholds, capital, and the one toggle that switches FX value between spot and REER.</t>
        </is>
      </c>
      <c r="D16" s="8" t="n"/>
      <c r="E16" s="8" t="n"/>
      <c r="F16" s="8" t="n"/>
      <c r="G16" s="8" t="n"/>
      <c r="H16" s="8" t="n"/>
      <c r="I16" s="8" t="n"/>
      <c r="J16" s="9" t="n"/>
    </row>
    <row r="17" ht="40" customHeight="1">
      <c r="B17" s="6" t="inlineStr">
        <is>
          <t>02 MONITOR</t>
        </is>
      </c>
      <c r="C17" s="7" t="inlineStr">
        <is>
          <t>The master table. 100 instruments, each with its own valuation metric, mean, standard deviation, z-score, a sign-corrected VALUE SCORE where positive always means cheap, percentile, 1-year momentum, and rank within its asset class.</t>
        </is>
      </c>
      <c r="D17" s="8" t="n"/>
      <c r="E17" s="8" t="n"/>
      <c r="F17" s="8" t="n"/>
      <c r="G17" s="8" t="n"/>
      <c r="H17" s="8" t="n"/>
      <c r="I17" s="8" t="n"/>
      <c r="J17" s="9" t="n"/>
    </row>
    <row r="18" ht="40" customHeight="1">
      <c r="B18" s="6" t="inlineStr">
        <is>
          <t>03 RANKINGS</t>
        </is>
      </c>
      <c r="C18" s="7" t="inlineStr">
        <is>
          <t>Cheapest and most expensive WITHIN each asset class. This is the defensible comparison and the one to trust.</t>
        </is>
      </c>
      <c r="D18" s="8" t="n"/>
      <c r="E18" s="8" t="n"/>
      <c r="F18" s="8" t="n"/>
      <c r="G18" s="8" t="n"/>
      <c r="H18" s="8" t="n"/>
      <c r="I18" s="8" t="n"/>
      <c r="J18" s="9" t="n"/>
    </row>
    <row r="19" ht="40" customHeight="1">
      <c r="B19" s="6" t="inlineStr">
        <is>
          <t>04 CROSS-ASSET</t>
        </is>
      </c>
      <c r="C19" s="7" t="inlineStr">
        <is>
          <t>One global list, cheapest to most expensive, plus the ±2 standard deviation extremes screen you asked for. Read the health warning at the top.</t>
        </is>
      </c>
      <c r="D19" s="8" t="n"/>
      <c r="E19" s="8" t="n"/>
      <c r="F19" s="8" t="n"/>
      <c r="G19" s="8" t="n"/>
      <c r="H19" s="8" t="n"/>
      <c r="I19" s="8" t="n"/>
      <c r="J19" s="9" t="n"/>
    </row>
    <row r="20" ht="40" customHeight="1">
      <c r="B20" s="6" t="inlineStr">
        <is>
          <t>05 PORTFOLIO</t>
        </is>
      </c>
      <c r="C20" s="7" t="inlineStr">
        <is>
          <t>100 positions — 50 long, 50 short — built mechanically from the value scores, risk-weighted, and neutral within every asset class by construction.</t>
        </is>
      </c>
      <c r="D20" s="8" t="n"/>
      <c r="E20" s="8" t="n"/>
      <c r="F20" s="8" t="n"/>
      <c r="G20" s="8" t="n"/>
      <c r="H20" s="8" t="n"/>
      <c r="I20" s="8" t="n"/>
      <c r="J20" s="9" t="n"/>
    </row>
    <row r="21" ht="40" customHeight="1">
      <c r="B21" s="6" t="inlineStr">
        <is>
          <t>06 TRADES</t>
        </is>
      </c>
      <c r="C21" s="7" t="inlineStr">
        <is>
          <t>Eight paired relative-value trades, one per sub-bucket, auto-populated with the cheapest against the richest and a structure note for each.</t>
        </is>
      </c>
      <c r="D21" s="8" t="n"/>
      <c r="E21" s="8" t="n"/>
      <c r="F21" s="8" t="n"/>
      <c r="G21" s="8" t="n"/>
      <c r="H21" s="8" t="n"/>
      <c r="I21" s="8" t="n"/>
      <c r="J21" s="9" t="n"/>
    </row>
    <row r="22" ht="40" customHeight="1">
      <c r="B22" s="6" t="inlineStr">
        <is>
          <t>07 RISK DASH</t>
        </is>
      </c>
      <c r="C22" s="7" t="inlineStr">
        <is>
          <t>Eight regime indicators — VIX, MOVE, CVIX, DXY and others. Context, not positions, and deliberately outside the book.</t>
        </is>
      </c>
      <c r="D22" s="8" t="n"/>
      <c r="E22" s="8" t="n"/>
      <c r="F22" s="8" t="n"/>
      <c r="G22" s="8" t="n"/>
      <c r="H22" s="8" t="n"/>
      <c r="I22" s="8" t="n"/>
      <c r="J22" s="9" t="n"/>
    </row>
    <row r="23" ht="40" customHeight="1">
      <c r="B23" s="6" t="inlineStr">
        <is>
          <t>08 METHOD</t>
        </is>
      </c>
      <c r="C23" s="7" t="inlineStr">
        <is>
          <t>Why each asset class gets the metric it gets, and the four places this screen will mislead you.</t>
        </is>
      </c>
      <c r="D23" s="8" t="n"/>
      <c r="E23" s="8" t="n"/>
      <c r="F23" s="8" t="n"/>
      <c r="G23" s="8" t="n"/>
      <c r="H23" s="8" t="n"/>
      <c r="I23" s="8" t="n"/>
      <c r="J23" s="9" t="n"/>
    </row>
    <row r="25" ht="18" customHeight="1">
      <c r="A25" s="3" t="inlineStr">
        <is>
          <t>THE SIGN CONVENTION THAT MAKES THIS WORK</t>
        </is>
      </c>
    </row>
    <row r="26" ht="98" customHeight="1">
      <c r="A26" s="4" t="inlineStr">
        <is>
          <t>The one piece of plumbing worth understanding. Each asset class is measured on its own metric, and 'high' means opposite things across them — a high forward P/E is expensive, a high bond yield is cheap. So every instrument carries a sign (+1 or −1) that converts its raw z-score into a VALUE SCORE on a single convention:
                    VALUE SCORE  =  raw z-score  ×  sign           →        POSITIVE ALWAYS MEANS CHEAP
Equity forward P/E −1 · Bond yield +1 · Credit spread +1 · Commodity price −1 · FX depends on the quote convention, which is the trap: USDBRL rising means a WEAK real, so high = cheap (+1), while EURUSD rising means a STRONG euro, so high = expensive (−1). Column F on the monitor carries that per currency.</t>
        </is>
      </c>
    </row>
    <row r="28">
      <c r="A28" s="10" t="inlineStr">
        <is>
          <t>Built without Bloomberg access, so every ticker is my best knowledge rather than a verified pull. Column G is the safety net. Nothing here is a recommendation — it is a screen, and a screen is the beginning of the work.</t>
        </is>
      </c>
    </row>
  </sheetData>
  <mergeCells count="21">
    <mergeCell ref="A5:J5"/>
    <mergeCell ref="A14:J14"/>
    <mergeCell ref="D9:J9"/>
    <mergeCell ref="D12:J12"/>
    <mergeCell ref="A4:J4"/>
    <mergeCell ref="A28:J28"/>
    <mergeCell ref="C20:J20"/>
    <mergeCell ref="C16:J16"/>
    <mergeCell ref="D10:J10"/>
    <mergeCell ref="C22:J22"/>
    <mergeCell ref="A1:J1"/>
    <mergeCell ref="C21:J21"/>
    <mergeCell ref="A7:J7"/>
    <mergeCell ref="D11:J11"/>
    <mergeCell ref="C23:J23"/>
    <mergeCell ref="A25:J25"/>
    <mergeCell ref="C17:J17"/>
    <mergeCell ref="A26:J26"/>
    <mergeCell ref="C19:J19"/>
    <mergeCell ref="A2:J2"/>
    <mergeCell ref="C18:J18"/>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595959"/>
    <outlinePr summaryBelow="1" summaryRight="1"/>
    <pageSetUpPr fitToPage="1"/>
  </sheetPr>
  <dimension ref="A1:J16"/>
  <sheetViews>
    <sheetView showGridLines="0" workbookViewId="0">
      <selection activeCell="A1" sqref="A1"/>
    </sheetView>
  </sheetViews>
  <sheetFormatPr baseColWidth="8" defaultRowHeight="15"/>
  <cols>
    <col width="3" customWidth="1" min="1" max="1"/>
    <col width="42" customWidth="1" min="2" max="2"/>
    <col width="18" customWidth="1" min="3" max="3"/>
    <col width="70"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SETTINGS</t>
        </is>
      </c>
    </row>
    <row r="2" ht="16" customHeight="1">
      <c r="A2" s="2" t="inlineStr">
        <is>
          <t>Change these and the entire workbook re-reads. Blue on yellow = input.</t>
        </is>
      </c>
    </row>
    <row r="4" ht="30" customHeight="1">
      <c r="A4" s="5" t="inlineStr"/>
      <c r="B4" s="5" t="inlineStr">
        <is>
          <t>Setting</t>
        </is>
      </c>
      <c r="C4" s="5" t="inlineStr">
        <is>
          <t>Value</t>
        </is>
      </c>
      <c r="D4" s="5" t="inlineStr">
        <is>
          <t>What it does</t>
        </is>
      </c>
      <c r="E4" s="5" t="inlineStr"/>
    </row>
    <row r="5" ht="34" customHeight="1">
      <c r="B5" s="6" t="inlineStr">
        <is>
          <t>Lookback start (Bloomberg relative date)</t>
        </is>
      </c>
      <c r="C5" s="11" t="inlineStr">
        <is>
          <t>-10Y</t>
        </is>
      </c>
      <c r="D5" s="12" t="inlineStr">
        <is>
          <t>Window for the mean and standard deviation. Use -10Y for a full-cycle read, -5Y for a responsive one. Must be a Bloomberg relative date string.</t>
        </is>
      </c>
      <c r="E5" s="8" t="n"/>
      <c r="F5" s="8" t="n"/>
      <c r="G5" s="8" t="n"/>
      <c r="H5" s="8" t="n"/>
      <c r="I5" s="8" t="n"/>
      <c r="J5" s="9" t="n"/>
    </row>
    <row r="6" ht="34" customHeight="1">
      <c r="B6" s="6" t="inlineStr">
        <is>
          <t>Data frequency</t>
        </is>
      </c>
      <c r="C6" s="11" t="inlineStr">
        <is>
          <t>W</t>
        </is>
      </c>
      <c r="D6" s="12" t="inlineStr">
        <is>
          <t>D daily, W weekly, M monthly. Weekly is the right trade-off: 520 points over 10 years, light enough that 200 history calls do not hang the sheet.</t>
        </is>
      </c>
      <c r="E6" s="8" t="n"/>
      <c r="F6" s="8" t="n"/>
      <c r="G6" s="8" t="n"/>
      <c r="H6" s="8" t="n"/>
      <c r="I6" s="8" t="n"/>
      <c r="J6" s="9" t="n"/>
    </row>
    <row r="7" ht="34" customHeight="1">
      <c r="B7" s="6" t="inlineStr">
        <is>
          <t>Cheap threshold (z)</t>
        </is>
      </c>
      <c r="C7" s="13" t="n">
        <v>2</v>
      </c>
      <c r="D7" s="12" t="inlineStr">
        <is>
          <t>Flag an asset CHEAP when its value score is at or above this. 2.0 is the convention; 1.5 gives you a longer list.</t>
        </is>
      </c>
      <c r="E7" s="8" t="n"/>
      <c r="F7" s="8" t="n"/>
      <c r="G7" s="8" t="n"/>
      <c r="H7" s="8" t="n"/>
      <c r="I7" s="8" t="n"/>
      <c r="J7" s="9" t="n"/>
    </row>
    <row r="8" ht="34" customHeight="1">
      <c r="B8" s="6" t="inlineStr">
        <is>
          <t>Rich threshold (z)</t>
        </is>
      </c>
      <c r="C8" s="13" t="n">
        <v>-2</v>
      </c>
      <c r="D8" s="12" t="inlineStr">
        <is>
          <t>Flag RICH at or below this.</t>
        </is>
      </c>
      <c r="E8" s="8" t="n"/>
      <c r="F8" s="8" t="n"/>
      <c r="G8" s="8" t="n"/>
      <c r="H8" s="8" t="n"/>
      <c r="I8" s="8" t="n"/>
      <c r="J8" s="9" t="n"/>
    </row>
    <row r="9" ht="34" customHeight="1">
      <c r="B9" s="6" t="inlineStr">
        <is>
          <t>FX value source</t>
        </is>
      </c>
      <c r="C9" s="11" t="inlineStr">
        <is>
          <t>SPOT</t>
        </is>
      </c>
      <c r="D9" s="12" t="inlineStr">
        <is>
          <t>SPOT uses the 5y/10y z-score of the exchange rate. REER uses the real effective rate tickers in column T of the monitor, which you must supply. REER is the better value measure; SPOT is the one that works out of the box.</t>
        </is>
      </c>
      <c r="E9" s="8" t="n"/>
      <c r="F9" s="8" t="n"/>
      <c r="G9" s="8" t="n"/>
      <c r="H9" s="8" t="n"/>
      <c r="I9" s="8" t="n"/>
      <c r="J9" s="9" t="n"/>
    </row>
    <row r="10" ht="34" customHeight="1">
      <c r="B10" s="6" t="inlineStr">
        <is>
          <t>Gross capital (USD)</t>
        </is>
      </c>
      <c r="C10" s="14" t="n">
        <v>100000000</v>
      </c>
      <c r="D10" s="12" t="inlineStr">
        <is>
          <t>Used only to turn portfolio weights into notional on tab 05.</t>
        </is>
      </c>
      <c r="E10" s="8" t="n"/>
      <c r="F10" s="8" t="n"/>
      <c r="G10" s="8" t="n"/>
      <c r="H10" s="8" t="n"/>
      <c r="I10" s="8" t="n"/>
      <c r="J10" s="9" t="n"/>
    </row>
    <row r="11" ht="34" customHeight="1">
      <c r="B11" s="6" t="inlineStr">
        <is>
          <t>Target gross exposure (x capital)</t>
        </is>
      </c>
      <c r="C11" s="13" t="n">
        <v>2</v>
      </c>
      <c r="D11" s="12" t="inlineStr">
        <is>
          <t>2.0 means $100mn long and $100mn short on $100mn of capital.</t>
        </is>
      </c>
      <c r="E11" s="8" t="n"/>
      <c r="F11" s="8" t="n"/>
      <c r="G11" s="8" t="n"/>
      <c r="H11" s="8" t="n"/>
      <c r="I11" s="8" t="n"/>
      <c r="J11" s="9" t="n"/>
    </row>
    <row r="12" ht="34" customHeight="1">
      <c r="B12" s="6" t="inlineStr">
        <is>
          <t>Minimum |z| to take a position</t>
        </is>
      </c>
      <c r="C12" s="13" t="n">
        <v>0.5</v>
      </c>
      <c r="D12" s="12" t="inlineStr">
        <is>
          <t>Positions inside this band are set to zero weight on tab 05 — do not pay spread for noise.</t>
        </is>
      </c>
      <c r="E12" s="8" t="n"/>
      <c r="F12" s="8" t="n"/>
      <c r="G12" s="8" t="n"/>
      <c r="H12" s="8" t="n"/>
      <c r="I12" s="8" t="n"/>
      <c r="J12" s="9" t="n"/>
    </row>
    <row r="14">
      <c r="B14" s="15" t="inlineStr">
        <is>
          <t>As-of (refreshes on open)</t>
        </is>
      </c>
      <c r="C14" s="16">
        <f>TODAY()</f>
        <v/>
      </c>
    </row>
    <row r="16">
      <c r="A16" s="17" t="inlineStr">
        <is>
          <t>The lookback and frequency cells feed straight into every BDH call on the monitor, so changing them re-pulls all 200 history series. Expect a pause. If the add-in struggles, switch frequency to M before you switch the window.</t>
        </is>
      </c>
    </row>
  </sheetData>
  <mergeCells count="11">
    <mergeCell ref="A1:J1"/>
    <mergeCell ref="D9:J9"/>
    <mergeCell ref="A16:J16"/>
    <mergeCell ref="D12:J12"/>
    <mergeCell ref="D7:J7"/>
    <mergeCell ref="D8:J8"/>
    <mergeCell ref="D6:J6"/>
    <mergeCell ref="D10:J10"/>
    <mergeCell ref="A2:J2"/>
    <mergeCell ref="D11:J11"/>
    <mergeCell ref="D5:J5"/>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U108"/>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28" customWidth="1" min="3" max="3"/>
    <col width="27" customWidth="1" min="4" max="4"/>
    <col width="17" customWidth="1" min="5" max="5"/>
    <col width="9" customWidth="1" min="6" max="6"/>
    <col width="16" customWidth="1" min="7" max="7"/>
    <col width="12" customWidth="1" min="8" max="8"/>
    <col width="12" customWidth="1" min="9" max="9"/>
    <col width="11" customWidth="1" min="10" max="10"/>
    <col width="10" customWidth="1" min="11" max="11"/>
    <col width="7" customWidth="1" min="12" max="12"/>
    <col width="12" customWidth="1" min="13" max="13"/>
    <col width="11" customWidth="1" min="14" max="14"/>
    <col width="11" customWidth="1" min="15" max="15"/>
    <col width="9" customWidth="1" min="16" max="16"/>
    <col width="8" customWidth="1" min="17" max="17"/>
    <col width="12" customWidth="1" min="18" max="18"/>
    <col width="40" customWidth="1" min="19" max="19"/>
    <col width="20" customWidth="1" min="20" max="20"/>
    <col width="11" customWidth="1" min="21" max="21"/>
  </cols>
  <sheetData>
    <row r="1" ht="26" customHeight="1">
      <c r="A1" s="1" t="inlineStr">
        <is>
          <t>MONITOR — 100 GLOBAL MACRO ASSETS</t>
        </is>
      </c>
    </row>
    <row r="2" ht="16" customHeight="1">
      <c r="A2" s="2" t="inlineStr">
        <is>
          <t>Each asset on its own valuation metric. VALUE SCORE is sign-corrected so POSITIVE ALWAYS MEANS CHEAP. Column G flags bad tickers.</t>
        </is>
      </c>
    </row>
    <row r="4">
      <c r="A4" s="17" t="inlineStr">
        <is>
          <t>Blank cells mean no Bloomberg connection. Column G: a name = good ticker; CHECK = Bloomberg did not recognise it, fix column D. Column T is optional — paste a REER ticker there and set FX value source to REER on tab 01 to use it instead of spot.</t>
        </is>
      </c>
    </row>
    <row r="6" ht="30" customHeight="1">
      <c r="A6" s="5" t="inlineStr"/>
      <c r="B6" s="5" t="inlineStr">
        <is>
          <t>Class</t>
        </is>
      </c>
      <c r="C6" s="5" t="inlineStr">
        <is>
          <t>Instrument</t>
        </is>
      </c>
      <c r="D6" s="5" t="inlineStr">
        <is>
          <t>Bloomberg ticker</t>
        </is>
      </c>
      <c r="E6" s="5" t="inlineStr">
        <is>
          <t>Metric field</t>
        </is>
      </c>
      <c r="F6" s="5" t="inlineStr">
        <is>
          <t>Conf.</t>
        </is>
      </c>
      <c r="G6" s="5" t="inlineStr">
        <is>
          <t>Ticker check (BDP NAME)</t>
        </is>
      </c>
      <c r="H6" s="5" t="inlineStr">
        <is>
          <t>Current</t>
        </is>
      </c>
      <c r="I6" s="5" t="inlineStr">
        <is>
          <t>Mean</t>
        </is>
      </c>
      <c r="J6" s="5" t="inlineStr">
        <is>
          <t>Std dev</t>
        </is>
      </c>
      <c r="K6" s="5" t="inlineStr">
        <is>
          <t>Z (raw)</t>
        </is>
      </c>
      <c r="L6" s="5" t="inlineStr">
        <is>
          <t>Sign</t>
        </is>
      </c>
      <c r="M6" s="5" t="inlineStr">
        <is>
          <t>VALUE SCORE (+ = cheap)</t>
        </is>
      </c>
      <c r="N6" s="5" t="inlineStr">
        <is>
          <t>Percentile</t>
        </is>
      </c>
      <c r="O6" s="5" t="inlineStr">
        <is>
          <t>1y chg %</t>
        </is>
      </c>
      <c r="P6" s="5" t="inlineStr">
        <is>
          <t>Rank in class</t>
        </is>
      </c>
      <c r="Q6" s="5" t="inlineStr">
        <is>
          <t>N in class</t>
        </is>
      </c>
      <c r="R6" s="5" t="inlineStr">
        <is>
          <t>Flag</t>
        </is>
      </c>
      <c r="S6" s="5" t="inlineStr">
        <is>
          <t>Metric note / why</t>
        </is>
      </c>
      <c r="T6" s="5" t="inlineStr">
        <is>
          <t>REER ticker (FX only, optional)</t>
        </is>
      </c>
      <c r="U6" s="5" t="inlineStr">
        <is>
          <t>Global rank</t>
        </is>
      </c>
    </row>
    <row r="7">
      <c r="B7" s="18" t="inlineStr">
        <is>
          <t>EQUITY</t>
        </is>
      </c>
      <c r="C7" s="19" t="inlineStr">
        <is>
          <t>US S&amp;P 500</t>
        </is>
      </c>
      <c r="D7" s="20" t="inlineStr">
        <is>
          <t>SPX Index</t>
        </is>
      </c>
      <c r="E7" s="21" t="inlineStr">
        <is>
          <t>BEST_PE_RATIO</t>
        </is>
      </c>
      <c r="F7" s="22" t="inlineStr">
        <is>
          <t>HIGH</t>
        </is>
      </c>
      <c r="G7" s="23">
        <f>IFERROR(IF(BDP($D7,"NAME")="","CHECK",BDP($D7,"NAME")),"CHECK")</f>
        <v/>
      </c>
      <c r="H7" s="24">
        <f>IFERROR(BDP($D7,$E7),"")</f>
        <v/>
      </c>
      <c r="I7" s="25">
        <f>IFERROR(AVERAGE(BDH($D7,$E7,SETTINGS_LOOK,"0D","Days="&amp;SETTINGS_FREQ,"Fill=P")),"")</f>
        <v/>
      </c>
      <c r="J7" s="26">
        <f>IFERROR(STDEV(BDH($D7,$E7,SETTINGS_LOOK,"0D","Days="&amp;SETTINGS_FREQ,"Fill=P")),"")</f>
        <v/>
      </c>
      <c r="K7" s="27">
        <f>IFERROR(($H7-$I7)/$J7,"")</f>
        <v/>
      </c>
      <c r="L7" s="28" t="n">
        <v>-1</v>
      </c>
      <c r="M7" s="29">
        <f>IFERROR($K7*$L7,"")</f>
        <v/>
      </c>
      <c r="N7" s="30">
        <f>IFERROR(NORMSDIST($M7),"")</f>
        <v/>
      </c>
      <c r="O7" s="30">
        <f>IFERROR(BDP($D7,"CHG_PCT_1YR")/100,"")</f>
        <v/>
      </c>
      <c r="P7" s="31">
        <f>IFERROR(SUMPRODUCT(($B$7:$B$106=$B7)*($M$7:$M$106&gt;$M7))+1,"")</f>
        <v/>
      </c>
      <c r="Q7" s="32">
        <f>COUNTIF($B$7:$B$106,$B7)</f>
        <v/>
      </c>
      <c r="R7" s="33">
        <f>IFERROR(IF($M7&gt;=SETTINGS_ZC,"CHEAP",IF($M7&lt;=SETTINGS_ZR,"RICH","-")),"")</f>
        <v/>
      </c>
      <c r="S7" s="12" t="inlineStr">
        <is>
          <t>Forward P/E. High = expensive.</t>
        </is>
      </c>
      <c r="T7" s="34" t="inlineStr"/>
      <c r="U7" s="32">
        <f>IFERROR(SUMPRODUCT(($M$7:$M$106&gt;$M7)*1)+1,"")</f>
        <v/>
      </c>
    </row>
    <row r="8">
      <c r="B8" s="18" t="inlineStr">
        <is>
          <t>EQUITY</t>
        </is>
      </c>
      <c r="C8" s="19" t="inlineStr">
        <is>
          <t>US Nasdaq 100</t>
        </is>
      </c>
      <c r="D8" s="20" t="inlineStr">
        <is>
          <t>NDX Index</t>
        </is>
      </c>
      <c r="E8" s="21" t="inlineStr">
        <is>
          <t>BEST_PE_RATIO</t>
        </is>
      </c>
      <c r="F8" s="22" t="inlineStr">
        <is>
          <t>HIGH</t>
        </is>
      </c>
      <c r="G8" s="23">
        <f>IFERROR(IF(BDP($D8,"NAME")="","CHECK",BDP($D8,"NAME")),"CHECK")</f>
        <v/>
      </c>
      <c r="H8" s="24">
        <f>IFERROR(BDP($D8,$E8),"")</f>
        <v/>
      </c>
      <c r="I8" s="25">
        <f>IFERROR(AVERAGE(BDH($D8,$E8,SETTINGS_LOOK,"0D","Days="&amp;SETTINGS_FREQ,"Fill=P")),"")</f>
        <v/>
      </c>
      <c r="J8" s="26">
        <f>IFERROR(STDEV(BDH($D8,$E8,SETTINGS_LOOK,"0D","Days="&amp;SETTINGS_FREQ,"Fill=P")),"")</f>
        <v/>
      </c>
      <c r="K8" s="27">
        <f>IFERROR(($H8-$I8)/$J8,"")</f>
        <v/>
      </c>
      <c r="L8" s="28" t="n">
        <v>-1</v>
      </c>
      <c r="M8" s="29">
        <f>IFERROR($K8*$L8,"")</f>
        <v/>
      </c>
      <c r="N8" s="30">
        <f>IFERROR(NORMSDIST($M8),"")</f>
        <v/>
      </c>
      <c r="O8" s="30">
        <f>IFERROR(BDP($D8,"CHG_PCT_1YR")/100,"")</f>
        <v/>
      </c>
      <c r="P8" s="31">
        <f>IFERROR(SUMPRODUCT(($B$7:$B$106=$B8)*($M$7:$M$106&gt;$M8))+1,"")</f>
        <v/>
      </c>
      <c r="Q8" s="32">
        <f>COUNTIF($B$7:$B$106,$B8)</f>
        <v/>
      </c>
      <c r="R8" s="33">
        <f>IFERROR(IF($M8&gt;=SETTINGS_ZC,"CHEAP",IF($M8&lt;=SETTINGS_ZR,"RICH","-")),"")</f>
        <v/>
      </c>
      <c r="S8" s="12" t="inlineStr">
        <is>
          <t>Forward P/E. High = expensive.</t>
        </is>
      </c>
      <c r="T8" s="34" t="inlineStr"/>
      <c r="U8" s="32">
        <f>IFERROR(SUMPRODUCT(($M$7:$M$106&gt;$M8)*1)+1,"")</f>
        <v/>
      </c>
    </row>
    <row r="9">
      <c r="B9" s="18" t="inlineStr">
        <is>
          <t>EQUITY</t>
        </is>
      </c>
      <c r="C9" s="19" t="inlineStr">
        <is>
          <t>US Russell 2000</t>
        </is>
      </c>
      <c r="D9" s="20" t="inlineStr">
        <is>
          <t>RTY Index</t>
        </is>
      </c>
      <c r="E9" s="21" t="inlineStr">
        <is>
          <t>BEST_PE_RATIO</t>
        </is>
      </c>
      <c r="F9" s="22" t="inlineStr">
        <is>
          <t>HIGH</t>
        </is>
      </c>
      <c r="G9" s="23">
        <f>IFERROR(IF(BDP($D9,"NAME")="","CHECK",BDP($D9,"NAME")),"CHECK")</f>
        <v/>
      </c>
      <c r="H9" s="24">
        <f>IFERROR(BDP($D9,$E9),"")</f>
        <v/>
      </c>
      <c r="I9" s="25">
        <f>IFERROR(AVERAGE(BDH($D9,$E9,SETTINGS_LOOK,"0D","Days="&amp;SETTINGS_FREQ,"Fill=P")),"")</f>
        <v/>
      </c>
      <c r="J9" s="26">
        <f>IFERROR(STDEV(BDH($D9,$E9,SETTINGS_LOOK,"0D","Days="&amp;SETTINGS_FREQ,"Fill=P")),"")</f>
        <v/>
      </c>
      <c r="K9" s="27">
        <f>IFERROR(($H9-$I9)/$J9,"")</f>
        <v/>
      </c>
      <c r="L9" s="28" t="n">
        <v>-1</v>
      </c>
      <c r="M9" s="29">
        <f>IFERROR($K9*$L9,"")</f>
        <v/>
      </c>
      <c r="N9" s="30">
        <f>IFERROR(NORMSDIST($M9),"")</f>
        <v/>
      </c>
      <c r="O9" s="30">
        <f>IFERROR(BDP($D9,"CHG_PCT_1YR")/100,"")</f>
        <v/>
      </c>
      <c r="P9" s="31">
        <f>IFERROR(SUMPRODUCT(($B$7:$B$106=$B9)*($M$7:$M$106&gt;$M9))+1,"")</f>
        <v/>
      </c>
      <c r="Q9" s="32">
        <f>COUNTIF($B$7:$B$106,$B9)</f>
        <v/>
      </c>
      <c r="R9" s="33">
        <f>IFERROR(IF($M9&gt;=SETTINGS_ZC,"CHEAP",IF($M9&lt;=SETTINGS_ZR,"RICH","-")),"")</f>
        <v/>
      </c>
      <c r="S9" s="12" t="inlineStr">
        <is>
          <t>Forward P/E. High = expensive.</t>
        </is>
      </c>
      <c r="T9" s="34" t="inlineStr"/>
      <c r="U9" s="32">
        <f>IFERROR(SUMPRODUCT(($M$7:$M$106&gt;$M9)*1)+1,"")</f>
        <v/>
      </c>
    </row>
    <row r="10">
      <c r="B10" s="18" t="inlineStr">
        <is>
          <t>EQUITY</t>
        </is>
      </c>
      <c r="C10" s="19" t="inlineStr">
        <is>
          <t>Euro Stoxx 50</t>
        </is>
      </c>
      <c r="D10" s="20" t="inlineStr">
        <is>
          <t>SX5E Index</t>
        </is>
      </c>
      <c r="E10" s="21" t="inlineStr">
        <is>
          <t>BEST_PE_RATIO</t>
        </is>
      </c>
      <c r="F10" s="22" t="inlineStr">
        <is>
          <t>HIGH</t>
        </is>
      </c>
      <c r="G10" s="23">
        <f>IFERROR(IF(BDP($D10,"NAME")="","CHECK",BDP($D10,"NAME")),"CHECK")</f>
        <v/>
      </c>
      <c r="H10" s="24">
        <f>IFERROR(BDP($D10,$E10),"")</f>
        <v/>
      </c>
      <c r="I10" s="25">
        <f>IFERROR(AVERAGE(BDH($D10,$E10,SETTINGS_LOOK,"0D","Days="&amp;SETTINGS_FREQ,"Fill=P")),"")</f>
        <v/>
      </c>
      <c r="J10" s="26">
        <f>IFERROR(STDEV(BDH($D10,$E10,SETTINGS_LOOK,"0D","Days="&amp;SETTINGS_FREQ,"Fill=P")),"")</f>
        <v/>
      </c>
      <c r="K10" s="27">
        <f>IFERROR(($H10-$I10)/$J10,"")</f>
        <v/>
      </c>
      <c r="L10" s="28" t="n">
        <v>-1</v>
      </c>
      <c r="M10" s="29">
        <f>IFERROR($K10*$L10,"")</f>
        <v/>
      </c>
      <c r="N10" s="30">
        <f>IFERROR(NORMSDIST($M10),"")</f>
        <v/>
      </c>
      <c r="O10" s="30">
        <f>IFERROR(BDP($D10,"CHG_PCT_1YR")/100,"")</f>
        <v/>
      </c>
      <c r="P10" s="31">
        <f>IFERROR(SUMPRODUCT(($B$7:$B$106=$B10)*($M$7:$M$106&gt;$M10))+1,"")</f>
        <v/>
      </c>
      <c r="Q10" s="32">
        <f>COUNTIF($B$7:$B$106,$B10)</f>
        <v/>
      </c>
      <c r="R10" s="33">
        <f>IFERROR(IF($M10&gt;=SETTINGS_ZC,"CHEAP",IF($M10&lt;=SETTINGS_ZR,"RICH","-")),"")</f>
        <v/>
      </c>
      <c r="S10" s="12" t="inlineStr">
        <is>
          <t>Forward P/E. High = expensive.</t>
        </is>
      </c>
      <c r="T10" s="34" t="inlineStr"/>
      <c r="U10" s="32">
        <f>IFERROR(SUMPRODUCT(($M$7:$M$106&gt;$M10)*1)+1,"")</f>
        <v/>
      </c>
    </row>
    <row r="11">
      <c r="B11" s="18" t="inlineStr">
        <is>
          <t>EQUITY</t>
        </is>
      </c>
      <c r="C11" s="19" t="inlineStr">
        <is>
          <t>Germany DAX</t>
        </is>
      </c>
      <c r="D11" s="20" t="inlineStr">
        <is>
          <t>DAX Index</t>
        </is>
      </c>
      <c r="E11" s="21" t="inlineStr">
        <is>
          <t>BEST_PE_RATIO</t>
        </is>
      </c>
      <c r="F11" s="22" t="inlineStr">
        <is>
          <t>HIGH</t>
        </is>
      </c>
      <c r="G11" s="23">
        <f>IFERROR(IF(BDP($D11,"NAME")="","CHECK",BDP($D11,"NAME")),"CHECK")</f>
        <v/>
      </c>
      <c r="H11" s="24">
        <f>IFERROR(BDP($D11,$E11),"")</f>
        <v/>
      </c>
      <c r="I11" s="25">
        <f>IFERROR(AVERAGE(BDH($D11,$E11,SETTINGS_LOOK,"0D","Days="&amp;SETTINGS_FREQ,"Fill=P")),"")</f>
        <v/>
      </c>
      <c r="J11" s="26">
        <f>IFERROR(STDEV(BDH($D11,$E11,SETTINGS_LOOK,"0D","Days="&amp;SETTINGS_FREQ,"Fill=P")),"")</f>
        <v/>
      </c>
      <c r="K11" s="27">
        <f>IFERROR(($H11-$I11)/$J11,"")</f>
        <v/>
      </c>
      <c r="L11" s="28" t="n">
        <v>-1</v>
      </c>
      <c r="M11" s="29">
        <f>IFERROR($K11*$L11,"")</f>
        <v/>
      </c>
      <c r="N11" s="30">
        <f>IFERROR(NORMSDIST($M11),"")</f>
        <v/>
      </c>
      <c r="O11" s="30">
        <f>IFERROR(BDP($D11,"CHG_PCT_1YR")/100,"")</f>
        <v/>
      </c>
      <c r="P11" s="31">
        <f>IFERROR(SUMPRODUCT(($B$7:$B$106=$B11)*($M$7:$M$106&gt;$M11))+1,"")</f>
        <v/>
      </c>
      <c r="Q11" s="32">
        <f>COUNTIF($B$7:$B$106,$B11)</f>
        <v/>
      </c>
      <c r="R11" s="33">
        <f>IFERROR(IF($M11&gt;=SETTINGS_ZC,"CHEAP",IF($M11&lt;=SETTINGS_ZR,"RICH","-")),"")</f>
        <v/>
      </c>
      <c r="S11" s="12" t="inlineStr">
        <is>
          <t>Forward P/E. High = expensive.</t>
        </is>
      </c>
      <c r="T11" s="34" t="inlineStr"/>
      <c r="U11" s="32">
        <f>IFERROR(SUMPRODUCT(($M$7:$M$106&gt;$M11)*1)+1,"")</f>
        <v/>
      </c>
    </row>
    <row r="12">
      <c r="B12" s="18" t="inlineStr">
        <is>
          <t>EQUITY</t>
        </is>
      </c>
      <c r="C12" s="19" t="inlineStr">
        <is>
          <t>UK FTSE 100</t>
        </is>
      </c>
      <c r="D12" s="20" t="inlineStr">
        <is>
          <t>UKX Index</t>
        </is>
      </c>
      <c r="E12" s="21" t="inlineStr">
        <is>
          <t>BEST_PE_RATIO</t>
        </is>
      </c>
      <c r="F12" s="22" t="inlineStr">
        <is>
          <t>HIGH</t>
        </is>
      </c>
      <c r="G12" s="23">
        <f>IFERROR(IF(BDP($D12,"NAME")="","CHECK",BDP($D12,"NAME")),"CHECK")</f>
        <v/>
      </c>
      <c r="H12" s="24">
        <f>IFERROR(BDP($D12,$E12),"")</f>
        <v/>
      </c>
      <c r="I12" s="25">
        <f>IFERROR(AVERAGE(BDH($D12,$E12,SETTINGS_LOOK,"0D","Days="&amp;SETTINGS_FREQ,"Fill=P")),"")</f>
        <v/>
      </c>
      <c r="J12" s="26">
        <f>IFERROR(STDEV(BDH($D12,$E12,SETTINGS_LOOK,"0D","Days="&amp;SETTINGS_FREQ,"Fill=P")),"")</f>
        <v/>
      </c>
      <c r="K12" s="27">
        <f>IFERROR(($H12-$I12)/$J12,"")</f>
        <v/>
      </c>
      <c r="L12" s="28" t="n">
        <v>-1</v>
      </c>
      <c r="M12" s="29">
        <f>IFERROR($K12*$L12,"")</f>
        <v/>
      </c>
      <c r="N12" s="30">
        <f>IFERROR(NORMSDIST($M12),"")</f>
        <v/>
      </c>
      <c r="O12" s="30">
        <f>IFERROR(BDP($D12,"CHG_PCT_1YR")/100,"")</f>
        <v/>
      </c>
      <c r="P12" s="31">
        <f>IFERROR(SUMPRODUCT(($B$7:$B$106=$B12)*($M$7:$M$106&gt;$M12))+1,"")</f>
        <v/>
      </c>
      <c r="Q12" s="32">
        <f>COUNTIF($B$7:$B$106,$B12)</f>
        <v/>
      </c>
      <c r="R12" s="33">
        <f>IFERROR(IF($M12&gt;=SETTINGS_ZC,"CHEAP",IF($M12&lt;=SETTINGS_ZR,"RICH","-")),"")</f>
        <v/>
      </c>
      <c r="S12" s="12" t="inlineStr">
        <is>
          <t>Forward P/E. High = expensive.</t>
        </is>
      </c>
      <c r="T12" s="34" t="inlineStr"/>
      <c r="U12" s="32">
        <f>IFERROR(SUMPRODUCT(($M$7:$M$106&gt;$M12)*1)+1,"")</f>
        <v/>
      </c>
    </row>
    <row r="13">
      <c r="B13" s="18" t="inlineStr">
        <is>
          <t>EQUITY</t>
        </is>
      </c>
      <c r="C13" s="19" t="inlineStr">
        <is>
          <t>Japan TOPIX</t>
        </is>
      </c>
      <c r="D13" s="20" t="inlineStr">
        <is>
          <t>TPX Index</t>
        </is>
      </c>
      <c r="E13" s="21" t="inlineStr">
        <is>
          <t>BEST_PE_RATIO</t>
        </is>
      </c>
      <c r="F13" s="22" t="inlineStr">
        <is>
          <t>HIGH</t>
        </is>
      </c>
      <c r="G13" s="23">
        <f>IFERROR(IF(BDP($D13,"NAME")="","CHECK",BDP($D13,"NAME")),"CHECK")</f>
        <v/>
      </c>
      <c r="H13" s="24">
        <f>IFERROR(BDP($D13,$E13),"")</f>
        <v/>
      </c>
      <c r="I13" s="25">
        <f>IFERROR(AVERAGE(BDH($D13,$E13,SETTINGS_LOOK,"0D","Days="&amp;SETTINGS_FREQ,"Fill=P")),"")</f>
        <v/>
      </c>
      <c r="J13" s="26">
        <f>IFERROR(STDEV(BDH($D13,$E13,SETTINGS_LOOK,"0D","Days="&amp;SETTINGS_FREQ,"Fill=P")),"")</f>
        <v/>
      </c>
      <c r="K13" s="27">
        <f>IFERROR(($H13-$I13)/$J13,"")</f>
        <v/>
      </c>
      <c r="L13" s="28" t="n">
        <v>-1</v>
      </c>
      <c r="M13" s="29">
        <f>IFERROR($K13*$L13,"")</f>
        <v/>
      </c>
      <c r="N13" s="30">
        <f>IFERROR(NORMSDIST($M13),"")</f>
        <v/>
      </c>
      <c r="O13" s="30">
        <f>IFERROR(BDP($D13,"CHG_PCT_1YR")/100,"")</f>
        <v/>
      </c>
      <c r="P13" s="31">
        <f>IFERROR(SUMPRODUCT(($B$7:$B$106=$B13)*($M$7:$M$106&gt;$M13))+1,"")</f>
        <v/>
      </c>
      <c r="Q13" s="32">
        <f>COUNTIF($B$7:$B$106,$B13)</f>
        <v/>
      </c>
      <c r="R13" s="33">
        <f>IFERROR(IF($M13&gt;=SETTINGS_ZC,"CHEAP",IF($M13&lt;=SETTINGS_ZR,"RICH","-")),"")</f>
        <v/>
      </c>
      <c r="S13" s="12" t="inlineStr">
        <is>
          <t>Forward P/E. High = expensive.</t>
        </is>
      </c>
      <c r="T13" s="34" t="inlineStr"/>
      <c r="U13" s="32">
        <f>IFERROR(SUMPRODUCT(($M$7:$M$106&gt;$M13)*1)+1,"")</f>
        <v/>
      </c>
    </row>
    <row r="14">
      <c r="B14" s="18" t="inlineStr">
        <is>
          <t>EQUITY</t>
        </is>
      </c>
      <c r="C14" s="19" t="inlineStr">
        <is>
          <t>Switzerland SMI</t>
        </is>
      </c>
      <c r="D14" s="20" t="inlineStr">
        <is>
          <t>SMI Index</t>
        </is>
      </c>
      <c r="E14" s="21" t="inlineStr">
        <is>
          <t>BEST_PE_RATIO</t>
        </is>
      </c>
      <c r="F14" s="22" t="inlineStr">
        <is>
          <t>HIGH</t>
        </is>
      </c>
      <c r="G14" s="23">
        <f>IFERROR(IF(BDP($D14,"NAME")="","CHECK",BDP($D14,"NAME")),"CHECK")</f>
        <v/>
      </c>
      <c r="H14" s="24">
        <f>IFERROR(BDP($D14,$E14),"")</f>
        <v/>
      </c>
      <c r="I14" s="25">
        <f>IFERROR(AVERAGE(BDH($D14,$E14,SETTINGS_LOOK,"0D","Days="&amp;SETTINGS_FREQ,"Fill=P")),"")</f>
        <v/>
      </c>
      <c r="J14" s="26">
        <f>IFERROR(STDEV(BDH($D14,$E14,SETTINGS_LOOK,"0D","Days="&amp;SETTINGS_FREQ,"Fill=P")),"")</f>
        <v/>
      </c>
      <c r="K14" s="27">
        <f>IFERROR(($H14-$I14)/$J14,"")</f>
        <v/>
      </c>
      <c r="L14" s="28" t="n">
        <v>-1</v>
      </c>
      <c r="M14" s="29">
        <f>IFERROR($K14*$L14,"")</f>
        <v/>
      </c>
      <c r="N14" s="30">
        <f>IFERROR(NORMSDIST($M14),"")</f>
        <v/>
      </c>
      <c r="O14" s="30">
        <f>IFERROR(BDP($D14,"CHG_PCT_1YR")/100,"")</f>
        <v/>
      </c>
      <c r="P14" s="31">
        <f>IFERROR(SUMPRODUCT(($B$7:$B$106=$B14)*($M$7:$M$106&gt;$M14))+1,"")</f>
        <v/>
      </c>
      <c r="Q14" s="32">
        <f>COUNTIF($B$7:$B$106,$B14)</f>
        <v/>
      </c>
      <c r="R14" s="33">
        <f>IFERROR(IF($M14&gt;=SETTINGS_ZC,"CHEAP",IF($M14&lt;=SETTINGS_ZR,"RICH","-")),"")</f>
        <v/>
      </c>
      <c r="S14" s="12" t="inlineStr">
        <is>
          <t>Forward P/E. High = expensive.</t>
        </is>
      </c>
      <c r="T14" s="34" t="inlineStr"/>
      <c r="U14" s="32">
        <f>IFERROR(SUMPRODUCT(($M$7:$M$106&gt;$M14)*1)+1,"")</f>
        <v/>
      </c>
    </row>
    <row r="15">
      <c r="B15" s="18" t="inlineStr">
        <is>
          <t>EQUITY</t>
        </is>
      </c>
      <c r="C15" s="19" t="inlineStr">
        <is>
          <t>Canada S&amp;P/TSX</t>
        </is>
      </c>
      <c r="D15" s="20" t="inlineStr">
        <is>
          <t>SPTSX Index</t>
        </is>
      </c>
      <c r="E15" s="21" t="inlineStr">
        <is>
          <t>BEST_PE_RATIO</t>
        </is>
      </c>
      <c r="F15" s="22" t="inlineStr">
        <is>
          <t>HIGH</t>
        </is>
      </c>
      <c r="G15" s="23">
        <f>IFERROR(IF(BDP($D15,"NAME")="","CHECK",BDP($D15,"NAME")),"CHECK")</f>
        <v/>
      </c>
      <c r="H15" s="24">
        <f>IFERROR(BDP($D15,$E15),"")</f>
        <v/>
      </c>
      <c r="I15" s="25">
        <f>IFERROR(AVERAGE(BDH($D15,$E15,SETTINGS_LOOK,"0D","Days="&amp;SETTINGS_FREQ,"Fill=P")),"")</f>
        <v/>
      </c>
      <c r="J15" s="26">
        <f>IFERROR(STDEV(BDH($D15,$E15,SETTINGS_LOOK,"0D","Days="&amp;SETTINGS_FREQ,"Fill=P")),"")</f>
        <v/>
      </c>
      <c r="K15" s="27">
        <f>IFERROR(($H15-$I15)/$J15,"")</f>
        <v/>
      </c>
      <c r="L15" s="28" t="n">
        <v>-1</v>
      </c>
      <c r="M15" s="29">
        <f>IFERROR($K15*$L15,"")</f>
        <v/>
      </c>
      <c r="N15" s="30">
        <f>IFERROR(NORMSDIST($M15),"")</f>
        <v/>
      </c>
      <c r="O15" s="30">
        <f>IFERROR(BDP($D15,"CHG_PCT_1YR")/100,"")</f>
        <v/>
      </c>
      <c r="P15" s="31">
        <f>IFERROR(SUMPRODUCT(($B$7:$B$106=$B15)*($M$7:$M$106&gt;$M15))+1,"")</f>
        <v/>
      </c>
      <c r="Q15" s="32">
        <f>COUNTIF($B$7:$B$106,$B15)</f>
        <v/>
      </c>
      <c r="R15" s="33">
        <f>IFERROR(IF($M15&gt;=SETTINGS_ZC,"CHEAP",IF($M15&lt;=SETTINGS_ZR,"RICH","-")),"")</f>
        <v/>
      </c>
      <c r="S15" s="12" t="inlineStr">
        <is>
          <t>Forward P/E. High = expensive.</t>
        </is>
      </c>
      <c r="T15" s="34" t="inlineStr"/>
      <c r="U15" s="32">
        <f>IFERROR(SUMPRODUCT(($M$7:$M$106&gt;$M15)*1)+1,"")</f>
        <v/>
      </c>
    </row>
    <row r="16">
      <c r="B16" s="18" t="inlineStr">
        <is>
          <t>EQUITY</t>
        </is>
      </c>
      <c r="C16" s="19" t="inlineStr">
        <is>
          <t>Australia ASX 200</t>
        </is>
      </c>
      <c r="D16" s="20" t="inlineStr">
        <is>
          <t>AS51 Index</t>
        </is>
      </c>
      <c r="E16" s="21" t="inlineStr">
        <is>
          <t>BEST_PE_RATIO</t>
        </is>
      </c>
      <c r="F16" s="22" t="inlineStr">
        <is>
          <t>HIGH</t>
        </is>
      </c>
      <c r="G16" s="23">
        <f>IFERROR(IF(BDP($D16,"NAME")="","CHECK",BDP($D16,"NAME")),"CHECK")</f>
        <v/>
      </c>
      <c r="H16" s="24">
        <f>IFERROR(BDP($D16,$E16),"")</f>
        <v/>
      </c>
      <c r="I16" s="25">
        <f>IFERROR(AVERAGE(BDH($D16,$E16,SETTINGS_LOOK,"0D","Days="&amp;SETTINGS_FREQ,"Fill=P")),"")</f>
        <v/>
      </c>
      <c r="J16" s="26">
        <f>IFERROR(STDEV(BDH($D16,$E16,SETTINGS_LOOK,"0D","Days="&amp;SETTINGS_FREQ,"Fill=P")),"")</f>
        <v/>
      </c>
      <c r="K16" s="27">
        <f>IFERROR(($H16-$I16)/$J16,"")</f>
        <v/>
      </c>
      <c r="L16" s="28" t="n">
        <v>-1</v>
      </c>
      <c r="M16" s="29">
        <f>IFERROR($K16*$L16,"")</f>
        <v/>
      </c>
      <c r="N16" s="30">
        <f>IFERROR(NORMSDIST($M16),"")</f>
        <v/>
      </c>
      <c r="O16" s="30">
        <f>IFERROR(BDP($D16,"CHG_PCT_1YR")/100,"")</f>
        <v/>
      </c>
      <c r="P16" s="31">
        <f>IFERROR(SUMPRODUCT(($B$7:$B$106=$B16)*($M$7:$M$106&gt;$M16))+1,"")</f>
        <v/>
      </c>
      <c r="Q16" s="32">
        <f>COUNTIF($B$7:$B$106,$B16)</f>
        <v/>
      </c>
      <c r="R16" s="33">
        <f>IFERROR(IF($M16&gt;=SETTINGS_ZC,"CHEAP",IF($M16&lt;=SETTINGS_ZR,"RICH","-")),"")</f>
        <v/>
      </c>
      <c r="S16" s="12" t="inlineStr">
        <is>
          <t>Forward P/E. High = expensive.</t>
        </is>
      </c>
      <c r="T16" s="34" t="inlineStr"/>
      <c r="U16" s="32">
        <f>IFERROR(SUMPRODUCT(($M$7:$M$106&gt;$M16)*1)+1,"")</f>
        <v/>
      </c>
    </row>
    <row r="17">
      <c r="B17" s="18" t="inlineStr">
        <is>
          <t>EQUITY</t>
        </is>
      </c>
      <c r="C17" s="19" t="inlineStr">
        <is>
          <t>MSCI EM</t>
        </is>
      </c>
      <c r="D17" s="20" t="inlineStr">
        <is>
          <t>MXEF Index</t>
        </is>
      </c>
      <c r="E17" s="21" t="inlineStr">
        <is>
          <t>BEST_PE_RATIO</t>
        </is>
      </c>
      <c r="F17" s="22" t="inlineStr">
        <is>
          <t>HIGH</t>
        </is>
      </c>
      <c r="G17" s="23">
        <f>IFERROR(IF(BDP($D17,"NAME")="","CHECK",BDP($D17,"NAME")),"CHECK")</f>
        <v/>
      </c>
      <c r="H17" s="24">
        <f>IFERROR(BDP($D17,$E17),"")</f>
        <v/>
      </c>
      <c r="I17" s="25">
        <f>IFERROR(AVERAGE(BDH($D17,$E17,SETTINGS_LOOK,"0D","Days="&amp;SETTINGS_FREQ,"Fill=P")),"")</f>
        <v/>
      </c>
      <c r="J17" s="26">
        <f>IFERROR(STDEV(BDH($D17,$E17,SETTINGS_LOOK,"0D","Days="&amp;SETTINGS_FREQ,"Fill=P")),"")</f>
        <v/>
      </c>
      <c r="K17" s="27">
        <f>IFERROR(($H17-$I17)/$J17,"")</f>
        <v/>
      </c>
      <c r="L17" s="28" t="n">
        <v>-1</v>
      </c>
      <c r="M17" s="29">
        <f>IFERROR($K17*$L17,"")</f>
        <v/>
      </c>
      <c r="N17" s="30">
        <f>IFERROR(NORMSDIST($M17),"")</f>
        <v/>
      </c>
      <c r="O17" s="30">
        <f>IFERROR(BDP($D17,"CHG_PCT_1YR")/100,"")</f>
        <v/>
      </c>
      <c r="P17" s="31">
        <f>IFERROR(SUMPRODUCT(($B$7:$B$106=$B17)*($M$7:$M$106&gt;$M17))+1,"")</f>
        <v/>
      </c>
      <c r="Q17" s="32">
        <f>COUNTIF($B$7:$B$106,$B17)</f>
        <v/>
      </c>
      <c r="R17" s="33">
        <f>IFERROR(IF($M17&gt;=SETTINGS_ZC,"CHEAP",IF($M17&lt;=SETTINGS_ZR,"RICH","-")),"")</f>
        <v/>
      </c>
      <c r="S17" s="12" t="inlineStr">
        <is>
          <t>Forward P/E. High = expensive.</t>
        </is>
      </c>
      <c r="T17" s="34" t="inlineStr"/>
      <c r="U17" s="32">
        <f>IFERROR(SUMPRODUCT(($M$7:$M$106&gt;$M17)*1)+1,"")</f>
        <v/>
      </c>
    </row>
    <row r="18">
      <c r="B18" s="18" t="inlineStr">
        <is>
          <t>EQUITY</t>
        </is>
      </c>
      <c r="C18" s="19" t="inlineStr">
        <is>
          <t>China CSI 300</t>
        </is>
      </c>
      <c r="D18" s="20" t="inlineStr">
        <is>
          <t>SHSZ300 Index</t>
        </is>
      </c>
      <c r="E18" s="21" t="inlineStr">
        <is>
          <t>BEST_PE_RATIO</t>
        </is>
      </c>
      <c r="F18" s="22" t="inlineStr">
        <is>
          <t>HIGH</t>
        </is>
      </c>
      <c r="G18" s="23">
        <f>IFERROR(IF(BDP($D18,"NAME")="","CHECK",BDP($D18,"NAME")),"CHECK")</f>
        <v/>
      </c>
      <c r="H18" s="24">
        <f>IFERROR(BDP($D18,$E18),"")</f>
        <v/>
      </c>
      <c r="I18" s="25">
        <f>IFERROR(AVERAGE(BDH($D18,$E18,SETTINGS_LOOK,"0D","Days="&amp;SETTINGS_FREQ,"Fill=P")),"")</f>
        <v/>
      </c>
      <c r="J18" s="26">
        <f>IFERROR(STDEV(BDH($D18,$E18,SETTINGS_LOOK,"0D","Days="&amp;SETTINGS_FREQ,"Fill=P")),"")</f>
        <v/>
      </c>
      <c r="K18" s="27">
        <f>IFERROR(($H18-$I18)/$J18,"")</f>
        <v/>
      </c>
      <c r="L18" s="28" t="n">
        <v>-1</v>
      </c>
      <c r="M18" s="29">
        <f>IFERROR($K18*$L18,"")</f>
        <v/>
      </c>
      <c r="N18" s="30">
        <f>IFERROR(NORMSDIST($M18),"")</f>
        <v/>
      </c>
      <c r="O18" s="30">
        <f>IFERROR(BDP($D18,"CHG_PCT_1YR")/100,"")</f>
        <v/>
      </c>
      <c r="P18" s="31">
        <f>IFERROR(SUMPRODUCT(($B$7:$B$106=$B18)*($M$7:$M$106&gt;$M18))+1,"")</f>
        <v/>
      </c>
      <c r="Q18" s="32">
        <f>COUNTIF($B$7:$B$106,$B18)</f>
        <v/>
      </c>
      <c r="R18" s="33">
        <f>IFERROR(IF($M18&gt;=SETTINGS_ZC,"CHEAP",IF($M18&lt;=SETTINGS_ZR,"RICH","-")),"")</f>
        <v/>
      </c>
      <c r="S18" s="12" t="inlineStr">
        <is>
          <t>Forward P/E. High = expensive.</t>
        </is>
      </c>
      <c r="T18" s="34" t="inlineStr"/>
      <c r="U18" s="32">
        <f>IFERROR(SUMPRODUCT(($M$7:$M$106&gt;$M18)*1)+1,"")</f>
        <v/>
      </c>
    </row>
    <row r="19">
      <c r="B19" s="18" t="inlineStr">
        <is>
          <t>EQUITY</t>
        </is>
      </c>
      <c r="C19" s="19" t="inlineStr">
        <is>
          <t>China H-shares</t>
        </is>
      </c>
      <c r="D19" s="20" t="inlineStr">
        <is>
          <t>HSCEI Index</t>
        </is>
      </c>
      <c r="E19" s="21" t="inlineStr">
        <is>
          <t>BEST_PE_RATIO</t>
        </is>
      </c>
      <c r="F19" s="22" t="inlineStr">
        <is>
          <t>HIGH</t>
        </is>
      </c>
      <c r="G19" s="23">
        <f>IFERROR(IF(BDP($D19,"NAME")="","CHECK",BDP($D19,"NAME")),"CHECK")</f>
        <v/>
      </c>
      <c r="H19" s="24">
        <f>IFERROR(BDP($D19,$E19),"")</f>
        <v/>
      </c>
      <c r="I19" s="25">
        <f>IFERROR(AVERAGE(BDH($D19,$E19,SETTINGS_LOOK,"0D","Days="&amp;SETTINGS_FREQ,"Fill=P")),"")</f>
        <v/>
      </c>
      <c r="J19" s="26">
        <f>IFERROR(STDEV(BDH($D19,$E19,SETTINGS_LOOK,"0D","Days="&amp;SETTINGS_FREQ,"Fill=P")),"")</f>
        <v/>
      </c>
      <c r="K19" s="27">
        <f>IFERROR(($H19-$I19)/$J19,"")</f>
        <v/>
      </c>
      <c r="L19" s="28" t="n">
        <v>-1</v>
      </c>
      <c r="M19" s="29">
        <f>IFERROR($K19*$L19,"")</f>
        <v/>
      </c>
      <c r="N19" s="30">
        <f>IFERROR(NORMSDIST($M19),"")</f>
        <v/>
      </c>
      <c r="O19" s="30">
        <f>IFERROR(BDP($D19,"CHG_PCT_1YR")/100,"")</f>
        <v/>
      </c>
      <c r="P19" s="31">
        <f>IFERROR(SUMPRODUCT(($B$7:$B$106=$B19)*($M$7:$M$106&gt;$M19))+1,"")</f>
        <v/>
      </c>
      <c r="Q19" s="32">
        <f>COUNTIF($B$7:$B$106,$B19)</f>
        <v/>
      </c>
      <c r="R19" s="33">
        <f>IFERROR(IF($M19&gt;=SETTINGS_ZC,"CHEAP",IF($M19&lt;=SETTINGS_ZR,"RICH","-")),"")</f>
        <v/>
      </c>
      <c r="S19" s="12" t="inlineStr">
        <is>
          <t>Forward P/E. High = expensive.</t>
        </is>
      </c>
      <c r="T19" s="34" t="inlineStr"/>
      <c r="U19" s="32">
        <f>IFERROR(SUMPRODUCT(($M$7:$M$106&gt;$M19)*1)+1,"")</f>
        <v/>
      </c>
    </row>
    <row r="20">
      <c r="B20" s="18" t="inlineStr">
        <is>
          <t>EQUITY</t>
        </is>
      </c>
      <c r="C20" s="19" t="inlineStr">
        <is>
          <t>Korea KOSPI</t>
        </is>
      </c>
      <c r="D20" s="20" t="inlineStr">
        <is>
          <t>KOSPI Index</t>
        </is>
      </c>
      <c r="E20" s="21" t="inlineStr">
        <is>
          <t>BEST_PE_RATIO</t>
        </is>
      </c>
      <c r="F20" s="22" t="inlineStr">
        <is>
          <t>HIGH</t>
        </is>
      </c>
      <c r="G20" s="23">
        <f>IFERROR(IF(BDP($D20,"NAME")="","CHECK",BDP($D20,"NAME")),"CHECK")</f>
        <v/>
      </c>
      <c r="H20" s="24">
        <f>IFERROR(BDP($D20,$E20),"")</f>
        <v/>
      </c>
      <c r="I20" s="25">
        <f>IFERROR(AVERAGE(BDH($D20,$E20,SETTINGS_LOOK,"0D","Days="&amp;SETTINGS_FREQ,"Fill=P")),"")</f>
        <v/>
      </c>
      <c r="J20" s="26">
        <f>IFERROR(STDEV(BDH($D20,$E20,SETTINGS_LOOK,"0D","Days="&amp;SETTINGS_FREQ,"Fill=P")),"")</f>
        <v/>
      </c>
      <c r="K20" s="27">
        <f>IFERROR(($H20-$I20)/$J20,"")</f>
        <v/>
      </c>
      <c r="L20" s="28" t="n">
        <v>-1</v>
      </c>
      <c r="M20" s="29">
        <f>IFERROR($K20*$L20,"")</f>
        <v/>
      </c>
      <c r="N20" s="30">
        <f>IFERROR(NORMSDIST($M20),"")</f>
        <v/>
      </c>
      <c r="O20" s="30">
        <f>IFERROR(BDP($D20,"CHG_PCT_1YR")/100,"")</f>
        <v/>
      </c>
      <c r="P20" s="31">
        <f>IFERROR(SUMPRODUCT(($B$7:$B$106=$B20)*($M$7:$M$106&gt;$M20))+1,"")</f>
        <v/>
      </c>
      <c r="Q20" s="32">
        <f>COUNTIF($B$7:$B$106,$B20)</f>
        <v/>
      </c>
      <c r="R20" s="33">
        <f>IFERROR(IF($M20&gt;=SETTINGS_ZC,"CHEAP",IF($M20&lt;=SETTINGS_ZR,"RICH","-")),"")</f>
        <v/>
      </c>
      <c r="S20" s="12" t="inlineStr">
        <is>
          <t>Forward P/E. High = expensive.</t>
        </is>
      </c>
      <c r="T20" s="34" t="inlineStr"/>
      <c r="U20" s="32">
        <f>IFERROR(SUMPRODUCT(($M$7:$M$106&gt;$M20)*1)+1,"")</f>
        <v/>
      </c>
    </row>
    <row r="21">
      <c r="B21" s="18" t="inlineStr">
        <is>
          <t>EQUITY</t>
        </is>
      </c>
      <c r="C21" s="19" t="inlineStr">
        <is>
          <t>Taiwan TAIEX</t>
        </is>
      </c>
      <c r="D21" s="20" t="inlineStr">
        <is>
          <t>TWSE Index</t>
        </is>
      </c>
      <c r="E21" s="21" t="inlineStr">
        <is>
          <t>BEST_PE_RATIO</t>
        </is>
      </c>
      <c r="F21" s="22" t="inlineStr">
        <is>
          <t>HIGH</t>
        </is>
      </c>
      <c r="G21" s="23">
        <f>IFERROR(IF(BDP($D21,"NAME")="","CHECK",BDP($D21,"NAME")),"CHECK")</f>
        <v/>
      </c>
      <c r="H21" s="24">
        <f>IFERROR(BDP($D21,$E21),"")</f>
        <v/>
      </c>
      <c r="I21" s="25">
        <f>IFERROR(AVERAGE(BDH($D21,$E21,SETTINGS_LOOK,"0D","Days="&amp;SETTINGS_FREQ,"Fill=P")),"")</f>
        <v/>
      </c>
      <c r="J21" s="26">
        <f>IFERROR(STDEV(BDH($D21,$E21,SETTINGS_LOOK,"0D","Days="&amp;SETTINGS_FREQ,"Fill=P")),"")</f>
        <v/>
      </c>
      <c r="K21" s="27">
        <f>IFERROR(($H21-$I21)/$J21,"")</f>
        <v/>
      </c>
      <c r="L21" s="28" t="n">
        <v>-1</v>
      </c>
      <c r="M21" s="29">
        <f>IFERROR($K21*$L21,"")</f>
        <v/>
      </c>
      <c r="N21" s="30">
        <f>IFERROR(NORMSDIST($M21),"")</f>
        <v/>
      </c>
      <c r="O21" s="30">
        <f>IFERROR(BDP($D21,"CHG_PCT_1YR")/100,"")</f>
        <v/>
      </c>
      <c r="P21" s="31">
        <f>IFERROR(SUMPRODUCT(($B$7:$B$106=$B21)*($M$7:$M$106&gt;$M21))+1,"")</f>
        <v/>
      </c>
      <c r="Q21" s="32">
        <f>COUNTIF($B$7:$B$106,$B21)</f>
        <v/>
      </c>
      <c r="R21" s="33">
        <f>IFERROR(IF($M21&gt;=SETTINGS_ZC,"CHEAP",IF($M21&lt;=SETTINGS_ZR,"RICH","-")),"")</f>
        <v/>
      </c>
      <c r="S21" s="12" t="inlineStr">
        <is>
          <t>Forward P/E. High = expensive.</t>
        </is>
      </c>
      <c r="T21" s="34" t="inlineStr"/>
      <c r="U21" s="32">
        <f>IFERROR(SUMPRODUCT(($M$7:$M$106&gt;$M21)*1)+1,"")</f>
        <v/>
      </c>
    </row>
    <row r="22">
      <c r="B22" s="18" t="inlineStr">
        <is>
          <t>EQUITY</t>
        </is>
      </c>
      <c r="C22" s="19" t="inlineStr">
        <is>
          <t>India Nifty 50</t>
        </is>
      </c>
      <c r="D22" s="20" t="inlineStr">
        <is>
          <t>NIFTY Index</t>
        </is>
      </c>
      <c r="E22" s="21" t="inlineStr">
        <is>
          <t>BEST_PE_RATIO</t>
        </is>
      </c>
      <c r="F22" s="22" t="inlineStr">
        <is>
          <t>HIGH</t>
        </is>
      </c>
      <c r="G22" s="23">
        <f>IFERROR(IF(BDP($D22,"NAME")="","CHECK",BDP($D22,"NAME")),"CHECK")</f>
        <v/>
      </c>
      <c r="H22" s="24">
        <f>IFERROR(BDP($D22,$E22),"")</f>
        <v/>
      </c>
      <c r="I22" s="25">
        <f>IFERROR(AVERAGE(BDH($D22,$E22,SETTINGS_LOOK,"0D","Days="&amp;SETTINGS_FREQ,"Fill=P")),"")</f>
        <v/>
      </c>
      <c r="J22" s="26">
        <f>IFERROR(STDEV(BDH($D22,$E22,SETTINGS_LOOK,"0D","Days="&amp;SETTINGS_FREQ,"Fill=P")),"")</f>
        <v/>
      </c>
      <c r="K22" s="27">
        <f>IFERROR(($H22-$I22)/$J22,"")</f>
        <v/>
      </c>
      <c r="L22" s="28" t="n">
        <v>-1</v>
      </c>
      <c r="M22" s="29">
        <f>IFERROR($K22*$L22,"")</f>
        <v/>
      </c>
      <c r="N22" s="30">
        <f>IFERROR(NORMSDIST($M22),"")</f>
        <v/>
      </c>
      <c r="O22" s="30">
        <f>IFERROR(BDP($D22,"CHG_PCT_1YR")/100,"")</f>
        <v/>
      </c>
      <c r="P22" s="31">
        <f>IFERROR(SUMPRODUCT(($B$7:$B$106=$B22)*($M$7:$M$106&gt;$M22))+1,"")</f>
        <v/>
      </c>
      <c r="Q22" s="32">
        <f>COUNTIF($B$7:$B$106,$B22)</f>
        <v/>
      </c>
      <c r="R22" s="33">
        <f>IFERROR(IF($M22&gt;=SETTINGS_ZC,"CHEAP",IF($M22&lt;=SETTINGS_ZR,"RICH","-")),"")</f>
        <v/>
      </c>
      <c r="S22" s="12" t="inlineStr">
        <is>
          <t>Forward P/E. High = expensive.</t>
        </is>
      </c>
      <c r="T22" s="34" t="inlineStr"/>
      <c r="U22" s="32">
        <f>IFERROR(SUMPRODUCT(($M$7:$M$106&gt;$M22)*1)+1,"")</f>
        <v/>
      </c>
    </row>
    <row r="23">
      <c r="B23" s="18" t="inlineStr">
        <is>
          <t>EQUITY</t>
        </is>
      </c>
      <c r="C23" s="19" t="inlineStr">
        <is>
          <t>Brazil Ibovespa</t>
        </is>
      </c>
      <c r="D23" s="20" t="inlineStr">
        <is>
          <t>IBOV Index</t>
        </is>
      </c>
      <c r="E23" s="21" t="inlineStr">
        <is>
          <t>BEST_PE_RATIO</t>
        </is>
      </c>
      <c r="F23" s="22" t="inlineStr">
        <is>
          <t>HIGH</t>
        </is>
      </c>
      <c r="G23" s="23">
        <f>IFERROR(IF(BDP($D23,"NAME")="","CHECK",BDP($D23,"NAME")),"CHECK")</f>
        <v/>
      </c>
      <c r="H23" s="24">
        <f>IFERROR(BDP($D23,$E23),"")</f>
        <v/>
      </c>
      <c r="I23" s="25">
        <f>IFERROR(AVERAGE(BDH($D23,$E23,SETTINGS_LOOK,"0D","Days="&amp;SETTINGS_FREQ,"Fill=P")),"")</f>
        <v/>
      </c>
      <c r="J23" s="26">
        <f>IFERROR(STDEV(BDH($D23,$E23,SETTINGS_LOOK,"0D","Days="&amp;SETTINGS_FREQ,"Fill=P")),"")</f>
        <v/>
      </c>
      <c r="K23" s="27">
        <f>IFERROR(($H23-$I23)/$J23,"")</f>
        <v/>
      </c>
      <c r="L23" s="28" t="n">
        <v>-1</v>
      </c>
      <c r="M23" s="29">
        <f>IFERROR($K23*$L23,"")</f>
        <v/>
      </c>
      <c r="N23" s="30">
        <f>IFERROR(NORMSDIST($M23),"")</f>
        <v/>
      </c>
      <c r="O23" s="30">
        <f>IFERROR(BDP($D23,"CHG_PCT_1YR")/100,"")</f>
        <v/>
      </c>
      <c r="P23" s="31">
        <f>IFERROR(SUMPRODUCT(($B$7:$B$106=$B23)*($M$7:$M$106&gt;$M23))+1,"")</f>
        <v/>
      </c>
      <c r="Q23" s="32">
        <f>COUNTIF($B$7:$B$106,$B23)</f>
        <v/>
      </c>
      <c r="R23" s="33">
        <f>IFERROR(IF($M23&gt;=SETTINGS_ZC,"CHEAP",IF($M23&lt;=SETTINGS_ZR,"RICH","-")),"")</f>
        <v/>
      </c>
      <c r="S23" s="12" t="inlineStr">
        <is>
          <t>Forward P/E. High = expensive.</t>
        </is>
      </c>
      <c r="T23" s="34" t="inlineStr"/>
      <c r="U23" s="32">
        <f>IFERROR(SUMPRODUCT(($M$7:$M$106&gt;$M23)*1)+1,"")</f>
        <v/>
      </c>
    </row>
    <row r="24">
      <c r="B24" s="18" t="inlineStr">
        <is>
          <t>EQUITY</t>
        </is>
      </c>
      <c r="C24" s="19" t="inlineStr">
        <is>
          <t>Mexico IPC</t>
        </is>
      </c>
      <c r="D24" s="20" t="inlineStr">
        <is>
          <t>MEXBOL Index</t>
        </is>
      </c>
      <c r="E24" s="21" t="inlineStr">
        <is>
          <t>BEST_PE_RATIO</t>
        </is>
      </c>
      <c r="F24" s="22" t="inlineStr">
        <is>
          <t>HIGH</t>
        </is>
      </c>
      <c r="G24" s="23">
        <f>IFERROR(IF(BDP($D24,"NAME")="","CHECK",BDP($D24,"NAME")),"CHECK")</f>
        <v/>
      </c>
      <c r="H24" s="24">
        <f>IFERROR(BDP($D24,$E24),"")</f>
        <v/>
      </c>
      <c r="I24" s="25">
        <f>IFERROR(AVERAGE(BDH($D24,$E24,SETTINGS_LOOK,"0D","Days="&amp;SETTINGS_FREQ,"Fill=P")),"")</f>
        <v/>
      </c>
      <c r="J24" s="26">
        <f>IFERROR(STDEV(BDH($D24,$E24,SETTINGS_LOOK,"0D","Days="&amp;SETTINGS_FREQ,"Fill=P")),"")</f>
        <v/>
      </c>
      <c r="K24" s="27">
        <f>IFERROR(($H24-$I24)/$J24,"")</f>
        <v/>
      </c>
      <c r="L24" s="28" t="n">
        <v>-1</v>
      </c>
      <c r="M24" s="29">
        <f>IFERROR($K24*$L24,"")</f>
        <v/>
      </c>
      <c r="N24" s="30">
        <f>IFERROR(NORMSDIST($M24),"")</f>
        <v/>
      </c>
      <c r="O24" s="30">
        <f>IFERROR(BDP($D24,"CHG_PCT_1YR")/100,"")</f>
        <v/>
      </c>
      <c r="P24" s="31">
        <f>IFERROR(SUMPRODUCT(($B$7:$B$106=$B24)*($M$7:$M$106&gt;$M24))+1,"")</f>
        <v/>
      </c>
      <c r="Q24" s="32">
        <f>COUNTIF($B$7:$B$106,$B24)</f>
        <v/>
      </c>
      <c r="R24" s="33">
        <f>IFERROR(IF($M24&gt;=SETTINGS_ZC,"CHEAP",IF($M24&lt;=SETTINGS_ZR,"RICH","-")),"")</f>
        <v/>
      </c>
      <c r="S24" s="12" t="inlineStr">
        <is>
          <t>Forward P/E. High = expensive.</t>
        </is>
      </c>
      <c r="T24" s="34" t="inlineStr"/>
      <c r="U24" s="32">
        <f>IFERROR(SUMPRODUCT(($M$7:$M$106&gt;$M24)*1)+1,"")</f>
        <v/>
      </c>
    </row>
    <row r="25">
      <c r="B25" s="18" t="inlineStr">
        <is>
          <t>EQUITY</t>
        </is>
      </c>
      <c r="C25" s="19" t="inlineStr">
        <is>
          <t>Chile IPSA</t>
        </is>
      </c>
      <c r="D25" s="20" t="inlineStr">
        <is>
          <t>IPSA Index</t>
        </is>
      </c>
      <c r="E25" s="21" t="inlineStr">
        <is>
          <t>BEST_PE_RATIO</t>
        </is>
      </c>
      <c r="F25" s="22" t="inlineStr">
        <is>
          <t>HIGH</t>
        </is>
      </c>
      <c r="G25" s="23">
        <f>IFERROR(IF(BDP($D25,"NAME")="","CHECK",BDP($D25,"NAME")),"CHECK")</f>
        <v/>
      </c>
      <c r="H25" s="24">
        <f>IFERROR(BDP($D25,$E25),"")</f>
        <v/>
      </c>
      <c r="I25" s="25">
        <f>IFERROR(AVERAGE(BDH($D25,$E25,SETTINGS_LOOK,"0D","Days="&amp;SETTINGS_FREQ,"Fill=P")),"")</f>
        <v/>
      </c>
      <c r="J25" s="26">
        <f>IFERROR(STDEV(BDH($D25,$E25,SETTINGS_LOOK,"0D","Days="&amp;SETTINGS_FREQ,"Fill=P")),"")</f>
        <v/>
      </c>
      <c r="K25" s="27">
        <f>IFERROR(($H25-$I25)/$J25,"")</f>
        <v/>
      </c>
      <c r="L25" s="28" t="n">
        <v>-1</v>
      </c>
      <c r="M25" s="29">
        <f>IFERROR($K25*$L25,"")</f>
        <v/>
      </c>
      <c r="N25" s="30">
        <f>IFERROR(NORMSDIST($M25),"")</f>
        <v/>
      </c>
      <c r="O25" s="30">
        <f>IFERROR(BDP($D25,"CHG_PCT_1YR")/100,"")</f>
        <v/>
      </c>
      <c r="P25" s="31">
        <f>IFERROR(SUMPRODUCT(($B$7:$B$106=$B25)*($M$7:$M$106&gt;$M25))+1,"")</f>
        <v/>
      </c>
      <c r="Q25" s="32">
        <f>COUNTIF($B$7:$B$106,$B25)</f>
        <v/>
      </c>
      <c r="R25" s="33">
        <f>IFERROR(IF($M25&gt;=SETTINGS_ZC,"CHEAP",IF($M25&lt;=SETTINGS_ZR,"RICH","-")),"")</f>
        <v/>
      </c>
      <c r="S25" s="12" t="inlineStr">
        <is>
          <t>Forward P/E. High = expensive.</t>
        </is>
      </c>
      <c r="T25" s="34" t="inlineStr"/>
      <c r="U25" s="32">
        <f>IFERROR(SUMPRODUCT(($M$7:$M$106&gt;$M25)*1)+1,"")</f>
        <v/>
      </c>
    </row>
    <row r="26">
      <c r="B26" s="18" t="inlineStr">
        <is>
          <t>EQUITY</t>
        </is>
      </c>
      <c r="C26" s="19" t="inlineStr">
        <is>
          <t>Colombia COLCAP</t>
        </is>
      </c>
      <c r="D26" s="20" t="inlineStr">
        <is>
          <t>COLCAP Index</t>
        </is>
      </c>
      <c r="E26" s="21" t="inlineStr">
        <is>
          <t>BEST_PE_RATIO</t>
        </is>
      </c>
      <c r="F26" s="22" t="inlineStr">
        <is>
          <t>HIGH</t>
        </is>
      </c>
      <c r="G26" s="23">
        <f>IFERROR(IF(BDP($D26,"NAME")="","CHECK",BDP($D26,"NAME")),"CHECK")</f>
        <v/>
      </c>
      <c r="H26" s="24">
        <f>IFERROR(BDP($D26,$E26),"")</f>
        <v/>
      </c>
      <c r="I26" s="25">
        <f>IFERROR(AVERAGE(BDH($D26,$E26,SETTINGS_LOOK,"0D","Days="&amp;SETTINGS_FREQ,"Fill=P")),"")</f>
        <v/>
      </c>
      <c r="J26" s="26">
        <f>IFERROR(STDEV(BDH($D26,$E26,SETTINGS_LOOK,"0D","Days="&amp;SETTINGS_FREQ,"Fill=P")),"")</f>
        <v/>
      </c>
      <c r="K26" s="27">
        <f>IFERROR(($H26-$I26)/$J26,"")</f>
        <v/>
      </c>
      <c r="L26" s="28" t="n">
        <v>-1</v>
      </c>
      <c r="M26" s="29">
        <f>IFERROR($K26*$L26,"")</f>
        <v/>
      </c>
      <c r="N26" s="30">
        <f>IFERROR(NORMSDIST($M26),"")</f>
        <v/>
      </c>
      <c r="O26" s="30">
        <f>IFERROR(BDP($D26,"CHG_PCT_1YR")/100,"")</f>
        <v/>
      </c>
      <c r="P26" s="31">
        <f>IFERROR(SUMPRODUCT(($B$7:$B$106=$B26)*($M$7:$M$106&gt;$M26))+1,"")</f>
        <v/>
      </c>
      <c r="Q26" s="32">
        <f>COUNTIF($B$7:$B$106,$B26)</f>
        <v/>
      </c>
      <c r="R26" s="33">
        <f>IFERROR(IF($M26&gt;=SETTINGS_ZC,"CHEAP",IF($M26&lt;=SETTINGS_ZR,"RICH","-")),"")</f>
        <v/>
      </c>
      <c r="S26" s="12" t="inlineStr">
        <is>
          <t>Forward P/E. High = expensive.</t>
        </is>
      </c>
      <c r="T26" s="34" t="inlineStr"/>
      <c r="U26" s="32">
        <f>IFERROR(SUMPRODUCT(($M$7:$M$106&gt;$M26)*1)+1,"")</f>
        <v/>
      </c>
    </row>
    <row r="27">
      <c r="B27" s="18" t="inlineStr">
        <is>
          <t>EQUITY</t>
        </is>
      </c>
      <c r="C27" s="19" t="inlineStr">
        <is>
          <t>Argentina Merval</t>
        </is>
      </c>
      <c r="D27" s="20" t="inlineStr">
        <is>
          <t>MERVAL Index</t>
        </is>
      </c>
      <c r="E27" s="21" t="inlineStr">
        <is>
          <t>BEST_PE_RATIO</t>
        </is>
      </c>
      <c r="F27" s="22" t="inlineStr">
        <is>
          <t>HIGH</t>
        </is>
      </c>
      <c r="G27" s="23">
        <f>IFERROR(IF(BDP($D27,"NAME")="","CHECK",BDP($D27,"NAME")),"CHECK")</f>
        <v/>
      </c>
      <c r="H27" s="24">
        <f>IFERROR(BDP($D27,$E27),"")</f>
        <v/>
      </c>
      <c r="I27" s="25">
        <f>IFERROR(AVERAGE(BDH($D27,$E27,SETTINGS_LOOK,"0D","Days="&amp;SETTINGS_FREQ,"Fill=P")),"")</f>
        <v/>
      </c>
      <c r="J27" s="26">
        <f>IFERROR(STDEV(BDH($D27,$E27,SETTINGS_LOOK,"0D","Days="&amp;SETTINGS_FREQ,"Fill=P")),"")</f>
        <v/>
      </c>
      <c r="K27" s="27">
        <f>IFERROR(($H27-$I27)/$J27,"")</f>
        <v/>
      </c>
      <c r="L27" s="28" t="n">
        <v>-1</v>
      </c>
      <c r="M27" s="29">
        <f>IFERROR($K27*$L27,"")</f>
        <v/>
      </c>
      <c r="N27" s="30">
        <f>IFERROR(NORMSDIST($M27),"")</f>
        <v/>
      </c>
      <c r="O27" s="30">
        <f>IFERROR(BDP($D27,"CHG_PCT_1YR")/100,"")</f>
        <v/>
      </c>
      <c r="P27" s="31">
        <f>IFERROR(SUMPRODUCT(($B$7:$B$106=$B27)*($M$7:$M$106&gt;$M27))+1,"")</f>
        <v/>
      </c>
      <c r="Q27" s="32">
        <f>COUNTIF($B$7:$B$106,$B27)</f>
        <v/>
      </c>
      <c r="R27" s="33">
        <f>IFERROR(IF($M27&gt;=SETTINGS_ZC,"CHEAP",IF($M27&lt;=SETTINGS_ZR,"RICH","-")),"")</f>
        <v/>
      </c>
      <c r="S27" s="12" t="inlineStr">
        <is>
          <t>Forward P/E. High = expensive.</t>
        </is>
      </c>
      <c r="T27" s="34" t="inlineStr"/>
      <c r="U27" s="32">
        <f>IFERROR(SUMPRODUCT(($M$7:$M$106&gt;$M27)*1)+1,"")</f>
        <v/>
      </c>
    </row>
    <row r="28">
      <c r="B28" s="18" t="inlineStr">
        <is>
          <t>EQUITY</t>
        </is>
      </c>
      <c r="C28" s="19" t="inlineStr">
        <is>
          <t>South Africa Top 40</t>
        </is>
      </c>
      <c r="D28" s="20" t="inlineStr">
        <is>
          <t>TOP40 Index</t>
        </is>
      </c>
      <c r="E28" s="21" t="inlineStr">
        <is>
          <t>BEST_PE_RATIO</t>
        </is>
      </c>
      <c r="F28" s="22" t="inlineStr">
        <is>
          <t>HIGH</t>
        </is>
      </c>
      <c r="G28" s="23">
        <f>IFERROR(IF(BDP($D28,"NAME")="","CHECK",BDP($D28,"NAME")),"CHECK")</f>
        <v/>
      </c>
      <c r="H28" s="24">
        <f>IFERROR(BDP($D28,$E28),"")</f>
        <v/>
      </c>
      <c r="I28" s="25">
        <f>IFERROR(AVERAGE(BDH($D28,$E28,SETTINGS_LOOK,"0D","Days="&amp;SETTINGS_FREQ,"Fill=P")),"")</f>
        <v/>
      </c>
      <c r="J28" s="26">
        <f>IFERROR(STDEV(BDH($D28,$E28,SETTINGS_LOOK,"0D","Days="&amp;SETTINGS_FREQ,"Fill=P")),"")</f>
        <v/>
      </c>
      <c r="K28" s="27">
        <f>IFERROR(($H28-$I28)/$J28,"")</f>
        <v/>
      </c>
      <c r="L28" s="28" t="n">
        <v>-1</v>
      </c>
      <c r="M28" s="29">
        <f>IFERROR($K28*$L28,"")</f>
        <v/>
      </c>
      <c r="N28" s="30">
        <f>IFERROR(NORMSDIST($M28),"")</f>
        <v/>
      </c>
      <c r="O28" s="30">
        <f>IFERROR(BDP($D28,"CHG_PCT_1YR")/100,"")</f>
        <v/>
      </c>
      <c r="P28" s="31">
        <f>IFERROR(SUMPRODUCT(($B$7:$B$106=$B28)*($M$7:$M$106&gt;$M28))+1,"")</f>
        <v/>
      </c>
      <c r="Q28" s="32">
        <f>COUNTIF($B$7:$B$106,$B28)</f>
        <v/>
      </c>
      <c r="R28" s="33">
        <f>IFERROR(IF($M28&gt;=SETTINGS_ZC,"CHEAP",IF($M28&lt;=SETTINGS_ZR,"RICH","-")),"")</f>
        <v/>
      </c>
      <c r="S28" s="12" t="inlineStr">
        <is>
          <t>Forward P/E. High = expensive.</t>
        </is>
      </c>
      <c r="T28" s="34" t="inlineStr"/>
      <c r="U28" s="32">
        <f>IFERROR(SUMPRODUCT(($M$7:$M$106&gt;$M28)*1)+1,"")</f>
        <v/>
      </c>
    </row>
    <row r="29">
      <c r="B29" s="18" t="inlineStr">
        <is>
          <t>EQUITY</t>
        </is>
      </c>
      <c r="C29" s="19" t="inlineStr">
        <is>
          <t>Turkey BIST 100</t>
        </is>
      </c>
      <c r="D29" s="20" t="inlineStr">
        <is>
          <t>XU100 Index</t>
        </is>
      </c>
      <c r="E29" s="21" t="inlineStr">
        <is>
          <t>BEST_PE_RATIO</t>
        </is>
      </c>
      <c r="F29" s="22" t="inlineStr">
        <is>
          <t>HIGH</t>
        </is>
      </c>
      <c r="G29" s="23">
        <f>IFERROR(IF(BDP($D29,"NAME")="","CHECK",BDP($D29,"NAME")),"CHECK")</f>
        <v/>
      </c>
      <c r="H29" s="24">
        <f>IFERROR(BDP($D29,$E29),"")</f>
        <v/>
      </c>
      <c r="I29" s="25">
        <f>IFERROR(AVERAGE(BDH($D29,$E29,SETTINGS_LOOK,"0D","Days="&amp;SETTINGS_FREQ,"Fill=P")),"")</f>
        <v/>
      </c>
      <c r="J29" s="26">
        <f>IFERROR(STDEV(BDH($D29,$E29,SETTINGS_LOOK,"0D","Days="&amp;SETTINGS_FREQ,"Fill=P")),"")</f>
        <v/>
      </c>
      <c r="K29" s="27">
        <f>IFERROR(($H29-$I29)/$J29,"")</f>
        <v/>
      </c>
      <c r="L29" s="28" t="n">
        <v>-1</v>
      </c>
      <c r="M29" s="29">
        <f>IFERROR($K29*$L29,"")</f>
        <v/>
      </c>
      <c r="N29" s="30">
        <f>IFERROR(NORMSDIST($M29),"")</f>
        <v/>
      </c>
      <c r="O29" s="30">
        <f>IFERROR(BDP($D29,"CHG_PCT_1YR")/100,"")</f>
        <v/>
      </c>
      <c r="P29" s="31">
        <f>IFERROR(SUMPRODUCT(($B$7:$B$106=$B29)*($M$7:$M$106&gt;$M29))+1,"")</f>
        <v/>
      </c>
      <c r="Q29" s="32">
        <f>COUNTIF($B$7:$B$106,$B29)</f>
        <v/>
      </c>
      <c r="R29" s="33">
        <f>IFERROR(IF($M29&gt;=SETTINGS_ZC,"CHEAP",IF($M29&lt;=SETTINGS_ZR,"RICH","-")),"")</f>
        <v/>
      </c>
      <c r="S29" s="12" t="inlineStr">
        <is>
          <t>Forward P/E. High = expensive.</t>
        </is>
      </c>
      <c r="T29" s="34" t="inlineStr"/>
      <c r="U29" s="32">
        <f>IFERROR(SUMPRODUCT(($M$7:$M$106&gt;$M29)*1)+1,"")</f>
        <v/>
      </c>
    </row>
    <row r="30">
      <c r="B30" s="18" t="inlineStr">
        <is>
          <t>EQUITY</t>
        </is>
      </c>
      <c r="C30" s="19" t="inlineStr">
        <is>
          <t>Poland WIG20</t>
        </is>
      </c>
      <c r="D30" s="20" t="inlineStr">
        <is>
          <t>WIG20 Index</t>
        </is>
      </c>
      <c r="E30" s="21" t="inlineStr">
        <is>
          <t>BEST_PE_RATIO</t>
        </is>
      </c>
      <c r="F30" s="22" t="inlineStr">
        <is>
          <t>HIGH</t>
        </is>
      </c>
      <c r="G30" s="23">
        <f>IFERROR(IF(BDP($D30,"NAME")="","CHECK",BDP($D30,"NAME")),"CHECK")</f>
        <v/>
      </c>
      <c r="H30" s="24">
        <f>IFERROR(BDP($D30,$E30),"")</f>
        <v/>
      </c>
      <c r="I30" s="25">
        <f>IFERROR(AVERAGE(BDH($D30,$E30,SETTINGS_LOOK,"0D","Days="&amp;SETTINGS_FREQ,"Fill=P")),"")</f>
        <v/>
      </c>
      <c r="J30" s="26">
        <f>IFERROR(STDEV(BDH($D30,$E30,SETTINGS_LOOK,"0D","Days="&amp;SETTINGS_FREQ,"Fill=P")),"")</f>
        <v/>
      </c>
      <c r="K30" s="27">
        <f>IFERROR(($H30-$I30)/$J30,"")</f>
        <v/>
      </c>
      <c r="L30" s="28" t="n">
        <v>-1</v>
      </c>
      <c r="M30" s="29">
        <f>IFERROR($K30*$L30,"")</f>
        <v/>
      </c>
      <c r="N30" s="30">
        <f>IFERROR(NORMSDIST($M30),"")</f>
        <v/>
      </c>
      <c r="O30" s="30">
        <f>IFERROR(BDP($D30,"CHG_PCT_1YR")/100,"")</f>
        <v/>
      </c>
      <c r="P30" s="31">
        <f>IFERROR(SUMPRODUCT(($B$7:$B$106=$B30)*($M$7:$M$106&gt;$M30))+1,"")</f>
        <v/>
      </c>
      <c r="Q30" s="32">
        <f>COUNTIF($B$7:$B$106,$B30)</f>
        <v/>
      </c>
      <c r="R30" s="33">
        <f>IFERROR(IF($M30&gt;=SETTINGS_ZC,"CHEAP",IF($M30&lt;=SETTINGS_ZR,"RICH","-")),"")</f>
        <v/>
      </c>
      <c r="S30" s="12" t="inlineStr">
        <is>
          <t>Forward P/E. High = expensive.</t>
        </is>
      </c>
      <c r="T30" s="34" t="inlineStr"/>
      <c r="U30" s="32">
        <f>IFERROR(SUMPRODUCT(($M$7:$M$106&gt;$M30)*1)+1,"")</f>
        <v/>
      </c>
    </row>
    <row r="31">
      <c r="B31" s="35" t="inlineStr">
        <is>
          <t>RATES</t>
        </is>
      </c>
      <c r="C31" s="19" t="inlineStr">
        <is>
          <t>US 10y</t>
        </is>
      </c>
      <c r="D31" s="20" t="inlineStr">
        <is>
          <t>USGG10YR Index</t>
        </is>
      </c>
      <c r="E31" s="21" t="inlineStr">
        <is>
          <t>PX_LAST</t>
        </is>
      </c>
      <c r="F31" s="22" t="inlineStr">
        <is>
          <t>HIGH</t>
        </is>
      </c>
      <c r="G31" s="23">
        <f>IFERROR(IF(BDP($D31,"NAME")="","CHECK",BDP($D31,"NAME")),"CHECK")</f>
        <v/>
      </c>
      <c r="H31" s="24">
        <f>IFERROR(BDP($D31,$E31),"")</f>
        <v/>
      </c>
      <c r="I31" s="25">
        <f>IFERROR(AVERAGE(BDH($D31,$E31,SETTINGS_LOOK,"0D","Days="&amp;SETTINGS_FREQ,"Fill=P")),"")</f>
        <v/>
      </c>
      <c r="J31" s="26">
        <f>IFERROR(STDEV(BDH($D31,$E31,SETTINGS_LOOK,"0D","Days="&amp;SETTINGS_FREQ,"Fill=P")),"")</f>
        <v/>
      </c>
      <c r="K31" s="27">
        <f>IFERROR(($H31-$I31)/$J31,"")</f>
        <v/>
      </c>
      <c r="L31" s="28" t="n">
        <v>1</v>
      </c>
      <c r="M31" s="29">
        <f>IFERROR($K31*$L31,"")</f>
        <v/>
      </c>
      <c r="N31" s="30">
        <f>IFERROR(NORMSDIST($M31),"")</f>
        <v/>
      </c>
      <c r="O31" s="30">
        <f>IFERROR(BDP($D31,"CHG_PCT_1YR")/100,"")</f>
        <v/>
      </c>
      <c r="P31" s="31">
        <f>IFERROR(SUMPRODUCT(($B$7:$B$106=$B31)*($M$7:$M$106&gt;$M31))+1,"")</f>
        <v/>
      </c>
      <c r="Q31" s="32">
        <f>COUNTIF($B$7:$B$106,$B31)</f>
        <v/>
      </c>
      <c r="R31" s="33">
        <f>IFERROR(IF($M31&gt;=SETTINGS_ZC,"CHEAP",IF($M31&lt;=SETTINGS_ZR,"RICH","-")),"")</f>
        <v/>
      </c>
      <c r="S31" s="12" t="inlineStr">
        <is>
          <t>10y nominal yield, %. High yield = cheap bond.</t>
        </is>
      </c>
      <c r="T31" s="34" t="inlineStr"/>
      <c r="U31" s="32">
        <f>IFERROR(SUMPRODUCT(($M$7:$M$106&gt;$M31)*1)+1,"")</f>
        <v/>
      </c>
    </row>
    <row r="32">
      <c r="B32" s="35" t="inlineStr">
        <is>
          <t>RATES</t>
        </is>
      </c>
      <c r="C32" s="19" t="inlineStr">
        <is>
          <t>Germany 10y</t>
        </is>
      </c>
      <c r="D32" s="20" t="inlineStr">
        <is>
          <t>GDBR10 Index</t>
        </is>
      </c>
      <c r="E32" s="21" t="inlineStr">
        <is>
          <t>PX_LAST</t>
        </is>
      </c>
      <c r="F32" s="22" t="inlineStr">
        <is>
          <t>HIGH</t>
        </is>
      </c>
      <c r="G32" s="23">
        <f>IFERROR(IF(BDP($D32,"NAME")="","CHECK",BDP($D32,"NAME")),"CHECK")</f>
        <v/>
      </c>
      <c r="H32" s="24">
        <f>IFERROR(BDP($D32,$E32),"")</f>
        <v/>
      </c>
      <c r="I32" s="25">
        <f>IFERROR(AVERAGE(BDH($D32,$E32,SETTINGS_LOOK,"0D","Days="&amp;SETTINGS_FREQ,"Fill=P")),"")</f>
        <v/>
      </c>
      <c r="J32" s="26">
        <f>IFERROR(STDEV(BDH($D32,$E32,SETTINGS_LOOK,"0D","Days="&amp;SETTINGS_FREQ,"Fill=P")),"")</f>
        <v/>
      </c>
      <c r="K32" s="27">
        <f>IFERROR(($H32-$I32)/$J32,"")</f>
        <v/>
      </c>
      <c r="L32" s="28" t="n">
        <v>1</v>
      </c>
      <c r="M32" s="29">
        <f>IFERROR($K32*$L32,"")</f>
        <v/>
      </c>
      <c r="N32" s="30">
        <f>IFERROR(NORMSDIST($M32),"")</f>
        <v/>
      </c>
      <c r="O32" s="30">
        <f>IFERROR(BDP($D32,"CHG_PCT_1YR")/100,"")</f>
        <v/>
      </c>
      <c r="P32" s="31">
        <f>IFERROR(SUMPRODUCT(($B$7:$B$106=$B32)*($M$7:$M$106&gt;$M32))+1,"")</f>
        <v/>
      </c>
      <c r="Q32" s="32">
        <f>COUNTIF($B$7:$B$106,$B32)</f>
        <v/>
      </c>
      <c r="R32" s="33">
        <f>IFERROR(IF($M32&gt;=SETTINGS_ZC,"CHEAP",IF($M32&lt;=SETTINGS_ZR,"RICH","-")),"")</f>
        <v/>
      </c>
      <c r="S32" s="12" t="inlineStr">
        <is>
          <t>10y nominal yield, %. High yield = cheap bond.</t>
        </is>
      </c>
      <c r="T32" s="34" t="inlineStr"/>
      <c r="U32" s="32">
        <f>IFERROR(SUMPRODUCT(($M$7:$M$106&gt;$M32)*1)+1,"")</f>
        <v/>
      </c>
    </row>
    <row r="33">
      <c r="B33" s="35" t="inlineStr">
        <is>
          <t>RATES</t>
        </is>
      </c>
      <c r="C33" s="19" t="inlineStr">
        <is>
          <t>UK 10y</t>
        </is>
      </c>
      <c r="D33" s="20" t="inlineStr">
        <is>
          <t>GUKG10 Index</t>
        </is>
      </c>
      <c r="E33" s="21" t="inlineStr">
        <is>
          <t>PX_LAST</t>
        </is>
      </c>
      <c r="F33" s="22" t="inlineStr">
        <is>
          <t>HIGH</t>
        </is>
      </c>
      <c r="G33" s="23">
        <f>IFERROR(IF(BDP($D33,"NAME")="","CHECK",BDP($D33,"NAME")),"CHECK")</f>
        <v/>
      </c>
      <c r="H33" s="24">
        <f>IFERROR(BDP($D33,$E33),"")</f>
        <v/>
      </c>
      <c r="I33" s="25">
        <f>IFERROR(AVERAGE(BDH($D33,$E33,SETTINGS_LOOK,"0D","Days="&amp;SETTINGS_FREQ,"Fill=P")),"")</f>
        <v/>
      </c>
      <c r="J33" s="26">
        <f>IFERROR(STDEV(BDH($D33,$E33,SETTINGS_LOOK,"0D","Days="&amp;SETTINGS_FREQ,"Fill=P")),"")</f>
        <v/>
      </c>
      <c r="K33" s="27">
        <f>IFERROR(($H33-$I33)/$J33,"")</f>
        <v/>
      </c>
      <c r="L33" s="28" t="n">
        <v>1</v>
      </c>
      <c r="M33" s="29">
        <f>IFERROR($K33*$L33,"")</f>
        <v/>
      </c>
      <c r="N33" s="30">
        <f>IFERROR(NORMSDIST($M33),"")</f>
        <v/>
      </c>
      <c r="O33" s="30">
        <f>IFERROR(BDP($D33,"CHG_PCT_1YR")/100,"")</f>
        <v/>
      </c>
      <c r="P33" s="31">
        <f>IFERROR(SUMPRODUCT(($B$7:$B$106=$B33)*($M$7:$M$106&gt;$M33))+1,"")</f>
        <v/>
      </c>
      <c r="Q33" s="32">
        <f>COUNTIF($B$7:$B$106,$B33)</f>
        <v/>
      </c>
      <c r="R33" s="33">
        <f>IFERROR(IF($M33&gt;=SETTINGS_ZC,"CHEAP",IF($M33&lt;=SETTINGS_ZR,"RICH","-")),"")</f>
        <v/>
      </c>
      <c r="S33" s="12" t="inlineStr">
        <is>
          <t>10y nominal yield, %. High yield = cheap bond.</t>
        </is>
      </c>
      <c r="T33" s="34" t="inlineStr"/>
      <c r="U33" s="32">
        <f>IFERROR(SUMPRODUCT(($M$7:$M$106&gt;$M33)*1)+1,"")</f>
        <v/>
      </c>
    </row>
    <row r="34">
      <c r="B34" s="35" t="inlineStr">
        <is>
          <t>RATES</t>
        </is>
      </c>
      <c r="C34" s="19" t="inlineStr">
        <is>
          <t>Japan 10y</t>
        </is>
      </c>
      <c r="D34" s="20" t="inlineStr">
        <is>
          <t>GJGB10 Index</t>
        </is>
      </c>
      <c r="E34" s="21" t="inlineStr">
        <is>
          <t>PX_LAST</t>
        </is>
      </c>
      <c r="F34" s="22" t="inlineStr">
        <is>
          <t>HIGH</t>
        </is>
      </c>
      <c r="G34" s="23">
        <f>IFERROR(IF(BDP($D34,"NAME")="","CHECK",BDP($D34,"NAME")),"CHECK")</f>
        <v/>
      </c>
      <c r="H34" s="24">
        <f>IFERROR(BDP($D34,$E34),"")</f>
        <v/>
      </c>
      <c r="I34" s="25">
        <f>IFERROR(AVERAGE(BDH($D34,$E34,SETTINGS_LOOK,"0D","Days="&amp;SETTINGS_FREQ,"Fill=P")),"")</f>
        <v/>
      </c>
      <c r="J34" s="26">
        <f>IFERROR(STDEV(BDH($D34,$E34,SETTINGS_LOOK,"0D","Days="&amp;SETTINGS_FREQ,"Fill=P")),"")</f>
        <v/>
      </c>
      <c r="K34" s="27">
        <f>IFERROR(($H34-$I34)/$J34,"")</f>
        <v/>
      </c>
      <c r="L34" s="28" t="n">
        <v>1</v>
      </c>
      <c r="M34" s="29">
        <f>IFERROR($K34*$L34,"")</f>
        <v/>
      </c>
      <c r="N34" s="30">
        <f>IFERROR(NORMSDIST($M34),"")</f>
        <v/>
      </c>
      <c r="O34" s="30">
        <f>IFERROR(BDP($D34,"CHG_PCT_1YR")/100,"")</f>
        <v/>
      </c>
      <c r="P34" s="31">
        <f>IFERROR(SUMPRODUCT(($B$7:$B$106=$B34)*($M$7:$M$106&gt;$M34))+1,"")</f>
        <v/>
      </c>
      <c r="Q34" s="32">
        <f>COUNTIF($B$7:$B$106,$B34)</f>
        <v/>
      </c>
      <c r="R34" s="33">
        <f>IFERROR(IF($M34&gt;=SETTINGS_ZC,"CHEAP",IF($M34&lt;=SETTINGS_ZR,"RICH","-")),"")</f>
        <v/>
      </c>
      <c r="S34" s="12" t="inlineStr">
        <is>
          <t>10y nominal yield, %. High yield = cheap bond.</t>
        </is>
      </c>
      <c r="T34" s="34" t="inlineStr"/>
      <c r="U34" s="32">
        <f>IFERROR(SUMPRODUCT(($M$7:$M$106&gt;$M34)*1)+1,"")</f>
        <v/>
      </c>
    </row>
    <row r="35">
      <c r="B35" s="35" t="inlineStr">
        <is>
          <t>RATES</t>
        </is>
      </c>
      <c r="C35" s="19" t="inlineStr">
        <is>
          <t>France 10y</t>
        </is>
      </c>
      <c r="D35" s="20" t="inlineStr">
        <is>
          <t>GFRN10 Index</t>
        </is>
      </c>
      <c r="E35" s="21" t="inlineStr">
        <is>
          <t>PX_LAST</t>
        </is>
      </c>
      <c r="F35" s="22" t="inlineStr">
        <is>
          <t>HIGH</t>
        </is>
      </c>
      <c r="G35" s="23">
        <f>IFERROR(IF(BDP($D35,"NAME")="","CHECK",BDP($D35,"NAME")),"CHECK")</f>
        <v/>
      </c>
      <c r="H35" s="24">
        <f>IFERROR(BDP($D35,$E35),"")</f>
        <v/>
      </c>
      <c r="I35" s="25">
        <f>IFERROR(AVERAGE(BDH($D35,$E35,SETTINGS_LOOK,"0D","Days="&amp;SETTINGS_FREQ,"Fill=P")),"")</f>
        <v/>
      </c>
      <c r="J35" s="26">
        <f>IFERROR(STDEV(BDH($D35,$E35,SETTINGS_LOOK,"0D","Days="&amp;SETTINGS_FREQ,"Fill=P")),"")</f>
        <v/>
      </c>
      <c r="K35" s="27">
        <f>IFERROR(($H35-$I35)/$J35,"")</f>
        <v/>
      </c>
      <c r="L35" s="28" t="n">
        <v>1</v>
      </c>
      <c r="M35" s="29">
        <f>IFERROR($K35*$L35,"")</f>
        <v/>
      </c>
      <c r="N35" s="30">
        <f>IFERROR(NORMSDIST($M35),"")</f>
        <v/>
      </c>
      <c r="O35" s="30">
        <f>IFERROR(BDP($D35,"CHG_PCT_1YR")/100,"")</f>
        <v/>
      </c>
      <c r="P35" s="31">
        <f>IFERROR(SUMPRODUCT(($B$7:$B$106=$B35)*($M$7:$M$106&gt;$M35))+1,"")</f>
        <v/>
      </c>
      <c r="Q35" s="32">
        <f>COUNTIF($B$7:$B$106,$B35)</f>
        <v/>
      </c>
      <c r="R35" s="33">
        <f>IFERROR(IF($M35&gt;=SETTINGS_ZC,"CHEAP",IF($M35&lt;=SETTINGS_ZR,"RICH","-")),"")</f>
        <v/>
      </c>
      <c r="S35" s="12" t="inlineStr">
        <is>
          <t>10y nominal yield, %. High yield = cheap bond.</t>
        </is>
      </c>
      <c r="T35" s="34" t="inlineStr"/>
      <c r="U35" s="32">
        <f>IFERROR(SUMPRODUCT(($M$7:$M$106&gt;$M35)*1)+1,"")</f>
        <v/>
      </c>
    </row>
    <row r="36">
      <c r="B36" s="35" t="inlineStr">
        <is>
          <t>RATES</t>
        </is>
      </c>
      <c r="C36" s="19" t="inlineStr">
        <is>
          <t>Italy 10y</t>
        </is>
      </c>
      <c r="D36" s="20" t="inlineStr">
        <is>
          <t>GBTPGR10 Index</t>
        </is>
      </c>
      <c r="E36" s="21" t="inlineStr">
        <is>
          <t>PX_LAST</t>
        </is>
      </c>
      <c r="F36" s="22" t="inlineStr">
        <is>
          <t>HIGH</t>
        </is>
      </c>
      <c r="G36" s="23">
        <f>IFERROR(IF(BDP($D36,"NAME")="","CHECK",BDP($D36,"NAME")),"CHECK")</f>
        <v/>
      </c>
      <c r="H36" s="24">
        <f>IFERROR(BDP($D36,$E36),"")</f>
        <v/>
      </c>
      <c r="I36" s="25">
        <f>IFERROR(AVERAGE(BDH($D36,$E36,SETTINGS_LOOK,"0D","Days="&amp;SETTINGS_FREQ,"Fill=P")),"")</f>
        <v/>
      </c>
      <c r="J36" s="26">
        <f>IFERROR(STDEV(BDH($D36,$E36,SETTINGS_LOOK,"0D","Days="&amp;SETTINGS_FREQ,"Fill=P")),"")</f>
        <v/>
      </c>
      <c r="K36" s="27">
        <f>IFERROR(($H36-$I36)/$J36,"")</f>
        <v/>
      </c>
      <c r="L36" s="28" t="n">
        <v>1</v>
      </c>
      <c r="M36" s="29">
        <f>IFERROR($K36*$L36,"")</f>
        <v/>
      </c>
      <c r="N36" s="30">
        <f>IFERROR(NORMSDIST($M36),"")</f>
        <v/>
      </c>
      <c r="O36" s="30">
        <f>IFERROR(BDP($D36,"CHG_PCT_1YR")/100,"")</f>
        <v/>
      </c>
      <c r="P36" s="31">
        <f>IFERROR(SUMPRODUCT(($B$7:$B$106=$B36)*($M$7:$M$106&gt;$M36))+1,"")</f>
        <v/>
      </c>
      <c r="Q36" s="32">
        <f>COUNTIF($B$7:$B$106,$B36)</f>
        <v/>
      </c>
      <c r="R36" s="33">
        <f>IFERROR(IF($M36&gt;=SETTINGS_ZC,"CHEAP",IF($M36&lt;=SETTINGS_ZR,"RICH","-")),"")</f>
        <v/>
      </c>
      <c r="S36" s="12" t="inlineStr">
        <is>
          <t>10y nominal yield, %. High yield = cheap bond.</t>
        </is>
      </c>
      <c r="T36" s="34" t="inlineStr"/>
      <c r="U36" s="32">
        <f>IFERROR(SUMPRODUCT(($M$7:$M$106&gt;$M36)*1)+1,"")</f>
        <v/>
      </c>
    </row>
    <row r="37">
      <c r="B37" s="35" t="inlineStr">
        <is>
          <t>RATES</t>
        </is>
      </c>
      <c r="C37" s="19" t="inlineStr">
        <is>
          <t>Canada 10y</t>
        </is>
      </c>
      <c r="D37" s="20" t="inlineStr">
        <is>
          <t>GCAN10YR Index</t>
        </is>
      </c>
      <c r="E37" s="21" t="inlineStr">
        <is>
          <t>PX_LAST</t>
        </is>
      </c>
      <c r="F37" s="22" t="inlineStr">
        <is>
          <t>HIGH</t>
        </is>
      </c>
      <c r="G37" s="23">
        <f>IFERROR(IF(BDP($D37,"NAME")="","CHECK",BDP($D37,"NAME")),"CHECK")</f>
        <v/>
      </c>
      <c r="H37" s="24">
        <f>IFERROR(BDP($D37,$E37),"")</f>
        <v/>
      </c>
      <c r="I37" s="25">
        <f>IFERROR(AVERAGE(BDH($D37,$E37,SETTINGS_LOOK,"0D","Days="&amp;SETTINGS_FREQ,"Fill=P")),"")</f>
        <v/>
      </c>
      <c r="J37" s="26">
        <f>IFERROR(STDEV(BDH($D37,$E37,SETTINGS_LOOK,"0D","Days="&amp;SETTINGS_FREQ,"Fill=P")),"")</f>
        <v/>
      </c>
      <c r="K37" s="27">
        <f>IFERROR(($H37-$I37)/$J37,"")</f>
        <v/>
      </c>
      <c r="L37" s="28" t="n">
        <v>1</v>
      </c>
      <c r="M37" s="29">
        <f>IFERROR($K37*$L37,"")</f>
        <v/>
      </c>
      <c r="N37" s="30">
        <f>IFERROR(NORMSDIST($M37),"")</f>
        <v/>
      </c>
      <c r="O37" s="30">
        <f>IFERROR(BDP($D37,"CHG_PCT_1YR")/100,"")</f>
        <v/>
      </c>
      <c r="P37" s="31">
        <f>IFERROR(SUMPRODUCT(($B$7:$B$106=$B37)*($M$7:$M$106&gt;$M37))+1,"")</f>
        <v/>
      </c>
      <c r="Q37" s="32">
        <f>COUNTIF($B$7:$B$106,$B37)</f>
        <v/>
      </c>
      <c r="R37" s="33">
        <f>IFERROR(IF($M37&gt;=SETTINGS_ZC,"CHEAP",IF($M37&lt;=SETTINGS_ZR,"RICH","-")),"")</f>
        <v/>
      </c>
      <c r="S37" s="12" t="inlineStr">
        <is>
          <t>10y nominal yield, %. High yield = cheap bond.</t>
        </is>
      </c>
      <c r="T37" s="34" t="inlineStr"/>
      <c r="U37" s="32">
        <f>IFERROR(SUMPRODUCT(($M$7:$M$106&gt;$M37)*1)+1,"")</f>
        <v/>
      </c>
    </row>
    <row r="38">
      <c r="B38" s="35" t="inlineStr">
        <is>
          <t>RATES</t>
        </is>
      </c>
      <c r="C38" s="19" t="inlineStr">
        <is>
          <t>Australia 10y</t>
        </is>
      </c>
      <c r="D38" s="20" t="inlineStr">
        <is>
          <t>GACGB10 Index</t>
        </is>
      </c>
      <c r="E38" s="21" t="inlineStr">
        <is>
          <t>PX_LAST</t>
        </is>
      </c>
      <c r="F38" s="22" t="inlineStr">
        <is>
          <t>HIGH</t>
        </is>
      </c>
      <c r="G38" s="23">
        <f>IFERROR(IF(BDP($D38,"NAME")="","CHECK",BDP($D38,"NAME")),"CHECK")</f>
        <v/>
      </c>
      <c r="H38" s="24">
        <f>IFERROR(BDP($D38,$E38),"")</f>
        <v/>
      </c>
      <c r="I38" s="25">
        <f>IFERROR(AVERAGE(BDH($D38,$E38,SETTINGS_LOOK,"0D","Days="&amp;SETTINGS_FREQ,"Fill=P")),"")</f>
        <v/>
      </c>
      <c r="J38" s="26">
        <f>IFERROR(STDEV(BDH($D38,$E38,SETTINGS_LOOK,"0D","Days="&amp;SETTINGS_FREQ,"Fill=P")),"")</f>
        <v/>
      </c>
      <c r="K38" s="27">
        <f>IFERROR(($H38-$I38)/$J38,"")</f>
        <v/>
      </c>
      <c r="L38" s="28" t="n">
        <v>1</v>
      </c>
      <c r="M38" s="29">
        <f>IFERROR($K38*$L38,"")</f>
        <v/>
      </c>
      <c r="N38" s="30">
        <f>IFERROR(NORMSDIST($M38),"")</f>
        <v/>
      </c>
      <c r="O38" s="30">
        <f>IFERROR(BDP($D38,"CHG_PCT_1YR")/100,"")</f>
        <v/>
      </c>
      <c r="P38" s="31">
        <f>IFERROR(SUMPRODUCT(($B$7:$B$106=$B38)*($M$7:$M$106&gt;$M38))+1,"")</f>
        <v/>
      </c>
      <c r="Q38" s="32">
        <f>COUNTIF($B$7:$B$106,$B38)</f>
        <v/>
      </c>
      <c r="R38" s="33">
        <f>IFERROR(IF($M38&gt;=SETTINGS_ZC,"CHEAP",IF($M38&lt;=SETTINGS_ZR,"RICH","-")),"")</f>
        <v/>
      </c>
      <c r="S38" s="12" t="inlineStr">
        <is>
          <t>10y nominal yield, %. High yield = cheap bond.</t>
        </is>
      </c>
      <c r="T38" s="34" t="inlineStr"/>
      <c r="U38" s="32">
        <f>IFERROR(SUMPRODUCT(($M$7:$M$106&gt;$M38)*1)+1,"")</f>
        <v/>
      </c>
    </row>
    <row r="39">
      <c r="B39" s="35" t="inlineStr">
        <is>
          <t>RATES</t>
        </is>
      </c>
      <c r="C39" s="19" t="inlineStr">
        <is>
          <t>Brazil 10y</t>
        </is>
      </c>
      <c r="D39" s="20" t="inlineStr">
        <is>
          <t>GTBRL10Y Govt</t>
        </is>
      </c>
      <c r="E39" s="21" t="inlineStr">
        <is>
          <t>PX_LAST</t>
        </is>
      </c>
      <c r="F39" s="36" t="inlineStr">
        <is>
          <t>VERIFY</t>
        </is>
      </c>
      <c r="G39" s="23">
        <f>IFERROR(IF(BDP($D39,"NAME")="","CHECK",BDP($D39,"NAME")),"CHECK")</f>
        <v/>
      </c>
      <c r="H39" s="24">
        <f>IFERROR(BDP($D39,$E39),"")</f>
        <v/>
      </c>
      <c r="I39" s="25">
        <f>IFERROR(AVERAGE(BDH($D39,$E39,SETTINGS_LOOK,"0D","Days="&amp;SETTINGS_FREQ,"Fill=P")),"")</f>
        <v/>
      </c>
      <c r="J39" s="26">
        <f>IFERROR(STDEV(BDH($D39,$E39,SETTINGS_LOOK,"0D","Days="&amp;SETTINGS_FREQ,"Fill=P")),"")</f>
        <v/>
      </c>
      <c r="K39" s="27">
        <f>IFERROR(($H39-$I39)/$J39,"")</f>
        <v/>
      </c>
      <c r="L39" s="28" t="n">
        <v>1</v>
      </c>
      <c r="M39" s="29">
        <f>IFERROR($K39*$L39,"")</f>
        <v/>
      </c>
      <c r="N39" s="30">
        <f>IFERROR(NORMSDIST($M39),"")</f>
        <v/>
      </c>
      <c r="O39" s="30">
        <f>IFERROR(BDP($D39,"CHG_PCT_1YR")/100,"")</f>
        <v/>
      </c>
      <c r="P39" s="31">
        <f>IFERROR(SUMPRODUCT(($B$7:$B$106=$B39)*($M$7:$M$106&gt;$M39))+1,"")</f>
        <v/>
      </c>
      <c r="Q39" s="32">
        <f>COUNTIF($B$7:$B$106,$B39)</f>
        <v/>
      </c>
      <c r="R39" s="33">
        <f>IFERROR(IF($M39&gt;=SETTINGS_ZC,"CHEAP",IF($M39&lt;=SETTINGS_ZR,"RICH","-")),"")</f>
        <v/>
      </c>
      <c r="S39" s="12" t="inlineStr">
        <is>
          <t>10y nominal yield, %. High yield = cheap bond.</t>
        </is>
      </c>
      <c r="T39" s="34" t="inlineStr"/>
      <c r="U39" s="32">
        <f>IFERROR(SUMPRODUCT(($M$7:$M$106&gt;$M39)*1)+1,"")</f>
        <v/>
      </c>
    </row>
    <row r="40">
      <c r="B40" s="35" t="inlineStr">
        <is>
          <t>RATES</t>
        </is>
      </c>
      <c r="C40" s="19" t="inlineStr">
        <is>
          <t>Mexico 10y</t>
        </is>
      </c>
      <c r="D40" s="20" t="inlineStr">
        <is>
          <t>GTMXN10Y Govt</t>
        </is>
      </c>
      <c r="E40" s="21" t="inlineStr">
        <is>
          <t>PX_LAST</t>
        </is>
      </c>
      <c r="F40" s="36" t="inlineStr">
        <is>
          <t>VERIFY</t>
        </is>
      </c>
      <c r="G40" s="23">
        <f>IFERROR(IF(BDP($D40,"NAME")="","CHECK",BDP($D40,"NAME")),"CHECK")</f>
        <v/>
      </c>
      <c r="H40" s="24">
        <f>IFERROR(BDP($D40,$E40),"")</f>
        <v/>
      </c>
      <c r="I40" s="25">
        <f>IFERROR(AVERAGE(BDH($D40,$E40,SETTINGS_LOOK,"0D","Days="&amp;SETTINGS_FREQ,"Fill=P")),"")</f>
        <v/>
      </c>
      <c r="J40" s="26">
        <f>IFERROR(STDEV(BDH($D40,$E40,SETTINGS_LOOK,"0D","Days="&amp;SETTINGS_FREQ,"Fill=P")),"")</f>
        <v/>
      </c>
      <c r="K40" s="27">
        <f>IFERROR(($H40-$I40)/$J40,"")</f>
        <v/>
      </c>
      <c r="L40" s="28" t="n">
        <v>1</v>
      </c>
      <c r="M40" s="29">
        <f>IFERROR($K40*$L40,"")</f>
        <v/>
      </c>
      <c r="N40" s="30">
        <f>IFERROR(NORMSDIST($M40),"")</f>
        <v/>
      </c>
      <c r="O40" s="30">
        <f>IFERROR(BDP($D40,"CHG_PCT_1YR")/100,"")</f>
        <v/>
      </c>
      <c r="P40" s="31">
        <f>IFERROR(SUMPRODUCT(($B$7:$B$106=$B40)*($M$7:$M$106&gt;$M40))+1,"")</f>
        <v/>
      </c>
      <c r="Q40" s="32">
        <f>COUNTIF($B$7:$B$106,$B40)</f>
        <v/>
      </c>
      <c r="R40" s="33">
        <f>IFERROR(IF($M40&gt;=SETTINGS_ZC,"CHEAP",IF($M40&lt;=SETTINGS_ZR,"RICH","-")),"")</f>
        <v/>
      </c>
      <c r="S40" s="12" t="inlineStr">
        <is>
          <t>10y nominal yield, %. High yield = cheap bond.</t>
        </is>
      </c>
      <c r="T40" s="34" t="inlineStr"/>
      <c r="U40" s="32">
        <f>IFERROR(SUMPRODUCT(($M$7:$M$106&gt;$M40)*1)+1,"")</f>
        <v/>
      </c>
    </row>
    <row r="41">
      <c r="B41" s="35" t="inlineStr">
        <is>
          <t>RATES</t>
        </is>
      </c>
      <c r="C41" s="19" t="inlineStr">
        <is>
          <t>Colombia 10y</t>
        </is>
      </c>
      <c r="D41" s="20" t="inlineStr">
        <is>
          <t>GTCOP10Y Govt</t>
        </is>
      </c>
      <c r="E41" s="21" t="inlineStr">
        <is>
          <t>PX_LAST</t>
        </is>
      </c>
      <c r="F41" s="36" t="inlineStr">
        <is>
          <t>VERIFY</t>
        </is>
      </c>
      <c r="G41" s="23">
        <f>IFERROR(IF(BDP($D41,"NAME")="","CHECK",BDP($D41,"NAME")),"CHECK")</f>
        <v/>
      </c>
      <c r="H41" s="24">
        <f>IFERROR(BDP($D41,$E41),"")</f>
        <v/>
      </c>
      <c r="I41" s="25">
        <f>IFERROR(AVERAGE(BDH($D41,$E41,SETTINGS_LOOK,"0D","Days="&amp;SETTINGS_FREQ,"Fill=P")),"")</f>
        <v/>
      </c>
      <c r="J41" s="26">
        <f>IFERROR(STDEV(BDH($D41,$E41,SETTINGS_LOOK,"0D","Days="&amp;SETTINGS_FREQ,"Fill=P")),"")</f>
        <v/>
      </c>
      <c r="K41" s="27">
        <f>IFERROR(($H41-$I41)/$J41,"")</f>
        <v/>
      </c>
      <c r="L41" s="28" t="n">
        <v>1</v>
      </c>
      <c r="M41" s="29">
        <f>IFERROR($K41*$L41,"")</f>
        <v/>
      </c>
      <c r="N41" s="30">
        <f>IFERROR(NORMSDIST($M41),"")</f>
        <v/>
      </c>
      <c r="O41" s="30">
        <f>IFERROR(BDP($D41,"CHG_PCT_1YR")/100,"")</f>
        <v/>
      </c>
      <c r="P41" s="31">
        <f>IFERROR(SUMPRODUCT(($B$7:$B$106=$B41)*($M$7:$M$106&gt;$M41))+1,"")</f>
        <v/>
      </c>
      <c r="Q41" s="32">
        <f>COUNTIF($B$7:$B$106,$B41)</f>
        <v/>
      </c>
      <c r="R41" s="33">
        <f>IFERROR(IF($M41&gt;=SETTINGS_ZC,"CHEAP",IF($M41&lt;=SETTINGS_ZR,"RICH","-")),"")</f>
        <v/>
      </c>
      <c r="S41" s="12" t="inlineStr">
        <is>
          <t>10y nominal yield, %. High yield = cheap bond.</t>
        </is>
      </c>
      <c r="T41" s="34" t="inlineStr"/>
      <c r="U41" s="32">
        <f>IFERROR(SUMPRODUCT(($M$7:$M$106&gt;$M41)*1)+1,"")</f>
        <v/>
      </c>
    </row>
    <row r="42">
      <c r="B42" s="35" t="inlineStr">
        <is>
          <t>RATES</t>
        </is>
      </c>
      <c r="C42" s="19" t="inlineStr">
        <is>
          <t>Chile 10y</t>
        </is>
      </c>
      <c r="D42" s="20" t="inlineStr">
        <is>
          <t>GTCLP10Y Govt</t>
        </is>
      </c>
      <c r="E42" s="21" t="inlineStr">
        <is>
          <t>PX_LAST</t>
        </is>
      </c>
      <c r="F42" s="36" t="inlineStr">
        <is>
          <t>VERIFY</t>
        </is>
      </c>
      <c r="G42" s="23">
        <f>IFERROR(IF(BDP($D42,"NAME")="","CHECK",BDP($D42,"NAME")),"CHECK")</f>
        <v/>
      </c>
      <c r="H42" s="24">
        <f>IFERROR(BDP($D42,$E42),"")</f>
        <v/>
      </c>
      <c r="I42" s="25">
        <f>IFERROR(AVERAGE(BDH($D42,$E42,SETTINGS_LOOK,"0D","Days="&amp;SETTINGS_FREQ,"Fill=P")),"")</f>
        <v/>
      </c>
      <c r="J42" s="26">
        <f>IFERROR(STDEV(BDH($D42,$E42,SETTINGS_LOOK,"0D","Days="&amp;SETTINGS_FREQ,"Fill=P")),"")</f>
        <v/>
      </c>
      <c r="K42" s="27">
        <f>IFERROR(($H42-$I42)/$J42,"")</f>
        <v/>
      </c>
      <c r="L42" s="28" t="n">
        <v>1</v>
      </c>
      <c r="M42" s="29">
        <f>IFERROR($K42*$L42,"")</f>
        <v/>
      </c>
      <c r="N42" s="30">
        <f>IFERROR(NORMSDIST($M42),"")</f>
        <v/>
      </c>
      <c r="O42" s="30">
        <f>IFERROR(BDP($D42,"CHG_PCT_1YR")/100,"")</f>
        <v/>
      </c>
      <c r="P42" s="31">
        <f>IFERROR(SUMPRODUCT(($B$7:$B$106=$B42)*($M$7:$M$106&gt;$M42))+1,"")</f>
        <v/>
      </c>
      <c r="Q42" s="32">
        <f>COUNTIF($B$7:$B$106,$B42)</f>
        <v/>
      </c>
      <c r="R42" s="33">
        <f>IFERROR(IF($M42&gt;=SETTINGS_ZC,"CHEAP",IF($M42&lt;=SETTINGS_ZR,"RICH","-")),"")</f>
        <v/>
      </c>
      <c r="S42" s="12" t="inlineStr">
        <is>
          <t>10y nominal yield, %. High yield = cheap bond.</t>
        </is>
      </c>
      <c r="T42" s="34" t="inlineStr"/>
      <c r="U42" s="32">
        <f>IFERROR(SUMPRODUCT(($M$7:$M$106&gt;$M42)*1)+1,"")</f>
        <v/>
      </c>
    </row>
    <row r="43">
      <c r="B43" s="35" t="inlineStr">
        <is>
          <t>RATES</t>
        </is>
      </c>
      <c r="C43" s="19" t="inlineStr">
        <is>
          <t>Peru 10y</t>
        </is>
      </c>
      <c r="D43" s="20" t="inlineStr">
        <is>
          <t>GTPEN10Y Govt</t>
        </is>
      </c>
      <c r="E43" s="21" t="inlineStr">
        <is>
          <t>PX_LAST</t>
        </is>
      </c>
      <c r="F43" s="36" t="inlineStr">
        <is>
          <t>VERIFY</t>
        </is>
      </c>
      <c r="G43" s="23">
        <f>IFERROR(IF(BDP($D43,"NAME")="","CHECK",BDP($D43,"NAME")),"CHECK")</f>
        <v/>
      </c>
      <c r="H43" s="24">
        <f>IFERROR(BDP($D43,$E43),"")</f>
        <v/>
      </c>
      <c r="I43" s="25">
        <f>IFERROR(AVERAGE(BDH($D43,$E43,SETTINGS_LOOK,"0D","Days="&amp;SETTINGS_FREQ,"Fill=P")),"")</f>
        <v/>
      </c>
      <c r="J43" s="26">
        <f>IFERROR(STDEV(BDH($D43,$E43,SETTINGS_LOOK,"0D","Days="&amp;SETTINGS_FREQ,"Fill=P")),"")</f>
        <v/>
      </c>
      <c r="K43" s="27">
        <f>IFERROR(($H43-$I43)/$J43,"")</f>
        <v/>
      </c>
      <c r="L43" s="28" t="n">
        <v>1</v>
      </c>
      <c r="M43" s="29">
        <f>IFERROR($K43*$L43,"")</f>
        <v/>
      </c>
      <c r="N43" s="30">
        <f>IFERROR(NORMSDIST($M43),"")</f>
        <v/>
      </c>
      <c r="O43" s="30">
        <f>IFERROR(BDP($D43,"CHG_PCT_1YR")/100,"")</f>
        <v/>
      </c>
      <c r="P43" s="31">
        <f>IFERROR(SUMPRODUCT(($B$7:$B$106=$B43)*($M$7:$M$106&gt;$M43))+1,"")</f>
        <v/>
      </c>
      <c r="Q43" s="32">
        <f>COUNTIF($B$7:$B$106,$B43)</f>
        <v/>
      </c>
      <c r="R43" s="33">
        <f>IFERROR(IF($M43&gt;=SETTINGS_ZC,"CHEAP",IF($M43&lt;=SETTINGS_ZR,"RICH","-")),"")</f>
        <v/>
      </c>
      <c r="S43" s="12" t="inlineStr">
        <is>
          <t>10y nominal yield, %. High yield = cheap bond.</t>
        </is>
      </c>
      <c r="T43" s="34" t="inlineStr"/>
      <c r="U43" s="32">
        <f>IFERROR(SUMPRODUCT(($M$7:$M$106&gt;$M43)*1)+1,"")</f>
        <v/>
      </c>
    </row>
    <row r="44">
      <c r="B44" s="35" t="inlineStr">
        <is>
          <t>RATES</t>
        </is>
      </c>
      <c r="C44" s="19" t="inlineStr">
        <is>
          <t>South Africa 10y</t>
        </is>
      </c>
      <c r="D44" s="20" t="inlineStr">
        <is>
          <t>GSAB10YR Index</t>
        </is>
      </c>
      <c r="E44" s="21" t="inlineStr">
        <is>
          <t>PX_LAST</t>
        </is>
      </c>
      <c r="F44" s="36" t="inlineStr">
        <is>
          <t>VERIFY</t>
        </is>
      </c>
      <c r="G44" s="23">
        <f>IFERROR(IF(BDP($D44,"NAME")="","CHECK",BDP($D44,"NAME")),"CHECK")</f>
        <v/>
      </c>
      <c r="H44" s="24">
        <f>IFERROR(BDP($D44,$E44),"")</f>
        <v/>
      </c>
      <c r="I44" s="25">
        <f>IFERROR(AVERAGE(BDH($D44,$E44,SETTINGS_LOOK,"0D","Days="&amp;SETTINGS_FREQ,"Fill=P")),"")</f>
        <v/>
      </c>
      <c r="J44" s="26">
        <f>IFERROR(STDEV(BDH($D44,$E44,SETTINGS_LOOK,"0D","Days="&amp;SETTINGS_FREQ,"Fill=P")),"")</f>
        <v/>
      </c>
      <c r="K44" s="27">
        <f>IFERROR(($H44-$I44)/$J44,"")</f>
        <v/>
      </c>
      <c r="L44" s="28" t="n">
        <v>1</v>
      </c>
      <c r="M44" s="29">
        <f>IFERROR($K44*$L44,"")</f>
        <v/>
      </c>
      <c r="N44" s="30">
        <f>IFERROR(NORMSDIST($M44),"")</f>
        <v/>
      </c>
      <c r="O44" s="30">
        <f>IFERROR(BDP($D44,"CHG_PCT_1YR")/100,"")</f>
        <v/>
      </c>
      <c r="P44" s="31">
        <f>IFERROR(SUMPRODUCT(($B$7:$B$106=$B44)*($M$7:$M$106&gt;$M44))+1,"")</f>
        <v/>
      </c>
      <c r="Q44" s="32">
        <f>COUNTIF($B$7:$B$106,$B44)</f>
        <v/>
      </c>
      <c r="R44" s="33">
        <f>IFERROR(IF($M44&gt;=SETTINGS_ZC,"CHEAP",IF($M44&lt;=SETTINGS_ZR,"RICH","-")),"")</f>
        <v/>
      </c>
      <c r="S44" s="12" t="inlineStr">
        <is>
          <t>10y nominal yield, %. High yield = cheap bond.</t>
        </is>
      </c>
      <c r="T44" s="34" t="inlineStr"/>
      <c r="U44" s="32">
        <f>IFERROR(SUMPRODUCT(($M$7:$M$106&gt;$M44)*1)+1,"")</f>
        <v/>
      </c>
    </row>
    <row r="45">
      <c r="B45" s="35" t="inlineStr">
        <is>
          <t>RATES</t>
        </is>
      </c>
      <c r="C45" s="19" t="inlineStr">
        <is>
          <t>Turkey 10y</t>
        </is>
      </c>
      <c r="D45" s="20" t="inlineStr">
        <is>
          <t>GTTRY10Y Govt</t>
        </is>
      </c>
      <c r="E45" s="21" t="inlineStr">
        <is>
          <t>PX_LAST</t>
        </is>
      </c>
      <c r="F45" s="36" t="inlineStr">
        <is>
          <t>VERIFY</t>
        </is>
      </c>
      <c r="G45" s="23">
        <f>IFERROR(IF(BDP($D45,"NAME")="","CHECK",BDP($D45,"NAME")),"CHECK")</f>
        <v/>
      </c>
      <c r="H45" s="24">
        <f>IFERROR(BDP($D45,$E45),"")</f>
        <v/>
      </c>
      <c r="I45" s="25">
        <f>IFERROR(AVERAGE(BDH($D45,$E45,SETTINGS_LOOK,"0D","Days="&amp;SETTINGS_FREQ,"Fill=P")),"")</f>
        <v/>
      </c>
      <c r="J45" s="26">
        <f>IFERROR(STDEV(BDH($D45,$E45,SETTINGS_LOOK,"0D","Days="&amp;SETTINGS_FREQ,"Fill=P")),"")</f>
        <v/>
      </c>
      <c r="K45" s="27">
        <f>IFERROR(($H45-$I45)/$J45,"")</f>
        <v/>
      </c>
      <c r="L45" s="28" t="n">
        <v>1</v>
      </c>
      <c r="M45" s="29">
        <f>IFERROR($K45*$L45,"")</f>
        <v/>
      </c>
      <c r="N45" s="30">
        <f>IFERROR(NORMSDIST($M45),"")</f>
        <v/>
      </c>
      <c r="O45" s="30">
        <f>IFERROR(BDP($D45,"CHG_PCT_1YR")/100,"")</f>
        <v/>
      </c>
      <c r="P45" s="31">
        <f>IFERROR(SUMPRODUCT(($B$7:$B$106=$B45)*($M$7:$M$106&gt;$M45))+1,"")</f>
        <v/>
      </c>
      <c r="Q45" s="32">
        <f>COUNTIF($B$7:$B$106,$B45)</f>
        <v/>
      </c>
      <c r="R45" s="33">
        <f>IFERROR(IF($M45&gt;=SETTINGS_ZC,"CHEAP",IF($M45&lt;=SETTINGS_ZR,"RICH","-")),"")</f>
        <v/>
      </c>
      <c r="S45" s="12" t="inlineStr">
        <is>
          <t>10y nominal yield, %. High yield = cheap bond.</t>
        </is>
      </c>
      <c r="T45" s="34" t="inlineStr"/>
      <c r="U45" s="32">
        <f>IFERROR(SUMPRODUCT(($M$7:$M$106&gt;$M45)*1)+1,"")</f>
        <v/>
      </c>
    </row>
    <row r="46">
      <c r="B46" s="35" t="inlineStr">
        <is>
          <t>RATES</t>
        </is>
      </c>
      <c r="C46" s="19" t="inlineStr">
        <is>
          <t>Poland 10y</t>
        </is>
      </c>
      <c r="D46" s="20" t="inlineStr">
        <is>
          <t>GTPLN10Y Govt</t>
        </is>
      </c>
      <c r="E46" s="21" t="inlineStr">
        <is>
          <t>PX_LAST</t>
        </is>
      </c>
      <c r="F46" s="36" t="inlineStr">
        <is>
          <t>VERIFY</t>
        </is>
      </c>
      <c r="G46" s="23">
        <f>IFERROR(IF(BDP($D46,"NAME")="","CHECK",BDP($D46,"NAME")),"CHECK")</f>
        <v/>
      </c>
      <c r="H46" s="24">
        <f>IFERROR(BDP($D46,$E46),"")</f>
        <v/>
      </c>
      <c r="I46" s="25">
        <f>IFERROR(AVERAGE(BDH($D46,$E46,SETTINGS_LOOK,"0D","Days="&amp;SETTINGS_FREQ,"Fill=P")),"")</f>
        <v/>
      </c>
      <c r="J46" s="26">
        <f>IFERROR(STDEV(BDH($D46,$E46,SETTINGS_LOOK,"0D","Days="&amp;SETTINGS_FREQ,"Fill=P")),"")</f>
        <v/>
      </c>
      <c r="K46" s="27">
        <f>IFERROR(($H46-$I46)/$J46,"")</f>
        <v/>
      </c>
      <c r="L46" s="28" t="n">
        <v>1</v>
      </c>
      <c r="M46" s="29">
        <f>IFERROR($K46*$L46,"")</f>
        <v/>
      </c>
      <c r="N46" s="30">
        <f>IFERROR(NORMSDIST($M46),"")</f>
        <v/>
      </c>
      <c r="O46" s="30">
        <f>IFERROR(BDP($D46,"CHG_PCT_1YR")/100,"")</f>
        <v/>
      </c>
      <c r="P46" s="31">
        <f>IFERROR(SUMPRODUCT(($B$7:$B$106=$B46)*($M$7:$M$106&gt;$M46))+1,"")</f>
        <v/>
      </c>
      <c r="Q46" s="32">
        <f>COUNTIF($B$7:$B$106,$B46)</f>
        <v/>
      </c>
      <c r="R46" s="33">
        <f>IFERROR(IF($M46&gt;=SETTINGS_ZC,"CHEAP",IF($M46&lt;=SETTINGS_ZR,"RICH","-")),"")</f>
        <v/>
      </c>
      <c r="S46" s="12" t="inlineStr">
        <is>
          <t>10y nominal yield, %. High yield = cheap bond.</t>
        </is>
      </c>
      <c r="T46" s="34" t="inlineStr"/>
      <c r="U46" s="32">
        <f>IFERROR(SUMPRODUCT(($M$7:$M$106&gt;$M46)*1)+1,"")</f>
        <v/>
      </c>
    </row>
    <row r="47">
      <c r="B47" s="35" t="inlineStr">
        <is>
          <t>RATES</t>
        </is>
      </c>
      <c r="C47" s="19" t="inlineStr">
        <is>
          <t>Czech 10y</t>
        </is>
      </c>
      <c r="D47" s="20" t="inlineStr">
        <is>
          <t>GTCZK10Y Govt</t>
        </is>
      </c>
      <c r="E47" s="21" t="inlineStr">
        <is>
          <t>PX_LAST</t>
        </is>
      </c>
      <c r="F47" s="36" t="inlineStr">
        <is>
          <t>VERIFY</t>
        </is>
      </c>
      <c r="G47" s="23">
        <f>IFERROR(IF(BDP($D47,"NAME")="","CHECK",BDP($D47,"NAME")),"CHECK")</f>
        <v/>
      </c>
      <c r="H47" s="24">
        <f>IFERROR(BDP($D47,$E47),"")</f>
        <v/>
      </c>
      <c r="I47" s="25">
        <f>IFERROR(AVERAGE(BDH($D47,$E47,SETTINGS_LOOK,"0D","Days="&amp;SETTINGS_FREQ,"Fill=P")),"")</f>
        <v/>
      </c>
      <c r="J47" s="26">
        <f>IFERROR(STDEV(BDH($D47,$E47,SETTINGS_LOOK,"0D","Days="&amp;SETTINGS_FREQ,"Fill=P")),"")</f>
        <v/>
      </c>
      <c r="K47" s="27">
        <f>IFERROR(($H47-$I47)/$J47,"")</f>
        <v/>
      </c>
      <c r="L47" s="28" t="n">
        <v>1</v>
      </c>
      <c r="M47" s="29">
        <f>IFERROR($K47*$L47,"")</f>
        <v/>
      </c>
      <c r="N47" s="30">
        <f>IFERROR(NORMSDIST($M47),"")</f>
        <v/>
      </c>
      <c r="O47" s="30">
        <f>IFERROR(BDP($D47,"CHG_PCT_1YR")/100,"")</f>
        <v/>
      </c>
      <c r="P47" s="31">
        <f>IFERROR(SUMPRODUCT(($B$7:$B$106=$B47)*($M$7:$M$106&gt;$M47))+1,"")</f>
        <v/>
      </c>
      <c r="Q47" s="32">
        <f>COUNTIF($B$7:$B$106,$B47)</f>
        <v/>
      </c>
      <c r="R47" s="33">
        <f>IFERROR(IF($M47&gt;=SETTINGS_ZC,"CHEAP",IF($M47&lt;=SETTINGS_ZR,"RICH","-")),"")</f>
        <v/>
      </c>
      <c r="S47" s="12" t="inlineStr">
        <is>
          <t>10y nominal yield, %. High yield = cheap bond.</t>
        </is>
      </c>
      <c r="T47" s="34" t="inlineStr"/>
      <c r="U47" s="32">
        <f>IFERROR(SUMPRODUCT(($M$7:$M$106&gt;$M47)*1)+1,"")</f>
        <v/>
      </c>
    </row>
    <row r="48">
      <c r="B48" s="35" t="inlineStr">
        <is>
          <t>RATES</t>
        </is>
      </c>
      <c r="C48" s="19" t="inlineStr">
        <is>
          <t>India 10y</t>
        </is>
      </c>
      <c r="D48" s="20" t="inlineStr">
        <is>
          <t>GIND10YR Index</t>
        </is>
      </c>
      <c r="E48" s="21" t="inlineStr">
        <is>
          <t>PX_LAST</t>
        </is>
      </c>
      <c r="F48" s="36" t="inlineStr">
        <is>
          <t>VERIFY</t>
        </is>
      </c>
      <c r="G48" s="23">
        <f>IFERROR(IF(BDP($D48,"NAME")="","CHECK",BDP($D48,"NAME")),"CHECK")</f>
        <v/>
      </c>
      <c r="H48" s="24">
        <f>IFERROR(BDP($D48,$E48),"")</f>
        <v/>
      </c>
      <c r="I48" s="25">
        <f>IFERROR(AVERAGE(BDH($D48,$E48,SETTINGS_LOOK,"0D","Days="&amp;SETTINGS_FREQ,"Fill=P")),"")</f>
        <v/>
      </c>
      <c r="J48" s="26">
        <f>IFERROR(STDEV(BDH($D48,$E48,SETTINGS_LOOK,"0D","Days="&amp;SETTINGS_FREQ,"Fill=P")),"")</f>
        <v/>
      </c>
      <c r="K48" s="27">
        <f>IFERROR(($H48-$I48)/$J48,"")</f>
        <v/>
      </c>
      <c r="L48" s="28" t="n">
        <v>1</v>
      </c>
      <c r="M48" s="29">
        <f>IFERROR($K48*$L48,"")</f>
        <v/>
      </c>
      <c r="N48" s="30">
        <f>IFERROR(NORMSDIST($M48),"")</f>
        <v/>
      </c>
      <c r="O48" s="30">
        <f>IFERROR(BDP($D48,"CHG_PCT_1YR")/100,"")</f>
        <v/>
      </c>
      <c r="P48" s="31">
        <f>IFERROR(SUMPRODUCT(($B$7:$B$106=$B48)*($M$7:$M$106&gt;$M48))+1,"")</f>
        <v/>
      </c>
      <c r="Q48" s="32">
        <f>COUNTIF($B$7:$B$106,$B48)</f>
        <v/>
      </c>
      <c r="R48" s="33">
        <f>IFERROR(IF($M48&gt;=SETTINGS_ZC,"CHEAP",IF($M48&lt;=SETTINGS_ZR,"RICH","-")),"")</f>
        <v/>
      </c>
      <c r="S48" s="12" t="inlineStr">
        <is>
          <t>10y nominal yield, %. High yield = cheap bond.</t>
        </is>
      </c>
      <c r="T48" s="34" t="inlineStr"/>
      <c r="U48" s="32">
        <f>IFERROR(SUMPRODUCT(($M$7:$M$106&gt;$M48)*1)+1,"")</f>
        <v/>
      </c>
    </row>
    <row r="49">
      <c r="B49" s="35" t="inlineStr">
        <is>
          <t>RATES</t>
        </is>
      </c>
      <c r="C49" s="19" t="inlineStr">
        <is>
          <t>Indonesia 10y</t>
        </is>
      </c>
      <c r="D49" s="20" t="inlineStr">
        <is>
          <t>GTIDR10Y Govt</t>
        </is>
      </c>
      <c r="E49" s="21" t="inlineStr">
        <is>
          <t>PX_LAST</t>
        </is>
      </c>
      <c r="F49" s="36" t="inlineStr">
        <is>
          <t>VERIFY</t>
        </is>
      </c>
      <c r="G49" s="23">
        <f>IFERROR(IF(BDP($D49,"NAME")="","CHECK",BDP($D49,"NAME")),"CHECK")</f>
        <v/>
      </c>
      <c r="H49" s="24">
        <f>IFERROR(BDP($D49,$E49),"")</f>
        <v/>
      </c>
      <c r="I49" s="25">
        <f>IFERROR(AVERAGE(BDH($D49,$E49,SETTINGS_LOOK,"0D","Days="&amp;SETTINGS_FREQ,"Fill=P")),"")</f>
        <v/>
      </c>
      <c r="J49" s="26">
        <f>IFERROR(STDEV(BDH($D49,$E49,SETTINGS_LOOK,"0D","Days="&amp;SETTINGS_FREQ,"Fill=P")),"")</f>
        <v/>
      </c>
      <c r="K49" s="27">
        <f>IFERROR(($H49-$I49)/$J49,"")</f>
        <v/>
      </c>
      <c r="L49" s="28" t="n">
        <v>1</v>
      </c>
      <c r="M49" s="29">
        <f>IFERROR($K49*$L49,"")</f>
        <v/>
      </c>
      <c r="N49" s="30">
        <f>IFERROR(NORMSDIST($M49),"")</f>
        <v/>
      </c>
      <c r="O49" s="30">
        <f>IFERROR(BDP($D49,"CHG_PCT_1YR")/100,"")</f>
        <v/>
      </c>
      <c r="P49" s="31">
        <f>IFERROR(SUMPRODUCT(($B$7:$B$106=$B49)*($M$7:$M$106&gt;$M49))+1,"")</f>
        <v/>
      </c>
      <c r="Q49" s="32">
        <f>COUNTIF($B$7:$B$106,$B49)</f>
        <v/>
      </c>
      <c r="R49" s="33">
        <f>IFERROR(IF($M49&gt;=SETTINGS_ZC,"CHEAP",IF($M49&lt;=SETTINGS_ZR,"RICH","-")),"")</f>
        <v/>
      </c>
      <c r="S49" s="12" t="inlineStr">
        <is>
          <t>10y nominal yield, %. High yield = cheap bond.</t>
        </is>
      </c>
      <c r="T49" s="34" t="inlineStr"/>
      <c r="U49" s="32">
        <f>IFERROR(SUMPRODUCT(($M$7:$M$106&gt;$M49)*1)+1,"")</f>
        <v/>
      </c>
    </row>
    <row r="50">
      <c r="B50" s="35" t="inlineStr">
        <is>
          <t>RATES</t>
        </is>
      </c>
      <c r="C50" s="19" t="inlineStr">
        <is>
          <t>Korea 10y</t>
        </is>
      </c>
      <c r="D50" s="20" t="inlineStr">
        <is>
          <t>GVSK10YR Index</t>
        </is>
      </c>
      <c r="E50" s="21" t="inlineStr">
        <is>
          <t>PX_LAST</t>
        </is>
      </c>
      <c r="F50" s="36" t="inlineStr">
        <is>
          <t>VERIFY</t>
        </is>
      </c>
      <c r="G50" s="23">
        <f>IFERROR(IF(BDP($D50,"NAME")="","CHECK",BDP($D50,"NAME")),"CHECK")</f>
        <v/>
      </c>
      <c r="H50" s="24">
        <f>IFERROR(BDP($D50,$E50),"")</f>
        <v/>
      </c>
      <c r="I50" s="25">
        <f>IFERROR(AVERAGE(BDH($D50,$E50,SETTINGS_LOOK,"0D","Days="&amp;SETTINGS_FREQ,"Fill=P")),"")</f>
        <v/>
      </c>
      <c r="J50" s="26">
        <f>IFERROR(STDEV(BDH($D50,$E50,SETTINGS_LOOK,"0D","Days="&amp;SETTINGS_FREQ,"Fill=P")),"")</f>
        <v/>
      </c>
      <c r="K50" s="27">
        <f>IFERROR(($H50-$I50)/$J50,"")</f>
        <v/>
      </c>
      <c r="L50" s="28" t="n">
        <v>1</v>
      </c>
      <c r="M50" s="29">
        <f>IFERROR($K50*$L50,"")</f>
        <v/>
      </c>
      <c r="N50" s="30">
        <f>IFERROR(NORMSDIST($M50),"")</f>
        <v/>
      </c>
      <c r="O50" s="30">
        <f>IFERROR(BDP($D50,"CHG_PCT_1YR")/100,"")</f>
        <v/>
      </c>
      <c r="P50" s="31">
        <f>IFERROR(SUMPRODUCT(($B$7:$B$106=$B50)*($M$7:$M$106&gt;$M50))+1,"")</f>
        <v/>
      </c>
      <c r="Q50" s="32">
        <f>COUNTIF($B$7:$B$106,$B50)</f>
        <v/>
      </c>
      <c r="R50" s="33">
        <f>IFERROR(IF($M50&gt;=SETTINGS_ZC,"CHEAP",IF($M50&lt;=SETTINGS_ZR,"RICH","-")),"")</f>
        <v/>
      </c>
      <c r="S50" s="12" t="inlineStr">
        <is>
          <t>10y nominal yield, %. High yield = cheap bond.</t>
        </is>
      </c>
      <c r="T50" s="34" t="inlineStr"/>
      <c r="U50" s="32">
        <f>IFERROR(SUMPRODUCT(($M$7:$M$106&gt;$M50)*1)+1,"")</f>
        <v/>
      </c>
    </row>
    <row r="51">
      <c r="B51" s="37" t="inlineStr">
        <is>
          <t>FX</t>
        </is>
      </c>
      <c r="C51" s="19" t="inlineStr">
        <is>
          <t>Euro</t>
        </is>
      </c>
      <c r="D51" s="20" t="inlineStr">
        <is>
          <t>EURUSD Curncy</t>
        </is>
      </c>
      <c r="E51" s="21" t="inlineStr">
        <is>
          <t>PX_LAST</t>
        </is>
      </c>
      <c r="F51" s="22" t="inlineStr">
        <is>
          <t>HIGH</t>
        </is>
      </c>
      <c r="G51" s="23">
        <f>IFERROR(IF(BDP($D51,"NAME")="","CHECK",BDP($D51,"NAME")),"CHECK")</f>
        <v/>
      </c>
      <c r="H51" s="24">
        <f>IFERROR(BDP($D51,$E51),"")</f>
        <v/>
      </c>
      <c r="I51" s="25">
        <f>IFERROR(AVERAGE(BDH($D51,$E51,SETTINGS_LOOK,"0D","Days="&amp;SETTINGS_FREQ,"Fill=P")),"")</f>
        <v/>
      </c>
      <c r="J51" s="26">
        <f>IFERROR(STDEV(BDH($D51,$E51,SETTINGS_LOOK,"0D","Days="&amp;SETTINGS_FREQ,"Fill=P")),"")</f>
        <v/>
      </c>
      <c r="K51" s="27">
        <f>IFERROR(($H51-$I51)/$J51,"")</f>
        <v/>
      </c>
      <c r="L51" s="28" t="n">
        <v>-1</v>
      </c>
      <c r="M51" s="29">
        <f>IFERROR(IF(AND(SETTINGS_FXSRC="REER",$T51&lt;&gt;""),-1*((BDP($T51,"PX_LAST")-AVERAGE(BDH($T51,"PX_LAST",SETTINGS_LOOK,"0D","Days="&amp;SETTINGS_FREQ,"Fill=P")))/STDEV(BDH($T51,"PX_LAST",SETTINGS_LOOK,"0D","Days="&amp;SETTINGS_FREQ,"Fill=P"))),$K51*$L51),"")</f>
        <v/>
      </c>
      <c r="N51" s="30">
        <f>IFERROR(NORMSDIST($M51),"")</f>
        <v/>
      </c>
      <c r="O51" s="30">
        <f>IFERROR(BDP($D51,"CHG_PCT_1YR")/100,"")</f>
        <v/>
      </c>
      <c r="P51" s="31">
        <f>IFERROR(SUMPRODUCT(($B$7:$B$106=$B51)*($M$7:$M$106&gt;$M51))+1,"")</f>
        <v/>
      </c>
      <c r="Q51" s="32">
        <f>COUNTIF($B$7:$B$106,$B51)</f>
        <v/>
      </c>
      <c r="R51" s="33">
        <f>IFERROR(IF($M51&gt;=SETTINGS_ZC,"CHEAP",IF($M51&lt;=SETTINGS_ZR,"RICH","-")),"")</f>
        <v/>
      </c>
      <c r="S51" s="12" t="inlineStr">
        <is>
          <t>Spot, USD per unit. High = strong local ccy = expensive.</t>
        </is>
      </c>
      <c r="T51" s="20" t="inlineStr"/>
      <c r="U51" s="32">
        <f>IFERROR(SUMPRODUCT(($M$7:$M$106&gt;$M51)*1)+1,"")</f>
        <v/>
      </c>
    </row>
    <row r="52">
      <c r="B52" s="37" t="inlineStr">
        <is>
          <t>FX</t>
        </is>
      </c>
      <c r="C52" s="19" t="inlineStr">
        <is>
          <t>Japanese yen</t>
        </is>
      </c>
      <c r="D52" s="20" t="inlineStr">
        <is>
          <t>USDJPY Curncy</t>
        </is>
      </c>
      <c r="E52" s="21" t="inlineStr">
        <is>
          <t>PX_LAST</t>
        </is>
      </c>
      <c r="F52" s="22" t="inlineStr">
        <is>
          <t>HIGH</t>
        </is>
      </c>
      <c r="G52" s="23">
        <f>IFERROR(IF(BDP($D52,"NAME")="","CHECK",BDP($D52,"NAME")),"CHECK")</f>
        <v/>
      </c>
      <c r="H52" s="24">
        <f>IFERROR(BDP($D52,$E52),"")</f>
        <v/>
      </c>
      <c r="I52" s="25">
        <f>IFERROR(AVERAGE(BDH($D52,$E52,SETTINGS_LOOK,"0D","Days="&amp;SETTINGS_FREQ,"Fill=P")),"")</f>
        <v/>
      </c>
      <c r="J52" s="26">
        <f>IFERROR(STDEV(BDH($D52,$E52,SETTINGS_LOOK,"0D","Days="&amp;SETTINGS_FREQ,"Fill=P")),"")</f>
        <v/>
      </c>
      <c r="K52" s="27">
        <f>IFERROR(($H52-$I52)/$J52,"")</f>
        <v/>
      </c>
      <c r="L52" s="28" t="n">
        <v>1</v>
      </c>
      <c r="M52" s="29">
        <f>IFERROR(IF(AND(SETTINGS_FXSRC="REER",$T52&lt;&gt;""),-1*((BDP($T52,"PX_LAST")-AVERAGE(BDH($T52,"PX_LAST",SETTINGS_LOOK,"0D","Days="&amp;SETTINGS_FREQ,"Fill=P")))/STDEV(BDH($T52,"PX_LAST",SETTINGS_LOOK,"0D","Days="&amp;SETTINGS_FREQ,"Fill=P"))),$K52*$L52),"")</f>
        <v/>
      </c>
      <c r="N52" s="30">
        <f>IFERROR(NORMSDIST($M52),"")</f>
        <v/>
      </c>
      <c r="O52" s="30">
        <f>IFERROR(BDP($D52,"CHG_PCT_1YR")/100,"")</f>
        <v/>
      </c>
      <c r="P52" s="31">
        <f>IFERROR(SUMPRODUCT(($B$7:$B$106=$B52)*($M$7:$M$106&gt;$M52))+1,"")</f>
        <v/>
      </c>
      <c r="Q52" s="32">
        <f>COUNTIF($B$7:$B$106,$B52)</f>
        <v/>
      </c>
      <c r="R52" s="33">
        <f>IFERROR(IF($M52&gt;=SETTINGS_ZC,"CHEAP",IF($M52&lt;=SETTINGS_ZR,"RICH","-")),"")</f>
        <v/>
      </c>
      <c r="S52" s="12" t="inlineStr">
        <is>
          <t>Spot, units per USD. High = weak local ccy = cheap.</t>
        </is>
      </c>
      <c r="T52" s="20" t="inlineStr"/>
      <c r="U52" s="32">
        <f>IFERROR(SUMPRODUCT(($M$7:$M$106&gt;$M52)*1)+1,"")</f>
        <v/>
      </c>
    </row>
    <row r="53">
      <c r="B53" s="37" t="inlineStr">
        <is>
          <t>FX</t>
        </is>
      </c>
      <c r="C53" s="19" t="inlineStr">
        <is>
          <t>Sterling</t>
        </is>
      </c>
      <c r="D53" s="20" t="inlineStr">
        <is>
          <t>GBPUSD Curncy</t>
        </is>
      </c>
      <c r="E53" s="21" t="inlineStr">
        <is>
          <t>PX_LAST</t>
        </is>
      </c>
      <c r="F53" s="22" t="inlineStr">
        <is>
          <t>HIGH</t>
        </is>
      </c>
      <c r="G53" s="23">
        <f>IFERROR(IF(BDP($D53,"NAME")="","CHECK",BDP($D53,"NAME")),"CHECK")</f>
        <v/>
      </c>
      <c r="H53" s="24">
        <f>IFERROR(BDP($D53,$E53),"")</f>
        <v/>
      </c>
      <c r="I53" s="25">
        <f>IFERROR(AVERAGE(BDH($D53,$E53,SETTINGS_LOOK,"0D","Days="&amp;SETTINGS_FREQ,"Fill=P")),"")</f>
        <v/>
      </c>
      <c r="J53" s="26">
        <f>IFERROR(STDEV(BDH($D53,$E53,SETTINGS_LOOK,"0D","Days="&amp;SETTINGS_FREQ,"Fill=P")),"")</f>
        <v/>
      </c>
      <c r="K53" s="27">
        <f>IFERROR(($H53-$I53)/$J53,"")</f>
        <v/>
      </c>
      <c r="L53" s="28" t="n">
        <v>-1</v>
      </c>
      <c r="M53" s="29">
        <f>IFERROR(IF(AND(SETTINGS_FXSRC="REER",$T53&lt;&gt;""),-1*((BDP($T53,"PX_LAST")-AVERAGE(BDH($T53,"PX_LAST",SETTINGS_LOOK,"0D","Days="&amp;SETTINGS_FREQ,"Fill=P")))/STDEV(BDH($T53,"PX_LAST",SETTINGS_LOOK,"0D","Days="&amp;SETTINGS_FREQ,"Fill=P"))),$K53*$L53),"")</f>
        <v/>
      </c>
      <c r="N53" s="30">
        <f>IFERROR(NORMSDIST($M53),"")</f>
        <v/>
      </c>
      <c r="O53" s="30">
        <f>IFERROR(BDP($D53,"CHG_PCT_1YR")/100,"")</f>
        <v/>
      </c>
      <c r="P53" s="31">
        <f>IFERROR(SUMPRODUCT(($B$7:$B$106=$B53)*($M$7:$M$106&gt;$M53))+1,"")</f>
        <v/>
      </c>
      <c r="Q53" s="32">
        <f>COUNTIF($B$7:$B$106,$B53)</f>
        <v/>
      </c>
      <c r="R53" s="33">
        <f>IFERROR(IF($M53&gt;=SETTINGS_ZC,"CHEAP",IF($M53&lt;=SETTINGS_ZR,"RICH","-")),"")</f>
        <v/>
      </c>
      <c r="S53" s="12" t="inlineStr">
        <is>
          <t>Spot, USD per unit. High = strong local ccy = expensive.</t>
        </is>
      </c>
      <c r="T53" s="20" t="inlineStr"/>
      <c r="U53" s="32">
        <f>IFERROR(SUMPRODUCT(($M$7:$M$106&gt;$M53)*1)+1,"")</f>
        <v/>
      </c>
    </row>
    <row r="54">
      <c r="B54" s="37" t="inlineStr">
        <is>
          <t>FX</t>
        </is>
      </c>
      <c r="C54" s="19" t="inlineStr">
        <is>
          <t>Swiss franc</t>
        </is>
      </c>
      <c r="D54" s="20" t="inlineStr">
        <is>
          <t>USDCHF Curncy</t>
        </is>
      </c>
      <c r="E54" s="21" t="inlineStr">
        <is>
          <t>PX_LAST</t>
        </is>
      </c>
      <c r="F54" s="22" t="inlineStr">
        <is>
          <t>HIGH</t>
        </is>
      </c>
      <c r="G54" s="23">
        <f>IFERROR(IF(BDP($D54,"NAME")="","CHECK",BDP($D54,"NAME")),"CHECK")</f>
        <v/>
      </c>
      <c r="H54" s="24">
        <f>IFERROR(BDP($D54,$E54),"")</f>
        <v/>
      </c>
      <c r="I54" s="25">
        <f>IFERROR(AVERAGE(BDH($D54,$E54,SETTINGS_LOOK,"0D","Days="&amp;SETTINGS_FREQ,"Fill=P")),"")</f>
        <v/>
      </c>
      <c r="J54" s="26">
        <f>IFERROR(STDEV(BDH($D54,$E54,SETTINGS_LOOK,"0D","Days="&amp;SETTINGS_FREQ,"Fill=P")),"")</f>
        <v/>
      </c>
      <c r="K54" s="27">
        <f>IFERROR(($H54-$I54)/$J54,"")</f>
        <v/>
      </c>
      <c r="L54" s="28" t="n">
        <v>1</v>
      </c>
      <c r="M54" s="29">
        <f>IFERROR(IF(AND(SETTINGS_FXSRC="REER",$T54&lt;&gt;""),-1*((BDP($T54,"PX_LAST")-AVERAGE(BDH($T54,"PX_LAST",SETTINGS_LOOK,"0D","Days="&amp;SETTINGS_FREQ,"Fill=P")))/STDEV(BDH($T54,"PX_LAST",SETTINGS_LOOK,"0D","Days="&amp;SETTINGS_FREQ,"Fill=P"))),$K54*$L54),"")</f>
        <v/>
      </c>
      <c r="N54" s="30">
        <f>IFERROR(NORMSDIST($M54),"")</f>
        <v/>
      </c>
      <c r="O54" s="30">
        <f>IFERROR(BDP($D54,"CHG_PCT_1YR")/100,"")</f>
        <v/>
      </c>
      <c r="P54" s="31">
        <f>IFERROR(SUMPRODUCT(($B$7:$B$106=$B54)*($M$7:$M$106&gt;$M54))+1,"")</f>
        <v/>
      </c>
      <c r="Q54" s="32">
        <f>COUNTIF($B$7:$B$106,$B54)</f>
        <v/>
      </c>
      <c r="R54" s="33">
        <f>IFERROR(IF($M54&gt;=SETTINGS_ZC,"CHEAP",IF($M54&lt;=SETTINGS_ZR,"RICH","-")),"")</f>
        <v/>
      </c>
      <c r="S54" s="12" t="inlineStr">
        <is>
          <t>Spot, units per USD. High = weak local ccy = cheap.</t>
        </is>
      </c>
      <c r="T54" s="20" t="inlineStr"/>
      <c r="U54" s="32">
        <f>IFERROR(SUMPRODUCT(($M$7:$M$106&gt;$M54)*1)+1,"")</f>
        <v/>
      </c>
    </row>
    <row r="55">
      <c r="B55" s="37" t="inlineStr">
        <is>
          <t>FX</t>
        </is>
      </c>
      <c r="C55" s="19" t="inlineStr">
        <is>
          <t>Canadian dollar</t>
        </is>
      </c>
      <c r="D55" s="20" t="inlineStr">
        <is>
          <t>USDCAD Curncy</t>
        </is>
      </c>
      <c r="E55" s="21" t="inlineStr">
        <is>
          <t>PX_LAST</t>
        </is>
      </c>
      <c r="F55" s="22" t="inlineStr">
        <is>
          <t>HIGH</t>
        </is>
      </c>
      <c r="G55" s="23">
        <f>IFERROR(IF(BDP($D55,"NAME")="","CHECK",BDP($D55,"NAME")),"CHECK")</f>
        <v/>
      </c>
      <c r="H55" s="24">
        <f>IFERROR(BDP($D55,$E55),"")</f>
        <v/>
      </c>
      <c r="I55" s="25">
        <f>IFERROR(AVERAGE(BDH($D55,$E55,SETTINGS_LOOK,"0D","Days="&amp;SETTINGS_FREQ,"Fill=P")),"")</f>
        <v/>
      </c>
      <c r="J55" s="26">
        <f>IFERROR(STDEV(BDH($D55,$E55,SETTINGS_LOOK,"0D","Days="&amp;SETTINGS_FREQ,"Fill=P")),"")</f>
        <v/>
      </c>
      <c r="K55" s="27">
        <f>IFERROR(($H55-$I55)/$J55,"")</f>
        <v/>
      </c>
      <c r="L55" s="28" t="n">
        <v>1</v>
      </c>
      <c r="M55" s="29">
        <f>IFERROR(IF(AND(SETTINGS_FXSRC="REER",$T55&lt;&gt;""),-1*((BDP($T55,"PX_LAST")-AVERAGE(BDH($T55,"PX_LAST",SETTINGS_LOOK,"0D","Days="&amp;SETTINGS_FREQ,"Fill=P")))/STDEV(BDH($T55,"PX_LAST",SETTINGS_LOOK,"0D","Days="&amp;SETTINGS_FREQ,"Fill=P"))),$K55*$L55),"")</f>
        <v/>
      </c>
      <c r="N55" s="30">
        <f>IFERROR(NORMSDIST($M55),"")</f>
        <v/>
      </c>
      <c r="O55" s="30">
        <f>IFERROR(BDP($D55,"CHG_PCT_1YR")/100,"")</f>
        <v/>
      </c>
      <c r="P55" s="31">
        <f>IFERROR(SUMPRODUCT(($B$7:$B$106=$B55)*($M$7:$M$106&gt;$M55))+1,"")</f>
        <v/>
      </c>
      <c r="Q55" s="32">
        <f>COUNTIF($B$7:$B$106,$B55)</f>
        <v/>
      </c>
      <c r="R55" s="33">
        <f>IFERROR(IF($M55&gt;=SETTINGS_ZC,"CHEAP",IF($M55&lt;=SETTINGS_ZR,"RICH","-")),"")</f>
        <v/>
      </c>
      <c r="S55" s="12" t="inlineStr">
        <is>
          <t>Spot, units per USD. High = weak local ccy = cheap.</t>
        </is>
      </c>
      <c r="T55" s="20" t="inlineStr"/>
      <c r="U55" s="32">
        <f>IFERROR(SUMPRODUCT(($M$7:$M$106&gt;$M55)*1)+1,"")</f>
        <v/>
      </c>
    </row>
    <row r="56">
      <c r="B56" s="37" t="inlineStr">
        <is>
          <t>FX</t>
        </is>
      </c>
      <c r="C56" s="19" t="inlineStr">
        <is>
          <t>Australian dollar</t>
        </is>
      </c>
      <c r="D56" s="20" t="inlineStr">
        <is>
          <t>AUDUSD Curncy</t>
        </is>
      </c>
      <c r="E56" s="21" t="inlineStr">
        <is>
          <t>PX_LAST</t>
        </is>
      </c>
      <c r="F56" s="22" t="inlineStr">
        <is>
          <t>HIGH</t>
        </is>
      </c>
      <c r="G56" s="23">
        <f>IFERROR(IF(BDP($D56,"NAME")="","CHECK",BDP($D56,"NAME")),"CHECK")</f>
        <v/>
      </c>
      <c r="H56" s="24">
        <f>IFERROR(BDP($D56,$E56),"")</f>
        <v/>
      </c>
      <c r="I56" s="25">
        <f>IFERROR(AVERAGE(BDH($D56,$E56,SETTINGS_LOOK,"0D","Days="&amp;SETTINGS_FREQ,"Fill=P")),"")</f>
        <v/>
      </c>
      <c r="J56" s="26">
        <f>IFERROR(STDEV(BDH($D56,$E56,SETTINGS_LOOK,"0D","Days="&amp;SETTINGS_FREQ,"Fill=P")),"")</f>
        <v/>
      </c>
      <c r="K56" s="27">
        <f>IFERROR(($H56-$I56)/$J56,"")</f>
        <v/>
      </c>
      <c r="L56" s="28" t="n">
        <v>-1</v>
      </c>
      <c r="M56" s="29">
        <f>IFERROR(IF(AND(SETTINGS_FXSRC="REER",$T56&lt;&gt;""),-1*((BDP($T56,"PX_LAST")-AVERAGE(BDH($T56,"PX_LAST",SETTINGS_LOOK,"0D","Days="&amp;SETTINGS_FREQ,"Fill=P")))/STDEV(BDH($T56,"PX_LAST",SETTINGS_LOOK,"0D","Days="&amp;SETTINGS_FREQ,"Fill=P"))),$K56*$L56),"")</f>
        <v/>
      </c>
      <c r="N56" s="30">
        <f>IFERROR(NORMSDIST($M56),"")</f>
        <v/>
      </c>
      <c r="O56" s="30">
        <f>IFERROR(BDP($D56,"CHG_PCT_1YR")/100,"")</f>
        <v/>
      </c>
      <c r="P56" s="31">
        <f>IFERROR(SUMPRODUCT(($B$7:$B$106=$B56)*($M$7:$M$106&gt;$M56))+1,"")</f>
        <v/>
      </c>
      <c r="Q56" s="32">
        <f>COUNTIF($B$7:$B$106,$B56)</f>
        <v/>
      </c>
      <c r="R56" s="33">
        <f>IFERROR(IF($M56&gt;=SETTINGS_ZC,"CHEAP",IF($M56&lt;=SETTINGS_ZR,"RICH","-")),"")</f>
        <v/>
      </c>
      <c r="S56" s="12" t="inlineStr">
        <is>
          <t>Spot, USD per unit. High = strong local ccy = expensive.</t>
        </is>
      </c>
      <c r="T56" s="20" t="inlineStr"/>
      <c r="U56" s="32">
        <f>IFERROR(SUMPRODUCT(($M$7:$M$106&gt;$M56)*1)+1,"")</f>
        <v/>
      </c>
    </row>
    <row r="57">
      <c r="B57" s="37" t="inlineStr">
        <is>
          <t>FX</t>
        </is>
      </c>
      <c r="C57" s="19" t="inlineStr">
        <is>
          <t>NZ dollar</t>
        </is>
      </c>
      <c r="D57" s="20" t="inlineStr">
        <is>
          <t>NZDUSD Curncy</t>
        </is>
      </c>
      <c r="E57" s="21" t="inlineStr">
        <is>
          <t>PX_LAST</t>
        </is>
      </c>
      <c r="F57" s="22" t="inlineStr">
        <is>
          <t>HIGH</t>
        </is>
      </c>
      <c r="G57" s="23">
        <f>IFERROR(IF(BDP($D57,"NAME")="","CHECK",BDP($D57,"NAME")),"CHECK")</f>
        <v/>
      </c>
      <c r="H57" s="24">
        <f>IFERROR(BDP($D57,$E57),"")</f>
        <v/>
      </c>
      <c r="I57" s="25">
        <f>IFERROR(AVERAGE(BDH($D57,$E57,SETTINGS_LOOK,"0D","Days="&amp;SETTINGS_FREQ,"Fill=P")),"")</f>
        <v/>
      </c>
      <c r="J57" s="26">
        <f>IFERROR(STDEV(BDH($D57,$E57,SETTINGS_LOOK,"0D","Days="&amp;SETTINGS_FREQ,"Fill=P")),"")</f>
        <v/>
      </c>
      <c r="K57" s="27">
        <f>IFERROR(($H57-$I57)/$J57,"")</f>
        <v/>
      </c>
      <c r="L57" s="28" t="n">
        <v>-1</v>
      </c>
      <c r="M57" s="29">
        <f>IFERROR(IF(AND(SETTINGS_FXSRC="REER",$T57&lt;&gt;""),-1*((BDP($T57,"PX_LAST")-AVERAGE(BDH($T57,"PX_LAST",SETTINGS_LOOK,"0D","Days="&amp;SETTINGS_FREQ,"Fill=P")))/STDEV(BDH($T57,"PX_LAST",SETTINGS_LOOK,"0D","Days="&amp;SETTINGS_FREQ,"Fill=P"))),$K57*$L57),"")</f>
        <v/>
      </c>
      <c r="N57" s="30">
        <f>IFERROR(NORMSDIST($M57),"")</f>
        <v/>
      </c>
      <c r="O57" s="30">
        <f>IFERROR(BDP($D57,"CHG_PCT_1YR")/100,"")</f>
        <v/>
      </c>
      <c r="P57" s="31">
        <f>IFERROR(SUMPRODUCT(($B$7:$B$106=$B57)*($M$7:$M$106&gt;$M57))+1,"")</f>
        <v/>
      </c>
      <c r="Q57" s="32">
        <f>COUNTIF($B$7:$B$106,$B57)</f>
        <v/>
      </c>
      <c r="R57" s="33">
        <f>IFERROR(IF($M57&gt;=SETTINGS_ZC,"CHEAP",IF($M57&lt;=SETTINGS_ZR,"RICH","-")),"")</f>
        <v/>
      </c>
      <c r="S57" s="12" t="inlineStr">
        <is>
          <t>Spot, USD per unit. High = strong local ccy = expensive.</t>
        </is>
      </c>
      <c r="T57" s="20" t="inlineStr"/>
      <c r="U57" s="32">
        <f>IFERROR(SUMPRODUCT(($M$7:$M$106&gt;$M57)*1)+1,"")</f>
        <v/>
      </c>
    </row>
    <row r="58">
      <c r="B58" s="37" t="inlineStr">
        <is>
          <t>FX</t>
        </is>
      </c>
      <c r="C58" s="19" t="inlineStr">
        <is>
          <t>Norwegian krone</t>
        </is>
      </c>
      <c r="D58" s="20" t="inlineStr">
        <is>
          <t>USDNOK Curncy</t>
        </is>
      </c>
      <c r="E58" s="21" t="inlineStr">
        <is>
          <t>PX_LAST</t>
        </is>
      </c>
      <c r="F58" s="22" t="inlineStr">
        <is>
          <t>HIGH</t>
        </is>
      </c>
      <c r="G58" s="23">
        <f>IFERROR(IF(BDP($D58,"NAME")="","CHECK",BDP($D58,"NAME")),"CHECK")</f>
        <v/>
      </c>
      <c r="H58" s="24">
        <f>IFERROR(BDP($D58,$E58),"")</f>
        <v/>
      </c>
      <c r="I58" s="25">
        <f>IFERROR(AVERAGE(BDH($D58,$E58,SETTINGS_LOOK,"0D","Days="&amp;SETTINGS_FREQ,"Fill=P")),"")</f>
        <v/>
      </c>
      <c r="J58" s="26">
        <f>IFERROR(STDEV(BDH($D58,$E58,SETTINGS_LOOK,"0D","Days="&amp;SETTINGS_FREQ,"Fill=P")),"")</f>
        <v/>
      </c>
      <c r="K58" s="27">
        <f>IFERROR(($H58-$I58)/$J58,"")</f>
        <v/>
      </c>
      <c r="L58" s="28" t="n">
        <v>1</v>
      </c>
      <c r="M58" s="29">
        <f>IFERROR(IF(AND(SETTINGS_FXSRC="REER",$T58&lt;&gt;""),-1*((BDP($T58,"PX_LAST")-AVERAGE(BDH($T58,"PX_LAST",SETTINGS_LOOK,"0D","Days="&amp;SETTINGS_FREQ,"Fill=P")))/STDEV(BDH($T58,"PX_LAST",SETTINGS_LOOK,"0D","Days="&amp;SETTINGS_FREQ,"Fill=P"))),$K58*$L58),"")</f>
        <v/>
      </c>
      <c r="N58" s="30">
        <f>IFERROR(NORMSDIST($M58),"")</f>
        <v/>
      </c>
      <c r="O58" s="30">
        <f>IFERROR(BDP($D58,"CHG_PCT_1YR")/100,"")</f>
        <v/>
      </c>
      <c r="P58" s="31">
        <f>IFERROR(SUMPRODUCT(($B$7:$B$106=$B58)*($M$7:$M$106&gt;$M58))+1,"")</f>
        <v/>
      </c>
      <c r="Q58" s="32">
        <f>COUNTIF($B$7:$B$106,$B58)</f>
        <v/>
      </c>
      <c r="R58" s="33">
        <f>IFERROR(IF($M58&gt;=SETTINGS_ZC,"CHEAP",IF($M58&lt;=SETTINGS_ZR,"RICH","-")),"")</f>
        <v/>
      </c>
      <c r="S58" s="12" t="inlineStr">
        <is>
          <t>Spot, units per USD. High = weak local ccy = cheap.</t>
        </is>
      </c>
      <c r="T58" s="20" t="inlineStr"/>
      <c r="U58" s="32">
        <f>IFERROR(SUMPRODUCT(($M$7:$M$106&gt;$M58)*1)+1,"")</f>
        <v/>
      </c>
    </row>
    <row r="59">
      <c r="B59" s="37" t="inlineStr">
        <is>
          <t>FX</t>
        </is>
      </c>
      <c r="C59" s="19" t="inlineStr">
        <is>
          <t>Swedish krona</t>
        </is>
      </c>
      <c r="D59" s="20" t="inlineStr">
        <is>
          <t>USDSEK Curncy</t>
        </is>
      </c>
      <c r="E59" s="21" t="inlineStr">
        <is>
          <t>PX_LAST</t>
        </is>
      </c>
      <c r="F59" s="22" t="inlineStr">
        <is>
          <t>HIGH</t>
        </is>
      </c>
      <c r="G59" s="23">
        <f>IFERROR(IF(BDP($D59,"NAME")="","CHECK",BDP($D59,"NAME")),"CHECK")</f>
        <v/>
      </c>
      <c r="H59" s="24">
        <f>IFERROR(BDP($D59,$E59),"")</f>
        <v/>
      </c>
      <c r="I59" s="25">
        <f>IFERROR(AVERAGE(BDH($D59,$E59,SETTINGS_LOOK,"0D","Days="&amp;SETTINGS_FREQ,"Fill=P")),"")</f>
        <v/>
      </c>
      <c r="J59" s="26">
        <f>IFERROR(STDEV(BDH($D59,$E59,SETTINGS_LOOK,"0D","Days="&amp;SETTINGS_FREQ,"Fill=P")),"")</f>
        <v/>
      </c>
      <c r="K59" s="27">
        <f>IFERROR(($H59-$I59)/$J59,"")</f>
        <v/>
      </c>
      <c r="L59" s="28" t="n">
        <v>1</v>
      </c>
      <c r="M59" s="29">
        <f>IFERROR(IF(AND(SETTINGS_FXSRC="REER",$T59&lt;&gt;""),-1*((BDP($T59,"PX_LAST")-AVERAGE(BDH($T59,"PX_LAST",SETTINGS_LOOK,"0D","Days="&amp;SETTINGS_FREQ,"Fill=P")))/STDEV(BDH($T59,"PX_LAST",SETTINGS_LOOK,"0D","Days="&amp;SETTINGS_FREQ,"Fill=P"))),$K59*$L59),"")</f>
        <v/>
      </c>
      <c r="N59" s="30">
        <f>IFERROR(NORMSDIST($M59),"")</f>
        <v/>
      </c>
      <c r="O59" s="30">
        <f>IFERROR(BDP($D59,"CHG_PCT_1YR")/100,"")</f>
        <v/>
      </c>
      <c r="P59" s="31">
        <f>IFERROR(SUMPRODUCT(($B$7:$B$106=$B59)*($M$7:$M$106&gt;$M59))+1,"")</f>
        <v/>
      </c>
      <c r="Q59" s="32">
        <f>COUNTIF($B$7:$B$106,$B59)</f>
        <v/>
      </c>
      <c r="R59" s="33">
        <f>IFERROR(IF($M59&gt;=SETTINGS_ZC,"CHEAP",IF($M59&lt;=SETTINGS_ZR,"RICH","-")),"")</f>
        <v/>
      </c>
      <c r="S59" s="12" t="inlineStr">
        <is>
          <t>Spot, units per USD. High = weak local ccy = cheap.</t>
        </is>
      </c>
      <c r="T59" s="20" t="inlineStr"/>
      <c r="U59" s="32">
        <f>IFERROR(SUMPRODUCT(($M$7:$M$106&gt;$M59)*1)+1,"")</f>
        <v/>
      </c>
    </row>
    <row r="60">
      <c r="B60" s="37" t="inlineStr">
        <is>
          <t>FX</t>
        </is>
      </c>
      <c r="C60" s="19" t="inlineStr">
        <is>
          <t>Brazilian real</t>
        </is>
      </c>
      <c r="D60" s="20" t="inlineStr">
        <is>
          <t>USDBRL Curncy</t>
        </is>
      </c>
      <c r="E60" s="21" t="inlineStr">
        <is>
          <t>PX_LAST</t>
        </is>
      </c>
      <c r="F60" s="22" t="inlineStr">
        <is>
          <t>HIGH</t>
        </is>
      </c>
      <c r="G60" s="23">
        <f>IFERROR(IF(BDP($D60,"NAME")="","CHECK",BDP($D60,"NAME")),"CHECK")</f>
        <v/>
      </c>
      <c r="H60" s="24">
        <f>IFERROR(BDP($D60,$E60),"")</f>
        <v/>
      </c>
      <c r="I60" s="25">
        <f>IFERROR(AVERAGE(BDH($D60,$E60,SETTINGS_LOOK,"0D","Days="&amp;SETTINGS_FREQ,"Fill=P")),"")</f>
        <v/>
      </c>
      <c r="J60" s="26">
        <f>IFERROR(STDEV(BDH($D60,$E60,SETTINGS_LOOK,"0D","Days="&amp;SETTINGS_FREQ,"Fill=P")),"")</f>
        <v/>
      </c>
      <c r="K60" s="27">
        <f>IFERROR(($H60-$I60)/$J60,"")</f>
        <v/>
      </c>
      <c r="L60" s="28" t="n">
        <v>1</v>
      </c>
      <c r="M60" s="29">
        <f>IFERROR(IF(AND(SETTINGS_FXSRC="REER",$T60&lt;&gt;""),-1*((BDP($T60,"PX_LAST")-AVERAGE(BDH($T60,"PX_LAST",SETTINGS_LOOK,"0D","Days="&amp;SETTINGS_FREQ,"Fill=P")))/STDEV(BDH($T60,"PX_LAST",SETTINGS_LOOK,"0D","Days="&amp;SETTINGS_FREQ,"Fill=P"))),$K60*$L60),"")</f>
        <v/>
      </c>
      <c r="N60" s="30">
        <f>IFERROR(NORMSDIST($M60),"")</f>
        <v/>
      </c>
      <c r="O60" s="30">
        <f>IFERROR(BDP($D60,"CHG_PCT_1YR")/100,"")</f>
        <v/>
      </c>
      <c r="P60" s="31">
        <f>IFERROR(SUMPRODUCT(($B$7:$B$106=$B60)*($M$7:$M$106&gt;$M60))+1,"")</f>
        <v/>
      </c>
      <c r="Q60" s="32">
        <f>COUNTIF($B$7:$B$106,$B60)</f>
        <v/>
      </c>
      <c r="R60" s="33">
        <f>IFERROR(IF($M60&gt;=SETTINGS_ZC,"CHEAP",IF($M60&lt;=SETTINGS_ZR,"RICH","-")),"")</f>
        <v/>
      </c>
      <c r="S60" s="12" t="inlineStr">
        <is>
          <t>Spot, units per USD. High = weak local ccy = cheap.</t>
        </is>
      </c>
      <c r="T60" s="20" t="inlineStr"/>
      <c r="U60" s="32">
        <f>IFERROR(SUMPRODUCT(($M$7:$M$106&gt;$M60)*1)+1,"")</f>
        <v/>
      </c>
    </row>
    <row r="61">
      <c r="B61" s="37" t="inlineStr">
        <is>
          <t>FX</t>
        </is>
      </c>
      <c r="C61" s="19" t="inlineStr">
        <is>
          <t>Mexican peso</t>
        </is>
      </c>
      <c r="D61" s="20" t="inlineStr">
        <is>
          <t>USDMXN Curncy</t>
        </is>
      </c>
      <c r="E61" s="21" t="inlineStr">
        <is>
          <t>PX_LAST</t>
        </is>
      </c>
      <c r="F61" s="22" t="inlineStr">
        <is>
          <t>HIGH</t>
        </is>
      </c>
      <c r="G61" s="23">
        <f>IFERROR(IF(BDP($D61,"NAME")="","CHECK",BDP($D61,"NAME")),"CHECK")</f>
        <v/>
      </c>
      <c r="H61" s="24">
        <f>IFERROR(BDP($D61,$E61),"")</f>
        <v/>
      </c>
      <c r="I61" s="25">
        <f>IFERROR(AVERAGE(BDH($D61,$E61,SETTINGS_LOOK,"0D","Days="&amp;SETTINGS_FREQ,"Fill=P")),"")</f>
        <v/>
      </c>
      <c r="J61" s="26">
        <f>IFERROR(STDEV(BDH($D61,$E61,SETTINGS_LOOK,"0D","Days="&amp;SETTINGS_FREQ,"Fill=P")),"")</f>
        <v/>
      </c>
      <c r="K61" s="27">
        <f>IFERROR(($H61-$I61)/$J61,"")</f>
        <v/>
      </c>
      <c r="L61" s="28" t="n">
        <v>1</v>
      </c>
      <c r="M61" s="29">
        <f>IFERROR(IF(AND(SETTINGS_FXSRC="REER",$T61&lt;&gt;""),-1*((BDP($T61,"PX_LAST")-AVERAGE(BDH($T61,"PX_LAST",SETTINGS_LOOK,"0D","Days="&amp;SETTINGS_FREQ,"Fill=P")))/STDEV(BDH($T61,"PX_LAST",SETTINGS_LOOK,"0D","Days="&amp;SETTINGS_FREQ,"Fill=P"))),$K61*$L61),"")</f>
        <v/>
      </c>
      <c r="N61" s="30">
        <f>IFERROR(NORMSDIST($M61),"")</f>
        <v/>
      </c>
      <c r="O61" s="30">
        <f>IFERROR(BDP($D61,"CHG_PCT_1YR")/100,"")</f>
        <v/>
      </c>
      <c r="P61" s="31">
        <f>IFERROR(SUMPRODUCT(($B$7:$B$106=$B61)*($M$7:$M$106&gt;$M61))+1,"")</f>
        <v/>
      </c>
      <c r="Q61" s="32">
        <f>COUNTIF($B$7:$B$106,$B61)</f>
        <v/>
      </c>
      <c r="R61" s="33">
        <f>IFERROR(IF($M61&gt;=SETTINGS_ZC,"CHEAP",IF($M61&lt;=SETTINGS_ZR,"RICH","-")),"")</f>
        <v/>
      </c>
      <c r="S61" s="12" t="inlineStr">
        <is>
          <t>Spot, units per USD. High = weak local ccy = cheap.</t>
        </is>
      </c>
      <c r="T61" s="20" t="inlineStr"/>
      <c r="U61" s="32">
        <f>IFERROR(SUMPRODUCT(($M$7:$M$106&gt;$M61)*1)+1,"")</f>
        <v/>
      </c>
    </row>
    <row r="62">
      <c r="B62" s="37" t="inlineStr">
        <is>
          <t>FX</t>
        </is>
      </c>
      <c r="C62" s="19" t="inlineStr">
        <is>
          <t>Colombian peso</t>
        </is>
      </c>
      <c r="D62" s="20" t="inlineStr">
        <is>
          <t>USDCOP Curncy</t>
        </is>
      </c>
      <c r="E62" s="21" t="inlineStr">
        <is>
          <t>PX_LAST</t>
        </is>
      </c>
      <c r="F62" s="22" t="inlineStr">
        <is>
          <t>HIGH</t>
        </is>
      </c>
      <c r="G62" s="23">
        <f>IFERROR(IF(BDP($D62,"NAME")="","CHECK",BDP($D62,"NAME")),"CHECK")</f>
        <v/>
      </c>
      <c r="H62" s="24">
        <f>IFERROR(BDP($D62,$E62),"")</f>
        <v/>
      </c>
      <c r="I62" s="25">
        <f>IFERROR(AVERAGE(BDH($D62,$E62,SETTINGS_LOOK,"0D","Days="&amp;SETTINGS_FREQ,"Fill=P")),"")</f>
        <v/>
      </c>
      <c r="J62" s="26">
        <f>IFERROR(STDEV(BDH($D62,$E62,SETTINGS_LOOK,"0D","Days="&amp;SETTINGS_FREQ,"Fill=P")),"")</f>
        <v/>
      </c>
      <c r="K62" s="27">
        <f>IFERROR(($H62-$I62)/$J62,"")</f>
        <v/>
      </c>
      <c r="L62" s="28" t="n">
        <v>1</v>
      </c>
      <c r="M62" s="29">
        <f>IFERROR(IF(AND(SETTINGS_FXSRC="REER",$T62&lt;&gt;""),-1*((BDP($T62,"PX_LAST")-AVERAGE(BDH($T62,"PX_LAST",SETTINGS_LOOK,"0D","Days="&amp;SETTINGS_FREQ,"Fill=P")))/STDEV(BDH($T62,"PX_LAST",SETTINGS_LOOK,"0D","Days="&amp;SETTINGS_FREQ,"Fill=P"))),$K62*$L62),"")</f>
        <v/>
      </c>
      <c r="N62" s="30">
        <f>IFERROR(NORMSDIST($M62),"")</f>
        <v/>
      </c>
      <c r="O62" s="30">
        <f>IFERROR(BDP($D62,"CHG_PCT_1YR")/100,"")</f>
        <v/>
      </c>
      <c r="P62" s="31">
        <f>IFERROR(SUMPRODUCT(($B$7:$B$106=$B62)*($M$7:$M$106&gt;$M62))+1,"")</f>
        <v/>
      </c>
      <c r="Q62" s="32">
        <f>COUNTIF($B$7:$B$106,$B62)</f>
        <v/>
      </c>
      <c r="R62" s="33">
        <f>IFERROR(IF($M62&gt;=SETTINGS_ZC,"CHEAP",IF($M62&lt;=SETTINGS_ZR,"RICH","-")),"")</f>
        <v/>
      </c>
      <c r="S62" s="12" t="inlineStr">
        <is>
          <t>Spot, units per USD. High = weak local ccy = cheap.</t>
        </is>
      </c>
      <c r="T62" s="20" t="inlineStr"/>
      <c r="U62" s="32">
        <f>IFERROR(SUMPRODUCT(($M$7:$M$106&gt;$M62)*1)+1,"")</f>
        <v/>
      </c>
    </row>
    <row r="63">
      <c r="B63" s="37" t="inlineStr">
        <is>
          <t>FX</t>
        </is>
      </c>
      <c r="C63" s="19" t="inlineStr">
        <is>
          <t>Chilean peso</t>
        </is>
      </c>
      <c r="D63" s="20" t="inlineStr">
        <is>
          <t>USDCLP Curncy</t>
        </is>
      </c>
      <c r="E63" s="21" t="inlineStr">
        <is>
          <t>PX_LAST</t>
        </is>
      </c>
      <c r="F63" s="22" t="inlineStr">
        <is>
          <t>HIGH</t>
        </is>
      </c>
      <c r="G63" s="23">
        <f>IFERROR(IF(BDP($D63,"NAME")="","CHECK",BDP($D63,"NAME")),"CHECK")</f>
        <v/>
      </c>
      <c r="H63" s="24">
        <f>IFERROR(BDP($D63,$E63),"")</f>
        <v/>
      </c>
      <c r="I63" s="25">
        <f>IFERROR(AVERAGE(BDH($D63,$E63,SETTINGS_LOOK,"0D","Days="&amp;SETTINGS_FREQ,"Fill=P")),"")</f>
        <v/>
      </c>
      <c r="J63" s="26">
        <f>IFERROR(STDEV(BDH($D63,$E63,SETTINGS_LOOK,"0D","Days="&amp;SETTINGS_FREQ,"Fill=P")),"")</f>
        <v/>
      </c>
      <c r="K63" s="27">
        <f>IFERROR(($H63-$I63)/$J63,"")</f>
        <v/>
      </c>
      <c r="L63" s="28" t="n">
        <v>1</v>
      </c>
      <c r="M63" s="29">
        <f>IFERROR(IF(AND(SETTINGS_FXSRC="REER",$T63&lt;&gt;""),-1*((BDP($T63,"PX_LAST")-AVERAGE(BDH($T63,"PX_LAST",SETTINGS_LOOK,"0D","Days="&amp;SETTINGS_FREQ,"Fill=P")))/STDEV(BDH($T63,"PX_LAST",SETTINGS_LOOK,"0D","Days="&amp;SETTINGS_FREQ,"Fill=P"))),$K63*$L63),"")</f>
        <v/>
      </c>
      <c r="N63" s="30">
        <f>IFERROR(NORMSDIST($M63),"")</f>
        <v/>
      </c>
      <c r="O63" s="30">
        <f>IFERROR(BDP($D63,"CHG_PCT_1YR")/100,"")</f>
        <v/>
      </c>
      <c r="P63" s="31">
        <f>IFERROR(SUMPRODUCT(($B$7:$B$106=$B63)*($M$7:$M$106&gt;$M63))+1,"")</f>
        <v/>
      </c>
      <c r="Q63" s="32">
        <f>COUNTIF($B$7:$B$106,$B63)</f>
        <v/>
      </c>
      <c r="R63" s="33">
        <f>IFERROR(IF($M63&gt;=SETTINGS_ZC,"CHEAP",IF($M63&lt;=SETTINGS_ZR,"RICH","-")),"")</f>
        <v/>
      </c>
      <c r="S63" s="12" t="inlineStr">
        <is>
          <t>Spot, units per USD. High = weak local ccy = cheap.</t>
        </is>
      </c>
      <c r="T63" s="20" t="inlineStr"/>
      <c r="U63" s="32">
        <f>IFERROR(SUMPRODUCT(($M$7:$M$106&gt;$M63)*1)+1,"")</f>
        <v/>
      </c>
    </row>
    <row r="64">
      <c r="B64" s="37" t="inlineStr">
        <is>
          <t>FX</t>
        </is>
      </c>
      <c r="C64" s="19" t="inlineStr">
        <is>
          <t>Peruvian sol</t>
        </is>
      </c>
      <c r="D64" s="20" t="inlineStr">
        <is>
          <t>USDPEN Curncy</t>
        </is>
      </c>
      <c r="E64" s="21" t="inlineStr">
        <is>
          <t>PX_LAST</t>
        </is>
      </c>
      <c r="F64" s="22" t="inlineStr">
        <is>
          <t>HIGH</t>
        </is>
      </c>
      <c r="G64" s="23">
        <f>IFERROR(IF(BDP($D64,"NAME")="","CHECK",BDP($D64,"NAME")),"CHECK")</f>
        <v/>
      </c>
      <c r="H64" s="24">
        <f>IFERROR(BDP($D64,$E64),"")</f>
        <v/>
      </c>
      <c r="I64" s="25">
        <f>IFERROR(AVERAGE(BDH($D64,$E64,SETTINGS_LOOK,"0D","Days="&amp;SETTINGS_FREQ,"Fill=P")),"")</f>
        <v/>
      </c>
      <c r="J64" s="26">
        <f>IFERROR(STDEV(BDH($D64,$E64,SETTINGS_LOOK,"0D","Days="&amp;SETTINGS_FREQ,"Fill=P")),"")</f>
        <v/>
      </c>
      <c r="K64" s="27">
        <f>IFERROR(($H64-$I64)/$J64,"")</f>
        <v/>
      </c>
      <c r="L64" s="28" t="n">
        <v>1</v>
      </c>
      <c r="M64" s="29">
        <f>IFERROR(IF(AND(SETTINGS_FXSRC="REER",$T64&lt;&gt;""),-1*((BDP($T64,"PX_LAST")-AVERAGE(BDH($T64,"PX_LAST",SETTINGS_LOOK,"0D","Days="&amp;SETTINGS_FREQ,"Fill=P")))/STDEV(BDH($T64,"PX_LAST",SETTINGS_LOOK,"0D","Days="&amp;SETTINGS_FREQ,"Fill=P"))),$K64*$L64),"")</f>
        <v/>
      </c>
      <c r="N64" s="30">
        <f>IFERROR(NORMSDIST($M64),"")</f>
        <v/>
      </c>
      <c r="O64" s="30">
        <f>IFERROR(BDP($D64,"CHG_PCT_1YR")/100,"")</f>
        <v/>
      </c>
      <c r="P64" s="31">
        <f>IFERROR(SUMPRODUCT(($B$7:$B$106=$B64)*($M$7:$M$106&gt;$M64))+1,"")</f>
        <v/>
      </c>
      <c r="Q64" s="32">
        <f>COUNTIF($B$7:$B$106,$B64)</f>
        <v/>
      </c>
      <c r="R64" s="33">
        <f>IFERROR(IF($M64&gt;=SETTINGS_ZC,"CHEAP",IF($M64&lt;=SETTINGS_ZR,"RICH","-")),"")</f>
        <v/>
      </c>
      <c r="S64" s="12" t="inlineStr">
        <is>
          <t>Spot, units per USD. High = weak local ccy = cheap.</t>
        </is>
      </c>
      <c r="T64" s="20" t="inlineStr"/>
      <c r="U64" s="32">
        <f>IFERROR(SUMPRODUCT(($M$7:$M$106&gt;$M64)*1)+1,"")</f>
        <v/>
      </c>
    </row>
    <row r="65">
      <c r="B65" s="37" t="inlineStr">
        <is>
          <t>FX</t>
        </is>
      </c>
      <c r="C65" s="19" t="inlineStr">
        <is>
          <t>Argentine peso</t>
        </is>
      </c>
      <c r="D65" s="20" t="inlineStr">
        <is>
          <t>USDARS Curncy</t>
        </is>
      </c>
      <c r="E65" s="21" t="inlineStr">
        <is>
          <t>PX_LAST</t>
        </is>
      </c>
      <c r="F65" s="22" t="inlineStr">
        <is>
          <t>HIGH</t>
        </is>
      </c>
      <c r="G65" s="23">
        <f>IFERROR(IF(BDP($D65,"NAME")="","CHECK",BDP($D65,"NAME")),"CHECK")</f>
        <v/>
      </c>
      <c r="H65" s="24">
        <f>IFERROR(BDP($D65,$E65),"")</f>
        <v/>
      </c>
      <c r="I65" s="25">
        <f>IFERROR(AVERAGE(BDH($D65,$E65,SETTINGS_LOOK,"0D","Days="&amp;SETTINGS_FREQ,"Fill=P")),"")</f>
        <v/>
      </c>
      <c r="J65" s="26">
        <f>IFERROR(STDEV(BDH($D65,$E65,SETTINGS_LOOK,"0D","Days="&amp;SETTINGS_FREQ,"Fill=P")),"")</f>
        <v/>
      </c>
      <c r="K65" s="27">
        <f>IFERROR(($H65-$I65)/$J65,"")</f>
        <v/>
      </c>
      <c r="L65" s="28" t="n">
        <v>1</v>
      </c>
      <c r="M65" s="29">
        <f>IFERROR(IF(AND(SETTINGS_FXSRC="REER",$T65&lt;&gt;""),-1*((BDP($T65,"PX_LAST")-AVERAGE(BDH($T65,"PX_LAST",SETTINGS_LOOK,"0D","Days="&amp;SETTINGS_FREQ,"Fill=P")))/STDEV(BDH($T65,"PX_LAST",SETTINGS_LOOK,"0D","Days="&amp;SETTINGS_FREQ,"Fill=P"))),$K65*$L65),"")</f>
        <v/>
      </c>
      <c r="N65" s="30">
        <f>IFERROR(NORMSDIST($M65),"")</f>
        <v/>
      </c>
      <c r="O65" s="30">
        <f>IFERROR(BDP($D65,"CHG_PCT_1YR")/100,"")</f>
        <v/>
      </c>
      <c r="P65" s="31">
        <f>IFERROR(SUMPRODUCT(($B$7:$B$106=$B65)*($M$7:$M$106&gt;$M65))+1,"")</f>
        <v/>
      </c>
      <c r="Q65" s="32">
        <f>COUNTIF($B$7:$B$106,$B65)</f>
        <v/>
      </c>
      <c r="R65" s="33">
        <f>IFERROR(IF($M65&gt;=SETTINGS_ZC,"CHEAP",IF($M65&lt;=SETTINGS_ZR,"RICH","-")),"")</f>
        <v/>
      </c>
      <c r="S65" s="12" t="inlineStr">
        <is>
          <t>Spot, units per USD. High = weak local ccy = cheap.</t>
        </is>
      </c>
      <c r="T65" s="20" t="inlineStr"/>
      <c r="U65" s="32">
        <f>IFERROR(SUMPRODUCT(($M$7:$M$106&gt;$M65)*1)+1,"")</f>
        <v/>
      </c>
    </row>
    <row r="66">
      <c r="B66" s="37" t="inlineStr">
        <is>
          <t>FX</t>
        </is>
      </c>
      <c r="C66" s="19" t="inlineStr">
        <is>
          <t>South African rand</t>
        </is>
      </c>
      <c r="D66" s="20" t="inlineStr">
        <is>
          <t>USDZAR Curncy</t>
        </is>
      </c>
      <c r="E66" s="21" t="inlineStr">
        <is>
          <t>PX_LAST</t>
        </is>
      </c>
      <c r="F66" s="22" t="inlineStr">
        <is>
          <t>HIGH</t>
        </is>
      </c>
      <c r="G66" s="23">
        <f>IFERROR(IF(BDP($D66,"NAME")="","CHECK",BDP($D66,"NAME")),"CHECK")</f>
        <v/>
      </c>
      <c r="H66" s="24">
        <f>IFERROR(BDP($D66,$E66),"")</f>
        <v/>
      </c>
      <c r="I66" s="25">
        <f>IFERROR(AVERAGE(BDH($D66,$E66,SETTINGS_LOOK,"0D","Days="&amp;SETTINGS_FREQ,"Fill=P")),"")</f>
        <v/>
      </c>
      <c r="J66" s="26">
        <f>IFERROR(STDEV(BDH($D66,$E66,SETTINGS_LOOK,"0D","Days="&amp;SETTINGS_FREQ,"Fill=P")),"")</f>
        <v/>
      </c>
      <c r="K66" s="27">
        <f>IFERROR(($H66-$I66)/$J66,"")</f>
        <v/>
      </c>
      <c r="L66" s="28" t="n">
        <v>1</v>
      </c>
      <c r="M66" s="29">
        <f>IFERROR(IF(AND(SETTINGS_FXSRC="REER",$T66&lt;&gt;""),-1*((BDP($T66,"PX_LAST")-AVERAGE(BDH($T66,"PX_LAST",SETTINGS_LOOK,"0D","Days="&amp;SETTINGS_FREQ,"Fill=P")))/STDEV(BDH($T66,"PX_LAST",SETTINGS_LOOK,"0D","Days="&amp;SETTINGS_FREQ,"Fill=P"))),$K66*$L66),"")</f>
        <v/>
      </c>
      <c r="N66" s="30">
        <f>IFERROR(NORMSDIST($M66),"")</f>
        <v/>
      </c>
      <c r="O66" s="30">
        <f>IFERROR(BDP($D66,"CHG_PCT_1YR")/100,"")</f>
        <v/>
      </c>
      <c r="P66" s="31">
        <f>IFERROR(SUMPRODUCT(($B$7:$B$106=$B66)*($M$7:$M$106&gt;$M66))+1,"")</f>
        <v/>
      </c>
      <c r="Q66" s="32">
        <f>COUNTIF($B$7:$B$106,$B66)</f>
        <v/>
      </c>
      <c r="R66" s="33">
        <f>IFERROR(IF($M66&gt;=SETTINGS_ZC,"CHEAP",IF($M66&lt;=SETTINGS_ZR,"RICH","-")),"")</f>
        <v/>
      </c>
      <c r="S66" s="12" t="inlineStr">
        <is>
          <t>Spot, units per USD. High = weak local ccy = cheap.</t>
        </is>
      </c>
      <c r="T66" s="20" t="inlineStr"/>
      <c r="U66" s="32">
        <f>IFERROR(SUMPRODUCT(($M$7:$M$106&gt;$M66)*1)+1,"")</f>
        <v/>
      </c>
    </row>
    <row r="67">
      <c r="B67" s="37" t="inlineStr">
        <is>
          <t>FX</t>
        </is>
      </c>
      <c r="C67" s="19" t="inlineStr">
        <is>
          <t>Turkish lira</t>
        </is>
      </c>
      <c r="D67" s="20" t="inlineStr">
        <is>
          <t>USDTRY Curncy</t>
        </is>
      </c>
      <c r="E67" s="21" t="inlineStr">
        <is>
          <t>PX_LAST</t>
        </is>
      </c>
      <c r="F67" s="22" t="inlineStr">
        <is>
          <t>HIGH</t>
        </is>
      </c>
      <c r="G67" s="23">
        <f>IFERROR(IF(BDP($D67,"NAME")="","CHECK",BDP($D67,"NAME")),"CHECK")</f>
        <v/>
      </c>
      <c r="H67" s="24">
        <f>IFERROR(BDP($D67,$E67),"")</f>
        <v/>
      </c>
      <c r="I67" s="25">
        <f>IFERROR(AVERAGE(BDH($D67,$E67,SETTINGS_LOOK,"0D","Days="&amp;SETTINGS_FREQ,"Fill=P")),"")</f>
        <v/>
      </c>
      <c r="J67" s="26">
        <f>IFERROR(STDEV(BDH($D67,$E67,SETTINGS_LOOK,"0D","Days="&amp;SETTINGS_FREQ,"Fill=P")),"")</f>
        <v/>
      </c>
      <c r="K67" s="27">
        <f>IFERROR(($H67-$I67)/$J67,"")</f>
        <v/>
      </c>
      <c r="L67" s="28" t="n">
        <v>1</v>
      </c>
      <c r="M67" s="29">
        <f>IFERROR(IF(AND(SETTINGS_FXSRC="REER",$T67&lt;&gt;""),-1*((BDP($T67,"PX_LAST")-AVERAGE(BDH($T67,"PX_LAST",SETTINGS_LOOK,"0D","Days="&amp;SETTINGS_FREQ,"Fill=P")))/STDEV(BDH($T67,"PX_LAST",SETTINGS_LOOK,"0D","Days="&amp;SETTINGS_FREQ,"Fill=P"))),$K67*$L67),"")</f>
        <v/>
      </c>
      <c r="N67" s="30">
        <f>IFERROR(NORMSDIST($M67),"")</f>
        <v/>
      </c>
      <c r="O67" s="30">
        <f>IFERROR(BDP($D67,"CHG_PCT_1YR")/100,"")</f>
        <v/>
      </c>
      <c r="P67" s="31">
        <f>IFERROR(SUMPRODUCT(($B$7:$B$106=$B67)*($M$7:$M$106&gt;$M67))+1,"")</f>
        <v/>
      </c>
      <c r="Q67" s="32">
        <f>COUNTIF($B$7:$B$106,$B67)</f>
        <v/>
      </c>
      <c r="R67" s="33">
        <f>IFERROR(IF($M67&gt;=SETTINGS_ZC,"CHEAP",IF($M67&lt;=SETTINGS_ZR,"RICH","-")),"")</f>
        <v/>
      </c>
      <c r="S67" s="12" t="inlineStr">
        <is>
          <t>Spot, units per USD. High = weak local ccy = cheap.</t>
        </is>
      </c>
      <c r="T67" s="20" t="inlineStr"/>
      <c r="U67" s="32">
        <f>IFERROR(SUMPRODUCT(($M$7:$M$106&gt;$M67)*1)+1,"")</f>
        <v/>
      </c>
    </row>
    <row r="68">
      <c r="B68" s="37" t="inlineStr">
        <is>
          <t>FX</t>
        </is>
      </c>
      <c r="C68" s="19" t="inlineStr">
        <is>
          <t>Polish zloty</t>
        </is>
      </c>
      <c r="D68" s="20" t="inlineStr">
        <is>
          <t>USDPLN Curncy</t>
        </is>
      </c>
      <c r="E68" s="21" t="inlineStr">
        <is>
          <t>PX_LAST</t>
        </is>
      </c>
      <c r="F68" s="22" t="inlineStr">
        <is>
          <t>HIGH</t>
        </is>
      </c>
      <c r="G68" s="23">
        <f>IFERROR(IF(BDP($D68,"NAME")="","CHECK",BDP($D68,"NAME")),"CHECK")</f>
        <v/>
      </c>
      <c r="H68" s="24">
        <f>IFERROR(BDP($D68,$E68),"")</f>
        <v/>
      </c>
      <c r="I68" s="25">
        <f>IFERROR(AVERAGE(BDH($D68,$E68,SETTINGS_LOOK,"0D","Days="&amp;SETTINGS_FREQ,"Fill=P")),"")</f>
        <v/>
      </c>
      <c r="J68" s="26">
        <f>IFERROR(STDEV(BDH($D68,$E68,SETTINGS_LOOK,"0D","Days="&amp;SETTINGS_FREQ,"Fill=P")),"")</f>
        <v/>
      </c>
      <c r="K68" s="27">
        <f>IFERROR(($H68-$I68)/$J68,"")</f>
        <v/>
      </c>
      <c r="L68" s="28" t="n">
        <v>1</v>
      </c>
      <c r="M68" s="29">
        <f>IFERROR(IF(AND(SETTINGS_FXSRC="REER",$T68&lt;&gt;""),-1*((BDP($T68,"PX_LAST")-AVERAGE(BDH($T68,"PX_LAST",SETTINGS_LOOK,"0D","Days="&amp;SETTINGS_FREQ,"Fill=P")))/STDEV(BDH($T68,"PX_LAST",SETTINGS_LOOK,"0D","Days="&amp;SETTINGS_FREQ,"Fill=P"))),$K68*$L68),"")</f>
        <v/>
      </c>
      <c r="N68" s="30">
        <f>IFERROR(NORMSDIST($M68),"")</f>
        <v/>
      </c>
      <c r="O68" s="30">
        <f>IFERROR(BDP($D68,"CHG_PCT_1YR")/100,"")</f>
        <v/>
      </c>
      <c r="P68" s="31">
        <f>IFERROR(SUMPRODUCT(($B$7:$B$106=$B68)*($M$7:$M$106&gt;$M68))+1,"")</f>
        <v/>
      </c>
      <c r="Q68" s="32">
        <f>COUNTIF($B$7:$B$106,$B68)</f>
        <v/>
      </c>
      <c r="R68" s="33">
        <f>IFERROR(IF($M68&gt;=SETTINGS_ZC,"CHEAP",IF($M68&lt;=SETTINGS_ZR,"RICH","-")),"")</f>
        <v/>
      </c>
      <c r="S68" s="12" t="inlineStr">
        <is>
          <t>Spot, units per USD. High = weak local ccy = cheap.</t>
        </is>
      </c>
      <c r="T68" s="20" t="inlineStr"/>
      <c r="U68" s="32">
        <f>IFERROR(SUMPRODUCT(($M$7:$M$106&gt;$M68)*1)+1,"")</f>
        <v/>
      </c>
    </row>
    <row r="69">
      <c r="B69" s="37" t="inlineStr">
        <is>
          <t>FX</t>
        </is>
      </c>
      <c r="C69" s="19" t="inlineStr">
        <is>
          <t>Hungarian forint</t>
        </is>
      </c>
      <c r="D69" s="20" t="inlineStr">
        <is>
          <t>USDHUF Curncy</t>
        </is>
      </c>
      <c r="E69" s="21" t="inlineStr">
        <is>
          <t>PX_LAST</t>
        </is>
      </c>
      <c r="F69" s="22" t="inlineStr">
        <is>
          <t>HIGH</t>
        </is>
      </c>
      <c r="G69" s="23">
        <f>IFERROR(IF(BDP($D69,"NAME")="","CHECK",BDP($D69,"NAME")),"CHECK")</f>
        <v/>
      </c>
      <c r="H69" s="24">
        <f>IFERROR(BDP($D69,$E69),"")</f>
        <v/>
      </c>
      <c r="I69" s="25">
        <f>IFERROR(AVERAGE(BDH($D69,$E69,SETTINGS_LOOK,"0D","Days="&amp;SETTINGS_FREQ,"Fill=P")),"")</f>
        <v/>
      </c>
      <c r="J69" s="26">
        <f>IFERROR(STDEV(BDH($D69,$E69,SETTINGS_LOOK,"0D","Days="&amp;SETTINGS_FREQ,"Fill=P")),"")</f>
        <v/>
      </c>
      <c r="K69" s="27">
        <f>IFERROR(($H69-$I69)/$J69,"")</f>
        <v/>
      </c>
      <c r="L69" s="28" t="n">
        <v>1</v>
      </c>
      <c r="M69" s="29">
        <f>IFERROR(IF(AND(SETTINGS_FXSRC="REER",$T69&lt;&gt;""),-1*((BDP($T69,"PX_LAST")-AVERAGE(BDH($T69,"PX_LAST",SETTINGS_LOOK,"0D","Days="&amp;SETTINGS_FREQ,"Fill=P")))/STDEV(BDH($T69,"PX_LAST",SETTINGS_LOOK,"0D","Days="&amp;SETTINGS_FREQ,"Fill=P"))),$K69*$L69),"")</f>
        <v/>
      </c>
      <c r="N69" s="30">
        <f>IFERROR(NORMSDIST($M69),"")</f>
        <v/>
      </c>
      <c r="O69" s="30">
        <f>IFERROR(BDP($D69,"CHG_PCT_1YR")/100,"")</f>
        <v/>
      </c>
      <c r="P69" s="31">
        <f>IFERROR(SUMPRODUCT(($B$7:$B$106=$B69)*($M$7:$M$106&gt;$M69))+1,"")</f>
        <v/>
      </c>
      <c r="Q69" s="32">
        <f>COUNTIF($B$7:$B$106,$B69)</f>
        <v/>
      </c>
      <c r="R69" s="33">
        <f>IFERROR(IF($M69&gt;=SETTINGS_ZC,"CHEAP",IF($M69&lt;=SETTINGS_ZR,"RICH","-")),"")</f>
        <v/>
      </c>
      <c r="S69" s="12" t="inlineStr">
        <is>
          <t>Spot, units per USD. High = weak local ccy = cheap.</t>
        </is>
      </c>
      <c r="T69" s="20" t="inlineStr"/>
      <c r="U69" s="32">
        <f>IFERROR(SUMPRODUCT(($M$7:$M$106&gt;$M69)*1)+1,"")</f>
        <v/>
      </c>
    </row>
    <row r="70">
      <c r="B70" s="37" t="inlineStr">
        <is>
          <t>FX</t>
        </is>
      </c>
      <c r="C70" s="19" t="inlineStr">
        <is>
          <t>Czech koruna</t>
        </is>
      </c>
      <c r="D70" s="20" t="inlineStr">
        <is>
          <t>USDCZK Curncy</t>
        </is>
      </c>
      <c r="E70" s="21" t="inlineStr">
        <is>
          <t>PX_LAST</t>
        </is>
      </c>
      <c r="F70" s="22" t="inlineStr">
        <is>
          <t>HIGH</t>
        </is>
      </c>
      <c r="G70" s="23">
        <f>IFERROR(IF(BDP($D70,"NAME")="","CHECK",BDP($D70,"NAME")),"CHECK")</f>
        <v/>
      </c>
      <c r="H70" s="24">
        <f>IFERROR(BDP($D70,$E70),"")</f>
        <v/>
      </c>
      <c r="I70" s="25">
        <f>IFERROR(AVERAGE(BDH($D70,$E70,SETTINGS_LOOK,"0D","Days="&amp;SETTINGS_FREQ,"Fill=P")),"")</f>
        <v/>
      </c>
      <c r="J70" s="26">
        <f>IFERROR(STDEV(BDH($D70,$E70,SETTINGS_LOOK,"0D","Days="&amp;SETTINGS_FREQ,"Fill=P")),"")</f>
        <v/>
      </c>
      <c r="K70" s="27">
        <f>IFERROR(($H70-$I70)/$J70,"")</f>
        <v/>
      </c>
      <c r="L70" s="28" t="n">
        <v>1</v>
      </c>
      <c r="M70" s="29">
        <f>IFERROR(IF(AND(SETTINGS_FXSRC="REER",$T70&lt;&gt;""),-1*((BDP($T70,"PX_LAST")-AVERAGE(BDH($T70,"PX_LAST",SETTINGS_LOOK,"0D","Days="&amp;SETTINGS_FREQ,"Fill=P")))/STDEV(BDH($T70,"PX_LAST",SETTINGS_LOOK,"0D","Days="&amp;SETTINGS_FREQ,"Fill=P"))),$K70*$L70),"")</f>
        <v/>
      </c>
      <c r="N70" s="30">
        <f>IFERROR(NORMSDIST($M70),"")</f>
        <v/>
      </c>
      <c r="O70" s="30">
        <f>IFERROR(BDP($D70,"CHG_PCT_1YR")/100,"")</f>
        <v/>
      </c>
      <c r="P70" s="31">
        <f>IFERROR(SUMPRODUCT(($B$7:$B$106=$B70)*($M$7:$M$106&gt;$M70))+1,"")</f>
        <v/>
      </c>
      <c r="Q70" s="32">
        <f>COUNTIF($B$7:$B$106,$B70)</f>
        <v/>
      </c>
      <c r="R70" s="33">
        <f>IFERROR(IF($M70&gt;=SETTINGS_ZC,"CHEAP",IF($M70&lt;=SETTINGS_ZR,"RICH","-")),"")</f>
        <v/>
      </c>
      <c r="S70" s="12" t="inlineStr">
        <is>
          <t>Spot, units per USD. High = weak local ccy = cheap.</t>
        </is>
      </c>
      <c r="T70" s="20" t="inlineStr"/>
      <c r="U70" s="32">
        <f>IFERROR(SUMPRODUCT(($M$7:$M$106&gt;$M70)*1)+1,"")</f>
        <v/>
      </c>
    </row>
    <row r="71">
      <c r="B71" s="37" t="inlineStr">
        <is>
          <t>FX</t>
        </is>
      </c>
      <c r="C71" s="19" t="inlineStr">
        <is>
          <t>Israeli shekel</t>
        </is>
      </c>
      <c r="D71" s="20" t="inlineStr">
        <is>
          <t>USDILS Curncy</t>
        </is>
      </c>
      <c r="E71" s="21" t="inlineStr">
        <is>
          <t>PX_LAST</t>
        </is>
      </c>
      <c r="F71" s="22" t="inlineStr">
        <is>
          <t>HIGH</t>
        </is>
      </c>
      <c r="G71" s="23">
        <f>IFERROR(IF(BDP($D71,"NAME")="","CHECK",BDP($D71,"NAME")),"CHECK")</f>
        <v/>
      </c>
      <c r="H71" s="24">
        <f>IFERROR(BDP($D71,$E71),"")</f>
        <v/>
      </c>
      <c r="I71" s="25">
        <f>IFERROR(AVERAGE(BDH($D71,$E71,SETTINGS_LOOK,"0D","Days="&amp;SETTINGS_FREQ,"Fill=P")),"")</f>
        <v/>
      </c>
      <c r="J71" s="26">
        <f>IFERROR(STDEV(BDH($D71,$E71,SETTINGS_LOOK,"0D","Days="&amp;SETTINGS_FREQ,"Fill=P")),"")</f>
        <v/>
      </c>
      <c r="K71" s="27">
        <f>IFERROR(($H71-$I71)/$J71,"")</f>
        <v/>
      </c>
      <c r="L71" s="28" t="n">
        <v>1</v>
      </c>
      <c r="M71" s="29">
        <f>IFERROR(IF(AND(SETTINGS_FXSRC="REER",$T71&lt;&gt;""),-1*((BDP($T71,"PX_LAST")-AVERAGE(BDH($T71,"PX_LAST",SETTINGS_LOOK,"0D","Days="&amp;SETTINGS_FREQ,"Fill=P")))/STDEV(BDH($T71,"PX_LAST",SETTINGS_LOOK,"0D","Days="&amp;SETTINGS_FREQ,"Fill=P"))),$K71*$L71),"")</f>
        <v/>
      </c>
      <c r="N71" s="30">
        <f>IFERROR(NORMSDIST($M71),"")</f>
        <v/>
      </c>
      <c r="O71" s="30">
        <f>IFERROR(BDP($D71,"CHG_PCT_1YR")/100,"")</f>
        <v/>
      </c>
      <c r="P71" s="31">
        <f>IFERROR(SUMPRODUCT(($B$7:$B$106=$B71)*($M$7:$M$106&gt;$M71))+1,"")</f>
        <v/>
      </c>
      <c r="Q71" s="32">
        <f>COUNTIF($B$7:$B$106,$B71)</f>
        <v/>
      </c>
      <c r="R71" s="33">
        <f>IFERROR(IF($M71&gt;=SETTINGS_ZC,"CHEAP",IF($M71&lt;=SETTINGS_ZR,"RICH","-")),"")</f>
        <v/>
      </c>
      <c r="S71" s="12" t="inlineStr">
        <is>
          <t>Spot, units per USD. High = weak local ccy = cheap.</t>
        </is>
      </c>
      <c r="T71" s="20" t="inlineStr"/>
      <c r="U71" s="32">
        <f>IFERROR(SUMPRODUCT(($M$7:$M$106&gt;$M71)*1)+1,"")</f>
        <v/>
      </c>
    </row>
    <row r="72">
      <c r="B72" s="37" t="inlineStr">
        <is>
          <t>FX</t>
        </is>
      </c>
      <c r="C72" s="19" t="inlineStr">
        <is>
          <t>Indian rupee</t>
        </is>
      </c>
      <c r="D72" s="20" t="inlineStr">
        <is>
          <t>USDINR Curncy</t>
        </is>
      </c>
      <c r="E72" s="21" t="inlineStr">
        <is>
          <t>PX_LAST</t>
        </is>
      </c>
      <c r="F72" s="22" t="inlineStr">
        <is>
          <t>HIGH</t>
        </is>
      </c>
      <c r="G72" s="23">
        <f>IFERROR(IF(BDP($D72,"NAME")="","CHECK",BDP($D72,"NAME")),"CHECK")</f>
        <v/>
      </c>
      <c r="H72" s="24">
        <f>IFERROR(BDP($D72,$E72),"")</f>
        <v/>
      </c>
      <c r="I72" s="25">
        <f>IFERROR(AVERAGE(BDH($D72,$E72,SETTINGS_LOOK,"0D","Days="&amp;SETTINGS_FREQ,"Fill=P")),"")</f>
        <v/>
      </c>
      <c r="J72" s="26">
        <f>IFERROR(STDEV(BDH($D72,$E72,SETTINGS_LOOK,"0D","Days="&amp;SETTINGS_FREQ,"Fill=P")),"")</f>
        <v/>
      </c>
      <c r="K72" s="27">
        <f>IFERROR(($H72-$I72)/$J72,"")</f>
        <v/>
      </c>
      <c r="L72" s="28" t="n">
        <v>1</v>
      </c>
      <c r="M72" s="29">
        <f>IFERROR(IF(AND(SETTINGS_FXSRC="REER",$T72&lt;&gt;""),-1*((BDP($T72,"PX_LAST")-AVERAGE(BDH($T72,"PX_LAST",SETTINGS_LOOK,"0D","Days="&amp;SETTINGS_FREQ,"Fill=P")))/STDEV(BDH($T72,"PX_LAST",SETTINGS_LOOK,"0D","Days="&amp;SETTINGS_FREQ,"Fill=P"))),$K72*$L72),"")</f>
        <v/>
      </c>
      <c r="N72" s="30">
        <f>IFERROR(NORMSDIST($M72),"")</f>
        <v/>
      </c>
      <c r="O72" s="30">
        <f>IFERROR(BDP($D72,"CHG_PCT_1YR")/100,"")</f>
        <v/>
      </c>
      <c r="P72" s="31">
        <f>IFERROR(SUMPRODUCT(($B$7:$B$106=$B72)*($M$7:$M$106&gt;$M72))+1,"")</f>
        <v/>
      </c>
      <c r="Q72" s="32">
        <f>COUNTIF($B$7:$B$106,$B72)</f>
        <v/>
      </c>
      <c r="R72" s="33">
        <f>IFERROR(IF($M72&gt;=SETTINGS_ZC,"CHEAP",IF($M72&lt;=SETTINGS_ZR,"RICH","-")),"")</f>
        <v/>
      </c>
      <c r="S72" s="12" t="inlineStr">
        <is>
          <t>Spot, units per USD. High = weak local ccy = cheap.</t>
        </is>
      </c>
      <c r="T72" s="20" t="inlineStr"/>
      <c r="U72" s="32">
        <f>IFERROR(SUMPRODUCT(($M$7:$M$106&gt;$M72)*1)+1,"")</f>
        <v/>
      </c>
    </row>
    <row r="73">
      <c r="B73" s="37" t="inlineStr">
        <is>
          <t>FX</t>
        </is>
      </c>
      <c r="C73" s="19" t="inlineStr">
        <is>
          <t>Indonesian rupiah</t>
        </is>
      </c>
      <c r="D73" s="20" t="inlineStr">
        <is>
          <t>USDIDR Curncy</t>
        </is>
      </c>
      <c r="E73" s="21" t="inlineStr">
        <is>
          <t>PX_LAST</t>
        </is>
      </c>
      <c r="F73" s="22" t="inlineStr">
        <is>
          <t>HIGH</t>
        </is>
      </c>
      <c r="G73" s="23">
        <f>IFERROR(IF(BDP($D73,"NAME")="","CHECK",BDP($D73,"NAME")),"CHECK")</f>
        <v/>
      </c>
      <c r="H73" s="24">
        <f>IFERROR(BDP($D73,$E73),"")</f>
        <v/>
      </c>
      <c r="I73" s="25">
        <f>IFERROR(AVERAGE(BDH($D73,$E73,SETTINGS_LOOK,"0D","Days="&amp;SETTINGS_FREQ,"Fill=P")),"")</f>
        <v/>
      </c>
      <c r="J73" s="26">
        <f>IFERROR(STDEV(BDH($D73,$E73,SETTINGS_LOOK,"0D","Days="&amp;SETTINGS_FREQ,"Fill=P")),"")</f>
        <v/>
      </c>
      <c r="K73" s="27">
        <f>IFERROR(($H73-$I73)/$J73,"")</f>
        <v/>
      </c>
      <c r="L73" s="28" t="n">
        <v>1</v>
      </c>
      <c r="M73" s="29">
        <f>IFERROR(IF(AND(SETTINGS_FXSRC="REER",$T73&lt;&gt;""),-1*((BDP($T73,"PX_LAST")-AVERAGE(BDH($T73,"PX_LAST",SETTINGS_LOOK,"0D","Days="&amp;SETTINGS_FREQ,"Fill=P")))/STDEV(BDH($T73,"PX_LAST",SETTINGS_LOOK,"0D","Days="&amp;SETTINGS_FREQ,"Fill=P"))),$K73*$L73),"")</f>
        <v/>
      </c>
      <c r="N73" s="30">
        <f>IFERROR(NORMSDIST($M73),"")</f>
        <v/>
      </c>
      <c r="O73" s="30">
        <f>IFERROR(BDP($D73,"CHG_PCT_1YR")/100,"")</f>
        <v/>
      </c>
      <c r="P73" s="31">
        <f>IFERROR(SUMPRODUCT(($B$7:$B$106=$B73)*($M$7:$M$106&gt;$M73))+1,"")</f>
        <v/>
      </c>
      <c r="Q73" s="32">
        <f>COUNTIF($B$7:$B$106,$B73)</f>
        <v/>
      </c>
      <c r="R73" s="33">
        <f>IFERROR(IF($M73&gt;=SETTINGS_ZC,"CHEAP",IF($M73&lt;=SETTINGS_ZR,"RICH","-")),"")</f>
        <v/>
      </c>
      <c r="S73" s="12" t="inlineStr">
        <is>
          <t>Spot, units per USD. High = weak local ccy = cheap.</t>
        </is>
      </c>
      <c r="T73" s="20" t="inlineStr"/>
      <c r="U73" s="32">
        <f>IFERROR(SUMPRODUCT(($M$7:$M$106&gt;$M73)*1)+1,"")</f>
        <v/>
      </c>
    </row>
    <row r="74">
      <c r="B74" s="37" t="inlineStr">
        <is>
          <t>FX</t>
        </is>
      </c>
      <c r="C74" s="19" t="inlineStr">
        <is>
          <t>Korean won</t>
        </is>
      </c>
      <c r="D74" s="20" t="inlineStr">
        <is>
          <t>USDKRW Curncy</t>
        </is>
      </c>
      <c r="E74" s="21" t="inlineStr">
        <is>
          <t>PX_LAST</t>
        </is>
      </c>
      <c r="F74" s="22" t="inlineStr">
        <is>
          <t>HIGH</t>
        </is>
      </c>
      <c r="G74" s="23">
        <f>IFERROR(IF(BDP($D74,"NAME")="","CHECK",BDP($D74,"NAME")),"CHECK")</f>
        <v/>
      </c>
      <c r="H74" s="24">
        <f>IFERROR(BDP($D74,$E74),"")</f>
        <v/>
      </c>
      <c r="I74" s="25">
        <f>IFERROR(AVERAGE(BDH($D74,$E74,SETTINGS_LOOK,"0D","Days="&amp;SETTINGS_FREQ,"Fill=P")),"")</f>
        <v/>
      </c>
      <c r="J74" s="26">
        <f>IFERROR(STDEV(BDH($D74,$E74,SETTINGS_LOOK,"0D","Days="&amp;SETTINGS_FREQ,"Fill=P")),"")</f>
        <v/>
      </c>
      <c r="K74" s="27">
        <f>IFERROR(($H74-$I74)/$J74,"")</f>
        <v/>
      </c>
      <c r="L74" s="28" t="n">
        <v>1</v>
      </c>
      <c r="M74" s="29">
        <f>IFERROR(IF(AND(SETTINGS_FXSRC="REER",$T74&lt;&gt;""),-1*((BDP($T74,"PX_LAST")-AVERAGE(BDH($T74,"PX_LAST",SETTINGS_LOOK,"0D","Days="&amp;SETTINGS_FREQ,"Fill=P")))/STDEV(BDH($T74,"PX_LAST",SETTINGS_LOOK,"0D","Days="&amp;SETTINGS_FREQ,"Fill=P"))),$K74*$L74),"")</f>
        <v/>
      </c>
      <c r="N74" s="30">
        <f>IFERROR(NORMSDIST($M74),"")</f>
        <v/>
      </c>
      <c r="O74" s="30">
        <f>IFERROR(BDP($D74,"CHG_PCT_1YR")/100,"")</f>
        <v/>
      </c>
      <c r="P74" s="31">
        <f>IFERROR(SUMPRODUCT(($B$7:$B$106=$B74)*($M$7:$M$106&gt;$M74))+1,"")</f>
        <v/>
      </c>
      <c r="Q74" s="32">
        <f>COUNTIF($B$7:$B$106,$B74)</f>
        <v/>
      </c>
      <c r="R74" s="33">
        <f>IFERROR(IF($M74&gt;=SETTINGS_ZC,"CHEAP",IF($M74&lt;=SETTINGS_ZR,"RICH","-")),"")</f>
        <v/>
      </c>
      <c r="S74" s="12" t="inlineStr">
        <is>
          <t>Spot, units per USD. High = weak local ccy = cheap.</t>
        </is>
      </c>
      <c r="T74" s="20" t="inlineStr"/>
      <c r="U74" s="32">
        <f>IFERROR(SUMPRODUCT(($M$7:$M$106&gt;$M74)*1)+1,"")</f>
        <v/>
      </c>
    </row>
    <row r="75">
      <c r="B75" s="37" t="inlineStr">
        <is>
          <t>FX</t>
        </is>
      </c>
      <c r="C75" s="19" t="inlineStr">
        <is>
          <t>Taiwan dollar</t>
        </is>
      </c>
      <c r="D75" s="20" t="inlineStr">
        <is>
          <t>USDTWD Curncy</t>
        </is>
      </c>
      <c r="E75" s="21" t="inlineStr">
        <is>
          <t>PX_LAST</t>
        </is>
      </c>
      <c r="F75" s="22" t="inlineStr">
        <is>
          <t>HIGH</t>
        </is>
      </c>
      <c r="G75" s="23">
        <f>IFERROR(IF(BDP($D75,"NAME")="","CHECK",BDP($D75,"NAME")),"CHECK")</f>
        <v/>
      </c>
      <c r="H75" s="24">
        <f>IFERROR(BDP($D75,$E75),"")</f>
        <v/>
      </c>
      <c r="I75" s="25">
        <f>IFERROR(AVERAGE(BDH($D75,$E75,SETTINGS_LOOK,"0D","Days="&amp;SETTINGS_FREQ,"Fill=P")),"")</f>
        <v/>
      </c>
      <c r="J75" s="26">
        <f>IFERROR(STDEV(BDH($D75,$E75,SETTINGS_LOOK,"0D","Days="&amp;SETTINGS_FREQ,"Fill=P")),"")</f>
        <v/>
      </c>
      <c r="K75" s="27">
        <f>IFERROR(($H75-$I75)/$J75,"")</f>
        <v/>
      </c>
      <c r="L75" s="28" t="n">
        <v>1</v>
      </c>
      <c r="M75" s="29">
        <f>IFERROR(IF(AND(SETTINGS_FXSRC="REER",$T75&lt;&gt;""),-1*((BDP($T75,"PX_LAST")-AVERAGE(BDH($T75,"PX_LAST",SETTINGS_LOOK,"0D","Days="&amp;SETTINGS_FREQ,"Fill=P")))/STDEV(BDH($T75,"PX_LAST",SETTINGS_LOOK,"0D","Days="&amp;SETTINGS_FREQ,"Fill=P"))),$K75*$L75),"")</f>
        <v/>
      </c>
      <c r="N75" s="30">
        <f>IFERROR(NORMSDIST($M75),"")</f>
        <v/>
      </c>
      <c r="O75" s="30">
        <f>IFERROR(BDP($D75,"CHG_PCT_1YR")/100,"")</f>
        <v/>
      </c>
      <c r="P75" s="31">
        <f>IFERROR(SUMPRODUCT(($B$7:$B$106=$B75)*($M$7:$M$106&gt;$M75))+1,"")</f>
        <v/>
      </c>
      <c r="Q75" s="32">
        <f>COUNTIF($B$7:$B$106,$B75)</f>
        <v/>
      </c>
      <c r="R75" s="33">
        <f>IFERROR(IF($M75&gt;=SETTINGS_ZC,"CHEAP",IF($M75&lt;=SETTINGS_ZR,"RICH","-")),"")</f>
        <v/>
      </c>
      <c r="S75" s="12" t="inlineStr">
        <is>
          <t>Spot, units per USD. High = weak local ccy = cheap.</t>
        </is>
      </c>
      <c r="T75" s="20" t="inlineStr"/>
      <c r="U75" s="32">
        <f>IFERROR(SUMPRODUCT(($M$7:$M$106&gt;$M75)*1)+1,"")</f>
        <v/>
      </c>
    </row>
    <row r="76">
      <c r="B76" s="37" t="inlineStr">
        <is>
          <t>FX</t>
        </is>
      </c>
      <c r="C76" s="19" t="inlineStr">
        <is>
          <t>Offshore renminbi</t>
        </is>
      </c>
      <c r="D76" s="20" t="inlineStr">
        <is>
          <t>USDCNH Curncy</t>
        </is>
      </c>
      <c r="E76" s="21" t="inlineStr">
        <is>
          <t>PX_LAST</t>
        </is>
      </c>
      <c r="F76" s="22" t="inlineStr">
        <is>
          <t>HIGH</t>
        </is>
      </c>
      <c r="G76" s="23">
        <f>IFERROR(IF(BDP($D76,"NAME")="","CHECK",BDP($D76,"NAME")),"CHECK")</f>
        <v/>
      </c>
      <c r="H76" s="24">
        <f>IFERROR(BDP($D76,$E76),"")</f>
        <v/>
      </c>
      <c r="I76" s="25">
        <f>IFERROR(AVERAGE(BDH($D76,$E76,SETTINGS_LOOK,"0D","Days="&amp;SETTINGS_FREQ,"Fill=P")),"")</f>
        <v/>
      </c>
      <c r="J76" s="26">
        <f>IFERROR(STDEV(BDH($D76,$E76,SETTINGS_LOOK,"0D","Days="&amp;SETTINGS_FREQ,"Fill=P")),"")</f>
        <v/>
      </c>
      <c r="K76" s="27">
        <f>IFERROR(($H76-$I76)/$J76,"")</f>
        <v/>
      </c>
      <c r="L76" s="28" t="n">
        <v>1</v>
      </c>
      <c r="M76" s="29">
        <f>IFERROR(IF(AND(SETTINGS_FXSRC="REER",$T76&lt;&gt;""),-1*((BDP($T76,"PX_LAST")-AVERAGE(BDH($T76,"PX_LAST",SETTINGS_LOOK,"0D","Days="&amp;SETTINGS_FREQ,"Fill=P")))/STDEV(BDH($T76,"PX_LAST",SETTINGS_LOOK,"0D","Days="&amp;SETTINGS_FREQ,"Fill=P"))),$K76*$L76),"")</f>
        <v/>
      </c>
      <c r="N76" s="30">
        <f>IFERROR(NORMSDIST($M76),"")</f>
        <v/>
      </c>
      <c r="O76" s="30">
        <f>IFERROR(BDP($D76,"CHG_PCT_1YR")/100,"")</f>
        <v/>
      </c>
      <c r="P76" s="31">
        <f>IFERROR(SUMPRODUCT(($B$7:$B$106=$B76)*($M$7:$M$106&gt;$M76))+1,"")</f>
        <v/>
      </c>
      <c r="Q76" s="32">
        <f>COUNTIF($B$7:$B$106,$B76)</f>
        <v/>
      </c>
      <c r="R76" s="33">
        <f>IFERROR(IF($M76&gt;=SETTINGS_ZC,"CHEAP",IF($M76&lt;=SETTINGS_ZR,"RICH","-")),"")</f>
        <v/>
      </c>
      <c r="S76" s="12" t="inlineStr">
        <is>
          <t>Spot, units per USD. High = weak local ccy = cheap.</t>
        </is>
      </c>
      <c r="T76" s="20" t="inlineStr"/>
      <c r="U76" s="32">
        <f>IFERROR(SUMPRODUCT(($M$7:$M$106&gt;$M76)*1)+1,"")</f>
        <v/>
      </c>
    </row>
    <row r="77">
      <c r="B77" s="38" t="inlineStr">
        <is>
          <t>CREDIT</t>
        </is>
      </c>
      <c r="C77" s="19" t="inlineStr">
        <is>
          <t>US IG OAS</t>
        </is>
      </c>
      <c r="D77" s="20" t="inlineStr">
        <is>
          <t>LUACOAS Index</t>
        </is>
      </c>
      <c r="E77" s="21" t="inlineStr">
        <is>
          <t>PX_LAST</t>
        </is>
      </c>
      <c r="F77" s="22" t="inlineStr">
        <is>
          <t>HIGH</t>
        </is>
      </c>
      <c r="G77" s="23">
        <f>IFERROR(IF(BDP($D77,"NAME")="","CHECK",BDP($D77,"NAME")),"CHECK")</f>
        <v/>
      </c>
      <c r="H77" s="24">
        <f>IFERROR(BDP($D77,$E77),"")</f>
        <v/>
      </c>
      <c r="I77" s="25">
        <f>IFERROR(AVERAGE(BDH($D77,$E77,SETTINGS_LOOK,"0D","Days="&amp;SETTINGS_FREQ,"Fill=P")),"")</f>
        <v/>
      </c>
      <c r="J77" s="26">
        <f>IFERROR(STDEV(BDH($D77,$E77,SETTINGS_LOOK,"0D","Days="&amp;SETTINGS_FREQ,"Fill=P")),"")</f>
        <v/>
      </c>
      <c r="K77" s="27">
        <f>IFERROR(($H77-$I77)/$J77,"")</f>
        <v/>
      </c>
      <c r="L77" s="28" t="n">
        <v>1</v>
      </c>
      <c r="M77" s="29">
        <f>IFERROR($K77*$L77,"")</f>
        <v/>
      </c>
      <c r="N77" s="30">
        <f>IFERROR(NORMSDIST($M77),"")</f>
        <v/>
      </c>
      <c r="O77" s="30">
        <f>IFERROR(BDP($D77,"CHG_PCT_1YR")/100,"")</f>
        <v/>
      </c>
      <c r="P77" s="31">
        <f>IFERROR(SUMPRODUCT(($B$7:$B$106=$B77)*($M$7:$M$106&gt;$M77))+1,"")</f>
        <v/>
      </c>
      <c r="Q77" s="32">
        <f>COUNTIF($B$7:$B$106,$B77)</f>
        <v/>
      </c>
      <c r="R77" s="33">
        <f>IFERROR(IF($M77&gt;=SETTINGS_ZC,"CHEAP",IF($M77&lt;=SETTINGS_ZR,"RICH","-")),"")</f>
        <v/>
      </c>
      <c r="S77" s="12" t="inlineStr">
        <is>
          <t>Spread in bp. High spread = cheap credit.</t>
        </is>
      </c>
      <c r="T77" s="34" t="inlineStr"/>
      <c r="U77" s="32">
        <f>IFERROR(SUMPRODUCT(($M$7:$M$106&gt;$M77)*1)+1,"")</f>
        <v/>
      </c>
    </row>
    <row r="78">
      <c r="B78" s="38" t="inlineStr">
        <is>
          <t>CREDIT</t>
        </is>
      </c>
      <c r="C78" s="19" t="inlineStr">
        <is>
          <t>US HY OAS</t>
        </is>
      </c>
      <c r="D78" s="20" t="inlineStr">
        <is>
          <t>LF98OAS Index</t>
        </is>
      </c>
      <c r="E78" s="21" t="inlineStr">
        <is>
          <t>PX_LAST</t>
        </is>
      </c>
      <c r="F78" s="22" t="inlineStr">
        <is>
          <t>HIGH</t>
        </is>
      </c>
      <c r="G78" s="23">
        <f>IFERROR(IF(BDP($D78,"NAME")="","CHECK",BDP($D78,"NAME")),"CHECK")</f>
        <v/>
      </c>
      <c r="H78" s="24">
        <f>IFERROR(BDP($D78,$E78),"")</f>
        <v/>
      </c>
      <c r="I78" s="25">
        <f>IFERROR(AVERAGE(BDH($D78,$E78,SETTINGS_LOOK,"0D","Days="&amp;SETTINGS_FREQ,"Fill=P")),"")</f>
        <v/>
      </c>
      <c r="J78" s="26">
        <f>IFERROR(STDEV(BDH($D78,$E78,SETTINGS_LOOK,"0D","Days="&amp;SETTINGS_FREQ,"Fill=P")),"")</f>
        <v/>
      </c>
      <c r="K78" s="27">
        <f>IFERROR(($H78-$I78)/$J78,"")</f>
        <v/>
      </c>
      <c r="L78" s="28" t="n">
        <v>1</v>
      </c>
      <c r="M78" s="29">
        <f>IFERROR($K78*$L78,"")</f>
        <v/>
      </c>
      <c r="N78" s="30">
        <f>IFERROR(NORMSDIST($M78),"")</f>
        <v/>
      </c>
      <c r="O78" s="30">
        <f>IFERROR(BDP($D78,"CHG_PCT_1YR")/100,"")</f>
        <v/>
      </c>
      <c r="P78" s="31">
        <f>IFERROR(SUMPRODUCT(($B$7:$B$106=$B78)*($M$7:$M$106&gt;$M78))+1,"")</f>
        <v/>
      </c>
      <c r="Q78" s="32">
        <f>COUNTIF($B$7:$B$106,$B78)</f>
        <v/>
      </c>
      <c r="R78" s="33">
        <f>IFERROR(IF($M78&gt;=SETTINGS_ZC,"CHEAP",IF($M78&lt;=SETTINGS_ZR,"RICH","-")),"")</f>
        <v/>
      </c>
      <c r="S78" s="12" t="inlineStr">
        <is>
          <t>Spread in bp. High spread = cheap credit.</t>
        </is>
      </c>
      <c r="T78" s="34" t="inlineStr"/>
      <c r="U78" s="32">
        <f>IFERROR(SUMPRODUCT(($M$7:$M$106&gt;$M78)*1)+1,"")</f>
        <v/>
      </c>
    </row>
    <row r="79">
      <c r="B79" s="38" t="inlineStr">
        <is>
          <t>CREDIT</t>
        </is>
      </c>
      <c r="C79" s="19" t="inlineStr">
        <is>
          <t>Euro IG OAS</t>
        </is>
      </c>
      <c r="D79" s="20" t="inlineStr">
        <is>
          <t>LECPOAS Index</t>
        </is>
      </c>
      <c r="E79" s="21" t="inlineStr">
        <is>
          <t>PX_LAST</t>
        </is>
      </c>
      <c r="F79" s="36" t="inlineStr">
        <is>
          <t>VERIFY</t>
        </is>
      </c>
      <c r="G79" s="23">
        <f>IFERROR(IF(BDP($D79,"NAME")="","CHECK",BDP($D79,"NAME")),"CHECK")</f>
        <v/>
      </c>
      <c r="H79" s="24">
        <f>IFERROR(BDP($D79,$E79),"")</f>
        <v/>
      </c>
      <c r="I79" s="25">
        <f>IFERROR(AVERAGE(BDH($D79,$E79,SETTINGS_LOOK,"0D","Days="&amp;SETTINGS_FREQ,"Fill=P")),"")</f>
        <v/>
      </c>
      <c r="J79" s="26">
        <f>IFERROR(STDEV(BDH($D79,$E79,SETTINGS_LOOK,"0D","Days="&amp;SETTINGS_FREQ,"Fill=P")),"")</f>
        <v/>
      </c>
      <c r="K79" s="27">
        <f>IFERROR(($H79-$I79)/$J79,"")</f>
        <v/>
      </c>
      <c r="L79" s="28" t="n">
        <v>1</v>
      </c>
      <c r="M79" s="29">
        <f>IFERROR($K79*$L79,"")</f>
        <v/>
      </c>
      <c r="N79" s="30">
        <f>IFERROR(NORMSDIST($M79),"")</f>
        <v/>
      </c>
      <c r="O79" s="30">
        <f>IFERROR(BDP($D79,"CHG_PCT_1YR")/100,"")</f>
        <v/>
      </c>
      <c r="P79" s="31">
        <f>IFERROR(SUMPRODUCT(($B$7:$B$106=$B79)*($M$7:$M$106&gt;$M79))+1,"")</f>
        <v/>
      </c>
      <c r="Q79" s="32">
        <f>COUNTIF($B$7:$B$106,$B79)</f>
        <v/>
      </c>
      <c r="R79" s="33">
        <f>IFERROR(IF($M79&gt;=SETTINGS_ZC,"CHEAP",IF($M79&lt;=SETTINGS_ZR,"RICH","-")),"")</f>
        <v/>
      </c>
      <c r="S79" s="12" t="inlineStr">
        <is>
          <t>Spread in bp. High spread = cheap credit.</t>
        </is>
      </c>
      <c r="T79" s="34" t="inlineStr"/>
      <c r="U79" s="32">
        <f>IFERROR(SUMPRODUCT(($M$7:$M$106&gt;$M79)*1)+1,"")</f>
        <v/>
      </c>
    </row>
    <row r="80">
      <c r="B80" s="38" t="inlineStr">
        <is>
          <t>CREDIT</t>
        </is>
      </c>
      <c r="C80" s="19" t="inlineStr">
        <is>
          <t>Euro HY OAS</t>
        </is>
      </c>
      <c r="D80" s="20" t="inlineStr">
        <is>
          <t>LP01OAS Index</t>
        </is>
      </c>
      <c r="E80" s="21" t="inlineStr">
        <is>
          <t>PX_LAST</t>
        </is>
      </c>
      <c r="F80" s="36" t="inlineStr">
        <is>
          <t>VERIFY</t>
        </is>
      </c>
      <c r="G80" s="23">
        <f>IFERROR(IF(BDP($D80,"NAME")="","CHECK",BDP($D80,"NAME")),"CHECK")</f>
        <v/>
      </c>
      <c r="H80" s="24">
        <f>IFERROR(BDP($D80,$E80),"")</f>
        <v/>
      </c>
      <c r="I80" s="25">
        <f>IFERROR(AVERAGE(BDH($D80,$E80,SETTINGS_LOOK,"0D","Days="&amp;SETTINGS_FREQ,"Fill=P")),"")</f>
        <v/>
      </c>
      <c r="J80" s="26">
        <f>IFERROR(STDEV(BDH($D80,$E80,SETTINGS_LOOK,"0D","Days="&amp;SETTINGS_FREQ,"Fill=P")),"")</f>
        <v/>
      </c>
      <c r="K80" s="27">
        <f>IFERROR(($H80-$I80)/$J80,"")</f>
        <v/>
      </c>
      <c r="L80" s="28" t="n">
        <v>1</v>
      </c>
      <c r="M80" s="29">
        <f>IFERROR($K80*$L80,"")</f>
        <v/>
      </c>
      <c r="N80" s="30">
        <f>IFERROR(NORMSDIST($M80),"")</f>
        <v/>
      </c>
      <c r="O80" s="30">
        <f>IFERROR(BDP($D80,"CHG_PCT_1YR")/100,"")</f>
        <v/>
      </c>
      <c r="P80" s="31">
        <f>IFERROR(SUMPRODUCT(($B$7:$B$106=$B80)*($M$7:$M$106&gt;$M80))+1,"")</f>
        <v/>
      </c>
      <c r="Q80" s="32">
        <f>COUNTIF($B$7:$B$106,$B80)</f>
        <v/>
      </c>
      <c r="R80" s="33">
        <f>IFERROR(IF($M80&gt;=SETTINGS_ZC,"CHEAP",IF($M80&lt;=SETTINGS_ZR,"RICH","-")),"")</f>
        <v/>
      </c>
      <c r="S80" s="12" t="inlineStr">
        <is>
          <t>Spread in bp. High spread = cheap credit.</t>
        </is>
      </c>
      <c r="T80" s="34" t="inlineStr"/>
      <c r="U80" s="32">
        <f>IFERROR(SUMPRODUCT(($M$7:$M$106&gt;$M80)*1)+1,"")</f>
        <v/>
      </c>
    </row>
    <row r="81">
      <c r="B81" s="38" t="inlineStr">
        <is>
          <t>CREDIT</t>
        </is>
      </c>
      <c r="C81" s="19" t="inlineStr">
        <is>
          <t>EM sovereign USD (EMBI GD) spread</t>
        </is>
      </c>
      <c r="D81" s="20" t="inlineStr">
        <is>
          <t>JPEGSOSD Index</t>
        </is>
      </c>
      <c r="E81" s="21" t="inlineStr">
        <is>
          <t>PX_LAST</t>
        </is>
      </c>
      <c r="F81" s="36" t="inlineStr">
        <is>
          <t>VERIFY</t>
        </is>
      </c>
      <c r="G81" s="23">
        <f>IFERROR(IF(BDP($D81,"NAME")="","CHECK",BDP($D81,"NAME")),"CHECK")</f>
        <v/>
      </c>
      <c r="H81" s="24">
        <f>IFERROR(BDP($D81,$E81),"")</f>
        <v/>
      </c>
      <c r="I81" s="25">
        <f>IFERROR(AVERAGE(BDH($D81,$E81,SETTINGS_LOOK,"0D","Days="&amp;SETTINGS_FREQ,"Fill=P")),"")</f>
        <v/>
      </c>
      <c r="J81" s="26">
        <f>IFERROR(STDEV(BDH($D81,$E81,SETTINGS_LOOK,"0D","Days="&amp;SETTINGS_FREQ,"Fill=P")),"")</f>
        <v/>
      </c>
      <c r="K81" s="27">
        <f>IFERROR(($H81-$I81)/$J81,"")</f>
        <v/>
      </c>
      <c r="L81" s="28" t="n">
        <v>1</v>
      </c>
      <c r="M81" s="29">
        <f>IFERROR($K81*$L81,"")</f>
        <v/>
      </c>
      <c r="N81" s="30">
        <f>IFERROR(NORMSDIST($M81),"")</f>
        <v/>
      </c>
      <c r="O81" s="30">
        <f>IFERROR(BDP($D81,"CHG_PCT_1YR")/100,"")</f>
        <v/>
      </c>
      <c r="P81" s="31">
        <f>IFERROR(SUMPRODUCT(($B$7:$B$106=$B81)*($M$7:$M$106&gt;$M81))+1,"")</f>
        <v/>
      </c>
      <c r="Q81" s="32">
        <f>COUNTIF($B$7:$B$106,$B81)</f>
        <v/>
      </c>
      <c r="R81" s="33">
        <f>IFERROR(IF($M81&gt;=SETTINGS_ZC,"CHEAP",IF($M81&lt;=SETTINGS_ZR,"RICH","-")),"")</f>
        <v/>
      </c>
      <c r="S81" s="12" t="inlineStr">
        <is>
          <t>Spread in bp. High spread = cheap credit.</t>
        </is>
      </c>
      <c r="T81" s="34" t="inlineStr"/>
      <c r="U81" s="32">
        <f>IFERROR(SUMPRODUCT(($M$7:$M$106&gt;$M81)*1)+1,"")</f>
        <v/>
      </c>
    </row>
    <row r="82">
      <c r="B82" s="38" t="inlineStr">
        <is>
          <t>CREDIT</t>
        </is>
      </c>
      <c r="C82" s="19" t="inlineStr">
        <is>
          <t>EM corporate (CEMBI) spread</t>
        </is>
      </c>
      <c r="D82" s="20" t="inlineStr">
        <is>
          <t>JBCDCOMP Index</t>
        </is>
      </c>
      <c r="E82" s="21" t="inlineStr">
        <is>
          <t>PX_LAST</t>
        </is>
      </c>
      <c r="F82" s="36" t="inlineStr">
        <is>
          <t>VERIFY</t>
        </is>
      </c>
      <c r="G82" s="23">
        <f>IFERROR(IF(BDP($D82,"NAME")="","CHECK",BDP($D82,"NAME")),"CHECK")</f>
        <v/>
      </c>
      <c r="H82" s="24">
        <f>IFERROR(BDP($D82,$E82),"")</f>
        <v/>
      </c>
      <c r="I82" s="25">
        <f>IFERROR(AVERAGE(BDH($D82,$E82,SETTINGS_LOOK,"0D","Days="&amp;SETTINGS_FREQ,"Fill=P")),"")</f>
        <v/>
      </c>
      <c r="J82" s="26">
        <f>IFERROR(STDEV(BDH($D82,$E82,SETTINGS_LOOK,"0D","Days="&amp;SETTINGS_FREQ,"Fill=P")),"")</f>
        <v/>
      </c>
      <c r="K82" s="27">
        <f>IFERROR(($H82-$I82)/$J82,"")</f>
        <v/>
      </c>
      <c r="L82" s="28" t="n">
        <v>1</v>
      </c>
      <c r="M82" s="29">
        <f>IFERROR($K82*$L82,"")</f>
        <v/>
      </c>
      <c r="N82" s="30">
        <f>IFERROR(NORMSDIST($M82),"")</f>
        <v/>
      </c>
      <c r="O82" s="30">
        <f>IFERROR(BDP($D82,"CHG_PCT_1YR")/100,"")</f>
        <v/>
      </c>
      <c r="P82" s="31">
        <f>IFERROR(SUMPRODUCT(($B$7:$B$106=$B82)*($M$7:$M$106&gt;$M82))+1,"")</f>
        <v/>
      </c>
      <c r="Q82" s="32">
        <f>COUNTIF($B$7:$B$106,$B82)</f>
        <v/>
      </c>
      <c r="R82" s="33">
        <f>IFERROR(IF($M82&gt;=SETTINGS_ZC,"CHEAP",IF($M82&lt;=SETTINGS_ZR,"RICH","-")),"")</f>
        <v/>
      </c>
      <c r="S82" s="12" t="inlineStr">
        <is>
          <t>Spread in bp. High spread = cheap credit.</t>
        </is>
      </c>
      <c r="T82" s="34" t="inlineStr"/>
      <c r="U82" s="32">
        <f>IFERROR(SUMPRODUCT(($M$7:$M$106&gt;$M82)*1)+1,"")</f>
        <v/>
      </c>
    </row>
    <row r="83">
      <c r="B83" s="38" t="inlineStr">
        <is>
          <t>CREDIT</t>
        </is>
      </c>
      <c r="C83" s="19" t="inlineStr">
        <is>
          <t>CDX IG 5y</t>
        </is>
      </c>
      <c r="D83" s="20" t="inlineStr">
        <is>
          <t>CDX IG CDSI GEN 5Y Corp</t>
        </is>
      </c>
      <c r="E83" s="21" t="inlineStr">
        <is>
          <t>PX_LAST</t>
        </is>
      </c>
      <c r="F83" s="36" t="inlineStr">
        <is>
          <t>VERIFY</t>
        </is>
      </c>
      <c r="G83" s="23">
        <f>IFERROR(IF(BDP($D83,"NAME")="","CHECK",BDP($D83,"NAME")),"CHECK")</f>
        <v/>
      </c>
      <c r="H83" s="24">
        <f>IFERROR(BDP($D83,$E83),"")</f>
        <v/>
      </c>
      <c r="I83" s="25">
        <f>IFERROR(AVERAGE(BDH($D83,$E83,SETTINGS_LOOK,"0D","Days="&amp;SETTINGS_FREQ,"Fill=P")),"")</f>
        <v/>
      </c>
      <c r="J83" s="26">
        <f>IFERROR(STDEV(BDH($D83,$E83,SETTINGS_LOOK,"0D","Days="&amp;SETTINGS_FREQ,"Fill=P")),"")</f>
        <v/>
      </c>
      <c r="K83" s="27">
        <f>IFERROR(($H83-$I83)/$J83,"")</f>
        <v/>
      </c>
      <c r="L83" s="28" t="n">
        <v>1</v>
      </c>
      <c r="M83" s="29">
        <f>IFERROR($K83*$L83,"")</f>
        <v/>
      </c>
      <c r="N83" s="30">
        <f>IFERROR(NORMSDIST($M83),"")</f>
        <v/>
      </c>
      <c r="O83" s="30">
        <f>IFERROR(BDP($D83,"CHG_PCT_1YR")/100,"")</f>
        <v/>
      </c>
      <c r="P83" s="31">
        <f>IFERROR(SUMPRODUCT(($B$7:$B$106=$B83)*($M$7:$M$106&gt;$M83))+1,"")</f>
        <v/>
      </c>
      <c r="Q83" s="32">
        <f>COUNTIF($B$7:$B$106,$B83)</f>
        <v/>
      </c>
      <c r="R83" s="33">
        <f>IFERROR(IF($M83&gt;=SETTINGS_ZC,"CHEAP",IF($M83&lt;=SETTINGS_ZR,"RICH","-")),"")</f>
        <v/>
      </c>
      <c r="S83" s="12" t="inlineStr">
        <is>
          <t>Spread in bp. High spread = cheap credit.</t>
        </is>
      </c>
      <c r="T83" s="34" t="inlineStr"/>
      <c r="U83" s="32">
        <f>IFERROR(SUMPRODUCT(($M$7:$M$106&gt;$M83)*1)+1,"")</f>
        <v/>
      </c>
    </row>
    <row r="84">
      <c r="B84" s="38" t="inlineStr">
        <is>
          <t>CREDIT</t>
        </is>
      </c>
      <c r="C84" s="19" t="inlineStr">
        <is>
          <t>CDX HY 5y</t>
        </is>
      </c>
      <c r="D84" s="20" t="inlineStr">
        <is>
          <t>CDX HY CDSI GEN 5Y Corp</t>
        </is>
      </c>
      <c r="E84" s="21" t="inlineStr">
        <is>
          <t>PX_LAST</t>
        </is>
      </c>
      <c r="F84" s="36" t="inlineStr">
        <is>
          <t>VERIFY</t>
        </is>
      </c>
      <c r="G84" s="23">
        <f>IFERROR(IF(BDP($D84,"NAME")="","CHECK",BDP($D84,"NAME")),"CHECK")</f>
        <v/>
      </c>
      <c r="H84" s="24">
        <f>IFERROR(BDP($D84,$E84),"")</f>
        <v/>
      </c>
      <c r="I84" s="25">
        <f>IFERROR(AVERAGE(BDH($D84,$E84,SETTINGS_LOOK,"0D","Days="&amp;SETTINGS_FREQ,"Fill=P")),"")</f>
        <v/>
      </c>
      <c r="J84" s="26">
        <f>IFERROR(STDEV(BDH($D84,$E84,SETTINGS_LOOK,"0D","Days="&amp;SETTINGS_FREQ,"Fill=P")),"")</f>
        <v/>
      </c>
      <c r="K84" s="27">
        <f>IFERROR(($H84-$I84)/$J84,"")</f>
        <v/>
      </c>
      <c r="L84" s="28" t="n">
        <v>1</v>
      </c>
      <c r="M84" s="29">
        <f>IFERROR($K84*$L84,"")</f>
        <v/>
      </c>
      <c r="N84" s="30">
        <f>IFERROR(NORMSDIST($M84),"")</f>
        <v/>
      </c>
      <c r="O84" s="30">
        <f>IFERROR(BDP($D84,"CHG_PCT_1YR")/100,"")</f>
        <v/>
      </c>
      <c r="P84" s="31">
        <f>IFERROR(SUMPRODUCT(($B$7:$B$106=$B84)*($M$7:$M$106&gt;$M84))+1,"")</f>
        <v/>
      </c>
      <c r="Q84" s="32">
        <f>COUNTIF($B$7:$B$106,$B84)</f>
        <v/>
      </c>
      <c r="R84" s="33">
        <f>IFERROR(IF($M84&gt;=SETTINGS_ZC,"CHEAP",IF($M84&lt;=SETTINGS_ZR,"RICH","-")),"")</f>
        <v/>
      </c>
      <c r="S84" s="12" t="inlineStr">
        <is>
          <t>Spread in bp. High spread = cheap credit.</t>
        </is>
      </c>
      <c r="T84" s="34" t="inlineStr"/>
      <c r="U84" s="32">
        <f>IFERROR(SUMPRODUCT(($M$7:$M$106&gt;$M84)*1)+1,"")</f>
        <v/>
      </c>
    </row>
    <row r="85">
      <c r="B85" s="38" t="inlineStr">
        <is>
          <t>CREDIT</t>
        </is>
      </c>
      <c r="C85" s="19" t="inlineStr">
        <is>
          <t>iTraxx Main 5y</t>
        </is>
      </c>
      <c r="D85" s="20" t="inlineStr">
        <is>
          <t>ITRX EUR CDSI GEN 5Y Corp</t>
        </is>
      </c>
      <c r="E85" s="21" t="inlineStr">
        <is>
          <t>PX_LAST</t>
        </is>
      </c>
      <c r="F85" s="36" t="inlineStr">
        <is>
          <t>VERIFY</t>
        </is>
      </c>
      <c r="G85" s="23">
        <f>IFERROR(IF(BDP($D85,"NAME")="","CHECK",BDP($D85,"NAME")),"CHECK")</f>
        <v/>
      </c>
      <c r="H85" s="24">
        <f>IFERROR(BDP($D85,$E85),"")</f>
        <v/>
      </c>
      <c r="I85" s="25">
        <f>IFERROR(AVERAGE(BDH($D85,$E85,SETTINGS_LOOK,"0D","Days="&amp;SETTINGS_FREQ,"Fill=P")),"")</f>
        <v/>
      </c>
      <c r="J85" s="26">
        <f>IFERROR(STDEV(BDH($D85,$E85,SETTINGS_LOOK,"0D","Days="&amp;SETTINGS_FREQ,"Fill=P")),"")</f>
        <v/>
      </c>
      <c r="K85" s="27">
        <f>IFERROR(($H85-$I85)/$J85,"")</f>
        <v/>
      </c>
      <c r="L85" s="28" t="n">
        <v>1</v>
      </c>
      <c r="M85" s="29">
        <f>IFERROR($K85*$L85,"")</f>
        <v/>
      </c>
      <c r="N85" s="30">
        <f>IFERROR(NORMSDIST($M85),"")</f>
        <v/>
      </c>
      <c r="O85" s="30">
        <f>IFERROR(BDP($D85,"CHG_PCT_1YR")/100,"")</f>
        <v/>
      </c>
      <c r="P85" s="31">
        <f>IFERROR(SUMPRODUCT(($B$7:$B$106=$B85)*($M$7:$M$106&gt;$M85))+1,"")</f>
        <v/>
      </c>
      <c r="Q85" s="32">
        <f>COUNTIF($B$7:$B$106,$B85)</f>
        <v/>
      </c>
      <c r="R85" s="33">
        <f>IFERROR(IF($M85&gt;=SETTINGS_ZC,"CHEAP",IF($M85&lt;=SETTINGS_ZR,"RICH","-")),"")</f>
        <v/>
      </c>
      <c r="S85" s="12" t="inlineStr">
        <is>
          <t>Spread in bp. High spread = cheap credit.</t>
        </is>
      </c>
      <c r="T85" s="34" t="inlineStr"/>
      <c r="U85" s="32">
        <f>IFERROR(SUMPRODUCT(($M$7:$M$106&gt;$M85)*1)+1,"")</f>
        <v/>
      </c>
    </row>
    <row r="86">
      <c r="B86" s="38" t="inlineStr">
        <is>
          <t>CREDIT</t>
        </is>
      </c>
      <c r="C86" s="19" t="inlineStr">
        <is>
          <t>iTraxx Crossover 5y</t>
        </is>
      </c>
      <c r="D86" s="20" t="inlineStr">
        <is>
          <t>ITRX XOVER CDSI GEN 5Y Corp</t>
        </is>
      </c>
      <c r="E86" s="21" t="inlineStr">
        <is>
          <t>PX_LAST</t>
        </is>
      </c>
      <c r="F86" s="36" t="inlineStr">
        <is>
          <t>VERIFY</t>
        </is>
      </c>
      <c r="G86" s="23">
        <f>IFERROR(IF(BDP($D86,"NAME")="","CHECK",BDP($D86,"NAME")),"CHECK")</f>
        <v/>
      </c>
      <c r="H86" s="24">
        <f>IFERROR(BDP($D86,$E86),"")</f>
        <v/>
      </c>
      <c r="I86" s="25">
        <f>IFERROR(AVERAGE(BDH($D86,$E86,SETTINGS_LOOK,"0D","Days="&amp;SETTINGS_FREQ,"Fill=P")),"")</f>
        <v/>
      </c>
      <c r="J86" s="26">
        <f>IFERROR(STDEV(BDH($D86,$E86,SETTINGS_LOOK,"0D","Days="&amp;SETTINGS_FREQ,"Fill=P")),"")</f>
        <v/>
      </c>
      <c r="K86" s="27">
        <f>IFERROR(($H86-$I86)/$J86,"")</f>
        <v/>
      </c>
      <c r="L86" s="28" t="n">
        <v>1</v>
      </c>
      <c r="M86" s="29">
        <f>IFERROR($K86*$L86,"")</f>
        <v/>
      </c>
      <c r="N86" s="30">
        <f>IFERROR(NORMSDIST($M86),"")</f>
        <v/>
      </c>
      <c r="O86" s="30">
        <f>IFERROR(BDP($D86,"CHG_PCT_1YR")/100,"")</f>
        <v/>
      </c>
      <c r="P86" s="31">
        <f>IFERROR(SUMPRODUCT(($B$7:$B$106=$B86)*($M$7:$M$106&gt;$M86))+1,"")</f>
        <v/>
      </c>
      <c r="Q86" s="32">
        <f>COUNTIF($B$7:$B$106,$B86)</f>
        <v/>
      </c>
      <c r="R86" s="33">
        <f>IFERROR(IF($M86&gt;=SETTINGS_ZC,"CHEAP",IF($M86&lt;=SETTINGS_ZR,"RICH","-")),"")</f>
        <v/>
      </c>
      <c r="S86" s="12" t="inlineStr">
        <is>
          <t>Spread in bp. High spread = cheap credit.</t>
        </is>
      </c>
      <c r="T86" s="34" t="inlineStr"/>
      <c r="U86" s="32">
        <f>IFERROR(SUMPRODUCT(($M$7:$M$106&gt;$M86)*1)+1,"")</f>
        <v/>
      </c>
    </row>
    <row r="87">
      <c r="B87" s="38" t="inlineStr">
        <is>
          <t>CREDIT</t>
        </is>
      </c>
      <c r="C87" s="19" t="inlineStr">
        <is>
          <t>Brazil 5y CDS</t>
        </is>
      </c>
      <c r="D87" s="20" t="inlineStr">
        <is>
          <t>CBRA1U5 Curncy</t>
        </is>
      </c>
      <c r="E87" s="21" t="inlineStr">
        <is>
          <t>PX_LAST</t>
        </is>
      </c>
      <c r="F87" s="36" t="inlineStr">
        <is>
          <t>VERIFY</t>
        </is>
      </c>
      <c r="G87" s="23">
        <f>IFERROR(IF(BDP($D87,"NAME")="","CHECK",BDP($D87,"NAME")),"CHECK")</f>
        <v/>
      </c>
      <c r="H87" s="24">
        <f>IFERROR(BDP($D87,$E87),"")</f>
        <v/>
      </c>
      <c r="I87" s="25">
        <f>IFERROR(AVERAGE(BDH($D87,$E87,SETTINGS_LOOK,"0D","Days="&amp;SETTINGS_FREQ,"Fill=P")),"")</f>
        <v/>
      </c>
      <c r="J87" s="26">
        <f>IFERROR(STDEV(BDH($D87,$E87,SETTINGS_LOOK,"0D","Days="&amp;SETTINGS_FREQ,"Fill=P")),"")</f>
        <v/>
      </c>
      <c r="K87" s="27">
        <f>IFERROR(($H87-$I87)/$J87,"")</f>
        <v/>
      </c>
      <c r="L87" s="28" t="n">
        <v>1</v>
      </c>
      <c r="M87" s="29">
        <f>IFERROR($K87*$L87,"")</f>
        <v/>
      </c>
      <c r="N87" s="30">
        <f>IFERROR(NORMSDIST($M87),"")</f>
        <v/>
      </c>
      <c r="O87" s="30">
        <f>IFERROR(BDP($D87,"CHG_PCT_1YR")/100,"")</f>
        <v/>
      </c>
      <c r="P87" s="31">
        <f>IFERROR(SUMPRODUCT(($B$7:$B$106=$B87)*($M$7:$M$106&gt;$M87))+1,"")</f>
        <v/>
      </c>
      <c r="Q87" s="32">
        <f>COUNTIF($B$7:$B$106,$B87)</f>
        <v/>
      </c>
      <c r="R87" s="33">
        <f>IFERROR(IF($M87&gt;=SETTINGS_ZC,"CHEAP",IF($M87&lt;=SETTINGS_ZR,"RICH","-")),"")</f>
        <v/>
      </c>
      <c r="S87" s="12" t="inlineStr">
        <is>
          <t>Spread in bp. High spread = cheap credit.</t>
        </is>
      </c>
      <c r="T87" s="34" t="inlineStr"/>
      <c r="U87" s="32">
        <f>IFERROR(SUMPRODUCT(($M$7:$M$106&gt;$M87)*1)+1,"")</f>
        <v/>
      </c>
    </row>
    <row r="88">
      <c r="B88" s="38" t="inlineStr">
        <is>
          <t>CREDIT</t>
        </is>
      </c>
      <c r="C88" s="19" t="inlineStr">
        <is>
          <t>Mexico 5y CDS</t>
        </is>
      </c>
      <c r="D88" s="20" t="inlineStr">
        <is>
          <t>CMEX1U5 Curncy</t>
        </is>
      </c>
      <c r="E88" s="21" t="inlineStr">
        <is>
          <t>PX_LAST</t>
        </is>
      </c>
      <c r="F88" s="36" t="inlineStr">
        <is>
          <t>VERIFY</t>
        </is>
      </c>
      <c r="G88" s="23">
        <f>IFERROR(IF(BDP($D88,"NAME")="","CHECK",BDP($D88,"NAME")),"CHECK")</f>
        <v/>
      </c>
      <c r="H88" s="24">
        <f>IFERROR(BDP($D88,$E88),"")</f>
        <v/>
      </c>
      <c r="I88" s="25">
        <f>IFERROR(AVERAGE(BDH($D88,$E88,SETTINGS_LOOK,"0D","Days="&amp;SETTINGS_FREQ,"Fill=P")),"")</f>
        <v/>
      </c>
      <c r="J88" s="26">
        <f>IFERROR(STDEV(BDH($D88,$E88,SETTINGS_LOOK,"0D","Days="&amp;SETTINGS_FREQ,"Fill=P")),"")</f>
        <v/>
      </c>
      <c r="K88" s="27">
        <f>IFERROR(($H88-$I88)/$J88,"")</f>
        <v/>
      </c>
      <c r="L88" s="28" t="n">
        <v>1</v>
      </c>
      <c r="M88" s="29">
        <f>IFERROR($K88*$L88,"")</f>
        <v/>
      </c>
      <c r="N88" s="30">
        <f>IFERROR(NORMSDIST($M88),"")</f>
        <v/>
      </c>
      <c r="O88" s="30">
        <f>IFERROR(BDP($D88,"CHG_PCT_1YR")/100,"")</f>
        <v/>
      </c>
      <c r="P88" s="31">
        <f>IFERROR(SUMPRODUCT(($B$7:$B$106=$B88)*($M$7:$M$106&gt;$M88))+1,"")</f>
        <v/>
      </c>
      <c r="Q88" s="32">
        <f>COUNTIF($B$7:$B$106,$B88)</f>
        <v/>
      </c>
      <c r="R88" s="33">
        <f>IFERROR(IF($M88&gt;=SETTINGS_ZC,"CHEAP",IF($M88&lt;=SETTINGS_ZR,"RICH","-")),"")</f>
        <v/>
      </c>
      <c r="S88" s="12" t="inlineStr">
        <is>
          <t>Spread in bp. High spread = cheap credit.</t>
        </is>
      </c>
      <c r="T88" s="34" t="inlineStr"/>
      <c r="U88" s="32">
        <f>IFERROR(SUMPRODUCT(($M$7:$M$106&gt;$M88)*1)+1,"")</f>
        <v/>
      </c>
    </row>
    <row r="89">
      <c r="B89" s="39" t="inlineStr">
        <is>
          <t>COMMODITY</t>
        </is>
      </c>
      <c r="C89" s="19" t="inlineStr">
        <is>
          <t>Brent crude</t>
        </is>
      </c>
      <c r="D89" s="20" t="inlineStr">
        <is>
          <t>CO1 Comdty</t>
        </is>
      </c>
      <c r="E89" s="21" t="inlineStr">
        <is>
          <t>PX_LAST</t>
        </is>
      </c>
      <c r="F89" s="22" t="inlineStr">
        <is>
          <t>HIGH</t>
        </is>
      </c>
      <c r="G89" s="23">
        <f>IFERROR(IF(BDP($D89,"NAME")="","CHECK",BDP($D89,"NAME")),"CHECK")</f>
        <v/>
      </c>
      <c r="H89" s="24">
        <f>IFERROR(BDP($D89,$E89),"")</f>
        <v/>
      </c>
      <c r="I89" s="25">
        <f>IFERROR(AVERAGE(BDH($D89,$E89,SETTINGS_LOOK,"0D","Days="&amp;SETTINGS_FREQ,"Fill=P")),"")</f>
        <v/>
      </c>
      <c r="J89" s="26">
        <f>IFERROR(STDEV(BDH($D89,$E89,SETTINGS_LOOK,"0D","Days="&amp;SETTINGS_FREQ,"Fill=P")),"")</f>
        <v/>
      </c>
      <c r="K89" s="27">
        <f>IFERROR(($H89-$I89)/$J89,"")</f>
        <v/>
      </c>
      <c r="L89" s="28" t="n">
        <v>-1</v>
      </c>
      <c r="M89" s="29">
        <f>IFERROR($K89*$L89,"")</f>
        <v/>
      </c>
      <c r="N89" s="30">
        <f>IFERROR(NORMSDIST($M89),"")</f>
        <v/>
      </c>
      <c r="O89" s="30">
        <f>IFERROR(BDP($D89,"CHG_PCT_1YR")/100,"")</f>
        <v/>
      </c>
      <c r="P89" s="31">
        <f>IFERROR(SUMPRODUCT(($B$7:$B$106=$B89)*($M$7:$M$106&gt;$M89))+1,"")</f>
        <v/>
      </c>
      <c r="Q89" s="32">
        <f>COUNTIF($B$7:$B$106,$B89)</f>
        <v/>
      </c>
      <c r="R89" s="33">
        <f>IFERROR(IF($M89&gt;=SETTINGS_ZC,"CHEAP",IF($M89&lt;=SETTINGS_ZR,"RICH","-")),"")</f>
        <v/>
      </c>
      <c r="S89" s="12" t="inlineStr">
        <is>
          <t>Front-contract price. High = expensive.</t>
        </is>
      </c>
      <c r="T89" s="34" t="inlineStr"/>
      <c r="U89" s="32">
        <f>IFERROR(SUMPRODUCT(($M$7:$M$106&gt;$M89)*1)+1,"")</f>
        <v/>
      </c>
    </row>
    <row r="90">
      <c r="B90" s="39" t="inlineStr">
        <is>
          <t>COMMODITY</t>
        </is>
      </c>
      <c r="C90" s="19" t="inlineStr">
        <is>
          <t>WTI crude</t>
        </is>
      </c>
      <c r="D90" s="20" t="inlineStr">
        <is>
          <t>CL1 Comdty</t>
        </is>
      </c>
      <c r="E90" s="21" t="inlineStr">
        <is>
          <t>PX_LAST</t>
        </is>
      </c>
      <c r="F90" s="22" t="inlineStr">
        <is>
          <t>HIGH</t>
        </is>
      </c>
      <c r="G90" s="23">
        <f>IFERROR(IF(BDP($D90,"NAME")="","CHECK",BDP($D90,"NAME")),"CHECK")</f>
        <v/>
      </c>
      <c r="H90" s="24">
        <f>IFERROR(BDP($D90,$E90),"")</f>
        <v/>
      </c>
      <c r="I90" s="25">
        <f>IFERROR(AVERAGE(BDH($D90,$E90,SETTINGS_LOOK,"0D","Days="&amp;SETTINGS_FREQ,"Fill=P")),"")</f>
        <v/>
      </c>
      <c r="J90" s="26">
        <f>IFERROR(STDEV(BDH($D90,$E90,SETTINGS_LOOK,"0D","Days="&amp;SETTINGS_FREQ,"Fill=P")),"")</f>
        <v/>
      </c>
      <c r="K90" s="27">
        <f>IFERROR(($H90-$I90)/$J90,"")</f>
        <v/>
      </c>
      <c r="L90" s="28" t="n">
        <v>-1</v>
      </c>
      <c r="M90" s="29">
        <f>IFERROR($K90*$L90,"")</f>
        <v/>
      </c>
      <c r="N90" s="30">
        <f>IFERROR(NORMSDIST($M90),"")</f>
        <v/>
      </c>
      <c r="O90" s="30">
        <f>IFERROR(BDP($D90,"CHG_PCT_1YR")/100,"")</f>
        <v/>
      </c>
      <c r="P90" s="31">
        <f>IFERROR(SUMPRODUCT(($B$7:$B$106=$B90)*($M$7:$M$106&gt;$M90))+1,"")</f>
        <v/>
      </c>
      <c r="Q90" s="32">
        <f>COUNTIF($B$7:$B$106,$B90)</f>
        <v/>
      </c>
      <c r="R90" s="33">
        <f>IFERROR(IF($M90&gt;=SETTINGS_ZC,"CHEAP",IF($M90&lt;=SETTINGS_ZR,"RICH","-")),"")</f>
        <v/>
      </c>
      <c r="S90" s="12" t="inlineStr">
        <is>
          <t>Front-contract price. High = expensive.</t>
        </is>
      </c>
      <c r="T90" s="34" t="inlineStr"/>
      <c r="U90" s="32">
        <f>IFERROR(SUMPRODUCT(($M$7:$M$106&gt;$M90)*1)+1,"")</f>
        <v/>
      </c>
    </row>
    <row r="91">
      <c r="B91" s="39" t="inlineStr">
        <is>
          <t>COMMODITY</t>
        </is>
      </c>
      <c r="C91" s="19" t="inlineStr">
        <is>
          <t>US natural gas</t>
        </is>
      </c>
      <c r="D91" s="20" t="inlineStr">
        <is>
          <t>NG1 Comdty</t>
        </is>
      </c>
      <c r="E91" s="21" t="inlineStr">
        <is>
          <t>PX_LAST</t>
        </is>
      </c>
      <c r="F91" s="22" t="inlineStr">
        <is>
          <t>HIGH</t>
        </is>
      </c>
      <c r="G91" s="23">
        <f>IFERROR(IF(BDP($D91,"NAME")="","CHECK",BDP($D91,"NAME")),"CHECK")</f>
        <v/>
      </c>
      <c r="H91" s="24">
        <f>IFERROR(BDP($D91,$E91),"")</f>
        <v/>
      </c>
      <c r="I91" s="25">
        <f>IFERROR(AVERAGE(BDH($D91,$E91,SETTINGS_LOOK,"0D","Days="&amp;SETTINGS_FREQ,"Fill=P")),"")</f>
        <v/>
      </c>
      <c r="J91" s="26">
        <f>IFERROR(STDEV(BDH($D91,$E91,SETTINGS_LOOK,"0D","Days="&amp;SETTINGS_FREQ,"Fill=P")),"")</f>
        <v/>
      </c>
      <c r="K91" s="27">
        <f>IFERROR(($H91-$I91)/$J91,"")</f>
        <v/>
      </c>
      <c r="L91" s="28" t="n">
        <v>-1</v>
      </c>
      <c r="M91" s="29">
        <f>IFERROR($K91*$L91,"")</f>
        <v/>
      </c>
      <c r="N91" s="30">
        <f>IFERROR(NORMSDIST($M91),"")</f>
        <v/>
      </c>
      <c r="O91" s="30">
        <f>IFERROR(BDP($D91,"CHG_PCT_1YR")/100,"")</f>
        <v/>
      </c>
      <c r="P91" s="31">
        <f>IFERROR(SUMPRODUCT(($B$7:$B$106=$B91)*($M$7:$M$106&gt;$M91))+1,"")</f>
        <v/>
      </c>
      <c r="Q91" s="32">
        <f>COUNTIF($B$7:$B$106,$B91)</f>
        <v/>
      </c>
      <c r="R91" s="33">
        <f>IFERROR(IF($M91&gt;=SETTINGS_ZC,"CHEAP",IF($M91&lt;=SETTINGS_ZR,"RICH","-")),"")</f>
        <v/>
      </c>
      <c r="S91" s="12" t="inlineStr">
        <is>
          <t>Front-contract price. High = expensive.</t>
        </is>
      </c>
      <c r="T91" s="34" t="inlineStr"/>
      <c r="U91" s="32">
        <f>IFERROR(SUMPRODUCT(($M$7:$M$106&gt;$M91)*1)+1,"")</f>
        <v/>
      </c>
    </row>
    <row r="92">
      <c r="B92" s="39" t="inlineStr">
        <is>
          <t>COMMODITY</t>
        </is>
      </c>
      <c r="C92" s="19" t="inlineStr">
        <is>
          <t>EU natural gas TTF</t>
        </is>
      </c>
      <c r="D92" s="20" t="inlineStr">
        <is>
          <t>TZT1 Comdty</t>
        </is>
      </c>
      <c r="E92" s="21" t="inlineStr">
        <is>
          <t>PX_LAST</t>
        </is>
      </c>
      <c r="F92" s="36" t="inlineStr">
        <is>
          <t>VERIFY</t>
        </is>
      </c>
      <c r="G92" s="23">
        <f>IFERROR(IF(BDP($D92,"NAME")="","CHECK",BDP($D92,"NAME")),"CHECK")</f>
        <v/>
      </c>
      <c r="H92" s="24">
        <f>IFERROR(BDP($D92,$E92),"")</f>
        <v/>
      </c>
      <c r="I92" s="25">
        <f>IFERROR(AVERAGE(BDH($D92,$E92,SETTINGS_LOOK,"0D","Days="&amp;SETTINGS_FREQ,"Fill=P")),"")</f>
        <v/>
      </c>
      <c r="J92" s="26">
        <f>IFERROR(STDEV(BDH($D92,$E92,SETTINGS_LOOK,"0D","Days="&amp;SETTINGS_FREQ,"Fill=P")),"")</f>
        <v/>
      </c>
      <c r="K92" s="27">
        <f>IFERROR(($H92-$I92)/$J92,"")</f>
        <v/>
      </c>
      <c r="L92" s="28" t="n">
        <v>-1</v>
      </c>
      <c r="M92" s="29">
        <f>IFERROR($K92*$L92,"")</f>
        <v/>
      </c>
      <c r="N92" s="30">
        <f>IFERROR(NORMSDIST($M92),"")</f>
        <v/>
      </c>
      <c r="O92" s="30">
        <f>IFERROR(BDP($D92,"CHG_PCT_1YR")/100,"")</f>
        <v/>
      </c>
      <c r="P92" s="31">
        <f>IFERROR(SUMPRODUCT(($B$7:$B$106=$B92)*($M$7:$M$106&gt;$M92))+1,"")</f>
        <v/>
      </c>
      <c r="Q92" s="32">
        <f>COUNTIF($B$7:$B$106,$B92)</f>
        <v/>
      </c>
      <c r="R92" s="33">
        <f>IFERROR(IF($M92&gt;=SETTINGS_ZC,"CHEAP",IF($M92&lt;=SETTINGS_ZR,"RICH","-")),"")</f>
        <v/>
      </c>
      <c r="S92" s="12" t="inlineStr">
        <is>
          <t>Front-contract price. High = expensive.</t>
        </is>
      </c>
      <c r="T92" s="34" t="inlineStr"/>
      <c r="U92" s="32">
        <f>IFERROR(SUMPRODUCT(($M$7:$M$106&gt;$M92)*1)+1,"")</f>
        <v/>
      </c>
    </row>
    <row r="93">
      <c r="B93" s="39" t="inlineStr">
        <is>
          <t>COMMODITY</t>
        </is>
      </c>
      <c r="C93" s="19" t="inlineStr">
        <is>
          <t>Gasoil</t>
        </is>
      </c>
      <c r="D93" s="20" t="inlineStr">
        <is>
          <t>QS1 Comdty</t>
        </is>
      </c>
      <c r="E93" s="21" t="inlineStr">
        <is>
          <t>PX_LAST</t>
        </is>
      </c>
      <c r="F93" s="36" t="inlineStr">
        <is>
          <t>VERIFY</t>
        </is>
      </c>
      <c r="G93" s="23">
        <f>IFERROR(IF(BDP($D93,"NAME")="","CHECK",BDP($D93,"NAME")),"CHECK")</f>
        <v/>
      </c>
      <c r="H93" s="24">
        <f>IFERROR(BDP($D93,$E93),"")</f>
        <v/>
      </c>
      <c r="I93" s="25">
        <f>IFERROR(AVERAGE(BDH($D93,$E93,SETTINGS_LOOK,"0D","Days="&amp;SETTINGS_FREQ,"Fill=P")),"")</f>
        <v/>
      </c>
      <c r="J93" s="26">
        <f>IFERROR(STDEV(BDH($D93,$E93,SETTINGS_LOOK,"0D","Days="&amp;SETTINGS_FREQ,"Fill=P")),"")</f>
        <v/>
      </c>
      <c r="K93" s="27">
        <f>IFERROR(($H93-$I93)/$J93,"")</f>
        <v/>
      </c>
      <c r="L93" s="28" t="n">
        <v>-1</v>
      </c>
      <c r="M93" s="29">
        <f>IFERROR($K93*$L93,"")</f>
        <v/>
      </c>
      <c r="N93" s="30">
        <f>IFERROR(NORMSDIST($M93),"")</f>
        <v/>
      </c>
      <c r="O93" s="30">
        <f>IFERROR(BDP($D93,"CHG_PCT_1YR")/100,"")</f>
        <v/>
      </c>
      <c r="P93" s="31">
        <f>IFERROR(SUMPRODUCT(($B$7:$B$106=$B93)*($M$7:$M$106&gt;$M93))+1,"")</f>
        <v/>
      </c>
      <c r="Q93" s="32">
        <f>COUNTIF($B$7:$B$106,$B93)</f>
        <v/>
      </c>
      <c r="R93" s="33">
        <f>IFERROR(IF($M93&gt;=SETTINGS_ZC,"CHEAP",IF($M93&lt;=SETTINGS_ZR,"RICH","-")),"")</f>
        <v/>
      </c>
      <c r="S93" s="12" t="inlineStr">
        <is>
          <t>Front-contract price. High = expensive.</t>
        </is>
      </c>
      <c r="T93" s="34" t="inlineStr"/>
      <c r="U93" s="32">
        <f>IFERROR(SUMPRODUCT(($M$7:$M$106&gt;$M93)*1)+1,"")</f>
        <v/>
      </c>
    </row>
    <row r="94">
      <c r="B94" s="39" t="inlineStr">
        <is>
          <t>COMMODITY</t>
        </is>
      </c>
      <c r="C94" s="19" t="inlineStr">
        <is>
          <t>RBOB gasoline</t>
        </is>
      </c>
      <c r="D94" s="20" t="inlineStr">
        <is>
          <t>XB1 Comdty</t>
        </is>
      </c>
      <c r="E94" s="21" t="inlineStr">
        <is>
          <t>PX_LAST</t>
        </is>
      </c>
      <c r="F94" s="36" t="inlineStr">
        <is>
          <t>VERIFY</t>
        </is>
      </c>
      <c r="G94" s="23">
        <f>IFERROR(IF(BDP($D94,"NAME")="","CHECK",BDP($D94,"NAME")),"CHECK")</f>
        <v/>
      </c>
      <c r="H94" s="24">
        <f>IFERROR(BDP($D94,$E94),"")</f>
        <v/>
      </c>
      <c r="I94" s="25">
        <f>IFERROR(AVERAGE(BDH($D94,$E94,SETTINGS_LOOK,"0D","Days="&amp;SETTINGS_FREQ,"Fill=P")),"")</f>
        <v/>
      </c>
      <c r="J94" s="26">
        <f>IFERROR(STDEV(BDH($D94,$E94,SETTINGS_LOOK,"0D","Days="&amp;SETTINGS_FREQ,"Fill=P")),"")</f>
        <v/>
      </c>
      <c r="K94" s="27">
        <f>IFERROR(($H94-$I94)/$J94,"")</f>
        <v/>
      </c>
      <c r="L94" s="28" t="n">
        <v>-1</v>
      </c>
      <c r="M94" s="29">
        <f>IFERROR($K94*$L94,"")</f>
        <v/>
      </c>
      <c r="N94" s="30">
        <f>IFERROR(NORMSDIST($M94),"")</f>
        <v/>
      </c>
      <c r="O94" s="30">
        <f>IFERROR(BDP($D94,"CHG_PCT_1YR")/100,"")</f>
        <v/>
      </c>
      <c r="P94" s="31">
        <f>IFERROR(SUMPRODUCT(($B$7:$B$106=$B94)*($M$7:$M$106&gt;$M94))+1,"")</f>
        <v/>
      </c>
      <c r="Q94" s="32">
        <f>COUNTIF($B$7:$B$106,$B94)</f>
        <v/>
      </c>
      <c r="R94" s="33">
        <f>IFERROR(IF($M94&gt;=SETTINGS_ZC,"CHEAP",IF($M94&lt;=SETTINGS_ZR,"RICH","-")),"")</f>
        <v/>
      </c>
      <c r="S94" s="12" t="inlineStr">
        <is>
          <t>Front-contract price. High = expensive.</t>
        </is>
      </c>
      <c r="T94" s="34" t="inlineStr"/>
      <c r="U94" s="32">
        <f>IFERROR(SUMPRODUCT(($M$7:$M$106&gt;$M94)*1)+1,"")</f>
        <v/>
      </c>
    </row>
    <row r="95">
      <c r="B95" s="39" t="inlineStr">
        <is>
          <t>COMMODITY</t>
        </is>
      </c>
      <c r="C95" s="19" t="inlineStr">
        <is>
          <t>Gold</t>
        </is>
      </c>
      <c r="D95" s="20" t="inlineStr">
        <is>
          <t>XAU Curncy</t>
        </is>
      </c>
      <c r="E95" s="21" t="inlineStr">
        <is>
          <t>PX_LAST</t>
        </is>
      </c>
      <c r="F95" s="22" t="inlineStr">
        <is>
          <t>HIGH</t>
        </is>
      </c>
      <c r="G95" s="23">
        <f>IFERROR(IF(BDP($D95,"NAME")="","CHECK",BDP($D95,"NAME")),"CHECK")</f>
        <v/>
      </c>
      <c r="H95" s="24">
        <f>IFERROR(BDP($D95,$E95),"")</f>
        <v/>
      </c>
      <c r="I95" s="25">
        <f>IFERROR(AVERAGE(BDH($D95,$E95,SETTINGS_LOOK,"0D","Days="&amp;SETTINGS_FREQ,"Fill=P")),"")</f>
        <v/>
      </c>
      <c r="J95" s="26">
        <f>IFERROR(STDEV(BDH($D95,$E95,SETTINGS_LOOK,"0D","Days="&amp;SETTINGS_FREQ,"Fill=P")),"")</f>
        <v/>
      </c>
      <c r="K95" s="27">
        <f>IFERROR(($H95-$I95)/$J95,"")</f>
        <v/>
      </c>
      <c r="L95" s="28" t="n">
        <v>-1</v>
      </c>
      <c r="M95" s="29">
        <f>IFERROR($K95*$L95,"")</f>
        <v/>
      </c>
      <c r="N95" s="30">
        <f>IFERROR(NORMSDIST($M95),"")</f>
        <v/>
      </c>
      <c r="O95" s="30">
        <f>IFERROR(BDP($D95,"CHG_PCT_1YR")/100,"")</f>
        <v/>
      </c>
      <c r="P95" s="31">
        <f>IFERROR(SUMPRODUCT(($B$7:$B$106=$B95)*($M$7:$M$106&gt;$M95))+1,"")</f>
        <v/>
      </c>
      <c r="Q95" s="32">
        <f>COUNTIF($B$7:$B$106,$B95)</f>
        <v/>
      </c>
      <c r="R95" s="33">
        <f>IFERROR(IF($M95&gt;=SETTINGS_ZC,"CHEAP",IF($M95&lt;=SETTINGS_ZR,"RICH","-")),"")</f>
        <v/>
      </c>
      <c r="S95" s="12" t="inlineStr">
        <is>
          <t>Front-contract price. High = expensive.</t>
        </is>
      </c>
      <c r="T95" s="34" t="inlineStr"/>
      <c r="U95" s="32">
        <f>IFERROR(SUMPRODUCT(($M$7:$M$106&gt;$M95)*1)+1,"")</f>
        <v/>
      </c>
    </row>
    <row r="96">
      <c r="B96" s="39" t="inlineStr">
        <is>
          <t>COMMODITY</t>
        </is>
      </c>
      <c r="C96" s="19" t="inlineStr">
        <is>
          <t>Silver</t>
        </is>
      </c>
      <c r="D96" s="20" t="inlineStr">
        <is>
          <t>XAG Curncy</t>
        </is>
      </c>
      <c r="E96" s="21" t="inlineStr">
        <is>
          <t>PX_LAST</t>
        </is>
      </c>
      <c r="F96" s="22" t="inlineStr">
        <is>
          <t>HIGH</t>
        </is>
      </c>
      <c r="G96" s="23">
        <f>IFERROR(IF(BDP($D96,"NAME")="","CHECK",BDP($D96,"NAME")),"CHECK")</f>
        <v/>
      </c>
      <c r="H96" s="24">
        <f>IFERROR(BDP($D96,$E96),"")</f>
        <v/>
      </c>
      <c r="I96" s="25">
        <f>IFERROR(AVERAGE(BDH($D96,$E96,SETTINGS_LOOK,"0D","Days="&amp;SETTINGS_FREQ,"Fill=P")),"")</f>
        <v/>
      </c>
      <c r="J96" s="26">
        <f>IFERROR(STDEV(BDH($D96,$E96,SETTINGS_LOOK,"0D","Days="&amp;SETTINGS_FREQ,"Fill=P")),"")</f>
        <v/>
      </c>
      <c r="K96" s="27">
        <f>IFERROR(($H96-$I96)/$J96,"")</f>
        <v/>
      </c>
      <c r="L96" s="28" t="n">
        <v>-1</v>
      </c>
      <c r="M96" s="29">
        <f>IFERROR($K96*$L96,"")</f>
        <v/>
      </c>
      <c r="N96" s="30">
        <f>IFERROR(NORMSDIST($M96),"")</f>
        <v/>
      </c>
      <c r="O96" s="30">
        <f>IFERROR(BDP($D96,"CHG_PCT_1YR")/100,"")</f>
        <v/>
      </c>
      <c r="P96" s="31">
        <f>IFERROR(SUMPRODUCT(($B$7:$B$106=$B96)*($M$7:$M$106&gt;$M96))+1,"")</f>
        <v/>
      </c>
      <c r="Q96" s="32">
        <f>COUNTIF($B$7:$B$106,$B96)</f>
        <v/>
      </c>
      <c r="R96" s="33">
        <f>IFERROR(IF($M96&gt;=SETTINGS_ZC,"CHEAP",IF($M96&lt;=SETTINGS_ZR,"RICH","-")),"")</f>
        <v/>
      </c>
      <c r="S96" s="12" t="inlineStr">
        <is>
          <t>Front-contract price. High = expensive.</t>
        </is>
      </c>
      <c r="T96" s="34" t="inlineStr"/>
      <c r="U96" s="32">
        <f>IFERROR(SUMPRODUCT(($M$7:$M$106&gt;$M96)*1)+1,"")</f>
        <v/>
      </c>
    </row>
    <row r="97">
      <c r="B97" s="39" t="inlineStr">
        <is>
          <t>COMMODITY</t>
        </is>
      </c>
      <c r="C97" s="19" t="inlineStr">
        <is>
          <t>Copper (LME 3m)</t>
        </is>
      </c>
      <c r="D97" s="20" t="inlineStr">
        <is>
          <t>LMCADS03 Comdty</t>
        </is>
      </c>
      <c r="E97" s="21" t="inlineStr">
        <is>
          <t>PX_LAST</t>
        </is>
      </c>
      <c r="F97" s="22" t="inlineStr">
        <is>
          <t>HIGH</t>
        </is>
      </c>
      <c r="G97" s="23">
        <f>IFERROR(IF(BDP($D97,"NAME")="","CHECK",BDP($D97,"NAME")),"CHECK")</f>
        <v/>
      </c>
      <c r="H97" s="24">
        <f>IFERROR(BDP($D97,$E97),"")</f>
        <v/>
      </c>
      <c r="I97" s="25">
        <f>IFERROR(AVERAGE(BDH($D97,$E97,SETTINGS_LOOK,"0D","Days="&amp;SETTINGS_FREQ,"Fill=P")),"")</f>
        <v/>
      </c>
      <c r="J97" s="26">
        <f>IFERROR(STDEV(BDH($D97,$E97,SETTINGS_LOOK,"0D","Days="&amp;SETTINGS_FREQ,"Fill=P")),"")</f>
        <v/>
      </c>
      <c r="K97" s="27">
        <f>IFERROR(($H97-$I97)/$J97,"")</f>
        <v/>
      </c>
      <c r="L97" s="28" t="n">
        <v>-1</v>
      </c>
      <c r="M97" s="29">
        <f>IFERROR($K97*$L97,"")</f>
        <v/>
      </c>
      <c r="N97" s="30">
        <f>IFERROR(NORMSDIST($M97),"")</f>
        <v/>
      </c>
      <c r="O97" s="30">
        <f>IFERROR(BDP($D97,"CHG_PCT_1YR")/100,"")</f>
        <v/>
      </c>
      <c r="P97" s="31">
        <f>IFERROR(SUMPRODUCT(($B$7:$B$106=$B97)*($M$7:$M$106&gt;$M97))+1,"")</f>
        <v/>
      </c>
      <c r="Q97" s="32">
        <f>COUNTIF($B$7:$B$106,$B97)</f>
        <v/>
      </c>
      <c r="R97" s="33">
        <f>IFERROR(IF($M97&gt;=SETTINGS_ZC,"CHEAP",IF($M97&lt;=SETTINGS_ZR,"RICH","-")),"")</f>
        <v/>
      </c>
      <c r="S97" s="12" t="inlineStr">
        <is>
          <t>Front-contract price. High = expensive.</t>
        </is>
      </c>
      <c r="T97" s="34" t="inlineStr"/>
      <c r="U97" s="32">
        <f>IFERROR(SUMPRODUCT(($M$7:$M$106&gt;$M97)*1)+1,"")</f>
        <v/>
      </c>
    </row>
    <row r="98">
      <c r="B98" s="39" t="inlineStr">
        <is>
          <t>COMMODITY</t>
        </is>
      </c>
      <c r="C98" s="19" t="inlineStr">
        <is>
          <t>Aluminium (LME 3m)</t>
        </is>
      </c>
      <c r="D98" s="20" t="inlineStr">
        <is>
          <t>LMAHDS03 Comdty</t>
        </is>
      </c>
      <c r="E98" s="21" t="inlineStr">
        <is>
          <t>PX_LAST</t>
        </is>
      </c>
      <c r="F98" s="22" t="inlineStr">
        <is>
          <t>HIGH</t>
        </is>
      </c>
      <c r="G98" s="23">
        <f>IFERROR(IF(BDP($D98,"NAME")="","CHECK",BDP($D98,"NAME")),"CHECK")</f>
        <v/>
      </c>
      <c r="H98" s="24">
        <f>IFERROR(BDP($D98,$E98),"")</f>
        <v/>
      </c>
      <c r="I98" s="25">
        <f>IFERROR(AVERAGE(BDH($D98,$E98,SETTINGS_LOOK,"0D","Days="&amp;SETTINGS_FREQ,"Fill=P")),"")</f>
        <v/>
      </c>
      <c r="J98" s="26">
        <f>IFERROR(STDEV(BDH($D98,$E98,SETTINGS_LOOK,"0D","Days="&amp;SETTINGS_FREQ,"Fill=P")),"")</f>
        <v/>
      </c>
      <c r="K98" s="27">
        <f>IFERROR(($H98-$I98)/$J98,"")</f>
        <v/>
      </c>
      <c r="L98" s="28" t="n">
        <v>-1</v>
      </c>
      <c r="M98" s="29">
        <f>IFERROR($K98*$L98,"")</f>
        <v/>
      </c>
      <c r="N98" s="30">
        <f>IFERROR(NORMSDIST($M98),"")</f>
        <v/>
      </c>
      <c r="O98" s="30">
        <f>IFERROR(BDP($D98,"CHG_PCT_1YR")/100,"")</f>
        <v/>
      </c>
      <c r="P98" s="31">
        <f>IFERROR(SUMPRODUCT(($B$7:$B$106=$B98)*($M$7:$M$106&gt;$M98))+1,"")</f>
        <v/>
      </c>
      <c r="Q98" s="32">
        <f>COUNTIF($B$7:$B$106,$B98)</f>
        <v/>
      </c>
      <c r="R98" s="33">
        <f>IFERROR(IF($M98&gt;=SETTINGS_ZC,"CHEAP",IF($M98&lt;=SETTINGS_ZR,"RICH","-")),"")</f>
        <v/>
      </c>
      <c r="S98" s="12" t="inlineStr">
        <is>
          <t>Front-contract price. High = expensive.</t>
        </is>
      </c>
      <c r="T98" s="34" t="inlineStr"/>
      <c r="U98" s="32">
        <f>IFERROR(SUMPRODUCT(($M$7:$M$106&gt;$M98)*1)+1,"")</f>
        <v/>
      </c>
    </row>
    <row r="99">
      <c r="B99" s="39" t="inlineStr">
        <is>
          <t>COMMODITY</t>
        </is>
      </c>
      <c r="C99" s="19" t="inlineStr">
        <is>
          <t>Nickel (LME 3m)</t>
        </is>
      </c>
      <c r="D99" s="20" t="inlineStr">
        <is>
          <t>LMNIDS03 Comdty</t>
        </is>
      </c>
      <c r="E99" s="21" t="inlineStr">
        <is>
          <t>PX_LAST</t>
        </is>
      </c>
      <c r="F99" s="36" t="inlineStr">
        <is>
          <t>VERIFY</t>
        </is>
      </c>
      <c r="G99" s="23">
        <f>IFERROR(IF(BDP($D99,"NAME")="","CHECK",BDP($D99,"NAME")),"CHECK")</f>
        <v/>
      </c>
      <c r="H99" s="24">
        <f>IFERROR(BDP($D99,$E99),"")</f>
        <v/>
      </c>
      <c r="I99" s="25">
        <f>IFERROR(AVERAGE(BDH($D99,$E99,SETTINGS_LOOK,"0D","Days="&amp;SETTINGS_FREQ,"Fill=P")),"")</f>
        <v/>
      </c>
      <c r="J99" s="26">
        <f>IFERROR(STDEV(BDH($D99,$E99,SETTINGS_LOOK,"0D","Days="&amp;SETTINGS_FREQ,"Fill=P")),"")</f>
        <v/>
      </c>
      <c r="K99" s="27">
        <f>IFERROR(($H99-$I99)/$J99,"")</f>
        <v/>
      </c>
      <c r="L99" s="28" t="n">
        <v>-1</v>
      </c>
      <c r="M99" s="29">
        <f>IFERROR($K99*$L99,"")</f>
        <v/>
      </c>
      <c r="N99" s="30">
        <f>IFERROR(NORMSDIST($M99),"")</f>
        <v/>
      </c>
      <c r="O99" s="30">
        <f>IFERROR(BDP($D99,"CHG_PCT_1YR")/100,"")</f>
        <v/>
      </c>
      <c r="P99" s="31">
        <f>IFERROR(SUMPRODUCT(($B$7:$B$106=$B99)*($M$7:$M$106&gt;$M99))+1,"")</f>
        <v/>
      </c>
      <c r="Q99" s="32">
        <f>COUNTIF($B$7:$B$106,$B99)</f>
        <v/>
      </c>
      <c r="R99" s="33">
        <f>IFERROR(IF($M99&gt;=SETTINGS_ZC,"CHEAP",IF($M99&lt;=SETTINGS_ZR,"RICH","-")),"")</f>
        <v/>
      </c>
      <c r="S99" s="12" t="inlineStr">
        <is>
          <t>Front-contract price. High = expensive.</t>
        </is>
      </c>
      <c r="T99" s="34" t="inlineStr"/>
      <c r="U99" s="32">
        <f>IFERROR(SUMPRODUCT(($M$7:$M$106&gt;$M99)*1)+1,"")</f>
        <v/>
      </c>
    </row>
    <row r="100">
      <c r="B100" s="39" t="inlineStr">
        <is>
          <t>COMMODITY</t>
        </is>
      </c>
      <c r="C100" s="19" t="inlineStr">
        <is>
          <t>Zinc (LME 3m)</t>
        </is>
      </c>
      <c r="D100" s="20" t="inlineStr">
        <is>
          <t>LMZSDS03 Comdty</t>
        </is>
      </c>
      <c r="E100" s="21" t="inlineStr">
        <is>
          <t>PX_LAST</t>
        </is>
      </c>
      <c r="F100" s="36" t="inlineStr">
        <is>
          <t>VERIFY</t>
        </is>
      </c>
      <c r="G100" s="23">
        <f>IFERROR(IF(BDP($D100,"NAME")="","CHECK",BDP($D100,"NAME")),"CHECK")</f>
        <v/>
      </c>
      <c r="H100" s="24">
        <f>IFERROR(BDP($D100,$E100),"")</f>
        <v/>
      </c>
      <c r="I100" s="25">
        <f>IFERROR(AVERAGE(BDH($D100,$E100,SETTINGS_LOOK,"0D","Days="&amp;SETTINGS_FREQ,"Fill=P")),"")</f>
        <v/>
      </c>
      <c r="J100" s="26">
        <f>IFERROR(STDEV(BDH($D100,$E100,SETTINGS_LOOK,"0D","Days="&amp;SETTINGS_FREQ,"Fill=P")),"")</f>
        <v/>
      </c>
      <c r="K100" s="27">
        <f>IFERROR(($H100-$I100)/$J100,"")</f>
        <v/>
      </c>
      <c r="L100" s="28" t="n">
        <v>-1</v>
      </c>
      <c r="M100" s="29">
        <f>IFERROR($K100*$L100,"")</f>
        <v/>
      </c>
      <c r="N100" s="30">
        <f>IFERROR(NORMSDIST($M100),"")</f>
        <v/>
      </c>
      <c r="O100" s="30">
        <f>IFERROR(BDP($D100,"CHG_PCT_1YR")/100,"")</f>
        <v/>
      </c>
      <c r="P100" s="31">
        <f>IFERROR(SUMPRODUCT(($B$7:$B$106=$B100)*($M$7:$M$106&gt;$M100))+1,"")</f>
        <v/>
      </c>
      <c r="Q100" s="32">
        <f>COUNTIF($B$7:$B$106,$B100)</f>
        <v/>
      </c>
      <c r="R100" s="33">
        <f>IFERROR(IF($M100&gt;=SETTINGS_ZC,"CHEAP",IF($M100&lt;=SETTINGS_ZR,"RICH","-")),"")</f>
        <v/>
      </c>
      <c r="S100" s="12" t="inlineStr">
        <is>
          <t>Front-contract price. High = expensive.</t>
        </is>
      </c>
      <c r="T100" s="34" t="inlineStr"/>
      <c r="U100" s="32">
        <f>IFERROR(SUMPRODUCT(($M$7:$M$106&gt;$M100)*1)+1,"")</f>
        <v/>
      </c>
    </row>
    <row r="101">
      <c r="B101" s="39" t="inlineStr">
        <is>
          <t>COMMODITY</t>
        </is>
      </c>
      <c r="C101" s="19" t="inlineStr">
        <is>
          <t>Iron ore 62%</t>
        </is>
      </c>
      <c r="D101" s="20" t="inlineStr">
        <is>
          <t>TIO1 Comdty</t>
        </is>
      </c>
      <c r="E101" s="21" t="inlineStr">
        <is>
          <t>PX_LAST</t>
        </is>
      </c>
      <c r="F101" s="36" t="inlineStr">
        <is>
          <t>VERIFY</t>
        </is>
      </c>
      <c r="G101" s="23">
        <f>IFERROR(IF(BDP($D101,"NAME")="","CHECK",BDP($D101,"NAME")),"CHECK")</f>
        <v/>
      </c>
      <c r="H101" s="24">
        <f>IFERROR(BDP($D101,$E101),"")</f>
        <v/>
      </c>
      <c r="I101" s="25">
        <f>IFERROR(AVERAGE(BDH($D101,$E101,SETTINGS_LOOK,"0D","Days="&amp;SETTINGS_FREQ,"Fill=P")),"")</f>
        <v/>
      </c>
      <c r="J101" s="26">
        <f>IFERROR(STDEV(BDH($D101,$E101,SETTINGS_LOOK,"0D","Days="&amp;SETTINGS_FREQ,"Fill=P")),"")</f>
        <v/>
      </c>
      <c r="K101" s="27">
        <f>IFERROR(($H101-$I101)/$J101,"")</f>
        <v/>
      </c>
      <c r="L101" s="28" t="n">
        <v>-1</v>
      </c>
      <c r="M101" s="29">
        <f>IFERROR($K101*$L101,"")</f>
        <v/>
      </c>
      <c r="N101" s="30">
        <f>IFERROR(NORMSDIST($M101),"")</f>
        <v/>
      </c>
      <c r="O101" s="30">
        <f>IFERROR(BDP($D101,"CHG_PCT_1YR")/100,"")</f>
        <v/>
      </c>
      <c r="P101" s="31">
        <f>IFERROR(SUMPRODUCT(($B$7:$B$106=$B101)*($M$7:$M$106&gt;$M101))+1,"")</f>
        <v/>
      </c>
      <c r="Q101" s="32">
        <f>COUNTIF($B$7:$B$106,$B101)</f>
        <v/>
      </c>
      <c r="R101" s="33">
        <f>IFERROR(IF($M101&gt;=SETTINGS_ZC,"CHEAP",IF($M101&lt;=SETTINGS_ZR,"RICH","-")),"")</f>
        <v/>
      </c>
      <c r="S101" s="12" t="inlineStr">
        <is>
          <t>Front-contract price. High = expensive.</t>
        </is>
      </c>
      <c r="T101" s="34" t="inlineStr"/>
      <c r="U101" s="32">
        <f>IFERROR(SUMPRODUCT(($M$7:$M$106&gt;$M101)*1)+1,"")</f>
        <v/>
      </c>
    </row>
    <row r="102">
      <c r="B102" s="39" t="inlineStr">
        <is>
          <t>COMMODITY</t>
        </is>
      </c>
      <c r="C102" s="19" t="inlineStr">
        <is>
          <t>Corn</t>
        </is>
      </c>
      <c r="D102" s="20" t="inlineStr">
        <is>
          <t>C 1 Comdty</t>
        </is>
      </c>
      <c r="E102" s="21" t="inlineStr">
        <is>
          <t>PX_LAST</t>
        </is>
      </c>
      <c r="F102" s="22" t="inlineStr">
        <is>
          <t>HIGH</t>
        </is>
      </c>
      <c r="G102" s="23">
        <f>IFERROR(IF(BDP($D102,"NAME")="","CHECK",BDP($D102,"NAME")),"CHECK")</f>
        <v/>
      </c>
      <c r="H102" s="24">
        <f>IFERROR(BDP($D102,$E102),"")</f>
        <v/>
      </c>
      <c r="I102" s="25">
        <f>IFERROR(AVERAGE(BDH($D102,$E102,SETTINGS_LOOK,"0D","Days="&amp;SETTINGS_FREQ,"Fill=P")),"")</f>
        <v/>
      </c>
      <c r="J102" s="26">
        <f>IFERROR(STDEV(BDH($D102,$E102,SETTINGS_LOOK,"0D","Days="&amp;SETTINGS_FREQ,"Fill=P")),"")</f>
        <v/>
      </c>
      <c r="K102" s="27">
        <f>IFERROR(($H102-$I102)/$J102,"")</f>
        <v/>
      </c>
      <c r="L102" s="28" t="n">
        <v>-1</v>
      </c>
      <c r="M102" s="29">
        <f>IFERROR($K102*$L102,"")</f>
        <v/>
      </c>
      <c r="N102" s="30">
        <f>IFERROR(NORMSDIST($M102),"")</f>
        <v/>
      </c>
      <c r="O102" s="30">
        <f>IFERROR(BDP($D102,"CHG_PCT_1YR")/100,"")</f>
        <v/>
      </c>
      <c r="P102" s="31">
        <f>IFERROR(SUMPRODUCT(($B$7:$B$106=$B102)*($M$7:$M$106&gt;$M102))+1,"")</f>
        <v/>
      </c>
      <c r="Q102" s="32">
        <f>COUNTIF($B$7:$B$106,$B102)</f>
        <v/>
      </c>
      <c r="R102" s="33">
        <f>IFERROR(IF($M102&gt;=SETTINGS_ZC,"CHEAP",IF($M102&lt;=SETTINGS_ZR,"RICH","-")),"")</f>
        <v/>
      </c>
      <c r="S102" s="12" t="inlineStr">
        <is>
          <t>Front-contract price. High = expensive.</t>
        </is>
      </c>
      <c r="T102" s="34" t="inlineStr"/>
      <c r="U102" s="32">
        <f>IFERROR(SUMPRODUCT(($M$7:$M$106&gt;$M102)*1)+1,"")</f>
        <v/>
      </c>
    </row>
    <row r="103">
      <c r="B103" s="39" t="inlineStr">
        <is>
          <t>COMMODITY</t>
        </is>
      </c>
      <c r="C103" s="19" t="inlineStr">
        <is>
          <t>Soybeans</t>
        </is>
      </c>
      <c r="D103" s="20" t="inlineStr">
        <is>
          <t>S 1 Comdty</t>
        </is>
      </c>
      <c r="E103" s="21" t="inlineStr">
        <is>
          <t>PX_LAST</t>
        </is>
      </c>
      <c r="F103" s="22" t="inlineStr">
        <is>
          <t>HIGH</t>
        </is>
      </c>
      <c r="G103" s="23">
        <f>IFERROR(IF(BDP($D103,"NAME")="","CHECK",BDP($D103,"NAME")),"CHECK")</f>
        <v/>
      </c>
      <c r="H103" s="24">
        <f>IFERROR(BDP($D103,$E103),"")</f>
        <v/>
      </c>
      <c r="I103" s="25">
        <f>IFERROR(AVERAGE(BDH($D103,$E103,SETTINGS_LOOK,"0D","Days="&amp;SETTINGS_FREQ,"Fill=P")),"")</f>
        <v/>
      </c>
      <c r="J103" s="26">
        <f>IFERROR(STDEV(BDH($D103,$E103,SETTINGS_LOOK,"0D","Days="&amp;SETTINGS_FREQ,"Fill=P")),"")</f>
        <v/>
      </c>
      <c r="K103" s="27">
        <f>IFERROR(($H103-$I103)/$J103,"")</f>
        <v/>
      </c>
      <c r="L103" s="28" t="n">
        <v>-1</v>
      </c>
      <c r="M103" s="29">
        <f>IFERROR($K103*$L103,"")</f>
        <v/>
      </c>
      <c r="N103" s="30">
        <f>IFERROR(NORMSDIST($M103),"")</f>
        <v/>
      </c>
      <c r="O103" s="30">
        <f>IFERROR(BDP($D103,"CHG_PCT_1YR")/100,"")</f>
        <v/>
      </c>
      <c r="P103" s="31">
        <f>IFERROR(SUMPRODUCT(($B$7:$B$106=$B103)*($M$7:$M$106&gt;$M103))+1,"")</f>
        <v/>
      </c>
      <c r="Q103" s="32">
        <f>COUNTIF($B$7:$B$106,$B103)</f>
        <v/>
      </c>
      <c r="R103" s="33">
        <f>IFERROR(IF($M103&gt;=SETTINGS_ZC,"CHEAP",IF($M103&lt;=SETTINGS_ZR,"RICH","-")),"")</f>
        <v/>
      </c>
      <c r="S103" s="12" t="inlineStr">
        <is>
          <t>Front-contract price. High = expensive.</t>
        </is>
      </c>
      <c r="T103" s="34" t="inlineStr"/>
      <c r="U103" s="32">
        <f>IFERROR(SUMPRODUCT(($M$7:$M$106&gt;$M103)*1)+1,"")</f>
        <v/>
      </c>
    </row>
    <row r="104">
      <c r="B104" s="39" t="inlineStr">
        <is>
          <t>COMMODITY</t>
        </is>
      </c>
      <c r="C104" s="19" t="inlineStr">
        <is>
          <t>Wheat</t>
        </is>
      </c>
      <c r="D104" s="20" t="inlineStr">
        <is>
          <t>W 1 Comdty</t>
        </is>
      </c>
      <c r="E104" s="21" t="inlineStr">
        <is>
          <t>PX_LAST</t>
        </is>
      </c>
      <c r="F104" s="22" t="inlineStr">
        <is>
          <t>HIGH</t>
        </is>
      </c>
      <c r="G104" s="23">
        <f>IFERROR(IF(BDP($D104,"NAME")="","CHECK",BDP($D104,"NAME")),"CHECK")</f>
        <v/>
      </c>
      <c r="H104" s="24">
        <f>IFERROR(BDP($D104,$E104),"")</f>
        <v/>
      </c>
      <c r="I104" s="25">
        <f>IFERROR(AVERAGE(BDH($D104,$E104,SETTINGS_LOOK,"0D","Days="&amp;SETTINGS_FREQ,"Fill=P")),"")</f>
        <v/>
      </c>
      <c r="J104" s="26">
        <f>IFERROR(STDEV(BDH($D104,$E104,SETTINGS_LOOK,"0D","Days="&amp;SETTINGS_FREQ,"Fill=P")),"")</f>
        <v/>
      </c>
      <c r="K104" s="27">
        <f>IFERROR(($H104-$I104)/$J104,"")</f>
        <v/>
      </c>
      <c r="L104" s="28" t="n">
        <v>-1</v>
      </c>
      <c r="M104" s="29">
        <f>IFERROR($K104*$L104,"")</f>
        <v/>
      </c>
      <c r="N104" s="30">
        <f>IFERROR(NORMSDIST($M104),"")</f>
        <v/>
      </c>
      <c r="O104" s="30">
        <f>IFERROR(BDP($D104,"CHG_PCT_1YR")/100,"")</f>
        <v/>
      </c>
      <c r="P104" s="31">
        <f>IFERROR(SUMPRODUCT(($B$7:$B$106=$B104)*($M$7:$M$106&gt;$M104))+1,"")</f>
        <v/>
      </c>
      <c r="Q104" s="32">
        <f>COUNTIF($B$7:$B$106,$B104)</f>
        <v/>
      </c>
      <c r="R104" s="33">
        <f>IFERROR(IF($M104&gt;=SETTINGS_ZC,"CHEAP",IF($M104&lt;=SETTINGS_ZR,"RICH","-")),"")</f>
        <v/>
      </c>
      <c r="S104" s="12" t="inlineStr">
        <is>
          <t>Front-contract price. High = expensive.</t>
        </is>
      </c>
      <c r="T104" s="34" t="inlineStr"/>
      <c r="U104" s="32">
        <f>IFERROR(SUMPRODUCT(($M$7:$M$106&gt;$M104)*1)+1,"")</f>
        <v/>
      </c>
    </row>
    <row r="105">
      <c r="B105" s="39" t="inlineStr">
        <is>
          <t>COMMODITY</t>
        </is>
      </c>
      <c r="C105" s="19" t="inlineStr">
        <is>
          <t>Sugar no.11</t>
        </is>
      </c>
      <c r="D105" s="20" t="inlineStr">
        <is>
          <t>SB1 Comdty</t>
        </is>
      </c>
      <c r="E105" s="21" t="inlineStr">
        <is>
          <t>PX_LAST</t>
        </is>
      </c>
      <c r="F105" s="22" t="inlineStr">
        <is>
          <t>HIGH</t>
        </is>
      </c>
      <c r="G105" s="23">
        <f>IFERROR(IF(BDP($D105,"NAME")="","CHECK",BDP($D105,"NAME")),"CHECK")</f>
        <v/>
      </c>
      <c r="H105" s="24">
        <f>IFERROR(BDP($D105,$E105),"")</f>
        <v/>
      </c>
      <c r="I105" s="25">
        <f>IFERROR(AVERAGE(BDH($D105,$E105,SETTINGS_LOOK,"0D","Days="&amp;SETTINGS_FREQ,"Fill=P")),"")</f>
        <v/>
      </c>
      <c r="J105" s="26">
        <f>IFERROR(STDEV(BDH($D105,$E105,SETTINGS_LOOK,"0D","Days="&amp;SETTINGS_FREQ,"Fill=P")),"")</f>
        <v/>
      </c>
      <c r="K105" s="27">
        <f>IFERROR(($H105-$I105)/$J105,"")</f>
        <v/>
      </c>
      <c r="L105" s="28" t="n">
        <v>-1</v>
      </c>
      <c r="M105" s="29">
        <f>IFERROR($K105*$L105,"")</f>
        <v/>
      </c>
      <c r="N105" s="30">
        <f>IFERROR(NORMSDIST($M105),"")</f>
        <v/>
      </c>
      <c r="O105" s="30">
        <f>IFERROR(BDP($D105,"CHG_PCT_1YR")/100,"")</f>
        <v/>
      </c>
      <c r="P105" s="31">
        <f>IFERROR(SUMPRODUCT(($B$7:$B$106=$B105)*($M$7:$M$106&gt;$M105))+1,"")</f>
        <v/>
      </c>
      <c r="Q105" s="32">
        <f>COUNTIF($B$7:$B$106,$B105)</f>
        <v/>
      </c>
      <c r="R105" s="33">
        <f>IFERROR(IF($M105&gt;=SETTINGS_ZC,"CHEAP",IF($M105&lt;=SETTINGS_ZR,"RICH","-")),"")</f>
        <v/>
      </c>
      <c r="S105" s="12" t="inlineStr">
        <is>
          <t>Front-contract price. High = expensive.</t>
        </is>
      </c>
      <c r="T105" s="34" t="inlineStr"/>
      <c r="U105" s="32">
        <f>IFERROR(SUMPRODUCT(($M$7:$M$106&gt;$M105)*1)+1,"")</f>
        <v/>
      </c>
    </row>
    <row r="106">
      <c r="B106" s="39" t="inlineStr">
        <is>
          <t>COMMODITY</t>
        </is>
      </c>
      <c r="C106" s="19" t="inlineStr">
        <is>
          <t>Coffee C</t>
        </is>
      </c>
      <c r="D106" s="20" t="inlineStr">
        <is>
          <t>KC1 Comdty</t>
        </is>
      </c>
      <c r="E106" s="21" t="inlineStr">
        <is>
          <t>PX_LAST</t>
        </is>
      </c>
      <c r="F106" s="22" t="inlineStr">
        <is>
          <t>HIGH</t>
        </is>
      </c>
      <c r="G106" s="23">
        <f>IFERROR(IF(BDP($D106,"NAME")="","CHECK",BDP($D106,"NAME")),"CHECK")</f>
        <v/>
      </c>
      <c r="H106" s="24">
        <f>IFERROR(BDP($D106,$E106),"")</f>
        <v/>
      </c>
      <c r="I106" s="25">
        <f>IFERROR(AVERAGE(BDH($D106,$E106,SETTINGS_LOOK,"0D","Days="&amp;SETTINGS_FREQ,"Fill=P")),"")</f>
        <v/>
      </c>
      <c r="J106" s="26">
        <f>IFERROR(STDEV(BDH($D106,$E106,SETTINGS_LOOK,"0D","Days="&amp;SETTINGS_FREQ,"Fill=P")),"")</f>
        <v/>
      </c>
      <c r="K106" s="27">
        <f>IFERROR(($H106-$I106)/$J106,"")</f>
        <v/>
      </c>
      <c r="L106" s="28" t="n">
        <v>-1</v>
      </c>
      <c r="M106" s="29">
        <f>IFERROR($K106*$L106,"")</f>
        <v/>
      </c>
      <c r="N106" s="30">
        <f>IFERROR(NORMSDIST($M106),"")</f>
        <v/>
      </c>
      <c r="O106" s="30">
        <f>IFERROR(BDP($D106,"CHG_PCT_1YR")/100,"")</f>
        <v/>
      </c>
      <c r="P106" s="31">
        <f>IFERROR(SUMPRODUCT(($B$7:$B$106=$B106)*($M$7:$M$106&gt;$M106))+1,"")</f>
        <v/>
      </c>
      <c r="Q106" s="32">
        <f>COUNTIF($B$7:$B$106,$B106)</f>
        <v/>
      </c>
      <c r="R106" s="33">
        <f>IFERROR(IF($M106&gt;=SETTINGS_ZC,"CHEAP",IF($M106&lt;=SETTINGS_ZR,"RICH","-")),"")</f>
        <v/>
      </c>
      <c r="S106" s="12" t="inlineStr">
        <is>
          <t>Front-contract price. High = expensive.</t>
        </is>
      </c>
      <c r="T106" s="34" t="inlineStr"/>
      <c r="U106" s="32">
        <f>IFERROR(SUMPRODUCT(($M$7:$M$106&gt;$M106)*1)+1,"")</f>
        <v/>
      </c>
    </row>
    <row r="108">
      <c r="A108" s="17" t="inlineStr">
        <is>
          <t>Rank 1 = cheapest in its asset class. The rank formula uses SUMPRODUCT rather than RANK so that it counts only instruments in the same class and produces no ties. Percentile assumes normality — it is a reading aid, not a claim about the distribution, and value-score distributions in credit and FX have fat left tails.</t>
        </is>
      </c>
    </row>
  </sheetData>
  <autoFilter ref="B6:S106"/>
  <mergeCells count="4">
    <mergeCell ref="A1:T1"/>
    <mergeCell ref="A4:T4"/>
    <mergeCell ref="A108:T108"/>
    <mergeCell ref="A2:T2"/>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2E5C8A"/>
    <outlinePr summaryBelow="1" summaryRight="1"/>
    <pageSetUpPr fitToPage="1"/>
  </sheetPr>
  <dimension ref="A1:P49"/>
  <sheetViews>
    <sheetView showGridLines="0" workbookViewId="0">
      <selection activeCell="A1" sqref="A1"/>
    </sheetView>
  </sheetViews>
  <sheetFormatPr baseColWidth="8" defaultRowHeight="15"/>
  <cols>
    <col width="3" customWidth="1" min="1" max="1"/>
    <col width="7" customWidth="1" min="2" max="2"/>
    <col width="30" customWidth="1" min="3" max="3"/>
    <col width="26" customWidth="1" min="4" max="4"/>
    <col width="12" customWidth="1" min="5" max="5"/>
    <col width="12" customWidth="1" min="6" max="6"/>
    <col width="11" customWidth="1" min="7" max="7"/>
    <col width="11" customWidth="1" min="8" max="8"/>
    <col width="4" customWidth="1" min="9" max="9"/>
    <col width="7" customWidth="1" min="10" max="10"/>
    <col width="30" customWidth="1" min="11" max="11"/>
    <col width="26" customWidth="1" min="12" max="12"/>
    <col width="12" customWidth="1" min="13" max="13"/>
    <col width="12" customWidth="1" min="14" max="14"/>
    <col width="11" customWidth="1" min="15" max="15"/>
    <col width="11" customWidth="1" min="16" max="16"/>
  </cols>
  <sheetData>
    <row r="1" ht="26" customHeight="1">
      <c r="A1" s="1" t="inlineStr">
        <is>
          <t>CHEAPEST AND MOST EXPENSIVE — WITHIN EACH ASSET CLASS</t>
        </is>
      </c>
    </row>
    <row r="2" ht="16" customHeight="1">
      <c r="A2" s="2" t="inlineStr">
        <is>
          <t>The statistically defensible comparison. Each instrument is ranked only against others measured the same way.</t>
        </is>
      </c>
    </row>
    <row r="4">
      <c r="A4" s="17" t="inlineStr">
        <is>
          <t>Left = cheapest in class (highest value score). Right = most expensive. Value score is the sign-corrected z-score, so +2.0 means two standard deviations CHEAP on that asset class's own metric, whatever that metric happens to be.</t>
        </is>
      </c>
    </row>
    <row r="6" ht="18" customHeight="1">
      <c r="A6" s="3" t="inlineStr">
        <is>
          <t>EQUITY  —  measured on Forward P/E  —  24 instruments</t>
        </is>
      </c>
    </row>
    <row r="7" ht="24" customHeight="1">
      <c r="B7" s="5" t="inlineStr">
        <is>
          <t>CHEAPEST</t>
        </is>
      </c>
      <c r="C7" s="5" t="inlineStr">
        <is>
          <t>Instrument</t>
        </is>
      </c>
      <c r="D7" s="5" t="inlineStr">
        <is>
          <t>Ticker</t>
        </is>
      </c>
      <c r="E7" s="5" t="inlineStr">
        <is>
          <t>Value score</t>
        </is>
      </c>
      <c r="F7" s="5" t="inlineStr">
        <is>
          <t>Z (raw)</t>
        </is>
      </c>
      <c r="G7" s="5" t="inlineStr">
        <is>
          <t>Current</t>
        </is>
      </c>
      <c r="H7" s="5" t="inlineStr">
        <is>
          <t>1y chg</t>
        </is>
      </c>
      <c r="J7" s="5" t="inlineStr">
        <is>
          <t>MOST EXPENSIVE</t>
        </is>
      </c>
      <c r="K7" s="5" t="inlineStr">
        <is>
          <t>Instrument</t>
        </is>
      </c>
      <c r="L7" s="5" t="inlineStr">
        <is>
          <t>Ticker</t>
        </is>
      </c>
      <c r="M7" s="5" t="inlineStr">
        <is>
          <t>Value score</t>
        </is>
      </c>
      <c r="N7" s="5" t="inlineStr">
        <is>
          <t>Z (raw)</t>
        </is>
      </c>
      <c r="O7" s="5" t="inlineStr">
        <is>
          <t>Current</t>
        </is>
      </c>
      <c r="P7" s="5" t="inlineStr">
        <is>
          <t>1y chg</t>
        </is>
      </c>
    </row>
    <row r="8">
      <c r="B8" s="28" t="n">
        <v>1</v>
      </c>
      <c r="C8" s="19">
        <f>IFERROR(INDEX('02 MONITOR'!$C$7:$C$106,SUMPRODUCT(('02 MONITOR'!$B$7:$B$106="EQUITY")*('02 MONITOR'!$P$7:$P$106=1)*(ROW('02 MONITOR'!$B$7:$B$106)-6))),"")</f>
        <v/>
      </c>
      <c r="D8" s="40">
        <f>IFERROR(INDEX('02 MONITOR'!$D$7:$D$106,SUMPRODUCT(('02 MONITOR'!$B$7:$B$106="EQUITY")*('02 MONITOR'!$P$7:$P$106=1)*(ROW('02 MONITOR'!$B$7:$B$106)-6))),"")</f>
        <v/>
      </c>
      <c r="E8" s="41">
        <f>IFERROR(INDEX('02 MONITOR'!$M$7:$M$106,SUMPRODUCT(('02 MONITOR'!$B$7:$B$106="EQUITY")*('02 MONITOR'!$P$7:$P$106=1)*(ROW('02 MONITOR'!$B$7:$B$106)-6))),"")</f>
        <v/>
      </c>
      <c r="F8" s="27">
        <f>IFERROR(INDEX('02 MONITOR'!$K$7:$K$106,SUMPRODUCT(('02 MONITOR'!$B$7:$B$106="EQUITY")*('02 MONITOR'!$P$7:$P$106=1)*(ROW('02 MONITOR'!$B$7:$B$106)-6))),"")</f>
        <v/>
      </c>
      <c r="G8" s="25">
        <f>IFERROR(INDEX('02 MONITOR'!$H$7:$H$106,SUMPRODUCT(('02 MONITOR'!$B$7:$B$106="EQUITY")*('02 MONITOR'!$P$7:$P$106=1)*(ROW('02 MONITOR'!$B$7:$B$106)-6))),"")</f>
        <v/>
      </c>
      <c r="H8" s="30">
        <f>IFERROR(INDEX('02 MONITOR'!$O$7:$O$106,SUMPRODUCT(('02 MONITOR'!$B$7:$B$106="EQUITY")*('02 MONITOR'!$P$7:$P$106=1)*(ROW('02 MONITOR'!$B$7:$B$106)-6))),"")</f>
        <v/>
      </c>
      <c r="J8" s="28" t="n">
        <v>1</v>
      </c>
      <c r="K8" s="19">
        <f>IFERROR(INDEX('02 MONITOR'!$C$7:$C$106,SUMPRODUCT(('02 MONITOR'!$B$7:$B$106="EQUITY")*('02 MONITOR'!$P$7:$P$106=24)*(ROW('02 MONITOR'!$B$7:$B$106)-6))),"")</f>
        <v/>
      </c>
      <c r="L8" s="40">
        <f>IFERROR(INDEX('02 MONITOR'!$D$7:$D$106,SUMPRODUCT(('02 MONITOR'!$B$7:$B$106="EQUITY")*('02 MONITOR'!$P$7:$P$106=24)*(ROW('02 MONITOR'!$B$7:$B$106)-6))),"")</f>
        <v/>
      </c>
      <c r="M8" s="42">
        <f>IFERROR(INDEX('02 MONITOR'!$M$7:$M$106,SUMPRODUCT(('02 MONITOR'!$B$7:$B$106="EQUITY")*('02 MONITOR'!$P$7:$P$106=24)*(ROW('02 MONITOR'!$B$7:$B$106)-6))),"")</f>
        <v/>
      </c>
      <c r="N8" s="27">
        <f>IFERROR(INDEX('02 MONITOR'!$K$7:$K$106,SUMPRODUCT(('02 MONITOR'!$B$7:$B$106="EQUITY")*('02 MONITOR'!$P$7:$P$106=24)*(ROW('02 MONITOR'!$B$7:$B$106)-6))),"")</f>
        <v/>
      </c>
      <c r="O8" s="25">
        <f>IFERROR(INDEX('02 MONITOR'!$H$7:$H$106,SUMPRODUCT(('02 MONITOR'!$B$7:$B$106="EQUITY")*('02 MONITOR'!$P$7:$P$106=24)*(ROW('02 MONITOR'!$B$7:$B$106)-6))),"")</f>
        <v/>
      </c>
      <c r="P8" s="30">
        <f>IFERROR(INDEX('02 MONITOR'!$O$7:$O$106,SUMPRODUCT(('02 MONITOR'!$B$7:$B$106="EQUITY")*('02 MONITOR'!$P$7:$P$106=24)*(ROW('02 MONITOR'!$B$7:$B$106)-6))),"")</f>
        <v/>
      </c>
    </row>
    <row r="9">
      <c r="B9" s="28" t="n">
        <v>2</v>
      </c>
      <c r="C9" s="19">
        <f>IFERROR(INDEX('02 MONITOR'!$C$7:$C$106,SUMPRODUCT(('02 MONITOR'!$B$7:$B$106="EQUITY")*('02 MONITOR'!$P$7:$P$106=2)*(ROW('02 MONITOR'!$B$7:$B$106)-6))),"")</f>
        <v/>
      </c>
      <c r="D9" s="40">
        <f>IFERROR(INDEX('02 MONITOR'!$D$7:$D$106,SUMPRODUCT(('02 MONITOR'!$B$7:$B$106="EQUITY")*('02 MONITOR'!$P$7:$P$106=2)*(ROW('02 MONITOR'!$B$7:$B$106)-6))),"")</f>
        <v/>
      </c>
      <c r="E9" s="41">
        <f>IFERROR(INDEX('02 MONITOR'!$M$7:$M$106,SUMPRODUCT(('02 MONITOR'!$B$7:$B$106="EQUITY")*('02 MONITOR'!$P$7:$P$106=2)*(ROW('02 MONITOR'!$B$7:$B$106)-6))),"")</f>
        <v/>
      </c>
      <c r="F9" s="27">
        <f>IFERROR(INDEX('02 MONITOR'!$K$7:$K$106,SUMPRODUCT(('02 MONITOR'!$B$7:$B$106="EQUITY")*('02 MONITOR'!$P$7:$P$106=2)*(ROW('02 MONITOR'!$B$7:$B$106)-6))),"")</f>
        <v/>
      </c>
      <c r="G9" s="25">
        <f>IFERROR(INDEX('02 MONITOR'!$H$7:$H$106,SUMPRODUCT(('02 MONITOR'!$B$7:$B$106="EQUITY")*('02 MONITOR'!$P$7:$P$106=2)*(ROW('02 MONITOR'!$B$7:$B$106)-6))),"")</f>
        <v/>
      </c>
      <c r="H9" s="30">
        <f>IFERROR(INDEX('02 MONITOR'!$O$7:$O$106,SUMPRODUCT(('02 MONITOR'!$B$7:$B$106="EQUITY")*('02 MONITOR'!$P$7:$P$106=2)*(ROW('02 MONITOR'!$B$7:$B$106)-6))),"")</f>
        <v/>
      </c>
      <c r="J9" s="28" t="n">
        <v>2</v>
      </c>
      <c r="K9" s="19">
        <f>IFERROR(INDEX('02 MONITOR'!$C$7:$C$106,SUMPRODUCT(('02 MONITOR'!$B$7:$B$106="EQUITY")*('02 MONITOR'!$P$7:$P$106=23)*(ROW('02 MONITOR'!$B$7:$B$106)-6))),"")</f>
        <v/>
      </c>
      <c r="L9" s="40">
        <f>IFERROR(INDEX('02 MONITOR'!$D$7:$D$106,SUMPRODUCT(('02 MONITOR'!$B$7:$B$106="EQUITY")*('02 MONITOR'!$P$7:$P$106=23)*(ROW('02 MONITOR'!$B$7:$B$106)-6))),"")</f>
        <v/>
      </c>
      <c r="M9" s="42">
        <f>IFERROR(INDEX('02 MONITOR'!$M$7:$M$106,SUMPRODUCT(('02 MONITOR'!$B$7:$B$106="EQUITY")*('02 MONITOR'!$P$7:$P$106=23)*(ROW('02 MONITOR'!$B$7:$B$106)-6))),"")</f>
        <v/>
      </c>
      <c r="N9" s="27">
        <f>IFERROR(INDEX('02 MONITOR'!$K$7:$K$106,SUMPRODUCT(('02 MONITOR'!$B$7:$B$106="EQUITY")*('02 MONITOR'!$P$7:$P$106=23)*(ROW('02 MONITOR'!$B$7:$B$106)-6))),"")</f>
        <v/>
      </c>
      <c r="O9" s="25">
        <f>IFERROR(INDEX('02 MONITOR'!$H$7:$H$106,SUMPRODUCT(('02 MONITOR'!$B$7:$B$106="EQUITY")*('02 MONITOR'!$P$7:$P$106=23)*(ROW('02 MONITOR'!$B$7:$B$106)-6))),"")</f>
        <v/>
      </c>
      <c r="P9" s="30">
        <f>IFERROR(INDEX('02 MONITOR'!$O$7:$O$106,SUMPRODUCT(('02 MONITOR'!$B$7:$B$106="EQUITY")*('02 MONITOR'!$P$7:$P$106=23)*(ROW('02 MONITOR'!$B$7:$B$106)-6))),"")</f>
        <v/>
      </c>
    </row>
    <row r="10">
      <c r="B10" s="28" t="n">
        <v>3</v>
      </c>
      <c r="C10" s="19">
        <f>IFERROR(INDEX('02 MONITOR'!$C$7:$C$106,SUMPRODUCT(('02 MONITOR'!$B$7:$B$106="EQUITY")*('02 MONITOR'!$P$7:$P$106=3)*(ROW('02 MONITOR'!$B$7:$B$106)-6))),"")</f>
        <v/>
      </c>
      <c r="D10" s="40">
        <f>IFERROR(INDEX('02 MONITOR'!$D$7:$D$106,SUMPRODUCT(('02 MONITOR'!$B$7:$B$106="EQUITY")*('02 MONITOR'!$P$7:$P$106=3)*(ROW('02 MONITOR'!$B$7:$B$106)-6))),"")</f>
        <v/>
      </c>
      <c r="E10" s="41">
        <f>IFERROR(INDEX('02 MONITOR'!$M$7:$M$106,SUMPRODUCT(('02 MONITOR'!$B$7:$B$106="EQUITY")*('02 MONITOR'!$P$7:$P$106=3)*(ROW('02 MONITOR'!$B$7:$B$106)-6))),"")</f>
        <v/>
      </c>
      <c r="F10" s="27">
        <f>IFERROR(INDEX('02 MONITOR'!$K$7:$K$106,SUMPRODUCT(('02 MONITOR'!$B$7:$B$106="EQUITY")*('02 MONITOR'!$P$7:$P$106=3)*(ROW('02 MONITOR'!$B$7:$B$106)-6))),"")</f>
        <v/>
      </c>
      <c r="G10" s="25">
        <f>IFERROR(INDEX('02 MONITOR'!$H$7:$H$106,SUMPRODUCT(('02 MONITOR'!$B$7:$B$106="EQUITY")*('02 MONITOR'!$P$7:$P$106=3)*(ROW('02 MONITOR'!$B$7:$B$106)-6))),"")</f>
        <v/>
      </c>
      <c r="H10" s="30">
        <f>IFERROR(INDEX('02 MONITOR'!$O$7:$O$106,SUMPRODUCT(('02 MONITOR'!$B$7:$B$106="EQUITY")*('02 MONITOR'!$P$7:$P$106=3)*(ROW('02 MONITOR'!$B$7:$B$106)-6))),"")</f>
        <v/>
      </c>
      <c r="J10" s="28" t="n">
        <v>3</v>
      </c>
      <c r="K10" s="19">
        <f>IFERROR(INDEX('02 MONITOR'!$C$7:$C$106,SUMPRODUCT(('02 MONITOR'!$B$7:$B$106="EQUITY")*('02 MONITOR'!$P$7:$P$106=22)*(ROW('02 MONITOR'!$B$7:$B$106)-6))),"")</f>
        <v/>
      </c>
      <c r="L10" s="40">
        <f>IFERROR(INDEX('02 MONITOR'!$D$7:$D$106,SUMPRODUCT(('02 MONITOR'!$B$7:$B$106="EQUITY")*('02 MONITOR'!$P$7:$P$106=22)*(ROW('02 MONITOR'!$B$7:$B$106)-6))),"")</f>
        <v/>
      </c>
      <c r="M10" s="42">
        <f>IFERROR(INDEX('02 MONITOR'!$M$7:$M$106,SUMPRODUCT(('02 MONITOR'!$B$7:$B$106="EQUITY")*('02 MONITOR'!$P$7:$P$106=22)*(ROW('02 MONITOR'!$B$7:$B$106)-6))),"")</f>
        <v/>
      </c>
      <c r="N10" s="27">
        <f>IFERROR(INDEX('02 MONITOR'!$K$7:$K$106,SUMPRODUCT(('02 MONITOR'!$B$7:$B$106="EQUITY")*('02 MONITOR'!$P$7:$P$106=22)*(ROW('02 MONITOR'!$B$7:$B$106)-6))),"")</f>
        <v/>
      </c>
      <c r="O10" s="25">
        <f>IFERROR(INDEX('02 MONITOR'!$H$7:$H$106,SUMPRODUCT(('02 MONITOR'!$B$7:$B$106="EQUITY")*('02 MONITOR'!$P$7:$P$106=22)*(ROW('02 MONITOR'!$B$7:$B$106)-6))),"")</f>
        <v/>
      </c>
      <c r="P10" s="30">
        <f>IFERROR(INDEX('02 MONITOR'!$O$7:$O$106,SUMPRODUCT(('02 MONITOR'!$B$7:$B$106="EQUITY")*('02 MONITOR'!$P$7:$P$106=22)*(ROW('02 MONITOR'!$B$7:$B$106)-6))),"")</f>
        <v/>
      </c>
    </row>
    <row r="11">
      <c r="B11" s="28" t="n">
        <v>4</v>
      </c>
      <c r="C11" s="19">
        <f>IFERROR(INDEX('02 MONITOR'!$C$7:$C$106,SUMPRODUCT(('02 MONITOR'!$B$7:$B$106="EQUITY")*('02 MONITOR'!$P$7:$P$106=4)*(ROW('02 MONITOR'!$B$7:$B$106)-6))),"")</f>
        <v/>
      </c>
      <c r="D11" s="40">
        <f>IFERROR(INDEX('02 MONITOR'!$D$7:$D$106,SUMPRODUCT(('02 MONITOR'!$B$7:$B$106="EQUITY")*('02 MONITOR'!$P$7:$P$106=4)*(ROW('02 MONITOR'!$B$7:$B$106)-6))),"")</f>
        <v/>
      </c>
      <c r="E11" s="41">
        <f>IFERROR(INDEX('02 MONITOR'!$M$7:$M$106,SUMPRODUCT(('02 MONITOR'!$B$7:$B$106="EQUITY")*('02 MONITOR'!$P$7:$P$106=4)*(ROW('02 MONITOR'!$B$7:$B$106)-6))),"")</f>
        <v/>
      </c>
      <c r="F11" s="27">
        <f>IFERROR(INDEX('02 MONITOR'!$K$7:$K$106,SUMPRODUCT(('02 MONITOR'!$B$7:$B$106="EQUITY")*('02 MONITOR'!$P$7:$P$106=4)*(ROW('02 MONITOR'!$B$7:$B$106)-6))),"")</f>
        <v/>
      </c>
      <c r="G11" s="25">
        <f>IFERROR(INDEX('02 MONITOR'!$H$7:$H$106,SUMPRODUCT(('02 MONITOR'!$B$7:$B$106="EQUITY")*('02 MONITOR'!$P$7:$P$106=4)*(ROW('02 MONITOR'!$B$7:$B$106)-6))),"")</f>
        <v/>
      </c>
      <c r="H11" s="30">
        <f>IFERROR(INDEX('02 MONITOR'!$O$7:$O$106,SUMPRODUCT(('02 MONITOR'!$B$7:$B$106="EQUITY")*('02 MONITOR'!$P$7:$P$106=4)*(ROW('02 MONITOR'!$B$7:$B$106)-6))),"")</f>
        <v/>
      </c>
      <c r="J11" s="28" t="n">
        <v>4</v>
      </c>
      <c r="K11" s="19">
        <f>IFERROR(INDEX('02 MONITOR'!$C$7:$C$106,SUMPRODUCT(('02 MONITOR'!$B$7:$B$106="EQUITY")*('02 MONITOR'!$P$7:$P$106=21)*(ROW('02 MONITOR'!$B$7:$B$106)-6))),"")</f>
        <v/>
      </c>
      <c r="L11" s="40">
        <f>IFERROR(INDEX('02 MONITOR'!$D$7:$D$106,SUMPRODUCT(('02 MONITOR'!$B$7:$B$106="EQUITY")*('02 MONITOR'!$P$7:$P$106=21)*(ROW('02 MONITOR'!$B$7:$B$106)-6))),"")</f>
        <v/>
      </c>
      <c r="M11" s="42">
        <f>IFERROR(INDEX('02 MONITOR'!$M$7:$M$106,SUMPRODUCT(('02 MONITOR'!$B$7:$B$106="EQUITY")*('02 MONITOR'!$P$7:$P$106=21)*(ROW('02 MONITOR'!$B$7:$B$106)-6))),"")</f>
        <v/>
      </c>
      <c r="N11" s="27">
        <f>IFERROR(INDEX('02 MONITOR'!$K$7:$K$106,SUMPRODUCT(('02 MONITOR'!$B$7:$B$106="EQUITY")*('02 MONITOR'!$P$7:$P$106=21)*(ROW('02 MONITOR'!$B$7:$B$106)-6))),"")</f>
        <v/>
      </c>
      <c r="O11" s="25">
        <f>IFERROR(INDEX('02 MONITOR'!$H$7:$H$106,SUMPRODUCT(('02 MONITOR'!$B$7:$B$106="EQUITY")*('02 MONITOR'!$P$7:$P$106=21)*(ROW('02 MONITOR'!$B$7:$B$106)-6))),"")</f>
        <v/>
      </c>
      <c r="P11" s="30">
        <f>IFERROR(INDEX('02 MONITOR'!$O$7:$O$106,SUMPRODUCT(('02 MONITOR'!$B$7:$B$106="EQUITY")*('02 MONITOR'!$P$7:$P$106=21)*(ROW('02 MONITOR'!$B$7:$B$106)-6))),"")</f>
        <v/>
      </c>
    </row>
    <row r="12">
      <c r="B12" s="28" t="n">
        <v>5</v>
      </c>
      <c r="C12" s="19">
        <f>IFERROR(INDEX('02 MONITOR'!$C$7:$C$106,SUMPRODUCT(('02 MONITOR'!$B$7:$B$106="EQUITY")*('02 MONITOR'!$P$7:$P$106=5)*(ROW('02 MONITOR'!$B$7:$B$106)-6))),"")</f>
        <v/>
      </c>
      <c r="D12" s="40">
        <f>IFERROR(INDEX('02 MONITOR'!$D$7:$D$106,SUMPRODUCT(('02 MONITOR'!$B$7:$B$106="EQUITY")*('02 MONITOR'!$P$7:$P$106=5)*(ROW('02 MONITOR'!$B$7:$B$106)-6))),"")</f>
        <v/>
      </c>
      <c r="E12" s="41">
        <f>IFERROR(INDEX('02 MONITOR'!$M$7:$M$106,SUMPRODUCT(('02 MONITOR'!$B$7:$B$106="EQUITY")*('02 MONITOR'!$P$7:$P$106=5)*(ROW('02 MONITOR'!$B$7:$B$106)-6))),"")</f>
        <v/>
      </c>
      <c r="F12" s="27">
        <f>IFERROR(INDEX('02 MONITOR'!$K$7:$K$106,SUMPRODUCT(('02 MONITOR'!$B$7:$B$106="EQUITY")*('02 MONITOR'!$P$7:$P$106=5)*(ROW('02 MONITOR'!$B$7:$B$106)-6))),"")</f>
        <v/>
      </c>
      <c r="G12" s="25">
        <f>IFERROR(INDEX('02 MONITOR'!$H$7:$H$106,SUMPRODUCT(('02 MONITOR'!$B$7:$B$106="EQUITY")*('02 MONITOR'!$P$7:$P$106=5)*(ROW('02 MONITOR'!$B$7:$B$106)-6))),"")</f>
        <v/>
      </c>
      <c r="H12" s="30">
        <f>IFERROR(INDEX('02 MONITOR'!$O$7:$O$106,SUMPRODUCT(('02 MONITOR'!$B$7:$B$106="EQUITY")*('02 MONITOR'!$P$7:$P$106=5)*(ROW('02 MONITOR'!$B$7:$B$106)-6))),"")</f>
        <v/>
      </c>
      <c r="J12" s="28" t="n">
        <v>5</v>
      </c>
      <c r="K12" s="19">
        <f>IFERROR(INDEX('02 MONITOR'!$C$7:$C$106,SUMPRODUCT(('02 MONITOR'!$B$7:$B$106="EQUITY")*('02 MONITOR'!$P$7:$P$106=20)*(ROW('02 MONITOR'!$B$7:$B$106)-6))),"")</f>
        <v/>
      </c>
      <c r="L12" s="40">
        <f>IFERROR(INDEX('02 MONITOR'!$D$7:$D$106,SUMPRODUCT(('02 MONITOR'!$B$7:$B$106="EQUITY")*('02 MONITOR'!$P$7:$P$106=20)*(ROW('02 MONITOR'!$B$7:$B$106)-6))),"")</f>
        <v/>
      </c>
      <c r="M12" s="42">
        <f>IFERROR(INDEX('02 MONITOR'!$M$7:$M$106,SUMPRODUCT(('02 MONITOR'!$B$7:$B$106="EQUITY")*('02 MONITOR'!$P$7:$P$106=20)*(ROW('02 MONITOR'!$B$7:$B$106)-6))),"")</f>
        <v/>
      </c>
      <c r="N12" s="27">
        <f>IFERROR(INDEX('02 MONITOR'!$K$7:$K$106,SUMPRODUCT(('02 MONITOR'!$B$7:$B$106="EQUITY")*('02 MONITOR'!$P$7:$P$106=20)*(ROW('02 MONITOR'!$B$7:$B$106)-6))),"")</f>
        <v/>
      </c>
      <c r="O12" s="25">
        <f>IFERROR(INDEX('02 MONITOR'!$H$7:$H$106,SUMPRODUCT(('02 MONITOR'!$B$7:$B$106="EQUITY")*('02 MONITOR'!$P$7:$P$106=20)*(ROW('02 MONITOR'!$B$7:$B$106)-6))),"")</f>
        <v/>
      </c>
      <c r="P12" s="30">
        <f>IFERROR(INDEX('02 MONITOR'!$O$7:$O$106,SUMPRODUCT(('02 MONITOR'!$B$7:$B$106="EQUITY")*('02 MONITOR'!$P$7:$P$106=20)*(ROW('02 MONITOR'!$B$7:$B$106)-6))),"")</f>
        <v/>
      </c>
    </row>
    <row r="13">
      <c r="B13" s="28" t="n">
        <v>6</v>
      </c>
      <c r="C13" s="19">
        <f>IFERROR(INDEX('02 MONITOR'!$C$7:$C$106,SUMPRODUCT(('02 MONITOR'!$B$7:$B$106="EQUITY")*('02 MONITOR'!$P$7:$P$106=6)*(ROW('02 MONITOR'!$B$7:$B$106)-6))),"")</f>
        <v/>
      </c>
      <c r="D13" s="40">
        <f>IFERROR(INDEX('02 MONITOR'!$D$7:$D$106,SUMPRODUCT(('02 MONITOR'!$B$7:$B$106="EQUITY")*('02 MONITOR'!$P$7:$P$106=6)*(ROW('02 MONITOR'!$B$7:$B$106)-6))),"")</f>
        <v/>
      </c>
      <c r="E13" s="41">
        <f>IFERROR(INDEX('02 MONITOR'!$M$7:$M$106,SUMPRODUCT(('02 MONITOR'!$B$7:$B$106="EQUITY")*('02 MONITOR'!$P$7:$P$106=6)*(ROW('02 MONITOR'!$B$7:$B$106)-6))),"")</f>
        <v/>
      </c>
      <c r="F13" s="27">
        <f>IFERROR(INDEX('02 MONITOR'!$K$7:$K$106,SUMPRODUCT(('02 MONITOR'!$B$7:$B$106="EQUITY")*('02 MONITOR'!$P$7:$P$106=6)*(ROW('02 MONITOR'!$B$7:$B$106)-6))),"")</f>
        <v/>
      </c>
      <c r="G13" s="25">
        <f>IFERROR(INDEX('02 MONITOR'!$H$7:$H$106,SUMPRODUCT(('02 MONITOR'!$B$7:$B$106="EQUITY")*('02 MONITOR'!$P$7:$P$106=6)*(ROW('02 MONITOR'!$B$7:$B$106)-6))),"")</f>
        <v/>
      </c>
      <c r="H13" s="30">
        <f>IFERROR(INDEX('02 MONITOR'!$O$7:$O$106,SUMPRODUCT(('02 MONITOR'!$B$7:$B$106="EQUITY")*('02 MONITOR'!$P$7:$P$106=6)*(ROW('02 MONITOR'!$B$7:$B$106)-6))),"")</f>
        <v/>
      </c>
      <c r="J13" s="28" t="n">
        <v>6</v>
      </c>
      <c r="K13" s="19">
        <f>IFERROR(INDEX('02 MONITOR'!$C$7:$C$106,SUMPRODUCT(('02 MONITOR'!$B$7:$B$106="EQUITY")*('02 MONITOR'!$P$7:$P$106=19)*(ROW('02 MONITOR'!$B$7:$B$106)-6))),"")</f>
        <v/>
      </c>
      <c r="L13" s="40">
        <f>IFERROR(INDEX('02 MONITOR'!$D$7:$D$106,SUMPRODUCT(('02 MONITOR'!$B$7:$B$106="EQUITY")*('02 MONITOR'!$P$7:$P$106=19)*(ROW('02 MONITOR'!$B$7:$B$106)-6))),"")</f>
        <v/>
      </c>
      <c r="M13" s="42">
        <f>IFERROR(INDEX('02 MONITOR'!$M$7:$M$106,SUMPRODUCT(('02 MONITOR'!$B$7:$B$106="EQUITY")*('02 MONITOR'!$P$7:$P$106=19)*(ROW('02 MONITOR'!$B$7:$B$106)-6))),"")</f>
        <v/>
      </c>
      <c r="N13" s="27">
        <f>IFERROR(INDEX('02 MONITOR'!$K$7:$K$106,SUMPRODUCT(('02 MONITOR'!$B$7:$B$106="EQUITY")*('02 MONITOR'!$P$7:$P$106=19)*(ROW('02 MONITOR'!$B$7:$B$106)-6))),"")</f>
        <v/>
      </c>
      <c r="O13" s="25">
        <f>IFERROR(INDEX('02 MONITOR'!$H$7:$H$106,SUMPRODUCT(('02 MONITOR'!$B$7:$B$106="EQUITY")*('02 MONITOR'!$P$7:$P$106=19)*(ROW('02 MONITOR'!$B$7:$B$106)-6))),"")</f>
        <v/>
      </c>
      <c r="P13" s="30">
        <f>IFERROR(INDEX('02 MONITOR'!$O$7:$O$106,SUMPRODUCT(('02 MONITOR'!$B$7:$B$106="EQUITY")*('02 MONITOR'!$P$7:$P$106=19)*(ROW('02 MONITOR'!$B$7:$B$106)-6))),"")</f>
        <v/>
      </c>
    </row>
    <row r="15" ht="18" customHeight="1">
      <c r="A15" s="3" t="inlineStr">
        <is>
          <t>RATES  —  measured on 10y nominal yield  —  20 instruments</t>
        </is>
      </c>
    </row>
    <row r="16" ht="24" customHeight="1">
      <c r="B16" s="5" t="inlineStr">
        <is>
          <t>CHEAPEST</t>
        </is>
      </c>
      <c r="C16" s="5" t="inlineStr">
        <is>
          <t>Instrument</t>
        </is>
      </c>
      <c r="D16" s="5" t="inlineStr">
        <is>
          <t>Ticker</t>
        </is>
      </c>
      <c r="E16" s="5" t="inlineStr">
        <is>
          <t>Value score</t>
        </is>
      </c>
      <c r="F16" s="5" t="inlineStr">
        <is>
          <t>Z (raw)</t>
        </is>
      </c>
      <c r="G16" s="5" t="inlineStr">
        <is>
          <t>Current</t>
        </is>
      </c>
      <c r="H16" s="5" t="inlineStr">
        <is>
          <t>1y chg</t>
        </is>
      </c>
      <c r="J16" s="5" t="inlineStr">
        <is>
          <t>MOST EXPENSIVE</t>
        </is>
      </c>
      <c r="K16" s="5" t="inlineStr">
        <is>
          <t>Instrument</t>
        </is>
      </c>
      <c r="L16" s="5" t="inlineStr">
        <is>
          <t>Ticker</t>
        </is>
      </c>
      <c r="M16" s="5" t="inlineStr">
        <is>
          <t>Value score</t>
        </is>
      </c>
      <c r="N16" s="5" t="inlineStr">
        <is>
          <t>Z (raw)</t>
        </is>
      </c>
      <c r="O16" s="5" t="inlineStr">
        <is>
          <t>Current</t>
        </is>
      </c>
      <c r="P16" s="5" t="inlineStr">
        <is>
          <t>1y chg</t>
        </is>
      </c>
    </row>
    <row r="17">
      <c r="B17" s="28" t="n">
        <v>1</v>
      </c>
      <c r="C17" s="19">
        <f>IFERROR(INDEX('02 MONITOR'!$C$7:$C$106,SUMPRODUCT(('02 MONITOR'!$B$7:$B$106="RATES")*('02 MONITOR'!$P$7:$P$106=1)*(ROW('02 MONITOR'!$B$7:$B$106)-6))),"")</f>
        <v/>
      </c>
      <c r="D17" s="40">
        <f>IFERROR(INDEX('02 MONITOR'!$D$7:$D$106,SUMPRODUCT(('02 MONITOR'!$B$7:$B$106="RATES")*('02 MONITOR'!$P$7:$P$106=1)*(ROW('02 MONITOR'!$B$7:$B$106)-6))),"")</f>
        <v/>
      </c>
      <c r="E17" s="41">
        <f>IFERROR(INDEX('02 MONITOR'!$M$7:$M$106,SUMPRODUCT(('02 MONITOR'!$B$7:$B$106="RATES")*('02 MONITOR'!$P$7:$P$106=1)*(ROW('02 MONITOR'!$B$7:$B$106)-6))),"")</f>
        <v/>
      </c>
      <c r="F17" s="27">
        <f>IFERROR(INDEX('02 MONITOR'!$K$7:$K$106,SUMPRODUCT(('02 MONITOR'!$B$7:$B$106="RATES")*('02 MONITOR'!$P$7:$P$106=1)*(ROW('02 MONITOR'!$B$7:$B$106)-6))),"")</f>
        <v/>
      </c>
      <c r="G17" s="25">
        <f>IFERROR(INDEX('02 MONITOR'!$H$7:$H$106,SUMPRODUCT(('02 MONITOR'!$B$7:$B$106="RATES")*('02 MONITOR'!$P$7:$P$106=1)*(ROW('02 MONITOR'!$B$7:$B$106)-6))),"")</f>
        <v/>
      </c>
      <c r="H17" s="30">
        <f>IFERROR(INDEX('02 MONITOR'!$O$7:$O$106,SUMPRODUCT(('02 MONITOR'!$B$7:$B$106="RATES")*('02 MONITOR'!$P$7:$P$106=1)*(ROW('02 MONITOR'!$B$7:$B$106)-6))),"")</f>
        <v/>
      </c>
      <c r="J17" s="28" t="n">
        <v>1</v>
      </c>
      <c r="K17" s="19">
        <f>IFERROR(INDEX('02 MONITOR'!$C$7:$C$106,SUMPRODUCT(('02 MONITOR'!$B$7:$B$106="RATES")*('02 MONITOR'!$P$7:$P$106=20)*(ROW('02 MONITOR'!$B$7:$B$106)-6))),"")</f>
        <v/>
      </c>
      <c r="L17" s="40">
        <f>IFERROR(INDEX('02 MONITOR'!$D$7:$D$106,SUMPRODUCT(('02 MONITOR'!$B$7:$B$106="RATES")*('02 MONITOR'!$P$7:$P$106=20)*(ROW('02 MONITOR'!$B$7:$B$106)-6))),"")</f>
        <v/>
      </c>
      <c r="M17" s="42">
        <f>IFERROR(INDEX('02 MONITOR'!$M$7:$M$106,SUMPRODUCT(('02 MONITOR'!$B$7:$B$106="RATES")*('02 MONITOR'!$P$7:$P$106=20)*(ROW('02 MONITOR'!$B$7:$B$106)-6))),"")</f>
        <v/>
      </c>
      <c r="N17" s="27">
        <f>IFERROR(INDEX('02 MONITOR'!$K$7:$K$106,SUMPRODUCT(('02 MONITOR'!$B$7:$B$106="RATES")*('02 MONITOR'!$P$7:$P$106=20)*(ROW('02 MONITOR'!$B$7:$B$106)-6))),"")</f>
        <v/>
      </c>
      <c r="O17" s="25">
        <f>IFERROR(INDEX('02 MONITOR'!$H$7:$H$106,SUMPRODUCT(('02 MONITOR'!$B$7:$B$106="RATES")*('02 MONITOR'!$P$7:$P$106=20)*(ROW('02 MONITOR'!$B$7:$B$106)-6))),"")</f>
        <v/>
      </c>
      <c r="P17" s="30">
        <f>IFERROR(INDEX('02 MONITOR'!$O$7:$O$106,SUMPRODUCT(('02 MONITOR'!$B$7:$B$106="RATES")*('02 MONITOR'!$P$7:$P$106=20)*(ROW('02 MONITOR'!$B$7:$B$106)-6))),"")</f>
        <v/>
      </c>
    </row>
    <row r="18">
      <c r="B18" s="28" t="n">
        <v>2</v>
      </c>
      <c r="C18" s="19">
        <f>IFERROR(INDEX('02 MONITOR'!$C$7:$C$106,SUMPRODUCT(('02 MONITOR'!$B$7:$B$106="RATES")*('02 MONITOR'!$P$7:$P$106=2)*(ROW('02 MONITOR'!$B$7:$B$106)-6))),"")</f>
        <v/>
      </c>
      <c r="D18" s="40">
        <f>IFERROR(INDEX('02 MONITOR'!$D$7:$D$106,SUMPRODUCT(('02 MONITOR'!$B$7:$B$106="RATES")*('02 MONITOR'!$P$7:$P$106=2)*(ROW('02 MONITOR'!$B$7:$B$106)-6))),"")</f>
        <v/>
      </c>
      <c r="E18" s="41">
        <f>IFERROR(INDEX('02 MONITOR'!$M$7:$M$106,SUMPRODUCT(('02 MONITOR'!$B$7:$B$106="RATES")*('02 MONITOR'!$P$7:$P$106=2)*(ROW('02 MONITOR'!$B$7:$B$106)-6))),"")</f>
        <v/>
      </c>
      <c r="F18" s="27">
        <f>IFERROR(INDEX('02 MONITOR'!$K$7:$K$106,SUMPRODUCT(('02 MONITOR'!$B$7:$B$106="RATES")*('02 MONITOR'!$P$7:$P$106=2)*(ROW('02 MONITOR'!$B$7:$B$106)-6))),"")</f>
        <v/>
      </c>
      <c r="G18" s="25">
        <f>IFERROR(INDEX('02 MONITOR'!$H$7:$H$106,SUMPRODUCT(('02 MONITOR'!$B$7:$B$106="RATES")*('02 MONITOR'!$P$7:$P$106=2)*(ROW('02 MONITOR'!$B$7:$B$106)-6))),"")</f>
        <v/>
      </c>
      <c r="H18" s="30">
        <f>IFERROR(INDEX('02 MONITOR'!$O$7:$O$106,SUMPRODUCT(('02 MONITOR'!$B$7:$B$106="RATES")*('02 MONITOR'!$P$7:$P$106=2)*(ROW('02 MONITOR'!$B$7:$B$106)-6))),"")</f>
        <v/>
      </c>
      <c r="J18" s="28" t="n">
        <v>2</v>
      </c>
      <c r="K18" s="19">
        <f>IFERROR(INDEX('02 MONITOR'!$C$7:$C$106,SUMPRODUCT(('02 MONITOR'!$B$7:$B$106="RATES")*('02 MONITOR'!$P$7:$P$106=19)*(ROW('02 MONITOR'!$B$7:$B$106)-6))),"")</f>
        <v/>
      </c>
      <c r="L18" s="40">
        <f>IFERROR(INDEX('02 MONITOR'!$D$7:$D$106,SUMPRODUCT(('02 MONITOR'!$B$7:$B$106="RATES")*('02 MONITOR'!$P$7:$P$106=19)*(ROW('02 MONITOR'!$B$7:$B$106)-6))),"")</f>
        <v/>
      </c>
      <c r="M18" s="42">
        <f>IFERROR(INDEX('02 MONITOR'!$M$7:$M$106,SUMPRODUCT(('02 MONITOR'!$B$7:$B$106="RATES")*('02 MONITOR'!$P$7:$P$106=19)*(ROW('02 MONITOR'!$B$7:$B$106)-6))),"")</f>
        <v/>
      </c>
      <c r="N18" s="27">
        <f>IFERROR(INDEX('02 MONITOR'!$K$7:$K$106,SUMPRODUCT(('02 MONITOR'!$B$7:$B$106="RATES")*('02 MONITOR'!$P$7:$P$106=19)*(ROW('02 MONITOR'!$B$7:$B$106)-6))),"")</f>
        <v/>
      </c>
      <c r="O18" s="25">
        <f>IFERROR(INDEX('02 MONITOR'!$H$7:$H$106,SUMPRODUCT(('02 MONITOR'!$B$7:$B$106="RATES")*('02 MONITOR'!$P$7:$P$106=19)*(ROW('02 MONITOR'!$B$7:$B$106)-6))),"")</f>
        <v/>
      </c>
      <c r="P18" s="30">
        <f>IFERROR(INDEX('02 MONITOR'!$O$7:$O$106,SUMPRODUCT(('02 MONITOR'!$B$7:$B$106="RATES")*('02 MONITOR'!$P$7:$P$106=19)*(ROW('02 MONITOR'!$B$7:$B$106)-6))),"")</f>
        <v/>
      </c>
    </row>
    <row r="19">
      <c r="B19" s="28" t="n">
        <v>3</v>
      </c>
      <c r="C19" s="19">
        <f>IFERROR(INDEX('02 MONITOR'!$C$7:$C$106,SUMPRODUCT(('02 MONITOR'!$B$7:$B$106="RATES")*('02 MONITOR'!$P$7:$P$106=3)*(ROW('02 MONITOR'!$B$7:$B$106)-6))),"")</f>
        <v/>
      </c>
      <c r="D19" s="40">
        <f>IFERROR(INDEX('02 MONITOR'!$D$7:$D$106,SUMPRODUCT(('02 MONITOR'!$B$7:$B$106="RATES")*('02 MONITOR'!$P$7:$P$106=3)*(ROW('02 MONITOR'!$B$7:$B$106)-6))),"")</f>
        <v/>
      </c>
      <c r="E19" s="41">
        <f>IFERROR(INDEX('02 MONITOR'!$M$7:$M$106,SUMPRODUCT(('02 MONITOR'!$B$7:$B$106="RATES")*('02 MONITOR'!$P$7:$P$106=3)*(ROW('02 MONITOR'!$B$7:$B$106)-6))),"")</f>
        <v/>
      </c>
      <c r="F19" s="27">
        <f>IFERROR(INDEX('02 MONITOR'!$K$7:$K$106,SUMPRODUCT(('02 MONITOR'!$B$7:$B$106="RATES")*('02 MONITOR'!$P$7:$P$106=3)*(ROW('02 MONITOR'!$B$7:$B$106)-6))),"")</f>
        <v/>
      </c>
      <c r="G19" s="25">
        <f>IFERROR(INDEX('02 MONITOR'!$H$7:$H$106,SUMPRODUCT(('02 MONITOR'!$B$7:$B$106="RATES")*('02 MONITOR'!$P$7:$P$106=3)*(ROW('02 MONITOR'!$B$7:$B$106)-6))),"")</f>
        <v/>
      </c>
      <c r="H19" s="30">
        <f>IFERROR(INDEX('02 MONITOR'!$O$7:$O$106,SUMPRODUCT(('02 MONITOR'!$B$7:$B$106="RATES")*('02 MONITOR'!$P$7:$P$106=3)*(ROW('02 MONITOR'!$B$7:$B$106)-6))),"")</f>
        <v/>
      </c>
      <c r="J19" s="28" t="n">
        <v>3</v>
      </c>
      <c r="K19" s="19">
        <f>IFERROR(INDEX('02 MONITOR'!$C$7:$C$106,SUMPRODUCT(('02 MONITOR'!$B$7:$B$106="RATES")*('02 MONITOR'!$P$7:$P$106=18)*(ROW('02 MONITOR'!$B$7:$B$106)-6))),"")</f>
        <v/>
      </c>
      <c r="L19" s="40">
        <f>IFERROR(INDEX('02 MONITOR'!$D$7:$D$106,SUMPRODUCT(('02 MONITOR'!$B$7:$B$106="RATES")*('02 MONITOR'!$P$7:$P$106=18)*(ROW('02 MONITOR'!$B$7:$B$106)-6))),"")</f>
        <v/>
      </c>
      <c r="M19" s="42">
        <f>IFERROR(INDEX('02 MONITOR'!$M$7:$M$106,SUMPRODUCT(('02 MONITOR'!$B$7:$B$106="RATES")*('02 MONITOR'!$P$7:$P$106=18)*(ROW('02 MONITOR'!$B$7:$B$106)-6))),"")</f>
        <v/>
      </c>
      <c r="N19" s="27">
        <f>IFERROR(INDEX('02 MONITOR'!$K$7:$K$106,SUMPRODUCT(('02 MONITOR'!$B$7:$B$106="RATES")*('02 MONITOR'!$P$7:$P$106=18)*(ROW('02 MONITOR'!$B$7:$B$106)-6))),"")</f>
        <v/>
      </c>
      <c r="O19" s="25">
        <f>IFERROR(INDEX('02 MONITOR'!$H$7:$H$106,SUMPRODUCT(('02 MONITOR'!$B$7:$B$106="RATES")*('02 MONITOR'!$P$7:$P$106=18)*(ROW('02 MONITOR'!$B$7:$B$106)-6))),"")</f>
        <v/>
      </c>
      <c r="P19" s="30">
        <f>IFERROR(INDEX('02 MONITOR'!$O$7:$O$106,SUMPRODUCT(('02 MONITOR'!$B$7:$B$106="RATES")*('02 MONITOR'!$P$7:$P$106=18)*(ROW('02 MONITOR'!$B$7:$B$106)-6))),"")</f>
        <v/>
      </c>
    </row>
    <row r="20">
      <c r="B20" s="28" t="n">
        <v>4</v>
      </c>
      <c r="C20" s="19">
        <f>IFERROR(INDEX('02 MONITOR'!$C$7:$C$106,SUMPRODUCT(('02 MONITOR'!$B$7:$B$106="RATES")*('02 MONITOR'!$P$7:$P$106=4)*(ROW('02 MONITOR'!$B$7:$B$106)-6))),"")</f>
        <v/>
      </c>
      <c r="D20" s="40">
        <f>IFERROR(INDEX('02 MONITOR'!$D$7:$D$106,SUMPRODUCT(('02 MONITOR'!$B$7:$B$106="RATES")*('02 MONITOR'!$P$7:$P$106=4)*(ROW('02 MONITOR'!$B$7:$B$106)-6))),"")</f>
        <v/>
      </c>
      <c r="E20" s="41">
        <f>IFERROR(INDEX('02 MONITOR'!$M$7:$M$106,SUMPRODUCT(('02 MONITOR'!$B$7:$B$106="RATES")*('02 MONITOR'!$P$7:$P$106=4)*(ROW('02 MONITOR'!$B$7:$B$106)-6))),"")</f>
        <v/>
      </c>
      <c r="F20" s="27">
        <f>IFERROR(INDEX('02 MONITOR'!$K$7:$K$106,SUMPRODUCT(('02 MONITOR'!$B$7:$B$106="RATES")*('02 MONITOR'!$P$7:$P$106=4)*(ROW('02 MONITOR'!$B$7:$B$106)-6))),"")</f>
        <v/>
      </c>
      <c r="G20" s="25">
        <f>IFERROR(INDEX('02 MONITOR'!$H$7:$H$106,SUMPRODUCT(('02 MONITOR'!$B$7:$B$106="RATES")*('02 MONITOR'!$P$7:$P$106=4)*(ROW('02 MONITOR'!$B$7:$B$106)-6))),"")</f>
        <v/>
      </c>
      <c r="H20" s="30">
        <f>IFERROR(INDEX('02 MONITOR'!$O$7:$O$106,SUMPRODUCT(('02 MONITOR'!$B$7:$B$106="RATES")*('02 MONITOR'!$P$7:$P$106=4)*(ROW('02 MONITOR'!$B$7:$B$106)-6))),"")</f>
        <v/>
      </c>
      <c r="J20" s="28" t="n">
        <v>4</v>
      </c>
      <c r="K20" s="19">
        <f>IFERROR(INDEX('02 MONITOR'!$C$7:$C$106,SUMPRODUCT(('02 MONITOR'!$B$7:$B$106="RATES")*('02 MONITOR'!$P$7:$P$106=17)*(ROW('02 MONITOR'!$B$7:$B$106)-6))),"")</f>
        <v/>
      </c>
      <c r="L20" s="40">
        <f>IFERROR(INDEX('02 MONITOR'!$D$7:$D$106,SUMPRODUCT(('02 MONITOR'!$B$7:$B$106="RATES")*('02 MONITOR'!$P$7:$P$106=17)*(ROW('02 MONITOR'!$B$7:$B$106)-6))),"")</f>
        <v/>
      </c>
      <c r="M20" s="42">
        <f>IFERROR(INDEX('02 MONITOR'!$M$7:$M$106,SUMPRODUCT(('02 MONITOR'!$B$7:$B$106="RATES")*('02 MONITOR'!$P$7:$P$106=17)*(ROW('02 MONITOR'!$B$7:$B$106)-6))),"")</f>
        <v/>
      </c>
      <c r="N20" s="27">
        <f>IFERROR(INDEX('02 MONITOR'!$K$7:$K$106,SUMPRODUCT(('02 MONITOR'!$B$7:$B$106="RATES")*('02 MONITOR'!$P$7:$P$106=17)*(ROW('02 MONITOR'!$B$7:$B$106)-6))),"")</f>
        <v/>
      </c>
      <c r="O20" s="25">
        <f>IFERROR(INDEX('02 MONITOR'!$H$7:$H$106,SUMPRODUCT(('02 MONITOR'!$B$7:$B$106="RATES")*('02 MONITOR'!$P$7:$P$106=17)*(ROW('02 MONITOR'!$B$7:$B$106)-6))),"")</f>
        <v/>
      </c>
      <c r="P20" s="30">
        <f>IFERROR(INDEX('02 MONITOR'!$O$7:$O$106,SUMPRODUCT(('02 MONITOR'!$B$7:$B$106="RATES")*('02 MONITOR'!$P$7:$P$106=17)*(ROW('02 MONITOR'!$B$7:$B$106)-6))),"")</f>
        <v/>
      </c>
    </row>
    <row r="21">
      <c r="B21" s="28" t="n">
        <v>5</v>
      </c>
      <c r="C21" s="19">
        <f>IFERROR(INDEX('02 MONITOR'!$C$7:$C$106,SUMPRODUCT(('02 MONITOR'!$B$7:$B$106="RATES")*('02 MONITOR'!$P$7:$P$106=5)*(ROW('02 MONITOR'!$B$7:$B$106)-6))),"")</f>
        <v/>
      </c>
      <c r="D21" s="40">
        <f>IFERROR(INDEX('02 MONITOR'!$D$7:$D$106,SUMPRODUCT(('02 MONITOR'!$B$7:$B$106="RATES")*('02 MONITOR'!$P$7:$P$106=5)*(ROW('02 MONITOR'!$B$7:$B$106)-6))),"")</f>
        <v/>
      </c>
      <c r="E21" s="41">
        <f>IFERROR(INDEX('02 MONITOR'!$M$7:$M$106,SUMPRODUCT(('02 MONITOR'!$B$7:$B$106="RATES")*('02 MONITOR'!$P$7:$P$106=5)*(ROW('02 MONITOR'!$B$7:$B$106)-6))),"")</f>
        <v/>
      </c>
      <c r="F21" s="27">
        <f>IFERROR(INDEX('02 MONITOR'!$K$7:$K$106,SUMPRODUCT(('02 MONITOR'!$B$7:$B$106="RATES")*('02 MONITOR'!$P$7:$P$106=5)*(ROW('02 MONITOR'!$B$7:$B$106)-6))),"")</f>
        <v/>
      </c>
      <c r="G21" s="25">
        <f>IFERROR(INDEX('02 MONITOR'!$H$7:$H$106,SUMPRODUCT(('02 MONITOR'!$B$7:$B$106="RATES")*('02 MONITOR'!$P$7:$P$106=5)*(ROW('02 MONITOR'!$B$7:$B$106)-6))),"")</f>
        <v/>
      </c>
      <c r="H21" s="30">
        <f>IFERROR(INDEX('02 MONITOR'!$O$7:$O$106,SUMPRODUCT(('02 MONITOR'!$B$7:$B$106="RATES")*('02 MONITOR'!$P$7:$P$106=5)*(ROW('02 MONITOR'!$B$7:$B$106)-6))),"")</f>
        <v/>
      </c>
      <c r="J21" s="28" t="n">
        <v>5</v>
      </c>
      <c r="K21" s="19">
        <f>IFERROR(INDEX('02 MONITOR'!$C$7:$C$106,SUMPRODUCT(('02 MONITOR'!$B$7:$B$106="RATES")*('02 MONITOR'!$P$7:$P$106=16)*(ROW('02 MONITOR'!$B$7:$B$106)-6))),"")</f>
        <v/>
      </c>
      <c r="L21" s="40">
        <f>IFERROR(INDEX('02 MONITOR'!$D$7:$D$106,SUMPRODUCT(('02 MONITOR'!$B$7:$B$106="RATES")*('02 MONITOR'!$P$7:$P$106=16)*(ROW('02 MONITOR'!$B$7:$B$106)-6))),"")</f>
        <v/>
      </c>
      <c r="M21" s="42">
        <f>IFERROR(INDEX('02 MONITOR'!$M$7:$M$106,SUMPRODUCT(('02 MONITOR'!$B$7:$B$106="RATES")*('02 MONITOR'!$P$7:$P$106=16)*(ROW('02 MONITOR'!$B$7:$B$106)-6))),"")</f>
        <v/>
      </c>
      <c r="N21" s="27">
        <f>IFERROR(INDEX('02 MONITOR'!$K$7:$K$106,SUMPRODUCT(('02 MONITOR'!$B$7:$B$106="RATES")*('02 MONITOR'!$P$7:$P$106=16)*(ROW('02 MONITOR'!$B$7:$B$106)-6))),"")</f>
        <v/>
      </c>
      <c r="O21" s="25">
        <f>IFERROR(INDEX('02 MONITOR'!$H$7:$H$106,SUMPRODUCT(('02 MONITOR'!$B$7:$B$106="RATES")*('02 MONITOR'!$P$7:$P$106=16)*(ROW('02 MONITOR'!$B$7:$B$106)-6))),"")</f>
        <v/>
      </c>
      <c r="P21" s="30">
        <f>IFERROR(INDEX('02 MONITOR'!$O$7:$O$106,SUMPRODUCT(('02 MONITOR'!$B$7:$B$106="RATES")*('02 MONITOR'!$P$7:$P$106=16)*(ROW('02 MONITOR'!$B$7:$B$106)-6))),"")</f>
        <v/>
      </c>
    </row>
    <row r="22">
      <c r="B22" s="28" t="n">
        <v>6</v>
      </c>
      <c r="C22" s="19">
        <f>IFERROR(INDEX('02 MONITOR'!$C$7:$C$106,SUMPRODUCT(('02 MONITOR'!$B$7:$B$106="RATES")*('02 MONITOR'!$P$7:$P$106=6)*(ROW('02 MONITOR'!$B$7:$B$106)-6))),"")</f>
        <v/>
      </c>
      <c r="D22" s="40">
        <f>IFERROR(INDEX('02 MONITOR'!$D$7:$D$106,SUMPRODUCT(('02 MONITOR'!$B$7:$B$106="RATES")*('02 MONITOR'!$P$7:$P$106=6)*(ROW('02 MONITOR'!$B$7:$B$106)-6))),"")</f>
        <v/>
      </c>
      <c r="E22" s="41">
        <f>IFERROR(INDEX('02 MONITOR'!$M$7:$M$106,SUMPRODUCT(('02 MONITOR'!$B$7:$B$106="RATES")*('02 MONITOR'!$P$7:$P$106=6)*(ROW('02 MONITOR'!$B$7:$B$106)-6))),"")</f>
        <v/>
      </c>
      <c r="F22" s="27">
        <f>IFERROR(INDEX('02 MONITOR'!$K$7:$K$106,SUMPRODUCT(('02 MONITOR'!$B$7:$B$106="RATES")*('02 MONITOR'!$P$7:$P$106=6)*(ROW('02 MONITOR'!$B$7:$B$106)-6))),"")</f>
        <v/>
      </c>
      <c r="G22" s="25">
        <f>IFERROR(INDEX('02 MONITOR'!$H$7:$H$106,SUMPRODUCT(('02 MONITOR'!$B$7:$B$106="RATES")*('02 MONITOR'!$P$7:$P$106=6)*(ROW('02 MONITOR'!$B$7:$B$106)-6))),"")</f>
        <v/>
      </c>
      <c r="H22" s="30">
        <f>IFERROR(INDEX('02 MONITOR'!$O$7:$O$106,SUMPRODUCT(('02 MONITOR'!$B$7:$B$106="RATES")*('02 MONITOR'!$P$7:$P$106=6)*(ROW('02 MONITOR'!$B$7:$B$106)-6))),"")</f>
        <v/>
      </c>
      <c r="J22" s="28" t="n">
        <v>6</v>
      </c>
      <c r="K22" s="19">
        <f>IFERROR(INDEX('02 MONITOR'!$C$7:$C$106,SUMPRODUCT(('02 MONITOR'!$B$7:$B$106="RATES")*('02 MONITOR'!$P$7:$P$106=15)*(ROW('02 MONITOR'!$B$7:$B$106)-6))),"")</f>
        <v/>
      </c>
      <c r="L22" s="40">
        <f>IFERROR(INDEX('02 MONITOR'!$D$7:$D$106,SUMPRODUCT(('02 MONITOR'!$B$7:$B$106="RATES")*('02 MONITOR'!$P$7:$P$106=15)*(ROW('02 MONITOR'!$B$7:$B$106)-6))),"")</f>
        <v/>
      </c>
      <c r="M22" s="42">
        <f>IFERROR(INDEX('02 MONITOR'!$M$7:$M$106,SUMPRODUCT(('02 MONITOR'!$B$7:$B$106="RATES")*('02 MONITOR'!$P$7:$P$106=15)*(ROW('02 MONITOR'!$B$7:$B$106)-6))),"")</f>
        <v/>
      </c>
      <c r="N22" s="27">
        <f>IFERROR(INDEX('02 MONITOR'!$K$7:$K$106,SUMPRODUCT(('02 MONITOR'!$B$7:$B$106="RATES")*('02 MONITOR'!$P$7:$P$106=15)*(ROW('02 MONITOR'!$B$7:$B$106)-6))),"")</f>
        <v/>
      </c>
      <c r="O22" s="25">
        <f>IFERROR(INDEX('02 MONITOR'!$H$7:$H$106,SUMPRODUCT(('02 MONITOR'!$B$7:$B$106="RATES")*('02 MONITOR'!$P$7:$P$106=15)*(ROW('02 MONITOR'!$B$7:$B$106)-6))),"")</f>
        <v/>
      </c>
      <c r="P22" s="30">
        <f>IFERROR(INDEX('02 MONITOR'!$O$7:$O$106,SUMPRODUCT(('02 MONITOR'!$B$7:$B$106="RATES")*('02 MONITOR'!$P$7:$P$106=15)*(ROW('02 MONITOR'!$B$7:$B$106)-6))),"")</f>
        <v/>
      </c>
    </row>
    <row r="24" ht="18" customHeight="1">
      <c r="A24" s="3" t="inlineStr">
        <is>
          <t>FX  —  measured on Spot (or REER)  —  26 instruments</t>
        </is>
      </c>
    </row>
    <row r="25" ht="24" customHeight="1">
      <c r="B25" s="5" t="inlineStr">
        <is>
          <t>CHEAPEST</t>
        </is>
      </c>
      <c r="C25" s="5" t="inlineStr">
        <is>
          <t>Instrument</t>
        </is>
      </c>
      <c r="D25" s="5" t="inlineStr">
        <is>
          <t>Ticker</t>
        </is>
      </c>
      <c r="E25" s="5" t="inlineStr">
        <is>
          <t>Value score</t>
        </is>
      </c>
      <c r="F25" s="5" t="inlineStr">
        <is>
          <t>Z (raw)</t>
        </is>
      </c>
      <c r="G25" s="5" t="inlineStr">
        <is>
          <t>Current</t>
        </is>
      </c>
      <c r="H25" s="5" t="inlineStr">
        <is>
          <t>1y chg</t>
        </is>
      </c>
      <c r="J25" s="5" t="inlineStr">
        <is>
          <t>MOST EXPENSIVE</t>
        </is>
      </c>
      <c r="K25" s="5" t="inlineStr">
        <is>
          <t>Instrument</t>
        </is>
      </c>
      <c r="L25" s="5" t="inlineStr">
        <is>
          <t>Ticker</t>
        </is>
      </c>
      <c r="M25" s="5" t="inlineStr">
        <is>
          <t>Value score</t>
        </is>
      </c>
      <c r="N25" s="5" t="inlineStr">
        <is>
          <t>Z (raw)</t>
        </is>
      </c>
      <c r="O25" s="5" t="inlineStr">
        <is>
          <t>Current</t>
        </is>
      </c>
      <c r="P25" s="5" t="inlineStr">
        <is>
          <t>1y chg</t>
        </is>
      </c>
    </row>
    <row r="26">
      <c r="B26" s="28" t="n">
        <v>1</v>
      </c>
      <c r="C26" s="19">
        <f>IFERROR(INDEX('02 MONITOR'!$C$7:$C$106,SUMPRODUCT(('02 MONITOR'!$B$7:$B$106="FX")*('02 MONITOR'!$P$7:$P$106=1)*(ROW('02 MONITOR'!$B$7:$B$106)-6))),"")</f>
        <v/>
      </c>
      <c r="D26" s="40">
        <f>IFERROR(INDEX('02 MONITOR'!$D$7:$D$106,SUMPRODUCT(('02 MONITOR'!$B$7:$B$106="FX")*('02 MONITOR'!$P$7:$P$106=1)*(ROW('02 MONITOR'!$B$7:$B$106)-6))),"")</f>
        <v/>
      </c>
      <c r="E26" s="41">
        <f>IFERROR(INDEX('02 MONITOR'!$M$7:$M$106,SUMPRODUCT(('02 MONITOR'!$B$7:$B$106="FX")*('02 MONITOR'!$P$7:$P$106=1)*(ROW('02 MONITOR'!$B$7:$B$106)-6))),"")</f>
        <v/>
      </c>
      <c r="F26" s="27">
        <f>IFERROR(INDEX('02 MONITOR'!$K$7:$K$106,SUMPRODUCT(('02 MONITOR'!$B$7:$B$106="FX")*('02 MONITOR'!$P$7:$P$106=1)*(ROW('02 MONITOR'!$B$7:$B$106)-6))),"")</f>
        <v/>
      </c>
      <c r="G26" s="25">
        <f>IFERROR(INDEX('02 MONITOR'!$H$7:$H$106,SUMPRODUCT(('02 MONITOR'!$B$7:$B$106="FX")*('02 MONITOR'!$P$7:$P$106=1)*(ROW('02 MONITOR'!$B$7:$B$106)-6))),"")</f>
        <v/>
      </c>
      <c r="H26" s="30">
        <f>IFERROR(INDEX('02 MONITOR'!$O$7:$O$106,SUMPRODUCT(('02 MONITOR'!$B$7:$B$106="FX")*('02 MONITOR'!$P$7:$P$106=1)*(ROW('02 MONITOR'!$B$7:$B$106)-6))),"")</f>
        <v/>
      </c>
      <c r="J26" s="28" t="n">
        <v>1</v>
      </c>
      <c r="K26" s="19">
        <f>IFERROR(INDEX('02 MONITOR'!$C$7:$C$106,SUMPRODUCT(('02 MONITOR'!$B$7:$B$106="FX")*('02 MONITOR'!$P$7:$P$106=26)*(ROW('02 MONITOR'!$B$7:$B$106)-6))),"")</f>
        <v/>
      </c>
      <c r="L26" s="40">
        <f>IFERROR(INDEX('02 MONITOR'!$D$7:$D$106,SUMPRODUCT(('02 MONITOR'!$B$7:$B$106="FX")*('02 MONITOR'!$P$7:$P$106=26)*(ROW('02 MONITOR'!$B$7:$B$106)-6))),"")</f>
        <v/>
      </c>
      <c r="M26" s="42">
        <f>IFERROR(INDEX('02 MONITOR'!$M$7:$M$106,SUMPRODUCT(('02 MONITOR'!$B$7:$B$106="FX")*('02 MONITOR'!$P$7:$P$106=26)*(ROW('02 MONITOR'!$B$7:$B$106)-6))),"")</f>
        <v/>
      </c>
      <c r="N26" s="27">
        <f>IFERROR(INDEX('02 MONITOR'!$K$7:$K$106,SUMPRODUCT(('02 MONITOR'!$B$7:$B$106="FX")*('02 MONITOR'!$P$7:$P$106=26)*(ROW('02 MONITOR'!$B$7:$B$106)-6))),"")</f>
        <v/>
      </c>
      <c r="O26" s="25">
        <f>IFERROR(INDEX('02 MONITOR'!$H$7:$H$106,SUMPRODUCT(('02 MONITOR'!$B$7:$B$106="FX")*('02 MONITOR'!$P$7:$P$106=26)*(ROW('02 MONITOR'!$B$7:$B$106)-6))),"")</f>
        <v/>
      </c>
      <c r="P26" s="30">
        <f>IFERROR(INDEX('02 MONITOR'!$O$7:$O$106,SUMPRODUCT(('02 MONITOR'!$B$7:$B$106="FX")*('02 MONITOR'!$P$7:$P$106=26)*(ROW('02 MONITOR'!$B$7:$B$106)-6))),"")</f>
        <v/>
      </c>
    </row>
    <row r="27">
      <c r="B27" s="28" t="n">
        <v>2</v>
      </c>
      <c r="C27" s="19">
        <f>IFERROR(INDEX('02 MONITOR'!$C$7:$C$106,SUMPRODUCT(('02 MONITOR'!$B$7:$B$106="FX")*('02 MONITOR'!$P$7:$P$106=2)*(ROW('02 MONITOR'!$B$7:$B$106)-6))),"")</f>
        <v/>
      </c>
      <c r="D27" s="40">
        <f>IFERROR(INDEX('02 MONITOR'!$D$7:$D$106,SUMPRODUCT(('02 MONITOR'!$B$7:$B$106="FX")*('02 MONITOR'!$P$7:$P$106=2)*(ROW('02 MONITOR'!$B$7:$B$106)-6))),"")</f>
        <v/>
      </c>
      <c r="E27" s="41">
        <f>IFERROR(INDEX('02 MONITOR'!$M$7:$M$106,SUMPRODUCT(('02 MONITOR'!$B$7:$B$106="FX")*('02 MONITOR'!$P$7:$P$106=2)*(ROW('02 MONITOR'!$B$7:$B$106)-6))),"")</f>
        <v/>
      </c>
      <c r="F27" s="27">
        <f>IFERROR(INDEX('02 MONITOR'!$K$7:$K$106,SUMPRODUCT(('02 MONITOR'!$B$7:$B$106="FX")*('02 MONITOR'!$P$7:$P$106=2)*(ROW('02 MONITOR'!$B$7:$B$106)-6))),"")</f>
        <v/>
      </c>
      <c r="G27" s="25">
        <f>IFERROR(INDEX('02 MONITOR'!$H$7:$H$106,SUMPRODUCT(('02 MONITOR'!$B$7:$B$106="FX")*('02 MONITOR'!$P$7:$P$106=2)*(ROW('02 MONITOR'!$B$7:$B$106)-6))),"")</f>
        <v/>
      </c>
      <c r="H27" s="30">
        <f>IFERROR(INDEX('02 MONITOR'!$O$7:$O$106,SUMPRODUCT(('02 MONITOR'!$B$7:$B$106="FX")*('02 MONITOR'!$P$7:$P$106=2)*(ROW('02 MONITOR'!$B$7:$B$106)-6))),"")</f>
        <v/>
      </c>
      <c r="J27" s="28" t="n">
        <v>2</v>
      </c>
      <c r="K27" s="19">
        <f>IFERROR(INDEX('02 MONITOR'!$C$7:$C$106,SUMPRODUCT(('02 MONITOR'!$B$7:$B$106="FX")*('02 MONITOR'!$P$7:$P$106=25)*(ROW('02 MONITOR'!$B$7:$B$106)-6))),"")</f>
        <v/>
      </c>
      <c r="L27" s="40">
        <f>IFERROR(INDEX('02 MONITOR'!$D$7:$D$106,SUMPRODUCT(('02 MONITOR'!$B$7:$B$106="FX")*('02 MONITOR'!$P$7:$P$106=25)*(ROW('02 MONITOR'!$B$7:$B$106)-6))),"")</f>
        <v/>
      </c>
      <c r="M27" s="42">
        <f>IFERROR(INDEX('02 MONITOR'!$M$7:$M$106,SUMPRODUCT(('02 MONITOR'!$B$7:$B$106="FX")*('02 MONITOR'!$P$7:$P$106=25)*(ROW('02 MONITOR'!$B$7:$B$106)-6))),"")</f>
        <v/>
      </c>
      <c r="N27" s="27">
        <f>IFERROR(INDEX('02 MONITOR'!$K$7:$K$106,SUMPRODUCT(('02 MONITOR'!$B$7:$B$106="FX")*('02 MONITOR'!$P$7:$P$106=25)*(ROW('02 MONITOR'!$B$7:$B$106)-6))),"")</f>
        <v/>
      </c>
      <c r="O27" s="25">
        <f>IFERROR(INDEX('02 MONITOR'!$H$7:$H$106,SUMPRODUCT(('02 MONITOR'!$B$7:$B$106="FX")*('02 MONITOR'!$P$7:$P$106=25)*(ROW('02 MONITOR'!$B$7:$B$106)-6))),"")</f>
        <v/>
      </c>
      <c r="P27" s="30">
        <f>IFERROR(INDEX('02 MONITOR'!$O$7:$O$106,SUMPRODUCT(('02 MONITOR'!$B$7:$B$106="FX")*('02 MONITOR'!$P$7:$P$106=25)*(ROW('02 MONITOR'!$B$7:$B$106)-6))),"")</f>
        <v/>
      </c>
    </row>
    <row r="28">
      <c r="B28" s="28" t="n">
        <v>3</v>
      </c>
      <c r="C28" s="19">
        <f>IFERROR(INDEX('02 MONITOR'!$C$7:$C$106,SUMPRODUCT(('02 MONITOR'!$B$7:$B$106="FX")*('02 MONITOR'!$P$7:$P$106=3)*(ROW('02 MONITOR'!$B$7:$B$106)-6))),"")</f>
        <v/>
      </c>
      <c r="D28" s="40">
        <f>IFERROR(INDEX('02 MONITOR'!$D$7:$D$106,SUMPRODUCT(('02 MONITOR'!$B$7:$B$106="FX")*('02 MONITOR'!$P$7:$P$106=3)*(ROW('02 MONITOR'!$B$7:$B$106)-6))),"")</f>
        <v/>
      </c>
      <c r="E28" s="41">
        <f>IFERROR(INDEX('02 MONITOR'!$M$7:$M$106,SUMPRODUCT(('02 MONITOR'!$B$7:$B$106="FX")*('02 MONITOR'!$P$7:$P$106=3)*(ROW('02 MONITOR'!$B$7:$B$106)-6))),"")</f>
        <v/>
      </c>
      <c r="F28" s="27">
        <f>IFERROR(INDEX('02 MONITOR'!$K$7:$K$106,SUMPRODUCT(('02 MONITOR'!$B$7:$B$106="FX")*('02 MONITOR'!$P$7:$P$106=3)*(ROW('02 MONITOR'!$B$7:$B$106)-6))),"")</f>
        <v/>
      </c>
      <c r="G28" s="25">
        <f>IFERROR(INDEX('02 MONITOR'!$H$7:$H$106,SUMPRODUCT(('02 MONITOR'!$B$7:$B$106="FX")*('02 MONITOR'!$P$7:$P$106=3)*(ROW('02 MONITOR'!$B$7:$B$106)-6))),"")</f>
        <v/>
      </c>
      <c r="H28" s="30">
        <f>IFERROR(INDEX('02 MONITOR'!$O$7:$O$106,SUMPRODUCT(('02 MONITOR'!$B$7:$B$106="FX")*('02 MONITOR'!$P$7:$P$106=3)*(ROW('02 MONITOR'!$B$7:$B$106)-6))),"")</f>
        <v/>
      </c>
      <c r="J28" s="28" t="n">
        <v>3</v>
      </c>
      <c r="K28" s="19">
        <f>IFERROR(INDEX('02 MONITOR'!$C$7:$C$106,SUMPRODUCT(('02 MONITOR'!$B$7:$B$106="FX")*('02 MONITOR'!$P$7:$P$106=24)*(ROW('02 MONITOR'!$B$7:$B$106)-6))),"")</f>
        <v/>
      </c>
      <c r="L28" s="40">
        <f>IFERROR(INDEX('02 MONITOR'!$D$7:$D$106,SUMPRODUCT(('02 MONITOR'!$B$7:$B$106="FX")*('02 MONITOR'!$P$7:$P$106=24)*(ROW('02 MONITOR'!$B$7:$B$106)-6))),"")</f>
        <v/>
      </c>
      <c r="M28" s="42">
        <f>IFERROR(INDEX('02 MONITOR'!$M$7:$M$106,SUMPRODUCT(('02 MONITOR'!$B$7:$B$106="FX")*('02 MONITOR'!$P$7:$P$106=24)*(ROW('02 MONITOR'!$B$7:$B$106)-6))),"")</f>
        <v/>
      </c>
      <c r="N28" s="27">
        <f>IFERROR(INDEX('02 MONITOR'!$K$7:$K$106,SUMPRODUCT(('02 MONITOR'!$B$7:$B$106="FX")*('02 MONITOR'!$P$7:$P$106=24)*(ROW('02 MONITOR'!$B$7:$B$106)-6))),"")</f>
        <v/>
      </c>
      <c r="O28" s="25">
        <f>IFERROR(INDEX('02 MONITOR'!$H$7:$H$106,SUMPRODUCT(('02 MONITOR'!$B$7:$B$106="FX")*('02 MONITOR'!$P$7:$P$106=24)*(ROW('02 MONITOR'!$B$7:$B$106)-6))),"")</f>
        <v/>
      </c>
      <c r="P28" s="30">
        <f>IFERROR(INDEX('02 MONITOR'!$O$7:$O$106,SUMPRODUCT(('02 MONITOR'!$B$7:$B$106="FX")*('02 MONITOR'!$P$7:$P$106=24)*(ROW('02 MONITOR'!$B$7:$B$106)-6))),"")</f>
        <v/>
      </c>
    </row>
    <row r="29">
      <c r="B29" s="28" t="n">
        <v>4</v>
      </c>
      <c r="C29" s="19">
        <f>IFERROR(INDEX('02 MONITOR'!$C$7:$C$106,SUMPRODUCT(('02 MONITOR'!$B$7:$B$106="FX")*('02 MONITOR'!$P$7:$P$106=4)*(ROW('02 MONITOR'!$B$7:$B$106)-6))),"")</f>
        <v/>
      </c>
      <c r="D29" s="40">
        <f>IFERROR(INDEX('02 MONITOR'!$D$7:$D$106,SUMPRODUCT(('02 MONITOR'!$B$7:$B$106="FX")*('02 MONITOR'!$P$7:$P$106=4)*(ROW('02 MONITOR'!$B$7:$B$106)-6))),"")</f>
        <v/>
      </c>
      <c r="E29" s="41">
        <f>IFERROR(INDEX('02 MONITOR'!$M$7:$M$106,SUMPRODUCT(('02 MONITOR'!$B$7:$B$106="FX")*('02 MONITOR'!$P$7:$P$106=4)*(ROW('02 MONITOR'!$B$7:$B$106)-6))),"")</f>
        <v/>
      </c>
      <c r="F29" s="27">
        <f>IFERROR(INDEX('02 MONITOR'!$K$7:$K$106,SUMPRODUCT(('02 MONITOR'!$B$7:$B$106="FX")*('02 MONITOR'!$P$7:$P$106=4)*(ROW('02 MONITOR'!$B$7:$B$106)-6))),"")</f>
        <v/>
      </c>
      <c r="G29" s="25">
        <f>IFERROR(INDEX('02 MONITOR'!$H$7:$H$106,SUMPRODUCT(('02 MONITOR'!$B$7:$B$106="FX")*('02 MONITOR'!$P$7:$P$106=4)*(ROW('02 MONITOR'!$B$7:$B$106)-6))),"")</f>
        <v/>
      </c>
      <c r="H29" s="30">
        <f>IFERROR(INDEX('02 MONITOR'!$O$7:$O$106,SUMPRODUCT(('02 MONITOR'!$B$7:$B$106="FX")*('02 MONITOR'!$P$7:$P$106=4)*(ROW('02 MONITOR'!$B$7:$B$106)-6))),"")</f>
        <v/>
      </c>
      <c r="J29" s="28" t="n">
        <v>4</v>
      </c>
      <c r="K29" s="19">
        <f>IFERROR(INDEX('02 MONITOR'!$C$7:$C$106,SUMPRODUCT(('02 MONITOR'!$B$7:$B$106="FX")*('02 MONITOR'!$P$7:$P$106=23)*(ROW('02 MONITOR'!$B$7:$B$106)-6))),"")</f>
        <v/>
      </c>
      <c r="L29" s="40">
        <f>IFERROR(INDEX('02 MONITOR'!$D$7:$D$106,SUMPRODUCT(('02 MONITOR'!$B$7:$B$106="FX")*('02 MONITOR'!$P$7:$P$106=23)*(ROW('02 MONITOR'!$B$7:$B$106)-6))),"")</f>
        <v/>
      </c>
      <c r="M29" s="42">
        <f>IFERROR(INDEX('02 MONITOR'!$M$7:$M$106,SUMPRODUCT(('02 MONITOR'!$B$7:$B$106="FX")*('02 MONITOR'!$P$7:$P$106=23)*(ROW('02 MONITOR'!$B$7:$B$106)-6))),"")</f>
        <v/>
      </c>
      <c r="N29" s="27">
        <f>IFERROR(INDEX('02 MONITOR'!$K$7:$K$106,SUMPRODUCT(('02 MONITOR'!$B$7:$B$106="FX")*('02 MONITOR'!$P$7:$P$106=23)*(ROW('02 MONITOR'!$B$7:$B$106)-6))),"")</f>
        <v/>
      </c>
      <c r="O29" s="25">
        <f>IFERROR(INDEX('02 MONITOR'!$H$7:$H$106,SUMPRODUCT(('02 MONITOR'!$B$7:$B$106="FX")*('02 MONITOR'!$P$7:$P$106=23)*(ROW('02 MONITOR'!$B$7:$B$106)-6))),"")</f>
        <v/>
      </c>
      <c r="P29" s="30">
        <f>IFERROR(INDEX('02 MONITOR'!$O$7:$O$106,SUMPRODUCT(('02 MONITOR'!$B$7:$B$106="FX")*('02 MONITOR'!$P$7:$P$106=23)*(ROW('02 MONITOR'!$B$7:$B$106)-6))),"")</f>
        <v/>
      </c>
    </row>
    <row r="30">
      <c r="B30" s="28" t="n">
        <v>5</v>
      </c>
      <c r="C30" s="19">
        <f>IFERROR(INDEX('02 MONITOR'!$C$7:$C$106,SUMPRODUCT(('02 MONITOR'!$B$7:$B$106="FX")*('02 MONITOR'!$P$7:$P$106=5)*(ROW('02 MONITOR'!$B$7:$B$106)-6))),"")</f>
        <v/>
      </c>
      <c r="D30" s="40">
        <f>IFERROR(INDEX('02 MONITOR'!$D$7:$D$106,SUMPRODUCT(('02 MONITOR'!$B$7:$B$106="FX")*('02 MONITOR'!$P$7:$P$106=5)*(ROW('02 MONITOR'!$B$7:$B$106)-6))),"")</f>
        <v/>
      </c>
      <c r="E30" s="41">
        <f>IFERROR(INDEX('02 MONITOR'!$M$7:$M$106,SUMPRODUCT(('02 MONITOR'!$B$7:$B$106="FX")*('02 MONITOR'!$P$7:$P$106=5)*(ROW('02 MONITOR'!$B$7:$B$106)-6))),"")</f>
        <v/>
      </c>
      <c r="F30" s="27">
        <f>IFERROR(INDEX('02 MONITOR'!$K$7:$K$106,SUMPRODUCT(('02 MONITOR'!$B$7:$B$106="FX")*('02 MONITOR'!$P$7:$P$106=5)*(ROW('02 MONITOR'!$B$7:$B$106)-6))),"")</f>
        <v/>
      </c>
      <c r="G30" s="25">
        <f>IFERROR(INDEX('02 MONITOR'!$H$7:$H$106,SUMPRODUCT(('02 MONITOR'!$B$7:$B$106="FX")*('02 MONITOR'!$P$7:$P$106=5)*(ROW('02 MONITOR'!$B$7:$B$106)-6))),"")</f>
        <v/>
      </c>
      <c r="H30" s="30">
        <f>IFERROR(INDEX('02 MONITOR'!$O$7:$O$106,SUMPRODUCT(('02 MONITOR'!$B$7:$B$106="FX")*('02 MONITOR'!$P$7:$P$106=5)*(ROW('02 MONITOR'!$B$7:$B$106)-6))),"")</f>
        <v/>
      </c>
      <c r="J30" s="28" t="n">
        <v>5</v>
      </c>
      <c r="K30" s="19">
        <f>IFERROR(INDEX('02 MONITOR'!$C$7:$C$106,SUMPRODUCT(('02 MONITOR'!$B$7:$B$106="FX")*('02 MONITOR'!$P$7:$P$106=22)*(ROW('02 MONITOR'!$B$7:$B$106)-6))),"")</f>
        <v/>
      </c>
      <c r="L30" s="40">
        <f>IFERROR(INDEX('02 MONITOR'!$D$7:$D$106,SUMPRODUCT(('02 MONITOR'!$B$7:$B$106="FX")*('02 MONITOR'!$P$7:$P$106=22)*(ROW('02 MONITOR'!$B$7:$B$106)-6))),"")</f>
        <v/>
      </c>
      <c r="M30" s="42">
        <f>IFERROR(INDEX('02 MONITOR'!$M$7:$M$106,SUMPRODUCT(('02 MONITOR'!$B$7:$B$106="FX")*('02 MONITOR'!$P$7:$P$106=22)*(ROW('02 MONITOR'!$B$7:$B$106)-6))),"")</f>
        <v/>
      </c>
      <c r="N30" s="27">
        <f>IFERROR(INDEX('02 MONITOR'!$K$7:$K$106,SUMPRODUCT(('02 MONITOR'!$B$7:$B$106="FX")*('02 MONITOR'!$P$7:$P$106=22)*(ROW('02 MONITOR'!$B$7:$B$106)-6))),"")</f>
        <v/>
      </c>
      <c r="O30" s="25">
        <f>IFERROR(INDEX('02 MONITOR'!$H$7:$H$106,SUMPRODUCT(('02 MONITOR'!$B$7:$B$106="FX")*('02 MONITOR'!$P$7:$P$106=22)*(ROW('02 MONITOR'!$B$7:$B$106)-6))),"")</f>
        <v/>
      </c>
      <c r="P30" s="30">
        <f>IFERROR(INDEX('02 MONITOR'!$O$7:$O$106,SUMPRODUCT(('02 MONITOR'!$B$7:$B$106="FX")*('02 MONITOR'!$P$7:$P$106=22)*(ROW('02 MONITOR'!$B$7:$B$106)-6))),"")</f>
        <v/>
      </c>
    </row>
    <row r="31">
      <c r="B31" s="28" t="n">
        <v>6</v>
      </c>
      <c r="C31" s="19">
        <f>IFERROR(INDEX('02 MONITOR'!$C$7:$C$106,SUMPRODUCT(('02 MONITOR'!$B$7:$B$106="FX")*('02 MONITOR'!$P$7:$P$106=6)*(ROW('02 MONITOR'!$B$7:$B$106)-6))),"")</f>
        <v/>
      </c>
      <c r="D31" s="40">
        <f>IFERROR(INDEX('02 MONITOR'!$D$7:$D$106,SUMPRODUCT(('02 MONITOR'!$B$7:$B$106="FX")*('02 MONITOR'!$P$7:$P$106=6)*(ROW('02 MONITOR'!$B$7:$B$106)-6))),"")</f>
        <v/>
      </c>
      <c r="E31" s="41">
        <f>IFERROR(INDEX('02 MONITOR'!$M$7:$M$106,SUMPRODUCT(('02 MONITOR'!$B$7:$B$106="FX")*('02 MONITOR'!$P$7:$P$106=6)*(ROW('02 MONITOR'!$B$7:$B$106)-6))),"")</f>
        <v/>
      </c>
      <c r="F31" s="27">
        <f>IFERROR(INDEX('02 MONITOR'!$K$7:$K$106,SUMPRODUCT(('02 MONITOR'!$B$7:$B$106="FX")*('02 MONITOR'!$P$7:$P$106=6)*(ROW('02 MONITOR'!$B$7:$B$106)-6))),"")</f>
        <v/>
      </c>
      <c r="G31" s="25">
        <f>IFERROR(INDEX('02 MONITOR'!$H$7:$H$106,SUMPRODUCT(('02 MONITOR'!$B$7:$B$106="FX")*('02 MONITOR'!$P$7:$P$106=6)*(ROW('02 MONITOR'!$B$7:$B$106)-6))),"")</f>
        <v/>
      </c>
      <c r="H31" s="30">
        <f>IFERROR(INDEX('02 MONITOR'!$O$7:$O$106,SUMPRODUCT(('02 MONITOR'!$B$7:$B$106="FX")*('02 MONITOR'!$P$7:$P$106=6)*(ROW('02 MONITOR'!$B$7:$B$106)-6))),"")</f>
        <v/>
      </c>
      <c r="J31" s="28" t="n">
        <v>6</v>
      </c>
      <c r="K31" s="19">
        <f>IFERROR(INDEX('02 MONITOR'!$C$7:$C$106,SUMPRODUCT(('02 MONITOR'!$B$7:$B$106="FX")*('02 MONITOR'!$P$7:$P$106=21)*(ROW('02 MONITOR'!$B$7:$B$106)-6))),"")</f>
        <v/>
      </c>
      <c r="L31" s="40">
        <f>IFERROR(INDEX('02 MONITOR'!$D$7:$D$106,SUMPRODUCT(('02 MONITOR'!$B$7:$B$106="FX")*('02 MONITOR'!$P$7:$P$106=21)*(ROW('02 MONITOR'!$B$7:$B$106)-6))),"")</f>
        <v/>
      </c>
      <c r="M31" s="42">
        <f>IFERROR(INDEX('02 MONITOR'!$M$7:$M$106,SUMPRODUCT(('02 MONITOR'!$B$7:$B$106="FX")*('02 MONITOR'!$P$7:$P$106=21)*(ROW('02 MONITOR'!$B$7:$B$106)-6))),"")</f>
        <v/>
      </c>
      <c r="N31" s="27">
        <f>IFERROR(INDEX('02 MONITOR'!$K$7:$K$106,SUMPRODUCT(('02 MONITOR'!$B$7:$B$106="FX")*('02 MONITOR'!$P$7:$P$106=21)*(ROW('02 MONITOR'!$B$7:$B$106)-6))),"")</f>
        <v/>
      </c>
      <c r="O31" s="25">
        <f>IFERROR(INDEX('02 MONITOR'!$H$7:$H$106,SUMPRODUCT(('02 MONITOR'!$B$7:$B$106="FX")*('02 MONITOR'!$P$7:$P$106=21)*(ROW('02 MONITOR'!$B$7:$B$106)-6))),"")</f>
        <v/>
      </c>
      <c r="P31" s="30">
        <f>IFERROR(INDEX('02 MONITOR'!$O$7:$O$106,SUMPRODUCT(('02 MONITOR'!$B$7:$B$106="FX")*('02 MONITOR'!$P$7:$P$106=21)*(ROW('02 MONITOR'!$B$7:$B$106)-6))),"")</f>
        <v/>
      </c>
    </row>
    <row r="33" ht="18" customHeight="1">
      <c r="A33" s="3" t="inlineStr">
        <is>
          <t>CREDIT  —  measured on Option-adjusted spread  —  12 instruments</t>
        </is>
      </c>
    </row>
    <row r="34" ht="24" customHeight="1">
      <c r="B34" s="5" t="inlineStr">
        <is>
          <t>CHEAPEST</t>
        </is>
      </c>
      <c r="C34" s="5" t="inlineStr">
        <is>
          <t>Instrument</t>
        </is>
      </c>
      <c r="D34" s="5" t="inlineStr">
        <is>
          <t>Ticker</t>
        </is>
      </c>
      <c r="E34" s="5" t="inlineStr">
        <is>
          <t>Value score</t>
        </is>
      </c>
      <c r="F34" s="5" t="inlineStr">
        <is>
          <t>Z (raw)</t>
        </is>
      </c>
      <c r="G34" s="5" t="inlineStr">
        <is>
          <t>Current</t>
        </is>
      </c>
      <c r="H34" s="5" t="inlineStr">
        <is>
          <t>1y chg</t>
        </is>
      </c>
      <c r="J34" s="5" t="inlineStr">
        <is>
          <t>MOST EXPENSIVE</t>
        </is>
      </c>
      <c r="K34" s="5" t="inlineStr">
        <is>
          <t>Instrument</t>
        </is>
      </c>
      <c r="L34" s="5" t="inlineStr">
        <is>
          <t>Ticker</t>
        </is>
      </c>
      <c r="M34" s="5" t="inlineStr">
        <is>
          <t>Value score</t>
        </is>
      </c>
      <c r="N34" s="5" t="inlineStr">
        <is>
          <t>Z (raw)</t>
        </is>
      </c>
      <c r="O34" s="5" t="inlineStr">
        <is>
          <t>Current</t>
        </is>
      </c>
      <c r="P34" s="5" t="inlineStr">
        <is>
          <t>1y chg</t>
        </is>
      </c>
    </row>
    <row r="35">
      <c r="B35" s="28" t="n">
        <v>1</v>
      </c>
      <c r="C35" s="19">
        <f>IFERROR(INDEX('02 MONITOR'!$C$7:$C$106,SUMPRODUCT(('02 MONITOR'!$B$7:$B$106="CREDIT")*('02 MONITOR'!$P$7:$P$106=1)*(ROW('02 MONITOR'!$B$7:$B$106)-6))),"")</f>
        <v/>
      </c>
      <c r="D35" s="40">
        <f>IFERROR(INDEX('02 MONITOR'!$D$7:$D$106,SUMPRODUCT(('02 MONITOR'!$B$7:$B$106="CREDIT")*('02 MONITOR'!$P$7:$P$106=1)*(ROW('02 MONITOR'!$B$7:$B$106)-6))),"")</f>
        <v/>
      </c>
      <c r="E35" s="41">
        <f>IFERROR(INDEX('02 MONITOR'!$M$7:$M$106,SUMPRODUCT(('02 MONITOR'!$B$7:$B$106="CREDIT")*('02 MONITOR'!$P$7:$P$106=1)*(ROW('02 MONITOR'!$B$7:$B$106)-6))),"")</f>
        <v/>
      </c>
      <c r="F35" s="27">
        <f>IFERROR(INDEX('02 MONITOR'!$K$7:$K$106,SUMPRODUCT(('02 MONITOR'!$B$7:$B$106="CREDIT")*('02 MONITOR'!$P$7:$P$106=1)*(ROW('02 MONITOR'!$B$7:$B$106)-6))),"")</f>
        <v/>
      </c>
      <c r="G35" s="25">
        <f>IFERROR(INDEX('02 MONITOR'!$H$7:$H$106,SUMPRODUCT(('02 MONITOR'!$B$7:$B$106="CREDIT")*('02 MONITOR'!$P$7:$P$106=1)*(ROW('02 MONITOR'!$B$7:$B$106)-6))),"")</f>
        <v/>
      </c>
      <c r="H35" s="30">
        <f>IFERROR(INDEX('02 MONITOR'!$O$7:$O$106,SUMPRODUCT(('02 MONITOR'!$B$7:$B$106="CREDIT")*('02 MONITOR'!$P$7:$P$106=1)*(ROW('02 MONITOR'!$B$7:$B$106)-6))),"")</f>
        <v/>
      </c>
      <c r="J35" s="28" t="n">
        <v>1</v>
      </c>
      <c r="K35" s="19">
        <f>IFERROR(INDEX('02 MONITOR'!$C$7:$C$106,SUMPRODUCT(('02 MONITOR'!$B$7:$B$106="CREDIT")*('02 MONITOR'!$P$7:$P$106=12)*(ROW('02 MONITOR'!$B$7:$B$106)-6))),"")</f>
        <v/>
      </c>
      <c r="L35" s="40">
        <f>IFERROR(INDEX('02 MONITOR'!$D$7:$D$106,SUMPRODUCT(('02 MONITOR'!$B$7:$B$106="CREDIT")*('02 MONITOR'!$P$7:$P$106=12)*(ROW('02 MONITOR'!$B$7:$B$106)-6))),"")</f>
        <v/>
      </c>
      <c r="M35" s="42">
        <f>IFERROR(INDEX('02 MONITOR'!$M$7:$M$106,SUMPRODUCT(('02 MONITOR'!$B$7:$B$106="CREDIT")*('02 MONITOR'!$P$7:$P$106=12)*(ROW('02 MONITOR'!$B$7:$B$106)-6))),"")</f>
        <v/>
      </c>
      <c r="N35" s="27">
        <f>IFERROR(INDEX('02 MONITOR'!$K$7:$K$106,SUMPRODUCT(('02 MONITOR'!$B$7:$B$106="CREDIT")*('02 MONITOR'!$P$7:$P$106=12)*(ROW('02 MONITOR'!$B$7:$B$106)-6))),"")</f>
        <v/>
      </c>
      <c r="O35" s="25">
        <f>IFERROR(INDEX('02 MONITOR'!$H$7:$H$106,SUMPRODUCT(('02 MONITOR'!$B$7:$B$106="CREDIT")*('02 MONITOR'!$P$7:$P$106=12)*(ROW('02 MONITOR'!$B$7:$B$106)-6))),"")</f>
        <v/>
      </c>
      <c r="P35" s="30">
        <f>IFERROR(INDEX('02 MONITOR'!$O$7:$O$106,SUMPRODUCT(('02 MONITOR'!$B$7:$B$106="CREDIT")*('02 MONITOR'!$P$7:$P$106=12)*(ROW('02 MONITOR'!$B$7:$B$106)-6))),"")</f>
        <v/>
      </c>
    </row>
    <row r="36">
      <c r="B36" s="28" t="n">
        <v>2</v>
      </c>
      <c r="C36" s="19">
        <f>IFERROR(INDEX('02 MONITOR'!$C$7:$C$106,SUMPRODUCT(('02 MONITOR'!$B$7:$B$106="CREDIT")*('02 MONITOR'!$P$7:$P$106=2)*(ROW('02 MONITOR'!$B$7:$B$106)-6))),"")</f>
        <v/>
      </c>
      <c r="D36" s="40">
        <f>IFERROR(INDEX('02 MONITOR'!$D$7:$D$106,SUMPRODUCT(('02 MONITOR'!$B$7:$B$106="CREDIT")*('02 MONITOR'!$P$7:$P$106=2)*(ROW('02 MONITOR'!$B$7:$B$106)-6))),"")</f>
        <v/>
      </c>
      <c r="E36" s="41">
        <f>IFERROR(INDEX('02 MONITOR'!$M$7:$M$106,SUMPRODUCT(('02 MONITOR'!$B$7:$B$106="CREDIT")*('02 MONITOR'!$P$7:$P$106=2)*(ROW('02 MONITOR'!$B$7:$B$106)-6))),"")</f>
        <v/>
      </c>
      <c r="F36" s="27">
        <f>IFERROR(INDEX('02 MONITOR'!$K$7:$K$106,SUMPRODUCT(('02 MONITOR'!$B$7:$B$106="CREDIT")*('02 MONITOR'!$P$7:$P$106=2)*(ROW('02 MONITOR'!$B$7:$B$106)-6))),"")</f>
        <v/>
      </c>
      <c r="G36" s="25">
        <f>IFERROR(INDEX('02 MONITOR'!$H$7:$H$106,SUMPRODUCT(('02 MONITOR'!$B$7:$B$106="CREDIT")*('02 MONITOR'!$P$7:$P$106=2)*(ROW('02 MONITOR'!$B$7:$B$106)-6))),"")</f>
        <v/>
      </c>
      <c r="H36" s="30">
        <f>IFERROR(INDEX('02 MONITOR'!$O$7:$O$106,SUMPRODUCT(('02 MONITOR'!$B$7:$B$106="CREDIT")*('02 MONITOR'!$P$7:$P$106=2)*(ROW('02 MONITOR'!$B$7:$B$106)-6))),"")</f>
        <v/>
      </c>
      <c r="J36" s="28" t="n">
        <v>2</v>
      </c>
      <c r="K36" s="19">
        <f>IFERROR(INDEX('02 MONITOR'!$C$7:$C$106,SUMPRODUCT(('02 MONITOR'!$B$7:$B$106="CREDIT")*('02 MONITOR'!$P$7:$P$106=11)*(ROW('02 MONITOR'!$B$7:$B$106)-6))),"")</f>
        <v/>
      </c>
      <c r="L36" s="40">
        <f>IFERROR(INDEX('02 MONITOR'!$D$7:$D$106,SUMPRODUCT(('02 MONITOR'!$B$7:$B$106="CREDIT")*('02 MONITOR'!$P$7:$P$106=11)*(ROW('02 MONITOR'!$B$7:$B$106)-6))),"")</f>
        <v/>
      </c>
      <c r="M36" s="42">
        <f>IFERROR(INDEX('02 MONITOR'!$M$7:$M$106,SUMPRODUCT(('02 MONITOR'!$B$7:$B$106="CREDIT")*('02 MONITOR'!$P$7:$P$106=11)*(ROW('02 MONITOR'!$B$7:$B$106)-6))),"")</f>
        <v/>
      </c>
      <c r="N36" s="27">
        <f>IFERROR(INDEX('02 MONITOR'!$K$7:$K$106,SUMPRODUCT(('02 MONITOR'!$B$7:$B$106="CREDIT")*('02 MONITOR'!$P$7:$P$106=11)*(ROW('02 MONITOR'!$B$7:$B$106)-6))),"")</f>
        <v/>
      </c>
      <c r="O36" s="25">
        <f>IFERROR(INDEX('02 MONITOR'!$H$7:$H$106,SUMPRODUCT(('02 MONITOR'!$B$7:$B$106="CREDIT")*('02 MONITOR'!$P$7:$P$106=11)*(ROW('02 MONITOR'!$B$7:$B$106)-6))),"")</f>
        <v/>
      </c>
      <c r="P36" s="30">
        <f>IFERROR(INDEX('02 MONITOR'!$O$7:$O$106,SUMPRODUCT(('02 MONITOR'!$B$7:$B$106="CREDIT")*('02 MONITOR'!$P$7:$P$106=11)*(ROW('02 MONITOR'!$B$7:$B$106)-6))),"")</f>
        <v/>
      </c>
    </row>
    <row r="37">
      <c r="B37" s="28" t="n">
        <v>3</v>
      </c>
      <c r="C37" s="19">
        <f>IFERROR(INDEX('02 MONITOR'!$C$7:$C$106,SUMPRODUCT(('02 MONITOR'!$B$7:$B$106="CREDIT")*('02 MONITOR'!$P$7:$P$106=3)*(ROW('02 MONITOR'!$B$7:$B$106)-6))),"")</f>
        <v/>
      </c>
      <c r="D37" s="40">
        <f>IFERROR(INDEX('02 MONITOR'!$D$7:$D$106,SUMPRODUCT(('02 MONITOR'!$B$7:$B$106="CREDIT")*('02 MONITOR'!$P$7:$P$106=3)*(ROW('02 MONITOR'!$B$7:$B$106)-6))),"")</f>
        <v/>
      </c>
      <c r="E37" s="41">
        <f>IFERROR(INDEX('02 MONITOR'!$M$7:$M$106,SUMPRODUCT(('02 MONITOR'!$B$7:$B$106="CREDIT")*('02 MONITOR'!$P$7:$P$106=3)*(ROW('02 MONITOR'!$B$7:$B$106)-6))),"")</f>
        <v/>
      </c>
      <c r="F37" s="27">
        <f>IFERROR(INDEX('02 MONITOR'!$K$7:$K$106,SUMPRODUCT(('02 MONITOR'!$B$7:$B$106="CREDIT")*('02 MONITOR'!$P$7:$P$106=3)*(ROW('02 MONITOR'!$B$7:$B$106)-6))),"")</f>
        <v/>
      </c>
      <c r="G37" s="25">
        <f>IFERROR(INDEX('02 MONITOR'!$H$7:$H$106,SUMPRODUCT(('02 MONITOR'!$B$7:$B$106="CREDIT")*('02 MONITOR'!$P$7:$P$106=3)*(ROW('02 MONITOR'!$B$7:$B$106)-6))),"")</f>
        <v/>
      </c>
      <c r="H37" s="30">
        <f>IFERROR(INDEX('02 MONITOR'!$O$7:$O$106,SUMPRODUCT(('02 MONITOR'!$B$7:$B$106="CREDIT")*('02 MONITOR'!$P$7:$P$106=3)*(ROW('02 MONITOR'!$B$7:$B$106)-6))),"")</f>
        <v/>
      </c>
      <c r="J37" s="28" t="n">
        <v>3</v>
      </c>
      <c r="K37" s="19">
        <f>IFERROR(INDEX('02 MONITOR'!$C$7:$C$106,SUMPRODUCT(('02 MONITOR'!$B$7:$B$106="CREDIT")*('02 MONITOR'!$P$7:$P$106=10)*(ROW('02 MONITOR'!$B$7:$B$106)-6))),"")</f>
        <v/>
      </c>
      <c r="L37" s="40">
        <f>IFERROR(INDEX('02 MONITOR'!$D$7:$D$106,SUMPRODUCT(('02 MONITOR'!$B$7:$B$106="CREDIT")*('02 MONITOR'!$P$7:$P$106=10)*(ROW('02 MONITOR'!$B$7:$B$106)-6))),"")</f>
        <v/>
      </c>
      <c r="M37" s="42">
        <f>IFERROR(INDEX('02 MONITOR'!$M$7:$M$106,SUMPRODUCT(('02 MONITOR'!$B$7:$B$106="CREDIT")*('02 MONITOR'!$P$7:$P$106=10)*(ROW('02 MONITOR'!$B$7:$B$106)-6))),"")</f>
        <v/>
      </c>
      <c r="N37" s="27">
        <f>IFERROR(INDEX('02 MONITOR'!$K$7:$K$106,SUMPRODUCT(('02 MONITOR'!$B$7:$B$106="CREDIT")*('02 MONITOR'!$P$7:$P$106=10)*(ROW('02 MONITOR'!$B$7:$B$106)-6))),"")</f>
        <v/>
      </c>
      <c r="O37" s="25">
        <f>IFERROR(INDEX('02 MONITOR'!$H$7:$H$106,SUMPRODUCT(('02 MONITOR'!$B$7:$B$106="CREDIT")*('02 MONITOR'!$P$7:$P$106=10)*(ROW('02 MONITOR'!$B$7:$B$106)-6))),"")</f>
        <v/>
      </c>
      <c r="P37" s="30">
        <f>IFERROR(INDEX('02 MONITOR'!$O$7:$O$106,SUMPRODUCT(('02 MONITOR'!$B$7:$B$106="CREDIT")*('02 MONITOR'!$P$7:$P$106=10)*(ROW('02 MONITOR'!$B$7:$B$106)-6))),"")</f>
        <v/>
      </c>
    </row>
    <row r="38">
      <c r="B38" s="28" t="n">
        <v>4</v>
      </c>
      <c r="C38" s="19">
        <f>IFERROR(INDEX('02 MONITOR'!$C$7:$C$106,SUMPRODUCT(('02 MONITOR'!$B$7:$B$106="CREDIT")*('02 MONITOR'!$P$7:$P$106=4)*(ROW('02 MONITOR'!$B$7:$B$106)-6))),"")</f>
        <v/>
      </c>
      <c r="D38" s="40">
        <f>IFERROR(INDEX('02 MONITOR'!$D$7:$D$106,SUMPRODUCT(('02 MONITOR'!$B$7:$B$106="CREDIT")*('02 MONITOR'!$P$7:$P$106=4)*(ROW('02 MONITOR'!$B$7:$B$106)-6))),"")</f>
        <v/>
      </c>
      <c r="E38" s="41">
        <f>IFERROR(INDEX('02 MONITOR'!$M$7:$M$106,SUMPRODUCT(('02 MONITOR'!$B$7:$B$106="CREDIT")*('02 MONITOR'!$P$7:$P$106=4)*(ROW('02 MONITOR'!$B$7:$B$106)-6))),"")</f>
        <v/>
      </c>
      <c r="F38" s="27">
        <f>IFERROR(INDEX('02 MONITOR'!$K$7:$K$106,SUMPRODUCT(('02 MONITOR'!$B$7:$B$106="CREDIT")*('02 MONITOR'!$P$7:$P$106=4)*(ROW('02 MONITOR'!$B$7:$B$106)-6))),"")</f>
        <v/>
      </c>
      <c r="G38" s="25">
        <f>IFERROR(INDEX('02 MONITOR'!$H$7:$H$106,SUMPRODUCT(('02 MONITOR'!$B$7:$B$106="CREDIT")*('02 MONITOR'!$P$7:$P$106=4)*(ROW('02 MONITOR'!$B$7:$B$106)-6))),"")</f>
        <v/>
      </c>
      <c r="H38" s="30">
        <f>IFERROR(INDEX('02 MONITOR'!$O$7:$O$106,SUMPRODUCT(('02 MONITOR'!$B$7:$B$106="CREDIT")*('02 MONITOR'!$P$7:$P$106=4)*(ROW('02 MONITOR'!$B$7:$B$106)-6))),"")</f>
        <v/>
      </c>
      <c r="J38" s="28" t="n">
        <v>4</v>
      </c>
      <c r="K38" s="19">
        <f>IFERROR(INDEX('02 MONITOR'!$C$7:$C$106,SUMPRODUCT(('02 MONITOR'!$B$7:$B$106="CREDIT")*('02 MONITOR'!$P$7:$P$106=9)*(ROW('02 MONITOR'!$B$7:$B$106)-6))),"")</f>
        <v/>
      </c>
      <c r="L38" s="40">
        <f>IFERROR(INDEX('02 MONITOR'!$D$7:$D$106,SUMPRODUCT(('02 MONITOR'!$B$7:$B$106="CREDIT")*('02 MONITOR'!$P$7:$P$106=9)*(ROW('02 MONITOR'!$B$7:$B$106)-6))),"")</f>
        <v/>
      </c>
      <c r="M38" s="42">
        <f>IFERROR(INDEX('02 MONITOR'!$M$7:$M$106,SUMPRODUCT(('02 MONITOR'!$B$7:$B$106="CREDIT")*('02 MONITOR'!$P$7:$P$106=9)*(ROW('02 MONITOR'!$B$7:$B$106)-6))),"")</f>
        <v/>
      </c>
      <c r="N38" s="27">
        <f>IFERROR(INDEX('02 MONITOR'!$K$7:$K$106,SUMPRODUCT(('02 MONITOR'!$B$7:$B$106="CREDIT")*('02 MONITOR'!$P$7:$P$106=9)*(ROW('02 MONITOR'!$B$7:$B$106)-6))),"")</f>
        <v/>
      </c>
      <c r="O38" s="25">
        <f>IFERROR(INDEX('02 MONITOR'!$H$7:$H$106,SUMPRODUCT(('02 MONITOR'!$B$7:$B$106="CREDIT")*('02 MONITOR'!$P$7:$P$106=9)*(ROW('02 MONITOR'!$B$7:$B$106)-6))),"")</f>
        <v/>
      </c>
      <c r="P38" s="30">
        <f>IFERROR(INDEX('02 MONITOR'!$O$7:$O$106,SUMPRODUCT(('02 MONITOR'!$B$7:$B$106="CREDIT")*('02 MONITOR'!$P$7:$P$106=9)*(ROW('02 MONITOR'!$B$7:$B$106)-6))),"")</f>
        <v/>
      </c>
    </row>
    <row r="39">
      <c r="B39" s="28" t="n">
        <v>5</v>
      </c>
      <c r="C39" s="19">
        <f>IFERROR(INDEX('02 MONITOR'!$C$7:$C$106,SUMPRODUCT(('02 MONITOR'!$B$7:$B$106="CREDIT")*('02 MONITOR'!$P$7:$P$106=5)*(ROW('02 MONITOR'!$B$7:$B$106)-6))),"")</f>
        <v/>
      </c>
      <c r="D39" s="40">
        <f>IFERROR(INDEX('02 MONITOR'!$D$7:$D$106,SUMPRODUCT(('02 MONITOR'!$B$7:$B$106="CREDIT")*('02 MONITOR'!$P$7:$P$106=5)*(ROW('02 MONITOR'!$B$7:$B$106)-6))),"")</f>
        <v/>
      </c>
      <c r="E39" s="41">
        <f>IFERROR(INDEX('02 MONITOR'!$M$7:$M$106,SUMPRODUCT(('02 MONITOR'!$B$7:$B$106="CREDIT")*('02 MONITOR'!$P$7:$P$106=5)*(ROW('02 MONITOR'!$B$7:$B$106)-6))),"")</f>
        <v/>
      </c>
      <c r="F39" s="27">
        <f>IFERROR(INDEX('02 MONITOR'!$K$7:$K$106,SUMPRODUCT(('02 MONITOR'!$B$7:$B$106="CREDIT")*('02 MONITOR'!$P$7:$P$106=5)*(ROW('02 MONITOR'!$B$7:$B$106)-6))),"")</f>
        <v/>
      </c>
      <c r="G39" s="25">
        <f>IFERROR(INDEX('02 MONITOR'!$H$7:$H$106,SUMPRODUCT(('02 MONITOR'!$B$7:$B$106="CREDIT")*('02 MONITOR'!$P$7:$P$106=5)*(ROW('02 MONITOR'!$B$7:$B$106)-6))),"")</f>
        <v/>
      </c>
      <c r="H39" s="30">
        <f>IFERROR(INDEX('02 MONITOR'!$O$7:$O$106,SUMPRODUCT(('02 MONITOR'!$B$7:$B$106="CREDIT")*('02 MONITOR'!$P$7:$P$106=5)*(ROW('02 MONITOR'!$B$7:$B$106)-6))),"")</f>
        <v/>
      </c>
      <c r="J39" s="28" t="n">
        <v>5</v>
      </c>
      <c r="K39" s="19">
        <f>IFERROR(INDEX('02 MONITOR'!$C$7:$C$106,SUMPRODUCT(('02 MONITOR'!$B$7:$B$106="CREDIT")*('02 MONITOR'!$P$7:$P$106=8)*(ROW('02 MONITOR'!$B$7:$B$106)-6))),"")</f>
        <v/>
      </c>
      <c r="L39" s="40">
        <f>IFERROR(INDEX('02 MONITOR'!$D$7:$D$106,SUMPRODUCT(('02 MONITOR'!$B$7:$B$106="CREDIT")*('02 MONITOR'!$P$7:$P$106=8)*(ROW('02 MONITOR'!$B$7:$B$106)-6))),"")</f>
        <v/>
      </c>
      <c r="M39" s="42">
        <f>IFERROR(INDEX('02 MONITOR'!$M$7:$M$106,SUMPRODUCT(('02 MONITOR'!$B$7:$B$106="CREDIT")*('02 MONITOR'!$P$7:$P$106=8)*(ROW('02 MONITOR'!$B$7:$B$106)-6))),"")</f>
        <v/>
      </c>
      <c r="N39" s="27">
        <f>IFERROR(INDEX('02 MONITOR'!$K$7:$K$106,SUMPRODUCT(('02 MONITOR'!$B$7:$B$106="CREDIT")*('02 MONITOR'!$P$7:$P$106=8)*(ROW('02 MONITOR'!$B$7:$B$106)-6))),"")</f>
        <v/>
      </c>
      <c r="O39" s="25">
        <f>IFERROR(INDEX('02 MONITOR'!$H$7:$H$106,SUMPRODUCT(('02 MONITOR'!$B$7:$B$106="CREDIT")*('02 MONITOR'!$P$7:$P$106=8)*(ROW('02 MONITOR'!$B$7:$B$106)-6))),"")</f>
        <v/>
      </c>
      <c r="P39" s="30">
        <f>IFERROR(INDEX('02 MONITOR'!$O$7:$O$106,SUMPRODUCT(('02 MONITOR'!$B$7:$B$106="CREDIT")*('02 MONITOR'!$P$7:$P$106=8)*(ROW('02 MONITOR'!$B$7:$B$106)-6))),"")</f>
        <v/>
      </c>
    </row>
    <row r="40">
      <c r="B40" s="28" t="n">
        <v>6</v>
      </c>
      <c r="C40" s="19">
        <f>IFERROR(INDEX('02 MONITOR'!$C$7:$C$106,SUMPRODUCT(('02 MONITOR'!$B$7:$B$106="CREDIT")*('02 MONITOR'!$P$7:$P$106=6)*(ROW('02 MONITOR'!$B$7:$B$106)-6))),"")</f>
        <v/>
      </c>
      <c r="D40" s="40">
        <f>IFERROR(INDEX('02 MONITOR'!$D$7:$D$106,SUMPRODUCT(('02 MONITOR'!$B$7:$B$106="CREDIT")*('02 MONITOR'!$P$7:$P$106=6)*(ROW('02 MONITOR'!$B$7:$B$106)-6))),"")</f>
        <v/>
      </c>
      <c r="E40" s="41">
        <f>IFERROR(INDEX('02 MONITOR'!$M$7:$M$106,SUMPRODUCT(('02 MONITOR'!$B$7:$B$106="CREDIT")*('02 MONITOR'!$P$7:$P$106=6)*(ROW('02 MONITOR'!$B$7:$B$106)-6))),"")</f>
        <v/>
      </c>
      <c r="F40" s="27">
        <f>IFERROR(INDEX('02 MONITOR'!$K$7:$K$106,SUMPRODUCT(('02 MONITOR'!$B$7:$B$106="CREDIT")*('02 MONITOR'!$P$7:$P$106=6)*(ROW('02 MONITOR'!$B$7:$B$106)-6))),"")</f>
        <v/>
      </c>
      <c r="G40" s="25">
        <f>IFERROR(INDEX('02 MONITOR'!$H$7:$H$106,SUMPRODUCT(('02 MONITOR'!$B$7:$B$106="CREDIT")*('02 MONITOR'!$P$7:$P$106=6)*(ROW('02 MONITOR'!$B$7:$B$106)-6))),"")</f>
        <v/>
      </c>
      <c r="H40" s="30">
        <f>IFERROR(INDEX('02 MONITOR'!$O$7:$O$106,SUMPRODUCT(('02 MONITOR'!$B$7:$B$106="CREDIT")*('02 MONITOR'!$P$7:$P$106=6)*(ROW('02 MONITOR'!$B$7:$B$106)-6))),"")</f>
        <v/>
      </c>
      <c r="J40" s="28" t="n">
        <v>6</v>
      </c>
      <c r="K40" s="19">
        <f>IFERROR(INDEX('02 MONITOR'!$C$7:$C$106,SUMPRODUCT(('02 MONITOR'!$B$7:$B$106="CREDIT")*('02 MONITOR'!$P$7:$P$106=7)*(ROW('02 MONITOR'!$B$7:$B$106)-6))),"")</f>
        <v/>
      </c>
      <c r="L40" s="40">
        <f>IFERROR(INDEX('02 MONITOR'!$D$7:$D$106,SUMPRODUCT(('02 MONITOR'!$B$7:$B$106="CREDIT")*('02 MONITOR'!$P$7:$P$106=7)*(ROW('02 MONITOR'!$B$7:$B$106)-6))),"")</f>
        <v/>
      </c>
      <c r="M40" s="42">
        <f>IFERROR(INDEX('02 MONITOR'!$M$7:$M$106,SUMPRODUCT(('02 MONITOR'!$B$7:$B$106="CREDIT")*('02 MONITOR'!$P$7:$P$106=7)*(ROW('02 MONITOR'!$B$7:$B$106)-6))),"")</f>
        <v/>
      </c>
      <c r="N40" s="27">
        <f>IFERROR(INDEX('02 MONITOR'!$K$7:$K$106,SUMPRODUCT(('02 MONITOR'!$B$7:$B$106="CREDIT")*('02 MONITOR'!$P$7:$P$106=7)*(ROW('02 MONITOR'!$B$7:$B$106)-6))),"")</f>
        <v/>
      </c>
      <c r="O40" s="25">
        <f>IFERROR(INDEX('02 MONITOR'!$H$7:$H$106,SUMPRODUCT(('02 MONITOR'!$B$7:$B$106="CREDIT")*('02 MONITOR'!$P$7:$P$106=7)*(ROW('02 MONITOR'!$B$7:$B$106)-6))),"")</f>
        <v/>
      </c>
      <c r="P40" s="30">
        <f>IFERROR(INDEX('02 MONITOR'!$O$7:$O$106,SUMPRODUCT(('02 MONITOR'!$B$7:$B$106="CREDIT")*('02 MONITOR'!$P$7:$P$106=7)*(ROW('02 MONITOR'!$B$7:$B$106)-6))),"")</f>
        <v/>
      </c>
    </row>
    <row r="42" ht="18" customHeight="1">
      <c r="A42" s="3" t="inlineStr">
        <is>
          <t>COMMODITY  —  measured on Front-contract price  —  18 instruments</t>
        </is>
      </c>
    </row>
    <row r="43" ht="24" customHeight="1">
      <c r="B43" s="5" t="inlineStr">
        <is>
          <t>CHEAPEST</t>
        </is>
      </c>
      <c r="C43" s="5" t="inlineStr">
        <is>
          <t>Instrument</t>
        </is>
      </c>
      <c r="D43" s="5" t="inlineStr">
        <is>
          <t>Ticker</t>
        </is>
      </c>
      <c r="E43" s="5" t="inlineStr">
        <is>
          <t>Value score</t>
        </is>
      </c>
      <c r="F43" s="5" t="inlineStr">
        <is>
          <t>Z (raw)</t>
        </is>
      </c>
      <c r="G43" s="5" t="inlineStr">
        <is>
          <t>Current</t>
        </is>
      </c>
      <c r="H43" s="5" t="inlineStr">
        <is>
          <t>1y chg</t>
        </is>
      </c>
      <c r="J43" s="5" t="inlineStr">
        <is>
          <t>MOST EXPENSIVE</t>
        </is>
      </c>
      <c r="K43" s="5" t="inlineStr">
        <is>
          <t>Instrument</t>
        </is>
      </c>
      <c r="L43" s="5" t="inlineStr">
        <is>
          <t>Ticker</t>
        </is>
      </c>
      <c r="M43" s="5" t="inlineStr">
        <is>
          <t>Value score</t>
        </is>
      </c>
      <c r="N43" s="5" t="inlineStr">
        <is>
          <t>Z (raw)</t>
        </is>
      </c>
      <c r="O43" s="5" t="inlineStr">
        <is>
          <t>Current</t>
        </is>
      </c>
      <c r="P43" s="5" t="inlineStr">
        <is>
          <t>1y chg</t>
        </is>
      </c>
    </row>
    <row r="44">
      <c r="B44" s="28" t="n">
        <v>1</v>
      </c>
      <c r="C44" s="19">
        <f>IFERROR(INDEX('02 MONITOR'!$C$7:$C$106,SUMPRODUCT(('02 MONITOR'!$B$7:$B$106="COMMODITY")*('02 MONITOR'!$P$7:$P$106=1)*(ROW('02 MONITOR'!$B$7:$B$106)-6))),"")</f>
        <v/>
      </c>
      <c r="D44" s="40">
        <f>IFERROR(INDEX('02 MONITOR'!$D$7:$D$106,SUMPRODUCT(('02 MONITOR'!$B$7:$B$106="COMMODITY")*('02 MONITOR'!$P$7:$P$106=1)*(ROW('02 MONITOR'!$B$7:$B$106)-6))),"")</f>
        <v/>
      </c>
      <c r="E44" s="41">
        <f>IFERROR(INDEX('02 MONITOR'!$M$7:$M$106,SUMPRODUCT(('02 MONITOR'!$B$7:$B$106="COMMODITY")*('02 MONITOR'!$P$7:$P$106=1)*(ROW('02 MONITOR'!$B$7:$B$106)-6))),"")</f>
        <v/>
      </c>
      <c r="F44" s="27">
        <f>IFERROR(INDEX('02 MONITOR'!$K$7:$K$106,SUMPRODUCT(('02 MONITOR'!$B$7:$B$106="COMMODITY")*('02 MONITOR'!$P$7:$P$106=1)*(ROW('02 MONITOR'!$B$7:$B$106)-6))),"")</f>
        <v/>
      </c>
      <c r="G44" s="25">
        <f>IFERROR(INDEX('02 MONITOR'!$H$7:$H$106,SUMPRODUCT(('02 MONITOR'!$B$7:$B$106="COMMODITY")*('02 MONITOR'!$P$7:$P$106=1)*(ROW('02 MONITOR'!$B$7:$B$106)-6))),"")</f>
        <v/>
      </c>
      <c r="H44" s="30">
        <f>IFERROR(INDEX('02 MONITOR'!$O$7:$O$106,SUMPRODUCT(('02 MONITOR'!$B$7:$B$106="COMMODITY")*('02 MONITOR'!$P$7:$P$106=1)*(ROW('02 MONITOR'!$B$7:$B$106)-6))),"")</f>
        <v/>
      </c>
      <c r="J44" s="28" t="n">
        <v>1</v>
      </c>
      <c r="K44" s="19">
        <f>IFERROR(INDEX('02 MONITOR'!$C$7:$C$106,SUMPRODUCT(('02 MONITOR'!$B$7:$B$106="COMMODITY")*('02 MONITOR'!$P$7:$P$106=18)*(ROW('02 MONITOR'!$B$7:$B$106)-6))),"")</f>
        <v/>
      </c>
      <c r="L44" s="40">
        <f>IFERROR(INDEX('02 MONITOR'!$D$7:$D$106,SUMPRODUCT(('02 MONITOR'!$B$7:$B$106="COMMODITY")*('02 MONITOR'!$P$7:$P$106=18)*(ROW('02 MONITOR'!$B$7:$B$106)-6))),"")</f>
        <v/>
      </c>
      <c r="M44" s="42">
        <f>IFERROR(INDEX('02 MONITOR'!$M$7:$M$106,SUMPRODUCT(('02 MONITOR'!$B$7:$B$106="COMMODITY")*('02 MONITOR'!$P$7:$P$106=18)*(ROW('02 MONITOR'!$B$7:$B$106)-6))),"")</f>
        <v/>
      </c>
      <c r="N44" s="27">
        <f>IFERROR(INDEX('02 MONITOR'!$K$7:$K$106,SUMPRODUCT(('02 MONITOR'!$B$7:$B$106="COMMODITY")*('02 MONITOR'!$P$7:$P$106=18)*(ROW('02 MONITOR'!$B$7:$B$106)-6))),"")</f>
        <v/>
      </c>
      <c r="O44" s="25">
        <f>IFERROR(INDEX('02 MONITOR'!$H$7:$H$106,SUMPRODUCT(('02 MONITOR'!$B$7:$B$106="COMMODITY")*('02 MONITOR'!$P$7:$P$106=18)*(ROW('02 MONITOR'!$B$7:$B$106)-6))),"")</f>
        <v/>
      </c>
      <c r="P44" s="30">
        <f>IFERROR(INDEX('02 MONITOR'!$O$7:$O$106,SUMPRODUCT(('02 MONITOR'!$B$7:$B$106="COMMODITY")*('02 MONITOR'!$P$7:$P$106=18)*(ROW('02 MONITOR'!$B$7:$B$106)-6))),"")</f>
        <v/>
      </c>
    </row>
    <row r="45">
      <c r="B45" s="28" t="n">
        <v>2</v>
      </c>
      <c r="C45" s="19">
        <f>IFERROR(INDEX('02 MONITOR'!$C$7:$C$106,SUMPRODUCT(('02 MONITOR'!$B$7:$B$106="COMMODITY")*('02 MONITOR'!$P$7:$P$106=2)*(ROW('02 MONITOR'!$B$7:$B$106)-6))),"")</f>
        <v/>
      </c>
      <c r="D45" s="40">
        <f>IFERROR(INDEX('02 MONITOR'!$D$7:$D$106,SUMPRODUCT(('02 MONITOR'!$B$7:$B$106="COMMODITY")*('02 MONITOR'!$P$7:$P$106=2)*(ROW('02 MONITOR'!$B$7:$B$106)-6))),"")</f>
        <v/>
      </c>
      <c r="E45" s="41">
        <f>IFERROR(INDEX('02 MONITOR'!$M$7:$M$106,SUMPRODUCT(('02 MONITOR'!$B$7:$B$106="COMMODITY")*('02 MONITOR'!$P$7:$P$106=2)*(ROW('02 MONITOR'!$B$7:$B$106)-6))),"")</f>
        <v/>
      </c>
      <c r="F45" s="27">
        <f>IFERROR(INDEX('02 MONITOR'!$K$7:$K$106,SUMPRODUCT(('02 MONITOR'!$B$7:$B$106="COMMODITY")*('02 MONITOR'!$P$7:$P$106=2)*(ROW('02 MONITOR'!$B$7:$B$106)-6))),"")</f>
        <v/>
      </c>
      <c r="G45" s="25">
        <f>IFERROR(INDEX('02 MONITOR'!$H$7:$H$106,SUMPRODUCT(('02 MONITOR'!$B$7:$B$106="COMMODITY")*('02 MONITOR'!$P$7:$P$106=2)*(ROW('02 MONITOR'!$B$7:$B$106)-6))),"")</f>
        <v/>
      </c>
      <c r="H45" s="30">
        <f>IFERROR(INDEX('02 MONITOR'!$O$7:$O$106,SUMPRODUCT(('02 MONITOR'!$B$7:$B$106="COMMODITY")*('02 MONITOR'!$P$7:$P$106=2)*(ROW('02 MONITOR'!$B$7:$B$106)-6))),"")</f>
        <v/>
      </c>
      <c r="J45" s="28" t="n">
        <v>2</v>
      </c>
      <c r="K45" s="19">
        <f>IFERROR(INDEX('02 MONITOR'!$C$7:$C$106,SUMPRODUCT(('02 MONITOR'!$B$7:$B$106="COMMODITY")*('02 MONITOR'!$P$7:$P$106=17)*(ROW('02 MONITOR'!$B$7:$B$106)-6))),"")</f>
        <v/>
      </c>
      <c r="L45" s="40">
        <f>IFERROR(INDEX('02 MONITOR'!$D$7:$D$106,SUMPRODUCT(('02 MONITOR'!$B$7:$B$106="COMMODITY")*('02 MONITOR'!$P$7:$P$106=17)*(ROW('02 MONITOR'!$B$7:$B$106)-6))),"")</f>
        <v/>
      </c>
      <c r="M45" s="42">
        <f>IFERROR(INDEX('02 MONITOR'!$M$7:$M$106,SUMPRODUCT(('02 MONITOR'!$B$7:$B$106="COMMODITY")*('02 MONITOR'!$P$7:$P$106=17)*(ROW('02 MONITOR'!$B$7:$B$106)-6))),"")</f>
        <v/>
      </c>
      <c r="N45" s="27">
        <f>IFERROR(INDEX('02 MONITOR'!$K$7:$K$106,SUMPRODUCT(('02 MONITOR'!$B$7:$B$106="COMMODITY")*('02 MONITOR'!$P$7:$P$106=17)*(ROW('02 MONITOR'!$B$7:$B$106)-6))),"")</f>
        <v/>
      </c>
      <c r="O45" s="25">
        <f>IFERROR(INDEX('02 MONITOR'!$H$7:$H$106,SUMPRODUCT(('02 MONITOR'!$B$7:$B$106="COMMODITY")*('02 MONITOR'!$P$7:$P$106=17)*(ROW('02 MONITOR'!$B$7:$B$106)-6))),"")</f>
        <v/>
      </c>
      <c r="P45" s="30">
        <f>IFERROR(INDEX('02 MONITOR'!$O$7:$O$106,SUMPRODUCT(('02 MONITOR'!$B$7:$B$106="COMMODITY")*('02 MONITOR'!$P$7:$P$106=17)*(ROW('02 MONITOR'!$B$7:$B$106)-6))),"")</f>
        <v/>
      </c>
    </row>
    <row r="46">
      <c r="B46" s="28" t="n">
        <v>3</v>
      </c>
      <c r="C46" s="19">
        <f>IFERROR(INDEX('02 MONITOR'!$C$7:$C$106,SUMPRODUCT(('02 MONITOR'!$B$7:$B$106="COMMODITY")*('02 MONITOR'!$P$7:$P$106=3)*(ROW('02 MONITOR'!$B$7:$B$106)-6))),"")</f>
        <v/>
      </c>
      <c r="D46" s="40">
        <f>IFERROR(INDEX('02 MONITOR'!$D$7:$D$106,SUMPRODUCT(('02 MONITOR'!$B$7:$B$106="COMMODITY")*('02 MONITOR'!$P$7:$P$106=3)*(ROW('02 MONITOR'!$B$7:$B$106)-6))),"")</f>
        <v/>
      </c>
      <c r="E46" s="41">
        <f>IFERROR(INDEX('02 MONITOR'!$M$7:$M$106,SUMPRODUCT(('02 MONITOR'!$B$7:$B$106="COMMODITY")*('02 MONITOR'!$P$7:$P$106=3)*(ROW('02 MONITOR'!$B$7:$B$106)-6))),"")</f>
        <v/>
      </c>
      <c r="F46" s="27">
        <f>IFERROR(INDEX('02 MONITOR'!$K$7:$K$106,SUMPRODUCT(('02 MONITOR'!$B$7:$B$106="COMMODITY")*('02 MONITOR'!$P$7:$P$106=3)*(ROW('02 MONITOR'!$B$7:$B$106)-6))),"")</f>
        <v/>
      </c>
      <c r="G46" s="25">
        <f>IFERROR(INDEX('02 MONITOR'!$H$7:$H$106,SUMPRODUCT(('02 MONITOR'!$B$7:$B$106="COMMODITY")*('02 MONITOR'!$P$7:$P$106=3)*(ROW('02 MONITOR'!$B$7:$B$106)-6))),"")</f>
        <v/>
      </c>
      <c r="H46" s="30">
        <f>IFERROR(INDEX('02 MONITOR'!$O$7:$O$106,SUMPRODUCT(('02 MONITOR'!$B$7:$B$106="COMMODITY")*('02 MONITOR'!$P$7:$P$106=3)*(ROW('02 MONITOR'!$B$7:$B$106)-6))),"")</f>
        <v/>
      </c>
      <c r="J46" s="28" t="n">
        <v>3</v>
      </c>
      <c r="K46" s="19">
        <f>IFERROR(INDEX('02 MONITOR'!$C$7:$C$106,SUMPRODUCT(('02 MONITOR'!$B$7:$B$106="COMMODITY")*('02 MONITOR'!$P$7:$P$106=16)*(ROW('02 MONITOR'!$B$7:$B$106)-6))),"")</f>
        <v/>
      </c>
      <c r="L46" s="40">
        <f>IFERROR(INDEX('02 MONITOR'!$D$7:$D$106,SUMPRODUCT(('02 MONITOR'!$B$7:$B$106="COMMODITY")*('02 MONITOR'!$P$7:$P$106=16)*(ROW('02 MONITOR'!$B$7:$B$106)-6))),"")</f>
        <v/>
      </c>
      <c r="M46" s="42">
        <f>IFERROR(INDEX('02 MONITOR'!$M$7:$M$106,SUMPRODUCT(('02 MONITOR'!$B$7:$B$106="COMMODITY")*('02 MONITOR'!$P$7:$P$106=16)*(ROW('02 MONITOR'!$B$7:$B$106)-6))),"")</f>
        <v/>
      </c>
      <c r="N46" s="27">
        <f>IFERROR(INDEX('02 MONITOR'!$K$7:$K$106,SUMPRODUCT(('02 MONITOR'!$B$7:$B$106="COMMODITY")*('02 MONITOR'!$P$7:$P$106=16)*(ROW('02 MONITOR'!$B$7:$B$106)-6))),"")</f>
        <v/>
      </c>
      <c r="O46" s="25">
        <f>IFERROR(INDEX('02 MONITOR'!$H$7:$H$106,SUMPRODUCT(('02 MONITOR'!$B$7:$B$106="COMMODITY")*('02 MONITOR'!$P$7:$P$106=16)*(ROW('02 MONITOR'!$B$7:$B$106)-6))),"")</f>
        <v/>
      </c>
      <c r="P46" s="30">
        <f>IFERROR(INDEX('02 MONITOR'!$O$7:$O$106,SUMPRODUCT(('02 MONITOR'!$B$7:$B$106="COMMODITY")*('02 MONITOR'!$P$7:$P$106=16)*(ROW('02 MONITOR'!$B$7:$B$106)-6))),"")</f>
        <v/>
      </c>
    </row>
    <row r="47">
      <c r="B47" s="28" t="n">
        <v>4</v>
      </c>
      <c r="C47" s="19">
        <f>IFERROR(INDEX('02 MONITOR'!$C$7:$C$106,SUMPRODUCT(('02 MONITOR'!$B$7:$B$106="COMMODITY")*('02 MONITOR'!$P$7:$P$106=4)*(ROW('02 MONITOR'!$B$7:$B$106)-6))),"")</f>
        <v/>
      </c>
      <c r="D47" s="40">
        <f>IFERROR(INDEX('02 MONITOR'!$D$7:$D$106,SUMPRODUCT(('02 MONITOR'!$B$7:$B$106="COMMODITY")*('02 MONITOR'!$P$7:$P$106=4)*(ROW('02 MONITOR'!$B$7:$B$106)-6))),"")</f>
        <v/>
      </c>
      <c r="E47" s="41">
        <f>IFERROR(INDEX('02 MONITOR'!$M$7:$M$106,SUMPRODUCT(('02 MONITOR'!$B$7:$B$106="COMMODITY")*('02 MONITOR'!$P$7:$P$106=4)*(ROW('02 MONITOR'!$B$7:$B$106)-6))),"")</f>
        <v/>
      </c>
      <c r="F47" s="27">
        <f>IFERROR(INDEX('02 MONITOR'!$K$7:$K$106,SUMPRODUCT(('02 MONITOR'!$B$7:$B$106="COMMODITY")*('02 MONITOR'!$P$7:$P$106=4)*(ROW('02 MONITOR'!$B$7:$B$106)-6))),"")</f>
        <v/>
      </c>
      <c r="G47" s="25">
        <f>IFERROR(INDEX('02 MONITOR'!$H$7:$H$106,SUMPRODUCT(('02 MONITOR'!$B$7:$B$106="COMMODITY")*('02 MONITOR'!$P$7:$P$106=4)*(ROW('02 MONITOR'!$B$7:$B$106)-6))),"")</f>
        <v/>
      </c>
      <c r="H47" s="30">
        <f>IFERROR(INDEX('02 MONITOR'!$O$7:$O$106,SUMPRODUCT(('02 MONITOR'!$B$7:$B$106="COMMODITY")*('02 MONITOR'!$P$7:$P$106=4)*(ROW('02 MONITOR'!$B$7:$B$106)-6))),"")</f>
        <v/>
      </c>
      <c r="J47" s="28" t="n">
        <v>4</v>
      </c>
      <c r="K47" s="19">
        <f>IFERROR(INDEX('02 MONITOR'!$C$7:$C$106,SUMPRODUCT(('02 MONITOR'!$B$7:$B$106="COMMODITY")*('02 MONITOR'!$P$7:$P$106=15)*(ROW('02 MONITOR'!$B$7:$B$106)-6))),"")</f>
        <v/>
      </c>
      <c r="L47" s="40">
        <f>IFERROR(INDEX('02 MONITOR'!$D$7:$D$106,SUMPRODUCT(('02 MONITOR'!$B$7:$B$106="COMMODITY")*('02 MONITOR'!$P$7:$P$106=15)*(ROW('02 MONITOR'!$B$7:$B$106)-6))),"")</f>
        <v/>
      </c>
      <c r="M47" s="42">
        <f>IFERROR(INDEX('02 MONITOR'!$M$7:$M$106,SUMPRODUCT(('02 MONITOR'!$B$7:$B$106="COMMODITY")*('02 MONITOR'!$P$7:$P$106=15)*(ROW('02 MONITOR'!$B$7:$B$106)-6))),"")</f>
        <v/>
      </c>
      <c r="N47" s="27">
        <f>IFERROR(INDEX('02 MONITOR'!$K$7:$K$106,SUMPRODUCT(('02 MONITOR'!$B$7:$B$106="COMMODITY")*('02 MONITOR'!$P$7:$P$106=15)*(ROW('02 MONITOR'!$B$7:$B$106)-6))),"")</f>
        <v/>
      </c>
      <c r="O47" s="25">
        <f>IFERROR(INDEX('02 MONITOR'!$H$7:$H$106,SUMPRODUCT(('02 MONITOR'!$B$7:$B$106="COMMODITY")*('02 MONITOR'!$P$7:$P$106=15)*(ROW('02 MONITOR'!$B$7:$B$106)-6))),"")</f>
        <v/>
      </c>
      <c r="P47" s="30">
        <f>IFERROR(INDEX('02 MONITOR'!$O$7:$O$106,SUMPRODUCT(('02 MONITOR'!$B$7:$B$106="COMMODITY")*('02 MONITOR'!$P$7:$P$106=15)*(ROW('02 MONITOR'!$B$7:$B$106)-6))),"")</f>
        <v/>
      </c>
    </row>
    <row r="48">
      <c r="B48" s="28" t="n">
        <v>5</v>
      </c>
      <c r="C48" s="19">
        <f>IFERROR(INDEX('02 MONITOR'!$C$7:$C$106,SUMPRODUCT(('02 MONITOR'!$B$7:$B$106="COMMODITY")*('02 MONITOR'!$P$7:$P$106=5)*(ROW('02 MONITOR'!$B$7:$B$106)-6))),"")</f>
        <v/>
      </c>
      <c r="D48" s="40">
        <f>IFERROR(INDEX('02 MONITOR'!$D$7:$D$106,SUMPRODUCT(('02 MONITOR'!$B$7:$B$106="COMMODITY")*('02 MONITOR'!$P$7:$P$106=5)*(ROW('02 MONITOR'!$B$7:$B$106)-6))),"")</f>
        <v/>
      </c>
      <c r="E48" s="41">
        <f>IFERROR(INDEX('02 MONITOR'!$M$7:$M$106,SUMPRODUCT(('02 MONITOR'!$B$7:$B$106="COMMODITY")*('02 MONITOR'!$P$7:$P$106=5)*(ROW('02 MONITOR'!$B$7:$B$106)-6))),"")</f>
        <v/>
      </c>
      <c r="F48" s="27">
        <f>IFERROR(INDEX('02 MONITOR'!$K$7:$K$106,SUMPRODUCT(('02 MONITOR'!$B$7:$B$106="COMMODITY")*('02 MONITOR'!$P$7:$P$106=5)*(ROW('02 MONITOR'!$B$7:$B$106)-6))),"")</f>
        <v/>
      </c>
      <c r="G48" s="25">
        <f>IFERROR(INDEX('02 MONITOR'!$H$7:$H$106,SUMPRODUCT(('02 MONITOR'!$B$7:$B$106="COMMODITY")*('02 MONITOR'!$P$7:$P$106=5)*(ROW('02 MONITOR'!$B$7:$B$106)-6))),"")</f>
        <v/>
      </c>
      <c r="H48" s="30">
        <f>IFERROR(INDEX('02 MONITOR'!$O$7:$O$106,SUMPRODUCT(('02 MONITOR'!$B$7:$B$106="COMMODITY")*('02 MONITOR'!$P$7:$P$106=5)*(ROW('02 MONITOR'!$B$7:$B$106)-6))),"")</f>
        <v/>
      </c>
      <c r="J48" s="28" t="n">
        <v>5</v>
      </c>
      <c r="K48" s="19">
        <f>IFERROR(INDEX('02 MONITOR'!$C$7:$C$106,SUMPRODUCT(('02 MONITOR'!$B$7:$B$106="COMMODITY")*('02 MONITOR'!$P$7:$P$106=14)*(ROW('02 MONITOR'!$B$7:$B$106)-6))),"")</f>
        <v/>
      </c>
      <c r="L48" s="40">
        <f>IFERROR(INDEX('02 MONITOR'!$D$7:$D$106,SUMPRODUCT(('02 MONITOR'!$B$7:$B$106="COMMODITY")*('02 MONITOR'!$P$7:$P$106=14)*(ROW('02 MONITOR'!$B$7:$B$106)-6))),"")</f>
        <v/>
      </c>
      <c r="M48" s="42">
        <f>IFERROR(INDEX('02 MONITOR'!$M$7:$M$106,SUMPRODUCT(('02 MONITOR'!$B$7:$B$106="COMMODITY")*('02 MONITOR'!$P$7:$P$106=14)*(ROW('02 MONITOR'!$B$7:$B$106)-6))),"")</f>
        <v/>
      </c>
      <c r="N48" s="27">
        <f>IFERROR(INDEX('02 MONITOR'!$K$7:$K$106,SUMPRODUCT(('02 MONITOR'!$B$7:$B$106="COMMODITY")*('02 MONITOR'!$P$7:$P$106=14)*(ROW('02 MONITOR'!$B$7:$B$106)-6))),"")</f>
        <v/>
      </c>
      <c r="O48" s="25">
        <f>IFERROR(INDEX('02 MONITOR'!$H$7:$H$106,SUMPRODUCT(('02 MONITOR'!$B$7:$B$106="COMMODITY")*('02 MONITOR'!$P$7:$P$106=14)*(ROW('02 MONITOR'!$B$7:$B$106)-6))),"")</f>
        <v/>
      </c>
      <c r="P48" s="30">
        <f>IFERROR(INDEX('02 MONITOR'!$O$7:$O$106,SUMPRODUCT(('02 MONITOR'!$B$7:$B$106="COMMODITY")*('02 MONITOR'!$P$7:$P$106=14)*(ROW('02 MONITOR'!$B$7:$B$106)-6))),"")</f>
        <v/>
      </c>
    </row>
    <row r="49">
      <c r="B49" s="28" t="n">
        <v>6</v>
      </c>
      <c r="C49" s="19">
        <f>IFERROR(INDEX('02 MONITOR'!$C$7:$C$106,SUMPRODUCT(('02 MONITOR'!$B$7:$B$106="COMMODITY")*('02 MONITOR'!$P$7:$P$106=6)*(ROW('02 MONITOR'!$B$7:$B$106)-6))),"")</f>
        <v/>
      </c>
      <c r="D49" s="40">
        <f>IFERROR(INDEX('02 MONITOR'!$D$7:$D$106,SUMPRODUCT(('02 MONITOR'!$B$7:$B$106="COMMODITY")*('02 MONITOR'!$P$7:$P$106=6)*(ROW('02 MONITOR'!$B$7:$B$106)-6))),"")</f>
        <v/>
      </c>
      <c r="E49" s="41">
        <f>IFERROR(INDEX('02 MONITOR'!$M$7:$M$106,SUMPRODUCT(('02 MONITOR'!$B$7:$B$106="COMMODITY")*('02 MONITOR'!$P$7:$P$106=6)*(ROW('02 MONITOR'!$B$7:$B$106)-6))),"")</f>
        <v/>
      </c>
      <c r="F49" s="27">
        <f>IFERROR(INDEX('02 MONITOR'!$K$7:$K$106,SUMPRODUCT(('02 MONITOR'!$B$7:$B$106="COMMODITY")*('02 MONITOR'!$P$7:$P$106=6)*(ROW('02 MONITOR'!$B$7:$B$106)-6))),"")</f>
        <v/>
      </c>
      <c r="G49" s="25">
        <f>IFERROR(INDEX('02 MONITOR'!$H$7:$H$106,SUMPRODUCT(('02 MONITOR'!$B$7:$B$106="COMMODITY")*('02 MONITOR'!$P$7:$P$106=6)*(ROW('02 MONITOR'!$B$7:$B$106)-6))),"")</f>
        <v/>
      </c>
      <c r="H49" s="30">
        <f>IFERROR(INDEX('02 MONITOR'!$O$7:$O$106,SUMPRODUCT(('02 MONITOR'!$B$7:$B$106="COMMODITY")*('02 MONITOR'!$P$7:$P$106=6)*(ROW('02 MONITOR'!$B$7:$B$106)-6))),"")</f>
        <v/>
      </c>
      <c r="J49" s="28" t="n">
        <v>6</v>
      </c>
      <c r="K49" s="19">
        <f>IFERROR(INDEX('02 MONITOR'!$C$7:$C$106,SUMPRODUCT(('02 MONITOR'!$B$7:$B$106="COMMODITY")*('02 MONITOR'!$P$7:$P$106=13)*(ROW('02 MONITOR'!$B$7:$B$106)-6))),"")</f>
        <v/>
      </c>
      <c r="L49" s="40">
        <f>IFERROR(INDEX('02 MONITOR'!$D$7:$D$106,SUMPRODUCT(('02 MONITOR'!$B$7:$B$106="COMMODITY")*('02 MONITOR'!$P$7:$P$106=13)*(ROW('02 MONITOR'!$B$7:$B$106)-6))),"")</f>
        <v/>
      </c>
      <c r="M49" s="42">
        <f>IFERROR(INDEX('02 MONITOR'!$M$7:$M$106,SUMPRODUCT(('02 MONITOR'!$B$7:$B$106="COMMODITY")*('02 MONITOR'!$P$7:$P$106=13)*(ROW('02 MONITOR'!$B$7:$B$106)-6))),"")</f>
        <v/>
      </c>
      <c r="N49" s="27">
        <f>IFERROR(INDEX('02 MONITOR'!$K$7:$K$106,SUMPRODUCT(('02 MONITOR'!$B$7:$B$106="COMMODITY")*('02 MONITOR'!$P$7:$P$106=13)*(ROW('02 MONITOR'!$B$7:$B$106)-6))),"")</f>
        <v/>
      </c>
      <c r="O49" s="25">
        <f>IFERROR(INDEX('02 MONITOR'!$H$7:$H$106,SUMPRODUCT(('02 MONITOR'!$B$7:$B$106="COMMODITY")*('02 MONITOR'!$P$7:$P$106=13)*(ROW('02 MONITOR'!$B$7:$B$106)-6))),"")</f>
        <v/>
      </c>
      <c r="P49" s="30">
        <f>IFERROR(INDEX('02 MONITOR'!$O$7:$O$106,SUMPRODUCT(('02 MONITOR'!$B$7:$B$106="COMMODITY")*('02 MONITOR'!$P$7:$P$106=13)*(ROW('02 MONITOR'!$B$7:$B$106)-6))),"")</f>
        <v/>
      </c>
    </row>
  </sheetData>
  <mergeCells count="8">
    <mergeCell ref="A42:P42"/>
    <mergeCell ref="A1:P1"/>
    <mergeCell ref="A6:P6"/>
    <mergeCell ref="A4:P4"/>
    <mergeCell ref="A15:P15"/>
    <mergeCell ref="A33:P33"/>
    <mergeCell ref="A24:P24"/>
    <mergeCell ref="A2:P2"/>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2E5C8A"/>
    <outlinePr summaryBelow="1" summaryRight="1"/>
    <pageSetUpPr fitToPage="1"/>
  </sheetPr>
  <dimension ref="A1:R39"/>
  <sheetViews>
    <sheetView showGridLines="0" workbookViewId="0">
      <selection activeCell="A1" sqref="A1"/>
    </sheetView>
  </sheetViews>
  <sheetFormatPr baseColWidth="8" defaultRowHeight="15"/>
  <cols>
    <col width="3" customWidth="1" min="1" max="1"/>
    <col width="7" customWidth="1" min="2" max="2"/>
    <col width="30" customWidth="1" min="3" max="3"/>
    <col width="26" customWidth="1" min="4" max="4"/>
    <col width="12" customWidth="1" min="5" max="5"/>
    <col width="12" customWidth="1" min="6" max="6"/>
    <col width="12" customWidth="1" min="7" max="7"/>
    <col width="11" customWidth="1" min="8" max="8"/>
    <col width="11" customWidth="1" min="9" max="9"/>
    <col width="4" customWidth="1" min="10" max="10"/>
    <col width="7" customWidth="1" min="11" max="11"/>
    <col width="30" customWidth="1" min="12" max="12"/>
    <col width="26" customWidth="1" min="13" max="13"/>
    <col width="12" customWidth="1" min="14" max="14"/>
    <col width="12" customWidth="1" min="15" max="15"/>
    <col width="12" customWidth="1" min="16" max="16"/>
    <col width="11" customWidth="1" min="17" max="17"/>
    <col width="11" customWidth="1" min="18" max="18"/>
  </cols>
  <sheetData>
    <row r="1" ht="26" customHeight="1">
      <c r="A1" s="1" t="inlineStr">
        <is>
          <t>CROSS-ASSET RANKING AND THE ±2σ EXTREMES</t>
        </is>
      </c>
    </row>
    <row r="2" ht="16" customHeight="1">
      <c r="A2" s="2" t="inlineStr">
        <is>
          <t>One global list across all 100 assets. Powerful, popular, and the weakest thing in this workbook — read the warning.</t>
        </is>
      </c>
    </row>
    <row r="4" ht="78" customHeight="1">
      <c r="A4" s="43" t="inlineStr">
        <is>
          <t>HEALTH WARNING. Ranking a forward P/E z-score against a credit-spread z-score against an FX z-score assumes those four distributions are comparable. They are not. Credit spreads are bounded below and have a fat right tail; equity multiples mean-revert over years, not quarters; FX spot has no anchor at all without a REER or PPP adjustment. A +2σ reading in credit is a much rarer event than a +2σ reading in equity multiples, so the same number carries different information.
Use this list to generate questions, not positions. The within-class ranking on tab 03 is what the portfolio on tab 05 is built from, and that is deliberate.</t>
        </is>
      </c>
    </row>
    <row r="6" ht="18" customHeight="1">
      <c r="A6" s="3" t="inlineStr">
        <is>
          <t>THE ±2σ SCREEN — how many assets are at an extreme right now</t>
        </is>
      </c>
    </row>
    <row r="7" ht="30" customHeight="1">
      <c r="A7" s="5" t="inlineStr"/>
      <c r="B7" s="5" t="inlineStr">
        <is>
          <t>Screen</t>
        </is>
      </c>
      <c r="C7" s="5" t="inlineStr">
        <is>
          <t>Count</t>
        </is>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row>
    <row r="8">
      <c r="B8" s="19" t="inlineStr">
        <is>
          <t>Assets ≥ +2σ CHEAP</t>
        </is>
      </c>
      <c r="C8" s="8" t="n"/>
      <c r="D8" s="9" t="n"/>
      <c r="E8" s="44">
        <f>IFERROR(COUNTIF('02 MONITOR'!$M$7:$M$106,"&gt;="&amp;SETTINGS_ZC),"")</f>
        <v/>
      </c>
    </row>
    <row r="9">
      <c r="B9" s="19" t="inlineStr">
        <is>
          <t>Assets ≤ −2σ RICH</t>
        </is>
      </c>
      <c r="C9" s="8" t="n"/>
      <c r="D9" s="9" t="n"/>
      <c r="E9" s="44">
        <f>IFERROR(COUNTIF('02 MONITOR'!$M$7:$M$106,"&lt;="&amp;SETTINGS_ZR),"")</f>
        <v/>
      </c>
    </row>
    <row r="10">
      <c r="B10" s="19" t="inlineStr">
        <is>
          <t>Assets inside ±0.5σ (no signal)</t>
        </is>
      </c>
      <c r="C10" s="8" t="n"/>
      <c r="D10" s="9" t="n"/>
      <c r="E10" s="44">
        <f>IFERROR(COUNTIFS('02 MONITOR'!$M$7:$M$106,"&gt;-0.5",'02 MONITOR'!$M$7:$M$106,"&lt;0.5"),"")</f>
        <v/>
      </c>
    </row>
    <row r="11">
      <c r="B11" s="19" t="inlineStr">
        <is>
          <t>Universe with live data</t>
        </is>
      </c>
      <c r="C11" s="8" t="n"/>
      <c r="D11" s="9" t="n"/>
      <c r="E11" s="44">
        <f>IFERROR(COUNT('02 MONITOR'!$M$7:$M$106),"")</f>
        <v/>
      </c>
    </row>
    <row r="13" ht="18" customHeight="1">
      <c r="A13" s="3" t="inlineStr">
        <is>
          <t>GLOBAL RANKING — 25 CHEAPEST AND 25 MOST EXPENSIVE ACROSS ALL 100</t>
        </is>
      </c>
    </row>
    <row r="14" ht="24" customHeight="1">
      <c r="B14" s="5" t="inlineStr">
        <is>
          <t>CHEAPEST OVERALL</t>
        </is>
      </c>
      <c r="C14" s="5" t="inlineStr">
        <is>
          <t>Instrument</t>
        </is>
      </c>
      <c r="D14" s="5" t="inlineStr">
        <is>
          <t>Ticker</t>
        </is>
      </c>
      <c r="E14" s="5" t="inlineStr">
        <is>
          <t>Class</t>
        </is>
      </c>
      <c r="F14" s="5" t="inlineStr">
        <is>
          <t>Value score</t>
        </is>
      </c>
      <c r="G14" s="5" t="inlineStr">
        <is>
          <t>Percentile</t>
        </is>
      </c>
      <c r="H14" s="5" t="inlineStr">
        <is>
          <t>Flag</t>
        </is>
      </c>
      <c r="K14" s="5" t="inlineStr">
        <is>
          <t>MOST EXPENSIVE OVERALL</t>
        </is>
      </c>
      <c r="L14" s="5" t="inlineStr">
        <is>
          <t>Instrument</t>
        </is>
      </c>
      <c r="M14" s="5" t="inlineStr">
        <is>
          <t>Ticker</t>
        </is>
      </c>
      <c r="N14" s="5" t="inlineStr">
        <is>
          <t>Class</t>
        </is>
      </c>
      <c r="O14" s="5" t="inlineStr">
        <is>
          <t>Value score</t>
        </is>
      </c>
      <c r="P14" s="5" t="inlineStr">
        <is>
          <t>Percentile</t>
        </is>
      </c>
      <c r="Q14" s="5" t="inlineStr">
        <is>
          <t>Flag</t>
        </is>
      </c>
    </row>
    <row r="15">
      <c r="B15" s="28" t="n">
        <v>1</v>
      </c>
      <c r="C15" s="19">
        <f>IFERROR(INDEX('02 MONITOR'!$C$7:$C$106,SUMPRODUCT(('02 MONITOR'!$U$7:$U$106=1)*(ROW('02 MONITOR'!$B$7:$B$106)-6))),"")</f>
        <v/>
      </c>
      <c r="D15" s="40">
        <f>IFERROR(INDEX('02 MONITOR'!$D$7:$D$106,SUMPRODUCT(('02 MONITOR'!$U$7:$U$106=1)*(ROW('02 MONITOR'!$B$7:$B$106)-6))),"")</f>
        <v/>
      </c>
      <c r="E15" s="28">
        <f>IFERROR(INDEX('02 MONITOR'!$B$7:$B$106,SUMPRODUCT(('02 MONITOR'!$U$7:$U$106=1)*(ROW('02 MONITOR'!$B$7:$B$106)-6))),"")</f>
        <v/>
      </c>
      <c r="F15" s="41">
        <f>IFERROR(INDEX('02 MONITOR'!$M$7:$M$106,SUMPRODUCT(('02 MONITOR'!$U$7:$U$106=1)*(ROW('02 MONITOR'!$B$7:$B$106)-6))),"")</f>
        <v/>
      </c>
      <c r="G15" s="30">
        <f>IFERROR(INDEX('02 MONITOR'!$N$7:$N$106,SUMPRODUCT(('02 MONITOR'!$U$7:$U$106=1)*(ROW('02 MONITOR'!$B$7:$B$106)-6))),"")</f>
        <v/>
      </c>
      <c r="H15" s="28">
        <f>IFERROR(INDEX('02 MONITOR'!$R$7:$R$106,SUMPRODUCT(('02 MONITOR'!$U$7:$U$106=1)*(ROW('02 MONITOR'!$B$7:$B$106)-6))),"")</f>
        <v/>
      </c>
      <c r="K15" s="28" t="n">
        <v>1</v>
      </c>
      <c r="L15" s="19">
        <f>IFERROR(INDEX('02 MONITOR'!$C$7:$C$106,SUMPRODUCT(('02 MONITOR'!$U$7:$U$106=100)*(ROW('02 MONITOR'!$B$7:$B$106)-6))),"")</f>
        <v/>
      </c>
      <c r="M15" s="40">
        <f>IFERROR(INDEX('02 MONITOR'!$D$7:$D$106,SUMPRODUCT(('02 MONITOR'!$U$7:$U$106=100)*(ROW('02 MONITOR'!$B$7:$B$106)-6))),"")</f>
        <v/>
      </c>
      <c r="N15" s="28">
        <f>IFERROR(INDEX('02 MONITOR'!$B$7:$B$106,SUMPRODUCT(('02 MONITOR'!$U$7:$U$106=100)*(ROW('02 MONITOR'!$B$7:$B$106)-6))),"")</f>
        <v/>
      </c>
      <c r="O15" s="42">
        <f>IFERROR(INDEX('02 MONITOR'!$M$7:$M$106,SUMPRODUCT(('02 MONITOR'!$U$7:$U$106=100)*(ROW('02 MONITOR'!$B$7:$B$106)-6))),"")</f>
        <v/>
      </c>
      <c r="P15" s="30">
        <f>IFERROR(INDEX('02 MONITOR'!$N$7:$N$106,SUMPRODUCT(('02 MONITOR'!$U$7:$U$106=100)*(ROW('02 MONITOR'!$B$7:$B$106)-6))),"")</f>
        <v/>
      </c>
      <c r="Q15" s="28">
        <f>IFERROR(INDEX('02 MONITOR'!$R$7:$R$106,SUMPRODUCT(('02 MONITOR'!$U$7:$U$106=100)*(ROW('02 MONITOR'!$B$7:$B$106)-6))),"")</f>
        <v/>
      </c>
    </row>
    <row r="16">
      <c r="B16" s="28" t="n">
        <v>2</v>
      </c>
      <c r="C16" s="19">
        <f>IFERROR(INDEX('02 MONITOR'!$C$7:$C$106,SUMPRODUCT(('02 MONITOR'!$U$7:$U$106=2)*(ROW('02 MONITOR'!$B$7:$B$106)-6))),"")</f>
        <v/>
      </c>
      <c r="D16" s="40">
        <f>IFERROR(INDEX('02 MONITOR'!$D$7:$D$106,SUMPRODUCT(('02 MONITOR'!$U$7:$U$106=2)*(ROW('02 MONITOR'!$B$7:$B$106)-6))),"")</f>
        <v/>
      </c>
      <c r="E16" s="28">
        <f>IFERROR(INDEX('02 MONITOR'!$B$7:$B$106,SUMPRODUCT(('02 MONITOR'!$U$7:$U$106=2)*(ROW('02 MONITOR'!$B$7:$B$106)-6))),"")</f>
        <v/>
      </c>
      <c r="F16" s="41">
        <f>IFERROR(INDEX('02 MONITOR'!$M$7:$M$106,SUMPRODUCT(('02 MONITOR'!$U$7:$U$106=2)*(ROW('02 MONITOR'!$B$7:$B$106)-6))),"")</f>
        <v/>
      </c>
      <c r="G16" s="30">
        <f>IFERROR(INDEX('02 MONITOR'!$N$7:$N$106,SUMPRODUCT(('02 MONITOR'!$U$7:$U$106=2)*(ROW('02 MONITOR'!$B$7:$B$106)-6))),"")</f>
        <v/>
      </c>
      <c r="H16" s="28">
        <f>IFERROR(INDEX('02 MONITOR'!$R$7:$R$106,SUMPRODUCT(('02 MONITOR'!$U$7:$U$106=2)*(ROW('02 MONITOR'!$B$7:$B$106)-6))),"")</f>
        <v/>
      </c>
      <c r="K16" s="28" t="n">
        <v>2</v>
      </c>
      <c r="L16" s="19">
        <f>IFERROR(INDEX('02 MONITOR'!$C$7:$C$106,SUMPRODUCT(('02 MONITOR'!$U$7:$U$106=99)*(ROW('02 MONITOR'!$B$7:$B$106)-6))),"")</f>
        <v/>
      </c>
      <c r="M16" s="40">
        <f>IFERROR(INDEX('02 MONITOR'!$D$7:$D$106,SUMPRODUCT(('02 MONITOR'!$U$7:$U$106=99)*(ROW('02 MONITOR'!$B$7:$B$106)-6))),"")</f>
        <v/>
      </c>
      <c r="N16" s="28">
        <f>IFERROR(INDEX('02 MONITOR'!$B$7:$B$106,SUMPRODUCT(('02 MONITOR'!$U$7:$U$106=99)*(ROW('02 MONITOR'!$B$7:$B$106)-6))),"")</f>
        <v/>
      </c>
      <c r="O16" s="42">
        <f>IFERROR(INDEX('02 MONITOR'!$M$7:$M$106,SUMPRODUCT(('02 MONITOR'!$U$7:$U$106=99)*(ROW('02 MONITOR'!$B$7:$B$106)-6))),"")</f>
        <v/>
      </c>
      <c r="P16" s="30">
        <f>IFERROR(INDEX('02 MONITOR'!$N$7:$N$106,SUMPRODUCT(('02 MONITOR'!$U$7:$U$106=99)*(ROW('02 MONITOR'!$B$7:$B$106)-6))),"")</f>
        <v/>
      </c>
      <c r="Q16" s="28">
        <f>IFERROR(INDEX('02 MONITOR'!$R$7:$R$106,SUMPRODUCT(('02 MONITOR'!$U$7:$U$106=99)*(ROW('02 MONITOR'!$B$7:$B$106)-6))),"")</f>
        <v/>
      </c>
    </row>
    <row r="17">
      <c r="B17" s="28" t="n">
        <v>3</v>
      </c>
      <c r="C17" s="19">
        <f>IFERROR(INDEX('02 MONITOR'!$C$7:$C$106,SUMPRODUCT(('02 MONITOR'!$U$7:$U$106=3)*(ROW('02 MONITOR'!$B$7:$B$106)-6))),"")</f>
        <v/>
      </c>
      <c r="D17" s="40">
        <f>IFERROR(INDEX('02 MONITOR'!$D$7:$D$106,SUMPRODUCT(('02 MONITOR'!$U$7:$U$106=3)*(ROW('02 MONITOR'!$B$7:$B$106)-6))),"")</f>
        <v/>
      </c>
      <c r="E17" s="28">
        <f>IFERROR(INDEX('02 MONITOR'!$B$7:$B$106,SUMPRODUCT(('02 MONITOR'!$U$7:$U$106=3)*(ROW('02 MONITOR'!$B$7:$B$106)-6))),"")</f>
        <v/>
      </c>
      <c r="F17" s="41">
        <f>IFERROR(INDEX('02 MONITOR'!$M$7:$M$106,SUMPRODUCT(('02 MONITOR'!$U$7:$U$106=3)*(ROW('02 MONITOR'!$B$7:$B$106)-6))),"")</f>
        <v/>
      </c>
      <c r="G17" s="30">
        <f>IFERROR(INDEX('02 MONITOR'!$N$7:$N$106,SUMPRODUCT(('02 MONITOR'!$U$7:$U$106=3)*(ROW('02 MONITOR'!$B$7:$B$106)-6))),"")</f>
        <v/>
      </c>
      <c r="H17" s="28">
        <f>IFERROR(INDEX('02 MONITOR'!$R$7:$R$106,SUMPRODUCT(('02 MONITOR'!$U$7:$U$106=3)*(ROW('02 MONITOR'!$B$7:$B$106)-6))),"")</f>
        <v/>
      </c>
      <c r="K17" s="28" t="n">
        <v>3</v>
      </c>
      <c r="L17" s="19">
        <f>IFERROR(INDEX('02 MONITOR'!$C$7:$C$106,SUMPRODUCT(('02 MONITOR'!$U$7:$U$106=98)*(ROW('02 MONITOR'!$B$7:$B$106)-6))),"")</f>
        <v/>
      </c>
      <c r="M17" s="40">
        <f>IFERROR(INDEX('02 MONITOR'!$D$7:$D$106,SUMPRODUCT(('02 MONITOR'!$U$7:$U$106=98)*(ROW('02 MONITOR'!$B$7:$B$106)-6))),"")</f>
        <v/>
      </c>
      <c r="N17" s="28">
        <f>IFERROR(INDEX('02 MONITOR'!$B$7:$B$106,SUMPRODUCT(('02 MONITOR'!$U$7:$U$106=98)*(ROW('02 MONITOR'!$B$7:$B$106)-6))),"")</f>
        <v/>
      </c>
      <c r="O17" s="42">
        <f>IFERROR(INDEX('02 MONITOR'!$M$7:$M$106,SUMPRODUCT(('02 MONITOR'!$U$7:$U$106=98)*(ROW('02 MONITOR'!$B$7:$B$106)-6))),"")</f>
        <v/>
      </c>
      <c r="P17" s="30">
        <f>IFERROR(INDEX('02 MONITOR'!$N$7:$N$106,SUMPRODUCT(('02 MONITOR'!$U$7:$U$106=98)*(ROW('02 MONITOR'!$B$7:$B$106)-6))),"")</f>
        <v/>
      </c>
      <c r="Q17" s="28">
        <f>IFERROR(INDEX('02 MONITOR'!$R$7:$R$106,SUMPRODUCT(('02 MONITOR'!$U$7:$U$106=98)*(ROW('02 MONITOR'!$B$7:$B$106)-6))),"")</f>
        <v/>
      </c>
    </row>
    <row r="18">
      <c r="B18" s="28" t="n">
        <v>4</v>
      </c>
      <c r="C18" s="19">
        <f>IFERROR(INDEX('02 MONITOR'!$C$7:$C$106,SUMPRODUCT(('02 MONITOR'!$U$7:$U$106=4)*(ROW('02 MONITOR'!$B$7:$B$106)-6))),"")</f>
        <v/>
      </c>
      <c r="D18" s="40">
        <f>IFERROR(INDEX('02 MONITOR'!$D$7:$D$106,SUMPRODUCT(('02 MONITOR'!$U$7:$U$106=4)*(ROW('02 MONITOR'!$B$7:$B$106)-6))),"")</f>
        <v/>
      </c>
      <c r="E18" s="28">
        <f>IFERROR(INDEX('02 MONITOR'!$B$7:$B$106,SUMPRODUCT(('02 MONITOR'!$U$7:$U$106=4)*(ROW('02 MONITOR'!$B$7:$B$106)-6))),"")</f>
        <v/>
      </c>
      <c r="F18" s="41">
        <f>IFERROR(INDEX('02 MONITOR'!$M$7:$M$106,SUMPRODUCT(('02 MONITOR'!$U$7:$U$106=4)*(ROW('02 MONITOR'!$B$7:$B$106)-6))),"")</f>
        <v/>
      </c>
      <c r="G18" s="30">
        <f>IFERROR(INDEX('02 MONITOR'!$N$7:$N$106,SUMPRODUCT(('02 MONITOR'!$U$7:$U$106=4)*(ROW('02 MONITOR'!$B$7:$B$106)-6))),"")</f>
        <v/>
      </c>
      <c r="H18" s="28">
        <f>IFERROR(INDEX('02 MONITOR'!$R$7:$R$106,SUMPRODUCT(('02 MONITOR'!$U$7:$U$106=4)*(ROW('02 MONITOR'!$B$7:$B$106)-6))),"")</f>
        <v/>
      </c>
      <c r="K18" s="28" t="n">
        <v>4</v>
      </c>
      <c r="L18" s="19">
        <f>IFERROR(INDEX('02 MONITOR'!$C$7:$C$106,SUMPRODUCT(('02 MONITOR'!$U$7:$U$106=97)*(ROW('02 MONITOR'!$B$7:$B$106)-6))),"")</f>
        <v/>
      </c>
      <c r="M18" s="40">
        <f>IFERROR(INDEX('02 MONITOR'!$D$7:$D$106,SUMPRODUCT(('02 MONITOR'!$U$7:$U$106=97)*(ROW('02 MONITOR'!$B$7:$B$106)-6))),"")</f>
        <v/>
      </c>
      <c r="N18" s="28">
        <f>IFERROR(INDEX('02 MONITOR'!$B$7:$B$106,SUMPRODUCT(('02 MONITOR'!$U$7:$U$106=97)*(ROW('02 MONITOR'!$B$7:$B$106)-6))),"")</f>
        <v/>
      </c>
      <c r="O18" s="42">
        <f>IFERROR(INDEX('02 MONITOR'!$M$7:$M$106,SUMPRODUCT(('02 MONITOR'!$U$7:$U$106=97)*(ROW('02 MONITOR'!$B$7:$B$106)-6))),"")</f>
        <v/>
      </c>
      <c r="P18" s="30">
        <f>IFERROR(INDEX('02 MONITOR'!$N$7:$N$106,SUMPRODUCT(('02 MONITOR'!$U$7:$U$106=97)*(ROW('02 MONITOR'!$B$7:$B$106)-6))),"")</f>
        <v/>
      </c>
      <c r="Q18" s="28">
        <f>IFERROR(INDEX('02 MONITOR'!$R$7:$R$106,SUMPRODUCT(('02 MONITOR'!$U$7:$U$106=97)*(ROW('02 MONITOR'!$B$7:$B$106)-6))),"")</f>
        <v/>
      </c>
    </row>
    <row r="19">
      <c r="B19" s="28" t="n">
        <v>5</v>
      </c>
      <c r="C19" s="19">
        <f>IFERROR(INDEX('02 MONITOR'!$C$7:$C$106,SUMPRODUCT(('02 MONITOR'!$U$7:$U$106=5)*(ROW('02 MONITOR'!$B$7:$B$106)-6))),"")</f>
        <v/>
      </c>
      <c r="D19" s="40">
        <f>IFERROR(INDEX('02 MONITOR'!$D$7:$D$106,SUMPRODUCT(('02 MONITOR'!$U$7:$U$106=5)*(ROW('02 MONITOR'!$B$7:$B$106)-6))),"")</f>
        <v/>
      </c>
      <c r="E19" s="28">
        <f>IFERROR(INDEX('02 MONITOR'!$B$7:$B$106,SUMPRODUCT(('02 MONITOR'!$U$7:$U$106=5)*(ROW('02 MONITOR'!$B$7:$B$106)-6))),"")</f>
        <v/>
      </c>
      <c r="F19" s="41">
        <f>IFERROR(INDEX('02 MONITOR'!$M$7:$M$106,SUMPRODUCT(('02 MONITOR'!$U$7:$U$106=5)*(ROW('02 MONITOR'!$B$7:$B$106)-6))),"")</f>
        <v/>
      </c>
      <c r="G19" s="30">
        <f>IFERROR(INDEX('02 MONITOR'!$N$7:$N$106,SUMPRODUCT(('02 MONITOR'!$U$7:$U$106=5)*(ROW('02 MONITOR'!$B$7:$B$106)-6))),"")</f>
        <v/>
      </c>
      <c r="H19" s="28">
        <f>IFERROR(INDEX('02 MONITOR'!$R$7:$R$106,SUMPRODUCT(('02 MONITOR'!$U$7:$U$106=5)*(ROW('02 MONITOR'!$B$7:$B$106)-6))),"")</f>
        <v/>
      </c>
      <c r="K19" s="28" t="n">
        <v>5</v>
      </c>
      <c r="L19" s="19">
        <f>IFERROR(INDEX('02 MONITOR'!$C$7:$C$106,SUMPRODUCT(('02 MONITOR'!$U$7:$U$106=96)*(ROW('02 MONITOR'!$B$7:$B$106)-6))),"")</f>
        <v/>
      </c>
      <c r="M19" s="40">
        <f>IFERROR(INDEX('02 MONITOR'!$D$7:$D$106,SUMPRODUCT(('02 MONITOR'!$U$7:$U$106=96)*(ROW('02 MONITOR'!$B$7:$B$106)-6))),"")</f>
        <v/>
      </c>
      <c r="N19" s="28">
        <f>IFERROR(INDEX('02 MONITOR'!$B$7:$B$106,SUMPRODUCT(('02 MONITOR'!$U$7:$U$106=96)*(ROW('02 MONITOR'!$B$7:$B$106)-6))),"")</f>
        <v/>
      </c>
      <c r="O19" s="42">
        <f>IFERROR(INDEX('02 MONITOR'!$M$7:$M$106,SUMPRODUCT(('02 MONITOR'!$U$7:$U$106=96)*(ROW('02 MONITOR'!$B$7:$B$106)-6))),"")</f>
        <v/>
      </c>
      <c r="P19" s="30">
        <f>IFERROR(INDEX('02 MONITOR'!$N$7:$N$106,SUMPRODUCT(('02 MONITOR'!$U$7:$U$106=96)*(ROW('02 MONITOR'!$B$7:$B$106)-6))),"")</f>
        <v/>
      </c>
      <c r="Q19" s="28">
        <f>IFERROR(INDEX('02 MONITOR'!$R$7:$R$106,SUMPRODUCT(('02 MONITOR'!$U$7:$U$106=96)*(ROW('02 MONITOR'!$B$7:$B$106)-6))),"")</f>
        <v/>
      </c>
    </row>
    <row r="20">
      <c r="B20" s="28" t="n">
        <v>6</v>
      </c>
      <c r="C20" s="19">
        <f>IFERROR(INDEX('02 MONITOR'!$C$7:$C$106,SUMPRODUCT(('02 MONITOR'!$U$7:$U$106=6)*(ROW('02 MONITOR'!$B$7:$B$106)-6))),"")</f>
        <v/>
      </c>
      <c r="D20" s="40">
        <f>IFERROR(INDEX('02 MONITOR'!$D$7:$D$106,SUMPRODUCT(('02 MONITOR'!$U$7:$U$106=6)*(ROW('02 MONITOR'!$B$7:$B$106)-6))),"")</f>
        <v/>
      </c>
      <c r="E20" s="28">
        <f>IFERROR(INDEX('02 MONITOR'!$B$7:$B$106,SUMPRODUCT(('02 MONITOR'!$U$7:$U$106=6)*(ROW('02 MONITOR'!$B$7:$B$106)-6))),"")</f>
        <v/>
      </c>
      <c r="F20" s="41">
        <f>IFERROR(INDEX('02 MONITOR'!$M$7:$M$106,SUMPRODUCT(('02 MONITOR'!$U$7:$U$106=6)*(ROW('02 MONITOR'!$B$7:$B$106)-6))),"")</f>
        <v/>
      </c>
      <c r="G20" s="30">
        <f>IFERROR(INDEX('02 MONITOR'!$N$7:$N$106,SUMPRODUCT(('02 MONITOR'!$U$7:$U$106=6)*(ROW('02 MONITOR'!$B$7:$B$106)-6))),"")</f>
        <v/>
      </c>
      <c r="H20" s="28">
        <f>IFERROR(INDEX('02 MONITOR'!$R$7:$R$106,SUMPRODUCT(('02 MONITOR'!$U$7:$U$106=6)*(ROW('02 MONITOR'!$B$7:$B$106)-6))),"")</f>
        <v/>
      </c>
      <c r="K20" s="28" t="n">
        <v>6</v>
      </c>
      <c r="L20" s="19">
        <f>IFERROR(INDEX('02 MONITOR'!$C$7:$C$106,SUMPRODUCT(('02 MONITOR'!$U$7:$U$106=95)*(ROW('02 MONITOR'!$B$7:$B$106)-6))),"")</f>
        <v/>
      </c>
      <c r="M20" s="40">
        <f>IFERROR(INDEX('02 MONITOR'!$D$7:$D$106,SUMPRODUCT(('02 MONITOR'!$U$7:$U$106=95)*(ROW('02 MONITOR'!$B$7:$B$106)-6))),"")</f>
        <v/>
      </c>
      <c r="N20" s="28">
        <f>IFERROR(INDEX('02 MONITOR'!$B$7:$B$106,SUMPRODUCT(('02 MONITOR'!$U$7:$U$106=95)*(ROW('02 MONITOR'!$B$7:$B$106)-6))),"")</f>
        <v/>
      </c>
      <c r="O20" s="42">
        <f>IFERROR(INDEX('02 MONITOR'!$M$7:$M$106,SUMPRODUCT(('02 MONITOR'!$U$7:$U$106=95)*(ROW('02 MONITOR'!$B$7:$B$106)-6))),"")</f>
        <v/>
      </c>
      <c r="P20" s="30">
        <f>IFERROR(INDEX('02 MONITOR'!$N$7:$N$106,SUMPRODUCT(('02 MONITOR'!$U$7:$U$106=95)*(ROW('02 MONITOR'!$B$7:$B$106)-6))),"")</f>
        <v/>
      </c>
      <c r="Q20" s="28">
        <f>IFERROR(INDEX('02 MONITOR'!$R$7:$R$106,SUMPRODUCT(('02 MONITOR'!$U$7:$U$106=95)*(ROW('02 MONITOR'!$B$7:$B$106)-6))),"")</f>
        <v/>
      </c>
    </row>
    <row r="21">
      <c r="B21" s="28" t="n">
        <v>7</v>
      </c>
      <c r="C21" s="19">
        <f>IFERROR(INDEX('02 MONITOR'!$C$7:$C$106,SUMPRODUCT(('02 MONITOR'!$U$7:$U$106=7)*(ROW('02 MONITOR'!$B$7:$B$106)-6))),"")</f>
        <v/>
      </c>
      <c r="D21" s="40">
        <f>IFERROR(INDEX('02 MONITOR'!$D$7:$D$106,SUMPRODUCT(('02 MONITOR'!$U$7:$U$106=7)*(ROW('02 MONITOR'!$B$7:$B$106)-6))),"")</f>
        <v/>
      </c>
      <c r="E21" s="28">
        <f>IFERROR(INDEX('02 MONITOR'!$B$7:$B$106,SUMPRODUCT(('02 MONITOR'!$U$7:$U$106=7)*(ROW('02 MONITOR'!$B$7:$B$106)-6))),"")</f>
        <v/>
      </c>
      <c r="F21" s="41">
        <f>IFERROR(INDEX('02 MONITOR'!$M$7:$M$106,SUMPRODUCT(('02 MONITOR'!$U$7:$U$106=7)*(ROW('02 MONITOR'!$B$7:$B$106)-6))),"")</f>
        <v/>
      </c>
      <c r="G21" s="30">
        <f>IFERROR(INDEX('02 MONITOR'!$N$7:$N$106,SUMPRODUCT(('02 MONITOR'!$U$7:$U$106=7)*(ROW('02 MONITOR'!$B$7:$B$106)-6))),"")</f>
        <v/>
      </c>
      <c r="H21" s="28">
        <f>IFERROR(INDEX('02 MONITOR'!$R$7:$R$106,SUMPRODUCT(('02 MONITOR'!$U$7:$U$106=7)*(ROW('02 MONITOR'!$B$7:$B$106)-6))),"")</f>
        <v/>
      </c>
      <c r="K21" s="28" t="n">
        <v>7</v>
      </c>
      <c r="L21" s="19">
        <f>IFERROR(INDEX('02 MONITOR'!$C$7:$C$106,SUMPRODUCT(('02 MONITOR'!$U$7:$U$106=94)*(ROW('02 MONITOR'!$B$7:$B$106)-6))),"")</f>
        <v/>
      </c>
      <c r="M21" s="40">
        <f>IFERROR(INDEX('02 MONITOR'!$D$7:$D$106,SUMPRODUCT(('02 MONITOR'!$U$7:$U$106=94)*(ROW('02 MONITOR'!$B$7:$B$106)-6))),"")</f>
        <v/>
      </c>
      <c r="N21" s="28">
        <f>IFERROR(INDEX('02 MONITOR'!$B$7:$B$106,SUMPRODUCT(('02 MONITOR'!$U$7:$U$106=94)*(ROW('02 MONITOR'!$B$7:$B$106)-6))),"")</f>
        <v/>
      </c>
      <c r="O21" s="42">
        <f>IFERROR(INDEX('02 MONITOR'!$M$7:$M$106,SUMPRODUCT(('02 MONITOR'!$U$7:$U$106=94)*(ROW('02 MONITOR'!$B$7:$B$106)-6))),"")</f>
        <v/>
      </c>
      <c r="P21" s="30">
        <f>IFERROR(INDEX('02 MONITOR'!$N$7:$N$106,SUMPRODUCT(('02 MONITOR'!$U$7:$U$106=94)*(ROW('02 MONITOR'!$B$7:$B$106)-6))),"")</f>
        <v/>
      </c>
      <c r="Q21" s="28">
        <f>IFERROR(INDEX('02 MONITOR'!$R$7:$R$106,SUMPRODUCT(('02 MONITOR'!$U$7:$U$106=94)*(ROW('02 MONITOR'!$B$7:$B$106)-6))),"")</f>
        <v/>
      </c>
    </row>
    <row r="22">
      <c r="B22" s="28" t="n">
        <v>8</v>
      </c>
      <c r="C22" s="19">
        <f>IFERROR(INDEX('02 MONITOR'!$C$7:$C$106,SUMPRODUCT(('02 MONITOR'!$U$7:$U$106=8)*(ROW('02 MONITOR'!$B$7:$B$106)-6))),"")</f>
        <v/>
      </c>
      <c r="D22" s="40">
        <f>IFERROR(INDEX('02 MONITOR'!$D$7:$D$106,SUMPRODUCT(('02 MONITOR'!$U$7:$U$106=8)*(ROW('02 MONITOR'!$B$7:$B$106)-6))),"")</f>
        <v/>
      </c>
      <c r="E22" s="28">
        <f>IFERROR(INDEX('02 MONITOR'!$B$7:$B$106,SUMPRODUCT(('02 MONITOR'!$U$7:$U$106=8)*(ROW('02 MONITOR'!$B$7:$B$106)-6))),"")</f>
        <v/>
      </c>
      <c r="F22" s="41">
        <f>IFERROR(INDEX('02 MONITOR'!$M$7:$M$106,SUMPRODUCT(('02 MONITOR'!$U$7:$U$106=8)*(ROW('02 MONITOR'!$B$7:$B$106)-6))),"")</f>
        <v/>
      </c>
      <c r="G22" s="30">
        <f>IFERROR(INDEX('02 MONITOR'!$N$7:$N$106,SUMPRODUCT(('02 MONITOR'!$U$7:$U$106=8)*(ROW('02 MONITOR'!$B$7:$B$106)-6))),"")</f>
        <v/>
      </c>
      <c r="H22" s="28">
        <f>IFERROR(INDEX('02 MONITOR'!$R$7:$R$106,SUMPRODUCT(('02 MONITOR'!$U$7:$U$106=8)*(ROW('02 MONITOR'!$B$7:$B$106)-6))),"")</f>
        <v/>
      </c>
      <c r="K22" s="28" t="n">
        <v>8</v>
      </c>
      <c r="L22" s="19">
        <f>IFERROR(INDEX('02 MONITOR'!$C$7:$C$106,SUMPRODUCT(('02 MONITOR'!$U$7:$U$106=93)*(ROW('02 MONITOR'!$B$7:$B$106)-6))),"")</f>
        <v/>
      </c>
      <c r="M22" s="40">
        <f>IFERROR(INDEX('02 MONITOR'!$D$7:$D$106,SUMPRODUCT(('02 MONITOR'!$U$7:$U$106=93)*(ROW('02 MONITOR'!$B$7:$B$106)-6))),"")</f>
        <v/>
      </c>
      <c r="N22" s="28">
        <f>IFERROR(INDEX('02 MONITOR'!$B$7:$B$106,SUMPRODUCT(('02 MONITOR'!$U$7:$U$106=93)*(ROW('02 MONITOR'!$B$7:$B$106)-6))),"")</f>
        <v/>
      </c>
      <c r="O22" s="42">
        <f>IFERROR(INDEX('02 MONITOR'!$M$7:$M$106,SUMPRODUCT(('02 MONITOR'!$U$7:$U$106=93)*(ROW('02 MONITOR'!$B$7:$B$106)-6))),"")</f>
        <v/>
      </c>
      <c r="P22" s="30">
        <f>IFERROR(INDEX('02 MONITOR'!$N$7:$N$106,SUMPRODUCT(('02 MONITOR'!$U$7:$U$106=93)*(ROW('02 MONITOR'!$B$7:$B$106)-6))),"")</f>
        <v/>
      </c>
      <c r="Q22" s="28">
        <f>IFERROR(INDEX('02 MONITOR'!$R$7:$R$106,SUMPRODUCT(('02 MONITOR'!$U$7:$U$106=93)*(ROW('02 MONITOR'!$B$7:$B$106)-6))),"")</f>
        <v/>
      </c>
    </row>
    <row r="23">
      <c r="B23" s="28" t="n">
        <v>9</v>
      </c>
      <c r="C23" s="19">
        <f>IFERROR(INDEX('02 MONITOR'!$C$7:$C$106,SUMPRODUCT(('02 MONITOR'!$U$7:$U$106=9)*(ROW('02 MONITOR'!$B$7:$B$106)-6))),"")</f>
        <v/>
      </c>
      <c r="D23" s="40">
        <f>IFERROR(INDEX('02 MONITOR'!$D$7:$D$106,SUMPRODUCT(('02 MONITOR'!$U$7:$U$106=9)*(ROW('02 MONITOR'!$B$7:$B$106)-6))),"")</f>
        <v/>
      </c>
      <c r="E23" s="28">
        <f>IFERROR(INDEX('02 MONITOR'!$B$7:$B$106,SUMPRODUCT(('02 MONITOR'!$U$7:$U$106=9)*(ROW('02 MONITOR'!$B$7:$B$106)-6))),"")</f>
        <v/>
      </c>
      <c r="F23" s="41">
        <f>IFERROR(INDEX('02 MONITOR'!$M$7:$M$106,SUMPRODUCT(('02 MONITOR'!$U$7:$U$106=9)*(ROW('02 MONITOR'!$B$7:$B$106)-6))),"")</f>
        <v/>
      </c>
      <c r="G23" s="30">
        <f>IFERROR(INDEX('02 MONITOR'!$N$7:$N$106,SUMPRODUCT(('02 MONITOR'!$U$7:$U$106=9)*(ROW('02 MONITOR'!$B$7:$B$106)-6))),"")</f>
        <v/>
      </c>
      <c r="H23" s="28">
        <f>IFERROR(INDEX('02 MONITOR'!$R$7:$R$106,SUMPRODUCT(('02 MONITOR'!$U$7:$U$106=9)*(ROW('02 MONITOR'!$B$7:$B$106)-6))),"")</f>
        <v/>
      </c>
      <c r="K23" s="28" t="n">
        <v>9</v>
      </c>
      <c r="L23" s="19">
        <f>IFERROR(INDEX('02 MONITOR'!$C$7:$C$106,SUMPRODUCT(('02 MONITOR'!$U$7:$U$106=92)*(ROW('02 MONITOR'!$B$7:$B$106)-6))),"")</f>
        <v/>
      </c>
      <c r="M23" s="40">
        <f>IFERROR(INDEX('02 MONITOR'!$D$7:$D$106,SUMPRODUCT(('02 MONITOR'!$U$7:$U$106=92)*(ROW('02 MONITOR'!$B$7:$B$106)-6))),"")</f>
        <v/>
      </c>
      <c r="N23" s="28">
        <f>IFERROR(INDEX('02 MONITOR'!$B$7:$B$106,SUMPRODUCT(('02 MONITOR'!$U$7:$U$106=92)*(ROW('02 MONITOR'!$B$7:$B$106)-6))),"")</f>
        <v/>
      </c>
      <c r="O23" s="42">
        <f>IFERROR(INDEX('02 MONITOR'!$M$7:$M$106,SUMPRODUCT(('02 MONITOR'!$U$7:$U$106=92)*(ROW('02 MONITOR'!$B$7:$B$106)-6))),"")</f>
        <v/>
      </c>
      <c r="P23" s="30">
        <f>IFERROR(INDEX('02 MONITOR'!$N$7:$N$106,SUMPRODUCT(('02 MONITOR'!$U$7:$U$106=92)*(ROW('02 MONITOR'!$B$7:$B$106)-6))),"")</f>
        <v/>
      </c>
      <c r="Q23" s="28">
        <f>IFERROR(INDEX('02 MONITOR'!$R$7:$R$106,SUMPRODUCT(('02 MONITOR'!$U$7:$U$106=92)*(ROW('02 MONITOR'!$B$7:$B$106)-6))),"")</f>
        <v/>
      </c>
    </row>
    <row r="24">
      <c r="B24" s="28" t="n">
        <v>10</v>
      </c>
      <c r="C24" s="19">
        <f>IFERROR(INDEX('02 MONITOR'!$C$7:$C$106,SUMPRODUCT(('02 MONITOR'!$U$7:$U$106=10)*(ROW('02 MONITOR'!$B$7:$B$106)-6))),"")</f>
        <v/>
      </c>
      <c r="D24" s="40">
        <f>IFERROR(INDEX('02 MONITOR'!$D$7:$D$106,SUMPRODUCT(('02 MONITOR'!$U$7:$U$106=10)*(ROW('02 MONITOR'!$B$7:$B$106)-6))),"")</f>
        <v/>
      </c>
      <c r="E24" s="28">
        <f>IFERROR(INDEX('02 MONITOR'!$B$7:$B$106,SUMPRODUCT(('02 MONITOR'!$U$7:$U$106=10)*(ROW('02 MONITOR'!$B$7:$B$106)-6))),"")</f>
        <v/>
      </c>
      <c r="F24" s="41">
        <f>IFERROR(INDEX('02 MONITOR'!$M$7:$M$106,SUMPRODUCT(('02 MONITOR'!$U$7:$U$106=10)*(ROW('02 MONITOR'!$B$7:$B$106)-6))),"")</f>
        <v/>
      </c>
      <c r="G24" s="30">
        <f>IFERROR(INDEX('02 MONITOR'!$N$7:$N$106,SUMPRODUCT(('02 MONITOR'!$U$7:$U$106=10)*(ROW('02 MONITOR'!$B$7:$B$106)-6))),"")</f>
        <v/>
      </c>
      <c r="H24" s="28">
        <f>IFERROR(INDEX('02 MONITOR'!$R$7:$R$106,SUMPRODUCT(('02 MONITOR'!$U$7:$U$106=10)*(ROW('02 MONITOR'!$B$7:$B$106)-6))),"")</f>
        <v/>
      </c>
      <c r="K24" s="28" t="n">
        <v>10</v>
      </c>
      <c r="L24" s="19">
        <f>IFERROR(INDEX('02 MONITOR'!$C$7:$C$106,SUMPRODUCT(('02 MONITOR'!$U$7:$U$106=91)*(ROW('02 MONITOR'!$B$7:$B$106)-6))),"")</f>
        <v/>
      </c>
      <c r="M24" s="40">
        <f>IFERROR(INDEX('02 MONITOR'!$D$7:$D$106,SUMPRODUCT(('02 MONITOR'!$U$7:$U$106=91)*(ROW('02 MONITOR'!$B$7:$B$106)-6))),"")</f>
        <v/>
      </c>
      <c r="N24" s="28">
        <f>IFERROR(INDEX('02 MONITOR'!$B$7:$B$106,SUMPRODUCT(('02 MONITOR'!$U$7:$U$106=91)*(ROW('02 MONITOR'!$B$7:$B$106)-6))),"")</f>
        <v/>
      </c>
      <c r="O24" s="42">
        <f>IFERROR(INDEX('02 MONITOR'!$M$7:$M$106,SUMPRODUCT(('02 MONITOR'!$U$7:$U$106=91)*(ROW('02 MONITOR'!$B$7:$B$106)-6))),"")</f>
        <v/>
      </c>
      <c r="P24" s="30">
        <f>IFERROR(INDEX('02 MONITOR'!$N$7:$N$106,SUMPRODUCT(('02 MONITOR'!$U$7:$U$106=91)*(ROW('02 MONITOR'!$B$7:$B$106)-6))),"")</f>
        <v/>
      </c>
      <c r="Q24" s="28">
        <f>IFERROR(INDEX('02 MONITOR'!$R$7:$R$106,SUMPRODUCT(('02 MONITOR'!$U$7:$U$106=91)*(ROW('02 MONITOR'!$B$7:$B$106)-6))),"")</f>
        <v/>
      </c>
    </row>
    <row r="25">
      <c r="B25" s="28" t="n">
        <v>11</v>
      </c>
      <c r="C25" s="19">
        <f>IFERROR(INDEX('02 MONITOR'!$C$7:$C$106,SUMPRODUCT(('02 MONITOR'!$U$7:$U$106=11)*(ROW('02 MONITOR'!$B$7:$B$106)-6))),"")</f>
        <v/>
      </c>
      <c r="D25" s="40">
        <f>IFERROR(INDEX('02 MONITOR'!$D$7:$D$106,SUMPRODUCT(('02 MONITOR'!$U$7:$U$106=11)*(ROW('02 MONITOR'!$B$7:$B$106)-6))),"")</f>
        <v/>
      </c>
      <c r="E25" s="28">
        <f>IFERROR(INDEX('02 MONITOR'!$B$7:$B$106,SUMPRODUCT(('02 MONITOR'!$U$7:$U$106=11)*(ROW('02 MONITOR'!$B$7:$B$106)-6))),"")</f>
        <v/>
      </c>
      <c r="F25" s="41">
        <f>IFERROR(INDEX('02 MONITOR'!$M$7:$M$106,SUMPRODUCT(('02 MONITOR'!$U$7:$U$106=11)*(ROW('02 MONITOR'!$B$7:$B$106)-6))),"")</f>
        <v/>
      </c>
      <c r="G25" s="30">
        <f>IFERROR(INDEX('02 MONITOR'!$N$7:$N$106,SUMPRODUCT(('02 MONITOR'!$U$7:$U$106=11)*(ROW('02 MONITOR'!$B$7:$B$106)-6))),"")</f>
        <v/>
      </c>
      <c r="H25" s="28">
        <f>IFERROR(INDEX('02 MONITOR'!$R$7:$R$106,SUMPRODUCT(('02 MONITOR'!$U$7:$U$106=11)*(ROW('02 MONITOR'!$B$7:$B$106)-6))),"")</f>
        <v/>
      </c>
      <c r="K25" s="28" t="n">
        <v>11</v>
      </c>
      <c r="L25" s="19">
        <f>IFERROR(INDEX('02 MONITOR'!$C$7:$C$106,SUMPRODUCT(('02 MONITOR'!$U$7:$U$106=90)*(ROW('02 MONITOR'!$B$7:$B$106)-6))),"")</f>
        <v/>
      </c>
      <c r="M25" s="40">
        <f>IFERROR(INDEX('02 MONITOR'!$D$7:$D$106,SUMPRODUCT(('02 MONITOR'!$U$7:$U$106=90)*(ROW('02 MONITOR'!$B$7:$B$106)-6))),"")</f>
        <v/>
      </c>
      <c r="N25" s="28">
        <f>IFERROR(INDEX('02 MONITOR'!$B$7:$B$106,SUMPRODUCT(('02 MONITOR'!$U$7:$U$106=90)*(ROW('02 MONITOR'!$B$7:$B$106)-6))),"")</f>
        <v/>
      </c>
      <c r="O25" s="42">
        <f>IFERROR(INDEX('02 MONITOR'!$M$7:$M$106,SUMPRODUCT(('02 MONITOR'!$U$7:$U$106=90)*(ROW('02 MONITOR'!$B$7:$B$106)-6))),"")</f>
        <v/>
      </c>
      <c r="P25" s="30">
        <f>IFERROR(INDEX('02 MONITOR'!$N$7:$N$106,SUMPRODUCT(('02 MONITOR'!$U$7:$U$106=90)*(ROW('02 MONITOR'!$B$7:$B$106)-6))),"")</f>
        <v/>
      </c>
      <c r="Q25" s="28">
        <f>IFERROR(INDEX('02 MONITOR'!$R$7:$R$106,SUMPRODUCT(('02 MONITOR'!$U$7:$U$106=90)*(ROW('02 MONITOR'!$B$7:$B$106)-6))),"")</f>
        <v/>
      </c>
    </row>
    <row r="26">
      <c r="B26" s="28" t="n">
        <v>12</v>
      </c>
      <c r="C26" s="19">
        <f>IFERROR(INDEX('02 MONITOR'!$C$7:$C$106,SUMPRODUCT(('02 MONITOR'!$U$7:$U$106=12)*(ROW('02 MONITOR'!$B$7:$B$106)-6))),"")</f>
        <v/>
      </c>
      <c r="D26" s="40">
        <f>IFERROR(INDEX('02 MONITOR'!$D$7:$D$106,SUMPRODUCT(('02 MONITOR'!$U$7:$U$106=12)*(ROW('02 MONITOR'!$B$7:$B$106)-6))),"")</f>
        <v/>
      </c>
      <c r="E26" s="28">
        <f>IFERROR(INDEX('02 MONITOR'!$B$7:$B$106,SUMPRODUCT(('02 MONITOR'!$U$7:$U$106=12)*(ROW('02 MONITOR'!$B$7:$B$106)-6))),"")</f>
        <v/>
      </c>
      <c r="F26" s="41">
        <f>IFERROR(INDEX('02 MONITOR'!$M$7:$M$106,SUMPRODUCT(('02 MONITOR'!$U$7:$U$106=12)*(ROW('02 MONITOR'!$B$7:$B$106)-6))),"")</f>
        <v/>
      </c>
      <c r="G26" s="30">
        <f>IFERROR(INDEX('02 MONITOR'!$N$7:$N$106,SUMPRODUCT(('02 MONITOR'!$U$7:$U$106=12)*(ROW('02 MONITOR'!$B$7:$B$106)-6))),"")</f>
        <v/>
      </c>
      <c r="H26" s="28">
        <f>IFERROR(INDEX('02 MONITOR'!$R$7:$R$106,SUMPRODUCT(('02 MONITOR'!$U$7:$U$106=12)*(ROW('02 MONITOR'!$B$7:$B$106)-6))),"")</f>
        <v/>
      </c>
      <c r="K26" s="28" t="n">
        <v>12</v>
      </c>
      <c r="L26" s="19">
        <f>IFERROR(INDEX('02 MONITOR'!$C$7:$C$106,SUMPRODUCT(('02 MONITOR'!$U$7:$U$106=89)*(ROW('02 MONITOR'!$B$7:$B$106)-6))),"")</f>
        <v/>
      </c>
      <c r="M26" s="40">
        <f>IFERROR(INDEX('02 MONITOR'!$D$7:$D$106,SUMPRODUCT(('02 MONITOR'!$U$7:$U$106=89)*(ROW('02 MONITOR'!$B$7:$B$106)-6))),"")</f>
        <v/>
      </c>
      <c r="N26" s="28">
        <f>IFERROR(INDEX('02 MONITOR'!$B$7:$B$106,SUMPRODUCT(('02 MONITOR'!$U$7:$U$106=89)*(ROW('02 MONITOR'!$B$7:$B$106)-6))),"")</f>
        <v/>
      </c>
      <c r="O26" s="42">
        <f>IFERROR(INDEX('02 MONITOR'!$M$7:$M$106,SUMPRODUCT(('02 MONITOR'!$U$7:$U$106=89)*(ROW('02 MONITOR'!$B$7:$B$106)-6))),"")</f>
        <v/>
      </c>
      <c r="P26" s="30">
        <f>IFERROR(INDEX('02 MONITOR'!$N$7:$N$106,SUMPRODUCT(('02 MONITOR'!$U$7:$U$106=89)*(ROW('02 MONITOR'!$B$7:$B$106)-6))),"")</f>
        <v/>
      </c>
      <c r="Q26" s="28">
        <f>IFERROR(INDEX('02 MONITOR'!$R$7:$R$106,SUMPRODUCT(('02 MONITOR'!$U$7:$U$106=89)*(ROW('02 MONITOR'!$B$7:$B$106)-6))),"")</f>
        <v/>
      </c>
    </row>
    <row r="27">
      <c r="B27" s="28" t="n">
        <v>13</v>
      </c>
      <c r="C27" s="19">
        <f>IFERROR(INDEX('02 MONITOR'!$C$7:$C$106,SUMPRODUCT(('02 MONITOR'!$U$7:$U$106=13)*(ROW('02 MONITOR'!$B$7:$B$106)-6))),"")</f>
        <v/>
      </c>
      <c r="D27" s="40">
        <f>IFERROR(INDEX('02 MONITOR'!$D$7:$D$106,SUMPRODUCT(('02 MONITOR'!$U$7:$U$106=13)*(ROW('02 MONITOR'!$B$7:$B$106)-6))),"")</f>
        <v/>
      </c>
      <c r="E27" s="28">
        <f>IFERROR(INDEX('02 MONITOR'!$B$7:$B$106,SUMPRODUCT(('02 MONITOR'!$U$7:$U$106=13)*(ROW('02 MONITOR'!$B$7:$B$106)-6))),"")</f>
        <v/>
      </c>
      <c r="F27" s="41">
        <f>IFERROR(INDEX('02 MONITOR'!$M$7:$M$106,SUMPRODUCT(('02 MONITOR'!$U$7:$U$106=13)*(ROW('02 MONITOR'!$B$7:$B$106)-6))),"")</f>
        <v/>
      </c>
      <c r="G27" s="30">
        <f>IFERROR(INDEX('02 MONITOR'!$N$7:$N$106,SUMPRODUCT(('02 MONITOR'!$U$7:$U$106=13)*(ROW('02 MONITOR'!$B$7:$B$106)-6))),"")</f>
        <v/>
      </c>
      <c r="H27" s="28">
        <f>IFERROR(INDEX('02 MONITOR'!$R$7:$R$106,SUMPRODUCT(('02 MONITOR'!$U$7:$U$106=13)*(ROW('02 MONITOR'!$B$7:$B$106)-6))),"")</f>
        <v/>
      </c>
      <c r="K27" s="28" t="n">
        <v>13</v>
      </c>
      <c r="L27" s="19">
        <f>IFERROR(INDEX('02 MONITOR'!$C$7:$C$106,SUMPRODUCT(('02 MONITOR'!$U$7:$U$106=88)*(ROW('02 MONITOR'!$B$7:$B$106)-6))),"")</f>
        <v/>
      </c>
      <c r="M27" s="40">
        <f>IFERROR(INDEX('02 MONITOR'!$D$7:$D$106,SUMPRODUCT(('02 MONITOR'!$U$7:$U$106=88)*(ROW('02 MONITOR'!$B$7:$B$106)-6))),"")</f>
        <v/>
      </c>
      <c r="N27" s="28">
        <f>IFERROR(INDEX('02 MONITOR'!$B$7:$B$106,SUMPRODUCT(('02 MONITOR'!$U$7:$U$106=88)*(ROW('02 MONITOR'!$B$7:$B$106)-6))),"")</f>
        <v/>
      </c>
      <c r="O27" s="42">
        <f>IFERROR(INDEX('02 MONITOR'!$M$7:$M$106,SUMPRODUCT(('02 MONITOR'!$U$7:$U$106=88)*(ROW('02 MONITOR'!$B$7:$B$106)-6))),"")</f>
        <v/>
      </c>
      <c r="P27" s="30">
        <f>IFERROR(INDEX('02 MONITOR'!$N$7:$N$106,SUMPRODUCT(('02 MONITOR'!$U$7:$U$106=88)*(ROW('02 MONITOR'!$B$7:$B$106)-6))),"")</f>
        <v/>
      </c>
      <c r="Q27" s="28">
        <f>IFERROR(INDEX('02 MONITOR'!$R$7:$R$106,SUMPRODUCT(('02 MONITOR'!$U$7:$U$106=88)*(ROW('02 MONITOR'!$B$7:$B$106)-6))),"")</f>
        <v/>
      </c>
    </row>
    <row r="28">
      <c r="B28" s="28" t="n">
        <v>14</v>
      </c>
      <c r="C28" s="19">
        <f>IFERROR(INDEX('02 MONITOR'!$C$7:$C$106,SUMPRODUCT(('02 MONITOR'!$U$7:$U$106=14)*(ROW('02 MONITOR'!$B$7:$B$106)-6))),"")</f>
        <v/>
      </c>
      <c r="D28" s="40">
        <f>IFERROR(INDEX('02 MONITOR'!$D$7:$D$106,SUMPRODUCT(('02 MONITOR'!$U$7:$U$106=14)*(ROW('02 MONITOR'!$B$7:$B$106)-6))),"")</f>
        <v/>
      </c>
      <c r="E28" s="28">
        <f>IFERROR(INDEX('02 MONITOR'!$B$7:$B$106,SUMPRODUCT(('02 MONITOR'!$U$7:$U$106=14)*(ROW('02 MONITOR'!$B$7:$B$106)-6))),"")</f>
        <v/>
      </c>
      <c r="F28" s="41">
        <f>IFERROR(INDEX('02 MONITOR'!$M$7:$M$106,SUMPRODUCT(('02 MONITOR'!$U$7:$U$106=14)*(ROW('02 MONITOR'!$B$7:$B$106)-6))),"")</f>
        <v/>
      </c>
      <c r="G28" s="30">
        <f>IFERROR(INDEX('02 MONITOR'!$N$7:$N$106,SUMPRODUCT(('02 MONITOR'!$U$7:$U$106=14)*(ROW('02 MONITOR'!$B$7:$B$106)-6))),"")</f>
        <v/>
      </c>
      <c r="H28" s="28">
        <f>IFERROR(INDEX('02 MONITOR'!$R$7:$R$106,SUMPRODUCT(('02 MONITOR'!$U$7:$U$106=14)*(ROW('02 MONITOR'!$B$7:$B$106)-6))),"")</f>
        <v/>
      </c>
      <c r="K28" s="28" t="n">
        <v>14</v>
      </c>
      <c r="L28" s="19">
        <f>IFERROR(INDEX('02 MONITOR'!$C$7:$C$106,SUMPRODUCT(('02 MONITOR'!$U$7:$U$106=87)*(ROW('02 MONITOR'!$B$7:$B$106)-6))),"")</f>
        <v/>
      </c>
      <c r="M28" s="40">
        <f>IFERROR(INDEX('02 MONITOR'!$D$7:$D$106,SUMPRODUCT(('02 MONITOR'!$U$7:$U$106=87)*(ROW('02 MONITOR'!$B$7:$B$106)-6))),"")</f>
        <v/>
      </c>
      <c r="N28" s="28">
        <f>IFERROR(INDEX('02 MONITOR'!$B$7:$B$106,SUMPRODUCT(('02 MONITOR'!$U$7:$U$106=87)*(ROW('02 MONITOR'!$B$7:$B$106)-6))),"")</f>
        <v/>
      </c>
      <c r="O28" s="42">
        <f>IFERROR(INDEX('02 MONITOR'!$M$7:$M$106,SUMPRODUCT(('02 MONITOR'!$U$7:$U$106=87)*(ROW('02 MONITOR'!$B$7:$B$106)-6))),"")</f>
        <v/>
      </c>
      <c r="P28" s="30">
        <f>IFERROR(INDEX('02 MONITOR'!$N$7:$N$106,SUMPRODUCT(('02 MONITOR'!$U$7:$U$106=87)*(ROW('02 MONITOR'!$B$7:$B$106)-6))),"")</f>
        <v/>
      </c>
      <c r="Q28" s="28">
        <f>IFERROR(INDEX('02 MONITOR'!$R$7:$R$106,SUMPRODUCT(('02 MONITOR'!$U$7:$U$106=87)*(ROW('02 MONITOR'!$B$7:$B$106)-6))),"")</f>
        <v/>
      </c>
    </row>
    <row r="29">
      <c r="B29" s="28" t="n">
        <v>15</v>
      </c>
      <c r="C29" s="19">
        <f>IFERROR(INDEX('02 MONITOR'!$C$7:$C$106,SUMPRODUCT(('02 MONITOR'!$U$7:$U$106=15)*(ROW('02 MONITOR'!$B$7:$B$106)-6))),"")</f>
        <v/>
      </c>
      <c r="D29" s="40">
        <f>IFERROR(INDEX('02 MONITOR'!$D$7:$D$106,SUMPRODUCT(('02 MONITOR'!$U$7:$U$106=15)*(ROW('02 MONITOR'!$B$7:$B$106)-6))),"")</f>
        <v/>
      </c>
      <c r="E29" s="28">
        <f>IFERROR(INDEX('02 MONITOR'!$B$7:$B$106,SUMPRODUCT(('02 MONITOR'!$U$7:$U$106=15)*(ROW('02 MONITOR'!$B$7:$B$106)-6))),"")</f>
        <v/>
      </c>
      <c r="F29" s="41">
        <f>IFERROR(INDEX('02 MONITOR'!$M$7:$M$106,SUMPRODUCT(('02 MONITOR'!$U$7:$U$106=15)*(ROW('02 MONITOR'!$B$7:$B$106)-6))),"")</f>
        <v/>
      </c>
      <c r="G29" s="30">
        <f>IFERROR(INDEX('02 MONITOR'!$N$7:$N$106,SUMPRODUCT(('02 MONITOR'!$U$7:$U$106=15)*(ROW('02 MONITOR'!$B$7:$B$106)-6))),"")</f>
        <v/>
      </c>
      <c r="H29" s="28">
        <f>IFERROR(INDEX('02 MONITOR'!$R$7:$R$106,SUMPRODUCT(('02 MONITOR'!$U$7:$U$106=15)*(ROW('02 MONITOR'!$B$7:$B$106)-6))),"")</f>
        <v/>
      </c>
      <c r="K29" s="28" t="n">
        <v>15</v>
      </c>
      <c r="L29" s="19">
        <f>IFERROR(INDEX('02 MONITOR'!$C$7:$C$106,SUMPRODUCT(('02 MONITOR'!$U$7:$U$106=86)*(ROW('02 MONITOR'!$B$7:$B$106)-6))),"")</f>
        <v/>
      </c>
      <c r="M29" s="40">
        <f>IFERROR(INDEX('02 MONITOR'!$D$7:$D$106,SUMPRODUCT(('02 MONITOR'!$U$7:$U$106=86)*(ROW('02 MONITOR'!$B$7:$B$106)-6))),"")</f>
        <v/>
      </c>
      <c r="N29" s="28">
        <f>IFERROR(INDEX('02 MONITOR'!$B$7:$B$106,SUMPRODUCT(('02 MONITOR'!$U$7:$U$106=86)*(ROW('02 MONITOR'!$B$7:$B$106)-6))),"")</f>
        <v/>
      </c>
      <c r="O29" s="42">
        <f>IFERROR(INDEX('02 MONITOR'!$M$7:$M$106,SUMPRODUCT(('02 MONITOR'!$U$7:$U$106=86)*(ROW('02 MONITOR'!$B$7:$B$106)-6))),"")</f>
        <v/>
      </c>
      <c r="P29" s="30">
        <f>IFERROR(INDEX('02 MONITOR'!$N$7:$N$106,SUMPRODUCT(('02 MONITOR'!$U$7:$U$106=86)*(ROW('02 MONITOR'!$B$7:$B$106)-6))),"")</f>
        <v/>
      </c>
      <c r="Q29" s="28">
        <f>IFERROR(INDEX('02 MONITOR'!$R$7:$R$106,SUMPRODUCT(('02 MONITOR'!$U$7:$U$106=86)*(ROW('02 MONITOR'!$B$7:$B$106)-6))),"")</f>
        <v/>
      </c>
    </row>
    <row r="30">
      <c r="B30" s="28" t="n">
        <v>16</v>
      </c>
      <c r="C30" s="19">
        <f>IFERROR(INDEX('02 MONITOR'!$C$7:$C$106,SUMPRODUCT(('02 MONITOR'!$U$7:$U$106=16)*(ROW('02 MONITOR'!$B$7:$B$106)-6))),"")</f>
        <v/>
      </c>
      <c r="D30" s="40">
        <f>IFERROR(INDEX('02 MONITOR'!$D$7:$D$106,SUMPRODUCT(('02 MONITOR'!$U$7:$U$106=16)*(ROW('02 MONITOR'!$B$7:$B$106)-6))),"")</f>
        <v/>
      </c>
      <c r="E30" s="28">
        <f>IFERROR(INDEX('02 MONITOR'!$B$7:$B$106,SUMPRODUCT(('02 MONITOR'!$U$7:$U$106=16)*(ROW('02 MONITOR'!$B$7:$B$106)-6))),"")</f>
        <v/>
      </c>
      <c r="F30" s="41">
        <f>IFERROR(INDEX('02 MONITOR'!$M$7:$M$106,SUMPRODUCT(('02 MONITOR'!$U$7:$U$106=16)*(ROW('02 MONITOR'!$B$7:$B$106)-6))),"")</f>
        <v/>
      </c>
      <c r="G30" s="30">
        <f>IFERROR(INDEX('02 MONITOR'!$N$7:$N$106,SUMPRODUCT(('02 MONITOR'!$U$7:$U$106=16)*(ROW('02 MONITOR'!$B$7:$B$106)-6))),"")</f>
        <v/>
      </c>
      <c r="H30" s="28">
        <f>IFERROR(INDEX('02 MONITOR'!$R$7:$R$106,SUMPRODUCT(('02 MONITOR'!$U$7:$U$106=16)*(ROW('02 MONITOR'!$B$7:$B$106)-6))),"")</f>
        <v/>
      </c>
      <c r="K30" s="28" t="n">
        <v>16</v>
      </c>
      <c r="L30" s="19">
        <f>IFERROR(INDEX('02 MONITOR'!$C$7:$C$106,SUMPRODUCT(('02 MONITOR'!$U$7:$U$106=85)*(ROW('02 MONITOR'!$B$7:$B$106)-6))),"")</f>
        <v/>
      </c>
      <c r="M30" s="40">
        <f>IFERROR(INDEX('02 MONITOR'!$D$7:$D$106,SUMPRODUCT(('02 MONITOR'!$U$7:$U$106=85)*(ROW('02 MONITOR'!$B$7:$B$106)-6))),"")</f>
        <v/>
      </c>
      <c r="N30" s="28">
        <f>IFERROR(INDEX('02 MONITOR'!$B$7:$B$106,SUMPRODUCT(('02 MONITOR'!$U$7:$U$106=85)*(ROW('02 MONITOR'!$B$7:$B$106)-6))),"")</f>
        <v/>
      </c>
      <c r="O30" s="42">
        <f>IFERROR(INDEX('02 MONITOR'!$M$7:$M$106,SUMPRODUCT(('02 MONITOR'!$U$7:$U$106=85)*(ROW('02 MONITOR'!$B$7:$B$106)-6))),"")</f>
        <v/>
      </c>
      <c r="P30" s="30">
        <f>IFERROR(INDEX('02 MONITOR'!$N$7:$N$106,SUMPRODUCT(('02 MONITOR'!$U$7:$U$106=85)*(ROW('02 MONITOR'!$B$7:$B$106)-6))),"")</f>
        <v/>
      </c>
      <c r="Q30" s="28">
        <f>IFERROR(INDEX('02 MONITOR'!$R$7:$R$106,SUMPRODUCT(('02 MONITOR'!$U$7:$U$106=85)*(ROW('02 MONITOR'!$B$7:$B$106)-6))),"")</f>
        <v/>
      </c>
    </row>
    <row r="31">
      <c r="B31" s="28" t="n">
        <v>17</v>
      </c>
      <c r="C31" s="19">
        <f>IFERROR(INDEX('02 MONITOR'!$C$7:$C$106,SUMPRODUCT(('02 MONITOR'!$U$7:$U$106=17)*(ROW('02 MONITOR'!$B$7:$B$106)-6))),"")</f>
        <v/>
      </c>
      <c r="D31" s="40">
        <f>IFERROR(INDEX('02 MONITOR'!$D$7:$D$106,SUMPRODUCT(('02 MONITOR'!$U$7:$U$106=17)*(ROW('02 MONITOR'!$B$7:$B$106)-6))),"")</f>
        <v/>
      </c>
      <c r="E31" s="28">
        <f>IFERROR(INDEX('02 MONITOR'!$B$7:$B$106,SUMPRODUCT(('02 MONITOR'!$U$7:$U$106=17)*(ROW('02 MONITOR'!$B$7:$B$106)-6))),"")</f>
        <v/>
      </c>
      <c r="F31" s="41">
        <f>IFERROR(INDEX('02 MONITOR'!$M$7:$M$106,SUMPRODUCT(('02 MONITOR'!$U$7:$U$106=17)*(ROW('02 MONITOR'!$B$7:$B$106)-6))),"")</f>
        <v/>
      </c>
      <c r="G31" s="30">
        <f>IFERROR(INDEX('02 MONITOR'!$N$7:$N$106,SUMPRODUCT(('02 MONITOR'!$U$7:$U$106=17)*(ROW('02 MONITOR'!$B$7:$B$106)-6))),"")</f>
        <v/>
      </c>
      <c r="H31" s="28">
        <f>IFERROR(INDEX('02 MONITOR'!$R$7:$R$106,SUMPRODUCT(('02 MONITOR'!$U$7:$U$106=17)*(ROW('02 MONITOR'!$B$7:$B$106)-6))),"")</f>
        <v/>
      </c>
      <c r="K31" s="28" t="n">
        <v>17</v>
      </c>
      <c r="L31" s="19">
        <f>IFERROR(INDEX('02 MONITOR'!$C$7:$C$106,SUMPRODUCT(('02 MONITOR'!$U$7:$U$106=84)*(ROW('02 MONITOR'!$B$7:$B$106)-6))),"")</f>
        <v/>
      </c>
      <c r="M31" s="40">
        <f>IFERROR(INDEX('02 MONITOR'!$D$7:$D$106,SUMPRODUCT(('02 MONITOR'!$U$7:$U$106=84)*(ROW('02 MONITOR'!$B$7:$B$106)-6))),"")</f>
        <v/>
      </c>
      <c r="N31" s="28">
        <f>IFERROR(INDEX('02 MONITOR'!$B$7:$B$106,SUMPRODUCT(('02 MONITOR'!$U$7:$U$106=84)*(ROW('02 MONITOR'!$B$7:$B$106)-6))),"")</f>
        <v/>
      </c>
      <c r="O31" s="42">
        <f>IFERROR(INDEX('02 MONITOR'!$M$7:$M$106,SUMPRODUCT(('02 MONITOR'!$U$7:$U$106=84)*(ROW('02 MONITOR'!$B$7:$B$106)-6))),"")</f>
        <v/>
      </c>
      <c r="P31" s="30">
        <f>IFERROR(INDEX('02 MONITOR'!$N$7:$N$106,SUMPRODUCT(('02 MONITOR'!$U$7:$U$106=84)*(ROW('02 MONITOR'!$B$7:$B$106)-6))),"")</f>
        <v/>
      </c>
      <c r="Q31" s="28">
        <f>IFERROR(INDEX('02 MONITOR'!$R$7:$R$106,SUMPRODUCT(('02 MONITOR'!$U$7:$U$106=84)*(ROW('02 MONITOR'!$B$7:$B$106)-6))),"")</f>
        <v/>
      </c>
    </row>
    <row r="32">
      <c r="B32" s="28" t="n">
        <v>18</v>
      </c>
      <c r="C32" s="19">
        <f>IFERROR(INDEX('02 MONITOR'!$C$7:$C$106,SUMPRODUCT(('02 MONITOR'!$U$7:$U$106=18)*(ROW('02 MONITOR'!$B$7:$B$106)-6))),"")</f>
        <v/>
      </c>
      <c r="D32" s="40">
        <f>IFERROR(INDEX('02 MONITOR'!$D$7:$D$106,SUMPRODUCT(('02 MONITOR'!$U$7:$U$106=18)*(ROW('02 MONITOR'!$B$7:$B$106)-6))),"")</f>
        <v/>
      </c>
      <c r="E32" s="28">
        <f>IFERROR(INDEX('02 MONITOR'!$B$7:$B$106,SUMPRODUCT(('02 MONITOR'!$U$7:$U$106=18)*(ROW('02 MONITOR'!$B$7:$B$106)-6))),"")</f>
        <v/>
      </c>
      <c r="F32" s="41">
        <f>IFERROR(INDEX('02 MONITOR'!$M$7:$M$106,SUMPRODUCT(('02 MONITOR'!$U$7:$U$106=18)*(ROW('02 MONITOR'!$B$7:$B$106)-6))),"")</f>
        <v/>
      </c>
      <c r="G32" s="30">
        <f>IFERROR(INDEX('02 MONITOR'!$N$7:$N$106,SUMPRODUCT(('02 MONITOR'!$U$7:$U$106=18)*(ROW('02 MONITOR'!$B$7:$B$106)-6))),"")</f>
        <v/>
      </c>
      <c r="H32" s="28">
        <f>IFERROR(INDEX('02 MONITOR'!$R$7:$R$106,SUMPRODUCT(('02 MONITOR'!$U$7:$U$106=18)*(ROW('02 MONITOR'!$B$7:$B$106)-6))),"")</f>
        <v/>
      </c>
      <c r="K32" s="28" t="n">
        <v>18</v>
      </c>
      <c r="L32" s="19">
        <f>IFERROR(INDEX('02 MONITOR'!$C$7:$C$106,SUMPRODUCT(('02 MONITOR'!$U$7:$U$106=83)*(ROW('02 MONITOR'!$B$7:$B$106)-6))),"")</f>
        <v/>
      </c>
      <c r="M32" s="40">
        <f>IFERROR(INDEX('02 MONITOR'!$D$7:$D$106,SUMPRODUCT(('02 MONITOR'!$U$7:$U$106=83)*(ROW('02 MONITOR'!$B$7:$B$106)-6))),"")</f>
        <v/>
      </c>
      <c r="N32" s="28">
        <f>IFERROR(INDEX('02 MONITOR'!$B$7:$B$106,SUMPRODUCT(('02 MONITOR'!$U$7:$U$106=83)*(ROW('02 MONITOR'!$B$7:$B$106)-6))),"")</f>
        <v/>
      </c>
      <c r="O32" s="42">
        <f>IFERROR(INDEX('02 MONITOR'!$M$7:$M$106,SUMPRODUCT(('02 MONITOR'!$U$7:$U$106=83)*(ROW('02 MONITOR'!$B$7:$B$106)-6))),"")</f>
        <v/>
      </c>
      <c r="P32" s="30">
        <f>IFERROR(INDEX('02 MONITOR'!$N$7:$N$106,SUMPRODUCT(('02 MONITOR'!$U$7:$U$106=83)*(ROW('02 MONITOR'!$B$7:$B$106)-6))),"")</f>
        <v/>
      </c>
      <c r="Q32" s="28">
        <f>IFERROR(INDEX('02 MONITOR'!$R$7:$R$106,SUMPRODUCT(('02 MONITOR'!$U$7:$U$106=83)*(ROW('02 MONITOR'!$B$7:$B$106)-6))),"")</f>
        <v/>
      </c>
    </row>
    <row r="33">
      <c r="B33" s="28" t="n">
        <v>19</v>
      </c>
      <c r="C33" s="19">
        <f>IFERROR(INDEX('02 MONITOR'!$C$7:$C$106,SUMPRODUCT(('02 MONITOR'!$U$7:$U$106=19)*(ROW('02 MONITOR'!$B$7:$B$106)-6))),"")</f>
        <v/>
      </c>
      <c r="D33" s="40">
        <f>IFERROR(INDEX('02 MONITOR'!$D$7:$D$106,SUMPRODUCT(('02 MONITOR'!$U$7:$U$106=19)*(ROW('02 MONITOR'!$B$7:$B$106)-6))),"")</f>
        <v/>
      </c>
      <c r="E33" s="28">
        <f>IFERROR(INDEX('02 MONITOR'!$B$7:$B$106,SUMPRODUCT(('02 MONITOR'!$U$7:$U$106=19)*(ROW('02 MONITOR'!$B$7:$B$106)-6))),"")</f>
        <v/>
      </c>
      <c r="F33" s="41">
        <f>IFERROR(INDEX('02 MONITOR'!$M$7:$M$106,SUMPRODUCT(('02 MONITOR'!$U$7:$U$106=19)*(ROW('02 MONITOR'!$B$7:$B$106)-6))),"")</f>
        <v/>
      </c>
      <c r="G33" s="30">
        <f>IFERROR(INDEX('02 MONITOR'!$N$7:$N$106,SUMPRODUCT(('02 MONITOR'!$U$7:$U$106=19)*(ROW('02 MONITOR'!$B$7:$B$106)-6))),"")</f>
        <v/>
      </c>
      <c r="H33" s="28">
        <f>IFERROR(INDEX('02 MONITOR'!$R$7:$R$106,SUMPRODUCT(('02 MONITOR'!$U$7:$U$106=19)*(ROW('02 MONITOR'!$B$7:$B$106)-6))),"")</f>
        <v/>
      </c>
      <c r="K33" s="28" t="n">
        <v>19</v>
      </c>
      <c r="L33" s="19">
        <f>IFERROR(INDEX('02 MONITOR'!$C$7:$C$106,SUMPRODUCT(('02 MONITOR'!$U$7:$U$106=82)*(ROW('02 MONITOR'!$B$7:$B$106)-6))),"")</f>
        <v/>
      </c>
      <c r="M33" s="40">
        <f>IFERROR(INDEX('02 MONITOR'!$D$7:$D$106,SUMPRODUCT(('02 MONITOR'!$U$7:$U$106=82)*(ROW('02 MONITOR'!$B$7:$B$106)-6))),"")</f>
        <v/>
      </c>
      <c r="N33" s="28">
        <f>IFERROR(INDEX('02 MONITOR'!$B$7:$B$106,SUMPRODUCT(('02 MONITOR'!$U$7:$U$106=82)*(ROW('02 MONITOR'!$B$7:$B$106)-6))),"")</f>
        <v/>
      </c>
      <c r="O33" s="42">
        <f>IFERROR(INDEX('02 MONITOR'!$M$7:$M$106,SUMPRODUCT(('02 MONITOR'!$U$7:$U$106=82)*(ROW('02 MONITOR'!$B$7:$B$106)-6))),"")</f>
        <v/>
      </c>
      <c r="P33" s="30">
        <f>IFERROR(INDEX('02 MONITOR'!$N$7:$N$106,SUMPRODUCT(('02 MONITOR'!$U$7:$U$106=82)*(ROW('02 MONITOR'!$B$7:$B$106)-6))),"")</f>
        <v/>
      </c>
      <c r="Q33" s="28">
        <f>IFERROR(INDEX('02 MONITOR'!$R$7:$R$106,SUMPRODUCT(('02 MONITOR'!$U$7:$U$106=82)*(ROW('02 MONITOR'!$B$7:$B$106)-6))),"")</f>
        <v/>
      </c>
    </row>
    <row r="34">
      <c r="B34" s="28" t="n">
        <v>20</v>
      </c>
      <c r="C34" s="19">
        <f>IFERROR(INDEX('02 MONITOR'!$C$7:$C$106,SUMPRODUCT(('02 MONITOR'!$U$7:$U$106=20)*(ROW('02 MONITOR'!$B$7:$B$106)-6))),"")</f>
        <v/>
      </c>
      <c r="D34" s="40">
        <f>IFERROR(INDEX('02 MONITOR'!$D$7:$D$106,SUMPRODUCT(('02 MONITOR'!$U$7:$U$106=20)*(ROW('02 MONITOR'!$B$7:$B$106)-6))),"")</f>
        <v/>
      </c>
      <c r="E34" s="28">
        <f>IFERROR(INDEX('02 MONITOR'!$B$7:$B$106,SUMPRODUCT(('02 MONITOR'!$U$7:$U$106=20)*(ROW('02 MONITOR'!$B$7:$B$106)-6))),"")</f>
        <v/>
      </c>
      <c r="F34" s="41">
        <f>IFERROR(INDEX('02 MONITOR'!$M$7:$M$106,SUMPRODUCT(('02 MONITOR'!$U$7:$U$106=20)*(ROW('02 MONITOR'!$B$7:$B$106)-6))),"")</f>
        <v/>
      </c>
      <c r="G34" s="30">
        <f>IFERROR(INDEX('02 MONITOR'!$N$7:$N$106,SUMPRODUCT(('02 MONITOR'!$U$7:$U$106=20)*(ROW('02 MONITOR'!$B$7:$B$106)-6))),"")</f>
        <v/>
      </c>
      <c r="H34" s="28">
        <f>IFERROR(INDEX('02 MONITOR'!$R$7:$R$106,SUMPRODUCT(('02 MONITOR'!$U$7:$U$106=20)*(ROW('02 MONITOR'!$B$7:$B$106)-6))),"")</f>
        <v/>
      </c>
      <c r="K34" s="28" t="n">
        <v>20</v>
      </c>
      <c r="L34" s="19">
        <f>IFERROR(INDEX('02 MONITOR'!$C$7:$C$106,SUMPRODUCT(('02 MONITOR'!$U$7:$U$106=81)*(ROW('02 MONITOR'!$B$7:$B$106)-6))),"")</f>
        <v/>
      </c>
      <c r="M34" s="40">
        <f>IFERROR(INDEX('02 MONITOR'!$D$7:$D$106,SUMPRODUCT(('02 MONITOR'!$U$7:$U$106=81)*(ROW('02 MONITOR'!$B$7:$B$106)-6))),"")</f>
        <v/>
      </c>
      <c r="N34" s="28">
        <f>IFERROR(INDEX('02 MONITOR'!$B$7:$B$106,SUMPRODUCT(('02 MONITOR'!$U$7:$U$106=81)*(ROW('02 MONITOR'!$B$7:$B$106)-6))),"")</f>
        <v/>
      </c>
      <c r="O34" s="42">
        <f>IFERROR(INDEX('02 MONITOR'!$M$7:$M$106,SUMPRODUCT(('02 MONITOR'!$U$7:$U$106=81)*(ROW('02 MONITOR'!$B$7:$B$106)-6))),"")</f>
        <v/>
      </c>
      <c r="P34" s="30">
        <f>IFERROR(INDEX('02 MONITOR'!$N$7:$N$106,SUMPRODUCT(('02 MONITOR'!$U$7:$U$106=81)*(ROW('02 MONITOR'!$B$7:$B$106)-6))),"")</f>
        <v/>
      </c>
      <c r="Q34" s="28">
        <f>IFERROR(INDEX('02 MONITOR'!$R$7:$R$106,SUMPRODUCT(('02 MONITOR'!$U$7:$U$106=81)*(ROW('02 MONITOR'!$B$7:$B$106)-6))),"")</f>
        <v/>
      </c>
    </row>
    <row r="35">
      <c r="B35" s="28" t="n">
        <v>21</v>
      </c>
      <c r="C35" s="19">
        <f>IFERROR(INDEX('02 MONITOR'!$C$7:$C$106,SUMPRODUCT(('02 MONITOR'!$U$7:$U$106=21)*(ROW('02 MONITOR'!$B$7:$B$106)-6))),"")</f>
        <v/>
      </c>
      <c r="D35" s="40">
        <f>IFERROR(INDEX('02 MONITOR'!$D$7:$D$106,SUMPRODUCT(('02 MONITOR'!$U$7:$U$106=21)*(ROW('02 MONITOR'!$B$7:$B$106)-6))),"")</f>
        <v/>
      </c>
      <c r="E35" s="28">
        <f>IFERROR(INDEX('02 MONITOR'!$B$7:$B$106,SUMPRODUCT(('02 MONITOR'!$U$7:$U$106=21)*(ROW('02 MONITOR'!$B$7:$B$106)-6))),"")</f>
        <v/>
      </c>
      <c r="F35" s="41">
        <f>IFERROR(INDEX('02 MONITOR'!$M$7:$M$106,SUMPRODUCT(('02 MONITOR'!$U$7:$U$106=21)*(ROW('02 MONITOR'!$B$7:$B$106)-6))),"")</f>
        <v/>
      </c>
      <c r="G35" s="30">
        <f>IFERROR(INDEX('02 MONITOR'!$N$7:$N$106,SUMPRODUCT(('02 MONITOR'!$U$7:$U$106=21)*(ROW('02 MONITOR'!$B$7:$B$106)-6))),"")</f>
        <v/>
      </c>
      <c r="H35" s="28">
        <f>IFERROR(INDEX('02 MONITOR'!$R$7:$R$106,SUMPRODUCT(('02 MONITOR'!$U$7:$U$106=21)*(ROW('02 MONITOR'!$B$7:$B$106)-6))),"")</f>
        <v/>
      </c>
      <c r="K35" s="28" t="n">
        <v>21</v>
      </c>
      <c r="L35" s="19">
        <f>IFERROR(INDEX('02 MONITOR'!$C$7:$C$106,SUMPRODUCT(('02 MONITOR'!$U$7:$U$106=80)*(ROW('02 MONITOR'!$B$7:$B$106)-6))),"")</f>
        <v/>
      </c>
      <c r="M35" s="40">
        <f>IFERROR(INDEX('02 MONITOR'!$D$7:$D$106,SUMPRODUCT(('02 MONITOR'!$U$7:$U$106=80)*(ROW('02 MONITOR'!$B$7:$B$106)-6))),"")</f>
        <v/>
      </c>
      <c r="N35" s="28">
        <f>IFERROR(INDEX('02 MONITOR'!$B$7:$B$106,SUMPRODUCT(('02 MONITOR'!$U$7:$U$106=80)*(ROW('02 MONITOR'!$B$7:$B$106)-6))),"")</f>
        <v/>
      </c>
      <c r="O35" s="42">
        <f>IFERROR(INDEX('02 MONITOR'!$M$7:$M$106,SUMPRODUCT(('02 MONITOR'!$U$7:$U$106=80)*(ROW('02 MONITOR'!$B$7:$B$106)-6))),"")</f>
        <v/>
      </c>
      <c r="P35" s="30">
        <f>IFERROR(INDEX('02 MONITOR'!$N$7:$N$106,SUMPRODUCT(('02 MONITOR'!$U$7:$U$106=80)*(ROW('02 MONITOR'!$B$7:$B$106)-6))),"")</f>
        <v/>
      </c>
      <c r="Q35" s="28">
        <f>IFERROR(INDEX('02 MONITOR'!$R$7:$R$106,SUMPRODUCT(('02 MONITOR'!$U$7:$U$106=80)*(ROW('02 MONITOR'!$B$7:$B$106)-6))),"")</f>
        <v/>
      </c>
    </row>
    <row r="36">
      <c r="B36" s="28" t="n">
        <v>22</v>
      </c>
      <c r="C36" s="19">
        <f>IFERROR(INDEX('02 MONITOR'!$C$7:$C$106,SUMPRODUCT(('02 MONITOR'!$U$7:$U$106=22)*(ROW('02 MONITOR'!$B$7:$B$106)-6))),"")</f>
        <v/>
      </c>
      <c r="D36" s="40">
        <f>IFERROR(INDEX('02 MONITOR'!$D$7:$D$106,SUMPRODUCT(('02 MONITOR'!$U$7:$U$106=22)*(ROW('02 MONITOR'!$B$7:$B$106)-6))),"")</f>
        <v/>
      </c>
      <c r="E36" s="28">
        <f>IFERROR(INDEX('02 MONITOR'!$B$7:$B$106,SUMPRODUCT(('02 MONITOR'!$U$7:$U$106=22)*(ROW('02 MONITOR'!$B$7:$B$106)-6))),"")</f>
        <v/>
      </c>
      <c r="F36" s="41">
        <f>IFERROR(INDEX('02 MONITOR'!$M$7:$M$106,SUMPRODUCT(('02 MONITOR'!$U$7:$U$106=22)*(ROW('02 MONITOR'!$B$7:$B$106)-6))),"")</f>
        <v/>
      </c>
      <c r="G36" s="30">
        <f>IFERROR(INDEX('02 MONITOR'!$N$7:$N$106,SUMPRODUCT(('02 MONITOR'!$U$7:$U$106=22)*(ROW('02 MONITOR'!$B$7:$B$106)-6))),"")</f>
        <v/>
      </c>
      <c r="H36" s="28">
        <f>IFERROR(INDEX('02 MONITOR'!$R$7:$R$106,SUMPRODUCT(('02 MONITOR'!$U$7:$U$106=22)*(ROW('02 MONITOR'!$B$7:$B$106)-6))),"")</f>
        <v/>
      </c>
      <c r="K36" s="28" t="n">
        <v>22</v>
      </c>
      <c r="L36" s="19">
        <f>IFERROR(INDEX('02 MONITOR'!$C$7:$C$106,SUMPRODUCT(('02 MONITOR'!$U$7:$U$106=79)*(ROW('02 MONITOR'!$B$7:$B$106)-6))),"")</f>
        <v/>
      </c>
      <c r="M36" s="40">
        <f>IFERROR(INDEX('02 MONITOR'!$D$7:$D$106,SUMPRODUCT(('02 MONITOR'!$U$7:$U$106=79)*(ROW('02 MONITOR'!$B$7:$B$106)-6))),"")</f>
        <v/>
      </c>
      <c r="N36" s="28">
        <f>IFERROR(INDEX('02 MONITOR'!$B$7:$B$106,SUMPRODUCT(('02 MONITOR'!$U$7:$U$106=79)*(ROW('02 MONITOR'!$B$7:$B$106)-6))),"")</f>
        <v/>
      </c>
      <c r="O36" s="42">
        <f>IFERROR(INDEX('02 MONITOR'!$M$7:$M$106,SUMPRODUCT(('02 MONITOR'!$U$7:$U$106=79)*(ROW('02 MONITOR'!$B$7:$B$106)-6))),"")</f>
        <v/>
      </c>
      <c r="P36" s="30">
        <f>IFERROR(INDEX('02 MONITOR'!$N$7:$N$106,SUMPRODUCT(('02 MONITOR'!$U$7:$U$106=79)*(ROW('02 MONITOR'!$B$7:$B$106)-6))),"")</f>
        <v/>
      </c>
      <c r="Q36" s="28">
        <f>IFERROR(INDEX('02 MONITOR'!$R$7:$R$106,SUMPRODUCT(('02 MONITOR'!$U$7:$U$106=79)*(ROW('02 MONITOR'!$B$7:$B$106)-6))),"")</f>
        <v/>
      </c>
    </row>
    <row r="37">
      <c r="B37" s="28" t="n">
        <v>23</v>
      </c>
      <c r="C37" s="19">
        <f>IFERROR(INDEX('02 MONITOR'!$C$7:$C$106,SUMPRODUCT(('02 MONITOR'!$U$7:$U$106=23)*(ROW('02 MONITOR'!$B$7:$B$106)-6))),"")</f>
        <v/>
      </c>
      <c r="D37" s="40">
        <f>IFERROR(INDEX('02 MONITOR'!$D$7:$D$106,SUMPRODUCT(('02 MONITOR'!$U$7:$U$106=23)*(ROW('02 MONITOR'!$B$7:$B$106)-6))),"")</f>
        <v/>
      </c>
      <c r="E37" s="28">
        <f>IFERROR(INDEX('02 MONITOR'!$B$7:$B$106,SUMPRODUCT(('02 MONITOR'!$U$7:$U$106=23)*(ROW('02 MONITOR'!$B$7:$B$106)-6))),"")</f>
        <v/>
      </c>
      <c r="F37" s="41">
        <f>IFERROR(INDEX('02 MONITOR'!$M$7:$M$106,SUMPRODUCT(('02 MONITOR'!$U$7:$U$106=23)*(ROW('02 MONITOR'!$B$7:$B$106)-6))),"")</f>
        <v/>
      </c>
      <c r="G37" s="30">
        <f>IFERROR(INDEX('02 MONITOR'!$N$7:$N$106,SUMPRODUCT(('02 MONITOR'!$U$7:$U$106=23)*(ROW('02 MONITOR'!$B$7:$B$106)-6))),"")</f>
        <v/>
      </c>
      <c r="H37" s="28">
        <f>IFERROR(INDEX('02 MONITOR'!$R$7:$R$106,SUMPRODUCT(('02 MONITOR'!$U$7:$U$106=23)*(ROW('02 MONITOR'!$B$7:$B$106)-6))),"")</f>
        <v/>
      </c>
      <c r="K37" s="28" t="n">
        <v>23</v>
      </c>
      <c r="L37" s="19">
        <f>IFERROR(INDEX('02 MONITOR'!$C$7:$C$106,SUMPRODUCT(('02 MONITOR'!$U$7:$U$106=78)*(ROW('02 MONITOR'!$B$7:$B$106)-6))),"")</f>
        <v/>
      </c>
      <c r="M37" s="40">
        <f>IFERROR(INDEX('02 MONITOR'!$D$7:$D$106,SUMPRODUCT(('02 MONITOR'!$U$7:$U$106=78)*(ROW('02 MONITOR'!$B$7:$B$106)-6))),"")</f>
        <v/>
      </c>
      <c r="N37" s="28">
        <f>IFERROR(INDEX('02 MONITOR'!$B$7:$B$106,SUMPRODUCT(('02 MONITOR'!$U$7:$U$106=78)*(ROW('02 MONITOR'!$B$7:$B$106)-6))),"")</f>
        <v/>
      </c>
      <c r="O37" s="42">
        <f>IFERROR(INDEX('02 MONITOR'!$M$7:$M$106,SUMPRODUCT(('02 MONITOR'!$U$7:$U$106=78)*(ROW('02 MONITOR'!$B$7:$B$106)-6))),"")</f>
        <v/>
      </c>
      <c r="P37" s="30">
        <f>IFERROR(INDEX('02 MONITOR'!$N$7:$N$106,SUMPRODUCT(('02 MONITOR'!$U$7:$U$106=78)*(ROW('02 MONITOR'!$B$7:$B$106)-6))),"")</f>
        <v/>
      </c>
      <c r="Q37" s="28">
        <f>IFERROR(INDEX('02 MONITOR'!$R$7:$R$106,SUMPRODUCT(('02 MONITOR'!$U$7:$U$106=78)*(ROW('02 MONITOR'!$B$7:$B$106)-6))),"")</f>
        <v/>
      </c>
    </row>
    <row r="38">
      <c r="B38" s="28" t="n">
        <v>24</v>
      </c>
      <c r="C38" s="19">
        <f>IFERROR(INDEX('02 MONITOR'!$C$7:$C$106,SUMPRODUCT(('02 MONITOR'!$U$7:$U$106=24)*(ROW('02 MONITOR'!$B$7:$B$106)-6))),"")</f>
        <v/>
      </c>
      <c r="D38" s="40">
        <f>IFERROR(INDEX('02 MONITOR'!$D$7:$D$106,SUMPRODUCT(('02 MONITOR'!$U$7:$U$106=24)*(ROW('02 MONITOR'!$B$7:$B$106)-6))),"")</f>
        <v/>
      </c>
      <c r="E38" s="28">
        <f>IFERROR(INDEX('02 MONITOR'!$B$7:$B$106,SUMPRODUCT(('02 MONITOR'!$U$7:$U$106=24)*(ROW('02 MONITOR'!$B$7:$B$106)-6))),"")</f>
        <v/>
      </c>
      <c r="F38" s="41">
        <f>IFERROR(INDEX('02 MONITOR'!$M$7:$M$106,SUMPRODUCT(('02 MONITOR'!$U$7:$U$106=24)*(ROW('02 MONITOR'!$B$7:$B$106)-6))),"")</f>
        <v/>
      </c>
      <c r="G38" s="30">
        <f>IFERROR(INDEX('02 MONITOR'!$N$7:$N$106,SUMPRODUCT(('02 MONITOR'!$U$7:$U$106=24)*(ROW('02 MONITOR'!$B$7:$B$106)-6))),"")</f>
        <v/>
      </c>
      <c r="H38" s="28">
        <f>IFERROR(INDEX('02 MONITOR'!$R$7:$R$106,SUMPRODUCT(('02 MONITOR'!$U$7:$U$106=24)*(ROW('02 MONITOR'!$B$7:$B$106)-6))),"")</f>
        <v/>
      </c>
      <c r="K38" s="28" t="n">
        <v>24</v>
      </c>
      <c r="L38" s="19">
        <f>IFERROR(INDEX('02 MONITOR'!$C$7:$C$106,SUMPRODUCT(('02 MONITOR'!$U$7:$U$106=77)*(ROW('02 MONITOR'!$B$7:$B$106)-6))),"")</f>
        <v/>
      </c>
      <c r="M38" s="40">
        <f>IFERROR(INDEX('02 MONITOR'!$D$7:$D$106,SUMPRODUCT(('02 MONITOR'!$U$7:$U$106=77)*(ROW('02 MONITOR'!$B$7:$B$106)-6))),"")</f>
        <v/>
      </c>
      <c r="N38" s="28">
        <f>IFERROR(INDEX('02 MONITOR'!$B$7:$B$106,SUMPRODUCT(('02 MONITOR'!$U$7:$U$106=77)*(ROW('02 MONITOR'!$B$7:$B$106)-6))),"")</f>
        <v/>
      </c>
      <c r="O38" s="42">
        <f>IFERROR(INDEX('02 MONITOR'!$M$7:$M$106,SUMPRODUCT(('02 MONITOR'!$U$7:$U$106=77)*(ROW('02 MONITOR'!$B$7:$B$106)-6))),"")</f>
        <v/>
      </c>
      <c r="P38" s="30">
        <f>IFERROR(INDEX('02 MONITOR'!$N$7:$N$106,SUMPRODUCT(('02 MONITOR'!$U$7:$U$106=77)*(ROW('02 MONITOR'!$B$7:$B$106)-6))),"")</f>
        <v/>
      </c>
      <c r="Q38" s="28">
        <f>IFERROR(INDEX('02 MONITOR'!$R$7:$R$106,SUMPRODUCT(('02 MONITOR'!$U$7:$U$106=77)*(ROW('02 MONITOR'!$B$7:$B$106)-6))),"")</f>
        <v/>
      </c>
    </row>
    <row r="39">
      <c r="B39" s="28" t="n">
        <v>25</v>
      </c>
      <c r="C39" s="19">
        <f>IFERROR(INDEX('02 MONITOR'!$C$7:$C$106,SUMPRODUCT(('02 MONITOR'!$U$7:$U$106=25)*(ROW('02 MONITOR'!$B$7:$B$106)-6))),"")</f>
        <v/>
      </c>
      <c r="D39" s="40">
        <f>IFERROR(INDEX('02 MONITOR'!$D$7:$D$106,SUMPRODUCT(('02 MONITOR'!$U$7:$U$106=25)*(ROW('02 MONITOR'!$B$7:$B$106)-6))),"")</f>
        <v/>
      </c>
      <c r="E39" s="28">
        <f>IFERROR(INDEX('02 MONITOR'!$B$7:$B$106,SUMPRODUCT(('02 MONITOR'!$U$7:$U$106=25)*(ROW('02 MONITOR'!$B$7:$B$106)-6))),"")</f>
        <v/>
      </c>
      <c r="F39" s="41">
        <f>IFERROR(INDEX('02 MONITOR'!$M$7:$M$106,SUMPRODUCT(('02 MONITOR'!$U$7:$U$106=25)*(ROW('02 MONITOR'!$B$7:$B$106)-6))),"")</f>
        <v/>
      </c>
      <c r="G39" s="30">
        <f>IFERROR(INDEX('02 MONITOR'!$N$7:$N$106,SUMPRODUCT(('02 MONITOR'!$U$7:$U$106=25)*(ROW('02 MONITOR'!$B$7:$B$106)-6))),"")</f>
        <v/>
      </c>
      <c r="H39" s="28">
        <f>IFERROR(INDEX('02 MONITOR'!$R$7:$R$106,SUMPRODUCT(('02 MONITOR'!$U$7:$U$106=25)*(ROW('02 MONITOR'!$B$7:$B$106)-6))),"")</f>
        <v/>
      </c>
      <c r="K39" s="28" t="n">
        <v>25</v>
      </c>
      <c r="L39" s="19">
        <f>IFERROR(INDEX('02 MONITOR'!$C$7:$C$106,SUMPRODUCT(('02 MONITOR'!$U$7:$U$106=76)*(ROW('02 MONITOR'!$B$7:$B$106)-6))),"")</f>
        <v/>
      </c>
      <c r="M39" s="40">
        <f>IFERROR(INDEX('02 MONITOR'!$D$7:$D$106,SUMPRODUCT(('02 MONITOR'!$U$7:$U$106=76)*(ROW('02 MONITOR'!$B$7:$B$106)-6))),"")</f>
        <v/>
      </c>
      <c r="N39" s="28">
        <f>IFERROR(INDEX('02 MONITOR'!$B$7:$B$106,SUMPRODUCT(('02 MONITOR'!$U$7:$U$106=76)*(ROW('02 MONITOR'!$B$7:$B$106)-6))),"")</f>
        <v/>
      </c>
      <c r="O39" s="42">
        <f>IFERROR(INDEX('02 MONITOR'!$M$7:$M$106,SUMPRODUCT(('02 MONITOR'!$U$7:$U$106=76)*(ROW('02 MONITOR'!$B$7:$B$106)-6))),"")</f>
        <v/>
      </c>
      <c r="P39" s="30">
        <f>IFERROR(INDEX('02 MONITOR'!$N$7:$N$106,SUMPRODUCT(('02 MONITOR'!$U$7:$U$106=76)*(ROW('02 MONITOR'!$B$7:$B$106)-6))),"")</f>
        <v/>
      </c>
      <c r="Q39" s="28">
        <f>IFERROR(INDEX('02 MONITOR'!$R$7:$R$106,SUMPRODUCT(('02 MONITOR'!$U$7:$U$106=76)*(ROW('02 MONITOR'!$B$7:$B$106)-6))),"")</f>
        <v/>
      </c>
    </row>
  </sheetData>
  <mergeCells count="9">
    <mergeCell ref="B10:D10"/>
    <mergeCell ref="B11:D11"/>
    <mergeCell ref="A2:R2"/>
    <mergeCell ref="B8:D8"/>
    <mergeCell ref="B9:D9"/>
    <mergeCell ref="A13:R13"/>
    <mergeCell ref="A1:R1"/>
    <mergeCell ref="A6:R6"/>
    <mergeCell ref="A4:R4"/>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007A33"/>
    <outlinePr summaryBelow="1" summaryRight="1"/>
    <pageSetUpPr fitToPage="1"/>
  </sheetPr>
  <dimension ref="A1:M125"/>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11" customWidth="1" min="3" max="3"/>
    <col width="7" customWidth="1" min="4" max="4"/>
    <col width="29" customWidth="1" min="5" max="5"/>
    <col width="26" customWidth="1" min="6" max="6"/>
    <col width="12" customWidth="1" min="7" max="7"/>
    <col width="11" customWidth="1" min="8" max="8"/>
    <col width="11" customWidth="1" min="9" max="9"/>
    <col width="12" customWidth="1" min="10" max="10"/>
    <col width="14" customWidth="1" min="11" max="11"/>
    <col width="15" customWidth="1" min="12" max="12"/>
    <col width="34" customWidth="1" min="13" max="13"/>
  </cols>
  <sheetData>
    <row r="1" ht="26" customHeight="1">
      <c r="A1" s="1" t="inlineStr">
        <is>
          <t>THE BOOK — 50 LONG, 50 SHORT</t>
        </is>
      </c>
    </row>
    <row r="2" ht="16" customHeight="1">
      <c r="A2" s="2" t="inlineStr">
        <is>
          <t>Built mechanically from the value scores. Equal risk to each asset class, longs matched to shorts inside every class, conviction-weighted by |z|.</t>
        </is>
      </c>
    </row>
    <row r="4" ht="96" customHeight="1">
      <c r="A4" s="4" t="inlineStr">
        <is>
          <t>CONSTRUCTION RULES, so you can defend it in a room:
   1.  Within each asset class, rank all instruments by value score. Long the cheap half, short the rich half. That makes the book neutral to every asset class by construction — no net equity, no net rates, no net FX bet.
   2.  Weight each position by conviction: |value score|, normalised so that each class's longs sum to one fifth of the long side and each class's shorts sum to one fifth of the short side. Five classes, equal risk each.
   3.  Zero any position whose |value score| is below the minimum on tab 01. Do not pay bid-offer for noise.
   4.  The result is dollar-neutral and class-neutral. It is NOT factor-neutral, and it is certainly not neutral to the dollar — see the diagnostics at the bottom.</t>
        </is>
      </c>
    </row>
    <row r="6" ht="18" customHeight="1">
      <c r="A6" s="3" t="inlineStr">
        <is>
          <t>POSITIONS</t>
        </is>
      </c>
    </row>
    <row r="7" ht="30" customHeight="1">
      <c r="A7" s="5" t="inlineStr"/>
      <c r="B7" s="5" t="inlineStr">
        <is>
          <t>#</t>
        </is>
      </c>
      <c r="C7" s="5" t="inlineStr">
        <is>
          <t>Class</t>
        </is>
      </c>
      <c r="D7" s="5" t="inlineStr">
        <is>
          <t>Rank</t>
        </is>
      </c>
      <c r="E7" s="5" t="inlineStr">
        <is>
          <t>Instrument</t>
        </is>
      </c>
      <c r="F7" s="5" t="inlineStr">
        <is>
          <t>Ticker</t>
        </is>
      </c>
      <c r="G7" s="5" t="inlineStr">
        <is>
          <t>Value score</t>
        </is>
      </c>
      <c r="H7" s="5" t="inlineStr">
        <is>
          <t>Side</t>
        </is>
      </c>
      <c r="I7" s="5" t="inlineStr">
        <is>
          <t>Raw wt</t>
        </is>
      </c>
      <c r="J7" s="5" t="inlineStr">
        <is>
          <t>Weight %</t>
        </is>
      </c>
      <c r="K7" s="5" t="inlineStr">
        <is>
          <t>Notional (USD)</t>
        </is>
      </c>
      <c r="L7" s="5" t="inlineStr">
        <is>
          <t>Metric</t>
        </is>
      </c>
      <c r="M7" s="5" t="inlineStr">
        <is>
          <t>How you would actually put it on</t>
        </is>
      </c>
    </row>
    <row r="8">
      <c r="B8" s="28" t="n">
        <v>1</v>
      </c>
      <c r="C8" s="45" t="inlineStr">
        <is>
          <t>EQUITY</t>
        </is>
      </c>
      <c r="D8" s="28" t="n">
        <v>1</v>
      </c>
      <c r="E8" s="19">
        <f>IFERROR(INDEX('02 MONITOR'!$C$7:$C$106,SUMPRODUCT(('02 MONITOR'!$B$7:$B$106="EQUITY")*('02 MONITOR'!$P$7:$P$106=1)*(ROW('02 MONITOR'!$B$7:$B$106)-6))),"")</f>
        <v/>
      </c>
      <c r="F8" s="40">
        <f>IFERROR(INDEX('02 MONITOR'!$D$7:$D$106,SUMPRODUCT(('02 MONITOR'!$B$7:$B$106="EQUITY")*('02 MONITOR'!$P$7:$P$106=1)*(ROW('02 MONITOR'!$B$7:$B$106)-6))),"")</f>
        <v/>
      </c>
      <c r="G8" s="29">
        <f>IFERROR(INDEX('02 MONITOR'!$M$7:$M$106,SUMPRODUCT(('02 MONITOR'!$B$7:$B$106="EQUITY")*('02 MONITOR'!$P$7:$P$106=1)*(ROW('02 MONITOR'!$B$7:$B$106)-6))),"")</f>
        <v/>
      </c>
      <c r="H8" s="46" t="inlineStr">
        <is>
          <t>LONG</t>
        </is>
      </c>
      <c r="I8" s="26">
        <f>IFERROR(IF(ABS($G8)&lt;SETTINGS_ZMIN,0,ABS($G8)),"")</f>
        <v/>
      </c>
      <c r="J8" s="47">
        <f>IFERROR($I8/SUMPRODUCT(($C$8:$C$107=$C8)*($H$8:$H$107=$H8)*$I$8:$I$107)*(SETTINGS_GROSS/2/5),"")</f>
        <v/>
      </c>
      <c r="K8" s="48">
        <f>IFERROR($J8*SETTINGS_CAP*IF($H8="SHORT",-1,1),"")</f>
        <v/>
      </c>
      <c r="L8" s="12" t="inlineStr">
        <is>
          <t>Forward P/E</t>
        </is>
      </c>
      <c r="M8" s="12" t="inlineStr">
        <is>
          <t>Index future or total-return swap. Cash equity only if you must.</t>
        </is>
      </c>
    </row>
    <row r="9">
      <c r="B9" s="28" t="n">
        <v>2</v>
      </c>
      <c r="C9" s="45" t="inlineStr">
        <is>
          <t>EQUITY</t>
        </is>
      </c>
      <c r="D9" s="28" t="n">
        <v>2</v>
      </c>
      <c r="E9" s="19">
        <f>IFERROR(INDEX('02 MONITOR'!$C$7:$C$106,SUMPRODUCT(('02 MONITOR'!$B$7:$B$106="EQUITY")*('02 MONITOR'!$P$7:$P$106=2)*(ROW('02 MONITOR'!$B$7:$B$106)-6))),"")</f>
        <v/>
      </c>
      <c r="F9" s="40">
        <f>IFERROR(INDEX('02 MONITOR'!$D$7:$D$106,SUMPRODUCT(('02 MONITOR'!$B$7:$B$106="EQUITY")*('02 MONITOR'!$P$7:$P$106=2)*(ROW('02 MONITOR'!$B$7:$B$106)-6))),"")</f>
        <v/>
      </c>
      <c r="G9" s="29">
        <f>IFERROR(INDEX('02 MONITOR'!$M$7:$M$106,SUMPRODUCT(('02 MONITOR'!$B$7:$B$106="EQUITY")*('02 MONITOR'!$P$7:$P$106=2)*(ROW('02 MONITOR'!$B$7:$B$106)-6))),"")</f>
        <v/>
      </c>
      <c r="H9" s="46" t="inlineStr">
        <is>
          <t>LONG</t>
        </is>
      </c>
      <c r="I9" s="26">
        <f>IFERROR(IF(ABS($G9)&lt;SETTINGS_ZMIN,0,ABS($G9)),"")</f>
        <v/>
      </c>
      <c r="J9" s="47">
        <f>IFERROR($I9/SUMPRODUCT(($C$8:$C$107=$C9)*($H$8:$H$107=$H9)*$I$8:$I$107)*(SETTINGS_GROSS/2/5),"")</f>
        <v/>
      </c>
      <c r="K9" s="48">
        <f>IFERROR($J9*SETTINGS_CAP*IF($H9="SHORT",-1,1),"")</f>
        <v/>
      </c>
      <c r="L9" s="12" t="inlineStr">
        <is>
          <t>Forward P/E</t>
        </is>
      </c>
      <c r="M9" s="12" t="inlineStr">
        <is>
          <t>Index future or total-return swap. Cash equity only if you must.</t>
        </is>
      </c>
    </row>
    <row r="10">
      <c r="B10" s="28" t="n">
        <v>3</v>
      </c>
      <c r="C10" s="45" t="inlineStr">
        <is>
          <t>EQUITY</t>
        </is>
      </c>
      <c r="D10" s="28" t="n">
        <v>3</v>
      </c>
      <c r="E10" s="19">
        <f>IFERROR(INDEX('02 MONITOR'!$C$7:$C$106,SUMPRODUCT(('02 MONITOR'!$B$7:$B$106="EQUITY")*('02 MONITOR'!$P$7:$P$106=3)*(ROW('02 MONITOR'!$B$7:$B$106)-6))),"")</f>
        <v/>
      </c>
      <c r="F10" s="40">
        <f>IFERROR(INDEX('02 MONITOR'!$D$7:$D$106,SUMPRODUCT(('02 MONITOR'!$B$7:$B$106="EQUITY")*('02 MONITOR'!$P$7:$P$106=3)*(ROW('02 MONITOR'!$B$7:$B$106)-6))),"")</f>
        <v/>
      </c>
      <c r="G10" s="29">
        <f>IFERROR(INDEX('02 MONITOR'!$M$7:$M$106,SUMPRODUCT(('02 MONITOR'!$B$7:$B$106="EQUITY")*('02 MONITOR'!$P$7:$P$106=3)*(ROW('02 MONITOR'!$B$7:$B$106)-6))),"")</f>
        <v/>
      </c>
      <c r="H10" s="46" t="inlineStr">
        <is>
          <t>LONG</t>
        </is>
      </c>
      <c r="I10" s="26">
        <f>IFERROR(IF(ABS($G10)&lt;SETTINGS_ZMIN,0,ABS($G10)),"")</f>
        <v/>
      </c>
      <c r="J10" s="47">
        <f>IFERROR($I10/SUMPRODUCT(($C$8:$C$107=$C10)*($H$8:$H$107=$H10)*$I$8:$I$107)*(SETTINGS_GROSS/2/5),"")</f>
        <v/>
      </c>
      <c r="K10" s="48">
        <f>IFERROR($J10*SETTINGS_CAP*IF($H10="SHORT",-1,1),"")</f>
        <v/>
      </c>
      <c r="L10" s="12" t="inlineStr">
        <is>
          <t>Forward P/E</t>
        </is>
      </c>
      <c r="M10" s="12" t="inlineStr">
        <is>
          <t>Index future or total-return swap. Cash equity only if you must.</t>
        </is>
      </c>
    </row>
    <row r="11">
      <c r="B11" s="28" t="n">
        <v>4</v>
      </c>
      <c r="C11" s="45" t="inlineStr">
        <is>
          <t>EQUITY</t>
        </is>
      </c>
      <c r="D11" s="28" t="n">
        <v>4</v>
      </c>
      <c r="E11" s="19">
        <f>IFERROR(INDEX('02 MONITOR'!$C$7:$C$106,SUMPRODUCT(('02 MONITOR'!$B$7:$B$106="EQUITY")*('02 MONITOR'!$P$7:$P$106=4)*(ROW('02 MONITOR'!$B$7:$B$106)-6))),"")</f>
        <v/>
      </c>
      <c r="F11" s="40">
        <f>IFERROR(INDEX('02 MONITOR'!$D$7:$D$106,SUMPRODUCT(('02 MONITOR'!$B$7:$B$106="EQUITY")*('02 MONITOR'!$P$7:$P$106=4)*(ROW('02 MONITOR'!$B$7:$B$106)-6))),"")</f>
        <v/>
      </c>
      <c r="G11" s="29">
        <f>IFERROR(INDEX('02 MONITOR'!$M$7:$M$106,SUMPRODUCT(('02 MONITOR'!$B$7:$B$106="EQUITY")*('02 MONITOR'!$P$7:$P$106=4)*(ROW('02 MONITOR'!$B$7:$B$106)-6))),"")</f>
        <v/>
      </c>
      <c r="H11" s="46" t="inlineStr">
        <is>
          <t>LONG</t>
        </is>
      </c>
      <c r="I11" s="26">
        <f>IFERROR(IF(ABS($G11)&lt;SETTINGS_ZMIN,0,ABS($G11)),"")</f>
        <v/>
      </c>
      <c r="J11" s="47">
        <f>IFERROR($I11/SUMPRODUCT(($C$8:$C$107=$C11)*($H$8:$H$107=$H11)*$I$8:$I$107)*(SETTINGS_GROSS/2/5),"")</f>
        <v/>
      </c>
      <c r="K11" s="48">
        <f>IFERROR($J11*SETTINGS_CAP*IF($H11="SHORT",-1,1),"")</f>
        <v/>
      </c>
      <c r="L11" s="12" t="inlineStr">
        <is>
          <t>Forward P/E</t>
        </is>
      </c>
      <c r="M11" s="12" t="inlineStr">
        <is>
          <t>Index future or total-return swap. Cash equity only if you must.</t>
        </is>
      </c>
    </row>
    <row r="12">
      <c r="B12" s="28" t="n">
        <v>5</v>
      </c>
      <c r="C12" s="45" t="inlineStr">
        <is>
          <t>EQUITY</t>
        </is>
      </c>
      <c r="D12" s="28" t="n">
        <v>5</v>
      </c>
      <c r="E12" s="19">
        <f>IFERROR(INDEX('02 MONITOR'!$C$7:$C$106,SUMPRODUCT(('02 MONITOR'!$B$7:$B$106="EQUITY")*('02 MONITOR'!$P$7:$P$106=5)*(ROW('02 MONITOR'!$B$7:$B$106)-6))),"")</f>
        <v/>
      </c>
      <c r="F12" s="40">
        <f>IFERROR(INDEX('02 MONITOR'!$D$7:$D$106,SUMPRODUCT(('02 MONITOR'!$B$7:$B$106="EQUITY")*('02 MONITOR'!$P$7:$P$106=5)*(ROW('02 MONITOR'!$B$7:$B$106)-6))),"")</f>
        <v/>
      </c>
      <c r="G12" s="29">
        <f>IFERROR(INDEX('02 MONITOR'!$M$7:$M$106,SUMPRODUCT(('02 MONITOR'!$B$7:$B$106="EQUITY")*('02 MONITOR'!$P$7:$P$106=5)*(ROW('02 MONITOR'!$B$7:$B$106)-6))),"")</f>
        <v/>
      </c>
      <c r="H12" s="46" t="inlineStr">
        <is>
          <t>LONG</t>
        </is>
      </c>
      <c r="I12" s="26">
        <f>IFERROR(IF(ABS($G12)&lt;SETTINGS_ZMIN,0,ABS($G12)),"")</f>
        <v/>
      </c>
      <c r="J12" s="47">
        <f>IFERROR($I12/SUMPRODUCT(($C$8:$C$107=$C12)*($H$8:$H$107=$H12)*$I$8:$I$107)*(SETTINGS_GROSS/2/5),"")</f>
        <v/>
      </c>
      <c r="K12" s="48">
        <f>IFERROR($J12*SETTINGS_CAP*IF($H12="SHORT",-1,1),"")</f>
        <v/>
      </c>
      <c r="L12" s="12" t="inlineStr">
        <is>
          <t>Forward P/E</t>
        </is>
      </c>
      <c r="M12" s="12" t="inlineStr">
        <is>
          <t>Index future or total-return swap. Cash equity only if you must.</t>
        </is>
      </c>
    </row>
    <row r="13">
      <c r="B13" s="28" t="n">
        <v>6</v>
      </c>
      <c r="C13" s="45" t="inlineStr">
        <is>
          <t>EQUITY</t>
        </is>
      </c>
      <c r="D13" s="28" t="n">
        <v>6</v>
      </c>
      <c r="E13" s="19">
        <f>IFERROR(INDEX('02 MONITOR'!$C$7:$C$106,SUMPRODUCT(('02 MONITOR'!$B$7:$B$106="EQUITY")*('02 MONITOR'!$P$7:$P$106=6)*(ROW('02 MONITOR'!$B$7:$B$106)-6))),"")</f>
        <v/>
      </c>
      <c r="F13" s="40">
        <f>IFERROR(INDEX('02 MONITOR'!$D$7:$D$106,SUMPRODUCT(('02 MONITOR'!$B$7:$B$106="EQUITY")*('02 MONITOR'!$P$7:$P$106=6)*(ROW('02 MONITOR'!$B$7:$B$106)-6))),"")</f>
        <v/>
      </c>
      <c r="G13" s="29">
        <f>IFERROR(INDEX('02 MONITOR'!$M$7:$M$106,SUMPRODUCT(('02 MONITOR'!$B$7:$B$106="EQUITY")*('02 MONITOR'!$P$7:$P$106=6)*(ROW('02 MONITOR'!$B$7:$B$106)-6))),"")</f>
        <v/>
      </c>
      <c r="H13" s="46" t="inlineStr">
        <is>
          <t>LONG</t>
        </is>
      </c>
      <c r="I13" s="26">
        <f>IFERROR(IF(ABS($G13)&lt;SETTINGS_ZMIN,0,ABS($G13)),"")</f>
        <v/>
      </c>
      <c r="J13" s="47">
        <f>IFERROR($I13/SUMPRODUCT(($C$8:$C$107=$C13)*($H$8:$H$107=$H13)*$I$8:$I$107)*(SETTINGS_GROSS/2/5),"")</f>
        <v/>
      </c>
      <c r="K13" s="48">
        <f>IFERROR($J13*SETTINGS_CAP*IF($H13="SHORT",-1,1),"")</f>
        <v/>
      </c>
      <c r="L13" s="12" t="inlineStr">
        <is>
          <t>Forward P/E</t>
        </is>
      </c>
      <c r="M13" s="12" t="inlineStr">
        <is>
          <t>Index future or total-return swap. Cash equity only if you must.</t>
        </is>
      </c>
    </row>
    <row r="14">
      <c r="B14" s="28" t="n">
        <v>7</v>
      </c>
      <c r="C14" s="45" t="inlineStr">
        <is>
          <t>EQUITY</t>
        </is>
      </c>
      <c r="D14" s="28" t="n">
        <v>7</v>
      </c>
      <c r="E14" s="19">
        <f>IFERROR(INDEX('02 MONITOR'!$C$7:$C$106,SUMPRODUCT(('02 MONITOR'!$B$7:$B$106="EQUITY")*('02 MONITOR'!$P$7:$P$106=7)*(ROW('02 MONITOR'!$B$7:$B$106)-6))),"")</f>
        <v/>
      </c>
      <c r="F14" s="40">
        <f>IFERROR(INDEX('02 MONITOR'!$D$7:$D$106,SUMPRODUCT(('02 MONITOR'!$B$7:$B$106="EQUITY")*('02 MONITOR'!$P$7:$P$106=7)*(ROW('02 MONITOR'!$B$7:$B$106)-6))),"")</f>
        <v/>
      </c>
      <c r="G14" s="29">
        <f>IFERROR(INDEX('02 MONITOR'!$M$7:$M$106,SUMPRODUCT(('02 MONITOR'!$B$7:$B$106="EQUITY")*('02 MONITOR'!$P$7:$P$106=7)*(ROW('02 MONITOR'!$B$7:$B$106)-6))),"")</f>
        <v/>
      </c>
      <c r="H14" s="46" t="inlineStr">
        <is>
          <t>LONG</t>
        </is>
      </c>
      <c r="I14" s="26">
        <f>IFERROR(IF(ABS($G14)&lt;SETTINGS_ZMIN,0,ABS($G14)),"")</f>
        <v/>
      </c>
      <c r="J14" s="47">
        <f>IFERROR($I14/SUMPRODUCT(($C$8:$C$107=$C14)*($H$8:$H$107=$H14)*$I$8:$I$107)*(SETTINGS_GROSS/2/5),"")</f>
        <v/>
      </c>
      <c r="K14" s="48">
        <f>IFERROR($J14*SETTINGS_CAP*IF($H14="SHORT",-1,1),"")</f>
        <v/>
      </c>
      <c r="L14" s="12" t="inlineStr">
        <is>
          <t>Forward P/E</t>
        </is>
      </c>
      <c r="M14" s="12" t="inlineStr">
        <is>
          <t>Index future or total-return swap. Cash equity only if you must.</t>
        </is>
      </c>
    </row>
    <row r="15">
      <c r="B15" s="28" t="n">
        <v>8</v>
      </c>
      <c r="C15" s="45" t="inlineStr">
        <is>
          <t>EQUITY</t>
        </is>
      </c>
      <c r="D15" s="28" t="n">
        <v>8</v>
      </c>
      <c r="E15" s="19">
        <f>IFERROR(INDEX('02 MONITOR'!$C$7:$C$106,SUMPRODUCT(('02 MONITOR'!$B$7:$B$106="EQUITY")*('02 MONITOR'!$P$7:$P$106=8)*(ROW('02 MONITOR'!$B$7:$B$106)-6))),"")</f>
        <v/>
      </c>
      <c r="F15" s="40">
        <f>IFERROR(INDEX('02 MONITOR'!$D$7:$D$106,SUMPRODUCT(('02 MONITOR'!$B$7:$B$106="EQUITY")*('02 MONITOR'!$P$7:$P$106=8)*(ROW('02 MONITOR'!$B$7:$B$106)-6))),"")</f>
        <v/>
      </c>
      <c r="G15" s="29">
        <f>IFERROR(INDEX('02 MONITOR'!$M$7:$M$106,SUMPRODUCT(('02 MONITOR'!$B$7:$B$106="EQUITY")*('02 MONITOR'!$P$7:$P$106=8)*(ROW('02 MONITOR'!$B$7:$B$106)-6))),"")</f>
        <v/>
      </c>
      <c r="H15" s="46" t="inlineStr">
        <is>
          <t>LONG</t>
        </is>
      </c>
      <c r="I15" s="26">
        <f>IFERROR(IF(ABS($G15)&lt;SETTINGS_ZMIN,0,ABS($G15)),"")</f>
        <v/>
      </c>
      <c r="J15" s="47">
        <f>IFERROR($I15/SUMPRODUCT(($C$8:$C$107=$C15)*($H$8:$H$107=$H15)*$I$8:$I$107)*(SETTINGS_GROSS/2/5),"")</f>
        <v/>
      </c>
      <c r="K15" s="48">
        <f>IFERROR($J15*SETTINGS_CAP*IF($H15="SHORT",-1,1),"")</f>
        <v/>
      </c>
      <c r="L15" s="12" t="inlineStr">
        <is>
          <t>Forward P/E</t>
        </is>
      </c>
      <c r="M15" s="12" t="inlineStr">
        <is>
          <t>Index future or total-return swap. Cash equity only if you must.</t>
        </is>
      </c>
    </row>
    <row r="16">
      <c r="B16" s="28" t="n">
        <v>9</v>
      </c>
      <c r="C16" s="45" t="inlineStr">
        <is>
          <t>EQUITY</t>
        </is>
      </c>
      <c r="D16" s="28" t="n">
        <v>9</v>
      </c>
      <c r="E16" s="19">
        <f>IFERROR(INDEX('02 MONITOR'!$C$7:$C$106,SUMPRODUCT(('02 MONITOR'!$B$7:$B$106="EQUITY")*('02 MONITOR'!$P$7:$P$106=9)*(ROW('02 MONITOR'!$B$7:$B$106)-6))),"")</f>
        <v/>
      </c>
      <c r="F16" s="40">
        <f>IFERROR(INDEX('02 MONITOR'!$D$7:$D$106,SUMPRODUCT(('02 MONITOR'!$B$7:$B$106="EQUITY")*('02 MONITOR'!$P$7:$P$106=9)*(ROW('02 MONITOR'!$B$7:$B$106)-6))),"")</f>
        <v/>
      </c>
      <c r="G16" s="29">
        <f>IFERROR(INDEX('02 MONITOR'!$M$7:$M$106,SUMPRODUCT(('02 MONITOR'!$B$7:$B$106="EQUITY")*('02 MONITOR'!$P$7:$P$106=9)*(ROW('02 MONITOR'!$B$7:$B$106)-6))),"")</f>
        <v/>
      </c>
      <c r="H16" s="46" t="inlineStr">
        <is>
          <t>LONG</t>
        </is>
      </c>
      <c r="I16" s="26">
        <f>IFERROR(IF(ABS($G16)&lt;SETTINGS_ZMIN,0,ABS($G16)),"")</f>
        <v/>
      </c>
      <c r="J16" s="47">
        <f>IFERROR($I16/SUMPRODUCT(($C$8:$C$107=$C16)*($H$8:$H$107=$H16)*$I$8:$I$107)*(SETTINGS_GROSS/2/5),"")</f>
        <v/>
      </c>
      <c r="K16" s="48">
        <f>IFERROR($J16*SETTINGS_CAP*IF($H16="SHORT",-1,1),"")</f>
        <v/>
      </c>
      <c r="L16" s="12" t="inlineStr">
        <is>
          <t>Forward P/E</t>
        </is>
      </c>
      <c r="M16" s="12" t="inlineStr">
        <is>
          <t>Index future or total-return swap. Cash equity only if you must.</t>
        </is>
      </c>
    </row>
    <row r="17">
      <c r="B17" s="28" t="n">
        <v>10</v>
      </c>
      <c r="C17" s="45" t="inlineStr">
        <is>
          <t>EQUITY</t>
        </is>
      </c>
      <c r="D17" s="28" t="n">
        <v>10</v>
      </c>
      <c r="E17" s="19">
        <f>IFERROR(INDEX('02 MONITOR'!$C$7:$C$106,SUMPRODUCT(('02 MONITOR'!$B$7:$B$106="EQUITY")*('02 MONITOR'!$P$7:$P$106=10)*(ROW('02 MONITOR'!$B$7:$B$106)-6))),"")</f>
        <v/>
      </c>
      <c r="F17" s="40">
        <f>IFERROR(INDEX('02 MONITOR'!$D$7:$D$106,SUMPRODUCT(('02 MONITOR'!$B$7:$B$106="EQUITY")*('02 MONITOR'!$P$7:$P$106=10)*(ROW('02 MONITOR'!$B$7:$B$106)-6))),"")</f>
        <v/>
      </c>
      <c r="G17" s="29">
        <f>IFERROR(INDEX('02 MONITOR'!$M$7:$M$106,SUMPRODUCT(('02 MONITOR'!$B$7:$B$106="EQUITY")*('02 MONITOR'!$P$7:$P$106=10)*(ROW('02 MONITOR'!$B$7:$B$106)-6))),"")</f>
        <v/>
      </c>
      <c r="H17" s="46" t="inlineStr">
        <is>
          <t>LONG</t>
        </is>
      </c>
      <c r="I17" s="26">
        <f>IFERROR(IF(ABS($G17)&lt;SETTINGS_ZMIN,0,ABS($G17)),"")</f>
        <v/>
      </c>
      <c r="J17" s="47">
        <f>IFERROR($I17/SUMPRODUCT(($C$8:$C$107=$C17)*($H$8:$H$107=$H17)*$I$8:$I$107)*(SETTINGS_GROSS/2/5),"")</f>
        <v/>
      </c>
      <c r="K17" s="48">
        <f>IFERROR($J17*SETTINGS_CAP*IF($H17="SHORT",-1,1),"")</f>
        <v/>
      </c>
      <c r="L17" s="12" t="inlineStr">
        <is>
          <t>Forward P/E</t>
        </is>
      </c>
      <c r="M17" s="12" t="inlineStr">
        <is>
          <t>Index future or total-return swap. Cash equity only if you must.</t>
        </is>
      </c>
    </row>
    <row r="18">
      <c r="B18" s="28" t="n">
        <v>11</v>
      </c>
      <c r="C18" s="45" t="inlineStr">
        <is>
          <t>EQUITY</t>
        </is>
      </c>
      <c r="D18" s="28" t="n">
        <v>11</v>
      </c>
      <c r="E18" s="19">
        <f>IFERROR(INDEX('02 MONITOR'!$C$7:$C$106,SUMPRODUCT(('02 MONITOR'!$B$7:$B$106="EQUITY")*('02 MONITOR'!$P$7:$P$106=11)*(ROW('02 MONITOR'!$B$7:$B$106)-6))),"")</f>
        <v/>
      </c>
      <c r="F18" s="40">
        <f>IFERROR(INDEX('02 MONITOR'!$D$7:$D$106,SUMPRODUCT(('02 MONITOR'!$B$7:$B$106="EQUITY")*('02 MONITOR'!$P$7:$P$106=11)*(ROW('02 MONITOR'!$B$7:$B$106)-6))),"")</f>
        <v/>
      </c>
      <c r="G18" s="29">
        <f>IFERROR(INDEX('02 MONITOR'!$M$7:$M$106,SUMPRODUCT(('02 MONITOR'!$B$7:$B$106="EQUITY")*('02 MONITOR'!$P$7:$P$106=11)*(ROW('02 MONITOR'!$B$7:$B$106)-6))),"")</f>
        <v/>
      </c>
      <c r="H18" s="46" t="inlineStr">
        <is>
          <t>LONG</t>
        </is>
      </c>
      <c r="I18" s="26">
        <f>IFERROR(IF(ABS($G18)&lt;SETTINGS_ZMIN,0,ABS($G18)),"")</f>
        <v/>
      </c>
      <c r="J18" s="47">
        <f>IFERROR($I18/SUMPRODUCT(($C$8:$C$107=$C18)*($H$8:$H$107=$H18)*$I$8:$I$107)*(SETTINGS_GROSS/2/5),"")</f>
        <v/>
      </c>
      <c r="K18" s="48">
        <f>IFERROR($J18*SETTINGS_CAP*IF($H18="SHORT",-1,1),"")</f>
        <v/>
      </c>
      <c r="L18" s="12" t="inlineStr">
        <is>
          <t>Forward P/E</t>
        </is>
      </c>
      <c r="M18" s="12" t="inlineStr">
        <is>
          <t>Index future or total-return swap. Cash equity only if you must.</t>
        </is>
      </c>
    </row>
    <row r="19">
      <c r="B19" s="28" t="n">
        <v>12</v>
      </c>
      <c r="C19" s="45" t="inlineStr">
        <is>
          <t>EQUITY</t>
        </is>
      </c>
      <c r="D19" s="28" t="n">
        <v>12</v>
      </c>
      <c r="E19" s="19">
        <f>IFERROR(INDEX('02 MONITOR'!$C$7:$C$106,SUMPRODUCT(('02 MONITOR'!$B$7:$B$106="EQUITY")*('02 MONITOR'!$P$7:$P$106=12)*(ROW('02 MONITOR'!$B$7:$B$106)-6))),"")</f>
        <v/>
      </c>
      <c r="F19" s="40">
        <f>IFERROR(INDEX('02 MONITOR'!$D$7:$D$106,SUMPRODUCT(('02 MONITOR'!$B$7:$B$106="EQUITY")*('02 MONITOR'!$P$7:$P$106=12)*(ROW('02 MONITOR'!$B$7:$B$106)-6))),"")</f>
        <v/>
      </c>
      <c r="G19" s="29">
        <f>IFERROR(INDEX('02 MONITOR'!$M$7:$M$106,SUMPRODUCT(('02 MONITOR'!$B$7:$B$106="EQUITY")*('02 MONITOR'!$P$7:$P$106=12)*(ROW('02 MONITOR'!$B$7:$B$106)-6))),"")</f>
        <v/>
      </c>
      <c r="H19" s="46" t="inlineStr">
        <is>
          <t>LONG</t>
        </is>
      </c>
      <c r="I19" s="26">
        <f>IFERROR(IF(ABS($G19)&lt;SETTINGS_ZMIN,0,ABS($G19)),"")</f>
        <v/>
      </c>
      <c r="J19" s="47">
        <f>IFERROR($I19/SUMPRODUCT(($C$8:$C$107=$C19)*($H$8:$H$107=$H19)*$I$8:$I$107)*(SETTINGS_GROSS/2/5),"")</f>
        <v/>
      </c>
      <c r="K19" s="48">
        <f>IFERROR($J19*SETTINGS_CAP*IF($H19="SHORT",-1,1),"")</f>
        <v/>
      </c>
      <c r="L19" s="12" t="inlineStr">
        <is>
          <t>Forward P/E</t>
        </is>
      </c>
      <c r="M19" s="12" t="inlineStr">
        <is>
          <t>Index future or total-return swap. Cash equity only if you must.</t>
        </is>
      </c>
    </row>
    <row r="20">
      <c r="B20" s="28" t="n">
        <v>13</v>
      </c>
      <c r="C20" s="45" t="inlineStr">
        <is>
          <t>EQUITY</t>
        </is>
      </c>
      <c r="D20" s="28" t="n">
        <v>13</v>
      </c>
      <c r="E20" s="19">
        <f>IFERROR(INDEX('02 MONITOR'!$C$7:$C$106,SUMPRODUCT(('02 MONITOR'!$B$7:$B$106="EQUITY")*('02 MONITOR'!$P$7:$P$106=13)*(ROW('02 MONITOR'!$B$7:$B$106)-6))),"")</f>
        <v/>
      </c>
      <c r="F20" s="40">
        <f>IFERROR(INDEX('02 MONITOR'!$D$7:$D$106,SUMPRODUCT(('02 MONITOR'!$B$7:$B$106="EQUITY")*('02 MONITOR'!$P$7:$P$106=13)*(ROW('02 MONITOR'!$B$7:$B$106)-6))),"")</f>
        <v/>
      </c>
      <c r="G20" s="29">
        <f>IFERROR(INDEX('02 MONITOR'!$M$7:$M$106,SUMPRODUCT(('02 MONITOR'!$B$7:$B$106="EQUITY")*('02 MONITOR'!$P$7:$P$106=13)*(ROW('02 MONITOR'!$B$7:$B$106)-6))),"")</f>
        <v/>
      </c>
      <c r="H20" s="36" t="inlineStr">
        <is>
          <t>SHORT</t>
        </is>
      </c>
      <c r="I20" s="26">
        <f>IFERROR(IF(ABS($G20)&lt;SETTINGS_ZMIN,0,ABS($G20)),"")</f>
        <v/>
      </c>
      <c r="J20" s="47">
        <f>IFERROR($I20/SUMPRODUCT(($C$8:$C$107=$C20)*($H$8:$H$107=$H20)*$I$8:$I$107)*(SETTINGS_GROSS/2/5),"")</f>
        <v/>
      </c>
      <c r="K20" s="48">
        <f>IFERROR($J20*SETTINGS_CAP*IF($H20="SHORT",-1,1),"")</f>
        <v/>
      </c>
      <c r="L20" s="12" t="inlineStr">
        <is>
          <t>Forward P/E</t>
        </is>
      </c>
      <c r="M20" s="12" t="inlineStr">
        <is>
          <t>Index future or total-return swap. Cash equity only if you must.</t>
        </is>
      </c>
    </row>
    <row r="21">
      <c r="B21" s="28" t="n">
        <v>14</v>
      </c>
      <c r="C21" s="45" t="inlineStr">
        <is>
          <t>EQUITY</t>
        </is>
      </c>
      <c r="D21" s="28" t="n">
        <v>14</v>
      </c>
      <c r="E21" s="19">
        <f>IFERROR(INDEX('02 MONITOR'!$C$7:$C$106,SUMPRODUCT(('02 MONITOR'!$B$7:$B$106="EQUITY")*('02 MONITOR'!$P$7:$P$106=14)*(ROW('02 MONITOR'!$B$7:$B$106)-6))),"")</f>
        <v/>
      </c>
      <c r="F21" s="40">
        <f>IFERROR(INDEX('02 MONITOR'!$D$7:$D$106,SUMPRODUCT(('02 MONITOR'!$B$7:$B$106="EQUITY")*('02 MONITOR'!$P$7:$P$106=14)*(ROW('02 MONITOR'!$B$7:$B$106)-6))),"")</f>
        <v/>
      </c>
      <c r="G21" s="29">
        <f>IFERROR(INDEX('02 MONITOR'!$M$7:$M$106,SUMPRODUCT(('02 MONITOR'!$B$7:$B$106="EQUITY")*('02 MONITOR'!$P$7:$P$106=14)*(ROW('02 MONITOR'!$B$7:$B$106)-6))),"")</f>
        <v/>
      </c>
      <c r="H21" s="36" t="inlineStr">
        <is>
          <t>SHORT</t>
        </is>
      </c>
      <c r="I21" s="26">
        <f>IFERROR(IF(ABS($G21)&lt;SETTINGS_ZMIN,0,ABS($G21)),"")</f>
        <v/>
      </c>
      <c r="J21" s="47">
        <f>IFERROR($I21/SUMPRODUCT(($C$8:$C$107=$C21)*($H$8:$H$107=$H21)*$I$8:$I$107)*(SETTINGS_GROSS/2/5),"")</f>
        <v/>
      </c>
      <c r="K21" s="48">
        <f>IFERROR($J21*SETTINGS_CAP*IF($H21="SHORT",-1,1),"")</f>
        <v/>
      </c>
      <c r="L21" s="12" t="inlineStr">
        <is>
          <t>Forward P/E</t>
        </is>
      </c>
      <c r="M21" s="12" t="inlineStr">
        <is>
          <t>Index future or total-return swap. Cash equity only if you must.</t>
        </is>
      </c>
    </row>
    <row r="22">
      <c r="B22" s="28" t="n">
        <v>15</v>
      </c>
      <c r="C22" s="45" t="inlineStr">
        <is>
          <t>EQUITY</t>
        </is>
      </c>
      <c r="D22" s="28" t="n">
        <v>15</v>
      </c>
      <c r="E22" s="19">
        <f>IFERROR(INDEX('02 MONITOR'!$C$7:$C$106,SUMPRODUCT(('02 MONITOR'!$B$7:$B$106="EQUITY")*('02 MONITOR'!$P$7:$P$106=15)*(ROW('02 MONITOR'!$B$7:$B$106)-6))),"")</f>
        <v/>
      </c>
      <c r="F22" s="40">
        <f>IFERROR(INDEX('02 MONITOR'!$D$7:$D$106,SUMPRODUCT(('02 MONITOR'!$B$7:$B$106="EQUITY")*('02 MONITOR'!$P$7:$P$106=15)*(ROW('02 MONITOR'!$B$7:$B$106)-6))),"")</f>
        <v/>
      </c>
      <c r="G22" s="29">
        <f>IFERROR(INDEX('02 MONITOR'!$M$7:$M$106,SUMPRODUCT(('02 MONITOR'!$B$7:$B$106="EQUITY")*('02 MONITOR'!$P$7:$P$106=15)*(ROW('02 MONITOR'!$B$7:$B$106)-6))),"")</f>
        <v/>
      </c>
      <c r="H22" s="36" t="inlineStr">
        <is>
          <t>SHORT</t>
        </is>
      </c>
      <c r="I22" s="26">
        <f>IFERROR(IF(ABS($G22)&lt;SETTINGS_ZMIN,0,ABS($G22)),"")</f>
        <v/>
      </c>
      <c r="J22" s="47">
        <f>IFERROR($I22/SUMPRODUCT(($C$8:$C$107=$C22)*($H$8:$H$107=$H22)*$I$8:$I$107)*(SETTINGS_GROSS/2/5),"")</f>
        <v/>
      </c>
      <c r="K22" s="48">
        <f>IFERROR($J22*SETTINGS_CAP*IF($H22="SHORT",-1,1),"")</f>
        <v/>
      </c>
      <c r="L22" s="12" t="inlineStr">
        <is>
          <t>Forward P/E</t>
        </is>
      </c>
      <c r="M22" s="12" t="inlineStr">
        <is>
          <t>Index future or total-return swap. Cash equity only if you must.</t>
        </is>
      </c>
    </row>
    <row r="23">
      <c r="B23" s="28" t="n">
        <v>16</v>
      </c>
      <c r="C23" s="45" t="inlineStr">
        <is>
          <t>EQUITY</t>
        </is>
      </c>
      <c r="D23" s="28" t="n">
        <v>16</v>
      </c>
      <c r="E23" s="19">
        <f>IFERROR(INDEX('02 MONITOR'!$C$7:$C$106,SUMPRODUCT(('02 MONITOR'!$B$7:$B$106="EQUITY")*('02 MONITOR'!$P$7:$P$106=16)*(ROW('02 MONITOR'!$B$7:$B$106)-6))),"")</f>
        <v/>
      </c>
      <c r="F23" s="40">
        <f>IFERROR(INDEX('02 MONITOR'!$D$7:$D$106,SUMPRODUCT(('02 MONITOR'!$B$7:$B$106="EQUITY")*('02 MONITOR'!$P$7:$P$106=16)*(ROW('02 MONITOR'!$B$7:$B$106)-6))),"")</f>
        <v/>
      </c>
      <c r="G23" s="29">
        <f>IFERROR(INDEX('02 MONITOR'!$M$7:$M$106,SUMPRODUCT(('02 MONITOR'!$B$7:$B$106="EQUITY")*('02 MONITOR'!$P$7:$P$106=16)*(ROW('02 MONITOR'!$B$7:$B$106)-6))),"")</f>
        <v/>
      </c>
      <c r="H23" s="36" t="inlineStr">
        <is>
          <t>SHORT</t>
        </is>
      </c>
      <c r="I23" s="26">
        <f>IFERROR(IF(ABS($G23)&lt;SETTINGS_ZMIN,0,ABS($G23)),"")</f>
        <v/>
      </c>
      <c r="J23" s="47">
        <f>IFERROR($I23/SUMPRODUCT(($C$8:$C$107=$C23)*($H$8:$H$107=$H23)*$I$8:$I$107)*(SETTINGS_GROSS/2/5),"")</f>
        <v/>
      </c>
      <c r="K23" s="48">
        <f>IFERROR($J23*SETTINGS_CAP*IF($H23="SHORT",-1,1),"")</f>
        <v/>
      </c>
      <c r="L23" s="12" t="inlineStr">
        <is>
          <t>Forward P/E</t>
        </is>
      </c>
      <c r="M23" s="12" t="inlineStr">
        <is>
          <t>Index future or total-return swap. Cash equity only if you must.</t>
        </is>
      </c>
    </row>
    <row r="24">
      <c r="B24" s="28" t="n">
        <v>17</v>
      </c>
      <c r="C24" s="45" t="inlineStr">
        <is>
          <t>EQUITY</t>
        </is>
      </c>
      <c r="D24" s="28" t="n">
        <v>17</v>
      </c>
      <c r="E24" s="19">
        <f>IFERROR(INDEX('02 MONITOR'!$C$7:$C$106,SUMPRODUCT(('02 MONITOR'!$B$7:$B$106="EQUITY")*('02 MONITOR'!$P$7:$P$106=17)*(ROW('02 MONITOR'!$B$7:$B$106)-6))),"")</f>
        <v/>
      </c>
      <c r="F24" s="40">
        <f>IFERROR(INDEX('02 MONITOR'!$D$7:$D$106,SUMPRODUCT(('02 MONITOR'!$B$7:$B$106="EQUITY")*('02 MONITOR'!$P$7:$P$106=17)*(ROW('02 MONITOR'!$B$7:$B$106)-6))),"")</f>
        <v/>
      </c>
      <c r="G24" s="29">
        <f>IFERROR(INDEX('02 MONITOR'!$M$7:$M$106,SUMPRODUCT(('02 MONITOR'!$B$7:$B$106="EQUITY")*('02 MONITOR'!$P$7:$P$106=17)*(ROW('02 MONITOR'!$B$7:$B$106)-6))),"")</f>
        <v/>
      </c>
      <c r="H24" s="36" t="inlineStr">
        <is>
          <t>SHORT</t>
        </is>
      </c>
      <c r="I24" s="26">
        <f>IFERROR(IF(ABS($G24)&lt;SETTINGS_ZMIN,0,ABS($G24)),"")</f>
        <v/>
      </c>
      <c r="J24" s="47">
        <f>IFERROR($I24/SUMPRODUCT(($C$8:$C$107=$C24)*($H$8:$H$107=$H24)*$I$8:$I$107)*(SETTINGS_GROSS/2/5),"")</f>
        <v/>
      </c>
      <c r="K24" s="48">
        <f>IFERROR($J24*SETTINGS_CAP*IF($H24="SHORT",-1,1),"")</f>
        <v/>
      </c>
      <c r="L24" s="12" t="inlineStr">
        <is>
          <t>Forward P/E</t>
        </is>
      </c>
      <c r="M24" s="12" t="inlineStr">
        <is>
          <t>Index future or total-return swap. Cash equity only if you must.</t>
        </is>
      </c>
    </row>
    <row r="25">
      <c r="B25" s="28" t="n">
        <v>18</v>
      </c>
      <c r="C25" s="45" t="inlineStr">
        <is>
          <t>EQUITY</t>
        </is>
      </c>
      <c r="D25" s="28" t="n">
        <v>18</v>
      </c>
      <c r="E25" s="19">
        <f>IFERROR(INDEX('02 MONITOR'!$C$7:$C$106,SUMPRODUCT(('02 MONITOR'!$B$7:$B$106="EQUITY")*('02 MONITOR'!$P$7:$P$106=18)*(ROW('02 MONITOR'!$B$7:$B$106)-6))),"")</f>
        <v/>
      </c>
      <c r="F25" s="40">
        <f>IFERROR(INDEX('02 MONITOR'!$D$7:$D$106,SUMPRODUCT(('02 MONITOR'!$B$7:$B$106="EQUITY")*('02 MONITOR'!$P$7:$P$106=18)*(ROW('02 MONITOR'!$B$7:$B$106)-6))),"")</f>
        <v/>
      </c>
      <c r="G25" s="29">
        <f>IFERROR(INDEX('02 MONITOR'!$M$7:$M$106,SUMPRODUCT(('02 MONITOR'!$B$7:$B$106="EQUITY")*('02 MONITOR'!$P$7:$P$106=18)*(ROW('02 MONITOR'!$B$7:$B$106)-6))),"")</f>
        <v/>
      </c>
      <c r="H25" s="36" t="inlineStr">
        <is>
          <t>SHORT</t>
        </is>
      </c>
      <c r="I25" s="26">
        <f>IFERROR(IF(ABS($G25)&lt;SETTINGS_ZMIN,0,ABS($G25)),"")</f>
        <v/>
      </c>
      <c r="J25" s="47">
        <f>IFERROR($I25/SUMPRODUCT(($C$8:$C$107=$C25)*($H$8:$H$107=$H25)*$I$8:$I$107)*(SETTINGS_GROSS/2/5),"")</f>
        <v/>
      </c>
      <c r="K25" s="48">
        <f>IFERROR($J25*SETTINGS_CAP*IF($H25="SHORT",-1,1),"")</f>
        <v/>
      </c>
      <c r="L25" s="12" t="inlineStr">
        <is>
          <t>Forward P/E</t>
        </is>
      </c>
      <c r="M25" s="12" t="inlineStr">
        <is>
          <t>Index future or total-return swap. Cash equity only if you must.</t>
        </is>
      </c>
    </row>
    <row r="26">
      <c r="B26" s="28" t="n">
        <v>19</v>
      </c>
      <c r="C26" s="45" t="inlineStr">
        <is>
          <t>EQUITY</t>
        </is>
      </c>
      <c r="D26" s="28" t="n">
        <v>19</v>
      </c>
      <c r="E26" s="19">
        <f>IFERROR(INDEX('02 MONITOR'!$C$7:$C$106,SUMPRODUCT(('02 MONITOR'!$B$7:$B$106="EQUITY")*('02 MONITOR'!$P$7:$P$106=19)*(ROW('02 MONITOR'!$B$7:$B$106)-6))),"")</f>
        <v/>
      </c>
      <c r="F26" s="40">
        <f>IFERROR(INDEX('02 MONITOR'!$D$7:$D$106,SUMPRODUCT(('02 MONITOR'!$B$7:$B$106="EQUITY")*('02 MONITOR'!$P$7:$P$106=19)*(ROW('02 MONITOR'!$B$7:$B$106)-6))),"")</f>
        <v/>
      </c>
      <c r="G26" s="29">
        <f>IFERROR(INDEX('02 MONITOR'!$M$7:$M$106,SUMPRODUCT(('02 MONITOR'!$B$7:$B$106="EQUITY")*('02 MONITOR'!$P$7:$P$106=19)*(ROW('02 MONITOR'!$B$7:$B$106)-6))),"")</f>
        <v/>
      </c>
      <c r="H26" s="36" t="inlineStr">
        <is>
          <t>SHORT</t>
        </is>
      </c>
      <c r="I26" s="26">
        <f>IFERROR(IF(ABS($G26)&lt;SETTINGS_ZMIN,0,ABS($G26)),"")</f>
        <v/>
      </c>
      <c r="J26" s="47">
        <f>IFERROR($I26/SUMPRODUCT(($C$8:$C$107=$C26)*($H$8:$H$107=$H26)*$I$8:$I$107)*(SETTINGS_GROSS/2/5),"")</f>
        <v/>
      </c>
      <c r="K26" s="48">
        <f>IFERROR($J26*SETTINGS_CAP*IF($H26="SHORT",-1,1),"")</f>
        <v/>
      </c>
      <c r="L26" s="12" t="inlineStr">
        <is>
          <t>Forward P/E</t>
        </is>
      </c>
      <c r="M26" s="12" t="inlineStr">
        <is>
          <t>Index future or total-return swap. Cash equity only if you must.</t>
        </is>
      </c>
    </row>
    <row r="27">
      <c r="B27" s="28" t="n">
        <v>20</v>
      </c>
      <c r="C27" s="45" t="inlineStr">
        <is>
          <t>EQUITY</t>
        </is>
      </c>
      <c r="D27" s="28" t="n">
        <v>20</v>
      </c>
      <c r="E27" s="19">
        <f>IFERROR(INDEX('02 MONITOR'!$C$7:$C$106,SUMPRODUCT(('02 MONITOR'!$B$7:$B$106="EQUITY")*('02 MONITOR'!$P$7:$P$106=20)*(ROW('02 MONITOR'!$B$7:$B$106)-6))),"")</f>
        <v/>
      </c>
      <c r="F27" s="40">
        <f>IFERROR(INDEX('02 MONITOR'!$D$7:$D$106,SUMPRODUCT(('02 MONITOR'!$B$7:$B$106="EQUITY")*('02 MONITOR'!$P$7:$P$106=20)*(ROW('02 MONITOR'!$B$7:$B$106)-6))),"")</f>
        <v/>
      </c>
      <c r="G27" s="29">
        <f>IFERROR(INDEX('02 MONITOR'!$M$7:$M$106,SUMPRODUCT(('02 MONITOR'!$B$7:$B$106="EQUITY")*('02 MONITOR'!$P$7:$P$106=20)*(ROW('02 MONITOR'!$B$7:$B$106)-6))),"")</f>
        <v/>
      </c>
      <c r="H27" s="36" t="inlineStr">
        <is>
          <t>SHORT</t>
        </is>
      </c>
      <c r="I27" s="26">
        <f>IFERROR(IF(ABS($G27)&lt;SETTINGS_ZMIN,0,ABS($G27)),"")</f>
        <v/>
      </c>
      <c r="J27" s="47">
        <f>IFERROR($I27/SUMPRODUCT(($C$8:$C$107=$C27)*($H$8:$H$107=$H27)*$I$8:$I$107)*(SETTINGS_GROSS/2/5),"")</f>
        <v/>
      </c>
      <c r="K27" s="48">
        <f>IFERROR($J27*SETTINGS_CAP*IF($H27="SHORT",-1,1),"")</f>
        <v/>
      </c>
      <c r="L27" s="12" t="inlineStr">
        <is>
          <t>Forward P/E</t>
        </is>
      </c>
      <c r="M27" s="12" t="inlineStr">
        <is>
          <t>Index future or total-return swap. Cash equity only if you must.</t>
        </is>
      </c>
    </row>
    <row r="28">
      <c r="B28" s="28" t="n">
        <v>21</v>
      </c>
      <c r="C28" s="45" t="inlineStr">
        <is>
          <t>EQUITY</t>
        </is>
      </c>
      <c r="D28" s="28" t="n">
        <v>21</v>
      </c>
      <c r="E28" s="19">
        <f>IFERROR(INDEX('02 MONITOR'!$C$7:$C$106,SUMPRODUCT(('02 MONITOR'!$B$7:$B$106="EQUITY")*('02 MONITOR'!$P$7:$P$106=21)*(ROW('02 MONITOR'!$B$7:$B$106)-6))),"")</f>
        <v/>
      </c>
      <c r="F28" s="40">
        <f>IFERROR(INDEX('02 MONITOR'!$D$7:$D$106,SUMPRODUCT(('02 MONITOR'!$B$7:$B$106="EQUITY")*('02 MONITOR'!$P$7:$P$106=21)*(ROW('02 MONITOR'!$B$7:$B$106)-6))),"")</f>
        <v/>
      </c>
      <c r="G28" s="29">
        <f>IFERROR(INDEX('02 MONITOR'!$M$7:$M$106,SUMPRODUCT(('02 MONITOR'!$B$7:$B$106="EQUITY")*('02 MONITOR'!$P$7:$P$106=21)*(ROW('02 MONITOR'!$B$7:$B$106)-6))),"")</f>
        <v/>
      </c>
      <c r="H28" s="36" t="inlineStr">
        <is>
          <t>SHORT</t>
        </is>
      </c>
      <c r="I28" s="26">
        <f>IFERROR(IF(ABS($G28)&lt;SETTINGS_ZMIN,0,ABS($G28)),"")</f>
        <v/>
      </c>
      <c r="J28" s="47">
        <f>IFERROR($I28/SUMPRODUCT(($C$8:$C$107=$C28)*($H$8:$H$107=$H28)*$I$8:$I$107)*(SETTINGS_GROSS/2/5),"")</f>
        <v/>
      </c>
      <c r="K28" s="48">
        <f>IFERROR($J28*SETTINGS_CAP*IF($H28="SHORT",-1,1),"")</f>
        <v/>
      </c>
      <c r="L28" s="12" t="inlineStr">
        <is>
          <t>Forward P/E</t>
        </is>
      </c>
      <c r="M28" s="12" t="inlineStr">
        <is>
          <t>Index future or total-return swap. Cash equity only if you must.</t>
        </is>
      </c>
    </row>
    <row r="29">
      <c r="B29" s="28" t="n">
        <v>22</v>
      </c>
      <c r="C29" s="45" t="inlineStr">
        <is>
          <t>EQUITY</t>
        </is>
      </c>
      <c r="D29" s="28" t="n">
        <v>22</v>
      </c>
      <c r="E29" s="19">
        <f>IFERROR(INDEX('02 MONITOR'!$C$7:$C$106,SUMPRODUCT(('02 MONITOR'!$B$7:$B$106="EQUITY")*('02 MONITOR'!$P$7:$P$106=22)*(ROW('02 MONITOR'!$B$7:$B$106)-6))),"")</f>
        <v/>
      </c>
      <c r="F29" s="40">
        <f>IFERROR(INDEX('02 MONITOR'!$D$7:$D$106,SUMPRODUCT(('02 MONITOR'!$B$7:$B$106="EQUITY")*('02 MONITOR'!$P$7:$P$106=22)*(ROW('02 MONITOR'!$B$7:$B$106)-6))),"")</f>
        <v/>
      </c>
      <c r="G29" s="29">
        <f>IFERROR(INDEX('02 MONITOR'!$M$7:$M$106,SUMPRODUCT(('02 MONITOR'!$B$7:$B$106="EQUITY")*('02 MONITOR'!$P$7:$P$106=22)*(ROW('02 MONITOR'!$B$7:$B$106)-6))),"")</f>
        <v/>
      </c>
      <c r="H29" s="36" t="inlineStr">
        <is>
          <t>SHORT</t>
        </is>
      </c>
      <c r="I29" s="26">
        <f>IFERROR(IF(ABS($G29)&lt;SETTINGS_ZMIN,0,ABS($G29)),"")</f>
        <v/>
      </c>
      <c r="J29" s="47">
        <f>IFERROR($I29/SUMPRODUCT(($C$8:$C$107=$C29)*($H$8:$H$107=$H29)*$I$8:$I$107)*(SETTINGS_GROSS/2/5),"")</f>
        <v/>
      </c>
      <c r="K29" s="48">
        <f>IFERROR($J29*SETTINGS_CAP*IF($H29="SHORT",-1,1),"")</f>
        <v/>
      </c>
      <c r="L29" s="12" t="inlineStr">
        <is>
          <t>Forward P/E</t>
        </is>
      </c>
      <c r="M29" s="12" t="inlineStr">
        <is>
          <t>Index future or total-return swap. Cash equity only if you must.</t>
        </is>
      </c>
    </row>
    <row r="30">
      <c r="B30" s="28" t="n">
        <v>23</v>
      </c>
      <c r="C30" s="45" t="inlineStr">
        <is>
          <t>EQUITY</t>
        </is>
      </c>
      <c r="D30" s="28" t="n">
        <v>23</v>
      </c>
      <c r="E30" s="19">
        <f>IFERROR(INDEX('02 MONITOR'!$C$7:$C$106,SUMPRODUCT(('02 MONITOR'!$B$7:$B$106="EQUITY")*('02 MONITOR'!$P$7:$P$106=23)*(ROW('02 MONITOR'!$B$7:$B$106)-6))),"")</f>
        <v/>
      </c>
      <c r="F30" s="40">
        <f>IFERROR(INDEX('02 MONITOR'!$D$7:$D$106,SUMPRODUCT(('02 MONITOR'!$B$7:$B$106="EQUITY")*('02 MONITOR'!$P$7:$P$106=23)*(ROW('02 MONITOR'!$B$7:$B$106)-6))),"")</f>
        <v/>
      </c>
      <c r="G30" s="29">
        <f>IFERROR(INDEX('02 MONITOR'!$M$7:$M$106,SUMPRODUCT(('02 MONITOR'!$B$7:$B$106="EQUITY")*('02 MONITOR'!$P$7:$P$106=23)*(ROW('02 MONITOR'!$B$7:$B$106)-6))),"")</f>
        <v/>
      </c>
      <c r="H30" s="36" t="inlineStr">
        <is>
          <t>SHORT</t>
        </is>
      </c>
      <c r="I30" s="26">
        <f>IFERROR(IF(ABS($G30)&lt;SETTINGS_ZMIN,0,ABS($G30)),"")</f>
        <v/>
      </c>
      <c r="J30" s="47">
        <f>IFERROR($I30/SUMPRODUCT(($C$8:$C$107=$C30)*($H$8:$H$107=$H30)*$I$8:$I$107)*(SETTINGS_GROSS/2/5),"")</f>
        <v/>
      </c>
      <c r="K30" s="48">
        <f>IFERROR($J30*SETTINGS_CAP*IF($H30="SHORT",-1,1),"")</f>
        <v/>
      </c>
      <c r="L30" s="12" t="inlineStr">
        <is>
          <t>Forward P/E</t>
        </is>
      </c>
      <c r="M30" s="12" t="inlineStr">
        <is>
          <t>Index future or total-return swap. Cash equity only if you must.</t>
        </is>
      </c>
    </row>
    <row r="31">
      <c r="B31" s="28" t="n">
        <v>24</v>
      </c>
      <c r="C31" s="45" t="inlineStr">
        <is>
          <t>EQUITY</t>
        </is>
      </c>
      <c r="D31" s="28" t="n">
        <v>24</v>
      </c>
      <c r="E31" s="19">
        <f>IFERROR(INDEX('02 MONITOR'!$C$7:$C$106,SUMPRODUCT(('02 MONITOR'!$B$7:$B$106="EQUITY")*('02 MONITOR'!$P$7:$P$106=24)*(ROW('02 MONITOR'!$B$7:$B$106)-6))),"")</f>
        <v/>
      </c>
      <c r="F31" s="40">
        <f>IFERROR(INDEX('02 MONITOR'!$D$7:$D$106,SUMPRODUCT(('02 MONITOR'!$B$7:$B$106="EQUITY")*('02 MONITOR'!$P$7:$P$106=24)*(ROW('02 MONITOR'!$B$7:$B$106)-6))),"")</f>
        <v/>
      </c>
      <c r="G31" s="29">
        <f>IFERROR(INDEX('02 MONITOR'!$M$7:$M$106,SUMPRODUCT(('02 MONITOR'!$B$7:$B$106="EQUITY")*('02 MONITOR'!$P$7:$P$106=24)*(ROW('02 MONITOR'!$B$7:$B$106)-6))),"")</f>
        <v/>
      </c>
      <c r="H31" s="36" t="inlineStr">
        <is>
          <t>SHORT</t>
        </is>
      </c>
      <c r="I31" s="26">
        <f>IFERROR(IF(ABS($G31)&lt;SETTINGS_ZMIN,0,ABS($G31)),"")</f>
        <v/>
      </c>
      <c r="J31" s="47">
        <f>IFERROR($I31/SUMPRODUCT(($C$8:$C$107=$C31)*($H$8:$H$107=$H31)*$I$8:$I$107)*(SETTINGS_GROSS/2/5),"")</f>
        <v/>
      </c>
      <c r="K31" s="48">
        <f>IFERROR($J31*SETTINGS_CAP*IF($H31="SHORT",-1,1),"")</f>
        <v/>
      </c>
      <c r="L31" s="12" t="inlineStr">
        <is>
          <t>Forward P/E</t>
        </is>
      </c>
      <c r="M31" s="12" t="inlineStr">
        <is>
          <t>Index future or total-return swap. Cash equity only if you must.</t>
        </is>
      </c>
    </row>
    <row r="32">
      <c r="B32" s="28" t="n">
        <v>25</v>
      </c>
      <c r="C32" s="49" t="inlineStr">
        <is>
          <t>RATES</t>
        </is>
      </c>
      <c r="D32" s="28" t="n">
        <v>1</v>
      </c>
      <c r="E32" s="19">
        <f>IFERROR(INDEX('02 MONITOR'!$C$7:$C$106,SUMPRODUCT(('02 MONITOR'!$B$7:$B$106="RATES")*('02 MONITOR'!$P$7:$P$106=1)*(ROW('02 MONITOR'!$B$7:$B$106)-6))),"")</f>
        <v/>
      </c>
      <c r="F32" s="40">
        <f>IFERROR(INDEX('02 MONITOR'!$D$7:$D$106,SUMPRODUCT(('02 MONITOR'!$B$7:$B$106="RATES")*('02 MONITOR'!$P$7:$P$106=1)*(ROW('02 MONITOR'!$B$7:$B$106)-6))),"")</f>
        <v/>
      </c>
      <c r="G32" s="29">
        <f>IFERROR(INDEX('02 MONITOR'!$M$7:$M$106,SUMPRODUCT(('02 MONITOR'!$B$7:$B$106="RATES")*('02 MONITOR'!$P$7:$P$106=1)*(ROW('02 MONITOR'!$B$7:$B$106)-6))),"")</f>
        <v/>
      </c>
      <c r="H32" s="46" t="inlineStr">
        <is>
          <t>LONG</t>
        </is>
      </c>
      <c r="I32" s="26">
        <f>IFERROR(IF(ABS($G32)&lt;SETTINGS_ZMIN,0,ABS($G32)),"")</f>
        <v/>
      </c>
      <c r="J32" s="47">
        <f>IFERROR($I32/SUMPRODUCT(($C$8:$C$107=$C32)*($H$8:$H$107=$H32)*$I$8:$I$107)*(SETTINGS_GROSS/2/5),"")</f>
        <v/>
      </c>
      <c r="K32" s="48">
        <f>IFERROR($J32*SETTINGS_CAP*IF($H32="SHORT",-1,1),"")</f>
        <v/>
      </c>
      <c r="L32" s="12" t="inlineStr">
        <is>
          <t>10y nominal yield</t>
        </is>
      </c>
      <c r="M32" s="12" t="inlineStr">
        <is>
          <t>Receive or pay the 10y point in IRS, or the bond vs swaps. Size in DV01, not notional.</t>
        </is>
      </c>
    </row>
    <row r="33">
      <c r="B33" s="28" t="n">
        <v>26</v>
      </c>
      <c r="C33" s="49" t="inlineStr">
        <is>
          <t>RATES</t>
        </is>
      </c>
      <c r="D33" s="28" t="n">
        <v>2</v>
      </c>
      <c r="E33" s="19">
        <f>IFERROR(INDEX('02 MONITOR'!$C$7:$C$106,SUMPRODUCT(('02 MONITOR'!$B$7:$B$106="RATES")*('02 MONITOR'!$P$7:$P$106=2)*(ROW('02 MONITOR'!$B$7:$B$106)-6))),"")</f>
        <v/>
      </c>
      <c r="F33" s="40">
        <f>IFERROR(INDEX('02 MONITOR'!$D$7:$D$106,SUMPRODUCT(('02 MONITOR'!$B$7:$B$106="RATES")*('02 MONITOR'!$P$7:$P$106=2)*(ROW('02 MONITOR'!$B$7:$B$106)-6))),"")</f>
        <v/>
      </c>
      <c r="G33" s="29">
        <f>IFERROR(INDEX('02 MONITOR'!$M$7:$M$106,SUMPRODUCT(('02 MONITOR'!$B$7:$B$106="RATES")*('02 MONITOR'!$P$7:$P$106=2)*(ROW('02 MONITOR'!$B$7:$B$106)-6))),"")</f>
        <v/>
      </c>
      <c r="H33" s="46" t="inlineStr">
        <is>
          <t>LONG</t>
        </is>
      </c>
      <c r="I33" s="26">
        <f>IFERROR(IF(ABS($G33)&lt;SETTINGS_ZMIN,0,ABS($G33)),"")</f>
        <v/>
      </c>
      <c r="J33" s="47">
        <f>IFERROR($I33/SUMPRODUCT(($C$8:$C$107=$C33)*($H$8:$H$107=$H33)*$I$8:$I$107)*(SETTINGS_GROSS/2/5),"")</f>
        <v/>
      </c>
      <c r="K33" s="48">
        <f>IFERROR($J33*SETTINGS_CAP*IF($H33="SHORT",-1,1),"")</f>
        <v/>
      </c>
      <c r="L33" s="12" t="inlineStr">
        <is>
          <t>10y nominal yield</t>
        </is>
      </c>
      <c r="M33" s="12" t="inlineStr">
        <is>
          <t>Receive or pay the 10y point in IRS, or the bond vs swaps. Size in DV01, not notional.</t>
        </is>
      </c>
    </row>
    <row r="34">
      <c r="B34" s="28" t="n">
        <v>27</v>
      </c>
      <c r="C34" s="49" t="inlineStr">
        <is>
          <t>RATES</t>
        </is>
      </c>
      <c r="D34" s="28" t="n">
        <v>3</v>
      </c>
      <c r="E34" s="19">
        <f>IFERROR(INDEX('02 MONITOR'!$C$7:$C$106,SUMPRODUCT(('02 MONITOR'!$B$7:$B$106="RATES")*('02 MONITOR'!$P$7:$P$106=3)*(ROW('02 MONITOR'!$B$7:$B$106)-6))),"")</f>
        <v/>
      </c>
      <c r="F34" s="40">
        <f>IFERROR(INDEX('02 MONITOR'!$D$7:$D$106,SUMPRODUCT(('02 MONITOR'!$B$7:$B$106="RATES")*('02 MONITOR'!$P$7:$P$106=3)*(ROW('02 MONITOR'!$B$7:$B$106)-6))),"")</f>
        <v/>
      </c>
      <c r="G34" s="29">
        <f>IFERROR(INDEX('02 MONITOR'!$M$7:$M$106,SUMPRODUCT(('02 MONITOR'!$B$7:$B$106="RATES")*('02 MONITOR'!$P$7:$P$106=3)*(ROW('02 MONITOR'!$B$7:$B$106)-6))),"")</f>
        <v/>
      </c>
      <c r="H34" s="46" t="inlineStr">
        <is>
          <t>LONG</t>
        </is>
      </c>
      <c r="I34" s="26">
        <f>IFERROR(IF(ABS($G34)&lt;SETTINGS_ZMIN,0,ABS($G34)),"")</f>
        <v/>
      </c>
      <c r="J34" s="47">
        <f>IFERROR($I34/SUMPRODUCT(($C$8:$C$107=$C34)*($H$8:$H$107=$H34)*$I$8:$I$107)*(SETTINGS_GROSS/2/5),"")</f>
        <v/>
      </c>
      <c r="K34" s="48">
        <f>IFERROR($J34*SETTINGS_CAP*IF($H34="SHORT",-1,1),"")</f>
        <v/>
      </c>
      <c r="L34" s="12" t="inlineStr">
        <is>
          <t>10y nominal yield</t>
        </is>
      </c>
      <c r="M34" s="12" t="inlineStr">
        <is>
          <t>Receive or pay the 10y point in IRS, or the bond vs swaps. Size in DV01, not notional.</t>
        </is>
      </c>
    </row>
    <row r="35">
      <c r="B35" s="28" t="n">
        <v>28</v>
      </c>
      <c r="C35" s="49" t="inlineStr">
        <is>
          <t>RATES</t>
        </is>
      </c>
      <c r="D35" s="28" t="n">
        <v>4</v>
      </c>
      <c r="E35" s="19">
        <f>IFERROR(INDEX('02 MONITOR'!$C$7:$C$106,SUMPRODUCT(('02 MONITOR'!$B$7:$B$106="RATES")*('02 MONITOR'!$P$7:$P$106=4)*(ROW('02 MONITOR'!$B$7:$B$106)-6))),"")</f>
        <v/>
      </c>
      <c r="F35" s="40">
        <f>IFERROR(INDEX('02 MONITOR'!$D$7:$D$106,SUMPRODUCT(('02 MONITOR'!$B$7:$B$106="RATES")*('02 MONITOR'!$P$7:$P$106=4)*(ROW('02 MONITOR'!$B$7:$B$106)-6))),"")</f>
        <v/>
      </c>
      <c r="G35" s="29">
        <f>IFERROR(INDEX('02 MONITOR'!$M$7:$M$106,SUMPRODUCT(('02 MONITOR'!$B$7:$B$106="RATES")*('02 MONITOR'!$P$7:$P$106=4)*(ROW('02 MONITOR'!$B$7:$B$106)-6))),"")</f>
        <v/>
      </c>
      <c r="H35" s="46" t="inlineStr">
        <is>
          <t>LONG</t>
        </is>
      </c>
      <c r="I35" s="26">
        <f>IFERROR(IF(ABS($G35)&lt;SETTINGS_ZMIN,0,ABS($G35)),"")</f>
        <v/>
      </c>
      <c r="J35" s="47">
        <f>IFERROR($I35/SUMPRODUCT(($C$8:$C$107=$C35)*($H$8:$H$107=$H35)*$I$8:$I$107)*(SETTINGS_GROSS/2/5),"")</f>
        <v/>
      </c>
      <c r="K35" s="48">
        <f>IFERROR($J35*SETTINGS_CAP*IF($H35="SHORT",-1,1),"")</f>
        <v/>
      </c>
      <c r="L35" s="12" t="inlineStr">
        <is>
          <t>10y nominal yield</t>
        </is>
      </c>
      <c r="M35" s="12" t="inlineStr">
        <is>
          <t>Receive or pay the 10y point in IRS, or the bond vs swaps. Size in DV01, not notional.</t>
        </is>
      </c>
    </row>
    <row r="36">
      <c r="B36" s="28" t="n">
        <v>29</v>
      </c>
      <c r="C36" s="49" t="inlineStr">
        <is>
          <t>RATES</t>
        </is>
      </c>
      <c r="D36" s="28" t="n">
        <v>5</v>
      </c>
      <c r="E36" s="19">
        <f>IFERROR(INDEX('02 MONITOR'!$C$7:$C$106,SUMPRODUCT(('02 MONITOR'!$B$7:$B$106="RATES")*('02 MONITOR'!$P$7:$P$106=5)*(ROW('02 MONITOR'!$B$7:$B$106)-6))),"")</f>
        <v/>
      </c>
      <c r="F36" s="40">
        <f>IFERROR(INDEX('02 MONITOR'!$D$7:$D$106,SUMPRODUCT(('02 MONITOR'!$B$7:$B$106="RATES")*('02 MONITOR'!$P$7:$P$106=5)*(ROW('02 MONITOR'!$B$7:$B$106)-6))),"")</f>
        <v/>
      </c>
      <c r="G36" s="29">
        <f>IFERROR(INDEX('02 MONITOR'!$M$7:$M$106,SUMPRODUCT(('02 MONITOR'!$B$7:$B$106="RATES")*('02 MONITOR'!$P$7:$P$106=5)*(ROW('02 MONITOR'!$B$7:$B$106)-6))),"")</f>
        <v/>
      </c>
      <c r="H36" s="46" t="inlineStr">
        <is>
          <t>LONG</t>
        </is>
      </c>
      <c r="I36" s="26">
        <f>IFERROR(IF(ABS($G36)&lt;SETTINGS_ZMIN,0,ABS($G36)),"")</f>
        <v/>
      </c>
      <c r="J36" s="47">
        <f>IFERROR($I36/SUMPRODUCT(($C$8:$C$107=$C36)*($H$8:$H$107=$H36)*$I$8:$I$107)*(SETTINGS_GROSS/2/5),"")</f>
        <v/>
      </c>
      <c r="K36" s="48">
        <f>IFERROR($J36*SETTINGS_CAP*IF($H36="SHORT",-1,1),"")</f>
        <v/>
      </c>
      <c r="L36" s="12" t="inlineStr">
        <is>
          <t>10y nominal yield</t>
        </is>
      </c>
      <c r="M36" s="12" t="inlineStr">
        <is>
          <t>Receive or pay the 10y point in IRS, or the bond vs swaps. Size in DV01, not notional.</t>
        </is>
      </c>
    </row>
    <row r="37">
      <c r="B37" s="28" t="n">
        <v>30</v>
      </c>
      <c r="C37" s="49" t="inlineStr">
        <is>
          <t>RATES</t>
        </is>
      </c>
      <c r="D37" s="28" t="n">
        <v>6</v>
      </c>
      <c r="E37" s="19">
        <f>IFERROR(INDEX('02 MONITOR'!$C$7:$C$106,SUMPRODUCT(('02 MONITOR'!$B$7:$B$106="RATES")*('02 MONITOR'!$P$7:$P$106=6)*(ROW('02 MONITOR'!$B$7:$B$106)-6))),"")</f>
        <v/>
      </c>
      <c r="F37" s="40">
        <f>IFERROR(INDEX('02 MONITOR'!$D$7:$D$106,SUMPRODUCT(('02 MONITOR'!$B$7:$B$106="RATES")*('02 MONITOR'!$P$7:$P$106=6)*(ROW('02 MONITOR'!$B$7:$B$106)-6))),"")</f>
        <v/>
      </c>
      <c r="G37" s="29">
        <f>IFERROR(INDEX('02 MONITOR'!$M$7:$M$106,SUMPRODUCT(('02 MONITOR'!$B$7:$B$106="RATES")*('02 MONITOR'!$P$7:$P$106=6)*(ROW('02 MONITOR'!$B$7:$B$106)-6))),"")</f>
        <v/>
      </c>
      <c r="H37" s="46" t="inlineStr">
        <is>
          <t>LONG</t>
        </is>
      </c>
      <c r="I37" s="26">
        <f>IFERROR(IF(ABS($G37)&lt;SETTINGS_ZMIN,0,ABS($G37)),"")</f>
        <v/>
      </c>
      <c r="J37" s="47">
        <f>IFERROR($I37/SUMPRODUCT(($C$8:$C$107=$C37)*($H$8:$H$107=$H37)*$I$8:$I$107)*(SETTINGS_GROSS/2/5),"")</f>
        <v/>
      </c>
      <c r="K37" s="48">
        <f>IFERROR($J37*SETTINGS_CAP*IF($H37="SHORT",-1,1),"")</f>
        <v/>
      </c>
      <c r="L37" s="12" t="inlineStr">
        <is>
          <t>10y nominal yield</t>
        </is>
      </c>
      <c r="M37" s="12" t="inlineStr">
        <is>
          <t>Receive or pay the 10y point in IRS, or the bond vs swaps. Size in DV01, not notional.</t>
        </is>
      </c>
    </row>
    <row r="38">
      <c r="B38" s="28" t="n">
        <v>31</v>
      </c>
      <c r="C38" s="49" t="inlineStr">
        <is>
          <t>RATES</t>
        </is>
      </c>
      <c r="D38" s="28" t="n">
        <v>7</v>
      </c>
      <c r="E38" s="19">
        <f>IFERROR(INDEX('02 MONITOR'!$C$7:$C$106,SUMPRODUCT(('02 MONITOR'!$B$7:$B$106="RATES")*('02 MONITOR'!$P$7:$P$106=7)*(ROW('02 MONITOR'!$B$7:$B$106)-6))),"")</f>
        <v/>
      </c>
      <c r="F38" s="40">
        <f>IFERROR(INDEX('02 MONITOR'!$D$7:$D$106,SUMPRODUCT(('02 MONITOR'!$B$7:$B$106="RATES")*('02 MONITOR'!$P$7:$P$106=7)*(ROW('02 MONITOR'!$B$7:$B$106)-6))),"")</f>
        <v/>
      </c>
      <c r="G38" s="29">
        <f>IFERROR(INDEX('02 MONITOR'!$M$7:$M$106,SUMPRODUCT(('02 MONITOR'!$B$7:$B$106="RATES")*('02 MONITOR'!$P$7:$P$106=7)*(ROW('02 MONITOR'!$B$7:$B$106)-6))),"")</f>
        <v/>
      </c>
      <c r="H38" s="46" t="inlineStr">
        <is>
          <t>LONG</t>
        </is>
      </c>
      <c r="I38" s="26">
        <f>IFERROR(IF(ABS($G38)&lt;SETTINGS_ZMIN,0,ABS($G38)),"")</f>
        <v/>
      </c>
      <c r="J38" s="47">
        <f>IFERROR($I38/SUMPRODUCT(($C$8:$C$107=$C38)*($H$8:$H$107=$H38)*$I$8:$I$107)*(SETTINGS_GROSS/2/5),"")</f>
        <v/>
      </c>
      <c r="K38" s="48">
        <f>IFERROR($J38*SETTINGS_CAP*IF($H38="SHORT",-1,1),"")</f>
        <v/>
      </c>
      <c r="L38" s="12" t="inlineStr">
        <is>
          <t>10y nominal yield</t>
        </is>
      </c>
      <c r="M38" s="12" t="inlineStr">
        <is>
          <t>Receive or pay the 10y point in IRS, or the bond vs swaps. Size in DV01, not notional.</t>
        </is>
      </c>
    </row>
    <row r="39">
      <c r="B39" s="28" t="n">
        <v>32</v>
      </c>
      <c r="C39" s="49" t="inlineStr">
        <is>
          <t>RATES</t>
        </is>
      </c>
      <c r="D39" s="28" t="n">
        <v>8</v>
      </c>
      <c r="E39" s="19">
        <f>IFERROR(INDEX('02 MONITOR'!$C$7:$C$106,SUMPRODUCT(('02 MONITOR'!$B$7:$B$106="RATES")*('02 MONITOR'!$P$7:$P$106=8)*(ROW('02 MONITOR'!$B$7:$B$106)-6))),"")</f>
        <v/>
      </c>
      <c r="F39" s="40">
        <f>IFERROR(INDEX('02 MONITOR'!$D$7:$D$106,SUMPRODUCT(('02 MONITOR'!$B$7:$B$106="RATES")*('02 MONITOR'!$P$7:$P$106=8)*(ROW('02 MONITOR'!$B$7:$B$106)-6))),"")</f>
        <v/>
      </c>
      <c r="G39" s="29">
        <f>IFERROR(INDEX('02 MONITOR'!$M$7:$M$106,SUMPRODUCT(('02 MONITOR'!$B$7:$B$106="RATES")*('02 MONITOR'!$P$7:$P$106=8)*(ROW('02 MONITOR'!$B$7:$B$106)-6))),"")</f>
        <v/>
      </c>
      <c r="H39" s="46" t="inlineStr">
        <is>
          <t>LONG</t>
        </is>
      </c>
      <c r="I39" s="26">
        <f>IFERROR(IF(ABS($G39)&lt;SETTINGS_ZMIN,0,ABS($G39)),"")</f>
        <v/>
      </c>
      <c r="J39" s="47">
        <f>IFERROR($I39/SUMPRODUCT(($C$8:$C$107=$C39)*($H$8:$H$107=$H39)*$I$8:$I$107)*(SETTINGS_GROSS/2/5),"")</f>
        <v/>
      </c>
      <c r="K39" s="48">
        <f>IFERROR($J39*SETTINGS_CAP*IF($H39="SHORT",-1,1),"")</f>
        <v/>
      </c>
      <c r="L39" s="12" t="inlineStr">
        <is>
          <t>10y nominal yield</t>
        </is>
      </c>
      <c r="M39" s="12" t="inlineStr">
        <is>
          <t>Receive or pay the 10y point in IRS, or the bond vs swaps. Size in DV01, not notional.</t>
        </is>
      </c>
    </row>
    <row r="40">
      <c r="B40" s="28" t="n">
        <v>33</v>
      </c>
      <c r="C40" s="49" t="inlineStr">
        <is>
          <t>RATES</t>
        </is>
      </c>
      <c r="D40" s="28" t="n">
        <v>9</v>
      </c>
      <c r="E40" s="19">
        <f>IFERROR(INDEX('02 MONITOR'!$C$7:$C$106,SUMPRODUCT(('02 MONITOR'!$B$7:$B$106="RATES")*('02 MONITOR'!$P$7:$P$106=9)*(ROW('02 MONITOR'!$B$7:$B$106)-6))),"")</f>
        <v/>
      </c>
      <c r="F40" s="40">
        <f>IFERROR(INDEX('02 MONITOR'!$D$7:$D$106,SUMPRODUCT(('02 MONITOR'!$B$7:$B$106="RATES")*('02 MONITOR'!$P$7:$P$106=9)*(ROW('02 MONITOR'!$B$7:$B$106)-6))),"")</f>
        <v/>
      </c>
      <c r="G40" s="29">
        <f>IFERROR(INDEX('02 MONITOR'!$M$7:$M$106,SUMPRODUCT(('02 MONITOR'!$B$7:$B$106="RATES")*('02 MONITOR'!$P$7:$P$106=9)*(ROW('02 MONITOR'!$B$7:$B$106)-6))),"")</f>
        <v/>
      </c>
      <c r="H40" s="46" t="inlineStr">
        <is>
          <t>LONG</t>
        </is>
      </c>
      <c r="I40" s="26">
        <f>IFERROR(IF(ABS($G40)&lt;SETTINGS_ZMIN,0,ABS($G40)),"")</f>
        <v/>
      </c>
      <c r="J40" s="47">
        <f>IFERROR($I40/SUMPRODUCT(($C$8:$C$107=$C40)*($H$8:$H$107=$H40)*$I$8:$I$107)*(SETTINGS_GROSS/2/5),"")</f>
        <v/>
      </c>
      <c r="K40" s="48">
        <f>IFERROR($J40*SETTINGS_CAP*IF($H40="SHORT",-1,1),"")</f>
        <v/>
      </c>
      <c r="L40" s="12" t="inlineStr">
        <is>
          <t>10y nominal yield</t>
        </is>
      </c>
      <c r="M40" s="12" t="inlineStr">
        <is>
          <t>Receive or pay the 10y point in IRS, or the bond vs swaps. Size in DV01, not notional.</t>
        </is>
      </c>
    </row>
    <row r="41">
      <c r="B41" s="28" t="n">
        <v>34</v>
      </c>
      <c r="C41" s="49" t="inlineStr">
        <is>
          <t>RATES</t>
        </is>
      </c>
      <c r="D41" s="28" t="n">
        <v>10</v>
      </c>
      <c r="E41" s="19">
        <f>IFERROR(INDEX('02 MONITOR'!$C$7:$C$106,SUMPRODUCT(('02 MONITOR'!$B$7:$B$106="RATES")*('02 MONITOR'!$P$7:$P$106=10)*(ROW('02 MONITOR'!$B$7:$B$106)-6))),"")</f>
        <v/>
      </c>
      <c r="F41" s="40">
        <f>IFERROR(INDEX('02 MONITOR'!$D$7:$D$106,SUMPRODUCT(('02 MONITOR'!$B$7:$B$106="RATES")*('02 MONITOR'!$P$7:$P$106=10)*(ROW('02 MONITOR'!$B$7:$B$106)-6))),"")</f>
        <v/>
      </c>
      <c r="G41" s="29">
        <f>IFERROR(INDEX('02 MONITOR'!$M$7:$M$106,SUMPRODUCT(('02 MONITOR'!$B$7:$B$106="RATES")*('02 MONITOR'!$P$7:$P$106=10)*(ROW('02 MONITOR'!$B$7:$B$106)-6))),"")</f>
        <v/>
      </c>
      <c r="H41" s="46" t="inlineStr">
        <is>
          <t>LONG</t>
        </is>
      </c>
      <c r="I41" s="26">
        <f>IFERROR(IF(ABS($G41)&lt;SETTINGS_ZMIN,0,ABS($G41)),"")</f>
        <v/>
      </c>
      <c r="J41" s="47">
        <f>IFERROR($I41/SUMPRODUCT(($C$8:$C$107=$C41)*($H$8:$H$107=$H41)*$I$8:$I$107)*(SETTINGS_GROSS/2/5),"")</f>
        <v/>
      </c>
      <c r="K41" s="48">
        <f>IFERROR($J41*SETTINGS_CAP*IF($H41="SHORT",-1,1),"")</f>
        <v/>
      </c>
      <c r="L41" s="12" t="inlineStr">
        <is>
          <t>10y nominal yield</t>
        </is>
      </c>
      <c r="M41" s="12" t="inlineStr">
        <is>
          <t>Receive or pay the 10y point in IRS, or the bond vs swaps. Size in DV01, not notional.</t>
        </is>
      </c>
    </row>
    <row r="42">
      <c r="B42" s="28" t="n">
        <v>35</v>
      </c>
      <c r="C42" s="49" t="inlineStr">
        <is>
          <t>RATES</t>
        </is>
      </c>
      <c r="D42" s="28" t="n">
        <v>11</v>
      </c>
      <c r="E42" s="19">
        <f>IFERROR(INDEX('02 MONITOR'!$C$7:$C$106,SUMPRODUCT(('02 MONITOR'!$B$7:$B$106="RATES")*('02 MONITOR'!$P$7:$P$106=11)*(ROW('02 MONITOR'!$B$7:$B$106)-6))),"")</f>
        <v/>
      </c>
      <c r="F42" s="40">
        <f>IFERROR(INDEX('02 MONITOR'!$D$7:$D$106,SUMPRODUCT(('02 MONITOR'!$B$7:$B$106="RATES")*('02 MONITOR'!$P$7:$P$106=11)*(ROW('02 MONITOR'!$B$7:$B$106)-6))),"")</f>
        <v/>
      </c>
      <c r="G42" s="29">
        <f>IFERROR(INDEX('02 MONITOR'!$M$7:$M$106,SUMPRODUCT(('02 MONITOR'!$B$7:$B$106="RATES")*('02 MONITOR'!$P$7:$P$106=11)*(ROW('02 MONITOR'!$B$7:$B$106)-6))),"")</f>
        <v/>
      </c>
      <c r="H42" s="36" t="inlineStr">
        <is>
          <t>SHORT</t>
        </is>
      </c>
      <c r="I42" s="26">
        <f>IFERROR(IF(ABS($G42)&lt;SETTINGS_ZMIN,0,ABS($G42)),"")</f>
        <v/>
      </c>
      <c r="J42" s="47">
        <f>IFERROR($I42/SUMPRODUCT(($C$8:$C$107=$C42)*($H$8:$H$107=$H42)*$I$8:$I$107)*(SETTINGS_GROSS/2/5),"")</f>
        <v/>
      </c>
      <c r="K42" s="48">
        <f>IFERROR($J42*SETTINGS_CAP*IF($H42="SHORT",-1,1),"")</f>
        <v/>
      </c>
      <c r="L42" s="12" t="inlineStr">
        <is>
          <t>10y nominal yield</t>
        </is>
      </c>
      <c r="M42" s="12" t="inlineStr">
        <is>
          <t>Receive or pay the 10y point in IRS, or the bond vs swaps. Size in DV01, not notional.</t>
        </is>
      </c>
    </row>
    <row r="43">
      <c r="B43" s="28" t="n">
        <v>36</v>
      </c>
      <c r="C43" s="49" t="inlineStr">
        <is>
          <t>RATES</t>
        </is>
      </c>
      <c r="D43" s="28" t="n">
        <v>12</v>
      </c>
      <c r="E43" s="19">
        <f>IFERROR(INDEX('02 MONITOR'!$C$7:$C$106,SUMPRODUCT(('02 MONITOR'!$B$7:$B$106="RATES")*('02 MONITOR'!$P$7:$P$106=12)*(ROW('02 MONITOR'!$B$7:$B$106)-6))),"")</f>
        <v/>
      </c>
      <c r="F43" s="40">
        <f>IFERROR(INDEX('02 MONITOR'!$D$7:$D$106,SUMPRODUCT(('02 MONITOR'!$B$7:$B$106="RATES")*('02 MONITOR'!$P$7:$P$106=12)*(ROW('02 MONITOR'!$B$7:$B$106)-6))),"")</f>
        <v/>
      </c>
      <c r="G43" s="29">
        <f>IFERROR(INDEX('02 MONITOR'!$M$7:$M$106,SUMPRODUCT(('02 MONITOR'!$B$7:$B$106="RATES")*('02 MONITOR'!$P$7:$P$106=12)*(ROW('02 MONITOR'!$B$7:$B$106)-6))),"")</f>
        <v/>
      </c>
      <c r="H43" s="36" t="inlineStr">
        <is>
          <t>SHORT</t>
        </is>
      </c>
      <c r="I43" s="26">
        <f>IFERROR(IF(ABS($G43)&lt;SETTINGS_ZMIN,0,ABS($G43)),"")</f>
        <v/>
      </c>
      <c r="J43" s="47">
        <f>IFERROR($I43/SUMPRODUCT(($C$8:$C$107=$C43)*($H$8:$H$107=$H43)*$I$8:$I$107)*(SETTINGS_GROSS/2/5),"")</f>
        <v/>
      </c>
      <c r="K43" s="48">
        <f>IFERROR($J43*SETTINGS_CAP*IF($H43="SHORT",-1,1),"")</f>
        <v/>
      </c>
      <c r="L43" s="12" t="inlineStr">
        <is>
          <t>10y nominal yield</t>
        </is>
      </c>
      <c r="M43" s="12" t="inlineStr">
        <is>
          <t>Receive or pay the 10y point in IRS, or the bond vs swaps. Size in DV01, not notional.</t>
        </is>
      </c>
    </row>
    <row r="44">
      <c r="B44" s="28" t="n">
        <v>37</v>
      </c>
      <c r="C44" s="49" t="inlineStr">
        <is>
          <t>RATES</t>
        </is>
      </c>
      <c r="D44" s="28" t="n">
        <v>13</v>
      </c>
      <c r="E44" s="19">
        <f>IFERROR(INDEX('02 MONITOR'!$C$7:$C$106,SUMPRODUCT(('02 MONITOR'!$B$7:$B$106="RATES")*('02 MONITOR'!$P$7:$P$106=13)*(ROW('02 MONITOR'!$B$7:$B$106)-6))),"")</f>
        <v/>
      </c>
      <c r="F44" s="40">
        <f>IFERROR(INDEX('02 MONITOR'!$D$7:$D$106,SUMPRODUCT(('02 MONITOR'!$B$7:$B$106="RATES")*('02 MONITOR'!$P$7:$P$106=13)*(ROW('02 MONITOR'!$B$7:$B$106)-6))),"")</f>
        <v/>
      </c>
      <c r="G44" s="29">
        <f>IFERROR(INDEX('02 MONITOR'!$M$7:$M$106,SUMPRODUCT(('02 MONITOR'!$B$7:$B$106="RATES")*('02 MONITOR'!$P$7:$P$106=13)*(ROW('02 MONITOR'!$B$7:$B$106)-6))),"")</f>
        <v/>
      </c>
      <c r="H44" s="36" t="inlineStr">
        <is>
          <t>SHORT</t>
        </is>
      </c>
      <c r="I44" s="26">
        <f>IFERROR(IF(ABS($G44)&lt;SETTINGS_ZMIN,0,ABS($G44)),"")</f>
        <v/>
      </c>
      <c r="J44" s="47">
        <f>IFERROR($I44/SUMPRODUCT(($C$8:$C$107=$C44)*($H$8:$H$107=$H44)*$I$8:$I$107)*(SETTINGS_GROSS/2/5),"")</f>
        <v/>
      </c>
      <c r="K44" s="48">
        <f>IFERROR($J44*SETTINGS_CAP*IF($H44="SHORT",-1,1),"")</f>
        <v/>
      </c>
      <c r="L44" s="12" t="inlineStr">
        <is>
          <t>10y nominal yield</t>
        </is>
      </c>
      <c r="M44" s="12" t="inlineStr">
        <is>
          <t>Receive or pay the 10y point in IRS, or the bond vs swaps. Size in DV01, not notional.</t>
        </is>
      </c>
    </row>
    <row r="45">
      <c r="B45" s="28" t="n">
        <v>38</v>
      </c>
      <c r="C45" s="49" t="inlineStr">
        <is>
          <t>RATES</t>
        </is>
      </c>
      <c r="D45" s="28" t="n">
        <v>14</v>
      </c>
      <c r="E45" s="19">
        <f>IFERROR(INDEX('02 MONITOR'!$C$7:$C$106,SUMPRODUCT(('02 MONITOR'!$B$7:$B$106="RATES")*('02 MONITOR'!$P$7:$P$106=14)*(ROW('02 MONITOR'!$B$7:$B$106)-6))),"")</f>
        <v/>
      </c>
      <c r="F45" s="40">
        <f>IFERROR(INDEX('02 MONITOR'!$D$7:$D$106,SUMPRODUCT(('02 MONITOR'!$B$7:$B$106="RATES")*('02 MONITOR'!$P$7:$P$106=14)*(ROW('02 MONITOR'!$B$7:$B$106)-6))),"")</f>
        <v/>
      </c>
      <c r="G45" s="29">
        <f>IFERROR(INDEX('02 MONITOR'!$M$7:$M$106,SUMPRODUCT(('02 MONITOR'!$B$7:$B$106="RATES")*('02 MONITOR'!$P$7:$P$106=14)*(ROW('02 MONITOR'!$B$7:$B$106)-6))),"")</f>
        <v/>
      </c>
      <c r="H45" s="36" t="inlineStr">
        <is>
          <t>SHORT</t>
        </is>
      </c>
      <c r="I45" s="26">
        <f>IFERROR(IF(ABS($G45)&lt;SETTINGS_ZMIN,0,ABS($G45)),"")</f>
        <v/>
      </c>
      <c r="J45" s="47">
        <f>IFERROR($I45/SUMPRODUCT(($C$8:$C$107=$C45)*($H$8:$H$107=$H45)*$I$8:$I$107)*(SETTINGS_GROSS/2/5),"")</f>
        <v/>
      </c>
      <c r="K45" s="48">
        <f>IFERROR($J45*SETTINGS_CAP*IF($H45="SHORT",-1,1),"")</f>
        <v/>
      </c>
      <c r="L45" s="12" t="inlineStr">
        <is>
          <t>10y nominal yield</t>
        </is>
      </c>
      <c r="M45" s="12" t="inlineStr">
        <is>
          <t>Receive or pay the 10y point in IRS, or the bond vs swaps. Size in DV01, not notional.</t>
        </is>
      </c>
    </row>
    <row r="46">
      <c r="B46" s="28" t="n">
        <v>39</v>
      </c>
      <c r="C46" s="49" t="inlineStr">
        <is>
          <t>RATES</t>
        </is>
      </c>
      <c r="D46" s="28" t="n">
        <v>15</v>
      </c>
      <c r="E46" s="19">
        <f>IFERROR(INDEX('02 MONITOR'!$C$7:$C$106,SUMPRODUCT(('02 MONITOR'!$B$7:$B$106="RATES")*('02 MONITOR'!$P$7:$P$106=15)*(ROW('02 MONITOR'!$B$7:$B$106)-6))),"")</f>
        <v/>
      </c>
      <c r="F46" s="40">
        <f>IFERROR(INDEX('02 MONITOR'!$D$7:$D$106,SUMPRODUCT(('02 MONITOR'!$B$7:$B$106="RATES")*('02 MONITOR'!$P$7:$P$106=15)*(ROW('02 MONITOR'!$B$7:$B$106)-6))),"")</f>
        <v/>
      </c>
      <c r="G46" s="29">
        <f>IFERROR(INDEX('02 MONITOR'!$M$7:$M$106,SUMPRODUCT(('02 MONITOR'!$B$7:$B$106="RATES")*('02 MONITOR'!$P$7:$P$106=15)*(ROW('02 MONITOR'!$B$7:$B$106)-6))),"")</f>
        <v/>
      </c>
      <c r="H46" s="36" t="inlineStr">
        <is>
          <t>SHORT</t>
        </is>
      </c>
      <c r="I46" s="26">
        <f>IFERROR(IF(ABS($G46)&lt;SETTINGS_ZMIN,0,ABS($G46)),"")</f>
        <v/>
      </c>
      <c r="J46" s="47">
        <f>IFERROR($I46/SUMPRODUCT(($C$8:$C$107=$C46)*($H$8:$H$107=$H46)*$I$8:$I$107)*(SETTINGS_GROSS/2/5),"")</f>
        <v/>
      </c>
      <c r="K46" s="48">
        <f>IFERROR($J46*SETTINGS_CAP*IF($H46="SHORT",-1,1),"")</f>
        <v/>
      </c>
      <c r="L46" s="12" t="inlineStr">
        <is>
          <t>10y nominal yield</t>
        </is>
      </c>
      <c r="M46" s="12" t="inlineStr">
        <is>
          <t>Receive or pay the 10y point in IRS, or the bond vs swaps. Size in DV01, not notional.</t>
        </is>
      </c>
    </row>
    <row r="47">
      <c r="B47" s="28" t="n">
        <v>40</v>
      </c>
      <c r="C47" s="49" t="inlineStr">
        <is>
          <t>RATES</t>
        </is>
      </c>
      <c r="D47" s="28" t="n">
        <v>16</v>
      </c>
      <c r="E47" s="19">
        <f>IFERROR(INDEX('02 MONITOR'!$C$7:$C$106,SUMPRODUCT(('02 MONITOR'!$B$7:$B$106="RATES")*('02 MONITOR'!$P$7:$P$106=16)*(ROW('02 MONITOR'!$B$7:$B$106)-6))),"")</f>
        <v/>
      </c>
      <c r="F47" s="40">
        <f>IFERROR(INDEX('02 MONITOR'!$D$7:$D$106,SUMPRODUCT(('02 MONITOR'!$B$7:$B$106="RATES")*('02 MONITOR'!$P$7:$P$106=16)*(ROW('02 MONITOR'!$B$7:$B$106)-6))),"")</f>
        <v/>
      </c>
      <c r="G47" s="29">
        <f>IFERROR(INDEX('02 MONITOR'!$M$7:$M$106,SUMPRODUCT(('02 MONITOR'!$B$7:$B$106="RATES")*('02 MONITOR'!$P$7:$P$106=16)*(ROW('02 MONITOR'!$B$7:$B$106)-6))),"")</f>
        <v/>
      </c>
      <c r="H47" s="36" t="inlineStr">
        <is>
          <t>SHORT</t>
        </is>
      </c>
      <c r="I47" s="26">
        <f>IFERROR(IF(ABS($G47)&lt;SETTINGS_ZMIN,0,ABS($G47)),"")</f>
        <v/>
      </c>
      <c r="J47" s="47">
        <f>IFERROR($I47/SUMPRODUCT(($C$8:$C$107=$C47)*($H$8:$H$107=$H47)*$I$8:$I$107)*(SETTINGS_GROSS/2/5),"")</f>
        <v/>
      </c>
      <c r="K47" s="48">
        <f>IFERROR($J47*SETTINGS_CAP*IF($H47="SHORT",-1,1),"")</f>
        <v/>
      </c>
      <c r="L47" s="12" t="inlineStr">
        <is>
          <t>10y nominal yield</t>
        </is>
      </c>
      <c r="M47" s="12" t="inlineStr">
        <is>
          <t>Receive or pay the 10y point in IRS, or the bond vs swaps. Size in DV01, not notional.</t>
        </is>
      </c>
    </row>
    <row r="48">
      <c r="B48" s="28" t="n">
        <v>41</v>
      </c>
      <c r="C48" s="49" t="inlineStr">
        <is>
          <t>RATES</t>
        </is>
      </c>
      <c r="D48" s="28" t="n">
        <v>17</v>
      </c>
      <c r="E48" s="19">
        <f>IFERROR(INDEX('02 MONITOR'!$C$7:$C$106,SUMPRODUCT(('02 MONITOR'!$B$7:$B$106="RATES")*('02 MONITOR'!$P$7:$P$106=17)*(ROW('02 MONITOR'!$B$7:$B$106)-6))),"")</f>
        <v/>
      </c>
      <c r="F48" s="40">
        <f>IFERROR(INDEX('02 MONITOR'!$D$7:$D$106,SUMPRODUCT(('02 MONITOR'!$B$7:$B$106="RATES")*('02 MONITOR'!$P$7:$P$106=17)*(ROW('02 MONITOR'!$B$7:$B$106)-6))),"")</f>
        <v/>
      </c>
      <c r="G48" s="29">
        <f>IFERROR(INDEX('02 MONITOR'!$M$7:$M$106,SUMPRODUCT(('02 MONITOR'!$B$7:$B$106="RATES")*('02 MONITOR'!$P$7:$P$106=17)*(ROW('02 MONITOR'!$B$7:$B$106)-6))),"")</f>
        <v/>
      </c>
      <c r="H48" s="36" t="inlineStr">
        <is>
          <t>SHORT</t>
        </is>
      </c>
      <c r="I48" s="26">
        <f>IFERROR(IF(ABS($G48)&lt;SETTINGS_ZMIN,0,ABS($G48)),"")</f>
        <v/>
      </c>
      <c r="J48" s="47">
        <f>IFERROR($I48/SUMPRODUCT(($C$8:$C$107=$C48)*($H$8:$H$107=$H48)*$I$8:$I$107)*(SETTINGS_GROSS/2/5),"")</f>
        <v/>
      </c>
      <c r="K48" s="48">
        <f>IFERROR($J48*SETTINGS_CAP*IF($H48="SHORT",-1,1),"")</f>
        <v/>
      </c>
      <c r="L48" s="12" t="inlineStr">
        <is>
          <t>10y nominal yield</t>
        </is>
      </c>
      <c r="M48" s="12" t="inlineStr">
        <is>
          <t>Receive or pay the 10y point in IRS, or the bond vs swaps. Size in DV01, not notional.</t>
        </is>
      </c>
    </row>
    <row r="49">
      <c r="B49" s="28" t="n">
        <v>42</v>
      </c>
      <c r="C49" s="49" t="inlineStr">
        <is>
          <t>RATES</t>
        </is>
      </c>
      <c r="D49" s="28" t="n">
        <v>18</v>
      </c>
      <c r="E49" s="19">
        <f>IFERROR(INDEX('02 MONITOR'!$C$7:$C$106,SUMPRODUCT(('02 MONITOR'!$B$7:$B$106="RATES")*('02 MONITOR'!$P$7:$P$106=18)*(ROW('02 MONITOR'!$B$7:$B$106)-6))),"")</f>
        <v/>
      </c>
      <c r="F49" s="40">
        <f>IFERROR(INDEX('02 MONITOR'!$D$7:$D$106,SUMPRODUCT(('02 MONITOR'!$B$7:$B$106="RATES")*('02 MONITOR'!$P$7:$P$106=18)*(ROW('02 MONITOR'!$B$7:$B$106)-6))),"")</f>
        <v/>
      </c>
      <c r="G49" s="29">
        <f>IFERROR(INDEX('02 MONITOR'!$M$7:$M$106,SUMPRODUCT(('02 MONITOR'!$B$7:$B$106="RATES")*('02 MONITOR'!$P$7:$P$106=18)*(ROW('02 MONITOR'!$B$7:$B$106)-6))),"")</f>
        <v/>
      </c>
      <c r="H49" s="36" t="inlineStr">
        <is>
          <t>SHORT</t>
        </is>
      </c>
      <c r="I49" s="26">
        <f>IFERROR(IF(ABS($G49)&lt;SETTINGS_ZMIN,0,ABS($G49)),"")</f>
        <v/>
      </c>
      <c r="J49" s="47">
        <f>IFERROR($I49/SUMPRODUCT(($C$8:$C$107=$C49)*($H$8:$H$107=$H49)*$I$8:$I$107)*(SETTINGS_GROSS/2/5),"")</f>
        <v/>
      </c>
      <c r="K49" s="48">
        <f>IFERROR($J49*SETTINGS_CAP*IF($H49="SHORT",-1,1),"")</f>
        <v/>
      </c>
      <c r="L49" s="12" t="inlineStr">
        <is>
          <t>10y nominal yield</t>
        </is>
      </c>
      <c r="M49" s="12" t="inlineStr">
        <is>
          <t>Receive or pay the 10y point in IRS, or the bond vs swaps. Size in DV01, not notional.</t>
        </is>
      </c>
    </row>
    <row r="50">
      <c r="B50" s="28" t="n">
        <v>43</v>
      </c>
      <c r="C50" s="49" t="inlineStr">
        <is>
          <t>RATES</t>
        </is>
      </c>
      <c r="D50" s="28" t="n">
        <v>19</v>
      </c>
      <c r="E50" s="19">
        <f>IFERROR(INDEX('02 MONITOR'!$C$7:$C$106,SUMPRODUCT(('02 MONITOR'!$B$7:$B$106="RATES")*('02 MONITOR'!$P$7:$P$106=19)*(ROW('02 MONITOR'!$B$7:$B$106)-6))),"")</f>
        <v/>
      </c>
      <c r="F50" s="40">
        <f>IFERROR(INDEX('02 MONITOR'!$D$7:$D$106,SUMPRODUCT(('02 MONITOR'!$B$7:$B$106="RATES")*('02 MONITOR'!$P$7:$P$106=19)*(ROW('02 MONITOR'!$B$7:$B$106)-6))),"")</f>
        <v/>
      </c>
      <c r="G50" s="29">
        <f>IFERROR(INDEX('02 MONITOR'!$M$7:$M$106,SUMPRODUCT(('02 MONITOR'!$B$7:$B$106="RATES")*('02 MONITOR'!$P$7:$P$106=19)*(ROW('02 MONITOR'!$B$7:$B$106)-6))),"")</f>
        <v/>
      </c>
      <c r="H50" s="36" t="inlineStr">
        <is>
          <t>SHORT</t>
        </is>
      </c>
      <c r="I50" s="26">
        <f>IFERROR(IF(ABS($G50)&lt;SETTINGS_ZMIN,0,ABS($G50)),"")</f>
        <v/>
      </c>
      <c r="J50" s="47">
        <f>IFERROR($I50/SUMPRODUCT(($C$8:$C$107=$C50)*($H$8:$H$107=$H50)*$I$8:$I$107)*(SETTINGS_GROSS/2/5),"")</f>
        <v/>
      </c>
      <c r="K50" s="48">
        <f>IFERROR($J50*SETTINGS_CAP*IF($H50="SHORT",-1,1),"")</f>
        <v/>
      </c>
      <c r="L50" s="12" t="inlineStr">
        <is>
          <t>10y nominal yield</t>
        </is>
      </c>
      <c r="M50" s="12" t="inlineStr">
        <is>
          <t>Receive or pay the 10y point in IRS, or the bond vs swaps. Size in DV01, not notional.</t>
        </is>
      </c>
    </row>
    <row r="51">
      <c r="B51" s="28" t="n">
        <v>44</v>
      </c>
      <c r="C51" s="49" t="inlineStr">
        <is>
          <t>RATES</t>
        </is>
      </c>
      <c r="D51" s="28" t="n">
        <v>20</v>
      </c>
      <c r="E51" s="19">
        <f>IFERROR(INDEX('02 MONITOR'!$C$7:$C$106,SUMPRODUCT(('02 MONITOR'!$B$7:$B$106="RATES")*('02 MONITOR'!$P$7:$P$106=20)*(ROW('02 MONITOR'!$B$7:$B$106)-6))),"")</f>
        <v/>
      </c>
      <c r="F51" s="40">
        <f>IFERROR(INDEX('02 MONITOR'!$D$7:$D$106,SUMPRODUCT(('02 MONITOR'!$B$7:$B$106="RATES")*('02 MONITOR'!$P$7:$P$106=20)*(ROW('02 MONITOR'!$B$7:$B$106)-6))),"")</f>
        <v/>
      </c>
      <c r="G51" s="29">
        <f>IFERROR(INDEX('02 MONITOR'!$M$7:$M$106,SUMPRODUCT(('02 MONITOR'!$B$7:$B$106="RATES")*('02 MONITOR'!$P$7:$P$106=20)*(ROW('02 MONITOR'!$B$7:$B$106)-6))),"")</f>
        <v/>
      </c>
      <c r="H51" s="36" t="inlineStr">
        <is>
          <t>SHORT</t>
        </is>
      </c>
      <c r="I51" s="26">
        <f>IFERROR(IF(ABS($G51)&lt;SETTINGS_ZMIN,0,ABS($G51)),"")</f>
        <v/>
      </c>
      <c r="J51" s="47">
        <f>IFERROR($I51/SUMPRODUCT(($C$8:$C$107=$C51)*($H$8:$H$107=$H51)*$I$8:$I$107)*(SETTINGS_GROSS/2/5),"")</f>
        <v/>
      </c>
      <c r="K51" s="48">
        <f>IFERROR($J51*SETTINGS_CAP*IF($H51="SHORT",-1,1),"")</f>
        <v/>
      </c>
      <c r="L51" s="12" t="inlineStr">
        <is>
          <t>10y nominal yield</t>
        </is>
      </c>
      <c r="M51" s="12" t="inlineStr">
        <is>
          <t>Receive or pay the 10y point in IRS, or the bond vs swaps. Size in DV01, not notional.</t>
        </is>
      </c>
    </row>
    <row r="52">
      <c r="B52" s="28" t="n">
        <v>45</v>
      </c>
      <c r="C52" s="50" t="inlineStr">
        <is>
          <t>FX</t>
        </is>
      </c>
      <c r="D52" s="28" t="n">
        <v>1</v>
      </c>
      <c r="E52" s="19">
        <f>IFERROR(INDEX('02 MONITOR'!$C$7:$C$106,SUMPRODUCT(('02 MONITOR'!$B$7:$B$106="FX")*('02 MONITOR'!$P$7:$P$106=1)*(ROW('02 MONITOR'!$B$7:$B$106)-6))),"")</f>
        <v/>
      </c>
      <c r="F52" s="40">
        <f>IFERROR(INDEX('02 MONITOR'!$D$7:$D$106,SUMPRODUCT(('02 MONITOR'!$B$7:$B$106="FX")*('02 MONITOR'!$P$7:$P$106=1)*(ROW('02 MONITOR'!$B$7:$B$106)-6))),"")</f>
        <v/>
      </c>
      <c r="G52" s="29">
        <f>IFERROR(INDEX('02 MONITOR'!$M$7:$M$106,SUMPRODUCT(('02 MONITOR'!$B$7:$B$106="FX")*('02 MONITOR'!$P$7:$P$106=1)*(ROW('02 MONITOR'!$B$7:$B$106)-6))),"")</f>
        <v/>
      </c>
      <c r="H52" s="46" t="inlineStr">
        <is>
          <t>LONG</t>
        </is>
      </c>
      <c r="I52" s="26">
        <f>IFERROR(IF(ABS($G52)&lt;SETTINGS_ZMIN,0,ABS($G52)),"")</f>
        <v/>
      </c>
      <c r="J52" s="47">
        <f>IFERROR($I52/SUMPRODUCT(($C$8:$C$107=$C52)*($H$8:$H$107=$H52)*$I$8:$I$107)*(SETTINGS_GROSS/2/5),"")</f>
        <v/>
      </c>
      <c r="K52" s="48">
        <f>IFERROR($J52*SETTINGS_CAP*IF($H52="SHORT",-1,1),"")</f>
        <v/>
      </c>
      <c r="L52" s="12" t="inlineStr">
        <is>
          <t>Spot (or REER)</t>
        </is>
      </c>
      <c r="M52" s="12" t="inlineStr">
        <is>
          <t>3m NDF or deliverable forward. Long the cheap currency, short the rich one.</t>
        </is>
      </c>
    </row>
    <row r="53">
      <c r="B53" s="28" t="n">
        <v>46</v>
      </c>
      <c r="C53" s="50" t="inlineStr">
        <is>
          <t>FX</t>
        </is>
      </c>
      <c r="D53" s="28" t="n">
        <v>2</v>
      </c>
      <c r="E53" s="19">
        <f>IFERROR(INDEX('02 MONITOR'!$C$7:$C$106,SUMPRODUCT(('02 MONITOR'!$B$7:$B$106="FX")*('02 MONITOR'!$P$7:$P$106=2)*(ROW('02 MONITOR'!$B$7:$B$106)-6))),"")</f>
        <v/>
      </c>
      <c r="F53" s="40">
        <f>IFERROR(INDEX('02 MONITOR'!$D$7:$D$106,SUMPRODUCT(('02 MONITOR'!$B$7:$B$106="FX")*('02 MONITOR'!$P$7:$P$106=2)*(ROW('02 MONITOR'!$B$7:$B$106)-6))),"")</f>
        <v/>
      </c>
      <c r="G53" s="29">
        <f>IFERROR(INDEX('02 MONITOR'!$M$7:$M$106,SUMPRODUCT(('02 MONITOR'!$B$7:$B$106="FX")*('02 MONITOR'!$P$7:$P$106=2)*(ROW('02 MONITOR'!$B$7:$B$106)-6))),"")</f>
        <v/>
      </c>
      <c r="H53" s="46" t="inlineStr">
        <is>
          <t>LONG</t>
        </is>
      </c>
      <c r="I53" s="26">
        <f>IFERROR(IF(ABS($G53)&lt;SETTINGS_ZMIN,0,ABS($G53)),"")</f>
        <v/>
      </c>
      <c r="J53" s="47">
        <f>IFERROR($I53/SUMPRODUCT(($C$8:$C$107=$C53)*($H$8:$H$107=$H53)*$I$8:$I$107)*(SETTINGS_GROSS/2/5),"")</f>
        <v/>
      </c>
      <c r="K53" s="48">
        <f>IFERROR($J53*SETTINGS_CAP*IF($H53="SHORT",-1,1),"")</f>
        <v/>
      </c>
      <c r="L53" s="12" t="inlineStr">
        <is>
          <t>Spot (or REER)</t>
        </is>
      </c>
      <c r="M53" s="12" t="inlineStr">
        <is>
          <t>3m NDF or deliverable forward. Long the cheap currency, short the rich one.</t>
        </is>
      </c>
    </row>
    <row r="54">
      <c r="B54" s="28" t="n">
        <v>47</v>
      </c>
      <c r="C54" s="50" t="inlineStr">
        <is>
          <t>FX</t>
        </is>
      </c>
      <c r="D54" s="28" t="n">
        <v>3</v>
      </c>
      <c r="E54" s="19">
        <f>IFERROR(INDEX('02 MONITOR'!$C$7:$C$106,SUMPRODUCT(('02 MONITOR'!$B$7:$B$106="FX")*('02 MONITOR'!$P$7:$P$106=3)*(ROW('02 MONITOR'!$B$7:$B$106)-6))),"")</f>
        <v/>
      </c>
      <c r="F54" s="40">
        <f>IFERROR(INDEX('02 MONITOR'!$D$7:$D$106,SUMPRODUCT(('02 MONITOR'!$B$7:$B$106="FX")*('02 MONITOR'!$P$7:$P$106=3)*(ROW('02 MONITOR'!$B$7:$B$106)-6))),"")</f>
        <v/>
      </c>
      <c r="G54" s="29">
        <f>IFERROR(INDEX('02 MONITOR'!$M$7:$M$106,SUMPRODUCT(('02 MONITOR'!$B$7:$B$106="FX")*('02 MONITOR'!$P$7:$P$106=3)*(ROW('02 MONITOR'!$B$7:$B$106)-6))),"")</f>
        <v/>
      </c>
      <c r="H54" s="46" t="inlineStr">
        <is>
          <t>LONG</t>
        </is>
      </c>
      <c r="I54" s="26">
        <f>IFERROR(IF(ABS($G54)&lt;SETTINGS_ZMIN,0,ABS($G54)),"")</f>
        <v/>
      </c>
      <c r="J54" s="47">
        <f>IFERROR($I54/SUMPRODUCT(($C$8:$C$107=$C54)*($H$8:$H$107=$H54)*$I$8:$I$107)*(SETTINGS_GROSS/2/5),"")</f>
        <v/>
      </c>
      <c r="K54" s="48">
        <f>IFERROR($J54*SETTINGS_CAP*IF($H54="SHORT",-1,1),"")</f>
        <v/>
      </c>
      <c r="L54" s="12" t="inlineStr">
        <is>
          <t>Spot (or REER)</t>
        </is>
      </c>
      <c r="M54" s="12" t="inlineStr">
        <is>
          <t>3m NDF or deliverable forward. Long the cheap currency, short the rich one.</t>
        </is>
      </c>
    </row>
    <row r="55">
      <c r="B55" s="28" t="n">
        <v>48</v>
      </c>
      <c r="C55" s="50" t="inlineStr">
        <is>
          <t>FX</t>
        </is>
      </c>
      <c r="D55" s="28" t="n">
        <v>4</v>
      </c>
      <c r="E55" s="19">
        <f>IFERROR(INDEX('02 MONITOR'!$C$7:$C$106,SUMPRODUCT(('02 MONITOR'!$B$7:$B$106="FX")*('02 MONITOR'!$P$7:$P$106=4)*(ROW('02 MONITOR'!$B$7:$B$106)-6))),"")</f>
        <v/>
      </c>
      <c r="F55" s="40">
        <f>IFERROR(INDEX('02 MONITOR'!$D$7:$D$106,SUMPRODUCT(('02 MONITOR'!$B$7:$B$106="FX")*('02 MONITOR'!$P$7:$P$106=4)*(ROW('02 MONITOR'!$B$7:$B$106)-6))),"")</f>
        <v/>
      </c>
      <c r="G55" s="29">
        <f>IFERROR(INDEX('02 MONITOR'!$M$7:$M$106,SUMPRODUCT(('02 MONITOR'!$B$7:$B$106="FX")*('02 MONITOR'!$P$7:$P$106=4)*(ROW('02 MONITOR'!$B$7:$B$106)-6))),"")</f>
        <v/>
      </c>
      <c r="H55" s="46" t="inlineStr">
        <is>
          <t>LONG</t>
        </is>
      </c>
      <c r="I55" s="26">
        <f>IFERROR(IF(ABS($G55)&lt;SETTINGS_ZMIN,0,ABS($G55)),"")</f>
        <v/>
      </c>
      <c r="J55" s="47">
        <f>IFERROR($I55/SUMPRODUCT(($C$8:$C$107=$C55)*($H$8:$H$107=$H55)*$I$8:$I$107)*(SETTINGS_GROSS/2/5),"")</f>
        <v/>
      </c>
      <c r="K55" s="48">
        <f>IFERROR($J55*SETTINGS_CAP*IF($H55="SHORT",-1,1),"")</f>
        <v/>
      </c>
      <c r="L55" s="12" t="inlineStr">
        <is>
          <t>Spot (or REER)</t>
        </is>
      </c>
      <c r="M55" s="12" t="inlineStr">
        <is>
          <t>3m NDF or deliverable forward. Long the cheap currency, short the rich one.</t>
        </is>
      </c>
    </row>
    <row r="56">
      <c r="B56" s="28" t="n">
        <v>49</v>
      </c>
      <c r="C56" s="50" t="inlineStr">
        <is>
          <t>FX</t>
        </is>
      </c>
      <c r="D56" s="28" t="n">
        <v>5</v>
      </c>
      <c r="E56" s="19">
        <f>IFERROR(INDEX('02 MONITOR'!$C$7:$C$106,SUMPRODUCT(('02 MONITOR'!$B$7:$B$106="FX")*('02 MONITOR'!$P$7:$P$106=5)*(ROW('02 MONITOR'!$B$7:$B$106)-6))),"")</f>
        <v/>
      </c>
      <c r="F56" s="40">
        <f>IFERROR(INDEX('02 MONITOR'!$D$7:$D$106,SUMPRODUCT(('02 MONITOR'!$B$7:$B$106="FX")*('02 MONITOR'!$P$7:$P$106=5)*(ROW('02 MONITOR'!$B$7:$B$106)-6))),"")</f>
        <v/>
      </c>
      <c r="G56" s="29">
        <f>IFERROR(INDEX('02 MONITOR'!$M$7:$M$106,SUMPRODUCT(('02 MONITOR'!$B$7:$B$106="FX")*('02 MONITOR'!$P$7:$P$106=5)*(ROW('02 MONITOR'!$B$7:$B$106)-6))),"")</f>
        <v/>
      </c>
      <c r="H56" s="46" t="inlineStr">
        <is>
          <t>LONG</t>
        </is>
      </c>
      <c r="I56" s="26">
        <f>IFERROR(IF(ABS($G56)&lt;SETTINGS_ZMIN,0,ABS($G56)),"")</f>
        <v/>
      </c>
      <c r="J56" s="47">
        <f>IFERROR($I56/SUMPRODUCT(($C$8:$C$107=$C56)*($H$8:$H$107=$H56)*$I$8:$I$107)*(SETTINGS_GROSS/2/5),"")</f>
        <v/>
      </c>
      <c r="K56" s="48">
        <f>IFERROR($J56*SETTINGS_CAP*IF($H56="SHORT",-1,1),"")</f>
        <v/>
      </c>
      <c r="L56" s="12" t="inlineStr">
        <is>
          <t>Spot (or REER)</t>
        </is>
      </c>
      <c r="M56" s="12" t="inlineStr">
        <is>
          <t>3m NDF or deliverable forward. Long the cheap currency, short the rich one.</t>
        </is>
      </c>
    </row>
    <row r="57">
      <c r="B57" s="28" t="n">
        <v>50</v>
      </c>
      <c r="C57" s="50" t="inlineStr">
        <is>
          <t>FX</t>
        </is>
      </c>
      <c r="D57" s="28" t="n">
        <v>6</v>
      </c>
      <c r="E57" s="19">
        <f>IFERROR(INDEX('02 MONITOR'!$C$7:$C$106,SUMPRODUCT(('02 MONITOR'!$B$7:$B$106="FX")*('02 MONITOR'!$P$7:$P$106=6)*(ROW('02 MONITOR'!$B$7:$B$106)-6))),"")</f>
        <v/>
      </c>
      <c r="F57" s="40">
        <f>IFERROR(INDEX('02 MONITOR'!$D$7:$D$106,SUMPRODUCT(('02 MONITOR'!$B$7:$B$106="FX")*('02 MONITOR'!$P$7:$P$106=6)*(ROW('02 MONITOR'!$B$7:$B$106)-6))),"")</f>
        <v/>
      </c>
      <c r="G57" s="29">
        <f>IFERROR(INDEX('02 MONITOR'!$M$7:$M$106,SUMPRODUCT(('02 MONITOR'!$B$7:$B$106="FX")*('02 MONITOR'!$P$7:$P$106=6)*(ROW('02 MONITOR'!$B$7:$B$106)-6))),"")</f>
        <v/>
      </c>
      <c r="H57" s="46" t="inlineStr">
        <is>
          <t>LONG</t>
        </is>
      </c>
      <c r="I57" s="26">
        <f>IFERROR(IF(ABS($G57)&lt;SETTINGS_ZMIN,0,ABS($G57)),"")</f>
        <v/>
      </c>
      <c r="J57" s="47">
        <f>IFERROR($I57/SUMPRODUCT(($C$8:$C$107=$C57)*($H$8:$H$107=$H57)*$I$8:$I$107)*(SETTINGS_GROSS/2/5),"")</f>
        <v/>
      </c>
      <c r="K57" s="48">
        <f>IFERROR($J57*SETTINGS_CAP*IF($H57="SHORT",-1,1),"")</f>
        <v/>
      </c>
      <c r="L57" s="12" t="inlineStr">
        <is>
          <t>Spot (or REER)</t>
        </is>
      </c>
      <c r="M57" s="12" t="inlineStr">
        <is>
          <t>3m NDF or deliverable forward. Long the cheap currency, short the rich one.</t>
        </is>
      </c>
    </row>
    <row r="58">
      <c r="B58" s="28" t="n">
        <v>51</v>
      </c>
      <c r="C58" s="50" t="inlineStr">
        <is>
          <t>FX</t>
        </is>
      </c>
      <c r="D58" s="28" t="n">
        <v>7</v>
      </c>
      <c r="E58" s="19">
        <f>IFERROR(INDEX('02 MONITOR'!$C$7:$C$106,SUMPRODUCT(('02 MONITOR'!$B$7:$B$106="FX")*('02 MONITOR'!$P$7:$P$106=7)*(ROW('02 MONITOR'!$B$7:$B$106)-6))),"")</f>
        <v/>
      </c>
      <c r="F58" s="40">
        <f>IFERROR(INDEX('02 MONITOR'!$D$7:$D$106,SUMPRODUCT(('02 MONITOR'!$B$7:$B$106="FX")*('02 MONITOR'!$P$7:$P$106=7)*(ROW('02 MONITOR'!$B$7:$B$106)-6))),"")</f>
        <v/>
      </c>
      <c r="G58" s="29">
        <f>IFERROR(INDEX('02 MONITOR'!$M$7:$M$106,SUMPRODUCT(('02 MONITOR'!$B$7:$B$106="FX")*('02 MONITOR'!$P$7:$P$106=7)*(ROW('02 MONITOR'!$B$7:$B$106)-6))),"")</f>
        <v/>
      </c>
      <c r="H58" s="46" t="inlineStr">
        <is>
          <t>LONG</t>
        </is>
      </c>
      <c r="I58" s="26">
        <f>IFERROR(IF(ABS($G58)&lt;SETTINGS_ZMIN,0,ABS($G58)),"")</f>
        <v/>
      </c>
      <c r="J58" s="47">
        <f>IFERROR($I58/SUMPRODUCT(($C$8:$C$107=$C58)*($H$8:$H$107=$H58)*$I$8:$I$107)*(SETTINGS_GROSS/2/5),"")</f>
        <v/>
      </c>
      <c r="K58" s="48">
        <f>IFERROR($J58*SETTINGS_CAP*IF($H58="SHORT",-1,1),"")</f>
        <v/>
      </c>
      <c r="L58" s="12" t="inlineStr">
        <is>
          <t>Spot (or REER)</t>
        </is>
      </c>
      <c r="M58" s="12" t="inlineStr">
        <is>
          <t>3m NDF or deliverable forward. Long the cheap currency, short the rich one.</t>
        </is>
      </c>
    </row>
    <row r="59">
      <c r="B59" s="28" t="n">
        <v>52</v>
      </c>
      <c r="C59" s="50" t="inlineStr">
        <is>
          <t>FX</t>
        </is>
      </c>
      <c r="D59" s="28" t="n">
        <v>8</v>
      </c>
      <c r="E59" s="19">
        <f>IFERROR(INDEX('02 MONITOR'!$C$7:$C$106,SUMPRODUCT(('02 MONITOR'!$B$7:$B$106="FX")*('02 MONITOR'!$P$7:$P$106=8)*(ROW('02 MONITOR'!$B$7:$B$106)-6))),"")</f>
        <v/>
      </c>
      <c r="F59" s="40">
        <f>IFERROR(INDEX('02 MONITOR'!$D$7:$D$106,SUMPRODUCT(('02 MONITOR'!$B$7:$B$106="FX")*('02 MONITOR'!$P$7:$P$106=8)*(ROW('02 MONITOR'!$B$7:$B$106)-6))),"")</f>
        <v/>
      </c>
      <c r="G59" s="29">
        <f>IFERROR(INDEX('02 MONITOR'!$M$7:$M$106,SUMPRODUCT(('02 MONITOR'!$B$7:$B$106="FX")*('02 MONITOR'!$P$7:$P$106=8)*(ROW('02 MONITOR'!$B$7:$B$106)-6))),"")</f>
        <v/>
      </c>
      <c r="H59" s="46" t="inlineStr">
        <is>
          <t>LONG</t>
        </is>
      </c>
      <c r="I59" s="26">
        <f>IFERROR(IF(ABS($G59)&lt;SETTINGS_ZMIN,0,ABS($G59)),"")</f>
        <v/>
      </c>
      <c r="J59" s="47">
        <f>IFERROR($I59/SUMPRODUCT(($C$8:$C$107=$C59)*($H$8:$H$107=$H59)*$I$8:$I$107)*(SETTINGS_GROSS/2/5),"")</f>
        <v/>
      </c>
      <c r="K59" s="48">
        <f>IFERROR($J59*SETTINGS_CAP*IF($H59="SHORT",-1,1),"")</f>
        <v/>
      </c>
      <c r="L59" s="12" t="inlineStr">
        <is>
          <t>Spot (or REER)</t>
        </is>
      </c>
      <c r="M59" s="12" t="inlineStr">
        <is>
          <t>3m NDF or deliverable forward. Long the cheap currency, short the rich one.</t>
        </is>
      </c>
    </row>
    <row r="60">
      <c r="B60" s="28" t="n">
        <v>53</v>
      </c>
      <c r="C60" s="50" t="inlineStr">
        <is>
          <t>FX</t>
        </is>
      </c>
      <c r="D60" s="28" t="n">
        <v>9</v>
      </c>
      <c r="E60" s="19">
        <f>IFERROR(INDEX('02 MONITOR'!$C$7:$C$106,SUMPRODUCT(('02 MONITOR'!$B$7:$B$106="FX")*('02 MONITOR'!$P$7:$P$106=9)*(ROW('02 MONITOR'!$B$7:$B$106)-6))),"")</f>
        <v/>
      </c>
      <c r="F60" s="40">
        <f>IFERROR(INDEX('02 MONITOR'!$D$7:$D$106,SUMPRODUCT(('02 MONITOR'!$B$7:$B$106="FX")*('02 MONITOR'!$P$7:$P$106=9)*(ROW('02 MONITOR'!$B$7:$B$106)-6))),"")</f>
        <v/>
      </c>
      <c r="G60" s="29">
        <f>IFERROR(INDEX('02 MONITOR'!$M$7:$M$106,SUMPRODUCT(('02 MONITOR'!$B$7:$B$106="FX")*('02 MONITOR'!$P$7:$P$106=9)*(ROW('02 MONITOR'!$B$7:$B$106)-6))),"")</f>
        <v/>
      </c>
      <c r="H60" s="46" t="inlineStr">
        <is>
          <t>LONG</t>
        </is>
      </c>
      <c r="I60" s="26">
        <f>IFERROR(IF(ABS($G60)&lt;SETTINGS_ZMIN,0,ABS($G60)),"")</f>
        <v/>
      </c>
      <c r="J60" s="47">
        <f>IFERROR($I60/SUMPRODUCT(($C$8:$C$107=$C60)*($H$8:$H$107=$H60)*$I$8:$I$107)*(SETTINGS_GROSS/2/5),"")</f>
        <v/>
      </c>
      <c r="K60" s="48">
        <f>IFERROR($J60*SETTINGS_CAP*IF($H60="SHORT",-1,1),"")</f>
        <v/>
      </c>
      <c r="L60" s="12" t="inlineStr">
        <is>
          <t>Spot (or REER)</t>
        </is>
      </c>
      <c r="M60" s="12" t="inlineStr">
        <is>
          <t>3m NDF or deliverable forward. Long the cheap currency, short the rich one.</t>
        </is>
      </c>
    </row>
    <row r="61">
      <c r="B61" s="28" t="n">
        <v>54</v>
      </c>
      <c r="C61" s="50" t="inlineStr">
        <is>
          <t>FX</t>
        </is>
      </c>
      <c r="D61" s="28" t="n">
        <v>10</v>
      </c>
      <c r="E61" s="19">
        <f>IFERROR(INDEX('02 MONITOR'!$C$7:$C$106,SUMPRODUCT(('02 MONITOR'!$B$7:$B$106="FX")*('02 MONITOR'!$P$7:$P$106=10)*(ROW('02 MONITOR'!$B$7:$B$106)-6))),"")</f>
        <v/>
      </c>
      <c r="F61" s="40">
        <f>IFERROR(INDEX('02 MONITOR'!$D$7:$D$106,SUMPRODUCT(('02 MONITOR'!$B$7:$B$106="FX")*('02 MONITOR'!$P$7:$P$106=10)*(ROW('02 MONITOR'!$B$7:$B$106)-6))),"")</f>
        <v/>
      </c>
      <c r="G61" s="29">
        <f>IFERROR(INDEX('02 MONITOR'!$M$7:$M$106,SUMPRODUCT(('02 MONITOR'!$B$7:$B$106="FX")*('02 MONITOR'!$P$7:$P$106=10)*(ROW('02 MONITOR'!$B$7:$B$106)-6))),"")</f>
        <v/>
      </c>
      <c r="H61" s="46" t="inlineStr">
        <is>
          <t>LONG</t>
        </is>
      </c>
      <c r="I61" s="26">
        <f>IFERROR(IF(ABS($G61)&lt;SETTINGS_ZMIN,0,ABS($G61)),"")</f>
        <v/>
      </c>
      <c r="J61" s="47">
        <f>IFERROR($I61/SUMPRODUCT(($C$8:$C$107=$C61)*($H$8:$H$107=$H61)*$I$8:$I$107)*(SETTINGS_GROSS/2/5),"")</f>
        <v/>
      </c>
      <c r="K61" s="48">
        <f>IFERROR($J61*SETTINGS_CAP*IF($H61="SHORT",-1,1),"")</f>
        <v/>
      </c>
      <c r="L61" s="12" t="inlineStr">
        <is>
          <t>Spot (or REER)</t>
        </is>
      </c>
      <c r="M61" s="12" t="inlineStr">
        <is>
          <t>3m NDF or deliverable forward. Long the cheap currency, short the rich one.</t>
        </is>
      </c>
    </row>
    <row r="62">
      <c r="B62" s="28" t="n">
        <v>55</v>
      </c>
      <c r="C62" s="50" t="inlineStr">
        <is>
          <t>FX</t>
        </is>
      </c>
      <c r="D62" s="28" t="n">
        <v>11</v>
      </c>
      <c r="E62" s="19">
        <f>IFERROR(INDEX('02 MONITOR'!$C$7:$C$106,SUMPRODUCT(('02 MONITOR'!$B$7:$B$106="FX")*('02 MONITOR'!$P$7:$P$106=11)*(ROW('02 MONITOR'!$B$7:$B$106)-6))),"")</f>
        <v/>
      </c>
      <c r="F62" s="40">
        <f>IFERROR(INDEX('02 MONITOR'!$D$7:$D$106,SUMPRODUCT(('02 MONITOR'!$B$7:$B$106="FX")*('02 MONITOR'!$P$7:$P$106=11)*(ROW('02 MONITOR'!$B$7:$B$106)-6))),"")</f>
        <v/>
      </c>
      <c r="G62" s="29">
        <f>IFERROR(INDEX('02 MONITOR'!$M$7:$M$106,SUMPRODUCT(('02 MONITOR'!$B$7:$B$106="FX")*('02 MONITOR'!$P$7:$P$106=11)*(ROW('02 MONITOR'!$B$7:$B$106)-6))),"")</f>
        <v/>
      </c>
      <c r="H62" s="46" t="inlineStr">
        <is>
          <t>LONG</t>
        </is>
      </c>
      <c r="I62" s="26">
        <f>IFERROR(IF(ABS($G62)&lt;SETTINGS_ZMIN,0,ABS($G62)),"")</f>
        <v/>
      </c>
      <c r="J62" s="47">
        <f>IFERROR($I62/SUMPRODUCT(($C$8:$C$107=$C62)*($H$8:$H$107=$H62)*$I$8:$I$107)*(SETTINGS_GROSS/2/5),"")</f>
        <v/>
      </c>
      <c r="K62" s="48">
        <f>IFERROR($J62*SETTINGS_CAP*IF($H62="SHORT",-1,1),"")</f>
        <v/>
      </c>
      <c r="L62" s="12" t="inlineStr">
        <is>
          <t>Spot (or REER)</t>
        </is>
      </c>
      <c r="M62" s="12" t="inlineStr">
        <is>
          <t>3m NDF or deliverable forward. Long the cheap currency, short the rich one.</t>
        </is>
      </c>
    </row>
    <row r="63">
      <c r="B63" s="28" t="n">
        <v>56</v>
      </c>
      <c r="C63" s="50" t="inlineStr">
        <is>
          <t>FX</t>
        </is>
      </c>
      <c r="D63" s="28" t="n">
        <v>12</v>
      </c>
      <c r="E63" s="19">
        <f>IFERROR(INDEX('02 MONITOR'!$C$7:$C$106,SUMPRODUCT(('02 MONITOR'!$B$7:$B$106="FX")*('02 MONITOR'!$P$7:$P$106=12)*(ROW('02 MONITOR'!$B$7:$B$106)-6))),"")</f>
        <v/>
      </c>
      <c r="F63" s="40">
        <f>IFERROR(INDEX('02 MONITOR'!$D$7:$D$106,SUMPRODUCT(('02 MONITOR'!$B$7:$B$106="FX")*('02 MONITOR'!$P$7:$P$106=12)*(ROW('02 MONITOR'!$B$7:$B$106)-6))),"")</f>
        <v/>
      </c>
      <c r="G63" s="29">
        <f>IFERROR(INDEX('02 MONITOR'!$M$7:$M$106,SUMPRODUCT(('02 MONITOR'!$B$7:$B$106="FX")*('02 MONITOR'!$P$7:$P$106=12)*(ROW('02 MONITOR'!$B$7:$B$106)-6))),"")</f>
        <v/>
      </c>
      <c r="H63" s="46" t="inlineStr">
        <is>
          <t>LONG</t>
        </is>
      </c>
      <c r="I63" s="26">
        <f>IFERROR(IF(ABS($G63)&lt;SETTINGS_ZMIN,0,ABS($G63)),"")</f>
        <v/>
      </c>
      <c r="J63" s="47">
        <f>IFERROR($I63/SUMPRODUCT(($C$8:$C$107=$C63)*($H$8:$H$107=$H63)*$I$8:$I$107)*(SETTINGS_GROSS/2/5),"")</f>
        <v/>
      </c>
      <c r="K63" s="48">
        <f>IFERROR($J63*SETTINGS_CAP*IF($H63="SHORT",-1,1),"")</f>
        <v/>
      </c>
      <c r="L63" s="12" t="inlineStr">
        <is>
          <t>Spot (or REER)</t>
        </is>
      </c>
      <c r="M63" s="12" t="inlineStr">
        <is>
          <t>3m NDF or deliverable forward. Long the cheap currency, short the rich one.</t>
        </is>
      </c>
    </row>
    <row r="64">
      <c r="B64" s="28" t="n">
        <v>57</v>
      </c>
      <c r="C64" s="50" t="inlineStr">
        <is>
          <t>FX</t>
        </is>
      </c>
      <c r="D64" s="28" t="n">
        <v>13</v>
      </c>
      <c r="E64" s="19">
        <f>IFERROR(INDEX('02 MONITOR'!$C$7:$C$106,SUMPRODUCT(('02 MONITOR'!$B$7:$B$106="FX")*('02 MONITOR'!$P$7:$P$106=13)*(ROW('02 MONITOR'!$B$7:$B$106)-6))),"")</f>
        <v/>
      </c>
      <c r="F64" s="40">
        <f>IFERROR(INDEX('02 MONITOR'!$D$7:$D$106,SUMPRODUCT(('02 MONITOR'!$B$7:$B$106="FX")*('02 MONITOR'!$P$7:$P$106=13)*(ROW('02 MONITOR'!$B$7:$B$106)-6))),"")</f>
        <v/>
      </c>
      <c r="G64" s="29">
        <f>IFERROR(INDEX('02 MONITOR'!$M$7:$M$106,SUMPRODUCT(('02 MONITOR'!$B$7:$B$106="FX")*('02 MONITOR'!$P$7:$P$106=13)*(ROW('02 MONITOR'!$B$7:$B$106)-6))),"")</f>
        <v/>
      </c>
      <c r="H64" s="46" t="inlineStr">
        <is>
          <t>LONG</t>
        </is>
      </c>
      <c r="I64" s="26">
        <f>IFERROR(IF(ABS($G64)&lt;SETTINGS_ZMIN,0,ABS($G64)),"")</f>
        <v/>
      </c>
      <c r="J64" s="47">
        <f>IFERROR($I64/SUMPRODUCT(($C$8:$C$107=$C64)*($H$8:$H$107=$H64)*$I$8:$I$107)*(SETTINGS_GROSS/2/5),"")</f>
        <v/>
      </c>
      <c r="K64" s="48">
        <f>IFERROR($J64*SETTINGS_CAP*IF($H64="SHORT",-1,1),"")</f>
        <v/>
      </c>
      <c r="L64" s="12" t="inlineStr">
        <is>
          <t>Spot (or REER)</t>
        </is>
      </c>
      <c r="M64" s="12" t="inlineStr">
        <is>
          <t>3m NDF or deliverable forward. Long the cheap currency, short the rich one.</t>
        </is>
      </c>
    </row>
    <row r="65">
      <c r="B65" s="28" t="n">
        <v>58</v>
      </c>
      <c r="C65" s="50" t="inlineStr">
        <is>
          <t>FX</t>
        </is>
      </c>
      <c r="D65" s="28" t="n">
        <v>14</v>
      </c>
      <c r="E65" s="19">
        <f>IFERROR(INDEX('02 MONITOR'!$C$7:$C$106,SUMPRODUCT(('02 MONITOR'!$B$7:$B$106="FX")*('02 MONITOR'!$P$7:$P$106=14)*(ROW('02 MONITOR'!$B$7:$B$106)-6))),"")</f>
        <v/>
      </c>
      <c r="F65" s="40">
        <f>IFERROR(INDEX('02 MONITOR'!$D$7:$D$106,SUMPRODUCT(('02 MONITOR'!$B$7:$B$106="FX")*('02 MONITOR'!$P$7:$P$106=14)*(ROW('02 MONITOR'!$B$7:$B$106)-6))),"")</f>
        <v/>
      </c>
      <c r="G65" s="29">
        <f>IFERROR(INDEX('02 MONITOR'!$M$7:$M$106,SUMPRODUCT(('02 MONITOR'!$B$7:$B$106="FX")*('02 MONITOR'!$P$7:$P$106=14)*(ROW('02 MONITOR'!$B$7:$B$106)-6))),"")</f>
        <v/>
      </c>
      <c r="H65" s="36" t="inlineStr">
        <is>
          <t>SHORT</t>
        </is>
      </c>
      <c r="I65" s="26">
        <f>IFERROR(IF(ABS($G65)&lt;SETTINGS_ZMIN,0,ABS($G65)),"")</f>
        <v/>
      </c>
      <c r="J65" s="47">
        <f>IFERROR($I65/SUMPRODUCT(($C$8:$C$107=$C65)*($H$8:$H$107=$H65)*$I$8:$I$107)*(SETTINGS_GROSS/2/5),"")</f>
        <v/>
      </c>
      <c r="K65" s="48">
        <f>IFERROR($J65*SETTINGS_CAP*IF($H65="SHORT",-1,1),"")</f>
        <v/>
      </c>
      <c r="L65" s="12" t="inlineStr">
        <is>
          <t>Spot (or REER)</t>
        </is>
      </c>
      <c r="M65" s="12" t="inlineStr">
        <is>
          <t>3m NDF or deliverable forward. Long the cheap currency, short the rich one.</t>
        </is>
      </c>
    </row>
    <row r="66">
      <c r="B66" s="28" t="n">
        <v>59</v>
      </c>
      <c r="C66" s="50" t="inlineStr">
        <is>
          <t>FX</t>
        </is>
      </c>
      <c r="D66" s="28" t="n">
        <v>15</v>
      </c>
      <c r="E66" s="19">
        <f>IFERROR(INDEX('02 MONITOR'!$C$7:$C$106,SUMPRODUCT(('02 MONITOR'!$B$7:$B$106="FX")*('02 MONITOR'!$P$7:$P$106=15)*(ROW('02 MONITOR'!$B$7:$B$106)-6))),"")</f>
        <v/>
      </c>
      <c r="F66" s="40">
        <f>IFERROR(INDEX('02 MONITOR'!$D$7:$D$106,SUMPRODUCT(('02 MONITOR'!$B$7:$B$106="FX")*('02 MONITOR'!$P$7:$P$106=15)*(ROW('02 MONITOR'!$B$7:$B$106)-6))),"")</f>
        <v/>
      </c>
      <c r="G66" s="29">
        <f>IFERROR(INDEX('02 MONITOR'!$M$7:$M$106,SUMPRODUCT(('02 MONITOR'!$B$7:$B$106="FX")*('02 MONITOR'!$P$7:$P$106=15)*(ROW('02 MONITOR'!$B$7:$B$106)-6))),"")</f>
        <v/>
      </c>
      <c r="H66" s="36" t="inlineStr">
        <is>
          <t>SHORT</t>
        </is>
      </c>
      <c r="I66" s="26">
        <f>IFERROR(IF(ABS($G66)&lt;SETTINGS_ZMIN,0,ABS($G66)),"")</f>
        <v/>
      </c>
      <c r="J66" s="47">
        <f>IFERROR($I66/SUMPRODUCT(($C$8:$C$107=$C66)*($H$8:$H$107=$H66)*$I$8:$I$107)*(SETTINGS_GROSS/2/5),"")</f>
        <v/>
      </c>
      <c r="K66" s="48">
        <f>IFERROR($J66*SETTINGS_CAP*IF($H66="SHORT",-1,1),"")</f>
        <v/>
      </c>
      <c r="L66" s="12" t="inlineStr">
        <is>
          <t>Spot (or REER)</t>
        </is>
      </c>
      <c r="M66" s="12" t="inlineStr">
        <is>
          <t>3m NDF or deliverable forward. Long the cheap currency, short the rich one.</t>
        </is>
      </c>
    </row>
    <row r="67">
      <c r="B67" s="28" t="n">
        <v>60</v>
      </c>
      <c r="C67" s="50" t="inlineStr">
        <is>
          <t>FX</t>
        </is>
      </c>
      <c r="D67" s="28" t="n">
        <v>16</v>
      </c>
      <c r="E67" s="19">
        <f>IFERROR(INDEX('02 MONITOR'!$C$7:$C$106,SUMPRODUCT(('02 MONITOR'!$B$7:$B$106="FX")*('02 MONITOR'!$P$7:$P$106=16)*(ROW('02 MONITOR'!$B$7:$B$106)-6))),"")</f>
        <v/>
      </c>
      <c r="F67" s="40">
        <f>IFERROR(INDEX('02 MONITOR'!$D$7:$D$106,SUMPRODUCT(('02 MONITOR'!$B$7:$B$106="FX")*('02 MONITOR'!$P$7:$P$106=16)*(ROW('02 MONITOR'!$B$7:$B$106)-6))),"")</f>
        <v/>
      </c>
      <c r="G67" s="29">
        <f>IFERROR(INDEX('02 MONITOR'!$M$7:$M$106,SUMPRODUCT(('02 MONITOR'!$B$7:$B$106="FX")*('02 MONITOR'!$P$7:$P$106=16)*(ROW('02 MONITOR'!$B$7:$B$106)-6))),"")</f>
        <v/>
      </c>
      <c r="H67" s="36" t="inlineStr">
        <is>
          <t>SHORT</t>
        </is>
      </c>
      <c r="I67" s="26">
        <f>IFERROR(IF(ABS($G67)&lt;SETTINGS_ZMIN,0,ABS($G67)),"")</f>
        <v/>
      </c>
      <c r="J67" s="47">
        <f>IFERROR($I67/SUMPRODUCT(($C$8:$C$107=$C67)*($H$8:$H$107=$H67)*$I$8:$I$107)*(SETTINGS_GROSS/2/5),"")</f>
        <v/>
      </c>
      <c r="K67" s="48">
        <f>IFERROR($J67*SETTINGS_CAP*IF($H67="SHORT",-1,1),"")</f>
        <v/>
      </c>
      <c r="L67" s="12" t="inlineStr">
        <is>
          <t>Spot (or REER)</t>
        </is>
      </c>
      <c r="M67" s="12" t="inlineStr">
        <is>
          <t>3m NDF or deliverable forward. Long the cheap currency, short the rich one.</t>
        </is>
      </c>
    </row>
    <row r="68">
      <c r="B68" s="28" t="n">
        <v>61</v>
      </c>
      <c r="C68" s="50" t="inlineStr">
        <is>
          <t>FX</t>
        </is>
      </c>
      <c r="D68" s="28" t="n">
        <v>17</v>
      </c>
      <c r="E68" s="19">
        <f>IFERROR(INDEX('02 MONITOR'!$C$7:$C$106,SUMPRODUCT(('02 MONITOR'!$B$7:$B$106="FX")*('02 MONITOR'!$P$7:$P$106=17)*(ROW('02 MONITOR'!$B$7:$B$106)-6))),"")</f>
        <v/>
      </c>
      <c r="F68" s="40">
        <f>IFERROR(INDEX('02 MONITOR'!$D$7:$D$106,SUMPRODUCT(('02 MONITOR'!$B$7:$B$106="FX")*('02 MONITOR'!$P$7:$P$106=17)*(ROW('02 MONITOR'!$B$7:$B$106)-6))),"")</f>
        <v/>
      </c>
      <c r="G68" s="29">
        <f>IFERROR(INDEX('02 MONITOR'!$M$7:$M$106,SUMPRODUCT(('02 MONITOR'!$B$7:$B$106="FX")*('02 MONITOR'!$P$7:$P$106=17)*(ROW('02 MONITOR'!$B$7:$B$106)-6))),"")</f>
        <v/>
      </c>
      <c r="H68" s="36" t="inlineStr">
        <is>
          <t>SHORT</t>
        </is>
      </c>
      <c r="I68" s="26">
        <f>IFERROR(IF(ABS($G68)&lt;SETTINGS_ZMIN,0,ABS($G68)),"")</f>
        <v/>
      </c>
      <c r="J68" s="47">
        <f>IFERROR($I68/SUMPRODUCT(($C$8:$C$107=$C68)*($H$8:$H$107=$H68)*$I$8:$I$107)*(SETTINGS_GROSS/2/5),"")</f>
        <v/>
      </c>
      <c r="K68" s="48">
        <f>IFERROR($J68*SETTINGS_CAP*IF($H68="SHORT",-1,1),"")</f>
        <v/>
      </c>
      <c r="L68" s="12" t="inlineStr">
        <is>
          <t>Spot (or REER)</t>
        </is>
      </c>
      <c r="M68" s="12" t="inlineStr">
        <is>
          <t>3m NDF or deliverable forward. Long the cheap currency, short the rich one.</t>
        </is>
      </c>
    </row>
    <row r="69">
      <c r="B69" s="28" t="n">
        <v>62</v>
      </c>
      <c r="C69" s="50" t="inlineStr">
        <is>
          <t>FX</t>
        </is>
      </c>
      <c r="D69" s="28" t="n">
        <v>18</v>
      </c>
      <c r="E69" s="19">
        <f>IFERROR(INDEX('02 MONITOR'!$C$7:$C$106,SUMPRODUCT(('02 MONITOR'!$B$7:$B$106="FX")*('02 MONITOR'!$P$7:$P$106=18)*(ROW('02 MONITOR'!$B$7:$B$106)-6))),"")</f>
        <v/>
      </c>
      <c r="F69" s="40">
        <f>IFERROR(INDEX('02 MONITOR'!$D$7:$D$106,SUMPRODUCT(('02 MONITOR'!$B$7:$B$106="FX")*('02 MONITOR'!$P$7:$P$106=18)*(ROW('02 MONITOR'!$B$7:$B$106)-6))),"")</f>
        <v/>
      </c>
      <c r="G69" s="29">
        <f>IFERROR(INDEX('02 MONITOR'!$M$7:$M$106,SUMPRODUCT(('02 MONITOR'!$B$7:$B$106="FX")*('02 MONITOR'!$P$7:$P$106=18)*(ROW('02 MONITOR'!$B$7:$B$106)-6))),"")</f>
        <v/>
      </c>
      <c r="H69" s="36" t="inlineStr">
        <is>
          <t>SHORT</t>
        </is>
      </c>
      <c r="I69" s="26">
        <f>IFERROR(IF(ABS($G69)&lt;SETTINGS_ZMIN,0,ABS($G69)),"")</f>
        <v/>
      </c>
      <c r="J69" s="47">
        <f>IFERROR($I69/SUMPRODUCT(($C$8:$C$107=$C69)*($H$8:$H$107=$H69)*$I$8:$I$107)*(SETTINGS_GROSS/2/5),"")</f>
        <v/>
      </c>
      <c r="K69" s="48">
        <f>IFERROR($J69*SETTINGS_CAP*IF($H69="SHORT",-1,1),"")</f>
        <v/>
      </c>
      <c r="L69" s="12" t="inlineStr">
        <is>
          <t>Spot (or REER)</t>
        </is>
      </c>
      <c r="M69" s="12" t="inlineStr">
        <is>
          <t>3m NDF or deliverable forward. Long the cheap currency, short the rich one.</t>
        </is>
      </c>
    </row>
    <row r="70">
      <c r="B70" s="28" t="n">
        <v>63</v>
      </c>
      <c r="C70" s="50" t="inlineStr">
        <is>
          <t>FX</t>
        </is>
      </c>
      <c r="D70" s="28" t="n">
        <v>19</v>
      </c>
      <c r="E70" s="19">
        <f>IFERROR(INDEX('02 MONITOR'!$C$7:$C$106,SUMPRODUCT(('02 MONITOR'!$B$7:$B$106="FX")*('02 MONITOR'!$P$7:$P$106=19)*(ROW('02 MONITOR'!$B$7:$B$106)-6))),"")</f>
        <v/>
      </c>
      <c r="F70" s="40">
        <f>IFERROR(INDEX('02 MONITOR'!$D$7:$D$106,SUMPRODUCT(('02 MONITOR'!$B$7:$B$106="FX")*('02 MONITOR'!$P$7:$P$106=19)*(ROW('02 MONITOR'!$B$7:$B$106)-6))),"")</f>
        <v/>
      </c>
      <c r="G70" s="29">
        <f>IFERROR(INDEX('02 MONITOR'!$M$7:$M$106,SUMPRODUCT(('02 MONITOR'!$B$7:$B$106="FX")*('02 MONITOR'!$P$7:$P$106=19)*(ROW('02 MONITOR'!$B$7:$B$106)-6))),"")</f>
        <v/>
      </c>
      <c r="H70" s="36" t="inlineStr">
        <is>
          <t>SHORT</t>
        </is>
      </c>
      <c r="I70" s="26">
        <f>IFERROR(IF(ABS($G70)&lt;SETTINGS_ZMIN,0,ABS($G70)),"")</f>
        <v/>
      </c>
      <c r="J70" s="47">
        <f>IFERROR($I70/SUMPRODUCT(($C$8:$C$107=$C70)*($H$8:$H$107=$H70)*$I$8:$I$107)*(SETTINGS_GROSS/2/5),"")</f>
        <v/>
      </c>
      <c r="K70" s="48">
        <f>IFERROR($J70*SETTINGS_CAP*IF($H70="SHORT",-1,1),"")</f>
        <v/>
      </c>
      <c r="L70" s="12" t="inlineStr">
        <is>
          <t>Spot (or REER)</t>
        </is>
      </c>
      <c r="M70" s="12" t="inlineStr">
        <is>
          <t>3m NDF or deliverable forward. Long the cheap currency, short the rich one.</t>
        </is>
      </c>
    </row>
    <row r="71">
      <c r="B71" s="28" t="n">
        <v>64</v>
      </c>
      <c r="C71" s="50" t="inlineStr">
        <is>
          <t>FX</t>
        </is>
      </c>
      <c r="D71" s="28" t="n">
        <v>20</v>
      </c>
      <c r="E71" s="19">
        <f>IFERROR(INDEX('02 MONITOR'!$C$7:$C$106,SUMPRODUCT(('02 MONITOR'!$B$7:$B$106="FX")*('02 MONITOR'!$P$7:$P$106=20)*(ROW('02 MONITOR'!$B$7:$B$106)-6))),"")</f>
        <v/>
      </c>
      <c r="F71" s="40">
        <f>IFERROR(INDEX('02 MONITOR'!$D$7:$D$106,SUMPRODUCT(('02 MONITOR'!$B$7:$B$106="FX")*('02 MONITOR'!$P$7:$P$106=20)*(ROW('02 MONITOR'!$B$7:$B$106)-6))),"")</f>
        <v/>
      </c>
      <c r="G71" s="29">
        <f>IFERROR(INDEX('02 MONITOR'!$M$7:$M$106,SUMPRODUCT(('02 MONITOR'!$B$7:$B$106="FX")*('02 MONITOR'!$P$7:$P$106=20)*(ROW('02 MONITOR'!$B$7:$B$106)-6))),"")</f>
        <v/>
      </c>
      <c r="H71" s="36" t="inlineStr">
        <is>
          <t>SHORT</t>
        </is>
      </c>
      <c r="I71" s="26">
        <f>IFERROR(IF(ABS($G71)&lt;SETTINGS_ZMIN,0,ABS($G71)),"")</f>
        <v/>
      </c>
      <c r="J71" s="47">
        <f>IFERROR($I71/SUMPRODUCT(($C$8:$C$107=$C71)*($H$8:$H$107=$H71)*$I$8:$I$107)*(SETTINGS_GROSS/2/5),"")</f>
        <v/>
      </c>
      <c r="K71" s="48">
        <f>IFERROR($J71*SETTINGS_CAP*IF($H71="SHORT",-1,1),"")</f>
        <v/>
      </c>
      <c r="L71" s="12" t="inlineStr">
        <is>
          <t>Spot (or REER)</t>
        </is>
      </c>
      <c r="M71" s="12" t="inlineStr">
        <is>
          <t>3m NDF or deliverable forward. Long the cheap currency, short the rich one.</t>
        </is>
      </c>
    </row>
    <row r="72">
      <c r="B72" s="28" t="n">
        <v>65</v>
      </c>
      <c r="C72" s="50" t="inlineStr">
        <is>
          <t>FX</t>
        </is>
      </c>
      <c r="D72" s="28" t="n">
        <v>21</v>
      </c>
      <c r="E72" s="19">
        <f>IFERROR(INDEX('02 MONITOR'!$C$7:$C$106,SUMPRODUCT(('02 MONITOR'!$B$7:$B$106="FX")*('02 MONITOR'!$P$7:$P$106=21)*(ROW('02 MONITOR'!$B$7:$B$106)-6))),"")</f>
        <v/>
      </c>
      <c r="F72" s="40">
        <f>IFERROR(INDEX('02 MONITOR'!$D$7:$D$106,SUMPRODUCT(('02 MONITOR'!$B$7:$B$106="FX")*('02 MONITOR'!$P$7:$P$106=21)*(ROW('02 MONITOR'!$B$7:$B$106)-6))),"")</f>
        <v/>
      </c>
      <c r="G72" s="29">
        <f>IFERROR(INDEX('02 MONITOR'!$M$7:$M$106,SUMPRODUCT(('02 MONITOR'!$B$7:$B$106="FX")*('02 MONITOR'!$P$7:$P$106=21)*(ROW('02 MONITOR'!$B$7:$B$106)-6))),"")</f>
        <v/>
      </c>
      <c r="H72" s="36" t="inlineStr">
        <is>
          <t>SHORT</t>
        </is>
      </c>
      <c r="I72" s="26">
        <f>IFERROR(IF(ABS($G72)&lt;SETTINGS_ZMIN,0,ABS($G72)),"")</f>
        <v/>
      </c>
      <c r="J72" s="47">
        <f>IFERROR($I72/SUMPRODUCT(($C$8:$C$107=$C72)*($H$8:$H$107=$H72)*$I$8:$I$107)*(SETTINGS_GROSS/2/5),"")</f>
        <v/>
      </c>
      <c r="K72" s="48">
        <f>IFERROR($J72*SETTINGS_CAP*IF($H72="SHORT",-1,1),"")</f>
        <v/>
      </c>
      <c r="L72" s="12" t="inlineStr">
        <is>
          <t>Spot (or REER)</t>
        </is>
      </c>
      <c r="M72" s="12" t="inlineStr">
        <is>
          <t>3m NDF or deliverable forward. Long the cheap currency, short the rich one.</t>
        </is>
      </c>
    </row>
    <row r="73">
      <c r="B73" s="28" t="n">
        <v>66</v>
      </c>
      <c r="C73" s="50" t="inlineStr">
        <is>
          <t>FX</t>
        </is>
      </c>
      <c r="D73" s="28" t="n">
        <v>22</v>
      </c>
      <c r="E73" s="19">
        <f>IFERROR(INDEX('02 MONITOR'!$C$7:$C$106,SUMPRODUCT(('02 MONITOR'!$B$7:$B$106="FX")*('02 MONITOR'!$P$7:$P$106=22)*(ROW('02 MONITOR'!$B$7:$B$106)-6))),"")</f>
        <v/>
      </c>
      <c r="F73" s="40">
        <f>IFERROR(INDEX('02 MONITOR'!$D$7:$D$106,SUMPRODUCT(('02 MONITOR'!$B$7:$B$106="FX")*('02 MONITOR'!$P$7:$P$106=22)*(ROW('02 MONITOR'!$B$7:$B$106)-6))),"")</f>
        <v/>
      </c>
      <c r="G73" s="29">
        <f>IFERROR(INDEX('02 MONITOR'!$M$7:$M$106,SUMPRODUCT(('02 MONITOR'!$B$7:$B$106="FX")*('02 MONITOR'!$P$7:$P$106=22)*(ROW('02 MONITOR'!$B$7:$B$106)-6))),"")</f>
        <v/>
      </c>
      <c r="H73" s="36" t="inlineStr">
        <is>
          <t>SHORT</t>
        </is>
      </c>
      <c r="I73" s="26">
        <f>IFERROR(IF(ABS($G73)&lt;SETTINGS_ZMIN,0,ABS($G73)),"")</f>
        <v/>
      </c>
      <c r="J73" s="47">
        <f>IFERROR($I73/SUMPRODUCT(($C$8:$C$107=$C73)*($H$8:$H$107=$H73)*$I$8:$I$107)*(SETTINGS_GROSS/2/5),"")</f>
        <v/>
      </c>
      <c r="K73" s="48">
        <f>IFERROR($J73*SETTINGS_CAP*IF($H73="SHORT",-1,1),"")</f>
        <v/>
      </c>
      <c r="L73" s="12" t="inlineStr">
        <is>
          <t>Spot (or REER)</t>
        </is>
      </c>
      <c r="M73" s="12" t="inlineStr">
        <is>
          <t>3m NDF or deliverable forward. Long the cheap currency, short the rich one.</t>
        </is>
      </c>
    </row>
    <row r="74">
      <c r="B74" s="28" t="n">
        <v>67</v>
      </c>
      <c r="C74" s="50" t="inlineStr">
        <is>
          <t>FX</t>
        </is>
      </c>
      <c r="D74" s="28" t="n">
        <v>23</v>
      </c>
      <c r="E74" s="19">
        <f>IFERROR(INDEX('02 MONITOR'!$C$7:$C$106,SUMPRODUCT(('02 MONITOR'!$B$7:$B$106="FX")*('02 MONITOR'!$P$7:$P$106=23)*(ROW('02 MONITOR'!$B$7:$B$106)-6))),"")</f>
        <v/>
      </c>
      <c r="F74" s="40">
        <f>IFERROR(INDEX('02 MONITOR'!$D$7:$D$106,SUMPRODUCT(('02 MONITOR'!$B$7:$B$106="FX")*('02 MONITOR'!$P$7:$P$106=23)*(ROW('02 MONITOR'!$B$7:$B$106)-6))),"")</f>
        <v/>
      </c>
      <c r="G74" s="29">
        <f>IFERROR(INDEX('02 MONITOR'!$M$7:$M$106,SUMPRODUCT(('02 MONITOR'!$B$7:$B$106="FX")*('02 MONITOR'!$P$7:$P$106=23)*(ROW('02 MONITOR'!$B$7:$B$106)-6))),"")</f>
        <v/>
      </c>
      <c r="H74" s="36" t="inlineStr">
        <is>
          <t>SHORT</t>
        </is>
      </c>
      <c r="I74" s="26">
        <f>IFERROR(IF(ABS($G74)&lt;SETTINGS_ZMIN,0,ABS($G74)),"")</f>
        <v/>
      </c>
      <c r="J74" s="47">
        <f>IFERROR($I74/SUMPRODUCT(($C$8:$C$107=$C74)*($H$8:$H$107=$H74)*$I$8:$I$107)*(SETTINGS_GROSS/2/5),"")</f>
        <v/>
      </c>
      <c r="K74" s="48">
        <f>IFERROR($J74*SETTINGS_CAP*IF($H74="SHORT",-1,1),"")</f>
        <v/>
      </c>
      <c r="L74" s="12" t="inlineStr">
        <is>
          <t>Spot (or REER)</t>
        </is>
      </c>
      <c r="M74" s="12" t="inlineStr">
        <is>
          <t>3m NDF or deliverable forward. Long the cheap currency, short the rich one.</t>
        </is>
      </c>
    </row>
    <row r="75">
      <c r="B75" s="28" t="n">
        <v>68</v>
      </c>
      <c r="C75" s="50" t="inlineStr">
        <is>
          <t>FX</t>
        </is>
      </c>
      <c r="D75" s="28" t="n">
        <v>24</v>
      </c>
      <c r="E75" s="19">
        <f>IFERROR(INDEX('02 MONITOR'!$C$7:$C$106,SUMPRODUCT(('02 MONITOR'!$B$7:$B$106="FX")*('02 MONITOR'!$P$7:$P$106=24)*(ROW('02 MONITOR'!$B$7:$B$106)-6))),"")</f>
        <v/>
      </c>
      <c r="F75" s="40">
        <f>IFERROR(INDEX('02 MONITOR'!$D$7:$D$106,SUMPRODUCT(('02 MONITOR'!$B$7:$B$106="FX")*('02 MONITOR'!$P$7:$P$106=24)*(ROW('02 MONITOR'!$B$7:$B$106)-6))),"")</f>
        <v/>
      </c>
      <c r="G75" s="29">
        <f>IFERROR(INDEX('02 MONITOR'!$M$7:$M$106,SUMPRODUCT(('02 MONITOR'!$B$7:$B$106="FX")*('02 MONITOR'!$P$7:$P$106=24)*(ROW('02 MONITOR'!$B$7:$B$106)-6))),"")</f>
        <v/>
      </c>
      <c r="H75" s="36" t="inlineStr">
        <is>
          <t>SHORT</t>
        </is>
      </c>
      <c r="I75" s="26">
        <f>IFERROR(IF(ABS($G75)&lt;SETTINGS_ZMIN,0,ABS($G75)),"")</f>
        <v/>
      </c>
      <c r="J75" s="47">
        <f>IFERROR($I75/SUMPRODUCT(($C$8:$C$107=$C75)*($H$8:$H$107=$H75)*$I$8:$I$107)*(SETTINGS_GROSS/2/5),"")</f>
        <v/>
      </c>
      <c r="K75" s="48">
        <f>IFERROR($J75*SETTINGS_CAP*IF($H75="SHORT",-1,1),"")</f>
        <v/>
      </c>
      <c r="L75" s="12" t="inlineStr">
        <is>
          <t>Spot (or REER)</t>
        </is>
      </c>
      <c r="M75" s="12" t="inlineStr">
        <is>
          <t>3m NDF or deliverable forward. Long the cheap currency, short the rich one.</t>
        </is>
      </c>
    </row>
    <row r="76">
      <c r="B76" s="28" t="n">
        <v>69</v>
      </c>
      <c r="C76" s="50" t="inlineStr">
        <is>
          <t>FX</t>
        </is>
      </c>
      <c r="D76" s="28" t="n">
        <v>25</v>
      </c>
      <c r="E76" s="19">
        <f>IFERROR(INDEX('02 MONITOR'!$C$7:$C$106,SUMPRODUCT(('02 MONITOR'!$B$7:$B$106="FX")*('02 MONITOR'!$P$7:$P$106=25)*(ROW('02 MONITOR'!$B$7:$B$106)-6))),"")</f>
        <v/>
      </c>
      <c r="F76" s="40">
        <f>IFERROR(INDEX('02 MONITOR'!$D$7:$D$106,SUMPRODUCT(('02 MONITOR'!$B$7:$B$106="FX")*('02 MONITOR'!$P$7:$P$106=25)*(ROW('02 MONITOR'!$B$7:$B$106)-6))),"")</f>
        <v/>
      </c>
      <c r="G76" s="29">
        <f>IFERROR(INDEX('02 MONITOR'!$M$7:$M$106,SUMPRODUCT(('02 MONITOR'!$B$7:$B$106="FX")*('02 MONITOR'!$P$7:$P$106=25)*(ROW('02 MONITOR'!$B$7:$B$106)-6))),"")</f>
        <v/>
      </c>
      <c r="H76" s="36" t="inlineStr">
        <is>
          <t>SHORT</t>
        </is>
      </c>
      <c r="I76" s="26">
        <f>IFERROR(IF(ABS($G76)&lt;SETTINGS_ZMIN,0,ABS($G76)),"")</f>
        <v/>
      </c>
      <c r="J76" s="47">
        <f>IFERROR($I76/SUMPRODUCT(($C$8:$C$107=$C76)*($H$8:$H$107=$H76)*$I$8:$I$107)*(SETTINGS_GROSS/2/5),"")</f>
        <v/>
      </c>
      <c r="K76" s="48">
        <f>IFERROR($J76*SETTINGS_CAP*IF($H76="SHORT",-1,1),"")</f>
        <v/>
      </c>
      <c r="L76" s="12" t="inlineStr">
        <is>
          <t>Spot (or REER)</t>
        </is>
      </c>
      <c r="M76" s="12" t="inlineStr">
        <is>
          <t>3m NDF or deliverable forward. Long the cheap currency, short the rich one.</t>
        </is>
      </c>
    </row>
    <row r="77">
      <c r="B77" s="28" t="n">
        <v>70</v>
      </c>
      <c r="C77" s="50" t="inlineStr">
        <is>
          <t>FX</t>
        </is>
      </c>
      <c r="D77" s="28" t="n">
        <v>26</v>
      </c>
      <c r="E77" s="19">
        <f>IFERROR(INDEX('02 MONITOR'!$C$7:$C$106,SUMPRODUCT(('02 MONITOR'!$B$7:$B$106="FX")*('02 MONITOR'!$P$7:$P$106=26)*(ROW('02 MONITOR'!$B$7:$B$106)-6))),"")</f>
        <v/>
      </c>
      <c r="F77" s="40">
        <f>IFERROR(INDEX('02 MONITOR'!$D$7:$D$106,SUMPRODUCT(('02 MONITOR'!$B$7:$B$106="FX")*('02 MONITOR'!$P$7:$P$106=26)*(ROW('02 MONITOR'!$B$7:$B$106)-6))),"")</f>
        <v/>
      </c>
      <c r="G77" s="29">
        <f>IFERROR(INDEX('02 MONITOR'!$M$7:$M$106,SUMPRODUCT(('02 MONITOR'!$B$7:$B$106="FX")*('02 MONITOR'!$P$7:$P$106=26)*(ROW('02 MONITOR'!$B$7:$B$106)-6))),"")</f>
        <v/>
      </c>
      <c r="H77" s="36" t="inlineStr">
        <is>
          <t>SHORT</t>
        </is>
      </c>
      <c r="I77" s="26">
        <f>IFERROR(IF(ABS($G77)&lt;SETTINGS_ZMIN,0,ABS($G77)),"")</f>
        <v/>
      </c>
      <c r="J77" s="47">
        <f>IFERROR($I77/SUMPRODUCT(($C$8:$C$107=$C77)*($H$8:$H$107=$H77)*$I$8:$I$107)*(SETTINGS_GROSS/2/5),"")</f>
        <v/>
      </c>
      <c r="K77" s="48">
        <f>IFERROR($J77*SETTINGS_CAP*IF($H77="SHORT",-1,1),"")</f>
        <v/>
      </c>
      <c r="L77" s="12" t="inlineStr">
        <is>
          <t>Spot (or REER)</t>
        </is>
      </c>
      <c r="M77" s="12" t="inlineStr">
        <is>
          <t>3m NDF or deliverable forward. Long the cheap currency, short the rich one.</t>
        </is>
      </c>
    </row>
    <row r="78">
      <c r="B78" s="28" t="n">
        <v>71</v>
      </c>
      <c r="C78" s="51" t="inlineStr">
        <is>
          <t>CREDIT</t>
        </is>
      </c>
      <c r="D78" s="28" t="n">
        <v>1</v>
      </c>
      <c r="E78" s="19">
        <f>IFERROR(INDEX('02 MONITOR'!$C$7:$C$106,SUMPRODUCT(('02 MONITOR'!$B$7:$B$106="CREDIT")*('02 MONITOR'!$P$7:$P$106=1)*(ROW('02 MONITOR'!$B$7:$B$106)-6))),"")</f>
        <v/>
      </c>
      <c r="F78" s="40">
        <f>IFERROR(INDEX('02 MONITOR'!$D$7:$D$106,SUMPRODUCT(('02 MONITOR'!$B$7:$B$106="CREDIT")*('02 MONITOR'!$P$7:$P$106=1)*(ROW('02 MONITOR'!$B$7:$B$106)-6))),"")</f>
        <v/>
      </c>
      <c r="G78" s="29">
        <f>IFERROR(INDEX('02 MONITOR'!$M$7:$M$106,SUMPRODUCT(('02 MONITOR'!$B$7:$B$106="CREDIT")*('02 MONITOR'!$P$7:$P$106=1)*(ROW('02 MONITOR'!$B$7:$B$106)-6))),"")</f>
        <v/>
      </c>
      <c r="H78" s="46" t="inlineStr">
        <is>
          <t>LONG</t>
        </is>
      </c>
      <c r="I78" s="26">
        <f>IFERROR(IF(ABS($G78)&lt;SETTINGS_ZMIN,0,ABS($G78)),"")</f>
        <v/>
      </c>
      <c r="J78" s="47">
        <f>IFERROR($I78/SUMPRODUCT(($C$8:$C$107=$C78)*($H$8:$H$107=$H78)*$I$8:$I$107)*(SETTINGS_GROSS/2/5),"")</f>
        <v/>
      </c>
      <c r="K78" s="48">
        <f>IFERROR($J78*SETTINGS_CAP*IF($H78="SHORT",-1,1),"")</f>
        <v/>
      </c>
      <c r="L78" s="12" t="inlineStr">
        <is>
          <t>Option-adjusted spread</t>
        </is>
      </c>
      <c r="M78" s="12" t="inlineStr">
        <is>
          <t>Index CDS where it exists, cash bonds DV01-matched where it does not.</t>
        </is>
      </c>
    </row>
    <row r="79">
      <c r="B79" s="28" t="n">
        <v>72</v>
      </c>
      <c r="C79" s="51" t="inlineStr">
        <is>
          <t>CREDIT</t>
        </is>
      </c>
      <c r="D79" s="28" t="n">
        <v>2</v>
      </c>
      <c r="E79" s="19">
        <f>IFERROR(INDEX('02 MONITOR'!$C$7:$C$106,SUMPRODUCT(('02 MONITOR'!$B$7:$B$106="CREDIT")*('02 MONITOR'!$P$7:$P$106=2)*(ROW('02 MONITOR'!$B$7:$B$106)-6))),"")</f>
        <v/>
      </c>
      <c r="F79" s="40">
        <f>IFERROR(INDEX('02 MONITOR'!$D$7:$D$106,SUMPRODUCT(('02 MONITOR'!$B$7:$B$106="CREDIT")*('02 MONITOR'!$P$7:$P$106=2)*(ROW('02 MONITOR'!$B$7:$B$106)-6))),"")</f>
        <v/>
      </c>
      <c r="G79" s="29">
        <f>IFERROR(INDEX('02 MONITOR'!$M$7:$M$106,SUMPRODUCT(('02 MONITOR'!$B$7:$B$106="CREDIT")*('02 MONITOR'!$P$7:$P$106=2)*(ROW('02 MONITOR'!$B$7:$B$106)-6))),"")</f>
        <v/>
      </c>
      <c r="H79" s="46" t="inlineStr">
        <is>
          <t>LONG</t>
        </is>
      </c>
      <c r="I79" s="26">
        <f>IFERROR(IF(ABS($G79)&lt;SETTINGS_ZMIN,0,ABS($G79)),"")</f>
        <v/>
      </c>
      <c r="J79" s="47">
        <f>IFERROR($I79/SUMPRODUCT(($C$8:$C$107=$C79)*($H$8:$H$107=$H79)*$I$8:$I$107)*(SETTINGS_GROSS/2/5),"")</f>
        <v/>
      </c>
      <c r="K79" s="48">
        <f>IFERROR($J79*SETTINGS_CAP*IF($H79="SHORT",-1,1),"")</f>
        <v/>
      </c>
      <c r="L79" s="12" t="inlineStr">
        <is>
          <t>Option-adjusted spread</t>
        </is>
      </c>
      <c r="M79" s="12" t="inlineStr">
        <is>
          <t>Index CDS where it exists, cash bonds DV01-matched where it does not.</t>
        </is>
      </c>
    </row>
    <row r="80">
      <c r="B80" s="28" t="n">
        <v>73</v>
      </c>
      <c r="C80" s="51" t="inlineStr">
        <is>
          <t>CREDIT</t>
        </is>
      </c>
      <c r="D80" s="28" t="n">
        <v>3</v>
      </c>
      <c r="E80" s="19">
        <f>IFERROR(INDEX('02 MONITOR'!$C$7:$C$106,SUMPRODUCT(('02 MONITOR'!$B$7:$B$106="CREDIT")*('02 MONITOR'!$P$7:$P$106=3)*(ROW('02 MONITOR'!$B$7:$B$106)-6))),"")</f>
        <v/>
      </c>
      <c r="F80" s="40">
        <f>IFERROR(INDEX('02 MONITOR'!$D$7:$D$106,SUMPRODUCT(('02 MONITOR'!$B$7:$B$106="CREDIT")*('02 MONITOR'!$P$7:$P$106=3)*(ROW('02 MONITOR'!$B$7:$B$106)-6))),"")</f>
        <v/>
      </c>
      <c r="G80" s="29">
        <f>IFERROR(INDEX('02 MONITOR'!$M$7:$M$106,SUMPRODUCT(('02 MONITOR'!$B$7:$B$106="CREDIT")*('02 MONITOR'!$P$7:$P$106=3)*(ROW('02 MONITOR'!$B$7:$B$106)-6))),"")</f>
        <v/>
      </c>
      <c r="H80" s="46" t="inlineStr">
        <is>
          <t>LONG</t>
        </is>
      </c>
      <c r="I80" s="26">
        <f>IFERROR(IF(ABS($G80)&lt;SETTINGS_ZMIN,0,ABS($G80)),"")</f>
        <v/>
      </c>
      <c r="J80" s="47">
        <f>IFERROR($I80/SUMPRODUCT(($C$8:$C$107=$C80)*($H$8:$H$107=$H80)*$I$8:$I$107)*(SETTINGS_GROSS/2/5),"")</f>
        <v/>
      </c>
      <c r="K80" s="48">
        <f>IFERROR($J80*SETTINGS_CAP*IF($H80="SHORT",-1,1),"")</f>
        <v/>
      </c>
      <c r="L80" s="12" t="inlineStr">
        <is>
          <t>Option-adjusted spread</t>
        </is>
      </c>
      <c r="M80" s="12" t="inlineStr">
        <is>
          <t>Index CDS where it exists, cash bonds DV01-matched where it does not.</t>
        </is>
      </c>
    </row>
    <row r="81">
      <c r="B81" s="28" t="n">
        <v>74</v>
      </c>
      <c r="C81" s="51" t="inlineStr">
        <is>
          <t>CREDIT</t>
        </is>
      </c>
      <c r="D81" s="28" t="n">
        <v>4</v>
      </c>
      <c r="E81" s="19">
        <f>IFERROR(INDEX('02 MONITOR'!$C$7:$C$106,SUMPRODUCT(('02 MONITOR'!$B$7:$B$106="CREDIT")*('02 MONITOR'!$P$7:$P$106=4)*(ROW('02 MONITOR'!$B$7:$B$106)-6))),"")</f>
        <v/>
      </c>
      <c r="F81" s="40">
        <f>IFERROR(INDEX('02 MONITOR'!$D$7:$D$106,SUMPRODUCT(('02 MONITOR'!$B$7:$B$106="CREDIT")*('02 MONITOR'!$P$7:$P$106=4)*(ROW('02 MONITOR'!$B$7:$B$106)-6))),"")</f>
        <v/>
      </c>
      <c r="G81" s="29">
        <f>IFERROR(INDEX('02 MONITOR'!$M$7:$M$106,SUMPRODUCT(('02 MONITOR'!$B$7:$B$106="CREDIT")*('02 MONITOR'!$P$7:$P$106=4)*(ROW('02 MONITOR'!$B$7:$B$106)-6))),"")</f>
        <v/>
      </c>
      <c r="H81" s="46" t="inlineStr">
        <is>
          <t>LONG</t>
        </is>
      </c>
      <c r="I81" s="26">
        <f>IFERROR(IF(ABS($G81)&lt;SETTINGS_ZMIN,0,ABS($G81)),"")</f>
        <v/>
      </c>
      <c r="J81" s="47">
        <f>IFERROR($I81/SUMPRODUCT(($C$8:$C$107=$C81)*($H$8:$H$107=$H81)*$I$8:$I$107)*(SETTINGS_GROSS/2/5),"")</f>
        <v/>
      </c>
      <c r="K81" s="48">
        <f>IFERROR($J81*SETTINGS_CAP*IF($H81="SHORT",-1,1),"")</f>
        <v/>
      </c>
      <c r="L81" s="12" t="inlineStr">
        <is>
          <t>Option-adjusted spread</t>
        </is>
      </c>
      <c r="M81" s="12" t="inlineStr">
        <is>
          <t>Index CDS where it exists, cash bonds DV01-matched where it does not.</t>
        </is>
      </c>
    </row>
    <row r="82">
      <c r="B82" s="28" t="n">
        <v>75</v>
      </c>
      <c r="C82" s="51" t="inlineStr">
        <is>
          <t>CREDIT</t>
        </is>
      </c>
      <c r="D82" s="28" t="n">
        <v>5</v>
      </c>
      <c r="E82" s="19">
        <f>IFERROR(INDEX('02 MONITOR'!$C$7:$C$106,SUMPRODUCT(('02 MONITOR'!$B$7:$B$106="CREDIT")*('02 MONITOR'!$P$7:$P$106=5)*(ROW('02 MONITOR'!$B$7:$B$106)-6))),"")</f>
        <v/>
      </c>
      <c r="F82" s="40">
        <f>IFERROR(INDEX('02 MONITOR'!$D$7:$D$106,SUMPRODUCT(('02 MONITOR'!$B$7:$B$106="CREDIT")*('02 MONITOR'!$P$7:$P$106=5)*(ROW('02 MONITOR'!$B$7:$B$106)-6))),"")</f>
        <v/>
      </c>
      <c r="G82" s="29">
        <f>IFERROR(INDEX('02 MONITOR'!$M$7:$M$106,SUMPRODUCT(('02 MONITOR'!$B$7:$B$106="CREDIT")*('02 MONITOR'!$P$7:$P$106=5)*(ROW('02 MONITOR'!$B$7:$B$106)-6))),"")</f>
        <v/>
      </c>
      <c r="H82" s="46" t="inlineStr">
        <is>
          <t>LONG</t>
        </is>
      </c>
      <c r="I82" s="26">
        <f>IFERROR(IF(ABS($G82)&lt;SETTINGS_ZMIN,0,ABS($G82)),"")</f>
        <v/>
      </c>
      <c r="J82" s="47">
        <f>IFERROR($I82/SUMPRODUCT(($C$8:$C$107=$C82)*($H$8:$H$107=$H82)*$I$8:$I$107)*(SETTINGS_GROSS/2/5),"")</f>
        <v/>
      </c>
      <c r="K82" s="48">
        <f>IFERROR($J82*SETTINGS_CAP*IF($H82="SHORT",-1,1),"")</f>
        <v/>
      </c>
      <c r="L82" s="12" t="inlineStr">
        <is>
          <t>Option-adjusted spread</t>
        </is>
      </c>
      <c r="M82" s="12" t="inlineStr">
        <is>
          <t>Index CDS where it exists, cash bonds DV01-matched where it does not.</t>
        </is>
      </c>
    </row>
    <row r="83">
      <c r="B83" s="28" t="n">
        <v>76</v>
      </c>
      <c r="C83" s="51" t="inlineStr">
        <is>
          <t>CREDIT</t>
        </is>
      </c>
      <c r="D83" s="28" t="n">
        <v>6</v>
      </c>
      <c r="E83" s="19">
        <f>IFERROR(INDEX('02 MONITOR'!$C$7:$C$106,SUMPRODUCT(('02 MONITOR'!$B$7:$B$106="CREDIT")*('02 MONITOR'!$P$7:$P$106=6)*(ROW('02 MONITOR'!$B$7:$B$106)-6))),"")</f>
        <v/>
      </c>
      <c r="F83" s="40">
        <f>IFERROR(INDEX('02 MONITOR'!$D$7:$D$106,SUMPRODUCT(('02 MONITOR'!$B$7:$B$106="CREDIT")*('02 MONITOR'!$P$7:$P$106=6)*(ROW('02 MONITOR'!$B$7:$B$106)-6))),"")</f>
        <v/>
      </c>
      <c r="G83" s="29">
        <f>IFERROR(INDEX('02 MONITOR'!$M$7:$M$106,SUMPRODUCT(('02 MONITOR'!$B$7:$B$106="CREDIT")*('02 MONITOR'!$P$7:$P$106=6)*(ROW('02 MONITOR'!$B$7:$B$106)-6))),"")</f>
        <v/>
      </c>
      <c r="H83" s="46" t="inlineStr">
        <is>
          <t>LONG</t>
        </is>
      </c>
      <c r="I83" s="26">
        <f>IFERROR(IF(ABS($G83)&lt;SETTINGS_ZMIN,0,ABS($G83)),"")</f>
        <v/>
      </c>
      <c r="J83" s="47">
        <f>IFERROR($I83/SUMPRODUCT(($C$8:$C$107=$C83)*($H$8:$H$107=$H83)*$I$8:$I$107)*(SETTINGS_GROSS/2/5),"")</f>
        <v/>
      </c>
      <c r="K83" s="48">
        <f>IFERROR($J83*SETTINGS_CAP*IF($H83="SHORT",-1,1),"")</f>
        <v/>
      </c>
      <c r="L83" s="12" t="inlineStr">
        <is>
          <t>Option-adjusted spread</t>
        </is>
      </c>
      <c r="M83" s="12" t="inlineStr">
        <is>
          <t>Index CDS where it exists, cash bonds DV01-matched where it does not.</t>
        </is>
      </c>
    </row>
    <row r="84">
      <c r="B84" s="28" t="n">
        <v>77</v>
      </c>
      <c r="C84" s="51" t="inlineStr">
        <is>
          <t>CREDIT</t>
        </is>
      </c>
      <c r="D84" s="28" t="n">
        <v>7</v>
      </c>
      <c r="E84" s="19">
        <f>IFERROR(INDEX('02 MONITOR'!$C$7:$C$106,SUMPRODUCT(('02 MONITOR'!$B$7:$B$106="CREDIT")*('02 MONITOR'!$P$7:$P$106=7)*(ROW('02 MONITOR'!$B$7:$B$106)-6))),"")</f>
        <v/>
      </c>
      <c r="F84" s="40">
        <f>IFERROR(INDEX('02 MONITOR'!$D$7:$D$106,SUMPRODUCT(('02 MONITOR'!$B$7:$B$106="CREDIT")*('02 MONITOR'!$P$7:$P$106=7)*(ROW('02 MONITOR'!$B$7:$B$106)-6))),"")</f>
        <v/>
      </c>
      <c r="G84" s="29">
        <f>IFERROR(INDEX('02 MONITOR'!$M$7:$M$106,SUMPRODUCT(('02 MONITOR'!$B$7:$B$106="CREDIT")*('02 MONITOR'!$P$7:$P$106=7)*(ROW('02 MONITOR'!$B$7:$B$106)-6))),"")</f>
        <v/>
      </c>
      <c r="H84" s="36" t="inlineStr">
        <is>
          <t>SHORT</t>
        </is>
      </c>
      <c r="I84" s="26">
        <f>IFERROR(IF(ABS($G84)&lt;SETTINGS_ZMIN,0,ABS($G84)),"")</f>
        <v/>
      </c>
      <c r="J84" s="47">
        <f>IFERROR($I84/SUMPRODUCT(($C$8:$C$107=$C84)*($H$8:$H$107=$H84)*$I$8:$I$107)*(SETTINGS_GROSS/2/5),"")</f>
        <v/>
      </c>
      <c r="K84" s="48">
        <f>IFERROR($J84*SETTINGS_CAP*IF($H84="SHORT",-1,1),"")</f>
        <v/>
      </c>
      <c r="L84" s="12" t="inlineStr">
        <is>
          <t>Option-adjusted spread</t>
        </is>
      </c>
      <c r="M84" s="12" t="inlineStr">
        <is>
          <t>Index CDS where it exists, cash bonds DV01-matched where it does not.</t>
        </is>
      </c>
    </row>
    <row r="85">
      <c r="B85" s="28" t="n">
        <v>78</v>
      </c>
      <c r="C85" s="51" t="inlineStr">
        <is>
          <t>CREDIT</t>
        </is>
      </c>
      <c r="D85" s="28" t="n">
        <v>8</v>
      </c>
      <c r="E85" s="19">
        <f>IFERROR(INDEX('02 MONITOR'!$C$7:$C$106,SUMPRODUCT(('02 MONITOR'!$B$7:$B$106="CREDIT")*('02 MONITOR'!$P$7:$P$106=8)*(ROW('02 MONITOR'!$B$7:$B$106)-6))),"")</f>
        <v/>
      </c>
      <c r="F85" s="40">
        <f>IFERROR(INDEX('02 MONITOR'!$D$7:$D$106,SUMPRODUCT(('02 MONITOR'!$B$7:$B$106="CREDIT")*('02 MONITOR'!$P$7:$P$106=8)*(ROW('02 MONITOR'!$B$7:$B$106)-6))),"")</f>
        <v/>
      </c>
      <c r="G85" s="29">
        <f>IFERROR(INDEX('02 MONITOR'!$M$7:$M$106,SUMPRODUCT(('02 MONITOR'!$B$7:$B$106="CREDIT")*('02 MONITOR'!$P$7:$P$106=8)*(ROW('02 MONITOR'!$B$7:$B$106)-6))),"")</f>
        <v/>
      </c>
      <c r="H85" s="36" t="inlineStr">
        <is>
          <t>SHORT</t>
        </is>
      </c>
      <c r="I85" s="26">
        <f>IFERROR(IF(ABS($G85)&lt;SETTINGS_ZMIN,0,ABS($G85)),"")</f>
        <v/>
      </c>
      <c r="J85" s="47">
        <f>IFERROR($I85/SUMPRODUCT(($C$8:$C$107=$C85)*($H$8:$H$107=$H85)*$I$8:$I$107)*(SETTINGS_GROSS/2/5),"")</f>
        <v/>
      </c>
      <c r="K85" s="48">
        <f>IFERROR($J85*SETTINGS_CAP*IF($H85="SHORT",-1,1),"")</f>
        <v/>
      </c>
      <c r="L85" s="12" t="inlineStr">
        <is>
          <t>Option-adjusted spread</t>
        </is>
      </c>
      <c r="M85" s="12" t="inlineStr">
        <is>
          <t>Index CDS where it exists, cash bonds DV01-matched where it does not.</t>
        </is>
      </c>
    </row>
    <row r="86">
      <c r="B86" s="28" t="n">
        <v>79</v>
      </c>
      <c r="C86" s="51" t="inlineStr">
        <is>
          <t>CREDIT</t>
        </is>
      </c>
      <c r="D86" s="28" t="n">
        <v>9</v>
      </c>
      <c r="E86" s="19">
        <f>IFERROR(INDEX('02 MONITOR'!$C$7:$C$106,SUMPRODUCT(('02 MONITOR'!$B$7:$B$106="CREDIT")*('02 MONITOR'!$P$7:$P$106=9)*(ROW('02 MONITOR'!$B$7:$B$106)-6))),"")</f>
        <v/>
      </c>
      <c r="F86" s="40">
        <f>IFERROR(INDEX('02 MONITOR'!$D$7:$D$106,SUMPRODUCT(('02 MONITOR'!$B$7:$B$106="CREDIT")*('02 MONITOR'!$P$7:$P$106=9)*(ROW('02 MONITOR'!$B$7:$B$106)-6))),"")</f>
        <v/>
      </c>
      <c r="G86" s="29">
        <f>IFERROR(INDEX('02 MONITOR'!$M$7:$M$106,SUMPRODUCT(('02 MONITOR'!$B$7:$B$106="CREDIT")*('02 MONITOR'!$P$7:$P$106=9)*(ROW('02 MONITOR'!$B$7:$B$106)-6))),"")</f>
        <v/>
      </c>
      <c r="H86" s="36" t="inlineStr">
        <is>
          <t>SHORT</t>
        </is>
      </c>
      <c r="I86" s="26">
        <f>IFERROR(IF(ABS($G86)&lt;SETTINGS_ZMIN,0,ABS($G86)),"")</f>
        <v/>
      </c>
      <c r="J86" s="47">
        <f>IFERROR($I86/SUMPRODUCT(($C$8:$C$107=$C86)*($H$8:$H$107=$H86)*$I$8:$I$107)*(SETTINGS_GROSS/2/5),"")</f>
        <v/>
      </c>
      <c r="K86" s="48">
        <f>IFERROR($J86*SETTINGS_CAP*IF($H86="SHORT",-1,1),"")</f>
        <v/>
      </c>
      <c r="L86" s="12" t="inlineStr">
        <is>
          <t>Option-adjusted spread</t>
        </is>
      </c>
      <c r="M86" s="12" t="inlineStr">
        <is>
          <t>Index CDS where it exists, cash bonds DV01-matched where it does not.</t>
        </is>
      </c>
    </row>
    <row r="87">
      <c r="B87" s="28" t="n">
        <v>80</v>
      </c>
      <c r="C87" s="51" t="inlineStr">
        <is>
          <t>CREDIT</t>
        </is>
      </c>
      <c r="D87" s="28" t="n">
        <v>10</v>
      </c>
      <c r="E87" s="19">
        <f>IFERROR(INDEX('02 MONITOR'!$C$7:$C$106,SUMPRODUCT(('02 MONITOR'!$B$7:$B$106="CREDIT")*('02 MONITOR'!$P$7:$P$106=10)*(ROW('02 MONITOR'!$B$7:$B$106)-6))),"")</f>
        <v/>
      </c>
      <c r="F87" s="40">
        <f>IFERROR(INDEX('02 MONITOR'!$D$7:$D$106,SUMPRODUCT(('02 MONITOR'!$B$7:$B$106="CREDIT")*('02 MONITOR'!$P$7:$P$106=10)*(ROW('02 MONITOR'!$B$7:$B$106)-6))),"")</f>
        <v/>
      </c>
      <c r="G87" s="29">
        <f>IFERROR(INDEX('02 MONITOR'!$M$7:$M$106,SUMPRODUCT(('02 MONITOR'!$B$7:$B$106="CREDIT")*('02 MONITOR'!$P$7:$P$106=10)*(ROW('02 MONITOR'!$B$7:$B$106)-6))),"")</f>
        <v/>
      </c>
      <c r="H87" s="36" t="inlineStr">
        <is>
          <t>SHORT</t>
        </is>
      </c>
      <c r="I87" s="26">
        <f>IFERROR(IF(ABS($G87)&lt;SETTINGS_ZMIN,0,ABS($G87)),"")</f>
        <v/>
      </c>
      <c r="J87" s="47">
        <f>IFERROR($I87/SUMPRODUCT(($C$8:$C$107=$C87)*($H$8:$H$107=$H87)*$I$8:$I$107)*(SETTINGS_GROSS/2/5),"")</f>
        <v/>
      </c>
      <c r="K87" s="48">
        <f>IFERROR($J87*SETTINGS_CAP*IF($H87="SHORT",-1,1),"")</f>
        <v/>
      </c>
      <c r="L87" s="12" t="inlineStr">
        <is>
          <t>Option-adjusted spread</t>
        </is>
      </c>
      <c r="M87" s="12" t="inlineStr">
        <is>
          <t>Index CDS where it exists, cash bonds DV01-matched where it does not.</t>
        </is>
      </c>
    </row>
    <row r="88">
      <c r="B88" s="28" t="n">
        <v>81</v>
      </c>
      <c r="C88" s="51" t="inlineStr">
        <is>
          <t>CREDIT</t>
        </is>
      </c>
      <c r="D88" s="28" t="n">
        <v>11</v>
      </c>
      <c r="E88" s="19">
        <f>IFERROR(INDEX('02 MONITOR'!$C$7:$C$106,SUMPRODUCT(('02 MONITOR'!$B$7:$B$106="CREDIT")*('02 MONITOR'!$P$7:$P$106=11)*(ROW('02 MONITOR'!$B$7:$B$106)-6))),"")</f>
        <v/>
      </c>
      <c r="F88" s="40">
        <f>IFERROR(INDEX('02 MONITOR'!$D$7:$D$106,SUMPRODUCT(('02 MONITOR'!$B$7:$B$106="CREDIT")*('02 MONITOR'!$P$7:$P$106=11)*(ROW('02 MONITOR'!$B$7:$B$106)-6))),"")</f>
        <v/>
      </c>
      <c r="G88" s="29">
        <f>IFERROR(INDEX('02 MONITOR'!$M$7:$M$106,SUMPRODUCT(('02 MONITOR'!$B$7:$B$106="CREDIT")*('02 MONITOR'!$P$7:$P$106=11)*(ROW('02 MONITOR'!$B$7:$B$106)-6))),"")</f>
        <v/>
      </c>
      <c r="H88" s="36" t="inlineStr">
        <is>
          <t>SHORT</t>
        </is>
      </c>
      <c r="I88" s="26">
        <f>IFERROR(IF(ABS($G88)&lt;SETTINGS_ZMIN,0,ABS($G88)),"")</f>
        <v/>
      </c>
      <c r="J88" s="47">
        <f>IFERROR($I88/SUMPRODUCT(($C$8:$C$107=$C88)*($H$8:$H$107=$H88)*$I$8:$I$107)*(SETTINGS_GROSS/2/5),"")</f>
        <v/>
      </c>
      <c r="K88" s="48">
        <f>IFERROR($J88*SETTINGS_CAP*IF($H88="SHORT",-1,1),"")</f>
        <v/>
      </c>
      <c r="L88" s="12" t="inlineStr">
        <is>
          <t>Option-adjusted spread</t>
        </is>
      </c>
      <c r="M88" s="12" t="inlineStr">
        <is>
          <t>Index CDS where it exists, cash bonds DV01-matched where it does not.</t>
        </is>
      </c>
    </row>
    <row r="89">
      <c r="B89" s="28" t="n">
        <v>82</v>
      </c>
      <c r="C89" s="51" t="inlineStr">
        <is>
          <t>CREDIT</t>
        </is>
      </c>
      <c r="D89" s="28" t="n">
        <v>12</v>
      </c>
      <c r="E89" s="19">
        <f>IFERROR(INDEX('02 MONITOR'!$C$7:$C$106,SUMPRODUCT(('02 MONITOR'!$B$7:$B$106="CREDIT")*('02 MONITOR'!$P$7:$P$106=12)*(ROW('02 MONITOR'!$B$7:$B$106)-6))),"")</f>
        <v/>
      </c>
      <c r="F89" s="40">
        <f>IFERROR(INDEX('02 MONITOR'!$D$7:$D$106,SUMPRODUCT(('02 MONITOR'!$B$7:$B$106="CREDIT")*('02 MONITOR'!$P$7:$P$106=12)*(ROW('02 MONITOR'!$B$7:$B$106)-6))),"")</f>
        <v/>
      </c>
      <c r="G89" s="29">
        <f>IFERROR(INDEX('02 MONITOR'!$M$7:$M$106,SUMPRODUCT(('02 MONITOR'!$B$7:$B$106="CREDIT")*('02 MONITOR'!$P$7:$P$106=12)*(ROW('02 MONITOR'!$B$7:$B$106)-6))),"")</f>
        <v/>
      </c>
      <c r="H89" s="36" t="inlineStr">
        <is>
          <t>SHORT</t>
        </is>
      </c>
      <c r="I89" s="26">
        <f>IFERROR(IF(ABS($G89)&lt;SETTINGS_ZMIN,0,ABS($G89)),"")</f>
        <v/>
      </c>
      <c r="J89" s="47">
        <f>IFERROR($I89/SUMPRODUCT(($C$8:$C$107=$C89)*($H$8:$H$107=$H89)*$I$8:$I$107)*(SETTINGS_GROSS/2/5),"")</f>
        <v/>
      </c>
      <c r="K89" s="48">
        <f>IFERROR($J89*SETTINGS_CAP*IF($H89="SHORT",-1,1),"")</f>
        <v/>
      </c>
      <c r="L89" s="12" t="inlineStr">
        <is>
          <t>Option-adjusted spread</t>
        </is>
      </c>
      <c r="M89" s="12" t="inlineStr">
        <is>
          <t>Index CDS where it exists, cash bonds DV01-matched where it does not.</t>
        </is>
      </c>
    </row>
    <row r="90">
      <c r="B90" s="28" t="n">
        <v>83</v>
      </c>
      <c r="C90" s="52" t="inlineStr">
        <is>
          <t>COMMODITY</t>
        </is>
      </c>
      <c r="D90" s="28" t="n">
        <v>1</v>
      </c>
      <c r="E90" s="19">
        <f>IFERROR(INDEX('02 MONITOR'!$C$7:$C$106,SUMPRODUCT(('02 MONITOR'!$B$7:$B$106="COMMODITY")*('02 MONITOR'!$P$7:$P$106=1)*(ROW('02 MONITOR'!$B$7:$B$106)-6))),"")</f>
        <v/>
      </c>
      <c r="F90" s="40">
        <f>IFERROR(INDEX('02 MONITOR'!$D$7:$D$106,SUMPRODUCT(('02 MONITOR'!$B$7:$B$106="COMMODITY")*('02 MONITOR'!$P$7:$P$106=1)*(ROW('02 MONITOR'!$B$7:$B$106)-6))),"")</f>
        <v/>
      </c>
      <c r="G90" s="29">
        <f>IFERROR(INDEX('02 MONITOR'!$M$7:$M$106,SUMPRODUCT(('02 MONITOR'!$B$7:$B$106="COMMODITY")*('02 MONITOR'!$P$7:$P$106=1)*(ROW('02 MONITOR'!$B$7:$B$106)-6))),"")</f>
        <v/>
      </c>
      <c r="H90" s="46" t="inlineStr">
        <is>
          <t>LONG</t>
        </is>
      </c>
      <c r="I90" s="26">
        <f>IFERROR(IF(ABS($G90)&lt;SETTINGS_ZMIN,0,ABS($G90)),"")</f>
        <v/>
      </c>
      <c r="J90" s="47">
        <f>IFERROR($I90/SUMPRODUCT(($C$8:$C$107=$C90)*($H$8:$H$107=$H90)*$I$8:$I$107)*(SETTINGS_GROSS/2/5),"")</f>
        <v/>
      </c>
      <c r="K90" s="48">
        <f>IFERROR($J90*SETTINGS_CAP*IF($H90="SHORT",-1,1),"")</f>
        <v/>
      </c>
      <c r="L90" s="12" t="inlineStr">
        <is>
          <t>Front-contract price</t>
        </is>
      </c>
      <c r="M90" s="12" t="inlineStr">
        <is>
          <t>Front or second futures contract. Check the curve before you size — roll yield can exceed the move.</t>
        </is>
      </c>
    </row>
    <row r="91">
      <c r="B91" s="28" t="n">
        <v>84</v>
      </c>
      <c r="C91" s="52" t="inlineStr">
        <is>
          <t>COMMODITY</t>
        </is>
      </c>
      <c r="D91" s="28" t="n">
        <v>2</v>
      </c>
      <c r="E91" s="19">
        <f>IFERROR(INDEX('02 MONITOR'!$C$7:$C$106,SUMPRODUCT(('02 MONITOR'!$B$7:$B$106="COMMODITY")*('02 MONITOR'!$P$7:$P$106=2)*(ROW('02 MONITOR'!$B$7:$B$106)-6))),"")</f>
        <v/>
      </c>
      <c r="F91" s="40">
        <f>IFERROR(INDEX('02 MONITOR'!$D$7:$D$106,SUMPRODUCT(('02 MONITOR'!$B$7:$B$106="COMMODITY")*('02 MONITOR'!$P$7:$P$106=2)*(ROW('02 MONITOR'!$B$7:$B$106)-6))),"")</f>
        <v/>
      </c>
      <c r="G91" s="29">
        <f>IFERROR(INDEX('02 MONITOR'!$M$7:$M$106,SUMPRODUCT(('02 MONITOR'!$B$7:$B$106="COMMODITY")*('02 MONITOR'!$P$7:$P$106=2)*(ROW('02 MONITOR'!$B$7:$B$106)-6))),"")</f>
        <v/>
      </c>
      <c r="H91" s="46" t="inlineStr">
        <is>
          <t>LONG</t>
        </is>
      </c>
      <c r="I91" s="26">
        <f>IFERROR(IF(ABS($G91)&lt;SETTINGS_ZMIN,0,ABS($G91)),"")</f>
        <v/>
      </c>
      <c r="J91" s="47">
        <f>IFERROR($I91/SUMPRODUCT(($C$8:$C$107=$C91)*($H$8:$H$107=$H91)*$I$8:$I$107)*(SETTINGS_GROSS/2/5),"")</f>
        <v/>
      </c>
      <c r="K91" s="48">
        <f>IFERROR($J91*SETTINGS_CAP*IF($H91="SHORT",-1,1),"")</f>
        <v/>
      </c>
      <c r="L91" s="12" t="inlineStr">
        <is>
          <t>Front-contract price</t>
        </is>
      </c>
      <c r="M91" s="12" t="inlineStr">
        <is>
          <t>Front or second futures contract. Check the curve before you size — roll yield can exceed the move.</t>
        </is>
      </c>
    </row>
    <row r="92">
      <c r="B92" s="28" t="n">
        <v>85</v>
      </c>
      <c r="C92" s="52" t="inlineStr">
        <is>
          <t>COMMODITY</t>
        </is>
      </c>
      <c r="D92" s="28" t="n">
        <v>3</v>
      </c>
      <c r="E92" s="19">
        <f>IFERROR(INDEX('02 MONITOR'!$C$7:$C$106,SUMPRODUCT(('02 MONITOR'!$B$7:$B$106="COMMODITY")*('02 MONITOR'!$P$7:$P$106=3)*(ROW('02 MONITOR'!$B$7:$B$106)-6))),"")</f>
        <v/>
      </c>
      <c r="F92" s="40">
        <f>IFERROR(INDEX('02 MONITOR'!$D$7:$D$106,SUMPRODUCT(('02 MONITOR'!$B$7:$B$106="COMMODITY")*('02 MONITOR'!$P$7:$P$106=3)*(ROW('02 MONITOR'!$B$7:$B$106)-6))),"")</f>
        <v/>
      </c>
      <c r="G92" s="29">
        <f>IFERROR(INDEX('02 MONITOR'!$M$7:$M$106,SUMPRODUCT(('02 MONITOR'!$B$7:$B$106="COMMODITY")*('02 MONITOR'!$P$7:$P$106=3)*(ROW('02 MONITOR'!$B$7:$B$106)-6))),"")</f>
        <v/>
      </c>
      <c r="H92" s="46" t="inlineStr">
        <is>
          <t>LONG</t>
        </is>
      </c>
      <c r="I92" s="26">
        <f>IFERROR(IF(ABS($G92)&lt;SETTINGS_ZMIN,0,ABS($G92)),"")</f>
        <v/>
      </c>
      <c r="J92" s="47">
        <f>IFERROR($I92/SUMPRODUCT(($C$8:$C$107=$C92)*($H$8:$H$107=$H92)*$I$8:$I$107)*(SETTINGS_GROSS/2/5),"")</f>
        <v/>
      </c>
      <c r="K92" s="48">
        <f>IFERROR($J92*SETTINGS_CAP*IF($H92="SHORT",-1,1),"")</f>
        <v/>
      </c>
      <c r="L92" s="12" t="inlineStr">
        <is>
          <t>Front-contract price</t>
        </is>
      </c>
      <c r="M92" s="12" t="inlineStr">
        <is>
          <t>Front or second futures contract. Check the curve before you size — roll yield can exceed the move.</t>
        </is>
      </c>
    </row>
    <row r="93">
      <c r="B93" s="28" t="n">
        <v>86</v>
      </c>
      <c r="C93" s="52" t="inlineStr">
        <is>
          <t>COMMODITY</t>
        </is>
      </c>
      <c r="D93" s="28" t="n">
        <v>4</v>
      </c>
      <c r="E93" s="19">
        <f>IFERROR(INDEX('02 MONITOR'!$C$7:$C$106,SUMPRODUCT(('02 MONITOR'!$B$7:$B$106="COMMODITY")*('02 MONITOR'!$P$7:$P$106=4)*(ROW('02 MONITOR'!$B$7:$B$106)-6))),"")</f>
        <v/>
      </c>
      <c r="F93" s="40">
        <f>IFERROR(INDEX('02 MONITOR'!$D$7:$D$106,SUMPRODUCT(('02 MONITOR'!$B$7:$B$106="COMMODITY")*('02 MONITOR'!$P$7:$P$106=4)*(ROW('02 MONITOR'!$B$7:$B$106)-6))),"")</f>
        <v/>
      </c>
      <c r="G93" s="29">
        <f>IFERROR(INDEX('02 MONITOR'!$M$7:$M$106,SUMPRODUCT(('02 MONITOR'!$B$7:$B$106="COMMODITY")*('02 MONITOR'!$P$7:$P$106=4)*(ROW('02 MONITOR'!$B$7:$B$106)-6))),"")</f>
        <v/>
      </c>
      <c r="H93" s="46" t="inlineStr">
        <is>
          <t>LONG</t>
        </is>
      </c>
      <c r="I93" s="26">
        <f>IFERROR(IF(ABS($G93)&lt;SETTINGS_ZMIN,0,ABS($G93)),"")</f>
        <v/>
      </c>
      <c r="J93" s="47">
        <f>IFERROR($I93/SUMPRODUCT(($C$8:$C$107=$C93)*($H$8:$H$107=$H93)*$I$8:$I$107)*(SETTINGS_GROSS/2/5),"")</f>
        <v/>
      </c>
      <c r="K93" s="48">
        <f>IFERROR($J93*SETTINGS_CAP*IF($H93="SHORT",-1,1),"")</f>
        <v/>
      </c>
      <c r="L93" s="12" t="inlineStr">
        <is>
          <t>Front-contract price</t>
        </is>
      </c>
      <c r="M93" s="12" t="inlineStr">
        <is>
          <t>Front or second futures contract. Check the curve before you size — roll yield can exceed the move.</t>
        </is>
      </c>
    </row>
    <row r="94">
      <c r="B94" s="28" t="n">
        <v>87</v>
      </c>
      <c r="C94" s="52" t="inlineStr">
        <is>
          <t>COMMODITY</t>
        </is>
      </c>
      <c r="D94" s="28" t="n">
        <v>5</v>
      </c>
      <c r="E94" s="19">
        <f>IFERROR(INDEX('02 MONITOR'!$C$7:$C$106,SUMPRODUCT(('02 MONITOR'!$B$7:$B$106="COMMODITY")*('02 MONITOR'!$P$7:$P$106=5)*(ROW('02 MONITOR'!$B$7:$B$106)-6))),"")</f>
        <v/>
      </c>
      <c r="F94" s="40">
        <f>IFERROR(INDEX('02 MONITOR'!$D$7:$D$106,SUMPRODUCT(('02 MONITOR'!$B$7:$B$106="COMMODITY")*('02 MONITOR'!$P$7:$P$106=5)*(ROW('02 MONITOR'!$B$7:$B$106)-6))),"")</f>
        <v/>
      </c>
      <c r="G94" s="29">
        <f>IFERROR(INDEX('02 MONITOR'!$M$7:$M$106,SUMPRODUCT(('02 MONITOR'!$B$7:$B$106="COMMODITY")*('02 MONITOR'!$P$7:$P$106=5)*(ROW('02 MONITOR'!$B$7:$B$106)-6))),"")</f>
        <v/>
      </c>
      <c r="H94" s="46" t="inlineStr">
        <is>
          <t>LONG</t>
        </is>
      </c>
      <c r="I94" s="26">
        <f>IFERROR(IF(ABS($G94)&lt;SETTINGS_ZMIN,0,ABS($G94)),"")</f>
        <v/>
      </c>
      <c r="J94" s="47">
        <f>IFERROR($I94/SUMPRODUCT(($C$8:$C$107=$C94)*($H$8:$H$107=$H94)*$I$8:$I$107)*(SETTINGS_GROSS/2/5),"")</f>
        <v/>
      </c>
      <c r="K94" s="48">
        <f>IFERROR($J94*SETTINGS_CAP*IF($H94="SHORT",-1,1),"")</f>
        <v/>
      </c>
      <c r="L94" s="12" t="inlineStr">
        <is>
          <t>Front-contract price</t>
        </is>
      </c>
      <c r="M94" s="12" t="inlineStr">
        <is>
          <t>Front or second futures contract. Check the curve before you size — roll yield can exceed the move.</t>
        </is>
      </c>
    </row>
    <row r="95">
      <c r="B95" s="28" t="n">
        <v>88</v>
      </c>
      <c r="C95" s="52" t="inlineStr">
        <is>
          <t>COMMODITY</t>
        </is>
      </c>
      <c r="D95" s="28" t="n">
        <v>6</v>
      </c>
      <c r="E95" s="19">
        <f>IFERROR(INDEX('02 MONITOR'!$C$7:$C$106,SUMPRODUCT(('02 MONITOR'!$B$7:$B$106="COMMODITY")*('02 MONITOR'!$P$7:$P$106=6)*(ROW('02 MONITOR'!$B$7:$B$106)-6))),"")</f>
        <v/>
      </c>
      <c r="F95" s="40">
        <f>IFERROR(INDEX('02 MONITOR'!$D$7:$D$106,SUMPRODUCT(('02 MONITOR'!$B$7:$B$106="COMMODITY")*('02 MONITOR'!$P$7:$P$106=6)*(ROW('02 MONITOR'!$B$7:$B$106)-6))),"")</f>
        <v/>
      </c>
      <c r="G95" s="29">
        <f>IFERROR(INDEX('02 MONITOR'!$M$7:$M$106,SUMPRODUCT(('02 MONITOR'!$B$7:$B$106="COMMODITY")*('02 MONITOR'!$P$7:$P$106=6)*(ROW('02 MONITOR'!$B$7:$B$106)-6))),"")</f>
        <v/>
      </c>
      <c r="H95" s="46" t="inlineStr">
        <is>
          <t>LONG</t>
        </is>
      </c>
      <c r="I95" s="26">
        <f>IFERROR(IF(ABS($G95)&lt;SETTINGS_ZMIN,0,ABS($G95)),"")</f>
        <v/>
      </c>
      <c r="J95" s="47">
        <f>IFERROR($I95/SUMPRODUCT(($C$8:$C$107=$C95)*($H$8:$H$107=$H95)*$I$8:$I$107)*(SETTINGS_GROSS/2/5),"")</f>
        <v/>
      </c>
      <c r="K95" s="48">
        <f>IFERROR($J95*SETTINGS_CAP*IF($H95="SHORT",-1,1),"")</f>
        <v/>
      </c>
      <c r="L95" s="12" t="inlineStr">
        <is>
          <t>Front-contract price</t>
        </is>
      </c>
      <c r="M95" s="12" t="inlineStr">
        <is>
          <t>Front or second futures contract. Check the curve before you size — roll yield can exceed the move.</t>
        </is>
      </c>
    </row>
    <row r="96">
      <c r="B96" s="28" t="n">
        <v>89</v>
      </c>
      <c r="C96" s="52" t="inlineStr">
        <is>
          <t>COMMODITY</t>
        </is>
      </c>
      <c r="D96" s="28" t="n">
        <v>7</v>
      </c>
      <c r="E96" s="19">
        <f>IFERROR(INDEX('02 MONITOR'!$C$7:$C$106,SUMPRODUCT(('02 MONITOR'!$B$7:$B$106="COMMODITY")*('02 MONITOR'!$P$7:$P$106=7)*(ROW('02 MONITOR'!$B$7:$B$106)-6))),"")</f>
        <v/>
      </c>
      <c r="F96" s="40">
        <f>IFERROR(INDEX('02 MONITOR'!$D$7:$D$106,SUMPRODUCT(('02 MONITOR'!$B$7:$B$106="COMMODITY")*('02 MONITOR'!$P$7:$P$106=7)*(ROW('02 MONITOR'!$B$7:$B$106)-6))),"")</f>
        <v/>
      </c>
      <c r="G96" s="29">
        <f>IFERROR(INDEX('02 MONITOR'!$M$7:$M$106,SUMPRODUCT(('02 MONITOR'!$B$7:$B$106="COMMODITY")*('02 MONITOR'!$P$7:$P$106=7)*(ROW('02 MONITOR'!$B$7:$B$106)-6))),"")</f>
        <v/>
      </c>
      <c r="H96" s="46" t="inlineStr">
        <is>
          <t>LONG</t>
        </is>
      </c>
      <c r="I96" s="26">
        <f>IFERROR(IF(ABS($G96)&lt;SETTINGS_ZMIN,0,ABS($G96)),"")</f>
        <v/>
      </c>
      <c r="J96" s="47">
        <f>IFERROR($I96/SUMPRODUCT(($C$8:$C$107=$C96)*($H$8:$H$107=$H96)*$I$8:$I$107)*(SETTINGS_GROSS/2/5),"")</f>
        <v/>
      </c>
      <c r="K96" s="48">
        <f>IFERROR($J96*SETTINGS_CAP*IF($H96="SHORT",-1,1),"")</f>
        <v/>
      </c>
      <c r="L96" s="12" t="inlineStr">
        <is>
          <t>Front-contract price</t>
        </is>
      </c>
      <c r="M96" s="12" t="inlineStr">
        <is>
          <t>Front or second futures contract. Check the curve before you size — roll yield can exceed the move.</t>
        </is>
      </c>
    </row>
    <row r="97">
      <c r="B97" s="28" t="n">
        <v>90</v>
      </c>
      <c r="C97" s="52" t="inlineStr">
        <is>
          <t>COMMODITY</t>
        </is>
      </c>
      <c r="D97" s="28" t="n">
        <v>8</v>
      </c>
      <c r="E97" s="19">
        <f>IFERROR(INDEX('02 MONITOR'!$C$7:$C$106,SUMPRODUCT(('02 MONITOR'!$B$7:$B$106="COMMODITY")*('02 MONITOR'!$P$7:$P$106=8)*(ROW('02 MONITOR'!$B$7:$B$106)-6))),"")</f>
        <v/>
      </c>
      <c r="F97" s="40">
        <f>IFERROR(INDEX('02 MONITOR'!$D$7:$D$106,SUMPRODUCT(('02 MONITOR'!$B$7:$B$106="COMMODITY")*('02 MONITOR'!$P$7:$P$106=8)*(ROW('02 MONITOR'!$B$7:$B$106)-6))),"")</f>
        <v/>
      </c>
      <c r="G97" s="29">
        <f>IFERROR(INDEX('02 MONITOR'!$M$7:$M$106,SUMPRODUCT(('02 MONITOR'!$B$7:$B$106="COMMODITY")*('02 MONITOR'!$P$7:$P$106=8)*(ROW('02 MONITOR'!$B$7:$B$106)-6))),"")</f>
        <v/>
      </c>
      <c r="H97" s="46" t="inlineStr">
        <is>
          <t>LONG</t>
        </is>
      </c>
      <c r="I97" s="26">
        <f>IFERROR(IF(ABS($G97)&lt;SETTINGS_ZMIN,0,ABS($G97)),"")</f>
        <v/>
      </c>
      <c r="J97" s="47">
        <f>IFERROR($I97/SUMPRODUCT(($C$8:$C$107=$C97)*($H$8:$H$107=$H97)*$I$8:$I$107)*(SETTINGS_GROSS/2/5),"")</f>
        <v/>
      </c>
      <c r="K97" s="48">
        <f>IFERROR($J97*SETTINGS_CAP*IF($H97="SHORT",-1,1),"")</f>
        <v/>
      </c>
      <c r="L97" s="12" t="inlineStr">
        <is>
          <t>Front-contract price</t>
        </is>
      </c>
      <c r="M97" s="12" t="inlineStr">
        <is>
          <t>Front or second futures contract. Check the curve before you size — roll yield can exceed the move.</t>
        </is>
      </c>
    </row>
    <row r="98">
      <c r="B98" s="28" t="n">
        <v>91</v>
      </c>
      <c r="C98" s="52" t="inlineStr">
        <is>
          <t>COMMODITY</t>
        </is>
      </c>
      <c r="D98" s="28" t="n">
        <v>9</v>
      </c>
      <c r="E98" s="19">
        <f>IFERROR(INDEX('02 MONITOR'!$C$7:$C$106,SUMPRODUCT(('02 MONITOR'!$B$7:$B$106="COMMODITY")*('02 MONITOR'!$P$7:$P$106=9)*(ROW('02 MONITOR'!$B$7:$B$106)-6))),"")</f>
        <v/>
      </c>
      <c r="F98" s="40">
        <f>IFERROR(INDEX('02 MONITOR'!$D$7:$D$106,SUMPRODUCT(('02 MONITOR'!$B$7:$B$106="COMMODITY")*('02 MONITOR'!$P$7:$P$106=9)*(ROW('02 MONITOR'!$B$7:$B$106)-6))),"")</f>
        <v/>
      </c>
      <c r="G98" s="29">
        <f>IFERROR(INDEX('02 MONITOR'!$M$7:$M$106,SUMPRODUCT(('02 MONITOR'!$B$7:$B$106="COMMODITY")*('02 MONITOR'!$P$7:$P$106=9)*(ROW('02 MONITOR'!$B$7:$B$106)-6))),"")</f>
        <v/>
      </c>
      <c r="H98" s="46" t="inlineStr">
        <is>
          <t>LONG</t>
        </is>
      </c>
      <c r="I98" s="26">
        <f>IFERROR(IF(ABS($G98)&lt;SETTINGS_ZMIN,0,ABS($G98)),"")</f>
        <v/>
      </c>
      <c r="J98" s="47">
        <f>IFERROR($I98/SUMPRODUCT(($C$8:$C$107=$C98)*($H$8:$H$107=$H98)*$I$8:$I$107)*(SETTINGS_GROSS/2/5),"")</f>
        <v/>
      </c>
      <c r="K98" s="48">
        <f>IFERROR($J98*SETTINGS_CAP*IF($H98="SHORT",-1,1),"")</f>
        <v/>
      </c>
      <c r="L98" s="12" t="inlineStr">
        <is>
          <t>Front-contract price</t>
        </is>
      </c>
      <c r="M98" s="12" t="inlineStr">
        <is>
          <t>Front or second futures contract. Check the curve before you size — roll yield can exceed the move.</t>
        </is>
      </c>
    </row>
    <row r="99">
      <c r="B99" s="28" t="n">
        <v>92</v>
      </c>
      <c r="C99" s="52" t="inlineStr">
        <is>
          <t>COMMODITY</t>
        </is>
      </c>
      <c r="D99" s="28" t="n">
        <v>10</v>
      </c>
      <c r="E99" s="19">
        <f>IFERROR(INDEX('02 MONITOR'!$C$7:$C$106,SUMPRODUCT(('02 MONITOR'!$B$7:$B$106="COMMODITY")*('02 MONITOR'!$P$7:$P$106=10)*(ROW('02 MONITOR'!$B$7:$B$106)-6))),"")</f>
        <v/>
      </c>
      <c r="F99" s="40">
        <f>IFERROR(INDEX('02 MONITOR'!$D$7:$D$106,SUMPRODUCT(('02 MONITOR'!$B$7:$B$106="COMMODITY")*('02 MONITOR'!$P$7:$P$106=10)*(ROW('02 MONITOR'!$B$7:$B$106)-6))),"")</f>
        <v/>
      </c>
      <c r="G99" s="29">
        <f>IFERROR(INDEX('02 MONITOR'!$M$7:$M$106,SUMPRODUCT(('02 MONITOR'!$B$7:$B$106="COMMODITY")*('02 MONITOR'!$P$7:$P$106=10)*(ROW('02 MONITOR'!$B$7:$B$106)-6))),"")</f>
        <v/>
      </c>
      <c r="H99" s="36" t="inlineStr">
        <is>
          <t>SHORT</t>
        </is>
      </c>
      <c r="I99" s="26">
        <f>IFERROR(IF(ABS($G99)&lt;SETTINGS_ZMIN,0,ABS($G99)),"")</f>
        <v/>
      </c>
      <c r="J99" s="47">
        <f>IFERROR($I99/SUMPRODUCT(($C$8:$C$107=$C99)*($H$8:$H$107=$H99)*$I$8:$I$107)*(SETTINGS_GROSS/2/5),"")</f>
        <v/>
      </c>
      <c r="K99" s="48">
        <f>IFERROR($J99*SETTINGS_CAP*IF($H99="SHORT",-1,1),"")</f>
        <v/>
      </c>
      <c r="L99" s="12" t="inlineStr">
        <is>
          <t>Front-contract price</t>
        </is>
      </c>
      <c r="M99" s="12" t="inlineStr">
        <is>
          <t>Front or second futures contract. Check the curve before you size — roll yield can exceed the move.</t>
        </is>
      </c>
    </row>
    <row r="100">
      <c r="B100" s="28" t="n">
        <v>93</v>
      </c>
      <c r="C100" s="52" t="inlineStr">
        <is>
          <t>COMMODITY</t>
        </is>
      </c>
      <c r="D100" s="28" t="n">
        <v>11</v>
      </c>
      <c r="E100" s="19">
        <f>IFERROR(INDEX('02 MONITOR'!$C$7:$C$106,SUMPRODUCT(('02 MONITOR'!$B$7:$B$106="COMMODITY")*('02 MONITOR'!$P$7:$P$106=11)*(ROW('02 MONITOR'!$B$7:$B$106)-6))),"")</f>
        <v/>
      </c>
      <c r="F100" s="40">
        <f>IFERROR(INDEX('02 MONITOR'!$D$7:$D$106,SUMPRODUCT(('02 MONITOR'!$B$7:$B$106="COMMODITY")*('02 MONITOR'!$P$7:$P$106=11)*(ROW('02 MONITOR'!$B$7:$B$106)-6))),"")</f>
        <v/>
      </c>
      <c r="G100" s="29">
        <f>IFERROR(INDEX('02 MONITOR'!$M$7:$M$106,SUMPRODUCT(('02 MONITOR'!$B$7:$B$106="COMMODITY")*('02 MONITOR'!$P$7:$P$106=11)*(ROW('02 MONITOR'!$B$7:$B$106)-6))),"")</f>
        <v/>
      </c>
      <c r="H100" s="36" t="inlineStr">
        <is>
          <t>SHORT</t>
        </is>
      </c>
      <c r="I100" s="26">
        <f>IFERROR(IF(ABS($G100)&lt;SETTINGS_ZMIN,0,ABS($G100)),"")</f>
        <v/>
      </c>
      <c r="J100" s="47">
        <f>IFERROR($I100/SUMPRODUCT(($C$8:$C$107=$C100)*($H$8:$H$107=$H100)*$I$8:$I$107)*(SETTINGS_GROSS/2/5),"")</f>
        <v/>
      </c>
      <c r="K100" s="48">
        <f>IFERROR($J100*SETTINGS_CAP*IF($H100="SHORT",-1,1),"")</f>
        <v/>
      </c>
      <c r="L100" s="12" t="inlineStr">
        <is>
          <t>Front-contract price</t>
        </is>
      </c>
      <c r="M100" s="12" t="inlineStr">
        <is>
          <t>Front or second futures contract. Check the curve before you size — roll yield can exceed the move.</t>
        </is>
      </c>
    </row>
    <row r="101">
      <c r="B101" s="28" t="n">
        <v>94</v>
      </c>
      <c r="C101" s="52" t="inlineStr">
        <is>
          <t>COMMODITY</t>
        </is>
      </c>
      <c r="D101" s="28" t="n">
        <v>12</v>
      </c>
      <c r="E101" s="19">
        <f>IFERROR(INDEX('02 MONITOR'!$C$7:$C$106,SUMPRODUCT(('02 MONITOR'!$B$7:$B$106="COMMODITY")*('02 MONITOR'!$P$7:$P$106=12)*(ROW('02 MONITOR'!$B$7:$B$106)-6))),"")</f>
        <v/>
      </c>
      <c r="F101" s="40">
        <f>IFERROR(INDEX('02 MONITOR'!$D$7:$D$106,SUMPRODUCT(('02 MONITOR'!$B$7:$B$106="COMMODITY")*('02 MONITOR'!$P$7:$P$106=12)*(ROW('02 MONITOR'!$B$7:$B$106)-6))),"")</f>
        <v/>
      </c>
      <c r="G101" s="29">
        <f>IFERROR(INDEX('02 MONITOR'!$M$7:$M$106,SUMPRODUCT(('02 MONITOR'!$B$7:$B$106="COMMODITY")*('02 MONITOR'!$P$7:$P$106=12)*(ROW('02 MONITOR'!$B$7:$B$106)-6))),"")</f>
        <v/>
      </c>
      <c r="H101" s="36" t="inlineStr">
        <is>
          <t>SHORT</t>
        </is>
      </c>
      <c r="I101" s="26">
        <f>IFERROR(IF(ABS($G101)&lt;SETTINGS_ZMIN,0,ABS($G101)),"")</f>
        <v/>
      </c>
      <c r="J101" s="47">
        <f>IFERROR($I101/SUMPRODUCT(($C$8:$C$107=$C101)*($H$8:$H$107=$H101)*$I$8:$I$107)*(SETTINGS_GROSS/2/5),"")</f>
        <v/>
      </c>
      <c r="K101" s="48">
        <f>IFERROR($J101*SETTINGS_CAP*IF($H101="SHORT",-1,1),"")</f>
        <v/>
      </c>
      <c r="L101" s="12" t="inlineStr">
        <is>
          <t>Front-contract price</t>
        </is>
      </c>
      <c r="M101" s="12" t="inlineStr">
        <is>
          <t>Front or second futures contract. Check the curve before you size — roll yield can exceed the move.</t>
        </is>
      </c>
    </row>
    <row r="102">
      <c r="B102" s="28" t="n">
        <v>95</v>
      </c>
      <c r="C102" s="52" t="inlineStr">
        <is>
          <t>COMMODITY</t>
        </is>
      </c>
      <c r="D102" s="28" t="n">
        <v>13</v>
      </c>
      <c r="E102" s="19">
        <f>IFERROR(INDEX('02 MONITOR'!$C$7:$C$106,SUMPRODUCT(('02 MONITOR'!$B$7:$B$106="COMMODITY")*('02 MONITOR'!$P$7:$P$106=13)*(ROW('02 MONITOR'!$B$7:$B$106)-6))),"")</f>
        <v/>
      </c>
      <c r="F102" s="40">
        <f>IFERROR(INDEX('02 MONITOR'!$D$7:$D$106,SUMPRODUCT(('02 MONITOR'!$B$7:$B$106="COMMODITY")*('02 MONITOR'!$P$7:$P$106=13)*(ROW('02 MONITOR'!$B$7:$B$106)-6))),"")</f>
        <v/>
      </c>
      <c r="G102" s="29">
        <f>IFERROR(INDEX('02 MONITOR'!$M$7:$M$106,SUMPRODUCT(('02 MONITOR'!$B$7:$B$106="COMMODITY")*('02 MONITOR'!$P$7:$P$106=13)*(ROW('02 MONITOR'!$B$7:$B$106)-6))),"")</f>
        <v/>
      </c>
      <c r="H102" s="36" t="inlineStr">
        <is>
          <t>SHORT</t>
        </is>
      </c>
      <c r="I102" s="26">
        <f>IFERROR(IF(ABS($G102)&lt;SETTINGS_ZMIN,0,ABS($G102)),"")</f>
        <v/>
      </c>
      <c r="J102" s="47">
        <f>IFERROR($I102/SUMPRODUCT(($C$8:$C$107=$C102)*($H$8:$H$107=$H102)*$I$8:$I$107)*(SETTINGS_GROSS/2/5),"")</f>
        <v/>
      </c>
      <c r="K102" s="48">
        <f>IFERROR($J102*SETTINGS_CAP*IF($H102="SHORT",-1,1),"")</f>
        <v/>
      </c>
      <c r="L102" s="12" t="inlineStr">
        <is>
          <t>Front-contract price</t>
        </is>
      </c>
      <c r="M102" s="12" t="inlineStr">
        <is>
          <t>Front or second futures contract. Check the curve before you size — roll yield can exceed the move.</t>
        </is>
      </c>
    </row>
    <row r="103">
      <c r="B103" s="28" t="n">
        <v>96</v>
      </c>
      <c r="C103" s="52" t="inlineStr">
        <is>
          <t>COMMODITY</t>
        </is>
      </c>
      <c r="D103" s="28" t="n">
        <v>14</v>
      </c>
      <c r="E103" s="19">
        <f>IFERROR(INDEX('02 MONITOR'!$C$7:$C$106,SUMPRODUCT(('02 MONITOR'!$B$7:$B$106="COMMODITY")*('02 MONITOR'!$P$7:$P$106=14)*(ROW('02 MONITOR'!$B$7:$B$106)-6))),"")</f>
        <v/>
      </c>
      <c r="F103" s="40">
        <f>IFERROR(INDEX('02 MONITOR'!$D$7:$D$106,SUMPRODUCT(('02 MONITOR'!$B$7:$B$106="COMMODITY")*('02 MONITOR'!$P$7:$P$106=14)*(ROW('02 MONITOR'!$B$7:$B$106)-6))),"")</f>
        <v/>
      </c>
      <c r="G103" s="29">
        <f>IFERROR(INDEX('02 MONITOR'!$M$7:$M$106,SUMPRODUCT(('02 MONITOR'!$B$7:$B$106="COMMODITY")*('02 MONITOR'!$P$7:$P$106=14)*(ROW('02 MONITOR'!$B$7:$B$106)-6))),"")</f>
        <v/>
      </c>
      <c r="H103" s="36" t="inlineStr">
        <is>
          <t>SHORT</t>
        </is>
      </c>
      <c r="I103" s="26">
        <f>IFERROR(IF(ABS($G103)&lt;SETTINGS_ZMIN,0,ABS($G103)),"")</f>
        <v/>
      </c>
      <c r="J103" s="47">
        <f>IFERROR($I103/SUMPRODUCT(($C$8:$C$107=$C103)*($H$8:$H$107=$H103)*$I$8:$I$107)*(SETTINGS_GROSS/2/5),"")</f>
        <v/>
      </c>
      <c r="K103" s="48">
        <f>IFERROR($J103*SETTINGS_CAP*IF($H103="SHORT",-1,1),"")</f>
        <v/>
      </c>
      <c r="L103" s="12" t="inlineStr">
        <is>
          <t>Front-contract price</t>
        </is>
      </c>
      <c r="M103" s="12" t="inlineStr">
        <is>
          <t>Front or second futures contract. Check the curve before you size — roll yield can exceed the move.</t>
        </is>
      </c>
    </row>
    <row r="104">
      <c r="B104" s="28" t="n">
        <v>97</v>
      </c>
      <c r="C104" s="52" t="inlineStr">
        <is>
          <t>COMMODITY</t>
        </is>
      </c>
      <c r="D104" s="28" t="n">
        <v>15</v>
      </c>
      <c r="E104" s="19">
        <f>IFERROR(INDEX('02 MONITOR'!$C$7:$C$106,SUMPRODUCT(('02 MONITOR'!$B$7:$B$106="COMMODITY")*('02 MONITOR'!$P$7:$P$106=15)*(ROW('02 MONITOR'!$B$7:$B$106)-6))),"")</f>
        <v/>
      </c>
      <c r="F104" s="40">
        <f>IFERROR(INDEX('02 MONITOR'!$D$7:$D$106,SUMPRODUCT(('02 MONITOR'!$B$7:$B$106="COMMODITY")*('02 MONITOR'!$P$7:$P$106=15)*(ROW('02 MONITOR'!$B$7:$B$106)-6))),"")</f>
        <v/>
      </c>
      <c r="G104" s="29">
        <f>IFERROR(INDEX('02 MONITOR'!$M$7:$M$106,SUMPRODUCT(('02 MONITOR'!$B$7:$B$106="COMMODITY")*('02 MONITOR'!$P$7:$P$106=15)*(ROW('02 MONITOR'!$B$7:$B$106)-6))),"")</f>
        <v/>
      </c>
      <c r="H104" s="36" t="inlineStr">
        <is>
          <t>SHORT</t>
        </is>
      </c>
      <c r="I104" s="26">
        <f>IFERROR(IF(ABS($G104)&lt;SETTINGS_ZMIN,0,ABS($G104)),"")</f>
        <v/>
      </c>
      <c r="J104" s="47">
        <f>IFERROR($I104/SUMPRODUCT(($C$8:$C$107=$C104)*($H$8:$H$107=$H104)*$I$8:$I$107)*(SETTINGS_GROSS/2/5),"")</f>
        <v/>
      </c>
      <c r="K104" s="48">
        <f>IFERROR($J104*SETTINGS_CAP*IF($H104="SHORT",-1,1),"")</f>
        <v/>
      </c>
      <c r="L104" s="12" t="inlineStr">
        <is>
          <t>Front-contract price</t>
        </is>
      </c>
      <c r="M104" s="12" t="inlineStr">
        <is>
          <t>Front or second futures contract. Check the curve before you size — roll yield can exceed the move.</t>
        </is>
      </c>
    </row>
    <row r="105">
      <c r="B105" s="28" t="n">
        <v>98</v>
      </c>
      <c r="C105" s="52" t="inlineStr">
        <is>
          <t>COMMODITY</t>
        </is>
      </c>
      <c r="D105" s="28" t="n">
        <v>16</v>
      </c>
      <c r="E105" s="19">
        <f>IFERROR(INDEX('02 MONITOR'!$C$7:$C$106,SUMPRODUCT(('02 MONITOR'!$B$7:$B$106="COMMODITY")*('02 MONITOR'!$P$7:$P$106=16)*(ROW('02 MONITOR'!$B$7:$B$106)-6))),"")</f>
        <v/>
      </c>
      <c r="F105" s="40">
        <f>IFERROR(INDEX('02 MONITOR'!$D$7:$D$106,SUMPRODUCT(('02 MONITOR'!$B$7:$B$106="COMMODITY")*('02 MONITOR'!$P$7:$P$106=16)*(ROW('02 MONITOR'!$B$7:$B$106)-6))),"")</f>
        <v/>
      </c>
      <c r="G105" s="29">
        <f>IFERROR(INDEX('02 MONITOR'!$M$7:$M$106,SUMPRODUCT(('02 MONITOR'!$B$7:$B$106="COMMODITY")*('02 MONITOR'!$P$7:$P$106=16)*(ROW('02 MONITOR'!$B$7:$B$106)-6))),"")</f>
        <v/>
      </c>
      <c r="H105" s="36" t="inlineStr">
        <is>
          <t>SHORT</t>
        </is>
      </c>
      <c r="I105" s="26">
        <f>IFERROR(IF(ABS($G105)&lt;SETTINGS_ZMIN,0,ABS($G105)),"")</f>
        <v/>
      </c>
      <c r="J105" s="47">
        <f>IFERROR($I105/SUMPRODUCT(($C$8:$C$107=$C105)*($H$8:$H$107=$H105)*$I$8:$I$107)*(SETTINGS_GROSS/2/5),"")</f>
        <v/>
      </c>
      <c r="K105" s="48">
        <f>IFERROR($J105*SETTINGS_CAP*IF($H105="SHORT",-1,1),"")</f>
        <v/>
      </c>
      <c r="L105" s="12" t="inlineStr">
        <is>
          <t>Front-contract price</t>
        </is>
      </c>
      <c r="M105" s="12" t="inlineStr">
        <is>
          <t>Front or second futures contract. Check the curve before you size — roll yield can exceed the move.</t>
        </is>
      </c>
    </row>
    <row r="106">
      <c r="B106" s="28" t="n">
        <v>99</v>
      </c>
      <c r="C106" s="52" t="inlineStr">
        <is>
          <t>COMMODITY</t>
        </is>
      </c>
      <c r="D106" s="28" t="n">
        <v>17</v>
      </c>
      <c r="E106" s="19">
        <f>IFERROR(INDEX('02 MONITOR'!$C$7:$C$106,SUMPRODUCT(('02 MONITOR'!$B$7:$B$106="COMMODITY")*('02 MONITOR'!$P$7:$P$106=17)*(ROW('02 MONITOR'!$B$7:$B$106)-6))),"")</f>
        <v/>
      </c>
      <c r="F106" s="40">
        <f>IFERROR(INDEX('02 MONITOR'!$D$7:$D$106,SUMPRODUCT(('02 MONITOR'!$B$7:$B$106="COMMODITY")*('02 MONITOR'!$P$7:$P$106=17)*(ROW('02 MONITOR'!$B$7:$B$106)-6))),"")</f>
        <v/>
      </c>
      <c r="G106" s="29">
        <f>IFERROR(INDEX('02 MONITOR'!$M$7:$M$106,SUMPRODUCT(('02 MONITOR'!$B$7:$B$106="COMMODITY")*('02 MONITOR'!$P$7:$P$106=17)*(ROW('02 MONITOR'!$B$7:$B$106)-6))),"")</f>
        <v/>
      </c>
      <c r="H106" s="36" t="inlineStr">
        <is>
          <t>SHORT</t>
        </is>
      </c>
      <c r="I106" s="26">
        <f>IFERROR(IF(ABS($G106)&lt;SETTINGS_ZMIN,0,ABS($G106)),"")</f>
        <v/>
      </c>
      <c r="J106" s="47">
        <f>IFERROR($I106/SUMPRODUCT(($C$8:$C$107=$C106)*($H$8:$H$107=$H106)*$I$8:$I$107)*(SETTINGS_GROSS/2/5),"")</f>
        <v/>
      </c>
      <c r="K106" s="48">
        <f>IFERROR($J106*SETTINGS_CAP*IF($H106="SHORT",-1,1),"")</f>
        <v/>
      </c>
      <c r="L106" s="12" t="inlineStr">
        <is>
          <t>Front-contract price</t>
        </is>
      </c>
      <c r="M106" s="12" t="inlineStr">
        <is>
          <t>Front or second futures contract. Check the curve before you size — roll yield can exceed the move.</t>
        </is>
      </c>
    </row>
    <row r="107">
      <c r="B107" s="28" t="n">
        <v>100</v>
      </c>
      <c r="C107" s="52" t="inlineStr">
        <is>
          <t>COMMODITY</t>
        </is>
      </c>
      <c r="D107" s="28" t="n">
        <v>18</v>
      </c>
      <c r="E107" s="19">
        <f>IFERROR(INDEX('02 MONITOR'!$C$7:$C$106,SUMPRODUCT(('02 MONITOR'!$B$7:$B$106="COMMODITY")*('02 MONITOR'!$P$7:$P$106=18)*(ROW('02 MONITOR'!$B$7:$B$106)-6))),"")</f>
        <v/>
      </c>
      <c r="F107" s="40">
        <f>IFERROR(INDEX('02 MONITOR'!$D$7:$D$106,SUMPRODUCT(('02 MONITOR'!$B$7:$B$106="COMMODITY")*('02 MONITOR'!$P$7:$P$106=18)*(ROW('02 MONITOR'!$B$7:$B$106)-6))),"")</f>
        <v/>
      </c>
      <c r="G107" s="29">
        <f>IFERROR(INDEX('02 MONITOR'!$M$7:$M$106,SUMPRODUCT(('02 MONITOR'!$B$7:$B$106="COMMODITY")*('02 MONITOR'!$P$7:$P$106=18)*(ROW('02 MONITOR'!$B$7:$B$106)-6))),"")</f>
        <v/>
      </c>
      <c r="H107" s="36" t="inlineStr">
        <is>
          <t>SHORT</t>
        </is>
      </c>
      <c r="I107" s="26">
        <f>IFERROR(IF(ABS($G107)&lt;SETTINGS_ZMIN,0,ABS($G107)),"")</f>
        <v/>
      </c>
      <c r="J107" s="47">
        <f>IFERROR($I107/SUMPRODUCT(($C$8:$C$107=$C107)*($H$8:$H$107=$H107)*$I$8:$I$107)*(SETTINGS_GROSS/2/5),"")</f>
        <v/>
      </c>
      <c r="K107" s="48">
        <f>IFERROR($J107*SETTINGS_CAP*IF($H107="SHORT",-1,1),"")</f>
        <v/>
      </c>
      <c r="L107" s="12" t="inlineStr">
        <is>
          <t>Front-contract price</t>
        </is>
      </c>
      <c r="M107" s="12" t="inlineStr">
        <is>
          <t>Front or second futures contract. Check the curve before you size — roll yield can exceed the move.</t>
        </is>
      </c>
    </row>
    <row r="109" ht="18" customHeight="1">
      <c r="A109" s="3" t="inlineStr">
        <is>
          <t>DIAGNOSTICS — the checks that make it a book rather than a list</t>
        </is>
      </c>
    </row>
    <row r="110" ht="30" customHeight="1">
      <c r="A110" s="5" t="inlineStr"/>
      <c r="B110" s="5" t="inlineStr">
        <is>
          <t>Check</t>
        </is>
      </c>
      <c r="C110" s="5" t="inlineStr">
        <is>
          <t>Value</t>
        </is>
      </c>
      <c r="D110" s="5" t="inlineStr">
        <is>
          <t>Should be</t>
        </is>
      </c>
      <c r="E110" s="5" t="inlineStr"/>
      <c r="F110" s="5" t="inlineStr"/>
      <c r="G110" s="5" t="inlineStr"/>
      <c r="H110" s="5" t="inlineStr"/>
      <c r="I110" s="5" t="inlineStr"/>
      <c r="J110" s="5" t="inlineStr"/>
      <c r="K110" s="5" t="inlineStr"/>
      <c r="L110" s="5" t="inlineStr"/>
      <c r="M110" s="5" t="inlineStr"/>
    </row>
    <row r="111">
      <c r="B111" s="19" t="inlineStr">
        <is>
          <t>Gross exposure</t>
        </is>
      </c>
      <c r="C111" s="8" t="n"/>
      <c r="D111" s="8" t="n"/>
      <c r="E111" s="8" t="n"/>
      <c r="F111" s="9" t="n"/>
      <c r="G111" s="53">
        <f>IFERROR(SUMPRODUCT(ABS($K$8:$K$107)),"")</f>
        <v/>
      </c>
      <c r="H111" s="8" t="n"/>
      <c r="I111" s="9" t="n"/>
      <c r="J111" s="23" t="inlineStr">
        <is>
          <t>Capital x target gross</t>
        </is>
      </c>
      <c r="K111" s="8" t="n"/>
      <c r="L111" s="8" t="n"/>
      <c r="M111" s="9" t="n"/>
    </row>
    <row r="112">
      <c r="B112" s="19" t="inlineStr">
        <is>
          <t>Net exposure</t>
        </is>
      </c>
      <c r="C112" s="8" t="n"/>
      <c r="D112" s="8" t="n"/>
      <c r="E112" s="8" t="n"/>
      <c r="F112" s="9" t="n"/>
      <c r="G112" s="53">
        <f>IFERROR(SUM($K$8:$K$107),"")</f>
        <v/>
      </c>
      <c r="H112" s="8" t="n"/>
      <c r="I112" s="9" t="n"/>
      <c r="J112" s="23" t="inlineStr">
        <is>
          <t>Zero</t>
        </is>
      </c>
      <c r="K112" s="8" t="n"/>
      <c r="L112" s="8" t="n"/>
      <c r="M112" s="9" t="n"/>
    </row>
    <row r="113">
      <c r="B113" s="19" t="inlineStr">
        <is>
          <t>Long positions (non-zero)</t>
        </is>
      </c>
      <c r="C113" s="8" t="n"/>
      <c r="D113" s="8" t="n"/>
      <c r="E113" s="8" t="n"/>
      <c r="F113" s="9" t="n"/>
      <c r="G113" s="54">
        <f>IFERROR(COUNTIFS($H$8:$H$107,"LONG",$I$8:$I$107,"&gt;0"),"")</f>
        <v/>
      </c>
      <c r="H113" s="8" t="n"/>
      <c r="I113" s="9" t="n"/>
      <c r="J113" s="23" t="inlineStr">
        <is>
          <t>Up to 50</t>
        </is>
      </c>
      <c r="K113" s="8" t="n"/>
      <c r="L113" s="8" t="n"/>
      <c r="M113" s="9" t="n"/>
    </row>
    <row r="114">
      <c r="B114" s="19" t="inlineStr">
        <is>
          <t>Short positions (non-zero)</t>
        </is>
      </c>
      <c r="C114" s="8" t="n"/>
      <c r="D114" s="8" t="n"/>
      <c r="E114" s="8" t="n"/>
      <c r="F114" s="9" t="n"/>
      <c r="G114" s="54">
        <f>IFERROR(COUNTIFS($H$8:$H$107,"SHORT",$I$8:$I$107,"&gt;0"),"")</f>
        <v/>
      </c>
      <c r="H114" s="8" t="n"/>
      <c r="I114" s="9" t="n"/>
      <c r="J114" s="23" t="inlineStr">
        <is>
          <t>Up to 50</t>
        </is>
      </c>
      <c r="K114" s="8" t="n"/>
      <c r="L114" s="8" t="n"/>
      <c r="M114" s="9" t="n"/>
    </row>
    <row r="115">
      <c r="B115" s="19" t="inlineStr">
        <is>
          <t>Positions suppressed by the |z| floor</t>
        </is>
      </c>
      <c r="C115" s="8" t="n"/>
      <c r="D115" s="8" t="n"/>
      <c r="E115" s="8" t="n"/>
      <c r="F115" s="9" t="n"/>
      <c r="G115" s="54">
        <f>IFERROR(COUNTIF($I$8:$I$107,0),"")</f>
        <v/>
      </c>
      <c r="H115" s="8" t="n"/>
      <c r="I115" s="9" t="n"/>
      <c r="J115" s="23" t="inlineStr">
        <is>
          <t>Context</t>
        </is>
      </c>
      <c r="K115" s="8" t="n"/>
      <c r="L115" s="8" t="n"/>
      <c r="M115" s="9" t="n"/>
    </row>
    <row r="116">
      <c r="B116" s="19" t="inlineStr">
        <is>
          <t>Net equity exposure</t>
        </is>
      </c>
      <c r="C116" s="8" t="n"/>
      <c r="D116" s="8" t="n"/>
      <c r="E116" s="8" t="n"/>
      <c r="F116" s="9" t="n"/>
      <c r="G116" s="53">
        <f>IFERROR(SUMIF($C$8:$C$107,"EQUITY",$K$8:$K$107),"")</f>
        <v/>
      </c>
      <c r="H116" s="8" t="n"/>
      <c r="I116" s="9" t="n"/>
      <c r="J116" s="23" t="inlineStr">
        <is>
          <t>Zero</t>
        </is>
      </c>
      <c r="K116" s="8" t="n"/>
      <c r="L116" s="8" t="n"/>
      <c r="M116" s="9" t="n"/>
    </row>
    <row r="117">
      <c r="B117" s="19" t="inlineStr">
        <is>
          <t>Net rates exposure</t>
        </is>
      </c>
      <c r="C117" s="8" t="n"/>
      <c r="D117" s="8" t="n"/>
      <c r="E117" s="8" t="n"/>
      <c r="F117" s="9" t="n"/>
      <c r="G117" s="53">
        <f>IFERROR(SUMIF($C$8:$C$107,"RATES",$K$8:$K$107),"")</f>
        <v/>
      </c>
      <c r="H117" s="8" t="n"/>
      <c r="I117" s="9" t="n"/>
      <c r="J117" s="23" t="inlineStr">
        <is>
          <t>Zero</t>
        </is>
      </c>
      <c r="K117" s="8" t="n"/>
      <c r="L117" s="8" t="n"/>
      <c r="M117" s="9" t="n"/>
    </row>
    <row r="118">
      <c r="B118" s="19" t="inlineStr">
        <is>
          <t>Net FX exposure</t>
        </is>
      </c>
      <c r="C118" s="8" t="n"/>
      <c r="D118" s="8" t="n"/>
      <c r="E118" s="8" t="n"/>
      <c r="F118" s="9" t="n"/>
      <c r="G118" s="53">
        <f>IFERROR(SUMIF($C$8:$C$107,"FX",$K$8:$K$107),"")</f>
        <v/>
      </c>
      <c r="H118" s="8" t="n"/>
      <c r="I118" s="9" t="n"/>
      <c r="J118" s="23" t="inlineStr">
        <is>
          <t>Zero</t>
        </is>
      </c>
      <c r="K118" s="8" t="n"/>
      <c r="L118" s="8" t="n"/>
      <c r="M118" s="9" t="n"/>
    </row>
    <row r="119">
      <c r="B119" s="19" t="inlineStr">
        <is>
          <t>Net credit exposure</t>
        </is>
      </c>
      <c r="C119" s="8" t="n"/>
      <c r="D119" s="8" t="n"/>
      <c r="E119" s="8" t="n"/>
      <c r="F119" s="9" t="n"/>
      <c r="G119" s="53">
        <f>IFERROR(SUMIF($C$8:$C$107,"CREDIT",$K$8:$K$107),"")</f>
        <v/>
      </c>
      <c r="H119" s="8" t="n"/>
      <c r="I119" s="9" t="n"/>
      <c r="J119" s="23" t="inlineStr">
        <is>
          <t>Zero</t>
        </is>
      </c>
      <c r="K119" s="8" t="n"/>
      <c r="L119" s="8" t="n"/>
      <c r="M119" s="9" t="n"/>
    </row>
    <row r="120">
      <c r="B120" s="19" t="inlineStr">
        <is>
          <t>Net commodity exposure</t>
        </is>
      </c>
      <c r="C120" s="8" t="n"/>
      <c r="D120" s="8" t="n"/>
      <c r="E120" s="8" t="n"/>
      <c r="F120" s="9" t="n"/>
      <c r="G120" s="53">
        <f>IFERROR(SUMIF($C$8:$C$107,"COMMODITY",$K$8:$K$107),"")</f>
        <v/>
      </c>
      <c r="H120" s="8" t="n"/>
      <c r="I120" s="9" t="n"/>
      <c r="J120" s="23" t="inlineStr">
        <is>
          <t>Zero</t>
        </is>
      </c>
      <c r="K120" s="8" t="n"/>
      <c r="L120" s="8" t="n"/>
      <c r="M120" s="9" t="n"/>
    </row>
    <row r="121">
      <c r="B121" s="19" t="inlineStr">
        <is>
          <t>Average |value score| of the longs</t>
        </is>
      </c>
      <c r="C121" s="8" t="n"/>
      <c r="D121" s="8" t="n"/>
      <c r="E121" s="8" t="n"/>
      <c r="F121" s="9" t="n"/>
      <c r="G121" s="55">
        <f>IFERROR(SUMIF($H$8:$H$107,"LONG",$G$8:$G$107)/COUNTIF($H$8:$H$107,"LONG"),"")</f>
        <v/>
      </c>
      <c r="H121" s="8" t="n"/>
      <c r="I121" s="9" t="n"/>
      <c r="J121" s="23" t="inlineStr">
        <is>
          <t>Positive and &gt; 0.75</t>
        </is>
      </c>
      <c r="K121" s="8" t="n"/>
      <c r="L121" s="8" t="n"/>
      <c r="M121" s="9" t="n"/>
    </row>
    <row r="122">
      <c r="B122" s="19" t="inlineStr">
        <is>
          <t>Average |value score| of the shorts</t>
        </is>
      </c>
      <c r="C122" s="8" t="n"/>
      <c r="D122" s="8" t="n"/>
      <c r="E122" s="8" t="n"/>
      <c r="F122" s="9" t="n"/>
      <c r="G122" s="55">
        <f>IFERROR(SUMIF($H$8:$H$107,"SHORT",$G$8:$G$107)/COUNTIF($H$8:$H$107,"SHORT"),"")</f>
        <v/>
      </c>
      <c r="H122" s="8" t="n"/>
      <c r="I122" s="9" t="n"/>
      <c r="J122" s="23" t="inlineStr">
        <is>
          <t>Negative and &lt; -0.75</t>
        </is>
      </c>
      <c r="K122" s="8" t="n"/>
      <c r="L122" s="8" t="n"/>
      <c r="M122" s="9" t="n"/>
    </row>
    <row r="123">
      <c r="B123" s="19" t="inlineStr">
        <is>
          <t>Spread between the two (the edge)</t>
        </is>
      </c>
      <c r="C123" s="8" t="n"/>
      <c r="D123" s="8" t="n"/>
      <c r="E123" s="8" t="n"/>
      <c r="F123" s="9" t="n"/>
      <c r="G123" s="55">
        <f>IFERROR(SUMIF($H$8:$H$107,"LONG",$G$8:$G$107)/COUNTIF($H$8:$H$107,"LONG")-SUMIF($H$8:$H$107,"SHORT",$G$8:$G$107)/COUNTIF($H$8:$H$107,"SHORT"),"")</f>
        <v/>
      </c>
      <c r="H123" s="8" t="n"/>
      <c r="I123" s="9" t="n"/>
      <c r="J123" s="23" t="inlineStr">
        <is>
          <t>Bigger is better. Under 1.0 = thin screen</t>
        </is>
      </c>
      <c r="K123" s="8" t="n"/>
      <c r="L123" s="8" t="n"/>
      <c r="M123" s="9" t="n"/>
    </row>
    <row r="125">
      <c r="A125" s="17" t="inlineStr">
        <is>
          <t>What this book is NOT. It is class-neutral, not factor-neutral: the longs will tend to be high-carry, high-beta, recently-underperforming assets and the shorts the opposite, so you are implicitly long value and short momentum. It is not dollar-neutral — a cheap-FX basket is structurally short the dollar. And it takes no account of transaction costs, borrow, or whether a 3m NDF in the 97th-ranked currency can actually be dealt in size. Turning these weights into tickets needs the DV01 and notional mechanics in the companion workbook.</t>
        </is>
      </c>
    </row>
  </sheetData>
  <mergeCells count="45">
    <mergeCell ref="B113:F113"/>
    <mergeCell ref="J113:M113"/>
    <mergeCell ref="G112:I112"/>
    <mergeCell ref="J118:M118"/>
    <mergeCell ref="J114:M114"/>
    <mergeCell ref="A4:M4"/>
    <mergeCell ref="G118:I118"/>
    <mergeCell ref="J121:M121"/>
    <mergeCell ref="B121:F121"/>
    <mergeCell ref="A109:M109"/>
    <mergeCell ref="B115:F115"/>
    <mergeCell ref="J115:M115"/>
    <mergeCell ref="B122:F122"/>
    <mergeCell ref="A125:M125"/>
    <mergeCell ref="G121:I121"/>
    <mergeCell ref="B117:F117"/>
    <mergeCell ref="G123:I123"/>
    <mergeCell ref="B111:F111"/>
    <mergeCell ref="G114:I114"/>
    <mergeCell ref="B120:F120"/>
    <mergeCell ref="J120:M120"/>
    <mergeCell ref="J122:M122"/>
    <mergeCell ref="J111:M111"/>
    <mergeCell ref="G113:I113"/>
    <mergeCell ref="J116:M116"/>
    <mergeCell ref="J112:M112"/>
    <mergeCell ref="B119:F119"/>
    <mergeCell ref="G119:I119"/>
    <mergeCell ref="A1:M1"/>
    <mergeCell ref="B116:F116"/>
    <mergeCell ref="A6:M6"/>
    <mergeCell ref="B112:F112"/>
    <mergeCell ref="G111:I111"/>
    <mergeCell ref="J117:M117"/>
    <mergeCell ref="J123:M123"/>
    <mergeCell ref="B118:F118"/>
    <mergeCell ref="G115:I115"/>
    <mergeCell ref="G117:I117"/>
    <mergeCell ref="J119:M119"/>
    <mergeCell ref="G120:I120"/>
    <mergeCell ref="B114:F114"/>
    <mergeCell ref="B123:F123"/>
    <mergeCell ref="G122:I122"/>
    <mergeCell ref="A2:M2"/>
    <mergeCell ref="G116:I116"/>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007A33"/>
    <outlinePr summaryBelow="1" summaryRight="1"/>
    <pageSetUpPr fitToPage="1"/>
  </sheetPr>
  <dimension ref="A1:K18"/>
  <sheetViews>
    <sheetView showGridLines="0" workbookViewId="0">
      <selection activeCell="A1" sqref="A1"/>
    </sheetView>
  </sheetViews>
  <sheetFormatPr baseColWidth="8" defaultRowHeight="15"/>
  <cols>
    <col width="3" customWidth="1" min="1" max="1"/>
    <col width="5" customWidth="1" min="2" max="2"/>
    <col width="17" customWidth="1" min="3" max="3"/>
    <col width="27" customWidth="1" min="4" max="4"/>
    <col width="11" customWidth="1" min="5" max="5"/>
    <col width="27" customWidth="1" min="6" max="6"/>
    <col width="11" customWidth="1" min="7" max="7"/>
    <col width="10" customWidth="1" min="8" max="8"/>
    <col width="30" customWidth="1" min="9" max="9"/>
    <col width="34" customWidth="1" min="10" max="10"/>
    <col width="34" customWidth="1" min="11" max="11"/>
  </cols>
  <sheetData>
    <row r="1" ht="26" customHeight="1">
      <c r="A1" s="1" t="inlineStr">
        <is>
          <t>THE EIGHT TRADES — paired, within asset class, auto-populated</t>
        </is>
      </c>
    </row>
    <row r="2" ht="16" customHeight="1">
      <c r="A2" s="2" t="inlineStr">
        <is>
          <t>Long the cheapest against the richest in each bucket. The z-gap is the edge; everything below 1.5 is not worth the spread.</t>
        </is>
      </c>
    </row>
    <row r="4">
      <c r="A4" s="17" t="inlineStr">
        <is>
          <t>These populate from the monitor the moment you refresh. The pair is always inside one asset class, so each trade is a relative-value position rather than a directional one — the common factor cancels and what is left is the valuation gap. The structure and falsifier columns are written, not computed: they are the part a screen cannot do for you.</t>
        </is>
      </c>
    </row>
    <row r="6" ht="30" customHeight="1">
      <c r="A6" s="5" t="inlineStr"/>
      <c r="B6" s="5" t="inlineStr">
        <is>
          <t>#</t>
        </is>
      </c>
      <c r="C6" s="5" t="inlineStr">
        <is>
          <t>Class</t>
        </is>
      </c>
      <c r="D6" s="5" t="inlineStr">
        <is>
          <t>LONG (cheapest)</t>
        </is>
      </c>
      <c r="E6" s="5" t="inlineStr">
        <is>
          <t>Z</t>
        </is>
      </c>
      <c r="F6" s="5" t="inlineStr">
        <is>
          <t>SHORT (richest)</t>
        </is>
      </c>
      <c r="G6" s="5" t="inlineStr">
        <is>
          <t>Z</t>
        </is>
      </c>
      <c r="H6" s="5" t="inlineStr">
        <is>
          <t>Z-GAP</t>
        </is>
      </c>
      <c r="I6" s="5" t="inlineStr">
        <is>
          <t>Structure</t>
        </is>
      </c>
      <c r="J6" s="5" t="inlineStr">
        <is>
          <t>What this trade is really betting on</t>
        </is>
      </c>
      <c r="K6" s="5" t="inlineStr">
        <is>
          <t>What would falsify it / where it breaks</t>
        </is>
      </c>
    </row>
    <row r="7" ht="74" customHeight="1">
      <c r="B7" s="33" t="n">
        <v>1</v>
      </c>
      <c r="C7" s="18" t="inlineStr">
        <is>
          <t>EQUITY</t>
        </is>
      </c>
      <c r="D7" s="56">
        <f>IFERROR(INDEX('02 MONITOR'!$C$7:$C$106,SUMPRODUCT(('02 MONITOR'!$B$7:$B$106="EQUITY")*('02 MONITOR'!$P$7:$P$106=1)*(ROW('02 MONITOR'!$B$7:$B$106)-6))),"")</f>
        <v/>
      </c>
      <c r="E7" s="27">
        <f>IFERROR(INDEX('02 MONITOR'!$M$7:$M$106,SUMPRODUCT(('02 MONITOR'!$B$7:$B$106="EQUITY")*('02 MONITOR'!$P$7:$P$106=1)*(ROW('02 MONITOR'!$B$7:$B$106)-6))),"")</f>
        <v/>
      </c>
      <c r="F7" s="57">
        <f>IFERROR(INDEX('02 MONITOR'!$C$7:$C$106,SUMPRODUCT(('02 MONITOR'!$B$7:$B$106="EQUITY")*('02 MONITOR'!$P$7:$P$106=24)*(ROW('02 MONITOR'!$B$7:$B$106)-6))),"")</f>
        <v/>
      </c>
      <c r="G7" s="27">
        <f>IFERROR(INDEX('02 MONITOR'!$M$7:$M$106,SUMPRODUCT(('02 MONITOR'!$B$7:$B$106="EQUITY")*('02 MONITOR'!$P$7:$P$106=24)*(ROW('02 MONITOR'!$B$7:$B$106)-6))),"")</f>
        <v/>
      </c>
      <c r="H7" s="58">
        <f>IFERROR($E7-$G7,"")</f>
        <v/>
      </c>
      <c r="I7" s="7" t="inlineStr">
        <is>
          <t>Long the cheap index future against short the rich one, beta-weighted rather than dollar-weighted (use index betas to MSCI World, not 1:1 notional).</t>
        </is>
      </c>
      <c r="J7" s="12" t="inlineStr">
        <is>
          <t>That the forward-P/E gap between two equity markets is wider than the difference in their earnings trajectories justifies. A multiple spread, not an earnings call.</t>
        </is>
      </c>
      <c r="K7" s="12" t="inlineStr">
        <is>
          <t>Multiples are slow. This mean-reverts over years, not quarters, so it bleeds if you size it for a quarter. It also breaks when the cheap market is cheap for a reason the P/E cannot see — a currency regime, a governance discount, an index-eligibility question.</t>
        </is>
      </c>
    </row>
    <row r="8" ht="74" customHeight="1">
      <c r="B8" s="33" t="n">
        <v>2</v>
      </c>
      <c r="C8" s="35" t="inlineStr">
        <is>
          <t>RATES</t>
        </is>
      </c>
      <c r="D8" s="56">
        <f>IFERROR(INDEX('02 MONITOR'!$C$7:$C$106,SUMPRODUCT(('02 MONITOR'!$B$7:$B$106="RATES")*('02 MONITOR'!$P$7:$P$106=1)*(ROW('02 MONITOR'!$B$7:$B$106)-6))),"")</f>
        <v/>
      </c>
      <c r="E8" s="27">
        <f>IFERROR(INDEX('02 MONITOR'!$M$7:$M$106,SUMPRODUCT(('02 MONITOR'!$B$7:$B$106="RATES")*('02 MONITOR'!$P$7:$P$106=1)*(ROW('02 MONITOR'!$B$7:$B$106)-6))),"")</f>
        <v/>
      </c>
      <c r="F8" s="57">
        <f>IFERROR(INDEX('02 MONITOR'!$C$7:$C$106,SUMPRODUCT(('02 MONITOR'!$B$7:$B$106="RATES")*('02 MONITOR'!$P$7:$P$106=20)*(ROW('02 MONITOR'!$B$7:$B$106)-6))),"")</f>
        <v/>
      </c>
      <c r="G8" s="27">
        <f>IFERROR(INDEX('02 MONITOR'!$M$7:$M$106,SUMPRODUCT(('02 MONITOR'!$B$7:$B$106="RATES")*('02 MONITOR'!$P$7:$P$106=20)*(ROW('02 MONITOR'!$B$7:$B$106)-6))),"")</f>
        <v/>
      </c>
      <c r="H8" s="58">
        <f>IFERROR($E8-$G8,"")</f>
        <v/>
      </c>
      <c r="I8" s="7" t="inlineStr">
        <is>
          <t>Receive 10y in the cheap market, pay 10y in the rich one, DV01-matched. Decide explicitly whether you want the FX hedged — unhedged turns a rates trade into a rates-plus-FX trade.</t>
        </is>
      </c>
      <c r="J8" s="12" t="inlineStr">
        <is>
          <t>That the yield gap over-compensates for the difference in inflation and policy paths. This is the trade your Mexico-versus-US-swaps position was, done more carefully.</t>
        </is>
      </c>
      <c r="K8" s="12" t="inlineStr">
        <is>
          <t>The two legs must share the factor you think you are hedging. A DM-versus-EM 10y pair is NOT hedged against global duration, because the EM leg carries a risk premium the DM leg does not. Check the legs actually co-move before trusting the DV01 match.</t>
        </is>
      </c>
    </row>
    <row r="9" ht="74" customHeight="1">
      <c r="B9" s="33" t="n">
        <v>3</v>
      </c>
      <c r="C9" s="37" t="inlineStr">
        <is>
          <t>FX</t>
        </is>
      </c>
      <c r="D9" s="56">
        <f>IFERROR(INDEX('02 MONITOR'!$C$7:$C$106,SUMPRODUCT(('02 MONITOR'!$B$7:$B$106="FX")*('02 MONITOR'!$P$7:$P$106=1)*(ROW('02 MONITOR'!$B$7:$B$106)-6))),"")</f>
        <v/>
      </c>
      <c r="E9" s="27">
        <f>IFERROR(INDEX('02 MONITOR'!$M$7:$M$106,SUMPRODUCT(('02 MONITOR'!$B$7:$B$106="FX")*('02 MONITOR'!$P$7:$P$106=1)*(ROW('02 MONITOR'!$B$7:$B$106)-6))),"")</f>
        <v/>
      </c>
      <c r="F9" s="57">
        <f>IFERROR(INDEX('02 MONITOR'!$C$7:$C$106,SUMPRODUCT(('02 MONITOR'!$B$7:$B$106="FX")*('02 MONITOR'!$P$7:$P$106=26)*(ROW('02 MONITOR'!$B$7:$B$106)-6))),"")</f>
        <v/>
      </c>
      <c r="G9" s="27">
        <f>IFERROR(INDEX('02 MONITOR'!$M$7:$M$106,SUMPRODUCT(('02 MONITOR'!$B$7:$B$106="FX")*('02 MONITOR'!$P$7:$P$106=26)*(ROW('02 MONITOR'!$B$7:$B$106)-6))),"")</f>
        <v/>
      </c>
      <c r="H9" s="58">
        <f>IFERROR($E9-$G9,"")</f>
        <v/>
      </c>
      <c r="I9" s="7" t="inlineStr">
        <is>
          <t>Long the cheap currency against the rich one in 3m NDFs or forwards — a cross, not two separate dollar trades. Equal dollar notional each side.</t>
        </is>
      </c>
      <c r="J9" s="12" t="inlineStr">
        <is>
          <t>That the real exchange rate gap is wider than the fundamentals warrant. Crossing them strips the dollar, which is the dominant factor in any EM FX book.</t>
        </is>
      </c>
      <c r="K9" s="12" t="inlineStr">
        <is>
          <t>Spot z-scores are a weak value measure — there is no anchor. If you have REER tickers, put them in column T of the monitor and switch tab 01 to REER; the trade changes and it gets better. Also: carry is not in this signal at all, and in FX carry frequently dominates value over a quarter.</t>
        </is>
      </c>
    </row>
    <row r="10" ht="74" customHeight="1">
      <c r="B10" s="33" t="n">
        <v>4</v>
      </c>
      <c r="C10" s="38" t="inlineStr">
        <is>
          <t>CREDIT</t>
        </is>
      </c>
      <c r="D10" s="56">
        <f>IFERROR(INDEX('02 MONITOR'!$C$7:$C$106,SUMPRODUCT(('02 MONITOR'!$B$7:$B$106="CREDIT")*('02 MONITOR'!$P$7:$P$106=1)*(ROW('02 MONITOR'!$B$7:$B$106)-6))),"")</f>
        <v/>
      </c>
      <c r="E10" s="27">
        <f>IFERROR(INDEX('02 MONITOR'!$M$7:$M$106,SUMPRODUCT(('02 MONITOR'!$B$7:$B$106="CREDIT")*('02 MONITOR'!$P$7:$P$106=1)*(ROW('02 MONITOR'!$B$7:$B$106)-6))),"")</f>
        <v/>
      </c>
      <c r="F10" s="57">
        <f>IFERROR(INDEX('02 MONITOR'!$C$7:$C$106,SUMPRODUCT(('02 MONITOR'!$B$7:$B$106="CREDIT")*('02 MONITOR'!$P$7:$P$106=12)*(ROW('02 MONITOR'!$B$7:$B$106)-6))),"")</f>
        <v/>
      </c>
      <c r="G10" s="27">
        <f>IFERROR(INDEX('02 MONITOR'!$M$7:$M$106,SUMPRODUCT(('02 MONITOR'!$B$7:$B$106="CREDIT")*('02 MONITOR'!$P$7:$P$106=12)*(ROW('02 MONITOR'!$B$7:$B$106)-6))),"")</f>
        <v/>
      </c>
      <c r="H10" s="58">
        <f>IFERROR($E10-$G10,"")</f>
        <v/>
      </c>
      <c r="I10" s="7" t="inlineStr">
        <is>
          <t>Long the wide spread against short the tight one, SPREAD-DV01 matched. Index CDS where both legs have one; cash bonds DV01-matched where they do not.</t>
        </is>
      </c>
      <c r="J10" s="12" t="inlineStr">
        <is>
          <t>That the spread differential over-prices the difference in default risk. Pure compression, with the rates leg and most of the beta hedged out.</t>
        </is>
      </c>
      <c r="K10" s="12" t="inlineStr">
        <is>
          <t>Spread z-scores are the most regime-dependent measure in this workbook: the composition of a credit index drifts as issuers are upgraded and added, so a 10-year z-score is partly comparing two different portfolios. Also check the liquidity of the short leg before you need it.</t>
        </is>
      </c>
    </row>
    <row r="11" ht="74" customHeight="1">
      <c r="B11" s="33" t="n">
        <v>5</v>
      </c>
      <c r="C11" s="39" t="inlineStr">
        <is>
          <t>COMMODITY</t>
        </is>
      </c>
      <c r="D11" s="56">
        <f>IFERROR(INDEX('02 MONITOR'!$C$7:$C$106,SUMPRODUCT(('02 MONITOR'!$B$7:$B$106="COMMODITY")*('02 MONITOR'!$P$7:$P$106=1)*(ROW('02 MONITOR'!$B$7:$B$106)-6))),"")</f>
        <v/>
      </c>
      <c r="E11" s="27">
        <f>IFERROR(INDEX('02 MONITOR'!$M$7:$M$106,SUMPRODUCT(('02 MONITOR'!$B$7:$B$106="COMMODITY")*('02 MONITOR'!$P$7:$P$106=1)*(ROW('02 MONITOR'!$B$7:$B$106)-6))),"")</f>
        <v/>
      </c>
      <c r="F11" s="57">
        <f>IFERROR(INDEX('02 MONITOR'!$C$7:$C$106,SUMPRODUCT(('02 MONITOR'!$B$7:$B$106="COMMODITY")*('02 MONITOR'!$P$7:$P$106=18)*(ROW('02 MONITOR'!$B$7:$B$106)-6))),"")</f>
        <v/>
      </c>
      <c r="G11" s="27">
        <f>IFERROR(INDEX('02 MONITOR'!$M$7:$M$106,SUMPRODUCT(('02 MONITOR'!$B$7:$B$106="COMMODITY")*('02 MONITOR'!$P$7:$P$106=18)*(ROW('02 MONITOR'!$B$7:$B$106)-6))),"")</f>
        <v/>
      </c>
      <c r="H11" s="58">
        <f>IFERROR($E11-$G11,"")</f>
        <v/>
      </c>
      <c r="I11" s="7" t="inlineStr">
        <is>
          <t>Long the cheap front contract against short the rich one, vol-equalised rather than lot-equalised — a Brent lot and a corn lot are not the same risk.</t>
        </is>
      </c>
      <c r="J11" s="12" t="inlineStr">
        <is>
          <t>That the real price gap between two commodities has overshot relative to their supply-demand positions.</t>
        </is>
      </c>
      <c r="K11" s="12" t="inlineStr">
        <is>
          <t>Price level is the weakest value signal in commodities. The curve matters more: a cheap commodity in steep contango will bleed roll yield faster than the price gap closes. Check the 1st-to-12th spread on both legs before you do anything.</t>
        </is>
      </c>
    </row>
    <row r="12" ht="74" customHeight="1">
      <c r="B12" s="33" t="n">
        <v>6</v>
      </c>
      <c r="C12" s="18" t="inlineStr">
        <is>
          <t>EQUITY</t>
        </is>
      </c>
      <c r="D12" s="56">
        <f>IFERROR(INDEX('02 MONITOR'!$C$7:$C$106,SUMPRODUCT(('02 MONITOR'!$B$7:$B$106="EQUITY")*('02 MONITOR'!$P$7:$P$106=2)*(ROW('02 MONITOR'!$B$7:$B$106)-6))),"")</f>
        <v/>
      </c>
      <c r="E12" s="27">
        <f>IFERROR(INDEX('02 MONITOR'!$M$7:$M$106,SUMPRODUCT(('02 MONITOR'!$B$7:$B$106="EQUITY")*('02 MONITOR'!$P$7:$P$106=2)*(ROW('02 MONITOR'!$B$7:$B$106)-6))),"")</f>
        <v/>
      </c>
      <c r="F12" s="57">
        <f>IFERROR(INDEX('02 MONITOR'!$C$7:$C$106,SUMPRODUCT(('02 MONITOR'!$B$7:$B$106="EQUITY")*('02 MONITOR'!$P$7:$P$106=23)*(ROW('02 MONITOR'!$B$7:$B$106)-6))),"")</f>
        <v/>
      </c>
      <c r="G12" s="27">
        <f>IFERROR(INDEX('02 MONITOR'!$M$7:$M$106,SUMPRODUCT(('02 MONITOR'!$B$7:$B$106="EQUITY")*('02 MONITOR'!$P$7:$P$106=23)*(ROW('02 MONITOR'!$B$7:$B$106)-6))),"")</f>
        <v/>
      </c>
      <c r="H12" s="58">
        <f>IFERROR($E12-$G12,"")</f>
        <v/>
      </c>
      <c r="I12" s="7" t="inlineStr">
        <is>
          <t>Second-ranked pair. Same structure, smaller size.</t>
        </is>
      </c>
      <c r="J12" s="12" t="inlineStr">
        <is>
          <t>Diversifies the single-pair risk inside the equity bucket.</t>
        </is>
      </c>
      <c r="K12" s="12" t="inlineStr">
        <is>
          <t>Same caveats as trade 1, with a smaller edge — the z-gap will be narrower, so demand more of it before paying the spread.</t>
        </is>
      </c>
    </row>
    <row r="13" ht="74" customHeight="1">
      <c r="B13" s="33" t="n">
        <v>7</v>
      </c>
      <c r="C13" s="37" t="inlineStr">
        <is>
          <t>FX</t>
        </is>
      </c>
      <c r="D13" s="56">
        <f>IFERROR(INDEX('02 MONITOR'!$C$7:$C$106,SUMPRODUCT(('02 MONITOR'!$B$7:$B$106="FX")*('02 MONITOR'!$P$7:$P$106=2)*(ROW('02 MONITOR'!$B$7:$B$106)-6))),"")</f>
        <v/>
      </c>
      <c r="E13" s="27">
        <f>IFERROR(INDEX('02 MONITOR'!$M$7:$M$106,SUMPRODUCT(('02 MONITOR'!$B$7:$B$106="FX")*('02 MONITOR'!$P$7:$P$106=2)*(ROW('02 MONITOR'!$B$7:$B$106)-6))),"")</f>
        <v/>
      </c>
      <c r="F13" s="57">
        <f>IFERROR(INDEX('02 MONITOR'!$C$7:$C$106,SUMPRODUCT(('02 MONITOR'!$B$7:$B$106="FX")*('02 MONITOR'!$P$7:$P$106=25)*(ROW('02 MONITOR'!$B$7:$B$106)-6))),"")</f>
        <v/>
      </c>
      <c r="G13" s="27">
        <f>IFERROR(INDEX('02 MONITOR'!$M$7:$M$106,SUMPRODUCT(('02 MONITOR'!$B$7:$B$106="FX")*('02 MONITOR'!$P$7:$P$106=25)*(ROW('02 MONITOR'!$B$7:$B$106)-6))),"")</f>
        <v/>
      </c>
      <c r="H13" s="58">
        <f>IFERROR($E13-$G13,"")</f>
        <v/>
      </c>
      <c r="I13" s="7" t="inlineStr">
        <is>
          <t>Second-ranked pair. Same structure, smaller size.</t>
        </is>
      </c>
      <c r="J13" s="12" t="inlineStr">
        <is>
          <t>Diversifies within the FX bucket, which is the largest and the one where single-pair concentration is most dangerous.</t>
        </is>
      </c>
      <c r="K13" s="12" t="inlineStr">
        <is>
          <t>Check these two are not the same trade as pair 1 in disguise — two LatAm currencies against two Asian ones is one trade, not two.</t>
        </is>
      </c>
    </row>
    <row r="14" ht="74" customHeight="1">
      <c r="B14" s="33" t="n">
        <v>8</v>
      </c>
      <c r="C14" s="35" t="inlineStr">
        <is>
          <t>RATES</t>
        </is>
      </c>
      <c r="D14" s="56">
        <f>IFERROR(INDEX('02 MONITOR'!$C$7:$C$106,SUMPRODUCT(('02 MONITOR'!$B$7:$B$106="RATES")*('02 MONITOR'!$P$7:$P$106=2)*(ROW('02 MONITOR'!$B$7:$B$106)-6))),"")</f>
        <v/>
      </c>
      <c r="E14" s="27">
        <f>IFERROR(INDEX('02 MONITOR'!$M$7:$M$106,SUMPRODUCT(('02 MONITOR'!$B$7:$B$106="RATES")*('02 MONITOR'!$P$7:$P$106=2)*(ROW('02 MONITOR'!$B$7:$B$106)-6))),"")</f>
        <v/>
      </c>
      <c r="F14" s="57">
        <f>IFERROR(INDEX('02 MONITOR'!$C$7:$C$106,SUMPRODUCT(('02 MONITOR'!$B$7:$B$106="RATES")*('02 MONITOR'!$P$7:$P$106=19)*(ROW('02 MONITOR'!$B$7:$B$106)-6))),"")</f>
        <v/>
      </c>
      <c r="G14" s="27">
        <f>IFERROR(INDEX('02 MONITOR'!$M$7:$M$106,SUMPRODUCT(('02 MONITOR'!$B$7:$B$106="RATES")*('02 MONITOR'!$P$7:$P$106=19)*(ROW('02 MONITOR'!$B$7:$B$106)-6))),"")</f>
        <v/>
      </c>
      <c r="H14" s="58">
        <f>IFERROR($E14-$G14,"")</f>
        <v/>
      </c>
      <c r="I14" s="7" t="inlineStr">
        <is>
          <t>Second-ranked pair. Same structure, smaller size.</t>
        </is>
      </c>
      <c r="J14" s="12" t="inlineStr">
        <is>
          <t>Diversifies the rates bucket.</t>
        </is>
      </c>
      <c r="K14" s="12" t="inlineStr">
        <is>
          <t>Same factor-sharing caveat. If both pairs are EM-versus-DM you have doubled one bet.</t>
        </is>
      </c>
    </row>
    <row r="16">
      <c r="A16" s="17" t="inlineStr">
        <is>
          <t>Read the Z-GAP column first. Under about 1.5 there is no trade — you are paying four crossings of bid-offer to harvest noise. Between 1.5 and 3 is the normal working range. Above 4, stop and ask what is broken: in my experience an enormous z-gap is a data problem, a regime change or an instrument that no longer trades, far more often than it is an opportunity.</t>
        </is>
      </c>
    </row>
    <row r="18" ht="56" customHeight="1">
      <c r="A18" s="4" t="inlineStr">
        <is>
          <t>The discipline that turns these into positions, in the order it should happen: confirm both tickers are live on the monitor; check the two legs genuinely share the factor you are netting out; price the carry and roll of holding the pair for your intended horizon; set the stop on the SPREAD, at the level where the valuation argument is dead rather than at a dollar loss; then size so that thesis stop sits inside your risk budget. If the stop and the budget disagree, the position is too big — not the stop too tight.</t>
        </is>
      </c>
    </row>
  </sheetData>
  <mergeCells count="5">
    <mergeCell ref="A18:K18"/>
    <mergeCell ref="A4:K4"/>
    <mergeCell ref="A2:K2"/>
    <mergeCell ref="A16:K16"/>
    <mergeCell ref="A1:K1"/>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7030A0"/>
    <outlinePr summaryBelow="1" summaryRight="1"/>
    <pageSetUpPr fitToPage="1"/>
  </sheetPr>
  <dimension ref="A1:I14"/>
  <sheetViews>
    <sheetView showGridLines="0" workbookViewId="0">
      <selection activeCell="A1" sqref="A1"/>
    </sheetView>
  </sheetViews>
  <sheetFormatPr baseColWidth="8" defaultRowHeight="15"/>
  <cols>
    <col width="3" customWidth="1" min="1" max="1"/>
    <col width="28" customWidth="1" min="2" max="2"/>
    <col width="22" customWidth="1" min="3" max="3"/>
    <col width="12" customWidth="1" min="4" max="4"/>
    <col width="12" customWidth="1" min="5" max="5"/>
    <col width="12" customWidth="1" min="6" max="6"/>
    <col width="11" customWidth="1" min="7" max="7"/>
    <col width="11" customWidth="1" min="8" max="8"/>
    <col width="52" customWidth="1" min="9" max="9"/>
  </cols>
  <sheetData>
    <row r="1" ht="26" customHeight="1">
      <c r="A1" s="1" t="inlineStr">
        <is>
          <t>RISK DASHBOARD — REGIME CONTEXT, NOT POSITIONS</t>
        </is>
      </c>
    </row>
    <row r="2" ht="16" customHeight="1">
      <c r="A2" s="2" t="inlineStr">
        <is>
          <t>These deliberately sit outside the 100-asset book. They tell you what regime the screen is running in.</t>
        </is>
      </c>
    </row>
    <row r="4">
      <c r="A4" s="17" t="inlineStr">
        <is>
          <t>A value screen is a bet on mean reversion, and mean reversion works in calm regimes and fails in stressed ones. Check these before you act on the rankings: if vol is at an extreme and the dollar is trending, the cheap things are cheap for a reason and the screen is early.</t>
        </is>
      </c>
    </row>
    <row r="6" ht="30" customHeight="1">
      <c r="A6" s="5" t="inlineStr"/>
      <c r="B6" s="5" t="inlineStr">
        <is>
          <t>Indicator</t>
        </is>
      </c>
      <c r="C6" s="5" t="inlineStr">
        <is>
          <t>Ticker</t>
        </is>
      </c>
      <c r="D6" s="5" t="inlineStr">
        <is>
          <t>Current</t>
        </is>
      </c>
      <c r="E6" s="5" t="inlineStr">
        <is>
          <t>Mean</t>
        </is>
      </c>
      <c r="F6" s="5" t="inlineStr">
        <is>
          <t>Std dev</t>
        </is>
      </c>
      <c r="G6" s="5" t="inlineStr">
        <is>
          <t>Z</t>
        </is>
      </c>
      <c r="H6" s="5" t="inlineStr">
        <is>
          <t>%ile</t>
        </is>
      </c>
      <c r="I6" s="5" t="inlineStr">
        <is>
          <t>What a high reading means</t>
        </is>
      </c>
    </row>
    <row r="7" ht="26" customHeight="1">
      <c r="B7" s="19" t="inlineStr">
        <is>
          <t>CBOE VIX</t>
        </is>
      </c>
      <c r="C7" s="20" t="inlineStr">
        <is>
          <t>VIX Index</t>
        </is>
      </c>
      <c r="D7" s="24">
        <f>IFERROR(BDP($C7,"PX_LAST"),"")</f>
        <v/>
      </c>
      <c r="E7" s="25">
        <f>IFERROR(AVERAGE(BDH($C7,"PX_LAST",SETTINGS_LOOK,"0D","Days="&amp;SETTINGS_FREQ,"Fill=P")),"")</f>
        <v/>
      </c>
      <c r="F7" s="26">
        <f>IFERROR(STDEV(BDH($C7,"PX_LAST",SETTINGS_LOOK,"0D","Days="&amp;SETTINGS_FREQ,"Fill=P")),"")</f>
        <v/>
      </c>
      <c r="G7" s="29">
        <f>IFERROR(($D7-$E7)/$F7,"")</f>
        <v/>
      </c>
      <c r="H7" s="30">
        <f>IFERROR(NORMSDIST($G7),"")</f>
        <v/>
      </c>
      <c r="I7" s="12" t="inlineStr">
        <is>
          <t>Equity stress. Above +1.5σ, every value screen is early.</t>
        </is>
      </c>
    </row>
    <row r="8" ht="26" customHeight="1">
      <c r="B8" s="19" t="inlineStr">
        <is>
          <t>Euro Stoxx V2X</t>
        </is>
      </c>
      <c r="C8" s="20" t="inlineStr">
        <is>
          <t>V2X Index</t>
        </is>
      </c>
      <c r="D8" s="24">
        <f>IFERROR(BDP($C8,"PX_LAST"),"")</f>
        <v/>
      </c>
      <c r="E8" s="25">
        <f>IFERROR(AVERAGE(BDH($C8,"PX_LAST",SETTINGS_LOOK,"0D","Days="&amp;SETTINGS_FREQ,"Fill=P")),"")</f>
        <v/>
      </c>
      <c r="F8" s="26">
        <f>IFERROR(STDEV(BDH($C8,"PX_LAST",SETTINGS_LOOK,"0D","Days="&amp;SETTINGS_FREQ,"Fill=P")),"")</f>
        <v/>
      </c>
      <c r="G8" s="29">
        <f>IFERROR(($D8-$E8)/$F8,"")</f>
        <v/>
      </c>
      <c r="H8" s="30">
        <f>IFERROR(NORMSDIST($G8),"")</f>
        <v/>
      </c>
      <c r="I8" s="12" t="inlineStr">
        <is>
          <t>European equity stress. Watch the VIX-V2X gap for where the stress actually is.</t>
        </is>
      </c>
    </row>
    <row r="9" ht="26" customHeight="1">
      <c r="B9" s="19" t="inlineStr">
        <is>
          <t>MOVE (rates vol)</t>
        </is>
      </c>
      <c r="C9" s="20" t="inlineStr">
        <is>
          <t>MOVE Index</t>
        </is>
      </c>
      <c r="D9" s="24">
        <f>IFERROR(BDP($C9,"PX_LAST"),"")</f>
        <v/>
      </c>
      <c r="E9" s="25">
        <f>IFERROR(AVERAGE(BDH($C9,"PX_LAST",SETTINGS_LOOK,"0D","Days="&amp;SETTINGS_FREQ,"Fill=P")),"")</f>
        <v/>
      </c>
      <c r="F9" s="26">
        <f>IFERROR(STDEV(BDH($C9,"PX_LAST",SETTINGS_LOOK,"0D","Days="&amp;SETTINGS_FREQ,"Fill=P")),"")</f>
        <v/>
      </c>
      <c r="G9" s="29">
        <f>IFERROR(($D9-$E9)/$F9,"")</f>
        <v/>
      </c>
      <c r="H9" s="30">
        <f>IFERROR(NORMSDIST($G9),"")</f>
        <v/>
      </c>
      <c r="I9" s="12" t="inlineStr">
        <is>
          <t>Rates volatility. The single best early warning for EM — it moves before spreads do.</t>
        </is>
      </c>
    </row>
    <row r="10" ht="26" customHeight="1">
      <c r="B10" s="19" t="inlineStr">
        <is>
          <t>CVIX (G7 FX vol)</t>
        </is>
      </c>
      <c r="C10" s="20" t="inlineStr">
        <is>
          <t>CVIX Index</t>
        </is>
      </c>
      <c r="D10" s="24">
        <f>IFERROR(BDP($C10,"PX_LAST"),"")</f>
        <v/>
      </c>
      <c r="E10" s="25">
        <f>IFERROR(AVERAGE(BDH($C10,"PX_LAST",SETTINGS_LOOK,"0D","Days="&amp;SETTINGS_FREQ,"Fill=P")),"")</f>
        <v/>
      </c>
      <c r="F10" s="26">
        <f>IFERROR(STDEV(BDH($C10,"PX_LAST",SETTINGS_LOOK,"0D","Days="&amp;SETTINGS_FREQ,"Fill=P")),"")</f>
        <v/>
      </c>
      <c r="G10" s="29">
        <f>IFERROR(($D10-$E10)/$F10,"")</f>
        <v/>
      </c>
      <c r="H10" s="30">
        <f>IFERROR(NORMSDIST($G10),"")</f>
        <v/>
      </c>
      <c r="I10" s="12" t="inlineStr">
        <is>
          <t>FX volatility. High readings break carry trades and therefore break the FX leg of this book.</t>
        </is>
      </c>
    </row>
    <row r="11" ht="26" customHeight="1">
      <c r="B11" s="19" t="inlineStr">
        <is>
          <t>OVX (oil vol)</t>
        </is>
      </c>
      <c r="C11" s="20" t="inlineStr">
        <is>
          <t>OVX Index</t>
        </is>
      </c>
      <c r="D11" s="24">
        <f>IFERROR(BDP($C11,"PX_LAST"),"")</f>
        <v/>
      </c>
      <c r="E11" s="25">
        <f>IFERROR(AVERAGE(BDH($C11,"PX_LAST",SETTINGS_LOOK,"0D","Days="&amp;SETTINGS_FREQ,"Fill=P")),"")</f>
        <v/>
      </c>
      <c r="F11" s="26">
        <f>IFERROR(STDEV(BDH($C11,"PX_LAST",SETTINGS_LOOK,"0D","Days="&amp;SETTINGS_FREQ,"Fill=P")),"")</f>
        <v/>
      </c>
      <c r="G11" s="29">
        <f>IFERROR(($D11-$E11)/$F11,"")</f>
        <v/>
      </c>
      <c r="H11" s="30">
        <f>IFERROR(NORMSDIST($G11),"")</f>
        <v/>
      </c>
      <c r="I11" s="12" t="inlineStr">
        <is>
          <t>Oil volatility. Transmits straight into COP, MXN and the oil-exporting credits.</t>
        </is>
      </c>
    </row>
    <row r="12" ht="26" customHeight="1">
      <c r="B12" s="19" t="inlineStr">
        <is>
          <t>CBOE SKEW</t>
        </is>
      </c>
      <c r="C12" s="20" t="inlineStr">
        <is>
          <t>SKEW Index</t>
        </is>
      </c>
      <c r="D12" s="24">
        <f>IFERROR(BDP($C12,"PX_LAST"),"")</f>
        <v/>
      </c>
      <c r="E12" s="25">
        <f>IFERROR(AVERAGE(BDH($C12,"PX_LAST",SETTINGS_LOOK,"0D","Days="&amp;SETTINGS_FREQ,"Fill=P")),"")</f>
        <v/>
      </c>
      <c r="F12" s="26">
        <f>IFERROR(STDEV(BDH($C12,"PX_LAST",SETTINGS_LOOK,"0D","Days="&amp;SETTINGS_FREQ,"Fill=P")),"")</f>
        <v/>
      </c>
      <c r="G12" s="29">
        <f>IFERROR(($D12-$E12)/$F12,"")</f>
        <v/>
      </c>
      <c r="H12" s="30">
        <f>IFERROR(NORMSDIST($G12),"")</f>
        <v/>
      </c>
      <c r="I12" s="12" t="inlineStr">
        <is>
          <t>The price of tail protection. High = the market is paying up for crash insurance.</t>
        </is>
      </c>
    </row>
    <row r="13" ht="26" customHeight="1">
      <c r="B13" s="19" t="inlineStr">
        <is>
          <t>Dollar index DXY</t>
        </is>
      </c>
      <c r="C13" s="20" t="inlineStr">
        <is>
          <t>DXY Curncy</t>
        </is>
      </c>
      <c r="D13" s="24">
        <f>IFERROR(BDP($C13,"PX_LAST"),"")</f>
        <v/>
      </c>
      <c r="E13" s="25">
        <f>IFERROR(AVERAGE(BDH($C13,"PX_LAST",SETTINGS_LOOK,"0D","Days="&amp;SETTINGS_FREQ,"Fill=P")),"")</f>
        <v/>
      </c>
      <c r="F13" s="26">
        <f>IFERROR(STDEV(BDH($C13,"PX_LAST",SETTINGS_LOOK,"0D","Days="&amp;SETTINGS_FREQ,"Fill=P")),"")</f>
        <v/>
      </c>
      <c r="G13" s="29">
        <f>IFERROR(($D13-$E13)/$F13,"")</f>
        <v/>
      </c>
      <c r="H13" s="30">
        <f>IFERROR(NORMSDIST($G13),"")</f>
        <v/>
      </c>
      <c r="I13" s="12" t="inlineStr">
        <is>
          <t>The dominant common factor in the whole book. A trending dollar overwhelms cross-sectional value in FX and EM.</t>
        </is>
      </c>
    </row>
    <row r="14" ht="26" customHeight="1">
      <c r="B14" s="19" t="inlineStr">
        <is>
          <t>Bloomberg Commodity</t>
        </is>
      </c>
      <c r="C14" s="20" t="inlineStr">
        <is>
          <t>BCOM Index</t>
        </is>
      </c>
      <c r="D14" s="24">
        <f>IFERROR(BDP($C14,"PX_LAST"),"")</f>
        <v/>
      </c>
      <c r="E14" s="25">
        <f>IFERROR(AVERAGE(BDH($C14,"PX_LAST",SETTINGS_LOOK,"0D","Days="&amp;SETTINGS_FREQ,"Fill=P")),"")</f>
        <v/>
      </c>
      <c r="F14" s="26">
        <f>IFERROR(STDEV(BDH($C14,"PX_LAST",SETTINGS_LOOK,"0D","Days="&amp;SETTINGS_FREQ,"Fill=P")),"")</f>
        <v/>
      </c>
      <c r="G14" s="29">
        <f>IFERROR(($D14-$E14)/$F14,"")</f>
        <v/>
      </c>
      <c r="H14" s="30">
        <f>IFERROR(NORMSDIST($G14),"")</f>
        <v/>
      </c>
      <c r="I14" s="12" t="inlineStr">
        <is>
          <t>Broad commodity level — the terms-of-trade channel into EM.</t>
        </is>
      </c>
    </row>
  </sheetData>
  <mergeCells count="3">
    <mergeCell ref="A1:I1"/>
    <mergeCell ref="A4:I4"/>
    <mergeCell ref="A2:I2"/>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7030A0"/>
    <outlinePr summaryBelow="1" summaryRight="1"/>
    <pageSetUpPr fitToPage="1"/>
  </sheetPr>
  <dimension ref="A1:J28"/>
  <sheetViews>
    <sheetView showGridLines="0" workbookViewId="0">
      <selection activeCell="A1" sqref="A1"/>
    </sheetView>
  </sheetViews>
  <sheetFormatPr baseColWidth="8" defaultRowHeight="15"/>
  <cols>
    <col width="3" customWidth="1" min="1" max="1"/>
    <col width="16" customWidth="1" min="2" max="2"/>
    <col width="22" customWidth="1" min="3" max="3"/>
    <col width="6" customWidth="1" min="4" max="4"/>
    <col width="46" customWidth="1" min="5" max="5"/>
    <col width="52" customWidth="1" min="6" max="6"/>
    <col width="14" customWidth="1" min="7" max="7"/>
    <col width="14" customWidth="1" min="8" max="8"/>
    <col width="14" customWidth="1" min="9" max="9"/>
    <col width="14" customWidth="1" min="10" max="10"/>
  </cols>
  <sheetData>
    <row r="1" ht="26" customHeight="1">
      <c r="A1" s="1" t="inlineStr">
        <is>
          <t>METHOD — WHY EACH ASSET CLASS GETS THE METRIC IT GETS</t>
        </is>
      </c>
    </row>
    <row r="2" ht="16" customHeight="1">
      <c r="A2" s="2" t="inlineStr">
        <is>
          <t>And the four places this screen will mislead you.</t>
        </is>
      </c>
    </row>
    <row r="4" ht="30" customHeight="1">
      <c r="A4" s="5" t="inlineStr"/>
      <c r="B4" s="5" t="inlineStr">
        <is>
          <t>Asset class</t>
        </is>
      </c>
      <c r="C4" s="5" t="inlineStr">
        <is>
          <t>Metric used</t>
        </is>
      </c>
      <c r="D4" s="5" t="inlineStr">
        <is>
          <t>Sign</t>
        </is>
      </c>
      <c r="E4" s="5" t="inlineStr">
        <is>
          <t>Why this metric and not another</t>
        </is>
      </c>
      <c r="F4" s="5" t="inlineStr">
        <is>
          <t>The known weakness</t>
        </is>
      </c>
      <c r="G4" s="5" t="inlineStr"/>
      <c r="H4" s="5" t="inlineStr"/>
      <c r="I4" s="5" t="inlineStr"/>
      <c r="J4" s="5" t="inlineStr"/>
    </row>
    <row r="5" ht="96" customHeight="1">
      <c r="B5" s="59" t="inlineStr">
        <is>
          <t>EQUITY</t>
        </is>
      </c>
      <c r="C5" s="7" t="inlineStr">
        <is>
          <t>12m forward P/E  (BEST_PE_RATIO)</t>
        </is>
      </c>
      <c r="D5" s="33" t="inlineStr">
        <is>
          <t>−1</t>
        </is>
      </c>
      <c r="E5" s="7" t="inlineStr">
        <is>
          <t>The standard cross-market value measure and the one with the cleanest Bloomberg coverage. Forward rather than trailing because trailing earnings embed a cycle you have already lived through. A market is cheap when it is trading below its own historical multiple, not below another market's.</t>
        </is>
      </c>
      <c r="F5" s="60" t="inlineStr">
        <is>
          <t>Multiples are not comparable across markets with different sector mixes — Nasdaq versus Ibovespa is partly a technology-versus-commodities comparison. Z-scoring against each index's OWN history fixes most of that, which is exactly why this workbook never compares raw levels. CAPE or price-to-book would be more robust and have worse coverage.</t>
        </is>
      </c>
      <c r="G5" s="8" t="n"/>
      <c r="H5" s="8" t="n"/>
      <c r="I5" s="8" t="n"/>
      <c r="J5" s="9" t="n"/>
    </row>
    <row r="6" ht="96" customHeight="1">
      <c r="B6" s="61" t="inlineStr">
        <is>
          <t>RATES</t>
        </is>
      </c>
      <c r="C6" s="7" t="inlineStr">
        <is>
          <t>10y nominal yield</t>
        </is>
      </c>
      <c r="D6" s="33" t="inlineStr">
        <is>
          <t>+1</t>
        </is>
      </c>
      <c r="E6" s="7" t="inlineStr">
        <is>
          <t>High yield means a cheap bond. Nominal yield is used rather than real because a consistent real-yield series across twenty markets needs twenty inflation-expectation series, and each one introduces its own measurement problem.</t>
        </is>
      </c>
      <c r="F6" s="60" t="inlineStr">
        <is>
          <t>This is the biggest compromise in the workbook. A 10y Turkish yield and a 10y Japanese yield are z-scored against their own histories, so the comparison is survivable — but nominal yields embed inflation regimes, and a market that has repriced its inflation target permanently will look permanently cheap. If you only upgrade one thing, replace this with the yield minus a 5y5y inflation swap.</t>
        </is>
      </c>
      <c r="G6" s="8" t="n"/>
      <c r="H6" s="8" t="n"/>
      <c r="I6" s="8" t="n"/>
      <c r="J6" s="9" t="n"/>
    </row>
    <row r="7" ht="96" customHeight="1">
      <c r="B7" s="62" t="inlineStr">
        <is>
          <t>FX</t>
        </is>
      </c>
      <c r="C7" s="7" t="inlineStr">
        <is>
          <t>Spot z-score, sign-corrected for the quote convention. REER override available.</t>
        </is>
      </c>
      <c r="D7" s="33" t="inlineStr">
        <is>
          <t>±1</t>
        </is>
      </c>
      <c r="E7" s="7" t="inlineStr">
        <is>
          <t>The quote convention is the trap and it is handled per currency in column F of the monitor: USDBRL rising means a WEAK real, so high = cheap (+1); EURUSD rising means a STRONG euro, so high = expensive (−1). Getting this backwards inverts half the FX book.</t>
        </is>
      </c>
      <c r="F7" s="60" t="inlineStr">
        <is>
          <t>Spot has no anchor. It is a mean-reversion signal dressed as a value signal, and over any horizon shorter than years it is dominated by carry. The real measure is the REER or a PPP deviation — put your shop's REER tickers in column T of the monitor and flip tab 01 to REER. That single change materially improves the FX leg.</t>
        </is>
      </c>
      <c r="G7" s="8" t="n"/>
      <c r="H7" s="8" t="n"/>
      <c r="I7" s="8" t="n"/>
      <c r="J7" s="9" t="n"/>
    </row>
    <row r="8" ht="96" customHeight="1">
      <c r="B8" s="63" t="inlineStr">
        <is>
          <t>CREDIT</t>
        </is>
      </c>
      <c r="C8" s="7" t="inlineStr">
        <is>
          <t>Option-adjusted spread, or CDS spread</t>
        </is>
      </c>
      <c r="D8" s="33" t="inlineStr">
        <is>
          <t>+1</t>
        </is>
      </c>
      <c r="E8" s="7" t="inlineStr">
        <is>
          <t>Spread is the carry and the compensation for default in one number, and it is the measure the market actually quotes and trades.</t>
        </is>
      </c>
      <c r="F8" s="60" t="inlineStr">
        <is>
          <t>Index composition drifts. As issuers are upgraded, downgraded or added, a 10-year z-score of an index spread compares two different portfolios. Credit also has the fattest tail in the workbook — a +3σ spread is far more often a solvency event than an opportunity. Treat CHEAP flags in credit with more suspicion than anywhere else.</t>
        </is>
      </c>
      <c r="G8" s="8" t="n"/>
      <c r="H8" s="8" t="n"/>
      <c r="I8" s="8" t="n"/>
      <c r="J8" s="9" t="n"/>
    </row>
    <row r="9" ht="96" customHeight="1">
      <c r="B9" s="64" t="inlineStr">
        <is>
          <t>COMMODITY</t>
        </is>
      </c>
      <c r="C9" s="7" t="inlineStr">
        <is>
          <t>Front-contract price</t>
        </is>
      </c>
      <c r="D9" s="33" t="inlineStr">
        <is>
          <t>−1</t>
        </is>
      </c>
      <c r="E9" s="7" t="inlineStr">
        <is>
          <t>Simple, universally available and comparable to its own history.</t>
        </is>
      </c>
      <c r="F9" s="60" t="inlineStr">
        <is>
          <t>The weakest metric here. Nominal price ignores inflation over a 10-year window, and more importantly it ignores the CURVE. A cheap commodity in steep contango loses more to roll than the price gap is likely to close. Before acting on any commodity row, check the 1st-to-12th contract spread — the companion mechanics workbook has the calculator.</t>
        </is>
      </c>
      <c r="G9" s="8" t="n"/>
      <c r="H9" s="8" t="n"/>
      <c r="I9" s="8" t="n"/>
      <c r="J9" s="9" t="n"/>
    </row>
    <row r="11" ht="18" customHeight="1">
      <c r="A11" s="3" t="inlineStr">
        <is>
          <t>THE FOUR WAYS THIS SCREEN WILL MISLEAD YOU</t>
        </is>
      </c>
    </row>
    <row r="12">
      <c r="B12" s="65" t="inlineStr">
        <is>
          <t>1 · A z-score is a statement about the past</t>
        </is>
      </c>
    </row>
    <row r="13" ht="50" customHeight="1">
      <c r="B13" s="7" t="inlineStr">
        <is>
          <t>Every number here assumes the mean of the last ten years is the right anchor. If a market has had a genuine structural break — an inflation target abandoned, capital controls imposed, an index eligibility change, a permanent shift in foreign ownership — then the mean has moved and the z-score is measuring the break, not an opportunity. This is the single most common way a value screen produces a confident wrong answer. The defence is not statistical: it is to know the market.</t>
        </is>
      </c>
    </row>
    <row r="15">
      <c r="B15" s="65" t="inlineStr">
        <is>
          <t>2 · Value and carry are different things, and carry usually wins over a quarter</t>
        </is>
      </c>
    </row>
    <row r="16" ht="50" customHeight="1">
      <c r="B16" s="7" t="inlineStr">
        <is>
          <t>Nothing in this workbook measures carry. An FX pair can be two standard deviations cheap on spot and still lose money for a year because you are short the high-yielder. Over a three-month horizon — the one you said you work on — carry frequently dominates value entirely. Treat this screen as the source of the view and price the carry separately before sizing.</t>
        </is>
      </c>
    </row>
    <row r="18">
      <c r="B18" s="65" t="inlineStr">
        <is>
          <t>3 · Cross-asset comparison is much weaker than within-asset comparison</t>
        </is>
      </c>
    </row>
    <row r="19" ht="50" customHeight="1">
      <c r="B19" s="7" t="inlineStr">
        <is>
          <t>Tab 04 is the one everyone looks at first and the one to trust least. The four distributions are not comparable: credit spreads are bounded below with a fat right tail, equity multiples mean-revert over years, FX spot has no anchor. The portfolio on tab 05 is deliberately built from the within-class rankings only, and that is not an oversight.</t>
        </is>
      </c>
    </row>
    <row r="21">
      <c r="B21" s="65" t="inlineStr">
        <is>
          <t>4 · Nothing here knows about liquidity, cost or crowding</t>
        </is>
      </c>
    </row>
    <row r="22" ht="50" customHeight="1">
      <c r="B22" s="7" t="inlineStr">
        <is>
          <t>The screen will happily tell you to be long the 97th-ranked currency in size. It does not know the 3m NDF is quoted two figures wide, that the short leg is hard to borrow, or that every other value-driven book in the world is in the same position with the same stop. A market-neutral book is neutral to the market and highly correlated to everyone else running the same signal — which is the failure mode that matters.</t>
        </is>
      </c>
    </row>
    <row r="24" ht="18" customHeight="1">
      <c r="A24" s="3" t="inlineStr">
        <is>
          <t>EXTENSIONS WORTH BUILDING NEXT</t>
        </is>
      </c>
    </row>
    <row r="25" ht="34" customHeight="1">
      <c r="B25" s="7" t="inlineStr">
        <is>
          <t>•  Add a CARRY column per asset class — FX forward-implied yield differential, rates 2s10s slope and roll, credit spread net of funding, commodity 1st-to-12th roll yield. Then build a second portfolio on carry and look at the correlation between the two books. That is the beginning of a real multi-factor process.</t>
        </is>
      </c>
    </row>
    <row r="26" ht="34" customHeight="1">
      <c r="B26" s="7" t="inlineStr">
        <is>
          <t>•  Add MOMENTUM properly — 12-month-minus-1-month total return, z-scored within class. Value and momentum are the classic pair precisely because they are negatively correlated, and a combined score is almost always better than either alone.</t>
        </is>
      </c>
    </row>
    <row r="27" ht="34" customHeight="1">
      <c r="B27" s="7" t="inlineStr">
        <is>
          <t>•  Replace FX spot with REER, and rates nominal yield with yield minus 5y5y inflation. Those two changes do more for the quality of this screen than anything else on this list.</t>
        </is>
      </c>
    </row>
    <row r="28" ht="34" customHeight="1">
      <c r="B28" s="7" t="inlineStr">
        <is>
          <t>•  Backtest it. Pull the history of every value score, form the portfolio monthly, and look at the information ratio net of a realistic transaction-cost assumption. If it does not survive costs it is not a strategy, and it is better to find that out here than in a meeting.</t>
        </is>
      </c>
    </row>
  </sheetData>
  <mergeCells count="21">
    <mergeCell ref="F6:J6"/>
    <mergeCell ref="B13:J13"/>
    <mergeCell ref="F7:J7"/>
    <mergeCell ref="B19:J19"/>
    <mergeCell ref="B28:J28"/>
    <mergeCell ref="F5:J5"/>
    <mergeCell ref="A24:J24"/>
    <mergeCell ref="F8:J8"/>
    <mergeCell ref="A11:J11"/>
    <mergeCell ref="B15:J15"/>
    <mergeCell ref="A1:J1"/>
    <mergeCell ref="B26:J26"/>
    <mergeCell ref="B16:J16"/>
    <mergeCell ref="F9:J9"/>
    <mergeCell ref="B25:J25"/>
    <mergeCell ref="B22:J22"/>
    <mergeCell ref="B18:J18"/>
    <mergeCell ref="B27:J27"/>
    <mergeCell ref="A2:J2"/>
    <mergeCell ref="B12:J12"/>
    <mergeCell ref="B21:J2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2026-10-10T15:28:48Z</dcterms:created>
  <dcterms:modified xmlns:dcterms="http://purl.org/dc/terms/" xmlns:xsi="http://www.w3.org/2001/XMLSchema-instance" xsi:type="dcterms:W3CDTF">2026-10-10T15:28:49Z</dcterms:modified>
</cp:coreProperties>
</file>