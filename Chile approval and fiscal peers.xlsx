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1 Kast weekly" sheetId="2" state="visible" r:id="rId2"/>
    <sheet xmlns:r="http://schemas.openxmlformats.org/officeDocument/2006/relationships" name="Ch2 Approval by president" sheetId="3" state="visible" r:id="rId3"/>
    <sheet xmlns:r="http://schemas.openxmlformats.org/officeDocument/2006/relationships" name="Ch3 Peer debt" sheetId="4" state="visible" r:id="rId4"/>
    <sheet xmlns:r="http://schemas.openxmlformats.org/officeDocument/2006/relationships" name="Ch4 Peer balances" sheetId="5" state="visible" r:id="rId5"/>
    <sheet xmlns:r="http://schemas.openxmlformats.org/officeDocument/2006/relationships" name="Ch5 Debt currency mix"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0"/>
  </numFmts>
  <fonts count="10">
    <font>
      <name val="Calibri"/>
      <family val="2"/>
      <color theme="1"/>
      <sz val="11"/>
      <scheme val="minor"/>
    </font>
    <font>
      <name val="Arial"/>
      <b val="1"/>
      <color rgb="00FFFFFF"/>
      <sz val="14"/>
    </font>
    <font>
      <name val="Arial"/>
      <i val="1"/>
      <color rgb="006B6B6B"/>
      <sz val="9"/>
    </font>
    <font>
      <name val="Arial"/>
      <b val="1"/>
      <color rgb="001A1A1A"/>
      <sz val="9"/>
    </font>
    <font>
      <name val="Arial"/>
      <color rgb="001A1A1A"/>
      <sz val="9"/>
    </font>
    <font>
      <name val="Arial"/>
      <b val="1"/>
      <color rgb="001F3B63"/>
      <sz val="11"/>
    </font>
    <font>
      <name val="Arial"/>
      <color rgb="000000FF"/>
      <sz val="9"/>
    </font>
    <font>
      <name val="Arial"/>
      <i val="1"/>
      <color rgb="006B6B6B"/>
      <sz val="8"/>
    </font>
    <font>
      <name val="Arial"/>
      <b val="1"/>
      <color rgb="000000FF"/>
      <sz val="9"/>
    </font>
    <font>
      <name val="Arial"/>
      <b val="1"/>
      <color rgb="001F3B63"/>
      <sz val="9"/>
    </font>
  </fonts>
  <fills count="4">
    <fill>
      <patternFill/>
    </fill>
    <fill>
      <patternFill patternType="gray125"/>
    </fill>
    <fill>
      <patternFill patternType="solid">
        <fgColor rgb="001F3B63"/>
      </patternFill>
    </fill>
    <fill>
      <patternFill patternType="solid">
        <fgColor rgb="00F2F4F7"/>
      </patternFill>
    </fill>
  </fills>
  <borders count="2">
    <border>
      <left/>
      <right/>
      <top/>
      <bottom/>
      <diagonal/>
    </border>
    <border>
      <bottom style="thin">
        <color rgb="001F3B63"/>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3" borderId="1" applyAlignment="1" pivotButton="0" quotePrefix="0" xfId="0">
      <alignment horizontal="center" vertical="center"/>
    </xf>
    <xf numFmtId="164" fontId="6" fillId="0" borderId="0" pivotButton="0" quotePrefix="0" xfId="0"/>
    <xf numFmtId="165" fontId="4" fillId="0" borderId="0" pivotButton="0" quotePrefix="0" xfId="0"/>
    <xf numFmtId="0" fontId="7" fillId="0" borderId="0" pivotButton="0" quotePrefix="0" xfId="0"/>
    <xf numFmtId="0" fontId="3" fillId="3" borderId="1" applyAlignment="1" pivotButton="0" quotePrefix="0" xfId="0">
      <alignment horizontal="center" vertical="center" wrapText="1"/>
    </xf>
    <xf numFmtId="1" fontId="3" fillId="0" borderId="0" pivotButton="0" quotePrefix="0" xfId="0"/>
    <xf numFmtId="165" fontId="6" fillId="0" borderId="0" pivotButton="0" quotePrefix="0" xfId="0"/>
    <xf numFmtId="164" fontId="8" fillId="0" borderId="0" pivotButton="0" quotePrefix="0" xfId="0"/>
    <xf numFmtId="164" fontId="9" fillId="0" borderId="0" pivotButton="0" quotePrefix="0" xfId="0"/>
    <xf numFmtId="164"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Kast: approval and disapproval (%)</a:t>
            </a:r>
          </a:p>
        </rich>
      </tx>
    </title>
    <plotArea>
      <lineChart>
        <grouping val="standard"/>
        <ser>
          <idx val="0"/>
          <order val="0"/>
          <tx>
            <strRef>
              <f>'Ch1 Kast weekly'!C6</f>
            </strRef>
          </tx>
          <spPr>
            <a:ln xmlns:a="http://schemas.openxmlformats.org/drawingml/2006/main" w="30000">
              <a:solidFill>
                <a:srgbClr val="1F5FA9"/>
              </a:solidFill>
              <a:prstDash val="solid"/>
            </a:ln>
          </spPr>
          <marker>
            <symbol val="none"/>
            <spPr>
              <a:ln xmlns:a="http://schemas.openxmlformats.org/drawingml/2006/main">
                <a:prstDash val="solid"/>
              </a:ln>
            </spPr>
          </marker>
          <cat>
            <numRef>
              <f>'Ch1 Kast weekly'!$B$7:$B$29</f>
            </numRef>
          </cat>
          <val>
            <numRef>
              <f>'Ch1 Kast weekly'!$C$7:$C$29</f>
            </numRef>
          </val>
          <smooth val="0"/>
        </ser>
        <ser>
          <idx val="1"/>
          <order val="1"/>
          <tx>
            <strRef>
              <f>'Ch1 Kast weekly'!D6</f>
            </strRef>
          </tx>
          <spPr>
            <a:ln xmlns:a="http://schemas.openxmlformats.org/drawingml/2006/main" w="30000">
              <a:solidFill>
                <a:srgbClr val="D1495B"/>
              </a:solidFill>
              <a:prstDash val="solid"/>
            </a:ln>
          </spPr>
          <marker>
            <symbol val="none"/>
            <spPr>
              <a:ln xmlns:a="http://schemas.openxmlformats.org/drawingml/2006/main">
                <a:prstDash val="solid"/>
              </a:ln>
            </spPr>
          </marker>
          <cat>
            <numRef>
              <f>'Ch1 Kast weekly'!$B$7:$B$29</f>
            </numRef>
          </cat>
          <val>
            <numRef>
              <f>'Ch1 Kast weekly'!$D$7:$D$29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Net approval by presidency (approve minus disapprove, pp)</a:t>
            </a:r>
          </a:p>
        </rich>
      </tx>
    </title>
    <plotArea>
      <lineChart>
        <grouping val="standard"/>
        <ser>
          <idx val="0"/>
          <order val="0"/>
          <tx>
            <strRef>
              <f>'Ch2 Approval by president'!C6</f>
            </strRef>
          </tx>
          <spPr>
            <a:ln xmlns:a="http://schemas.openxmlformats.org/drawingml/2006/main" w="24000">
              <a:solidFill>
                <a:srgbClr val="8AA0B8"/>
              </a:solidFill>
              <a:prstDash val="solid"/>
            </a:ln>
          </spPr>
          <marker>
            <symbol val="none"/>
            <spPr>
              <a:ln xmlns:a="http://schemas.openxmlformats.org/drawingml/2006/main">
                <a:prstDash val="solid"/>
              </a:ln>
            </spPr>
          </marker>
          <cat>
            <numRef>
              <f>'Ch2 Approval by president'!$B$7:$B$46</f>
            </numRef>
          </cat>
          <val>
            <numRef>
              <f>'Ch2 Approval by president'!$C$7:$C$46</f>
            </numRef>
          </val>
          <smooth val="0"/>
        </ser>
        <ser>
          <idx val="1"/>
          <order val="1"/>
          <tx>
            <strRef>
              <f>'Ch2 Approval by president'!D6</f>
            </strRef>
          </tx>
          <spPr>
            <a:ln xmlns:a="http://schemas.openxmlformats.org/drawingml/2006/main" w="24000">
              <a:solidFill>
                <a:srgbClr val="3E8E8C"/>
              </a:solidFill>
              <a:prstDash val="solid"/>
            </a:ln>
          </spPr>
          <marker>
            <symbol val="none"/>
            <spPr>
              <a:ln xmlns:a="http://schemas.openxmlformats.org/drawingml/2006/main">
                <a:prstDash val="solid"/>
              </a:ln>
            </spPr>
          </marker>
          <cat>
            <numRef>
              <f>'Ch2 Approval by president'!$B$7:$B$46</f>
            </numRef>
          </cat>
          <val>
            <numRef>
              <f>'Ch2 Approval by president'!$D$7:$D$46</f>
            </numRef>
          </val>
          <smooth val="0"/>
        </ser>
        <ser>
          <idx val="2"/>
          <order val="2"/>
          <tx>
            <strRef>
              <f>'Ch2 Approval by president'!E6</f>
            </strRef>
          </tx>
          <spPr>
            <a:ln xmlns:a="http://schemas.openxmlformats.org/drawingml/2006/main" w="24000">
              <a:solidFill>
                <a:srgbClr val="E8A33D"/>
              </a:solidFill>
              <a:prstDash val="solid"/>
            </a:ln>
          </spPr>
          <marker>
            <symbol val="none"/>
            <spPr>
              <a:ln xmlns:a="http://schemas.openxmlformats.org/drawingml/2006/main">
                <a:prstDash val="solid"/>
              </a:ln>
            </spPr>
          </marker>
          <cat>
            <numRef>
              <f>'Ch2 Approval by president'!$B$7:$B$46</f>
            </numRef>
          </cat>
          <val>
            <numRef>
              <f>'Ch2 Approval by president'!$E$7:$E$46</f>
            </numRef>
          </val>
          <smooth val="0"/>
        </ser>
        <ser>
          <idx val="3"/>
          <order val="3"/>
          <tx>
            <strRef>
              <f>'Ch2 Approval by president'!F6</f>
            </strRef>
          </tx>
          <spPr>
            <a:ln xmlns:a="http://schemas.openxmlformats.org/drawingml/2006/main" w="32000">
              <a:solidFill>
                <a:srgbClr val="D1495B"/>
              </a:solidFill>
              <a:prstDash val="solid"/>
            </a:ln>
          </spPr>
          <marker>
            <symbol val="none"/>
            <spPr>
              <a:ln xmlns:a="http://schemas.openxmlformats.org/drawingml/2006/main">
                <a:prstDash val="solid"/>
              </a:ln>
            </spPr>
          </marker>
          <cat>
            <numRef>
              <f>'Ch2 Approval by president'!$B$7:$B$46</f>
            </numRef>
          </cat>
          <val>
            <numRef>
              <f>'Ch2 Approval by president'!$F$7:$F$46</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0;0" sourceLinked="0"/>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Central government gross debt, Dec-2025 (% of GDP)</a:t>
            </a:r>
          </a:p>
        </rich>
      </tx>
    </title>
    <plotArea>
      <barChart>
        <barDir val="col"/>
        <grouping val="clustered"/>
        <ser>
          <idx val="0"/>
          <order val="0"/>
          <tx>
            <v>Gross debt</v>
          </tx>
          <spPr>
            <a:solidFill xmlns:a="http://schemas.openxmlformats.org/drawingml/2006/main">
              <a:srgbClr val="8AA0B8"/>
            </a:solidFill>
            <a:ln xmlns:a="http://schemas.openxmlformats.org/drawingml/2006/main">
              <a:noFill/>
              <a:prstDash val="solid"/>
            </a:ln>
          </spPr>
          <cat>
            <numRef>
              <f>'Ch3 Peer debt'!$B$7:$B$22</f>
            </numRef>
          </cat>
          <val>
            <numRef>
              <f>'Ch3 Peer debt'!$C$7:$C$22</f>
            </numRef>
          </val>
        </ser>
        <gapWidth val="45"/>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Overall vs primary balance, 2025 (% of GDP)</a:t>
            </a:r>
          </a:p>
        </rich>
      </tx>
    </title>
    <plotArea>
      <barChart>
        <barDir val="col"/>
        <grouping val="clustered"/>
        <ser>
          <idx val="0"/>
          <order val="0"/>
          <tx>
            <strRef>
              <f>'Ch4 Peer balances'!D6</f>
            </strRef>
          </tx>
          <spPr>
            <a:solidFill xmlns:a="http://schemas.openxmlformats.org/drawingml/2006/main">
              <a:srgbClr val="2F5C8F"/>
            </a:solidFill>
            <a:ln xmlns:a="http://schemas.openxmlformats.org/drawingml/2006/main">
              <a:noFill/>
              <a:prstDash val="solid"/>
            </a:ln>
          </spPr>
          <cat>
            <numRef>
              <f>'Ch4 Peer balances'!$B$7:$B$22</f>
            </numRef>
          </cat>
          <val>
            <numRef>
              <f>'Ch4 Peer balances'!$D$7:$D$22</f>
            </numRef>
          </val>
        </ser>
        <ser>
          <idx val="1"/>
          <order val="1"/>
          <tx>
            <strRef>
              <f>'Ch4 Peer balances'!C6</f>
            </strRef>
          </tx>
          <spPr>
            <a:solidFill xmlns:a="http://schemas.openxmlformats.org/drawingml/2006/main">
              <a:srgbClr val="E8A33D"/>
            </a:solidFill>
            <a:ln xmlns:a="http://schemas.openxmlformats.org/drawingml/2006/main">
              <a:noFill/>
              <a:prstDash val="solid"/>
            </a:ln>
          </spPr>
          <cat>
            <numRef>
              <f>'Ch4 Peer balances'!$B$7:$B$22</f>
            </numRef>
          </cat>
          <val>
            <numRef>
              <f>'Ch4 Peer balances'!$C$7:$C$22</f>
            </numRef>
          </val>
        </ser>
        <gapWidth val="45"/>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Implied interest bill, 2025 (% of GDP)</a:t>
            </a:r>
          </a:p>
        </rich>
      </tx>
    </title>
    <plotArea>
      <barChart>
        <barDir val="col"/>
        <grouping val="clustered"/>
        <ser>
          <idx val="0"/>
          <order val="0"/>
          <tx>
            <strRef>
              <f>'Ch4 Peer balances'!E6</f>
            </strRef>
          </tx>
          <spPr>
            <a:solidFill xmlns:a="http://schemas.openxmlformats.org/drawingml/2006/main">
              <a:srgbClr val="D1495B"/>
            </a:solidFill>
            <a:ln xmlns:a="http://schemas.openxmlformats.org/drawingml/2006/main">
              <a:noFill/>
              <a:prstDash val="solid"/>
            </a:ln>
          </spPr>
          <cat>
            <numRef>
              <f>'Ch4 Peer balances'!$B$7:$B$22</f>
            </numRef>
          </cat>
          <val>
            <numRef>
              <f>'Ch4 Peer balances'!$E$7:$E$22</f>
            </numRef>
          </val>
        </ser>
        <gapWidth val="45"/>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Share of central government debt in local currency (%)</a:t>
            </a:r>
          </a:p>
        </rich>
      </tx>
    </title>
    <plotArea>
      <barChart>
        <barDir val="col"/>
        <grouping val="clustered"/>
        <ser>
          <idx val="0"/>
          <order val="0"/>
          <tx>
            <v>Local currency</v>
          </tx>
          <spPr>
            <a:solidFill xmlns:a="http://schemas.openxmlformats.org/drawingml/2006/main">
              <a:srgbClr val="3E8E8C"/>
            </a:solidFill>
            <a:ln xmlns:a="http://schemas.openxmlformats.org/drawingml/2006/main">
              <a:noFill/>
              <a:prstDash val="solid"/>
            </a:ln>
          </spPr>
          <cat>
            <numRef>
              <f>'Ch5 Debt currency mix'!$B$7:$B$17</f>
            </numRef>
          </cat>
          <val>
            <numRef>
              <f>'Ch5 Debt currency mix'!$C$7:$C$17</f>
            </numRef>
          </val>
        </ser>
        <gapWidth val="45"/>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_rels/drawing5.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6</col>
      <colOff>0</colOff>
      <row>4</row>
      <rowOff>0</rowOff>
    </from>
    <ext cx="1152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4</row>
      <rowOff>0</rowOff>
    </from>
    <ext cx="115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5</col>
      <colOff>0</colOff>
      <row>4</row>
      <rowOff>0</rowOff>
    </from>
    <ext cx="936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6</col>
      <colOff>0</colOff>
      <row>4</row>
      <rowOff>0</rowOff>
    </from>
    <ext cx="936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33</row>
      <rowOff>0</rowOff>
    </from>
    <ext cx="936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7</col>
      <colOff>0</colOff>
      <row>4</row>
      <rowOff>0</rowOff>
    </from>
    <ext cx="93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001F3B63"/>
    <outlinePr summaryBelow="1" summaryRight="1"/>
    <pageSetUpPr/>
  </sheetPr>
  <dimension ref="B2:D18"/>
  <sheetViews>
    <sheetView showGridLines="0" workbookViewId="0">
      <selection activeCell="A1" sqref="A1"/>
    </sheetView>
  </sheetViews>
  <sheetFormatPr baseColWidth="8" defaultRowHeight="15"/>
  <cols>
    <col width="2" customWidth="1" min="1" max="1"/>
    <col width="34" customWidth="1" min="2" max="2"/>
    <col width="2" customWidth="1" min="3" max="3"/>
    <col width="116" customWidth="1" min="4" max="4"/>
  </cols>
  <sheetData>
    <row r="2" ht="26" customHeight="1">
      <c r="B2" s="1" t="inlineStr">
        <is>
          <t>Chile — presidential approval and fiscal position vs peers</t>
        </is>
      </c>
    </row>
    <row r="3">
      <c r="B3" s="2" t="inlineStr">
        <is>
          <t>Blue cells are hardcoded source inputs. Read the note on Ch2 before using the long approval series.</t>
        </is>
      </c>
    </row>
    <row r="6">
      <c r="B6" s="3" t="inlineStr">
        <is>
          <t>Ch1 Kast weekly</t>
        </is>
      </c>
      <c r="D6" s="4" t="inlineStr">
        <is>
          <t>Cadem Plaza Publica, approval (blue) and disapproval (red), every reading from 13 March to 20 May 2026, plus dated anchor readings to August. Exact, twice-weekly.</t>
        </is>
      </c>
    </row>
    <row r="7">
      <c r="B7" s="3" t="inlineStr">
        <is>
          <t>Ch2 Approval by president</t>
        </is>
      </c>
      <c r="D7" s="4" t="inlineStr">
        <is>
          <t>Cadem net approval across four administrations, 2014-2026, ordered by reading within each term. Shows the shape of every presidency since Bachelet II on one axis. Read the data caveat.</t>
        </is>
      </c>
    </row>
    <row r="8">
      <c r="B8" s="3" t="inlineStr">
        <is>
          <t>Ch3 Peer debt</t>
        </is>
      </c>
      <c r="D8" s="4" t="inlineStr">
        <is>
          <t>Central government gross debt, 16 Latin American countries, December 2025. Chile is the fourth lowest at 43.3% of GDP.</t>
        </is>
      </c>
    </row>
    <row r="9">
      <c r="B9" s="3" t="inlineStr">
        <is>
          <t>Ch4 Peer balances</t>
        </is>
      </c>
      <c r="D9" s="4" t="inlineStr">
        <is>
          <t>Overall and primary balance, 2025, and the interest bill implied by the difference. This is the chart that carries the argument — and the one with the uncomfortable finding.</t>
        </is>
      </c>
    </row>
    <row r="10">
      <c r="B10" s="3" t="inlineStr">
        <is>
          <t>Ch5 Debt currency mix</t>
        </is>
      </c>
      <c r="D10" s="4" t="inlineStr">
        <is>
          <t>Share of central government debt in local currency and owed to domestic creditors.</t>
        </is>
      </c>
    </row>
    <row r="11">
      <c r="B11" s="4" t="inlineStr"/>
      <c r="D11" s="4" t="inlineStr"/>
    </row>
    <row r="12">
      <c r="B12" s="5" t="inlineStr">
        <is>
          <t>The honest read on the fiscal comparison</t>
        </is>
      </c>
    </row>
    <row r="13">
      <c r="B13" s="3" t="inlineStr">
        <is>
          <t>Chile wins on the stock, not the flow</t>
        </is>
      </c>
      <c r="D13" s="4" t="inlineStr">
        <is>
          <t>Chile's 2025 primary balance was -1.6% of GDP against a Latin American average of 0.0% — the third weakest in the sample of sixteen, behind only Colombia and Panama. Its overall deficit of -2.9% is exactly the regional average. The Chilean advantage is entirely in the stock: gross debt of 43.3% of GDP against a regional average of 52.3%, and an interest bill of about 1.3% of GDP against Brazil's 7.0%. That is what the low debt buys — it is not evidence of a tighter fiscal stance today.</t>
        </is>
      </c>
    </row>
    <row r="14">
      <c r="B14" s="3" t="inlineStr">
        <is>
          <t>Why that still matters for a bondholder</t>
        </is>
      </c>
      <c r="D14" s="4" t="inlineStr">
        <is>
          <t>A low interest bill means the primary balance required to stabilise debt is small, so Chile can run a mediocre primary balance without the debt ratio running away. Brazil cannot. The gap between the two countries is not discipline in 2025, it is the accumulated cost of the last twenty years of it, plus a structural rule, sovereign funds, and a debt stock that is 65% in local currency.</t>
        </is>
      </c>
    </row>
    <row r="15">
      <c r="B15" s="4" t="inlineStr"/>
      <c r="D15" s="4" t="inlineStr"/>
    </row>
    <row r="16">
      <c r="B16" s="5" t="inlineStr">
        <is>
          <t>Sources</t>
        </is>
      </c>
    </row>
    <row r="17">
      <c r="B17" s="3" t="inlineStr">
        <is>
          <t>Approval</t>
        </is>
      </c>
      <c r="D17" s="4" t="inlineStr">
        <is>
          <t>Cadem, Plaza Publica: N°656 (Mayo S4-M1 2026), which carries the full weekly series for the Kast term and the historical net-approval chart across four administrations. Anchor readings from Cadem releases reported March-August 2026.</t>
        </is>
      </c>
    </row>
    <row r="18">
      <c r="B18" s="3" t="inlineStr">
        <is>
          <t>Fiscal</t>
        </is>
      </c>
      <c r="D18" s="4" t="inlineStr">
        <is>
          <t>CEPAL, Panorama Fiscal de America Latina y el Caribe 2026 (LC/PUB.2026/4-P), cuadro I.1 (primary and overall balance 2024-2025), grafico I.13 (central government gross debt, Dec-2025) and cuadro I.2 (currency and creditor composition, Dec-2025). Central government coverage throughout, except Brazil (general government) and Peru (general government).</t>
        </is>
      </c>
    </row>
  </sheetData>
  <pageMargins left="0.75" right="0.75" top="1" bottom="1" header="0.5" footer="0.5"/>
</worksheet>
</file>

<file path=xl/worksheets/sheet2.xml><?xml version="1.0" encoding="utf-8"?>
<worksheet xmlns="http://schemas.openxmlformats.org/spreadsheetml/2006/main">
  <sheetPr>
    <tabColor rgb="001F3B63"/>
    <outlinePr summaryBelow="1" summaryRight="1"/>
    <pageSetUpPr/>
  </sheetPr>
  <dimension ref="B2:E32"/>
  <sheetViews>
    <sheetView showGridLines="0" workbookViewId="0">
      <selection activeCell="A1" sqref="A1"/>
    </sheetView>
  </sheetViews>
  <sheetFormatPr baseColWidth="8" defaultRowHeight="15"/>
  <cols>
    <col width="2" customWidth="1" min="1" max="1"/>
    <col width="13" customWidth="1" min="2" max="2"/>
    <col width="11" customWidth="1" min="3" max="3"/>
    <col width="11" customWidth="1" min="4" max="4"/>
    <col width="10" customWidth="1" min="5" max="5"/>
  </cols>
  <sheetData>
    <row r="2" ht="26" customHeight="1">
      <c r="B2" s="1" t="inlineStr">
        <is>
          <t>Kast: the fastest inversion on record</t>
        </is>
      </c>
    </row>
    <row r="3">
      <c r="B3" s="2" t="inlineStr">
        <is>
          <t>Cadem Plaza Publica. Approval in blue, disapproval in red. Twice-weekly readings from the first week of the term. The lines crossed in the third week.</t>
        </is>
      </c>
    </row>
    <row r="6">
      <c r="B6" s="6" t="inlineStr">
        <is>
          <t>Date</t>
        </is>
      </c>
      <c r="C6" s="6" t="inlineStr">
        <is>
          <t>Approve</t>
        </is>
      </c>
      <c r="D6" s="6" t="inlineStr">
        <is>
          <t>Disapprove</t>
        </is>
      </c>
      <c r="E6" s="6" t="inlineStr">
        <is>
          <t>Net</t>
        </is>
      </c>
    </row>
    <row r="7">
      <c r="B7" s="3" t="inlineStr">
        <is>
          <t>13-Mar-26</t>
        </is>
      </c>
      <c r="C7" s="7" t="n">
        <v>0.57</v>
      </c>
      <c r="D7" s="7" t="n">
        <v>0.34</v>
      </c>
      <c r="E7" s="8">
        <f>(C7-D7)*100</f>
        <v/>
      </c>
    </row>
    <row r="8">
      <c r="B8" s="3" t="inlineStr">
        <is>
          <t>17-Mar-26</t>
        </is>
      </c>
      <c r="C8" s="7" t="n">
        <v>0.57</v>
      </c>
      <c r="D8" s="7" t="n">
        <v>0.36</v>
      </c>
      <c r="E8" s="8">
        <f>(C8-D8)*100</f>
        <v/>
      </c>
    </row>
    <row r="9">
      <c r="B9" s="3" t="inlineStr">
        <is>
          <t>20-Mar-26</t>
        </is>
      </c>
      <c r="C9" s="7" t="n">
        <v>0.51</v>
      </c>
      <c r="D9" s="7" t="n">
        <v>0.42</v>
      </c>
      <c r="E9" s="8">
        <f>(C9-D9)*100</f>
        <v/>
      </c>
    </row>
    <row r="10">
      <c r="B10" s="3" t="inlineStr">
        <is>
          <t>24-Mar-26</t>
        </is>
      </c>
      <c r="C10" s="7" t="n">
        <v>0.47</v>
      </c>
      <c r="D10" s="7" t="n">
        <v>0.49</v>
      </c>
      <c r="E10" s="8">
        <f>(C10-D10)*100</f>
        <v/>
      </c>
    </row>
    <row r="11">
      <c r="B11" s="3" t="inlineStr">
        <is>
          <t>26-Mar-26</t>
        </is>
      </c>
      <c r="C11" s="7" t="n">
        <v>0.43</v>
      </c>
      <c r="D11" s="7" t="n">
        <v>0.51</v>
      </c>
      <c r="E11" s="8">
        <f>(C11-D11)*100</f>
        <v/>
      </c>
    </row>
    <row r="12">
      <c r="B12" s="3" t="inlineStr">
        <is>
          <t>01-Apr-26</t>
        </is>
      </c>
      <c r="C12" s="7" t="n">
        <v>0.44</v>
      </c>
      <c r="D12" s="7" t="n">
        <v>0.52</v>
      </c>
      <c r="E12" s="8">
        <f>(C12-D12)*100</f>
        <v/>
      </c>
    </row>
    <row r="13">
      <c r="B13" s="3" t="inlineStr">
        <is>
          <t>03-Apr-26</t>
        </is>
      </c>
      <c r="C13" s="7" t="n">
        <v>0.42</v>
      </c>
      <c r="D13" s="7" t="n">
        <v>0.53</v>
      </c>
      <c r="E13" s="8">
        <f>(C13-D13)*100</f>
        <v/>
      </c>
    </row>
    <row r="14">
      <c r="B14" s="3" t="inlineStr">
        <is>
          <t>08-Apr-26</t>
        </is>
      </c>
      <c r="C14" s="7" t="n">
        <v>0.41</v>
      </c>
      <c r="D14" s="7" t="n">
        <v>0.54</v>
      </c>
      <c r="E14" s="8">
        <f>(C14-D14)*100</f>
        <v/>
      </c>
    </row>
    <row r="15">
      <c r="B15" s="3" t="inlineStr">
        <is>
          <t>10-Apr-26</t>
        </is>
      </c>
      <c r="C15" s="7" t="n">
        <v>0.42</v>
      </c>
      <c r="D15" s="7" t="n">
        <v>0.53</v>
      </c>
      <c r="E15" s="8">
        <f>(C15-D15)*100</f>
        <v/>
      </c>
    </row>
    <row r="16">
      <c r="B16" s="3" t="inlineStr">
        <is>
          <t>16-Apr-26</t>
        </is>
      </c>
      <c r="C16" s="7" t="n">
        <v>0.4</v>
      </c>
      <c r="D16" s="7" t="n">
        <v>0.53</v>
      </c>
      <c r="E16" s="8">
        <f>(C16-D16)*100</f>
        <v/>
      </c>
    </row>
    <row r="17">
      <c r="B17" s="3" t="inlineStr">
        <is>
          <t>17-Apr-26</t>
        </is>
      </c>
      <c r="C17" s="7" t="n">
        <v>0.43</v>
      </c>
      <c r="D17" s="7" t="n">
        <v>0.51</v>
      </c>
      <c r="E17" s="8">
        <f>(C17-D17)*100</f>
        <v/>
      </c>
    </row>
    <row r="18">
      <c r="B18" s="3" t="inlineStr">
        <is>
          <t>23-Apr-26</t>
        </is>
      </c>
      <c r="C18" s="7" t="n">
        <v>0.42</v>
      </c>
      <c r="D18" s="7" t="n">
        <v>0.5</v>
      </c>
      <c r="E18" s="8">
        <f>(C18-D18)*100</f>
        <v/>
      </c>
    </row>
    <row r="19">
      <c r="B19" s="3" t="inlineStr">
        <is>
          <t>24-Apr-26</t>
        </is>
      </c>
      <c r="C19" s="7" t="n">
        <v>0.41</v>
      </c>
      <c r="D19" s="7" t="n">
        <v>0.53</v>
      </c>
      <c r="E19" s="8">
        <f>(C19-D19)*100</f>
        <v/>
      </c>
    </row>
    <row r="20">
      <c r="B20" s="3" t="inlineStr">
        <is>
          <t>28-Apr-26</t>
        </is>
      </c>
      <c r="C20" s="7" t="n">
        <v>0.4</v>
      </c>
      <c r="D20" s="7" t="n">
        <v>0.57</v>
      </c>
      <c r="E20" s="8">
        <f>(C20-D20)*100</f>
        <v/>
      </c>
    </row>
    <row r="21">
      <c r="B21" s="3" t="inlineStr">
        <is>
          <t>01-May-26</t>
        </is>
      </c>
      <c r="C21" s="7" t="n">
        <v>0.39</v>
      </c>
      <c r="D21" s="7" t="n">
        <v>0.57</v>
      </c>
      <c r="E21" s="8">
        <f>(C21-D21)*100</f>
        <v/>
      </c>
    </row>
    <row r="22">
      <c r="B22" s="3" t="inlineStr">
        <is>
          <t>06-May-26</t>
        </is>
      </c>
      <c r="C22" s="7" t="n">
        <v>0.38</v>
      </c>
      <c r="D22" s="7" t="n">
        <v>0.5600000000000001</v>
      </c>
      <c r="E22" s="8">
        <f>(C22-D22)*100</f>
        <v/>
      </c>
    </row>
    <row r="23">
      <c r="B23" s="3" t="inlineStr">
        <is>
          <t>08-May-26</t>
        </is>
      </c>
      <c r="C23" s="7" t="n">
        <v>0.42</v>
      </c>
      <c r="D23" s="7" t="n">
        <v>0.53</v>
      </c>
      <c r="E23" s="8">
        <f>(C23-D23)*100</f>
        <v/>
      </c>
    </row>
    <row r="24">
      <c r="B24" s="3" t="inlineStr">
        <is>
          <t>13-May-26</t>
        </is>
      </c>
      <c r="C24" s="7" t="n">
        <v>0.4</v>
      </c>
      <c r="D24" s="7" t="n">
        <v>0.55</v>
      </c>
      <c r="E24" s="8">
        <f>(C24-D24)*100</f>
        <v/>
      </c>
    </row>
    <row r="25">
      <c r="B25" s="3" t="inlineStr">
        <is>
          <t>15-May-26</t>
        </is>
      </c>
      <c r="C25" s="7" t="n">
        <v>0.36</v>
      </c>
      <c r="D25" s="7" t="n">
        <v>0.58</v>
      </c>
      <c r="E25" s="8">
        <f>(C25-D25)*100</f>
        <v/>
      </c>
    </row>
    <row r="26">
      <c r="B26" s="3" t="inlineStr">
        <is>
          <t>20-May-26</t>
        </is>
      </c>
      <c r="C26" s="7" t="n">
        <v>0.4</v>
      </c>
      <c r="D26" s="7" t="n">
        <v>0.5600000000000001</v>
      </c>
      <c r="E26" s="8">
        <f>(C26-D26)*100</f>
        <v/>
      </c>
    </row>
    <row r="27">
      <c r="B27" s="3" t="inlineStr">
        <is>
          <t>01-Jun-26</t>
        </is>
      </c>
      <c r="C27" s="7" t="n">
        <v>0.41</v>
      </c>
      <c r="D27" s="7" t="n">
        <v>0.55</v>
      </c>
      <c r="E27" s="8">
        <f>(C27-D27)*100</f>
        <v/>
      </c>
    </row>
    <row r="28">
      <c r="B28" s="3" t="inlineStr">
        <is>
          <t>19-Jun-26</t>
        </is>
      </c>
      <c r="C28" s="7" t="n">
        <v>0.44</v>
      </c>
    </row>
    <row r="29">
      <c r="B29" s="3" t="inlineStr">
        <is>
          <t>Early Aug-26</t>
        </is>
      </c>
      <c r="C29" s="7" t="n">
        <v>0.4</v>
      </c>
      <c r="D29" s="7" t="n">
        <v>0.5600000000000001</v>
      </c>
      <c r="E29" s="8">
        <f>(C29-D29)*100</f>
        <v/>
      </c>
    </row>
    <row r="31">
      <c r="B31" s="9" t="inlineStr">
        <is>
          <t>Readings through 20 May are the complete published series from Cadem N°656. The 1 June reading is the cuenta publica week; 19 June is the 100-day mark, where Cadem put him at 44% — four points above Boric at the same point (40%) but below Pinera II (60%), Bachelet II (53%) and Pinera I (45%).</t>
        </is>
      </c>
    </row>
    <row r="32">
      <c r="B32" s="9" t="inlineStr">
        <is>
          <t>He entered with the highest approval AND the highest disapproval of any government since 2010: 57% against 34% in the first week. The cross came on 24 March, eleven days in. No president since 2010 has inverted faster.</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1F3B63"/>
    <outlinePr summaryBelow="1" summaryRight="1"/>
    <pageSetUpPr/>
  </sheetPr>
  <dimension ref="B2:F56"/>
  <sheetViews>
    <sheetView showGridLines="0" workbookViewId="0">
      <selection activeCell="A1" sqref="A1"/>
    </sheetView>
  </sheetViews>
  <sheetFormatPr baseColWidth="8" defaultRowHeight="15"/>
  <cols>
    <col width="2" customWidth="1" min="1" max="1"/>
    <col width="22" customWidth="1" min="2" max="2"/>
    <col width="12" customWidth="1" min="3" max="3"/>
    <col width="12" customWidth="1" min="4" max="4"/>
    <col width="12" customWidth="1" min="5" max="5"/>
    <col width="12" customWidth="1" min="6" max="6"/>
  </cols>
  <sheetData>
    <row r="2" ht="26" customHeight="1">
      <c r="B2" s="1" t="inlineStr">
        <is>
          <t>Four presidencies, one shape</t>
        </is>
      </c>
    </row>
    <row r="3">
      <c r="B3" s="2" t="inlineStr">
        <is>
          <t>Cadem net approval (approve minus disapprove), successive readings within each four-year term. Bachelet II 2014-18, Pinera II 2018-22, Boric 2022-26, Kast from March 2026.</t>
        </is>
      </c>
    </row>
    <row r="6" ht="30" customHeight="1">
      <c r="B6" s="10" t="inlineStr">
        <is>
          <t>Reading #</t>
        </is>
      </c>
      <c r="C6" s="10" t="inlineStr">
        <is>
          <t>Bachelet II
2014-18</t>
        </is>
      </c>
      <c r="D6" s="10" t="inlineStr">
        <is>
          <t>Pinera II
2018-22</t>
        </is>
      </c>
      <c r="E6" s="10" t="inlineStr">
        <is>
          <t>Boric
2022-26</t>
        </is>
      </c>
      <c r="F6" s="10" t="inlineStr">
        <is>
          <t>Kast
2026-</t>
        </is>
      </c>
    </row>
    <row r="7">
      <c r="B7" s="11" t="n">
        <v>1</v>
      </c>
      <c r="C7" s="12" t="n">
        <v>23</v>
      </c>
      <c r="D7" s="12" t="n">
        <v>35</v>
      </c>
      <c r="E7" s="12" t="n">
        <v>30</v>
      </c>
      <c r="F7" s="12" t="n">
        <v>23</v>
      </c>
    </row>
    <row r="8">
      <c r="B8" s="11" t="n">
        <v>2</v>
      </c>
      <c r="C8" s="12" t="n">
        <v>16</v>
      </c>
      <c r="D8" s="12" t="n">
        <v>34</v>
      </c>
      <c r="E8" s="12" t="n">
        <v>-18</v>
      </c>
      <c r="F8" s="12" t="n">
        <v>15</v>
      </c>
    </row>
    <row r="9">
      <c r="B9" s="11" t="n">
        <v>3</v>
      </c>
      <c r="C9" s="12" t="n">
        <v>13</v>
      </c>
      <c r="D9" s="12" t="n">
        <v>36</v>
      </c>
      <c r="E9" s="12" t="n">
        <v>-21</v>
      </c>
      <c r="F9" s="12" t="n">
        <v>-5</v>
      </c>
    </row>
    <row r="10">
      <c r="B10" s="11" t="n">
        <v>4</v>
      </c>
      <c r="C10" s="12" t="n">
        <v>17</v>
      </c>
      <c r="D10" s="12" t="n">
        <v>25</v>
      </c>
      <c r="E10" s="12" t="n">
        <v>-3</v>
      </c>
      <c r="F10" s="12" t="n">
        <v>-10</v>
      </c>
    </row>
    <row r="11">
      <c r="B11" s="11" t="n">
        <v>5</v>
      </c>
      <c r="C11" s="12" t="n">
        <v>-11</v>
      </c>
      <c r="D11" s="12" t="n">
        <v>6</v>
      </c>
      <c r="E11" s="12" t="n">
        <v>-29</v>
      </c>
      <c r="F11" s="12" t="n">
        <v>-11</v>
      </c>
    </row>
    <row r="12">
      <c r="B12" s="11" t="n">
        <v>6</v>
      </c>
      <c r="C12" s="12" t="n">
        <v>-20</v>
      </c>
      <c r="D12" s="12" t="n">
        <v>10</v>
      </c>
      <c r="E12" s="12" t="n">
        <v>-15</v>
      </c>
      <c r="F12" s="12" t="n">
        <v>-18</v>
      </c>
    </row>
    <row r="13">
      <c r="B13" s="11" t="n">
        <v>7</v>
      </c>
      <c r="C13" s="12" t="n">
        <v>-11</v>
      </c>
      <c r="D13" s="12" t="n">
        <v>17</v>
      </c>
      <c r="E13" s="12" t="n">
        <v>-21</v>
      </c>
      <c r="F13" s="12" t="n">
        <v>-19</v>
      </c>
    </row>
    <row r="14">
      <c r="B14" s="11" t="n">
        <v>8</v>
      </c>
      <c r="C14" s="12" t="n">
        <v>-30</v>
      </c>
      <c r="D14" s="12" t="n">
        <v>11</v>
      </c>
      <c r="E14" s="12" t="n">
        <v>-27</v>
      </c>
      <c r="F14" s="12" t="n">
        <v>-16</v>
      </c>
    </row>
    <row r="15">
      <c r="B15" s="11" t="n">
        <v>9</v>
      </c>
      <c r="C15" s="12" t="n">
        <v>-41</v>
      </c>
      <c r="D15" s="12" t="n">
        <v>-5</v>
      </c>
      <c r="E15" s="12" t="n">
        <v>-17</v>
      </c>
    </row>
    <row r="16">
      <c r="B16" s="11" t="n">
        <v>10</v>
      </c>
      <c r="C16" s="12" t="n">
        <v>-48</v>
      </c>
      <c r="D16" s="12" t="n">
        <v>0</v>
      </c>
      <c r="E16" s="12" t="n">
        <v>-44</v>
      </c>
    </row>
    <row r="17">
      <c r="B17" s="11" t="n">
        <v>11</v>
      </c>
      <c r="C17" s="12" t="n">
        <v>-52</v>
      </c>
      <c r="D17" s="12" t="n">
        <v>-2</v>
      </c>
      <c r="E17" s="12" t="n">
        <v>-45</v>
      </c>
    </row>
    <row r="18">
      <c r="B18" s="11" t="n">
        <v>12</v>
      </c>
      <c r="C18" s="12" t="n">
        <v>-40</v>
      </c>
      <c r="D18" s="12" t="n">
        <v>-6</v>
      </c>
      <c r="E18" s="12" t="n">
        <v>-35</v>
      </c>
    </row>
    <row r="19">
      <c r="B19" s="11" t="n">
        <v>13</v>
      </c>
      <c r="C19" s="12" t="n">
        <v>-44</v>
      </c>
      <c r="D19" s="12" t="n">
        <v>-14</v>
      </c>
      <c r="E19" s="12" t="n">
        <v>-38</v>
      </c>
    </row>
    <row r="20">
      <c r="B20" s="11" t="n">
        <v>14</v>
      </c>
      <c r="C20" s="12" t="n">
        <v>-38</v>
      </c>
      <c r="D20" s="12" t="n">
        <v>-12</v>
      </c>
      <c r="E20" s="12" t="n">
        <v>-10</v>
      </c>
    </row>
    <row r="21">
      <c r="B21" s="11" t="n">
        <v>15</v>
      </c>
      <c r="C21" s="12" t="n">
        <v>-50</v>
      </c>
      <c r="D21" s="12" t="n">
        <v>-23</v>
      </c>
      <c r="E21" s="12" t="n">
        <v>-34</v>
      </c>
    </row>
    <row r="22">
      <c r="B22" s="11" t="n">
        <v>16</v>
      </c>
      <c r="C22" s="12" t="n">
        <v>-47</v>
      </c>
      <c r="D22" s="12" t="n">
        <v>-20</v>
      </c>
      <c r="E22" s="12" t="n">
        <v>-27</v>
      </c>
    </row>
    <row r="23">
      <c r="B23" s="11" t="n">
        <v>17</v>
      </c>
      <c r="C23" s="12" t="n">
        <v>-52</v>
      </c>
      <c r="D23" s="12" t="n">
        <v>-19</v>
      </c>
      <c r="E23" s="12" t="n">
        <v>-20</v>
      </c>
    </row>
    <row r="24">
      <c r="B24" s="11" t="n">
        <v>18</v>
      </c>
      <c r="C24" s="12" t="n">
        <v>-46</v>
      </c>
      <c r="D24" s="12" t="n">
        <v>-66</v>
      </c>
      <c r="E24" s="12" t="n">
        <v>-27</v>
      </c>
    </row>
    <row r="25">
      <c r="B25" s="11" t="n">
        <v>19</v>
      </c>
      <c r="C25" s="12" t="n">
        <v>-56</v>
      </c>
      <c r="D25" s="12" t="n">
        <v>-72</v>
      </c>
      <c r="E25" s="12" t="n">
        <v>-26</v>
      </c>
    </row>
    <row r="26">
      <c r="B26" s="11" t="n">
        <v>20</v>
      </c>
      <c r="C26" s="12" t="n">
        <v>-51</v>
      </c>
      <c r="D26" s="12" t="n">
        <v>-72</v>
      </c>
      <c r="E26" s="12" t="n">
        <v>-27</v>
      </c>
    </row>
    <row r="27">
      <c r="B27" s="11" t="n">
        <v>21</v>
      </c>
      <c r="C27" s="12" t="n">
        <v>-51</v>
      </c>
      <c r="D27" s="12" t="n">
        <v>-75</v>
      </c>
      <c r="E27" s="12" t="n">
        <v>-46</v>
      </c>
    </row>
    <row r="28">
      <c r="B28" s="11" t="n">
        <v>22</v>
      </c>
      <c r="C28" s="12" t="n">
        <v>-42</v>
      </c>
      <c r="D28" s="12" t="n">
        <v>-69</v>
      </c>
      <c r="E28" s="12" t="n">
        <v>-21</v>
      </c>
    </row>
    <row r="29">
      <c r="B29" s="11" t="n">
        <v>23</v>
      </c>
      <c r="C29" s="12" t="n">
        <v>-41</v>
      </c>
      <c r="D29" s="12" t="n">
        <v>-53</v>
      </c>
      <c r="E29" s="12" t="n">
        <v>-18</v>
      </c>
    </row>
    <row r="30">
      <c r="B30" s="11" t="n">
        <v>24</v>
      </c>
      <c r="C30" s="12" t="n">
        <v>-57</v>
      </c>
      <c r="D30" s="12" t="n">
        <v>-37</v>
      </c>
      <c r="E30" s="12" t="n">
        <v>-23</v>
      </c>
    </row>
    <row r="31">
      <c r="B31" s="11" t="n">
        <v>25</v>
      </c>
      <c r="C31" s="12" t="n">
        <v>-55</v>
      </c>
      <c r="D31" s="12" t="n">
        <v>-66</v>
      </c>
      <c r="E31" s="12" t="n">
        <v>-36</v>
      </c>
    </row>
    <row r="32">
      <c r="B32" s="11" t="n">
        <v>26</v>
      </c>
      <c r="C32" s="12" t="n">
        <v>-42</v>
      </c>
      <c r="D32" s="12" t="n">
        <v>-51</v>
      </c>
      <c r="E32" s="12" t="n">
        <v>-26</v>
      </c>
    </row>
    <row r="33">
      <c r="B33" s="11" t="n">
        <v>27</v>
      </c>
      <c r="C33" s="12" t="n">
        <v>-45</v>
      </c>
      <c r="D33" s="12" t="n">
        <v>-62</v>
      </c>
      <c r="E33" s="12" t="n">
        <v>-28</v>
      </c>
    </row>
    <row r="34">
      <c r="B34" s="11" t="n">
        <v>28</v>
      </c>
      <c r="C34" s="12" t="n">
        <v>-35</v>
      </c>
      <c r="D34" s="12" t="n">
        <v>-66</v>
      </c>
      <c r="E34" s="12" t="n">
        <v>-31</v>
      </c>
    </row>
    <row r="35">
      <c r="B35" s="11" t="n">
        <v>29</v>
      </c>
      <c r="C35" s="12" t="n">
        <v>-35</v>
      </c>
      <c r="D35" s="12" t="n">
        <v>-53</v>
      </c>
      <c r="E35" s="12" t="n">
        <v>-24</v>
      </c>
    </row>
    <row r="36">
      <c r="B36" s="11" t="n">
        <v>30</v>
      </c>
      <c r="C36" s="12" t="n">
        <v>-22</v>
      </c>
      <c r="D36" s="12" t="n">
        <v>-51</v>
      </c>
      <c r="E36" s="12" t="n">
        <v>-17</v>
      </c>
    </row>
    <row r="37">
      <c r="B37" s="11" t="n">
        <v>31</v>
      </c>
      <c r="C37" s="12" t="n">
        <v>-22</v>
      </c>
      <c r="D37" s="12" t="n">
        <v>-73</v>
      </c>
      <c r="E37" s="12" t="n">
        <v>-27</v>
      </c>
    </row>
    <row r="38">
      <c r="B38" s="11" t="n">
        <v>32</v>
      </c>
      <c r="C38" s="12" t="n">
        <v>-8</v>
      </c>
      <c r="D38" s="12" t="n">
        <v>-66</v>
      </c>
      <c r="E38" s="12" t="n">
        <v>-33</v>
      </c>
    </row>
    <row r="39">
      <c r="B39" s="11" t="n">
        <v>33</v>
      </c>
      <c r="C39" s="12" t="n">
        <v>-7</v>
      </c>
      <c r="D39" s="12" t="n">
        <v>-55</v>
      </c>
      <c r="E39" s="12" t="n">
        <v>-20</v>
      </c>
    </row>
    <row r="40">
      <c r="B40" s="11" t="n">
        <v>34</v>
      </c>
      <c r="C40" s="12" t="n">
        <v>0</v>
      </c>
      <c r="D40" s="12" t="n">
        <v>-56</v>
      </c>
      <c r="E40" s="12" t="n">
        <v>-29</v>
      </c>
    </row>
    <row r="41">
      <c r="B41" s="11" t="n">
        <v>35</v>
      </c>
      <c r="C41" s="12" t="n">
        <v>-9</v>
      </c>
      <c r="D41" s="12" t="n">
        <v>-46</v>
      </c>
      <c r="E41" s="12" t="n">
        <v>-19</v>
      </c>
    </row>
    <row r="42">
      <c r="B42" s="11" t="n">
        <v>36</v>
      </c>
      <c r="D42" s="12" t="n">
        <v>-64</v>
      </c>
      <c r="E42" s="12" t="n">
        <v>-21</v>
      </c>
    </row>
    <row r="43">
      <c r="B43" s="11" t="n">
        <v>37</v>
      </c>
      <c r="D43" s="12" t="n">
        <v>-64</v>
      </c>
    </row>
    <row r="44">
      <c r="B44" s="11" t="n">
        <v>38</v>
      </c>
      <c r="D44" s="12" t="n">
        <v>-49</v>
      </c>
    </row>
    <row r="45">
      <c r="B45" s="11" t="n">
        <v>39</v>
      </c>
      <c r="D45" s="12" t="n">
        <v>-41</v>
      </c>
    </row>
    <row r="46">
      <c r="B46" s="11" t="n">
        <v>40</v>
      </c>
      <c r="D46" s="12" t="n">
        <v>-41</v>
      </c>
    </row>
    <row r="48">
      <c r="B48" s="5" t="inlineStr">
        <is>
          <t>Anchor readings, approval level (%)</t>
        </is>
      </c>
    </row>
    <row r="49">
      <c r="B49" s="6" t="inlineStr">
        <is>
          <t>Milestone</t>
        </is>
      </c>
      <c r="C49" s="6" t="inlineStr">
        <is>
          <t>Bachelet II</t>
        </is>
      </c>
      <c r="D49" s="6" t="inlineStr">
        <is>
          <t>Pinera II</t>
        </is>
      </c>
      <c r="E49" s="6" t="inlineStr">
        <is>
          <t>Boric</t>
        </is>
      </c>
      <c r="F49" s="6" t="inlineStr">
        <is>
          <t>Kast</t>
        </is>
      </c>
    </row>
    <row r="50">
      <c r="B50" s="3" t="inlineStr">
        <is>
          <t>First week</t>
        </is>
      </c>
      <c r="C50" s="7" t="n">
        <v>0.52</v>
      </c>
      <c r="D50" s="7" t="n">
        <v>0.51</v>
      </c>
      <c r="E50" s="7" t="n">
        <v>0.5</v>
      </c>
      <c r="F50" s="7" t="n">
        <v>0.57</v>
      </c>
    </row>
    <row r="51">
      <c r="B51" s="3" t="inlineStr">
        <is>
          <t>First 100 days</t>
        </is>
      </c>
      <c r="C51" s="7" t="n">
        <v>0.53</v>
      </c>
      <c r="D51" s="7" t="n">
        <v>0.6</v>
      </c>
      <c r="E51" s="7" t="n">
        <v>0.4</v>
      </c>
      <c r="F51" s="7" t="n">
        <v>0.44</v>
      </c>
    </row>
    <row r="52">
      <c r="B52" s="3" t="inlineStr">
        <is>
          <t>First cuenta publica</t>
        </is>
      </c>
      <c r="C52" s="7" t="n">
        <v>0.7</v>
      </c>
      <c r="D52" s="7" t="n">
        <v>0.61</v>
      </c>
      <c r="E52" s="7" t="n">
        <v>0.63</v>
      </c>
      <c r="F52" s="7" t="n">
        <v>0.5</v>
      </c>
    </row>
    <row r="54">
      <c r="B54" s="9" t="inlineStr">
        <is>
          <t>The cuenta publica row is the share rating the speech good or very good, not approval. Kast's 50% is the lowest first cuenta publica since 2010; it was also the most watched, at 78%.</t>
        </is>
      </c>
    </row>
    <row r="56">
      <c r="B56" s="9" t="inlineStr">
        <is>
          <t>DATA CAVEAT, read before using. Cadem does not publish its historical approval series as data. These net figures are the data labels on the historical chart in Cadem N°656, which carries roughly 35-40 labelled points per four-year term. The ORDER within each presidency is reliable and the levels are as published, but the spacing is not exactly weekly or monthly, so the x-axis here is reading number, not calendar time. Use it for the shape and the comparison, not to date a specific turning point. The corresponding approval-and-disapproval levels for the three earlier presidents do not extract reliably from the same chart, which is why the blue/red pair is shown only for Kast, on Ch1. If you want the full calendar series with both lines back to 2014, the practical route is Cadem's weekly PDFs or a licensed poll aggregator.</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1F3B63"/>
    <outlinePr summaryBelow="1" summaryRight="1"/>
    <pageSetUpPr/>
  </sheetPr>
  <dimension ref="B2:C25"/>
  <sheetViews>
    <sheetView showGridLines="0" workbookViewId="0">
      <selection activeCell="A1" sqref="A1"/>
    </sheetView>
  </sheetViews>
  <sheetFormatPr baseColWidth="8" defaultRowHeight="15"/>
  <cols>
    <col width="2" customWidth="1" min="1" max="1"/>
    <col width="20" customWidth="1" min="2" max="2"/>
    <col width="13" customWidth="1" min="3" max="3"/>
  </cols>
  <sheetData>
    <row r="2" ht="26" customHeight="1">
      <c r="B2" s="1" t="inlineStr">
        <is>
          <t>Chile has the fourth lowest public debt in Latin America</t>
        </is>
      </c>
    </row>
    <row r="3">
      <c r="B3" s="2" t="inlineStr">
        <is>
          <t>Central government gross debt, December 2025, % of GDP. Regional simple average 52.3%.</t>
        </is>
      </c>
    </row>
    <row r="6" ht="28" customHeight="1">
      <c r="B6" s="10" t="inlineStr">
        <is>
          <t>Country</t>
        </is>
      </c>
      <c r="C6" s="10" t="inlineStr">
        <is>
          <t>Gross debt
% of GDP</t>
        </is>
      </c>
    </row>
    <row r="7">
      <c r="B7" s="4" t="inlineStr">
        <is>
          <t>Brazil</t>
        </is>
      </c>
      <c r="C7" s="7" t="n">
        <v>0.787</v>
      </c>
    </row>
    <row r="8">
      <c r="B8" s="4" t="inlineStr">
        <is>
          <t>Argentina</t>
        </is>
      </c>
      <c r="C8" s="7" t="n">
        <v>0.782</v>
      </c>
    </row>
    <row r="9">
      <c r="B9" s="4" t="inlineStr">
        <is>
          <t>Panama</t>
        </is>
      </c>
      <c r="C9" s="7" t="n">
        <v>0.655</v>
      </c>
    </row>
    <row r="10">
      <c r="B10" s="4" t="inlineStr">
        <is>
          <t>Colombia</t>
        </is>
      </c>
      <c r="C10" s="7" t="n">
        <v>0.644</v>
      </c>
    </row>
    <row r="11">
      <c r="B11" s="4" t="inlineStr">
        <is>
          <t>Ecuador</t>
        </is>
      </c>
      <c r="C11" s="7" t="n">
        <v>0.607</v>
      </c>
    </row>
    <row r="12">
      <c r="B12" s="4" t="inlineStr">
        <is>
          <t>Uruguay</t>
        </is>
      </c>
      <c r="C12" s="7" t="n">
        <v>0.605</v>
      </c>
    </row>
    <row r="13">
      <c r="B13" s="4" t="inlineStr">
        <is>
          <t>Costa Rica</t>
        </is>
      </c>
      <c r="C13" s="7" t="n">
        <v>0.583</v>
      </c>
    </row>
    <row r="14">
      <c r="B14" s="4" t="inlineStr">
        <is>
          <t>El Salvador</t>
        </is>
      </c>
      <c r="C14" s="7" t="n">
        <v>0.5649999999999999</v>
      </c>
    </row>
    <row r="15">
      <c r="B15" s="4" t="inlineStr">
        <is>
          <t>Mexico</t>
        </is>
      </c>
      <c r="C15" s="7" t="n">
        <v>0.491</v>
      </c>
    </row>
    <row r="16">
      <c r="B16" s="4" t="inlineStr">
        <is>
          <t>Dominican Rep.</t>
        </is>
      </c>
      <c r="C16" s="7" t="n">
        <v>0.478</v>
      </c>
    </row>
    <row r="17">
      <c r="B17" s="4" t="inlineStr">
        <is>
          <t>Honduras</t>
        </is>
      </c>
      <c r="C17" s="7" t="n">
        <v>0.456</v>
      </c>
    </row>
    <row r="18">
      <c r="B18" s="3" t="inlineStr">
        <is>
          <t>Chile</t>
        </is>
      </c>
      <c r="C18" s="13" t="n">
        <v>0.433</v>
      </c>
    </row>
    <row r="19">
      <c r="B19" s="4" t="inlineStr">
        <is>
          <t>Paraguay</t>
        </is>
      </c>
      <c r="C19" s="7" t="n">
        <v>0.362</v>
      </c>
    </row>
    <row r="20">
      <c r="B20" s="4" t="inlineStr">
        <is>
          <t>Nicaragua</t>
        </is>
      </c>
      <c r="C20" s="7" t="n">
        <v>0.355</v>
      </c>
    </row>
    <row r="21">
      <c r="B21" s="4" t="inlineStr">
        <is>
          <t>Peru</t>
        </is>
      </c>
      <c r="C21" s="7" t="n">
        <v>0.29</v>
      </c>
    </row>
    <row r="22">
      <c r="B22" s="4" t="inlineStr">
        <is>
          <t>Guatemala</t>
        </is>
      </c>
      <c r="C22" s="7" t="n">
        <v>0.272</v>
      </c>
    </row>
    <row r="23">
      <c r="B23" s="3" t="inlineStr">
        <is>
          <t>Regional average (16)</t>
        </is>
      </c>
      <c r="C23" s="14">
        <f>AVERAGE(C7:C22)</f>
        <v/>
      </c>
    </row>
    <row r="25">
      <c r="B25" s="9" t="inlineStr">
        <is>
          <t>Source: CEPAL, Panorama Fiscal 2026, grafico I.13. Brazil is general government; Argentina, Chile, Costa Rica and Guatemala are to September 2025. Chile's own net debt position is materially better again, since the FEES and FRP sit against the gross figure.</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3B63"/>
    <outlinePr summaryBelow="1" summaryRight="1"/>
    <pageSetUpPr/>
  </sheetPr>
  <dimension ref="B2:E27"/>
  <sheetViews>
    <sheetView showGridLines="0" workbookViewId="0">
      <selection activeCell="A1" sqref="A1"/>
    </sheetView>
  </sheetViews>
  <sheetFormatPr baseColWidth="8" defaultRowHeight="15"/>
  <cols>
    <col width="2" customWidth="1" min="1" max="1"/>
    <col width="20" customWidth="1" min="2" max="2"/>
    <col width="12" customWidth="1" min="3" max="3"/>
    <col width="12" customWidth="1" min="4" max="4"/>
    <col width="15" customWidth="1" min="5" max="5"/>
  </cols>
  <sheetData>
    <row r="2" ht="26" customHeight="1">
      <c r="B2" s="1" t="inlineStr">
        <is>
          <t>The stock is the advantage — the flow is not</t>
        </is>
      </c>
    </row>
    <row r="3">
      <c r="B3" s="2" t="inlineStr">
        <is>
          <t>Central government balances, 2025, % of GDP. Interest is the gap between the overall and primary balance.</t>
        </is>
      </c>
    </row>
    <row r="6" ht="30" customHeight="1">
      <c r="B6" s="10" t="inlineStr">
        <is>
          <t>Country</t>
        </is>
      </c>
      <c r="C6" s="10" t="inlineStr">
        <is>
          <t>Primary
balance</t>
        </is>
      </c>
      <c r="D6" s="10" t="inlineStr">
        <is>
          <t>Overall
balance</t>
        </is>
      </c>
      <c r="E6" s="10" t="inlineStr">
        <is>
          <t>Implied interest
bill</t>
        </is>
      </c>
    </row>
    <row r="7">
      <c r="B7" s="4" t="inlineStr">
        <is>
          <t>Brazil</t>
        </is>
      </c>
      <c r="C7" s="7" t="n">
        <v>-0.005</v>
      </c>
      <c r="D7" s="7" t="n">
        <v>-0.075</v>
      </c>
      <c r="E7" s="15">
        <f>C7-D7</f>
        <v/>
      </c>
    </row>
    <row r="8">
      <c r="B8" s="4" t="inlineStr">
        <is>
          <t>Colombia</t>
        </is>
      </c>
      <c r="C8" s="7" t="n">
        <v>-0.036</v>
      </c>
      <c r="D8" s="7" t="n">
        <v>-0.064</v>
      </c>
      <c r="E8" s="15">
        <f>C8-D8</f>
        <v/>
      </c>
    </row>
    <row r="9">
      <c r="B9" s="4" t="inlineStr">
        <is>
          <t>Panama</t>
        </is>
      </c>
      <c r="C9" s="7" t="n">
        <v>-0.022</v>
      </c>
      <c r="D9" s="7" t="n">
        <v>-0.052</v>
      </c>
      <c r="E9" s="15">
        <f>C9-D9</f>
        <v/>
      </c>
    </row>
    <row r="10">
      <c r="B10" s="4" t="inlineStr">
        <is>
          <t>Mexico</t>
        </is>
      </c>
      <c r="C10" s="7" t="n">
        <v>-0.002</v>
      </c>
      <c r="D10" s="7" t="n">
        <v>-0.038</v>
      </c>
      <c r="E10" s="15">
        <f>C10-D10</f>
        <v/>
      </c>
    </row>
    <row r="11">
      <c r="B11" s="4" t="inlineStr">
        <is>
          <t>Uruguay</t>
        </is>
      </c>
      <c r="C11" s="7" t="n">
        <v>-0.013</v>
      </c>
      <c r="D11" s="7" t="n">
        <v>-0.03700000000000001</v>
      </c>
      <c r="E11" s="15">
        <f>C11-D11</f>
        <v/>
      </c>
    </row>
    <row r="12">
      <c r="B12" s="4" t="inlineStr">
        <is>
          <t>Dominican Rep.</t>
        </is>
      </c>
      <c r="C12" s="7" t="n">
        <v>-0.001</v>
      </c>
      <c r="D12" s="7" t="n">
        <v>-0.036</v>
      </c>
      <c r="E12" s="15">
        <f>C12-D12</f>
        <v/>
      </c>
    </row>
    <row r="13">
      <c r="B13" s="4" t="inlineStr">
        <is>
          <t>Ecuador</t>
        </is>
      </c>
      <c r="C13" s="7" t="n">
        <v>-0.004</v>
      </c>
      <c r="D13" s="7" t="n">
        <v>-0.035</v>
      </c>
      <c r="E13" s="15">
        <f>C13-D13</f>
        <v/>
      </c>
    </row>
    <row r="14">
      <c r="B14" s="4" t="inlineStr">
        <is>
          <t>El Salvador</t>
        </is>
      </c>
      <c r="C14" s="7" t="n">
        <v>0.01</v>
      </c>
      <c r="D14" s="7" t="n">
        <v>-0.034</v>
      </c>
      <c r="E14" s="15">
        <f>C14-D14</f>
        <v/>
      </c>
    </row>
    <row r="15">
      <c r="B15" s="4" t="inlineStr">
        <is>
          <t>Costa Rica</t>
        </is>
      </c>
      <c r="C15" s="7" t="n">
        <v>0.009000000000000001</v>
      </c>
      <c r="D15" s="7" t="n">
        <v>-0.034</v>
      </c>
      <c r="E15" s="15">
        <f>C15-D15</f>
        <v/>
      </c>
    </row>
    <row r="16">
      <c r="B16" s="3" t="inlineStr">
        <is>
          <t>Chile</t>
        </is>
      </c>
      <c r="C16" s="13" t="n">
        <v>-0.016</v>
      </c>
      <c r="D16" s="13" t="n">
        <v>-0.029</v>
      </c>
      <c r="E16" s="15">
        <f>C16-D16</f>
        <v/>
      </c>
    </row>
    <row r="17">
      <c r="B17" s="4" t="inlineStr">
        <is>
          <t>Peru</t>
        </is>
      </c>
      <c r="C17" s="7" t="n">
        <v>-0.009000000000000001</v>
      </c>
      <c r="D17" s="7" t="n">
        <v>-0.025</v>
      </c>
      <c r="E17" s="15">
        <f>C17-D17</f>
        <v/>
      </c>
    </row>
    <row r="18">
      <c r="B18" s="4" t="inlineStr">
        <is>
          <t>Paraguay</t>
        </is>
      </c>
      <c r="C18" s="7" t="n">
        <v>-0.001</v>
      </c>
      <c r="D18" s="7" t="n">
        <v>-0.02</v>
      </c>
      <c r="E18" s="15">
        <f>C18-D18</f>
        <v/>
      </c>
    </row>
    <row r="19">
      <c r="B19" s="4" t="inlineStr">
        <is>
          <t>Guatemala</t>
        </is>
      </c>
      <c r="C19" s="7" t="n">
        <v>-0.003</v>
      </c>
      <c r="D19" s="7" t="n">
        <v>-0.019</v>
      </c>
      <c r="E19" s="15">
        <f>C19-D19</f>
        <v/>
      </c>
    </row>
    <row r="20">
      <c r="B20" s="4" t="inlineStr">
        <is>
          <t>Honduras</t>
        </is>
      </c>
      <c r="C20" s="7" t="n">
        <v>0.008</v>
      </c>
      <c r="D20" s="7" t="n">
        <v>-0.019</v>
      </c>
      <c r="E20" s="15">
        <f>C20-D20</f>
        <v/>
      </c>
    </row>
    <row r="21">
      <c r="B21" s="4" t="inlineStr">
        <is>
          <t>Argentina</t>
        </is>
      </c>
      <c r="C21" s="7" t="n">
        <v>0.024</v>
      </c>
      <c r="D21" s="7" t="n">
        <v>0.011</v>
      </c>
      <c r="E21" s="15">
        <f>C21-D21</f>
        <v/>
      </c>
    </row>
    <row r="22">
      <c r="B22" s="4" t="inlineStr">
        <is>
          <t>Nicaragua</t>
        </is>
      </c>
      <c r="C22" s="7" t="n">
        <v>0.053</v>
      </c>
      <c r="D22" s="7" t="n">
        <v>0.039</v>
      </c>
      <c r="E22" s="15">
        <f>C22-D22</f>
        <v/>
      </c>
    </row>
    <row r="23">
      <c r="B23" s="3" t="inlineStr">
        <is>
          <t>Regional average (16)</t>
        </is>
      </c>
      <c r="C23" s="14">
        <f>AVERAGE(C7:C22)</f>
        <v/>
      </c>
      <c r="D23" s="14">
        <f>AVERAGE(D7:D22)</f>
        <v/>
      </c>
      <c r="E23" s="14">
        <f>AVERAGE(E7:E22)</f>
        <v/>
      </c>
    </row>
    <row r="25">
      <c r="B25" s="9" t="inlineStr">
        <is>
          <t>Source: CEPAL, Panorama Fiscal 2026, cuadro I.1. Argentina is national public administration; Mexico is federal public sector; Peru is general government.</t>
        </is>
      </c>
    </row>
    <row r="26">
      <c r="B26" s="9" t="inlineStr">
        <is>
          <t>The uncomfortable finding: Chile's primary balance of -1.6% of GDP is the third weakest in the sample, behind only Colombia and Panama, and well below the regional average of 0.0%. Its overall deficit of -2.9% is exactly the regional average. Chile does not out-perform on the fiscal stance in 2025 — it breached its own structural rule getting here.</t>
        </is>
      </c>
    </row>
    <row r="27">
      <c r="B27" s="9" t="inlineStr">
        <is>
          <t>What it does out-perform on is the interest bill: roughly 1.3% of GDP against Brazil's 7.0%, Costa Rica's 4.3% and El Salvador's 4.4%. That is the dividend of a 43% debt ratio, a 65% local-currency stock, and an A rating — the highest in Latin America. Low interest means the primary balance needed to hold the debt ratio flat is small, which is why a -1.6% primary balance is survivable in Santiago and would not be in Brasilia.</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3B63"/>
    <outlinePr summaryBelow="1" summaryRight="1"/>
    <pageSetUpPr/>
  </sheetPr>
  <dimension ref="B2:F19"/>
  <sheetViews>
    <sheetView showGridLines="0" workbookViewId="0">
      <selection activeCell="A1" sqref="A1"/>
    </sheetView>
  </sheetViews>
  <sheetFormatPr baseColWidth="8" defaultRowHeight="15"/>
  <cols>
    <col width="2" customWidth="1" min="1" max="1"/>
    <col width="20" customWidth="1" min="2" max="2"/>
    <col width="12" customWidth="1" min="3" max="3"/>
    <col width="12" customWidth="1" min="4" max="4"/>
    <col width="12" customWidth="1" min="5" max="5"/>
    <col width="12" customWidth="1" min="6" max="6"/>
  </cols>
  <sheetData>
    <row r="2" ht="26" customHeight="1">
      <c r="B2" s="1" t="inlineStr">
        <is>
          <t>And it is borrowed in its own currency</t>
        </is>
      </c>
    </row>
    <row r="3">
      <c r="B3" s="2" t="inlineStr">
        <is>
          <t>Central government debt by currency and by creditor residence, December 2025, % of total.</t>
        </is>
      </c>
    </row>
    <row r="6" ht="30" customHeight="1">
      <c r="B6" s="10" t="inlineStr">
        <is>
          <t>Country</t>
        </is>
      </c>
      <c r="C6" s="10" t="inlineStr">
        <is>
          <t>Local
currency</t>
        </is>
      </c>
      <c r="D6" s="10" t="inlineStr">
        <is>
          <t>Foreign
currency</t>
        </is>
      </c>
      <c r="E6" s="10" t="inlineStr">
        <is>
          <t>Domestic
creditors</t>
        </is>
      </c>
      <c r="F6" s="10" t="inlineStr">
        <is>
          <t>External
creditors</t>
        </is>
      </c>
    </row>
    <row r="7">
      <c r="B7" s="4" t="inlineStr">
        <is>
          <t>Brazil</t>
        </is>
      </c>
      <c r="C7" s="7" t="n">
        <v>0.95</v>
      </c>
      <c r="D7" s="7" t="n">
        <v>0.05</v>
      </c>
      <c r="E7" s="7" t="n">
        <v>0.87</v>
      </c>
      <c r="F7" s="7" t="n">
        <v>0.13</v>
      </c>
    </row>
    <row r="8">
      <c r="B8" s="4" t="inlineStr">
        <is>
          <t>Mexico</t>
        </is>
      </c>
      <c r="C8" s="7" t="n">
        <v>0.84</v>
      </c>
      <c r="D8" s="7" t="n">
        <v>0.16</v>
      </c>
      <c r="E8" s="7" t="n">
        <v>0.84</v>
      </c>
      <c r="F8" s="7" t="n">
        <v>0.16</v>
      </c>
    </row>
    <row r="9">
      <c r="B9" s="4" t="inlineStr">
        <is>
          <t>Colombia</t>
        </is>
      </c>
      <c r="C9" s="7" t="n">
        <v>0.71</v>
      </c>
      <c r="D9" s="7" t="n">
        <v>0.29</v>
      </c>
      <c r="E9" s="7" t="n">
        <v>0.7</v>
      </c>
      <c r="F9" s="7" t="n">
        <v>0.3</v>
      </c>
    </row>
    <row r="10">
      <c r="B10" s="4" t="inlineStr">
        <is>
          <t>Costa Rica</t>
        </is>
      </c>
      <c r="C10" s="7" t="n">
        <v>0.66</v>
      </c>
      <c r="D10" s="7" t="n">
        <v>0.34</v>
      </c>
      <c r="E10" s="7" t="n">
        <v>0.74</v>
      </c>
      <c r="F10" s="7" t="n">
        <v>0.26</v>
      </c>
    </row>
    <row r="11">
      <c r="B11" s="3" t="inlineStr">
        <is>
          <t>Chile</t>
        </is>
      </c>
      <c r="C11" s="13" t="n">
        <v>0.65</v>
      </c>
      <c r="D11" s="13" t="n">
        <v>0.35</v>
      </c>
      <c r="E11" s="13" t="n">
        <v>0.65</v>
      </c>
      <c r="F11" s="13" t="n">
        <v>0.35</v>
      </c>
    </row>
    <row r="12">
      <c r="B12" s="4" t="inlineStr">
        <is>
          <t>Peru</t>
        </is>
      </c>
      <c r="C12" s="7" t="n">
        <v>0.55</v>
      </c>
      <c r="D12" s="7" t="n">
        <v>0.45</v>
      </c>
      <c r="E12" s="7" t="n">
        <v>0.57</v>
      </c>
      <c r="F12" s="7" t="n">
        <v>0.43</v>
      </c>
    </row>
    <row r="13">
      <c r="B13" s="4" t="inlineStr">
        <is>
          <t>Uruguay</t>
        </is>
      </c>
      <c r="C13" s="7" t="n">
        <v>0.54</v>
      </c>
      <c r="D13" s="7" t="n">
        <v>0.46</v>
      </c>
      <c r="E13" s="7" t="n">
        <v>0.53</v>
      </c>
      <c r="F13" s="7" t="n">
        <v>0.47</v>
      </c>
    </row>
    <row r="14">
      <c r="B14" s="4" t="inlineStr">
        <is>
          <t>Argentina</t>
        </is>
      </c>
      <c r="C14" s="7" t="n">
        <v>0.44</v>
      </c>
      <c r="D14" s="7" t="n">
        <v>0.5600000000000001</v>
      </c>
      <c r="E14" s="7" t="n">
        <v>0.66</v>
      </c>
      <c r="F14" s="7" t="n">
        <v>0.34</v>
      </c>
    </row>
    <row r="15">
      <c r="B15" s="4" t="inlineStr">
        <is>
          <t>Honduras</t>
        </is>
      </c>
      <c r="C15" s="7" t="n">
        <v>0.37</v>
      </c>
      <c r="D15" s="7" t="n">
        <v>0.63</v>
      </c>
      <c r="E15" s="7" t="n">
        <v>0.48</v>
      </c>
      <c r="F15" s="7" t="n">
        <v>0.52</v>
      </c>
    </row>
    <row r="16">
      <c r="B16" s="4" t="inlineStr">
        <is>
          <t>Dominican Rep.</t>
        </is>
      </c>
      <c r="C16" s="7" t="n">
        <v>0.33</v>
      </c>
      <c r="D16" s="7" t="n">
        <v>0.67</v>
      </c>
      <c r="E16" s="7" t="n">
        <v>0.26</v>
      </c>
      <c r="F16" s="7" t="n">
        <v>0.74</v>
      </c>
    </row>
    <row r="17">
      <c r="B17" s="4" t="inlineStr">
        <is>
          <t>Paraguay</t>
        </is>
      </c>
      <c r="C17" s="7" t="n">
        <v>0.18</v>
      </c>
      <c r="D17" s="7" t="n">
        <v>0.82</v>
      </c>
      <c r="E17" s="7" t="n">
        <v>0.11</v>
      </c>
      <c r="F17" s="7" t="n">
        <v>0.89</v>
      </c>
    </row>
    <row r="19">
      <c r="B19" s="9" t="inlineStr">
        <is>
          <t>Source: CEPAL, Panorama Fiscal 2026, cuadro I.2. Ecuador, Panama, Guatemala, El Salvador and Nicaragua omitted: dollarised or not reported. Chile's 65/35 split understates the position slightly, since a portion of the foreign-currency stock is hedged — Hacienda puts the FX share of central government gross debt at 34.2% before hedges and 32.1% after.</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2026-08-14T13:28:36Z</dcterms:created>
  <dcterms:modified xmlns:dcterms="http://purl.org/dc/terms/" xmlns:xsi="http://www.w3.org/2001/XMLSchema-instance" xsi:type="dcterms:W3CDTF">2026-08-14T13:28:36Z</dcterms:modified>
</cp:coreProperties>
</file>